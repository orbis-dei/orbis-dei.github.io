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wnloads\"/>
    </mc:Choice>
  </mc:AlternateContent>
  <xr:revisionPtr revIDLastSave="0" documentId="13_ncr:1_{7B2F9C54-E632-44AC-BAF1-2A214226658C}"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Master" sheetId="3" r:id="rId2"/>
    <sheet name="Sheet3" sheetId="10" r:id="rId3"/>
    <sheet name="Marian Sites" sheetId="9" r:id="rId4"/>
    <sheet name="Sheet1" sheetId="1" r:id="rId5"/>
    <sheet name="(Ref) Countries" sheetId="5" r:id="rId6"/>
    <sheet name="Sheet7" sheetId="8" r:id="rId7"/>
  </sheets>
  <functionGroups builtInGroupCount="19"/>
  <definedNames>
    <definedName name="_xlnm._FilterDatabase" localSheetId="5" hidden="1">'(Ref) Countries'!$A$1:$C$250</definedName>
    <definedName name="_xlnm._FilterDatabase" localSheetId="1" hidden="1">Master!$A$1:$AU$166</definedName>
    <definedName name="_xlnm._FilterDatabase" localSheetId="4" hidden="1">Sheet1!$B$1:$G$66</definedName>
    <definedName name="_xlnm._FilterDatabase" localSheetId="6" hidden="1">Sheet7!$A$1:$F$154</definedName>
    <definedName name="adana" localSheetId="4">Sheet1!$C$27</definedName>
    <definedName name="alexandria" localSheetId="4">Sheet1!$C$9</definedName>
    <definedName name="athos" localSheetId="4">Sheet1!$C$62</definedName>
    <definedName name="behuard" localSheetId="4">Sheet1!$C$18</definedName>
    <definedName name="benevento" localSheetId="4">Sheet1!$C$42</definedName>
    <definedName name="bolougne" localSheetId="4">Sheet1!$C$38</definedName>
    <definedName name="caesarea" localSheetId="4">Sheet1!$C$13</definedName>
    <definedName name="canterbury980" localSheetId="4">Sheet1!$C$65</definedName>
    <definedName name="castelnuovo" localSheetId="4">Sheet1!$C$60</definedName>
    <definedName name="clermont" localSheetId="4">Sheet1!$C$43</definedName>
    <definedName name="cologne" localSheetId="4">Sheet1!$C$63</definedName>
    <definedName name="constantinople" localSheetId="4">Sheet1!$C$20</definedName>
    <definedName name="constantinople714" localSheetId="4">Sheet1!$C$46</definedName>
    <definedName name="corbie" localSheetId="4">Sheet1!$C$54</definedName>
    <definedName name="corentin" localSheetId="4">Sheet1!$C$21</definedName>
    <definedName name="egypt" localSheetId="4">Sheet1!$C$17</definedName>
    <definedName name="ensiedeln" localSheetId="4">Sheet1!$C$59</definedName>
    <definedName name="ephesus" localSheetId="4">Sheet1!$C$2</definedName>
    <definedName name="evesham" localSheetId="4">Sheet1!$C$45</definedName>
    <definedName name="farfa" localSheetId="4">Sheet1!$C$48</definedName>
    <definedName name="galla" localSheetId="4">Sheet1!$C$28</definedName>
    <definedName name="gargano" localSheetId="4">Sheet1!$C$22</definedName>
    <definedName name="genoa" localSheetId="4">Sheet1!$C$33</definedName>
    <definedName name="giudicaele" localSheetId="4">Sheet1!$C$39</definedName>
    <definedName name="gregoryoftours" localSheetId="4">Sheet1!$C$29</definedName>
    <definedName name="gualdotadino" localSheetId="4">Sheet1!$C$32</definedName>
    <definedName name="hainault" localSheetId="4">Sheet1!$C$40</definedName>
    <definedName name="herford" localSheetId="4">Sheet1!$C$61</definedName>
    <definedName name="india" localSheetId="4">Sheet1!$C$3</definedName>
    <definedName name="italy300" localSheetId="4">Sheet1!$C$7</definedName>
    <definedName name="kuravilangad" localSheetId="4">Sheet1!$C$11</definedName>
    <definedName name="lepuy" localSheetId="4">Sheet1!#REF!</definedName>
    <definedName name="maastricht" localSheetId="4">Sheet1!$C$49</definedName>
    <definedName name="mainz" localSheetId="4">Sheet1!$C$51</definedName>
    <definedName name="montreuil" localSheetId="4">Sheet1!$C$52</definedName>
    <definedName name="myra" localSheetId="4">Sheet1!$C$10</definedName>
    <definedName name="neocaesarea" localSheetId="4">Sheet1!$C$5</definedName>
    <definedName name="Patmos" localSheetId="4">Sheet1!$C$4</definedName>
    <definedName name="picciano" localSheetId="4">Sheet1!$C$66</definedName>
    <definedName name="propezzano" localSheetId="4">Sheet1!$C$47</definedName>
    <definedName name="reims" localSheetId="4">Sheet1!$C$58</definedName>
    <definedName name="rome258" localSheetId="4">Sheet1!#REF!</definedName>
    <definedName name="rome526" localSheetId="4">Sheet1!$C$24</definedName>
    <definedName name="rosenthal" localSheetId="4">Sheet1!$C$53</definedName>
    <definedName name="savoy" localSheetId="4">Sheet1!$C$50</definedName>
    <definedName name="sicea" localSheetId="4">Sheet1!$C$23</definedName>
    <definedName name="spoleto" localSheetId="4">Sheet1!$C$30</definedName>
    <definedName name="tagaste" localSheetId="4">Sheet1!$C$15</definedName>
    <definedName name="toledo" localSheetId="4">Sheet1!$C$41</definedName>
    <definedName name="tolouse" localSheetId="4">Sheet1!$C$55</definedName>
    <definedName name="tours" localSheetId="4">Sheet1!$C$14</definedName>
    <definedName name="zaragoza" localSheetId="4">Sheet1!#REF!</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166" i="3" l="1"/>
  <c r="AE166" i="3"/>
  <c r="AD166" i="3"/>
  <c r="AC166" i="3"/>
  <c r="W166" i="3"/>
  <c r="AH166" i="3" s="1"/>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2" i="3"/>
  <c r="AJ3" i="3"/>
  <c r="AJ4" i="3"/>
  <c r="AJ5" i="3"/>
  <c r="AJ6" i="3"/>
  <c r="AJ7" i="3"/>
  <c r="AJ8" i="3"/>
  <c r="AJ9" i="3"/>
  <c r="AJ10" i="3"/>
  <c r="AJ11" i="3"/>
  <c r="AJ12" i="3"/>
  <c r="AJ13" i="3"/>
  <c r="AJ14" i="3"/>
  <c r="AJ15" i="3"/>
  <c r="AJ16" i="3"/>
  <c r="AJ17" i="3"/>
  <c r="AJ18" i="3"/>
  <c r="AJ19" i="3"/>
  <c r="AJ20" i="3"/>
  <c r="AJ21" i="3"/>
  <c r="AJ22" i="3"/>
  <c r="AJ23" i="3"/>
  <c r="AJ24" i="3"/>
  <c r="AJ25" i="3"/>
  <c r="AJ26" i="3"/>
  <c r="AJ27" i="3"/>
  <c r="AJ28" i="3"/>
  <c r="AJ29" i="3"/>
  <c r="AJ30" i="3"/>
  <c r="AJ31" i="3"/>
  <c r="AJ32" i="3"/>
  <c r="AJ33" i="3"/>
  <c r="AJ34" i="3"/>
  <c r="AJ35" i="3"/>
  <c r="AJ36" i="3"/>
  <c r="AJ37" i="3"/>
  <c r="AJ38" i="3"/>
  <c r="AJ39" i="3"/>
  <c r="AJ40" i="3"/>
  <c r="AJ41" i="3"/>
  <c r="AJ42" i="3"/>
  <c r="AJ43" i="3"/>
  <c r="AJ44" i="3"/>
  <c r="AJ45" i="3"/>
  <c r="AJ46" i="3"/>
  <c r="AJ47" i="3"/>
  <c r="AJ48" i="3"/>
  <c r="AJ49" i="3"/>
  <c r="AJ50" i="3"/>
  <c r="AJ51" i="3"/>
  <c r="AJ52" i="3"/>
  <c r="AJ53" i="3"/>
  <c r="AJ54" i="3"/>
  <c r="AJ55" i="3"/>
  <c r="AJ56" i="3"/>
  <c r="AJ57" i="3"/>
  <c r="AJ58" i="3"/>
  <c r="AJ59" i="3"/>
  <c r="AJ60" i="3"/>
  <c r="AJ61" i="3"/>
  <c r="AJ62" i="3"/>
  <c r="AJ63" i="3"/>
  <c r="AJ64" i="3"/>
  <c r="AJ65" i="3"/>
  <c r="AJ66" i="3"/>
  <c r="AJ67" i="3"/>
  <c r="AJ68" i="3"/>
  <c r="AJ69" i="3"/>
  <c r="AJ70" i="3"/>
  <c r="AJ71" i="3"/>
  <c r="AJ72" i="3"/>
  <c r="AJ73" i="3"/>
  <c r="AJ74" i="3"/>
  <c r="AJ75" i="3"/>
  <c r="AJ76" i="3"/>
  <c r="AJ77" i="3"/>
  <c r="AJ78" i="3"/>
  <c r="AJ79" i="3"/>
  <c r="AJ80" i="3"/>
  <c r="AJ81" i="3"/>
  <c r="AJ82" i="3"/>
  <c r="AJ83" i="3"/>
  <c r="AJ84" i="3"/>
  <c r="AJ85" i="3"/>
  <c r="AJ86" i="3"/>
  <c r="AJ87" i="3"/>
  <c r="AJ88" i="3"/>
  <c r="AJ89" i="3"/>
  <c r="AJ90" i="3"/>
  <c r="AJ91" i="3"/>
  <c r="AJ92" i="3"/>
  <c r="AJ93" i="3"/>
  <c r="AJ94" i="3"/>
  <c r="AJ95" i="3"/>
  <c r="AJ96" i="3"/>
  <c r="AJ97" i="3"/>
  <c r="AJ98" i="3"/>
  <c r="AJ99" i="3"/>
  <c r="AJ100" i="3"/>
  <c r="AJ101" i="3"/>
  <c r="AJ102" i="3"/>
  <c r="AJ103" i="3"/>
  <c r="AJ104" i="3"/>
  <c r="AJ105" i="3"/>
  <c r="AJ106" i="3"/>
  <c r="AJ107" i="3"/>
  <c r="AJ108" i="3"/>
  <c r="AJ109" i="3"/>
  <c r="AJ110" i="3"/>
  <c r="AJ111" i="3"/>
  <c r="AJ112" i="3"/>
  <c r="AJ113" i="3"/>
  <c r="AJ114" i="3"/>
  <c r="AJ115" i="3"/>
  <c r="AJ116" i="3"/>
  <c r="AJ117" i="3"/>
  <c r="AJ118" i="3"/>
  <c r="AJ119" i="3"/>
  <c r="AJ120" i="3"/>
  <c r="AJ121" i="3"/>
  <c r="AJ122" i="3"/>
  <c r="AJ123" i="3"/>
  <c r="AJ124" i="3"/>
  <c r="AJ125" i="3"/>
  <c r="AJ126" i="3"/>
  <c r="AJ127" i="3"/>
  <c r="AJ128" i="3"/>
  <c r="AJ129" i="3"/>
  <c r="AJ130" i="3"/>
  <c r="AJ131" i="3"/>
  <c r="AJ132" i="3"/>
  <c r="AJ133" i="3"/>
  <c r="AJ134" i="3"/>
  <c r="AJ135" i="3"/>
  <c r="AJ136" i="3"/>
  <c r="AJ137" i="3"/>
  <c r="AJ138" i="3"/>
  <c r="AJ139" i="3"/>
  <c r="AJ140" i="3"/>
  <c r="AJ141" i="3"/>
  <c r="AJ142" i="3"/>
  <c r="AJ143" i="3"/>
  <c r="AJ144" i="3"/>
  <c r="AJ145" i="3"/>
  <c r="AJ146" i="3"/>
  <c r="AJ147" i="3"/>
  <c r="AJ148" i="3"/>
  <c r="AJ149" i="3"/>
  <c r="AJ150" i="3"/>
  <c r="AJ151" i="3"/>
  <c r="AJ152" i="3"/>
  <c r="AJ153" i="3"/>
  <c r="AJ154" i="3"/>
  <c r="AJ155" i="3"/>
  <c r="AJ156" i="3"/>
  <c r="AJ157" i="3"/>
  <c r="AJ158" i="3"/>
  <c r="AJ159" i="3"/>
  <c r="AJ160" i="3"/>
  <c r="AJ161" i="3"/>
  <c r="AJ162" i="3"/>
  <c r="AJ163" i="3"/>
  <c r="AJ164" i="3"/>
  <c r="AJ165" i="3"/>
  <c r="AJ2" i="3"/>
  <c r="W3" i="3"/>
  <c r="W4" i="3"/>
  <c r="W5" i="3"/>
  <c r="W6" i="3"/>
  <c r="W7" i="3"/>
  <c r="AI7" i="3" s="1"/>
  <c r="W8" i="3"/>
  <c r="W9" i="3"/>
  <c r="AH9" i="3" s="1"/>
  <c r="W10" i="3"/>
  <c r="AH10" i="3" s="1"/>
  <c r="W11" i="3"/>
  <c r="AH11" i="3" s="1"/>
  <c r="W12" i="3"/>
  <c r="AK12" i="3" s="1"/>
  <c r="W13" i="3"/>
  <c r="W14" i="3"/>
  <c r="AK14" i="3" s="1"/>
  <c r="W15" i="3"/>
  <c r="AI15" i="3" s="1"/>
  <c r="W16" i="3"/>
  <c r="AI16" i="3" s="1"/>
  <c r="W17" i="3"/>
  <c r="AI17" i="3" s="1"/>
  <c r="W18" i="3"/>
  <c r="AK18" i="3" s="1"/>
  <c r="W19" i="3"/>
  <c r="AI19" i="3" s="1"/>
  <c r="W20" i="3"/>
  <c r="AI20" i="3" s="1"/>
  <c r="W21" i="3"/>
  <c r="AI21" i="3" s="1"/>
  <c r="W22" i="3"/>
  <c r="AK22" i="3" s="1"/>
  <c r="W23" i="3"/>
  <c r="W24" i="3"/>
  <c r="W25" i="3"/>
  <c r="AH25" i="3" s="1"/>
  <c r="W26" i="3"/>
  <c r="AH26" i="3" s="1"/>
  <c r="W27" i="3"/>
  <c r="AK27" i="3" s="1"/>
  <c r="W28" i="3"/>
  <c r="AK28" i="3" s="1"/>
  <c r="W29" i="3"/>
  <c r="AH29" i="3" s="1"/>
  <c r="W30" i="3"/>
  <c r="AH30" i="3" s="1"/>
  <c r="W31" i="3"/>
  <c r="AK31" i="3" s="1"/>
  <c r="W32" i="3"/>
  <c r="AK32" i="3" s="1"/>
  <c r="W33" i="3"/>
  <c r="AH33" i="3" s="1"/>
  <c r="W34" i="3"/>
  <c r="AH34" i="3" s="1"/>
  <c r="W35" i="3"/>
  <c r="AK35" i="3" s="1"/>
  <c r="W36" i="3"/>
  <c r="AK36" i="3" s="1"/>
  <c r="W37" i="3"/>
  <c r="AH37" i="3" s="1"/>
  <c r="W38" i="3"/>
  <c r="AH38" i="3" s="1"/>
  <c r="W39" i="3"/>
  <c r="AK39" i="3" s="1"/>
  <c r="W40" i="3"/>
  <c r="AK40" i="3" s="1"/>
  <c r="W41" i="3"/>
  <c r="AH41" i="3" s="1"/>
  <c r="W42" i="3"/>
  <c r="AH42" i="3" s="1"/>
  <c r="W43" i="3"/>
  <c r="AK43" i="3" s="1"/>
  <c r="W44" i="3"/>
  <c r="AK44" i="3" s="1"/>
  <c r="W45" i="3"/>
  <c r="AH45" i="3" s="1"/>
  <c r="W46" i="3"/>
  <c r="AH46" i="3" s="1"/>
  <c r="W47" i="3"/>
  <c r="W48" i="3"/>
  <c r="AK48" i="3" s="1"/>
  <c r="W49" i="3"/>
  <c r="AH49" i="3" s="1"/>
  <c r="W50" i="3"/>
  <c r="AH50" i="3" s="1"/>
  <c r="W51" i="3"/>
  <c r="AK51" i="3" s="1"/>
  <c r="W52" i="3"/>
  <c r="AK52" i="3" s="1"/>
  <c r="W53" i="3"/>
  <c r="AH53" i="3" s="1"/>
  <c r="W54" i="3"/>
  <c r="AH54" i="3" s="1"/>
  <c r="W55" i="3"/>
  <c r="AK55" i="3" s="1"/>
  <c r="W56" i="3"/>
  <c r="AK56" i="3" s="1"/>
  <c r="W57" i="3"/>
  <c r="AH57" i="3" s="1"/>
  <c r="W58" i="3"/>
  <c r="AH58" i="3" s="1"/>
  <c r="W59" i="3"/>
  <c r="AK59" i="3" s="1"/>
  <c r="W60" i="3"/>
  <c r="AK60" i="3" s="1"/>
  <c r="W61" i="3"/>
  <c r="AH61" i="3" s="1"/>
  <c r="W62" i="3"/>
  <c r="W63" i="3"/>
  <c r="AH63" i="3" s="1"/>
  <c r="W64" i="3"/>
  <c r="W65" i="3"/>
  <c r="AI65" i="3" s="1"/>
  <c r="W66" i="3"/>
  <c r="AK66" i="3" s="1"/>
  <c r="W67" i="3"/>
  <c r="AI67" i="3" s="1"/>
  <c r="W68" i="3"/>
  <c r="AI68" i="3" s="1"/>
  <c r="W69" i="3"/>
  <c r="AI69" i="3" s="1"/>
  <c r="W70" i="3"/>
  <c r="AK70" i="3" s="1"/>
  <c r="W71" i="3"/>
  <c r="AI71" i="3" s="1"/>
  <c r="W72" i="3"/>
  <c r="AI72" i="3" s="1"/>
  <c r="W73" i="3"/>
  <c r="W74" i="3"/>
  <c r="AK74" i="3" s="1"/>
  <c r="W75" i="3"/>
  <c r="W76" i="3"/>
  <c r="AK76" i="3" s="1"/>
  <c r="W77" i="3"/>
  <c r="AH77" i="3" s="1"/>
  <c r="W78" i="3"/>
  <c r="AH78" i="3" s="1"/>
  <c r="W79" i="3"/>
  <c r="AK79" i="3" s="1"/>
  <c r="W80" i="3"/>
  <c r="AI80" i="3" s="1"/>
  <c r="W81" i="3"/>
  <c r="W82" i="3"/>
  <c r="AH82" i="3" s="1"/>
  <c r="W83" i="3"/>
  <c r="AH83" i="3" s="1"/>
  <c r="W84" i="3"/>
  <c r="W85" i="3"/>
  <c r="W86" i="3"/>
  <c r="AK86" i="3" s="1"/>
  <c r="W87" i="3"/>
  <c r="W88" i="3"/>
  <c r="W89" i="3"/>
  <c r="W90" i="3"/>
  <c r="AI90" i="3" s="1"/>
  <c r="W91" i="3"/>
  <c r="AI91" i="3" s="1"/>
  <c r="W92" i="3"/>
  <c r="AI92" i="3" s="1"/>
  <c r="W93" i="3"/>
  <c r="AI93" i="3" s="1"/>
  <c r="W94" i="3"/>
  <c r="AI94" i="3" s="1"/>
  <c r="W95" i="3"/>
  <c r="AI95" i="3" s="1"/>
  <c r="W96" i="3"/>
  <c r="AI96" i="3" s="1"/>
  <c r="W97" i="3"/>
  <c r="AI97" i="3" s="1"/>
  <c r="W98" i="3"/>
  <c r="W99" i="3"/>
  <c r="AK99" i="3" s="1"/>
  <c r="W100" i="3"/>
  <c r="AI100" i="3" s="1"/>
  <c r="W101" i="3"/>
  <c r="AH101" i="3" s="1"/>
  <c r="W102" i="3"/>
  <c r="AI102" i="3" s="1"/>
  <c r="W103" i="3"/>
  <c r="AI103" i="3" s="1"/>
  <c r="W104" i="3"/>
  <c r="AI104" i="3" s="1"/>
  <c r="W105" i="3"/>
  <c r="AH105" i="3" s="1"/>
  <c r="W106" i="3"/>
  <c r="AI106" i="3" s="1"/>
  <c r="W107" i="3"/>
  <c r="AK107" i="3" s="1"/>
  <c r="W108" i="3"/>
  <c r="W109" i="3"/>
  <c r="AH109" i="3" s="1"/>
  <c r="W110" i="3"/>
  <c r="W111" i="3"/>
  <c r="AH111" i="3" s="1"/>
  <c r="W112" i="3"/>
  <c r="W113" i="3"/>
  <c r="AI113" i="3" s="1"/>
  <c r="W114" i="3"/>
  <c r="W115" i="3"/>
  <c r="W116" i="3"/>
  <c r="AI116" i="3" s="1"/>
  <c r="W117" i="3"/>
  <c r="AH117" i="3" s="1"/>
  <c r="W118" i="3"/>
  <c r="W119" i="3"/>
  <c r="AI119" i="3" s="1"/>
  <c r="W120" i="3"/>
  <c r="AI120" i="3" s="1"/>
  <c r="W121" i="3"/>
  <c r="W122" i="3"/>
  <c r="W123" i="3"/>
  <c r="AI123" i="3" s="1"/>
  <c r="W124" i="3"/>
  <c r="AK124" i="3" s="1"/>
  <c r="W125" i="3"/>
  <c r="W126" i="3"/>
  <c r="W127" i="3"/>
  <c r="W128" i="3"/>
  <c r="AK128" i="3" s="1"/>
  <c r="W129" i="3"/>
  <c r="AI129" i="3" s="1"/>
  <c r="W130" i="3"/>
  <c r="AI130" i="3" s="1"/>
  <c r="W131" i="3"/>
  <c r="AK131" i="3" s="1"/>
  <c r="W132" i="3"/>
  <c r="W133" i="3"/>
  <c r="AH133" i="3" s="1"/>
  <c r="W134" i="3"/>
  <c r="AI134" i="3" s="1"/>
  <c r="W135" i="3"/>
  <c r="AI135" i="3" s="1"/>
  <c r="W136" i="3"/>
  <c r="AI136" i="3" s="1"/>
  <c r="W137" i="3"/>
  <c r="AH137" i="3" s="1"/>
  <c r="W138" i="3"/>
  <c r="AI138" i="3" s="1"/>
  <c r="W139" i="3"/>
  <c r="AI139" i="3" s="1"/>
  <c r="W140" i="3"/>
  <c r="AI140" i="3" s="1"/>
  <c r="W141" i="3"/>
  <c r="AH141" i="3" s="1"/>
  <c r="W142" i="3"/>
  <c r="W143" i="3"/>
  <c r="AI143" i="3" s="1"/>
  <c r="W144" i="3"/>
  <c r="AI144" i="3" s="1"/>
  <c r="W145" i="3"/>
  <c r="AH145" i="3" s="1"/>
  <c r="W146" i="3"/>
  <c r="AI146" i="3" s="1"/>
  <c r="W147" i="3"/>
  <c r="AI147" i="3" s="1"/>
  <c r="W148" i="3"/>
  <c r="AI148" i="3" s="1"/>
  <c r="W149" i="3"/>
  <c r="AH149" i="3" s="1"/>
  <c r="W150" i="3"/>
  <c r="W151" i="3"/>
  <c r="AI151" i="3" s="1"/>
  <c r="W152" i="3"/>
  <c r="W153" i="3"/>
  <c r="W154" i="3"/>
  <c r="W155" i="3"/>
  <c r="W156" i="3"/>
  <c r="AK156" i="3" s="1"/>
  <c r="W157" i="3"/>
  <c r="AH157" i="3" s="1"/>
  <c r="W158" i="3"/>
  <c r="AH158" i="3" s="1"/>
  <c r="W159" i="3"/>
  <c r="W160" i="3"/>
  <c r="AI160" i="3" s="1"/>
  <c r="W161" i="3"/>
  <c r="AH161" i="3" s="1"/>
  <c r="W162" i="3"/>
  <c r="AH162" i="3" s="1"/>
  <c r="W163" i="3"/>
  <c r="AH163" i="3" s="1"/>
  <c r="W164" i="3"/>
  <c r="AI164" i="3" s="1"/>
  <c r="W165" i="3"/>
  <c r="AH165" i="3" s="1"/>
  <c r="W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2" i="3"/>
  <c r="AD3" i="3"/>
  <c r="AD4"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5" i="3"/>
  <c r="AD116" i="3"/>
  <c r="AD117" i="3"/>
  <c r="AD118" i="3"/>
  <c r="AD119" i="3"/>
  <c r="AD120" i="3"/>
  <c r="AD121" i="3"/>
  <c r="AD122" i="3"/>
  <c r="AD123" i="3"/>
  <c r="AD124" i="3"/>
  <c r="AD125" i="3"/>
  <c r="AD126" i="3"/>
  <c r="AD127" i="3"/>
  <c r="AD128" i="3"/>
  <c r="AD129" i="3"/>
  <c r="AD130" i="3"/>
  <c r="AD131"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60" i="3"/>
  <c r="AD161" i="3"/>
  <c r="AD162" i="3"/>
  <c r="AD163" i="3"/>
  <c r="AD164" i="3"/>
  <c r="AD165" i="3"/>
  <c r="AD2" i="3"/>
  <c r="AC7" i="3"/>
  <c r="AC8" i="3"/>
  <c r="AC9" i="3"/>
  <c r="AC10" i="3"/>
  <c r="AC11" i="3"/>
  <c r="AC12" i="3"/>
  <c r="AC13" i="3"/>
  <c r="AC14" i="3"/>
  <c r="AC15" i="3"/>
  <c r="AC16" i="3"/>
  <c r="AC17" i="3"/>
  <c r="AC18" i="3"/>
  <c r="AC20" i="3"/>
  <c r="AC21" i="3"/>
  <c r="AC22" i="3"/>
  <c r="AC23"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3" i="3"/>
  <c r="AC64" i="3"/>
  <c r="AC65" i="3"/>
  <c r="AC66" i="3"/>
  <c r="AC67" i="3"/>
  <c r="AC68" i="3"/>
  <c r="AC69" i="3"/>
  <c r="AC70" i="3"/>
  <c r="AC71" i="3"/>
  <c r="AC72" i="3"/>
  <c r="AC73" i="3"/>
  <c r="AC74" i="3"/>
  <c r="AC76" i="3"/>
  <c r="AC77" i="3"/>
  <c r="AC78" i="3"/>
  <c r="AC79" i="3"/>
  <c r="AC80" i="3"/>
  <c r="AC81" i="3"/>
  <c r="AC82" i="3"/>
  <c r="AC83" i="3"/>
  <c r="AC84" i="3"/>
  <c r="AC85" i="3"/>
  <c r="AC86" i="3"/>
  <c r="AC87" i="3"/>
  <c r="AC88" i="3"/>
  <c r="AC89" i="3"/>
  <c r="AC90" i="3"/>
  <c r="AC91" i="3"/>
  <c r="AC92" i="3"/>
  <c r="AC93" i="3"/>
  <c r="AC94" i="3"/>
  <c r="AC95" i="3"/>
  <c r="AC96" i="3"/>
  <c r="AC97" i="3"/>
  <c r="AC99" i="3"/>
  <c r="AC100" i="3"/>
  <c r="AC101" i="3"/>
  <c r="AC102" i="3"/>
  <c r="AC103" i="3"/>
  <c r="AC104" i="3"/>
  <c r="AC105" i="3"/>
  <c r="AC107" i="3"/>
  <c r="AC108" i="3"/>
  <c r="AC109" i="3"/>
  <c r="AC110" i="3"/>
  <c r="AC111" i="3"/>
  <c r="AC112" i="3"/>
  <c r="AC115" i="3"/>
  <c r="AC116" i="3"/>
  <c r="AC117" i="3"/>
  <c r="AC119" i="3"/>
  <c r="AC120" i="3"/>
  <c r="AC121" i="3"/>
  <c r="AC122" i="3"/>
  <c r="AC123" i="3"/>
  <c r="AC124" i="3"/>
  <c r="AC125" i="3"/>
  <c r="AC126" i="3"/>
  <c r="AC127" i="3"/>
  <c r="AC128" i="3"/>
  <c r="AC129" i="3"/>
  <c r="AC130" i="3"/>
  <c r="AC131" i="3"/>
  <c r="AC133" i="3"/>
  <c r="AC134" i="3"/>
  <c r="AC135" i="3"/>
  <c r="AC136" i="3"/>
  <c r="AC137" i="3"/>
  <c r="AC138" i="3"/>
  <c r="AC139" i="3"/>
  <c r="AC140" i="3"/>
  <c r="AC141" i="3"/>
  <c r="AC142" i="3"/>
  <c r="AC143" i="3"/>
  <c r="AC144" i="3"/>
  <c r="AC145" i="3"/>
  <c r="AC146" i="3"/>
  <c r="AC147" i="3"/>
  <c r="AC148" i="3"/>
  <c r="AC149" i="3"/>
  <c r="AC151" i="3"/>
  <c r="AC153" i="3"/>
  <c r="AC154" i="3"/>
  <c r="AC155" i="3"/>
  <c r="AC156" i="3"/>
  <c r="AC157" i="3"/>
  <c r="AC158" i="3"/>
  <c r="AC160" i="3"/>
  <c r="AC161" i="3"/>
  <c r="AC162" i="3"/>
  <c r="AC163" i="3"/>
  <c r="AC165" i="3"/>
  <c r="AB159" i="3"/>
  <c r="AA159" i="3"/>
  <c r="Z159" i="3"/>
  <c r="AB158" i="3"/>
  <c r="AA158" i="3"/>
  <c r="Z158" i="3"/>
  <c r="AB157" i="3"/>
  <c r="AA157" i="3"/>
  <c r="Z157" i="3"/>
  <c r="AB156" i="3"/>
  <c r="AA156" i="3"/>
  <c r="Z156" i="3"/>
  <c r="AB155" i="3"/>
  <c r="AA155" i="3"/>
  <c r="Z155" i="3"/>
  <c r="AB154" i="3"/>
  <c r="AA154" i="3"/>
  <c r="Z154" i="3"/>
  <c r="AB153" i="3"/>
  <c r="AA153" i="3"/>
  <c r="Z153" i="3"/>
  <c r="AB152" i="3"/>
  <c r="AA152" i="3"/>
  <c r="Z152" i="3"/>
  <c r="AB151" i="3"/>
  <c r="AA151" i="3"/>
  <c r="Z151" i="3"/>
  <c r="AB150" i="3"/>
  <c r="AA150" i="3"/>
  <c r="Z150" i="3"/>
  <c r="AB149" i="3"/>
  <c r="AA149" i="3"/>
  <c r="Z149" i="3"/>
  <c r="AB148" i="3"/>
  <c r="AA148" i="3"/>
  <c r="Z148" i="3"/>
  <c r="AB147" i="3"/>
  <c r="AA147" i="3"/>
  <c r="Z147" i="3"/>
  <c r="AB146" i="3"/>
  <c r="AA146" i="3"/>
  <c r="Z146" i="3"/>
  <c r="AB145" i="3"/>
  <c r="AA145" i="3"/>
  <c r="Z145" i="3"/>
  <c r="AB144" i="3"/>
  <c r="AA144" i="3"/>
  <c r="Z144" i="3"/>
  <c r="AB143" i="3"/>
  <c r="AA143" i="3"/>
  <c r="Z143" i="3"/>
  <c r="AB142" i="3"/>
  <c r="AA142" i="3"/>
  <c r="Z142" i="3"/>
  <c r="AB141" i="3"/>
  <c r="AA141" i="3"/>
  <c r="Z141" i="3"/>
  <c r="AB140" i="3"/>
  <c r="AA140" i="3"/>
  <c r="Z140" i="3"/>
  <c r="AB139" i="3"/>
  <c r="AA139" i="3"/>
  <c r="Z139" i="3"/>
  <c r="AB138" i="3"/>
  <c r="AA138" i="3"/>
  <c r="Z138" i="3"/>
  <c r="AB137" i="3"/>
  <c r="AA137" i="3"/>
  <c r="Z137" i="3"/>
  <c r="AB136" i="3"/>
  <c r="AA136" i="3"/>
  <c r="Z136" i="3"/>
  <c r="AB135" i="3"/>
  <c r="AA135" i="3"/>
  <c r="Z135" i="3"/>
  <c r="AB134" i="3"/>
  <c r="AA134" i="3"/>
  <c r="Z134" i="3"/>
  <c r="AB133" i="3"/>
  <c r="AA133" i="3"/>
  <c r="Z133" i="3"/>
  <c r="AB132" i="3"/>
  <c r="AA132" i="3"/>
  <c r="Z132" i="3"/>
  <c r="AB131" i="3"/>
  <c r="AA131" i="3"/>
  <c r="Z131" i="3"/>
  <c r="AB130" i="3"/>
  <c r="AA130" i="3"/>
  <c r="Z130" i="3"/>
  <c r="AB129" i="3"/>
  <c r="AA129" i="3"/>
  <c r="Z129" i="3"/>
  <c r="AB128" i="3"/>
  <c r="AA128" i="3"/>
  <c r="Z128" i="3"/>
  <c r="AB127" i="3"/>
  <c r="AA127" i="3"/>
  <c r="Z127" i="3"/>
  <c r="AB126" i="3"/>
  <c r="AA126" i="3"/>
  <c r="Z126" i="3"/>
  <c r="AB125" i="3"/>
  <c r="AA125" i="3"/>
  <c r="Z125" i="3"/>
  <c r="AB124" i="3"/>
  <c r="AA124" i="3"/>
  <c r="Z124" i="3"/>
  <c r="AB123" i="3"/>
  <c r="AA123" i="3"/>
  <c r="Z123" i="3"/>
  <c r="AB122" i="3"/>
  <c r="AA122" i="3"/>
  <c r="Z122" i="3"/>
  <c r="AB121" i="3"/>
  <c r="AA121" i="3"/>
  <c r="Z121" i="3"/>
  <c r="AB120" i="3"/>
  <c r="AA120" i="3"/>
  <c r="Z120" i="3"/>
  <c r="AB119" i="3"/>
  <c r="AA119" i="3"/>
  <c r="Z119" i="3"/>
  <c r="AB118" i="3"/>
  <c r="AA118" i="3"/>
  <c r="Z118" i="3"/>
  <c r="AB117" i="3"/>
  <c r="AA117" i="3"/>
  <c r="Z117" i="3"/>
  <c r="AB116" i="3"/>
  <c r="AA116" i="3"/>
  <c r="Z116" i="3"/>
  <c r="AB115" i="3"/>
  <c r="AA115" i="3"/>
  <c r="Z115" i="3"/>
  <c r="AB114" i="3"/>
  <c r="AA114" i="3"/>
  <c r="Z114" i="3"/>
  <c r="AB113" i="3"/>
  <c r="AA113" i="3"/>
  <c r="Z113" i="3"/>
  <c r="AB112" i="3"/>
  <c r="AA112" i="3"/>
  <c r="Z112" i="3"/>
  <c r="AB111" i="3"/>
  <c r="AA111" i="3"/>
  <c r="Z111" i="3"/>
  <c r="AB110" i="3"/>
  <c r="AA110" i="3"/>
  <c r="Z110" i="3"/>
  <c r="AB109" i="3"/>
  <c r="AA109" i="3"/>
  <c r="Z109" i="3"/>
  <c r="AB108" i="3"/>
  <c r="AA108" i="3"/>
  <c r="Z108" i="3"/>
  <c r="AB107" i="3"/>
  <c r="AA107" i="3"/>
  <c r="Z107" i="3"/>
  <c r="AB106" i="3"/>
  <c r="AA106" i="3"/>
  <c r="Z106" i="3"/>
  <c r="AB105" i="3"/>
  <c r="AA105" i="3"/>
  <c r="Z105" i="3"/>
  <c r="AB104" i="3"/>
  <c r="AA104" i="3"/>
  <c r="Z104" i="3"/>
  <c r="AB103" i="3"/>
  <c r="AA103" i="3"/>
  <c r="Z103" i="3"/>
  <c r="AB102" i="3"/>
  <c r="AA102" i="3"/>
  <c r="Z102" i="3"/>
  <c r="AB101" i="3"/>
  <c r="AA101" i="3"/>
  <c r="Z101" i="3"/>
  <c r="AB100" i="3"/>
  <c r="AA100" i="3"/>
  <c r="Z100" i="3"/>
  <c r="AB99" i="3"/>
  <c r="AA99" i="3"/>
  <c r="Z99" i="3"/>
  <c r="AB98" i="3"/>
  <c r="AA98" i="3"/>
  <c r="Z98" i="3"/>
  <c r="AB97" i="3"/>
  <c r="AA97" i="3"/>
  <c r="Z97" i="3"/>
  <c r="AB96" i="3"/>
  <c r="AA96" i="3"/>
  <c r="Z96" i="3"/>
  <c r="AB95" i="3"/>
  <c r="AA95" i="3"/>
  <c r="Z95" i="3"/>
  <c r="AB94" i="3"/>
  <c r="AA94" i="3"/>
  <c r="Z94" i="3"/>
  <c r="AB93" i="3"/>
  <c r="AA93" i="3"/>
  <c r="Z93" i="3"/>
  <c r="AB92" i="3"/>
  <c r="AA92" i="3"/>
  <c r="Z92" i="3"/>
  <c r="AB91" i="3"/>
  <c r="AA91" i="3"/>
  <c r="Z91" i="3"/>
  <c r="AB90" i="3"/>
  <c r="AA90" i="3"/>
  <c r="Z90" i="3"/>
  <c r="AB89" i="3"/>
  <c r="AA89" i="3"/>
  <c r="Z89" i="3"/>
  <c r="AB88" i="3"/>
  <c r="AA88" i="3"/>
  <c r="Z88" i="3"/>
  <c r="AB87" i="3"/>
  <c r="AA87" i="3"/>
  <c r="Z87" i="3"/>
  <c r="AB86" i="3"/>
  <c r="AA86" i="3"/>
  <c r="Z86" i="3"/>
  <c r="AB85" i="3"/>
  <c r="AA85" i="3"/>
  <c r="Z85" i="3"/>
  <c r="AB84" i="3"/>
  <c r="AA84" i="3"/>
  <c r="Z84" i="3"/>
  <c r="AB83" i="3"/>
  <c r="AA83" i="3"/>
  <c r="Z83" i="3"/>
  <c r="AB82" i="3"/>
  <c r="AA82" i="3"/>
  <c r="Z82" i="3"/>
  <c r="AB81" i="3"/>
  <c r="AA81" i="3"/>
  <c r="Z81" i="3"/>
  <c r="AB80" i="3"/>
  <c r="AA80" i="3"/>
  <c r="Z80" i="3"/>
  <c r="AB79" i="3"/>
  <c r="AA79" i="3"/>
  <c r="Z79" i="3"/>
  <c r="AB78" i="3"/>
  <c r="AA78" i="3"/>
  <c r="Z78" i="3"/>
  <c r="AB77" i="3"/>
  <c r="AA77" i="3"/>
  <c r="Z77" i="3"/>
  <c r="AB76" i="3"/>
  <c r="AA76" i="3"/>
  <c r="Z76" i="3"/>
  <c r="AB75" i="3"/>
  <c r="AA75" i="3"/>
  <c r="Z75" i="3"/>
  <c r="AB74" i="3"/>
  <c r="AA74" i="3"/>
  <c r="Z74" i="3"/>
  <c r="AB73" i="3"/>
  <c r="AA73" i="3"/>
  <c r="Z73" i="3"/>
  <c r="AB72" i="3"/>
  <c r="AA72" i="3"/>
  <c r="Z72" i="3"/>
  <c r="AB71" i="3"/>
  <c r="AA71" i="3"/>
  <c r="Z71" i="3"/>
  <c r="AB70" i="3"/>
  <c r="AA70" i="3"/>
  <c r="Z70" i="3"/>
  <c r="AB69" i="3"/>
  <c r="AA69" i="3"/>
  <c r="Z69" i="3"/>
  <c r="AB68" i="3"/>
  <c r="AA68" i="3"/>
  <c r="Z68" i="3"/>
  <c r="AB67" i="3"/>
  <c r="AA67" i="3"/>
  <c r="Z67" i="3"/>
  <c r="AB66" i="3"/>
  <c r="AA66" i="3"/>
  <c r="Z66" i="3"/>
  <c r="AB65" i="3"/>
  <c r="AA65" i="3"/>
  <c r="Z65" i="3"/>
  <c r="AB64" i="3"/>
  <c r="AA64" i="3"/>
  <c r="Z64" i="3"/>
  <c r="AB63" i="3"/>
  <c r="AA63" i="3"/>
  <c r="Z63" i="3"/>
  <c r="AB62" i="3"/>
  <c r="AA62" i="3"/>
  <c r="Z62" i="3"/>
  <c r="AB61" i="3"/>
  <c r="AA61" i="3"/>
  <c r="Z61" i="3"/>
  <c r="AB60" i="3"/>
  <c r="AA60" i="3"/>
  <c r="Z60" i="3"/>
  <c r="AB59" i="3"/>
  <c r="AA59" i="3"/>
  <c r="Z59" i="3"/>
  <c r="AB58" i="3"/>
  <c r="AA58" i="3"/>
  <c r="Z58" i="3"/>
  <c r="AB57" i="3"/>
  <c r="AA57" i="3"/>
  <c r="Z57" i="3"/>
  <c r="AB56" i="3"/>
  <c r="AA56" i="3"/>
  <c r="Z56" i="3"/>
  <c r="AB55" i="3"/>
  <c r="AA55" i="3"/>
  <c r="Z55" i="3"/>
  <c r="AB54" i="3"/>
  <c r="AA54" i="3"/>
  <c r="Z54" i="3"/>
  <c r="AB53" i="3"/>
  <c r="AA53" i="3"/>
  <c r="Z53" i="3"/>
  <c r="AB52" i="3"/>
  <c r="AA52" i="3"/>
  <c r="Z52" i="3"/>
  <c r="AB51" i="3"/>
  <c r="AA51" i="3"/>
  <c r="Z51" i="3"/>
  <c r="AB50" i="3"/>
  <c r="AA50" i="3"/>
  <c r="Z50" i="3"/>
  <c r="AB49" i="3"/>
  <c r="AA49" i="3"/>
  <c r="Z49" i="3"/>
  <c r="AB48" i="3"/>
  <c r="AA48" i="3"/>
  <c r="Z48" i="3"/>
  <c r="AB47" i="3"/>
  <c r="AA47" i="3"/>
  <c r="Z47" i="3"/>
  <c r="AB46" i="3"/>
  <c r="AA46" i="3"/>
  <c r="Z46" i="3"/>
  <c r="AB45" i="3"/>
  <c r="AA45" i="3"/>
  <c r="Z45" i="3"/>
  <c r="AB44" i="3"/>
  <c r="AA44" i="3"/>
  <c r="Z44" i="3"/>
  <c r="AB43" i="3"/>
  <c r="AA43" i="3"/>
  <c r="Z43" i="3"/>
  <c r="AB42" i="3"/>
  <c r="AA42" i="3"/>
  <c r="Z42" i="3"/>
  <c r="AB41" i="3"/>
  <c r="AA41" i="3"/>
  <c r="Z41" i="3"/>
  <c r="AB40" i="3"/>
  <c r="AA40" i="3"/>
  <c r="Z40" i="3"/>
  <c r="AB39" i="3"/>
  <c r="AA39" i="3"/>
  <c r="Z39" i="3"/>
  <c r="AB38" i="3"/>
  <c r="AA38" i="3"/>
  <c r="Z38" i="3"/>
  <c r="AB37" i="3"/>
  <c r="AA37" i="3"/>
  <c r="Z37" i="3"/>
  <c r="AB36" i="3"/>
  <c r="AA36" i="3"/>
  <c r="Z36" i="3"/>
  <c r="AB35" i="3"/>
  <c r="AA35" i="3"/>
  <c r="Z35" i="3"/>
  <c r="AB34" i="3"/>
  <c r="AA34" i="3"/>
  <c r="Z34" i="3"/>
  <c r="AB33" i="3"/>
  <c r="AA33" i="3"/>
  <c r="Z33" i="3"/>
  <c r="AB32" i="3"/>
  <c r="AA32" i="3"/>
  <c r="Z32" i="3"/>
  <c r="AB31" i="3"/>
  <c r="AA31" i="3"/>
  <c r="Z31" i="3"/>
  <c r="AB30" i="3"/>
  <c r="AA30" i="3"/>
  <c r="Z30" i="3"/>
  <c r="AB29" i="3"/>
  <c r="AA29" i="3"/>
  <c r="Z29" i="3"/>
  <c r="AB28" i="3"/>
  <c r="AA28" i="3"/>
  <c r="Z28" i="3"/>
  <c r="AB27" i="3"/>
  <c r="AA27" i="3"/>
  <c r="Z27" i="3"/>
  <c r="AB26" i="3"/>
  <c r="AA26" i="3"/>
  <c r="Z26" i="3"/>
  <c r="AB25" i="3"/>
  <c r="AA25" i="3"/>
  <c r="Z25" i="3"/>
  <c r="AB24" i="3"/>
  <c r="AA24" i="3"/>
  <c r="Z24" i="3"/>
  <c r="AB23" i="3"/>
  <c r="AA23" i="3"/>
  <c r="Z23" i="3"/>
  <c r="AB22" i="3"/>
  <c r="AA22" i="3"/>
  <c r="Z22" i="3"/>
  <c r="AB21" i="3"/>
  <c r="AA21" i="3"/>
  <c r="Z21" i="3"/>
  <c r="AB20" i="3"/>
  <c r="AA20" i="3"/>
  <c r="Z20" i="3"/>
  <c r="AB19" i="3"/>
  <c r="AA19" i="3"/>
  <c r="Z19" i="3"/>
  <c r="AB18" i="3"/>
  <c r="AA18" i="3"/>
  <c r="Z18" i="3"/>
  <c r="AB17" i="3"/>
  <c r="AA17" i="3"/>
  <c r="Z17" i="3"/>
  <c r="AB16" i="3"/>
  <c r="AA16" i="3"/>
  <c r="Z16" i="3"/>
  <c r="AB15" i="3"/>
  <c r="AA15" i="3"/>
  <c r="Z15" i="3"/>
  <c r="AB14" i="3"/>
  <c r="AA14" i="3"/>
  <c r="Z14" i="3"/>
  <c r="AB13" i="3"/>
  <c r="AA13" i="3"/>
  <c r="Z13" i="3"/>
  <c r="AB12" i="3"/>
  <c r="AA12" i="3"/>
  <c r="Z12" i="3"/>
  <c r="AB11" i="3"/>
  <c r="AA11" i="3"/>
  <c r="Z11" i="3"/>
  <c r="AB10" i="3"/>
  <c r="AA10" i="3"/>
  <c r="Z10" i="3"/>
  <c r="AB9" i="3"/>
  <c r="AA9" i="3"/>
  <c r="Z9" i="3"/>
  <c r="AB8" i="3"/>
  <c r="AA8" i="3"/>
  <c r="Z8" i="3"/>
  <c r="AB7" i="3"/>
  <c r="AA7" i="3"/>
  <c r="Z7" i="3"/>
  <c r="AB6" i="3"/>
  <c r="AA6" i="3"/>
  <c r="Z6" i="3"/>
  <c r="AB5" i="3"/>
  <c r="AA5" i="3"/>
  <c r="Z5" i="3"/>
  <c r="AB4" i="3"/>
  <c r="AA4" i="3"/>
  <c r="Z4" i="3"/>
  <c r="AB3" i="3"/>
  <c r="AA3" i="3"/>
  <c r="Z3" i="3"/>
  <c r="AB2" i="3"/>
  <c r="AA2" i="3"/>
  <c r="Z2" i="3"/>
  <c r="AQ24" i="3"/>
  <c r="AK24" i="3" s="1"/>
  <c r="AO24" i="3"/>
  <c r="AN24" i="3"/>
  <c r="AM24" i="3"/>
  <c r="AL24" i="3"/>
  <c r="Y24" i="3"/>
  <c r="X24" i="3"/>
  <c r="Y4" i="3"/>
  <c r="X4" i="3"/>
  <c r="AQ4" i="3"/>
  <c r="AO4" i="3"/>
  <c r="AN4" i="3"/>
  <c r="AM4" i="3"/>
  <c r="AL4" i="3"/>
  <c r="AS158" i="3"/>
  <c r="AS157" i="3"/>
  <c r="AS156" i="3"/>
  <c r="AS151" i="3"/>
  <c r="AS149" i="3"/>
  <c r="AS148" i="3"/>
  <c r="AS147" i="3"/>
  <c r="AS146" i="3"/>
  <c r="AS145" i="3"/>
  <c r="AS144" i="3"/>
  <c r="AS143" i="3"/>
  <c r="AS141" i="3"/>
  <c r="AS140" i="3"/>
  <c r="AS139" i="3"/>
  <c r="AS138" i="3"/>
  <c r="AS137" i="3"/>
  <c r="AS136" i="3"/>
  <c r="AS135" i="3"/>
  <c r="AS134" i="3"/>
  <c r="AS133" i="3"/>
  <c r="AS131" i="3"/>
  <c r="AS130" i="3"/>
  <c r="AS129" i="3"/>
  <c r="AS128" i="3"/>
  <c r="AS124" i="3"/>
  <c r="AS123" i="3"/>
  <c r="AS120" i="3"/>
  <c r="AS119" i="3"/>
  <c r="AS117" i="3"/>
  <c r="AS116" i="3"/>
  <c r="AS111" i="3"/>
  <c r="AS109" i="3"/>
  <c r="AS107" i="3"/>
  <c r="AS106" i="3"/>
  <c r="AS105" i="3"/>
  <c r="AS104" i="3"/>
  <c r="AS103" i="3"/>
  <c r="AS102" i="3"/>
  <c r="AS101" i="3"/>
  <c r="AS100" i="3"/>
  <c r="AS99" i="3"/>
  <c r="AS97" i="3"/>
  <c r="AS96" i="3"/>
  <c r="AS95" i="3"/>
  <c r="AS94" i="3"/>
  <c r="AS93" i="3"/>
  <c r="AS92" i="3"/>
  <c r="AS91" i="3"/>
  <c r="AS90" i="3"/>
  <c r="AS86" i="3"/>
  <c r="AS82" i="3"/>
  <c r="AS83" i="3"/>
  <c r="AS80" i="3"/>
  <c r="AS79" i="3"/>
  <c r="AS78" i="3"/>
  <c r="AS77" i="3"/>
  <c r="AS76" i="3"/>
  <c r="AS74" i="3"/>
  <c r="AS72" i="3"/>
  <c r="AS71" i="3"/>
  <c r="AS70" i="3"/>
  <c r="AS69" i="3"/>
  <c r="AS68" i="3"/>
  <c r="AS67" i="3"/>
  <c r="AS66" i="3"/>
  <c r="AS65" i="3"/>
  <c r="AS63" i="3"/>
  <c r="AS61" i="3"/>
  <c r="AS60" i="3"/>
  <c r="AS59" i="3"/>
  <c r="AS58" i="3"/>
  <c r="AS57" i="3"/>
  <c r="AS56" i="3"/>
  <c r="AS55" i="3"/>
  <c r="AS54" i="3"/>
  <c r="AS53" i="3"/>
  <c r="AS52" i="3"/>
  <c r="AS51" i="3"/>
  <c r="AS50" i="3"/>
  <c r="AS49" i="3"/>
  <c r="AS48" i="3"/>
  <c r="AS46" i="3"/>
  <c r="AS45" i="3"/>
  <c r="AS44" i="3"/>
  <c r="AS43" i="3"/>
  <c r="AS42" i="3"/>
  <c r="AS41" i="3"/>
  <c r="AS40" i="3"/>
  <c r="AS39" i="3"/>
  <c r="AS38" i="3"/>
  <c r="AS37" i="3"/>
  <c r="AS36" i="3"/>
  <c r="AS35" i="3"/>
  <c r="AS34" i="3"/>
  <c r="AS33" i="3"/>
  <c r="AS32" i="3"/>
  <c r="AS31" i="3"/>
  <c r="AS30" i="3"/>
  <c r="AS29" i="3"/>
  <c r="AS28" i="3"/>
  <c r="AS27" i="3"/>
  <c r="AS26" i="3"/>
  <c r="AS25" i="3"/>
  <c r="AS22" i="3"/>
  <c r="AS21" i="3"/>
  <c r="AS20" i="3"/>
  <c r="AS19" i="3"/>
  <c r="AS18" i="3"/>
  <c r="AS17" i="3"/>
  <c r="AS16" i="3"/>
  <c r="AS15" i="3"/>
  <c r="AS14" i="3"/>
  <c r="AS12" i="3"/>
  <c r="AS11" i="3"/>
  <c r="AS10" i="3"/>
  <c r="AS9" i="3"/>
  <c r="AS7"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2" i="3"/>
  <c r="AO81" i="3"/>
  <c r="AO83"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3" i="3"/>
  <c r="AO22" i="3"/>
  <c r="AO21" i="3"/>
  <c r="AO20" i="3"/>
  <c r="AO19" i="3"/>
  <c r="AO18" i="3"/>
  <c r="AO17" i="3"/>
  <c r="AO16" i="3"/>
  <c r="AO15" i="3"/>
  <c r="AO14" i="3"/>
  <c r="AO13" i="3"/>
  <c r="AO12" i="3"/>
  <c r="AO11" i="3"/>
  <c r="AO10" i="3"/>
  <c r="AO9" i="3"/>
  <c r="AO8" i="3"/>
  <c r="AO7" i="3"/>
  <c r="AO6" i="3"/>
  <c r="AO5" i="3"/>
  <c r="AO3" i="3"/>
  <c r="AO2" i="3"/>
  <c r="AN159" i="3"/>
  <c r="AN158" i="3"/>
  <c r="AN157" i="3"/>
  <c r="AN156" i="3"/>
  <c r="AN155" i="3"/>
  <c r="AN154" i="3"/>
  <c r="AN153" i="3"/>
  <c r="AN152" i="3"/>
  <c r="AN151" i="3"/>
  <c r="AN150" i="3"/>
  <c r="AN149" i="3"/>
  <c r="AN148" i="3"/>
  <c r="AN147" i="3"/>
  <c r="AN146" i="3"/>
  <c r="AN145" i="3"/>
  <c r="AN144" i="3"/>
  <c r="AN143" i="3"/>
  <c r="AN142" i="3"/>
  <c r="AN141" i="3"/>
  <c r="AN140" i="3"/>
  <c r="AN139" i="3"/>
  <c r="AN138" i="3"/>
  <c r="AN137" i="3"/>
  <c r="AN136" i="3"/>
  <c r="AN135" i="3"/>
  <c r="AN134" i="3"/>
  <c r="AN133" i="3"/>
  <c r="AN132" i="3"/>
  <c r="AN131" i="3"/>
  <c r="AN130" i="3"/>
  <c r="AN129" i="3"/>
  <c r="AN128" i="3"/>
  <c r="AN127" i="3"/>
  <c r="AN126" i="3"/>
  <c r="AN125" i="3"/>
  <c r="AN124" i="3"/>
  <c r="AN123" i="3"/>
  <c r="AN122" i="3"/>
  <c r="AN121" i="3"/>
  <c r="AN120" i="3"/>
  <c r="AN119" i="3"/>
  <c r="AN118" i="3"/>
  <c r="AN117" i="3"/>
  <c r="AN116" i="3"/>
  <c r="AN115" i="3"/>
  <c r="AN114" i="3"/>
  <c r="AN113" i="3"/>
  <c r="AN112" i="3"/>
  <c r="AN111" i="3"/>
  <c r="AN110" i="3"/>
  <c r="AN109" i="3"/>
  <c r="AN108" i="3"/>
  <c r="AN107" i="3"/>
  <c r="AN106" i="3"/>
  <c r="AN105" i="3"/>
  <c r="AN104" i="3"/>
  <c r="AN103" i="3"/>
  <c r="AN102" i="3"/>
  <c r="AN101" i="3"/>
  <c r="AN100" i="3"/>
  <c r="AN99" i="3"/>
  <c r="AN98" i="3"/>
  <c r="AN97" i="3"/>
  <c r="AN96" i="3"/>
  <c r="AN95" i="3"/>
  <c r="AN94" i="3"/>
  <c r="AN93" i="3"/>
  <c r="AN92" i="3"/>
  <c r="AN91" i="3"/>
  <c r="AN90" i="3"/>
  <c r="AN89" i="3"/>
  <c r="AN88" i="3"/>
  <c r="AN87" i="3"/>
  <c r="AN86" i="3"/>
  <c r="AN85" i="3"/>
  <c r="AN84" i="3"/>
  <c r="AN82" i="3"/>
  <c r="AN81" i="3"/>
  <c r="AN83" i="3"/>
  <c r="AN80" i="3"/>
  <c r="AN79" i="3"/>
  <c r="AN78" i="3"/>
  <c r="AN77" i="3"/>
  <c r="AN76" i="3"/>
  <c r="AN75" i="3"/>
  <c r="AN74" i="3"/>
  <c r="AN73" i="3"/>
  <c r="AN72" i="3"/>
  <c r="AN71" i="3"/>
  <c r="AN70" i="3"/>
  <c r="AN69" i="3"/>
  <c r="AN68" i="3"/>
  <c r="AN67" i="3"/>
  <c r="AN66" i="3"/>
  <c r="AN65" i="3"/>
  <c r="AN64" i="3"/>
  <c r="AN63" i="3"/>
  <c r="AN62" i="3"/>
  <c r="AN61" i="3"/>
  <c r="AN60" i="3"/>
  <c r="AN59" i="3"/>
  <c r="AN58" i="3"/>
  <c r="AN57" i="3"/>
  <c r="AN56" i="3"/>
  <c r="AN55" i="3"/>
  <c r="AN54" i="3"/>
  <c r="AN53" i="3"/>
  <c r="AN52" i="3"/>
  <c r="AN51" i="3"/>
  <c r="AN50" i="3"/>
  <c r="AN49" i="3"/>
  <c r="AN48" i="3"/>
  <c r="AN47" i="3"/>
  <c r="AN46" i="3"/>
  <c r="AN45" i="3"/>
  <c r="AN44" i="3"/>
  <c r="AN43" i="3"/>
  <c r="AN42" i="3"/>
  <c r="AN41" i="3"/>
  <c r="AN40" i="3"/>
  <c r="AN39" i="3"/>
  <c r="AN38" i="3"/>
  <c r="AN37" i="3"/>
  <c r="AN36" i="3"/>
  <c r="AN35" i="3"/>
  <c r="AN34" i="3"/>
  <c r="AN33" i="3"/>
  <c r="AN32" i="3"/>
  <c r="AN31" i="3"/>
  <c r="AN30" i="3"/>
  <c r="AN29" i="3"/>
  <c r="AN28" i="3"/>
  <c r="AN27" i="3"/>
  <c r="AN26" i="3"/>
  <c r="AN25" i="3"/>
  <c r="AN23" i="3"/>
  <c r="AN22" i="3"/>
  <c r="AN21" i="3"/>
  <c r="AN20" i="3"/>
  <c r="AN19" i="3"/>
  <c r="AN18" i="3"/>
  <c r="AN17" i="3"/>
  <c r="AN16" i="3"/>
  <c r="AN15" i="3"/>
  <c r="AN14" i="3"/>
  <c r="AN13" i="3"/>
  <c r="AN12" i="3"/>
  <c r="AN11" i="3"/>
  <c r="AN10" i="3"/>
  <c r="AN9" i="3"/>
  <c r="AN8" i="3"/>
  <c r="AN7" i="3"/>
  <c r="AN6" i="3"/>
  <c r="AN5" i="3"/>
  <c r="AN3" i="3"/>
  <c r="AN2" i="3"/>
  <c r="AM159" i="3"/>
  <c r="AM158" i="3"/>
  <c r="AM157" i="3"/>
  <c r="AM156" i="3"/>
  <c r="AM155" i="3"/>
  <c r="AM154" i="3"/>
  <c r="AM153" i="3"/>
  <c r="AM152" i="3"/>
  <c r="AM151" i="3"/>
  <c r="AM150" i="3"/>
  <c r="AM149" i="3"/>
  <c r="AM148" i="3"/>
  <c r="AM147" i="3"/>
  <c r="AM146" i="3"/>
  <c r="AM145" i="3"/>
  <c r="AM144" i="3"/>
  <c r="AM143" i="3"/>
  <c r="AM142" i="3"/>
  <c r="AM141" i="3"/>
  <c r="AM140" i="3"/>
  <c r="AM139" i="3"/>
  <c r="AM138" i="3"/>
  <c r="AM137" i="3"/>
  <c r="AM136" i="3"/>
  <c r="AM135" i="3"/>
  <c r="AM134" i="3"/>
  <c r="AM133" i="3"/>
  <c r="AM132" i="3"/>
  <c r="AM131" i="3"/>
  <c r="AM130" i="3"/>
  <c r="AM129" i="3"/>
  <c r="AM128" i="3"/>
  <c r="AM127" i="3"/>
  <c r="AM126" i="3"/>
  <c r="AM125" i="3"/>
  <c r="AM124" i="3"/>
  <c r="AM123" i="3"/>
  <c r="AM122" i="3"/>
  <c r="AM121" i="3"/>
  <c r="AM120" i="3"/>
  <c r="AM119" i="3"/>
  <c r="AM118" i="3"/>
  <c r="AM117" i="3"/>
  <c r="AM116" i="3"/>
  <c r="AM115" i="3"/>
  <c r="AM114" i="3"/>
  <c r="AM113" i="3"/>
  <c r="AM112" i="3"/>
  <c r="AM111" i="3"/>
  <c r="AM110" i="3"/>
  <c r="AM109" i="3"/>
  <c r="AM108" i="3"/>
  <c r="AM107" i="3"/>
  <c r="AM106" i="3"/>
  <c r="AM105" i="3"/>
  <c r="AM104" i="3"/>
  <c r="AM103" i="3"/>
  <c r="AM102" i="3"/>
  <c r="AM101" i="3"/>
  <c r="AM100" i="3"/>
  <c r="AM99" i="3"/>
  <c r="AM98" i="3"/>
  <c r="AM97" i="3"/>
  <c r="AM96" i="3"/>
  <c r="AM95" i="3"/>
  <c r="AM94" i="3"/>
  <c r="AM93" i="3"/>
  <c r="AM92" i="3"/>
  <c r="AM91" i="3"/>
  <c r="AM90" i="3"/>
  <c r="AM89" i="3"/>
  <c r="AM88" i="3"/>
  <c r="AM87" i="3"/>
  <c r="AM86" i="3"/>
  <c r="AM85" i="3"/>
  <c r="AM84" i="3"/>
  <c r="AM82" i="3"/>
  <c r="AM81" i="3"/>
  <c r="AM83" i="3"/>
  <c r="AM80" i="3"/>
  <c r="AM79" i="3"/>
  <c r="AM78" i="3"/>
  <c r="AM77" i="3"/>
  <c r="AM76" i="3"/>
  <c r="AM75" i="3"/>
  <c r="AM74" i="3"/>
  <c r="AM73" i="3"/>
  <c r="AM72" i="3"/>
  <c r="AM71" i="3"/>
  <c r="AM70" i="3"/>
  <c r="AM69" i="3"/>
  <c r="AM68" i="3"/>
  <c r="AM67" i="3"/>
  <c r="AM66" i="3"/>
  <c r="AM65" i="3"/>
  <c r="AM64" i="3"/>
  <c r="AM63" i="3"/>
  <c r="AM62" i="3"/>
  <c r="AM61" i="3"/>
  <c r="AM60" i="3"/>
  <c r="AM59" i="3"/>
  <c r="AM58" i="3"/>
  <c r="AM57" i="3"/>
  <c r="AM56" i="3"/>
  <c r="AM55" i="3"/>
  <c r="AM54" i="3"/>
  <c r="AM53" i="3"/>
  <c r="AM52" i="3"/>
  <c r="AM51" i="3"/>
  <c r="AM50" i="3"/>
  <c r="AM49" i="3"/>
  <c r="AM48" i="3"/>
  <c r="AM47" i="3"/>
  <c r="AM46" i="3"/>
  <c r="AM45" i="3"/>
  <c r="AM44" i="3"/>
  <c r="AM43" i="3"/>
  <c r="AM42" i="3"/>
  <c r="AM41" i="3"/>
  <c r="AM40" i="3"/>
  <c r="AM39" i="3"/>
  <c r="AM38" i="3"/>
  <c r="AM37" i="3"/>
  <c r="AM36" i="3"/>
  <c r="AM35" i="3"/>
  <c r="AM34" i="3"/>
  <c r="AM33" i="3"/>
  <c r="AM32" i="3"/>
  <c r="AM31" i="3"/>
  <c r="AM30" i="3"/>
  <c r="AM29" i="3"/>
  <c r="AM28" i="3"/>
  <c r="AM27" i="3"/>
  <c r="AM26" i="3"/>
  <c r="AM25" i="3"/>
  <c r="AM23" i="3"/>
  <c r="AM22" i="3"/>
  <c r="AM21" i="3"/>
  <c r="AM20" i="3"/>
  <c r="AM19" i="3"/>
  <c r="AM18" i="3"/>
  <c r="AM17" i="3"/>
  <c r="AM16" i="3"/>
  <c r="AM15" i="3"/>
  <c r="AM14" i="3"/>
  <c r="AM13" i="3"/>
  <c r="AM12" i="3"/>
  <c r="AM11" i="3"/>
  <c r="AM10" i="3"/>
  <c r="AM9" i="3"/>
  <c r="AM8" i="3"/>
  <c r="AM7" i="3"/>
  <c r="AM6" i="3"/>
  <c r="AM5" i="3"/>
  <c r="AM3" i="3"/>
  <c r="AM2" i="3"/>
  <c r="AL120" i="3"/>
  <c r="AL119" i="3"/>
  <c r="AL118" i="3"/>
  <c r="AL117" i="3"/>
  <c r="AL116" i="3"/>
  <c r="AL115" i="3"/>
  <c r="AL114" i="3"/>
  <c r="AL113" i="3"/>
  <c r="AL112" i="3"/>
  <c r="AL111" i="3"/>
  <c r="AL110" i="3"/>
  <c r="AL109" i="3"/>
  <c r="AL108" i="3"/>
  <c r="AL107" i="3"/>
  <c r="AL106" i="3"/>
  <c r="AL105" i="3"/>
  <c r="AL104" i="3"/>
  <c r="AL103" i="3"/>
  <c r="AL102" i="3"/>
  <c r="AL101" i="3"/>
  <c r="AL100" i="3"/>
  <c r="AL99" i="3"/>
  <c r="AL98" i="3"/>
  <c r="AL97" i="3"/>
  <c r="AL96" i="3"/>
  <c r="AL95" i="3"/>
  <c r="AL94" i="3"/>
  <c r="AL93" i="3"/>
  <c r="AL92" i="3"/>
  <c r="AL91" i="3"/>
  <c r="AL90" i="3"/>
  <c r="AL89" i="3"/>
  <c r="AL88" i="3"/>
  <c r="AL87" i="3"/>
  <c r="AL86" i="3"/>
  <c r="AL85" i="3"/>
  <c r="AL84" i="3"/>
  <c r="AL82" i="3"/>
  <c r="AL81" i="3"/>
  <c r="AL83" i="3"/>
  <c r="AL80" i="3"/>
  <c r="AL79" i="3"/>
  <c r="AL78" i="3"/>
  <c r="AL77" i="3"/>
  <c r="AL76" i="3"/>
  <c r="AL75" i="3"/>
  <c r="AL74" i="3"/>
  <c r="AL73" i="3"/>
  <c r="AL72" i="3"/>
  <c r="AL71" i="3"/>
  <c r="AL70" i="3"/>
  <c r="AL69" i="3"/>
  <c r="AL68" i="3"/>
  <c r="AL67" i="3"/>
  <c r="AL66" i="3"/>
  <c r="AL65" i="3"/>
  <c r="AL64" i="3"/>
  <c r="AL63" i="3"/>
  <c r="AL62" i="3"/>
  <c r="AL61" i="3"/>
  <c r="AL60" i="3"/>
  <c r="AL59" i="3"/>
  <c r="AL58" i="3"/>
  <c r="AL57" i="3"/>
  <c r="AL56" i="3"/>
  <c r="AL55" i="3"/>
  <c r="AL54" i="3"/>
  <c r="AL53" i="3"/>
  <c r="AL52" i="3"/>
  <c r="AL51" i="3"/>
  <c r="AL50" i="3"/>
  <c r="AL49" i="3"/>
  <c r="AL48" i="3"/>
  <c r="AL47" i="3"/>
  <c r="AL46" i="3"/>
  <c r="AL45" i="3"/>
  <c r="AL44" i="3"/>
  <c r="AL43" i="3"/>
  <c r="AL42" i="3"/>
  <c r="AL41" i="3"/>
  <c r="AL40" i="3"/>
  <c r="AL39" i="3"/>
  <c r="AL38" i="3"/>
  <c r="AL37" i="3"/>
  <c r="AL36" i="3"/>
  <c r="AL35" i="3"/>
  <c r="AL34" i="3"/>
  <c r="AL33" i="3"/>
  <c r="AL32" i="3"/>
  <c r="AL31" i="3"/>
  <c r="AL30" i="3"/>
  <c r="AL29" i="3"/>
  <c r="AL28" i="3"/>
  <c r="AL27" i="3"/>
  <c r="AL26" i="3"/>
  <c r="AL25" i="3"/>
  <c r="AL23" i="3"/>
  <c r="AL22" i="3"/>
  <c r="AL21" i="3"/>
  <c r="AL20" i="3"/>
  <c r="AL19" i="3"/>
  <c r="AL18" i="3"/>
  <c r="AL17" i="3"/>
  <c r="AL16" i="3"/>
  <c r="AL15" i="3"/>
  <c r="AL14" i="3"/>
  <c r="AL13" i="3"/>
  <c r="AL12" i="3"/>
  <c r="AL11" i="3"/>
  <c r="AL10" i="3"/>
  <c r="AL9" i="3"/>
  <c r="AL8" i="3"/>
  <c r="AL7" i="3"/>
  <c r="AL6" i="3"/>
  <c r="AL5" i="3"/>
  <c r="AL3" i="3"/>
  <c r="AL2" i="3"/>
  <c r="AL159" i="3"/>
  <c r="AL158" i="3"/>
  <c r="AL157" i="3"/>
  <c r="AL156" i="3"/>
  <c r="AL155" i="3"/>
  <c r="AL154" i="3"/>
  <c r="AL153" i="3"/>
  <c r="AL152" i="3"/>
  <c r="AL151" i="3"/>
  <c r="AL150" i="3"/>
  <c r="AL149" i="3"/>
  <c r="AL148" i="3"/>
  <c r="AL147" i="3"/>
  <c r="AL146" i="3"/>
  <c r="AL145" i="3"/>
  <c r="AL144" i="3"/>
  <c r="AL143" i="3"/>
  <c r="AL142" i="3"/>
  <c r="AL141" i="3"/>
  <c r="AL140" i="3"/>
  <c r="AL139" i="3"/>
  <c r="AL138" i="3"/>
  <c r="AL137" i="3"/>
  <c r="AL136" i="3"/>
  <c r="AL135" i="3"/>
  <c r="AL134" i="3"/>
  <c r="AL133" i="3"/>
  <c r="AL132" i="3"/>
  <c r="AL131" i="3"/>
  <c r="AL130" i="3"/>
  <c r="AL129" i="3"/>
  <c r="AL128" i="3"/>
  <c r="AL127" i="3"/>
  <c r="AL126" i="3"/>
  <c r="AL125" i="3"/>
  <c r="AL124" i="3"/>
  <c r="AL123" i="3"/>
  <c r="AL122" i="3"/>
  <c r="AL121" i="3"/>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AQ159" i="3"/>
  <c r="Y159" i="3"/>
  <c r="X159" i="3"/>
  <c r="Y158" i="3"/>
  <c r="Y157" i="3"/>
  <c r="Y156" i="3"/>
  <c r="Y155" i="3"/>
  <c r="Y154" i="3"/>
  <c r="Y153" i="3"/>
  <c r="Y152" i="3"/>
  <c r="Y151" i="3"/>
  <c r="Y150" i="3"/>
  <c r="Y149" i="3"/>
  <c r="Y148" i="3"/>
  <c r="Y147" i="3"/>
  <c r="Y146" i="3"/>
  <c r="Y145" i="3"/>
  <c r="Y144" i="3"/>
  <c r="Y143" i="3"/>
  <c r="Y142" i="3"/>
  <c r="Y141" i="3"/>
  <c r="Y140" i="3"/>
  <c r="Y139" i="3"/>
  <c r="Y138" i="3"/>
  <c r="Y137" i="3"/>
  <c r="Y136" i="3"/>
  <c r="Y135" i="3"/>
  <c r="Y134" i="3"/>
  <c r="Y133" i="3"/>
  <c r="Y132" i="3"/>
  <c r="Y131" i="3"/>
  <c r="Y130" i="3"/>
  <c r="Y129" i="3"/>
  <c r="Y12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97" i="3"/>
  <c r="Y96" i="3"/>
  <c r="Y95" i="3"/>
  <c r="Y94" i="3"/>
  <c r="Y93" i="3"/>
  <c r="Y92" i="3"/>
  <c r="Y91" i="3"/>
  <c r="Y90" i="3"/>
  <c r="Y89" i="3"/>
  <c r="Y88" i="3"/>
  <c r="Y87" i="3"/>
  <c r="Y86" i="3"/>
  <c r="Y85" i="3"/>
  <c r="Y84" i="3"/>
  <c r="Y82" i="3"/>
  <c r="Y81" i="3"/>
  <c r="Y83" i="3"/>
  <c r="Y80" i="3"/>
  <c r="Y79" i="3"/>
  <c r="Y78" i="3"/>
  <c r="Y77" i="3"/>
  <c r="Y76" i="3"/>
  <c r="Y75" i="3"/>
  <c r="Y74" i="3"/>
  <c r="Y73" i="3"/>
  <c r="Y72" i="3"/>
  <c r="Y71" i="3"/>
  <c r="Y70" i="3"/>
  <c r="Y69" i="3"/>
  <c r="Y68" i="3"/>
  <c r="Y67" i="3"/>
  <c r="Y66" i="3"/>
  <c r="Y65" i="3"/>
  <c r="Y64" i="3"/>
  <c r="Y63" i="3"/>
  <c r="Y61" i="3"/>
  <c r="Y60" i="3"/>
  <c r="Y59" i="3"/>
  <c r="Y58" i="3"/>
  <c r="Y57" i="3"/>
  <c r="Y56" i="3"/>
  <c r="Y55" i="3"/>
  <c r="Y54" i="3"/>
  <c r="Y53" i="3"/>
  <c r="Y52" i="3"/>
  <c r="Y51" i="3"/>
  <c r="Y50" i="3"/>
  <c r="Y49" i="3"/>
  <c r="Y48" i="3"/>
  <c r="Y47" i="3"/>
  <c r="Y46" i="3"/>
  <c r="Y45" i="3"/>
  <c r="Y44" i="3"/>
  <c r="Y43" i="3"/>
  <c r="Y42" i="3"/>
  <c r="Y41" i="3"/>
  <c r="Y40" i="3"/>
  <c r="Y39" i="3"/>
  <c r="Y38" i="3"/>
  <c r="Y37" i="3"/>
  <c r="Y36" i="3"/>
  <c r="Y35" i="3"/>
  <c r="Y34" i="3"/>
  <c r="Y33" i="3"/>
  <c r="Y32" i="3"/>
  <c r="Y31" i="3"/>
  <c r="Y30" i="3"/>
  <c r="Y29" i="3"/>
  <c r="Y28" i="3"/>
  <c r="Y27" i="3"/>
  <c r="Y26" i="3"/>
  <c r="Y25" i="3"/>
  <c r="Y23" i="3"/>
  <c r="Y22" i="3"/>
  <c r="Y21" i="3"/>
  <c r="Y20" i="3"/>
  <c r="Y19" i="3"/>
  <c r="Y18" i="3"/>
  <c r="Y17" i="3"/>
  <c r="Y16" i="3"/>
  <c r="Y15" i="3"/>
  <c r="Y14" i="3"/>
  <c r="Y13" i="3"/>
  <c r="Y12" i="3"/>
  <c r="Y11" i="3"/>
  <c r="Y10" i="3"/>
  <c r="Y9" i="3"/>
  <c r="Y8" i="3"/>
  <c r="Y7" i="3"/>
  <c r="Y6" i="3"/>
  <c r="Y5" i="3"/>
  <c r="Y3" i="3"/>
  <c r="Y2" i="3"/>
  <c r="AQ155" i="3"/>
  <c r="X158" i="3"/>
  <c r="X157" i="3"/>
  <c r="X156" i="3"/>
  <c r="X154" i="3"/>
  <c r="X153" i="3"/>
  <c r="X152" i="3"/>
  <c r="X151" i="3"/>
  <c r="X150" i="3"/>
  <c r="X149" i="3"/>
  <c r="X148" i="3"/>
  <c r="X147" i="3"/>
  <c r="X146" i="3"/>
  <c r="X145" i="3"/>
  <c r="X144" i="3"/>
  <c r="X143" i="3"/>
  <c r="X142" i="3"/>
  <c r="X141" i="3"/>
  <c r="X140" i="3"/>
  <c r="X139" i="3"/>
  <c r="X138" i="3"/>
  <c r="X137" i="3"/>
  <c r="X136" i="3"/>
  <c r="X135" i="3"/>
  <c r="X134" i="3"/>
  <c r="X133" i="3"/>
  <c r="X132" i="3"/>
  <c r="X131" i="3"/>
  <c r="X130" i="3"/>
  <c r="X129" i="3"/>
  <c r="X128" i="3"/>
  <c r="X127" i="3"/>
  <c r="X126" i="3"/>
  <c r="X125" i="3"/>
  <c r="X124" i="3"/>
  <c r="X123" i="3"/>
  <c r="X122" i="3"/>
  <c r="X121" i="3"/>
  <c r="X120" i="3"/>
  <c r="X119" i="3"/>
  <c r="X118" i="3"/>
  <c r="X117" i="3"/>
  <c r="X116" i="3"/>
  <c r="X115" i="3"/>
  <c r="X114" i="3"/>
  <c r="X113" i="3"/>
  <c r="X112" i="3"/>
  <c r="X111" i="3"/>
  <c r="X110" i="3"/>
  <c r="X109" i="3"/>
  <c r="X108" i="3"/>
  <c r="X107" i="3"/>
  <c r="X106" i="3"/>
  <c r="X105" i="3"/>
  <c r="X104" i="3"/>
  <c r="X103" i="3"/>
  <c r="X102" i="3"/>
  <c r="X101" i="3"/>
  <c r="X100" i="3"/>
  <c r="X99" i="3"/>
  <c r="X98" i="3"/>
  <c r="X97" i="3"/>
  <c r="X96" i="3"/>
  <c r="X95" i="3"/>
  <c r="X94" i="3"/>
  <c r="X93" i="3"/>
  <c r="X92" i="3"/>
  <c r="X91" i="3"/>
  <c r="X90" i="3"/>
  <c r="X89" i="3"/>
  <c r="X88" i="3"/>
  <c r="X87" i="3"/>
  <c r="X86" i="3"/>
  <c r="X85" i="3"/>
  <c r="X84" i="3"/>
  <c r="X82" i="3"/>
  <c r="X81" i="3"/>
  <c r="X83" i="3"/>
  <c r="X80" i="3"/>
  <c r="X79" i="3"/>
  <c r="X78" i="3"/>
  <c r="X77" i="3"/>
  <c r="X76" i="3"/>
  <c r="X75" i="3"/>
  <c r="X74" i="3"/>
  <c r="X73" i="3"/>
  <c r="X72" i="3"/>
  <c r="X71" i="3"/>
  <c r="X70" i="3"/>
  <c r="X69" i="3"/>
  <c r="X68" i="3"/>
  <c r="X67" i="3"/>
  <c r="X66" i="3"/>
  <c r="X65" i="3"/>
  <c r="X64" i="3"/>
  <c r="X63" i="3"/>
  <c r="X62" i="3"/>
  <c r="X61" i="3"/>
  <c r="X60" i="3"/>
  <c r="X59" i="3"/>
  <c r="X58" i="3"/>
  <c r="X57" i="3"/>
  <c r="X56" i="3"/>
  <c r="X55" i="3"/>
  <c r="X54" i="3"/>
  <c r="X53" i="3"/>
  <c r="X52" i="3"/>
  <c r="X51" i="3"/>
  <c r="X50" i="3"/>
  <c r="X49" i="3"/>
  <c r="X48" i="3"/>
  <c r="X47" i="3"/>
  <c r="X46" i="3"/>
  <c r="X45" i="3"/>
  <c r="X44" i="3"/>
  <c r="X43" i="3"/>
  <c r="X42" i="3"/>
  <c r="X41" i="3"/>
  <c r="X40" i="3"/>
  <c r="X39" i="3"/>
  <c r="X38" i="3"/>
  <c r="X37" i="3"/>
  <c r="X36" i="3"/>
  <c r="X35" i="3"/>
  <c r="X34" i="3"/>
  <c r="X33" i="3"/>
  <c r="X32" i="3"/>
  <c r="X31" i="3"/>
  <c r="X30" i="3"/>
  <c r="X29" i="3"/>
  <c r="X28" i="3"/>
  <c r="X27" i="3"/>
  <c r="X26" i="3"/>
  <c r="X25" i="3"/>
  <c r="X23" i="3"/>
  <c r="X22" i="3"/>
  <c r="X21" i="3"/>
  <c r="X20" i="3"/>
  <c r="X19" i="3"/>
  <c r="X18" i="3"/>
  <c r="X17" i="3"/>
  <c r="X16" i="3"/>
  <c r="X15" i="3"/>
  <c r="X14" i="3"/>
  <c r="X13" i="3"/>
  <c r="X12" i="3"/>
  <c r="X11" i="3"/>
  <c r="X10" i="3"/>
  <c r="X9" i="3"/>
  <c r="X8" i="3"/>
  <c r="X7" i="3"/>
  <c r="X6" i="3"/>
  <c r="X5" i="3"/>
  <c r="X3" i="3"/>
  <c r="X2" i="3"/>
  <c r="X155" i="3"/>
  <c r="AQ126" i="3"/>
  <c r="AQ125" i="3"/>
  <c r="AQ124" i="3"/>
  <c r="AQ123" i="3"/>
  <c r="AQ122" i="3"/>
  <c r="AQ121" i="3"/>
  <c r="AQ120" i="3"/>
  <c r="AQ119" i="3"/>
  <c r="AQ118" i="3"/>
  <c r="AQ117" i="3"/>
  <c r="AQ116" i="3"/>
  <c r="AQ115" i="3"/>
  <c r="AQ114" i="3"/>
  <c r="AQ113" i="3"/>
  <c r="AQ112" i="3"/>
  <c r="AQ111" i="3"/>
  <c r="AQ110" i="3"/>
  <c r="AQ109" i="3"/>
  <c r="AQ108" i="3"/>
  <c r="AQ107" i="3"/>
  <c r="AQ106" i="3"/>
  <c r="AQ105" i="3"/>
  <c r="AQ104" i="3"/>
  <c r="AQ103" i="3"/>
  <c r="AQ102" i="3"/>
  <c r="AQ101" i="3"/>
  <c r="AQ100" i="3"/>
  <c r="AQ99" i="3"/>
  <c r="AQ98" i="3"/>
  <c r="AQ97" i="3"/>
  <c r="AQ96" i="3"/>
  <c r="AQ95" i="3"/>
  <c r="AQ94" i="3"/>
  <c r="AQ93" i="3"/>
  <c r="AQ92" i="3"/>
  <c r="AQ91" i="3"/>
  <c r="AQ90" i="3"/>
  <c r="AQ89" i="3"/>
  <c r="AQ88" i="3"/>
  <c r="AQ87" i="3"/>
  <c r="AQ86" i="3"/>
  <c r="AQ85" i="3"/>
  <c r="AQ84" i="3"/>
  <c r="AQ82" i="3"/>
  <c r="AQ81" i="3"/>
  <c r="AQ83" i="3"/>
  <c r="AQ80" i="3"/>
  <c r="AQ79" i="3"/>
  <c r="AQ78" i="3"/>
  <c r="AQ77" i="3"/>
  <c r="AQ76" i="3"/>
  <c r="AQ75" i="3"/>
  <c r="AQ74" i="3"/>
  <c r="AQ73" i="3"/>
  <c r="AQ72" i="3"/>
  <c r="AQ71" i="3"/>
  <c r="AQ70" i="3"/>
  <c r="AQ69" i="3"/>
  <c r="AQ68" i="3"/>
  <c r="AQ67" i="3"/>
  <c r="AQ66" i="3"/>
  <c r="AQ65" i="3"/>
  <c r="AQ64" i="3"/>
  <c r="AQ63" i="3"/>
  <c r="AQ62" i="3"/>
  <c r="AQ61" i="3"/>
  <c r="AQ60" i="3"/>
  <c r="AQ59" i="3"/>
  <c r="AQ58" i="3"/>
  <c r="AQ57" i="3"/>
  <c r="AQ56" i="3"/>
  <c r="AQ55" i="3"/>
  <c r="AQ54" i="3"/>
  <c r="AQ53" i="3"/>
  <c r="AQ52" i="3"/>
  <c r="AQ51" i="3"/>
  <c r="AQ50" i="3"/>
  <c r="AQ49" i="3"/>
  <c r="AQ48" i="3"/>
  <c r="AQ47" i="3"/>
  <c r="AQ46" i="3"/>
  <c r="AQ45" i="3"/>
  <c r="AQ44" i="3"/>
  <c r="AQ43" i="3"/>
  <c r="AQ42" i="3"/>
  <c r="AQ41" i="3"/>
  <c r="AQ40" i="3"/>
  <c r="AQ39" i="3"/>
  <c r="AQ38" i="3"/>
  <c r="AQ37" i="3"/>
  <c r="AQ36" i="3"/>
  <c r="AQ35" i="3"/>
  <c r="AQ34" i="3"/>
  <c r="AQ33" i="3"/>
  <c r="AQ32" i="3"/>
  <c r="AQ31" i="3"/>
  <c r="AQ30" i="3"/>
  <c r="AQ29" i="3"/>
  <c r="AQ28" i="3"/>
  <c r="AQ27" i="3"/>
  <c r="AQ26" i="3"/>
  <c r="AQ25" i="3"/>
  <c r="AQ23" i="3"/>
  <c r="AQ22" i="3"/>
  <c r="AQ21" i="3"/>
  <c r="AQ20" i="3"/>
  <c r="AQ19" i="3"/>
  <c r="AQ18" i="3"/>
  <c r="AQ17" i="3"/>
  <c r="AQ16" i="3"/>
  <c r="AQ15" i="3"/>
  <c r="AQ14" i="3"/>
  <c r="AQ13" i="3"/>
  <c r="AQ12" i="3"/>
  <c r="AQ11" i="3"/>
  <c r="AQ10" i="3"/>
  <c r="AQ9" i="3"/>
  <c r="AQ8" i="3"/>
  <c r="AQ7" i="3"/>
  <c r="AQ6" i="3"/>
  <c r="AQ5" i="3"/>
  <c r="AQ3" i="3"/>
  <c r="AQ2" i="3"/>
  <c r="AQ158" i="3"/>
  <c r="AQ157" i="3"/>
  <c r="AQ156" i="3"/>
  <c r="AQ154" i="3"/>
  <c r="AQ153" i="3"/>
  <c r="AQ152" i="3"/>
  <c r="AQ151" i="3"/>
  <c r="AQ150" i="3"/>
  <c r="AQ149" i="3"/>
  <c r="AQ148" i="3"/>
  <c r="AQ147" i="3"/>
  <c r="AQ146" i="3"/>
  <c r="AQ145" i="3"/>
  <c r="AQ144" i="3"/>
  <c r="AQ143" i="3"/>
  <c r="AQ142" i="3"/>
  <c r="AQ141" i="3"/>
  <c r="AQ140" i="3"/>
  <c r="AQ139" i="3"/>
  <c r="AQ138" i="3"/>
  <c r="AQ137" i="3"/>
  <c r="AQ136" i="3"/>
  <c r="AQ135" i="3"/>
  <c r="AQ134" i="3"/>
  <c r="AQ133" i="3"/>
  <c r="AQ132" i="3"/>
  <c r="AQ131" i="3"/>
  <c r="AQ130" i="3"/>
  <c r="AQ129" i="3"/>
  <c r="AQ128" i="3"/>
  <c r="AQ127" i="3"/>
  <c r="AI142" i="3"/>
  <c r="AI13" i="3"/>
  <c r="AC164" i="3"/>
  <c r="AD113" i="3"/>
  <c r="AI87" i="3"/>
  <c r="AI159" i="3"/>
  <c r="AI8" i="3"/>
  <c r="AI88" i="3"/>
  <c r="AI152" i="3"/>
  <c r="AI5" i="3"/>
  <c r="AD114" i="3"/>
  <c r="AI3" i="3"/>
  <c r="AC106" i="3"/>
  <c r="AI23" i="3"/>
  <c r="AI127" i="3"/>
  <c r="AI126" i="3"/>
  <c r="AI64" i="3"/>
  <c r="AI112" i="3"/>
  <c r="AI114" i="3"/>
  <c r="AI73" i="3"/>
  <c r="AI98" i="3"/>
  <c r="AD5" i="3"/>
  <c r="AD159" i="3"/>
  <c r="AC159" i="3"/>
  <c r="AC152" i="3"/>
  <c r="AC150" i="3"/>
  <c r="AC114" i="3"/>
  <c r="AI75" i="3"/>
  <c r="AI155" i="3"/>
  <c r="AI4" i="3"/>
  <c r="AI84" i="3"/>
  <c r="AI132" i="3"/>
  <c r="AI154" i="3"/>
  <c r="AI81" i="3"/>
  <c r="AI121" i="3"/>
  <c r="AI118" i="3"/>
  <c r="AI2" i="3"/>
  <c r="AD132" i="3"/>
  <c r="AC4" i="3"/>
  <c r="AC6" i="3"/>
  <c r="AC5" i="3"/>
  <c r="AU2" i="3"/>
  <c r="AI85" i="3"/>
  <c r="AI153" i="3"/>
  <c r="AI122" i="3"/>
  <c r="AC2" i="3"/>
  <c r="AC3" i="3"/>
  <c r="AC24" i="3"/>
  <c r="AC62" i="3"/>
  <c r="AC113" i="3"/>
  <c r="AI115" i="3"/>
  <c r="AI110" i="3"/>
  <c r="AI24" i="3"/>
  <c r="AI108" i="3"/>
  <c r="AI62" i="3"/>
  <c r="AI89" i="3"/>
  <c r="AI6" i="3"/>
  <c r="AI150" i="3"/>
  <c r="AD75" i="3"/>
  <c r="AC75" i="3"/>
  <c r="AC132" i="3"/>
  <c r="AC118" i="3"/>
  <c r="AC98" i="3"/>
  <c r="AC19" i="3"/>
  <c r="AG166" i="3" l="1"/>
  <c r="AI166" i="3"/>
  <c r="AK153" i="3"/>
  <c r="AK47" i="3"/>
  <c r="AK166" i="3"/>
  <c r="AK127" i="3"/>
  <c r="AK3" i="3"/>
  <c r="AK155" i="3"/>
  <c r="AK132" i="3"/>
  <c r="AK152" i="3"/>
  <c r="AK147" i="3"/>
  <c r="AI107" i="3"/>
  <c r="AK114" i="3"/>
  <c r="AK118" i="3"/>
  <c r="AK122" i="3"/>
  <c r="AI99" i="3"/>
  <c r="AK110" i="3"/>
  <c r="AK126" i="3"/>
  <c r="AG164" i="3"/>
  <c r="AG160" i="3"/>
  <c r="AK103" i="3"/>
  <c r="AK62" i="3"/>
  <c r="AK98" i="3"/>
  <c r="AK150" i="3"/>
  <c r="AK154" i="3"/>
  <c r="AK2" i="3"/>
  <c r="AG163" i="3"/>
  <c r="AK63" i="3"/>
  <c r="AK64" i="3"/>
  <c r="AK108" i="3"/>
  <c r="AK139" i="3"/>
  <c r="AK100" i="3"/>
  <c r="AK7" i="3"/>
  <c r="AI56" i="3"/>
  <c r="AI12" i="3"/>
  <c r="AI76" i="3"/>
  <c r="AI32" i="3"/>
  <c r="AK84" i="3"/>
  <c r="AK88" i="3"/>
  <c r="AK112" i="3"/>
  <c r="AH128" i="3"/>
  <c r="AK123" i="3"/>
  <c r="AI131" i="3"/>
  <c r="AI48" i="3"/>
  <c r="AK160" i="3"/>
  <c r="AI128" i="3"/>
  <c r="AI40" i="3"/>
  <c r="AI157" i="3"/>
  <c r="AK165" i="3"/>
  <c r="AK157" i="3"/>
  <c r="AK144" i="3"/>
  <c r="AK136" i="3"/>
  <c r="AK120" i="3"/>
  <c r="AK72" i="3"/>
  <c r="AK16" i="3"/>
  <c r="AI156" i="3"/>
  <c r="AI124" i="3"/>
  <c r="AI61" i="3"/>
  <c r="AI53" i="3"/>
  <c r="AI45" i="3"/>
  <c r="AI37" i="3"/>
  <c r="AI29" i="3"/>
  <c r="AI9" i="3"/>
  <c r="AK65" i="3"/>
  <c r="AI145" i="3"/>
  <c r="AI137" i="3"/>
  <c r="AI109" i="3"/>
  <c r="AK8" i="3"/>
  <c r="AK73" i="3"/>
  <c r="AK85" i="3"/>
  <c r="AK89" i="3"/>
  <c r="AK113" i="3"/>
  <c r="AK121" i="3"/>
  <c r="AG162" i="3"/>
  <c r="AG143" i="3"/>
  <c r="AG135" i="3"/>
  <c r="AG56" i="3"/>
  <c r="AG48" i="3"/>
  <c r="AG40" i="3"/>
  <c r="AG32" i="3"/>
  <c r="AG8" i="3"/>
  <c r="AK159" i="3"/>
  <c r="AK115" i="3"/>
  <c r="AK87" i="3"/>
  <c r="AK75" i="3"/>
  <c r="AK23" i="3"/>
  <c r="AK164" i="3"/>
  <c r="AK143" i="3"/>
  <c r="AK135" i="3"/>
  <c r="AK117" i="3"/>
  <c r="AK104" i="3"/>
  <c r="AK80" i="3"/>
  <c r="AK69" i="3"/>
  <c r="AK21" i="3"/>
  <c r="AI149" i="3"/>
  <c r="AI141" i="3"/>
  <c r="AI133" i="3"/>
  <c r="AI117" i="3"/>
  <c r="AI60" i="3"/>
  <c r="AI52" i="3"/>
  <c r="AI44" i="3"/>
  <c r="AI36" i="3"/>
  <c r="AI28" i="3"/>
  <c r="AK109" i="3"/>
  <c r="AK17" i="3"/>
  <c r="AK5" i="3"/>
  <c r="AK13" i="3"/>
  <c r="AK81" i="3"/>
  <c r="AK4" i="3"/>
  <c r="AG165" i="3"/>
  <c r="AG161" i="3"/>
  <c r="AK6" i="3"/>
  <c r="AH160" i="3"/>
  <c r="AK161" i="3"/>
  <c r="AK148" i="3"/>
  <c r="AK140" i="3"/>
  <c r="AK116" i="3"/>
  <c r="AK77" i="3"/>
  <c r="AK68" i="3"/>
  <c r="AK20" i="3"/>
  <c r="AK9" i="3"/>
  <c r="AI77" i="3"/>
  <c r="AI57" i="3"/>
  <c r="AI49" i="3"/>
  <c r="AI41" i="3"/>
  <c r="AI33" i="3"/>
  <c r="AI25" i="3"/>
  <c r="AK130" i="3"/>
  <c r="AK94" i="3"/>
  <c r="AK90" i="3"/>
  <c r="AK82" i="3"/>
  <c r="AK58" i="3"/>
  <c r="AK54" i="3"/>
  <c r="AK50" i="3"/>
  <c r="AK46" i="3"/>
  <c r="AK42" i="3"/>
  <c r="AK38" i="3"/>
  <c r="AK34" i="3"/>
  <c r="AK30" i="3"/>
  <c r="AK26" i="3"/>
  <c r="AI162" i="3"/>
  <c r="AI70" i="3"/>
  <c r="AI66" i="3"/>
  <c r="AI22" i="3"/>
  <c r="AI18" i="3"/>
  <c r="AI14" i="3"/>
  <c r="AK163" i="3"/>
  <c r="AK151" i="3"/>
  <c r="AK146" i="3"/>
  <c r="AK142" i="3"/>
  <c r="AK138" i="3"/>
  <c r="AK134" i="3"/>
  <c r="AK129" i="3"/>
  <c r="AK106" i="3"/>
  <c r="AK102" i="3"/>
  <c r="AK97" i="3"/>
  <c r="AK93" i="3"/>
  <c r="AK71" i="3"/>
  <c r="AK67" i="3"/>
  <c r="AK61" i="3"/>
  <c r="AK57" i="3"/>
  <c r="AK53" i="3"/>
  <c r="AK49" i="3"/>
  <c r="AK45" i="3"/>
  <c r="AK41" i="3"/>
  <c r="AK37" i="3"/>
  <c r="AK33" i="3"/>
  <c r="AK29" i="3"/>
  <c r="AK25" i="3"/>
  <c r="AK11" i="3"/>
  <c r="AI165" i="3"/>
  <c r="AI161" i="3"/>
  <c r="AI86" i="3"/>
  <c r="AI79" i="3"/>
  <c r="AI74" i="3"/>
  <c r="AI59" i="3"/>
  <c r="AI55" i="3"/>
  <c r="AI51" i="3"/>
  <c r="AI43" i="3"/>
  <c r="AI39" i="3"/>
  <c r="AI35" i="3"/>
  <c r="AI31" i="3"/>
  <c r="AI27" i="3"/>
  <c r="AG144" i="3"/>
  <c r="AG136" i="3"/>
  <c r="AH112" i="3"/>
  <c r="AH84" i="3"/>
  <c r="AH96" i="3"/>
  <c r="AK162" i="3"/>
  <c r="AK158" i="3"/>
  <c r="AK149" i="3"/>
  <c r="AK145" i="3"/>
  <c r="AK141" i="3"/>
  <c r="AK137" i="3"/>
  <c r="AK133" i="3"/>
  <c r="AK119" i="3"/>
  <c r="AK111" i="3"/>
  <c r="AK105" i="3"/>
  <c r="AK101" i="3"/>
  <c r="AK96" i="3"/>
  <c r="AK92" i="3"/>
  <c r="AK19" i="3"/>
  <c r="AK15" i="3"/>
  <c r="AK10" i="3"/>
  <c r="AI111" i="3"/>
  <c r="AI105" i="3"/>
  <c r="AI101" i="3"/>
  <c r="AI83" i="3"/>
  <c r="AI78" i="3"/>
  <c r="AI63" i="3"/>
  <c r="AI58" i="3"/>
  <c r="AI54" i="3"/>
  <c r="AI50" i="3"/>
  <c r="AI46" i="3"/>
  <c r="AI42" i="3"/>
  <c r="AI38" i="3"/>
  <c r="AI34" i="3"/>
  <c r="AI30" i="3"/>
  <c r="AI26" i="3"/>
  <c r="AI11" i="3"/>
  <c r="AG23" i="3"/>
  <c r="AG19" i="3"/>
  <c r="AG15" i="3"/>
  <c r="AG11" i="3"/>
  <c r="AG7" i="3"/>
  <c r="AG47" i="3"/>
  <c r="AG35" i="3"/>
  <c r="AK95" i="3"/>
  <c r="AK91" i="3"/>
  <c r="AK83" i="3"/>
  <c r="AK78" i="3"/>
  <c r="AI163" i="3"/>
  <c r="AI158" i="3"/>
  <c r="AI82" i="3"/>
  <c r="AI10" i="3"/>
  <c r="AH125" i="3"/>
  <c r="AK125" i="3"/>
  <c r="AG151" i="3"/>
  <c r="AG110" i="3"/>
  <c r="AG106" i="3"/>
  <c r="AG102" i="3"/>
  <c r="AG72" i="3"/>
  <c r="AG64" i="3"/>
  <c r="AG59" i="3"/>
  <c r="AG55" i="3"/>
  <c r="AG51" i="3"/>
  <c r="AG43" i="3"/>
  <c r="AG39" i="3"/>
  <c r="AG31" i="3"/>
  <c r="AG27" i="3"/>
  <c r="AH121" i="3"/>
  <c r="AH113" i="3"/>
  <c r="AH89" i="3"/>
  <c r="AH85" i="3"/>
  <c r="AH81" i="3"/>
  <c r="AH73" i="3"/>
  <c r="AH13" i="3"/>
  <c r="AG16" i="3"/>
  <c r="AH132" i="3"/>
  <c r="AG142" i="3"/>
  <c r="AG155" i="3"/>
  <c r="AG149" i="3"/>
  <c r="AG145" i="3"/>
  <c r="AG141" i="3"/>
  <c r="AG137" i="3"/>
  <c r="AG133" i="3"/>
  <c r="AG128" i="3"/>
  <c r="AG124" i="3"/>
  <c r="AG120" i="3"/>
  <c r="AG115" i="3"/>
  <c r="AG109" i="3"/>
  <c r="AG105" i="3"/>
  <c r="AG101" i="3"/>
  <c r="AG96" i="3"/>
  <c r="AG92" i="3"/>
  <c r="AG88" i="3"/>
  <c r="AG84" i="3"/>
  <c r="AG80" i="3"/>
  <c r="AG76" i="3"/>
  <c r="AG71" i="3"/>
  <c r="AG67" i="3"/>
  <c r="AG63" i="3"/>
  <c r="AG58" i="3"/>
  <c r="AG54" i="3"/>
  <c r="AG50" i="3"/>
  <c r="AG46" i="3"/>
  <c r="AG42" i="3"/>
  <c r="AG38" i="3"/>
  <c r="AG34" i="3"/>
  <c r="AG30" i="3"/>
  <c r="AG26" i="3"/>
  <c r="AG21" i="3"/>
  <c r="AG17" i="3"/>
  <c r="AG13" i="3"/>
  <c r="AG9" i="3"/>
  <c r="AG156" i="3"/>
  <c r="AG127" i="3"/>
  <c r="AG111" i="3"/>
  <c r="AG107" i="3"/>
  <c r="AG103" i="3"/>
  <c r="AG99" i="3"/>
  <c r="AG95" i="3"/>
  <c r="AG79" i="3"/>
  <c r="AG146" i="3"/>
  <c r="AG138" i="3"/>
  <c r="AG134" i="3"/>
  <c r="AG158" i="3"/>
  <c r="AG154" i="3"/>
  <c r="AG119" i="3"/>
  <c r="AG112" i="3"/>
  <c r="AG108" i="3"/>
  <c r="AG104" i="3"/>
  <c r="AG100" i="3"/>
  <c r="AG87" i="3"/>
  <c r="AG20" i="3"/>
  <c r="AG12" i="3"/>
  <c r="AG147" i="3"/>
  <c r="AG139" i="3"/>
  <c r="AG116" i="3"/>
  <c r="AG68" i="3"/>
  <c r="AG60" i="3"/>
  <c r="AG52" i="3"/>
  <c r="AG44" i="3"/>
  <c r="AG36" i="3"/>
  <c r="AG28" i="3"/>
  <c r="AG114" i="3"/>
  <c r="AG98" i="3"/>
  <c r="AG113" i="3"/>
  <c r="AG150" i="3"/>
  <c r="AG118" i="3"/>
  <c r="AG62" i="3"/>
  <c r="AG6" i="3"/>
  <c r="AG152" i="3"/>
  <c r="AG132" i="3"/>
  <c r="AG24" i="3"/>
  <c r="AG4" i="3"/>
  <c r="AG159" i="3"/>
  <c r="AG75" i="3"/>
  <c r="AG3" i="3"/>
  <c r="AG2" i="3"/>
  <c r="AG148" i="3"/>
  <c r="AG140" i="3"/>
  <c r="AG131" i="3"/>
  <c r="AG123" i="3"/>
  <c r="AG91" i="3"/>
  <c r="AG83" i="3"/>
  <c r="AG74" i="3"/>
  <c r="AG70" i="3"/>
  <c r="AG66" i="3"/>
  <c r="AG61" i="3"/>
  <c r="AG57" i="3"/>
  <c r="AG53" i="3"/>
  <c r="AG129" i="3"/>
  <c r="AG125" i="3"/>
  <c r="AG121" i="3"/>
  <c r="AG97" i="3"/>
  <c r="AG93" i="3"/>
  <c r="AG89" i="3"/>
  <c r="AG85" i="3"/>
  <c r="AG81" i="3"/>
  <c r="AG77" i="3"/>
  <c r="AG22" i="3"/>
  <c r="AG18" i="3"/>
  <c r="AG14" i="3"/>
  <c r="AG10" i="3"/>
  <c r="AG49" i="3"/>
  <c r="AG45" i="3"/>
  <c r="AG41" i="3"/>
  <c r="AG37" i="3"/>
  <c r="AG33" i="3"/>
  <c r="AG29" i="3"/>
  <c r="AG25" i="3"/>
  <c r="AG157" i="3"/>
  <c r="AG153" i="3"/>
  <c r="AG130" i="3"/>
  <c r="AG126" i="3"/>
  <c r="AG122" i="3"/>
  <c r="AG117" i="3"/>
  <c r="AG94" i="3"/>
  <c r="AG90" i="3"/>
  <c r="AG86" i="3"/>
  <c r="AG82" i="3"/>
  <c r="AG78" i="3"/>
  <c r="AG73" i="3"/>
  <c r="AG69" i="3"/>
  <c r="AG65" i="3"/>
  <c r="AG5" i="3"/>
  <c r="AH5" i="3"/>
  <c r="AH152" i="3"/>
  <c r="AH108" i="3"/>
  <c r="AH88" i="3"/>
  <c r="AH8" i="3"/>
  <c r="AH4" i="3"/>
  <c r="AH148" i="3"/>
  <c r="AH116" i="3"/>
  <c r="AH159" i="3"/>
  <c r="AH155" i="3"/>
  <c r="AH127" i="3"/>
  <c r="AH115" i="3"/>
  <c r="AH87" i="3"/>
  <c r="AH75" i="3"/>
  <c r="AH3" i="3"/>
  <c r="AH144" i="3"/>
  <c r="AH80" i="3"/>
  <c r="AH153" i="3"/>
  <c r="AH2" i="3"/>
  <c r="AH154" i="3"/>
  <c r="AH150" i="3"/>
  <c r="AH126" i="3"/>
  <c r="AH122" i="3"/>
  <c r="AH118" i="3"/>
  <c r="AH114" i="3"/>
  <c r="AH110" i="3"/>
  <c r="AH98" i="3"/>
  <c r="AH62" i="3"/>
  <c r="AH6" i="3"/>
  <c r="AH164" i="3"/>
  <c r="AH100" i="3"/>
  <c r="AH68" i="3"/>
  <c r="AH64" i="3"/>
  <c r="AH60" i="3"/>
  <c r="AH56" i="3"/>
  <c r="AH52" i="3"/>
  <c r="AH48" i="3"/>
  <c r="AH44" i="3"/>
  <c r="AH40" i="3"/>
  <c r="AH36" i="3"/>
  <c r="AH32" i="3"/>
  <c r="AH28" i="3"/>
  <c r="AH24" i="3"/>
  <c r="AH20" i="3"/>
  <c r="AH16" i="3"/>
  <c r="AH12" i="3"/>
  <c r="AH156" i="3"/>
  <c r="AH140" i="3"/>
  <c r="AH124" i="3"/>
  <c r="AH92" i="3"/>
  <c r="AH76" i="3"/>
  <c r="AH23" i="3"/>
  <c r="AH136" i="3"/>
  <c r="AH120" i="3"/>
  <c r="AH104" i="3"/>
  <c r="AH72" i="3"/>
  <c r="AH151" i="3"/>
  <c r="AH147" i="3"/>
  <c r="AH143" i="3"/>
  <c r="AH139" i="3"/>
  <c r="AH135" i="3"/>
  <c r="AH131" i="3"/>
  <c r="AH123" i="3"/>
  <c r="AH119" i="3"/>
  <c r="AH107" i="3"/>
  <c r="AH103" i="3"/>
  <c r="AH99" i="3"/>
  <c r="AH95" i="3"/>
  <c r="AH91" i="3"/>
  <c r="AH79" i="3"/>
  <c r="AH71" i="3"/>
  <c r="AH67" i="3"/>
  <c r="AH59" i="3"/>
  <c r="AH55" i="3"/>
  <c r="AH51" i="3"/>
  <c r="AH47" i="3"/>
  <c r="AH43" i="3"/>
  <c r="AH39" i="3"/>
  <c r="AH35" i="3"/>
  <c r="AH31" i="3"/>
  <c r="AH27" i="3"/>
  <c r="AH19" i="3"/>
  <c r="AH15" i="3"/>
  <c r="AH7" i="3"/>
  <c r="AH146" i="3"/>
  <c r="AH142" i="3"/>
  <c r="AH138" i="3"/>
  <c r="AH134" i="3"/>
  <c r="AH130" i="3"/>
  <c r="AH106" i="3"/>
  <c r="AH102" i="3"/>
  <c r="AH94" i="3"/>
  <c r="AH90" i="3"/>
  <c r="AH86" i="3"/>
  <c r="AH74" i="3"/>
  <c r="AH70" i="3"/>
  <c r="AH66" i="3"/>
  <c r="AH22" i="3"/>
  <c r="AH18" i="3"/>
  <c r="AH14" i="3"/>
  <c r="AH129" i="3"/>
  <c r="AH97" i="3"/>
  <c r="AH93" i="3"/>
  <c r="AH69" i="3"/>
  <c r="AH65" i="3"/>
  <c r="AH21" i="3"/>
  <c r="AH17" i="3"/>
  <c r="AP24" i="3"/>
  <c r="AS24" i="3" s="1"/>
  <c r="AP4" i="3"/>
  <c r="AS4" i="3" s="1"/>
  <c r="AP159" i="3"/>
  <c r="AS159" i="3" s="1"/>
  <c r="AP9" i="3"/>
  <c r="AP13" i="3"/>
  <c r="AS13" i="3" s="1"/>
  <c r="AP17" i="3"/>
  <c r="AP21" i="3"/>
  <c r="AP26" i="3"/>
  <c r="AP30" i="3"/>
  <c r="AP34" i="3"/>
  <c r="AP38" i="3"/>
  <c r="AP42" i="3"/>
  <c r="AP46" i="3"/>
  <c r="AP50" i="3"/>
  <c r="AP132" i="3"/>
  <c r="AS132" i="3" s="1"/>
  <c r="AP121" i="3"/>
  <c r="AS121" i="3" s="1"/>
  <c r="AP133" i="3"/>
  <c r="AP137" i="3"/>
  <c r="AP141" i="3"/>
  <c r="AP145" i="3"/>
  <c r="AP149" i="3"/>
  <c r="AP153" i="3"/>
  <c r="AS153" i="3" s="1"/>
  <c r="AP157" i="3"/>
  <c r="AP54" i="3"/>
  <c r="AP58" i="3"/>
  <c r="AP62" i="3"/>
  <c r="AP66" i="3"/>
  <c r="AP74" i="3"/>
  <c r="AP78" i="3"/>
  <c r="AP81" i="3"/>
  <c r="AS81" i="3" s="1"/>
  <c r="AP86" i="3"/>
  <c r="AP90" i="3"/>
  <c r="AP94" i="3"/>
  <c r="AP98" i="3"/>
  <c r="AS98" i="3" s="1"/>
  <c r="AP102" i="3"/>
  <c r="AP106" i="3"/>
  <c r="AP110" i="3"/>
  <c r="AS110" i="3" s="1"/>
  <c r="AP114" i="3"/>
  <c r="AS114" i="3" s="1"/>
  <c r="AP118" i="3"/>
  <c r="AS118" i="3" s="1"/>
  <c r="AP5" i="3"/>
  <c r="AS5" i="3" s="1"/>
  <c r="AP70" i="3"/>
  <c r="AP6" i="3"/>
  <c r="AS6" i="3" s="1"/>
  <c r="AP10" i="3"/>
  <c r="AP14" i="3"/>
  <c r="AP18" i="3"/>
  <c r="AP22" i="3"/>
  <c r="AP27" i="3"/>
  <c r="AP31" i="3"/>
  <c r="AP35" i="3"/>
  <c r="AP39" i="3"/>
  <c r="AP43" i="3"/>
  <c r="AP47" i="3"/>
  <c r="AS47" i="3" s="1"/>
  <c r="AP51" i="3"/>
  <c r="AP55" i="3"/>
  <c r="AP59" i="3"/>
  <c r="AP63" i="3"/>
  <c r="AP67" i="3"/>
  <c r="AP71" i="3"/>
  <c r="AP75" i="3"/>
  <c r="AS75" i="3" s="1"/>
  <c r="AP79" i="3"/>
  <c r="AP82" i="3"/>
  <c r="AP87" i="3"/>
  <c r="AS87" i="3" s="1"/>
  <c r="AP91" i="3"/>
  <c r="AP95" i="3"/>
  <c r="AP99" i="3"/>
  <c r="AP103" i="3"/>
  <c r="AP107" i="3"/>
  <c r="AP111" i="3"/>
  <c r="AP115" i="3"/>
  <c r="AS115" i="3" s="1"/>
  <c r="AP119" i="3"/>
  <c r="AP124" i="3"/>
  <c r="AP128" i="3"/>
  <c r="AP136" i="3"/>
  <c r="AP140" i="3"/>
  <c r="AP144" i="3"/>
  <c r="AP148" i="3"/>
  <c r="AP152" i="3"/>
  <c r="AS152" i="3" s="1"/>
  <c r="AP156" i="3"/>
  <c r="AP123" i="3"/>
  <c r="AP127" i="3"/>
  <c r="AS127" i="3" s="1"/>
  <c r="AP131" i="3"/>
  <c r="AP135" i="3"/>
  <c r="AP139" i="3"/>
  <c r="AP143" i="3"/>
  <c r="AP147" i="3"/>
  <c r="AP151" i="3"/>
  <c r="AP155" i="3"/>
  <c r="AS155" i="3" s="1"/>
  <c r="AP2" i="3"/>
  <c r="AS2" i="3" s="1"/>
  <c r="AP7" i="3"/>
  <c r="AP11" i="3"/>
  <c r="AP15" i="3"/>
  <c r="AP19" i="3"/>
  <c r="AP23" i="3"/>
  <c r="AS23" i="3" s="1"/>
  <c r="AP28" i="3"/>
  <c r="AP32" i="3"/>
  <c r="AP36" i="3"/>
  <c r="AP40" i="3"/>
  <c r="AP44" i="3"/>
  <c r="AP48" i="3"/>
  <c r="AP52" i="3"/>
  <c r="AP56" i="3"/>
  <c r="AP60" i="3"/>
  <c r="AP64" i="3"/>
  <c r="AS64" i="3" s="1"/>
  <c r="AP68" i="3"/>
  <c r="AP72" i="3"/>
  <c r="AP76" i="3"/>
  <c r="AP80" i="3"/>
  <c r="AP84" i="3"/>
  <c r="AS84" i="3" s="1"/>
  <c r="AP88" i="3"/>
  <c r="AS88" i="3" s="1"/>
  <c r="AP92" i="3"/>
  <c r="AP96" i="3"/>
  <c r="AP100" i="3"/>
  <c r="AP104" i="3"/>
  <c r="AP108" i="3"/>
  <c r="AS108" i="3" s="1"/>
  <c r="AP112" i="3"/>
  <c r="AS112" i="3" s="1"/>
  <c r="AP116" i="3"/>
  <c r="AP120" i="3"/>
  <c r="AP125" i="3"/>
  <c r="AS125" i="3" s="1"/>
  <c r="AP129" i="3"/>
  <c r="AP3" i="3"/>
  <c r="AS3" i="3" s="1"/>
  <c r="AP8" i="3"/>
  <c r="AS8" i="3" s="1"/>
  <c r="AP12" i="3"/>
  <c r="AP16" i="3"/>
  <c r="AP20" i="3"/>
  <c r="AP25" i="3"/>
  <c r="AP29" i="3"/>
  <c r="AP33" i="3"/>
  <c r="AP37" i="3"/>
  <c r="AP41" i="3"/>
  <c r="AP45" i="3"/>
  <c r="AP49" i="3"/>
  <c r="AP53" i="3"/>
  <c r="AP57" i="3"/>
  <c r="AP61" i="3"/>
  <c r="AP65" i="3"/>
  <c r="AP69" i="3"/>
  <c r="AP73" i="3"/>
  <c r="AS73" i="3" s="1"/>
  <c r="AP77" i="3"/>
  <c r="AP83" i="3"/>
  <c r="AP85" i="3"/>
  <c r="AS85" i="3" s="1"/>
  <c r="AP89" i="3"/>
  <c r="AS89" i="3" s="1"/>
  <c r="AP93" i="3"/>
  <c r="AP97" i="3"/>
  <c r="AP101" i="3"/>
  <c r="AP105" i="3"/>
  <c r="AP109" i="3"/>
  <c r="AP113" i="3"/>
  <c r="AS113" i="3" s="1"/>
  <c r="AP117" i="3"/>
  <c r="AP122" i="3"/>
  <c r="AS122" i="3" s="1"/>
  <c r="AP126" i="3"/>
  <c r="AS126" i="3" s="1"/>
  <c r="AP130" i="3"/>
  <c r="AP134" i="3"/>
  <c r="AP138" i="3"/>
  <c r="AP142" i="3"/>
  <c r="AS142" i="3" s="1"/>
  <c r="AP146" i="3"/>
  <c r="AP150" i="3"/>
  <c r="AS150" i="3" s="1"/>
  <c r="AP154" i="3"/>
  <c r="AS154" i="3" s="1"/>
  <c r="AP158" i="3"/>
  <c r="J4" i="4"/>
  <c r="J5" i="4"/>
  <c r="J6" i="4"/>
  <c r="J7" i="4"/>
  <c r="J8" i="4"/>
  <c r="J9" i="4"/>
  <c r="J10" i="4"/>
  <c r="J11" i="4"/>
  <c r="J12" i="4"/>
  <c r="J13" i="4"/>
  <c r="J14" i="4"/>
  <c r="J15" i="4"/>
  <c r="J16" i="4"/>
  <c r="J17" i="4"/>
  <c r="J18" i="4"/>
  <c r="J19" i="4"/>
  <c r="J20" i="4"/>
  <c r="J21" i="4"/>
  <c r="J22" i="4"/>
  <c r="J23" i="4"/>
  <c r="Y62" i="3"/>
  <c r="AI47" i="3"/>
  <c r="AI125" i="3"/>
  <c r="AR77" i="3" l="1"/>
  <c r="AR34" i="3"/>
  <c r="AR50" i="3"/>
  <c r="AR166" i="3"/>
  <c r="AR82" i="3"/>
  <c r="AR30" i="3"/>
  <c r="AR46" i="3"/>
  <c r="AR45" i="3"/>
  <c r="AR26" i="3"/>
  <c r="AR42" i="3"/>
  <c r="AR58" i="3"/>
  <c r="AR73" i="3"/>
  <c r="AR41" i="3"/>
  <c r="AR38" i="3"/>
  <c r="AR54" i="3"/>
  <c r="AR47" i="3"/>
  <c r="AR121" i="3"/>
  <c r="AR37" i="3"/>
  <c r="AR128" i="3"/>
  <c r="AR49" i="3"/>
  <c r="AR132" i="3"/>
  <c r="AR112" i="3"/>
  <c r="AR63" i="3"/>
  <c r="AR133" i="3"/>
  <c r="AR110" i="3"/>
  <c r="AR157" i="3"/>
  <c r="AR10" i="3"/>
  <c r="AR84" i="3"/>
  <c r="AR101" i="3"/>
  <c r="AR135" i="3"/>
  <c r="AR32" i="3"/>
  <c r="AR48" i="3"/>
  <c r="AR64" i="3"/>
  <c r="AR8" i="3"/>
  <c r="AR81" i="3"/>
  <c r="AR160" i="3"/>
  <c r="AR164" i="3"/>
  <c r="AR106" i="3"/>
  <c r="AR19" i="3"/>
  <c r="AR137" i="3"/>
  <c r="AR105" i="3"/>
  <c r="AR163" i="3"/>
  <c r="AR15" i="3"/>
  <c r="AR56" i="3"/>
  <c r="AR136" i="3"/>
  <c r="AR25" i="3"/>
  <c r="AR11" i="3"/>
  <c r="AR53" i="3"/>
  <c r="AR141" i="3"/>
  <c r="AR7" i="3"/>
  <c r="AR23" i="3"/>
  <c r="AR144" i="3"/>
  <c r="AR78" i="3"/>
  <c r="AR29" i="3"/>
  <c r="AR85" i="3"/>
  <c r="AR57" i="3"/>
  <c r="AR158" i="3"/>
  <c r="AR9" i="3"/>
  <c r="AR109" i="3"/>
  <c r="AR145" i="3"/>
  <c r="AR161" i="3"/>
  <c r="AR102" i="3"/>
  <c r="AR35" i="3"/>
  <c r="AR143" i="3"/>
  <c r="AR40" i="3"/>
  <c r="AR117" i="3"/>
  <c r="AR153" i="3"/>
  <c r="AR33" i="3"/>
  <c r="AR89" i="3"/>
  <c r="AR61" i="3"/>
  <c r="AR83" i="3"/>
  <c r="AR111" i="3"/>
  <c r="AR13" i="3"/>
  <c r="AR96" i="3"/>
  <c r="AR149" i="3"/>
  <c r="AR165" i="3"/>
  <c r="AR162" i="3"/>
  <c r="AR130" i="3"/>
  <c r="AR131" i="3"/>
  <c r="AR44" i="3"/>
  <c r="AR65" i="3"/>
  <c r="AR22" i="3"/>
  <c r="AR140" i="3"/>
  <c r="AR75" i="3"/>
  <c r="AR118" i="3"/>
  <c r="AR114" i="3"/>
  <c r="AR52" i="3"/>
  <c r="AR139" i="3"/>
  <c r="AR87" i="3"/>
  <c r="AR134" i="3"/>
  <c r="AR95" i="3"/>
  <c r="AR80" i="3"/>
  <c r="AR125" i="3"/>
  <c r="AR115" i="3"/>
  <c r="AR39" i="3"/>
  <c r="AR59" i="3"/>
  <c r="AR69" i="3"/>
  <c r="AR86" i="3"/>
  <c r="AR122" i="3"/>
  <c r="AR93" i="3"/>
  <c r="AR129" i="3"/>
  <c r="AR66" i="3"/>
  <c r="AR91" i="3"/>
  <c r="AR148" i="3"/>
  <c r="AR159" i="3"/>
  <c r="AR152" i="3"/>
  <c r="AR150" i="3"/>
  <c r="AR28" i="3"/>
  <c r="AR60" i="3"/>
  <c r="AR147" i="3"/>
  <c r="AR100" i="3"/>
  <c r="AR119" i="3"/>
  <c r="AR138" i="3"/>
  <c r="AR99" i="3"/>
  <c r="AR127" i="3"/>
  <c r="AR17" i="3"/>
  <c r="AR67" i="3"/>
  <c r="AR120" i="3"/>
  <c r="AR155" i="3"/>
  <c r="AR43" i="3"/>
  <c r="AR90" i="3"/>
  <c r="AR126" i="3"/>
  <c r="AR14" i="3"/>
  <c r="AR97" i="3"/>
  <c r="AR70" i="3"/>
  <c r="AR123" i="3"/>
  <c r="AR2" i="3"/>
  <c r="AR4" i="3"/>
  <c r="AR6" i="3"/>
  <c r="AR113" i="3"/>
  <c r="AR36" i="3"/>
  <c r="AR68" i="3"/>
  <c r="AR12" i="3"/>
  <c r="AR104" i="3"/>
  <c r="AR154" i="3"/>
  <c r="AR146" i="3"/>
  <c r="AR103" i="3"/>
  <c r="AR156" i="3"/>
  <c r="AR21" i="3"/>
  <c r="AR71" i="3"/>
  <c r="AR88" i="3"/>
  <c r="AR124" i="3"/>
  <c r="AR142" i="3"/>
  <c r="AR16" i="3"/>
  <c r="AR27" i="3"/>
  <c r="AR51" i="3"/>
  <c r="AR72" i="3"/>
  <c r="AR151" i="3"/>
  <c r="AR94" i="3"/>
  <c r="AR18" i="3"/>
  <c r="AR74" i="3"/>
  <c r="AR3" i="3"/>
  <c r="AR24" i="3"/>
  <c r="AR62" i="3"/>
  <c r="AR98" i="3"/>
  <c r="AR116" i="3"/>
  <c r="AR20" i="3"/>
  <c r="AR108" i="3"/>
  <c r="AR79" i="3"/>
  <c r="AR107" i="3"/>
  <c r="AR76" i="3"/>
  <c r="AR92" i="3"/>
  <c r="AR31" i="3"/>
  <c r="AR55" i="3"/>
  <c r="AR5" i="3"/>
  <c r="AS62" i="3"/>
</calcChain>
</file>

<file path=xl/sharedStrings.xml><?xml version="1.0" encoding="utf-8"?>
<sst xmlns="http://schemas.openxmlformats.org/spreadsheetml/2006/main" count="3903" uniqueCount="1764">
  <si>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</si>
  <si>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</si>
  <si>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</si>
  <si>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</si>
  <si>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</si>
  <si>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</si>
  <si>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</si>
  <si>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</si>
  <si>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</si>
  <si>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</si>
  <si>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</si>
  <si>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</si>
  <si>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</si>
  <si>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</si>
  <si>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</si>
  <si>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</si>
  <si>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</si>
  <si>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</si>
  <si>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</si>
  <si>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</si>
  <si>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</si>
  <si>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</si>
  <si>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</si>
  <si>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</si>
  <si>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</si>
  <si>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</si>
  <si>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</si>
  <si>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</si>
  <si>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</si>
  <si>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</si>
  <si>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</si>
  <si>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</si>
  <si>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</si>
  <si>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</si>
  <si>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</si>
  <si>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</si>
  <si>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</si>
  <si>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</si>
  <si>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</si>
  <si>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</si>
  <si>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</si>
  <si>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</si>
  <si>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</si>
  <si>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</si>
  <si>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</si>
  <si>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</si>
  <si>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</si>
  <si>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</si>
  <si>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</si>
  <si>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</si>
  <si>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</si>
  <si>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</si>
  <si>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</si>
  <si>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</si>
  <si>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</si>
  <si>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</si>
  <si>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</si>
  <si>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</si>
  <si>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</si>
  <si>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</si>
  <si>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</si>
  <si>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</si>
  <si>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</si>
  <si>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</si>
  <si>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</si>
  <si>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</si>
  <si>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</si>
  <si>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</si>
  <si>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</si>
  <si>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</si>
  <si>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</si>
  <si>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</si>
  <si>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</si>
  <si>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</si>
  <si>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</si>
  <si>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</si>
  <si>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</si>
  <si>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</si>
  <si>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</si>
  <si>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</si>
  <si>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</si>
  <si>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</si>
  <si>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</si>
  <si>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</si>
  <si>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</si>
  <si>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</si>
  <si>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</si>
  <si>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</si>
  <si>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</si>
  <si>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</si>
  <si>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</si>
  <si>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</si>
  <si>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</si>
  <si>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</si>
  <si>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</si>
  <si>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</si>
  <si>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</si>
  <si>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</si>
  <si>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</si>
  <si>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</si>
  <si>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</si>
  <si>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</si>
  <si>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</si>
  <si>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</si>
  <si>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</si>
  <si>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</si>
  <si>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</si>
  <si>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</si>
  <si>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</si>
  <si>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</si>
  <si>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</si>
  <si>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</si>
  <si>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</si>
  <si>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</si>
  <si>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</si>
  <si>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</si>
  <si>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</si>
  <si>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</si>
  <si>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</si>
  <si>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</si>
  <si>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</si>
  <si>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</si>
  <si>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</si>
  <si>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</si>
  <si>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</si>
  <si>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</si>
  <si>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</si>
  <si>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</si>
  <si>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</si>
  <si>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</si>
  <si>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</si>
  <si>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</si>
  <si>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</si>
  <si>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</si>
  <si>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</si>
  <si>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</si>
  <si>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</si>
  <si>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</si>
  <si>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</si>
  <si>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</si>
  <si>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</si>
  <si>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</si>
  <si>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</si>
  <si>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</si>
  <si>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</si>
  <si>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</si>
  <si>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</si>
  <si>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</si>
  <si>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</si>
  <si>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</si>
  <si>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</si>
  <si>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</si>
  <si>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</si>
  <si>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</si>
  <si>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</si>
  <si>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</si>
  <si>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</si>
  <si>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</si>
  <si>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</si>
  <si>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</si>
  <si>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</si>
  <si>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</si>
  <si>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</si>
  <si>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</si>
  <si>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</si>
  <si>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</si>
  <si>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</si>
  <si>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</si>
  <si>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</si>
  <si>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</si>
  <si>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</si>
  <si>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</si>
  <si>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</si>
  <si>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</si>
  <si>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</si>
  <si>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</si>
  <si>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</si>
  <si>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</si>
  <si>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</si>
  <si>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</si>
  <si>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</si>
  <si>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</si>
  <si>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</si>
  <si>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</si>
  <si>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</si>
  <si>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</si>
  <si>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</si>
  <si>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</si>
  <si>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</si>
  <si>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</si>
  <si>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</si>
  <si>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</si>
  <si>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</si>
  <si>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</si>
  <si>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</si>
  <si>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</si>
  <si>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</si>
  <si>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</si>
  <si>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</si>
  <si>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</si>
  <si>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</si>
  <si>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</si>
  <si>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</si>
  <si>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</si>
  <si>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</si>
  <si>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</si>
  <si>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</si>
  <si>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</si>
  <si>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</si>
  <si>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</si>
  <si>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</si>
  <si>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</si>
  <si>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</si>
  <si>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</si>
  <si>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</si>
  <si>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</si>
  <si>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</si>
  <si>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</si>
  <si>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</si>
  <si>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</si>
  <si>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</si>
  <si>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</si>
  <si>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</si>
  <si>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</si>
  <si>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</si>
  <si>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</si>
  <si>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</si>
  <si>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</si>
  <si>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</si>
  <si>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</si>
  <si>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</si>
  <si>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</si>
  <si>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</si>
  <si>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</si>
  <si>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</si>
  <si>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</si>
  <si>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</si>
  <si>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</si>
  <si>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</si>
  <si>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</si>
  <si>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</si>
  <si>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</si>
  <si>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</si>
  <si>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</si>
  <si>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</si>
  <si>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</si>
  <si>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</si>
  <si>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</si>
  <si>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</si>
  <si>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</si>
  <si>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</si>
  <si>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</si>
  <si>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</si>
  <si>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</si>
  <si>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</si>
  <si>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</si>
  <si>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</si>
  <si>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</si>
  <si>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</si>
  <si>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</si>
  <si>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</si>
  <si>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</si>
  <si>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</si>
  <si>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</si>
  <si>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</si>
  <si>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</si>
  <si>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</si>
  <si>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</si>
  <si>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</si>
  <si>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</si>
  <si>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</si>
  <si>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</si>
  <si>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</si>
  <si>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</si>
  <si>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</si>
  <si>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</si>
  <si>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</si>
  <si>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</si>
  <si>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</si>
  <si>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</si>
  <si>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</si>
  <si>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</si>
  <si>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</si>
  <si>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</si>
  <si>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</si>
  <si>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</si>
  <si>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</si>
  <si>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</si>
  <si>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</si>
  <si>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</si>
  <si>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</si>
  <si>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</si>
  <si>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</si>
  <si>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</si>
  <si>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</si>
  <si>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</si>
  <si>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</si>
  <si>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</si>
  <si>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</si>
  <si>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</si>
  <si>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</si>
  <si>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</si>
  <si>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</si>
  <si>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</si>
  <si>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</si>
  <si>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</si>
  <si>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</si>
  <si>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</si>
  <si>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</si>
  <si>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</si>
  <si>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</si>
  <si>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</si>
  <si>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</si>
  <si>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</si>
  <si>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</si>
  <si>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</si>
  <si>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</si>
  <si>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</si>
  <si>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</si>
  <si>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</si>
  <si>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</si>
  <si>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</si>
  <si>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</si>
  <si>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</si>
  <si>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</si>
  <si>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</si>
  <si>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</si>
  <si>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</si>
  <si>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</si>
  <si>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</si>
  <si>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</si>
  <si>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</si>
  <si>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</si>
  <si>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</si>
  <si>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</si>
  <si>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</si>
  <si>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</si>
  <si>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</si>
  <si>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</si>
  <si>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</si>
  <si>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</si>
  <si>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</si>
  <si>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</si>
  <si>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</si>
  <si>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</si>
  <si>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</si>
  <si>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</si>
  <si>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</si>
  <si>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</si>
  <si>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</si>
  <si>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</si>
  <si>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</si>
  <si>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</si>
  <si>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</si>
  <si>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</si>
  <si>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</si>
  <si>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</si>
  <si>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</si>
  <si>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</si>
  <si>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</si>
  <si>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</si>
  <si>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</si>
  <si>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</si>
  <si>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</si>
  <si>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</si>
  <si>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</si>
  <si>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</si>
  <si>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</si>
  <si>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</si>
  <si>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Official Site</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</si>
  <si>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</si>
  <si>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</si>
  <si>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</si>
  <si>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</si>
  <si>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</si>
  <si>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</si>
  <si>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</si>
  <si>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</si>
  <si>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</si>
  <si>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</si>
  <si>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</si>
  <si>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</si>
  <si>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</si>
  <si>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</si>
  <si>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</si>
  <si>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</si>
  <si>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</si>
  <si>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</si>
  <si>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</si>
  <si>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</si>
  <si>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</si>
  <si>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</si>
  <si>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</si>
  <si>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</si>
  <si>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</si>
  <si>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</si>
  <si>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</si>
  <si>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</si>
  <si>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</si>
  <si>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</si>
  <si>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</si>
  <si>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</si>
  <si>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</si>
  <si>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</si>
  <si>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</si>
  <si>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</si>
  <si>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</si>
  <si>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</si>
  <si>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</si>
  <si>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</si>
  <si>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</si>
  <si>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</si>
  <si>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</si>
  <si>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</si>
  <si>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</si>
  <si>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</si>
  <si>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</si>
  <si>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</si>
  <si>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</si>
  <si>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</si>
  <si>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</si>
  <si>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</si>
  <si>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</si>
  <si>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</si>
  <si>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</si>
  <si>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</si>
  <si>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</si>
  <si>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</si>
  <si>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</si>
  <si>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</si>
  <si>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</si>
  <si>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</si>
  <si>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</si>
  <si>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</si>
  <si>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</si>
  <si>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</si>
  <si>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</si>
  <si>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</si>
  <si>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</si>
  <si>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</si>
  <si>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</si>
  <si>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</si>
  <si>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</si>
  <si>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</si>
  <si>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</si>
  <si>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</si>
  <si>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</si>
  <si>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</si>
  <si>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</si>
  <si>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</si>
  <si>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</si>
  <si>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</si>
  <si>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</si>
  <si>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</si>
  <si>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</si>
  <si>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</si>
  <si>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</si>
  <si>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</si>
  <si>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</si>
  <si>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</si>
  <si>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</si>
  <si>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</si>
  <si>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</si>
  <si>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</si>
  <si>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</si>
  <si>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</si>
  <si>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</si>
  <si>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</si>
  <si>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</si>
  <si>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</si>
  <si>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</si>
  <si>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</si>
  <si>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</si>
  <si>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</si>
  <si>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</si>
  <si>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</si>
  <si>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</si>
  <si>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</si>
  <si>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</si>
  <si>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</si>
  <si>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</si>
  <si>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</si>
  <si>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</si>
  <si>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</si>
  <si>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</si>
  <si>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</si>
  <si>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</si>
  <si>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</si>
  <si>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</si>
  <si>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</si>
  <si>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</si>
  <si>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</si>
  <si>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</si>
  <si>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</si>
  <si>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</si>
  <si>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</si>
  <si>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</si>
  <si>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</si>
  <si>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</si>
  <si>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</si>
  <si>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</si>
  <si>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</si>
  <si>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</si>
  <si>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</si>
  <si>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</si>
  <si>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</si>
  <si>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</si>
  <si>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</si>
  <si>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</si>
  <si>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</si>
  <si>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</si>
  <si>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</si>
  <si>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</si>
  <si>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</si>
  <si>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</si>
  <si>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</si>
  <si>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</si>
  <si>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</si>
  <si>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</si>
  <si>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</si>
  <si>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</si>
  <si>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</si>
  <si>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</si>
  <si>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</si>
  <si>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</si>
  <si>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</si>
  <si>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</si>
  <si>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</si>
  <si>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</si>
  <si>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</si>
  <si>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</si>
  <si>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</si>
  <si>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</si>
  <si>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</si>
  <si>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</si>
  <si>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</si>
  <si>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</si>
  <si>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</si>
  <si>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</si>
  <si>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</si>
  <si>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</si>
  <si>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</si>
  <si>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</si>
  <si>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</si>
  <si>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</si>
  <si>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</si>
  <si>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</si>
  <si>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</si>
  <si>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</si>
  <si>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</si>
  <si>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</si>
  <si>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</si>
  <si>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</si>
  <si>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</si>
  <si>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</si>
  <si>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</si>
  <si>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</si>
  <si>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</si>
  <si>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</si>
  <si>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</si>
  <si>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</si>
  <si>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</si>
  <si>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</si>
  <si>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</si>
  <si>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</si>
  <si>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</si>
  <si>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</si>
  <si>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</si>
  <si>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</si>
  <si>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</si>
  <si>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</si>
  <si>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</si>
  <si>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</si>
  <si>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</si>
  <si>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</si>
  <si>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</si>
  <si>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</si>
  <si>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</si>
  <si>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</si>
  <si>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</si>
  <si>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</si>
  <si>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</si>
  <si>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</si>
  <si>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</si>
  <si>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</si>
  <si>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</si>
  <si>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</si>
  <si>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</si>
  <si>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</si>
  <si>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</si>
  <si>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</si>
  <si>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</si>
  <si>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</si>
  <si>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</si>
  <si>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</si>
  <si>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</si>
  <si>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</si>
  <si>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</si>
  <si>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</si>
  <si>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</si>
  <si>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</si>
  <si>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</si>
  <si>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</si>
  <si>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</si>
  <si>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</si>
  <si>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</si>
  <si>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</si>
  <si>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</si>
  <si>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</si>
  <si>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</si>
  <si>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</si>
  <si>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</si>
  <si>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</si>
  <si>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</si>
  <si>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</si>
  <si>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</si>
  <si>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</si>
  <si>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</si>
  <si>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</si>
  <si>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</si>
  <si>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</si>
  <si>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</si>
  <si>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</si>
  <si>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</si>
  <si>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</si>
  <si>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</si>
  <si>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</si>
  <si>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</si>
  <si>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</si>
  <si>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</si>
  <si>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</si>
  <si>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</si>
  <si>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</si>
  <si>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</si>
  <si>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</si>
  <si>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</si>
  <si>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</si>
  <si>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</si>
  <si>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</si>
  <si>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</si>
  <si>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</si>
  <si>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</si>
  <si>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</si>
  <si>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</si>
  <si>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</si>
  <si>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</si>
  <si>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</si>
  <si>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</si>
  <si>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</si>
  <si>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</si>
  <si>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</si>
  <si>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</si>
  <si>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</si>
  <si>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</si>
  <si>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</si>
  <si>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</si>
  <si>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</si>
  <si>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</si>
  <si>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</si>
  <si>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</si>
  <si>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</si>
  <si>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</si>
  <si>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</si>
  <si>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</si>
  <si>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</si>
  <si>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</si>
  <si>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</si>
  <si>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</si>
  <si>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</si>
  <si>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</si>
  <si>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</si>
  <si>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</si>
  <si>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</si>
  <si>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</si>
  <si>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</si>
  <si>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</si>
  <si>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</si>
  <si>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</si>
  <si>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</si>
  <si>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</si>
  <si>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</si>
  <si>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</si>
  <si>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</si>
  <si>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</si>
  <si>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</si>
  <si>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</si>
  <si>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</si>
  <si>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</si>
  <si>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</si>
  <si>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</si>
  <si>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</si>
  <si>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</si>
  <si>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</si>
  <si>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</si>
  <si>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</si>
  <si>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</si>
  <si>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</si>
  <si>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</si>
  <si>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</si>
  <si>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</si>
  <si>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</si>
  <si>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</si>
  <si>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</si>
  <si>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</si>
  <si>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</si>
  <si>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</si>
  <si>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</si>
  <si>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</si>
  <si>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</si>
  <si>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</si>
  <si>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ISO 3166 alpha-2</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</si>
  <si>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</si>
  <si>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</si>
  <si>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</si>
  <si>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</si>
  <si>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</si>
  <si>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</si>
  <si>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</si>
  <si>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</si>
  <si>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</si>
  <si>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</si>
  <si>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</si>
  <si>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</si>
  <si>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</si>
  <si>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</si>
  <si>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</si>
  <si>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</si>
  <si>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</si>
  <si>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</si>
  <si>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</si>
  <si>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</si>
  <si>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</si>
  <si>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</si>
  <si>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</si>
  <si>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</si>
  <si>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</si>
  <si>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</si>
  <si>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</si>
  <si>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</si>
  <si>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</si>
  <si>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</si>
  <si>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</si>
  <si>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</si>
  <si>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</si>
  <si>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</si>
  <si>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</si>
  <si>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</si>
  <si>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</si>
  <si>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</si>
  <si>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</si>
  <si>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</si>
  <si>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</si>
  <si>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</si>
  <si>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</si>
  <si>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</si>
  <si>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</si>
  <si>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</si>
  <si>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</si>
  <si>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</si>
  <si>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</si>
  <si>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</si>
  <si>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</si>
  <si>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</si>
  <si>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</si>
  <si>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</si>
  <si>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</si>
  <si>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</si>
  <si>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</si>
  <si>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</si>
  <si>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</si>
  <si>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</si>
  <si>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</si>
  <si>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</si>
  <si>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</si>
  <si>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</si>
  <si>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</si>
  <si>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</si>
  <si>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</si>
  <si>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</si>
  <si>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</si>
  <si>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</si>
  <si>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</si>
  <si>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</si>
  <si>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</si>
  <si>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</si>
  <si>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</si>
  <si>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</si>
  <si>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</si>
  <si>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</si>
  <si>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</si>
  <si>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</si>
  <si>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</si>
  <si>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</si>
  <si>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</si>
  <si>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</si>
  <si>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</si>
  <si>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</si>
  <si>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</si>
  <si>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</si>
  <si>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</si>
  <si>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</si>
  <si>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</si>
  <si>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</si>
  <si>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</si>
  <si>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</si>
  <si>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</si>
  <si>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</si>
  <si>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</si>
  <si>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</si>
  <si>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</si>
  <si>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</si>
  <si>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</si>
  <si>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</si>
  <si>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</si>
  <si>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</si>
  <si>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</si>
  <si>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</si>
  <si>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</si>
  <si>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</si>
  <si>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</si>
  <si>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</si>
  <si>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</si>
  <si>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</si>
  <si>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</si>
  <si>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</si>
  <si>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</si>
  <si>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</si>
  <si>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</si>
  <si>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</si>
  <si>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</si>
  <si>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</si>
  <si>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</si>
  <si>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</si>
  <si>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</si>
  <si>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</si>
  <si>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</si>
  <si>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</si>
  <si>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</si>
  <si>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</si>
  <si>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</si>
  <si>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</si>
  <si>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</si>
  <si>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</si>
  <si>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</si>
  <si>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</si>
  <si>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</si>
  <si>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</si>
  <si>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</si>
  <si>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</si>
  <si>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</si>
  <si>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</si>
  <si>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</si>
  <si>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</si>
  <si>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</si>
  <si>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</si>
  <si>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</si>
  <si>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</si>
  <si>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</si>
  <si>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</si>
  <si>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</si>
  <si>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</si>
  <si>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</si>
  <si>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</si>
  <si>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</si>
  <si>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</si>
  <si>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</si>
  <si>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</si>
  <si>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</si>
  <si>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</si>
  <si>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</si>
  <si>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</si>
  <si>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</si>
  <si>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</si>
  <si>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</si>
  <si>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</si>
  <si>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</si>
  <si>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</si>
  <si>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</si>
  <si>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</si>
  <si>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</si>
  <si>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</si>
  <si>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</si>
  <si>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</si>
  <si>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</si>
  <si>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</si>
  <si>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</si>
  <si>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</si>
  <si>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</si>
  <si>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</si>
  <si>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</si>
  <si>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</si>
  <si>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</si>
  <si>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</si>
  <si>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</si>
  <si>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</si>
  <si>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</si>
  <si>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</si>
  <si>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</si>
  <si>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</si>
  <si>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</si>
  <si>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</si>
  <si>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</si>
  <si>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</si>
  <si>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</si>
  <si>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</si>
  <si>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</si>
  <si>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</si>
  <si>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</si>
  <si>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</si>
  <si>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</si>
  <si>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</si>
  <si>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</si>
  <si>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</si>
  <si>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</si>
  <si>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</si>
  <si>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</si>
  <si>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</si>
  <si>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</si>
  <si>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</si>
  <si>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</si>
  <si>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</si>
  <si>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</si>
  <si>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</si>
  <si>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</si>
  <si>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</si>
  <si>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</si>
  <si>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</si>
  <si>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</si>
  <si>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</si>
  <si>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</si>
  <si>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</si>
  <si>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</si>
  <si>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</si>
  <si>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</si>
  <si>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</si>
  <si>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</si>
  <si>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</si>
  <si>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</si>
  <si>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</si>
  <si>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</si>
  <si>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</si>
  <si>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</si>
  <si>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</si>
  <si>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</si>
  <si>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</si>
  <si>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</si>
  <si>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</si>
  <si>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</si>
  <si>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</si>
  <si>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</si>
  <si>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</si>
  <si>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</si>
  <si>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</si>
  <si>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</si>
  <si>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</si>
  <si>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</si>
  <si>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</si>
  <si>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</si>
  <si>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</si>
  <si>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</si>
  <si>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</si>
  <si>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</si>
  <si>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</si>
  <si>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</si>
  <si>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</si>
  <si>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</si>
  <si>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</si>
  <si>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</si>
  <si>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</si>
  <si>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</si>
  <si>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</si>
  <si>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</si>
  <si>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</si>
  <si>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</si>
  <si>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</si>
  <si>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</si>
  <si>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</si>
  <si>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</si>
  <si>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</si>
  <si>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</si>
  <si>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</si>
  <si>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</si>
  <si>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</si>
  <si>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</si>
  <si>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</si>
  <si>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</si>
  <si>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</si>
  <si>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</si>
  <si>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</si>
  <si>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</si>
  <si>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</si>
  <si>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</si>
  <si>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</si>
  <si>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</si>
  <si>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</si>
  <si>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</si>
  <si>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</si>
  <si>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</si>
  <si>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</si>
  <si>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</si>
  <si>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</si>
  <si>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</si>
  <si>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</si>
  <si>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</si>
  <si>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</si>
  <si>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Full Content</t>
  </si>
  <si>
    <t>OS</t>
  </si>
  <si>
    <t>TRP</t>
  </si>
  <si>
    <t>All Links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</si>
  <si>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</si>
  <si>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</si>
  <si>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</si>
  <si>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</si>
  <si>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</si>
  <si>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</si>
  <si>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</si>
  <si>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</si>
  <si>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</si>
  <si>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</si>
  <si>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</si>
  <si>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</si>
  <si>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</si>
  <si>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</si>
  <si>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</si>
  <si>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</si>
  <si>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</si>
  <si>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</si>
  <si>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</si>
  <si>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</si>
  <si>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</si>
  <si>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</si>
  <si>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</si>
  <si>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</si>
  <si>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</si>
  <si>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</si>
  <si>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Marie Alphonse Ratisbonne, an anti-Catholic Jew, befriended a baron in Rome and began wearing the [Miraculous Medal](/places/fr-chapel-of-our-lady-of-the-miraculous-medal)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</si>
  <si>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</si>
  <si>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</si>
  <si>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</si>
  <si>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</si>
  <si>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</si>
  <si>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</si>
  <si>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</si>
  <si>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</si>
  <si>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</si>
  <si>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</si>
  <si>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</si>
  <si>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</si>
  <si>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</si>
  <si>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</si>
  <si>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</si>
  <si>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</si>
  <si>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</si>
  <si>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</si>
  <si>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</si>
  <si>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</si>
  <si>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</si>
  <si>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</si>
  <si>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</si>
  <si>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</si>
  <si>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 (Our Lady of Leżajsk, Lady of Consolation)</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</si>
  <si>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</si>
  <si>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</si>
  <si>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</si>
  <si>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</si>
  <si>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</si>
  <si>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</si>
  <si>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</si>
  <si>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</si>
  <si>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</si>
  <si>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</si>
  <si>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</si>
  <si>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</si>
  <si>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</si>
  <si>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</si>
  <si>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</si>
  <si>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</si>
  <si>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</si>
  <si>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</si>
  <si>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</si>
  <si>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</si>
  <si>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</si>
  <si>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</si>
  <si>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</si>
  <si>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</si>
  <si>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</si>
  <si>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</si>
  <si>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</si>
  <si>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</si>
  <si>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</si>
  <si>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</si>
  <si>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</si>
  <si>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</si>
  <si>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</si>
  <si>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</si>
  <si>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</si>
  <si>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</si>
  <si>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</si>
  <si>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</si>
  <si>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</si>
  <si>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</si>
  <si>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</si>
  <si>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</si>
  <si>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</si>
  <si>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</si>
  <si>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</si>
  <si>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</si>
  <si>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</si>
  <si>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</si>
  <si>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</si>
  <si>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</si>
  <si>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</si>
  <si>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</si>
  <si>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</si>
  <si>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</si>
  <si>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</si>
  <si>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</si>
  <si>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</si>
  <si>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</si>
  <si>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</si>
  <si>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</si>
  <si>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</si>
  <si>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</si>
  <si>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</si>
  <si>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</si>
  <si>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</si>
  <si>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</si>
  <si>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</si>
  <si>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</si>
  <si>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</si>
  <si>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</si>
  <si>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</si>
  <si>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</si>
  <si>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</si>
  <si>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</si>
  <si>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</si>
  <si>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</si>
  <si>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</si>
  <si>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</si>
  <si>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</si>
  <si>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</si>
  <si>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</si>
  <si>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</si>
  <si>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</si>
  <si>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</si>
  <si>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</si>
  <si>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</si>
  <si>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</si>
  <si>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</si>
  <si>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</si>
  <si>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</si>
  <si>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</si>
  <si>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</si>
  <si>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</si>
  <si>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</si>
  <si>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</si>
  <si>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</si>
  <si>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</si>
  <si>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</si>
  <si>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</si>
  <si>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</si>
  <si>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</si>
  <si>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</si>
  <si>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</si>
  <si>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</si>
  <si>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</si>
  <si>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</si>
  <si>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</si>
  <si>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</si>
  <si>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</si>
  <si>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</si>
  <si>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</si>
  <si>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</si>
  <si>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</si>
  <si>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</si>
  <si>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</si>
  <si>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</si>
  <si>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</si>
  <si>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</si>
  <si>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</si>
  <si>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</si>
  <si>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</si>
  <si>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</si>
  <si>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</si>
  <si>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</si>
  <si>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</si>
  <si>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</si>
  <si>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</si>
  <si>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</si>
  <si>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</si>
  <si>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</si>
  <si>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</si>
  <si>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</si>
  <si>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</si>
  <si>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</si>
  <si>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</si>
  <si>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</si>
  <si>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</si>
  <si>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</si>
  <si>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</si>
  <si>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</si>
  <si>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</si>
  <si>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</si>
  <si>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</si>
  <si>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</si>
  <si>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</si>
  <si>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</si>
  <si>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</si>
  <si>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</si>
  <si>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</si>
  <si>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</si>
  <si>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</si>
  <si>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</si>
  <si>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</si>
  <si>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</si>
  <si>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</si>
  <si>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</si>
  <si>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</si>
  <si>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</si>
  <si>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</si>
  <si>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</si>
  <si>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</si>
  <si>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</si>
  <si>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</si>
  <si>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</si>
  <si>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</si>
  <si>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</si>
  <si>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</si>
  <si>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</si>
  <si>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</si>
  <si>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</si>
  <si>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</si>
  <si>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</si>
  <si>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</si>
  <si>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</si>
  <si>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</si>
  <si>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</si>
  <si>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</si>
  <si>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</si>
  <si>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</si>
  <si>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</si>
  <si>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</si>
  <si>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</si>
  <si>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</si>
  <si>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</si>
  <si>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</si>
  <si>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</si>
  <si>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</si>
  <si>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</si>
  <si>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</si>
  <si>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</si>
  <si>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</si>
  <si>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</si>
  <si>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</si>
  <si>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</si>
  <si>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</si>
  <si>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</si>
  <si>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</si>
  <si>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</si>
  <si>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</si>
  <si>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</si>
  <si>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</si>
  <si>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</si>
  <si>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</si>
  <si>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</si>
  <si>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</si>
  <si>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</si>
  <si>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</si>
  <si>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</si>
  <si>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</si>
  <si>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</si>
  <si>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</si>
  <si>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</si>
  <si>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</si>
  <si>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</si>
  <si>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</si>
  <si>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</si>
  <si>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</si>
  <si>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</si>
  <si>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</si>
  <si>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</si>
  <si>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</si>
  <si>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</si>
  <si>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</si>
  <si>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</si>
  <si>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</si>
  <si>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</si>
  <si>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</si>
  <si>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</si>
  <si>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</si>
  <si>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</si>
  <si>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</si>
  <si>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</si>
  <si>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</si>
  <si>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</si>
  <si>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</si>
  <si>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</si>
  <si>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</si>
  <si>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</si>
  <si>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</si>
  <si>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</si>
  <si>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</si>
  <si>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</si>
  <si>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</si>
  <si>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</si>
  <si>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</si>
  <si>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</si>
  <si>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</si>
  <si>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</si>
  <si>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</si>
  <si>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</si>
  <si>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</si>
  <si>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</si>
  <si>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</si>
  <si>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</si>
  <si>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</si>
  <si>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</si>
  <si>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</si>
  <si>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</si>
  <si>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</si>
  <si>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</si>
  <si>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</si>
  <si>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</si>
  <si>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</si>
  <si>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</si>
  <si>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</si>
  <si>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</si>
  <si>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</si>
  <si>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</si>
  <si>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</si>
  <si>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</si>
  <si>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</si>
  <si>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</si>
  <si>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</si>
  <si>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</si>
  <si>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Official Site Supplement</t>
  </si>
  <si>
    <t>The Real Presence Supplement</t>
  </si>
  <si>
    <t>Miracle Hunter Supplement</t>
  </si>
  <si>
    <t>MaryPages Supplement</t>
  </si>
  <si>
    <t>, [Facebook](https://www.facebook.com/poutnimistofilipov)</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</si>
  <si>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</si>
  <si>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</si>
  <si>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</si>
  <si>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</si>
  <si>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</si>
  <si>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</si>
  <si>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</si>
  <si>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 [Facebook](https://www.facebook.com/ngomemarianshrine/)</t>
  </si>
  <si>
    <t>https://santuariotindari.it/</t>
  </si>
  <si>
    <t xml:space="preserve"> (Search for "Swieta Lipka")</t>
  </si>
  <si>
    <t>Sanctuary of Tindari</t>
  </si>
  <si>
    <t>Sanctuary of Holy Mary of Tindari</t>
  </si>
  <si>
    <t>sicily</t>
  </si>
  <si>
    <t>Cathedral of Our Lady of Puy</t>
  </si>
  <si>
    <t>https://www.cathedraledupuy.org/</t>
  </si>
  <si>
    <t>camino-de-santiago</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</si>
  <si>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</si>
  <si>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</si>
  <si>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</si>
  <si>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</si>
  <si>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</si>
  <si>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</si>
  <si>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</si>
  <si>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</si>
  <si>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</si>
  <si>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</si>
  <si>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</si>
  <si>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</si>
  <si>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</si>
  <si>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</si>
  <si>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Edits to be made to description</t>
  </si>
  <si>
    <t>Seitai Hoshikai (Our Lady of Akita)</t>
  </si>
  <si>
    <t>Seitai Hoshikai</t>
  </si>
  <si>
    <t>https://www.seitaihoshikai.com/</t>
  </si>
  <si>
    <t>Sanctuary of the Our Lady of Valverde</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</si>
  <si>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</si>
  <si>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</si>
  <si>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</si>
  <si>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</si>
  <si>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</si>
  <si>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</si>
  <si>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</si>
  <si>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</si>
  <si>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</si>
  <si>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</si>
  <si>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</si>
  <si>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</si>
  <si>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</si>
  <si>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</si>
  <si>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</si>
  <si>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</si>
  <si>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</si>
  <si>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</si>
  <si>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</si>
  <si>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</si>
  <si>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</si>
  <si>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</si>
  <si>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</si>
  <si>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</si>
  <si>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</si>
  <si>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</si>
  <si>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</si>
  <si>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</si>
  <si>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</si>
  <si>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</si>
  <si>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</si>
  <si>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</si>
  <si>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</si>
  <si>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</si>
  <si>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</si>
  <si>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</si>
  <si>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</si>
  <si>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</si>
  <si>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</si>
  <si>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</si>
  <si>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</si>
  <si>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</si>
  <si>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</si>
  <si>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</si>
  <si>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</si>
  <si>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</si>
  <si>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</si>
  <si>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</si>
  <si>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t>
  </si>
  <si>
    <t>http://www.miraclehunter.com/miraculous_images/icons_1600-1699.html</t>
  </si>
  <si>
    <t xml:space="preserve"> (Search "Lujan")</t>
  </si>
  <si>
    <t>, [Link](https://doroszlo.net/)</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</si>
  <si>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</si>
  <si>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</si>
  <si>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</si>
  <si>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</si>
  <si>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</si>
  <si>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</si>
  <si>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</si>
  <si>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</si>
  <si>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</si>
  <si>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</si>
  <si>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</si>
  <si>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</si>
  <si>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</si>
  <si>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</si>
  <si>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</si>
  <si>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</si>
  <si>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</si>
  <si>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</si>
  <si>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</si>
  <si>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</si>
  <si>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</si>
  <si>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</si>
  <si>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</si>
  <si>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</si>
  <si>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</si>
  <si>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</si>
  <si>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</si>
  <si>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</si>
  <si>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</si>
  <si>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</si>
  <si>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 Benoite Rencurel</t>
  </si>
  <si>
    <t>Fr. Marie-Alphonse Ratisbonne</t>
  </si>
  <si>
    <t>St. Bernadette of Lourdes</t>
  </si>
  <si>
    <t>Bl. Lucia dos Santos</t>
  </si>
  <si>
    <t>Sts. Francisco and Jacinta Marto</t>
  </si>
  <si>
    <t>? Reinolda May</t>
  </si>
  <si>
    <t>Coptic Church</t>
  </si>
  <si>
    <t>uk</t>
  </si>
  <si>
    <t>italy</t>
  </si>
  <si>
    <t>france</t>
  </si>
  <si>
    <t>portugal</t>
  </si>
  <si>
    <t>poland</t>
  </si>
  <si>
    <t>AT Pages</t>
  </si>
  <si>
    <t>AT1 Page</t>
  </si>
  <si>
    <t>AT2 Page</t>
  </si>
  <si>
    <t>AT3 Page</t>
  </si>
  <si>
    <t>All Cols</t>
  </si>
  <si>
    <t>S</t>
  </si>
  <si>
    <t>C</t>
  </si>
  <si>
    <t>Ready</t>
  </si>
  <si>
    <t>Y</t>
  </si>
  <si>
    <t>OD</t>
  </si>
  <si>
    <t>rome</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</si>
  <si>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</si>
  <si>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</si>
  <si>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</si>
  <si>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</si>
  <si>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</si>
  <si>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</si>
  <si>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</si>
  <si>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</si>
  <si>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</si>
  <si>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</si>
  <si>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</si>
  <si>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</si>
  <si>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</si>
  <si>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</si>
  <si>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</si>
  <si>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</si>
  <si>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</si>
  <si>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</si>
  <si>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</si>
  <si>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</si>
  <si>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</si>
  <si>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</si>
  <si>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</si>
  <si>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</si>
  <si>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</si>
  <si>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</si>
  <si>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</si>
  <si>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</si>
  <si>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</si>
  <si>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</si>
  <si>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</si>
  <si>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</si>
  <si>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</si>
  <si>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</si>
  <si>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</si>
  <si>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</si>
  <si>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</si>
  <si>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</si>
  <si>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</si>
  <si>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</si>
  <si>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</si>
  <si>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</si>
  <si>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</si>
  <si>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</si>
  <si>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</si>
  <si>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</si>
  <si>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</si>
  <si>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</si>
  <si>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</si>
  <si>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</si>
  <si>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</si>
  <si>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</si>
  <si>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</si>
  <si>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</si>
  <si>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</si>
  <si>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</si>
  <si>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</si>
  <si>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</si>
  <si>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</si>
  <si>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</si>
  <si>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</si>
  <si>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</si>
  <si>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</si>
  <si>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</si>
  <si>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</si>
  <si>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</si>
  <si>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</si>
  <si>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</si>
  <si>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</si>
  <si>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</si>
  <si>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</si>
  <si>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</si>
  <si>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</si>
  <si>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</si>
  <si>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</si>
  <si>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</si>
  <si>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</si>
  <si>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</si>
  <si>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</si>
  <si>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</si>
  <si>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</si>
  <si>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</si>
  <si>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</si>
  <si>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</si>
  <si>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</si>
  <si>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</si>
  <si>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</si>
  <si>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</si>
  <si>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</si>
  <si>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</si>
  <si>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</si>
  <si>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</si>
  <si>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</si>
  <si>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</si>
  <si>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</si>
  <si>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</si>
  <si>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</si>
  <si>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</si>
  <si>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</si>
  <si>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</si>
  <si>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</si>
  <si>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</si>
  <si>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</si>
  <si>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</si>
  <si>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</si>
  <si>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</si>
  <si>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</si>
  <si>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</si>
  <si>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</si>
  <si>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</si>
  <si>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</si>
  <si>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</si>
  <si>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</si>
  <si>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</si>
  <si>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</si>
  <si>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</si>
  <si>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</si>
  <si>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</si>
  <si>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</si>
  <si>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</si>
  <si>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</si>
  <si>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</si>
  <si>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</si>
  <si>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</si>
  <si>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</si>
  <si>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</si>
  <si>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</si>
  <si>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</si>
  <si>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</si>
  <si>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</si>
  <si>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</si>
  <si>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</si>
  <si>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</si>
  <si>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</si>
  <si>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</si>
  <si>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</si>
  <si>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</si>
  <si>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</si>
  <si>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</si>
  <si>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</si>
  <si>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</si>
  <si>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</si>
  <si>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</si>
  <si>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</si>
  <si>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</si>
  <si>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</si>
  <si>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</si>
  <si>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</si>
  <si>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</si>
  <si>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</si>
  <si>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</si>
  <si>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</si>
  <si>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</si>
  <si>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</si>
  <si>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</si>
  <si>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</si>
  <si>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</si>
  <si>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</si>
  <si>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</si>
  <si>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</si>
  <si>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</si>
  <si>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</si>
  <si>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</si>
  <si>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</si>
  <si>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</si>
  <si>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</si>
  <si>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</si>
  <si>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</si>
  <si>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</si>
  <si>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</si>
  <si>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</si>
  <si>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</si>
  <si>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</si>
  <si>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</si>
  <si>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</si>
  <si>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</si>
  <si>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</si>
  <si>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</si>
  <si>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</si>
  <si>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</si>
  <si>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</si>
  <si>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</si>
  <si>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</si>
  <si>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</si>
  <si>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</si>
  <si>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</si>
  <si>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</si>
  <si>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</si>
  <si>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</si>
  <si>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</si>
  <si>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</si>
  <si>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</si>
  <si>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</si>
  <si>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</si>
  <si>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</si>
  <si>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</si>
  <si>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</si>
  <si>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</si>
  <si>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</si>
  <si>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</si>
  <si>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</si>
  <si>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</si>
  <si>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</si>
  <si>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</si>
  <si>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</si>
  <si>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</si>
  <si>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</si>
  <si>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</si>
  <si>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</si>
  <si>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</si>
  <si>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</si>
  <si>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</si>
  <si>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</si>
  <si>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</si>
  <si>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</si>
  <si>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</si>
  <si>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</si>
  <si>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</si>
  <si>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</si>
  <si>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</si>
  <si>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</si>
  <si>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</si>
  <si>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</si>
  <si>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</si>
  <si>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</si>
  <si>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</si>
  <si>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</si>
  <si>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</si>
  <si>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</si>
  <si>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</si>
  <si>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</si>
  <si>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</si>
  <si>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</si>
  <si>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</si>
  <si>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</si>
  <si>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</si>
  <si>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</si>
  <si>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</si>
  <si>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</si>
  <si>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</si>
  <si>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</si>
  <si>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</si>
  <si>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</si>
  <si>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</si>
  <si>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</si>
  <si>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</si>
  <si>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</si>
  <si>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One of the most picturesque apparition sites to visit!  The road between Laus and nearby [La Salette](/places/fr-sanctuary-of-our-lady-of-la-salette) winds through the French Alpine countryside.
- JMM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</si>
  <si>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____ (left of the altar) and the heart of St. Vincent de Paul (furthest right).</t>
  </si>
  <si>
    <t>vincent-de-paul</t>
  </si>
  <si>
    <t>St. Vincent de Paul</t>
  </si>
  <si>
    <t>Thanks to the testimonies of the visionaries, pilgrims today can experience a very accurate representation of the original apparition.  The statues have been placed in the same place as the apparition, in front of the church wall and slightly above ground level.
- JMM</t>
  </si>
  <si>
    <t>The main website is down at time of writing; we'd recommend using the Facebook page as a backup source.
- JMM</t>
  </si>
  <si>
    <t>You can read the statement issued by the Papal Residence in Cairo [here](https://www.stmaryztn.org/saintmary/en/apparition-story/papal-statment).
- JMM</t>
  </si>
  <si>
    <t>We can't find an official website for the parish; their Facebook page has been listed for now.
- JMM</t>
  </si>
  <si>
    <t>We were unable to find an official page which is still live; there is an unofficial Facebook page [here](https://www.facebook.com/pages/The-Shrine-of-Our-Lady-of-the-Rosary-of-Namyang/243668322481803).  Please [contact us](/contact) if you know the correct link!
- JMM</t>
  </si>
  <si>
    <t>Unfortunately many modern visitors to the cathedral are more interested in its rooftop views, so it's important to be specific when asking for accurate information about services.  The cathedral website lists their service schedule [here](https://catedraldezaragoza.es/culto/).
- JMM</t>
  </si>
  <si>
    <t>Some good information on [Catholic Shrine Basilica](https://catholicshrinebasilica.com/sanctuary-of-our-lady-of-ludzmierz-poland/).
- JMM</t>
  </si>
  <si>
    <t>The monastery has published an excellent history of the shrine [here](https://lezajsk.bernardyni.pl/historia/) (in Polish).
- JMM</t>
  </si>
  <si>
    <t>The Facebook page appears to be the official site.
- JMM</t>
  </si>
  <si>
    <t>At the time of this miracle the land belonged to Hungary; a few sources still refer to the site as Hungarian.  The two potential official pages listed may not be accurate; please [contact us](/contact) if you have any better information.
- JMM</t>
  </si>
  <si>
    <t>Additional info and a good history [here](https://www.ourladyofsiluva.org/our_lady/).
- JMM</t>
  </si>
  <si>
    <t>Mass intentions requested at the gift shop will be prayed for at the very next mass.  Similar to the custom at [Our Lady of the Miraculous Medal](/places/fr-chapel-of-our-lady-of-the-miraculous-medal), grateful pilgrims have given thanks for answered prayers in the form of plaques lining the stairway down to the shrine.
- JMM</t>
  </si>
  <si>
    <t>We can't find an official website or other social media page for the basilica.  If you know of one, please [contact us](/contact).
- JMM</t>
  </si>
  <si>
    <t>Located in central Paris, OLMM is one of the more easily accessible Marian apparition sites, and often draws large crowds of pilgrims.  The nearby [St. Vincent de Paul Chapel](fr-st-vincent-de-paul-chapel)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Zion](/places/it-sant-andrea-delle-fratte) in Rome.
-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</si>
  <si>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 JMM</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</si>
  <si>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</si>
  <si>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</si>
  <si>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</si>
  <si>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</si>
  <si>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</si>
  <si>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</si>
  <si>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</si>
  <si>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</si>
  <si>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</si>
  <si>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Because of the Jesuit influence, there are noticeable similarities to the Chiesa del Gesù in Rome, both in decoration and function.  The image of Our Blessed Mother behind the altar is covered after each mass, similar to some Jesuit churches in Rome.
- JMM</t>
  </si>
  <si>
    <t>Basilica of Ta Pinu</t>
  </si>
  <si>
    <t>Level</t>
  </si>
  <si>
    <t>global</t>
  </si>
  <si>
    <t>Athisaya Panimatha Shrine</t>
  </si>
  <si>
    <t>https://www.athisayapanimatha.com/</t>
  </si>
  <si>
    <t>Athisaya Panimatha (Our Lady of Snows) Shrine, Kallikulam</t>
  </si>
  <si>
    <t>Research in progress</t>
  </si>
  <si>
    <t>An Indonesian parish of the same name also has a [good history](https://velangkanni.com/en/about-annai-velangkanni/) of the apparition.
- 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</si>
</sst>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5" fillId="0" borderId="0" applyNumberFormat="0" applyFill="0" applyBorder="0" applyAlignment="0" applyProtection="0"/>
  </cellStyleXfs>
  <cellXfs count="75">
    <xf numFmtId="0" fontId="0" fillId="0" borderId="0" xfId="0"/>
    <xf numFmtId="0" fontId="6" fillId="0" borderId="0" xfId="0" applyFont="1"/>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vertical="top" wrapText="1"/>
    </xf>
    <xf numFmtId="0" fontId="6" fillId="0" borderId="0" xfId="0" applyFont="1" applyAlignment="1">
      <alignment vertical="top"/>
    </xf>
    <xf numFmtId="0" fontId="7" fillId="0" borderId="0" xfId="0" applyFont="1" applyAlignment="1">
      <alignment horizontal="left" vertical="top"/>
    </xf>
    <xf numFmtId="0" fontId="8" fillId="0" borderId="0" xfId="1" applyFont="1" applyFill="1" applyAlignment="1">
      <alignment vertical="top"/>
    </xf>
    <xf numFmtId="0" fontId="9" fillId="0" borderId="0" xfId="0" applyFont="1" applyAlignment="1">
      <alignment vertical="top" wrapText="1"/>
    </xf>
    <xf numFmtId="0" fontId="7" fillId="0" borderId="0" xfId="0" applyFont="1" applyAlignment="1">
      <alignment vertical="top"/>
    </xf>
    <xf numFmtId="0" fontId="9" fillId="0" borderId="0" xfId="0" applyFont="1" applyAlignment="1">
      <alignment horizontal="left" vertical="top"/>
    </xf>
    <xf numFmtId="0" fontId="9" fillId="0" borderId="0" xfId="0" applyFont="1" applyAlignment="1">
      <alignment vertical="top"/>
    </xf>
    <xf numFmtId="0" fontId="6" fillId="0" borderId="0" xfId="0" applyFont="1" applyAlignment="1">
      <alignment horizontal="left" vertical="top"/>
    </xf>
    <xf numFmtId="0" fontId="6" fillId="0" borderId="0" xfId="0" applyFont="1" applyAlignment="1">
      <alignment vertical="top" wrapText="1"/>
    </xf>
    <xf numFmtId="0" fontId="10" fillId="0" borderId="0" xfId="0" applyFont="1" applyAlignment="1">
      <alignment vertical="center"/>
    </xf>
    <xf numFmtId="0" fontId="6" fillId="0" borderId="0" xfId="0" applyFont="1" applyAlignment="1">
      <alignment vertical="center"/>
    </xf>
    <xf numFmtId="0" fontId="6" fillId="0" borderId="0" xfId="0" applyFont="1" applyAlignment="1">
      <alignment vertical="center" wrapText="1"/>
    </xf>
    <xf numFmtId="0" fontId="6" fillId="0" borderId="0" xfId="0" quotePrefix="1" applyFont="1" applyAlignment="1">
      <alignment vertical="center"/>
    </xf>
    <xf numFmtId="0" fontId="0" fillId="2" borderId="0" xfId="0" applyFill="1"/>
    <xf numFmtId="0" fontId="0" fillId="3" borderId="0" xfId="0" applyFill="1"/>
    <xf numFmtId="0" fontId="5" fillId="3" borderId="0" xfId="1" applyFill="1"/>
    <xf numFmtId="0" fontId="6" fillId="4" borderId="0" xfId="0" applyFont="1" applyFill="1" applyAlignment="1">
      <alignment vertical="center"/>
    </xf>
    <xf numFmtId="0" fontId="12" fillId="0" borderId="0" xfId="0" applyFont="1" applyAlignment="1">
      <alignment vertical="center"/>
    </xf>
    <xf numFmtId="0" fontId="10" fillId="0" borderId="0" xfId="0" applyFont="1"/>
    <xf numFmtId="0" fontId="12"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xf>
    <xf numFmtId="0" fontId="10" fillId="0" borderId="1" xfId="0" applyFont="1" applyBorder="1" applyAlignment="1">
      <alignment vertical="center"/>
    </xf>
    <xf numFmtId="0" fontId="10" fillId="0" borderId="1" xfId="0" applyFont="1" applyBorder="1" applyAlignment="1">
      <alignment vertical="center" wrapText="1"/>
    </xf>
    <xf numFmtId="0" fontId="11" fillId="0" borderId="1" xfId="0" applyFont="1" applyBorder="1" applyAlignment="1">
      <alignment vertical="center"/>
    </xf>
    <xf numFmtId="0" fontId="11" fillId="0" borderId="1" xfId="0" applyFont="1" applyBorder="1" applyAlignment="1">
      <alignment vertical="center" wrapText="1"/>
    </xf>
    <xf numFmtId="0" fontId="15" fillId="0" borderId="1" xfId="1" applyFont="1" applyFill="1" applyBorder="1" applyAlignment="1">
      <alignment horizontal="left" vertical="center"/>
    </xf>
    <xf numFmtId="0" fontId="6" fillId="0" borderId="1" xfId="0" applyFont="1" applyBorder="1" applyAlignment="1">
      <alignment vertical="center"/>
    </xf>
    <xf numFmtId="0" fontId="6" fillId="0" borderId="1" xfId="0" applyFont="1" applyBorder="1" applyAlignment="1">
      <alignment vertical="center" wrapText="1"/>
    </xf>
    <xf numFmtId="0" fontId="6" fillId="0" borderId="1" xfId="0" quotePrefix="1" applyFont="1" applyBorder="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wrapText="1"/>
    </xf>
    <xf numFmtId="0" fontId="12" fillId="0" borderId="1" xfId="0" quotePrefix="1" applyFont="1" applyBorder="1" applyAlignment="1">
      <alignment vertical="center"/>
    </xf>
    <xf numFmtId="0" fontId="12" fillId="0" borderId="1" xfId="0" applyFont="1" applyBorder="1" applyAlignment="1">
      <alignment vertical="center" wrapText="1"/>
    </xf>
    <xf numFmtId="0" fontId="6" fillId="2" borderId="1" xfId="0" applyFont="1" applyFill="1" applyBorder="1" applyAlignment="1">
      <alignment vertical="center" wrapText="1"/>
    </xf>
    <xf numFmtId="0" fontId="6" fillId="0" borderId="1" xfId="0" quotePrefix="1" applyFont="1" applyBorder="1" applyAlignment="1">
      <alignment vertical="center" wrapText="1"/>
    </xf>
    <xf numFmtId="0" fontId="15" fillId="4" borderId="1" xfId="1" applyFont="1" applyFill="1" applyBorder="1" applyAlignment="1">
      <alignment horizontal="left" vertical="center"/>
    </xf>
    <xf numFmtId="0" fontId="6" fillId="4" borderId="1" xfId="0" applyFont="1" applyFill="1" applyBorder="1" applyAlignment="1">
      <alignment vertical="center"/>
    </xf>
    <xf numFmtId="0" fontId="6" fillId="4" borderId="1" xfId="0" applyFont="1" applyFill="1" applyBorder="1" applyAlignment="1">
      <alignment vertical="center" wrapText="1"/>
    </xf>
    <xf numFmtId="0" fontId="6" fillId="4" borderId="1" xfId="0" quotePrefix="1" applyFont="1" applyFill="1" applyBorder="1" applyAlignment="1">
      <alignment vertical="center" wrapText="1"/>
    </xf>
    <xf numFmtId="0" fontId="12" fillId="4" borderId="1" xfId="0" applyFont="1" applyFill="1" applyBorder="1" applyAlignment="1">
      <alignment vertical="center"/>
    </xf>
    <xf numFmtId="0" fontId="12" fillId="4" borderId="1" xfId="0" quotePrefix="1" applyFont="1" applyFill="1" applyBorder="1" applyAlignment="1">
      <alignment vertical="center" wrapText="1"/>
    </xf>
    <xf numFmtId="0" fontId="13" fillId="0" borderId="1" xfId="0" applyFont="1" applyBorder="1" applyAlignment="1">
      <alignment vertical="center"/>
    </xf>
    <xf numFmtId="0" fontId="14" fillId="0" borderId="1" xfId="0" applyFont="1" applyBorder="1" applyAlignment="1">
      <alignment vertical="center"/>
    </xf>
    <xf numFmtId="0" fontId="14" fillId="4" borderId="1" xfId="0" applyFont="1" applyFill="1" applyBorder="1" applyAlignment="1">
      <alignment vertical="center"/>
    </xf>
    <xf numFmtId="0" fontId="14" fillId="0" borderId="0" xfId="0" applyFont="1" applyAlignment="1">
      <alignment vertical="center"/>
    </xf>
    <xf numFmtId="0" fontId="10" fillId="4" borderId="1" xfId="0" applyFont="1" applyFill="1" applyBorder="1" applyAlignment="1">
      <alignment vertical="center"/>
    </xf>
    <xf numFmtId="0" fontId="4" fillId="0" borderId="1" xfId="0" applyFont="1" applyBorder="1" applyAlignment="1">
      <alignment vertical="center" wrapText="1"/>
    </xf>
    <xf numFmtId="0" fontId="4" fillId="0" borderId="1" xfId="0" applyFont="1" applyBorder="1" applyAlignment="1">
      <alignment vertical="center"/>
    </xf>
    <xf numFmtId="0" fontId="4" fillId="0" borderId="0" xfId="0" applyFont="1" applyAlignment="1">
      <alignment vertical="center"/>
    </xf>
    <xf numFmtId="0" fontId="4" fillId="0" borderId="0" xfId="0" applyFont="1" applyAlignment="1">
      <alignment vertical="center" wrapText="1"/>
    </xf>
    <xf numFmtId="0" fontId="3" fillId="0" borderId="0" xfId="0" applyFont="1" applyAlignment="1">
      <alignment vertical="center" wrapText="1"/>
    </xf>
    <xf numFmtId="0" fontId="3" fillId="0" borderId="1" xfId="0" applyFont="1" applyBorder="1" applyAlignment="1">
      <alignment vertical="center"/>
    </xf>
    <xf numFmtId="0" fontId="3" fillId="0" borderId="1" xfId="0" applyFont="1" applyBorder="1" applyAlignment="1">
      <alignment vertical="center" wrapText="1"/>
    </xf>
    <xf numFmtId="0" fontId="3" fillId="0" borderId="1" xfId="0" quotePrefix="1" applyFont="1" applyBorder="1" applyAlignment="1">
      <alignment vertical="center"/>
    </xf>
    <xf numFmtId="0" fontId="10" fillId="0" borderId="1" xfId="0" applyFont="1" applyBorder="1" applyAlignment="1">
      <alignment horizontal="left" vertical="center"/>
    </xf>
    <xf numFmtId="0" fontId="6" fillId="0" borderId="1" xfId="0" applyFont="1" applyBorder="1" applyAlignment="1">
      <alignment horizontal="left" vertical="center"/>
    </xf>
    <xf numFmtId="0" fontId="6" fillId="4" borderId="1" xfId="0" applyFont="1" applyFill="1" applyBorder="1" applyAlignment="1">
      <alignment horizontal="left" vertical="center"/>
    </xf>
    <xf numFmtId="0" fontId="6" fillId="0" borderId="0" xfId="0" applyFont="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xf>
    <xf numFmtId="0" fontId="2" fillId="0" borderId="1" xfId="0" applyFont="1" applyBorder="1" applyAlignment="1">
      <alignment vertical="center" wrapText="1"/>
    </xf>
    <xf numFmtId="0" fontId="2" fillId="0" borderId="0" xfId="0" applyFont="1"/>
    <xf numFmtId="0" fontId="2" fillId="2" borderId="0" xfId="0" applyFont="1" applyFill="1"/>
    <xf numFmtId="0" fontId="2" fillId="0" borderId="1" xfId="0" quotePrefix="1" applyFont="1" applyBorder="1" applyAlignment="1">
      <alignment vertical="center"/>
    </xf>
    <xf numFmtId="0" fontId="2" fillId="0" borderId="1" xfId="0" quotePrefix="1" applyFont="1" applyBorder="1" applyAlignment="1">
      <alignment vertical="center" wrapText="1"/>
    </xf>
    <xf numFmtId="0" fontId="2" fillId="0" borderId="0" xfId="0" applyFont="1" applyAlignment="1">
      <alignment vertical="center"/>
    </xf>
    <xf numFmtId="0" fontId="1" fillId="0" borderId="1" xfId="0" applyFont="1" applyBorder="1" applyAlignment="1">
      <alignment vertical="center" wrapText="1"/>
    </xf>
    <xf numFmtId="0" fontId="1" fillId="0" borderId="1" xfId="0" applyFont="1" applyBorder="1" applyAlignment="1">
      <alignment vertical="center"/>
    </xf>
    <xf numFmtId="0" fontId="1" fillId="0" borderId="0" xfId="0" applyFont="1" applyAlignment="1">
      <alignment vertical="center"/>
    </xf>
  </cellXfs>
  <cellStyles count="2">
    <cellStyle name="Hyperlink" xfId="1" builtinId="8"/>
    <cellStyle name="Normal" xfId="0" builtinId="0"/>
  </cellStyles>
  <dxfs count="4">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3_VALVERDE_60x96.pdf" TargetMode="External"/><Relationship Id="rId42" Type="http://schemas.openxmlformats.org/officeDocument/2006/relationships/hyperlink" Target="http://www.therealpresence.org/eucharst/misc/BVM/47_BETTOLA_60x96.pdf" TargetMode="External"/><Relationship Id="rId63" Type="http://schemas.openxmlformats.org/officeDocument/2006/relationships/hyperlink" Target="http://www.therealpresence.org/eucharst/misc/BVM/116_VACCIAGO_60x96.pdf" TargetMode="External"/><Relationship Id="rId84" Type="http://schemas.openxmlformats.org/officeDocument/2006/relationships/hyperlink" Target="http://www.therealpresence.org/eucharst/misc/BVM/88_MANAOAG_60x96.pdf" TargetMode="External"/><Relationship Id="rId138" Type="http://schemas.openxmlformats.org/officeDocument/2006/relationships/hyperlink" Target="http://www.therealpresence.org/eucharst/misc/BVM/128_KALLIKULAM_60x96.pdf" TargetMode="External"/><Relationship Id="rId107" Type="http://schemas.openxmlformats.org/officeDocument/2006/relationships/hyperlink" Target="http://www.therealpresence.org/eucharst/misc/BVM/126_ORNANS_60x96.pdf" TargetMode="External"/><Relationship Id="rId11" Type="http://schemas.openxmlformats.org/officeDocument/2006/relationships/hyperlink" Target="http://www.therealpresence.org/eucharst/misc/BVM/138_SWIETA_LIPKA_60x96.pdf" TargetMode="External"/><Relationship Id="rId32" Type="http://schemas.openxmlformats.org/officeDocument/2006/relationships/hyperlink" Target="http://www.therealpresence.org/eucharst/misc/BVM/75_BADIA_DI_CAVA_60x96.pdf" TargetMode="External"/><Relationship Id="rId53" Type="http://schemas.openxmlformats.org/officeDocument/2006/relationships/hyperlink" Target="http://www.therealpresence.org/eucharst/misc/BVM/34_ADRO_60x96.pdf" TargetMode="External"/><Relationship Id="rId74" Type="http://schemas.openxmlformats.org/officeDocument/2006/relationships/hyperlink" Target="http://www.therealpresence.org/eucharst/misc/BVM/131_QUINCHE_60x96.pdf" TargetMode="External"/><Relationship Id="rId128" Type="http://schemas.openxmlformats.org/officeDocument/2006/relationships/hyperlink" Target="http://www.therealpresence.org/eucharst/misc/BVM/154_FATIMA_96x96_1.pdf" TargetMode="External"/><Relationship Id="rId149" Type="http://schemas.openxmlformats.org/officeDocument/2006/relationships/hyperlink" Target="http://www.therealpresence.org/eucharst/misc/BVM/01_AKITA_60x96.pdf" TargetMode="External"/><Relationship Id="rId5" Type="http://schemas.openxmlformats.org/officeDocument/2006/relationships/hyperlink" Target="http://www.therealpresence.org/eucharst/misc/BVM/121_MONTSERRAT_60x96.pdf" TargetMode="External"/><Relationship Id="rId95" Type="http://schemas.openxmlformats.org/officeDocument/2006/relationships/hyperlink" Target="http://www.therealpresence.org/eucharst/misc/BVM/54_SAN_BARTOLOMEO_60x96.pdf" TargetMode="External"/><Relationship Id="rId22" Type="http://schemas.openxmlformats.org/officeDocument/2006/relationships/hyperlink" Target="http://www.therealpresence.org/eucharst/misc/BVM/43_CASTEL_GODEGO_60x96.pdf" TargetMode="External"/><Relationship Id="rId27" Type="http://schemas.openxmlformats.org/officeDocument/2006/relationships/hyperlink" Target="http://www.therealpresence.org/eucharst/misc/BVM/105_FUERTEVENTURA_60x96.pdf" TargetMode="External"/><Relationship Id="rId43" Type="http://schemas.openxmlformats.org/officeDocument/2006/relationships/hyperlink" Target="http://www.therealpresence.org/eucharst/misc/BVM/65_MOLARE_60x96.pdf" TargetMode="External"/><Relationship Id="rId48" Type="http://schemas.openxmlformats.org/officeDocument/2006/relationships/hyperlink" Target="http://www.therealpresence.org/eucharst/misc/BVM/122_MOTTA_DI_LIV_96x96.pdf" TargetMode="External"/><Relationship Id="rId64" Type="http://schemas.openxmlformats.org/officeDocument/2006/relationships/hyperlink" Target="http://www.therealpresence.org/eucharst/misc/BVM/60_PIETRALBA_96x96.pdf" TargetMode="External"/><Relationship Id="rId69" Type="http://schemas.openxmlformats.org/officeDocument/2006/relationships/hyperlink" Target="http://www.therealpresence.org/eucharst/misc/BVM/141_MONCRIVELLO_60x96.pdf" TargetMode="External"/><Relationship Id="rId113" Type="http://schemas.openxmlformats.org/officeDocument/2006/relationships/hyperlink" Target="http://www.therealpresence.org/eucharst/misc/BVM/27_PORZUS_60x96.pdf" TargetMode="External"/><Relationship Id="rId118" Type="http://schemas.openxmlformats.org/officeDocument/2006/relationships/hyperlink" Target="http://www.therealpresence.org/eucharst/misc/BVM/26_PONTMAIN_60x96.pdf" TargetMode="External"/><Relationship Id="rId134" Type="http://schemas.openxmlformats.org/officeDocument/2006/relationships/hyperlink" Target="http://www.therealpresence.org/eucharst/misc/BVM/39_BANNEAUX_96x96.pdf" TargetMode="External"/><Relationship Id="rId139" Type="http://schemas.openxmlformats.org/officeDocument/2006/relationships/hyperlink" Target="http://www.therealpresence.org/eucharst/misc/BVM/149_MARIENFRIED_140x96.pdf" TargetMode="External"/><Relationship Id="rId80" Type="http://schemas.openxmlformats.org/officeDocument/2006/relationships/hyperlink" Target="http://www.therealpresence.org/eucharst/misc/BVM/94_CAYSASAY_60x96.pdf" TargetMode="External"/><Relationship Id="rId85" Type="http://schemas.openxmlformats.org/officeDocument/2006/relationships/hyperlink" Target="http://www.therealpresence.org/eucharst/misc/BVM/102_CUBA_96x96.pdf" TargetMode="External"/><Relationship Id="rId150" Type="http://schemas.openxmlformats.org/officeDocument/2006/relationships/hyperlink" Target="http://www.therealpresence.org/eucharst/misc/BVM/16_CUAPA_60x96.pdf" TargetMode="External"/><Relationship Id="rId12" Type="http://schemas.openxmlformats.org/officeDocument/2006/relationships/hyperlink" Target="http://www.therealpresence.org/eucharst/misc/BVM/38_ASSISI_60x96.pdf" TargetMode="External"/><Relationship Id="rId17" Type="http://schemas.openxmlformats.org/officeDocument/2006/relationships/hyperlink" Target="http://www.therealpresence.org/eucharst/misc/BVM/133_ROMA_POZZO_60x96.pdf" TargetMode="External"/><Relationship Id="rId33" Type="http://schemas.openxmlformats.org/officeDocument/2006/relationships/hyperlink" Target="http://www.therealpresence.org/eucharst/misc/BVM/42_BOCCADIRIO_60x96.pdf" TargetMode="External"/><Relationship Id="rId38" Type="http://schemas.openxmlformats.org/officeDocument/2006/relationships/hyperlink" Target="http://www.therealpresence.org/eucharst/misc/BVM/64_GENOVA_60x96.pdf" TargetMode="External"/><Relationship Id="rId59" Type="http://schemas.openxmlformats.org/officeDocument/2006/relationships/hyperlink" Target="http://www.therealpresence.org/eucharst/misc/BVM/70_GUADALUPE_96x96.pdf" TargetMode="External"/><Relationship Id="rId103" Type="http://schemas.openxmlformats.org/officeDocument/2006/relationships/hyperlink" Target="http://www.therealpresence.org/eucharst/misc/BVM/95_CHAGUAYA_60x96.pdf" TargetMode="External"/><Relationship Id="rId108" Type="http://schemas.openxmlformats.org/officeDocument/2006/relationships/hyperlink" Target="http://www.therealpresence.org/eucharst/misc/BVM/110_LICHEN_96x96.pdf" TargetMode="External"/><Relationship Id="rId124" Type="http://schemas.openxmlformats.org/officeDocument/2006/relationships/hyperlink" Target="http://www.therealpresence.org/eucharst/misc/BVM/82_CASTELPETROSO_60x96.pdf" TargetMode="External"/><Relationship Id="rId129" Type="http://schemas.openxmlformats.org/officeDocument/2006/relationships/hyperlink" Target="http://www.therealpresence.org/eucharst/misc/BVM/46_TORINO_60x96.pdf" TargetMode="External"/><Relationship Id="rId54" Type="http://schemas.openxmlformats.org/officeDocument/2006/relationships/hyperlink" Target="http://www.therealpresence.org/eucharst/misc/BVM/83_COTIGNAC_60x96.pdf" TargetMode="External"/><Relationship Id="rId70" Type="http://schemas.openxmlformats.org/officeDocument/2006/relationships/hyperlink" Target="http://www.therealpresence.org/eucharst/misc/BVM/140_GOZO_60x96.pdf" TargetMode="External"/><Relationship Id="rId75" Type="http://schemas.openxmlformats.org/officeDocument/2006/relationships/hyperlink" Target="http://www.therealpresence.org/eucharst/misc/BVM/132_QUITO_96x96.pdf" TargetMode="External"/><Relationship Id="rId91" Type="http://schemas.openxmlformats.org/officeDocument/2006/relationships/hyperlink" Target="http://www.therealpresence.org/eucharst/misc/BVM/14_GUANARE_60x96.pdf" TargetMode="External"/><Relationship Id="rId96" Type="http://schemas.openxmlformats.org/officeDocument/2006/relationships/hyperlink" Target="http://www.therealpresence.org/eucharst/misc/BVM/145_GYOR_96x96.pdf" TargetMode="External"/><Relationship Id="rId140" Type="http://schemas.openxmlformats.org/officeDocument/2006/relationships/hyperlink" Target="http://www.therealpresence.org/eucharst/misc/BVM/152_SIEKIERKI_96x96.pdf" TargetMode="External"/><Relationship Id="rId145" Type="http://schemas.openxmlformats.org/officeDocument/2006/relationships/hyperlink" Target="http://www.therealpresence.org/eucharst/misc/BVM/28_SIRACUSA_6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53_WALSINGHAM_60x96.pdf" TargetMode="External"/><Relationship Id="rId23" Type="http://schemas.openxmlformats.org/officeDocument/2006/relationships/hyperlink" Target="http://www.therealpresence.org/eucharst/misc/BVM/100_CORDOBA_60x96.pdf" TargetMode="External"/><Relationship Id="rId28" Type="http://schemas.openxmlformats.org/officeDocument/2006/relationships/hyperlink" Target="http://www.therealpresence.org/eucharst/misc/BVM/115_S_ANASTASIA_96x96.pdf" TargetMode="External"/><Relationship Id="rId49" Type="http://schemas.openxmlformats.org/officeDocument/2006/relationships/hyperlink" Target="http://www.therealpresence.org/eucharst/misc/BVM/66_PESCHIERA_S-GARDA_60x96.pdf" TargetMode="External"/><Relationship Id="rId114" Type="http://schemas.openxmlformats.org/officeDocument/2006/relationships/hyperlink" Target="http://www.therealpresence.org/eucharst/misc/BVM/40_LOURDES_140x96.pdf" TargetMode="External"/><Relationship Id="rId119" Type="http://schemas.openxmlformats.org/officeDocument/2006/relationships/hyperlink" Target="http://www.therealpresence.org/eucharst/misc/BVM/135_S_BAUZILLE_96x96.pdf" TargetMode="External"/><Relationship Id="rId44" Type="http://schemas.openxmlformats.org/officeDocument/2006/relationships/hyperlink" Target="http://www.therealpresence.org/eucharst/misc/BVM/32_VAILANKANNI_60x96.pdf" TargetMode="External"/><Relationship Id="rId60" Type="http://schemas.openxmlformats.org/officeDocument/2006/relationships/hyperlink" Target="http://www.therealpresence.org/eucharst/misc/BVM/29_SAVONA_60x96.pdf" TargetMode="External"/><Relationship Id="rId65" Type="http://schemas.openxmlformats.org/officeDocument/2006/relationships/hyperlink" Target="http://www.therealpresence.org/eucharst/misc/BVM/10_CORBETTA_60x96.pdf" TargetMode="External"/><Relationship Id="rId81" Type="http://schemas.openxmlformats.org/officeDocument/2006/relationships/hyperlink" Target="http://www.therealpresence.org/eucharst/misc/BVM/104_DOROSZLO_60x96.pdf" TargetMode="External"/><Relationship Id="rId86" Type="http://schemas.openxmlformats.org/officeDocument/2006/relationships/hyperlink" Target="http://www.therealpresence.org/eucharst/misc/BVM/22_MONFERRATO_60x96.pdf" TargetMode="External"/><Relationship Id="rId130" Type="http://schemas.openxmlformats.org/officeDocument/2006/relationships/hyperlink" Target="http://www.therealpresence.org/eucharst/misc/BVM/04_CERNUSCO_60x96.pdf" TargetMode="External"/><Relationship Id="rId135" Type="http://schemas.openxmlformats.org/officeDocument/2006/relationships/hyperlink" Target="http://www.therealpresence.org/eucharst/misc/BVM/151_PESQUEIRA_140x96.pdf" TargetMode="External"/><Relationship Id="rId151" Type="http://schemas.openxmlformats.org/officeDocument/2006/relationships/hyperlink" Target="http://www.therealpresence.org/eucharst/misc/BVM/20_KIBEHO_96x96.pdf" TargetMode="External"/><Relationship Id="rId13" Type="http://schemas.openxmlformats.org/officeDocument/2006/relationships/hyperlink" Target="http://www.therealpresence.org/eucharst/misc/BVM/136_ARCOS_60x96.pdf" TargetMode="External"/><Relationship Id="rId18" Type="http://schemas.openxmlformats.org/officeDocument/2006/relationships/hyperlink" Target="http://www.therealpresence.org/eucharst/misc/BVM/148_LORETO_140x96.pdf" TargetMode="External"/><Relationship Id="rId39" Type="http://schemas.openxmlformats.org/officeDocument/2006/relationships/hyperlink" Target="http://www.therealpresence.org/eucharst/misc/BVM/24_TROIS_EPIS_60x96.pdf" TargetMode="External"/><Relationship Id="rId109"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106_TEROR_60x96.pdf" TargetMode="External"/><Relationship Id="rId50" Type="http://schemas.openxmlformats.org/officeDocument/2006/relationships/hyperlink" Target="http://www.therealpresence.org/eucharst/misc/BVM/41_BERGAMO_60x96.pdf" TargetMode="External"/><Relationship Id="rId55" Type="http://schemas.openxmlformats.org/officeDocument/2006/relationships/hyperlink" Target="http://www.therealpresence.org/eucharst/misc/BVM/114_CORI_60x96.pdf" TargetMode="External"/><Relationship Id="rId76" Type="http://schemas.openxmlformats.org/officeDocument/2006/relationships/hyperlink" Target="http://www.therealpresence.org/eucharst/misc/BVM/120_RAPALLO_60x96.pdf" TargetMode="External"/><Relationship Id="rId97" Type="http://schemas.openxmlformats.org/officeDocument/2006/relationships/hyperlink" Target="http://www.therealpresence.org/eucharst/misc/BVM/73_COTOCA_60x96.pdf" TargetMode="External"/><Relationship Id="rId104" Type="http://schemas.openxmlformats.org/officeDocument/2006/relationships/hyperlink" Target="http://www.therealpresence.org/eucharst/misc/BVM/109_LAJAS_96x96.pdf" TargetMode="External"/><Relationship Id="rId120" Type="http://schemas.openxmlformats.org/officeDocument/2006/relationships/hyperlink" Target="http://www.therealpresence.org/eucharst/misc/BVM/25_POMPEI_96x96.pdf" TargetMode="External"/><Relationship Id="rId125" Type="http://schemas.openxmlformats.org/officeDocument/2006/relationships/hyperlink" Target="http://www.therealpresence.org/eucharst/misc/BVM/139_SZCZYRK_60x96.pdf" TargetMode="External"/><Relationship Id="rId141" Type="http://schemas.openxmlformats.org/officeDocument/2006/relationships/hyperlink" Target="http://www.therealpresence.org/eucharst/misc/BVM/99_CODOSERA_140x96.pdf" TargetMode="External"/><Relationship Id="rId146" Type="http://schemas.openxmlformats.org/officeDocument/2006/relationships/hyperlink" Target="http://www.therealpresence.org/eucharst/misc/BVM/124_NGOME_140x96.pdf" TargetMode="External"/><Relationship Id="rId7" Type="http://schemas.openxmlformats.org/officeDocument/2006/relationships/hyperlink" Target="http://www.therealpresence.org/eucharst/misc/BVM/80_MONTEFORTINO_60x96.pdf" TargetMode="External"/><Relationship Id="rId71" Type="http://schemas.openxmlformats.org/officeDocument/2006/relationships/hyperlink" Target="http://www.therealpresence.org/eucharst/misc/BVM/52_CASALBORDINO_60x96.pdf" TargetMode="External"/><Relationship Id="rId92" Type="http://schemas.openxmlformats.org/officeDocument/2006/relationships/hyperlink" Target="http://www.therealpresence.org/eucharst/misc/BVM/108_LA_PRENESSAYE_60x96.pdf" TargetMode="External"/><Relationship Id="rId2" Type="http://schemas.openxmlformats.org/officeDocument/2006/relationships/hyperlink" Target="http://www.therealpresence.org/eucharst/misc/BVM/68_LE_PUY_60x96.pdf" TargetMode="External"/><Relationship Id="rId29" Type="http://schemas.openxmlformats.org/officeDocument/2006/relationships/hyperlink" Target="http://www.therealpresence.org/eucharst/misc/BVM/45_GHISALBA_60x96.pdf" TargetMode="External"/><Relationship Id="rId24" Type="http://schemas.openxmlformats.org/officeDocument/2006/relationships/hyperlink" Target="http://www.therealpresence.org/eucharst/misc/BVM/58_MONTE_BERICO_60x96.pdf" TargetMode="External"/><Relationship Id="rId40" Type="http://schemas.openxmlformats.org/officeDocument/2006/relationships/hyperlink" Target="http://www.therealpresence.org/eucharst/misc/BVM/51_GALLIVAGGIO_60x96.pdf" TargetMode="External"/><Relationship Id="rId45" Type="http://schemas.openxmlformats.org/officeDocument/2006/relationships/hyperlink" Target="http://www.therealpresence.org/eucharst/misc/BVM/98_ANDACOLLO_CILE_60x96.pdf" TargetMode="External"/><Relationship Id="rId66" Type="http://schemas.openxmlformats.org/officeDocument/2006/relationships/hyperlink" Target="http://www.therealpresence.org/eucharst/misc/BVM/02_ARCOLA_60x96.pdf" TargetMode="External"/><Relationship Id="rId87" Type="http://schemas.openxmlformats.org/officeDocument/2006/relationships/hyperlink" Target="http://www.therealpresence.org/eucharst/misc/BVM/118_MARBACH_60x96.pdf" TargetMode="External"/><Relationship Id="rId110" Type="http://schemas.openxmlformats.org/officeDocument/2006/relationships/hyperlink" Target="http://www.therealpresence.org/eucharst/misc/BVM/23_ROMA_60x96.pdf" TargetMode="External"/><Relationship Id="rId115" Type="http://schemas.openxmlformats.org/officeDocument/2006/relationships/hyperlink" Target="http://www.therealpresence.org/eucharst/misc/BVM/96_CHAMPION_140x96.pdf" TargetMode="External"/><Relationship Id="rId131" Type="http://schemas.openxmlformats.org/officeDocument/2006/relationships/hyperlink" Target="http://www.therealpresence.org/eucharst/misc/BVM/31_PONTEVEDRA_96x96.pdf" TargetMode="External"/><Relationship Id="rId136" Type="http://schemas.openxmlformats.org/officeDocument/2006/relationships/hyperlink" Target="http://www.therealpresence.org/eucharst/misc/BVM/146_HEEDE_140x96.pdf" TargetMode="External"/><Relationship Id="rId61" Type="http://schemas.openxmlformats.org/officeDocument/2006/relationships/hyperlink" Target="http://www.therealpresence.org/eucharst/misc/BVM/137_SVETA_GORA_60x96.pdf" TargetMode="External"/><Relationship Id="rId82" Type="http://schemas.openxmlformats.org/officeDocument/2006/relationships/hyperlink" Target="http://www.therealpresence.org/eucharst/misc/BVM/36_ARDESIO_60x96.pdf" TargetMode="External"/><Relationship Id="rId152" Type="http://schemas.openxmlformats.org/officeDocument/2006/relationships/hyperlink" Target="http://www.therealpresence.org/eucharst/misc/BVM/143_NAMYANG_96x96.pdf" TargetMode="External"/><Relationship Id="rId19" Type="http://schemas.openxmlformats.org/officeDocument/2006/relationships/hyperlink" Target="http://www.therealpresence.org/eucharst/misc/BVM/44_BRA_60x96.pdf" TargetMode="External"/><Relationship Id="rId14" Type="http://schemas.openxmlformats.org/officeDocument/2006/relationships/hyperlink" Target="http://www.therealpresence.org/eucharst/misc/BVM/35_CORTES_60x96.pdf" TargetMode="External"/><Relationship Id="rId30" Type="http://schemas.openxmlformats.org/officeDocument/2006/relationships/hyperlink" Target="http://www.therealpresence.org/eucharst/misc/BVM/72_GARLASCO_60x96.pdf" TargetMode="External"/><Relationship Id="rId35" Type="http://schemas.openxmlformats.org/officeDocument/2006/relationships/hyperlink" Target="http://www.therealpresence.org/eucharst/misc/BVM/49_IMOLA_60x96.pdf" TargetMode="External"/><Relationship Id="rId56" Type="http://schemas.openxmlformats.org/officeDocument/2006/relationships/hyperlink" Target="http://www.therealpresence.org/eucharst/misc/BVM/48_CUSSANIO_60x96.pdf" TargetMode="External"/><Relationship Id="rId77" Type="http://schemas.openxmlformats.org/officeDocument/2006/relationships/hyperlink" Target="http://www.therealpresence.org/eucharst/misc/BVM/61_BETHARRAM_60x96.pdf" TargetMode="External"/><Relationship Id="rId100" Type="http://schemas.openxmlformats.org/officeDocument/2006/relationships/hyperlink" Target="http://www.therealpresence.org/eucharst/misc/BVM/77_VALE_DO_PARAIBA_60x96.pdf" TargetMode="External"/><Relationship Id="rId105" Type="http://schemas.openxmlformats.org/officeDocument/2006/relationships/hyperlink" Target="http://www.therealpresence.org/eucharst/misc/BVM/33_ABSAM_60x96.pdf" TargetMode="External"/><Relationship Id="rId126" Type="http://schemas.openxmlformats.org/officeDocument/2006/relationships/hyperlink" Target="http://www.therealpresence.org/eucharst/misc/BVM/91_BETANIA_96x96.pdf" TargetMode="External"/><Relationship Id="rId147" Type="http://schemas.openxmlformats.org/officeDocument/2006/relationships/hyperlink" Target="http://www.therealpresence.org/eucharst/misc/BVM/150_FOSTORIA_140x96.pdf" TargetMode="External"/><Relationship Id="rId8" Type="http://schemas.openxmlformats.org/officeDocument/2006/relationships/hyperlink" Target="http://www.therealpresence.org/eucharst/misc/BVM/86_FOGGIA_60x96.pdf" TargetMode="External"/><Relationship Id="rId51" Type="http://schemas.openxmlformats.org/officeDocument/2006/relationships/hyperlink" Target="http://www.therealpresence.org/eucharst/misc/BVM/134_RZESZOW_96x96.pdf" TargetMode="External"/><Relationship Id="rId72" Type="http://schemas.openxmlformats.org/officeDocument/2006/relationships/hyperlink" Target="http://www.therealpresence.org/eucharst/misc/BVM/129_LUMARZO_60x96.pdf" TargetMode="External"/><Relationship Id="rId93" Type="http://schemas.openxmlformats.org/officeDocument/2006/relationships/hyperlink" Target="http://www.therealpresence.org/eucharst/misc/BVM/08_PIEVE_DI_TAGLIAM_60x96.pdf" TargetMode="External"/><Relationship Id="rId98" Type="http://schemas.openxmlformats.org/officeDocument/2006/relationships/hyperlink" Target="http://www.therealpresence.org/eucharst/misc/BVM/142_QUILLACOLLO_60x96.pdf" TargetMode="External"/><Relationship Id="rId121" Type="http://schemas.openxmlformats.org/officeDocument/2006/relationships/hyperlink" Target="http://www.therealpresence.org/eucharst/misc/BVM/07_PELLEVOISIN_60x96.pdf" TargetMode="External"/><Relationship Id="rId142" Type="http://schemas.openxmlformats.org/officeDocument/2006/relationships/hyperlink" Target="http://www.therealpresence.org/eucharst/misc/BVM/19_ILE_BOUCHARD_96x96.pdf" TargetMode="External"/><Relationship Id="rId3" Type="http://schemas.openxmlformats.org/officeDocument/2006/relationships/hyperlink" Target="http://www.therealpresence.org/eucharst/misc/BVM/117_ROMA_60x96.pdf" TargetMode="External"/><Relationship Id="rId25" Type="http://schemas.openxmlformats.org/officeDocument/2006/relationships/hyperlink" Target="http://www.therealpresence.org/eucharst/misc/BVM/15_CARAVAGGIO_60x96.pdf" TargetMode="External"/><Relationship Id="rId46" Type="http://schemas.openxmlformats.org/officeDocument/2006/relationships/hyperlink" Target="http://www.therealpresence.org/eucharst/misc/BVM/111_LUGGAU_60x96.pdf" TargetMode="External"/><Relationship Id="rId67" Type="http://schemas.openxmlformats.org/officeDocument/2006/relationships/hyperlink" Target="http://www.therealpresence.org/eucharst/misc/BVM/56_GIULIANOVA_96x96.pdf" TargetMode="External"/><Relationship Id="rId116" Type="http://schemas.openxmlformats.org/officeDocument/2006/relationships/hyperlink" Target="http://www.therealpresence.org/eucharst/misc/BVM/12_MONTEFALCO_60x96.pdf" TargetMode="External"/><Relationship Id="rId137" Type="http://schemas.openxmlformats.org/officeDocument/2006/relationships/hyperlink" Target="http://www.therealpresence.org/eucharst/misc/BVM/119_MILANO_96x96.pdf" TargetMode="External"/><Relationship Id="rId20" Type="http://schemas.openxmlformats.org/officeDocument/2006/relationships/hyperlink" Target="http://www.therealpresence.org/eucharst/misc/BVM/74_ROVERANO_60x96.pdf" TargetMode="External"/><Relationship Id="rId41" Type="http://schemas.openxmlformats.org/officeDocument/2006/relationships/hyperlink" Target="http://www.therealpresence.org/eucharst/misc/BVM/87_RE_60x96.pdf" TargetMode="External"/><Relationship Id="rId62" Type="http://schemas.openxmlformats.org/officeDocument/2006/relationships/hyperlink" Target="http://www.therealpresence.org/eucharst/misc/BVM/127_OCOTLAN_96x96.pdf" TargetMode="External"/><Relationship Id="rId83" Type="http://schemas.openxmlformats.org/officeDocument/2006/relationships/hyperlink" Target="http://www.therealpresence.org/eucharst/misc/BVM/57_SILUVA_96x96.pdf" TargetMode="External"/><Relationship Id="rId88" Type="http://schemas.openxmlformats.org/officeDocument/2006/relationships/hyperlink" Target="http://www.therealpresence.org/eucharst/misc/BVM/101_CARTAGO_60x96.pdf" TargetMode="External"/><Relationship Id="rId111" Type="http://schemas.openxmlformats.org/officeDocument/2006/relationships/hyperlink" Target="http://www.therealpresence.org/eucharst/misc/BVM/30_LA_SALETTE_96x96.pdf" TargetMode="External"/><Relationship Id="rId132" Type="http://schemas.openxmlformats.org/officeDocument/2006/relationships/hyperlink" Target="http://www.therealpresence.org/eucharst/misc/BVM/93_CAMPINAS_140x96.pdf" TargetMode="External"/><Relationship Id="rId153" Type="http://schemas.openxmlformats.org/officeDocument/2006/relationships/hyperlink" Target="http://www.therealpresence.org/eucharst/misc/BVM/76_AOKPE_140x96.pdf" TargetMode="External"/><Relationship Id="rId15" Type="http://schemas.openxmlformats.org/officeDocument/2006/relationships/hyperlink" Target="http://www.therealpresence.org/eucharst/misc/BVM/18_FIRENZE_60x96.pdf" TargetMode="External"/><Relationship Id="rId36" Type="http://schemas.openxmlformats.org/officeDocument/2006/relationships/hyperlink" Target="http://www.therealpresence.org/eucharst/misc/BVM/67_AGRES_60x96.pdf" TargetMode="External"/><Relationship Id="rId57" Type="http://schemas.openxmlformats.org/officeDocument/2006/relationships/hyperlink" Target="http://www.therealpresence.org/eucharst/misc/BVM/53_CRESCENTINO_60x96.pdf" TargetMode="External"/><Relationship Id="rId106" Type="http://schemas.openxmlformats.org/officeDocument/2006/relationships/hyperlink" Target="http://www.therealpresence.org/eucharst/misc/BVM/21_LAVANG_60x96.pdf" TargetMode="External"/><Relationship Id="rId127" Type="http://schemas.openxmlformats.org/officeDocument/2006/relationships/hyperlink" Target="http://www.therealpresence.org/eucharst/misc/BVM/103_DONG_LU_96x96.pdf" TargetMode="External"/><Relationship Id="rId10" Type="http://schemas.openxmlformats.org/officeDocument/2006/relationships/hyperlink" Target="http://www.therealpresence.org/eucharst/misc/BVM/123_NAZARE_96x96.pdf" TargetMode="External"/><Relationship Id="rId31" Type="http://schemas.openxmlformats.org/officeDocument/2006/relationships/hyperlink" Target="http://www.therealpresence.org/eucharst/misc/BVM/71_GENAZZANO_60x96.pdf" TargetMode="External"/><Relationship Id="rId52" Type="http://schemas.openxmlformats.org/officeDocument/2006/relationships/hyperlink" Target="http://www.therealpresence.org/eucharst/misc/BVM/84_GARAISON_60x96.pdf" TargetMode="External"/><Relationship Id="rId73" Type="http://schemas.openxmlformats.org/officeDocument/2006/relationships/hyperlink" Target="http://www.therealpresence.org/eucharst/misc/BVM/97_CHIQUINQUIRA_96x96.pdf" TargetMode="External"/><Relationship Id="rId78" Type="http://schemas.openxmlformats.org/officeDocument/2006/relationships/hyperlink" Target="http://www.therealpresence.org/eucharst/misc/BVM/112_LUJAN_96x96.pdf" TargetMode="External"/><Relationship Id="rId94" Type="http://schemas.openxmlformats.org/officeDocument/2006/relationships/hyperlink" Target="http://www.therealpresence.org/eucharst/misc/BVM/69_LAUS_140x96.pdf" TargetMode="External"/><Relationship Id="rId99" Type="http://schemas.openxmlformats.org/officeDocument/2006/relationships/hyperlink" Target="http://www.therealpresence.org/eucharst/misc/BVM/130_PELLESTRINA_96x96.pdf" TargetMode="External"/><Relationship Id="rId101" Type="http://schemas.openxmlformats.org/officeDocument/2006/relationships/hyperlink" Target="http://www.therealpresence.org/eucharst/misc/BVM/59_MONTAGNAGA_96x96.pdf" TargetMode="External"/><Relationship Id="rId122" Type="http://schemas.openxmlformats.org/officeDocument/2006/relationships/hyperlink" Target="http://www.therealpresence.org/eucharst/misc/BVM/85_GIETRZALD_96x96.pdf" TargetMode="External"/><Relationship Id="rId143" Type="http://schemas.openxmlformats.org/officeDocument/2006/relationships/hyperlink" Target="http://www.therealpresence.org/eucharst/misc/BVM/147_HEROLDSBACH_140x96.pdf" TargetMode="External"/><Relationship Id="rId148" Type="http://schemas.openxmlformats.org/officeDocument/2006/relationships/hyperlink" Target="http://www.therealpresence.org/eucharst/misc/BVM/144_ZEITUN_96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37_ARRAS_60x96.pdf" TargetMode="External"/><Relationship Id="rId26" Type="http://schemas.openxmlformats.org/officeDocument/2006/relationships/hyperlink" Target="http://www.therealpresence.org/eucharst/misc/BVM/50_DESENZANO_DI_ALBINO_60x96.pd.pdf" TargetMode="External"/><Relationship Id="rId47" Type="http://schemas.openxmlformats.org/officeDocument/2006/relationships/hyperlink" Target="http://www.therealpresence.org/eucharst/misc/BVM/79_TIRANO_96x96.pdf" TargetMode="External"/><Relationship Id="rId68" Type="http://schemas.openxmlformats.org/officeDocument/2006/relationships/hyperlink" Target="http://www.therealpresence.org/eucharst/misc/BVM/62_GEROSA_60x96.pdf" TargetMode="External"/><Relationship Id="rId89" Type="http://schemas.openxmlformats.org/officeDocument/2006/relationships/hyperlink" Target="http://www.therealpresence.org/eucharst/misc/BVM/107_KEVELAER_96x96.pdf" TargetMode="External"/><Relationship Id="rId112" Type="http://schemas.openxmlformats.org/officeDocument/2006/relationships/hyperlink" Target="http://www.therealpresence.org/eucharst/misc/BVM/03_BORGO_CERRETO_60x96.pdf" TargetMode="External"/><Relationship Id="rId133" Type="http://schemas.openxmlformats.org/officeDocument/2006/relationships/hyperlink" Target="http://www.therealpresence.org/eucharst/misc/BVM/11_BEAURAING_60x96.pdf" TargetMode="External"/><Relationship Id="rId16" Type="http://schemas.openxmlformats.org/officeDocument/2006/relationships/hyperlink" Target="http://www.therealpresence.org/eucharst/misc/BVM/05_AYLESFORD_60x96.pdf" TargetMode="External"/><Relationship Id="rId37" Type="http://schemas.openxmlformats.org/officeDocument/2006/relationships/hyperlink" Target="http://www.therealpresence.org/eucharst/misc/BVM/55_MADONNA_DEL_SASSO_60x96.pdf" TargetMode="External"/><Relationship Id="rId58" Type="http://schemas.openxmlformats.org/officeDocument/2006/relationships/hyperlink" Target="http://www.therealpresence.org/eucharst/misc/BVM/81_ORNAVASSO_60x96.pdf" TargetMode="External"/><Relationship Id="rId79" Type="http://schemas.openxmlformats.org/officeDocument/2006/relationships/hyperlink" Target="http://www.therealpresence.org/eucharst/misc/BVM/92_CAACUPE_96x96.pdf" TargetMode="External"/><Relationship Id="rId102" Type="http://schemas.openxmlformats.org/officeDocument/2006/relationships/hyperlink" Target="http://www.therealpresence.org/eucharst/misc/BVM/17_DIVINO_AMORE_60x96.pdf" TargetMode="External"/><Relationship Id="rId123" Type="http://schemas.openxmlformats.org/officeDocument/2006/relationships/hyperlink" Target="http://www.therealpresence.org/eucharst/misc/BVM/63_KNOCK_60x96.pdf" TargetMode="External"/><Relationship Id="rId144" Type="http://schemas.openxmlformats.org/officeDocument/2006/relationships/hyperlink" Target="http://www.therealpresence.org/eucharst/misc/BVM/113_ROGOROTTO_60x96.pdf" TargetMode="External"/><Relationship Id="rId90" Type="http://schemas.openxmlformats.org/officeDocument/2006/relationships/hyperlink" Target="http://www.therealpresence.org/eucharst/misc/BVM/125_PLANTEES_60x96.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453</v>
      </c>
      <c r="B1" t="s">
        <v>452</v>
      </c>
      <c r="C1" t="s">
        <v>451</v>
      </c>
      <c r="D1" t="s">
        <v>450</v>
      </c>
      <c r="E1" t="s">
        <v>449</v>
      </c>
      <c r="F1" t="s">
        <v>448</v>
      </c>
      <c r="G1" t="s">
        <v>447</v>
      </c>
      <c r="H1" t="s">
        <v>446</v>
      </c>
      <c r="I1" t="s">
        <v>445</v>
      </c>
      <c r="K1" t="s">
        <v>444</v>
      </c>
      <c r="L1" t="s">
        <v>443</v>
      </c>
      <c r="M1" t="s">
        <v>442</v>
      </c>
      <c r="N1" t="s">
        <v>441</v>
      </c>
      <c r="O1" t="s">
        <v>440</v>
      </c>
      <c r="P1" t="s">
        <v>439</v>
      </c>
      <c r="Q1" t="s">
        <v>438</v>
      </c>
      <c r="R1" t="s">
        <v>437</v>
      </c>
      <c r="S1" t="s">
        <v>436</v>
      </c>
      <c r="T1" t="s">
        <v>435</v>
      </c>
      <c r="U1" t="s">
        <v>434</v>
      </c>
    </row>
    <row r="2" spans="1:21" s="19" customFormat="1" x14ac:dyDescent="0.25">
      <c r="A2" s="19">
        <v>2</v>
      </c>
      <c r="B2" s="19">
        <v>1</v>
      </c>
      <c r="C2" s="19" t="s">
        <v>433</v>
      </c>
      <c r="F2" s="20" t="s">
        <v>432</v>
      </c>
      <c r="H2" s="19">
        <v>19.483432799999999</v>
      </c>
      <c r="I2" s="19">
        <v>-99.117410300000003</v>
      </c>
      <c r="K2" s="19">
        <v>0</v>
      </c>
      <c r="L2" s="19" t="s">
        <v>431</v>
      </c>
      <c r="M2" s="19">
        <v>0</v>
      </c>
      <c r="N2" s="19" t="s">
        <v>400</v>
      </c>
      <c r="O2" s="19">
        <v>1</v>
      </c>
      <c r="P2" s="19">
        <v>0</v>
      </c>
      <c r="Q2" s="19">
        <v>0</v>
      </c>
      <c r="S2" s="19">
        <v>0</v>
      </c>
      <c r="U2" s="19">
        <v>0</v>
      </c>
    </row>
    <row r="3" spans="1:21" s="19" customFormat="1" x14ac:dyDescent="0.25">
      <c r="A3" s="19">
        <v>3</v>
      </c>
      <c r="B3" s="19">
        <v>1</v>
      </c>
      <c r="C3" s="19" t="s">
        <v>430</v>
      </c>
      <c r="F3" s="20" t="s">
        <v>429</v>
      </c>
      <c r="H3" s="19">
        <v>43.0974206</v>
      </c>
      <c r="I3" s="19">
        <v>-5.8261100000000003E-2</v>
      </c>
      <c r="K3" s="19">
        <v>0</v>
      </c>
      <c r="L3" s="19" t="s">
        <v>374</v>
      </c>
      <c r="M3" s="19">
        <v>0</v>
      </c>
      <c r="N3" s="19" t="s">
        <v>400</v>
      </c>
      <c r="O3" s="19">
        <v>1</v>
      </c>
      <c r="P3" s="19">
        <v>0</v>
      </c>
      <c r="Q3" s="19">
        <v>0</v>
      </c>
      <c r="S3" s="19">
        <v>0</v>
      </c>
      <c r="U3" s="19">
        <v>0</v>
      </c>
    </row>
    <row r="4" spans="1:21" s="19" customFormat="1" x14ac:dyDescent="0.25">
      <c r="A4" s="19">
        <v>4</v>
      </c>
      <c r="B4" s="19">
        <v>1</v>
      </c>
      <c r="C4" s="19" t="s">
        <v>428</v>
      </c>
      <c r="F4" s="20" t="s">
        <v>427</v>
      </c>
      <c r="H4" s="19">
        <v>39.631263799999999</v>
      </c>
      <c r="I4" s="19">
        <v>-8.6731570999999992</v>
      </c>
      <c r="J4" s="19" t="str">
        <f t="shared" ref="J4:J23" si="0">"location: {lat: "&amp;H4&amp;", lng: "&amp;I4&amp;"}"</f>
        <v>location: {lat: 39.6312638, lng: -8.6731571}</v>
      </c>
      <c r="K4" s="19">
        <v>0</v>
      </c>
      <c r="L4" s="19" t="s">
        <v>426</v>
      </c>
      <c r="M4" s="19">
        <v>0</v>
      </c>
      <c r="N4" s="19" t="s">
        <v>400</v>
      </c>
      <c r="O4" s="19">
        <v>1</v>
      </c>
      <c r="P4" s="19">
        <v>0</v>
      </c>
      <c r="Q4" s="19">
        <v>0</v>
      </c>
      <c r="S4" s="19">
        <v>0</v>
      </c>
      <c r="U4" s="19">
        <v>0</v>
      </c>
    </row>
    <row r="5" spans="1:21" s="19" customFormat="1" x14ac:dyDescent="0.25">
      <c r="A5" s="19">
        <v>5</v>
      </c>
      <c r="B5" s="19">
        <v>1</v>
      </c>
      <c r="C5" s="19" t="s">
        <v>425</v>
      </c>
      <c r="F5" s="19" t="s">
        <v>424</v>
      </c>
      <c r="H5" s="19">
        <v>50.270467699999998</v>
      </c>
      <c r="I5" s="19">
        <v>22.408031600000001</v>
      </c>
      <c r="J5" s="19" t="str">
        <f t="shared" si="0"/>
        <v>location: {lat: 50.2704677, lng: 22.4080316}</v>
      </c>
      <c r="K5" s="19">
        <v>0</v>
      </c>
      <c r="L5" s="19" t="s">
        <v>376</v>
      </c>
      <c r="M5" s="19">
        <v>0</v>
      </c>
      <c r="N5" s="19" t="s">
        <v>400</v>
      </c>
      <c r="O5" s="19">
        <v>1</v>
      </c>
      <c r="P5" s="19">
        <v>0</v>
      </c>
      <c r="Q5" s="19">
        <v>0</v>
      </c>
      <c r="S5" s="19">
        <v>0</v>
      </c>
      <c r="U5" s="19">
        <v>0</v>
      </c>
    </row>
    <row r="6" spans="1:21" s="19" customFormat="1" x14ac:dyDescent="0.25">
      <c r="A6" s="19">
        <v>6</v>
      </c>
      <c r="B6" s="19">
        <v>1</v>
      </c>
      <c r="C6" s="19" t="s">
        <v>423</v>
      </c>
      <c r="F6" s="20" t="s">
        <v>422</v>
      </c>
      <c r="H6" s="19">
        <v>55.530612599999998</v>
      </c>
      <c r="I6" s="19">
        <v>23.219925199999999</v>
      </c>
      <c r="J6" s="19" t="str">
        <f t="shared" si="0"/>
        <v>location: {lat: 55.5306126, lng: 23.2199252}</v>
      </c>
      <c r="K6" s="19">
        <v>0</v>
      </c>
      <c r="L6" s="19" t="s">
        <v>375</v>
      </c>
      <c r="M6" s="19">
        <v>0</v>
      </c>
      <c r="N6" s="19" t="s">
        <v>400</v>
      </c>
      <c r="O6" s="19">
        <v>1</v>
      </c>
      <c r="P6" s="19">
        <v>0</v>
      </c>
      <c r="Q6" s="19">
        <v>0</v>
      </c>
      <c r="S6" s="19">
        <v>0</v>
      </c>
      <c r="U6" s="19">
        <v>0</v>
      </c>
    </row>
    <row r="7" spans="1:21" s="19" customFormat="1" x14ac:dyDescent="0.25">
      <c r="A7" s="19">
        <v>7</v>
      </c>
      <c r="B7" s="19">
        <v>1</v>
      </c>
      <c r="C7" s="19" t="s">
        <v>421</v>
      </c>
      <c r="F7" s="19" t="s">
        <v>420</v>
      </c>
      <c r="H7" s="19">
        <v>44.521201599999998</v>
      </c>
      <c r="I7" s="19">
        <v>6.1521160000000004</v>
      </c>
      <c r="J7" s="19" t="str">
        <f t="shared" si="0"/>
        <v>location: {lat: 44.5212016, lng: 6.152116}</v>
      </c>
      <c r="K7" s="19">
        <v>0</v>
      </c>
      <c r="L7" s="19" t="s">
        <v>419</v>
      </c>
      <c r="M7" s="19">
        <v>0</v>
      </c>
      <c r="N7" s="19" t="s">
        <v>400</v>
      </c>
      <c r="O7" s="19">
        <v>1</v>
      </c>
      <c r="P7" s="19">
        <v>0</v>
      </c>
      <c r="Q7" s="19">
        <v>0</v>
      </c>
      <c r="S7" s="19">
        <v>0</v>
      </c>
      <c r="U7" s="19">
        <v>0</v>
      </c>
    </row>
    <row r="8" spans="1:21" s="19" customFormat="1" x14ac:dyDescent="0.25">
      <c r="A8" s="19">
        <v>8</v>
      </c>
      <c r="B8" s="19">
        <v>1</v>
      </c>
      <c r="C8" s="19" t="s">
        <v>418</v>
      </c>
      <c r="F8" s="19" t="s">
        <v>417</v>
      </c>
      <c r="H8" s="19">
        <v>48.850785899999998</v>
      </c>
      <c r="I8" s="19">
        <v>2.3229912000000001</v>
      </c>
      <c r="J8" s="19" t="str">
        <f t="shared" si="0"/>
        <v>location: {lat: 48.8507859, lng: 2.3229912}</v>
      </c>
      <c r="K8" s="19">
        <v>0</v>
      </c>
      <c r="L8" s="19" t="s">
        <v>372</v>
      </c>
      <c r="M8" s="19">
        <v>0</v>
      </c>
      <c r="N8" s="19" t="s">
        <v>400</v>
      </c>
      <c r="O8" s="19">
        <v>1</v>
      </c>
      <c r="P8" s="19">
        <v>0</v>
      </c>
      <c r="Q8" s="19">
        <v>0</v>
      </c>
      <c r="S8" s="19">
        <v>0</v>
      </c>
      <c r="U8" s="19">
        <v>0</v>
      </c>
    </row>
    <row r="9" spans="1:21" s="19" customFormat="1" x14ac:dyDescent="0.25">
      <c r="A9" s="19">
        <v>9</v>
      </c>
      <c r="B9" s="19">
        <v>1</v>
      </c>
      <c r="C9" s="19" t="s">
        <v>416</v>
      </c>
      <c r="F9" s="19" t="s">
        <v>415</v>
      </c>
      <c r="H9" s="19">
        <v>41.903563699999999</v>
      </c>
      <c r="I9" s="19">
        <v>12.483673899999999</v>
      </c>
      <c r="J9" s="19" t="str">
        <f t="shared" si="0"/>
        <v>location: {lat: 41.9035637, lng: 12.4836739}</v>
      </c>
      <c r="K9" s="19">
        <v>0</v>
      </c>
      <c r="L9" s="19" t="s">
        <v>371</v>
      </c>
      <c r="M9" s="19">
        <v>0</v>
      </c>
      <c r="N9" s="19" t="s">
        <v>400</v>
      </c>
      <c r="O9" s="19">
        <v>1</v>
      </c>
      <c r="P9" s="19">
        <v>0</v>
      </c>
      <c r="Q9" s="19">
        <v>0</v>
      </c>
      <c r="S9" s="19">
        <v>0</v>
      </c>
      <c r="U9" s="19">
        <v>0</v>
      </c>
    </row>
    <row r="10" spans="1:21" s="19" customFormat="1" x14ac:dyDescent="0.25">
      <c r="A10" s="19">
        <v>10</v>
      </c>
      <c r="B10" s="19">
        <v>1</v>
      </c>
      <c r="C10" s="19" t="s">
        <v>414</v>
      </c>
      <c r="F10" s="19" t="s">
        <v>413</v>
      </c>
      <c r="H10" s="19">
        <v>44.8586296</v>
      </c>
      <c r="I10" s="19">
        <v>5.9788043999999996</v>
      </c>
      <c r="J10" s="19" t="str">
        <f t="shared" si="0"/>
        <v>location: {lat: 44.8586296, lng: 5.9788044}</v>
      </c>
      <c r="K10" s="19">
        <v>0</v>
      </c>
      <c r="L10" s="19" t="s">
        <v>373</v>
      </c>
      <c r="M10" s="19">
        <v>0</v>
      </c>
      <c r="N10" s="19" t="s">
        <v>400</v>
      </c>
      <c r="O10" s="19">
        <v>1</v>
      </c>
      <c r="P10" s="19">
        <v>0</v>
      </c>
      <c r="Q10" s="19">
        <v>0</v>
      </c>
      <c r="S10" s="19">
        <v>0</v>
      </c>
      <c r="U10" s="19">
        <v>0</v>
      </c>
    </row>
    <row r="11" spans="1:21" s="19" customFormat="1" x14ac:dyDescent="0.25">
      <c r="A11" s="19">
        <v>11</v>
      </c>
      <c r="B11" s="19">
        <v>1</v>
      </c>
      <c r="C11" s="19" t="s">
        <v>412</v>
      </c>
      <c r="F11" s="19" t="s">
        <v>411</v>
      </c>
      <c r="H11" s="19">
        <v>50.980685700000002</v>
      </c>
      <c r="I11" s="19">
        <v>14.597349899999999</v>
      </c>
      <c r="J11" s="19" t="str">
        <f t="shared" si="0"/>
        <v>location: {lat: 50.9806857, lng: 14.5973499}</v>
      </c>
      <c r="K11" s="19">
        <v>0</v>
      </c>
      <c r="L11" s="19" t="s">
        <v>410</v>
      </c>
      <c r="M11" s="19">
        <v>0</v>
      </c>
      <c r="N11" s="19" t="s">
        <v>400</v>
      </c>
      <c r="O11" s="19">
        <v>1</v>
      </c>
      <c r="P11" s="19">
        <v>0</v>
      </c>
      <c r="Q11" s="19">
        <v>0</v>
      </c>
      <c r="S11" s="19">
        <v>0</v>
      </c>
      <c r="U11" s="19">
        <v>0</v>
      </c>
    </row>
    <row r="12" spans="1:21" s="19" customFormat="1" x14ac:dyDescent="0.25">
      <c r="A12" s="19">
        <v>12</v>
      </c>
      <c r="B12" s="19">
        <v>1</v>
      </c>
      <c r="C12" s="19" t="s">
        <v>409</v>
      </c>
      <c r="F12" s="19" t="s">
        <v>408</v>
      </c>
      <c r="H12" s="19">
        <v>48.439602100000002</v>
      </c>
      <c r="I12" s="19">
        <v>-1.0592325</v>
      </c>
      <c r="J12" s="19" t="str">
        <f t="shared" si="0"/>
        <v>location: {lat: 48.4396021, lng: -1.0592325}</v>
      </c>
      <c r="K12" s="19">
        <v>0</v>
      </c>
      <c r="L12" s="19" t="s">
        <v>407</v>
      </c>
      <c r="M12" s="19">
        <v>0</v>
      </c>
      <c r="N12" s="19" t="s">
        <v>400</v>
      </c>
      <c r="O12" s="19">
        <v>1</v>
      </c>
      <c r="P12" s="19">
        <v>0</v>
      </c>
      <c r="Q12" s="19">
        <v>0</v>
      </c>
      <c r="S12" s="19">
        <v>0</v>
      </c>
      <c r="U12" s="19">
        <v>0</v>
      </c>
    </row>
    <row r="13" spans="1:21" s="19" customFormat="1" x14ac:dyDescent="0.25">
      <c r="A13" s="19">
        <v>13</v>
      </c>
      <c r="B13" s="19">
        <v>1</v>
      </c>
      <c r="C13" s="19" t="s">
        <v>406</v>
      </c>
      <c r="F13" s="19" t="s">
        <v>357</v>
      </c>
      <c r="H13" s="19">
        <v>53.7480853</v>
      </c>
      <c r="I13" s="19">
        <v>20.235602400000001</v>
      </c>
      <c r="J13" s="19" t="str">
        <f t="shared" si="0"/>
        <v>location: {lat: 53.7480853, lng: 20.2356024}</v>
      </c>
      <c r="K13" s="19">
        <v>0</v>
      </c>
      <c r="L13" s="19" t="s">
        <v>353</v>
      </c>
      <c r="M13" s="19">
        <v>0</v>
      </c>
      <c r="N13" s="19" t="s">
        <v>400</v>
      </c>
      <c r="O13" s="19">
        <v>1</v>
      </c>
      <c r="P13" s="19">
        <v>0</v>
      </c>
      <c r="Q13" s="19">
        <v>0</v>
      </c>
      <c r="S13" s="19">
        <v>0</v>
      </c>
      <c r="U13" s="19">
        <v>0</v>
      </c>
    </row>
    <row r="14" spans="1:21" s="19" customFormat="1" x14ac:dyDescent="0.25">
      <c r="A14" s="19">
        <v>14</v>
      </c>
      <c r="B14" s="19">
        <v>1</v>
      </c>
      <c r="C14" s="19" t="s">
        <v>405</v>
      </c>
      <c r="F14" s="19" t="s">
        <v>349</v>
      </c>
      <c r="H14" s="19">
        <v>53.792756199999999</v>
      </c>
      <c r="I14" s="19">
        <v>-8.9189810000000005</v>
      </c>
      <c r="J14" s="19" t="str">
        <f t="shared" si="0"/>
        <v>location: {lat: 53.7927562, lng: -8.918981}</v>
      </c>
      <c r="K14" s="19">
        <v>0</v>
      </c>
      <c r="L14" s="19" t="s">
        <v>404</v>
      </c>
      <c r="M14" s="19">
        <v>0</v>
      </c>
      <c r="N14" s="19" t="s">
        <v>400</v>
      </c>
      <c r="O14" s="19">
        <v>1</v>
      </c>
      <c r="P14" s="19">
        <v>0</v>
      </c>
      <c r="Q14" s="19">
        <v>0</v>
      </c>
      <c r="S14" s="19">
        <v>0</v>
      </c>
      <c r="U14" s="19">
        <v>0</v>
      </c>
    </row>
    <row r="15" spans="1:21" s="19" customFormat="1" x14ac:dyDescent="0.25">
      <c r="A15" s="19">
        <v>15</v>
      </c>
      <c r="B15" s="19">
        <v>1</v>
      </c>
      <c r="C15" s="19" t="s">
        <v>403</v>
      </c>
      <c r="F15" s="19" t="s">
        <v>347</v>
      </c>
      <c r="H15" s="19">
        <v>50.108666599999999</v>
      </c>
      <c r="I15" s="19">
        <v>4.9609611999999998</v>
      </c>
      <c r="J15" s="19" t="str">
        <f t="shared" si="0"/>
        <v>location: {lat: 50.1086666, lng: 4.9609612}</v>
      </c>
      <c r="K15" s="19">
        <v>0</v>
      </c>
      <c r="L15" s="19" t="s">
        <v>346</v>
      </c>
      <c r="M15" s="19">
        <v>0</v>
      </c>
      <c r="N15" s="19" t="s">
        <v>400</v>
      </c>
      <c r="O15" s="19">
        <v>1</v>
      </c>
      <c r="P15" s="19">
        <v>0</v>
      </c>
      <c r="Q15" s="19">
        <v>0</v>
      </c>
      <c r="S15" s="19">
        <v>0</v>
      </c>
      <c r="U15" s="19">
        <v>0</v>
      </c>
    </row>
    <row r="16" spans="1:21" s="19" customFormat="1" x14ac:dyDescent="0.25">
      <c r="A16" s="19">
        <v>16</v>
      </c>
      <c r="B16" s="19">
        <v>1</v>
      </c>
      <c r="C16" s="19" t="s">
        <v>402</v>
      </c>
      <c r="F16" s="19" t="s">
        <v>344</v>
      </c>
      <c r="H16" s="19">
        <v>50.538244800000001</v>
      </c>
      <c r="I16" s="19">
        <v>5.7507225999999996</v>
      </c>
      <c r="J16" s="19" t="str">
        <f t="shared" si="0"/>
        <v>location: {lat: 50.5382448, lng: 5.7507226}</v>
      </c>
      <c r="K16" s="19">
        <v>0</v>
      </c>
      <c r="L16" s="19" t="s">
        <v>343</v>
      </c>
      <c r="M16" s="19">
        <v>0</v>
      </c>
      <c r="N16" s="19" t="s">
        <v>400</v>
      </c>
      <c r="O16" s="19">
        <v>1</v>
      </c>
      <c r="P16" s="19">
        <v>0</v>
      </c>
      <c r="Q16" s="19">
        <v>0</v>
      </c>
      <c r="S16" s="19">
        <v>0</v>
      </c>
      <c r="U16" s="19">
        <v>0</v>
      </c>
    </row>
    <row r="17" spans="1:21" s="19" customFormat="1" x14ac:dyDescent="0.25">
      <c r="A17" s="19">
        <v>17</v>
      </c>
      <c r="B17" s="19">
        <v>1</v>
      </c>
      <c r="C17" s="19" t="s">
        <v>401</v>
      </c>
      <c r="F17" s="19" t="s">
        <v>340</v>
      </c>
      <c r="H17" s="19">
        <v>-2.6496097000000001</v>
      </c>
      <c r="I17" s="19">
        <v>29.553281200000001</v>
      </c>
      <c r="J17" s="19" t="str">
        <f t="shared" si="0"/>
        <v>location: {lat: -2.6496097, lng: 29.5532812}</v>
      </c>
      <c r="K17" s="19">
        <v>0</v>
      </c>
      <c r="L17" s="19" t="s">
        <v>345</v>
      </c>
      <c r="M17" s="19">
        <v>0</v>
      </c>
      <c r="N17" s="19" t="s">
        <v>400</v>
      </c>
      <c r="O17" s="19">
        <v>1</v>
      </c>
      <c r="P17" s="19">
        <v>0</v>
      </c>
      <c r="Q17" s="19">
        <v>0</v>
      </c>
      <c r="S17" s="19">
        <v>0</v>
      </c>
      <c r="T17" s="19" t="s">
        <v>379</v>
      </c>
      <c r="U17" s="19">
        <v>0</v>
      </c>
    </row>
    <row r="18" spans="1:21" s="18" customFormat="1" x14ac:dyDescent="0.25">
      <c r="A18" s="18">
        <v>18</v>
      </c>
      <c r="B18" s="18">
        <v>2</v>
      </c>
      <c r="C18" s="18" t="s">
        <v>399</v>
      </c>
      <c r="D18" s="18" t="s">
        <v>398</v>
      </c>
      <c r="F18" s="18" t="s">
        <v>397</v>
      </c>
      <c r="H18" s="18">
        <v>35.728490299999997</v>
      </c>
      <c r="I18" s="18">
        <v>-97.975802000000002</v>
      </c>
      <c r="J18" s="18" t="str">
        <f t="shared" si="0"/>
        <v>location: {lat: 35.7284903, lng: -97.975802}</v>
      </c>
      <c r="K18" s="18">
        <v>0</v>
      </c>
      <c r="L18" s="18" t="s">
        <v>396</v>
      </c>
      <c r="M18" s="18">
        <v>0</v>
      </c>
      <c r="N18" s="18" t="s">
        <v>380</v>
      </c>
      <c r="O18" s="18">
        <v>1</v>
      </c>
      <c r="P18" s="18">
        <v>0</v>
      </c>
      <c r="Q18" s="18">
        <v>0</v>
      </c>
      <c r="S18" s="18">
        <v>0</v>
      </c>
      <c r="T18" s="18" t="s">
        <v>379</v>
      </c>
      <c r="U18" s="18">
        <v>0</v>
      </c>
    </row>
    <row r="19" spans="1:21" s="18" customFormat="1" x14ac:dyDescent="0.25">
      <c r="A19" s="18">
        <v>19</v>
      </c>
      <c r="B19" s="18">
        <v>2</v>
      </c>
      <c r="C19" s="18" t="s">
        <v>395</v>
      </c>
      <c r="D19" s="18" t="s">
        <v>394</v>
      </c>
      <c r="F19" s="18" t="s">
        <v>393</v>
      </c>
      <c r="H19" s="18">
        <v>29.4538449</v>
      </c>
      <c r="I19" s="18">
        <v>-98.544839600000003</v>
      </c>
      <c r="J19" s="18" t="str">
        <f t="shared" si="0"/>
        <v>location: {lat: 29.4538449, lng: -98.5448396}</v>
      </c>
      <c r="K19" s="18">
        <v>0</v>
      </c>
      <c r="L19" s="18" t="s">
        <v>392</v>
      </c>
      <c r="M19" s="18">
        <v>0</v>
      </c>
      <c r="N19" s="18">
        <v>2</v>
      </c>
      <c r="O19" s="18">
        <v>1</v>
      </c>
      <c r="P19" s="18">
        <v>0</v>
      </c>
      <c r="Q19" s="18">
        <v>0</v>
      </c>
      <c r="S19" s="18">
        <v>0</v>
      </c>
      <c r="T19" s="18" t="s">
        <v>379</v>
      </c>
      <c r="U19" s="18">
        <v>0</v>
      </c>
    </row>
    <row r="20" spans="1:21" s="18" customFormat="1" x14ac:dyDescent="0.25">
      <c r="A20" s="18">
        <v>20</v>
      </c>
      <c r="B20" s="18">
        <v>2</v>
      </c>
      <c r="C20" s="18" t="s">
        <v>391</v>
      </c>
      <c r="D20" s="18" t="s">
        <v>390</v>
      </c>
      <c r="F20" s="18" t="s">
        <v>389</v>
      </c>
      <c r="H20" s="18">
        <v>39.679956300000001</v>
      </c>
      <c r="I20" s="18">
        <v>-77.354900599999993</v>
      </c>
      <c r="J20" s="18" t="str">
        <f t="shared" si="0"/>
        <v>location: {lat: 39.6799563, lng: -77.3549006}</v>
      </c>
      <c r="K20" s="18">
        <v>0</v>
      </c>
      <c r="L20" s="18" t="s">
        <v>388</v>
      </c>
      <c r="M20" s="18">
        <v>0</v>
      </c>
      <c r="N20" s="18">
        <v>2</v>
      </c>
      <c r="O20" s="18">
        <v>1</v>
      </c>
      <c r="P20" s="18">
        <v>0</v>
      </c>
      <c r="Q20" s="18">
        <v>0</v>
      </c>
      <c r="S20" s="18">
        <v>0</v>
      </c>
      <c r="T20" s="18" t="s">
        <v>379</v>
      </c>
      <c r="U20" s="18">
        <v>0</v>
      </c>
    </row>
    <row r="21" spans="1:21" s="18" customFormat="1" x14ac:dyDescent="0.25">
      <c r="A21" s="18">
        <v>21</v>
      </c>
      <c r="B21" s="18">
        <v>2</v>
      </c>
      <c r="C21" s="18" t="s">
        <v>387</v>
      </c>
      <c r="D21" s="18" t="s">
        <v>386</v>
      </c>
      <c r="H21" s="18">
        <v>14.6382897</v>
      </c>
      <c r="I21" s="18">
        <v>-91.229068299999994</v>
      </c>
      <c r="J21" s="18" t="str">
        <f t="shared" si="0"/>
        <v>location: {lat: 14.6382897, lng: -91.2290683}</v>
      </c>
      <c r="K21" s="18">
        <v>0</v>
      </c>
      <c r="L21" s="18" t="s">
        <v>385</v>
      </c>
      <c r="M21" s="18">
        <v>0</v>
      </c>
      <c r="N21" s="18" t="s">
        <v>380</v>
      </c>
      <c r="O21" s="18">
        <v>1</v>
      </c>
      <c r="P21" s="18">
        <v>0</v>
      </c>
      <c r="Q21" s="18">
        <v>0</v>
      </c>
      <c r="S21" s="18">
        <v>0</v>
      </c>
      <c r="T21" s="18" t="s">
        <v>379</v>
      </c>
      <c r="U21" s="18">
        <v>0</v>
      </c>
    </row>
    <row r="22" spans="1:21" s="18" customFormat="1" x14ac:dyDescent="0.25">
      <c r="A22" s="18">
        <v>22</v>
      </c>
      <c r="B22" s="18">
        <v>2</v>
      </c>
      <c r="C22" s="18" t="s">
        <v>384</v>
      </c>
      <c r="D22" s="18" t="s">
        <v>383</v>
      </c>
      <c r="F22" s="18" t="s">
        <v>382</v>
      </c>
      <c r="H22" s="18">
        <v>35.375707900000002</v>
      </c>
      <c r="I22" s="18">
        <v>-97.497563099999994</v>
      </c>
      <c r="J22" s="18" t="str">
        <f t="shared" si="0"/>
        <v>location: {lat: 35.3757079, lng: -97.4975631}</v>
      </c>
      <c r="K22" s="18">
        <v>0</v>
      </c>
      <c r="L22" s="18" t="s">
        <v>381</v>
      </c>
      <c r="M22" s="18">
        <v>0</v>
      </c>
      <c r="N22" s="18" t="s">
        <v>380</v>
      </c>
      <c r="O22" s="18">
        <v>1</v>
      </c>
      <c r="P22" s="18">
        <v>0</v>
      </c>
      <c r="Q22" s="18">
        <v>0</v>
      </c>
      <c r="S22" s="18">
        <v>0</v>
      </c>
      <c r="T22" s="18" t="s">
        <v>379</v>
      </c>
      <c r="U22" s="18">
        <v>0</v>
      </c>
    </row>
    <row r="23" spans="1:21" s="18" customFormat="1" x14ac:dyDescent="0.25">
      <c r="C23" s="18" t="s">
        <v>377</v>
      </c>
      <c r="F23" s="18" t="s">
        <v>378</v>
      </c>
      <c r="H23" s="18">
        <v>52.323174663905</v>
      </c>
      <c r="I23" s="18">
        <v>18.358046317017202</v>
      </c>
      <c r="J23" s="18" t="str">
        <f t="shared" si="0"/>
        <v>location: {lat: 52.323174663905, lng: 18.3580463170172}</v>
      </c>
      <c r="L23" s="18" t="s">
        <v>377</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U166"/>
  <sheetViews>
    <sheetView tabSelected="1" zoomScaleNormal="100" workbookViewId="0">
      <pane xSplit="2" ySplit="1" topLeftCell="C2" activePane="bottomRight" state="frozen"/>
      <selection pane="topRight" activeCell="B1" sqref="B1"/>
      <selection pane="bottomLeft" activeCell="A2" sqref="A2"/>
      <selection pane="bottomRight" activeCell="D5" sqref="D5"/>
    </sheetView>
  </sheetViews>
  <sheetFormatPr defaultRowHeight="12.75" x14ac:dyDescent="0.25"/>
  <cols>
    <col min="1" max="1" width="10.42578125" style="14" bestFit="1" customWidth="1"/>
    <col min="2" max="2" width="36.28515625" style="25" bestFit="1" customWidth="1"/>
    <col min="3" max="3" width="9.85546875" style="15" bestFit="1" customWidth="1"/>
    <col min="4" max="4" width="21" style="63" bestFit="1" customWidth="1"/>
    <col min="5" max="5" width="3.85546875" style="15" bestFit="1" customWidth="1"/>
    <col min="6" max="6" width="4.42578125" style="15" bestFit="1" customWidth="1"/>
    <col min="7" max="7" width="38.140625" style="16" bestFit="1" customWidth="1"/>
    <col min="8" max="8" width="38.140625" style="16" customWidth="1"/>
    <col min="9" max="9" width="6.28515625" style="16" bestFit="1" customWidth="1"/>
    <col min="10" max="10" width="69" style="16" customWidth="1"/>
    <col min="11" max="12" width="9.140625" style="15"/>
    <col min="13" max="13" width="18.42578125" style="15" bestFit="1" customWidth="1"/>
    <col min="14" max="14" width="18.42578125" style="15" customWidth="1"/>
    <col min="15" max="15" width="14.42578125" style="15" bestFit="1" customWidth="1"/>
    <col min="16" max="18" width="14.42578125" style="15" customWidth="1"/>
    <col min="19" max="21" width="25.85546875" style="15" customWidth="1"/>
    <col min="22" max="22" width="45.5703125" style="16" customWidth="1"/>
    <col min="23" max="23" width="9" style="24" bestFit="1" customWidth="1"/>
    <col min="24" max="24" width="10.28515625" style="22" bestFit="1" customWidth="1"/>
    <col min="25" max="25" width="8.85546875" style="22" bestFit="1" customWidth="1"/>
    <col min="26" max="31" width="12" style="22" customWidth="1"/>
    <col min="32" max="32" width="25.85546875" style="22" customWidth="1"/>
    <col min="33" max="33" width="11.85546875" style="22" bestFit="1" customWidth="1"/>
    <col min="34" max="37" width="11.85546875" style="22" customWidth="1"/>
    <col min="38" max="41" width="7.140625" style="22" customWidth="1"/>
    <col min="42" max="42" width="9.140625" style="22"/>
    <col min="43" max="43" width="11.85546875" style="50" bestFit="1" customWidth="1"/>
    <col min="44" max="44" width="11.85546875" style="22" customWidth="1"/>
    <col min="45" max="45" width="14.28515625" style="50" bestFit="1" customWidth="1"/>
    <col min="46" max="46" width="9.140625" style="15"/>
    <col min="47" max="47" width="25" style="15" customWidth="1"/>
    <col min="48" max="16384" width="9.140625" style="15"/>
  </cols>
  <sheetData>
    <row r="1" spans="1:47" s="14" customFormat="1" x14ac:dyDescent="0.25">
      <c r="A1" s="27" t="s">
        <v>1331</v>
      </c>
      <c r="B1" s="26" t="s">
        <v>178</v>
      </c>
      <c r="C1" s="27" t="s">
        <v>486</v>
      </c>
      <c r="D1" s="60" t="s">
        <v>163</v>
      </c>
      <c r="E1" s="27" t="s">
        <v>341</v>
      </c>
      <c r="F1" s="27" t="s">
        <v>342</v>
      </c>
      <c r="G1" s="28" t="s">
        <v>730</v>
      </c>
      <c r="H1" s="28" t="s">
        <v>731</v>
      </c>
      <c r="I1" s="28" t="s">
        <v>1757</v>
      </c>
      <c r="J1" s="28" t="s">
        <v>165</v>
      </c>
      <c r="K1" s="27" t="s">
        <v>369</v>
      </c>
      <c r="L1" s="27" t="s">
        <v>1335</v>
      </c>
      <c r="M1" s="27" t="s">
        <v>333</v>
      </c>
      <c r="N1" s="27" t="s">
        <v>1336</v>
      </c>
      <c r="O1" s="27" t="s">
        <v>335</v>
      </c>
      <c r="P1" s="27" t="s">
        <v>1337</v>
      </c>
      <c r="Q1" s="27" t="s">
        <v>350</v>
      </c>
      <c r="R1" s="27" t="s">
        <v>1338</v>
      </c>
      <c r="S1" s="27" t="s">
        <v>1437</v>
      </c>
      <c r="T1" s="27" t="s">
        <v>1439</v>
      </c>
      <c r="U1" s="27" t="s">
        <v>1441</v>
      </c>
      <c r="V1" s="28" t="s">
        <v>370</v>
      </c>
      <c r="W1" s="30" t="s">
        <v>1476</v>
      </c>
      <c r="X1" s="29" t="s">
        <v>1003</v>
      </c>
      <c r="Y1" s="29" t="s">
        <v>164</v>
      </c>
      <c r="Z1" s="29" t="s">
        <v>1438</v>
      </c>
      <c r="AA1" s="29" t="s">
        <v>1440</v>
      </c>
      <c r="AB1" s="29" t="s">
        <v>1442</v>
      </c>
      <c r="AC1" s="29" t="s">
        <v>1470</v>
      </c>
      <c r="AD1" s="29" t="s">
        <v>1471</v>
      </c>
      <c r="AE1" s="29" t="s">
        <v>1472</v>
      </c>
      <c r="AF1" s="29" t="s">
        <v>339</v>
      </c>
      <c r="AG1" s="29" t="s">
        <v>1469</v>
      </c>
      <c r="AH1" s="29" t="s">
        <v>1474</v>
      </c>
      <c r="AI1" s="29" t="s">
        <v>1475</v>
      </c>
      <c r="AJ1" s="29" t="s">
        <v>1477</v>
      </c>
      <c r="AK1" s="29" t="s">
        <v>1478</v>
      </c>
      <c r="AL1" s="29" t="s">
        <v>1006</v>
      </c>
      <c r="AM1" s="29" t="s">
        <v>1007</v>
      </c>
      <c r="AN1" s="29" t="s">
        <v>158</v>
      </c>
      <c r="AO1" s="29" t="s">
        <v>622</v>
      </c>
      <c r="AP1" s="29" t="s">
        <v>1008</v>
      </c>
      <c r="AQ1" s="47" t="s">
        <v>993</v>
      </c>
      <c r="AR1" s="29" t="s">
        <v>1473</v>
      </c>
      <c r="AS1" s="47" t="s">
        <v>1005</v>
      </c>
    </row>
    <row r="2" spans="1:47" ht="102" x14ac:dyDescent="0.25">
      <c r="A2" s="27" t="s">
        <v>1330</v>
      </c>
      <c r="B2" s="31" t="s">
        <v>1045</v>
      </c>
      <c r="C2" s="32" t="s">
        <v>553</v>
      </c>
      <c r="D2" s="61">
        <v>40</v>
      </c>
      <c r="E2" s="32">
        <v>41.656656769330702</v>
      </c>
      <c r="F2" s="32">
        <v>-0.87824062054636098</v>
      </c>
      <c r="G2" s="33" t="s">
        <v>1039</v>
      </c>
      <c r="H2" s="33" t="s">
        <v>1040</v>
      </c>
      <c r="I2" s="72" t="s">
        <v>1758</v>
      </c>
      <c r="J2" s="33" t="s">
        <v>1043</v>
      </c>
      <c r="K2" s="34" t="s">
        <v>1041</v>
      </c>
      <c r="L2" s="34" t="s">
        <v>336</v>
      </c>
      <c r="M2" s="32" t="s">
        <v>179</v>
      </c>
      <c r="N2" s="32" t="s">
        <v>336</v>
      </c>
      <c r="O2" s="32" t="s">
        <v>91</v>
      </c>
      <c r="P2" s="32" t="s">
        <v>336</v>
      </c>
      <c r="Q2" s="32" t="s">
        <v>1042</v>
      </c>
      <c r="R2" s="32" t="s">
        <v>336</v>
      </c>
      <c r="S2" s="34" t="s">
        <v>1044</v>
      </c>
      <c r="T2" s="69"/>
      <c r="U2" s="69"/>
      <c r="V2" s="66" t="s">
        <v>1736</v>
      </c>
      <c r="W2" s="38" t="b">
        <f>IF(OR(A2="Done",A2="In Progress"),TRUE)</f>
        <v>1</v>
      </c>
      <c r="X2" s="35" t="str">
        <f t="shared" ref="X2:X33" si="0">"title: """&amp;G2&amp;""""</f>
        <v>title: "Cathedral-Basilica of Our Lady of the Pillar"</v>
      </c>
      <c r="Y2" s="35" t="str">
        <f t="shared" ref="Y2:Y33" si="1">"location: {lat: "&amp;E2&amp;", lng: "&amp;F2&amp;"}"</f>
        <v>location: {lat: 41.6566567693307, lng: -0.878240620546361}</v>
      </c>
      <c r="Z2" s="37" t="str">
        <f>IF(LEN(S2)&gt;1,VLOOKUP(S2,Sheet3!$A:$B,2,),"")</f>
        <v>St. James the Greater</v>
      </c>
      <c r="AA2" s="37" t="str">
        <f>IF(LEN(T2)&gt;1,VLOOKUP(T2,Sheet3!$A:$B,2,),"")</f>
        <v/>
      </c>
      <c r="AB2" s="37" t="str">
        <f>IF(LEN(U2)&gt;1,VLOOKUP(U2,Sheet3!$A:$B,2,),"")</f>
        <v/>
      </c>
      <c r="AC2" s="37" t="str">
        <f>IF(LEN(S2)&gt;1,GetTagPage(Z2,S2),"")</f>
        <v>[St. James the Greater](/tags/james-greater)</v>
      </c>
      <c r="AD2" s="37" t="str">
        <f>IF(LEN(T2)&gt;1,GetTagPage(AA2,T2),"")</f>
        <v/>
      </c>
      <c r="AE2" s="37" t="str">
        <f>IF(LEN(U2)&gt;1,GetTagPage(AB2,U2),"")</f>
        <v/>
      </c>
      <c r="AF2" s="37" t="str">
        <f>"- marian-sites
- churches
- "&amp;VLOOKUP(C2,'(Ref) Countries'!A:C,3,)&amp;IF(LEN(S2)&gt;1,"
- "&amp;S2,"")&amp;IF(LEN(T2)&gt;1,"
- "&amp;T2,"")&amp;IF(LEN(U2)&gt;1,"
- "&amp;U2,"")</f>
        <v>- marian-sites
- churches
- spain
- james-greater</v>
      </c>
      <c r="AG2" s="37" t="str">
        <f>"|"&amp;IF(LEN(AC2)&gt;1," "&amp;AC2,"")&amp;IF(LEN(AD2)&gt;1,", "&amp;AD2,"")&amp;IF(LEN(AE2)&gt;1,", "&amp;AE2,"")&amp;" "</f>
        <v xml:space="preserve">| [St. James the Greater](/tags/james-greater) </v>
      </c>
      <c r="AH2" s="37" t="str">
        <f>"| "&amp;IF(W2,"["&amp;B2&amp;"](/places/"&amp;SUBSTITUTE(AQ2,".md","")&amp;")",B2)&amp;" "</f>
        <v xml:space="preserve">| [Zaragoza](/places/es-cathedral-basilica-of-our-lady-of-the-pillar) </v>
      </c>
      <c r="AI2" s="37" t="str">
        <f>"| "&amp;IF(W2,GetTagPage(C2,VLOOKUP(C2,'(Ref) Countries'!A:C,3,)),C2)&amp; " "</f>
        <v xml:space="preserve">| [Spain](/tags/spain) </v>
      </c>
      <c r="AJ2" s="37" t="str">
        <f>"| "&amp;D2&amp;" "</f>
        <v xml:space="preserve">| 40 </v>
      </c>
      <c r="AK2" s="37" t="str">
        <f>"|"&amp;IF(W2," [Link](/places/"&amp;SUBSTITUTE(AQ2,".md","")&amp;")","")&amp;" "</f>
        <v xml:space="preserve">| [Link](/places/es-cathedral-basilica-of-our-lady-of-the-pillar) </v>
      </c>
      <c r="AL2" s="37" t="str">
        <f t="shared" ref="AL2:AL33" si="2">IF(LEN(K2)&gt;1,"| [Link]("&amp;K2&amp;")"&amp;IF(LEN(L2)&gt;1,L2,"")&amp;" ","| ")</f>
        <v xml:space="preserve">| [Link](https://catedraldezaragoza.es/basilica/) </v>
      </c>
      <c r="AM2" s="37" t="str">
        <f t="shared" ref="AM2:AM33" si="3">IF(LEN(M2)&gt;1,"| [Link]("&amp;M2&amp;")"&amp;IF(LEN(N2)&gt;1,N2,"")&amp;" ","| ")</f>
        <v xml:space="preserve">| [Link](http://www.therealpresence.org/eucharst/misc/BVM/09_ZARAGOZA_60x96.pdf) </v>
      </c>
      <c r="AN2" s="37" t="str">
        <f t="shared" ref="AN2:AN33" si="4">IF(LEN(O2)&gt;1,"| [Link]("&amp;O2&amp;")"&amp;IF(LEN(P2)&gt;1,P2,"")&amp;" ","| ")</f>
        <v xml:space="preserve">| [Link](https://www.miraclehunter.com/marian_apparitions/approved_apparitions/zaragoza/index.html) </v>
      </c>
      <c r="AO2" s="37" t="str">
        <f t="shared" ref="AO2:AO33" si="5">IF(LEN(Q2)&gt;1,"| [Link]("&amp;Q2&amp;")"&amp;IF(LEN(R2)&gt;1,R2,"")&amp;" ","| ")</f>
        <v xml:space="preserve">| [Link](https://www.marypages.com/our-lady-of-the-pillar.html) </v>
      </c>
      <c r="AP2" s="37" t="str">
        <f>"
"&amp;AL2&amp;AM2&amp;AN2&amp;AO2&amp;"|"</f>
        <v xml:space="preserve">
| [Link](https://catedraldezaragoza.es/basilica/) | [Link](http://www.therealpresence.org/eucharst/misc/BVM/09_ZARAGOZA_60x96.pdf) | [Link](https://www.miraclehunter.com/marian_apparitions/approved_apparitions/zaragoza/index.html) | [Link](https://www.marypages.com/our-lady-of-the-pillar.html) |</v>
      </c>
      <c r="AQ2" s="48" t="str">
        <f>VLOOKUP(C2,'(Ref) Countries'!A:B,2,)&amp;"-"&amp;LOWER(SUBSTITUTE(H2," ","-"))&amp;".md"</f>
        <v>es-cathedral-basilica-of-our-lady-of-the-pillar.md</v>
      </c>
      <c r="AR2" s="35" t="str">
        <f>"
"&amp;AH2&amp;AI2&amp;AJ2&amp;AK2&amp;AL2&amp;AM2&amp;AN2&amp;AO2&amp;AG2&amp;"|"</f>
        <v xml:space="preserve">
| [Zaragoza](/places/es-cathedral-basilica-of-our-lady-of-the-pillar) | [Spain](/tags/spain) | 40 | [Link](/places/es-cathedral-basilica-of-our-lady-of-the-pillar) | [Link](https://catedraldezaragoza.es/basilica/) | [Link](http://www.therealpresence.org/eucharst/misc/BVM/09_ZARAGOZA_60x96.pdf) | [Link](https://www.miraclehunter.com/marian_apparitions/approved_apparitions/zaragoza/index.html) | [Link](https://www.marypages.com/our-lady-of-the-pillar.html) | [St. James the Greater](/tags/james-greater) |</v>
      </c>
      <c r="AS2" s="48" t="str">
        <f t="shared" ref="AS2:AS33" si="6">IF(OR(A2="Done",A2="In Progress"),"---
"&amp;X2&amp;"
"&amp;Y2&amp;"
"&amp;"tags:
"&amp;AF2&amp;"
---
"&amp;J2&amp;"
#### Source Material
| Official Site | The Real Presence | Miracle Hunter | MaryPages |
| --- | --- | --- | --- |"&amp;AP2&amp;"
"&amp;IF(LEN(V2)&gt;1,"#### Author's Note
"&amp;V2,""),"")</f>
        <v>---
title: "Cathedral-Basilica of Our Lady of the Pillar"
location: {lat: 41.6566567693307, lng: -0.878240620546361}
tags:
- marian-sites
- churches
- spain
- james-greater
---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
#### Source Material
| Official Site | The Real Presence | Miracle Hunter | MaryPages |
| --- | --- | --- | --- |
| [Link](https://catedraldezaragoza.es/basilica/) | [Link](http://www.therealpresence.org/eucharst/misc/BVM/09_ZARAGOZA_60x96.pdf) | [Link](https://www.miraclehunter.com/marian_apparitions/approved_apparitions/zaragoza/index.html) | [Link](https://www.marypages.com/our-lady-of-the-pillar.html) |
#### Author's Note
Unfortunately many modern visitors to the cathedral are more interested in its rooftop views, so it's important to be specific when asking for accurate information about services.  The cathedral website lists their service schedule [here](https://catedraldezaragoza.es/culto/).
- JMM</v>
      </c>
      <c r="AT2" s="17" t="s">
        <v>336</v>
      </c>
      <c r="AU2" s="16" t="e">
        <f>GetTagPage(AF2)</f>
        <v>#VALUE!</v>
      </c>
    </row>
    <row r="3" spans="1:47" ht="51" x14ac:dyDescent="0.25">
      <c r="A3" s="27" t="s">
        <v>1330</v>
      </c>
      <c r="B3" s="31" t="s">
        <v>1190</v>
      </c>
      <c r="C3" s="32" t="s">
        <v>558</v>
      </c>
      <c r="D3" s="61">
        <v>47</v>
      </c>
      <c r="E3" s="32">
        <v>45.045629644626899</v>
      </c>
      <c r="F3" s="32">
        <v>3.8846338389333201</v>
      </c>
      <c r="G3" s="33" t="s">
        <v>1353</v>
      </c>
      <c r="H3" s="33" t="s">
        <v>1353</v>
      </c>
      <c r="I3" s="33" t="s">
        <v>1758</v>
      </c>
      <c r="J3" s="33" t="s">
        <v>337</v>
      </c>
      <c r="K3" s="34" t="s">
        <v>1354</v>
      </c>
      <c r="L3" s="34" t="s">
        <v>336</v>
      </c>
      <c r="M3" s="32" t="s">
        <v>180</v>
      </c>
      <c r="N3" s="32" t="s">
        <v>336</v>
      </c>
      <c r="O3" s="34" t="s">
        <v>95</v>
      </c>
      <c r="P3" s="34" t="s">
        <v>336</v>
      </c>
      <c r="Q3" s="34" t="s">
        <v>336</v>
      </c>
      <c r="R3" s="34" t="s">
        <v>336</v>
      </c>
      <c r="S3" s="32" t="s">
        <v>1355</v>
      </c>
      <c r="T3" s="32"/>
      <c r="U3" s="32"/>
      <c r="V3" s="33"/>
      <c r="W3" s="38" t="b">
        <f t="shared" ref="W3:W66" si="7">IF(OR(A3="Done",A3="In Progress"),TRUE)</f>
        <v>1</v>
      </c>
      <c r="X3" s="35" t="str">
        <f t="shared" si="0"/>
        <v>title: "Cathedral of Our Lady of Puy"</v>
      </c>
      <c r="Y3" s="35" t="str">
        <f t="shared" si="1"/>
        <v>location: {lat: 45.0456296446269, lng: 3.88463383893332}</v>
      </c>
      <c r="Z3" s="35" t="str">
        <f>IF(LEN(S3)&gt;1,VLOOKUP(S3,Sheet3!$A:$B,2,),"")</f>
        <v>Camino de Santiago</v>
      </c>
      <c r="AA3" s="35" t="str">
        <f>IF(LEN(T3)&gt;1,VLOOKUP(T3,Sheet3!$A:$B,2,),"")</f>
        <v/>
      </c>
      <c r="AB3" s="35" t="str">
        <f>IF(LEN(U3)&gt;1,VLOOKUP(U3,Sheet3!$A:$B,2,),"")</f>
        <v/>
      </c>
      <c r="AC3" s="37" t="str">
        <f t="shared" ref="AC3:AC66" si="8">IF(LEN(S3)&gt;1,GetTagPage(Z3,S3),"")</f>
        <v>[Camino de Santiago](/tags/camino-de-santiago)</v>
      </c>
      <c r="AD3" s="37" t="str">
        <f t="shared" ref="AD3:AD66" si="9">IF(LEN(T3)&gt;1,GetTagPage(AA3,T3),"")</f>
        <v/>
      </c>
      <c r="AE3" s="37" t="str">
        <f t="shared" ref="AE3:AE66" si="10">IF(LEN(U3)&gt;1,GetTagPage(AB3,U3),"")</f>
        <v/>
      </c>
      <c r="AF3" s="37" t="str">
        <f>"- marian-sites
- churches
- "&amp;VLOOKUP(C3,'(Ref) Countries'!A:C,3,)&amp;IF(LEN(S3)&gt;1,"
- "&amp;S3,"")&amp;IF(LEN(T3)&gt;1,"
- "&amp;T3,"")&amp;IF(LEN(U3)&gt;1,"
- "&amp;U3,"")</f>
        <v>- marian-sites
- churches
- france
- camino-de-santiago</v>
      </c>
      <c r="AG3" s="37" t="str">
        <f t="shared" ref="AG3:AG66" si="11">"|"&amp;IF(LEN(AC3)&gt;1," "&amp;AC3,"")&amp;IF(LEN(AD3)&gt;1,", "&amp;AD3,"")&amp;IF(LEN(AE3)&gt;1,", "&amp;AE3,"")&amp;" "</f>
        <v xml:space="preserve">| [Camino de Santiago](/tags/camino-de-santiago) </v>
      </c>
      <c r="AH3" s="37" t="str">
        <f t="shared" ref="AH3:AH66" si="12">"| "&amp;IF(W3,"["&amp;B3&amp;"](/places/"&amp;SUBSTITUTE(AQ3,".md","")&amp;")",B3)&amp;" "</f>
        <v xml:space="preserve">| [Le Puy En Velay](/places/fr-cathedral-of-our-lady-of-puy) </v>
      </c>
      <c r="AI3" s="37" t="str">
        <f>"| "&amp;IF(W3,GetTagPage(C3,VLOOKUP(C3,'(Ref) Countries'!A:C,3,)),C3)&amp; " "</f>
        <v xml:space="preserve">| [France](/tags/france) </v>
      </c>
      <c r="AJ3" s="37" t="str">
        <f t="shared" ref="AJ3:AJ66" si="13">"| "&amp;D3&amp;" "</f>
        <v xml:space="preserve">| 47 </v>
      </c>
      <c r="AK3" s="37" t="str">
        <f t="shared" ref="AK3:AK66" si="14">"|"&amp;IF(W3," [Link](/places/"&amp;SUBSTITUTE(AQ3,".md","")&amp;")","")&amp;" "</f>
        <v xml:space="preserve">| [Link](/places/fr-cathedral-of-our-lady-of-puy) </v>
      </c>
      <c r="AL3" s="37" t="str">
        <f t="shared" si="2"/>
        <v xml:space="preserve">| [Link](https://www.cathedraledupuy.org/) </v>
      </c>
      <c r="AM3" s="37" t="str">
        <f t="shared" si="3"/>
        <v xml:space="preserve">| [Link](http://www.therealpresence.org/eucharst/misc/BVM/68_LE_PUY_60x96.pdf) </v>
      </c>
      <c r="AN3" s="37" t="str">
        <f t="shared" si="4"/>
        <v xml:space="preserve">| [Link](https://www.miraclehunter.com/marian_apparitions/approved_apparitions/lepuy/index.html) </v>
      </c>
      <c r="AO3" s="37" t="str">
        <f t="shared" si="5"/>
        <v xml:space="preserve">| </v>
      </c>
      <c r="AP3" s="37" t="str">
        <f t="shared" ref="AP3:AP68" si="15">"
"&amp;AL3&amp;AM3&amp;AN3&amp;AO3&amp;"|"</f>
        <v xml:space="preserve">
| [Link](https://www.cathedraledupuy.org/) | [Link](http://www.therealpresence.org/eucharst/misc/BVM/68_LE_PUY_60x96.pdf) | [Link](https://www.miraclehunter.com/marian_apparitions/approved_apparitions/lepuy/index.html) | |</v>
      </c>
      <c r="AQ3" s="48" t="str">
        <f>VLOOKUP(C3,'(Ref) Countries'!A:B,2,)&amp;"-"&amp;LOWER(SUBSTITUTE(H3," ","-"))&amp;".md"</f>
        <v>fr-cathedral-of-our-lady-of-puy.md</v>
      </c>
      <c r="AR3" s="35" t="str">
        <f t="shared" ref="AR3:AR66" si="16">"
"&amp;AH3&amp;AI3&amp;AJ3&amp;AK3&amp;AL3&amp;AM3&amp;AN3&amp;AO3&amp;AG3&amp;"|"</f>
        <v xml:space="preserve">
| [Le Puy En Velay](/places/fr-cathedral-of-our-lady-of-puy) | [France](/tags/france) | 47 | [Link](/places/fr-cathedral-of-our-lady-of-puy) | [Link](https://www.cathedraledupuy.org/) | [Link](http://www.therealpresence.org/eucharst/misc/BVM/68_LE_PUY_60x96.pdf) | [Link](https://www.miraclehunter.com/marian_apparitions/approved_apparitions/lepuy/index.html) | | [Camino de Santiago](/tags/camino-de-santiago) |</v>
      </c>
      <c r="AS3" s="48" t="str">
        <f t="shared" si="6"/>
        <v xml:space="preserve">---
title: "Cathedral of Our Lady of Puy"
location: {lat: 45.0456296446269, lng: 3.88463383893332}
tags:
- marian-sites
- churches
- france
- camino-de-santiago
---
In 47 AD, Our Lady appeared to a recent Christian convert, in a chapel built few years before on a high mountain. This woman was plagued by a serious illness and no doctor had been able to help.  The Blessed Mother, during her appearance, completely cured her.
#### Source Material
| Official Site | The Real Presence | Miracle Hunter | MaryPages |
| --- | --- | --- | --- |
| [Link](https://www.cathedraledupuy.org/) | [Link](http://www.therealpresence.org/eucharst/misc/BVM/68_LE_PUY_60x96.pdf) | [Link](https://www.miraclehunter.com/marian_apparitions/approved_apparitions/lepuy/index.html) | |
</v>
      </c>
      <c r="AT3" s="15" t="s">
        <v>336</v>
      </c>
    </row>
    <row r="4" spans="1:47" ht="63.75" x14ac:dyDescent="0.25">
      <c r="A4" s="27" t="s">
        <v>1330</v>
      </c>
      <c r="B4" s="31" t="s">
        <v>1415</v>
      </c>
      <c r="C4" s="57" t="s">
        <v>2</v>
      </c>
      <c r="D4" s="61">
        <v>335</v>
      </c>
      <c r="E4" s="32">
        <v>9.7544459999999997</v>
      </c>
      <c r="F4" s="32">
        <v>76.564819999999997</v>
      </c>
      <c r="G4" s="58" t="s">
        <v>1416</v>
      </c>
      <c r="H4" s="58" t="s">
        <v>1417</v>
      </c>
      <c r="I4" s="58" t="s">
        <v>1758</v>
      </c>
      <c r="J4" s="33" t="s">
        <v>1414</v>
      </c>
      <c r="K4" s="34" t="s">
        <v>101</v>
      </c>
      <c r="L4" s="34" t="s">
        <v>336</v>
      </c>
      <c r="M4" s="59" t="s">
        <v>336</v>
      </c>
      <c r="N4" s="32" t="s">
        <v>336</v>
      </c>
      <c r="O4" s="34" t="s">
        <v>1418</v>
      </c>
      <c r="P4" s="59" t="s">
        <v>1419</v>
      </c>
      <c r="Q4" s="59" t="s">
        <v>336</v>
      </c>
      <c r="R4" s="59" t="s">
        <v>336</v>
      </c>
      <c r="S4" s="57" t="s">
        <v>1420</v>
      </c>
      <c r="T4" s="57"/>
      <c r="U4" s="57"/>
      <c r="V4" s="33"/>
      <c r="W4" s="38" t="b">
        <f t="shared" si="7"/>
        <v>1</v>
      </c>
      <c r="X4" s="35" t="str">
        <f t="shared" si="0"/>
        <v>title: "Major Archiepiscopal Marth Mariam Archdeacon Pilgrim Church at Kuravilangad"</v>
      </c>
      <c r="Y4" s="35" t="str">
        <f t="shared" si="1"/>
        <v>location: {lat: 9.754446, lng: 76.56482}</v>
      </c>
      <c r="Z4" s="35" t="str">
        <f>IF(LEN(S4)&gt;1,VLOOKUP(S4,Sheet3!$A:$B,2,),"")</f>
        <v>Syro-Malabar Church</v>
      </c>
      <c r="AA4" s="35" t="str">
        <f>IF(LEN(T4)&gt;1,VLOOKUP(T4,Sheet3!$A:$B,2,),"")</f>
        <v/>
      </c>
      <c r="AB4" s="35" t="str">
        <f>IF(LEN(U4)&gt;1,VLOOKUP(U4,Sheet3!$A:$B,2,),"")</f>
        <v/>
      </c>
      <c r="AC4" s="37" t="str">
        <f t="shared" si="8"/>
        <v>[Syro-Malabar Church](/tags/syro-malabar)</v>
      </c>
      <c r="AD4" s="37" t="str">
        <f t="shared" si="9"/>
        <v/>
      </c>
      <c r="AE4" s="37" t="str">
        <f t="shared" si="10"/>
        <v/>
      </c>
      <c r="AF4" s="37" t="str">
        <f>"- marian-sites
- churches
- "&amp;VLOOKUP(C4,'(Ref) Countries'!A:C,3,)&amp;IF(LEN(S4)&gt;1,"
- "&amp;S4,"")&amp;IF(LEN(T4)&gt;1,"
- "&amp;T4,"")&amp;IF(LEN(U4)&gt;1,"
- "&amp;U4,"")</f>
        <v>- marian-sites
- churches
- india
- syro-malabar</v>
      </c>
      <c r="AG4" s="37" t="str">
        <f t="shared" si="11"/>
        <v xml:space="preserve">| [Syro-Malabar Church](/tags/syro-malabar) </v>
      </c>
      <c r="AH4" s="37" t="str">
        <f t="shared" si="12"/>
        <v xml:space="preserve">| [Kuravilangad](/places/in-marth-mariam-archdeacon-pilgrim-church-at-kuravilangad) </v>
      </c>
      <c r="AI4" s="37" t="str">
        <f>"| "&amp;IF(W4,GetTagPage(C4,VLOOKUP(C4,'(Ref) Countries'!A:C,3,)),C4)&amp; " "</f>
        <v xml:space="preserve">| [India](/tags/india) </v>
      </c>
      <c r="AJ4" s="37" t="str">
        <f t="shared" si="13"/>
        <v xml:space="preserve">| 335 </v>
      </c>
      <c r="AK4" s="37" t="str">
        <f t="shared" si="14"/>
        <v xml:space="preserve">| [Link](/places/in-marth-mariam-archdeacon-pilgrim-church-at-kuravilangad) </v>
      </c>
      <c r="AL4" s="37" t="str">
        <f t="shared" si="2"/>
        <v xml:space="preserve">| [Link](http://kuravilangadpally.com/) </v>
      </c>
      <c r="AM4" s="37" t="str">
        <f t="shared" si="3"/>
        <v xml:space="preserve">| </v>
      </c>
      <c r="AN4" s="37" t="str">
        <f t="shared" si="4"/>
        <v xml:space="preserve">| [Link](https://www.miraclehunter.com/marian_apparitions/approved_apparitions/apparitions_0040-0999.html) (Search "Kuravilangad") </v>
      </c>
      <c r="AO4" s="37" t="str">
        <f t="shared" si="5"/>
        <v xml:space="preserve">| </v>
      </c>
      <c r="AP4" s="37" t="str">
        <f t="shared" ref="AP4" si="17">"
"&amp;AL4&amp;AM4&amp;AN4&amp;AO4&amp;"|"</f>
        <v xml:space="preserve">
| [Link](http://kuravilangadpally.com/) | | [Link](https://www.miraclehunter.com/marian_apparitions/approved_apparitions/apparitions_0040-0999.html) (Search "Kuravilangad") | |</v>
      </c>
      <c r="AQ4" s="48" t="str">
        <f>VLOOKUP(C4,'(Ref) Countries'!A:B,2,)&amp;"-"&amp;LOWER(SUBSTITUTE(H4," ","-"))&amp;".md"</f>
        <v>in-marth-mariam-archdeacon-pilgrim-church-at-kuravilangad.md</v>
      </c>
      <c r="AR4" s="35" t="str">
        <f t="shared" si="16"/>
        <v xml:space="preserve">
| [Kuravilangad](/places/in-marth-mariam-archdeacon-pilgrim-church-at-kuravilangad) | [India](/tags/india) | 335 | [Link](/places/in-marth-mariam-archdeacon-pilgrim-church-at-kuravilangad) | [Link](http://kuravilangadpally.com/) | | [Link](https://www.miraclehunter.com/marian_apparitions/approved_apparitions/apparitions_0040-0999.html) (Search "Kuravilangad") | | [Syro-Malabar Church](/tags/syro-malabar) |</v>
      </c>
      <c r="AS4" s="48" t="str">
        <f t="shared" si="6"/>
        <v xml:space="preserve">---
title: "Major Archiepiscopal Marth Mariam Archdeacon Pilgrim Church at Kuravilangad"
location: {lat: 9.754446, lng: 76.56482}
tags:
- marian-sites
- churches
- india
- syro-malabar
---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
#### Source Material
| Official Site | The Real Presence | Miracle Hunter | MaryPages |
| --- | --- | --- | --- |
| [Link](http://kuravilangadpally.com/) | | [Link](https://www.miraclehunter.com/marian_apparitions/approved_apparitions/apparitions_0040-0999.html) (Search "Kuravilangad") | |
</v>
      </c>
      <c r="AT4" s="15" t="s">
        <v>336</v>
      </c>
    </row>
    <row r="5" spans="1:47" ht="102" x14ac:dyDescent="0.25">
      <c r="A5" s="27" t="s">
        <v>1330</v>
      </c>
      <c r="B5" s="31" t="s">
        <v>1319</v>
      </c>
      <c r="C5" s="65" t="s">
        <v>11</v>
      </c>
      <c r="D5" s="61">
        <v>352</v>
      </c>
      <c r="E5" s="32">
        <v>41.897293109963897</v>
      </c>
      <c r="F5" s="32">
        <v>12.4989743434214</v>
      </c>
      <c r="G5" s="33" t="s">
        <v>175</v>
      </c>
      <c r="H5" s="33" t="s">
        <v>732</v>
      </c>
      <c r="I5" s="33" t="s">
        <v>1758</v>
      </c>
      <c r="J5" s="33" t="s">
        <v>338</v>
      </c>
      <c r="K5" s="32" t="s">
        <v>176</v>
      </c>
      <c r="L5" s="32" t="s">
        <v>336</v>
      </c>
      <c r="M5" s="32" t="s">
        <v>181</v>
      </c>
      <c r="N5" s="32" t="s">
        <v>336</v>
      </c>
      <c r="O5" s="32" t="s">
        <v>103</v>
      </c>
      <c r="P5" s="32" t="s">
        <v>336</v>
      </c>
      <c r="Q5" s="32" t="s">
        <v>177</v>
      </c>
      <c r="R5" s="32" t="s">
        <v>336</v>
      </c>
      <c r="S5" s="40" t="s">
        <v>1002</v>
      </c>
      <c r="T5" s="70" t="s">
        <v>1479</v>
      </c>
      <c r="U5" s="40"/>
      <c r="V5" s="33"/>
      <c r="W5" s="38" t="b">
        <f t="shared" si="7"/>
        <v>1</v>
      </c>
      <c r="X5" s="35" t="str">
        <f t="shared" si="0"/>
        <v>title: "Santa Maria Maggiore (Our Lady of the Snows)"</v>
      </c>
      <c r="Y5" s="35" t="str">
        <f t="shared" si="1"/>
        <v>location: {lat: 41.8972931099639, lng: 12.4989743434214}</v>
      </c>
      <c r="Z5" s="36" t="str">
        <f>IF(LEN(S5)&gt;1,VLOOKUP(S5,Sheet3!$A:$B,2,),"")</f>
        <v>Papal Basilicas</v>
      </c>
      <c r="AA5" s="36" t="str">
        <f>IF(LEN(T5)&gt;1,VLOOKUP(T5,Sheet3!$A:$B,2,),"")</f>
        <v>Rome</v>
      </c>
      <c r="AB5" s="36" t="str">
        <f>IF(LEN(U5)&gt;1,VLOOKUP(U5,Sheet3!$A:$B,2,),"")</f>
        <v/>
      </c>
      <c r="AC5" s="37" t="str">
        <f t="shared" si="8"/>
        <v>[Papal Basilicas](/tags/papal-basilicas)</v>
      </c>
      <c r="AD5" s="37" t="str">
        <f t="shared" si="9"/>
        <v>[Rome](/tags/rome)</v>
      </c>
      <c r="AE5" s="37" t="str">
        <f t="shared" si="10"/>
        <v/>
      </c>
      <c r="AF5" s="37" t="str">
        <f>"- marian-sites
- churches
- "&amp;VLOOKUP(C5,'(Ref) Countries'!A:C,3,)&amp;IF(LEN(S5)&gt;1,"
- "&amp;S5,"")&amp;IF(LEN(T5)&gt;1,"
- "&amp;T5,"")&amp;IF(LEN(U5)&gt;1,"
- "&amp;U5,"")</f>
        <v>- marian-sites
- churches
- italy
- papal-basilicas
- rome</v>
      </c>
      <c r="AG5" s="37" t="str">
        <f t="shared" si="11"/>
        <v xml:space="preserve">| [Papal Basilicas](/tags/papal-basilicas), [Rome](/tags/rome) </v>
      </c>
      <c r="AH5" s="37" t="str">
        <f t="shared" si="12"/>
        <v xml:space="preserve">| [Rome (Santa Maria Maggiore)](/places/it-s-maria-maggiore) </v>
      </c>
      <c r="AI5" s="37" t="str">
        <f>"| "&amp;IF(W5,GetTagPage(C5,VLOOKUP(C5,'(Ref) Countries'!A:C,3,)),C5)&amp; " "</f>
        <v xml:space="preserve">| [Italy](/tags/italy) </v>
      </c>
      <c r="AJ5" s="37" t="str">
        <f t="shared" si="13"/>
        <v xml:space="preserve">| 352 </v>
      </c>
      <c r="AK5" s="37" t="str">
        <f t="shared" si="14"/>
        <v xml:space="preserve">| [Link](/places/it-s-maria-maggiore) </v>
      </c>
      <c r="AL5" s="35" t="str">
        <f t="shared" si="2"/>
        <v xml:space="preserve">| [Link](https://www.vatican.va/various/basiliche/sm_maggiore/index_en.html) </v>
      </c>
      <c r="AM5" s="37" t="str">
        <f t="shared" si="3"/>
        <v xml:space="preserve">| [Link](http://www.therealpresence.org/eucharst/misc/BVM/117_ROMA_60x96.pdf) </v>
      </c>
      <c r="AN5" s="37" t="str">
        <f t="shared" si="4"/>
        <v xml:space="preserve">| [Link](https://www.miraclehunter.com/marian_apparitions/approved_apparitions/rome/index.html) </v>
      </c>
      <c r="AO5" s="37" t="str">
        <f t="shared" si="5"/>
        <v xml:space="preserve">| [Link](https://www.marypages.com/our-lady-of-the-snows-en.html) </v>
      </c>
      <c r="AP5" s="37" t="str">
        <f t="shared" si="15"/>
        <v xml:space="preserve">
| [Link](https://www.vatican.va/various/basiliche/sm_maggiore/index_en.html) | [Link](http://www.therealpresence.org/eucharst/misc/BVM/117_ROMA_60x96.pdf) | [Link](https://www.miraclehunter.com/marian_apparitions/approved_apparitions/rome/index.html) | [Link](https://www.marypages.com/our-lady-of-the-snows-en.html) |</v>
      </c>
      <c r="AQ5" s="48" t="str">
        <f>VLOOKUP(C5,'(Ref) Countries'!A:B,2,)&amp;"-"&amp;LOWER(SUBSTITUTE(H5," ","-"))&amp;".md"</f>
        <v>it-s-maria-maggiore.md</v>
      </c>
      <c r="AR5" s="35" t="str">
        <f t="shared" si="16"/>
        <v xml:space="preserve">
| [Rome (Santa Maria Maggiore)](/places/it-s-maria-maggiore) | [Italy](/tags/italy) | 352 | [Link](/places/it-s-maria-maggiore) | [Link](https://www.vatican.va/various/basiliche/sm_maggiore/index_en.html) | [Link](http://www.therealpresence.org/eucharst/misc/BVM/117_ROMA_60x96.pdf) | [Link](https://www.miraclehunter.com/marian_apparitions/approved_apparitions/rome/index.html) | [Link](https://www.marypages.com/our-lady-of-the-snows-en.html) | [Papal Basilicas](/tags/papal-basilicas), [Rome](/tags/rome) |</v>
      </c>
      <c r="AS5" s="48" t="str">
        <f t="shared" si="6"/>
        <v xml:space="preserve">---
title: "Santa Maria Maggiore (Our Lady of the Snows)"
location: {lat: 41.8972931099639, lng: 12.4989743434214}
tags:
- marian-sites
- churches
- italy
- papal-basilicas
- rome
---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
#### Source Material
| Official Site | The Real Presence | Miracle Hunter | MaryPages |
| --- | --- | --- | --- |
| [Link](https://www.vatican.va/various/basiliche/sm_maggiore/index_en.html) | [Link](http://www.therealpresence.org/eucharst/misc/BVM/117_ROMA_60x96.pdf) | [Link](https://www.miraclehunter.com/marian_apparitions/approved_apparitions/rome/index.html) | [Link](https://www.marypages.com/our-lady-of-the-snows-en.html) |
</v>
      </c>
      <c r="AT5" s="15" t="s">
        <v>336</v>
      </c>
    </row>
    <row r="6" spans="1:47" x14ac:dyDescent="0.25">
      <c r="A6" s="27" t="s">
        <v>1058</v>
      </c>
      <c r="B6" s="31" t="s">
        <v>1191</v>
      </c>
      <c r="C6" s="32" t="s">
        <v>11</v>
      </c>
      <c r="D6" s="61" t="s">
        <v>1356</v>
      </c>
      <c r="E6" s="32">
        <v>38.141271460015901</v>
      </c>
      <c r="F6" s="32">
        <v>15.0456795824699</v>
      </c>
      <c r="G6" s="33" t="s">
        <v>1351</v>
      </c>
      <c r="H6" s="33" t="s">
        <v>1350</v>
      </c>
      <c r="I6" s="33" t="s">
        <v>1758</v>
      </c>
      <c r="J6" s="33" t="s">
        <v>1345</v>
      </c>
      <c r="K6" s="32" t="s">
        <v>1348</v>
      </c>
      <c r="L6" s="32" t="s">
        <v>336</v>
      </c>
      <c r="M6" s="32" t="s">
        <v>182</v>
      </c>
      <c r="N6" s="32" t="s">
        <v>336</v>
      </c>
      <c r="O6" s="32"/>
      <c r="P6" s="32" t="s">
        <v>336</v>
      </c>
      <c r="Q6" s="32" t="s">
        <v>336</v>
      </c>
      <c r="R6" s="32" t="s">
        <v>336</v>
      </c>
      <c r="S6" s="32" t="s">
        <v>1352</v>
      </c>
      <c r="T6" s="32"/>
      <c r="U6" s="32"/>
      <c r="V6" s="33"/>
      <c r="W6" s="38" t="b">
        <f t="shared" si="7"/>
        <v>1</v>
      </c>
      <c r="X6" s="35" t="str">
        <f t="shared" si="0"/>
        <v>title: "Sanctuary of Holy Mary of Tindari"</v>
      </c>
      <c r="Y6" s="35" t="str">
        <f t="shared" si="1"/>
        <v>location: {lat: 38.1412714600159, lng: 15.0456795824699}</v>
      </c>
      <c r="Z6" s="35" t="str">
        <f>IF(LEN(S6)&gt;1,VLOOKUP(S6,Sheet3!$A:$B,2,),"")</f>
        <v>Sicily</v>
      </c>
      <c r="AA6" s="35" t="str">
        <f>IF(LEN(T6)&gt;1,VLOOKUP(T6,Sheet3!$A:$B,2,),"")</f>
        <v/>
      </c>
      <c r="AB6" s="35" t="str">
        <f>IF(LEN(U6)&gt;1,VLOOKUP(U6,Sheet3!$A:$B,2,),"")</f>
        <v/>
      </c>
      <c r="AC6" s="37" t="str">
        <f t="shared" si="8"/>
        <v>[Sicily](/tags/sicily)</v>
      </c>
      <c r="AD6" s="37" t="str">
        <f t="shared" si="9"/>
        <v/>
      </c>
      <c r="AE6" s="37" t="str">
        <f t="shared" si="10"/>
        <v/>
      </c>
      <c r="AF6" s="37" t="str">
        <f>"- marian-sites
- churches
- "&amp;VLOOKUP(C6,'(Ref) Countries'!A:C,3,)&amp;IF(LEN(S6)&gt;1,"
- "&amp;S6,"")&amp;IF(LEN(T6)&gt;1,"
- "&amp;T6,"")&amp;IF(LEN(U6)&gt;1,"
- "&amp;U6,"")</f>
        <v>- marian-sites
- churches
- italy
- sicily</v>
      </c>
      <c r="AG6" s="37" t="str">
        <f t="shared" si="11"/>
        <v xml:space="preserve">| [Sicily](/tags/sicily) </v>
      </c>
      <c r="AH6" s="37" t="str">
        <f t="shared" si="12"/>
        <v xml:space="preserve">| [Tindari](/places/it-sanctuary-of-tindari) </v>
      </c>
      <c r="AI6" s="37" t="str">
        <f>"| "&amp;IF(W6,GetTagPage(C6,VLOOKUP(C6,'(Ref) Countries'!A:C,3,)),C6)&amp; " "</f>
        <v xml:space="preserve">| [Italy](/tags/italy) </v>
      </c>
      <c r="AJ6" s="37" t="str">
        <f t="shared" si="13"/>
        <v xml:space="preserve">| 5th or 6th Century </v>
      </c>
      <c r="AK6" s="37" t="str">
        <f t="shared" si="14"/>
        <v xml:space="preserve">| [Link](/places/it-sanctuary-of-tindari) </v>
      </c>
      <c r="AL6" s="35" t="str">
        <f t="shared" si="2"/>
        <v xml:space="preserve">| [Link](https://santuariotindari.it/) </v>
      </c>
      <c r="AM6" s="37" t="str">
        <f t="shared" si="3"/>
        <v xml:space="preserve">| [Link](http://www.therealpresence.org/eucharst/misc/BVM/90_TINDARI_60x96.pdf) </v>
      </c>
      <c r="AN6" s="37" t="str">
        <f t="shared" si="4"/>
        <v xml:space="preserve">| </v>
      </c>
      <c r="AO6" s="37" t="str">
        <f t="shared" si="5"/>
        <v xml:space="preserve">| </v>
      </c>
      <c r="AP6" s="37" t="str">
        <f t="shared" si="15"/>
        <v xml:space="preserve">
| [Link](https://santuariotindari.it/) | [Link](http://www.therealpresence.org/eucharst/misc/BVM/90_TINDARI_60x96.pdf) | | |</v>
      </c>
      <c r="AQ6" s="48" t="str">
        <f>VLOOKUP(C6,'(Ref) Countries'!A:B,2,)&amp;"-"&amp;LOWER(SUBSTITUTE(H6," ","-"))&amp;".md"</f>
        <v>it-sanctuary-of-tindari.md</v>
      </c>
      <c r="AR6" s="35" t="str">
        <f t="shared" si="16"/>
        <v xml:space="preserve">
| [Tindari](/places/it-sanctuary-of-tindari) | [Italy](/tags/italy) | 5th or 6th Century | [Link](/places/it-sanctuary-of-tindari) | [Link](https://santuariotindari.it/) | [Link](http://www.therealpresence.org/eucharst/misc/BVM/90_TINDARI_60x96.pdf) | | | [Sicily](/tags/sicily) |</v>
      </c>
      <c r="AS6" s="48" t="str">
        <f t="shared" si="6"/>
        <v xml:space="preserve">---
title: "Sanctuary of Holy Mary of Tindari"
location: {lat: 38.1412714600159, lng: 15.0456795824699}
tags:
- marian-sites
- churches
- italy
- sicily
---
_Research in progress_
#### Source Material
| Official Site | The Real Presence | Miracle Hunter | MaryPages |
| --- | --- | --- | --- |
| [Link](https://santuariotindari.it/) | [Link](http://www.therealpresence.org/eucharst/misc/BVM/90_TINDARI_60x96.pdf) | | |
</v>
      </c>
      <c r="AT6" s="15" t="s">
        <v>336</v>
      </c>
    </row>
    <row r="7" spans="1:47" x14ac:dyDescent="0.25">
      <c r="A7" s="27"/>
      <c r="B7" s="31" t="s">
        <v>626</v>
      </c>
      <c r="C7" s="32" t="s">
        <v>553</v>
      </c>
      <c r="D7" s="61" t="s">
        <v>1072</v>
      </c>
      <c r="E7" s="32"/>
      <c r="F7" s="32"/>
      <c r="G7" s="33"/>
      <c r="H7" s="33"/>
      <c r="I7" s="33" t="s">
        <v>1758</v>
      </c>
      <c r="J7" s="33"/>
      <c r="K7" s="32" t="s">
        <v>336</v>
      </c>
      <c r="L7" s="32" t="s">
        <v>336</v>
      </c>
      <c r="M7" s="32" t="s">
        <v>183</v>
      </c>
      <c r="N7" s="32" t="s">
        <v>336</v>
      </c>
      <c r="O7" s="32" t="s">
        <v>336</v>
      </c>
      <c r="P7" s="32" t="s">
        <v>336</v>
      </c>
      <c r="Q7" s="32" t="s">
        <v>336</v>
      </c>
      <c r="R7" s="32" t="s">
        <v>336</v>
      </c>
      <c r="S7" s="65"/>
      <c r="T7" s="65"/>
      <c r="U7" s="65"/>
      <c r="V7" s="33"/>
      <c r="W7" s="38" t="b">
        <f t="shared" si="7"/>
        <v>0</v>
      </c>
      <c r="X7" s="35" t="str">
        <f t="shared" si="0"/>
        <v>title: ""</v>
      </c>
      <c r="Y7" s="35" t="str">
        <f t="shared" si="1"/>
        <v>location: {lat: , lng: }</v>
      </c>
      <c r="Z7" s="35" t="str">
        <f>IF(LEN(S7)&gt;1,VLOOKUP(S7,Sheet3!$A:$B,2,),"")</f>
        <v/>
      </c>
      <c r="AA7" s="35" t="str">
        <f>IF(LEN(T7)&gt;1,VLOOKUP(T7,Sheet3!$A:$B,2,),"")</f>
        <v/>
      </c>
      <c r="AB7" s="35" t="str">
        <f>IF(LEN(U7)&gt;1,VLOOKUP(U7,Sheet3!$A:$B,2,),"")</f>
        <v/>
      </c>
      <c r="AC7" s="37" t="str">
        <f t="shared" si="8"/>
        <v/>
      </c>
      <c r="AD7" s="37" t="str">
        <f t="shared" si="9"/>
        <v/>
      </c>
      <c r="AE7" s="37" t="str">
        <f t="shared" si="10"/>
        <v/>
      </c>
      <c r="AF7" s="37" t="str">
        <f>"- marian-sites
- churches
- "&amp;VLOOKUP(C7,'(Ref) Countries'!A:C,3,)&amp;IF(LEN(S7)&gt;1,"
- "&amp;S7,"")&amp;IF(LEN(T7)&gt;1,"
- "&amp;T7,"")&amp;IF(LEN(U7)&gt;1,"
- "&amp;U7,"")</f>
        <v>- marian-sites
- churches
- spain</v>
      </c>
      <c r="AG7" s="37" t="str">
        <f t="shared" si="11"/>
        <v xml:space="preserve">| </v>
      </c>
      <c r="AH7" s="37" t="str">
        <f t="shared" si="12"/>
        <v xml:space="preserve">| Montserrat </v>
      </c>
      <c r="AI7" s="37" t="str">
        <f>"| "&amp;IF(W7,GetTagPage(C7,VLOOKUP(C7,'(Ref) Countries'!A:C,3,)),C7)&amp; " "</f>
        <v xml:space="preserve">| Spain </v>
      </c>
      <c r="AJ7" s="37" t="str">
        <f t="shared" si="13"/>
        <v xml:space="preserve">| 9th Century </v>
      </c>
      <c r="AK7" s="37" t="str">
        <f t="shared" si="14"/>
        <v xml:space="preserve">| </v>
      </c>
      <c r="AL7" s="35" t="str">
        <f t="shared" si="2"/>
        <v xml:space="preserve">| </v>
      </c>
      <c r="AM7" s="37" t="str">
        <f t="shared" si="3"/>
        <v xml:space="preserve">| [Link](http://www.therealpresence.org/eucharst/misc/BVM/121_MONTSERRAT_60x96.pdf) </v>
      </c>
      <c r="AN7" s="37" t="str">
        <f t="shared" si="4"/>
        <v xml:space="preserve">| </v>
      </c>
      <c r="AO7" s="37" t="str">
        <f t="shared" si="5"/>
        <v xml:space="preserve">| </v>
      </c>
      <c r="AP7" s="37" t="str">
        <f t="shared" si="15"/>
        <v xml:space="preserve">
| | [Link](http://www.therealpresence.org/eucharst/misc/BVM/121_MONTSERRAT_60x96.pdf) | | |</v>
      </c>
      <c r="AQ7" s="48" t="str">
        <f>VLOOKUP(C7,'(Ref) Countries'!A:B,2,)&amp;"-"&amp;LOWER(SUBSTITUTE(H7," ","-"))&amp;".md"</f>
        <v>es-.md</v>
      </c>
      <c r="AR7" s="35" t="str">
        <f t="shared" si="16"/>
        <v xml:space="preserve">
| Montserrat | Spain | 9th Century | | | [Link](http://www.therealpresence.org/eucharst/misc/BVM/121_MONTSERRAT_60x96.pdf) | | | |</v>
      </c>
      <c r="AS7" s="48" t="str">
        <f t="shared" si="6"/>
        <v/>
      </c>
      <c r="AT7" s="15" t="s">
        <v>336</v>
      </c>
    </row>
    <row r="8" spans="1:47" ht="76.5" x14ac:dyDescent="0.25">
      <c r="A8" s="27" t="s">
        <v>1330</v>
      </c>
      <c r="B8" s="31" t="s">
        <v>1192</v>
      </c>
      <c r="C8" s="32" t="s">
        <v>738</v>
      </c>
      <c r="D8" s="61" t="s">
        <v>1073</v>
      </c>
      <c r="E8" s="32">
        <v>52.880559553822799</v>
      </c>
      <c r="F8" s="32">
        <v>0.85276071534114095</v>
      </c>
      <c r="G8" s="33" t="s">
        <v>1368</v>
      </c>
      <c r="H8" s="33" t="s">
        <v>334</v>
      </c>
      <c r="I8" s="33" t="s">
        <v>1758</v>
      </c>
      <c r="J8" s="33" t="s">
        <v>1366</v>
      </c>
      <c r="K8" s="32" t="s">
        <v>1367</v>
      </c>
      <c r="L8" s="32" t="s">
        <v>336</v>
      </c>
      <c r="M8" s="32" t="s">
        <v>184</v>
      </c>
      <c r="N8" s="32" t="s">
        <v>336</v>
      </c>
      <c r="O8" s="32" t="s">
        <v>1365</v>
      </c>
      <c r="P8" s="32" t="s">
        <v>336</v>
      </c>
      <c r="Q8" s="32" t="s">
        <v>1369</v>
      </c>
      <c r="R8" s="32" t="s">
        <v>336</v>
      </c>
      <c r="S8" s="32" t="s">
        <v>336</v>
      </c>
      <c r="T8" s="32"/>
      <c r="U8" s="32"/>
      <c r="V8" s="33"/>
      <c r="W8" s="38" t="b">
        <f t="shared" si="7"/>
        <v>1</v>
      </c>
      <c r="X8" s="35" t="str">
        <f t="shared" si="0"/>
        <v>title: "Catholic National Shrine and Basilica of Our Lady of Walsingham"</v>
      </c>
      <c r="Y8" s="35" t="str">
        <f t="shared" si="1"/>
        <v>location: {lat: 52.8805595538228, lng: 0.852760715341141}</v>
      </c>
      <c r="Z8" s="35" t="str">
        <f>IF(LEN(S8)&gt;1,VLOOKUP(S8,Sheet3!$A:$B,2,),"")</f>
        <v/>
      </c>
      <c r="AA8" s="35" t="str">
        <f>IF(LEN(T8)&gt;1,VLOOKUP(T8,Sheet3!$A:$B,2,),"")</f>
        <v/>
      </c>
      <c r="AB8" s="35" t="str">
        <f>IF(LEN(U8)&gt;1,VLOOKUP(U8,Sheet3!$A:$B,2,),"")</f>
        <v/>
      </c>
      <c r="AC8" s="37" t="str">
        <f t="shared" si="8"/>
        <v/>
      </c>
      <c r="AD8" s="37" t="str">
        <f t="shared" si="9"/>
        <v/>
      </c>
      <c r="AE8" s="37" t="str">
        <f t="shared" si="10"/>
        <v/>
      </c>
      <c r="AF8" s="37" t="str">
        <f>"- marian-sites
- churches
- "&amp;VLOOKUP(C8,'(Ref) Countries'!A:C,3,)&amp;IF(LEN(S8)&gt;1,"
- "&amp;S8,"")&amp;IF(LEN(T8)&gt;1,"
- "&amp;T8,"")&amp;IF(LEN(U8)&gt;1,"
- "&amp;U8,"")</f>
        <v>- marian-sites
- churches
- uk</v>
      </c>
      <c r="AG8" s="37" t="str">
        <f t="shared" si="11"/>
        <v xml:space="preserve">| </v>
      </c>
      <c r="AH8" s="37" t="str">
        <f t="shared" si="12"/>
        <v xml:space="preserve">| [Walsingham](/places/gb-basilica-of-our-lady-of-walsingham) </v>
      </c>
      <c r="AI8" s="37" t="str">
        <f>"| "&amp;IF(W8,GetTagPage(C8,VLOOKUP(C8,'(Ref) Countries'!A:C,3,)),C8)&amp; " "</f>
        <v xml:space="preserve">| [United Kingdom](/tags/uk) </v>
      </c>
      <c r="AJ8" s="37" t="str">
        <f t="shared" si="13"/>
        <v xml:space="preserve">| 11th Century </v>
      </c>
      <c r="AK8" s="37" t="str">
        <f t="shared" si="14"/>
        <v xml:space="preserve">| [Link](/places/gb-basilica-of-our-lady-of-walsingham) </v>
      </c>
      <c r="AL8" s="35" t="str">
        <f t="shared" si="2"/>
        <v xml:space="preserve">| [Link](https://www.walsingham.org.uk/) </v>
      </c>
      <c r="AM8" s="37" t="str">
        <f t="shared" si="3"/>
        <v xml:space="preserve">| [Link](http://www.therealpresence.org/eucharst/misc/BVM/153_WALSINGHAM_60x96.pdf) </v>
      </c>
      <c r="AN8" s="37" t="str">
        <f t="shared" si="4"/>
        <v xml:space="preserve">| [Link](https://www.miraclehunter.com/marian_apparitions/approved_apparitions/walsingham/index.html) </v>
      </c>
      <c r="AO8" s="37" t="str">
        <f t="shared" si="5"/>
        <v xml:space="preserve">| [Link](https://www.marypages.com/our-lady-of-walsingham-en.html) </v>
      </c>
      <c r="AP8" s="37" t="str">
        <f t="shared" si="15"/>
        <v xml:space="preserve">
| [Link](https://www.walsingham.org.uk/) | [Link](http://www.therealpresence.org/eucharst/misc/BVM/153_WALSINGHAM_60x96.pdf) | [Link](https://www.miraclehunter.com/marian_apparitions/approved_apparitions/walsingham/index.html) | [Link](https://www.marypages.com/our-lady-of-walsingham-en.html) |</v>
      </c>
      <c r="AQ8" s="48" t="str">
        <f>VLOOKUP(C8,'(Ref) Countries'!A:B,2,)&amp;"-"&amp;LOWER(SUBSTITUTE(H8," ","-"))&amp;".md"</f>
        <v>gb-basilica-of-our-lady-of-walsingham.md</v>
      </c>
      <c r="AR8" s="35" t="str">
        <f t="shared" si="16"/>
        <v xml:space="preserve">
| [Walsingham](/places/gb-basilica-of-our-lady-of-walsingham) | [United Kingdom](/tags/uk) | 11th Century | [Link](/places/gb-basilica-of-our-lady-of-walsingham) | [Link](https://www.walsingham.org.uk/) | [Link](http://www.therealpresence.org/eucharst/misc/BVM/153_WALSINGHAM_60x96.pdf) | [Link](https://www.miraclehunter.com/marian_apparitions/approved_apparitions/walsingham/index.html) | [Link](https://www.marypages.com/our-lady-of-walsingham-en.html) | |</v>
      </c>
      <c r="AS8" s="48" t="str">
        <f t="shared" si="6"/>
        <v xml:space="preserve">---
title: "Catholic National Shrine and Basilica of Our Lady of Walsingham"
location: {lat: 52.8805595538228, lng: 0.852760715341141}
tags:
- marian-sites
- churches
- uk
---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
#### Source Material
| Official Site | The Real Presence | Miracle Hunter | MaryPages |
| --- | --- | --- | --- |
| [Link](https://www.walsingham.org.uk/) | [Link](http://www.therealpresence.org/eucharst/misc/BVM/153_WALSINGHAM_60x96.pdf) | [Link](https://www.miraclehunter.com/marian_apparitions/approved_apparitions/walsingham/index.html) | [Link](https://www.marypages.com/our-lady-of-walsingham-en.html) |
</v>
      </c>
      <c r="AT8" s="15" t="s">
        <v>1370</v>
      </c>
    </row>
    <row r="9" spans="1:47" x14ac:dyDescent="0.25">
      <c r="A9" s="27"/>
      <c r="B9" s="31" t="s">
        <v>1193</v>
      </c>
      <c r="C9" s="32" t="s">
        <v>11</v>
      </c>
      <c r="D9" s="61">
        <v>1000</v>
      </c>
      <c r="E9" s="32"/>
      <c r="F9" s="32"/>
      <c r="G9" s="33"/>
      <c r="H9" s="33"/>
      <c r="I9" s="33" t="s">
        <v>1758</v>
      </c>
      <c r="J9" s="33"/>
      <c r="K9" s="32" t="s">
        <v>336</v>
      </c>
      <c r="L9" s="32" t="s">
        <v>336</v>
      </c>
      <c r="M9" s="32" t="s">
        <v>185</v>
      </c>
      <c r="N9" s="32" t="s">
        <v>336</v>
      </c>
      <c r="O9" s="32" t="s">
        <v>336</v>
      </c>
      <c r="P9" s="32" t="s">
        <v>336</v>
      </c>
      <c r="Q9" s="32" t="s">
        <v>336</v>
      </c>
      <c r="R9" s="32" t="s">
        <v>336</v>
      </c>
      <c r="S9" s="32" t="s">
        <v>336</v>
      </c>
      <c r="T9" s="32"/>
      <c r="U9" s="32"/>
      <c r="V9" s="33"/>
      <c r="W9" s="38" t="b">
        <f t="shared" si="7"/>
        <v>0</v>
      </c>
      <c r="X9" s="35" t="str">
        <f t="shared" si="0"/>
        <v>title: ""</v>
      </c>
      <c r="Y9" s="35" t="str">
        <f t="shared" si="1"/>
        <v>location: {lat: , lng: }</v>
      </c>
      <c r="Z9" s="35" t="str">
        <f>IF(LEN(S9)&gt;1,VLOOKUP(S9,Sheet3!$A:$B,2,),"")</f>
        <v/>
      </c>
      <c r="AA9" s="35" t="str">
        <f>IF(LEN(T9)&gt;1,VLOOKUP(T9,Sheet3!$A:$B,2,),"")</f>
        <v/>
      </c>
      <c r="AB9" s="35" t="str">
        <f>IF(LEN(U9)&gt;1,VLOOKUP(U9,Sheet3!$A:$B,2,),"")</f>
        <v/>
      </c>
      <c r="AC9" s="37" t="str">
        <f t="shared" si="8"/>
        <v/>
      </c>
      <c r="AD9" s="37" t="str">
        <f t="shared" si="9"/>
        <v/>
      </c>
      <c r="AE9" s="37" t="str">
        <f t="shared" si="10"/>
        <v/>
      </c>
      <c r="AF9" s="37" t="str">
        <f>"- marian-sites
- churches
- "&amp;VLOOKUP(C9,'(Ref) Countries'!A:C,3,)&amp;IF(LEN(S9)&gt;1,"
- "&amp;S9,"")&amp;IF(LEN(T9)&gt;1,"
- "&amp;T9,"")&amp;IF(LEN(U9)&gt;1,"
- "&amp;U9,"")</f>
        <v>- marian-sites
- churches
- italy</v>
      </c>
      <c r="AG9" s="37" t="str">
        <f t="shared" si="11"/>
        <v xml:space="preserve">| </v>
      </c>
      <c r="AH9" s="37" t="str">
        <f t="shared" si="12"/>
        <v xml:space="preserve">| Montefortino </v>
      </c>
      <c r="AI9" s="37" t="str">
        <f>"| "&amp;IF(W9,GetTagPage(C9,VLOOKUP(C9,'(Ref) Countries'!A:C,3,)),C9)&amp; " "</f>
        <v xml:space="preserve">| Italy </v>
      </c>
      <c r="AJ9" s="37" t="str">
        <f t="shared" si="13"/>
        <v xml:space="preserve">| 1000 </v>
      </c>
      <c r="AK9" s="37" t="str">
        <f t="shared" si="14"/>
        <v xml:space="preserve">| </v>
      </c>
      <c r="AL9" s="35" t="str">
        <f t="shared" si="2"/>
        <v xml:space="preserve">| </v>
      </c>
      <c r="AM9" s="37" t="str">
        <f t="shared" si="3"/>
        <v xml:space="preserve">| [Link](http://www.therealpresence.org/eucharst/misc/BVM/80_MONTEFORTINO_60x96.pdf) </v>
      </c>
      <c r="AN9" s="37" t="str">
        <f t="shared" si="4"/>
        <v xml:space="preserve">| </v>
      </c>
      <c r="AO9" s="37" t="str">
        <f t="shared" si="5"/>
        <v xml:space="preserve">| </v>
      </c>
      <c r="AP9" s="37" t="str">
        <f t="shared" si="15"/>
        <v xml:space="preserve">
| | [Link](http://www.therealpresence.org/eucharst/misc/BVM/80_MONTEFORTINO_60x96.pdf) | | |</v>
      </c>
      <c r="AQ9" s="48" t="str">
        <f>VLOOKUP(C9,'(Ref) Countries'!A:B,2,)&amp;"-"&amp;LOWER(SUBSTITUTE(H9," ","-"))&amp;".md"</f>
        <v>it-.md</v>
      </c>
      <c r="AR9" s="35" t="str">
        <f t="shared" si="16"/>
        <v xml:space="preserve">
| Montefortino | Italy | 1000 | | | [Link](http://www.therealpresence.org/eucharst/misc/BVM/80_MONTEFORTINO_60x96.pdf) | | | |</v>
      </c>
      <c r="AS9" s="48" t="str">
        <f t="shared" si="6"/>
        <v/>
      </c>
      <c r="AT9" s="15" t="s">
        <v>336</v>
      </c>
    </row>
    <row r="10" spans="1:47" x14ac:dyDescent="0.25">
      <c r="A10" s="27"/>
      <c r="B10" s="31" t="s">
        <v>1194</v>
      </c>
      <c r="C10" s="32" t="s">
        <v>11</v>
      </c>
      <c r="D10" s="61">
        <v>1001</v>
      </c>
      <c r="E10" s="32"/>
      <c r="F10" s="32"/>
      <c r="G10" s="33"/>
      <c r="H10" s="33"/>
      <c r="I10" s="33" t="s">
        <v>1758</v>
      </c>
      <c r="J10" s="33"/>
      <c r="K10" s="32" t="s">
        <v>336</v>
      </c>
      <c r="L10" s="32" t="s">
        <v>336</v>
      </c>
      <c r="M10" s="32" t="s">
        <v>186</v>
      </c>
      <c r="N10" s="32" t="s">
        <v>336</v>
      </c>
      <c r="O10" s="32" t="s">
        <v>336</v>
      </c>
      <c r="P10" s="32" t="s">
        <v>336</v>
      </c>
      <c r="Q10" s="32" t="s">
        <v>336</v>
      </c>
      <c r="R10" s="32" t="s">
        <v>336</v>
      </c>
      <c r="S10" s="32" t="s">
        <v>336</v>
      </c>
      <c r="T10" s="32"/>
      <c r="U10" s="32"/>
      <c r="V10" s="33"/>
      <c r="W10" s="38" t="b">
        <f t="shared" si="7"/>
        <v>0</v>
      </c>
      <c r="X10" s="35" t="str">
        <f t="shared" si="0"/>
        <v>title: ""</v>
      </c>
      <c r="Y10" s="35" t="str">
        <f t="shared" si="1"/>
        <v>location: {lat: , lng: }</v>
      </c>
      <c r="Z10" s="35" t="str">
        <f>IF(LEN(S10)&gt;1,VLOOKUP(S10,Sheet3!$A:$B,2,),"")</f>
        <v/>
      </c>
      <c r="AA10" s="35" t="str">
        <f>IF(LEN(T10)&gt;1,VLOOKUP(T10,Sheet3!$A:$B,2,),"")</f>
        <v/>
      </c>
      <c r="AB10" s="35" t="str">
        <f>IF(LEN(U10)&gt;1,VLOOKUP(U10,Sheet3!$A:$B,2,),"")</f>
        <v/>
      </c>
      <c r="AC10" s="37" t="str">
        <f t="shared" si="8"/>
        <v/>
      </c>
      <c r="AD10" s="37" t="str">
        <f t="shared" si="9"/>
        <v/>
      </c>
      <c r="AE10" s="37" t="str">
        <f t="shared" si="10"/>
        <v/>
      </c>
      <c r="AF10" s="37" t="str">
        <f>"- marian-sites
- churches
- "&amp;VLOOKUP(C10,'(Ref) Countries'!A:C,3,)&amp;IF(LEN(S10)&gt;1,"
- "&amp;S10,"")&amp;IF(LEN(T10)&gt;1,"
- "&amp;T10,"")&amp;IF(LEN(U10)&gt;1,"
- "&amp;U10,"")</f>
        <v>- marian-sites
- churches
- italy</v>
      </c>
      <c r="AG10" s="37" t="str">
        <f t="shared" si="11"/>
        <v xml:space="preserve">| </v>
      </c>
      <c r="AH10" s="37" t="str">
        <f t="shared" si="12"/>
        <v xml:space="preserve">| Foggia </v>
      </c>
      <c r="AI10" s="37" t="str">
        <f>"| "&amp;IF(W10,GetTagPage(C10,VLOOKUP(C10,'(Ref) Countries'!A:C,3,)),C10)&amp; " "</f>
        <v xml:space="preserve">| Italy </v>
      </c>
      <c r="AJ10" s="37" t="str">
        <f t="shared" si="13"/>
        <v xml:space="preserve">| 1001 </v>
      </c>
      <c r="AK10" s="37" t="str">
        <f t="shared" si="14"/>
        <v xml:space="preserve">| </v>
      </c>
      <c r="AL10" s="35" t="str">
        <f t="shared" si="2"/>
        <v xml:space="preserve">| </v>
      </c>
      <c r="AM10" s="37" t="str">
        <f t="shared" si="3"/>
        <v xml:space="preserve">| [Link](http://www.therealpresence.org/eucharst/misc/BVM/86_FOGGIA_60x96.pdf) </v>
      </c>
      <c r="AN10" s="37" t="str">
        <f t="shared" si="4"/>
        <v xml:space="preserve">| </v>
      </c>
      <c r="AO10" s="37" t="str">
        <f t="shared" si="5"/>
        <v xml:space="preserve">| </v>
      </c>
      <c r="AP10" s="37" t="str">
        <f t="shared" si="15"/>
        <v xml:space="preserve">
| | [Link](http://www.therealpresence.org/eucharst/misc/BVM/86_FOGGIA_60x96.pdf) | | |</v>
      </c>
      <c r="AQ10" s="48" t="str">
        <f>VLOOKUP(C10,'(Ref) Countries'!A:B,2,)&amp;"-"&amp;LOWER(SUBSTITUTE(H10," ","-"))&amp;".md"</f>
        <v>it-.md</v>
      </c>
      <c r="AR10" s="35" t="str">
        <f t="shared" si="16"/>
        <v xml:space="preserve">
| Foggia | Italy | 1001 | | | [Link](http://www.therealpresence.org/eucharst/misc/BVM/86_FOGGIA_60x96.pdf) | | | |</v>
      </c>
      <c r="AS10" s="48" t="str">
        <f t="shared" si="6"/>
        <v/>
      </c>
      <c r="AT10" s="15" t="s">
        <v>336</v>
      </c>
    </row>
    <row r="11" spans="1:47" x14ac:dyDescent="0.25">
      <c r="A11" s="27"/>
      <c r="B11" s="31" t="s">
        <v>1195</v>
      </c>
      <c r="C11" s="32" t="s">
        <v>558</v>
      </c>
      <c r="D11" s="61">
        <v>1105</v>
      </c>
      <c r="E11" s="32"/>
      <c r="F11" s="32"/>
      <c r="G11" s="33"/>
      <c r="H11" s="33"/>
      <c r="I11" s="33" t="s">
        <v>1758</v>
      </c>
      <c r="J11" s="33"/>
      <c r="K11" s="32" t="s">
        <v>336</v>
      </c>
      <c r="L11" s="32" t="s">
        <v>336</v>
      </c>
      <c r="M11" s="32" t="s">
        <v>187</v>
      </c>
      <c r="N11" s="32" t="s">
        <v>336</v>
      </c>
      <c r="O11" s="32" t="s">
        <v>336</v>
      </c>
      <c r="P11" s="32" t="s">
        <v>336</v>
      </c>
      <c r="Q11" s="32" t="s">
        <v>336</v>
      </c>
      <c r="R11" s="32" t="s">
        <v>336</v>
      </c>
      <c r="S11" s="32" t="s">
        <v>336</v>
      </c>
      <c r="T11" s="32"/>
      <c r="U11" s="32"/>
      <c r="V11" s="33"/>
      <c r="W11" s="38" t="b">
        <f t="shared" si="7"/>
        <v>0</v>
      </c>
      <c r="X11" s="35" t="str">
        <f t="shared" si="0"/>
        <v>title: ""</v>
      </c>
      <c r="Y11" s="35" t="str">
        <f t="shared" si="1"/>
        <v>location: {lat: , lng: }</v>
      </c>
      <c r="Z11" s="35" t="str">
        <f>IF(LEN(S11)&gt;1,VLOOKUP(S11,Sheet3!$A:$B,2,),"")</f>
        <v/>
      </c>
      <c r="AA11" s="35" t="str">
        <f>IF(LEN(T11)&gt;1,VLOOKUP(T11,Sheet3!$A:$B,2,),"")</f>
        <v/>
      </c>
      <c r="AB11" s="35" t="str">
        <f>IF(LEN(U11)&gt;1,VLOOKUP(U11,Sheet3!$A:$B,2,),"")</f>
        <v/>
      </c>
      <c r="AC11" s="37" t="str">
        <f t="shared" si="8"/>
        <v/>
      </c>
      <c r="AD11" s="37" t="str">
        <f t="shared" si="9"/>
        <v/>
      </c>
      <c r="AE11" s="37" t="str">
        <f t="shared" si="10"/>
        <v/>
      </c>
      <c r="AF11" s="37" t="str">
        <f>"- marian-sites
- churches
- "&amp;VLOOKUP(C11,'(Ref) Countries'!A:C,3,)&amp;IF(LEN(S11)&gt;1,"
- "&amp;S11,"")&amp;IF(LEN(T11)&gt;1,"
- "&amp;T11,"")&amp;IF(LEN(U11)&gt;1,"
- "&amp;U11,"")</f>
        <v>- marian-sites
- churches
- france</v>
      </c>
      <c r="AG11" s="37" t="str">
        <f t="shared" si="11"/>
        <v xml:space="preserve">| </v>
      </c>
      <c r="AH11" s="37" t="str">
        <f t="shared" si="12"/>
        <v xml:space="preserve">| Arras </v>
      </c>
      <c r="AI11" s="37" t="str">
        <f>"| "&amp;IF(W11,GetTagPage(C11,VLOOKUP(C11,'(Ref) Countries'!A:C,3,)),C11)&amp; " "</f>
        <v xml:space="preserve">| France </v>
      </c>
      <c r="AJ11" s="37" t="str">
        <f t="shared" si="13"/>
        <v xml:space="preserve">| 1105 </v>
      </c>
      <c r="AK11" s="37" t="str">
        <f t="shared" si="14"/>
        <v xml:space="preserve">| </v>
      </c>
      <c r="AL11" s="35" t="str">
        <f t="shared" si="2"/>
        <v xml:space="preserve">| </v>
      </c>
      <c r="AM11" s="37" t="str">
        <f t="shared" si="3"/>
        <v xml:space="preserve">| [Link](http://www.therealpresence.org/eucharst/misc/BVM/37_ARRAS_60x96.pdf) </v>
      </c>
      <c r="AN11" s="37" t="str">
        <f t="shared" si="4"/>
        <v xml:space="preserve">| </v>
      </c>
      <c r="AO11" s="37" t="str">
        <f t="shared" si="5"/>
        <v xml:space="preserve">| </v>
      </c>
      <c r="AP11" s="37" t="str">
        <f t="shared" si="15"/>
        <v xml:space="preserve">
| | [Link](http://www.therealpresence.org/eucharst/misc/BVM/37_ARRAS_60x96.pdf) | | |</v>
      </c>
      <c r="AQ11" s="48" t="str">
        <f>VLOOKUP(C11,'(Ref) Countries'!A:B,2,)&amp;"-"&amp;LOWER(SUBSTITUTE(H11," ","-"))&amp;".md"</f>
        <v>fr-.md</v>
      </c>
      <c r="AR11" s="35" t="str">
        <f t="shared" si="16"/>
        <v xml:space="preserve">
| Arras | France | 1105 | | | [Link](http://www.therealpresence.org/eucharst/misc/BVM/37_ARRAS_60x96.pdf) | | | |</v>
      </c>
      <c r="AS11" s="48" t="str">
        <f t="shared" si="6"/>
        <v/>
      </c>
      <c r="AT11" s="15" t="s">
        <v>336</v>
      </c>
    </row>
    <row r="12" spans="1:47" x14ac:dyDescent="0.25">
      <c r="A12" s="27"/>
      <c r="B12" s="31" t="s">
        <v>1196</v>
      </c>
      <c r="C12" s="32" t="s">
        <v>656</v>
      </c>
      <c r="D12" s="61">
        <v>1182</v>
      </c>
      <c r="E12" s="32"/>
      <c r="F12" s="32"/>
      <c r="G12" s="33"/>
      <c r="H12" s="33"/>
      <c r="I12" s="33" t="s">
        <v>1758</v>
      </c>
      <c r="J12" s="33"/>
      <c r="K12" s="32" t="s">
        <v>336</v>
      </c>
      <c r="L12" s="32" t="s">
        <v>336</v>
      </c>
      <c r="M12" s="32" t="s">
        <v>188</v>
      </c>
      <c r="N12" s="32" t="s">
        <v>336</v>
      </c>
      <c r="O12" s="32" t="s">
        <v>336</v>
      </c>
      <c r="P12" s="32" t="s">
        <v>336</v>
      </c>
      <c r="Q12" s="32" t="s">
        <v>336</v>
      </c>
      <c r="R12" s="32" t="s">
        <v>336</v>
      </c>
      <c r="S12" s="32" t="s">
        <v>336</v>
      </c>
      <c r="T12" s="32"/>
      <c r="U12" s="32"/>
      <c r="V12" s="33"/>
      <c r="W12" s="38" t="b">
        <f t="shared" si="7"/>
        <v>0</v>
      </c>
      <c r="X12" s="35" t="str">
        <f t="shared" si="0"/>
        <v>title: ""</v>
      </c>
      <c r="Y12" s="35" t="str">
        <f t="shared" si="1"/>
        <v>location: {lat: , lng: }</v>
      </c>
      <c r="Z12" s="35" t="str">
        <f>IF(LEN(S12)&gt;1,VLOOKUP(S12,Sheet3!$A:$B,2,),"")</f>
        <v/>
      </c>
      <c r="AA12" s="35" t="str">
        <f>IF(LEN(T12)&gt;1,VLOOKUP(T12,Sheet3!$A:$B,2,),"")</f>
        <v/>
      </c>
      <c r="AB12" s="35" t="str">
        <f>IF(LEN(U12)&gt;1,VLOOKUP(U12,Sheet3!$A:$B,2,),"")</f>
        <v/>
      </c>
      <c r="AC12" s="37" t="str">
        <f t="shared" si="8"/>
        <v/>
      </c>
      <c r="AD12" s="37" t="str">
        <f t="shared" si="9"/>
        <v/>
      </c>
      <c r="AE12" s="37" t="str">
        <f t="shared" si="10"/>
        <v/>
      </c>
      <c r="AF12" s="37" t="str">
        <f>"- marian-sites
- churches
- "&amp;VLOOKUP(C12,'(Ref) Countries'!A:C,3,)&amp;IF(LEN(S12)&gt;1,"
- "&amp;S12,"")&amp;IF(LEN(T12)&gt;1,"
- "&amp;T12,"")&amp;IF(LEN(U12)&gt;1,"
- "&amp;U12,"")</f>
        <v>- marian-sites
- churches
- portugal</v>
      </c>
      <c r="AG12" s="37" t="str">
        <f t="shared" si="11"/>
        <v xml:space="preserve">| </v>
      </c>
      <c r="AH12" s="37" t="str">
        <f t="shared" si="12"/>
        <v xml:space="preserve">| Nazaré </v>
      </c>
      <c r="AI12" s="37" t="str">
        <f>"| "&amp;IF(W12,GetTagPage(C12,VLOOKUP(C12,'(Ref) Countries'!A:C,3,)),C12)&amp; " "</f>
        <v xml:space="preserve">| Portugal </v>
      </c>
      <c r="AJ12" s="37" t="str">
        <f t="shared" si="13"/>
        <v xml:space="preserve">| 1182 </v>
      </c>
      <c r="AK12" s="37" t="str">
        <f t="shared" si="14"/>
        <v xml:space="preserve">| </v>
      </c>
      <c r="AL12" s="35" t="str">
        <f t="shared" si="2"/>
        <v xml:space="preserve">| </v>
      </c>
      <c r="AM12" s="37" t="str">
        <f t="shared" si="3"/>
        <v xml:space="preserve">| [Link](http://www.therealpresence.org/eucharst/misc/BVM/123_NAZARE_96x96.pdf) </v>
      </c>
      <c r="AN12" s="37" t="str">
        <f t="shared" si="4"/>
        <v xml:space="preserve">| </v>
      </c>
      <c r="AO12" s="37" t="str">
        <f t="shared" si="5"/>
        <v xml:space="preserve">| </v>
      </c>
      <c r="AP12" s="37" t="str">
        <f t="shared" si="15"/>
        <v xml:space="preserve">
| | [Link](http://www.therealpresence.org/eucharst/misc/BVM/123_NAZARE_96x96.pdf) | | |</v>
      </c>
      <c r="AQ12" s="48" t="str">
        <f>VLOOKUP(C12,'(Ref) Countries'!A:B,2,)&amp;"-"&amp;LOWER(SUBSTITUTE(H12," ","-"))&amp;".md"</f>
        <v>pt-.md</v>
      </c>
      <c r="AR12" s="35" t="str">
        <f t="shared" si="16"/>
        <v xml:space="preserve">
| Nazaré | Portugal | 1182 | | | [Link](http://www.therealpresence.org/eucharst/misc/BVM/123_NAZARE_96x96.pdf) | | | |</v>
      </c>
      <c r="AS12" s="48" t="str">
        <f t="shared" si="6"/>
        <v/>
      </c>
      <c r="AT12" s="15" t="s">
        <v>336</v>
      </c>
    </row>
    <row r="13" spans="1:47" ht="153" x14ac:dyDescent="0.25">
      <c r="A13" s="27" t="s">
        <v>1330</v>
      </c>
      <c r="B13" s="31" t="s">
        <v>1197</v>
      </c>
      <c r="C13" s="32" t="s">
        <v>652</v>
      </c>
      <c r="D13" s="61" t="s">
        <v>1078</v>
      </c>
      <c r="E13" s="32">
        <v>54.024675490094602</v>
      </c>
      <c r="F13" s="32">
        <v>21.217746272668698</v>
      </c>
      <c r="G13" s="33" t="s">
        <v>1325</v>
      </c>
      <c r="H13" s="33" t="s">
        <v>1325</v>
      </c>
      <c r="I13" s="33" t="s">
        <v>1758</v>
      </c>
      <c r="J13" s="72" t="s">
        <v>1754</v>
      </c>
      <c r="K13" s="32" t="s">
        <v>1333</v>
      </c>
      <c r="L13" s="32" t="s">
        <v>336</v>
      </c>
      <c r="M13" s="32" t="s">
        <v>189</v>
      </c>
      <c r="N13" s="32" t="s">
        <v>336</v>
      </c>
      <c r="O13" s="32" t="s">
        <v>1334</v>
      </c>
      <c r="P13" s="32" t="s">
        <v>1349</v>
      </c>
      <c r="Q13" s="32" t="s">
        <v>336</v>
      </c>
      <c r="R13" s="32" t="s">
        <v>336</v>
      </c>
      <c r="S13" s="32" t="s">
        <v>336</v>
      </c>
      <c r="T13" s="32"/>
      <c r="U13" s="32"/>
      <c r="V13" s="72" t="s">
        <v>1755</v>
      </c>
      <c r="W13" s="38" t="b">
        <f t="shared" si="7"/>
        <v>1</v>
      </c>
      <c r="X13" s="35" t="str">
        <f t="shared" si="0"/>
        <v>title: "Swieta Lipka Sanctuary"</v>
      </c>
      <c r="Y13" s="35" t="str">
        <f t="shared" si="1"/>
        <v>location: {lat: 54.0246754900946, lng: 21.2177462726687}</v>
      </c>
      <c r="Z13" s="35" t="str">
        <f>IF(LEN(S13)&gt;1,VLOOKUP(S13,Sheet3!$A:$B,2,),"")</f>
        <v/>
      </c>
      <c r="AA13" s="35" t="str">
        <f>IF(LEN(T13)&gt;1,VLOOKUP(T13,Sheet3!$A:$B,2,),"")</f>
        <v/>
      </c>
      <c r="AB13" s="35" t="str">
        <f>IF(LEN(U13)&gt;1,VLOOKUP(U13,Sheet3!$A:$B,2,),"")</f>
        <v/>
      </c>
      <c r="AC13" s="37" t="str">
        <f t="shared" si="8"/>
        <v/>
      </c>
      <c r="AD13" s="37" t="str">
        <f t="shared" si="9"/>
        <v/>
      </c>
      <c r="AE13" s="37" t="str">
        <f t="shared" si="10"/>
        <v/>
      </c>
      <c r="AF13" s="37" t="str">
        <f>"- marian-sites
- churches
- "&amp;VLOOKUP(C13,'(Ref) Countries'!A:C,3,)&amp;IF(LEN(S13)&gt;1,"
- "&amp;S13,"")&amp;IF(LEN(T13)&gt;1,"
- "&amp;T13,"")&amp;IF(LEN(U13)&gt;1,"
- "&amp;U13,"")</f>
        <v>- marian-sites
- churches
- poland</v>
      </c>
      <c r="AG13" s="37" t="str">
        <f t="shared" si="11"/>
        <v xml:space="preserve">| </v>
      </c>
      <c r="AH13" s="37" t="str">
        <f t="shared" si="12"/>
        <v xml:space="preserve">| [Swieta Lipka](/places/pl-swieta-lipka-sanctuary) </v>
      </c>
      <c r="AI13" s="37" t="str">
        <f>"| "&amp;IF(W13,GetTagPage(C13,VLOOKUP(C13,'(Ref) Countries'!A:C,3,)),C13)&amp; " "</f>
        <v xml:space="preserve">| [Poland](/tags/poland) </v>
      </c>
      <c r="AJ13" s="37" t="str">
        <f t="shared" si="13"/>
        <v xml:space="preserve">| 13th Century </v>
      </c>
      <c r="AK13" s="37" t="str">
        <f t="shared" si="14"/>
        <v xml:space="preserve">| [Link](/places/pl-swieta-lipka-sanctuary) </v>
      </c>
      <c r="AL13" s="35" t="str">
        <f t="shared" si="2"/>
        <v xml:space="preserve">| [Link](https://www.swlipka.pl/) </v>
      </c>
      <c r="AM13" s="37" t="str">
        <f t="shared" si="3"/>
        <v xml:space="preserve">| [Link](http://www.therealpresence.org/eucharst/misc/BVM/138_SWIETA_LIPKA_60x96.pdf) </v>
      </c>
      <c r="AN13" s="37" t="str">
        <f t="shared" si="4"/>
        <v xml:space="preserve">| [Link](http://www.miraclehunter.com/marian_apparitions/approved_apparitions/apparitions_1200-1299.html) (Search for "Swieta Lipka") </v>
      </c>
      <c r="AO13" s="37" t="str">
        <f t="shared" si="5"/>
        <v xml:space="preserve">| </v>
      </c>
      <c r="AP13" s="37" t="str">
        <f t="shared" si="15"/>
        <v xml:space="preserve">
| [Link](https://www.swlipka.pl/) | [Link](http://www.therealpresence.org/eucharst/misc/BVM/138_SWIETA_LIPKA_60x96.pdf) | [Link](http://www.miraclehunter.com/marian_apparitions/approved_apparitions/apparitions_1200-1299.html) (Search for "Swieta Lipka") | |</v>
      </c>
      <c r="AQ13" s="48" t="str">
        <f>VLOOKUP(C13,'(Ref) Countries'!A:B,2,)&amp;"-"&amp;LOWER(SUBSTITUTE(H13," ","-"))&amp;".md"</f>
        <v>pl-swieta-lipka-sanctuary.md</v>
      </c>
      <c r="AR13" s="35" t="str">
        <f t="shared" si="16"/>
        <v xml:space="preserve">
| [Swieta Lipka](/places/pl-swieta-lipka-sanctuary) | [Poland](/tags/poland) | 13th Century | [Link](/places/pl-swieta-lipka-sanctuary) | [Link](https://www.swlipka.pl/) | [Link](http://www.therealpresence.org/eucharst/misc/BVM/138_SWIETA_LIPKA_60x96.pdf) | [Link](http://www.miraclehunter.com/marian_apparitions/approved_apparitions/apparitions_1200-1299.html) (Search for "Swieta Lipka") | | |</v>
      </c>
      <c r="AS13" s="48" t="str">
        <f t="shared" si="6"/>
        <v>---
title: "Swieta Lipka Sanctuary"
location: {lat: 54.0246754900946, lng: 21.2177462726687}
tags:
- marian-sites
- churches
- poland
---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
#### Source Material
| Official Site | The Real Presence | Miracle Hunter | MaryPages |
| --- | --- | --- | --- |
| [Link](https://www.swlipka.pl/) | [Link](http://www.therealpresence.org/eucharst/misc/BVM/138_SWIETA_LIPKA_60x96.pdf) | [Link](http://www.miraclehunter.com/marian_apparitions/approved_apparitions/apparitions_1200-1299.html) (Search for "Swieta Lipka") | |
#### Author's Note
Because of the Jesuit influence, there are noticeable similarities to the Chiesa del Gesù in Rome, both in decoration and function.  The image of Our Blessed Mother behind the altar is covered after each mass, similar to some Jesuit churches in Rome.
- JMM</v>
      </c>
      <c r="AT13" s="15" t="s">
        <v>336</v>
      </c>
    </row>
    <row r="14" spans="1:47" x14ac:dyDescent="0.25">
      <c r="A14" s="27"/>
      <c r="B14" s="31" t="s">
        <v>1198</v>
      </c>
      <c r="C14" s="32" t="s">
        <v>11</v>
      </c>
      <c r="D14" s="61">
        <v>1216</v>
      </c>
      <c r="E14" s="32"/>
      <c r="F14" s="32"/>
      <c r="G14" s="33"/>
      <c r="H14" s="33"/>
      <c r="I14" s="33" t="s">
        <v>1758</v>
      </c>
      <c r="J14" s="33"/>
      <c r="K14" s="32" t="s">
        <v>336</v>
      </c>
      <c r="L14" s="32" t="s">
        <v>336</v>
      </c>
      <c r="M14" s="32" t="s">
        <v>190</v>
      </c>
      <c r="N14" s="32" t="s">
        <v>336</v>
      </c>
      <c r="O14" s="32" t="s">
        <v>336</v>
      </c>
      <c r="P14" s="32" t="s">
        <v>336</v>
      </c>
      <c r="Q14" s="32" t="s">
        <v>336</v>
      </c>
      <c r="R14" s="32" t="s">
        <v>336</v>
      </c>
      <c r="S14" s="32" t="s">
        <v>336</v>
      </c>
      <c r="T14" s="32"/>
      <c r="U14" s="32"/>
      <c r="V14" s="33"/>
      <c r="W14" s="38" t="b">
        <f t="shared" si="7"/>
        <v>0</v>
      </c>
      <c r="X14" s="35" t="str">
        <f t="shared" si="0"/>
        <v>title: ""</v>
      </c>
      <c r="Y14" s="35" t="str">
        <f t="shared" si="1"/>
        <v>location: {lat: , lng: }</v>
      </c>
      <c r="Z14" s="35" t="str">
        <f>IF(LEN(S14)&gt;1,VLOOKUP(S14,Sheet3!$A:$B,2,),"")</f>
        <v/>
      </c>
      <c r="AA14" s="35" t="str">
        <f>IF(LEN(T14)&gt;1,VLOOKUP(T14,Sheet3!$A:$B,2,),"")</f>
        <v/>
      </c>
      <c r="AB14" s="35" t="str">
        <f>IF(LEN(U14)&gt;1,VLOOKUP(U14,Sheet3!$A:$B,2,),"")</f>
        <v/>
      </c>
      <c r="AC14" s="37" t="str">
        <f t="shared" si="8"/>
        <v/>
      </c>
      <c r="AD14" s="37" t="str">
        <f t="shared" si="9"/>
        <v/>
      </c>
      <c r="AE14" s="37" t="str">
        <f t="shared" si="10"/>
        <v/>
      </c>
      <c r="AF14" s="37" t="str">
        <f>"- marian-sites
- churches
- "&amp;VLOOKUP(C14,'(Ref) Countries'!A:C,3,)&amp;IF(LEN(S14)&gt;1,"
- "&amp;S14,"")&amp;IF(LEN(T14)&gt;1,"
- "&amp;T14,"")&amp;IF(LEN(U14)&gt;1,"
- "&amp;U14,"")</f>
        <v>- marian-sites
- churches
- italy</v>
      </c>
      <c r="AG14" s="37" t="str">
        <f t="shared" si="11"/>
        <v xml:space="preserve">| </v>
      </c>
      <c r="AH14" s="37" t="str">
        <f t="shared" si="12"/>
        <v xml:space="preserve">| Assisi </v>
      </c>
      <c r="AI14" s="37" t="str">
        <f>"| "&amp;IF(W14,GetTagPage(C14,VLOOKUP(C14,'(Ref) Countries'!A:C,3,)),C14)&amp; " "</f>
        <v xml:space="preserve">| Italy </v>
      </c>
      <c r="AJ14" s="37" t="str">
        <f t="shared" si="13"/>
        <v xml:space="preserve">| 1216 </v>
      </c>
      <c r="AK14" s="37" t="str">
        <f t="shared" si="14"/>
        <v xml:space="preserve">| </v>
      </c>
      <c r="AL14" s="35" t="str">
        <f t="shared" si="2"/>
        <v xml:space="preserve">| </v>
      </c>
      <c r="AM14" s="37" t="str">
        <f t="shared" si="3"/>
        <v xml:space="preserve">| [Link](http://www.therealpresence.org/eucharst/misc/BVM/38_ASSISI_60x96.pdf) </v>
      </c>
      <c r="AN14" s="37" t="str">
        <f t="shared" si="4"/>
        <v xml:space="preserve">| </v>
      </c>
      <c r="AO14" s="37" t="str">
        <f t="shared" si="5"/>
        <v xml:space="preserve">| </v>
      </c>
      <c r="AP14" s="37" t="str">
        <f t="shared" si="15"/>
        <v xml:space="preserve">
| | [Link](http://www.therealpresence.org/eucharst/misc/BVM/38_ASSISI_60x96.pdf) | | |</v>
      </c>
      <c r="AQ14" s="48" t="str">
        <f>VLOOKUP(C14,'(Ref) Countries'!A:B,2,)&amp;"-"&amp;LOWER(SUBSTITUTE(H14," ","-"))&amp;".md"</f>
        <v>it-.md</v>
      </c>
      <c r="AR14" s="35" t="str">
        <f t="shared" si="16"/>
        <v xml:space="preserve">
| Assisi | Italy | 1216 | | | [Link](http://www.therealpresence.org/eucharst/misc/BVM/38_ASSISI_60x96.pdf) | | | |</v>
      </c>
      <c r="AS14" s="48" t="str">
        <f t="shared" si="6"/>
        <v/>
      </c>
      <c r="AT14" s="15" t="s">
        <v>336</v>
      </c>
    </row>
    <row r="15" spans="1:47" x14ac:dyDescent="0.25">
      <c r="A15" s="27"/>
      <c r="B15" s="31" t="s">
        <v>1199</v>
      </c>
      <c r="C15" s="32" t="s">
        <v>656</v>
      </c>
      <c r="D15" s="61">
        <v>1220</v>
      </c>
      <c r="E15" s="32"/>
      <c r="F15" s="32"/>
      <c r="G15" s="33"/>
      <c r="H15" s="33"/>
      <c r="I15" s="33" t="s">
        <v>1758</v>
      </c>
      <c r="J15" s="33"/>
      <c r="K15" s="32" t="s">
        <v>336</v>
      </c>
      <c r="L15" s="32" t="s">
        <v>336</v>
      </c>
      <c r="M15" s="32" t="s">
        <v>191</v>
      </c>
      <c r="N15" s="32" t="s">
        <v>336</v>
      </c>
      <c r="O15" s="32" t="s">
        <v>336</v>
      </c>
      <c r="P15" s="32" t="s">
        <v>336</v>
      </c>
      <c r="Q15" s="32" t="s">
        <v>336</v>
      </c>
      <c r="R15" s="32" t="s">
        <v>336</v>
      </c>
      <c r="S15" s="32" t="s">
        <v>336</v>
      </c>
      <c r="T15" s="32"/>
      <c r="U15" s="32"/>
      <c r="V15" s="33"/>
      <c r="W15" s="38" t="b">
        <f t="shared" si="7"/>
        <v>0</v>
      </c>
      <c r="X15" s="35" t="str">
        <f t="shared" si="0"/>
        <v>title: ""</v>
      </c>
      <c r="Y15" s="35" t="str">
        <f t="shared" si="1"/>
        <v>location: {lat: , lng: }</v>
      </c>
      <c r="Z15" s="35" t="str">
        <f>IF(LEN(S15)&gt;1,VLOOKUP(S15,Sheet3!$A:$B,2,),"")</f>
        <v/>
      </c>
      <c r="AA15" s="35" t="str">
        <f>IF(LEN(T15)&gt;1,VLOOKUP(T15,Sheet3!$A:$B,2,),"")</f>
        <v/>
      </c>
      <c r="AB15" s="35" t="str">
        <f>IF(LEN(U15)&gt;1,VLOOKUP(U15,Sheet3!$A:$B,2,),"")</f>
        <v/>
      </c>
      <c r="AC15" s="37" t="str">
        <f t="shared" si="8"/>
        <v/>
      </c>
      <c r="AD15" s="37" t="str">
        <f t="shared" si="9"/>
        <v/>
      </c>
      <c r="AE15" s="37" t="str">
        <f t="shared" si="10"/>
        <v/>
      </c>
      <c r="AF15" s="37" t="str">
        <f>"- marian-sites
- churches
- "&amp;VLOOKUP(C15,'(Ref) Countries'!A:C,3,)&amp;IF(LEN(S15)&gt;1,"
- "&amp;S15,"")&amp;IF(LEN(T15)&gt;1,"
- "&amp;T15,"")&amp;IF(LEN(U15)&gt;1,"
- "&amp;U15,"")</f>
        <v>- marian-sites
- churches
- portugal</v>
      </c>
      <c r="AG15" s="37" t="str">
        <f t="shared" si="11"/>
        <v xml:space="preserve">| </v>
      </c>
      <c r="AH15" s="37" t="str">
        <f t="shared" si="12"/>
        <v xml:space="preserve">| Arcos de Valdevez </v>
      </c>
      <c r="AI15" s="37" t="str">
        <f>"| "&amp;IF(W15,GetTagPage(C15,VLOOKUP(C15,'(Ref) Countries'!A:C,3,)),C15)&amp; " "</f>
        <v xml:space="preserve">| Portugal </v>
      </c>
      <c r="AJ15" s="37" t="str">
        <f t="shared" si="13"/>
        <v xml:space="preserve">| 1220 </v>
      </c>
      <c r="AK15" s="37" t="str">
        <f t="shared" si="14"/>
        <v xml:space="preserve">| </v>
      </c>
      <c r="AL15" s="35" t="str">
        <f t="shared" si="2"/>
        <v xml:space="preserve">| </v>
      </c>
      <c r="AM15" s="37" t="str">
        <f t="shared" si="3"/>
        <v xml:space="preserve">| [Link](http://www.therealpresence.org/eucharst/misc/BVM/136_ARCOS_60x96.pdf) </v>
      </c>
      <c r="AN15" s="37" t="str">
        <f t="shared" si="4"/>
        <v xml:space="preserve">| </v>
      </c>
      <c r="AO15" s="37" t="str">
        <f t="shared" si="5"/>
        <v xml:space="preserve">| </v>
      </c>
      <c r="AP15" s="37" t="str">
        <f t="shared" si="15"/>
        <v xml:space="preserve">
| | [Link](http://www.therealpresence.org/eucharst/misc/BVM/136_ARCOS_60x96.pdf) | | |</v>
      </c>
      <c r="AQ15" s="48" t="str">
        <f>VLOOKUP(C15,'(Ref) Countries'!A:B,2,)&amp;"-"&amp;LOWER(SUBSTITUTE(H15," ","-"))&amp;".md"</f>
        <v>pt-.md</v>
      </c>
      <c r="AR15" s="35" t="str">
        <f t="shared" si="16"/>
        <v xml:space="preserve">
| Arcos de Valdevez | Portugal | 1220 | | | [Link](http://www.therealpresence.org/eucharst/misc/BVM/136_ARCOS_60x96.pdf) | | | |</v>
      </c>
      <c r="AS15" s="48" t="str">
        <f t="shared" si="6"/>
        <v/>
      </c>
      <c r="AT15" s="15" t="s">
        <v>336</v>
      </c>
    </row>
    <row r="16" spans="1:47" x14ac:dyDescent="0.25">
      <c r="A16" s="27"/>
      <c r="B16" s="31" t="s">
        <v>1200</v>
      </c>
      <c r="C16" s="32" t="s">
        <v>553</v>
      </c>
      <c r="D16" s="61">
        <v>1222</v>
      </c>
      <c r="E16" s="32"/>
      <c r="F16" s="32"/>
      <c r="G16" s="33"/>
      <c r="H16" s="33"/>
      <c r="I16" s="33" t="s">
        <v>1758</v>
      </c>
      <c r="J16" s="33"/>
      <c r="K16" s="32" t="s">
        <v>336</v>
      </c>
      <c r="L16" s="32" t="s">
        <v>336</v>
      </c>
      <c r="M16" s="32" t="s">
        <v>192</v>
      </c>
      <c r="N16" s="32" t="s">
        <v>336</v>
      </c>
      <c r="O16" s="32" t="s">
        <v>336</v>
      </c>
      <c r="P16" s="32" t="s">
        <v>336</v>
      </c>
      <c r="Q16" s="32" t="s">
        <v>336</v>
      </c>
      <c r="R16" s="32" t="s">
        <v>336</v>
      </c>
      <c r="S16" s="32" t="s">
        <v>336</v>
      </c>
      <c r="T16" s="32"/>
      <c r="U16" s="32"/>
      <c r="V16" s="33"/>
      <c r="W16" s="38" t="b">
        <f t="shared" si="7"/>
        <v>0</v>
      </c>
      <c r="X16" s="35" t="str">
        <f t="shared" si="0"/>
        <v>title: ""</v>
      </c>
      <c r="Y16" s="35" t="str">
        <f t="shared" si="1"/>
        <v>location: {lat: , lng: }</v>
      </c>
      <c r="Z16" s="35" t="str">
        <f>IF(LEN(S16)&gt;1,VLOOKUP(S16,Sheet3!$A:$B,2,),"")</f>
        <v/>
      </c>
      <c r="AA16" s="35" t="str">
        <f>IF(LEN(T16)&gt;1,VLOOKUP(T16,Sheet3!$A:$B,2,),"")</f>
        <v/>
      </c>
      <c r="AB16" s="35" t="str">
        <f>IF(LEN(U16)&gt;1,VLOOKUP(U16,Sheet3!$A:$B,2,),"")</f>
        <v/>
      </c>
      <c r="AC16" s="37" t="str">
        <f t="shared" si="8"/>
        <v/>
      </c>
      <c r="AD16" s="37" t="str">
        <f t="shared" si="9"/>
        <v/>
      </c>
      <c r="AE16" s="37" t="str">
        <f t="shared" si="10"/>
        <v/>
      </c>
      <c r="AF16" s="37" t="str">
        <f>"- marian-sites
- churches
- "&amp;VLOOKUP(C16,'(Ref) Countries'!A:C,3,)&amp;IF(LEN(S16)&gt;1,"
- "&amp;S16,"")&amp;IF(LEN(T16)&gt;1,"
- "&amp;T16,"")&amp;IF(LEN(U16)&gt;1,"
- "&amp;U16,"")</f>
        <v>- marian-sites
- churches
- spain</v>
      </c>
      <c r="AG16" s="37" t="str">
        <f t="shared" si="11"/>
        <v xml:space="preserve">| </v>
      </c>
      <c r="AH16" s="37" t="str">
        <f t="shared" si="12"/>
        <v xml:space="preserve">| Cortes </v>
      </c>
      <c r="AI16" s="37" t="str">
        <f>"| "&amp;IF(W16,GetTagPage(C16,VLOOKUP(C16,'(Ref) Countries'!A:C,3,)),C16)&amp; " "</f>
        <v xml:space="preserve">| Spain </v>
      </c>
      <c r="AJ16" s="37" t="str">
        <f t="shared" si="13"/>
        <v xml:space="preserve">| 1222 </v>
      </c>
      <c r="AK16" s="37" t="str">
        <f t="shared" si="14"/>
        <v xml:space="preserve">| </v>
      </c>
      <c r="AL16" s="35" t="str">
        <f t="shared" si="2"/>
        <v xml:space="preserve">| </v>
      </c>
      <c r="AM16" s="37" t="str">
        <f t="shared" si="3"/>
        <v xml:space="preserve">| [Link](http://www.therealpresence.org/eucharst/misc/BVM/35_CORTES_60x96.pdf) </v>
      </c>
      <c r="AN16" s="37" t="str">
        <f t="shared" si="4"/>
        <v xml:space="preserve">| </v>
      </c>
      <c r="AO16" s="37" t="str">
        <f t="shared" si="5"/>
        <v xml:space="preserve">| </v>
      </c>
      <c r="AP16" s="37" t="str">
        <f t="shared" si="15"/>
        <v xml:space="preserve">
| | [Link](http://www.therealpresence.org/eucharst/misc/BVM/35_CORTES_60x96.pdf) | | |</v>
      </c>
      <c r="AQ16" s="48" t="str">
        <f>VLOOKUP(C16,'(Ref) Countries'!A:B,2,)&amp;"-"&amp;LOWER(SUBSTITUTE(H16," ","-"))&amp;".md"</f>
        <v>es-.md</v>
      </c>
      <c r="AR16" s="35" t="str">
        <f t="shared" si="16"/>
        <v xml:space="preserve">
| Cortes | Spain | 1222 | | | [Link](http://www.therealpresence.org/eucharst/misc/BVM/35_CORTES_60x96.pdf) | | | |</v>
      </c>
      <c r="AS16" s="48" t="str">
        <f t="shared" si="6"/>
        <v/>
      </c>
      <c r="AT16" s="15" t="s">
        <v>336</v>
      </c>
    </row>
    <row r="17" spans="1:46" x14ac:dyDescent="0.25">
      <c r="A17" s="27"/>
      <c r="B17" s="31" t="s">
        <v>1201</v>
      </c>
      <c r="C17" s="32" t="s">
        <v>11</v>
      </c>
      <c r="D17" s="61">
        <v>1233</v>
      </c>
      <c r="E17" s="32"/>
      <c r="F17" s="32"/>
      <c r="G17" s="33"/>
      <c r="H17" s="33"/>
      <c r="I17" s="33" t="s">
        <v>1758</v>
      </c>
      <c r="J17" s="33"/>
      <c r="K17" s="32" t="s">
        <v>336</v>
      </c>
      <c r="L17" s="32" t="s">
        <v>336</v>
      </c>
      <c r="M17" s="32" t="s">
        <v>193</v>
      </c>
      <c r="N17" s="32" t="s">
        <v>336</v>
      </c>
      <c r="O17" s="32" t="s">
        <v>336</v>
      </c>
      <c r="P17" s="32" t="s">
        <v>336</v>
      </c>
      <c r="Q17" s="32" t="s">
        <v>336</v>
      </c>
      <c r="R17" s="32" t="s">
        <v>336</v>
      </c>
      <c r="S17" s="32" t="s">
        <v>336</v>
      </c>
      <c r="T17" s="32"/>
      <c r="U17" s="32"/>
      <c r="V17" s="33"/>
      <c r="W17" s="38" t="b">
        <f t="shared" si="7"/>
        <v>0</v>
      </c>
      <c r="X17" s="35" t="str">
        <f t="shared" si="0"/>
        <v>title: ""</v>
      </c>
      <c r="Y17" s="35" t="str">
        <f t="shared" si="1"/>
        <v>location: {lat: , lng: }</v>
      </c>
      <c r="Z17" s="35" t="str">
        <f>IF(LEN(S17)&gt;1,VLOOKUP(S17,Sheet3!$A:$B,2,),"")</f>
        <v/>
      </c>
      <c r="AA17" s="35" t="str">
        <f>IF(LEN(T17)&gt;1,VLOOKUP(T17,Sheet3!$A:$B,2,),"")</f>
        <v/>
      </c>
      <c r="AB17" s="35" t="str">
        <f>IF(LEN(U17)&gt;1,VLOOKUP(U17,Sheet3!$A:$B,2,),"")</f>
        <v/>
      </c>
      <c r="AC17" s="37" t="str">
        <f t="shared" si="8"/>
        <v/>
      </c>
      <c r="AD17" s="37" t="str">
        <f t="shared" si="9"/>
        <v/>
      </c>
      <c r="AE17" s="37" t="str">
        <f t="shared" si="10"/>
        <v/>
      </c>
      <c r="AF17" s="37" t="str">
        <f>"- marian-sites
- churches
- "&amp;VLOOKUP(C17,'(Ref) Countries'!A:C,3,)&amp;IF(LEN(S17)&gt;1,"
- "&amp;S17,"")&amp;IF(LEN(T17)&gt;1,"
- "&amp;T17,"")&amp;IF(LEN(U17)&gt;1,"
- "&amp;U17,"")</f>
        <v>- marian-sites
- churches
- italy</v>
      </c>
      <c r="AG17" s="37" t="str">
        <f t="shared" si="11"/>
        <v xml:space="preserve">| </v>
      </c>
      <c r="AH17" s="37" t="str">
        <f t="shared" si="12"/>
        <v xml:space="preserve">| Florence </v>
      </c>
      <c r="AI17" s="37" t="str">
        <f>"| "&amp;IF(W17,GetTagPage(C17,VLOOKUP(C17,'(Ref) Countries'!A:C,3,)),C17)&amp; " "</f>
        <v xml:space="preserve">| Italy </v>
      </c>
      <c r="AJ17" s="37" t="str">
        <f t="shared" si="13"/>
        <v xml:space="preserve">| 1233 </v>
      </c>
      <c r="AK17" s="37" t="str">
        <f t="shared" si="14"/>
        <v xml:space="preserve">| </v>
      </c>
      <c r="AL17" s="35" t="str">
        <f t="shared" si="2"/>
        <v xml:space="preserve">| </v>
      </c>
      <c r="AM17" s="37" t="str">
        <f t="shared" si="3"/>
        <v xml:space="preserve">| [Link](http://www.therealpresence.org/eucharst/misc/BVM/18_FIRENZE_60x96.pdf) </v>
      </c>
      <c r="AN17" s="37" t="str">
        <f t="shared" si="4"/>
        <v xml:space="preserve">| </v>
      </c>
      <c r="AO17" s="37" t="str">
        <f t="shared" si="5"/>
        <v xml:space="preserve">| </v>
      </c>
      <c r="AP17" s="37" t="str">
        <f t="shared" si="15"/>
        <v xml:space="preserve">
| | [Link](http://www.therealpresence.org/eucharst/misc/BVM/18_FIRENZE_60x96.pdf) | | |</v>
      </c>
      <c r="AQ17" s="48" t="str">
        <f>VLOOKUP(C17,'(Ref) Countries'!A:B,2,)&amp;"-"&amp;LOWER(SUBSTITUTE(H17," ","-"))&amp;".md"</f>
        <v>it-.md</v>
      </c>
      <c r="AR17" s="35" t="str">
        <f t="shared" si="16"/>
        <v xml:space="preserve">
| Florence | Italy | 1233 | | | [Link](http://www.therealpresence.org/eucharst/misc/BVM/18_FIRENZE_60x96.pdf) | | | |</v>
      </c>
      <c r="AS17" s="48" t="str">
        <f t="shared" si="6"/>
        <v/>
      </c>
      <c r="AT17" s="15" t="s">
        <v>336</v>
      </c>
    </row>
    <row r="18" spans="1:46" x14ac:dyDescent="0.25">
      <c r="A18" s="27"/>
      <c r="B18" s="31" t="s">
        <v>1202</v>
      </c>
      <c r="C18" s="32" t="s">
        <v>738</v>
      </c>
      <c r="D18" s="61">
        <v>1251</v>
      </c>
      <c r="E18" s="32"/>
      <c r="F18" s="32"/>
      <c r="G18" s="33"/>
      <c r="H18" s="33"/>
      <c r="I18" s="33" t="s">
        <v>1758</v>
      </c>
      <c r="J18" s="33"/>
      <c r="K18" s="32" t="s">
        <v>336</v>
      </c>
      <c r="L18" s="32" t="s">
        <v>336</v>
      </c>
      <c r="M18" s="32" t="s">
        <v>194</v>
      </c>
      <c r="N18" s="32" t="s">
        <v>336</v>
      </c>
      <c r="O18" s="32" t="s">
        <v>336</v>
      </c>
      <c r="P18" s="32" t="s">
        <v>336</v>
      </c>
      <c r="Q18" s="32" t="s">
        <v>336</v>
      </c>
      <c r="R18" s="32" t="s">
        <v>336</v>
      </c>
      <c r="S18" s="32" t="s">
        <v>336</v>
      </c>
      <c r="T18" s="32"/>
      <c r="U18" s="32"/>
      <c r="V18" s="33"/>
      <c r="W18" s="38" t="b">
        <f t="shared" si="7"/>
        <v>0</v>
      </c>
      <c r="X18" s="35" t="str">
        <f t="shared" si="0"/>
        <v>title: ""</v>
      </c>
      <c r="Y18" s="35" t="str">
        <f t="shared" si="1"/>
        <v>location: {lat: , lng: }</v>
      </c>
      <c r="Z18" s="35" t="str">
        <f>IF(LEN(S18)&gt;1,VLOOKUP(S18,Sheet3!$A:$B,2,),"")</f>
        <v/>
      </c>
      <c r="AA18" s="35" t="str">
        <f>IF(LEN(T18)&gt;1,VLOOKUP(T18,Sheet3!$A:$B,2,),"")</f>
        <v/>
      </c>
      <c r="AB18" s="35" t="str">
        <f>IF(LEN(U18)&gt;1,VLOOKUP(U18,Sheet3!$A:$B,2,),"")</f>
        <v/>
      </c>
      <c r="AC18" s="37" t="str">
        <f t="shared" si="8"/>
        <v/>
      </c>
      <c r="AD18" s="37" t="str">
        <f t="shared" si="9"/>
        <v/>
      </c>
      <c r="AE18" s="37" t="str">
        <f t="shared" si="10"/>
        <v/>
      </c>
      <c r="AF18" s="37" t="str">
        <f>"- marian-sites
- churches
- "&amp;VLOOKUP(C18,'(Ref) Countries'!A:C,3,)&amp;IF(LEN(S18)&gt;1,"
- "&amp;S18,"")&amp;IF(LEN(T18)&gt;1,"
- "&amp;T18,"")&amp;IF(LEN(U18)&gt;1,"
- "&amp;U18,"")</f>
        <v>- marian-sites
- churches
- uk</v>
      </c>
      <c r="AG18" s="37" t="str">
        <f t="shared" si="11"/>
        <v xml:space="preserve">| </v>
      </c>
      <c r="AH18" s="37" t="str">
        <f t="shared" si="12"/>
        <v xml:space="preserve">| Aylesford </v>
      </c>
      <c r="AI18" s="37" t="str">
        <f>"| "&amp;IF(W18,GetTagPage(C18,VLOOKUP(C18,'(Ref) Countries'!A:C,3,)),C18)&amp; " "</f>
        <v xml:space="preserve">| United Kingdom </v>
      </c>
      <c r="AJ18" s="37" t="str">
        <f t="shared" si="13"/>
        <v xml:space="preserve">| 1251 </v>
      </c>
      <c r="AK18" s="37" t="str">
        <f t="shared" si="14"/>
        <v xml:space="preserve">| </v>
      </c>
      <c r="AL18" s="35" t="str">
        <f t="shared" si="2"/>
        <v xml:space="preserve">| </v>
      </c>
      <c r="AM18" s="37" t="str">
        <f t="shared" si="3"/>
        <v xml:space="preserve">| [Link](http://www.therealpresence.org/eucharst/misc/BVM/05_AYLESFORD_60x96.pdf) </v>
      </c>
      <c r="AN18" s="37" t="str">
        <f t="shared" si="4"/>
        <v xml:space="preserve">| </v>
      </c>
      <c r="AO18" s="37" t="str">
        <f t="shared" si="5"/>
        <v xml:space="preserve">| </v>
      </c>
      <c r="AP18" s="37" t="str">
        <f t="shared" si="15"/>
        <v xml:space="preserve">
| | [Link](http://www.therealpresence.org/eucharst/misc/BVM/05_AYLESFORD_60x96.pdf) | | |</v>
      </c>
      <c r="AQ18" s="48" t="str">
        <f>VLOOKUP(C18,'(Ref) Countries'!A:B,2,)&amp;"-"&amp;LOWER(SUBSTITUTE(H18," ","-"))&amp;".md"</f>
        <v>gb-.md</v>
      </c>
      <c r="AR18" s="35" t="str">
        <f t="shared" si="16"/>
        <v xml:space="preserve">
| Aylesford | United Kingdom | 1251 | | | [Link](http://www.therealpresence.org/eucharst/misc/BVM/05_AYLESFORD_60x96.pdf) | | | |</v>
      </c>
      <c r="AS18" s="48" t="str">
        <f t="shared" si="6"/>
        <v/>
      </c>
      <c r="AT18" s="15" t="s">
        <v>336</v>
      </c>
    </row>
    <row r="19" spans="1:46" x14ac:dyDescent="0.25">
      <c r="A19" s="27"/>
      <c r="B19" s="31" t="s">
        <v>1318</v>
      </c>
      <c r="C19" s="65" t="s">
        <v>11</v>
      </c>
      <c r="D19" s="61">
        <v>1256</v>
      </c>
      <c r="E19" s="32"/>
      <c r="F19" s="32"/>
      <c r="G19" s="33"/>
      <c r="H19" s="33"/>
      <c r="I19" s="33" t="s">
        <v>1758</v>
      </c>
      <c r="J19" s="33"/>
      <c r="K19" s="32" t="s">
        <v>336</v>
      </c>
      <c r="L19" s="32" t="s">
        <v>336</v>
      </c>
      <c r="M19" s="32" t="s">
        <v>195</v>
      </c>
      <c r="N19" s="32" t="s">
        <v>336</v>
      </c>
      <c r="O19" s="32" t="s">
        <v>336</v>
      </c>
      <c r="P19" s="32" t="s">
        <v>336</v>
      </c>
      <c r="Q19" s="32" t="s">
        <v>336</v>
      </c>
      <c r="R19" s="32" t="s">
        <v>336</v>
      </c>
      <c r="S19" s="65" t="s">
        <v>1479</v>
      </c>
      <c r="T19" s="32"/>
      <c r="U19" s="32"/>
      <c r="V19" s="33"/>
      <c r="W19" s="38" t="b">
        <f t="shared" si="7"/>
        <v>0</v>
      </c>
      <c r="X19" s="35" t="str">
        <f t="shared" si="0"/>
        <v>title: ""</v>
      </c>
      <c r="Y19" s="35" t="str">
        <f t="shared" si="1"/>
        <v>location: {lat: , lng: }</v>
      </c>
      <c r="Z19" s="35" t="str">
        <f>IF(LEN(S19)&gt;1,VLOOKUP(S19,Sheet3!$A:$B,2,),"")</f>
        <v>Rome</v>
      </c>
      <c r="AA19" s="35" t="str">
        <f>IF(LEN(T19)&gt;1,VLOOKUP(T19,Sheet3!$A:$B,2,),"")</f>
        <v/>
      </c>
      <c r="AB19" s="35" t="str">
        <f>IF(LEN(U19)&gt;1,VLOOKUP(U19,Sheet3!$A:$B,2,),"")</f>
        <v/>
      </c>
      <c r="AC19" s="37" t="str">
        <f t="shared" si="8"/>
        <v>[Rome](/tags/rome)</v>
      </c>
      <c r="AD19" s="37" t="str">
        <f t="shared" si="9"/>
        <v/>
      </c>
      <c r="AE19" s="37" t="str">
        <f t="shared" si="10"/>
        <v/>
      </c>
      <c r="AF19" s="37" t="str">
        <f>"- marian-sites
- churches
- "&amp;VLOOKUP(C19,'(Ref) Countries'!A:C,3,)&amp;IF(LEN(S19)&gt;1,"
- "&amp;S19,"")&amp;IF(LEN(T19)&gt;1,"
- "&amp;T19,"")&amp;IF(LEN(U19)&gt;1,"
- "&amp;U19,"")</f>
        <v>- marian-sites
- churches
- italy
- rome</v>
      </c>
      <c r="AG19" s="37" t="str">
        <f t="shared" si="11"/>
        <v xml:space="preserve">| [Rome](/tags/rome) </v>
      </c>
      <c r="AH19" s="37" t="str">
        <f t="shared" si="12"/>
        <v xml:space="preserve">| Rome (Santa Maria in Via) </v>
      </c>
      <c r="AI19" s="37" t="str">
        <f>"| "&amp;IF(W19,GetTagPage(C19,VLOOKUP(C19,'(Ref) Countries'!A:C,3,)),C19)&amp; " "</f>
        <v xml:space="preserve">| Italy </v>
      </c>
      <c r="AJ19" s="37" t="str">
        <f t="shared" si="13"/>
        <v xml:space="preserve">| 1256 </v>
      </c>
      <c r="AK19" s="37" t="str">
        <f t="shared" si="14"/>
        <v xml:space="preserve">| </v>
      </c>
      <c r="AL19" s="35" t="str">
        <f t="shared" si="2"/>
        <v xml:space="preserve">| </v>
      </c>
      <c r="AM19" s="37" t="str">
        <f t="shared" si="3"/>
        <v xml:space="preserve">| [Link](http://www.therealpresence.org/eucharst/misc/BVM/133_ROMA_POZZO_60x96.pdf) </v>
      </c>
      <c r="AN19" s="37" t="str">
        <f t="shared" si="4"/>
        <v xml:space="preserve">| </v>
      </c>
      <c r="AO19" s="37" t="str">
        <f t="shared" si="5"/>
        <v xml:space="preserve">| </v>
      </c>
      <c r="AP19" s="37" t="str">
        <f t="shared" si="15"/>
        <v xml:space="preserve">
| | [Link](http://www.therealpresence.org/eucharst/misc/BVM/133_ROMA_POZZO_60x96.pdf) | | |</v>
      </c>
      <c r="AQ19" s="48" t="str">
        <f>VLOOKUP(C19,'(Ref) Countries'!A:B,2,)&amp;"-"&amp;LOWER(SUBSTITUTE(H19," ","-"))&amp;".md"</f>
        <v>it-.md</v>
      </c>
      <c r="AR19" s="35" t="str">
        <f t="shared" si="16"/>
        <v xml:space="preserve">
| Rome (Santa Maria in Via) | Italy | 1256 | | | [Link](http://www.therealpresence.org/eucharst/misc/BVM/133_ROMA_POZZO_60x96.pdf) | | | [Rome](/tags/rome) |</v>
      </c>
      <c r="AS19" s="48" t="str">
        <f t="shared" si="6"/>
        <v/>
      </c>
      <c r="AT19" s="15" t="s">
        <v>336</v>
      </c>
    </row>
    <row r="20" spans="1:46" x14ac:dyDescent="0.25">
      <c r="A20" s="27"/>
      <c r="B20" s="31" t="s">
        <v>1203</v>
      </c>
      <c r="C20" s="32" t="s">
        <v>11</v>
      </c>
      <c r="D20" s="61">
        <v>1310</v>
      </c>
      <c r="E20" s="32"/>
      <c r="F20" s="32"/>
      <c r="G20" s="33"/>
      <c r="H20" s="33"/>
      <c r="I20" s="33" t="s">
        <v>1758</v>
      </c>
      <c r="J20" s="33"/>
      <c r="K20" s="32" t="s">
        <v>336</v>
      </c>
      <c r="L20" s="32" t="s">
        <v>336</v>
      </c>
      <c r="M20" s="32" t="s">
        <v>196</v>
      </c>
      <c r="N20" s="32" t="s">
        <v>336</v>
      </c>
      <c r="O20" s="32" t="s">
        <v>336</v>
      </c>
      <c r="P20" s="32" t="s">
        <v>336</v>
      </c>
      <c r="Q20" s="32" t="s">
        <v>336</v>
      </c>
      <c r="R20" s="32" t="s">
        <v>336</v>
      </c>
      <c r="S20" s="32" t="s">
        <v>336</v>
      </c>
      <c r="T20" s="32"/>
      <c r="U20" s="32"/>
      <c r="V20" s="33"/>
      <c r="W20" s="38" t="b">
        <f t="shared" si="7"/>
        <v>0</v>
      </c>
      <c r="X20" s="35" t="str">
        <f t="shared" si="0"/>
        <v>title: ""</v>
      </c>
      <c r="Y20" s="35" t="str">
        <f t="shared" si="1"/>
        <v>location: {lat: , lng: }</v>
      </c>
      <c r="Z20" s="35" t="str">
        <f>IF(LEN(S20)&gt;1,VLOOKUP(S20,Sheet3!$A:$B,2,),"")</f>
        <v/>
      </c>
      <c r="AA20" s="35" t="str">
        <f>IF(LEN(T20)&gt;1,VLOOKUP(T20,Sheet3!$A:$B,2,),"")</f>
        <v/>
      </c>
      <c r="AB20" s="35" t="str">
        <f>IF(LEN(U20)&gt;1,VLOOKUP(U20,Sheet3!$A:$B,2,),"")</f>
        <v/>
      </c>
      <c r="AC20" s="37" t="str">
        <f t="shared" si="8"/>
        <v/>
      </c>
      <c r="AD20" s="37" t="str">
        <f t="shared" si="9"/>
        <v/>
      </c>
      <c r="AE20" s="37" t="str">
        <f t="shared" si="10"/>
        <v/>
      </c>
      <c r="AF20" s="37" t="str">
        <f>"- marian-sites
- churches
- "&amp;VLOOKUP(C20,'(Ref) Countries'!A:C,3,)&amp;IF(LEN(S20)&gt;1,"
- "&amp;S20,"")&amp;IF(LEN(T20)&gt;1,"
- "&amp;T20,"")&amp;IF(LEN(U20)&gt;1,"
- "&amp;U20,"")</f>
        <v>- marian-sites
- churches
- italy</v>
      </c>
      <c r="AG20" s="37" t="str">
        <f t="shared" si="11"/>
        <v xml:space="preserve">| </v>
      </c>
      <c r="AH20" s="37" t="str">
        <f t="shared" si="12"/>
        <v xml:space="preserve">| The Holy House of Nazareth at Loreto  </v>
      </c>
      <c r="AI20" s="37" t="str">
        <f>"| "&amp;IF(W20,GetTagPage(C20,VLOOKUP(C20,'(Ref) Countries'!A:C,3,)),C20)&amp; " "</f>
        <v xml:space="preserve">| Italy </v>
      </c>
      <c r="AJ20" s="37" t="str">
        <f t="shared" si="13"/>
        <v xml:space="preserve">| 1310 </v>
      </c>
      <c r="AK20" s="37" t="str">
        <f t="shared" si="14"/>
        <v xml:space="preserve">| </v>
      </c>
      <c r="AL20" s="35" t="str">
        <f t="shared" si="2"/>
        <v xml:space="preserve">| </v>
      </c>
      <c r="AM20" s="37" t="str">
        <f t="shared" si="3"/>
        <v xml:space="preserve">| [Link](http://www.therealpresence.org/eucharst/misc/BVM/148_LORETO_140x96.pdf) </v>
      </c>
      <c r="AN20" s="37" t="str">
        <f t="shared" si="4"/>
        <v xml:space="preserve">| </v>
      </c>
      <c r="AO20" s="37" t="str">
        <f t="shared" si="5"/>
        <v xml:space="preserve">| </v>
      </c>
      <c r="AP20" s="37" t="str">
        <f t="shared" si="15"/>
        <v xml:space="preserve">
| | [Link](http://www.therealpresence.org/eucharst/misc/BVM/148_LORETO_140x96.pdf) | | |</v>
      </c>
      <c r="AQ20" s="48" t="str">
        <f>VLOOKUP(C20,'(Ref) Countries'!A:B,2,)&amp;"-"&amp;LOWER(SUBSTITUTE(H20," ","-"))&amp;".md"</f>
        <v>it-.md</v>
      </c>
      <c r="AR20" s="35" t="str">
        <f t="shared" si="16"/>
        <v xml:space="preserve">
| The Holy House of Nazareth at Loreto  | Italy | 1310 | | | [Link](http://www.therealpresence.org/eucharst/misc/BVM/148_LORETO_140x96.pdf) | | | |</v>
      </c>
      <c r="AS20" s="48" t="str">
        <f t="shared" si="6"/>
        <v/>
      </c>
      <c r="AT20" s="15" t="s">
        <v>336</v>
      </c>
    </row>
    <row r="21" spans="1:46" x14ac:dyDescent="0.25">
      <c r="A21" s="27"/>
      <c r="B21" s="31" t="s">
        <v>1204</v>
      </c>
      <c r="C21" s="32" t="s">
        <v>11</v>
      </c>
      <c r="D21" s="61">
        <v>1336</v>
      </c>
      <c r="E21" s="32"/>
      <c r="F21" s="32"/>
      <c r="G21" s="33"/>
      <c r="H21" s="33"/>
      <c r="I21" s="33" t="s">
        <v>1758</v>
      </c>
      <c r="J21" s="33"/>
      <c r="K21" s="32" t="s">
        <v>336</v>
      </c>
      <c r="L21" s="32" t="s">
        <v>336</v>
      </c>
      <c r="M21" s="32" t="s">
        <v>197</v>
      </c>
      <c r="N21" s="32" t="s">
        <v>336</v>
      </c>
      <c r="O21" s="32" t="s">
        <v>336</v>
      </c>
      <c r="P21" s="32" t="s">
        <v>336</v>
      </c>
      <c r="Q21" s="32" t="s">
        <v>336</v>
      </c>
      <c r="R21" s="32" t="s">
        <v>336</v>
      </c>
      <c r="S21" s="32" t="s">
        <v>336</v>
      </c>
      <c r="T21" s="32"/>
      <c r="U21" s="32"/>
      <c r="V21" s="33"/>
      <c r="W21" s="38" t="b">
        <f t="shared" si="7"/>
        <v>0</v>
      </c>
      <c r="X21" s="35" t="str">
        <f t="shared" si="0"/>
        <v>title: ""</v>
      </c>
      <c r="Y21" s="35" t="str">
        <f t="shared" si="1"/>
        <v>location: {lat: , lng: }</v>
      </c>
      <c r="Z21" s="35" t="str">
        <f>IF(LEN(S21)&gt;1,VLOOKUP(S21,Sheet3!$A:$B,2,),"")</f>
        <v/>
      </c>
      <c r="AA21" s="35" t="str">
        <f>IF(LEN(T21)&gt;1,VLOOKUP(T21,Sheet3!$A:$B,2,),"")</f>
        <v/>
      </c>
      <c r="AB21" s="35" t="str">
        <f>IF(LEN(U21)&gt;1,VLOOKUP(U21,Sheet3!$A:$B,2,),"")</f>
        <v/>
      </c>
      <c r="AC21" s="37" t="str">
        <f t="shared" si="8"/>
        <v/>
      </c>
      <c r="AD21" s="37" t="str">
        <f t="shared" si="9"/>
        <v/>
      </c>
      <c r="AE21" s="37" t="str">
        <f t="shared" si="10"/>
        <v/>
      </c>
      <c r="AF21" s="37" t="str">
        <f>"- marian-sites
- churches
- "&amp;VLOOKUP(C21,'(Ref) Countries'!A:C,3,)&amp;IF(LEN(S21)&gt;1,"
- "&amp;S21,"")&amp;IF(LEN(T21)&gt;1,"
- "&amp;T21,"")&amp;IF(LEN(U21)&gt;1,"
- "&amp;U21,"")</f>
        <v>- marian-sites
- churches
- italy</v>
      </c>
      <c r="AG21" s="37" t="str">
        <f t="shared" si="11"/>
        <v xml:space="preserve">| </v>
      </c>
      <c r="AH21" s="37" t="str">
        <f t="shared" si="12"/>
        <v xml:space="preserve">| Bra </v>
      </c>
      <c r="AI21" s="37" t="str">
        <f>"| "&amp;IF(W21,GetTagPage(C21,VLOOKUP(C21,'(Ref) Countries'!A:C,3,)),C21)&amp; " "</f>
        <v xml:space="preserve">| Italy </v>
      </c>
      <c r="AJ21" s="37" t="str">
        <f t="shared" si="13"/>
        <v xml:space="preserve">| 1336 </v>
      </c>
      <c r="AK21" s="37" t="str">
        <f t="shared" si="14"/>
        <v xml:space="preserve">| </v>
      </c>
      <c r="AL21" s="35" t="str">
        <f t="shared" si="2"/>
        <v xml:space="preserve">| </v>
      </c>
      <c r="AM21" s="37" t="str">
        <f t="shared" si="3"/>
        <v xml:space="preserve">| [Link](http://www.therealpresence.org/eucharst/misc/BVM/44_BRA_60x96.pdf) </v>
      </c>
      <c r="AN21" s="37" t="str">
        <f t="shared" si="4"/>
        <v xml:space="preserve">| </v>
      </c>
      <c r="AO21" s="37" t="str">
        <f t="shared" si="5"/>
        <v xml:space="preserve">| </v>
      </c>
      <c r="AP21" s="37" t="str">
        <f t="shared" si="15"/>
        <v xml:space="preserve">
| | [Link](http://www.therealpresence.org/eucharst/misc/BVM/44_BRA_60x96.pdf) | | |</v>
      </c>
      <c r="AQ21" s="48" t="str">
        <f>VLOOKUP(C21,'(Ref) Countries'!A:B,2,)&amp;"-"&amp;LOWER(SUBSTITUTE(H21," ","-"))&amp;".md"</f>
        <v>it-.md</v>
      </c>
      <c r="AR21" s="35" t="str">
        <f t="shared" si="16"/>
        <v xml:space="preserve">
| Bra | Italy | 1336 | | | [Link](http://www.therealpresence.org/eucharst/misc/BVM/44_BRA_60x96.pdf) | | | |</v>
      </c>
      <c r="AS21" s="48" t="str">
        <f t="shared" si="6"/>
        <v/>
      </c>
      <c r="AT21" s="15" t="s">
        <v>336</v>
      </c>
    </row>
    <row r="22" spans="1:46" x14ac:dyDescent="0.25">
      <c r="A22" s="27"/>
      <c r="B22" s="31" t="s">
        <v>1205</v>
      </c>
      <c r="C22" s="32" t="s">
        <v>11</v>
      </c>
      <c r="D22" s="61">
        <v>1350</v>
      </c>
      <c r="E22" s="32"/>
      <c r="F22" s="32"/>
      <c r="G22" s="33"/>
      <c r="H22" s="33"/>
      <c r="I22" s="33" t="s">
        <v>1758</v>
      </c>
      <c r="J22" s="33"/>
      <c r="K22" s="32" t="s">
        <v>336</v>
      </c>
      <c r="L22" s="32" t="s">
        <v>336</v>
      </c>
      <c r="M22" s="32" t="s">
        <v>198</v>
      </c>
      <c r="N22" s="32" t="s">
        <v>336</v>
      </c>
      <c r="O22" s="32" t="s">
        <v>336</v>
      </c>
      <c r="P22" s="32" t="s">
        <v>336</v>
      </c>
      <c r="Q22" s="32" t="s">
        <v>336</v>
      </c>
      <c r="R22" s="32" t="s">
        <v>336</v>
      </c>
      <c r="S22" s="32" t="s">
        <v>336</v>
      </c>
      <c r="T22" s="32"/>
      <c r="U22" s="32"/>
      <c r="V22" s="33"/>
      <c r="W22" s="38" t="b">
        <f t="shared" si="7"/>
        <v>0</v>
      </c>
      <c r="X22" s="35" t="str">
        <f t="shared" si="0"/>
        <v>title: ""</v>
      </c>
      <c r="Y22" s="35" t="str">
        <f t="shared" si="1"/>
        <v>location: {lat: , lng: }</v>
      </c>
      <c r="Z22" s="35" t="str">
        <f>IF(LEN(S22)&gt;1,VLOOKUP(S22,Sheet3!$A:$B,2,),"")</f>
        <v/>
      </c>
      <c r="AA22" s="35" t="str">
        <f>IF(LEN(T22)&gt;1,VLOOKUP(T22,Sheet3!$A:$B,2,),"")</f>
        <v/>
      </c>
      <c r="AB22" s="35" t="str">
        <f>IF(LEN(U22)&gt;1,VLOOKUP(U22,Sheet3!$A:$B,2,),"")</f>
        <v/>
      </c>
      <c r="AC22" s="37" t="str">
        <f t="shared" si="8"/>
        <v/>
      </c>
      <c r="AD22" s="37" t="str">
        <f t="shared" si="9"/>
        <v/>
      </c>
      <c r="AE22" s="37" t="str">
        <f t="shared" si="10"/>
        <v/>
      </c>
      <c r="AF22" s="37" t="str">
        <f>"- marian-sites
- churches
- "&amp;VLOOKUP(C22,'(Ref) Countries'!A:C,3,)&amp;IF(LEN(S22)&gt;1,"
- "&amp;S22,"")&amp;IF(LEN(T22)&gt;1,"
- "&amp;T22,"")&amp;IF(LEN(U22)&gt;1,"
- "&amp;U22,"")</f>
        <v>- marian-sites
- churches
- italy</v>
      </c>
      <c r="AG22" s="37" t="str">
        <f t="shared" si="11"/>
        <v xml:space="preserve">| </v>
      </c>
      <c r="AH22" s="37" t="str">
        <f t="shared" si="12"/>
        <v xml:space="preserve">| Roverano </v>
      </c>
      <c r="AI22" s="37" t="str">
        <f>"| "&amp;IF(W22,GetTagPage(C22,VLOOKUP(C22,'(Ref) Countries'!A:C,3,)),C22)&amp; " "</f>
        <v xml:space="preserve">| Italy </v>
      </c>
      <c r="AJ22" s="37" t="str">
        <f t="shared" si="13"/>
        <v xml:space="preserve">| 1350 </v>
      </c>
      <c r="AK22" s="37" t="str">
        <f t="shared" si="14"/>
        <v xml:space="preserve">| </v>
      </c>
      <c r="AL22" s="35" t="str">
        <f t="shared" si="2"/>
        <v xml:space="preserve">| </v>
      </c>
      <c r="AM22" s="37" t="str">
        <f t="shared" si="3"/>
        <v xml:space="preserve">| [Link](http://www.therealpresence.org/eucharst/misc/BVM/74_ROVERANO_60x96.pdf) </v>
      </c>
      <c r="AN22" s="37" t="str">
        <f t="shared" si="4"/>
        <v xml:space="preserve">| </v>
      </c>
      <c r="AO22" s="37" t="str">
        <f t="shared" si="5"/>
        <v xml:space="preserve">| </v>
      </c>
      <c r="AP22" s="37" t="str">
        <f t="shared" si="15"/>
        <v xml:space="preserve">
| | [Link](http://www.therealpresence.org/eucharst/misc/BVM/74_ROVERANO_60x96.pdf) | | |</v>
      </c>
      <c r="AQ22" s="48" t="str">
        <f>VLOOKUP(C22,'(Ref) Countries'!A:B,2,)&amp;"-"&amp;LOWER(SUBSTITUTE(H22," ","-"))&amp;".md"</f>
        <v>it-.md</v>
      </c>
      <c r="AR22" s="35" t="str">
        <f t="shared" si="16"/>
        <v xml:space="preserve">
| Roverano | Italy | 1350 | | | [Link](http://www.therealpresence.org/eucharst/misc/BVM/74_ROVERANO_60x96.pdf) | | | |</v>
      </c>
      <c r="AS22" s="48" t="str">
        <f t="shared" si="6"/>
        <v/>
      </c>
      <c r="AT22" s="15" t="s">
        <v>336</v>
      </c>
    </row>
    <row r="23" spans="1:46" ht="76.5" x14ac:dyDescent="0.25">
      <c r="A23" s="27" t="s">
        <v>1330</v>
      </c>
      <c r="B23" s="31" t="s">
        <v>1378</v>
      </c>
      <c r="C23" s="32" t="s">
        <v>11</v>
      </c>
      <c r="D23" s="61" t="s">
        <v>1321</v>
      </c>
      <c r="E23" s="32">
        <v>45.523673865207101</v>
      </c>
      <c r="F23" s="32">
        <v>10.3142692079531</v>
      </c>
      <c r="G23" s="33" t="s">
        <v>1374</v>
      </c>
      <c r="H23" s="33" t="s">
        <v>1374</v>
      </c>
      <c r="I23" s="33" t="s">
        <v>1758</v>
      </c>
      <c r="J23" s="33" t="s">
        <v>1375</v>
      </c>
      <c r="K23" s="32" t="s">
        <v>1379</v>
      </c>
      <c r="L23" s="32" t="s">
        <v>336</v>
      </c>
      <c r="M23" s="32" t="s">
        <v>199</v>
      </c>
      <c r="N23" s="32" t="s">
        <v>336</v>
      </c>
      <c r="O23" s="32" t="s">
        <v>1376</v>
      </c>
      <c r="P23" s="32" t="s">
        <v>1377</v>
      </c>
      <c r="Q23" s="32" t="s">
        <v>336</v>
      </c>
      <c r="R23" s="32" t="s">
        <v>336</v>
      </c>
      <c r="S23" s="32" t="s">
        <v>336</v>
      </c>
      <c r="T23" s="32"/>
      <c r="U23" s="32"/>
      <c r="V23" s="33"/>
      <c r="W23" s="38" t="b">
        <f t="shared" si="7"/>
        <v>1</v>
      </c>
      <c r="X23" s="35" t="str">
        <f t="shared" si="0"/>
        <v>title: "Sanctuary of the Our Lady of Valverde"</v>
      </c>
      <c r="Y23" s="35" t="str">
        <f t="shared" si="1"/>
        <v>location: {lat: 45.5236738652071, lng: 10.3142692079531}</v>
      </c>
      <c r="Z23" s="35" t="str">
        <f>IF(LEN(S23)&gt;1,VLOOKUP(S23,Sheet3!$A:$B,2,),"")</f>
        <v/>
      </c>
      <c r="AA23" s="35" t="str">
        <f>IF(LEN(T23)&gt;1,VLOOKUP(T23,Sheet3!$A:$B,2,),"")</f>
        <v/>
      </c>
      <c r="AB23" s="35" t="str">
        <f>IF(LEN(U23)&gt;1,VLOOKUP(U23,Sheet3!$A:$B,2,),"")</f>
        <v/>
      </c>
      <c r="AC23" s="37" t="str">
        <f t="shared" si="8"/>
        <v/>
      </c>
      <c r="AD23" s="37" t="str">
        <f t="shared" si="9"/>
        <v/>
      </c>
      <c r="AE23" s="37" t="str">
        <f t="shared" si="10"/>
        <v/>
      </c>
      <c r="AF23" s="37" t="str">
        <f>"- marian-sites
- churches
- "&amp;VLOOKUP(C23,'(Ref) Countries'!A:C,3,)&amp;IF(LEN(S23)&gt;1,"
- "&amp;S23,"")&amp;IF(LEN(T23)&gt;1,"
- "&amp;T23,"")&amp;IF(LEN(U23)&gt;1,"
- "&amp;U23,"")</f>
        <v>- marian-sites
- churches
- italy</v>
      </c>
      <c r="AG23" s="37" t="str">
        <f t="shared" si="11"/>
        <v xml:space="preserve">| </v>
      </c>
      <c r="AH23" s="37" t="str">
        <f t="shared" si="12"/>
        <v xml:space="preserve">| [Valverde Di Rezzato](/places/it-sanctuary-of-the-our-lady-of-valverde) </v>
      </c>
      <c r="AI23" s="37" t="str">
        <f>"| "&amp;IF(W23,GetTagPage(C23,VLOOKUP(C23,'(Ref) Countries'!A:C,3,)),C23)&amp; " "</f>
        <v xml:space="preserve">| [Italy](/tags/italy) </v>
      </c>
      <c r="AJ23" s="37" t="str">
        <f t="shared" si="13"/>
        <v xml:space="preserve">| 1399, 1711 </v>
      </c>
      <c r="AK23" s="37" t="str">
        <f t="shared" si="14"/>
        <v xml:space="preserve">| [Link](/places/it-sanctuary-of-the-our-lady-of-valverde) </v>
      </c>
      <c r="AL23" s="35" t="str">
        <f t="shared" si="2"/>
        <v xml:space="preserve">| [Link](https://www.uprezzatovirle.it/santuario-valverde) </v>
      </c>
      <c r="AM23" s="37" t="str">
        <f t="shared" si="3"/>
        <v xml:space="preserve">| [Link](http://www.therealpresence.org/eucharst/misc/BVM/13_VALVERDE_60x96.pdf) </v>
      </c>
      <c r="AN23" s="37" t="str">
        <f t="shared" si="4"/>
        <v xml:space="preserve">| [Link](https://www.miraclehunter.com/marian_apparitions/approved_apparitions/apparitions_1700-1799.html) (Search for "Valverde") </v>
      </c>
      <c r="AO23" s="37" t="str">
        <f t="shared" si="5"/>
        <v xml:space="preserve">| </v>
      </c>
      <c r="AP23" s="37" t="str">
        <f t="shared" si="15"/>
        <v xml:space="preserve">
| [Link](https://www.uprezzatovirle.it/santuario-valverde) | [Link](http://www.therealpresence.org/eucharst/misc/BVM/13_VALVERDE_60x96.pdf) | [Link](https://www.miraclehunter.com/marian_apparitions/approved_apparitions/apparitions_1700-1799.html) (Search for "Valverde") | |</v>
      </c>
      <c r="AQ23" s="48" t="str">
        <f>VLOOKUP(C23,'(Ref) Countries'!A:B,2,)&amp;"-"&amp;LOWER(SUBSTITUTE(H23," ","-"))&amp;".md"</f>
        <v>it-sanctuary-of-the-our-lady-of-valverde.md</v>
      </c>
      <c r="AR23" s="35" t="str">
        <f t="shared" si="16"/>
        <v xml:space="preserve">
| [Valverde Di Rezzato](/places/it-sanctuary-of-the-our-lady-of-valverde) | [Italy](/tags/italy) | 1399, 1711 | [Link](/places/it-sanctuary-of-the-our-lady-of-valverde) | [Link](https://www.uprezzatovirle.it/santuario-valverde) | [Link](http://www.therealpresence.org/eucharst/misc/BVM/13_VALVERDE_60x96.pdf) | [Link](https://www.miraclehunter.com/marian_apparitions/approved_apparitions/apparitions_1700-1799.html) (Search for "Valverde") | | |</v>
      </c>
      <c r="AS23" s="48" t="str">
        <f t="shared" si="6"/>
        <v xml:space="preserve">---
title: "Sanctuary of the Our Lady of Valverde"
location: {lat: 45.5236738652071, lng: 10.3142692079531}
tags:
- marian-sites
- churches
- italy
---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
#### Source Material
| Official Site | The Real Presence | Miracle Hunter | MaryPages |
| --- | --- | --- | --- |
| [Link](https://www.uprezzatovirle.it/santuario-valverde) | [Link](http://www.therealpresence.org/eucharst/misc/BVM/13_VALVERDE_60x96.pdf) | [Link](https://www.miraclehunter.com/marian_apparitions/approved_apparitions/apparitions_1700-1799.html) (Search for "Valverde") | |
</v>
      </c>
      <c r="AT23" s="15" t="s">
        <v>336</v>
      </c>
    </row>
    <row r="24" spans="1:46" ht="127.5" x14ac:dyDescent="0.25">
      <c r="A24" s="27" t="s">
        <v>1330</v>
      </c>
      <c r="B24" s="31" t="s">
        <v>1431</v>
      </c>
      <c r="C24" s="65" t="s">
        <v>652</v>
      </c>
      <c r="D24" s="64" t="s">
        <v>1432</v>
      </c>
      <c r="E24" s="32">
        <v>49.465129655108299</v>
      </c>
      <c r="F24" s="32">
        <v>19.982843057005098</v>
      </c>
      <c r="G24" s="66" t="s">
        <v>1433</v>
      </c>
      <c r="H24" s="33" t="s">
        <v>1433</v>
      </c>
      <c r="I24" s="33" t="s">
        <v>1758</v>
      </c>
      <c r="J24" s="66" t="s">
        <v>1434</v>
      </c>
      <c r="K24" s="32" t="s">
        <v>1435</v>
      </c>
      <c r="L24" s="32" t="s">
        <v>336</v>
      </c>
      <c r="M24" s="32" t="s">
        <v>336</v>
      </c>
      <c r="N24" s="32" t="s">
        <v>336</v>
      </c>
      <c r="O24" s="32" t="s">
        <v>336</v>
      </c>
      <c r="P24" s="32" t="s">
        <v>336</v>
      </c>
      <c r="Q24" s="32" t="s">
        <v>336</v>
      </c>
      <c r="R24" s="32" t="s">
        <v>336</v>
      </c>
      <c r="S24" s="65" t="s">
        <v>1436</v>
      </c>
      <c r="T24" s="65"/>
      <c r="U24" s="65"/>
      <c r="V24" s="66" t="s">
        <v>1737</v>
      </c>
      <c r="W24" s="38" t="b">
        <f t="shared" si="7"/>
        <v>1</v>
      </c>
      <c r="X24" s="35" t="str">
        <f t="shared" si="0"/>
        <v>title: "Sanctuary of Our Lady Queen of Podhale"</v>
      </c>
      <c r="Y24" s="35" t="str">
        <f t="shared" si="1"/>
        <v>location: {lat: 49.4651296551083, lng: 19.9828430570051}</v>
      </c>
      <c r="Z24" s="35" t="str">
        <f>IF(LEN(S24)&gt;1,VLOOKUP(S24,Sheet3!$A:$B,2,),"")</f>
        <v>Pope St. John Paul II</v>
      </c>
      <c r="AA24" s="35" t="str">
        <f>IF(LEN(T24)&gt;1,VLOOKUP(T24,Sheet3!$A:$B,2,),"")</f>
        <v/>
      </c>
      <c r="AB24" s="35" t="str">
        <f>IF(LEN(U24)&gt;1,VLOOKUP(U24,Sheet3!$A:$B,2,),"")</f>
        <v/>
      </c>
      <c r="AC24" s="37" t="str">
        <f t="shared" si="8"/>
        <v>[Pope St. John Paul II](/tags/john-paul-ii)</v>
      </c>
      <c r="AD24" s="37" t="str">
        <f t="shared" si="9"/>
        <v/>
      </c>
      <c r="AE24" s="37" t="str">
        <f t="shared" si="10"/>
        <v/>
      </c>
      <c r="AF24" s="37" t="str">
        <f>"- marian-sites
- churches
- "&amp;VLOOKUP(C24,'(Ref) Countries'!A:C,3,)&amp;IF(LEN(S24)&gt;1,"
- "&amp;S24,"")&amp;IF(LEN(T24)&gt;1,"
- "&amp;T24,"")&amp;IF(LEN(U24)&gt;1,"
- "&amp;U24,"")</f>
        <v>- marian-sites
- churches
- poland
- john-paul-ii</v>
      </c>
      <c r="AG24" s="37" t="str">
        <f t="shared" si="11"/>
        <v xml:space="preserve">| [Pope St. John Paul II](/tags/john-paul-ii) </v>
      </c>
      <c r="AH24" s="37" t="str">
        <f t="shared" si="12"/>
        <v xml:space="preserve">| [Ludzmierz](/places/pl-sanctuary-of-our-lady-queen-of-podhale) </v>
      </c>
      <c r="AI24" s="37" t="str">
        <f>"| "&amp;IF(W24,GetTagPage(C24,VLOOKUP(C24,'(Ref) Countries'!A:C,3,)),C24)&amp; " "</f>
        <v xml:space="preserve">| [Poland](/tags/poland) </v>
      </c>
      <c r="AJ24" s="37" t="str">
        <f t="shared" si="13"/>
        <v xml:space="preserve">| c. 1400 </v>
      </c>
      <c r="AK24" s="37" t="str">
        <f t="shared" si="14"/>
        <v xml:space="preserve">| [Link](/places/pl-sanctuary-of-our-lady-queen-of-podhale) </v>
      </c>
      <c r="AL24" s="35" t="str">
        <f t="shared" si="2"/>
        <v xml:space="preserve">| [Link](ps://www.mbludzm.pl/) </v>
      </c>
      <c r="AM24" s="37" t="str">
        <f t="shared" si="3"/>
        <v xml:space="preserve">| </v>
      </c>
      <c r="AN24" s="37" t="str">
        <f t="shared" si="4"/>
        <v xml:space="preserve">| </v>
      </c>
      <c r="AO24" s="37" t="str">
        <f t="shared" si="5"/>
        <v xml:space="preserve">| </v>
      </c>
      <c r="AP24" s="37" t="str">
        <f t="shared" ref="AP24" si="18">"
"&amp;AL24&amp;AM24&amp;AN24&amp;AO24&amp;"|"</f>
        <v xml:space="preserve">
| [Link](ps://www.mbludzm.pl/) | | | |</v>
      </c>
      <c r="AQ24" s="48" t="str">
        <f>VLOOKUP(C24,'(Ref) Countries'!A:B,2,)&amp;"-"&amp;LOWER(SUBSTITUTE(H24," ","-"))&amp;".md"</f>
        <v>pl-sanctuary-of-our-lady-queen-of-podhale.md</v>
      </c>
      <c r="AR24" s="35" t="str">
        <f t="shared" si="16"/>
        <v xml:space="preserve">
| [Ludzmierz](/places/pl-sanctuary-of-our-lady-queen-of-podhale) | [Poland](/tags/poland) | c. 1400 | [Link](/places/pl-sanctuary-of-our-lady-queen-of-podhale) | [Link](ps://www.mbludzm.pl/) | | | | [Pope St. John Paul II](/tags/john-paul-ii) |</v>
      </c>
      <c r="AS24" s="48" t="str">
        <f t="shared" si="6"/>
        <v>---
title: "Sanctuary of Our Lady Queen of Podhale"
location: {lat: 49.4651296551083, lng: 19.9828430570051}
tags:
- marian-sites
- churches
- poland
- john-paul-ii
---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
#### Source Material
| Official Site | The Real Presence | Miracle Hunter | MaryPages |
| --- | --- | --- | --- |
| [Link](ps://www.mbludzm.pl/) | | | |
#### Author's Note
Some good information on [Catholic Shrine Basilica](https://catholicshrinebasilica.com/sanctuary-of-our-lady-of-ludzmierz-poland/).
- JMM</v>
      </c>
      <c r="AT24" s="15" t="s">
        <v>336</v>
      </c>
    </row>
    <row r="25" spans="1:46" x14ac:dyDescent="0.25">
      <c r="A25" s="27"/>
      <c r="B25" s="31" t="s">
        <v>1207</v>
      </c>
      <c r="C25" s="32" t="s">
        <v>11</v>
      </c>
      <c r="D25" s="61">
        <v>1420</v>
      </c>
      <c r="E25" s="32"/>
      <c r="F25" s="32"/>
      <c r="G25" s="33"/>
      <c r="H25" s="33"/>
      <c r="I25" s="33" t="s">
        <v>1758</v>
      </c>
      <c r="J25" s="33"/>
      <c r="K25" s="32" t="s">
        <v>336</v>
      </c>
      <c r="L25" s="32" t="s">
        <v>336</v>
      </c>
      <c r="M25" s="32" t="s">
        <v>200</v>
      </c>
      <c r="N25" s="32" t="s">
        <v>336</v>
      </c>
      <c r="O25" s="32" t="s">
        <v>336</v>
      </c>
      <c r="P25" s="32" t="s">
        <v>336</v>
      </c>
      <c r="Q25" s="32" t="s">
        <v>336</v>
      </c>
      <c r="R25" s="32" t="s">
        <v>336</v>
      </c>
      <c r="S25" s="32" t="s">
        <v>336</v>
      </c>
      <c r="T25" s="32"/>
      <c r="U25" s="32"/>
      <c r="V25" s="33"/>
      <c r="W25" s="38" t="b">
        <f t="shared" si="7"/>
        <v>0</v>
      </c>
      <c r="X25" s="35" t="str">
        <f t="shared" si="0"/>
        <v>title: ""</v>
      </c>
      <c r="Y25" s="35" t="str">
        <f t="shared" si="1"/>
        <v>location: {lat: , lng: }</v>
      </c>
      <c r="Z25" s="35" t="str">
        <f>IF(LEN(S25)&gt;1,VLOOKUP(S25,Sheet3!$A:$B,2,),"")</f>
        <v/>
      </c>
      <c r="AA25" s="35" t="str">
        <f>IF(LEN(T25)&gt;1,VLOOKUP(T25,Sheet3!$A:$B,2,),"")</f>
        <v/>
      </c>
      <c r="AB25" s="35" t="str">
        <f>IF(LEN(U25)&gt;1,VLOOKUP(U25,Sheet3!$A:$B,2,),"")</f>
        <v/>
      </c>
      <c r="AC25" s="37" t="str">
        <f t="shared" si="8"/>
        <v/>
      </c>
      <c r="AD25" s="37" t="str">
        <f t="shared" si="9"/>
        <v/>
      </c>
      <c r="AE25" s="37" t="str">
        <f t="shared" si="10"/>
        <v/>
      </c>
      <c r="AF25" s="37" t="str">
        <f>"- marian-sites
- churches
- "&amp;VLOOKUP(C25,'(Ref) Countries'!A:C,3,)&amp;IF(LEN(S25)&gt;1,"
- "&amp;S25,"")&amp;IF(LEN(T25)&gt;1,"
- "&amp;T25,"")&amp;IF(LEN(U25)&gt;1,"
- "&amp;U25,"")</f>
        <v>- marian-sites
- churches
- italy</v>
      </c>
      <c r="AG25" s="37" t="str">
        <f t="shared" si="11"/>
        <v xml:space="preserve">| </v>
      </c>
      <c r="AH25" s="37" t="str">
        <f t="shared" si="12"/>
        <v xml:space="preserve">| Castel Godego </v>
      </c>
      <c r="AI25" s="37" t="str">
        <f>"| "&amp;IF(W25,GetTagPage(C25,VLOOKUP(C25,'(Ref) Countries'!A:C,3,)),C25)&amp; " "</f>
        <v xml:space="preserve">| Italy </v>
      </c>
      <c r="AJ25" s="37" t="str">
        <f t="shared" si="13"/>
        <v xml:space="preserve">| 1420 </v>
      </c>
      <c r="AK25" s="37" t="str">
        <f t="shared" si="14"/>
        <v xml:space="preserve">| </v>
      </c>
      <c r="AL25" s="35" t="str">
        <f t="shared" si="2"/>
        <v xml:space="preserve">| </v>
      </c>
      <c r="AM25" s="37" t="str">
        <f t="shared" si="3"/>
        <v xml:space="preserve">| [Link](http://www.therealpresence.org/eucharst/misc/BVM/43_CASTEL_GODEGO_60x96.pdf) </v>
      </c>
      <c r="AN25" s="37" t="str">
        <f t="shared" si="4"/>
        <v xml:space="preserve">| </v>
      </c>
      <c r="AO25" s="37" t="str">
        <f t="shared" si="5"/>
        <v xml:space="preserve">| </v>
      </c>
      <c r="AP25" s="37" t="str">
        <f t="shared" si="15"/>
        <v xml:space="preserve">
| | [Link](http://www.therealpresence.org/eucharst/misc/BVM/43_CASTEL_GODEGO_60x96.pdf) | | |</v>
      </c>
      <c r="AQ25" s="48" t="str">
        <f>VLOOKUP(C25,'(Ref) Countries'!A:B,2,)&amp;"-"&amp;LOWER(SUBSTITUTE(H25," ","-"))&amp;".md"</f>
        <v>it-.md</v>
      </c>
      <c r="AR25" s="35" t="str">
        <f t="shared" si="16"/>
        <v xml:space="preserve">
| Castel Godego | Italy | 1420 | | | [Link](http://www.therealpresence.org/eucharst/misc/BVM/43_CASTEL_GODEGO_60x96.pdf) | | | |</v>
      </c>
      <c r="AS25" s="48" t="str">
        <f t="shared" si="6"/>
        <v/>
      </c>
      <c r="AT25" s="15" t="s">
        <v>336</v>
      </c>
    </row>
    <row r="26" spans="1:46" x14ac:dyDescent="0.25">
      <c r="A26" s="27"/>
      <c r="B26" s="31" t="s">
        <v>1208</v>
      </c>
      <c r="C26" s="32" t="s">
        <v>553</v>
      </c>
      <c r="D26" s="61">
        <v>1420</v>
      </c>
      <c r="E26" s="32"/>
      <c r="F26" s="32"/>
      <c r="G26" s="33"/>
      <c r="H26" s="33"/>
      <c r="I26" s="33" t="s">
        <v>1758</v>
      </c>
      <c r="J26" s="33"/>
      <c r="K26" s="32" t="s">
        <v>336</v>
      </c>
      <c r="L26" s="32" t="s">
        <v>336</v>
      </c>
      <c r="M26" s="32" t="s">
        <v>201</v>
      </c>
      <c r="N26" s="32" t="s">
        <v>336</v>
      </c>
      <c r="O26" s="32" t="s">
        <v>336</v>
      </c>
      <c r="P26" s="32" t="s">
        <v>336</v>
      </c>
      <c r="Q26" s="32" t="s">
        <v>336</v>
      </c>
      <c r="R26" s="32" t="s">
        <v>336</v>
      </c>
      <c r="S26" s="32" t="s">
        <v>336</v>
      </c>
      <c r="T26" s="32"/>
      <c r="U26" s="32"/>
      <c r="V26" s="33"/>
      <c r="W26" s="38" t="b">
        <f t="shared" si="7"/>
        <v>0</v>
      </c>
      <c r="X26" s="35" t="str">
        <f t="shared" si="0"/>
        <v>title: ""</v>
      </c>
      <c r="Y26" s="35" t="str">
        <f t="shared" si="1"/>
        <v>location: {lat: , lng: }</v>
      </c>
      <c r="Z26" s="35" t="str">
        <f>IF(LEN(S26)&gt;1,VLOOKUP(S26,Sheet3!$A:$B,2,),"")</f>
        <v/>
      </c>
      <c r="AA26" s="35" t="str">
        <f>IF(LEN(T26)&gt;1,VLOOKUP(T26,Sheet3!$A:$B,2,),"")</f>
        <v/>
      </c>
      <c r="AB26" s="35" t="str">
        <f>IF(LEN(U26)&gt;1,VLOOKUP(U26,Sheet3!$A:$B,2,),"")</f>
        <v/>
      </c>
      <c r="AC26" s="37" t="str">
        <f t="shared" si="8"/>
        <v/>
      </c>
      <c r="AD26" s="37" t="str">
        <f t="shared" si="9"/>
        <v/>
      </c>
      <c r="AE26" s="37" t="str">
        <f t="shared" si="10"/>
        <v/>
      </c>
      <c r="AF26" s="37" t="str">
        <f>"- marian-sites
- churches
- "&amp;VLOOKUP(C26,'(Ref) Countries'!A:C,3,)&amp;IF(LEN(S26)&gt;1,"
- "&amp;S26,"")&amp;IF(LEN(T26)&gt;1,"
- "&amp;T26,"")&amp;IF(LEN(U26)&gt;1,"
- "&amp;U26,"")</f>
        <v>- marian-sites
- churches
- spain</v>
      </c>
      <c r="AG26" s="37" t="str">
        <f t="shared" si="11"/>
        <v xml:space="preserve">| </v>
      </c>
      <c r="AH26" s="37" t="str">
        <f t="shared" si="12"/>
        <v xml:space="preserve">| Cordoba </v>
      </c>
      <c r="AI26" s="37" t="str">
        <f>"| "&amp;IF(W26,GetTagPage(C26,VLOOKUP(C26,'(Ref) Countries'!A:C,3,)),C26)&amp; " "</f>
        <v xml:space="preserve">| Spain </v>
      </c>
      <c r="AJ26" s="37" t="str">
        <f t="shared" si="13"/>
        <v xml:space="preserve">| 1420 </v>
      </c>
      <c r="AK26" s="37" t="str">
        <f t="shared" si="14"/>
        <v xml:space="preserve">| </v>
      </c>
      <c r="AL26" s="35" t="str">
        <f t="shared" si="2"/>
        <v xml:space="preserve">| </v>
      </c>
      <c r="AM26" s="37" t="str">
        <f t="shared" si="3"/>
        <v xml:space="preserve">| [Link](http://www.therealpresence.org/eucharst/misc/BVM/100_CORDOBA_60x96.pdf) </v>
      </c>
      <c r="AN26" s="37" t="str">
        <f t="shared" si="4"/>
        <v xml:space="preserve">| </v>
      </c>
      <c r="AO26" s="37" t="str">
        <f t="shared" si="5"/>
        <v xml:space="preserve">| </v>
      </c>
      <c r="AP26" s="37" t="str">
        <f t="shared" si="15"/>
        <v xml:space="preserve">
| | [Link](http://www.therealpresence.org/eucharst/misc/BVM/100_CORDOBA_60x96.pdf) | | |</v>
      </c>
      <c r="AQ26" s="48" t="str">
        <f>VLOOKUP(C26,'(Ref) Countries'!A:B,2,)&amp;"-"&amp;LOWER(SUBSTITUTE(H26," ","-"))&amp;".md"</f>
        <v>es-.md</v>
      </c>
      <c r="AR26" s="35" t="str">
        <f t="shared" si="16"/>
        <v xml:space="preserve">
| Cordoba | Spain | 1420 | | | [Link](http://www.therealpresence.org/eucharst/misc/BVM/100_CORDOBA_60x96.pdf) | | | |</v>
      </c>
      <c r="AS26" s="48" t="str">
        <f t="shared" si="6"/>
        <v/>
      </c>
      <c r="AT26" s="15" t="s">
        <v>336</v>
      </c>
    </row>
    <row r="27" spans="1:46" x14ac:dyDescent="0.25">
      <c r="A27" s="27"/>
      <c r="B27" s="31" t="s">
        <v>1209</v>
      </c>
      <c r="C27" s="32" t="s">
        <v>11</v>
      </c>
      <c r="D27" s="61" t="s">
        <v>1089</v>
      </c>
      <c r="E27" s="32"/>
      <c r="F27" s="32"/>
      <c r="G27" s="33"/>
      <c r="H27" s="33"/>
      <c r="I27" s="33" t="s">
        <v>1758</v>
      </c>
      <c r="J27" s="33"/>
      <c r="K27" s="32" t="s">
        <v>336</v>
      </c>
      <c r="L27" s="32" t="s">
        <v>336</v>
      </c>
      <c r="M27" s="32" t="s">
        <v>202</v>
      </c>
      <c r="N27" s="32" t="s">
        <v>336</v>
      </c>
      <c r="O27" s="32" t="s">
        <v>336</v>
      </c>
      <c r="P27" s="32" t="s">
        <v>336</v>
      </c>
      <c r="Q27" s="32" t="s">
        <v>336</v>
      </c>
      <c r="R27" s="32" t="s">
        <v>336</v>
      </c>
      <c r="S27" s="32" t="s">
        <v>336</v>
      </c>
      <c r="T27" s="32"/>
      <c r="U27" s="32"/>
      <c r="V27" s="33"/>
      <c r="W27" s="38" t="b">
        <f t="shared" si="7"/>
        <v>0</v>
      </c>
      <c r="X27" s="35" t="str">
        <f t="shared" si="0"/>
        <v>title: ""</v>
      </c>
      <c r="Y27" s="35" t="str">
        <f t="shared" si="1"/>
        <v>location: {lat: , lng: }</v>
      </c>
      <c r="Z27" s="35" t="str">
        <f>IF(LEN(S27)&gt;1,VLOOKUP(S27,Sheet3!$A:$B,2,),"")</f>
        <v/>
      </c>
      <c r="AA27" s="35" t="str">
        <f>IF(LEN(T27)&gt;1,VLOOKUP(T27,Sheet3!$A:$B,2,),"")</f>
        <v/>
      </c>
      <c r="AB27" s="35" t="str">
        <f>IF(LEN(U27)&gt;1,VLOOKUP(U27,Sheet3!$A:$B,2,),"")</f>
        <v/>
      </c>
      <c r="AC27" s="37" t="str">
        <f t="shared" si="8"/>
        <v/>
      </c>
      <c r="AD27" s="37" t="str">
        <f t="shared" si="9"/>
        <v/>
      </c>
      <c r="AE27" s="37" t="str">
        <f t="shared" si="10"/>
        <v/>
      </c>
      <c r="AF27" s="37" t="str">
        <f>"- marian-sites
- churches
- "&amp;VLOOKUP(C27,'(Ref) Countries'!A:C,3,)&amp;IF(LEN(S27)&gt;1,"
- "&amp;S27,"")&amp;IF(LEN(T27)&gt;1,"
- "&amp;T27,"")&amp;IF(LEN(U27)&gt;1,"
- "&amp;U27,"")</f>
        <v>- marian-sites
- churches
- italy</v>
      </c>
      <c r="AG27" s="37" t="str">
        <f t="shared" si="11"/>
        <v xml:space="preserve">| </v>
      </c>
      <c r="AH27" s="37" t="str">
        <f t="shared" si="12"/>
        <v xml:space="preserve">| Monte Berico </v>
      </c>
      <c r="AI27" s="37" t="str">
        <f>"| "&amp;IF(W27,GetTagPage(C27,VLOOKUP(C27,'(Ref) Countries'!A:C,3,)),C27)&amp; " "</f>
        <v xml:space="preserve">| Italy </v>
      </c>
      <c r="AJ27" s="37" t="str">
        <f t="shared" si="13"/>
        <v xml:space="preserve">| 1426-1428 </v>
      </c>
      <c r="AK27" s="37" t="str">
        <f t="shared" si="14"/>
        <v xml:space="preserve">| </v>
      </c>
      <c r="AL27" s="35" t="str">
        <f t="shared" si="2"/>
        <v xml:space="preserve">| </v>
      </c>
      <c r="AM27" s="37" t="str">
        <f t="shared" si="3"/>
        <v xml:space="preserve">| [Link](http://www.therealpresence.org/eucharst/misc/BVM/58_MONTE_BERICO_60x96.pdf) </v>
      </c>
      <c r="AN27" s="37" t="str">
        <f t="shared" si="4"/>
        <v xml:space="preserve">| </v>
      </c>
      <c r="AO27" s="37" t="str">
        <f t="shared" si="5"/>
        <v xml:space="preserve">| </v>
      </c>
      <c r="AP27" s="37" t="str">
        <f t="shared" si="15"/>
        <v xml:space="preserve">
| | [Link](http://www.therealpresence.org/eucharst/misc/BVM/58_MONTE_BERICO_60x96.pdf) | | |</v>
      </c>
      <c r="AQ27" s="48" t="str">
        <f>VLOOKUP(C27,'(Ref) Countries'!A:B,2,)&amp;"-"&amp;LOWER(SUBSTITUTE(H27," ","-"))&amp;".md"</f>
        <v>it-.md</v>
      </c>
      <c r="AR27" s="35" t="str">
        <f t="shared" si="16"/>
        <v xml:space="preserve">
| Monte Berico | Italy | 1426-1428 | | | [Link](http://www.therealpresence.org/eucharst/misc/BVM/58_MONTE_BERICO_60x96.pdf) | | | |</v>
      </c>
      <c r="AS27" s="48" t="str">
        <f t="shared" si="6"/>
        <v/>
      </c>
      <c r="AT27" s="15" t="s">
        <v>336</v>
      </c>
    </row>
    <row r="28" spans="1:46" x14ac:dyDescent="0.25">
      <c r="A28" s="27"/>
      <c r="B28" s="31" t="s">
        <v>1210</v>
      </c>
      <c r="C28" s="32" t="s">
        <v>11</v>
      </c>
      <c r="D28" s="61">
        <v>1432</v>
      </c>
      <c r="E28" s="32"/>
      <c r="F28" s="32"/>
      <c r="G28" s="33"/>
      <c r="H28" s="33"/>
      <c r="I28" s="33" t="s">
        <v>1758</v>
      </c>
      <c r="J28" s="33"/>
      <c r="K28" s="32" t="s">
        <v>336</v>
      </c>
      <c r="L28" s="32" t="s">
        <v>336</v>
      </c>
      <c r="M28" s="32" t="s">
        <v>203</v>
      </c>
      <c r="N28" s="32" t="s">
        <v>336</v>
      </c>
      <c r="O28" s="32" t="s">
        <v>336</v>
      </c>
      <c r="P28" s="32" t="s">
        <v>336</v>
      </c>
      <c r="Q28" s="32" t="s">
        <v>336</v>
      </c>
      <c r="R28" s="32" t="s">
        <v>336</v>
      </c>
      <c r="S28" s="32" t="s">
        <v>336</v>
      </c>
      <c r="T28" s="32"/>
      <c r="U28" s="32"/>
      <c r="V28" s="33"/>
      <c r="W28" s="38" t="b">
        <f t="shared" si="7"/>
        <v>0</v>
      </c>
      <c r="X28" s="35" t="str">
        <f t="shared" si="0"/>
        <v>title: ""</v>
      </c>
      <c r="Y28" s="35" t="str">
        <f t="shared" si="1"/>
        <v>location: {lat: , lng: }</v>
      </c>
      <c r="Z28" s="35" t="str">
        <f>IF(LEN(S28)&gt;1,VLOOKUP(S28,Sheet3!$A:$B,2,),"")</f>
        <v/>
      </c>
      <c r="AA28" s="35" t="str">
        <f>IF(LEN(T28)&gt;1,VLOOKUP(T28,Sheet3!$A:$B,2,),"")</f>
        <v/>
      </c>
      <c r="AB28" s="35" t="str">
        <f>IF(LEN(U28)&gt;1,VLOOKUP(U28,Sheet3!$A:$B,2,),"")</f>
        <v/>
      </c>
      <c r="AC28" s="37" t="str">
        <f t="shared" si="8"/>
        <v/>
      </c>
      <c r="AD28" s="37" t="str">
        <f t="shared" si="9"/>
        <v/>
      </c>
      <c r="AE28" s="37" t="str">
        <f t="shared" si="10"/>
        <v/>
      </c>
      <c r="AF28" s="37" t="str">
        <f>"- marian-sites
- churches
- "&amp;VLOOKUP(C28,'(Ref) Countries'!A:C,3,)&amp;IF(LEN(S28)&gt;1,"
- "&amp;S28,"")&amp;IF(LEN(T28)&gt;1,"
- "&amp;T28,"")&amp;IF(LEN(U28)&gt;1,"
- "&amp;U28,"")</f>
        <v>- marian-sites
- churches
- italy</v>
      </c>
      <c r="AG28" s="37" t="str">
        <f t="shared" si="11"/>
        <v xml:space="preserve">| </v>
      </c>
      <c r="AH28" s="37" t="str">
        <f t="shared" si="12"/>
        <v xml:space="preserve">| Caravaggio </v>
      </c>
      <c r="AI28" s="37" t="str">
        <f>"| "&amp;IF(W28,GetTagPage(C28,VLOOKUP(C28,'(Ref) Countries'!A:C,3,)),C28)&amp; " "</f>
        <v xml:space="preserve">| Italy </v>
      </c>
      <c r="AJ28" s="37" t="str">
        <f t="shared" si="13"/>
        <v xml:space="preserve">| 1432 </v>
      </c>
      <c r="AK28" s="37" t="str">
        <f t="shared" si="14"/>
        <v xml:space="preserve">| </v>
      </c>
      <c r="AL28" s="35" t="str">
        <f t="shared" si="2"/>
        <v xml:space="preserve">| </v>
      </c>
      <c r="AM28" s="37" t="str">
        <f t="shared" si="3"/>
        <v xml:space="preserve">| [Link](http://www.therealpresence.org/eucharst/misc/BVM/15_CARAVAGGIO_60x96.pdf) </v>
      </c>
      <c r="AN28" s="37" t="str">
        <f t="shared" si="4"/>
        <v xml:space="preserve">| </v>
      </c>
      <c r="AO28" s="37" t="str">
        <f t="shared" si="5"/>
        <v xml:space="preserve">| </v>
      </c>
      <c r="AP28" s="37" t="str">
        <f t="shared" si="15"/>
        <v xml:space="preserve">
| | [Link](http://www.therealpresence.org/eucharst/misc/BVM/15_CARAVAGGIO_60x96.pdf) | | |</v>
      </c>
      <c r="AQ28" s="48" t="str">
        <f>VLOOKUP(C28,'(Ref) Countries'!A:B,2,)&amp;"-"&amp;LOWER(SUBSTITUTE(H28," ","-"))&amp;".md"</f>
        <v>it-.md</v>
      </c>
      <c r="AR28" s="35" t="str">
        <f t="shared" si="16"/>
        <v xml:space="preserve">
| Caravaggio | Italy | 1432 | | | [Link](http://www.therealpresence.org/eucharst/misc/BVM/15_CARAVAGGIO_60x96.pdf) | | | |</v>
      </c>
      <c r="AS28" s="48" t="str">
        <f t="shared" si="6"/>
        <v/>
      </c>
      <c r="AT28" s="15" t="s">
        <v>336</v>
      </c>
    </row>
    <row r="29" spans="1:46" x14ac:dyDescent="0.25">
      <c r="A29" s="27"/>
      <c r="B29" s="31" t="s">
        <v>1211</v>
      </c>
      <c r="C29" s="32" t="s">
        <v>11</v>
      </c>
      <c r="D29" s="61">
        <v>1440</v>
      </c>
      <c r="E29" s="32"/>
      <c r="F29" s="32"/>
      <c r="G29" s="33"/>
      <c r="H29" s="33"/>
      <c r="I29" s="33" t="s">
        <v>1758</v>
      </c>
      <c r="J29" s="33"/>
      <c r="K29" s="32" t="s">
        <v>336</v>
      </c>
      <c r="L29" s="32" t="s">
        <v>336</v>
      </c>
      <c r="M29" s="32" t="s">
        <v>204</v>
      </c>
      <c r="N29" s="32" t="s">
        <v>336</v>
      </c>
      <c r="O29" s="32" t="s">
        <v>336</v>
      </c>
      <c r="P29" s="32" t="s">
        <v>336</v>
      </c>
      <c r="Q29" s="32" t="s">
        <v>336</v>
      </c>
      <c r="R29" s="32" t="s">
        <v>336</v>
      </c>
      <c r="S29" s="32" t="s">
        <v>336</v>
      </c>
      <c r="T29" s="32"/>
      <c r="U29" s="32"/>
      <c r="V29" s="33"/>
      <c r="W29" s="38" t="b">
        <f t="shared" si="7"/>
        <v>0</v>
      </c>
      <c r="X29" s="35" t="str">
        <f t="shared" si="0"/>
        <v>title: ""</v>
      </c>
      <c r="Y29" s="35" t="str">
        <f t="shared" si="1"/>
        <v>location: {lat: , lng: }</v>
      </c>
      <c r="Z29" s="35" t="str">
        <f>IF(LEN(S29)&gt;1,VLOOKUP(S29,Sheet3!$A:$B,2,),"")</f>
        <v/>
      </c>
      <c r="AA29" s="35" t="str">
        <f>IF(LEN(T29)&gt;1,VLOOKUP(T29,Sheet3!$A:$B,2,),"")</f>
        <v/>
      </c>
      <c r="AB29" s="35" t="str">
        <f>IF(LEN(U29)&gt;1,VLOOKUP(U29,Sheet3!$A:$B,2,),"")</f>
        <v/>
      </c>
      <c r="AC29" s="37" t="str">
        <f t="shared" si="8"/>
        <v/>
      </c>
      <c r="AD29" s="37" t="str">
        <f t="shared" si="9"/>
        <v/>
      </c>
      <c r="AE29" s="37" t="str">
        <f t="shared" si="10"/>
        <v/>
      </c>
      <c r="AF29" s="37" t="str">
        <f>"- marian-sites
- churches
- "&amp;VLOOKUP(C29,'(Ref) Countries'!A:C,3,)&amp;IF(LEN(S29)&gt;1,"
- "&amp;S29,"")&amp;IF(LEN(T29)&gt;1,"
- "&amp;T29,"")&amp;IF(LEN(U29)&gt;1,"
- "&amp;U29,"")</f>
        <v>- marian-sites
- churches
- italy</v>
      </c>
      <c r="AG29" s="37" t="str">
        <f t="shared" si="11"/>
        <v xml:space="preserve">| </v>
      </c>
      <c r="AH29" s="37" t="str">
        <f t="shared" si="12"/>
        <v xml:space="preserve">| Desenzano Di Albino </v>
      </c>
      <c r="AI29" s="37" t="str">
        <f>"| "&amp;IF(W29,GetTagPage(C29,VLOOKUP(C29,'(Ref) Countries'!A:C,3,)),C29)&amp; " "</f>
        <v xml:space="preserve">| Italy </v>
      </c>
      <c r="AJ29" s="37" t="str">
        <f t="shared" si="13"/>
        <v xml:space="preserve">| 1440 </v>
      </c>
      <c r="AK29" s="37" t="str">
        <f t="shared" si="14"/>
        <v xml:space="preserve">| </v>
      </c>
      <c r="AL29" s="35" t="str">
        <f t="shared" si="2"/>
        <v xml:space="preserve">| </v>
      </c>
      <c r="AM29" s="37" t="str">
        <f t="shared" si="3"/>
        <v xml:space="preserve">| [Link](http://www.therealpresence.org/eucharst/misc/BVM/50_DESENZANO_DI_ALBINO_60x96.pd.pdf) </v>
      </c>
      <c r="AN29" s="37" t="str">
        <f t="shared" si="4"/>
        <v xml:space="preserve">| </v>
      </c>
      <c r="AO29" s="37" t="str">
        <f t="shared" si="5"/>
        <v xml:space="preserve">| </v>
      </c>
      <c r="AP29" s="37" t="str">
        <f t="shared" si="15"/>
        <v xml:space="preserve">
| | [Link](http://www.therealpresence.org/eucharst/misc/BVM/50_DESENZANO_DI_ALBINO_60x96.pd.pdf) | | |</v>
      </c>
      <c r="AQ29" s="48" t="str">
        <f>VLOOKUP(C29,'(Ref) Countries'!A:B,2,)&amp;"-"&amp;LOWER(SUBSTITUTE(H29," ","-"))&amp;".md"</f>
        <v>it-.md</v>
      </c>
      <c r="AR29" s="35" t="str">
        <f t="shared" si="16"/>
        <v xml:space="preserve">
| Desenzano Di Albino | Italy | 1440 | | | [Link](http://www.therealpresence.org/eucharst/misc/BVM/50_DESENZANO_DI_ALBINO_60x96.pd.pdf) | | | |</v>
      </c>
      <c r="AS29" s="48" t="str">
        <f t="shared" si="6"/>
        <v/>
      </c>
      <c r="AT29" s="15" t="s">
        <v>336</v>
      </c>
    </row>
    <row r="30" spans="1:46" x14ac:dyDescent="0.25">
      <c r="A30" s="27"/>
      <c r="B30" s="31" t="s">
        <v>1212</v>
      </c>
      <c r="C30" s="32" t="s">
        <v>553</v>
      </c>
      <c r="D30" s="61">
        <v>1443</v>
      </c>
      <c r="E30" s="32"/>
      <c r="F30" s="32"/>
      <c r="G30" s="33"/>
      <c r="H30" s="33"/>
      <c r="I30" s="33" t="s">
        <v>1758</v>
      </c>
      <c r="J30" s="33"/>
      <c r="K30" s="32" t="s">
        <v>336</v>
      </c>
      <c r="L30" s="32" t="s">
        <v>336</v>
      </c>
      <c r="M30" s="32" t="s">
        <v>205</v>
      </c>
      <c r="N30" s="32" t="s">
        <v>336</v>
      </c>
      <c r="O30" s="32" t="s">
        <v>336</v>
      </c>
      <c r="P30" s="32" t="s">
        <v>336</v>
      </c>
      <c r="Q30" s="32" t="s">
        <v>336</v>
      </c>
      <c r="R30" s="32" t="s">
        <v>336</v>
      </c>
      <c r="S30" s="32" t="s">
        <v>336</v>
      </c>
      <c r="T30" s="32"/>
      <c r="U30" s="32"/>
      <c r="V30" s="33"/>
      <c r="W30" s="38" t="b">
        <f t="shared" si="7"/>
        <v>0</v>
      </c>
      <c r="X30" s="35" t="str">
        <f t="shared" si="0"/>
        <v>title: ""</v>
      </c>
      <c r="Y30" s="35" t="str">
        <f t="shared" si="1"/>
        <v>location: {lat: , lng: }</v>
      </c>
      <c r="Z30" s="35" t="str">
        <f>IF(LEN(S30)&gt;1,VLOOKUP(S30,Sheet3!$A:$B,2,),"")</f>
        <v/>
      </c>
      <c r="AA30" s="35" t="str">
        <f>IF(LEN(T30)&gt;1,VLOOKUP(T30,Sheet3!$A:$B,2,),"")</f>
        <v/>
      </c>
      <c r="AB30" s="35" t="str">
        <f>IF(LEN(U30)&gt;1,VLOOKUP(U30,Sheet3!$A:$B,2,),"")</f>
        <v/>
      </c>
      <c r="AC30" s="37" t="str">
        <f t="shared" si="8"/>
        <v/>
      </c>
      <c r="AD30" s="37" t="str">
        <f t="shared" si="9"/>
        <v/>
      </c>
      <c r="AE30" s="37" t="str">
        <f t="shared" si="10"/>
        <v/>
      </c>
      <c r="AF30" s="37" t="str">
        <f>"- marian-sites
- churches
- "&amp;VLOOKUP(C30,'(Ref) Countries'!A:C,3,)&amp;IF(LEN(S30)&gt;1,"
- "&amp;S30,"")&amp;IF(LEN(T30)&gt;1,"
- "&amp;T30,"")&amp;IF(LEN(U30)&gt;1,"
- "&amp;U30,"")</f>
        <v>- marian-sites
- churches
- spain</v>
      </c>
      <c r="AG30" s="37" t="str">
        <f t="shared" si="11"/>
        <v xml:space="preserve">| </v>
      </c>
      <c r="AH30" s="37" t="str">
        <f t="shared" si="12"/>
        <v xml:space="preserve">| Fuerteventura </v>
      </c>
      <c r="AI30" s="37" t="str">
        <f>"| "&amp;IF(W30,GetTagPage(C30,VLOOKUP(C30,'(Ref) Countries'!A:C,3,)),C30)&amp; " "</f>
        <v xml:space="preserve">| Spain </v>
      </c>
      <c r="AJ30" s="37" t="str">
        <f t="shared" si="13"/>
        <v xml:space="preserve">| 1443 </v>
      </c>
      <c r="AK30" s="37" t="str">
        <f t="shared" si="14"/>
        <v xml:space="preserve">| </v>
      </c>
      <c r="AL30" s="35" t="str">
        <f t="shared" si="2"/>
        <v xml:space="preserve">| </v>
      </c>
      <c r="AM30" s="37" t="str">
        <f t="shared" si="3"/>
        <v xml:space="preserve">| [Link](http://www.therealpresence.org/eucharst/misc/BVM/105_FUERTEVENTURA_60x96.pdf) </v>
      </c>
      <c r="AN30" s="37" t="str">
        <f t="shared" si="4"/>
        <v xml:space="preserve">| </v>
      </c>
      <c r="AO30" s="37" t="str">
        <f t="shared" si="5"/>
        <v xml:space="preserve">| </v>
      </c>
      <c r="AP30" s="37" t="str">
        <f t="shared" si="15"/>
        <v xml:space="preserve">
| | [Link](http://www.therealpresence.org/eucharst/misc/BVM/105_FUERTEVENTURA_60x96.pdf) | | |</v>
      </c>
      <c r="AQ30" s="48" t="str">
        <f>VLOOKUP(C30,'(Ref) Countries'!A:B,2,)&amp;"-"&amp;LOWER(SUBSTITUTE(H30," ","-"))&amp;".md"</f>
        <v>es-.md</v>
      </c>
      <c r="AR30" s="35" t="str">
        <f t="shared" si="16"/>
        <v xml:space="preserve">
| Fuerteventura | Spain | 1443 | | | [Link](http://www.therealpresence.org/eucharst/misc/BVM/105_FUERTEVENTURA_60x96.pdf) | | | |</v>
      </c>
      <c r="AS30" s="48" t="str">
        <f t="shared" si="6"/>
        <v/>
      </c>
      <c r="AT30" s="15" t="s">
        <v>336</v>
      </c>
    </row>
    <row r="31" spans="1:46" x14ac:dyDescent="0.25">
      <c r="A31" s="27"/>
      <c r="B31" s="31" t="s">
        <v>1323</v>
      </c>
      <c r="C31" s="32" t="s">
        <v>11</v>
      </c>
      <c r="D31" s="61" t="s">
        <v>1322</v>
      </c>
      <c r="E31" s="32"/>
      <c r="F31" s="32"/>
      <c r="G31" s="33"/>
      <c r="H31" s="33"/>
      <c r="I31" s="33" t="s">
        <v>1758</v>
      </c>
      <c r="J31" s="33"/>
      <c r="K31" s="32" t="s">
        <v>336</v>
      </c>
      <c r="L31" s="32" t="s">
        <v>336</v>
      </c>
      <c r="M31" s="32" t="s">
        <v>206</v>
      </c>
      <c r="N31" s="32" t="s">
        <v>336</v>
      </c>
      <c r="O31" s="32" t="s">
        <v>336</v>
      </c>
      <c r="P31" s="32" t="s">
        <v>336</v>
      </c>
      <c r="Q31" s="32" t="s">
        <v>336</v>
      </c>
      <c r="R31" s="32" t="s">
        <v>336</v>
      </c>
      <c r="S31" s="32" t="s">
        <v>336</v>
      </c>
      <c r="T31" s="32"/>
      <c r="U31" s="32"/>
      <c r="V31" s="33"/>
      <c r="W31" s="38" t="b">
        <f t="shared" si="7"/>
        <v>0</v>
      </c>
      <c r="X31" s="35" t="str">
        <f t="shared" si="0"/>
        <v>title: ""</v>
      </c>
      <c r="Y31" s="35" t="str">
        <f t="shared" si="1"/>
        <v>location: {lat: , lng: }</v>
      </c>
      <c r="Z31" s="35" t="str">
        <f>IF(LEN(S31)&gt;1,VLOOKUP(S31,Sheet3!$A:$B,2,),"")</f>
        <v/>
      </c>
      <c r="AA31" s="35" t="str">
        <f>IF(LEN(T31)&gt;1,VLOOKUP(T31,Sheet3!$A:$B,2,),"")</f>
        <v/>
      </c>
      <c r="AB31" s="35" t="str">
        <f>IF(LEN(U31)&gt;1,VLOOKUP(U31,Sheet3!$A:$B,2,),"")</f>
        <v/>
      </c>
      <c r="AC31" s="37" t="str">
        <f t="shared" si="8"/>
        <v/>
      </c>
      <c r="AD31" s="37" t="str">
        <f t="shared" si="9"/>
        <v/>
      </c>
      <c r="AE31" s="37" t="str">
        <f t="shared" si="10"/>
        <v/>
      </c>
      <c r="AF31" s="37" t="str">
        <f>"- marian-sites
- churches
- "&amp;VLOOKUP(C31,'(Ref) Countries'!A:C,3,)&amp;IF(LEN(S31)&gt;1,"
- "&amp;S31,"")&amp;IF(LEN(T31)&gt;1,"
- "&amp;T31,"")&amp;IF(LEN(U31)&gt;1,"
- "&amp;U31,"")</f>
        <v>- marian-sites
- churches
- italy</v>
      </c>
      <c r="AG31" s="37" t="str">
        <f t="shared" si="11"/>
        <v xml:space="preserve">| </v>
      </c>
      <c r="AH31" s="37" t="str">
        <f t="shared" si="12"/>
        <v xml:space="preserve">| Sant'Anastasia </v>
      </c>
      <c r="AI31" s="37" t="str">
        <f>"| "&amp;IF(W31,GetTagPage(C31,VLOOKUP(C31,'(Ref) Countries'!A:C,3,)),C31)&amp; " "</f>
        <v xml:space="preserve">| Italy </v>
      </c>
      <c r="AJ31" s="37" t="str">
        <f t="shared" si="13"/>
        <v xml:space="preserve">| 1450, 1589 </v>
      </c>
      <c r="AK31" s="37" t="str">
        <f t="shared" si="14"/>
        <v xml:space="preserve">| </v>
      </c>
      <c r="AL31" s="35" t="str">
        <f t="shared" si="2"/>
        <v xml:space="preserve">| </v>
      </c>
      <c r="AM31" s="37" t="str">
        <f t="shared" si="3"/>
        <v xml:space="preserve">| [Link](http://www.therealpresence.org/eucharst/misc/BVM/115_S_ANASTASIA_96x96.pdf) </v>
      </c>
      <c r="AN31" s="37" t="str">
        <f t="shared" si="4"/>
        <v xml:space="preserve">| </v>
      </c>
      <c r="AO31" s="37" t="str">
        <f t="shared" si="5"/>
        <v xml:space="preserve">| </v>
      </c>
      <c r="AP31" s="37" t="str">
        <f t="shared" si="15"/>
        <v xml:space="preserve">
| | [Link](http://www.therealpresence.org/eucharst/misc/BVM/115_S_ANASTASIA_96x96.pdf) | | |</v>
      </c>
      <c r="AQ31" s="48" t="str">
        <f>VLOOKUP(C31,'(Ref) Countries'!A:B,2,)&amp;"-"&amp;LOWER(SUBSTITUTE(H31," ","-"))&amp;".md"</f>
        <v>it-.md</v>
      </c>
      <c r="AR31" s="35" t="str">
        <f t="shared" si="16"/>
        <v xml:space="preserve">
| Sant'Anastasia | Italy | 1450, 1589 | | | [Link](http://www.therealpresence.org/eucharst/misc/BVM/115_S_ANASTASIA_96x96.pdf) | | | |</v>
      </c>
      <c r="AS31" s="48" t="str">
        <f t="shared" si="6"/>
        <v/>
      </c>
      <c r="AT31" s="15" t="s">
        <v>336</v>
      </c>
    </row>
    <row r="32" spans="1:46" x14ac:dyDescent="0.25">
      <c r="A32" s="27"/>
      <c r="B32" s="31" t="s">
        <v>1213</v>
      </c>
      <c r="C32" s="32" t="s">
        <v>11</v>
      </c>
      <c r="D32" s="61">
        <v>1453</v>
      </c>
      <c r="E32" s="32"/>
      <c r="F32" s="32"/>
      <c r="G32" s="33"/>
      <c r="H32" s="33"/>
      <c r="I32" s="33" t="s">
        <v>1758</v>
      </c>
      <c r="J32" s="33"/>
      <c r="K32" s="32" t="s">
        <v>336</v>
      </c>
      <c r="L32" s="32" t="s">
        <v>336</v>
      </c>
      <c r="M32" s="32" t="s">
        <v>207</v>
      </c>
      <c r="N32" s="32" t="s">
        <v>336</v>
      </c>
      <c r="O32" s="32" t="s">
        <v>336</v>
      </c>
      <c r="P32" s="32" t="s">
        <v>336</v>
      </c>
      <c r="Q32" s="32" t="s">
        <v>336</v>
      </c>
      <c r="R32" s="32" t="s">
        <v>336</v>
      </c>
      <c r="S32" s="32" t="s">
        <v>336</v>
      </c>
      <c r="T32" s="32"/>
      <c r="U32" s="32"/>
      <c r="V32" s="33"/>
      <c r="W32" s="38" t="b">
        <f t="shared" si="7"/>
        <v>0</v>
      </c>
      <c r="X32" s="35" t="str">
        <f t="shared" si="0"/>
        <v>title: ""</v>
      </c>
      <c r="Y32" s="35" t="str">
        <f t="shared" si="1"/>
        <v>location: {lat: , lng: }</v>
      </c>
      <c r="Z32" s="35" t="str">
        <f>IF(LEN(S32)&gt;1,VLOOKUP(S32,Sheet3!$A:$B,2,),"")</f>
        <v/>
      </c>
      <c r="AA32" s="35" t="str">
        <f>IF(LEN(T32)&gt;1,VLOOKUP(T32,Sheet3!$A:$B,2,),"")</f>
        <v/>
      </c>
      <c r="AB32" s="35" t="str">
        <f>IF(LEN(U32)&gt;1,VLOOKUP(U32,Sheet3!$A:$B,2,),"")</f>
        <v/>
      </c>
      <c r="AC32" s="37" t="str">
        <f t="shared" si="8"/>
        <v/>
      </c>
      <c r="AD32" s="37" t="str">
        <f t="shared" si="9"/>
        <v/>
      </c>
      <c r="AE32" s="37" t="str">
        <f t="shared" si="10"/>
        <v/>
      </c>
      <c r="AF32" s="37" t="str">
        <f>"- marian-sites
- churches
- "&amp;VLOOKUP(C32,'(Ref) Countries'!A:C,3,)&amp;IF(LEN(S32)&gt;1,"
- "&amp;S32,"")&amp;IF(LEN(T32)&gt;1,"
- "&amp;T32,"")&amp;IF(LEN(U32)&gt;1,"
- "&amp;U32,"")</f>
        <v>- marian-sites
- churches
- italy</v>
      </c>
      <c r="AG32" s="37" t="str">
        <f t="shared" si="11"/>
        <v xml:space="preserve">| </v>
      </c>
      <c r="AH32" s="37" t="str">
        <f t="shared" si="12"/>
        <v xml:space="preserve">| Ghisalba </v>
      </c>
      <c r="AI32" s="37" t="str">
        <f>"| "&amp;IF(W32,GetTagPage(C32,VLOOKUP(C32,'(Ref) Countries'!A:C,3,)),C32)&amp; " "</f>
        <v xml:space="preserve">| Italy </v>
      </c>
      <c r="AJ32" s="37" t="str">
        <f t="shared" si="13"/>
        <v xml:space="preserve">| 1453 </v>
      </c>
      <c r="AK32" s="37" t="str">
        <f t="shared" si="14"/>
        <v xml:space="preserve">| </v>
      </c>
      <c r="AL32" s="35" t="str">
        <f t="shared" si="2"/>
        <v xml:space="preserve">| </v>
      </c>
      <c r="AM32" s="37" t="str">
        <f t="shared" si="3"/>
        <v xml:space="preserve">| [Link](http://www.therealpresence.org/eucharst/misc/BVM/45_GHISALBA_60x96.pdf) </v>
      </c>
      <c r="AN32" s="37" t="str">
        <f t="shared" si="4"/>
        <v xml:space="preserve">| </v>
      </c>
      <c r="AO32" s="37" t="str">
        <f t="shared" si="5"/>
        <v xml:space="preserve">| </v>
      </c>
      <c r="AP32" s="37" t="str">
        <f t="shared" si="15"/>
        <v xml:space="preserve">
| | [Link](http://www.therealpresence.org/eucharst/misc/BVM/45_GHISALBA_60x96.pdf) | | |</v>
      </c>
      <c r="AQ32" s="48" t="str">
        <f>VLOOKUP(C32,'(Ref) Countries'!A:B,2,)&amp;"-"&amp;LOWER(SUBSTITUTE(H32," ","-"))&amp;".md"</f>
        <v>it-.md</v>
      </c>
      <c r="AR32" s="35" t="str">
        <f t="shared" si="16"/>
        <v xml:space="preserve">
| Ghisalba | Italy | 1453 | | | [Link](http://www.therealpresence.org/eucharst/misc/BVM/45_GHISALBA_60x96.pdf) | | | |</v>
      </c>
      <c r="AS32" s="48" t="str">
        <f t="shared" si="6"/>
        <v/>
      </c>
      <c r="AT32" s="15" t="s">
        <v>336</v>
      </c>
    </row>
    <row r="33" spans="1:46" x14ac:dyDescent="0.25">
      <c r="A33" s="27"/>
      <c r="B33" s="31" t="s">
        <v>1214</v>
      </c>
      <c r="C33" s="32" t="s">
        <v>11</v>
      </c>
      <c r="D33" s="61">
        <v>1462</v>
      </c>
      <c r="E33" s="32"/>
      <c r="F33" s="32"/>
      <c r="G33" s="33"/>
      <c r="H33" s="33"/>
      <c r="I33" s="33" t="s">
        <v>1758</v>
      </c>
      <c r="J33" s="33"/>
      <c r="K33" s="32" t="s">
        <v>336</v>
      </c>
      <c r="L33" s="32" t="s">
        <v>336</v>
      </c>
      <c r="M33" s="32" t="s">
        <v>208</v>
      </c>
      <c r="N33" s="32" t="s">
        <v>336</v>
      </c>
      <c r="O33" s="32" t="s">
        <v>336</v>
      </c>
      <c r="P33" s="32" t="s">
        <v>336</v>
      </c>
      <c r="Q33" s="32" t="s">
        <v>336</v>
      </c>
      <c r="R33" s="32" t="s">
        <v>336</v>
      </c>
      <c r="S33" s="32" t="s">
        <v>336</v>
      </c>
      <c r="T33" s="32"/>
      <c r="U33" s="32"/>
      <c r="V33" s="33"/>
      <c r="W33" s="38" t="b">
        <f t="shared" si="7"/>
        <v>0</v>
      </c>
      <c r="X33" s="35" t="str">
        <f t="shared" si="0"/>
        <v>title: ""</v>
      </c>
      <c r="Y33" s="35" t="str">
        <f t="shared" si="1"/>
        <v>location: {lat: , lng: }</v>
      </c>
      <c r="Z33" s="35" t="str">
        <f>IF(LEN(S33)&gt;1,VLOOKUP(S33,Sheet3!$A:$B,2,),"")</f>
        <v/>
      </c>
      <c r="AA33" s="35" t="str">
        <f>IF(LEN(T33)&gt;1,VLOOKUP(T33,Sheet3!$A:$B,2,),"")</f>
        <v/>
      </c>
      <c r="AB33" s="35" t="str">
        <f>IF(LEN(U33)&gt;1,VLOOKUP(U33,Sheet3!$A:$B,2,),"")</f>
        <v/>
      </c>
      <c r="AC33" s="37" t="str">
        <f t="shared" si="8"/>
        <v/>
      </c>
      <c r="AD33" s="37" t="str">
        <f t="shared" si="9"/>
        <v/>
      </c>
      <c r="AE33" s="37" t="str">
        <f t="shared" si="10"/>
        <v/>
      </c>
      <c r="AF33" s="37" t="str">
        <f>"- marian-sites
- churches
- "&amp;VLOOKUP(C33,'(Ref) Countries'!A:C,3,)&amp;IF(LEN(S33)&gt;1,"
- "&amp;S33,"")&amp;IF(LEN(T33)&gt;1,"
- "&amp;T33,"")&amp;IF(LEN(U33)&gt;1,"
- "&amp;U33,"")</f>
        <v>- marian-sites
- churches
- italy</v>
      </c>
      <c r="AG33" s="37" t="str">
        <f t="shared" si="11"/>
        <v xml:space="preserve">| </v>
      </c>
      <c r="AH33" s="37" t="str">
        <f t="shared" si="12"/>
        <v xml:space="preserve">| Garlasco </v>
      </c>
      <c r="AI33" s="37" t="str">
        <f>"| "&amp;IF(W33,GetTagPage(C33,VLOOKUP(C33,'(Ref) Countries'!A:C,3,)),C33)&amp; " "</f>
        <v xml:space="preserve">| Italy </v>
      </c>
      <c r="AJ33" s="37" t="str">
        <f t="shared" si="13"/>
        <v xml:space="preserve">| 1462 </v>
      </c>
      <c r="AK33" s="37" t="str">
        <f t="shared" si="14"/>
        <v xml:space="preserve">| </v>
      </c>
      <c r="AL33" s="35" t="str">
        <f t="shared" si="2"/>
        <v xml:space="preserve">| </v>
      </c>
      <c r="AM33" s="37" t="str">
        <f t="shared" si="3"/>
        <v xml:space="preserve">| [Link](http://www.therealpresence.org/eucharst/misc/BVM/72_GARLASCO_60x96.pdf) </v>
      </c>
      <c r="AN33" s="37" t="str">
        <f t="shared" si="4"/>
        <v xml:space="preserve">| </v>
      </c>
      <c r="AO33" s="37" t="str">
        <f t="shared" si="5"/>
        <v xml:space="preserve">| </v>
      </c>
      <c r="AP33" s="37" t="str">
        <f t="shared" si="15"/>
        <v xml:space="preserve">
| | [Link](http://www.therealpresence.org/eucharst/misc/BVM/72_GARLASCO_60x96.pdf) | | |</v>
      </c>
      <c r="AQ33" s="48" t="str">
        <f>VLOOKUP(C33,'(Ref) Countries'!A:B,2,)&amp;"-"&amp;LOWER(SUBSTITUTE(H33," ","-"))&amp;".md"</f>
        <v>it-.md</v>
      </c>
      <c r="AR33" s="35" t="str">
        <f t="shared" si="16"/>
        <v xml:space="preserve">
| Garlasco | Italy | 1462 | | | [Link](http://www.therealpresence.org/eucharst/misc/BVM/72_GARLASCO_60x96.pdf) | | | |</v>
      </c>
      <c r="AS33" s="48" t="str">
        <f t="shared" si="6"/>
        <v/>
      </c>
      <c r="AT33" s="15" t="s">
        <v>336</v>
      </c>
    </row>
    <row r="34" spans="1:46" x14ac:dyDescent="0.25">
      <c r="A34" s="27"/>
      <c r="B34" s="31" t="s">
        <v>1215</v>
      </c>
      <c r="C34" s="32" t="s">
        <v>11</v>
      </c>
      <c r="D34" s="61">
        <v>1467</v>
      </c>
      <c r="E34" s="32"/>
      <c r="F34" s="32"/>
      <c r="G34" s="33"/>
      <c r="H34" s="33"/>
      <c r="I34" s="33" t="s">
        <v>1758</v>
      </c>
      <c r="J34" s="33"/>
      <c r="K34" s="32" t="s">
        <v>336</v>
      </c>
      <c r="L34" s="32" t="s">
        <v>336</v>
      </c>
      <c r="M34" s="32" t="s">
        <v>209</v>
      </c>
      <c r="N34" s="32" t="s">
        <v>336</v>
      </c>
      <c r="O34" s="32" t="s">
        <v>336</v>
      </c>
      <c r="P34" s="32" t="s">
        <v>336</v>
      </c>
      <c r="Q34" s="32" t="s">
        <v>336</v>
      </c>
      <c r="R34" s="32" t="s">
        <v>336</v>
      </c>
      <c r="S34" s="32" t="s">
        <v>336</v>
      </c>
      <c r="T34" s="32"/>
      <c r="U34" s="32"/>
      <c r="V34" s="33"/>
      <c r="W34" s="38" t="b">
        <f t="shared" si="7"/>
        <v>0</v>
      </c>
      <c r="X34" s="35" t="str">
        <f t="shared" ref="X34:X65" si="19">"title: """&amp;G34&amp;""""</f>
        <v>title: ""</v>
      </c>
      <c r="Y34" s="35" t="str">
        <f t="shared" ref="Y34:Y65" si="20">"location: {lat: "&amp;E34&amp;", lng: "&amp;F34&amp;"}"</f>
        <v>location: {lat: , lng: }</v>
      </c>
      <c r="Z34" s="35" t="str">
        <f>IF(LEN(S34)&gt;1,VLOOKUP(S34,Sheet3!$A:$B,2,),"")</f>
        <v/>
      </c>
      <c r="AA34" s="35" t="str">
        <f>IF(LEN(T34)&gt;1,VLOOKUP(T34,Sheet3!$A:$B,2,),"")</f>
        <v/>
      </c>
      <c r="AB34" s="35" t="str">
        <f>IF(LEN(U34)&gt;1,VLOOKUP(U34,Sheet3!$A:$B,2,),"")</f>
        <v/>
      </c>
      <c r="AC34" s="37" t="str">
        <f t="shared" si="8"/>
        <v/>
      </c>
      <c r="AD34" s="37" t="str">
        <f t="shared" si="9"/>
        <v/>
      </c>
      <c r="AE34" s="37" t="str">
        <f t="shared" si="10"/>
        <v/>
      </c>
      <c r="AF34" s="37" t="str">
        <f>"- marian-sites
- churches
- "&amp;VLOOKUP(C34,'(Ref) Countries'!A:C,3,)&amp;IF(LEN(S34)&gt;1,"
- "&amp;S34,"")&amp;IF(LEN(T34)&gt;1,"
- "&amp;T34,"")&amp;IF(LEN(U34)&gt;1,"
- "&amp;U34,"")</f>
        <v>- marian-sites
- churches
- italy</v>
      </c>
      <c r="AG34" s="37" t="str">
        <f t="shared" si="11"/>
        <v xml:space="preserve">| </v>
      </c>
      <c r="AH34" s="37" t="str">
        <f t="shared" si="12"/>
        <v xml:space="preserve">| Genazzano </v>
      </c>
      <c r="AI34" s="37" t="str">
        <f>"| "&amp;IF(W34,GetTagPage(C34,VLOOKUP(C34,'(Ref) Countries'!A:C,3,)),C34)&amp; " "</f>
        <v xml:space="preserve">| Italy </v>
      </c>
      <c r="AJ34" s="37" t="str">
        <f t="shared" si="13"/>
        <v xml:space="preserve">| 1467 </v>
      </c>
      <c r="AK34" s="37" t="str">
        <f t="shared" si="14"/>
        <v xml:space="preserve">| </v>
      </c>
      <c r="AL34" s="35" t="str">
        <f t="shared" ref="AL34:AL65" si="21">IF(LEN(K34)&gt;1,"| [Link]("&amp;K34&amp;")"&amp;IF(LEN(L34)&gt;1,L34,"")&amp;" ","| ")</f>
        <v xml:space="preserve">| </v>
      </c>
      <c r="AM34" s="37" t="str">
        <f t="shared" ref="AM34:AM65" si="22">IF(LEN(M34)&gt;1,"| [Link]("&amp;M34&amp;")"&amp;IF(LEN(N34)&gt;1,N34,"")&amp;" ","| ")</f>
        <v xml:space="preserve">| [Link](http://www.therealpresence.org/eucharst/misc/BVM/71_GENAZZANO_60x96.pdf) </v>
      </c>
      <c r="AN34" s="37" t="str">
        <f t="shared" ref="AN34:AN65" si="23">IF(LEN(O34)&gt;1,"| [Link]("&amp;O34&amp;")"&amp;IF(LEN(P34)&gt;1,P34,"")&amp;" ","| ")</f>
        <v xml:space="preserve">| </v>
      </c>
      <c r="AO34" s="37" t="str">
        <f t="shared" ref="AO34:AO65" si="24">IF(LEN(Q34)&gt;1,"| [Link]("&amp;Q34&amp;")"&amp;IF(LEN(R34)&gt;1,R34,"")&amp;" ","| ")</f>
        <v xml:space="preserve">| </v>
      </c>
      <c r="AP34" s="37" t="str">
        <f t="shared" si="15"/>
        <v xml:space="preserve">
| | [Link](http://www.therealpresence.org/eucharst/misc/BVM/71_GENAZZANO_60x96.pdf) | | |</v>
      </c>
      <c r="AQ34" s="48" t="str">
        <f>VLOOKUP(C34,'(Ref) Countries'!A:B,2,)&amp;"-"&amp;LOWER(SUBSTITUTE(H34," ","-"))&amp;".md"</f>
        <v>it-.md</v>
      </c>
      <c r="AR34" s="35" t="str">
        <f t="shared" si="16"/>
        <v xml:space="preserve">
| Genazzano | Italy | 1467 | | | [Link](http://www.therealpresence.org/eucharst/misc/BVM/71_GENAZZANO_60x96.pdf) | | | |</v>
      </c>
      <c r="AS34" s="48" t="str">
        <f t="shared" ref="AS34:AS65" si="25">IF(OR(A34="Done",A34="In Progress"),"---
"&amp;X34&amp;"
"&amp;Y34&amp;"
"&amp;"tags:
"&amp;AF34&amp;"
---
"&amp;J34&amp;"
#### Source Material
| Official Site | The Real Presence | Miracle Hunter | MaryPages |
| --- | --- | --- | --- |"&amp;AP34&amp;"
"&amp;IF(LEN(V34)&gt;1,"#### Author's Note
"&amp;V34,""),"")</f>
        <v/>
      </c>
      <c r="AT34" s="15" t="s">
        <v>336</v>
      </c>
    </row>
    <row r="35" spans="1:46" x14ac:dyDescent="0.25">
      <c r="A35" s="27"/>
      <c r="B35" s="31" t="s">
        <v>1216</v>
      </c>
      <c r="C35" s="32" t="s">
        <v>11</v>
      </c>
      <c r="D35" s="61">
        <v>1470</v>
      </c>
      <c r="E35" s="32"/>
      <c r="F35" s="32"/>
      <c r="G35" s="33"/>
      <c r="H35" s="33"/>
      <c r="I35" s="33" t="s">
        <v>1758</v>
      </c>
      <c r="J35" s="33"/>
      <c r="K35" s="32" t="s">
        <v>336</v>
      </c>
      <c r="L35" s="32" t="s">
        <v>336</v>
      </c>
      <c r="M35" s="32" t="s">
        <v>210</v>
      </c>
      <c r="N35" s="32" t="s">
        <v>336</v>
      </c>
      <c r="O35" s="32" t="s">
        <v>336</v>
      </c>
      <c r="P35" s="32" t="s">
        <v>336</v>
      </c>
      <c r="Q35" s="32" t="s">
        <v>336</v>
      </c>
      <c r="R35" s="32" t="s">
        <v>336</v>
      </c>
      <c r="S35" s="32" t="s">
        <v>336</v>
      </c>
      <c r="T35" s="32"/>
      <c r="U35" s="32"/>
      <c r="V35" s="33"/>
      <c r="W35" s="38" t="b">
        <f t="shared" si="7"/>
        <v>0</v>
      </c>
      <c r="X35" s="35" t="str">
        <f t="shared" si="19"/>
        <v>title: ""</v>
      </c>
      <c r="Y35" s="35" t="str">
        <f t="shared" si="20"/>
        <v>location: {lat: , lng: }</v>
      </c>
      <c r="Z35" s="35" t="str">
        <f>IF(LEN(S35)&gt;1,VLOOKUP(S35,Sheet3!$A:$B,2,),"")</f>
        <v/>
      </c>
      <c r="AA35" s="35" t="str">
        <f>IF(LEN(T35)&gt;1,VLOOKUP(T35,Sheet3!$A:$B,2,),"")</f>
        <v/>
      </c>
      <c r="AB35" s="35" t="str">
        <f>IF(LEN(U35)&gt;1,VLOOKUP(U35,Sheet3!$A:$B,2,),"")</f>
        <v/>
      </c>
      <c r="AC35" s="37" t="str">
        <f t="shared" si="8"/>
        <v/>
      </c>
      <c r="AD35" s="37" t="str">
        <f t="shared" si="9"/>
        <v/>
      </c>
      <c r="AE35" s="37" t="str">
        <f t="shared" si="10"/>
        <v/>
      </c>
      <c r="AF35" s="37" t="str">
        <f>"- marian-sites
- churches
- "&amp;VLOOKUP(C35,'(Ref) Countries'!A:C,3,)&amp;IF(LEN(S35)&gt;1,"
- "&amp;S35,"")&amp;IF(LEN(T35)&gt;1,"
- "&amp;T35,"")&amp;IF(LEN(U35)&gt;1,"
- "&amp;U35,"")</f>
        <v>- marian-sites
- churches
- italy</v>
      </c>
      <c r="AG35" s="37" t="str">
        <f t="shared" si="11"/>
        <v xml:space="preserve">| </v>
      </c>
      <c r="AH35" s="37" t="str">
        <f t="shared" si="12"/>
        <v xml:space="preserve">| Badia Di Cava </v>
      </c>
      <c r="AI35" s="37" t="str">
        <f>"| "&amp;IF(W35,GetTagPage(C35,VLOOKUP(C35,'(Ref) Countries'!A:C,3,)),C35)&amp; " "</f>
        <v xml:space="preserve">| Italy </v>
      </c>
      <c r="AJ35" s="37" t="str">
        <f t="shared" si="13"/>
        <v xml:space="preserve">| 1470 </v>
      </c>
      <c r="AK35" s="37" t="str">
        <f t="shared" si="14"/>
        <v xml:space="preserve">| </v>
      </c>
      <c r="AL35" s="35" t="str">
        <f t="shared" si="21"/>
        <v xml:space="preserve">| </v>
      </c>
      <c r="AM35" s="37" t="str">
        <f t="shared" si="22"/>
        <v xml:space="preserve">| [Link](http://www.therealpresence.org/eucharst/misc/BVM/75_BADIA_DI_CAVA_60x96.pdf) </v>
      </c>
      <c r="AN35" s="37" t="str">
        <f t="shared" si="23"/>
        <v xml:space="preserve">| </v>
      </c>
      <c r="AO35" s="37" t="str">
        <f t="shared" si="24"/>
        <v xml:space="preserve">| </v>
      </c>
      <c r="AP35" s="37" t="str">
        <f t="shared" si="15"/>
        <v xml:space="preserve">
| | [Link](http://www.therealpresence.org/eucharst/misc/BVM/75_BADIA_DI_CAVA_60x96.pdf) | | |</v>
      </c>
      <c r="AQ35" s="48" t="str">
        <f>VLOOKUP(C35,'(Ref) Countries'!A:B,2,)&amp;"-"&amp;LOWER(SUBSTITUTE(H35," ","-"))&amp;".md"</f>
        <v>it-.md</v>
      </c>
      <c r="AR35" s="35" t="str">
        <f t="shared" si="16"/>
        <v xml:space="preserve">
| Badia Di Cava | Italy | 1470 | | | [Link](http://www.therealpresence.org/eucharst/misc/BVM/75_BADIA_DI_CAVA_60x96.pdf) | | | |</v>
      </c>
      <c r="AS35" s="48" t="str">
        <f t="shared" si="25"/>
        <v/>
      </c>
      <c r="AT35" s="15" t="s">
        <v>336</v>
      </c>
    </row>
    <row r="36" spans="1:46" x14ac:dyDescent="0.25">
      <c r="A36" s="27"/>
      <c r="B36" s="31" t="s">
        <v>1217</v>
      </c>
      <c r="C36" s="32" t="s">
        <v>11</v>
      </c>
      <c r="D36" s="61">
        <v>1480</v>
      </c>
      <c r="E36" s="32"/>
      <c r="F36" s="32"/>
      <c r="G36" s="33"/>
      <c r="H36" s="33"/>
      <c r="I36" s="33" t="s">
        <v>1758</v>
      </c>
      <c r="J36" s="33"/>
      <c r="K36" s="32" t="s">
        <v>336</v>
      </c>
      <c r="L36" s="32" t="s">
        <v>336</v>
      </c>
      <c r="M36" s="32" t="s">
        <v>211</v>
      </c>
      <c r="N36" s="32" t="s">
        <v>336</v>
      </c>
      <c r="O36" s="32" t="s">
        <v>336</v>
      </c>
      <c r="P36" s="32" t="s">
        <v>336</v>
      </c>
      <c r="Q36" s="32" t="s">
        <v>336</v>
      </c>
      <c r="R36" s="32" t="s">
        <v>336</v>
      </c>
      <c r="S36" s="32" t="s">
        <v>336</v>
      </c>
      <c r="T36" s="32"/>
      <c r="U36" s="32"/>
      <c r="V36" s="33"/>
      <c r="W36" s="38" t="b">
        <f t="shared" si="7"/>
        <v>0</v>
      </c>
      <c r="X36" s="35" t="str">
        <f t="shared" si="19"/>
        <v>title: ""</v>
      </c>
      <c r="Y36" s="35" t="str">
        <f t="shared" si="20"/>
        <v>location: {lat: , lng: }</v>
      </c>
      <c r="Z36" s="35" t="str">
        <f>IF(LEN(S36)&gt;1,VLOOKUP(S36,Sheet3!$A:$B,2,),"")</f>
        <v/>
      </c>
      <c r="AA36" s="35" t="str">
        <f>IF(LEN(T36)&gt;1,VLOOKUP(T36,Sheet3!$A:$B,2,),"")</f>
        <v/>
      </c>
      <c r="AB36" s="35" t="str">
        <f>IF(LEN(U36)&gt;1,VLOOKUP(U36,Sheet3!$A:$B,2,),"")</f>
        <v/>
      </c>
      <c r="AC36" s="37" t="str">
        <f t="shared" si="8"/>
        <v/>
      </c>
      <c r="AD36" s="37" t="str">
        <f t="shared" si="9"/>
        <v/>
      </c>
      <c r="AE36" s="37" t="str">
        <f t="shared" si="10"/>
        <v/>
      </c>
      <c r="AF36" s="37" t="str">
        <f>"- marian-sites
- churches
- "&amp;VLOOKUP(C36,'(Ref) Countries'!A:C,3,)&amp;IF(LEN(S36)&gt;1,"
- "&amp;S36,"")&amp;IF(LEN(T36)&gt;1,"
- "&amp;T36,"")&amp;IF(LEN(U36)&gt;1,"
- "&amp;U36,"")</f>
        <v>- marian-sites
- churches
- italy</v>
      </c>
      <c r="AG36" s="37" t="str">
        <f t="shared" si="11"/>
        <v xml:space="preserve">| </v>
      </c>
      <c r="AH36" s="37" t="str">
        <f t="shared" si="12"/>
        <v xml:space="preserve">| Boccadirio </v>
      </c>
      <c r="AI36" s="37" t="str">
        <f>"| "&amp;IF(W36,GetTagPage(C36,VLOOKUP(C36,'(Ref) Countries'!A:C,3,)),C36)&amp; " "</f>
        <v xml:space="preserve">| Italy </v>
      </c>
      <c r="AJ36" s="37" t="str">
        <f t="shared" si="13"/>
        <v xml:space="preserve">| 1480 </v>
      </c>
      <c r="AK36" s="37" t="str">
        <f t="shared" si="14"/>
        <v xml:space="preserve">| </v>
      </c>
      <c r="AL36" s="35" t="str">
        <f t="shared" si="21"/>
        <v xml:space="preserve">| </v>
      </c>
      <c r="AM36" s="37" t="str">
        <f t="shared" si="22"/>
        <v xml:space="preserve">| [Link](http://www.therealpresence.org/eucharst/misc/BVM/42_BOCCADIRIO_60x96.pdf) </v>
      </c>
      <c r="AN36" s="37" t="str">
        <f t="shared" si="23"/>
        <v xml:space="preserve">| </v>
      </c>
      <c r="AO36" s="37" t="str">
        <f t="shared" si="24"/>
        <v xml:space="preserve">| </v>
      </c>
      <c r="AP36" s="37" t="str">
        <f t="shared" si="15"/>
        <v xml:space="preserve">
| | [Link](http://www.therealpresence.org/eucharst/misc/BVM/42_BOCCADIRIO_60x96.pdf) | | |</v>
      </c>
      <c r="AQ36" s="48" t="str">
        <f>VLOOKUP(C36,'(Ref) Countries'!A:B,2,)&amp;"-"&amp;LOWER(SUBSTITUTE(H36," ","-"))&amp;".md"</f>
        <v>it-.md</v>
      </c>
      <c r="AR36" s="35" t="str">
        <f t="shared" si="16"/>
        <v xml:space="preserve">
| Boccadirio | Italy | 1480 | | | [Link](http://www.therealpresence.org/eucharst/misc/BVM/42_BOCCADIRIO_60x96.pdf) | | | |</v>
      </c>
      <c r="AS36" s="48" t="str">
        <f t="shared" si="25"/>
        <v/>
      </c>
      <c r="AT36" s="15" t="s">
        <v>336</v>
      </c>
    </row>
    <row r="37" spans="1:46" x14ac:dyDescent="0.25">
      <c r="A37" s="27"/>
      <c r="B37" s="31" t="s">
        <v>1218</v>
      </c>
      <c r="C37" s="32" t="s">
        <v>553</v>
      </c>
      <c r="D37" s="61">
        <v>1481</v>
      </c>
      <c r="E37" s="32"/>
      <c r="F37" s="32"/>
      <c r="G37" s="33"/>
      <c r="H37" s="33"/>
      <c r="I37" s="33" t="s">
        <v>1758</v>
      </c>
      <c r="J37" s="33"/>
      <c r="K37" s="32" t="s">
        <v>336</v>
      </c>
      <c r="L37" s="32" t="s">
        <v>336</v>
      </c>
      <c r="M37" s="32" t="s">
        <v>212</v>
      </c>
      <c r="N37" s="32" t="s">
        <v>336</v>
      </c>
      <c r="O37" s="32" t="s">
        <v>336</v>
      </c>
      <c r="P37" s="32" t="s">
        <v>336</v>
      </c>
      <c r="Q37" s="32" t="s">
        <v>336</v>
      </c>
      <c r="R37" s="32" t="s">
        <v>336</v>
      </c>
      <c r="S37" s="32" t="s">
        <v>336</v>
      </c>
      <c r="T37" s="32"/>
      <c r="U37" s="32"/>
      <c r="V37" s="33"/>
      <c r="W37" s="38" t="b">
        <f t="shared" si="7"/>
        <v>0</v>
      </c>
      <c r="X37" s="35" t="str">
        <f t="shared" si="19"/>
        <v>title: ""</v>
      </c>
      <c r="Y37" s="35" t="str">
        <f t="shared" si="20"/>
        <v>location: {lat: , lng: }</v>
      </c>
      <c r="Z37" s="35" t="str">
        <f>IF(LEN(S37)&gt;1,VLOOKUP(S37,Sheet3!$A:$B,2,),"")</f>
        <v/>
      </c>
      <c r="AA37" s="35" t="str">
        <f>IF(LEN(T37)&gt;1,VLOOKUP(T37,Sheet3!$A:$B,2,),"")</f>
        <v/>
      </c>
      <c r="AB37" s="35" t="str">
        <f>IF(LEN(U37)&gt;1,VLOOKUP(U37,Sheet3!$A:$B,2,),"")</f>
        <v/>
      </c>
      <c r="AC37" s="37" t="str">
        <f t="shared" si="8"/>
        <v/>
      </c>
      <c r="AD37" s="37" t="str">
        <f t="shared" si="9"/>
        <v/>
      </c>
      <c r="AE37" s="37" t="str">
        <f t="shared" si="10"/>
        <v/>
      </c>
      <c r="AF37" s="37" t="str">
        <f>"- marian-sites
- churches
- "&amp;VLOOKUP(C37,'(Ref) Countries'!A:C,3,)&amp;IF(LEN(S37)&gt;1,"
- "&amp;S37,"")&amp;IF(LEN(T37)&gt;1,"
- "&amp;T37,"")&amp;IF(LEN(U37)&gt;1,"
- "&amp;U37,"")</f>
        <v>- marian-sites
- churches
- spain</v>
      </c>
      <c r="AG37" s="37" t="str">
        <f t="shared" si="11"/>
        <v xml:space="preserve">| </v>
      </c>
      <c r="AH37" s="37" t="str">
        <f t="shared" si="12"/>
        <v xml:space="preserve">| Teror </v>
      </c>
      <c r="AI37" s="37" t="str">
        <f>"| "&amp;IF(W37,GetTagPage(C37,VLOOKUP(C37,'(Ref) Countries'!A:C,3,)),C37)&amp; " "</f>
        <v xml:space="preserve">| Spain </v>
      </c>
      <c r="AJ37" s="37" t="str">
        <f t="shared" si="13"/>
        <v xml:space="preserve">| 1481 </v>
      </c>
      <c r="AK37" s="37" t="str">
        <f t="shared" si="14"/>
        <v xml:space="preserve">| </v>
      </c>
      <c r="AL37" s="35" t="str">
        <f t="shared" si="21"/>
        <v xml:space="preserve">| </v>
      </c>
      <c r="AM37" s="37" t="str">
        <f t="shared" si="22"/>
        <v xml:space="preserve">| [Link](http://www.therealpresence.org/eucharst/misc/BVM/106_TEROR_60x96.pdf) </v>
      </c>
      <c r="AN37" s="37" t="str">
        <f t="shared" si="23"/>
        <v xml:space="preserve">| </v>
      </c>
      <c r="AO37" s="37" t="str">
        <f t="shared" si="24"/>
        <v xml:space="preserve">| </v>
      </c>
      <c r="AP37" s="37" t="str">
        <f t="shared" si="15"/>
        <v xml:space="preserve">
| | [Link](http://www.therealpresence.org/eucharst/misc/BVM/106_TEROR_60x96.pdf) | | |</v>
      </c>
      <c r="AQ37" s="48" t="str">
        <f>VLOOKUP(C37,'(Ref) Countries'!A:B,2,)&amp;"-"&amp;LOWER(SUBSTITUTE(H37," ","-"))&amp;".md"</f>
        <v>es-.md</v>
      </c>
      <c r="AR37" s="35" t="str">
        <f t="shared" si="16"/>
        <v xml:space="preserve">
| Teror | Spain | 1481 | | | [Link](http://www.therealpresence.org/eucharst/misc/BVM/106_TEROR_60x96.pdf) | | | |</v>
      </c>
      <c r="AS37" s="48" t="str">
        <f t="shared" si="25"/>
        <v/>
      </c>
      <c r="AT37" s="15" t="s">
        <v>336</v>
      </c>
    </row>
    <row r="38" spans="1:46" x14ac:dyDescent="0.25">
      <c r="A38" s="27"/>
      <c r="B38" s="31" t="s">
        <v>1219</v>
      </c>
      <c r="C38" s="32" t="s">
        <v>11</v>
      </c>
      <c r="D38" s="61">
        <v>1483</v>
      </c>
      <c r="E38" s="32"/>
      <c r="F38" s="32"/>
      <c r="G38" s="33"/>
      <c r="H38" s="33"/>
      <c r="I38" s="33" t="s">
        <v>1758</v>
      </c>
      <c r="J38" s="33"/>
      <c r="K38" s="32" t="s">
        <v>336</v>
      </c>
      <c r="L38" s="32" t="s">
        <v>336</v>
      </c>
      <c r="M38" s="32" t="s">
        <v>213</v>
      </c>
      <c r="N38" s="32" t="s">
        <v>336</v>
      </c>
      <c r="O38" s="32" t="s">
        <v>336</v>
      </c>
      <c r="P38" s="32" t="s">
        <v>336</v>
      </c>
      <c r="Q38" s="32" t="s">
        <v>336</v>
      </c>
      <c r="R38" s="32" t="s">
        <v>336</v>
      </c>
      <c r="S38" s="32" t="s">
        <v>336</v>
      </c>
      <c r="T38" s="32"/>
      <c r="U38" s="32"/>
      <c r="V38" s="33"/>
      <c r="W38" s="38" t="b">
        <f t="shared" si="7"/>
        <v>0</v>
      </c>
      <c r="X38" s="35" t="str">
        <f t="shared" si="19"/>
        <v>title: ""</v>
      </c>
      <c r="Y38" s="35" t="str">
        <f t="shared" si="20"/>
        <v>location: {lat: , lng: }</v>
      </c>
      <c r="Z38" s="35" t="str">
        <f>IF(LEN(S38)&gt;1,VLOOKUP(S38,Sheet3!$A:$B,2,),"")</f>
        <v/>
      </c>
      <c r="AA38" s="35" t="str">
        <f>IF(LEN(T38)&gt;1,VLOOKUP(T38,Sheet3!$A:$B,2,),"")</f>
        <v/>
      </c>
      <c r="AB38" s="35" t="str">
        <f>IF(LEN(U38)&gt;1,VLOOKUP(U38,Sheet3!$A:$B,2,),"")</f>
        <v/>
      </c>
      <c r="AC38" s="37" t="str">
        <f t="shared" si="8"/>
        <v/>
      </c>
      <c r="AD38" s="37" t="str">
        <f t="shared" si="9"/>
        <v/>
      </c>
      <c r="AE38" s="37" t="str">
        <f t="shared" si="10"/>
        <v/>
      </c>
      <c r="AF38" s="37" t="str">
        <f>"- marian-sites
- churches
- "&amp;VLOOKUP(C38,'(Ref) Countries'!A:C,3,)&amp;IF(LEN(S38)&gt;1,"
- "&amp;S38,"")&amp;IF(LEN(T38)&gt;1,"
- "&amp;T38,"")&amp;IF(LEN(U38)&gt;1,"
- "&amp;U38,"")</f>
        <v>- marian-sites
- churches
- italy</v>
      </c>
      <c r="AG38" s="37" t="str">
        <f t="shared" si="11"/>
        <v xml:space="preserve">| </v>
      </c>
      <c r="AH38" s="37" t="str">
        <f t="shared" si="12"/>
        <v xml:space="preserve">| Imola </v>
      </c>
      <c r="AI38" s="37" t="str">
        <f>"| "&amp;IF(W38,GetTagPage(C38,VLOOKUP(C38,'(Ref) Countries'!A:C,3,)),C38)&amp; " "</f>
        <v xml:space="preserve">| Italy </v>
      </c>
      <c r="AJ38" s="37" t="str">
        <f t="shared" si="13"/>
        <v xml:space="preserve">| 1483 </v>
      </c>
      <c r="AK38" s="37" t="str">
        <f t="shared" si="14"/>
        <v xml:space="preserve">| </v>
      </c>
      <c r="AL38" s="35" t="str">
        <f t="shared" si="21"/>
        <v xml:space="preserve">| </v>
      </c>
      <c r="AM38" s="37" t="str">
        <f t="shared" si="22"/>
        <v xml:space="preserve">| [Link](http://www.therealpresence.org/eucharst/misc/BVM/49_IMOLA_60x96.pdf) </v>
      </c>
      <c r="AN38" s="37" t="str">
        <f t="shared" si="23"/>
        <v xml:space="preserve">| </v>
      </c>
      <c r="AO38" s="37" t="str">
        <f t="shared" si="24"/>
        <v xml:space="preserve">| </v>
      </c>
      <c r="AP38" s="37" t="str">
        <f t="shared" si="15"/>
        <v xml:space="preserve">
| | [Link](http://www.therealpresence.org/eucharst/misc/BVM/49_IMOLA_60x96.pdf) | | |</v>
      </c>
      <c r="AQ38" s="48" t="str">
        <f>VLOOKUP(C38,'(Ref) Countries'!A:B,2,)&amp;"-"&amp;LOWER(SUBSTITUTE(H38," ","-"))&amp;".md"</f>
        <v>it-.md</v>
      </c>
      <c r="AR38" s="35" t="str">
        <f t="shared" si="16"/>
        <v xml:space="preserve">
| Imola | Italy | 1483 | | | [Link](http://www.therealpresence.org/eucharst/misc/BVM/49_IMOLA_60x96.pdf) | | | |</v>
      </c>
      <c r="AS38" s="48" t="str">
        <f t="shared" si="25"/>
        <v/>
      </c>
      <c r="AT38" s="15" t="s">
        <v>336</v>
      </c>
    </row>
    <row r="39" spans="1:46" x14ac:dyDescent="0.25">
      <c r="A39" s="27"/>
      <c r="B39" s="31" t="s">
        <v>1220</v>
      </c>
      <c r="C39" s="32" t="s">
        <v>553</v>
      </c>
      <c r="D39" s="61">
        <v>1484</v>
      </c>
      <c r="E39" s="32"/>
      <c r="F39" s="32"/>
      <c r="G39" s="33"/>
      <c r="H39" s="33"/>
      <c r="I39" s="33" t="s">
        <v>1758</v>
      </c>
      <c r="J39" s="33"/>
      <c r="K39" s="32" t="s">
        <v>336</v>
      </c>
      <c r="L39" s="32" t="s">
        <v>336</v>
      </c>
      <c r="M39" s="32" t="s">
        <v>214</v>
      </c>
      <c r="N39" s="32" t="s">
        <v>336</v>
      </c>
      <c r="O39" s="32" t="s">
        <v>336</v>
      </c>
      <c r="P39" s="32" t="s">
        <v>336</v>
      </c>
      <c r="Q39" s="32" t="s">
        <v>336</v>
      </c>
      <c r="R39" s="32" t="s">
        <v>336</v>
      </c>
      <c r="S39" s="32" t="s">
        <v>336</v>
      </c>
      <c r="T39" s="32"/>
      <c r="U39" s="32"/>
      <c r="V39" s="33"/>
      <c r="W39" s="38" t="b">
        <f t="shared" si="7"/>
        <v>0</v>
      </c>
      <c r="X39" s="35" t="str">
        <f t="shared" si="19"/>
        <v>title: ""</v>
      </c>
      <c r="Y39" s="35" t="str">
        <f t="shared" si="20"/>
        <v>location: {lat: , lng: }</v>
      </c>
      <c r="Z39" s="35" t="str">
        <f>IF(LEN(S39)&gt;1,VLOOKUP(S39,Sheet3!$A:$B,2,),"")</f>
        <v/>
      </c>
      <c r="AA39" s="35" t="str">
        <f>IF(LEN(T39)&gt;1,VLOOKUP(T39,Sheet3!$A:$B,2,),"")</f>
        <v/>
      </c>
      <c r="AB39" s="35" t="str">
        <f>IF(LEN(U39)&gt;1,VLOOKUP(U39,Sheet3!$A:$B,2,),"")</f>
        <v/>
      </c>
      <c r="AC39" s="37" t="str">
        <f t="shared" si="8"/>
        <v/>
      </c>
      <c r="AD39" s="37" t="str">
        <f t="shared" si="9"/>
        <v/>
      </c>
      <c r="AE39" s="37" t="str">
        <f t="shared" si="10"/>
        <v/>
      </c>
      <c r="AF39" s="37" t="str">
        <f>"- marian-sites
- churches
- "&amp;VLOOKUP(C39,'(Ref) Countries'!A:C,3,)&amp;IF(LEN(S39)&gt;1,"
- "&amp;S39,"")&amp;IF(LEN(T39)&gt;1,"
- "&amp;T39,"")&amp;IF(LEN(U39)&gt;1,"
- "&amp;U39,"")</f>
        <v>- marian-sites
- churches
- spain</v>
      </c>
      <c r="AG39" s="37" t="str">
        <f t="shared" si="11"/>
        <v xml:space="preserve">| </v>
      </c>
      <c r="AH39" s="37" t="str">
        <f t="shared" si="12"/>
        <v xml:space="preserve">| Agres </v>
      </c>
      <c r="AI39" s="37" t="str">
        <f>"| "&amp;IF(W39,GetTagPage(C39,VLOOKUP(C39,'(Ref) Countries'!A:C,3,)),C39)&amp; " "</f>
        <v xml:space="preserve">| Spain </v>
      </c>
      <c r="AJ39" s="37" t="str">
        <f t="shared" si="13"/>
        <v xml:space="preserve">| 1484 </v>
      </c>
      <c r="AK39" s="37" t="str">
        <f t="shared" si="14"/>
        <v xml:space="preserve">| </v>
      </c>
      <c r="AL39" s="35" t="str">
        <f t="shared" si="21"/>
        <v xml:space="preserve">| </v>
      </c>
      <c r="AM39" s="37" t="str">
        <f t="shared" si="22"/>
        <v xml:space="preserve">| [Link](http://www.therealpresence.org/eucharst/misc/BVM/67_AGRES_60x96.pdf) </v>
      </c>
      <c r="AN39" s="37" t="str">
        <f t="shared" si="23"/>
        <v xml:space="preserve">| </v>
      </c>
      <c r="AO39" s="37" t="str">
        <f t="shared" si="24"/>
        <v xml:space="preserve">| </v>
      </c>
      <c r="AP39" s="37" t="str">
        <f t="shared" si="15"/>
        <v xml:space="preserve">
| | [Link](http://www.therealpresence.org/eucharst/misc/BVM/67_AGRES_60x96.pdf) | | |</v>
      </c>
      <c r="AQ39" s="48" t="str">
        <f>VLOOKUP(C39,'(Ref) Countries'!A:B,2,)&amp;"-"&amp;LOWER(SUBSTITUTE(H39," ","-"))&amp;".md"</f>
        <v>es-.md</v>
      </c>
      <c r="AR39" s="35" t="str">
        <f t="shared" si="16"/>
        <v xml:space="preserve">
| Agres | Spain | 1484 | | | [Link](http://www.therealpresence.org/eucharst/misc/BVM/67_AGRES_60x96.pdf) | | | |</v>
      </c>
      <c r="AS39" s="48" t="str">
        <f t="shared" si="25"/>
        <v/>
      </c>
      <c r="AT39" s="15" t="s">
        <v>336</v>
      </c>
    </row>
    <row r="40" spans="1:46" x14ac:dyDescent="0.25">
      <c r="A40" s="27"/>
      <c r="B40" s="31" t="s">
        <v>1221</v>
      </c>
      <c r="C40" s="32" t="s">
        <v>11</v>
      </c>
      <c r="D40" s="61">
        <v>1484</v>
      </c>
      <c r="E40" s="32"/>
      <c r="F40" s="32"/>
      <c r="G40" s="33"/>
      <c r="H40" s="33"/>
      <c r="I40" s="33" t="s">
        <v>1758</v>
      </c>
      <c r="J40" s="33"/>
      <c r="K40" s="32" t="s">
        <v>336</v>
      </c>
      <c r="L40" s="32" t="s">
        <v>336</v>
      </c>
      <c r="M40" s="32" t="s">
        <v>215</v>
      </c>
      <c r="N40" s="32" t="s">
        <v>336</v>
      </c>
      <c r="O40" s="32" t="s">
        <v>336</v>
      </c>
      <c r="P40" s="32" t="s">
        <v>336</v>
      </c>
      <c r="Q40" s="32" t="s">
        <v>336</v>
      </c>
      <c r="R40" s="32" t="s">
        <v>336</v>
      </c>
      <c r="S40" s="32" t="s">
        <v>336</v>
      </c>
      <c r="T40" s="32"/>
      <c r="U40" s="32"/>
      <c r="V40" s="33"/>
      <c r="W40" s="38" t="b">
        <f t="shared" si="7"/>
        <v>0</v>
      </c>
      <c r="X40" s="35" t="str">
        <f t="shared" si="19"/>
        <v>title: ""</v>
      </c>
      <c r="Y40" s="35" t="str">
        <f t="shared" si="20"/>
        <v>location: {lat: , lng: }</v>
      </c>
      <c r="Z40" s="35" t="str">
        <f>IF(LEN(S40)&gt;1,VLOOKUP(S40,Sheet3!$A:$B,2,),"")</f>
        <v/>
      </c>
      <c r="AA40" s="35" t="str">
        <f>IF(LEN(T40)&gt;1,VLOOKUP(T40,Sheet3!$A:$B,2,),"")</f>
        <v/>
      </c>
      <c r="AB40" s="35" t="str">
        <f>IF(LEN(U40)&gt;1,VLOOKUP(U40,Sheet3!$A:$B,2,),"")</f>
        <v/>
      </c>
      <c r="AC40" s="37" t="str">
        <f t="shared" si="8"/>
        <v/>
      </c>
      <c r="AD40" s="37" t="str">
        <f t="shared" si="9"/>
        <v/>
      </c>
      <c r="AE40" s="37" t="str">
        <f t="shared" si="10"/>
        <v/>
      </c>
      <c r="AF40" s="37" t="str">
        <f>"- marian-sites
- churches
- "&amp;VLOOKUP(C40,'(Ref) Countries'!A:C,3,)&amp;IF(LEN(S40)&gt;1,"
- "&amp;S40,"")&amp;IF(LEN(T40)&gt;1,"
- "&amp;T40,"")&amp;IF(LEN(U40)&gt;1,"
- "&amp;U40,"")</f>
        <v>- marian-sites
- churches
- italy</v>
      </c>
      <c r="AG40" s="37" t="str">
        <f t="shared" si="11"/>
        <v xml:space="preserve">| </v>
      </c>
      <c r="AH40" s="37" t="str">
        <f t="shared" si="12"/>
        <v xml:space="preserve">| Pontassieve </v>
      </c>
      <c r="AI40" s="37" t="str">
        <f>"| "&amp;IF(W40,GetTagPage(C40,VLOOKUP(C40,'(Ref) Countries'!A:C,3,)),C40)&amp; " "</f>
        <v xml:space="preserve">| Italy </v>
      </c>
      <c r="AJ40" s="37" t="str">
        <f t="shared" si="13"/>
        <v xml:space="preserve">| 1484 </v>
      </c>
      <c r="AK40" s="37" t="str">
        <f t="shared" si="14"/>
        <v xml:space="preserve">| </v>
      </c>
      <c r="AL40" s="35" t="str">
        <f t="shared" si="21"/>
        <v xml:space="preserve">| </v>
      </c>
      <c r="AM40" s="37" t="str">
        <f t="shared" si="22"/>
        <v xml:space="preserve">| [Link](http://www.therealpresence.org/eucharst/misc/BVM/55_MADONNA_DEL_SASSO_60x96.pdf) </v>
      </c>
      <c r="AN40" s="37" t="str">
        <f t="shared" si="23"/>
        <v xml:space="preserve">| </v>
      </c>
      <c r="AO40" s="37" t="str">
        <f t="shared" si="24"/>
        <v xml:space="preserve">| </v>
      </c>
      <c r="AP40" s="37" t="str">
        <f t="shared" si="15"/>
        <v xml:space="preserve">
| | [Link](http://www.therealpresence.org/eucharst/misc/BVM/55_MADONNA_DEL_SASSO_60x96.pdf) | | |</v>
      </c>
      <c r="AQ40" s="48" t="str">
        <f>VLOOKUP(C40,'(Ref) Countries'!A:B,2,)&amp;"-"&amp;LOWER(SUBSTITUTE(H40," ","-"))&amp;".md"</f>
        <v>it-.md</v>
      </c>
      <c r="AR40" s="35" t="str">
        <f t="shared" si="16"/>
        <v xml:space="preserve">
| Pontassieve | Italy | 1484 | | | [Link](http://www.therealpresence.org/eucharst/misc/BVM/55_MADONNA_DEL_SASSO_60x96.pdf) | | | |</v>
      </c>
      <c r="AS40" s="48" t="str">
        <f t="shared" si="25"/>
        <v/>
      </c>
      <c r="AT40" s="15" t="s">
        <v>336</v>
      </c>
    </row>
    <row r="41" spans="1:46" x14ac:dyDescent="0.25">
      <c r="A41" s="27"/>
      <c r="B41" s="31" t="s">
        <v>1222</v>
      </c>
      <c r="C41" s="32" t="s">
        <v>11</v>
      </c>
      <c r="D41" s="61">
        <v>1490</v>
      </c>
      <c r="E41" s="32"/>
      <c r="F41" s="32"/>
      <c r="G41" s="33"/>
      <c r="H41" s="33"/>
      <c r="I41" s="33" t="s">
        <v>1758</v>
      </c>
      <c r="J41" s="33"/>
      <c r="K41" s="32" t="s">
        <v>336</v>
      </c>
      <c r="L41" s="32" t="s">
        <v>336</v>
      </c>
      <c r="M41" s="32" t="s">
        <v>216</v>
      </c>
      <c r="N41" s="32" t="s">
        <v>336</v>
      </c>
      <c r="O41" s="32" t="s">
        <v>336</v>
      </c>
      <c r="P41" s="32" t="s">
        <v>336</v>
      </c>
      <c r="Q41" s="32" t="s">
        <v>336</v>
      </c>
      <c r="R41" s="32" t="s">
        <v>336</v>
      </c>
      <c r="S41" s="32" t="s">
        <v>336</v>
      </c>
      <c r="T41" s="32"/>
      <c r="U41" s="32"/>
      <c r="V41" s="33"/>
      <c r="W41" s="38" t="b">
        <f t="shared" si="7"/>
        <v>0</v>
      </c>
      <c r="X41" s="35" t="str">
        <f t="shared" si="19"/>
        <v>title: ""</v>
      </c>
      <c r="Y41" s="35" t="str">
        <f t="shared" si="20"/>
        <v>location: {lat: , lng: }</v>
      </c>
      <c r="Z41" s="35" t="str">
        <f>IF(LEN(S41)&gt;1,VLOOKUP(S41,Sheet3!$A:$B,2,),"")</f>
        <v/>
      </c>
      <c r="AA41" s="35" t="str">
        <f>IF(LEN(T41)&gt;1,VLOOKUP(T41,Sheet3!$A:$B,2,),"")</f>
        <v/>
      </c>
      <c r="AB41" s="35" t="str">
        <f>IF(LEN(U41)&gt;1,VLOOKUP(U41,Sheet3!$A:$B,2,),"")</f>
        <v/>
      </c>
      <c r="AC41" s="37" t="str">
        <f t="shared" si="8"/>
        <v/>
      </c>
      <c r="AD41" s="37" t="str">
        <f t="shared" si="9"/>
        <v/>
      </c>
      <c r="AE41" s="37" t="str">
        <f t="shared" si="10"/>
        <v/>
      </c>
      <c r="AF41" s="37" t="str">
        <f>"- marian-sites
- churches
- "&amp;VLOOKUP(C41,'(Ref) Countries'!A:C,3,)&amp;IF(LEN(S41)&gt;1,"
- "&amp;S41,"")&amp;IF(LEN(T41)&gt;1,"
- "&amp;T41,"")&amp;IF(LEN(U41)&gt;1,"
- "&amp;U41,"")</f>
        <v>- marian-sites
- churches
- italy</v>
      </c>
      <c r="AG41" s="37" t="str">
        <f t="shared" si="11"/>
        <v xml:space="preserve">| </v>
      </c>
      <c r="AH41" s="37" t="str">
        <f t="shared" si="12"/>
        <v xml:space="preserve">| Genoa </v>
      </c>
      <c r="AI41" s="37" t="str">
        <f>"| "&amp;IF(W41,GetTagPage(C41,VLOOKUP(C41,'(Ref) Countries'!A:C,3,)),C41)&amp; " "</f>
        <v xml:space="preserve">| Italy </v>
      </c>
      <c r="AJ41" s="37" t="str">
        <f t="shared" si="13"/>
        <v xml:space="preserve">| 1490 </v>
      </c>
      <c r="AK41" s="37" t="str">
        <f t="shared" si="14"/>
        <v xml:space="preserve">| </v>
      </c>
      <c r="AL41" s="35" t="str">
        <f t="shared" si="21"/>
        <v xml:space="preserve">| </v>
      </c>
      <c r="AM41" s="37" t="str">
        <f t="shared" si="22"/>
        <v xml:space="preserve">| [Link](http://www.therealpresence.org/eucharst/misc/BVM/64_GENOVA_60x96.pdf) </v>
      </c>
      <c r="AN41" s="37" t="str">
        <f t="shared" si="23"/>
        <v xml:space="preserve">| </v>
      </c>
      <c r="AO41" s="37" t="str">
        <f t="shared" si="24"/>
        <v xml:space="preserve">| </v>
      </c>
      <c r="AP41" s="37" t="str">
        <f t="shared" si="15"/>
        <v xml:space="preserve">
| | [Link](http://www.therealpresence.org/eucharst/misc/BVM/64_GENOVA_60x96.pdf) | | |</v>
      </c>
      <c r="AQ41" s="48" t="str">
        <f>VLOOKUP(C41,'(Ref) Countries'!A:B,2,)&amp;"-"&amp;LOWER(SUBSTITUTE(H41," ","-"))&amp;".md"</f>
        <v>it-.md</v>
      </c>
      <c r="AR41" s="35" t="str">
        <f t="shared" si="16"/>
        <v xml:space="preserve">
| Genoa | Italy | 1490 | | | [Link](http://www.therealpresence.org/eucharst/misc/BVM/64_GENOVA_60x96.pdf) | | | |</v>
      </c>
      <c r="AS41" s="48" t="str">
        <f t="shared" si="25"/>
        <v/>
      </c>
      <c r="AT41" s="15" t="s">
        <v>336</v>
      </c>
    </row>
    <row r="42" spans="1:46" x14ac:dyDescent="0.25">
      <c r="A42" s="27"/>
      <c r="B42" s="31" t="s">
        <v>1223</v>
      </c>
      <c r="C42" s="32" t="s">
        <v>558</v>
      </c>
      <c r="D42" s="61">
        <v>1491</v>
      </c>
      <c r="E42" s="32"/>
      <c r="F42" s="32"/>
      <c r="G42" s="33"/>
      <c r="H42" s="33"/>
      <c r="I42" s="33" t="s">
        <v>1758</v>
      </c>
      <c r="J42" s="33"/>
      <c r="K42" s="32" t="s">
        <v>336</v>
      </c>
      <c r="L42" s="32" t="s">
        <v>336</v>
      </c>
      <c r="M42" s="32" t="s">
        <v>217</v>
      </c>
      <c r="N42" s="32" t="s">
        <v>336</v>
      </c>
      <c r="O42" s="32" t="s">
        <v>336</v>
      </c>
      <c r="P42" s="32" t="s">
        <v>336</v>
      </c>
      <c r="Q42" s="32" t="s">
        <v>336</v>
      </c>
      <c r="R42" s="32" t="s">
        <v>336</v>
      </c>
      <c r="S42" s="32" t="s">
        <v>336</v>
      </c>
      <c r="T42" s="32"/>
      <c r="U42" s="32"/>
      <c r="V42" s="33"/>
      <c r="W42" s="38" t="b">
        <f t="shared" si="7"/>
        <v>0</v>
      </c>
      <c r="X42" s="35" t="str">
        <f t="shared" si="19"/>
        <v>title: ""</v>
      </c>
      <c r="Y42" s="35" t="str">
        <f t="shared" si="20"/>
        <v>location: {lat: , lng: }</v>
      </c>
      <c r="Z42" s="35" t="str">
        <f>IF(LEN(S42)&gt;1,VLOOKUP(S42,Sheet3!$A:$B,2,),"")</f>
        <v/>
      </c>
      <c r="AA42" s="35" t="str">
        <f>IF(LEN(T42)&gt;1,VLOOKUP(T42,Sheet3!$A:$B,2,),"")</f>
        <v/>
      </c>
      <c r="AB42" s="35" t="str">
        <f>IF(LEN(U42)&gt;1,VLOOKUP(U42,Sheet3!$A:$B,2,),"")</f>
        <v/>
      </c>
      <c r="AC42" s="37" t="str">
        <f t="shared" si="8"/>
        <v/>
      </c>
      <c r="AD42" s="37" t="str">
        <f t="shared" si="9"/>
        <v/>
      </c>
      <c r="AE42" s="37" t="str">
        <f t="shared" si="10"/>
        <v/>
      </c>
      <c r="AF42" s="37" t="str">
        <f>"- marian-sites
- churches
- "&amp;VLOOKUP(C42,'(Ref) Countries'!A:C,3,)&amp;IF(LEN(S42)&gt;1,"
- "&amp;S42,"")&amp;IF(LEN(T42)&gt;1,"
- "&amp;T42,"")&amp;IF(LEN(U42)&gt;1,"
- "&amp;U42,"")</f>
        <v>- marian-sites
- churches
- france</v>
      </c>
      <c r="AG42" s="37" t="str">
        <f t="shared" si="11"/>
        <v xml:space="preserve">| </v>
      </c>
      <c r="AH42" s="37" t="str">
        <f t="shared" si="12"/>
        <v xml:space="preserve">| Trois-Epis </v>
      </c>
      <c r="AI42" s="37" t="str">
        <f>"| "&amp;IF(W42,GetTagPage(C42,VLOOKUP(C42,'(Ref) Countries'!A:C,3,)),C42)&amp; " "</f>
        <v xml:space="preserve">| France </v>
      </c>
      <c r="AJ42" s="37" t="str">
        <f t="shared" si="13"/>
        <v xml:space="preserve">| 1491 </v>
      </c>
      <c r="AK42" s="37" t="str">
        <f t="shared" si="14"/>
        <v xml:space="preserve">| </v>
      </c>
      <c r="AL42" s="35" t="str">
        <f t="shared" si="21"/>
        <v xml:space="preserve">| </v>
      </c>
      <c r="AM42" s="37" t="str">
        <f t="shared" si="22"/>
        <v xml:space="preserve">| [Link](http://www.therealpresence.org/eucharst/misc/BVM/24_TROIS_EPIS_60x96.pdf) </v>
      </c>
      <c r="AN42" s="37" t="str">
        <f t="shared" si="23"/>
        <v xml:space="preserve">| </v>
      </c>
      <c r="AO42" s="37" t="str">
        <f t="shared" si="24"/>
        <v xml:space="preserve">| </v>
      </c>
      <c r="AP42" s="37" t="str">
        <f t="shared" si="15"/>
        <v xml:space="preserve">
| | [Link](http://www.therealpresence.org/eucharst/misc/BVM/24_TROIS_EPIS_60x96.pdf) | | |</v>
      </c>
      <c r="AQ42" s="48" t="str">
        <f>VLOOKUP(C42,'(Ref) Countries'!A:B,2,)&amp;"-"&amp;LOWER(SUBSTITUTE(H42," ","-"))&amp;".md"</f>
        <v>fr-.md</v>
      </c>
      <c r="AR42" s="35" t="str">
        <f t="shared" si="16"/>
        <v xml:space="preserve">
| Trois-Epis | France | 1491 | | | [Link](http://www.therealpresence.org/eucharst/misc/BVM/24_TROIS_EPIS_60x96.pdf) | | | |</v>
      </c>
      <c r="AS42" s="48" t="str">
        <f t="shared" si="25"/>
        <v/>
      </c>
      <c r="AT42" s="15" t="s">
        <v>336</v>
      </c>
    </row>
    <row r="43" spans="1:46" x14ac:dyDescent="0.25">
      <c r="A43" s="27"/>
      <c r="B43" s="31" t="s">
        <v>1224</v>
      </c>
      <c r="C43" s="32" t="s">
        <v>11</v>
      </c>
      <c r="D43" s="61">
        <v>1492</v>
      </c>
      <c r="E43" s="32"/>
      <c r="F43" s="32"/>
      <c r="G43" s="33"/>
      <c r="H43" s="33"/>
      <c r="I43" s="33" t="s">
        <v>1758</v>
      </c>
      <c r="J43" s="33"/>
      <c r="K43" s="32" t="s">
        <v>336</v>
      </c>
      <c r="L43" s="32" t="s">
        <v>336</v>
      </c>
      <c r="M43" s="32" t="s">
        <v>218</v>
      </c>
      <c r="N43" s="32" t="s">
        <v>336</v>
      </c>
      <c r="O43" s="32" t="s">
        <v>336</v>
      </c>
      <c r="P43" s="32" t="s">
        <v>336</v>
      </c>
      <c r="Q43" s="32" t="s">
        <v>336</v>
      </c>
      <c r="R43" s="32" t="s">
        <v>336</v>
      </c>
      <c r="S43" s="32" t="s">
        <v>336</v>
      </c>
      <c r="T43" s="32"/>
      <c r="U43" s="32"/>
      <c r="V43" s="33"/>
      <c r="W43" s="38" t="b">
        <f t="shared" si="7"/>
        <v>0</v>
      </c>
      <c r="X43" s="35" t="str">
        <f t="shared" si="19"/>
        <v>title: ""</v>
      </c>
      <c r="Y43" s="35" t="str">
        <f t="shared" si="20"/>
        <v>location: {lat: , lng: }</v>
      </c>
      <c r="Z43" s="35" t="str">
        <f>IF(LEN(S43)&gt;1,VLOOKUP(S43,Sheet3!$A:$B,2,),"")</f>
        <v/>
      </c>
      <c r="AA43" s="35" t="str">
        <f>IF(LEN(T43)&gt;1,VLOOKUP(T43,Sheet3!$A:$B,2,),"")</f>
        <v/>
      </c>
      <c r="AB43" s="35" t="str">
        <f>IF(LEN(U43)&gt;1,VLOOKUP(U43,Sheet3!$A:$B,2,),"")</f>
        <v/>
      </c>
      <c r="AC43" s="37" t="str">
        <f t="shared" si="8"/>
        <v/>
      </c>
      <c r="AD43" s="37" t="str">
        <f t="shared" si="9"/>
        <v/>
      </c>
      <c r="AE43" s="37" t="str">
        <f t="shared" si="10"/>
        <v/>
      </c>
      <c r="AF43" s="37" t="str">
        <f>"- marian-sites
- churches
- "&amp;VLOOKUP(C43,'(Ref) Countries'!A:C,3,)&amp;IF(LEN(S43)&gt;1,"
- "&amp;S43,"")&amp;IF(LEN(T43)&gt;1,"
- "&amp;T43,"")&amp;IF(LEN(U43)&gt;1,"
- "&amp;U43,"")</f>
        <v>- marian-sites
- churches
- italy</v>
      </c>
      <c r="AG43" s="37" t="str">
        <f t="shared" si="11"/>
        <v xml:space="preserve">| </v>
      </c>
      <c r="AH43" s="37" t="str">
        <f t="shared" si="12"/>
        <v xml:space="preserve">| Gallivaggio </v>
      </c>
      <c r="AI43" s="37" t="str">
        <f>"| "&amp;IF(W43,GetTagPage(C43,VLOOKUP(C43,'(Ref) Countries'!A:C,3,)),C43)&amp; " "</f>
        <v xml:space="preserve">| Italy </v>
      </c>
      <c r="AJ43" s="37" t="str">
        <f t="shared" si="13"/>
        <v xml:space="preserve">| 1492 </v>
      </c>
      <c r="AK43" s="37" t="str">
        <f t="shared" si="14"/>
        <v xml:space="preserve">| </v>
      </c>
      <c r="AL43" s="35" t="str">
        <f t="shared" si="21"/>
        <v xml:space="preserve">| </v>
      </c>
      <c r="AM43" s="37" t="str">
        <f t="shared" si="22"/>
        <v xml:space="preserve">| [Link](http://www.therealpresence.org/eucharst/misc/BVM/51_GALLIVAGGIO_60x96.pdf) </v>
      </c>
      <c r="AN43" s="37" t="str">
        <f t="shared" si="23"/>
        <v xml:space="preserve">| </v>
      </c>
      <c r="AO43" s="37" t="str">
        <f t="shared" si="24"/>
        <v xml:space="preserve">| </v>
      </c>
      <c r="AP43" s="37" t="str">
        <f t="shared" si="15"/>
        <v xml:space="preserve">
| | [Link](http://www.therealpresence.org/eucharst/misc/BVM/51_GALLIVAGGIO_60x96.pdf) | | |</v>
      </c>
      <c r="AQ43" s="48" t="str">
        <f>VLOOKUP(C43,'(Ref) Countries'!A:B,2,)&amp;"-"&amp;LOWER(SUBSTITUTE(H43," ","-"))&amp;".md"</f>
        <v>it-.md</v>
      </c>
      <c r="AR43" s="35" t="str">
        <f t="shared" si="16"/>
        <v xml:space="preserve">
| Gallivaggio | Italy | 1492 | | | [Link](http://www.therealpresence.org/eucharst/misc/BVM/51_GALLIVAGGIO_60x96.pdf) | | | |</v>
      </c>
      <c r="AS43" s="48" t="str">
        <f t="shared" si="25"/>
        <v/>
      </c>
      <c r="AT43" s="15" t="s">
        <v>336</v>
      </c>
    </row>
    <row r="44" spans="1:46" x14ac:dyDescent="0.25">
      <c r="A44" s="27"/>
      <c r="B44" s="31" t="s">
        <v>1225</v>
      </c>
      <c r="C44" s="32" t="s">
        <v>11</v>
      </c>
      <c r="D44" s="61">
        <v>1494</v>
      </c>
      <c r="E44" s="32"/>
      <c r="F44" s="32"/>
      <c r="G44" s="33"/>
      <c r="H44" s="33"/>
      <c r="I44" s="33" t="s">
        <v>1758</v>
      </c>
      <c r="J44" s="33"/>
      <c r="K44" s="32" t="s">
        <v>336</v>
      </c>
      <c r="L44" s="32" t="s">
        <v>336</v>
      </c>
      <c r="M44" s="32" t="s">
        <v>219</v>
      </c>
      <c r="N44" s="32" t="s">
        <v>336</v>
      </c>
      <c r="O44" s="32" t="s">
        <v>336</v>
      </c>
      <c r="P44" s="32" t="s">
        <v>336</v>
      </c>
      <c r="Q44" s="32" t="s">
        <v>336</v>
      </c>
      <c r="R44" s="32" t="s">
        <v>336</v>
      </c>
      <c r="S44" s="32" t="s">
        <v>336</v>
      </c>
      <c r="T44" s="32"/>
      <c r="U44" s="32"/>
      <c r="V44" s="33"/>
      <c r="W44" s="38" t="b">
        <f t="shared" si="7"/>
        <v>0</v>
      </c>
      <c r="X44" s="35" t="str">
        <f t="shared" si="19"/>
        <v>title: ""</v>
      </c>
      <c r="Y44" s="35" t="str">
        <f t="shared" si="20"/>
        <v>location: {lat: , lng: }</v>
      </c>
      <c r="Z44" s="35" t="str">
        <f>IF(LEN(S44)&gt;1,VLOOKUP(S44,Sheet3!$A:$B,2,),"")</f>
        <v/>
      </c>
      <c r="AA44" s="35" t="str">
        <f>IF(LEN(T44)&gt;1,VLOOKUP(T44,Sheet3!$A:$B,2,),"")</f>
        <v/>
      </c>
      <c r="AB44" s="35" t="str">
        <f>IF(LEN(U44)&gt;1,VLOOKUP(U44,Sheet3!$A:$B,2,),"")</f>
        <v/>
      </c>
      <c r="AC44" s="37" t="str">
        <f t="shared" si="8"/>
        <v/>
      </c>
      <c r="AD44" s="37" t="str">
        <f t="shared" si="9"/>
        <v/>
      </c>
      <c r="AE44" s="37" t="str">
        <f t="shared" si="10"/>
        <v/>
      </c>
      <c r="AF44" s="37" t="str">
        <f>"- marian-sites
- churches
- "&amp;VLOOKUP(C44,'(Ref) Countries'!A:C,3,)&amp;IF(LEN(S44)&gt;1,"
- "&amp;S44,"")&amp;IF(LEN(T44)&gt;1,"
- "&amp;T44,"")&amp;IF(LEN(U44)&gt;1,"
- "&amp;U44,"")</f>
        <v>- marian-sites
- churches
- italy</v>
      </c>
      <c r="AG44" s="37" t="str">
        <f t="shared" si="11"/>
        <v xml:space="preserve">| </v>
      </c>
      <c r="AH44" s="37" t="str">
        <f t="shared" si="12"/>
        <v xml:space="preserve">| Re </v>
      </c>
      <c r="AI44" s="37" t="str">
        <f>"| "&amp;IF(W44,GetTagPage(C44,VLOOKUP(C44,'(Ref) Countries'!A:C,3,)),C44)&amp; " "</f>
        <v xml:space="preserve">| Italy </v>
      </c>
      <c r="AJ44" s="37" t="str">
        <f t="shared" si="13"/>
        <v xml:space="preserve">| 1494 </v>
      </c>
      <c r="AK44" s="37" t="str">
        <f t="shared" si="14"/>
        <v xml:space="preserve">| </v>
      </c>
      <c r="AL44" s="35" t="str">
        <f t="shared" si="21"/>
        <v xml:space="preserve">| </v>
      </c>
      <c r="AM44" s="37" t="str">
        <f t="shared" si="22"/>
        <v xml:space="preserve">| [Link](http://www.therealpresence.org/eucharst/misc/BVM/87_RE_60x96.pdf) </v>
      </c>
      <c r="AN44" s="37" t="str">
        <f t="shared" si="23"/>
        <v xml:space="preserve">| </v>
      </c>
      <c r="AO44" s="37" t="str">
        <f t="shared" si="24"/>
        <v xml:space="preserve">| </v>
      </c>
      <c r="AP44" s="37" t="str">
        <f t="shared" si="15"/>
        <v xml:space="preserve">
| | [Link](http://www.therealpresence.org/eucharst/misc/BVM/87_RE_60x96.pdf) | | |</v>
      </c>
      <c r="AQ44" s="48" t="str">
        <f>VLOOKUP(C44,'(Ref) Countries'!A:B,2,)&amp;"-"&amp;LOWER(SUBSTITUTE(H44," ","-"))&amp;".md"</f>
        <v>it-.md</v>
      </c>
      <c r="AR44" s="35" t="str">
        <f t="shared" si="16"/>
        <v xml:space="preserve">
| Re | Italy | 1494 | | | [Link](http://www.therealpresence.org/eucharst/misc/BVM/87_RE_60x96.pdf) | | | |</v>
      </c>
      <c r="AS44" s="48" t="str">
        <f t="shared" si="25"/>
        <v/>
      </c>
      <c r="AT44" s="15" t="s">
        <v>336</v>
      </c>
    </row>
    <row r="45" spans="1:46" x14ac:dyDescent="0.25">
      <c r="A45" s="27"/>
      <c r="B45" s="31" t="s">
        <v>1226</v>
      </c>
      <c r="C45" s="32" t="s">
        <v>11</v>
      </c>
      <c r="D45" s="61">
        <v>1496</v>
      </c>
      <c r="E45" s="32"/>
      <c r="F45" s="32"/>
      <c r="G45" s="33"/>
      <c r="H45" s="33"/>
      <c r="I45" s="33" t="s">
        <v>1758</v>
      </c>
      <c r="J45" s="33"/>
      <c r="K45" s="32" t="s">
        <v>336</v>
      </c>
      <c r="L45" s="32" t="s">
        <v>336</v>
      </c>
      <c r="M45" s="32" t="s">
        <v>220</v>
      </c>
      <c r="N45" s="32" t="s">
        <v>336</v>
      </c>
      <c r="O45" s="32" t="s">
        <v>336</v>
      </c>
      <c r="P45" s="32" t="s">
        <v>336</v>
      </c>
      <c r="Q45" s="32" t="s">
        <v>336</v>
      </c>
      <c r="R45" s="32" t="s">
        <v>336</v>
      </c>
      <c r="S45" s="32" t="s">
        <v>336</v>
      </c>
      <c r="T45" s="32"/>
      <c r="U45" s="32"/>
      <c r="V45" s="33"/>
      <c r="W45" s="38" t="b">
        <f t="shared" si="7"/>
        <v>0</v>
      </c>
      <c r="X45" s="35" t="str">
        <f t="shared" si="19"/>
        <v>title: ""</v>
      </c>
      <c r="Y45" s="35" t="str">
        <f t="shared" si="20"/>
        <v>location: {lat: , lng: }</v>
      </c>
      <c r="Z45" s="35" t="str">
        <f>IF(LEN(S45)&gt;1,VLOOKUP(S45,Sheet3!$A:$B,2,),"")</f>
        <v/>
      </c>
      <c r="AA45" s="35" t="str">
        <f>IF(LEN(T45)&gt;1,VLOOKUP(T45,Sheet3!$A:$B,2,),"")</f>
        <v/>
      </c>
      <c r="AB45" s="35" t="str">
        <f>IF(LEN(U45)&gt;1,VLOOKUP(U45,Sheet3!$A:$B,2,),"")</f>
        <v/>
      </c>
      <c r="AC45" s="37" t="str">
        <f t="shared" si="8"/>
        <v/>
      </c>
      <c r="AD45" s="37" t="str">
        <f t="shared" si="9"/>
        <v/>
      </c>
      <c r="AE45" s="37" t="str">
        <f t="shared" si="10"/>
        <v/>
      </c>
      <c r="AF45" s="37" t="str">
        <f>"- marian-sites
- churches
- "&amp;VLOOKUP(C45,'(Ref) Countries'!A:C,3,)&amp;IF(LEN(S45)&gt;1,"
- "&amp;S45,"")&amp;IF(LEN(T45)&gt;1,"
- "&amp;T45,"")&amp;IF(LEN(U45)&gt;1,"
- "&amp;U45,"")</f>
        <v>- marian-sites
- churches
- italy</v>
      </c>
      <c r="AG45" s="37" t="str">
        <f t="shared" si="11"/>
        <v xml:space="preserve">| </v>
      </c>
      <c r="AH45" s="37" t="str">
        <f t="shared" si="12"/>
        <v xml:space="preserve">| Bettola </v>
      </c>
      <c r="AI45" s="37" t="str">
        <f>"| "&amp;IF(W45,GetTagPage(C45,VLOOKUP(C45,'(Ref) Countries'!A:C,3,)),C45)&amp; " "</f>
        <v xml:space="preserve">| Italy </v>
      </c>
      <c r="AJ45" s="37" t="str">
        <f t="shared" si="13"/>
        <v xml:space="preserve">| 1496 </v>
      </c>
      <c r="AK45" s="37" t="str">
        <f t="shared" si="14"/>
        <v xml:space="preserve">| </v>
      </c>
      <c r="AL45" s="35" t="str">
        <f t="shared" si="21"/>
        <v xml:space="preserve">| </v>
      </c>
      <c r="AM45" s="37" t="str">
        <f t="shared" si="22"/>
        <v xml:space="preserve">| [Link](http://www.therealpresence.org/eucharst/misc/BVM/47_BETTOLA_60x96.pdf) </v>
      </c>
      <c r="AN45" s="37" t="str">
        <f t="shared" si="23"/>
        <v xml:space="preserve">| </v>
      </c>
      <c r="AO45" s="37" t="str">
        <f t="shared" si="24"/>
        <v xml:space="preserve">| </v>
      </c>
      <c r="AP45" s="37" t="str">
        <f t="shared" si="15"/>
        <v xml:space="preserve">
| | [Link](http://www.therealpresence.org/eucharst/misc/BVM/47_BETTOLA_60x96.pdf) | | |</v>
      </c>
      <c r="AQ45" s="48" t="str">
        <f>VLOOKUP(C45,'(Ref) Countries'!A:B,2,)&amp;"-"&amp;LOWER(SUBSTITUTE(H45," ","-"))&amp;".md"</f>
        <v>it-.md</v>
      </c>
      <c r="AR45" s="35" t="str">
        <f t="shared" si="16"/>
        <v xml:space="preserve">
| Bettola | Italy | 1496 | | | [Link](http://www.therealpresence.org/eucharst/misc/BVM/47_BETTOLA_60x96.pdf) | | | |</v>
      </c>
      <c r="AS45" s="48" t="str">
        <f t="shared" si="25"/>
        <v/>
      </c>
      <c r="AT45" s="15" t="s">
        <v>336</v>
      </c>
    </row>
    <row r="46" spans="1:46" x14ac:dyDescent="0.25">
      <c r="A46" s="27"/>
      <c r="B46" s="31" t="s">
        <v>1227</v>
      </c>
      <c r="C46" s="32" t="s">
        <v>11</v>
      </c>
      <c r="D46" s="61" t="s">
        <v>1106</v>
      </c>
      <c r="E46" s="32"/>
      <c r="F46" s="32"/>
      <c r="G46" s="33"/>
      <c r="H46" s="33"/>
      <c r="I46" s="33" t="s">
        <v>1758</v>
      </c>
      <c r="J46" s="33"/>
      <c r="K46" s="32" t="s">
        <v>336</v>
      </c>
      <c r="L46" s="32" t="s">
        <v>336</v>
      </c>
      <c r="M46" s="32" t="s">
        <v>221</v>
      </c>
      <c r="N46" s="32" t="s">
        <v>336</v>
      </c>
      <c r="O46" s="32" t="s">
        <v>336</v>
      </c>
      <c r="P46" s="32" t="s">
        <v>336</v>
      </c>
      <c r="Q46" s="32" t="s">
        <v>336</v>
      </c>
      <c r="R46" s="32" t="s">
        <v>336</v>
      </c>
      <c r="S46" s="32" t="s">
        <v>336</v>
      </c>
      <c r="T46" s="32"/>
      <c r="U46" s="32"/>
      <c r="V46" s="33"/>
      <c r="W46" s="38" t="b">
        <f t="shared" si="7"/>
        <v>0</v>
      </c>
      <c r="X46" s="35" t="str">
        <f t="shared" si="19"/>
        <v>title: ""</v>
      </c>
      <c r="Y46" s="35" t="str">
        <f t="shared" si="20"/>
        <v>location: {lat: , lng: }</v>
      </c>
      <c r="Z46" s="35" t="str">
        <f>IF(LEN(S46)&gt;1,VLOOKUP(S46,Sheet3!$A:$B,2,),"")</f>
        <v/>
      </c>
      <c r="AA46" s="35" t="str">
        <f>IF(LEN(T46)&gt;1,VLOOKUP(T46,Sheet3!$A:$B,2,),"")</f>
        <v/>
      </c>
      <c r="AB46" s="35" t="str">
        <f>IF(LEN(U46)&gt;1,VLOOKUP(U46,Sheet3!$A:$B,2,),"")</f>
        <v/>
      </c>
      <c r="AC46" s="37" t="str">
        <f t="shared" si="8"/>
        <v/>
      </c>
      <c r="AD46" s="37" t="str">
        <f t="shared" si="9"/>
        <v/>
      </c>
      <c r="AE46" s="37" t="str">
        <f t="shared" si="10"/>
        <v/>
      </c>
      <c r="AF46" s="37" t="str">
        <f>"- marian-sites
- churches
- "&amp;VLOOKUP(C46,'(Ref) Countries'!A:C,3,)&amp;IF(LEN(S46)&gt;1,"
- "&amp;S46,"")&amp;IF(LEN(T46)&gt;1,"
- "&amp;T46,"")&amp;IF(LEN(U46)&gt;1,"
- "&amp;U46,"")</f>
        <v>- marian-sites
- churches
- italy</v>
      </c>
      <c r="AG46" s="37" t="str">
        <f t="shared" si="11"/>
        <v xml:space="preserve">| </v>
      </c>
      <c r="AH46" s="37" t="str">
        <f t="shared" si="12"/>
        <v xml:space="preserve">| Molare </v>
      </c>
      <c r="AI46" s="37" t="str">
        <f>"| "&amp;IF(W46,GetTagPage(C46,VLOOKUP(C46,'(Ref) Countries'!A:C,3,)),C46)&amp; " "</f>
        <v xml:space="preserve">| Italy </v>
      </c>
      <c r="AJ46" s="37" t="str">
        <f t="shared" si="13"/>
        <v xml:space="preserve">| 16th Century </v>
      </c>
      <c r="AK46" s="37" t="str">
        <f t="shared" si="14"/>
        <v xml:space="preserve">| </v>
      </c>
      <c r="AL46" s="35" t="str">
        <f t="shared" si="21"/>
        <v xml:space="preserve">| </v>
      </c>
      <c r="AM46" s="37" t="str">
        <f t="shared" si="22"/>
        <v xml:space="preserve">| [Link](http://www.therealpresence.org/eucharst/misc/BVM/65_MOLARE_60x96.pdf) </v>
      </c>
      <c r="AN46" s="37" t="str">
        <f t="shared" si="23"/>
        <v xml:space="preserve">| </v>
      </c>
      <c r="AO46" s="37" t="str">
        <f t="shared" si="24"/>
        <v xml:space="preserve">| </v>
      </c>
      <c r="AP46" s="37" t="str">
        <f t="shared" si="15"/>
        <v xml:space="preserve">
| | [Link](http://www.therealpresence.org/eucharst/misc/BVM/65_MOLARE_60x96.pdf) | | |</v>
      </c>
      <c r="AQ46" s="48" t="str">
        <f>VLOOKUP(C46,'(Ref) Countries'!A:B,2,)&amp;"-"&amp;LOWER(SUBSTITUTE(H46," ","-"))&amp;".md"</f>
        <v>it-.md</v>
      </c>
      <c r="AR46" s="35" t="str">
        <f t="shared" si="16"/>
        <v xml:space="preserve">
| Molare | Italy | 16th Century | | | [Link](http://www.therealpresence.org/eucharst/misc/BVM/65_MOLARE_60x96.pdf) | | | |</v>
      </c>
      <c r="AS46" s="48" t="str">
        <f t="shared" si="25"/>
        <v/>
      </c>
      <c r="AT46" s="15" t="s">
        <v>336</v>
      </c>
    </row>
    <row r="47" spans="1:46" ht="63.75" x14ac:dyDescent="0.25">
      <c r="A47" s="27" t="s">
        <v>1330</v>
      </c>
      <c r="B47" s="31" t="s">
        <v>1228</v>
      </c>
      <c r="C47" s="32" t="s">
        <v>2</v>
      </c>
      <c r="D47" s="61" t="s">
        <v>1106</v>
      </c>
      <c r="E47" s="32">
        <v>10.6803068</v>
      </c>
      <c r="F47" s="32">
        <v>79.849313699999996</v>
      </c>
      <c r="G47" s="72" t="s">
        <v>1753</v>
      </c>
      <c r="H47" s="72" t="s">
        <v>1746</v>
      </c>
      <c r="I47" s="72" t="s">
        <v>1758</v>
      </c>
      <c r="J47" s="72" t="s">
        <v>1751</v>
      </c>
      <c r="K47" s="73" t="s">
        <v>1748</v>
      </c>
      <c r="L47" s="32" t="s">
        <v>336</v>
      </c>
      <c r="M47" s="32" t="s">
        <v>222</v>
      </c>
      <c r="N47" s="32" t="s">
        <v>336</v>
      </c>
      <c r="O47" s="73" t="s">
        <v>1750</v>
      </c>
      <c r="P47" s="32" t="s">
        <v>336</v>
      </c>
      <c r="Q47" s="32" t="s">
        <v>1752</v>
      </c>
      <c r="R47" s="32" t="s">
        <v>336</v>
      </c>
      <c r="S47" s="32" t="s">
        <v>336</v>
      </c>
      <c r="T47" s="32"/>
      <c r="U47" s="32"/>
      <c r="V47" s="72" t="s">
        <v>1763</v>
      </c>
      <c r="W47" s="38" t="b">
        <f t="shared" si="7"/>
        <v>1</v>
      </c>
      <c r="X47" s="35" t="str">
        <f t="shared" si="19"/>
        <v>title: "Basilica of Our Lady of Good Health (Our Lady of Velankanni)"</v>
      </c>
      <c r="Y47" s="35" t="str">
        <f t="shared" si="20"/>
        <v>location: {lat: 10.6803068, lng: 79.8493137}</v>
      </c>
      <c r="Z47" s="35" t="str">
        <f>IF(LEN(S47)&gt;1,VLOOKUP(S47,Sheet3!$A:$B,2,),"")</f>
        <v/>
      </c>
      <c r="AA47" s="35" t="str">
        <f>IF(LEN(T47)&gt;1,VLOOKUP(T47,Sheet3!$A:$B,2,),"")</f>
        <v/>
      </c>
      <c r="AB47" s="35" t="str">
        <f>IF(LEN(U47)&gt;1,VLOOKUP(U47,Sheet3!$A:$B,2,),"")</f>
        <v/>
      </c>
      <c r="AC47" s="37" t="str">
        <f t="shared" si="8"/>
        <v/>
      </c>
      <c r="AD47" s="37" t="str">
        <f t="shared" si="9"/>
        <v/>
      </c>
      <c r="AE47" s="37" t="str">
        <f t="shared" si="10"/>
        <v/>
      </c>
      <c r="AF47" s="37" t="str">
        <f>"- marian-sites
- churches
- "&amp;VLOOKUP(C47,'(Ref) Countries'!A:C,3,)&amp;IF(LEN(S47)&gt;1,"
- "&amp;S47,"")&amp;IF(LEN(T47)&gt;1,"
- "&amp;T47,"")&amp;IF(LEN(U47)&gt;1,"
- "&amp;U47,"")</f>
        <v>- marian-sites
- churches
- india</v>
      </c>
      <c r="AG47" s="37" t="str">
        <f t="shared" si="11"/>
        <v xml:space="preserve">| </v>
      </c>
      <c r="AH47" s="37" t="str">
        <f t="shared" si="12"/>
        <v xml:space="preserve">| [Vailankanni](/places/in-basilica-of-our-lady-of-good-health) </v>
      </c>
      <c r="AI47" s="37" t="str">
        <f>"| "&amp;IF(W47,GetTagPage(C47,VLOOKUP(C47,'(Ref) Countries'!A:C,3,)),C47)&amp; " "</f>
        <v xml:space="preserve">| [India](/tags/india) </v>
      </c>
      <c r="AJ47" s="37" t="str">
        <f t="shared" si="13"/>
        <v xml:space="preserve">| 16th Century </v>
      </c>
      <c r="AK47" s="37" t="str">
        <f t="shared" si="14"/>
        <v xml:space="preserve">| [Link](/places/in-basilica-of-our-lady-of-good-health) </v>
      </c>
      <c r="AL47" s="35" t="str">
        <f t="shared" si="21"/>
        <v xml:space="preserve">| [Link](https://www.velankannichurch.com/) </v>
      </c>
      <c r="AM47" s="37" t="str">
        <f t="shared" si="22"/>
        <v xml:space="preserve">| [Link](http://www.therealpresence.org/eucharst/misc/BVM/32_VAILANKANNI_60x96.pdf) </v>
      </c>
      <c r="AN47" s="37" t="str">
        <f t="shared" si="23"/>
        <v xml:space="preserve">| [Link](https://www.miraclehunter.com/marian_apparitions/approved_apparitions/vailankanni/) </v>
      </c>
      <c r="AO47" s="37" t="str">
        <f t="shared" si="24"/>
        <v xml:space="preserve">| [Link](https://www.marypages.com/vailankanni-(india)-en.html) </v>
      </c>
      <c r="AP47" s="37" t="str">
        <f t="shared" si="15"/>
        <v xml:space="preserve">
| [Link](https://www.velankannichurch.com/) | [Link](http://www.therealpresence.org/eucharst/misc/BVM/32_VAILANKANNI_60x96.pdf) | [Link](https://www.miraclehunter.com/marian_apparitions/approved_apparitions/vailankanni/) | [Link](https://www.marypages.com/vailankanni-(india)-en.html) |</v>
      </c>
      <c r="AQ47" s="48" t="str">
        <f>VLOOKUP(C47,'(Ref) Countries'!A:B,2,)&amp;"-"&amp;LOWER(SUBSTITUTE(H47," ","-"))&amp;".md"</f>
        <v>in-basilica-of-our-lady-of-good-health.md</v>
      </c>
      <c r="AR47" s="35" t="str">
        <f t="shared" si="16"/>
        <v xml:space="preserve">
| [Vailankanni](/places/in-basilica-of-our-lady-of-good-health) | [India](/tags/india) | 16th Century | [Link](/places/in-basilica-of-our-lady-of-good-health) | [Link](https://www.velankannichurch.com/) | [Link](http://www.therealpresence.org/eucharst/misc/BVM/32_VAILANKANNI_60x96.pdf) | [Link](https://www.miraclehunter.com/marian_apparitions/approved_apparitions/vailankanni/) | [Link](https://www.marypages.com/vailankanni-(india)-en.html) | |</v>
      </c>
      <c r="AS47" s="48" t="str">
        <f t="shared" si="25"/>
        <v>---
title: "Basilica of Our Lady of Good Health (Our Lady of Velankanni)"
location: {lat: 10.6803068, lng: 79.8493137}
tags:
- marian-sites
- churches
- india
---
According to tradition, there have been multiple apparitions of the Blessed Virgin Mary at Velankanni, also known as Our Lady of Good Health.  As tradition would have it, the first of many apparitions occured to a young boy who was delivering buttermilk.
#### Source Material
| Official Site | The Real Presence | Miracle Hunter | MaryPages |
| --- | --- | --- | --- |
| [Link](https://www.velankannichurch.com/) | [Link](http://www.therealpresence.org/eucharst/misc/BVM/32_VAILANKANNI_60x96.pdf) | [Link](https://www.miraclehunter.com/marian_apparitions/approved_apparitions/vailankanni/) | [Link](https://www.marypages.com/vailankanni-(india)-en.html) |
#### Author's Note
An Indonesian parish of the same name also has a [good history](https://velangkanni.com/en/about-annai-velangkanni/) of the apparition.
- NDS</v>
      </c>
      <c r="AT47" s="15" t="s">
        <v>336</v>
      </c>
    </row>
    <row r="48" spans="1:46" x14ac:dyDescent="0.25">
      <c r="A48" s="27"/>
      <c r="B48" s="31" t="s">
        <v>1229</v>
      </c>
      <c r="C48" s="32" t="s">
        <v>532</v>
      </c>
      <c r="D48" s="61" t="s">
        <v>1106</v>
      </c>
      <c r="E48" s="32"/>
      <c r="F48" s="32"/>
      <c r="G48" s="33"/>
      <c r="H48" s="33"/>
      <c r="I48" s="33" t="s">
        <v>1758</v>
      </c>
      <c r="J48" s="33"/>
      <c r="K48" s="32" t="s">
        <v>336</v>
      </c>
      <c r="L48" s="32" t="s">
        <v>336</v>
      </c>
      <c r="M48" s="32" t="s">
        <v>223</v>
      </c>
      <c r="N48" s="32" t="s">
        <v>336</v>
      </c>
      <c r="O48" s="32" t="s">
        <v>336</v>
      </c>
      <c r="P48" s="32" t="s">
        <v>336</v>
      </c>
      <c r="Q48" s="32" t="s">
        <v>336</v>
      </c>
      <c r="R48" s="32" t="s">
        <v>336</v>
      </c>
      <c r="S48" s="32" t="s">
        <v>336</v>
      </c>
      <c r="T48" s="32"/>
      <c r="U48" s="32"/>
      <c r="V48" s="33"/>
      <c r="W48" s="38" t="b">
        <f t="shared" si="7"/>
        <v>0</v>
      </c>
      <c r="X48" s="35" t="str">
        <f t="shared" si="19"/>
        <v>title: ""</v>
      </c>
      <c r="Y48" s="35" t="str">
        <f t="shared" si="20"/>
        <v>location: {lat: , lng: }</v>
      </c>
      <c r="Z48" s="35" t="str">
        <f>IF(LEN(S48)&gt;1,VLOOKUP(S48,Sheet3!$A:$B,2,),"")</f>
        <v/>
      </c>
      <c r="AA48" s="35" t="str">
        <f>IF(LEN(T48)&gt;1,VLOOKUP(T48,Sheet3!$A:$B,2,),"")</f>
        <v/>
      </c>
      <c r="AB48" s="35" t="str">
        <f>IF(LEN(U48)&gt;1,VLOOKUP(U48,Sheet3!$A:$B,2,),"")</f>
        <v/>
      </c>
      <c r="AC48" s="37" t="str">
        <f t="shared" si="8"/>
        <v/>
      </c>
      <c r="AD48" s="37" t="str">
        <f t="shared" si="9"/>
        <v/>
      </c>
      <c r="AE48" s="37" t="str">
        <f t="shared" si="10"/>
        <v/>
      </c>
      <c r="AF48" s="37" t="str">
        <f>"- marian-sites
- churches
- "&amp;VLOOKUP(C48,'(Ref) Countries'!A:C,3,)&amp;IF(LEN(S48)&gt;1,"
- "&amp;S48,"")&amp;IF(LEN(T48)&gt;1,"
- "&amp;T48,"")&amp;IF(LEN(U48)&gt;1,"
- "&amp;U48,"")</f>
        <v>- marian-sites
- churches
- chile</v>
      </c>
      <c r="AG48" s="37" t="str">
        <f t="shared" si="11"/>
        <v xml:space="preserve">| </v>
      </c>
      <c r="AH48" s="37" t="str">
        <f t="shared" si="12"/>
        <v xml:space="preserve">| Andacollo </v>
      </c>
      <c r="AI48" s="37" t="str">
        <f>"| "&amp;IF(W48,GetTagPage(C48,VLOOKUP(C48,'(Ref) Countries'!A:C,3,)),C48)&amp; " "</f>
        <v xml:space="preserve">| Chile </v>
      </c>
      <c r="AJ48" s="37" t="str">
        <f t="shared" si="13"/>
        <v xml:space="preserve">| 16th Century </v>
      </c>
      <c r="AK48" s="37" t="str">
        <f t="shared" si="14"/>
        <v xml:space="preserve">| </v>
      </c>
      <c r="AL48" s="35" t="str">
        <f t="shared" si="21"/>
        <v xml:space="preserve">| </v>
      </c>
      <c r="AM48" s="37" t="str">
        <f t="shared" si="22"/>
        <v xml:space="preserve">| [Link](http://www.therealpresence.org/eucharst/misc/BVM/98_ANDACOLLO_CILE_60x96.pdf) </v>
      </c>
      <c r="AN48" s="37" t="str">
        <f t="shared" si="23"/>
        <v xml:space="preserve">| </v>
      </c>
      <c r="AO48" s="37" t="str">
        <f t="shared" si="24"/>
        <v xml:space="preserve">| </v>
      </c>
      <c r="AP48" s="37" t="str">
        <f t="shared" si="15"/>
        <v xml:space="preserve">
| | [Link](http://www.therealpresence.org/eucharst/misc/BVM/98_ANDACOLLO_CILE_60x96.pdf) | | |</v>
      </c>
      <c r="AQ48" s="48" t="str">
        <f>VLOOKUP(C48,'(Ref) Countries'!A:B,2,)&amp;"-"&amp;LOWER(SUBSTITUTE(H48," ","-"))&amp;".md"</f>
        <v>cl-.md</v>
      </c>
      <c r="AR48" s="35" t="str">
        <f t="shared" si="16"/>
        <v xml:space="preserve">
| Andacollo | Chile | 16th Century | | | [Link](http://www.therealpresence.org/eucharst/misc/BVM/98_ANDACOLLO_CILE_60x96.pdf) | | | |</v>
      </c>
      <c r="AS48" s="48" t="str">
        <f t="shared" si="25"/>
        <v/>
      </c>
      <c r="AT48" s="15" t="s">
        <v>336</v>
      </c>
    </row>
    <row r="49" spans="1:46" x14ac:dyDescent="0.25">
      <c r="A49" s="27"/>
      <c r="B49" s="31" t="s">
        <v>1230</v>
      </c>
      <c r="C49" s="32" t="s">
        <v>503</v>
      </c>
      <c r="D49" s="61" t="s">
        <v>1106</v>
      </c>
      <c r="E49" s="32"/>
      <c r="F49" s="32"/>
      <c r="G49" s="33"/>
      <c r="H49" s="33"/>
      <c r="I49" s="33" t="s">
        <v>1758</v>
      </c>
      <c r="J49" s="33"/>
      <c r="K49" s="32" t="s">
        <v>336</v>
      </c>
      <c r="L49" s="32" t="s">
        <v>336</v>
      </c>
      <c r="M49" s="32" t="s">
        <v>224</v>
      </c>
      <c r="N49" s="32" t="s">
        <v>336</v>
      </c>
      <c r="O49" s="32" t="s">
        <v>336</v>
      </c>
      <c r="P49" s="32" t="s">
        <v>336</v>
      </c>
      <c r="Q49" s="32" t="s">
        <v>336</v>
      </c>
      <c r="R49" s="32" t="s">
        <v>336</v>
      </c>
      <c r="S49" s="32" t="s">
        <v>336</v>
      </c>
      <c r="T49" s="32"/>
      <c r="U49" s="32"/>
      <c r="V49" s="33"/>
      <c r="W49" s="38" t="b">
        <f t="shared" si="7"/>
        <v>0</v>
      </c>
      <c r="X49" s="35" t="str">
        <f t="shared" si="19"/>
        <v>title: ""</v>
      </c>
      <c r="Y49" s="35" t="str">
        <f t="shared" si="20"/>
        <v>location: {lat: , lng: }</v>
      </c>
      <c r="Z49" s="35" t="str">
        <f>IF(LEN(S49)&gt;1,VLOOKUP(S49,Sheet3!$A:$B,2,),"")</f>
        <v/>
      </c>
      <c r="AA49" s="35" t="str">
        <f>IF(LEN(T49)&gt;1,VLOOKUP(T49,Sheet3!$A:$B,2,),"")</f>
        <v/>
      </c>
      <c r="AB49" s="35" t="str">
        <f>IF(LEN(U49)&gt;1,VLOOKUP(U49,Sheet3!$A:$B,2,),"")</f>
        <v/>
      </c>
      <c r="AC49" s="37" t="str">
        <f t="shared" si="8"/>
        <v/>
      </c>
      <c r="AD49" s="37" t="str">
        <f t="shared" si="9"/>
        <v/>
      </c>
      <c r="AE49" s="37" t="str">
        <f t="shared" si="10"/>
        <v/>
      </c>
      <c r="AF49" s="37" t="str">
        <f>"- marian-sites
- churches
- "&amp;VLOOKUP(C49,'(Ref) Countries'!A:C,3,)&amp;IF(LEN(S49)&gt;1,"
- "&amp;S49,"")&amp;IF(LEN(T49)&gt;1,"
- "&amp;T49,"")&amp;IF(LEN(U49)&gt;1,"
- "&amp;U49,"")</f>
        <v>- marian-sites
- churches
- austria</v>
      </c>
      <c r="AG49" s="37" t="str">
        <f t="shared" si="11"/>
        <v xml:space="preserve">| </v>
      </c>
      <c r="AH49" s="37" t="str">
        <f t="shared" si="12"/>
        <v xml:space="preserve">| Luggau </v>
      </c>
      <c r="AI49" s="37" t="str">
        <f>"| "&amp;IF(W49,GetTagPage(C49,VLOOKUP(C49,'(Ref) Countries'!A:C,3,)),C49)&amp; " "</f>
        <v xml:space="preserve">| Austria </v>
      </c>
      <c r="AJ49" s="37" t="str">
        <f t="shared" si="13"/>
        <v xml:space="preserve">| 16th Century </v>
      </c>
      <c r="AK49" s="37" t="str">
        <f t="shared" si="14"/>
        <v xml:space="preserve">| </v>
      </c>
      <c r="AL49" s="35" t="str">
        <f t="shared" si="21"/>
        <v xml:space="preserve">| </v>
      </c>
      <c r="AM49" s="37" t="str">
        <f t="shared" si="22"/>
        <v xml:space="preserve">| [Link](http://www.therealpresence.org/eucharst/misc/BVM/111_LUGGAU_60x96.pdf) </v>
      </c>
      <c r="AN49" s="37" t="str">
        <f t="shared" si="23"/>
        <v xml:space="preserve">| </v>
      </c>
      <c r="AO49" s="37" t="str">
        <f t="shared" si="24"/>
        <v xml:space="preserve">| </v>
      </c>
      <c r="AP49" s="37" t="str">
        <f t="shared" si="15"/>
        <v xml:space="preserve">
| | [Link](http://www.therealpresence.org/eucharst/misc/BVM/111_LUGGAU_60x96.pdf) | | |</v>
      </c>
      <c r="AQ49" s="48" t="str">
        <f>VLOOKUP(C49,'(Ref) Countries'!A:B,2,)&amp;"-"&amp;LOWER(SUBSTITUTE(H49," ","-"))&amp;".md"</f>
        <v>at-.md</v>
      </c>
      <c r="AR49" s="35" t="str">
        <f t="shared" si="16"/>
        <v xml:space="preserve">
| Luggau | Austria | 16th Century | | | [Link](http://www.therealpresence.org/eucharst/misc/BVM/111_LUGGAU_60x96.pdf) | | | |</v>
      </c>
      <c r="AS49" s="48" t="str">
        <f t="shared" si="25"/>
        <v/>
      </c>
      <c r="AT49" s="15" t="s">
        <v>336</v>
      </c>
    </row>
    <row r="50" spans="1:46" x14ac:dyDescent="0.25">
      <c r="A50" s="27"/>
      <c r="B50" s="31" t="s">
        <v>1231</v>
      </c>
      <c r="C50" s="32" t="s">
        <v>11</v>
      </c>
      <c r="D50" s="61">
        <v>1504</v>
      </c>
      <c r="E50" s="32"/>
      <c r="F50" s="32"/>
      <c r="G50" s="33"/>
      <c r="H50" s="33"/>
      <c r="I50" s="33" t="s">
        <v>1758</v>
      </c>
      <c r="J50" s="33"/>
      <c r="K50" s="32" t="s">
        <v>336</v>
      </c>
      <c r="L50" s="32" t="s">
        <v>336</v>
      </c>
      <c r="M50" s="32" t="s">
        <v>225</v>
      </c>
      <c r="N50" s="32" t="s">
        <v>336</v>
      </c>
      <c r="O50" s="32" t="s">
        <v>336</v>
      </c>
      <c r="P50" s="32" t="s">
        <v>336</v>
      </c>
      <c r="Q50" s="32" t="s">
        <v>336</v>
      </c>
      <c r="R50" s="32" t="s">
        <v>336</v>
      </c>
      <c r="S50" s="32" t="s">
        <v>336</v>
      </c>
      <c r="T50" s="32"/>
      <c r="U50" s="32"/>
      <c r="V50" s="33"/>
      <c r="W50" s="38" t="b">
        <f t="shared" si="7"/>
        <v>0</v>
      </c>
      <c r="X50" s="35" t="str">
        <f t="shared" si="19"/>
        <v>title: ""</v>
      </c>
      <c r="Y50" s="35" t="str">
        <f t="shared" si="20"/>
        <v>location: {lat: , lng: }</v>
      </c>
      <c r="Z50" s="35" t="str">
        <f>IF(LEN(S50)&gt;1,VLOOKUP(S50,Sheet3!$A:$B,2,),"")</f>
        <v/>
      </c>
      <c r="AA50" s="35" t="str">
        <f>IF(LEN(T50)&gt;1,VLOOKUP(T50,Sheet3!$A:$B,2,),"")</f>
        <v/>
      </c>
      <c r="AB50" s="35" t="str">
        <f>IF(LEN(U50)&gt;1,VLOOKUP(U50,Sheet3!$A:$B,2,),"")</f>
        <v/>
      </c>
      <c r="AC50" s="37" t="str">
        <f t="shared" si="8"/>
        <v/>
      </c>
      <c r="AD50" s="37" t="str">
        <f t="shared" si="9"/>
        <v/>
      </c>
      <c r="AE50" s="37" t="str">
        <f t="shared" si="10"/>
        <v/>
      </c>
      <c r="AF50" s="37" t="str">
        <f>"- marian-sites
- churches
- "&amp;VLOOKUP(C50,'(Ref) Countries'!A:C,3,)&amp;IF(LEN(S50)&gt;1,"
- "&amp;S50,"")&amp;IF(LEN(T50)&gt;1,"
- "&amp;T50,"")&amp;IF(LEN(U50)&gt;1,"
- "&amp;U50,"")</f>
        <v>- marian-sites
- churches
- italy</v>
      </c>
      <c r="AG50" s="37" t="str">
        <f t="shared" si="11"/>
        <v xml:space="preserve">| </v>
      </c>
      <c r="AH50" s="37" t="str">
        <f t="shared" si="12"/>
        <v xml:space="preserve">| Tirano </v>
      </c>
      <c r="AI50" s="37" t="str">
        <f>"| "&amp;IF(W50,GetTagPage(C50,VLOOKUP(C50,'(Ref) Countries'!A:C,3,)),C50)&amp; " "</f>
        <v xml:space="preserve">| Italy </v>
      </c>
      <c r="AJ50" s="37" t="str">
        <f t="shared" si="13"/>
        <v xml:space="preserve">| 1504 </v>
      </c>
      <c r="AK50" s="37" t="str">
        <f t="shared" si="14"/>
        <v xml:space="preserve">| </v>
      </c>
      <c r="AL50" s="35" t="str">
        <f t="shared" si="21"/>
        <v xml:space="preserve">| </v>
      </c>
      <c r="AM50" s="37" t="str">
        <f t="shared" si="22"/>
        <v xml:space="preserve">| [Link](http://www.therealpresence.org/eucharst/misc/BVM/79_TIRANO_96x96.pdf) </v>
      </c>
      <c r="AN50" s="37" t="str">
        <f t="shared" si="23"/>
        <v xml:space="preserve">| </v>
      </c>
      <c r="AO50" s="37" t="str">
        <f t="shared" si="24"/>
        <v xml:space="preserve">| </v>
      </c>
      <c r="AP50" s="37" t="str">
        <f t="shared" si="15"/>
        <v xml:space="preserve">
| | [Link](http://www.therealpresence.org/eucharst/misc/BVM/79_TIRANO_96x96.pdf) | | |</v>
      </c>
      <c r="AQ50" s="48" t="str">
        <f>VLOOKUP(C50,'(Ref) Countries'!A:B,2,)&amp;"-"&amp;LOWER(SUBSTITUTE(H50," ","-"))&amp;".md"</f>
        <v>it-.md</v>
      </c>
      <c r="AR50" s="35" t="str">
        <f t="shared" si="16"/>
        <v xml:space="preserve">
| Tirano | Italy | 1504 | | | [Link](http://www.therealpresence.org/eucharst/misc/BVM/79_TIRANO_96x96.pdf) | | | |</v>
      </c>
      <c r="AS50" s="48" t="str">
        <f t="shared" si="25"/>
        <v/>
      </c>
      <c r="AT50" s="15" t="s">
        <v>336</v>
      </c>
    </row>
    <row r="51" spans="1:46" x14ac:dyDescent="0.25">
      <c r="A51" s="27"/>
      <c r="B51" s="31" t="s">
        <v>1232</v>
      </c>
      <c r="C51" s="32" t="s">
        <v>11</v>
      </c>
      <c r="D51" s="61">
        <v>1510</v>
      </c>
      <c r="E51" s="32"/>
      <c r="F51" s="32"/>
      <c r="G51" s="33"/>
      <c r="H51" s="33"/>
      <c r="I51" s="33" t="s">
        <v>1758</v>
      </c>
      <c r="J51" s="33"/>
      <c r="K51" s="32" t="s">
        <v>336</v>
      </c>
      <c r="L51" s="32" t="s">
        <v>336</v>
      </c>
      <c r="M51" s="32" t="s">
        <v>226</v>
      </c>
      <c r="N51" s="32" t="s">
        <v>336</v>
      </c>
      <c r="O51" s="32" t="s">
        <v>336</v>
      </c>
      <c r="P51" s="32" t="s">
        <v>336</v>
      </c>
      <c r="Q51" s="32" t="s">
        <v>336</v>
      </c>
      <c r="R51" s="32" t="s">
        <v>336</v>
      </c>
      <c r="S51" s="32" t="s">
        <v>336</v>
      </c>
      <c r="T51" s="32"/>
      <c r="U51" s="32"/>
      <c r="V51" s="33"/>
      <c r="W51" s="38" t="b">
        <f t="shared" si="7"/>
        <v>0</v>
      </c>
      <c r="X51" s="35" t="str">
        <f t="shared" si="19"/>
        <v>title: ""</v>
      </c>
      <c r="Y51" s="35" t="str">
        <f t="shared" si="20"/>
        <v>location: {lat: , lng: }</v>
      </c>
      <c r="Z51" s="35" t="str">
        <f>IF(LEN(S51)&gt;1,VLOOKUP(S51,Sheet3!$A:$B,2,),"")</f>
        <v/>
      </c>
      <c r="AA51" s="35" t="str">
        <f>IF(LEN(T51)&gt;1,VLOOKUP(T51,Sheet3!$A:$B,2,),"")</f>
        <v/>
      </c>
      <c r="AB51" s="35" t="str">
        <f>IF(LEN(U51)&gt;1,VLOOKUP(U51,Sheet3!$A:$B,2,),"")</f>
        <v/>
      </c>
      <c r="AC51" s="37" t="str">
        <f t="shared" si="8"/>
        <v/>
      </c>
      <c r="AD51" s="37" t="str">
        <f t="shared" si="9"/>
        <v/>
      </c>
      <c r="AE51" s="37" t="str">
        <f t="shared" si="10"/>
        <v/>
      </c>
      <c r="AF51" s="37" t="str">
        <f>"- marian-sites
- churches
- "&amp;VLOOKUP(C51,'(Ref) Countries'!A:C,3,)&amp;IF(LEN(S51)&gt;1,"
- "&amp;S51,"")&amp;IF(LEN(T51)&gt;1,"
- "&amp;T51,"")&amp;IF(LEN(U51)&gt;1,"
- "&amp;U51,"")</f>
        <v>- marian-sites
- churches
- italy</v>
      </c>
      <c r="AG51" s="37" t="str">
        <f t="shared" si="11"/>
        <v xml:space="preserve">| </v>
      </c>
      <c r="AH51" s="37" t="str">
        <f t="shared" si="12"/>
        <v xml:space="preserve">| Motta Di Livenza </v>
      </c>
      <c r="AI51" s="37" t="str">
        <f>"| "&amp;IF(W51,GetTagPage(C51,VLOOKUP(C51,'(Ref) Countries'!A:C,3,)),C51)&amp; " "</f>
        <v xml:space="preserve">| Italy </v>
      </c>
      <c r="AJ51" s="37" t="str">
        <f t="shared" si="13"/>
        <v xml:space="preserve">| 1510 </v>
      </c>
      <c r="AK51" s="37" t="str">
        <f t="shared" si="14"/>
        <v xml:space="preserve">| </v>
      </c>
      <c r="AL51" s="35" t="str">
        <f t="shared" si="21"/>
        <v xml:space="preserve">| </v>
      </c>
      <c r="AM51" s="37" t="str">
        <f t="shared" si="22"/>
        <v xml:space="preserve">| [Link](http://www.therealpresence.org/eucharst/misc/BVM/122_MOTTA_DI_LIV_96x96.pdf) </v>
      </c>
      <c r="AN51" s="37" t="str">
        <f t="shared" si="23"/>
        <v xml:space="preserve">| </v>
      </c>
      <c r="AO51" s="37" t="str">
        <f t="shared" si="24"/>
        <v xml:space="preserve">| </v>
      </c>
      <c r="AP51" s="37" t="str">
        <f t="shared" si="15"/>
        <v xml:space="preserve">
| | [Link](http://www.therealpresence.org/eucharst/misc/BVM/122_MOTTA_DI_LIV_96x96.pdf) | | |</v>
      </c>
      <c r="AQ51" s="48" t="str">
        <f>VLOOKUP(C51,'(Ref) Countries'!A:B,2,)&amp;"-"&amp;LOWER(SUBSTITUTE(H51," ","-"))&amp;".md"</f>
        <v>it-.md</v>
      </c>
      <c r="AR51" s="35" t="str">
        <f t="shared" si="16"/>
        <v xml:space="preserve">
| Motta Di Livenza | Italy | 1510 | | | [Link](http://www.therealpresence.org/eucharst/misc/BVM/122_MOTTA_DI_LIV_96x96.pdf) | | | |</v>
      </c>
      <c r="AS51" s="48" t="str">
        <f t="shared" si="25"/>
        <v/>
      </c>
      <c r="AT51" s="15" t="s">
        <v>336</v>
      </c>
    </row>
    <row r="52" spans="1:46" x14ac:dyDescent="0.25">
      <c r="A52" s="27"/>
      <c r="B52" s="31" t="s">
        <v>1233</v>
      </c>
      <c r="C52" s="32" t="s">
        <v>11</v>
      </c>
      <c r="D52" s="61">
        <v>1510</v>
      </c>
      <c r="E52" s="32"/>
      <c r="F52" s="32"/>
      <c r="G52" s="33"/>
      <c r="H52" s="33"/>
      <c r="I52" s="33" t="s">
        <v>1758</v>
      </c>
      <c r="J52" s="33"/>
      <c r="K52" s="32" t="s">
        <v>336</v>
      </c>
      <c r="L52" s="32" t="s">
        <v>336</v>
      </c>
      <c r="M52" s="32" t="s">
        <v>227</v>
      </c>
      <c r="N52" s="32" t="s">
        <v>336</v>
      </c>
      <c r="O52" s="32" t="s">
        <v>336</v>
      </c>
      <c r="P52" s="32" t="s">
        <v>336</v>
      </c>
      <c r="Q52" s="32" t="s">
        <v>336</v>
      </c>
      <c r="R52" s="32" t="s">
        <v>336</v>
      </c>
      <c r="S52" s="32" t="s">
        <v>336</v>
      </c>
      <c r="T52" s="32"/>
      <c r="U52" s="32"/>
      <c r="V52" s="33"/>
      <c r="W52" s="38" t="b">
        <f t="shared" si="7"/>
        <v>0</v>
      </c>
      <c r="X52" s="35" t="str">
        <f t="shared" si="19"/>
        <v>title: ""</v>
      </c>
      <c r="Y52" s="35" t="str">
        <f t="shared" si="20"/>
        <v>location: {lat: , lng: }</v>
      </c>
      <c r="Z52" s="35" t="str">
        <f>IF(LEN(S52)&gt;1,VLOOKUP(S52,Sheet3!$A:$B,2,),"")</f>
        <v/>
      </c>
      <c r="AA52" s="35" t="str">
        <f>IF(LEN(T52)&gt;1,VLOOKUP(T52,Sheet3!$A:$B,2,),"")</f>
        <v/>
      </c>
      <c r="AB52" s="35" t="str">
        <f>IF(LEN(U52)&gt;1,VLOOKUP(U52,Sheet3!$A:$B,2,),"")</f>
        <v/>
      </c>
      <c r="AC52" s="37" t="str">
        <f t="shared" si="8"/>
        <v/>
      </c>
      <c r="AD52" s="37" t="str">
        <f t="shared" si="9"/>
        <v/>
      </c>
      <c r="AE52" s="37" t="str">
        <f t="shared" si="10"/>
        <v/>
      </c>
      <c r="AF52" s="37" t="str">
        <f>"- marian-sites
- churches
- "&amp;VLOOKUP(C52,'(Ref) Countries'!A:C,3,)&amp;IF(LEN(S52)&gt;1,"
- "&amp;S52,"")&amp;IF(LEN(T52)&gt;1,"
- "&amp;T52,"")&amp;IF(LEN(U52)&gt;1,"
- "&amp;U52,"")</f>
        <v>- marian-sites
- churches
- italy</v>
      </c>
      <c r="AG52" s="37" t="str">
        <f t="shared" si="11"/>
        <v xml:space="preserve">| </v>
      </c>
      <c r="AH52" s="37" t="str">
        <f t="shared" si="12"/>
        <v xml:space="preserve">| Peschiera Sul Garda </v>
      </c>
      <c r="AI52" s="37" t="str">
        <f>"| "&amp;IF(W52,GetTagPage(C52,VLOOKUP(C52,'(Ref) Countries'!A:C,3,)),C52)&amp; " "</f>
        <v xml:space="preserve">| Italy </v>
      </c>
      <c r="AJ52" s="37" t="str">
        <f t="shared" si="13"/>
        <v xml:space="preserve">| 1510 </v>
      </c>
      <c r="AK52" s="37" t="str">
        <f t="shared" si="14"/>
        <v xml:space="preserve">| </v>
      </c>
      <c r="AL52" s="35" t="str">
        <f t="shared" si="21"/>
        <v xml:space="preserve">| </v>
      </c>
      <c r="AM52" s="37" t="str">
        <f t="shared" si="22"/>
        <v xml:space="preserve">| [Link](http://www.therealpresence.org/eucharst/misc/BVM/66_PESCHIERA_S-GARDA_60x96.pdf) </v>
      </c>
      <c r="AN52" s="37" t="str">
        <f t="shared" si="23"/>
        <v xml:space="preserve">| </v>
      </c>
      <c r="AO52" s="37" t="str">
        <f t="shared" si="24"/>
        <v xml:space="preserve">| </v>
      </c>
      <c r="AP52" s="37" t="str">
        <f t="shared" si="15"/>
        <v xml:space="preserve">
| | [Link](http://www.therealpresence.org/eucharst/misc/BVM/66_PESCHIERA_S-GARDA_60x96.pdf) | | |</v>
      </c>
      <c r="AQ52" s="48" t="str">
        <f>VLOOKUP(C52,'(Ref) Countries'!A:B,2,)&amp;"-"&amp;LOWER(SUBSTITUTE(H52," ","-"))&amp;".md"</f>
        <v>it-.md</v>
      </c>
      <c r="AR52" s="35" t="str">
        <f t="shared" si="16"/>
        <v xml:space="preserve">
| Peschiera Sul Garda | Italy | 1510 | | | [Link](http://www.therealpresence.org/eucharst/misc/BVM/66_PESCHIERA_S-GARDA_60x96.pdf) | | | |</v>
      </c>
      <c r="AS52" s="48" t="str">
        <f t="shared" si="25"/>
        <v/>
      </c>
      <c r="AT52" s="15" t="s">
        <v>336</v>
      </c>
    </row>
    <row r="53" spans="1:46" x14ac:dyDescent="0.25">
      <c r="A53" s="27"/>
      <c r="B53" s="31" t="s">
        <v>1234</v>
      </c>
      <c r="C53" s="32" t="s">
        <v>11</v>
      </c>
      <c r="D53" s="61">
        <v>1510</v>
      </c>
      <c r="E53" s="32"/>
      <c r="F53" s="32"/>
      <c r="G53" s="33"/>
      <c r="H53" s="33"/>
      <c r="I53" s="33" t="s">
        <v>1758</v>
      </c>
      <c r="J53" s="33"/>
      <c r="K53" s="32" t="s">
        <v>336</v>
      </c>
      <c r="L53" s="32" t="s">
        <v>336</v>
      </c>
      <c r="M53" s="32" t="s">
        <v>228</v>
      </c>
      <c r="N53" s="32" t="s">
        <v>336</v>
      </c>
      <c r="O53" s="32" t="s">
        <v>336</v>
      </c>
      <c r="P53" s="32" t="s">
        <v>336</v>
      </c>
      <c r="Q53" s="32" t="s">
        <v>336</v>
      </c>
      <c r="R53" s="32" t="s">
        <v>336</v>
      </c>
      <c r="S53" s="32" t="s">
        <v>336</v>
      </c>
      <c r="T53" s="32"/>
      <c r="U53" s="32"/>
      <c r="V53" s="33"/>
      <c r="W53" s="38" t="b">
        <f t="shared" si="7"/>
        <v>0</v>
      </c>
      <c r="X53" s="35" t="str">
        <f t="shared" si="19"/>
        <v>title: ""</v>
      </c>
      <c r="Y53" s="35" t="str">
        <f t="shared" si="20"/>
        <v>location: {lat: , lng: }</v>
      </c>
      <c r="Z53" s="35" t="str">
        <f>IF(LEN(S53)&gt;1,VLOOKUP(S53,Sheet3!$A:$B,2,),"")</f>
        <v/>
      </c>
      <c r="AA53" s="35" t="str">
        <f>IF(LEN(T53)&gt;1,VLOOKUP(T53,Sheet3!$A:$B,2,),"")</f>
        <v/>
      </c>
      <c r="AB53" s="35" t="str">
        <f>IF(LEN(U53)&gt;1,VLOOKUP(U53,Sheet3!$A:$B,2,),"")</f>
        <v/>
      </c>
      <c r="AC53" s="37" t="str">
        <f t="shared" si="8"/>
        <v/>
      </c>
      <c r="AD53" s="37" t="str">
        <f t="shared" si="9"/>
        <v/>
      </c>
      <c r="AE53" s="37" t="str">
        <f t="shared" si="10"/>
        <v/>
      </c>
      <c r="AF53" s="37" t="str">
        <f>"- marian-sites
- churches
- "&amp;VLOOKUP(C53,'(Ref) Countries'!A:C,3,)&amp;IF(LEN(S53)&gt;1,"
- "&amp;S53,"")&amp;IF(LEN(T53)&gt;1,"
- "&amp;T53,"")&amp;IF(LEN(U53)&gt;1,"
- "&amp;U53,"")</f>
        <v>- marian-sites
- churches
- italy</v>
      </c>
      <c r="AG53" s="37" t="str">
        <f t="shared" si="11"/>
        <v xml:space="preserve">| </v>
      </c>
      <c r="AH53" s="37" t="str">
        <f t="shared" si="12"/>
        <v xml:space="preserve">| Bergamo </v>
      </c>
      <c r="AI53" s="37" t="str">
        <f>"| "&amp;IF(W53,GetTagPage(C53,VLOOKUP(C53,'(Ref) Countries'!A:C,3,)),C53)&amp; " "</f>
        <v xml:space="preserve">| Italy </v>
      </c>
      <c r="AJ53" s="37" t="str">
        <f t="shared" si="13"/>
        <v xml:space="preserve">| 1510 </v>
      </c>
      <c r="AK53" s="37" t="str">
        <f t="shared" si="14"/>
        <v xml:space="preserve">| </v>
      </c>
      <c r="AL53" s="35" t="str">
        <f t="shared" si="21"/>
        <v xml:space="preserve">| </v>
      </c>
      <c r="AM53" s="37" t="str">
        <f t="shared" si="22"/>
        <v xml:space="preserve">| [Link](http://www.therealpresence.org/eucharst/misc/BVM/41_BERGAMO_60x96.pdf) </v>
      </c>
      <c r="AN53" s="37" t="str">
        <f t="shared" si="23"/>
        <v xml:space="preserve">| </v>
      </c>
      <c r="AO53" s="37" t="str">
        <f t="shared" si="24"/>
        <v xml:space="preserve">| </v>
      </c>
      <c r="AP53" s="37" t="str">
        <f t="shared" si="15"/>
        <v xml:space="preserve">
| | [Link](http://www.therealpresence.org/eucharst/misc/BVM/41_BERGAMO_60x96.pdf) | | |</v>
      </c>
      <c r="AQ53" s="48" t="str">
        <f>VLOOKUP(C53,'(Ref) Countries'!A:B,2,)&amp;"-"&amp;LOWER(SUBSTITUTE(H53," ","-"))&amp;".md"</f>
        <v>it-.md</v>
      </c>
      <c r="AR53" s="35" t="str">
        <f t="shared" si="16"/>
        <v xml:space="preserve">
| Bergamo | Italy | 1510 | | | [Link](http://www.therealpresence.org/eucharst/misc/BVM/41_BERGAMO_60x96.pdf) | | | |</v>
      </c>
      <c r="AS53" s="48" t="str">
        <f t="shared" si="25"/>
        <v/>
      </c>
      <c r="AT53" s="15" t="s">
        <v>336</v>
      </c>
    </row>
    <row r="54" spans="1:46" x14ac:dyDescent="0.25">
      <c r="A54" s="27"/>
      <c r="B54" s="31" t="s">
        <v>1235</v>
      </c>
      <c r="C54" s="32" t="s">
        <v>652</v>
      </c>
      <c r="D54" s="61">
        <v>1513</v>
      </c>
      <c r="E54" s="32"/>
      <c r="F54" s="32"/>
      <c r="G54" s="33"/>
      <c r="H54" s="33"/>
      <c r="I54" s="33" t="s">
        <v>1758</v>
      </c>
      <c r="J54" s="33"/>
      <c r="K54" s="32" t="s">
        <v>336</v>
      </c>
      <c r="L54" s="32" t="s">
        <v>336</v>
      </c>
      <c r="M54" s="32" t="s">
        <v>229</v>
      </c>
      <c r="N54" s="32" t="s">
        <v>336</v>
      </c>
      <c r="O54" s="32" t="s">
        <v>336</v>
      </c>
      <c r="P54" s="32" t="s">
        <v>336</v>
      </c>
      <c r="Q54" s="32" t="s">
        <v>336</v>
      </c>
      <c r="R54" s="32" t="s">
        <v>336</v>
      </c>
      <c r="S54" s="32" t="s">
        <v>336</v>
      </c>
      <c r="T54" s="32"/>
      <c r="U54" s="32"/>
      <c r="V54" s="33"/>
      <c r="W54" s="38" t="b">
        <f t="shared" si="7"/>
        <v>0</v>
      </c>
      <c r="X54" s="35" t="str">
        <f t="shared" si="19"/>
        <v>title: ""</v>
      </c>
      <c r="Y54" s="35" t="str">
        <f t="shared" si="20"/>
        <v>location: {lat: , lng: }</v>
      </c>
      <c r="Z54" s="35" t="str">
        <f>IF(LEN(S54)&gt;1,VLOOKUP(S54,Sheet3!$A:$B,2,),"")</f>
        <v/>
      </c>
      <c r="AA54" s="35" t="str">
        <f>IF(LEN(T54)&gt;1,VLOOKUP(T54,Sheet3!$A:$B,2,),"")</f>
        <v/>
      </c>
      <c r="AB54" s="35" t="str">
        <f>IF(LEN(U54)&gt;1,VLOOKUP(U54,Sheet3!$A:$B,2,),"")</f>
        <v/>
      </c>
      <c r="AC54" s="37" t="str">
        <f t="shared" si="8"/>
        <v/>
      </c>
      <c r="AD54" s="37" t="str">
        <f t="shared" si="9"/>
        <v/>
      </c>
      <c r="AE54" s="37" t="str">
        <f t="shared" si="10"/>
        <v/>
      </c>
      <c r="AF54" s="37" t="str">
        <f>"- marian-sites
- churches
- "&amp;VLOOKUP(C54,'(Ref) Countries'!A:C,3,)&amp;IF(LEN(S54)&gt;1,"
- "&amp;S54,"")&amp;IF(LEN(T54)&gt;1,"
- "&amp;T54,"")&amp;IF(LEN(U54)&gt;1,"
- "&amp;U54,"")</f>
        <v>- marian-sites
- churches
- poland</v>
      </c>
      <c r="AG54" s="37" t="str">
        <f t="shared" si="11"/>
        <v xml:space="preserve">| </v>
      </c>
      <c r="AH54" s="37" t="str">
        <f t="shared" si="12"/>
        <v xml:space="preserve">| Rzeszów </v>
      </c>
      <c r="AI54" s="37" t="str">
        <f>"| "&amp;IF(W54,GetTagPage(C54,VLOOKUP(C54,'(Ref) Countries'!A:C,3,)),C54)&amp; " "</f>
        <v xml:space="preserve">| Poland </v>
      </c>
      <c r="AJ54" s="37" t="str">
        <f t="shared" si="13"/>
        <v xml:space="preserve">| 1513 </v>
      </c>
      <c r="AK54" s="37" t="str">
        <f t="shared" si="14"/>
        <v xml:space="preserve">| </v>
      </c>
      <c r="AL54" s="35" t="str">
        <f t="shared" si="21"/>
        <v xml:space="preserve">| </v>
      </c>
      <c r="AM54" s="37" t="str">
        <f t="shared" si="22"/>
        <v xml:space="preserve">| [Link](http://www.therealpresence.org/eucharst/misc/BVM/134_RZESZOW_96x96.pdf) </v>
      </c>
      <c r="AN54" s="37" t="str">
        <f t="shared" si="23"/>
        <v xml:space="preserve">| </v>
      </c>
      <c r="AO54" s="37" t="str">
        <f t="shared" si="24"/>
        <v xml:space="preserve">| </v>
      </c>
      <c r="AP54" s="37" t="str">
        <f t="shared" si="15"/>
        <v xml:space="preserve">
| | [Link](http://www.therealpresence.org/eucharst/misc/BVM/134_RZESZOW_96x96.pdf) | | |</v>
      </c>
      <c r="AQ54" s="48" t="str">
        <f>VLOOKUP(C54,'(Ref) Countries'!A:B,2,)&amp;"-"&amp;LOWER(SUBSTITUTE(H54," ","-"))&amp;".md"</f>
        <v>pl-.md</v>
      </c>
      <c r="AR54" s="35" t="str">
        <f t="shared" si="16"/>
        <v xml:space="preserve">
| Rzeszów | Poland | 1513 | | | [Link](http://www.therealpresence.org/eucharst/misc/BVM/134_RZESZOW_96x96.pdf) | | | |</v>
      </c>
      <c r="AS54" s="48" t="str">
        <f t="shared" si="25"/>
        <v/>
      </c>
      <c r="AT54" s="15" t="s">
        <v>336</v>
      </c>
    </row>
    <row r="55" spans="1:46" x14ac:dyDescent="0.25">
      <c r="A55" s="27"/>
      <c r="B55" s="31" t="s">
        <v>1236</v>
      </c>
      <c r="C55" s="32" t="s">
        <v>558</v>
      </c>
      <c r="D55" s="61">
        <v>1515</v>
      </c>
      <c r="E55" s="32"/>
      <c r="F55" s="32"/>
      <c r="G55" s="33"/>
      <c r="H55" s="33"/>
      <c r="I55" s="33" t="s">
        <v>1758</v>
      </c>
      <c r="J55" s="33"/>
      <c r="K55" s="32" t="s">
        <v>336</v>
      </c>
      <c r="L55" s="32" t="s">
        <v>336</v>
      </c>
      <c r="M55" s="32" t="s">
        <v>230</v>
      </c>
      <c r="N55" s="32" t="s">
        <v>336</v>
      </c>
      <c r="O55" s="32" t="s">
        <v>336</v>
      </c>
      <c r="P55" s="32" t="s">
        <v>336</v>
      </c>
      <c r="Q55" s="32" t="s">
        <v>336</v>
      </c>
      <c r="R55" s="32" t="s">
        <v>336</v>
      </c>
      <c r="S55" s="32" t="s">
        <v>336</v>
      </c>
      <c r="T55" s="32"/>
      <c r="U55" s="32"/>
      <c r="V55" s="33"/>
      <c r="W55" s="38" t="b">
        <f t="shared" si="7"/>
        <v>0</v>
      </c>
      <c r="X55" s="35" t="str">
        <f t="shared" si="19"/>
        <v>title: ""</v>
      </c>
      <c r="Y55" s="35" t="str">
        <f t="shared" si="20"/>
        <v>location: {lat: , lng: }</v>
      </c>
      <c r="Z55" s="35" t="str">
        <f>IF(LEN(S55)&gt;1,VLOOKUP(S55,Sheet3!$A:$B,2,),"")</f>
        <v/>
      </c>
      <c r="AA55" s="35" t="str">
        <f>IF(LEN(T55)&gt;1,VLOOKUP(T55,Sheet3!$A:$B,2,),"")</f>
        <v/>
      </c>
      <c r="AB55" s="35" t="str">
        <f>IF(LEN(U55)&gt;1,VLOOKUP(U55,Sheet3!$A:$B,2,),"")</f>
        <v/>
      </c>
      <c r="AC55" s="37" t="str">
        <f t="shared" si="8"/>
        <v/>
      </c>
      <c r="AD55" s="37" t="str">
        <f t="shared" si="9"/>
        <v/>
      </c>
      <c r="AE55" s="37" t="str">
        <f t="shared" si="10"/>
        <v/>
      </c>
      <c r="AF55" s="37" t="str">
        <f>"- marian-sites
- churches
- "&amp;VLOOKUP(C55,'(Ref) Countries'!A:C,3,)&amp;IF(LEN(S55)&gt;1,"
- "&amp;S55,"")&amp;IF(LEN(T55)&gt;1,"
- "&amp;T55,"")&amp;IF(LEN(U55)&gt;1,"
- "&amp;U55,"")</f>
        <v>- marian-sites
- churches
- france</v>
      </c>
      <c r="AG55" s="37" t="str">
        <f t="shared" si="11"/>
        <v xml:space="preserve">| </v>
      </c>
      <c r="AH55" s="37" t="str">
        <f t="shared" si="12"/>
        <v xml:space="preserve">| Garaison </v>
      </c>
      <c r="AI55" s="37" t="str">
        <f>"| "&amp;IF(W55,GetTagPage(C55,VLOOKUP(C55,'(Ref) Countries'!A:C,3,)),C55)&amp; " "</f>
        <v xml:space="preserve">| France </v>
      </c>
      <c r="AJ55" s="37" t="str">
        <f t="shared" si="13"/>
        <v xml:space="preserve">| 1515 </v>
      </c>
      <c r="AK55" s="37" t="str">
        <f t="shared" si="14"/>
        <v xml:space="preserve">| </v>
      </c>
      <c r="AL55" s="35" t="str">
        <f t="shared" si="21"/>
        <v xml:space="preserve">| </v>
      </c>
      <c r="AM55" s="37" t="str">
        <f t="shared" si="22"/>
        <v xml:space="preserve">| [Link](http://www.therealpresence.org/eucharst/misc/BVM/84_GARAISON_60x96.pdf) </v>
      </c>
      <c r="AN55" s="37" t="str">
        <f t="shared" si="23"/>
        <v xml:space="preserve">| </v>
      </c>
      <c r="AO55" s="37" t="str">
        <f t="shared" si="24"/>
        <v xml:space="preserve">| </v>
      </c>
      <c r="AP55" s="37" t="str">
        <f t="shared" si="15"/>
        <v xml:space="preserve">
| | [Link](http://www.therealpresence.org/eucharst/misc/BVM/84_GARAISON_60x96.pdf) | | |</v>
      </c>
      <c r="AQ55" s="48" t="str">
        <f>VLOOKUP(C55,'(Ref) Countries'!A:B,2,)&amp;"-"&amp;LOWER(SUBSTITUTE(H55," ","-"))&amp;".md"</f>
        <v>fr-.md</v>
      </c>
      <c r="AR55" s="35" t="str">
        <f t="shared" si="16"/>
        <v xml:space="preserve">
| Garaison | France | 1515 | | | [Link](http://www.therealpresence.org/eucharst/misc/BVM/84_GARAISON_60x96.pdf) | | | |</v>
      </c>
      <c r="AS55" s="48" t="str">
        <f t="shared" si="25"/>
        <v/>
      </c>
      <c r="AT55" s="15" t="s">
        <v>336</v>
      </c>
    </row>
    <row r="56" spans="1:46" x14ac:dyDescent="0.25">
      <c r="A56" s="27"/>
      <c r="B56" s="31" t="s">
        <v>1237</v>
      </c>
      <c r="C56" s="32" t="s">
        <v>11</v>
      </c>
      <c r="D56" s="61">
        <v>1519</v>
      </c>
      <c r="E56" s="32"/>
      <c r="F56" s="32"/>
      <c r="G56" s="33"/>
      <c r="H56" s="33"/>
      <c r="I56" s="33" t="s">
        <v>1758</v>
      </c>
      <c r="J56" s="33"/>
      <c r="K56" s="32" t="s">
        <v>336</v>
      </c>
      <c r="L56" s="32" t="s">
        <v>336</v>
      </c>
      <c r="M56" s="32" t="s">
        <v>231</v>
      </c>
      <c r="N56" s="32" t="s">
        <v>336</v>
      </c>
      <c r="O56" s="32" t="s">
        <v>336</v>
      </c>
      <c r="P56" s="32" t="s">
        <v>336</v>
      </c>
      <c r="Q56" s="32" t="s">
        <v>336</v>
      </c>
      <c r="R56" s="32" t="s">
        <v>336</v>
      </c>
      <c r="S56" s="32" t="s">
        <v>336</v>
      </c>
      <c r="T56" s="32"/>
      <c r="U56" s="32"/>
      <c r="V56" s="33"/>
      <c r="W56" s="38" t="b">
        <f t="shared" si="7"/>
        <v>0</v>
      </c>
      <c r="X56" s="35" t="str">
        <f t="shared" si="19"/>
        <v>title: ""</v>
      </c>
      <c r="Y56" s="35" t="str">
        <f t="shared" si="20"/>
        <v>location: {lat: , lng: }</v>
      </c>
      <c r="Z56" s="35" t="str">
        <f>IF(LEN(S56)&gt;1,VLOOKUP(S56,Sheet3!$A:$B,2,),"")</f>
        <v/>
      </c>
      <c r="AA56" s="35" t="str">
        <f>IF(LEN(T56)&gt;1,VLOOKUP(T56,Sheet3!$A:$B,2,),"")</f>
        <v/>
      </c>
      <c r="AB56" s="35" t="str">
        <f>IF(LEN(U56)&gt;1,VLOOKUP(U56,Sheet3!$A:$B,2,),"")</f>
        <v/>
      </c>
      <c r="AC56" s="37" t="str">
        <f t="shared" si="8"/>
        <v/>
      </c>
      <c r="AD56" s="37" t="str">
        <f t="shared" si="9"/>
        <v/>
      </c>
      <c r="AE56" s="37" t="str">
        <f t="shared" si="10"/>
        <v/>
      </c>
      <c r="AF56" s="37" t="str">
        <f>"- marian-sites
- churches
- "&amp;VLOOKUP(C56,'(Ref) Countries'!A:C,3,)&amp;IF(LEN(S56)&gt;1,"
- "&amp;S56,"")&amp;IF(LEN(T56)&gt;1,"
- "&amp;T56,"")&amp;IF(LEN(U56)&gt;1,"
- "&amp;U56,"")</f>
        <v>- marian-sites
- churches
- italy</v>
      </c>
      <c r="AG56" s="37" t="str">
        <f t="shared" si="11"/>
        <v xml:space="preserve">| </v>
      </c>
      <c r="AH56" s="37" t="str">
        <f t="shared" si="12"/>
        <v xml:space="preserve">| Adro </v>
      </c>
      <c r="AI56" s="37" t="str">
        <f>"| "&amp;IF(W56,GetTagPage(C56,VLOOKUP(C56,'(Ref) Countries'!A:C,3,)),C56)&amp; " "</f>
        <v xml:space="preserve">| Italy </v>
      </c>
      <c r="AJ56" s="37" t="str">
        <f t="shared" si="13"/>
        <v xml:space="preserve">| 1519 </v>
      </c>
      <c r="AK56" s="37" t="str">
        <f t="shared" si="14"/>
        <v xml:space="preserve">| </v>
      </c>
      <c r="AL56" s="35" t="str">
        <f t="shared" si="21"/>
        <v xml:space="preserve">| </v>
      </c>
      <c r="AM56" s="37" t="str">
        <f t="shared" si="22"/>
        <v xml:space="preserve">| [Link](http://www.therealpresence.org/eucharst/misc/BVM/34_ADRO_60x96.pdf) </v>
      </c>
      <c r="AN56" s="37" t="str">
        <f t="shared" si="23"/>
        <v xml:space="preserve">| </v>
      </c>
      <c r="AO56" s="37" t="str">
        <f t="shared" si="24"/>
        <v xml:space="preserve">| </v>
      </c>
      <c r="AP56" s="37" t="str">
        <f t="shared" si="15"/>
        <v xml:space="preserve">
| | [Link](http://www.therealpresence.org/eucharst/misc/BVM/34_ADRO_60x96.pdf) | | |</v>
      </c>
      <c r="AQ56" s="48" t="str">
        <f>VLOOKUP(C56,'(Ref) Countries'!A:B,2,)&amp;"-"&amp;LOWER(SUBSTITUTE(H56," ","-"))&amp;".md"</f>
        <v>it-.md</v>
      </c>
      <c r="AR56" s="35" t="str">
        <f t="shared" si="16"/>
        <v xml:space="preserve">
| Adro | Italy | 1519 | | | [Link](http://www.therealpresence.org/eucharst/misc/BVM/34_ADRO_60x96.pdf) | | | |</v>
      </c>
      <c r="AS56" s="48" t="str">
        <f t="shared" si="25"/>
        <v/>
      </c>
      <c r="AT56" s="15" t="s">
        <v>336</v>
      </c>
    </row>
    <row r="57" spans="1:46" x14ac:dyDescent="0.25">
      <c r="A57" s="27"/>
      <c r="B57" s="31" t="s">
        <v>1238</v>
      </c>
      <c r="C57" s="32" t="s">
        <v>558</v>
      </c>
      <c r="D57" s="61" t="s">
        <v>1112</v>
      </c>
      <c r="E57" s="32"/>
      <c r="F57" s="32"/>
      <c r="G57" s="33"/>
      <c r="H57" s="33"/>
      <c r="I57" s="33" t="s">
        <v>1758</v>
      </c>
      <c r="J57" s="33"/>
      <c r="K57" s="32" t="s">
        <v>336</v>
      </c>
      <c r="L57" s="32" t="s">
        <v>336</v>
      </c>
      <c r="M57" s="32" t="s">
        <v>232</v>
      </c>
      <c r="N57" s="32" t="s">
        <v>336</v>
      </c>
      <c r="O57" s="32" t="s">
        <v>336</v>
      </c>
      <c r="P57" s="32" t="s">
        <v>336</v>
      </c>
      <c r="Q57" s="32" t="s">
        <v>336</v>
      </c>
      <c r="R57" s="32" t="s">
        <v>336</v>
      </c>
      <c r="S57" s="32" t="s">
        <v>336</v>
      </c>
      <c r="T57" s="32"/>
      <c r="U57" s="32"/>
      <c r="V57" s="33"/>
      <c r="W57" s="38" t="b">
        <f t="shared" si="7"/>
        <v>0</v>
      </c>
      <c r="X57" s="35" t="str">
        <f t="shared" si="19"/>
        <v>title: ""</v>
      </c>
      <c r="Y57" s="35" t="str">
        <f t="shared" si="20"/>
        <v>location: {lat: , lng: }</v>
      </c>
      <c r="Z57" s="35" t="str">
        <f>IF(LEN(S57)&gt;1,VLOOKUP(S57,Sheet3!$A:$B,2,),"")</f>
        <v/>
      </c>
      <c r="AA57" s="35" t="str">
        <f>IF(LEN(T57)&gt;1,VLOOKUP(T57,Sheet3!$A:$B,2,),"")</f>
        <v/>
      </c>
      <c r="AB57" s="35" t="str">
        <f>IF(LEN(U57)&gt;1,VLOOKUP(U57,Sheet3!$A:$B,2,),"")</f>
        <v/>
      </c>
      <c r="AC57" s="37" t="str">
        <f t="shared" si="8"/>
        <v/>
      </c>
      <c r="AD57" s="37" t="str">
        <f t="shared" si="9"/>
        <v/>
      </c>
      <c r="AE57" s="37" t="str">
        <f t="shared" si="10"/>
        <v/>
      </c>
      <c r="AF57" s="37" t="str">
        <f>"- marian-sites
- churches
- "&amp;VLOOKUP(C57,'(Ref) Countries'!A:C,3,)&amp;IF(LEN(S57)&gt;1,"
- "&amp;S57,"")&amp;IF(LEN(T57)&gt;1,"
- "&amp;T57,"")&amp;IF(LEN(U57)&gt;1,"
- "&amp;U57,"")</f>
        <v>- marian-sites
- churches
- france</v>
      </c>
      <c r="AG57" s="37" t="str">
        <f t="shared" si="11"/>
        <v xml:space="preserve">| </v>
      </c>
      <c r="AH57" s="37" t="str">
        <f t="shared" si="12"/>
        <v xml:space="preserve">| Cotignac </v>
      </c>
      <c r="AI57" s="37" t="str">
        <f>"| "&amp;IF(W57,GetTagPage(C57,VLOOKUP(C57,'(Ref) Countries'!A:C,3,)),C57)&amp; " "</f>
        <v xml:space="preserve">| France </v>
      </c>
      <c r="AJ57" s="37" t="str">
        <f t="shared" si="13"/>
        <v xml:space="preserve">| 1519-1637 </v>
      </c>
      <c r="AK57" s="37" t="str">
        <f t="shared" si="14"/>
        <v xml:space="preserve">| </v>
      </c>
      <c r="AL57" s="35" t="str">
        <f t="shared" si="21"/>
        <v xml:space="preserve">| </v>
      </c>
      <c r="AM57" s="37" t="str">
        <f t="shared" si="22"/>
        <v xml:space="preserve">| [Link](http://www.therealpresence.org/eucharst/misc/BVM/83_COTIGNAC_60x96.pdf) </v>
      </c>
      <c r="AN57" s="37" t="str">
        <f t="shared" si="23"/>
        <v xml:space="preserve">| </v>
      </c>
      <c r="AO57" s="37" t="str">
        <f t="shared" si="24"/>
        <v xml:space="preserve">| </v>
      </c>
      <c r="AP57" s="37" t="str">
        <f t="shared" si="15"/>
        <v xml:space="preserve">
| | [Link](http://www.therealpresence.org/eucharst/misc/BVM/83_COTIGNAC_60x96.pdf) | | |</v>
      </c>
      <c r="AQ57" s="48" t="str">
        <f>VLOOKUP(C57,'(Ref) Countries'!A:B,2,)&amp;"-"&amp;LOWER(SUBSTITUTE(H57," ","-"))&amp;".md"</f>
        <v>fr-.md</v>
      </c>
      <c r="AR57" s="35" t="str">
        <f t="shared" si="16"/>
        <v xml:space="preserve">
| Cotignac | France | 1519-1637 | | | [Link](http://www.therealpresence.org/eucharst/misc/BVM/83_COTIGNAC_60x96.pdf) | | | |</v>
      </c>
      <c r="AS57" s="48" t="str">
        <f t="shared" si="25"/>
        <v/>
      </c>
      <c r="AT57" s="15" t="s">
        <v>336</v>
      </c>
    </row>
    <row r="58" spans="1:46" x14ac:dyDescent="0.25">
      <c r="A58" s="27"/>
      <c r="B58" s="31" t="s">
        <v>1239</v>
      </c>
      <c r="C58" s="32" t="s">
        <v>11</v>
      </c>
      <c r="D58" s="61">
        <v>1521</v>
      </c>
      <c r="E58" s="32"/>
      <c r="F58" s="32"/>
      <c r="G58" s="33"/>
      <c r="H58" s="33"/>
      <c r="I58" s="33" t="s">
        <v>1758</v>
      </c>
      <c r="J58" s="33"/>
      <c r="K58" s="32" t="s">
        <v>336</v>
      </c>
      <c r="L58" s="32" t="s">
        <v>336</v>
      </c>
      <c r="M58" s="32" t="s">
        <v>233</v>
      </c>
      <c r="N58" s="32" t="s">
        <v>336</v>
      </c>
      <c r="O58" s="32" t="s">
        <v>336</v>
      </c>
      <c r="P58" s="32" t="s">
        <v>336</v>
      </c>
      <c r="Q58" s="32" t="s">
        <v>336</v>
      </c>
      <c r="R58" s="32" t="s">
        <v>336</v>
      </c>
      <c r="S58" s="32" t="s">
        <v>336</v>
      </c>
      <c r="T58" s="32"/>
      <c r="U58" s="32"/>
      <c r="V58" s="33"/>
      <c r="W58" s="38" t="b">
        <f t="shared" si="7"/>
        <v>0</v>
      </c>
      <c r="X58" s="35" t="str">
        <f t="shared" si="19"/>
        <v>title: ""</v>
      </c>
      <c r="Y58" s="35" t="str">
        <f t="shared" si="20"/>
        <v>location: {lat: , lng: }</v>
      </c>
      <c r="Z58" s="35" t="str">
        <f>IF(LEN(S58)&gt;1,VLOOKUP(S58,Sheet3!$A:$B,2,),"")</f>
        <v/>
      </c>
      <c r="AA58" s="35" t="str">
        <f>IF(LEN(T58)&gt;1,VLOOKUP(T58,Sheet3!$A:$B,2,),"")</f>
        <v/>
      </c>
      <c r="AB58" s="35" t="str">
        <f>IF(LEN(U58)&gt;1,VLOOKUP(U58,Sheet3!$A:$B,2,),"")</f>
        <v/>
      </c>
      <c r="AC58" s="37" t="str">
        <f t="shared" si="8"/>
        <v/>
      </c>
      <c r="AD58" s="37" t="str">
        <f t="shared" si="9"/>
        <v/>
      </c>
      <c r="AE58" s="37" t="str">
        <f t="shared" si="10"/>
        <v/>
      </c>
      <c r="AF58" s="37" t="str">
        <f>"- marian-sites
- churches
- "&amp;VLOOKUP(C58,'(Ref) Countries'!A:C,3,)&amp;IF(LEN(S58)&gt;1,"
- "&amp;S58,"")&amp;IF(LEN(T58)&gt;1,"
- "&amp;T58,"")&amp;IF(LEN(U58)&gt;1,"
- "&amp;U58,"")</f>
        <v>- marian-sites
- churches
- italy</v>
      </c>
      <c r="AG58" s="37" t="str">
        <f t="shared" si="11"/>
        <v xml:space="preserve">| </v>
      </c>
      <c r="AH58" s="37" t="str">
        <f t="shared" si="12"/>
        <v xml:space="preserve">| Cori </v>
      </c>
      <c r="AI58" s="37" t="str">
        <f>"| "&amp;IF(W58,GetTagPage(C58,VLOOKUP(C58,'(Ref) Countries'!A:C,3,)),C58)&amp; " "</f>
        <v xml:space="preserve">| Italy </v>
      </c>
      <c r="AJ58" s="37" t="str">
        <f t="shared" si="13"/>
        <v xml:space="preserve">| 1521 </v>
      </c>
      <c r="AK58" s="37" t="str">
        <f t="shared" si="14"/>
        <v xml:space="preserve">| </v>
      </c>
      <c r="AL58" s="35" t="str">
        <f t="shared" si="21"/>
        <v xml:space="preserve">| </v>
      </c>
      <c r="AM58" s="37" t="str">
        <f t="shared" si="22"/>
        <v xml:space="preserve">| [Link](http://www.therealpresence.org/eucharst/misc/BVM/114_CORI_60x96.pdf) </v>
      </c>
      <c r="AN58" s="37" t="str">
        <f t="shared" si="23"/>
        <v xml:space="preserve">| </v>
      </c>
      <c r="AO58" s="37" t="str">
        <f t="shared" si="24"/>
        <v xml:space="preserve">| </v>
      </c>
      <c r="AP58" s="37" t="str">
        <f t="shared" si="15"/>
        <v xml:space="preserve">
| | [Link](http://www.therealpresence.org/eucharst/misc/BVM/114_CORI_60x96.pdf) | | |</v>
      </c>
      <c r="AQ58" s="48" t="str">
        <f>VLOOKUP(C58,'(Ref) Countries'!A:B,2,)&amp;"-"&amp;LOWER(SUBSTITUTE(H58," ","-"))&amp;".md"</f>
        <v>it-.md</v>
      </c>
      <c r="AR58" s="35" t="str">
        <f t="shared" si="16"/>
        <v xml:space="preserve">
| Cori | Italy | 1521 | | | [Link](http://www.therealpresence.org/eucharst/misc/BVM/114_CORI_60x96.pdf) | | | |</v>
      </c>
      <c r="AS58" s="48" t="str">
        <f t="shared" si="25"/>
        <v/>
      </c>
      <c r="AT58" s="15" t="s">
        <v>336</v>
      </c>
    </row>
    <row r="59" spans="1:46" x14ac:dyDescent="0.25">
      <c r="A59" s="27"/>
      <c r="B59" s="31" t="s">
        <v>1240</v>
      </c>
      <c r="C59" s="32" t="s">
        <v>11</v>
      </c>
      <c r="D59" s="61">
        <v>1521</v>
      </c>
      <c r="E59" s="32"/>
      <c r="F59" s="32"/>
      <c r="G59" s="33"/>
      <c r="H59" s="33"/>
      <c r="I59" s="33" t="s">
        <v>1758</v>
      </c>
      <c r="J59" s="33"/>
      <c r="K59" s="32" t="s">
        <v>336</v>
      </c>
      <c r="L59" s="32" t="s">
        <v>336</v>
      </c>
      <c r="M59" s="32" t="s">
        <v>234</v>
      </c>
      <c r="N59" s="32" t="s">
        <v>336</v>
      </c>
      <c r="O59" s="32" t="s">
        <v>336</v>
      </c>
      <c r="P59" s="32" t="s">
        <v>336</v>
      </c>
      <c r="Q59" s="32" t="s">
        <v>336</v>
      </c>
      <c r="R59" s="32" t="s">
        <v>336</v>
      </c>
      <c r="S59" s="32" t="s">
        <v>336</v>
      </c>
      <c r="T59" s="32"/>
      <c r="U59" s="32"/>
      <c r="V59" s="33"/>
      <c r="W59" s="38" t="b">
        <f t="shared" si="7"/>
        <v>0</v>
      </c>
      <c r="X59" s="35" t="str">
        <f t="shared" si="19"/>
        <v>title: ""</v>
      </c>
      <c r="Y59" s="35" t="str">
        <f t="shared" si="20"/>
        <v>location: {lat: , lng: }</v>
      </c>
      <c r="Z59" s="35" t="str">
        <f>IF(LEN(S59)&gt;1,VLOOKUP(S59,Sheet3!$A:$B,2,),"")</f>
        <v/>
      </c>
      <c r="AA59" s="35" t="str">
        <f>IF(LEN(T59)&gt;1,VLOOKUP(T59,Sheet3!$A:$B,2,),"")</f>
        <v/>
      </c>
      <c r="AB59" s="35" t="str">
        <f>IF(LEN(U59)&gt;1,VLOOKUP(U59,Sheet3!$A:$B,2,),"")</f>
        <v/>
      </c>
      <c r="AC59" s="37" t="str">
        <f t="shared" si="8"/>
        <v/>
      </c>
      <c r="AD59" s="37" t="str">
        <f t="shared" si="9"/>
        <v/>
      </c>
      <c r="AE59" s="37" t="str">
        <f t="shared" si="10"/>
        <v/>
      </c>
      <c r="AF59" s="37" t="str">
        <f>"- marian-sites
- churches
- "&amp;VLOOKUP(C59,'(Ref) Countries'!A:C,3,)&amp;IF(LEN(S59)&gt;1,"
- "&amp;S59,"")&amp;IF(LEN(T59)&gt;1,"
- "&amp;T59,"")&amp;IF(LEN(U59)&gt;1,"
- "&amp;U59,"")</f>
        <v>- marian-sites
- churches
- italy</v>
      </c>
      <c r="AG59" s="37" t="str">
        <f t="shared" si="11"/>
        <v xml:space="preserve">| </v>
      </c>
      <c r="AH59" s="37" t="str">
        <f t="shared" si="12"/>
        <v xml:space="preserve">| Cussanio </v>
      </c>
      <c r="AI59" s="37" t="str">
        <f>"| "&amp;IF(W59,GetTagPage(C59,VLOOKUP(C59,'(Ref) Countries'!A:C,3,)),C59)&amp; " "</f>
        <v xml:space="preserve">| Italy </v>
      </c>
      <c r="AJ59" s="37" t="str">
        <f t="shared" si="13"/>
        <v xml:space="preserve">| 1521 </v>
      </c>
      <c r="AK59" s="37" t="str">
        <f t="shared" si="14"/>
        <v xml:space="preserve">| </v>
      </c>
      <c r="AL59" s="35" t="str">
        <f t="shared" si="21"/>
        <v xml:space="preserve">| </v>
      </c>
      <c r="AM59" s="37" t="str">
        <f t="shared" si="22"/>
        <v xml:space="preserve">| [Link](http://www.therealpresence.org/eucharst/misc/BVM/48_CUSSANIO_60x96.pdf) </v>
      </c>
      <c r="AN59" s="37" t="str">
        <f t="shared" si="23"/>
        <v xml:space="preserve">| </v>
      </c>
      <c r="AO59" s="37" t="str">
        <f t="shared" si="24"/>
        <v xml:space="preserve">| </v>
      </c>
      <c r="AP59" s="37" t="str">
        <f t="shared" si="15"/>
        <v xml:space="preserve">
| | [Link](http://www.therealpresence.org/eucharst/misc/BVM/48_CUSSANIO_60x96.pdf) | | |</v>
      </c>
      <c r="AQ59" s="48" t="str">
        <f>VLOOKUP(C59,'(Ref) Countries'!A:B,2,)&amp;"-"&amp;LOWER(SUBSTITUTE(H59," ","-"))&amp;".md"</f>
        <v>it-.md</v>
      </c>
      <c r="AR59" s="35" t="str">
        <f t="shared" si="16"/>
        <v xml:space="preserve">
| Cussanio | Italy | 1521 | | | [Link](http://www.therealpresence.org/eucharst/misc/BVM/48_CUSSANIO_60x96.pdf) | | | |</v>
      </c>
      <c r="AS59" s="48" t="str">
        <f t="shared" si="25"/>
        <v/>
      </c>
      <c r="AT59" s="15" t="s">
        <v>336</v>
      </c>
    </row>
    <row r="60" spans="1:46" x14ac:dyDescent="0.25">
      <c r="A60" s="27"/>
      <c r="B60" s="31" t="s">
        <v>1241</v>
      </c>
      <c r="C60" s="32" t="s">
        <v>11</v>
      </c>
      <c r="D60" s="61">
        <v>1525</v>
      </c>
      <c r="E60" s="32"/>
      <c r="F60" s="32"/>
      <c r="G60" s="33"/>
      <c r="H60" s="33"/>
      <c r="I60" s="33" t="s">
        <v>1758</v>
      </c>
      <c r="J60" s="33"/>
      <c r="K60" s="32" t="s">
        <v>336</v>
      </c>
      <c r="L60" s="32" t="s">
        <v>336</v>
      </c>
      <c r="M60" s="32" t="s">
        <v>235</v>
      </c>
      <c r="N60" s="32" t="s">
        <v>336</v>
      </c>
      <c r="O60" s="32" t="s">
        <v>336</v>
      </c>
      <c r="P60" s="32" t="s">
        <v>336</v>
      </c>
      <c r="Q60" s="32" t="s">
        <v>336</v>
      </c>
      <c r="R60" s="32" t="s">
        <v>336</v>
      </c>
      <c r="S60" s="32" t="s">
        <v>336</v>
      </c>
      <c r="T60" s="32"/>
      <c r="U60" s="32"/>
      <c r="V60" s="33"/>
      <c r="W60" s="38" t="b">
        <f t="shared" si="7"/>
        <v>0</v>
      </c>
      <c r="X60" s="35" t="str">
        <f t="shared" si="19"/>
        <v>title: ""</v>
      </c>
      <c r="Y60" s="35" t="str">
        <f t="shared" si="20"/>
        <v>location: {lat: , lng: }</v>
      </c>
      <c r="Z60" s="35" t="str">
        <f>IF(LEN(S60)&gt;1,VLOOKUP(S60,Sheet3!$A:$B,2,),"")</f>
        <v/>
      </c>
      <c r="AA60" s="35" t="str">
        <f>IF(LEN(T60)&gt;1,VLOOKUP(T60,Sheet3!$A:$B,2,),"")</f>
        <v/>
      </c>
      <c r="AB60" s="35" t="str">
        <f>IF(LEN(U60)&gt;1,VLOOKUP(U60,Sheet3!$A:$B,2,),"")</f>
        <v/>
      </c>
      <c r="AC60" s="37" t="str">
        <f t="shared" si="8"/>
        <v/>
      </c>
      <c r="AD60" s="37" t="str">
        <f t="shared" si="9"/>
        <v/>
      </c>
      <c r="AE60" s="37" t="str">
        <f t="shared" si="10"/>
        <v/>
      </c>
      <c r="AF60" s="37" t="str">
        <f>"- marian-sites
- churches
- "&amp;VLOOKUP(C60,'(Ref) Countries'!A:C,3,)&amp;IF(LEN(S60)&gt;1,"
- "&amp;S60,"")&amp;IF(LEN(T60)&gt;1,"
- "&amp;T60,"")&amp;IF(LEN(U60)&gt;1,"
- "&amp;U60,"")</f>
        <v>- marian-sites
- churches
- italy</v>
      </c>
      <c r="AG60" s="37" t="str">
        <f t="shared" si="11"/>
        <v xml:space="preserve">| </v>
      </c>
      <c r="AH60" s="37" t="str">
        <f t="shared" si="12"/>
        <v xml:space="preserve">| Crescentino </v>
      </c>
      <c r="AI60" s="37" t="str">
        <f>"| "&amp;IF(W60,GetTagPage(C60,VLOOKUP(C60,'(Ref) Countries'!A:C,3,)),C60)&amp; " "</f>
        <v xml:space="preserve">| Italy </v>
      </c>
      <c r="AJ60" s="37" t="str">
        <f t="shared" si="13"/>
        <v xml:space="preserve">| 1525 </v>
      </c>
      <c r="AK60" s="37" t="str">
        <f t="shared" si="14"/>
        <v xml:space="preserve">| </v>
      </c>
      <c r="AL60" s="35" t="str">
        <f t="shared" si="21"/>
        <v xml:space="preserve">| </v>
      </c>
      <c r="AM60" s="37" t="str">
        <f t="shared" si="22"/>
        <v xml:space="preserve">| [Link](http://www.therealpresence.org/eucharst/misc/BVM/53_CRESCENTINO_60x96.pdf) </v>
      </c>
      <c r="AN60" s="37" t="str">
        <f t="shared" si="23"/>
        <v xml:space="preserve">| </v>
      </c>
      <c r="AO60" s="37" t="str">
        <f t="shared" si="24"/>
        <v xml:space="preserve">| </v>
      </c>
      <c r="AP60" s="37" t="str">
        <f t="shared" si="15"/>
        <v xml:space="preserve">
| | [Link](http://www.therealpresence.org/eucharst/misc/BVM/53_CRESCENTINO_60x96.pdf) | | |</v>
      </c>
      <c r="AQ60" s="48" t="str">
        <f>VLOOKUP(C60,'(Ref) Countries'!A:B,2,)&amp;"-"&amp;LOWER(SUBSTITUTE(H60," ","-"))&amp;".md"</f>
        <v>it-.md</v>
      </c>
      <c r="AR60" s="35" t="str">
        <f t="shared" si="16"/>
        <v xml:space="preserve">
| Crescentino | Italy | 1525 | | | [Link](http://www.therealpresence.org/eucharst/misc/BVM/53_CRESCENTINO_60x96.pdf) | | | |</v>
      </c>
      <c r="AS60" s="48" t="str">
        <f t="shared" si="25"/>
        <v/>
      </c>
      <c r="AT60" s="15" t="s">
        <v>336</v>
      </c>
    </row>
    <row r="61" spans="1:46" x14ac:dyDescent="0.25">
      <c r="A61" s="27"/>
      <c r="B61" s="31" t="s">
        <v>1242</v>
      </c>
      <c r="C61" s="32" t="s">
        <v>11</v>
      </c>
      <c r="D61" s="61">
        <v>1528</v>
      </c>
      <c r="E61" s="32"/>
      <c r="F61" s="32"/>
      <c r="G61" s="33"/>
      <c r="H61" s="33"/>
      <c r="I61" s="33" t="s">
        <v>1758</v>
      </c>
      <c r="J61" s="33"/>
      <c r="K61" s="32" t="s">
        <v>336</v>
      </c>
      <c r="L61" s="32" t="s">
        <v>336</v>
      </c>
      <c r="M61" s="32" t="s">
        <v>236</v>
      </c>
      <c r="N61" s="32" t="s">
        <v>336</v>
      </c>
      <c r="O61" s="32" t="s">
        <v>336</v>
      </c>
      <c r="P61" s="32" t="s">
        <v>336</v>
      </c>
      <c r="Q61" s="32" t="s">
        <v>336</v>
      </c>
      <c r="R61" s="32" t="s">
        <v>336</v>
      </c>
      <c r="S61" s="32" t="s">
        <v>336</v>
      </c>
      <c r="T61" s="32"/>
      <c r="U61" s="32"/>
      <c r="V61" s="33"/>
      <c r="W61" s="38" t="b">
        <f t="shared" si="7"/>
        <v>0</v>
      </c>
      <c r="X61" s="35" t="str">
        <f t="shared" si="19"/>
        <v>title: ""</v>
      </c>
      <c r="Y61" s="35" t="str">
        <f t="shared" si="20"/>
        <v>location: {lat: , lng: }</v>
      </c>
      <c r="Z61" s="35" t="str">
        <f>IF(LEN(S61)&gt;1,VLOOKUP(S61,Sheet3!$A:$B,2,),"")</f>
        <v/>
      </c>
      <c r="AA61" s="35" t="str">
        <f>IF(LEN(T61)&gt;1,VLOOKUP(T61,Sheet3!$A:$B,2,),"")</f>
        <v/>
      </c>
      <c r="AB61" s="35" t="str">
        <f>IF(LEN(U61)&gt;1,VLOOKUP(U61,Sheet3!$A:$B,2,),"")</f>
        <v/>
      </c>
      <c r="AC61" s="37" t="str">
        <f t="shared" si="8"/>
        <v/>
      </c>
      <c r="AD61" s="37" t="str">
        <f t="shared" si="9"/>
        <v/>
      </c>
      <c r="AE61" s="37" t="str">
        <f t="shared" si="10"/>
        <v/>
      </c>
      <c r="AF61" s="37" t="str">
        <f>"- marian-sites
- churches
- "&amp;VLOOKUP(C61,'(Ref) Countries'!A:C,3,)&amp;IF(LEN(S61)&gt;1,"
- "&amp;S61,"")&amp;IF(LEN(T61)&gt;1,"
- "&amp;T61,"")&amp;IF(LEN(U61)&gt;1,"
- "&amp;U61,"")</f>
        <v>- marian-sites
- churches
- italy</v>
      </c>
      <c r="AG61" s="37" t="str">
        <f t="shared" si="11"/>
        <v xml:space="preserve">| </v>
      </c>
      <c r="AH61" s="37" t="str">
        <f t="shared" si="12"/>
        <v xml:space="preserve">| Ornavasso </v>
      </c>
      <c r="AI61" s="37" t="str">
        <f>"| "&amp;IF(W61,GetTagPage(C61,VLOOKUP(C61,'(Ref) Countries'!A:C,3,)),C61)&amp; " "</f>
        <v xml:space="preserve">| Italy </v>
      </c>
      <c r="AJ61" s="37" t="str">
        <f t="shared" si="13"/>
        <v xml:space="preserve">| 1528 </v>
      </c>
      <c r="AK61" s="37" t="str">
        <f t="shared" si="14"/>
        <v xml:space="preserve">| </v>
      </c>
      <c r="AL61" s="35" t="str">
        <f t="shared" si="21"/>
        <v xml:space="preserve">| </v>
      </c>
      <c r="AM61" s="37" t="str">
        <f t="shared" si="22"/>
        <v xml:space="preserve">| [Link](http://www.therealpresence.org/eucharst/misc/BVM/81_ORNAVASSO_60x96.pdf) </v>
      </c>
      <c r="AN61" s="37" t="str">
        <f t="shared" si="23"/>
        <v xml:space="preserve">| </v>
      </c>
      <c r="AO61" s="37" t="str">
        <f t="shared" si="24"/>
        <v xml:space="preserve">| </v>
      </c>
      <c r="AP61" s="37" t="str">
        <f t="shared" si="15"/>
        <v xml:space="preserve">
| | [Link](http://www.therealpresence.org/eucharst/misc/BVM/81_ORNAVASSO_60x96.pdf) | | |</v>
      </c>
      <c r="AQ61" s="48" t="str">
        <f>VLOOKUP(C61,'(Ref) Countries'!A:B,2,)&amp;"-"&amp;LOWER(SUBSTITUTE(H61," ","-"))&amp;".md"</f>
        <v>it-.md</v>
      </c>
      <c r="AR61" s="35" t="str">
        <f t="shared" si="16"/>
        <v xml:space="preserve">
| Ornavasso | Italy | 1528 | | | [Link](http://www.therealpresence.org/eucharst/misc/BVM/81_ORNAVASSO_60x96.pdf) | | | |</v>
      </c>
      <c r="AS61" s="48" t="str">
        <f t="shared" si="25"/>
        <v/>
      </c>
      <c r="AT61" s="15" t="s">
        <v>336</v>
      </c>
    </row>
    <row r="62" spans="1:46" ht="51" x14ac:dyDescent="0.25">
      <c r="A62" s="27" t="s">
        <v>1330</v>
      </c>
      <c r="B62" s="31" t="s">
        <v>1010</v>
      </c>
      <c r="C62" s="32" t="s">
        <v>631</v>
      </c>
      <c r="D62" s="61">
        <v>1531</v>
      </c>
      <c r="E62" s="32">
        <v>19.483432799999999</v>
      </c>
      <c r="F62" s="32">
        <v>-99.117410300000003</v>
      </c>
      <c r="G62" s="33" t="s">
        <v>433</v>
      </c>
      <c r="H62" s="33" t="s">
        <v>433</v>
      </c>
      <c r="I62" s="33" t="s">
        <v>1758</v>
      </c>
      <c r="J62" s="33" t="s">
        <v>454</v>
      </c>
      <c r="K62" s="32" t="s">
        <v>432</v>
      </c>
      <c r="L62" s="32" t="s">
        <v>336</v>
      </c>
      <c r="M62" s="32" t="s">
        <v>237</v>
      </c>
      <c r="N62" s="32" t="s">
        <v>336</v>
      </c>
      <c r="O62" s="32" t="s">
        <v>455</v>
      </c>
      <c r="P62" s="32" t="s">
        <v>336</v>
      </c>
      <c r="Q62" s="32" t="s">
        <v>456</v>
      </c>
      <c r="R62" s="32" t="s">
        <v>336</v>
      </c>
      <c r="S62" s="40" t="s">
        <v>487</v>
      </c>
      <c r="T62" s="40"/>
      <c r="U62" s="40"/>
      <c r="V62" s="33"/>
      <c r="W62" s="38" t="b">
        <f t="shared" si="7"/>
        <v>1</v>
      </c>
      <c r="X62" s="35" t="str">
        <f t="shared" si="19"/>
        <v>title: "Basilica of Our Lady of Guadalupe"</v>
      </c>
      <c r="Y62" s="35" t="str">
        <f t="shared" si="20"/>
        <v>location: {lat: 19.4834328, lng: -99.1174103}</v>
      </c>
      <c r="Z62" s="36" t="str">
        <f>IF(LEN(S62)&gt;1,VLOOKUP(S62,Sheet3!$A:$B,2,),"")</f>
        <v>St. Juan Diego</v>
      </c>
      <c r="AA62" s="36" t="str">
        <f>IF(LEN(T62)&gt;1,VLOOKUP(T62,Sheet3!$A:$B,2,),"")</f>
        <v/>
      </c>
      <c r="AB62" s="36" t="str">
        <f>IF(LEN(U62)&gt;1,VLOOKUP(U62,Sheet3!$A:$B,2,),"")</f>
        <v/>
      </c>
      <c r="AC62" s="37" t="str">
        <f t="shared" si="8"/>
        <v>[St. Juan Diego](/tags/juan-diego)</v>
      </c>
      <c r="AD62" s="37" t="str">
        <f t="shared" si="9"/>
        <v/>
      </c>
      <c r="AE62" s="37" t="str">
        <f t="shared" si="10"/>
        <v/>
      </c>
      <c r="AF62" s="37" t="str">
        <f>"- marian-sites
- churches
- "&amp;VLOOKUP(C62,'(Ref) Countries'!A:C,3,)&amp;IF(LEN(S62)&gt;1,"
- "&amp;S62,"")&amp;IF(LEN(T62)&gt;1,"
- "&amp;T62,"")&amp;IF(LEN(U62)&gt;1,"
- "&amp;U62,"")</f>
        <v>- marian-sites
- churches
- mexico
- juan-diego</v>
      </c>
      <c r="AG62" s="37" t="str">
        <f t="shared" si="11"/>
        <v xml:space="preserve">| [St. Juan Diego](/tags/juan-diego) </v>
      </c>
      <c r="AH62" s="37" t="str">
        <f t="shared" si="12"/>
        <v xml:space="preserve">| [Guadalupe](/places/mx-basilica-of-our-lady-of-guadalupe) </v>
      </c>
      <c r="AI62" s="37" t="str">
        <f>"| "&amp;IF(W62,GetTagPage(C62,VLOOKUP(C62,'(Ref) Countries'!A:C,3,)),C62)&amp; " "</f>
        <v xml:space="preserve">| [Mexico](/tags/mexico) </v>
      </c>
      <c r="AJ62" s="37" t="str">
        <f t="shared" si="13"/>
        <v xml:space="preserve">| 1531 </v>
      </c>
      <c r="AK62" s="37" t="str">
        <f t="shared" si="14"/>
        <v xml:space="preserve">| [Link](/places/mx-basilica-of-our-lady-of-guadalupe) </v>
      </c>
      <c r="AL62" s="35" t="str">
        <f t="shared" si="21"/>
        <v xml:space="preserve">| [Link](https://virgendeguadalupe.org.mx/) </v>
      </c>
      <c r="AM62" s="37" t="str">
        <f t="shared" si="22"/>
        <v xml:space="preserve">| [Link](http://www.therealpresence.org/eucharst/misc/BVM/70_GUADALUPE_96x96.pdf) </v>
      </c>
      <c r="AN62" s="37" t="str">
        <f t="shared" si="23"/>
        <v xml:space="preserve">| [Link](https://www.miraclehunter.com/marian_apparitions/approved_apparitions/guadalupe/index.html) </v>
      </c>
      <c r="AO62" s="37" t="str">
        <f t="shared" si="24"/>
        <v xml:space="preserve">| [Link](https://www.marypages.com/guadalupe-(mexico).html) </v>
      </c>
      <c r="AP62" s="37" t="str">
        <f t="shared" si="15"/>
        <v xml:space="preserve">
| [Link](https://virgendeguadalupe.org.mx/) | [Link](http://www.therealpresence.org/eucharst/misc/BVM/70_GUADALUPE_96x96.pdf) | [Link](https://www.miraclehunter.com/marian_apparitions/approved_apparitions/guadalupe/index.html) | [Link](https://www.marypages.com/guadalupe-(mexico).html) |</v>
      </c>
      <c r="AQ62" s="48" t="str">
        <f>VLOOKUP(C62,'(Ref) Countries'!A:B,2,)&amp;"-"&amp;LOWER(SUBSTITUTE(H62," ","-"))&amp;".md"</f>
        <v>mx-basilica-of-our-lady-of-guadalupe.md</v>
      </c>
      <c r="AR62" s="35" t="str">
        <f t="shared" si="16"/>
        <v xml:space="preserve">
| [Guadalupe](/places/mx-basilica-of-our-lady-of-guadalupe) | [Mexico](/tags/mexico) | 1531 | [Link](/places/mx-basilica-of-our-lady-of-guadalupe) | [Link](https://virgendeguadalupe.org.mx/) | [Link](http://www.therealpresence.org/eucharst/misc/BVM/70_GUADALUPE_96x96.pdf) | [Link](https://www.miraclehunter.com/marian_apparitions/approved_apparitions/guadalupe/index.html) | [Link](https://www.marypages.com/guadalupe-(mexico).html) | [St. Juan Diego](/tags/juan-diego) |</v>
      </c>
      <c r="AS62" s="48" t="str">
        <f t="shared" si="25"/>
        <v xml:space="preserve">---
title: "Basilica of Our Lady of Guadalupe"
location: {lat: 19.4834328, lng: -99.1174103}
tags:
- marian-sites
- churches
- mexico
- juan-diego
---
In December 1531, the Virgin Mary appeared to St. Juan Diego and his uncle.  The miraculous image imprinted on Juan Diego's tilma is on display at the Basilica of Our Lady of Guadalupe, which is the most-visited Catholic shrine in the world.
#### Source Material
| Official Site | The Real Presence | Miracle Hunter | MaryPages |
| --- | --- | --- | --- |
| [Link](https://virgendeguadalupe.org.mx/) | [Link](http://www.therealpresence.org/eucharst/misc/BVM/70_GUADALUPE_96x96.pdf) | [Link](https://www.miraclehunter.com/marian_apparitions/approved_apparitions/guadalupe/index.html) | [Link](https://www.marypages.com/guadalupe-(mexico).html) |
</v>
      </c>
      <c r="AT62" s="15" t="s">
        <v>336</v>
      </c>
    </row>
    <row r="63" spans="1:46" x14ac:dyDescent="0.25">
      <c r="A63" s="27"/>
      <c r="B63" s="31" t="s">
        <v>1243</v>
      </c>
      <c r="C63" s="32" t="s">
        <v>11</v>
      </c>
      <c r="D63" s="61">
        <v>1536</v>
      </c>
      <c r="E63" s="32"/>
      <c r="F63" s="32"/>
      <c r="G63" s="33"/>
      <c r="H63" s="33"/>
      <c r="I63" s="33" t="s">
        <v>1758</v>
      </c>
      <c r="J63" s="33"/>
      <c r="K63" s="32" t="s">
        <v>336</v>
      </c>
      <c r="L63" s="32" t="s">
        <v>336</v>
      </c>
      <c r="M63" s="32" t="s">
        <v>238</v>
      </c>
      <c r="N63" s="32" t="s">
        <v>336</v>
      </c>
      <c r="O63" s="32" t="s">
        <v>336</v>
      </c>
      <c r="P63" s="32" t="s">
        <v>336</v>
      </c>
      <c r="Q63" s="32" t="s">
        <v>336</v>
      </c>
      <c r="R63" s="32" t="s">
        <v>336</v>
      </c>
      <c r="S63" s="32" t="s">
        <v>336</v>
      </c>
      <c r="T63" s="32"/>
      <c r="U63" s="32"/>
      <c r="V63" s="33"/>
      <c r="W63" s="38" t="b">
        <f t="shared" si="7"/>
        <v>0</v>
      </c>
      <c r="X63" s="35" t="str">
        <f t="shared" si="19"/>
        <v>title: ""</v>
      </c>
      <c r="Y63" s="35" t="str">
        <f t="shared" si="20"/>
        <v>location: {lat: , lng: }</v>
      </c>
      <c r="Z63" s="35" t="str">
        <f>IF(LEN(S63)&gt;1,VLOOKUP(S63,Sheet3!$A:$B,2,),"")</f>
        <v/>
      </c>
      <c r="AA63" s="35" t="str">
        <f>IF(LEN(T63)&gt;1,VLOOKUP(T63,Sheet3!$A:$B,2,),"")</f>
        <v/>
      </c>
      <c r="AB63" s="35" t="str">
        <f>IF(LEN(U63)&gt;1,VLOOKUP(U63,Sheet3!$A:$B,2,),"")</f>
        <v/>
      </c>
      <c r="AC63" s="37" t="str">
        <f t="shared" si="8"/>
        <v/>
      </c>
      <c r="AD63" s="37" t="str">
        <f t="shared" si="9"/>
        <v/>
      </c>
      <c r="AE63" s="37" t="str">
        <f t="shared" si="10"/>
        <v/>
      </c>
      <c r="AF63" s="37" t="str">
        <f>"- marian-sites
- churches
- "&amp;VLOOKUP(C63,'(Ref) Countries'!A:C,3,)&amp;IF(LEN(S63)&gt;1,"
- "&amp;S63,"")&amp;IF(LEN(T63)&gt;1,"
- "&amp;T63,"")&amp;IF(LEN(U63)&gt;1,"
- "&amp;U63,"")</f>
        <v>- marian-sites
- churches
- italy</v>
      </c>
      <c r="AG63" s="37" t="str">
        <f t="shared" si="11"/>
        <v xml:space="preserve">| </v>
      </c>
      <c r="AH63" s="37" t="str">
        <f t="shared" si="12"/>
        <v xml:space="preserve">| Savona </v>
      </c>
      <c r="AI63" s="37" t="str">
        <f>"| "&amp;IF(W63,GetTagPage(C63,VLOOKUP(C63,'(Ref) Countries'!A:C,3,)),C63)&amp; " "</f>
        <v xml:space="preserve">| Italy </v>
      </c>
      <c r="AJ63" s="37" t="str">
        <f t="shared" si="13"/>
        <v xml:space="preserve">| 1536 </v>
      </c>
      <c r="AK63" s="37" t="str">
        <f t="shared" si="14"/>
        <v xml:space="preserve">| </v>
      </c>
      <c r="AL63" s="35" t="str">
        <f t="shared" si="21"/>
        <v xml:space="preserve">| </v>
      </c>
      <c r="AM63" s="37" t="str">
        <f t="shared" si="22"/>
        <v xml:space="preserve">| [Link](http://www.therealpresence.org/eucharst/misc/BVM/29_SAVONA_60x96.pdf) </v>
      </c>
      <c r="AN63" s="37" t="str">
        <f t="shared" si="23"/>
        <v xml:space="preserve">| </v>
      </c>
      <c r="AO63" s="37" t="str">
        <f t="shared" si="24"/>
        <v xml:space="preserve">| </v>
      </c>
      <c r="AP63" s="37" t="str">
        <f t="shared" si="15"/>
        <v xml:space="preserve">
| | [Link](http://www.therealpresence.org/eucharst/misc/BVM/29_SAVONA_60x96.pdf) | | |</v>
      </c>
      <c r="AQ63" s="48" t="str">
        <f>VLOOKUP(C63,'(Ref) Countries'!A:B,2,)&amp;"-"&amp;LOWER(SUBSTITUTE(H63," ","-"))&amp;".md"</f>
        <v>it-.md</v>
      </c>
      <c r="AR63" s="35" t="str">
        <f t="shared" si="16"/>
        <v xml:space="preserve">
| Savona | Italy | 1536 | | | [Link](http://www.therealpresence.org/eucharst/misc/BVM/29_SAVONA_60x96.pdf) | | | |</v>
      </c>
      <c r="AS63" s="48" t="str">
        <f t="shared" si="25"/>
        <v/>
      </c>
      <c r="AT63" s="15" t="s">
        <v>336</v>
      </c>
    </row>
    <row r="64" spans="1:46" ht="63.75" x14ac:dyDescent="0.25">
      <c r="A64" s="27" t="s">
        <v>1330</v>
      </c>
      <c r="B64" s="31" t="s">
        <v>1244</v>
      </c>
      <c r="C64" s="32" t="s">
        <v>670</v>
      </c>
      <c r="D64" s="61">
        <v>1539</v>
      </c>
      <c r="E64" s="32">
        <v>45.998943044455899</v>
      </c>
      <c r="F64" s="32">
        <v>13.6553373449013</v>
      </c>
      <c r="G64" s="52" t="s">
        <v>1398</v>
      </c>
      <c r="H64" s="33" t="s">
        <v>1398</v>
      </c>
      <c r="I64" s="33" t="s">
        <v>1758</v>
      </c>
      <c r="J64" s="52" t="s">
        <v>1400</v>
      </c>
      <c r="K64" s="32" t="s">
        <v>1399</v>
      </c>
      <c r="L64" s="32" t="s">
        <v>336</v>
      </c>
      <c r="M64" s="32" t="s">
        <v>239</v>
      </c>
      <c r="N64" s="32" t="s">
        <v>336</v>
      </c>
      <c r="O64" s="32" t="s">
        <v>1401</v>
      </c>
      <c r="P64" s="53" t="s">
        <v>1402</v>
      </c>
      <c r="Q64" s="32" t="s">
        <v>336</v>
      </c>
      <c r="R64" s="32" t="s">
        <v>336</v>
      </c>
      <c r="S64" s="32" t="s">
        <v>336</v>
      </c>
      <c r="T64" s="32"/>
      <c r="U64" s="32"/>
      <c r="V64" s="33"/>
      <c r="W64" s="38" t="b">
        <f t="shared" si="7"/>
        <v>1</v>
      </c>
      <c r="X64" s="35" t="str">
        <f t="shared" si="19"/>
        <v>title: "Basilica of the Holy Mother of God"</v>
      </c>
      <c r="Y64" s="35" t="str">
        <f t="shared" si="20"/>
        <v>location: {lat: 45.9989430444559, lng: 13.6553373449013}</v>
      </c>
      <c r="Z64" s="35" t="str">
        <f>IF(LEN(S64)&gt;1,VLOOKUP(S64,Sheet3!$A:$B,2,),"")</f>
        <v/>
      </c>
      <c r="AA64" s="35" t="str">
        <f>IF(LEN(T64)&gt;1,VLOOKUP(T64,Sheet3!$A:$B,2,),"")</f>
        <v/>
      </c>
      <c r="AB64" s="35" t="str">
        <f>IF(LEN(U64)&gt;1,VLOOKUP(U64,Sheet3!$A:$B,2,),"")</f>
        <v/>
      </c>
      <c r="AC64" s="37" t="str">
        <f t="shared" si="8"/>
        <v/>
      </c>
      <c r="AD64" s="37" t="str">
        <f t="shared" si="9"/>
        <v/>
      </c>
      <c r="AE64" s="37" t="str">
        <f t="shared" si="10"/>
        <v/>
      </c>
      <c r="AF64" s="37" t="str">
        <f>"- marian-sites
- churches
- "&amp;VLOOKUP(C64,'(Ref) Countries'!A:C,3,)&amp;IF(LEN(S64)&gt;1,"
- "&amp;S64,"")&amp;IF(LEN(T64)&gt;1,"
- "&amp;T64,"")&amp;IF(LEN(U64)&gt;1,"
- "&amp;U64,"")</f>
        <v>- marian-sites
- churches
- slovenia</v>
      </c>
      <c r="AG64" s="37" t="str">
        <f t="shared" si="11"/>
        <v xml:space="preserve">| </v>
      </c>
      <c r="AH64" s="37" t="str">
        <f t="shared" si="12"/>
        <v xml:space="preserve">| [Sveta Gora](/places/si-basilica-of-the-holy-mother-of-god) </v>
      </c>
      <c r="AI64" s="37" t="str">
        <f>"| "&amp;IF(W64,GetTagPage(C64,VLOOKUP(C64,'(Ref) Countries'!A:C,3,)),C64)&amp; " "</f>
        <v xml:space="preserve">| [Slovenia](/tags/slovenia) </v>
      </c>
      <c r="AJ64" s="37" t="str">
        <f t="shared" si="13"/>
        <v xml:space="preserve">| 1539 </v>
      </c>
      <c r="AK64" s="37" t="str">
        <f t="shared" si="14"/>
        <v xml:space="preserve">| [Link](/places/si-basilica-of-the-holy-mother-of-god) </v>
      </c>
      <c r="AL64" s="35" t="str">
        <f t="shared" si="21"/>
        <v xml:space="preserve">| [Link](https://svetagora.si/) </v>
      </c>
      <c r="AM64" s="37" t="str">
        <f t="shared" si="22"/>
        <v xml:space="preserve">| [Link](http://www.therealpresence.org/eucharst/misc/BVM/137_SVETA_GORA_60x96.pdf) </v>
      </c>
      <c r="AN64" s="37" t="str">
        <f t="shared" si="23"/>
        <v xml:space="preserve">| [Link](https://www.miraclehunter.com/marian_apparitions/approved_apparitions/apparitions_1500-1599.html) (Search "Sveta Gora") </v>
      </c>
      <c r="AO64" s="37" t="str">
        <f t="shared" si="24"/>
        <v xml:space="preserve">| </v>
      </c>
      <c r="AP64" s="37" t="str">
        <f t="shared" si="15"/>
        <v xml:space="preserve">
| [Link](https://svetagora.si/) | [Link](http://www.therealpresence.org/eucharst/misc/BVM/137_SVETA_GORA_60x96.pdf) | [Link](https://www.miraclehunter.com/marian_apparitions/approved_apparitions/apparitions_1500-1599.html) (Search "Sveta Gora") | |</v>
      </c>
      <c r="AQ64" s="48" t="str">
        <f>VLOOKUP(C64,'(Ref) Countries'!A:B,2,)&amp;"-"&amp;LOWER(SUBSTITUTE(H64," ","-"))&amp;".md"</f>
        <v>si-basilica-of-the-holy-mother-of-god.md</v>
      </c>
      <c r="AR64" s="35" t="str">
        <f t="shared" si="16"/>
        <v xml:space="preserve">
| [Sveta Gora](/places/si-basilica-of-the-holy-mother-of-god) | [Slovenia](/tags/slovenia) | 1539 | [Link](/places/si-basilica-of-the-holy-mother-of-god) | [Link](https://svetagora.si/) | [Link](http://www.therealpresence.org/eucharst/misc/BVM/137_SVETA_GORA_60x96.pdf) | [Link](https://www.miraclehunter.com/marian_apparitions/approved_apparitions/apparitions_1500-1599.html) (Search "Sveta Gora") | | |</v>
      </c>
      <c r="AS64" s="48" t="str">
        <f t="shared" si="25"/>
        <v xml:space="preserve">---
title: "Basilica of the Holy Mother of God"
location: {lat: 45.9989430444559, lng: 13.6553373449013}
tags:
- marian-sites
- churches
- slovenia
---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
#### Source Material
| Official Site | The Real Presence | Miracle Hunter | MaryPages |
| --- | --- | --- | --- |
| [Link](https://svetagora.si/) | [Link](http://www.therealpresence.org/eucharst/misc/BVM/137_SVETA_GORA_60x96.pdf) | [Link](https://www.miraclehunter.com/marian_apparitions/approved_apparitions/apparitions_1500-1599.html) (Search "Sveta Gora") | |
</v>
      </c>
      <c r="AT64" s="15" t="s">
        <v>336</v>
      </c>
    </row>
    <row r="65" spans="1:46" x14ac:dyDescent="0.25">
      <c r="A65" s="27"/>
      <c r="B65" s="31" t="s">
        <v>1245</v>
      </c>
      <c r="C65" s="32" t="s">
        <v>631</v>
      </c>
      <c r="D65" s="61">
        <v>1541</v>
      </c>
      <c r="E65" s="32"/>
      <c r="F65" s="32"/>
      <c r="G65" s="33"/>
      <c r="H65" s="33"/>
      <c r="I65" s="33" t="s">
        <v>1758</v>
      </c>
      <c r="J65" s="33"/>
      <c r="K65" s="32" t="s">
        <v>336</v>
      </c>
      <c r="L65" s="32" t="s">
        <v>336</v>
      </c>
      <c r="M65" s="32" t="s">
        <v>240</v>
      </c>
      <c r="N65" s="32" t="s">
        <v>336</v>
      </c>
      <c r="O65" s="32" t="s">
        <v>336</v>
      </c>
      <c r="P65" s="32" t="s">
        <v>336</v>
      </c>
      <c r="Q65" s="32" t="s">
        <v>336</v>
      </c>
      <c r="R65" s="32" t="s">
        <v>336</v>
      </c>
      <c r="S65" s="32" t="s">
        <v>336</v>
      </c>
      <c r="T65" s="32"/>
      <c r="U65" s="32"/>
      <c r="V65" s="33"/>
      <c r="W65" s="38" t="b">
        <f t="shared" si="7"/>
        <v>0</v>
      </c>
      <c r="X65" s="35" t="str">
        <f t="shared" si="19"/>
        <v>title: ""</v>
      </c>
      <c r="Y65" s="35" t="str">
        <f t="shared" si="20"/>
        <v>location: {lat: , lng: }</v>
      </c>
      <c r="Z65" s="35" t="str">
        <f>IF(LEN(S65)&gt;1,VLOOKUP(S65,Sheet3!$A:$B,2,),"")</f>
        <v/>
      </c>
      <c r="AA65" s="35" t="str">
        <f>IF(LEN(T65)&gt;1,VLOOKUP(T65,Sheet3!$A:$B,2,),"")</f>
        <v/>
      </c>
      <c r="AB65" s="35" t="str">
        <f>IF(LEN(U65)&gt;1,VLOOKUP(U65,Sheet3!$A:$B,2,),"")</f>
        <v/>
      </c>
      <c r="AC65" s="37" t="str">
        <f t="shared" si="8"/>
        <v/>
      </c>
      <c r="AD65" s="37" t="str">
        <f t="shared" si="9"/>
        <v/>
      </c>
      <c r="AE65" s="37" t="str">
        <f t="shared" si="10"/>
        <v/>
      </c>
      <c r="AF65" s="37" t="str">
        <f>"- marian-sites
- churches
- "&amp;VLOOKUP(C65,'(Ref) Countries'!A:C,3,)&amp;IF(LEN(S65)&gt;1,"
- "&amp;S65,"")&amp;IF(LEN(T65)&gt;1,"
- "&amp;T65,"")&amp;IF(LEN(U65)&gt;1,"
- "&amp;U65,"")</f>
        <v>- marian-sites
- churches
- mexico</v>
      </c>
      <c r="AG65" s="37" t="str">
        <f t="shared" si="11"/>
        <v xml:space="preserve">| </v>
      </c>
      <c r="AH65" s="37" t="str">
        <f t="shared" si="12"/>
        <v xml:space="preserve">| Ocotlán </v>
      </c>
      <c r="AI65" s="37" t="str">
        <f>"| "&amp;IF(W65,GetTagPage(C65,VLOOKUP(C65,'(Ref) Countries'!A:C,3,)),C65)&amp; " "</f>
        <v xml:space="preserve">| Mexico </v>
      </c>
      <c r="AJ65" s="37" t="str">
        <f t="shared" si="13"/>
        <v xml:space="preserve">| 1541 </v>
      </c>
      <c r="AK65" s="37" t="str">
        <f t="shared" si="14"/>
        <v xml:space="preserve">| </v>
      </c>
      <c r="AL65" s="35" t="str">
        <f t="shared" si="21"/>
        <v xml:space="preserve">| </v>
      </c>
      <c r="AM65" s="37" t="str">
        <f t="shared" si="22"/>
        <v xml:space="preserve">| [Link](http://www.therealpresence.org/eucharst/misc/BVM/127_OCOTLAN_96x96.pdf) </v>
      </c>
      <c r="AN65" s="37" t="str">
        <f t="shared" si="23"/>
        <v xml:space="preserve">| </v>
      </c>
      <c r="AO65" s="37" t="str">
        <f t="shared" si="24"/>
        <v xml:space="preserve">| </v>
      </c>
      <c r="AP65" s="37" t="str">
        <f t="shared" si="15"/>
        <v xml:space="preserve">
| | [Link](http://www.therealpresence.org/eucharst/misc/BVM/127_OCOTLAN_96x96.pdf) | | |</v>
      </c>
      <c r="AQ65" s="48" t="str">
        <f>VLOOKUP(C65,'(Ref) Countries'!A:B,2,)&amp;"-"&amp;LOWER(SUBSTITUTE(H65," ","-"))&amp;".md"</f>
        <v>mx-.md</v>
      </c>
      <c r="AR65" s="35" t="str">
        <f t="shared" si="16"/>
        <v xml:space="preserve">
| Ocotlán | Mexico | 1541 | | | [Link](http://www.therealpresence.org/eucharst/misc/BVM/127_OCOTLAN_96x96.pdf) | | | |</v>
      </c>
      <c r="AS65" s="48" t="str">
        <f t="shared" si="25"/>
        <v/>
      </c>
      <c r="AT65" s="15" t="s">
        <v>336</v>
      </c>
    </row>
    <row r="66" spans="1:46" x14ac:dyDescent="0.25">
      <c r="A66" s="27"/>
      <c r="B66" s="31" t="s">
        <v>1246</v>
      </c>
      <c r="C66" s="32" t="s">
        <v>11</v>
      </c>
      <c r="D66" s="61">
        <v>1543</v>
      </c>
      <c r="E66" s="32"/>
      <c r="F66" s="32"/>
      <c r="G66" s="33"/>
      <c r="H66" s="33"/>
      <c r="I66" s="33" t="s">
        <v>1758</v>
      </c>
      <c r="J66" s="33"/>
      <c r="K66" s="32" t="s">
        <v>336</v>
      </c>
      <c r="L66" s="32" t="s">
        <v>336</v>
      </c>
      <c r="M66" s="32" t="s">
        <v>241</v>
      </c>
      <c r="N66" s="32" t="s">
        <v>336</v>
      </c>
      <c r="O66" s="32" t="s">
        <v>336</v>
      </c>
      <c r="P66" s="32" t="s">
        <v>336</v>
      </c>
      <c r="Q66" s="32" t="s">
        <v>336</v>
      </c>
      <c r="R66" s="32" t="s">
        <v>336</v>
      </c>
      <c r="S66" s="32" t="s">
        <v>336</v>
      </c>
      <c r="T66" s="32"/>
      <c r="U66" s="32"/>
      <c r="V66" s="33"/>
      <c r="W66" s="38" t="b">
        <f t="shared" si="7"/>
        <v>0</v>
      </c>
      <c r="X66" s="35" t="str">
        <f t="shared" ref="X66:X97" si="26">"title: """&amp;G66&amp;""""</f>
        <v>title: ""</v>
      </c>
      <c r="Y66" s="35" t="str">
        <f t="shared" ref="Y66:Y97" si="27">"location: {lat: "&amp;E66&amp;", lng: "&amp;F66&amp;"}"</f>
        <v>location: {lat: , lng: }</v>
      </c>
      <c r="Z66" s="35" t="str">
        <f>IF(LEN(S66)&gt;1,VLOOKUP(S66,Sheet3!$A:$B,2,),"")</f>
        <v/>
      </c>
      <c r="AA66" s="35" t="str">
        <f>IF(LEN(T66)&gt;1,VLOOKUP(T66,Sheet3!$A:$B,2,),"")</f>
        <v/>
      </c>
      <c r="AB66" s="35" t="str">
        <f>IF(LEN(U66)&gt;1,VLOOKUP(U66,Sheet3!$A:$B,2,),"")</f>
        <v/>
      </c>
      <c r="AC66" s="37" t="str">
        <f t="shared" si="8"/>
        <v/>
      </c>
      <c r="AD66" s="37" t="str">
        <f t="shared" si="9"/>
        <v/>
      </c>
      <c r="AE66" s="37" t="str">
        <f t="shared" si="10"/>
        <v/>
      </c>
      <c r="AF66" s="37" t="str">
        <f>"- marian-sites
- churches
- "&amp;VLOOKUP(C66,'(Ref) Countries'!A:C,3,)&amp;IF(LEN(S66)&gt;1,"
- "&amp;S66,"")&amp;IF(LEN(T66)&gt;1,"
- "&amp;T66,"")&amp;IF(LEN(U66)&gt;1,"
- "&amp;U66,"")</f>
        <v>- marian-sites
- churches
- italy</v>
      </c>
      <c r="AG66" s="37" t="str">
        <f t="shared" si="11"/>
        <v xml:space="preserve">| </v>
      </c>
      <c r="AH66" s="37" t="str">
        <f t="shared" si="12"/>
        <v xml:space="preserve">| Vacciago </v>
      </c>
      <c r="AI66" s="37" t="str">
        <f>"| "&amp;IF(W66,GetTagPage(C66,VLOOKUP(C66,'(Ref) Countries'!A:C,3,)),C66)&amp; " "</f>
        <v xml:space="preserve">| Italy </v>
      </c>
      <c r="AJ66" s="37" t="str">
        <f t="shared" si="13"/>
        <v xml:space="preserve">| 1543 </v>
      </c>
      <c r="AK66" s="37" t="str">
        <f t="shared" si="14"/>
        <v xml:space="preserve">| </v>
      </c>
      <c r="AL66" s="35" t="str">
        <f t="shared" ref="AL66:AL97" si="28">IF(LEN(K66)&gt;1,"| [Link]("&amp;K66&amp;")"&amp;IF(LEN(L66)&gt;1,L66,"")&amp;" ","| ")</f>
        <v xml:space="preserve">| </v>
      </c>
      <c r="AM66" s="37" t="str">
        <f t="shared" ref="AM66:AM97" si="29">IF(LEN(M66)&gt;1,"| [Link]("&amp;M66&amp;")"&amp;IF(LEN(N66)&gt;1,N66,"")&amp;" ","| ")</f>
        <v xml:space="preserve">| [Link](http://www.therealpresence.org/eucharst/misc/BVM/116_VACCIAGO_60x96.pdf) </v>
      </c>
      <c r="AN66" s="37" t="str">
        <f t="shared" ref="AN66:AN97" si="30">IF(LEN(O66)&gt;1,"| [Link]("&amp;O66&amp;")"&amp;IF(LEN(P66)&gt;1,P66,"")&amp;" ","| ")</f>
        <v xml:space="preserve">| </v>
      </c>
      <c r="AO66" s="37" t="str">
        <f t="shared" ref="AO66:AO97" si="31">IF(LEN(Q66)&gt;1,"| [Link]("&amp;Q66&amp;")"&amp;IF(LEN(R66)&gt;1,R66,"")&amp;" ","| ")</f>
        <v xml:space="preserve">| </v>
      </c>
      <c r="AP66" s="37" t="str">
        <f t="shared" si="15"/>
        <v xml:space="preserve">
| | [Link](http://www.therealpresence.org/eucharst/misc/BVM/116_VACCIAGO_60x96.pdf) | | |</v>
      </c>
      <c r="AQ66" s="48" t="str">
        <f>VLOOKUP(C66,'(Ref) Countries'!A:B,2,)&amp;"-"&amp;LOWER(SUBSTITUTE(H66," ","-"))&amp;".md"</f>
        <v>it-.md</v>
      </c>
      <c r="AR66" s="35" t="str">
        <f t="shared" si="16"/>
        <v xml:space="preserve">
| Vacciago | Italy | 1543 | | | [Link](http://www.therealpresence.org/eucharst/misc/BVM/116_VACCIAGO_60x96.pdf) | | | |</v>
      </c>
      <c r="AS66" s="48" t="str">
        <f t="shared" ref="AS66:AS97" si="32">IF(OR(A66="Done",A66="In Progress"),"---
"&amp;X66&amp;"
"&amp;Y66&amp;"
"&amp;"tags:
"&amp;AF66&amp;"
---
"&amp;J66&amp;"
#### Source Material
| Official Site | The Real Presence | Miracle Hunter | MaryPages |
| --- | --- | --- | --- |"&amp;AP66&amp;"
"&amp;IF(LEN(V66)&gt;1,"#### Author's Note
"&amp;V66,""),"")</f>
        <v/>
      </c>
      <c r="AT66" s="15" t="s">
        <v>336</v>
      </c>
    </row>
    <row r="67" spans="1:46" x14ac:dyDescent="0.25">
      <c r="A67" s="27"/>
      <c r="B67" s="31" t="s">
        <v>1247</v>
      </c>
      <c r="C67" s="32" t="s">
        <v>11</v>
      </c>
      <c r="D67" s="61">
        <v>1553</v>
      </c>
      <c r="E67" s="32"/>
      <c r="F67" s="32"/>
      <c r="G67" s="33"/>
      <c r="H67" s="33"/>
      <c r="I67" s="33" t="s">
        <v>1758</v>
      </c>
      <c r="J67" s="33"/>
      <c r="K67" s="32" t="s">
        <v>336</v>
      </c>
      <c r="L67" s="32" t="s">
        <v>336</v>
      </c>
      <c r="M67" s="32" t="s">
        <v>242</v>
      </c>
      <c r="N67" s="32" t="s">
        <v>336</v>
      </c>
      <c r="O67" s="32" t="s">
        <v>336</v>
      </c>
      <c r="P67" s="32" t="s">
        <v>336</v>
      </c>
      <c r="Q67" s="32" t="s">
        <v>336</v>
      </c>
      <c r="R67" s="32" t="s">
        <v>336</v>
      </c>
      <c r="S67" s="32" t="s">
        <v>336</v>
      </c>
      <c r="T67" s="32"/>
      <c r="U67" s="32"/>
      <c r="V67" s="33"/>
      <c r="W67" s="38" t="b">
        <f t="shared" ref="W67:W130" si="33">IF(OR(A67="Done",A67="In Progress"),TRUE)</f>
        <v>0</v>
      </c>
      <c r="X67" s="35" t="str">
        <f t="shared" si="26"/>
        <v>title: ""</v>
      </c>
      <c r="Y67" s="35" t="str">
        <f t="shared" si="27"/>
        <v>location: {lat: , lng: }</v>
      </c>
      <c r="Z67" s="35" t="str">
        <f>IF(LEN(S67)&gt;1,VLOOKUP(S67,Sheet3!$A:$B,2,),"")</f>
        <v/>
      </c>
      <c r="AA67" s="35" t="str">
        <f>IF(LEN(T67)&gt;1,VLOOKUP(T67,Sheet3!$A:$B,2,),"")</f>
        <v/>
      </c>
      <c r="AB67" s="35" t="str">
        <f>IF(LEN(U67)&gt;1,VLOOKUP(U67,Sheet3!$A:$B,2,),"")</f>
        <v/>
      </c>
      <c r="AC67" s="37" t="str">
        <f t="shared" ref="AC67:AC130" si="34">IF(LEN(S67)&gt;1,GetTagPage(Z67,S67),"")</f>
        <v/>
      </c>
      <c r="AD67" s="37" t="str">
        <f t="shared" ref="AD67:AD130" si="35">IF(LEN(T67)&gt;1,GetTagPage(AA67,T67),"")</f>
        <v/>
      </c>
      <c r="AE67" s="37" t="str">
        <f t="shared" ref="AE67:AE130" si="36">IF(LEN(U67)&gt;1,GetTagPage(AB67,U67),"")</f>
        <v/>
      </c>
      <c r="AF67" s="37" t="str">
        <f>"- marian-sites
- churches
- "&amp;VLOOKUP(C67,'(Ref) Countries'!A:C,3,)&amp;IF(LEN(S67)&gt;1,"
- "&amp;S67,"")&amp;IF(LEN(T67)&gt;1,"
- "&amp;T67,"")&amp;IF(LEN(U67)&gt;1,"
- "&amp;U67,"")</f>
        <v>- marian-sites
- churches
- italy</v>
      </c>
      <c r="AG67" s="37" t="str">
        <f t="shared" ref="AG67:AG130" si="37">"|"&amp;IF(LEN(AC67)&gt;1," "&amp;AC67,"")&amp;IF(LEN(AD67)&gt;1,", "&amp;AD67,"")&amp;IF(LEN(AE67)&gt;1,", "&amp;AE67,"")&amp;" "</f>
        <v xml:space="preserve">| </v>
      </c>
      <c r="AH67" s="37" t="str">
        <f t="shared" ref="AH67:AH130" si="38">"| "&amp;IF(W67,"["&amp;B67&amp;"](/places/"&amp;SUBSTITUTE(AQ67,".md","")&amp;")",B67)&amp;" "</f>
        <v xml:space="preserve">| Pietralba </v>
      </c>
      <c r="AI67" s="37" t="str">
        <f>"| "&amp;IF(W67,GetTagPage(C67,VLOOKUP(C67,'(Ref) Countries'!A:C,3,)),C67)&amp; " "</f>
        <v xml:space="preserve">| Italy </v>
      </c>
      <c r="AJ67" s="37" t="str">
        <f t="shared" ref="AJ67:AJ130" si="39">"| "&amp;D67&amp;" "</f>
        <v xml:space="preserve">| 1553 </v>
      </c>
      <c r="AK67" s="37" t="str">
        <f t="shared" ref="AK67:AK130" si="40">"|"&amp;IF(W67," [Link](/places/"&amp;SUBSTITUTE(AQ67,".md","")&amp;")","")&amp;" "</f>
        <v xml:space="preserve">| </v>
      </c>
      <c r="AL67" s="35" t="str">
        <f t="shared" si="28"/>
        <v xml:space="preserve">| </v>
      </c>
      <c r="AM67" s="37" t="str">
        <f t="shared" si="29"/>
        <v xml:space="preserve">| [Link](http://www.therealpresence.org/eucharst/misc/BVM/60_PIETRALBA_96x96.pdf) </v>
      </c>
      <c r="AN67" s="37" t="str">
        <f t="shared" si="30"/>
        <v xml:space="preserve">| </v>
      </c>
      <c r="AO67" s="37" t="str">
        <f t="shared" si="31"/>
        <v xml:space="preserve">| </v>
      </c>
      <c r="AP67" s="37" t="str">
        <f t="shared" si="15"/>
        <v xml:space="preserve">
| | [Link](http://www.therealpresence.org/eucharst/misc/BVM/60_PIETRALBA_96x96.pdf) | | |</v>
      </c>
      <c r="AQ67" s="48" t="str">
        <f>VLOOKUP(C67,'(Ref) Countries'!A:B,2,)&amp;"-"&amp;LOWER(SUBSTITUTE(H67," ","-"))&amp;".md"</f>
        <v>it-.md</v>
      </c>
      <c r="AR67" s="35" t="str">
        <f t="shared" ref="AR67:AR130" si="41">"
"&amp;AH67&amp;AI67&amp;AJ67&amp;AK67&amp;AL67&amp;AM67&amp;AN67&amp;AO67&amp;AG67&amp;"|"</f>
        <v xml:space="preserve">
| Pietralba | Italy | 1553 | | | [Link](http://www.therealpresence.org/eucharst/misc/BVM/60_PIETRALBA_96x96.pdf) | | | |</v>
      </c>
      <c r="AS67" s="48" t="str">
        <f t="shared" si="32"/>
        <v/>
      </c>
      <c r="AT67" s="15" t="s">
        <v>336</v>
      </c>
    </row>
    <row r="68" spans="1:46" x14ac:dyDescent="0.25">
      <c r="A68" s="27"/>
      <c r="B68" s="31" t="s">
        <v>1248</v>
      </c>
      <c r="C68" s="32" t="s">
        <v>11</v>
      </c>
      <c r="D68" s="61">
        <v>1555</v>
      </c>
      <c r="E68" s="32"/>
      <c r="F68" s="32"/>
      <c r="G68" s="33"/>
      <c r="H68" s="33"/>
      <c r="I68" s="33" t="s">
        <v>1758</v>
      </c>
      <c r="J68" s="33"/>
      <c r="K68" s="32" t="s">
        <v>336</v>
      </c>
      <c r="L68" s="32" t="s">
        <v>336</v>
      </c>
      <c r="M68" s="32" t="s">
        <v>243</v>
      </c>
      <c r="N68" s="32" t="s">
        <v>336</v>
      </c>
      <c r="O68" s="32" t="s">
        <v>336</v>
      </c>
      <c r="P68" s="32" t="s">
        <v>336</v>
      </c>
      <c r="Q68" s="32" t="s">
        <v>336</v>
      </c>
      <c r="R68" s="32" t="s">
        <v>336</v>
      </c>
      <c r="S68" s="32" t="s">
        <v>336</v>
      </c>
      <c r="T68" s="32"/>
      <c r="U68" s="32"/>
      <c r="V68" s="33"/>
      <c r="W68" s="38" t="b">
        <f t="shared" si="33"/>
        <v>0</v>
      </c>
      <c r="X68" s="35" t="str">
        <f t="shared" si="26"/>
        <v>title: ""</v>
      </c>
      <c r="Y68" s="35" t="str">
        <f t="shared" si="27"/>
        <v>location: {lat: , lng: }</v>
      </c>
      <c r="Z68" s="35" t="str">
        <f>IF(LEN(S68)&gt;1,VLOOKUP(S68,Sheet3!$A:$B,2,),"")</f>
        <v/>
      </c>
      <c r="AA68" s="35" t="str">
        <f>IF(LEN(T68)&gt;1,VLOOKUP(T68,Sheet3!$A:$B,2,),"")</f>
        <v/>
      </c>
      <c r="AB68" s="35" t="str">
        <f>IF(LEN(U68)&gt;1,VLOOKUP(U68,Sheet3!$A:$B,2,),"")</f>
        <v/>
      </c>
      <c r="AC68" s="37" t="str">
        <f t="shared" si="34"/>
        <v/>
      </c>
      <c r="AD68" s="37" t="str">
        <f t="shared" si="35"/>
        <v/>
      </c>
      <c r="AE68" s="37" t="str">
        <f t="shared" si="36"/>
        <v/>
      </c>
      <c r="AF68" s="37" t="str">
        <f>"- marian-sites
- churches
- "&amp;VLOOKUP(C68,'(Ref) Countries'!A:C,3,)&amp;IF(LEN(S68)&gt;1,"
- "&amp;S68,"")&amp;IF(LEN(T68)&gt;1,"
- "&amp;T68,"")&amp;IF(LEN(U68)&gt;1,"
- "&amp;U68,"")</f>
        <v>- marian-sites
- churches
- italy</v>
      </c>
      <c r="AG68" s="37" t="str">
        <f t="shared" si="37"/>
        <v xml:space="preserve">| </v>
      </c>
      <c r="AH68" s="37" t="str">
        <f t="shared" si="38"/>
        <v xml:space="preserve">| Corbetta </v>
      </c>
      <c r="AI68" s="37" t="str">
        <f>"| "&amp;IF(W68,GetTagPage(C68,VLOOKUP(C68,'(Ref) Countries'!A:C,3,)),C68)&amp; " "</f>
        <v xml:space="preserve">| Italy </v>
      </c>
      <c r="AJ68" s="37" t="str">
        <f t="shared" si="39"/>
        <v xml:space="preserve">| 1555 </v>
      </c>
      <c r="AK68" s="37" t="str">
        <f t="shared" si="40"/>
        <v xml:space="preserve">| </v>
      </c>
      <c r="AL68" s="35" t="str">
        <f t="shared" si="28"/>
        <v xml:space="preserve">| </v>
      </c>
      <c r="AM68" s="37" t="str">
        <f t="shared" si="29"/>
        <v xml:space="preserve">| [Link](http://www.therealpresence.org/eucharst/misc/BVM/10_CORBETTA_60x96.pdf) </v>
      </c>
      <c r="AN68" s="37" t="str">
        <f t="shared" si="30"/>
        <v xml:space="preserve">| </v>
      </c>
      <c r="AO68" s="37" t="str">
        <f t="shared" si="31"/>
        <v xml:space="preserve">| </v>
      </c>
      <c r="AP68" s="37" t="str">
        <f t="shared" si="15"/>
        <v xml:space="preserve">
| | [Link](http://www.therealpresence.org/eucharst/misc/BVM/10_CORBETTA_60x96.pdf) | | |</v>
      </c>
      <c r="AQ68" s="48" t="str">
        <f>VLOOKUP(C68,'(Ref) Countries'!A:B,2,)&amp;"-"&amp;LOWER(SUBSTITUTE(H68," ","-"))&amp;".md"</f>
        <v>it-.md</v>
      </c>
      <c r="AR68" s="35" t="str">
        <f t="shared" si="41"/>
        <v xml:space="preserve">
| Corbetta | Italy | 1555 | | | [Link](http://www.therealpresence.org/eucharst/misc/BVM/10_CORBETTA_60x96.pdf) | | | |</v>
      </c>
      <c r="AS68" s="48" t="str">
        <f t="shared" si="32"/>
        <v/>
      </c>
      <c r="AT68" s="15" t="s">
        <v>336</v>
      </c>
    </row>
    <row r="69" spans="1:46" x14ac:dyDescent="0.25">
      <c r="A69" s="27"/>
      <c r="B69" s="31" t="s">
        <v>1249</v>
      </c>
      <c r="C69" s="32" t="s">
        <v>11</v>
      </c>
      <c r="D69" s="61">
        <v>1556</v>
      </c>
      <c r="E69" s="32"/>
      <c r="F69" s="32"/>
      <c r="G69" s="33"/>
      <c r="H69" s="33"/>
      <c r="I69" s="33" t="s">
        <v>1758</v>
      </c>
      <c r="J69" s="33"/>
      <c r="K69" s="32" t="s">
        <v>336</v>
      </c>
      <c r="L69" s="32" t="s">
        <v>336</v>
      </c>
      <c r="M69" s="32" t="s">
        <v>244</v>
      </c>
      <c r="N69" s="32" t="s">
        <v>336</v>
      </c>
      <c r="O69" s="32" t="s">
        <v>336</v>
      </c>
      <c r="P69" s="32" t="s">
        <v>336</v>
      </c>
      <c r="Q69" s="32" t="s">
        <v>336</v>
      </c>
      <c r="R69" s="32" t="s">
        <v>336</v>
      </c>
      <c r="S69" s="32" t="s">
        <v>336</v>
      </c>
      <c r="T69" s="32"/>
      <c r="U69" s="32"/>
      <c r="V69" s="33"/>
      <c r="W69" s="38" t="b">
        <f t="shared" si="33"/>
        <v>0</v>
      </c>
      <c r="X69" s="35" t="str">
        <f t="shared" si="26"/>
        <v>title: ""</v>
      </c>
      <c r="Y69" s="35" t="str">
        <f t="shared" si="27"/>
        <v>location: {lat: , lng: }</v>
      </c>
      <c r="Z69" s="35" t="str">
        <f>IF(LEN(S69)&gt;1,VLOOKUP(S69,Sheet3!$A:$B,2,),"")</f>
        <v/>
      </c>
      <c r="AA69" s="35" t="str">
        <f>IF(LEN(T69)&gt;1,VLOOKUP(T69,Sheet3!$A:$B,2,),"")</f>
        <v/>
      </c>
      <c r="AB69" s="35" t="str">
        <f>IF(LEN(U69)&gt;1,VLOOKUP(U69,Sheet3!$A:$B,2,),"")</f>
        <v/>
      </c>
      <c r="AC69" s="37" t="str">
        <f t="shared" si="34"/>
        <v/>
      </c>
      <c r="AD69" s="37" t="str">
        <f t="shared" si="35"/>
        <v/>
      </c>
      <c r="AE69" s="37" t="str">
        <f t="shared" si="36"/>
        <v/>
      </c>
      <c r="AF69" s="37" t="str">
        <f>"- marian-sites
- churches
- "&amp;VLOOKUP(C69,'(Ref) Countries'!A:C,3,)&amp;IF(LEN(S69)&gt;1,"
- "&amp;S69,"")&amp;IF(LEN(T69)&gt;1,"
- "&amp;T69,"")&amp;IF(LEN(U69)&gt;1,"
- "&amp;U69,"")</f>
        <v>- marian-sites
- churches
- italy</v>
      </c>
      <c r="AG69" s="37" t="str">
        <f t="shared" si="37"/>
        <v xml:space="preserve">| </v>
      </c>
      <c r="AH69" s="37" t="str">
        <f t="shared" si="38"/>
        <v xml:space="preserve">| Arcola </v>
      </c>
      <c r="AI69" s="37" t="str">
        <f>"| "&amp;IF(W69,GetTagPage(C69,VLOOKUP(C69,'(Ref) Countries'!A:C,3,)),C69)&amp; " "</f>
        <v xml:space="preserve">| Italy </v>
      </c>
      <c r="AJ69" s="37" t="str">
        <f t="shared" si="39"/>
        <v xml:space="preserve">| 1556 </v>
      </c>
      <c r="AK69" s="37" t="str">
        <f t="shared" si="40"/>
        <v xml:space="preserve">| </v>
      </c>
      <c r="AL69" s="35" t="str">
        <f t="shared" si="28"/>
        <v xml:space="preserve">| </v>
      </c>
      <c r="AM69" s="37" t="str">
        <f t="shared" si="29"/>
        <v xml:space="preserve">| [Link](http://www.therealpresence.org/eucharst/misc/BVM/02_ARCOLA_60x96.pdf) </v>
      </c>
      <c r="AN69" s="37" t="str">
        <f t="shared" si="30"/>
        <v xml:space="preserve">| </v>
      </c>
      <c r="AO69" s="37" t="str">
        <f t="shared" si="31"/>
        <v xml:space="preserve">| </v>
      </c>
      <c r="AP69" s="37" t="str">
        <f t="shared" ref="AP69:AP132" si="42">"
"&amp;AL69&amp;AM69&amp;AN69&amp;AO69&amp;"|"</f>
        <v xml:space="preserve">
| | [Link](http://www.therealpresence.org/eucharst/misc/BVM/02_ARCOLA_60x96.pdf) | | |</v>
      </c>
      <c r="AQ69" s="48" t="str">
        <f>VLOOKUP(C69,'(Ref) Countries'!A:B,2,)&amp;"-"&amp;LOWER(SUBSTITUTE(H69," ","-"))&amp;".md"</f>
        <v>it-.md</v>
      </c>
      <c r="AR69" s="35" t="str">
        <f t="shared" si="41"/>
        <v xml:space="preserve">
| Arcola | Italy | 1556 | | | [Link](http://www.therealpresence.org/eucharst/misc/BVM/02_ARCOLA_60x96.pdf) | | | |</v>
      </c>
      <c r="AS69" s="48" t="str">
        <f t="shared" si="32"/>
        <v/>
      </c>
      <c r="AT69" s="15" t="s">
        <v>336</v>
      </c>
    </row>
    <row r="70" spans="1:46" x14ac:dyDescent="0.25">
      <c r="A70" s="27"/>
      <c r="B70" s="31" t="s">
        <v>1250</v>
      </c>
      <c r="C70" s="32" t="s">
        <v>11</v>
      </c>
      <c r="D70" s="61">
        <v>1557</v>
      </c>
      <c r="E70" s="32"/>
      <c r="F70" s="32"/>
      <c r="G70" s="33"/>
      <c r="H70" s="33"/>
      <c r="I70" s="33" t="s">
        <v>1758</v>
      </c>
      <c r="J70" s="33"/>
      <c r="K70" s="32" t="s">
        <v>336</v>
      </c>
      <c r="L70" s="32" t="s">
        <v>336</v>
      </c>
      <c r="M70" s="32" t="s">
        <v>245</v>
      </c>
      <c r="N70" s="32" t="s">
        <v>336</v>
      </c>
      <c r="O70" s="32" t="s">
        <v>336</v>
      </c>
      <c r="P70" s="32" t="s">
        <v>336</v>
      </c>
      <c r="Q70" s="32" t="s">
        <v>336</v>
      </c>
      <c r="R70" s="32" t="s">
        <v>336</v>
      </c>
      <c r="S70" s="32" t="s">
        <v>336</v>
      </c>
      <c r="T70" s="32"/>
      <c r="U70" s="32"/>
      <c r="V70" s="33"/>
      <c r="W70" s="38" t="b">
        <f t="shared" si="33"/>
        <v>0</v>
      </c>
      <c r="X70" s="35" t="str">
        <f t="shared" si="26"/>
        <v>title: ""</v>
      </c>
      <c r="Y70" s="35" t="str">
        <f t="shared" si="27"/>
        <v>location: {lat: , lng: }</v>
      </c>
      <c r="Z70" s="35" t="str">
        <f>IF(LEN(S70)&gt;1,VLOOKUP(S70,Sheet3!$A:$B,2,),"")</f>
        <v/>
      </c>
      <c r="AA70" s="35" t="str">
        <f>IF(LEN(T70)&gt;1,VLOOKUP(T70,Sheet3!$A:$B,2,),"")</f>
        <v/>
      </c>
      <c r="AB70" s="35" t="str">
        <f>IF(LEN(U70)&gt;1,VLOOKUP(U70,Sheet3!$A:$B,2,),"")</f>
        <v/>
      </c>
      <c r="AC70" s="37" t="str">
        <f t="shared" si="34"/>
        <v/>
      </c>
      <c r="AD70" s="37" t="str">
        <f t="shared" si="35"/>
        <v/>
      </c>
      <c r="AE70" s="37" t="str">
        <f t="shared" si="36"/>
        <v/>
      </c>
      <c r="AF70" s="37" t="str">
        <f>"- marian-sites
- churches
- "&amp;VLOOKUP(C70,'(Ref) Countries'!A:C,3,)&amp;IF(LEN(S70)&gt;1,"
- "&amp;S70,"")&amp;IF(LEN(T70)&gt;1,"
- "&amp;T70,"")&amp;IF(LEN(U70)&gt;1,"
- "&amp;U70,"")</f>
        <v>- marian-sites
- churches
- italy</v>
      </c>
      <c r="AG70" s="37" t="str">
        <f t="shared" si="37"/>
        <v xml:space="preserve">| </v>
      </c>
      <c r="AH70" s="37" t="str">
        <f t="shared" si="38"/>
        <v xml:space="preserve">| Giulianova </v>
      </c>
      <c r="AI70" s="37" t="str">
        <f>"| "&amp;IF(W70,GetTagPage(C70,VLOOKUP(C70,'(Ref) Countries'!A:C,3,)),C70)&amp; " "</f>
        <v xml:space="preserve">| Italy </v>
      </c>
      <c r="AJ70" s="37" t="str">
        <f t="shared" si="39"/>
        <v xml:space="preserve">| 1557 </v>
      </c>
      <c r="AK70" s="37" t="str">
        <f t="shared" si="40"/>
        <v xml:space="preserve">| </v>
      </c>
      <c r="AL70" s="35" t="str">
        <f t="shared" si="28"/>
        <v xml:space="preserve">| </v>
      </c>
      <c r="AM70" s="37" t="str">
        <f t="shared" si="29"/>
        <v xml:space="preserve">| [Link](http://www.therealpresence.org/eucharst/misc/BVM/56_GIULIANOVA_96x96.pdf) </v>
      </c>
      <c r="AN70" s="37" t="str">
        <f t="shared" si="30"/>
        <v xml:space="preserve">| </v>
      </c>
      <c r="AO70" s="37" t="str">
        <f t="shared" si="31"/>
        <v xml:space="preserve">| </v>
      </c>
      <c r="AP70" s="37" t="str">
        <f t="shared" si="42"/>
        <v xml:space="preserve">
| | [Link](http://www.therealpresence.org/eucharst/misc/BVM/56_GIULIANOVA_96x96.pdf) | | |</v>
      </c>
      <c r="AQ70" s="48" t="str">
        <f>VLOOKUP(C70,'(Ref) Countries'!A:B,2,)&amp;"-"&amp;LOWER(SUBSTITUTE(H70," ","-"))&amp;".md"</f>
        <v>it-.md</v>
      </c>
      <c r="AR70" s="35" t="str">
        <f t="shared" si="41"/>
        <v xml:space="preserve">
| Giulianova | Italy | 1557 | | | [Link](http://www.therealpresence.org/eucharst/misc/BVM/56_GIULIANOVA_96x96.pdf) | | | |</v>
      </c>
      <c r="AS70" s="48" t="str">
        <f t="shared" si="32"/>
        <v/>
      </c>
      <c r="AT70" s="15" t="s">
        <v>336</v>
      </c>
    </row>
    <row r="71" spans="1:46" x14ac:dyDescent="0.25">
      <c r="A71" s="27"/>
      <c r="B71" s="31" t="s">
        <v>1251</v>
      </c>
      <c r="C71" s="32" t="s">
        <v>11</v>
      </c>
      <c r="D71" s="61">
        <v>1558</v>
      </c>
      <c r="E71" s="32"/>
      <c r="F71" s="32"/>
      <c r="G71" s="33"/>
      <c r="H71" s="33"/>
      <c r="I71" s="33" t="s">
        <v>1758</v>
      </c>
      <c r="J71" s="33"/>
      <c r="K71" s="32" t="s">
        <v>336</v>
      </c>
      <c r="L71" s="32" t="s">
        <v>336</v>
      </c>
      <c r="M71" s="32" t="s">
        <v>246</v>
      </c>
      <c r="N71" s="32" t="s">
        <v>336</v>
      </c>
      <c r="O71" s="32" t="s">
        <v>336</v>
      </c>
      <c r="P71" s="32" t="s">
        <v>336</v>
      </c>
      <c r="Q71" s="32" t="s">
        <v>336</v>
      </c>
      <c r="R71" s="32" t="s">
        <v>336</v>
      </c>
      <c r="S71" s="32" t="s">
        <v>336</v>
      </c>
      <c r="T71" s="32"/>
      <c r="U71" s="32"/>
      <c r="V71" s="33"/>
      <c r="W71" s="38" t="b">
        <f t="shared" si="33"/>
        <v>0</v>
      </c>
      <c r="X71" s="35" t="str">
        <f t="shared" si="26"/>
        <v>title: ""</v>
      </c>
      <c r="Y71" s="35" t="str">
        <f t="shared" si="27"/>
        <v>location: {lat: , lng: }</v>
      </c>
      <c r="Z71" s="35" t="str">
        <f>IF(LEN(S71)&gt;1,VLOOKUP(S71,Sheet3!$A:$B,2,),"")</f>
        <v/>
      </c>
      <c r="AA71" s="35" t="str">
        <f>IF(LEN(T71)&gt;1,VLOOKUP(T71,Sheet3!$A:$B,2,),"")</f>
        <v/>
      </c>
      <c r="AB71" s="35" t="str">
        <f>IF(LEN(U71)&gt;1,VLOOKUP(U71,Sheet3!$A:$B,2,),"")</f>
        <v/>
      </c>
      <c r="AC71" s="37" t="str">
        <f t="shared" si="34"/>
        <v/>
      </c>
      <c r="AD71" s="37" t="str">
        <f t="shared" si="35"/>
        <v/>
      </c>
      <c r="AE71" s="37" t="str">
        <f t="shared" si="36"/>
        <v/>
      </c>
      <c r="AF71" s="37" t="str">
        <f>"- marian-sites
- churches
- "&amp;VLOOKUP(C71,'(Ref) Countries'!A:C,3,)&amp;IF(LEN(S71)&gt;1,"
- "&amp;S71,"")&amp;IF(LEN(T71)&gt;1,"
- "&amp;T71,"")&amp;IF(LEN(U71)&gt;1,"
- "&amp;U71,"")</f>
        <v>- marian-sites
- churches
- italy</v>
      </c>
      <c r="AG71" s="37" t="str">
        <f t="shared" si="37"/>
        <v xml:space="preserve">| </v>
      </c>
      <c r="AH71" s="37" t="str">
        <f t="shared" si="38"/>
        <v xml:space="preserve">| Gerosa </v>
      </c>
      <c r="AI71" s="37" t="str">
        <f>"| "&amp;IF(W71,GetTagPage(C71,VLOOKUP(C71,'(Ref) Countries'!A:C,3,)),C71)&amp; " "</f>
        <v xml:space="preserve">| Italy </v>
      </c>
      <c r="AJ71" s="37" t="str">
        <f t="shared" si="39"/>
        <v xml:space="preserve">| 1558 </v>
      </c>
      <c r="AK71" s="37" t="str">
        <f t="shared" si="40"/>
        <v xml:space="preserve">| </v>
      </c>
      <c r="AL71" s="35" t="str">
        <f t="shared" si="28"/>
        <v xml:space="preserve">| </v>
      </c>
      <c r="AM71" s="37" t="str">
        <f t="shared" si="29"/>
        <v xml:space="preserve">| [Link](http://www.therealpresence.org/eucharst/misc/BVM/62_GEROSA_60x96.pdf) </v>
      </c>
      <c r="AN71" s="37" t="str">
        <f t="shared" si="30"/>
        <v xml:space="preserve">| </v>
      </c>
      <c r="AO71" s="37" t="str">
        <f t="shared" si="31"/>
        <v xml:space="preserve">| </v>
      </c>
      <c r="AP71" s="37" t="str">
        <f t="shared" si="42"/>
        <v xml:space="preserve">
| | [Link](http://www.therealpresence.org/eucharst/misc/BVM/62_GEROSA_60x96.pdf) | | |</v>
      </c>
      <c r="AQ71" s="48" t="str">
        <f>VLOOKUP(C71,'(Ref) Countries'!A:B,2,)&amp;"-"&amp;LOWER(SUBSTITUTE(H71," ","-"))&amp;".md"</f>
        <v>it-.md</v>
      </c>
      <c r="AR71" s="35" t="str">
        <f t="shared" si="41"/>
        <v xml:space="preserve">
| Gerosa | Italy | 1558 | | | [Link](http://www.therealpresence.org/eucharst/misc/BVM/62_GEROSA_60x96.pdf) | | | |</v>
      </c>
      <c r="AS71" s="48" t="str">
        <f t="shared" si="32"/>
        <v/>
      </c>
      <c r="AT71" s="15" t="s">
        <v>336</v>
      </c>
    </row>
    <row r="72" spans="1:46" x14ac:dyDescent="0.25">
      <c r="A72" s="27"/>
      <c r="B72" s="31" t="s">
        <v>1252</v>
      </c>
      <c r="C72" s="32" t="s">
        <v>11</v>
      </c>
      <c r="D72" s="61">
        <v>1562</v>
      </c>
      <c r="E72" s="32"/>
      <c r="F72" s="32"/>
      <c r="G72" s="33"/>
      <c r="H72" s="33"/>
      <c r="I72" s="33" t="s">
        <v>1758</v>
      </c>
      <c r="J72" s="33"/>
      <c r="K72" s="32" t="s">
        <v>336</v>
      </c>
      <c r="L72" s="32" t="s">
        <v>336</v>
      </c>
      <c r="M72" s="32" t="s">
        <v>247</v>
      </c>
      <c r="N72" s="32" t="s">
        <v>336</v>
      </c>
      <c r="O72" s="32" t="s">
        <v>336</v>
      </c>
      <c r="P72" s="32" t="s">
        <v>336</v>
      </c>
      <c r="Q72" s="32" t="s">
        <v>336</v>
      </c>
      <c r="R72" s="32" t="s">
        <v>336</v>
      </c>
      <c r="S72" s="32" t="s">
        <v>336</v>
      </c>
      <c r="T72" s="32"/>
      <c r="U72" s="32"/>
      <c r="V72" s="33"/>
      <c r="W72" s="38" t="b">
        <f t="shared" si="33"/>
        <v>0</v>
      </c>
      <c r="X72" s="35" t="str">
        <f t="shared" si="26"/>
        <v>title: ""</v>
      </c>
      <c r="Y72" s="35" t="str">
        <f t="shared" si="27"/>
        <v>location: {lat: , lng: }</v>
      </c>
      <c r="Z72" s="35" t="str">
        <f>IF(LEN(S72)&gt;1,VLOOKUP(S72,Sheet3!$A:$B,2,),"")</f>
        <v/>
      </c>
      <c r="AA72" s="35" t="str">
        <f>IF(LEN(T72)&gt;1,VLOOKUP(T72,Sheet3!$A:$B,2,),"")</f>
        <v/>
      </c>
      <c r="AB72" s="35" t="str">
        <f>IF(LEN(U72)&gt;1,VLOOKUP(U72,Sheet3!$A:$B,2,),"")</f>
        <v/>
      </c>
      <c r="AC72" s="37" t="str">
        <f t="shared" si="34"/>
        <v/>
      </c>
      <c r="AD72" s="37" t="str">
        <f t="shared" si="35"/>
        <v/>
      </c>
      <c r="AE72" s="37" t="str">
        <f t="shared" si="36"/>
        <v/>
      </c>
      <c r="AF72" s="37" t="str">
        <f>"- marian-sites
- churches
- "&amp;VLOOKUP(C72,'(Ref) Countries'!A:C,3,)&amp;IF(LEN(S72)&gt;1,"
- "&amp;S72,"")&amp;IF(LEN(T72)&gt;1,"
- "&amp;T72,"")&amp;IF(LEN(U72)&gt;1,"
- "&amp;U72,"")</f>
        <v>- marian-sites
- churches
- italy</v>
      </c>
      <c r="AG72" s="37" t="str">
        <f t="shared" si="37"/>
        <v xml:space="preserve">| </v>
      </c>
      <c r="AH72" s="37" t="str">
        <f t="shared" si="38"/>
        <v xml:space="preserve">| Moncrivello </v>
      </c>
      <c r="AI72" s="37" t="str">
        <f>"| "&amp;IF(W72,GetTagPage(C72,VLOOKUP(C72,'(Ref) Countries'!A:C,3,)),C72)&amp; " "</f>
        <v xml:space="preserve">| Italy </v>
      </c>
      <c r="AJ72" s="37" t="str">
        <f t="shared" si="39"/>
        <v xml:space="preserve">| 1562 </v>
      </c>
      <c r="AK72" s="37" t="str">
        <f t="shared" si="40"/>
        <v xml:space="preserve">| </v>
      </c>
      <c r="AL72" s="35" t="str">
        <f t="shared" si="28"/>
        <v xml:space="preserve">| </v>
      </c>
      <c r="AM72" s="37" t="str">
        <f t="shared" si="29"/>
        <v xml:space="preserve">| [Link](http://www.therealpresence.org/eucharst/misc/BVM/141_MONCRIVELLO_60x96.pdf) </v>
      </c>
      <c r="AN72" s="37" t="str">
        <f t="shared" si="30"/>
        <v xml:space="preserve">| </v>
      </c>
      <c r="AO72" s="37" t="str">
        <f t="shared" si="31"/>
        <v xml:space="preserve">| </v>
      </c>
      <c r="AP72" s="37" t="str">
        <f t="shared" si="42"/>
        <v xml:space="preserve">
| | [Link](http://www.therealpresence.org/eucharst/misc/BVM/141_MONCRIVELLO_60x96.pdf) | | |</v>
      </c>
      <c r="AQ72" s="48" t="str">
        <f>VLOOKUP(C72,'(Ref) Countries'!A:B,2,)&amp;"-"&amp;LOWER(SUBSTITUTE(H72," ","-"))&amp;".md"</f>
        <v>it-.md</v>
      </c>
      <c r="AR72" s="35" t="str">
        <f t="shared" si="41"/>
        <v xml:space="preserve">
| Moncrivello | Italy | 1562 | | | [Link](http://www.therealpresence.org/eucharst/misc/BVM/141_MONCRIVELLO_60x96.pdf) | | | |</v>
      </c>
      <c r="AS72" s="48" t="str">
        <f t="shared" si="32"/>
        <v/>
      </c>
      <c r="AT72" s="15" t="s">
        <v>336</v>
      </c>
    </row>
    <row r="73" spans="1:46" x14ac:dyDescent="0.25">
      <c r="A73" s="27" t="s">
        <v>1058</v>
      </c>
      <c r="B73" s="31" t="s">
        <v>1253</v>
      </c>
      <c r="C73" s="32" t="s">
        <v>627</v>
      </c>
      <c r="D73" s="61">
        <v>1575</v>
      </c>
      <c r="E73" s="32">
        <v>36.0617520264557</v>
      </c>
      <c r="F73" s="32">
        <v>14.2153318855345</v>
      </c>
      <c r="G73" s="33" t="s">
        <v>1383</v>
      </c>
      <c r="H73" s="72" t="s">
        <v>1756</v>
      </c>
      <c r="I73" s="72" t="s">
        <v>1758</v>
      </c>
      <c r="J73" s="33" t="s">
        <v>1345</v>
      </c>
      <c r="K73" s="32" t="s">
        <v>1380</v>
      </c>
      <c r="L73" s="32" t="s">
        <v>336</v>
      </c>
      <c r="M73" s="32" t="s">
        <v>248</v>
      </c>
      <c r="N73" s="32" t="s">
        <v>336</v>
      </c>
      <c r="O73" s="32" t="s">
        <v>1381</v>
      </c>
      <c r="P73" s="32" t="s">
        <v>336</v>
      </c>
      <c r="Q73" s="32" t="s">
        <v>1382</v>
      </c>
      <c r="R73" s="32" t="s">
        <v>336</v>
      </c>
      <c r="S73" s="32" t="s">
        <v>336</v>
      </c>
      <c r="T73" s="32"/>
      <c r="U73" s="32"/>
      <c r="V73" s="33"/>
      <c r="W73" s="38" t="b">
        <f t="shared" si="33"/>
        <v>1</v>
      </c>
      <c r="X73" s="35" t="str">
        <f t="shared" si="26"/>
        <v>title: "Basilica of the Blessed Virgin of Ta' Pinu"</v>
      </c>
      <c r="Y73" s="35" t="str">
        <f t="shared" si="27"/>
        <v>location: {lat: 36.0617520264557, lng: 14.2153318855345}</v>
      </c>
      <c r="Z73" s="35" t="str">
        <f>IF(LEN(S73)&gt;1,VLOOKUP(S73,Sheet3!$A:$B,2,),"")</f>
        <v/>
      </c>
      <c r="AA73" s="35" t="str">
        <f>IF(LEN(T73)&gt;1,VLOOKUP(T73,Sheet3!$A:$B,2,),"")</f>
        <v/>
      </c>
      <c r="AB73" s="35" t="str">
        <f>IF(LEN(U73)&gt;1,VLOOKUP(U73,Sheet3!$A:$B,2,),"")</f>
        <v/>
      </c>
      <c r="AC73" s="37" t="str">
        <f t="shared" si="34"/>
        <v/>
      </c>
      <c r="AD73" s="37" t="str">
        <f t="shared" si="35"/>
        <v/>
      </c>
      <c r="AE73" s="37" t="str">
        <f t="shared" si="36"/>
        <v/>
      </c>
      <c r="AF73" s="37" t="str">
        <f>"- marian-sites
- churches
- "&amp;VLOOKUP(C73,'(Ref) Countries'!A:C,3,)&amp;IF(LEN(S73)&gt;1,"
- "&amp;S73,"")&amp;IF(LEN(T73)&gt;1,"
- "&amp;T73,"")&amp;IF(LEN(U73)&gt;1,"
- "&amp;U73,"")</f>
        <v>- marian-sites
- churches
- malta</v>
      </c>
      <c r="AG73" s="37" t="str">
        <f t="shared" si="37"/>
        <v xml:space="preserve">| </v>
      </c>
      <c r="AH73" s="37" t="str">
        <f t="shared" si="38"/>
        <v xml:space="preserve">| [Gozo](/places/mt-basilica-of-ta-pinu) </v>
      </c>
      <c r="AI73" s="37" t="str">
        <f>"| "&amp;IF(W73,GetTagPage(C73,VLOOKUP(C73,'(Ref) Countries'!A:C,3,)),C73)&amp; " "</f>
        <v xml:space="preserve">| [Malta](/tags/malta) </v>
      </c>
      <c r="AJ73" s="37" t="str">
        <f t="shared" si="39"/>
        <v xml:space="preserve">| 1575 </v>
      </c>
      <c r="AK73" s="37" t="str">
        <f t="shared" si="40"/>
        <v xml:space="preserve">| [Link](/places/mt-basilica-of-ta-pinu) </v>
      </c>
      <c r="AL73" s="35" t="str">
        <f t="shared" si="28"/>
        <v xml:space="preserve">| [Link](http://www.tapinu.org/) </v>
      </c>
      <c r="AM73" s="37" t="str">
        <f t="shared" si="29"/>
        <v xml:space="preserve">| [Link](http://www.therealpresence.org/eucharst/misc/BVM/140_GOZO_60x96.pdf) </v>
      </c>
      <c r="AN73" s="37" t="str">
        <f t="shared" si="30"/>
        <v xml:space="preserve">| [Link](http://www.miraclehunter.com/marian_apparitions/approved_apparitions/tapinu/) </v>
      </c>
      <c r="AO73" s="37" t="str">
        <f t="shared" si="31"/>
        <v xml:space="preserve">| [Link](https://www.marypages.com/ta-pinu-malta-en.html) </v>
      </c>
      <c r="AP73" s="37" t="str">
        <f t="shared" si="42"/>
        <v xml:space="preserve">
| [Link](http://www.tapinu.org/) | [Link](http://www.therealpresence.org/eucharst/misc/BVM/140_GOZO_60x96.pdf) | [Link](http://www.miraclehunter.com/marian_apparitions/approved_apparitions/tapinu/) | [Link](https://www.marypages.com/ta-pinu-malta-en.html) |</v>
      </c>
      <c r="AQ73" s="48" t="str">
        <f>VLOOKUP(C73,'(Ref) Countries'!A:B,2,)&amp;"-"&amp;LOWER(SUBSTITUTE(H73," ","-"))&amp;".md"</f>
        <v>mt-basilica-of-ta-pinu.md</v>
      </c>
      <c r="AR73" s="35" t="str">
        <f t="shared" si="41"/>
        <v xml:space="preserve">
| [Gozo](/places/mt-basilica-of-ta-pinu) | [Malta](/tags/malta) | 1575 | [Link](/places/mt-basilica-of-ta-pinu) | [Link](http://www.tapinu.org/) | [Link](http://www.therealpresence.org/eucharst/misc/BVM/140_GOZO_60x96.pdf) | [Link](http://www.miraclehunter.com/marian_apparitions/approved_apparitions/tapinu/) | [Link](https://www.marypages.com/ta-pinu-malta-en.html) | |</v>
      </c>
      <c r="AS73" s="48" t="str">
        <f t="shared" si="32"/>
        <v xml:space="preserve">---
title: "Basilica of the Blessed Virgin of Ta' Pinu"
location: {lat: 36.0617520264557, lng: 14.2153318855345}
tags:
- marian-sites
- churches
- malta
---
_Research in progress_
#### Source Material
| Official Site | The Real Presence | Miracle Hunter | MaryPages |
| --- | --- | --- | --- |
| [Link](http://www.tapinu.org/) | [Link](http://www.therealpresence.org/eucharst/misc/BVM/140_GOZO_60x96.pdf) | [Link](http://www.miraclehunter.com/marian_apparitions/approved_apparitions/tapinu/) | [Link](https://www.marypages.com/ta-pinu-malta-en.html) |
</v>
      </c>
      <c r="AT73" s="15" t="s">
        <v>336</v>
      </c>
    </row>
    <row r="74" spans="1:46" x14ac:dyDescent="0.25">
      <c r="A74" s="27"/>
      <c r="B74" s="31" t="s">
        <v>1254</v>
      </c>
      <c r="C74" s="32" t="s">
        <v>11</v>
      </c>
      <c r="D74" s="61">
        <v>1576</v>
      </c>
      <c r="E74" s="32"/>
      <c r="F74" s="32"/>
      <c r="G74" s="33"/>
      <c r="H74" s="33"/>
      <c r="I74" s="33" t="s">
        <v>1758</v>
      </c>
      <c r="J74" s="33"/>
      <c r="K74" s="32" t="s">
        <v>336</v>
      </c>
      <c r="L74" s="32" t="s">
        <v>336</v>
      </c>
      <c r="M74" s="32" t="s">
        <v>249</v>
      </c>
      <c r="N74" s="32" t="s">
        <v>336</v>
      </c>
      <c r="O74" s="32" t="s">
        <v>336</v>
      </c>
      <c r="P74" s="32" t="s">
        <v>336</v>
      </c>
      <c r="Q74" s="32" t="s">
        <v>336</v>
      </c>
      <c r="R74" s="32" t="s">
        <v>336</v>
      </c>
      <c r="S74" s="32" t="s">
        <v>336</v>
      </c>
      <c r="T74" s="32"/>
      <c r="U74" s="32"/>
      <c r="V74" s="33"/>
      <c r="W74" s="38" t="b">
        <f t="shared" si="33"/>
        <v>0</v>
      </c>
      <c r="X74" s="35" t="str">
        <f t="shared" si="26"/>
        <v>title: ""</v>
      </c>
      <c r="Y74" s="35" t="str">
        <f t="shared" si="27"/>
        <v>location: {lat: , lng: }</v>
      </c>
      <c r="Z74" s="35" t="str">
        <f>IF(LEN(S74)&gt;1,VLOOKUP(S74,Sheet3!$A:$B,2,),"")</f>
        <v/>
      </c>
      <c r="AA74" s="35" t="str">
        <f>IF(LEN(T74)&gt;1,VLOOKUP(T74,Sheet3!$A:$B,2,),"")</f>
        <v/>
      </c>
      <c r="AB74" s="35" t="str">
        <f>IF(LEN(U74)&gt;1,VLOOKUP(U74,Sheet3!$A:$B,2,),"")</f>
        <v/>
      </c>
      <c r="AC74" s="37" t="str">
        <f t="shared" si="34"/>
        <v/>
      </c>
      <c r="AD74" s="37" t="str">
        <f t="shared" si="35"/>
        <v/>
      </c>
      <c r="AE74" s="37" t="str">
        <f t="shared" si="36"/>
        <v/>
      </c>
      <c r="AF74" s="37" t="str">
        <f>"- marian-sites
- churches
- "&amp;VLOOKUP(C74,'(Ref) Countries'!A:C,3,)&amp;IF(LEN(S74)&gt;1,"
- "&amp;S74,"")&amp;IF(LEN(T74)&gt;1,"
- "&amp;T74,"")&amp;IF(LEN(U74)&gt;1,"
- "&amp;U74,"")</f>
        <v>- marian-sites
- churches
- italy</v>
      </c>
      <c r="AG74" s="37" t="str">
        <f t="shared" si="37"/>
        <v xml:space="preserve">| </v>
      </c>
      <c r="AH74" s="37" t="str">
        <f t="shared" si="38"/>
        <v xml:space="preserve">| Casalbordino </v>
      </c>
      <c r="AI74" s="37" t="str">
        <f>"| "&amp;IF(W74,GetTagPage(C74,VLOOKUP(C74,'(Ref) Countries'!A:C,3,)),C74)&amp; " "</f>
        <v xml:space="preserve">| Italy </v>
      </c>
      <c r="AJ74" s="37" t="str">
        <f t="shared" si="39"/>
        <v xml:space="preserve">| 1576 </v>
      </c>
      <c r="AK74" s="37" t="str">
        <f t="shared" si="40"/>
        <v xml:space="preserve">| </v>
      </c>
      <c r="AL74" s="35" t="str">
        <f t="shared" si="28"/>
        <v xml:space="preserve">| </v>
      </c>
      <c r="AM74" s="37" t="str">
        <f t="shared" si="29"/>
        <v xml:space="preserve">| [Link](http://www.therealpresence.org/eucharst/misc/BVM/52_CASALBORDINO_60x96.pdf) </v>
      </c>
      <c r="AN74" s="37" t="str">
        <f t="shared" si="30"/>
        <v xml:space="preserve">| </v>
      </c>
      <c r="AO74" s="37" t="str">
        <f t="shared" si="31"/>
        <v xml:space="preserve">| </v>
      </c>
      <c r="AP74" s="37" t="str">
        <f t="shared" si="42"/>
        <v xml:space="preserve">
| | [Link](http://www.therealpresence.org/eucharst/misc/BVM/52_CASALBORDINO_60x96.pdf) | | |</v>
      </c>
      <c r="AQ74" s="48" t="str">
        <f>VLOOKUP(C74,'(Ref) Countries'!A:B,2,)&amp;"-"&amp;LOWER(SUBSTITUTE(H74," ","-"))&amp;".md"</f>
        <v>it-.md</v>
      </c>
      <c r="AR74" s="35" t="str">
        <f t="shared" si="41"/>
        <v xml:space="preserve">
| Casalbordino | Italy | 1576 | | | [Link](http://www.therealpresence.org/eucharst/misc/BVM/52_CASALBORDINO_60x96.pdf) | | | |</v>
      </c>
      <c r="AS74" s="48" t="str">
        <f t="shared" si="32"/>
        <v/>
      </c>
      <c r="AT74" s="15" t="s">
        <v>336</v>
      </c>
    </row>
    <row r="75" spans="1:46" ht="89.25" x14ac:dyDescent="0.25">
      <c r="A75" s="27" t="s">
        <v>1330</v>
      </c>
      <c r="B75" s="31" t="s">
        <v>1059</v>
      </c>
      <c r="C75" s="32" t="s">
        <v>652</v>
      </c>
      <c r="D75" s="61">
        <v>1578</v>
      </c>
      <c r="E75" s="32">
        <v>50.270467699999998</v>
      </c>
      <c r="F75" s="32">
        <v>22.408031600000001</v>
      </c>
      <c r="G75" s="39" t="s">
        <v>1060</v>
      </c>
      <c r="H75" s="39" t="s">
        <v>1061</v>
      </c>
      <c r="I75" s="39" t="s">
        <v>1758</v>
      </c>
      <c r="J75" s="33" t="s">
        <v>1062</v>
      </c>
      <c r="K75" s="32" t="s">
        <v>424</v>
      </c>
      <c r="L75" s="32" t="s">
        <v>336</v>
      </c>
      <c r="M75" s="34" t="s">
        <v>336</v>
      </c>
      <c r="N75" s="34" t="s">
        <v>336</v>
      </c>
      <c r="O75" s="32" t="s">
        <v>457</v>
      </c>
      <c r="P75" s="32" t="s">
        <v>336</v>
      </c>
      <c r="Q75" s="32" t="s">
        <v>336</v>
      </c>
      <c r="R75" s="32" t="s">
        <v>336</v>
      </c>
      <c r="S75" s="33" t="s">
        <v>1443</v>
      </c>
      <c r="T75" s="33" t="s">
        <v>1436</v>
      </c>
      <c r="U75" s="33"/>
      <c r="V75" s="66" t="s">
        <v>1738</v>
      </c>
      <c r="W75" s="38" t="b">
        <f t="shared" si="33"/>
        <v>1</v>
      </c>
      <c r="X75" s="35" t="str">
        <f t="shared" si="26"/>
        <v>title: "Basilica of the Annunciation of the Blessed Virgin Mary (Our Lady of Leżajsk, Lady of Consolation)"</v>
      </c>
      <c r="Y75" s="35" t="str">
        <f t="shared" si="27"/>
        <v>location: {lat: 50.2704677, lng: 22.4080316}</v>
      </c>
      <c r="Z75" s="38" t="str">
        <f>IF(LEN(S75)&gt;1,VLOOKUP(S75,Sheet3!$A:$B,2,),"")</f>
        <v>Religious Communities</v>
      </c>
      <c r="AA75" s="38" t="str">
        <f>IF(LEN(T75)&gt;1,VLOOKUP(T75,Sheet3!$A:$B,2,),"")</f>
        <v>Pope St. John Paul II</v>
      </c>
      <c r="AB75" s="38" t="str">
        <f>IF(LEN(U75)&gt;1,VLOOKUP(U75,Sheet3!$A:$B,2,),"")</f>
        <v/>
      </c>
      <c r="AC75" s="37" t="str">
        <f t="shared" si="34"/>
        <v>[Religious Communities](/tags/communities)</v>
      </c>
      <c r="AD75" s="37" t="str">
        <f t="shared" si="35"/>
        <v>[Pope St. John Paul II](/tags/john-paul-ii)</v>
      </c>
      <c r="AE75" s="37" t="str">
        <f t="shared" si="36"/>
        <v/>
      </c>
      <c r="AF75" s="37" t="str">
        <f>"- marian-sites
- churches
- "&amp;VLOOKUP(C75,'(Ref) Countries'!A:C,3,)&amp;IF(LEN(S75)&gt;1,"
- "&amp;S75,"")&amp;IF(LEN(T75)&gt;1,"
- "&amp;T75,"")&amp;IF(LEN(U75)&gt;1,"
- "&amp;U75,"")</f>
        <v>- marian-sites
- churches
- poland
- communities
- john-paul-ii</v>
      </c>
      <c r="AG75" s="37" t="str">
        <f t="shared" si="37"/>
        <v xml:space="preserve">| [Religious Communities](/tags/communities), [Pope St. John Paul II](/tags/john-paul-ii) </v>
      </c>
      <c r="AH75" s="37" t="str">
        <f t="shared" si="38"/>
        <v xml:space="preserve">| [Leżajsk](/places/pl-basilica-of-the-annunciation-of-the-blessed-virgin-mary) </v>
      </c>
      <c r="AI75" s="37" t="str">
        <f>"| "&amp;IF(W75,GetTagPage(C75,VLOOKUP(C75,'(Ref) Countries'!A:C,3,)),C75)&amp; " "</f>
        <v xml:space="preserve">| [Poland](/tags/poland) </v>
      </c>
      <c r="AJ75" s="37" t="str">
        <f t="shared" si="39"/>
        <v xml:space="preserve">| 1578 </v>
      </c>
      <c r="AK75" s="37" t="str">
        <f t="shared" si="40"/>
        <v xml:space="preserve">| [Link](/places/pl-basilica-of-the-annunciation-of-the-blessed-virgin-mary) </v>
      </c>
      <c r="AL75" s="35" t="str">
        <f t="shared" si="28"/>
        <v xml:space="preserve">| [Link](https://lezajsk.bernardyni.pl/) </v>
      </c>
      <c r="AM75" s="37" t="str">
        <f t="shared" si="29"/>
        <v xml:space="preserve">| </v>
      </c>
      <c r="AN75" s="37" t="str">
        <f t="shared" si="30"/>
        <v xml:space="preserve">| [Link](https://www.miraclehunter.com/marian_apparitions/approved_apparitions/lejask/index.html) </v>
      </c>
      <c r="AO75" s="37" t="str">
        <f t="shared" si="31"/>
        <v xml:space="preserve">| </v>
      </c>
      <c r="AP75" s="37" t="str">
        <f t="shared" si="42"/>
        <v xml:space="preserve">
| [Link](https://lezajsk.bernardyni.pl/) | | [Link](https://www.miraclehunter.com/marian_apparitions/approved_apparitions/lejask/index.html) | |</v>
      </c>
      <c r="AQ75" s="48" t="str">
        <f>VLOOKUP(C75,'(Ref) Countries'!A:B,2,)&amp;"-"&amp;LOWER(SUBSTITUTE(H75," ","-"))&amp;".md"</f>
        <v>pl-basilica-of-the-annunciation-of-the-blessed-virgin-mary.md</v>
      </c>
      <c r="AR75" s="35" t="str">
        <f t="shared" si="41"/>
        <v xml:space="preserve">
| [Leżajsk](/places/pl-basilica-of-the-annunciation-of-the-blessed-virgin-mary) | [Poland](/tags/poland) | 1578 | [Link](/places/pl-basilica-of-the-annunciation-of-the-blessed-virgin-mary) | [Link](https://lezajsk.bernardyni.pl/) | | [Link](https://www.miraclehunter.com/marian_apparitions/approved_apparitions/lejask/index.html) | | [Religious Communities](/tags/communities), [Pope St. John Paul II](/tags/john-paul-ii) |</v>
      </c>
      <c r="AS75" s="48" t="str">
        <f t="shared" si="32"/>
        <v>---
title: "Basilica of the Annunciation of the Blessed Virgin Mary (Our Lady of Leżajsk, Lady of Consolation)"
location: {lat: 50.2704677, lng: 22.4080316}
tags:
- marian-sites
- churches
- poland
- communities
- john-paul-ii
---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
#### Source Material
| Official Site | The Real Presence | Miracle Hunter | MaryPages |
| --- | --- | --- | --- |
| [Link](https://lezajsk.bernardyni.pl/) | | [Link](https://www.miraclehunter.com/marian_apparitions/approved_apparitions/lejask/index.html) | |
#### Author's Note
The monastery has published an excellent history of the shrine [here](https://lezajsk.bernardyni.pl/historia/) (in Polish).
- JMM</v>
      </c>
      <c r="AT75" s="15" t="s">
        <v>336</v>
      </c>
    </row>
    <row r="76" spans="1:46" x14ac:dyDescent="0.25">
      <c r="A76" s="27"/>
      <c r="B76" s="31" t="s">
        <v>1255</v>
      </c>
      <c r="C76" s="32" t="s">
        <v>11</v>
      </c>
      <c r="D76" s="61">
        <v>1583</v>
      </c>
      <c r="E76" s="32"/>
      <c r="F76" s="32"/>
      <c r="G76" s="33"/>
      <c r="H76" s="33"/>
      <c r="I76" s="33" t="s">
        <v>1758</v>
      </c>
      <c r="J76" s="33"/>
      <c r="K76" s="32" t="s">
        <v>336</v>
      </c>
      <c r="L76" s="32" t="s">
        <v>336</v>
      </c>
      <c r="M76" s="32" t="s">
        <v>250</v>
      </c>
      <c r="N76" s="32" t="s">
        <v>336</v>
      </c>
      <c r="O76" s="32" t="s">
        <v>336</v>
      </c>
      <c r="P76" s="32" t="s">
        <v>336</v>
      </c>
      <c r="Q76" s="32" t="s">
        <v>336</v>
      </c>
      <c r="R76" s="32" t="s">
        <v>336</v>
      </c>
      <c r="S76" s="32" t="s">
        <v>336</v>
      </c>
      <c r="T76" s="32"/>
      <c r="U76" s="32"/>
      <c r="V76" s="33"/>
      <c r="W76" s="38" t="b">
        <f t="shared" si="33"/>
        <v>0</v>
      </c>
      <c r="X76" s="35" t="str">
        <f t="shared" si="26"/>
        <v>title: ""</v>
      </c>
      <c r="Y76" s="35" t="str">
        <f t="shared" si="27"/>
        <v>location: {lat: , lng: }</v>
      </c>
      <c r="Z76" s="35" t="str">
        <f>IF(LEN(S76)&gt;1,VLOOKUP(S76,Sheet3!$A:$B,2,),"")</f>
        <v/>
      </c>
      <c r="AA76" s="35" t="str">
        <f>IF(LEN(T76)&gt;1,VLOOKUP(T76,Sheet3!$A:$B,2,),"")</f>
        <v/>
      </c>
      <c r="AB76" s="35" t="str">
        <f>IF(LEN(U76)&gt;1,VLOOKUP(U76,Sheet3!$A:$B,2,),"")</f>
        <v/>
      </c>
      <c r="AC76" s="37" t="str">
        <f t="shared" si="34"/>
        <v/>
      </c>
      <c r="AD76" s="37" t="str">
        <f t="shared" si="35"/>
        <v/>
      </c>
      <c r="AE76" s="37" t="str">
        <f t="shared" si="36"/>
        <v/>
      </c>
      <c r="AF76" s="37" t="str">
        <f>"- marian-sites
- churches
- "&amp;VLOOKUP(C76,'(Ref) Countries'!A:C,3,)&amp;IF(LEN(S76)&gt;1,"
- "&amp;S76,"")&amp;IF(LEN(T76)&gt;1,"
- "&amp;T76,"")&amp;IF(LEN(U76)&gt;1,"
- "&amp;U76,"")</f>
        <v>- marian-sites
- churches
- italy</v>
      </c>
      <c r="AG76" s="37" t="str">
        <f t="shared" si="37"/>
        <v xml:space="preserve">| </v>
      </c>
      <c r="AH76" s="37" t="str">
        <f t="shared" si="38"/>
        <v xml:space="preserve">| Lumarzo </v>
      </c>
      <c r="AI76" s="37" t="str">
        <f>"| "&amp;IF(W76,GetTagPage(C76,VLOOKUP(C76,'(Ref) Countries'!A:C,3,)),C76)&amp; " "</f>
        <v xml:space="preserve">| Italy </v>
      </c>
      <c r="AJ76" s="37" t="str">
        <f t="shared" si="39"/>
        <v xml:space="preserve">| 1583 </v>
      </c>
      <c r="AK76" s="37" t="str">
        <f t="shared" si="40"/>
        <v xml:space="preserve">| </v>
      </c>
      <c r="AL76" s="35" t="str">
        <f t="shared" si="28"/>
        <v xml:space="preserve">| </v>
      </c>
      <c r="AM76" s="37" t="str">
        <f t="shared" si="29"/>
        <v xml:space="preserve">| [Link](http://www.therealpresence.org/eucharst/misc/BVM/129_LUMARZO_60x96.pdf) </v>
      </c>
      <c r="AN76" s="37" t="str">
        <f t="shared" si="30"/>
        <v xml:space="preserve">| </v>
      </c>
      <c r="AO76" s="37" t="str">
        <f t="shared" si="31"/>
        <v xml:space="preserve">| </v>
      </c>
      <c r="AP76" s="37" t="str">
        <f t="shared" si="42"/>
        <v xml:space="preserve">
| | [Link](http://www.therealpresence.org/eucharst/misc/BVM/129_LUMARZO_60x96.pdf) | | |</v>
      </c>
      <c r="AQ76" s="48" t="str">
        <f>VLOOKUP(C76,'(Ref) Countries'!A:B,2,)&amp;"-"&amp;LOWER(SUBSTITUTE(H76," ","-"))&amp;".md"</f>
        <v>it-.md</v>
      </c>
      <c r="AR76" s="35" t="str">
        <f t="shared" si="41"/>
        <v xml:space="preserve">
| Lumarzo | Italy | 1583 | | | [Link](http://www.therealpresence.org/eucharst/misc/BVM/129_LUMARZO_60x96.pdf) | | | |</v>
      </c>
      <c r="AS76" s="48" t="str">
        <f t="shared" si="32"/>
        <v/>
      </c>
      <c r="AT76" s="15" t="s">
        <v>336</v>
      </c>
    </row>
    <row r="77" spans="1:46" x14ac:dyDescent="0.25">
      <c r="A77" s="27"/>
      <c r="B77" s="31" t="s">
        <v>1256</v>
      </c>
      <c r="C77" s="32" t="s">
        <v>535</v>
      </c>
      <c r="D77" s="61">
        <v>1586</v>
      </c>
      <c r="E77" s="32"/>
      <c r="F77" s="32"/>
      <c r="G77" s="33"/>
      <c r="H77" s="33"/>
      <c r="I77" s="33" t="s">
        <v>1758</v>
      </c>
      <c r="J77" s="33"/>
      <c r="K77" s="32" t="s">
        <v>336</v>
      </c>
      <c r="L77" s="32" t="s">
        <v>336</v>
      </c>
      <c r="M77" s="32" t="s">
        <v>251</v>
      </c>
      <c r="N77" s="32" t="s">
        <v>336</v>
      </c>
      <c r="O77" s="32" t="s">
        <v>336</v>
      </c>
      <c r="P77" s="32" t="s">
        <v>336</v>
      </c>
      <c r="Q77" s="32" t="s">
        <v>336</v>
      </c>
      <c r="R77" s="32" t="s">
        <v>336</v>
      </c>
      <c r="S77" s="32" t="s">
        <v>336</v>
      </c>
      <c r="T77" s="32"/>
      <c r="U77" s="32"/>
      <c r="V77" s="33"/>
      <c r="W77" s="38" t="b">
        <f t="shared" si="33"/>
        <v>0</v>
      </c>
      <c r="X77" s="35" t="str">
        <f t="shared" si="26"/>
        <v>title: ""</v>
      </c>
      <c r="Y77" s="35" t="str">
        <f t="shared" si="27"/>
        <v>location: {lat: , lng: }</v>
      </c>
      <c r="Z77" s="35" t="str">
        <f>IF(LEN(S77)&gt;1,VLOOKUP(S77,Sheet3!$A:$B,2,),"")</f>
        <v/>
      </c>
      <c r="AA77" s="35" t="str">
        <f>IF(LEN(T77)&gt;1,VLOOKUP(T77,Sheet3!$A:$B,2,),"")</f>
        <v/>
      </c>
      <c r="AB77" s="35" t="str">
        <f>IF(LEN(U77)&gt;1,VLOOKUP(U77,Sheet3!$A:$B,2,),"")</f>
        <v/>
      </c>
      <c r="AC77" s="37" t="str">
        <f t="shared" si="34"/>
        <v/>
      </c>
      <c r="AD77" s="37" t="str">
        <f t="shared" si="35"/>
        <v/>
      </c>
      <c r="AE77" s="37" t="str">
        <f t="shared" si="36"/>
        <v/>
      </c>
      <c r="AF77" s="37" t="str">
        <f>"- marian-sites
- churches
- "&amp;VLOOKUP(C77,'(Ref) Countries'!A:C,3,)&amp;IF(LEN(S77)&gt;1,"
- "&amp;S77,"")&amp;IF(LEN(T77)&gt;1,"
- "&amp;T77,"")&amp;IF(LEN(U77)&gt;1,"
- "&amp;U77,"")</f>
        <v>- marian-sites
- churches
- colombia</v>
      </c>
      <c r="AG77" s="37" t="str">
        <f t="shared" si="37"/>
        <v xml:space="preserve">| </v>
      </c>
      <c r="AH77" s="37" t="str">
        <f t="shared" si="38"/>
        <v xml:space="preserve">| Chiquinquirá </v>
      </c>
      <c r="AI77" s="37" t="str">
        <f>"| "&amp;IF(W77,GetTagPage(C77,VLOOKUP(C77,'(Ref) Countries'!A:C,3,)),C77)&amp; " "</f>
        <v xml:space="preserve">| Colombia </v>
      </c>
      <c r="AJ77" s="37" t="str">
        <f t="shared" si="39"/>
        <v xml:space="preserve">| 1586 </v>
      </c>
      <c r="AK77" s="37" t="str">
        <f t="shared" si="40"/>
        <v xml:space="preserve">| </v>
      </c>
      <c r="AL77" s="35" t="str">
        <f t="shared" si="28"/>
        <v xml:space="preserve">| </v>
      </c>
      <c r="AM77" s="37" t="str">
        <f t="shared" si="29"/>
        <v xml:space="preserve">| [Link](http://www.therealpresence.org/eucharst/misc/BVM/97_CHIQUINQUIRA_96x96.pdf) </v>
      </c>
      <c r="AN77" s="37" t="str">
        <f t="shared" si="30"/>
        <v xml:space="preserve">| </v>
      </c>
      <c r="AO77" s="37" t="str">
        <f t="shared" si="31"/>
        <v xml:space="preserve">| </v>
      </c>
      <c r="AP77" s="37" t="str">
        <f t="shared" si="42"/>
        <v xml:space="preserve">
| | [Link](http://www.therealpresence.org/eucharst/misc/BVM/97_CHIQUINQUIRA_96x96.pdf) | | |</v>
      </c>
      <c r="AQ77" s="48" t="str">
        <f>VLOOKUP(C77,'(Ref) Countries'!A:B,2,)&amp;"-"&amp;LOWER(SUBSTITUTE(H77," ","-"))&amp;".md"</f>
        <v>co-.md</v>
      </c>
      <c r="AR77" s="35" t="str">
        <f t="shared" si="41"/>
        <v xml:space="preserve">
| Chiquinquirá | Colombia | 1586 | | | [Link](http://www.therealpresence.org/eucharst/misc/BVM/97_CHIQUINQUIRA_96x96.pdf) | | | |</v>
      </c>
      <c r="AS77" s="48" t="str">
        <f t="shared" si="32"/>
        <v/>
      </c>
      <c r="AT77" s="15" t="s">
        <v>336</v>
      </c>
    </row>
    <row r="78" spans="1:46" x14ac:dyDescent="0.25">
      <c r="A78" s="27"/>
      <c r="B78" s="31" t="s">
        <v>1257</v>
      </c>
      <c r="C78" s="32" t="s">
        <v>549</v>
      </c>
      <c r="D78" s="61">
        <v>1586</v>
      </c>
      <c r="E78" s="32"/>
      <c r="F78" s="32"/>
      <c r="G78" s="33"/>
      <c r="H78" s="33"/>
      <c r="I78" s="33" t="s">
        <v>1758</v>
      </c>
      <c r="J78" s="33"/>
      <c r="K78" s="32" t="s">
        <v>336</v>
      </c>
      <c r="L78" s="32" t="s">
        <v>336</v>
      </c>
      <c r="M78" s="32" t="s">
        <v>252</v>
      </c>
      <c r="N78" s="32" t="s">
        <v>336</v>
      </c>
      <c r="O78" s="32" t="s">
        <v>336</v>
      </c>
      <c r="P78" s="32" t="s">
        <v>336</v>
      </c>
      <c r="Q78" s="32" t="s">
        <v>336</v>
      </c>
      <c r="R78" s="32" t="s">
        <v>336</v>
      </c>
      <c r="S78" s="32" t="s">
        <v>336</v>
      </c>
      <c r="T78" s="32"/>
      <c r="U78" s="32"/>
      <c r="V78" s="33"/>
      <c r="W78" s="38" t="b">
        <f t="shared" si="33"/>
        <v>0</v>
      </c>
      <c r="X78" s="35" t="str">
        <f t="shared" si="26"/>
        <v>title: ""</v>
      </c>
      <c r="Y78" s="35" t="str">
        <f t="shared" si="27"/>
        <v>location: {lat: , lng: }</v>
      </c>
      <c r="Z78" s="35" t="str">
        <f>IF(LEN(S78)&gt;1,VLOOKUP(S78,Sheet3!$A:$B,2,),"")</f>
        <v/>
      </c>
      <c r="AA78" s="35" t="str">
        <f>IF(LEN(T78)&gt;1,VLOOKUP(T78,Sheet3!$A:$B,2,),"")</f>
        <v/>
      </c>
      <c r="AB78" s="35" t="str">
        <f>IF(LEN(U78)&gt;1,VLOOKUP(U78,Sheet3!$A:$B,2,),"")</f>
        <v/>
      </c>
      <c r="AC78" s="37" t="str">
        <f t="shared" si="34"/>
        <v/>
      </c>
      <c r="AD78" s="37" t="str">
        <f t="shared" si="35"/>
        <v/>
      </c>
      <c r="AE78" s="37" t="str">
        <f t="shared" si="36"/>
        <v/>
      </c>
      <c r="AF78" s="37" t="str">
        <f>"- marian-sites
- churches
- "&amp;VLOOKUP(C78,'(Ref) Countries'!A:C,3,)&amp;IF(LEN(S78)&gt;1,"
- "&amp;S78,"")&amp;IF(LEN(T78)&gt;1,"
- "&amp;T78,"")&amp;IF(LEN(U78)&gt;1,"
- "&amp;U78,"")</f>
        <v>- marian-sites
- churches
- ecuador</v>
      </c>
      <c r="AG78" s="37" t="str">
        <f t="shared" si="37"/>
        <v xml:space="preserve">| </v>
      </c>
      <c r="AH78" s="37" t="str">
        <f t="shared" si="38"/>
        <v xml:space="preserve">| Quinche </v>
      </c>
      <c r="AI78" s="37" t="str">
        <f>"| "&amp;IF(W78,GetTagPage(C78,VLOOKUP(C78,'(Ref) Countries'!A:C,3,)),C78)&amp; " "</f>
        <v xml:space="preserve">| Ecuador </v>
      </c>
      <c r="AJ78" s="37" t="str">
        <f t="shared" si="39"/>
        <v xml:space="preserve">| 1586 </v>
      </c>
      <c r="AK78" s="37" t="str">
        <f t="shared" si="40"/>
        <v xml:space="preserve">| </v>
      </c>
      <c r="AL78" s="35" t="str">
        <f t="shared" si="28"/>
        <v xml:space="preserve">| </v>
      </c>
      <c r="AM78" s="37" t="str">
        <f t="shared" si="29"/>
        <v xml:space="preserve">| [Link](http://www.therealpresence.org/eucharst/misc/BVM/131_QUINCHE_60x96.pdf) </v>
      </c>
      <c r="AN78" s="37" t="str">
        <f t="shared" si="30"/>
        <v xml:space="preserve">| </v>
      </c>
      <c r="AO78" s="37" t="str">
        <f t="shared" si="31"/>
        <v xml:space="preserve">| </v>
      </c>
      <c r="AP78" s="37" t="str">
        <f t="shared" si="42"/>
        <v xml:space="preserve">
| | [Link](http://www.therealpresence.org/eucharst/misc/BVM/131_QUINCHE_60x96.pdf) | | |</v>
      </c>
      <c r="AQ78" s="48" t="str">
        <f>VLOOKUP(C78,'(Ref) Countries'!A:B,2,)&amp;"-"&amp;LOWER(SUBSTITUTE(H78," ","-"))&amp;".md"</f>
        <v>ec-.md</v>
      </c>
      <c r="AR78" s="35" t="str">
        <f t="shared" si="41"/>
        <v xml:space="preserve">
| Quinche | Ecuador | 1586 | | | [Link](http://www.therealpresence.org/eucharst/misc/BVM/131_QUINCHE_60x96.pdf) | | | |</v>
      </c>
      <c r="AS78" s="48" t="str">
        <f t="shared" si="32"/>
        <v/>
      </c>
      <c r="AT78" s="15" t="s">
        <v>336</v>
      </c>
    </row>
    <row r="79" spans="1:46" x14ac:dyDescent="0.25">
      <c r="A79" s="27"/>
      <c r="B79" s="31" t="s">
        <v>1258</v>
      </c>
      <c r="C79" s="32" t="s">
        <v>549</v>
      </c>
      <c r="D79" s="61" t="s">
        <v>1130</v>
      </c>
      <c r="E79" s="32"/>
      <c r="F79" s="32"/>
      <c r="G79" s="33"/>
      <c r="H79" s="33"/>
      <c r="I79" s="33" t="s">
        <v>1758</v>
      </c>
      <c r="J79" s="33"/>
      <c r="K79" s="32" t="s">
        <v>336</v>
      </c>
      <c r="L79" s="32" t="s">
        <v>336</v>
      </c>
      <c r="M79" s="32" t="s">
        <v>253</v>
      </c>
      <c r="N79" s="32" t="s">
        <v>336</v>
      </c>
      <c r="O79" s="32" t="s">
        <v>336</v>
      </c>
      <c r="P79" s="32" t="s">
        <v>336</v>
      </c>
      <c r="Q79" s="32" t="s">
        <v>336</v>
      </c>
      <c r="R79" s="32" t="s">
        <v>336</v>
      </c>
      <c r="S79" s="32" t="s">
        <v>336</v>
      </c>
      <c r="T79" s="32"/>
      <c r="U79" s="32"/>
      <c r="V79" s="33"/>
      <c r="W79" s="38" t="b">
        <f t="shared" si="33"/>
        <v>0</v>
      </c>
      <c r="X79" s="35" t="str">
        <f t="shared" si="26"/>
        <v>title: ""</v>
      </c>
      <c r="Y79" s="35" t="str">
        <f t="shared" si="27"/>
        <v>location: {lat: , lng: }</v>
      </c>
      <c r="Z79" s="35" t="str">
        <f>IF(LEN(S79)&gt;1,VLOOKUP(S79,Sheet3!$A:$B,2,),"")</f>
        <v/>
      </c>
      <c r="AA79" s="35" t="str">
        <f>IF(LEN(T79)&gt;1,VLOOKUP(T79,Sheet3!$A:$B,2,),"")</f>
        <v/>
      </c>
      <c r="AB79" s="35" t="str">
        <f>IF(LEN(U79)&gt;1,VLOOKUP(U79,Sheet3!$A:$B,2,),"")</f>
        <v/>
      </c>
      <c r="AC79" s="37" t="str">
        <f t="shared" si="34"/>
        <v/>
      </c>
      <c r="AD79" s="37" t="str">
        <f t="shared" si="35"/>
        <v/>
      </c>
      <c r="AE79" s="37" t="str">
        <f t="shared" si="36"/>
        <v/>
      </c>
      <c r="AF79" s="37" t="str">
        <f>"- marian-sites
- churches
- "&amp;VLOOKUP(C79,'(Ref) Countries'!A:C,3,)&amp;IF(LEN(S79)&gt;1,"
- "&amp;S79,"")&amp;IF(LEN(T79)&gt;1,"
- "&amp;T79,"")&amp;IF(LEN(U79)&gt;1,"
- "&amp;U79,"")</f>
        <v>- marian-sites
- churches
- ecuador</v>
      </c>
      <c r="AG79" s="37" t="str">
        <f t="shared" si="37"/>
        <v xml:space="preserve">| </v>
      </c>
      <c r="AH79" s="37" t="str">
        <f t="shared" si="38"/>
        <v xml:space="preserve">| Quito </v>
      </c>
      <c r="AI79" s="37" t="str">
        <f>"| "&amp;IF(W79,GetTagPage(C79,VLOOKUP(C79,'(Ref) Countries'!A:C,3,)),C79)&amp; " "</f>
        <v xml:space="preserve">| Ecuador </v>
      </c>
      <c r="AJ79" s="37" t="str">
        <f t="shared" si="39"/>
        <v xml:space="preserve">| 1594-1634 </v>
      </c>
      <c r="AK79" s="37" t="str">
        <f t="shared" si="40"/>
        <v xml:space="preserve">| </v>
      </c>
      <c r="AL79" s="35" t="str">
        <f t="shared" si="28"/>
        <v xml:space="preserve">| </v>
      </c>
      <c r="AM79" s="37" t="str">
        <f t="shared" si="29"/>
        <v xml:space="preserve">| [Link](http://www.therealpresence.org/eucharst/misc/BVM/132_QUITO_96x96.pdf) </v>
      </c>
      <c r="AN79" s="37" t="str">
        <f t="shared" si="30"/>
        <v xml:space="preserve">| </v>
      </c>
      <c r="AO79" s="37" t="str">
        <f t="shared" si="31"/>
        <v xml:space="preserve">| </v>
      </c>
      <c r="AP79" s="37" t="str">
        <f t="shared" si="42"/>
        <v xml:space="preserve">
| | [Link](http://www.therealpresence.org/eucharst/misc/BVM/132_QUITO_96x96.pdf) | | |</v>
      </c>
      <c r="AQ79" s="48" t="str">
        <f>VLOOKUP(C79,'(Ref) Countries'!A:B,2,)&amp;"-"&amp;LOWER(SUBSTITUTE(H79," ","-"))&amp;".md"</f>
        <v>ec-.md</v>
      </c>
      <c r="AR79" s="35" t="str">
        <f t="shared" si="41"/>
        <v xml:space="preserve">
| Quito | Ecuador | 1594-1634 | | | [Link](http://www.therealpresence.org/eucharst/misc/BVM/132_QUITO_96x96.pdf) | | | |</v>
      </c>
      <c r="AS79" s="48" t="str">
        <f t="shared" si="32"/>
        <v/>
      </c>
      <c r="AT79" s="15" t="s">
        <v>336</v>
      </c>
    </row>
    <row r="80" spans="1:46" x14ac:dyDescent="0.25">
      <c r="A80" s="27"/>
      <c r="B80" s="31" t="s">
        <v>1259</v>
      </c>
      <c r="C80" s="32" t="s">
        <v>11</v>
      </c>
      <c r="D80" s="61">
        <v>1597</v>
      </c>
      <c r="E80" s="32"/>
      <c r="F80" s="32"/>
      <c r="G80" s="33"/>
      <c r="H80" s="33"/>
      <c r="I80" s="33" t="s">
        <v>1758</v>
      </c>
      <c r="J80" s="33"/>
      <c r="K80" s="32" t="s">
        <v>336</v>
      </c>
      <c r="L80" s="32" t="s">
        <v>336</v>
      </c>
      <c r="M80" s="32" t="s">
        <v>254</v>
      </c>
      <c r="N80" s="32" t="s">
        <v>336</v>
      </c>
      <c r="O80" s="32" t="s">
        <v>336</v>
      </c>
      <c r="P80" s="32" t="s">
        <v>336</v>
      </c>
      <c r="Q80" s="32" t="s">
        <v>336</v>
      </c>
      <c r="R80" s="32" t="s">
        <v>336</v>
      </c>
      <c r="S80" s="32" t="s">
        <v>336</v>
      </c>
      <c r="T80" s="32"/>
      <c r="U80" s="32"/>
      <c r="V80" s="33"/>
      <c r="W80" s="38" t="b">
        <f t="shared" si="33"/>
        <v>0</v>
      </c>
      <c r="X80" s="35" t="str">
        <f t="shared" si="26"/>
        <v>title: ""</v>
      </c>
      <c r="Y80" s="35" t="str">
        <f t="shared" si="27"/>
        <v>location: {lat: , lng: }</v>
      </c>
      <c r="Z80" s="35" t="str">
        <f>IF(LEN(S80)&gt;1,VLOOKUP(S80,Sheet3!$A:$B,2,),"")</f>
        <v/>
      </c>
      <c r="AA80" s="35" t="str">
        <f>IF(LEN(T80)&gt;1,VLOOKUP(T80,Sheet3!$A:$B,2,),"")</f>
        <v/>
      </c>
      <c r="AB80" s="35" t="str">
        <f>IF(LEN(U80)&gt;1,VLOOKUP(U80,Sheet3!$A:$B,2,),"")</f>
        <v/>
      </c>
      <c r="AC80" s="37" t="str">
        <f t="shared" si="34"/>
        <v/>
      </c>
      <c r="AD80" s="37" t="str">
        <f t="shared" si="35"/>
        <v/>
      </c>
      <c r="AE80" s="37" t="str">
        <f t="shared" si="36"/>
        <v/>
      </c>
      <c r="AF80" s="37" t="str">
        <f>"- marian-sites
- churches
- "&amp;VLOOKUP(C80,'(Ref) Countries'!A:C,3,)&amp;IF(LEN(S80)&gt;1,"
- "&amp;S80,"")&amp;IF(LEN(T80)&gt;1,"
- "&amp;T80,"")&amp;IF(LEN(U80)&gt;1,"
- "&amp;U80,"")</f>
        <v>- marian-sites
- churches
- italy</v>
      </c>
      <c r="AG80" s="37" t="str">
        <f t="shared" si="37"/>
        <v xml:space="preserve">| </v>
      </c>
      <c r="AH80" s="37" t="str">
        <f t="shared" si="38"/>
        <v xml:space="preserve">| Rapallo </v>
      </c>
      <c r="AI80" s="37" t="str">
        <f>"| "&amp;IF(W80,GetTagPage(C80,VLOOKUP(C80,'(Ref) Countries'!A:C,3,)),C80)&amp; " "</f>
        <v xml:space="preserve">| Italy </v>
      </c>
      <c r="AJ80" s="37" t="str">
        <f t="shared" si="39"/>
        <v xml:space="preserve">| 1597 </v>
      </c>
      <c r="AK80" s="37" t="str">
        <f t="shared" si="40"/>
        <v xml:space="preserve">| </v>
      </c>
      <c r="AL80" s="35" t="str">
        <f t="shared" si="28"/>
        <v xml:space="preserve">| </v>
      </c>
      <c r="AM80" s="37" t="str">
        <f t="shared" si="29"/>
        <v xml:space="preserve">| [Link](http://www.therealpresence.org/eucharst/misc/BVM/120_RAPALLO_60x96.pdf) </v>
      </c>
      <c r="AN80" s="37" t="str">
        <f t="shared" si="30"/>
        <v xml:space="preserve">| </v>
      </c>
      <c r="AO80" s="37" t="str">
        <f t="shared" si="31"/>
        <v xml:space="preserve">| </v>
      </c>
      <c r="AP80" s="37" t="str">
        <f t="shared" si="42"/>
        <v xml:space="preserve">
| | [Link](http://www.therealpresence.org/eucharst/misc/BVM/120_RAPALLO_60x96.pdf) | | |</v>
      </c>
      <c r="AQ80" s="48" t="str">
        <f>VLOOKUP(C80,'(Ref) Countries'!A:B,2,)&amp;"-"&amp;LOWER(SUBSTITUTE(H80," ","-"))&amp;".md"</f>
        <v>it-.md</v>
      </c>
      <c r="AR80" s="35" t="str">
        <f t="shared" si="41"/>
        <v xml:space="preserve">
| Rapallo | Italy | 1597 | | | [Link](http://www.therealpresence.org/eucharst/misc/BVM/120_RAPALLO_60x96.pdf) | | | |</v>
      </c>
      <c r="AS80" s="48" t="str">
        <f t="shared" si="32"/>
        <v/>
      </c>
      <c r="AT80" s="15" t="s">
        <v>336</v>
      </c>
    </row>
    <row r="81" spans="1:46" ht="76.5" x14ac:dyDescent="0.25">
      <c r="A81" s="27" t="s">
        <v>1330</v>
      </c>
      <c r="B81" s="31" t="s">
        <v>1261</v>
      </c>
      <c r="C81" s="32" t="s">
        <v>501</v>
      </c>
      <c r="D81" s="61" t="s">
        <v>1133</v>
      </c>
      <c r="E81" s="32">
        <v>-34.564198513371799</v>
      </c>
      <c r="F81" s="32">
        <v>-59.121408231421597</v>
      </c>
      <c r="G81" s="58" t="s">
        <v>1421</v>
      </c>
      <c r="H81" s="58" t="s">
        <v>1421</v>
      </c>
      <c r="I81" s="58" t="s">
        <v>1758</v>
      </c>
      <c r="J81" s="58" t="s">
        <v>1423</v>
      </c>
      <c r="K81" s="32" t="s">
        <v>1422</v>
      </c>
      <c r="L81" s="32" t="s">
        <v>336</v>
      </c>
      <c r="M81" s="32" t="s">
        <v>256</v>
      </c>
      <c r="N81" s="32" t="s">
        <v>336</v>
      </c>
      <c r="O81" s="32" t="s">
        <v>1424</v>
      </c>
      <c r="P81" s="57" t="s">
        <v>1425</v>
      </c>
      <c r="Q81" s="32" t="s">
        <v>336</v>
      </c>
      <c r="R81" s="32" t="s">
        <v>336</v>
      </c>
      <c r="S81" s="32" t="s">
        <v>336</v>
      </c>
      <c r="T81" s="32"/>
      <c r="U81" s="32"/>
      <c r="V81" s="33"/>
      <c r="W81" s="38" t="b">
        <f t="shared" si="33"/>
        <v>1</v>
      </c>
      <c r="X81" s="35" t="str">
        <f t="shared" si="26"/>
        <v>title: "Basilica of Our Lady of Lujan"</v>
      </c>
      <c r="Y81" s="35" t="str">
        <f t="shared" si="27"/>
        <v>location: {lat: -34.5641985133718, lng: -59.1214082314216}</v>
      </c>
      <c r="Z81" s="35" t="str">
        <f>IF(LEN(S81)&gt;1,VLOOKUP(S81,Sheet3!$A:$B,2,),"")</f>
        <v/>
      </c>
      <c r="AA81" s="35" t="str">
        <f>IF(LEN(T81)&gt;1,VLOOKUP(T81,Sheet3!$A:$B,2,),"")</f>
        <v/>
      </c>
      <c r="AB81" s="35" t="str">
        <f>IF(LEN(U81)&gt;1,VLOOKUP(U81,Sheet3!$A:$B,2,),"")</f>
        <v/>
      </c>
      <c r="AC81" s="37" t="str">
        <f t="shared" si="34"/>
        <v/>
      </c>
      <c r="AD81" s="37" t="str">
        <f t="shared" si="35"/>
        <v/>
      </c>
      <c r="AE81" s="37" t="str">
        <f t="shared" si="36"/>
        <v/>
      </c>
      <c r="AF81" s="37" t="str">
        <f>"- marian-sites
- churches
- "&amp;VLOOKUP(C81,'(Ref) Countries'!A:C,3,)&amp;IF(LEN(S81)&gt;1,"
- "&amp;S81,"")&amp;IF(LEN(T81)&gt;1,"
- "&amp;T81,"")&amp;IF(LEN(U81)&gt;1,"
- "&amp;U81,"")</f>
        <v>- marian-sites
- churches
- argentina</v>
      </c>
      <c r="AG81" s="37" t="str">
        <f t="shared" si="37"/>
        <v xml:space="preserve">| </v>
      </c>
      <c r="AH81" s="37" t="str">
        <f t="shared" si="38"/>
        <v xml:space="preserve">| [Luján](/places/ar-basilica-of-our-lady-of-lujan) </v>
      </c>
      <c r="AI81" s="37" t="str">
        <f>"| "&amp;IF(W81,GetTagPage(C81,VLOOKUP(C81,'(Ref) Countries'!A:C,3,)),C81)&amp; " "</f>
        <v xml:space="preserve">| [Argentina](/tags/argentina) </v>
      </c>
      <c r="AJ81" s="37" t="str">
        <f t="shared" si="39"/>
        <v xml:space="preserve">| 17th Century </v>
      </c>
      <c r="AK81" s="37" t="str">
        <f t="shared" si="40"/>
        <v xml:space="preserve">| [Link](/places/ar-basilica-of-our-lady-of-lujan) </v>
      </c>
      <c r="AL81" s="35" t="str">
        <f t="shared" si="28"/>
        <v xml:space="preserve">| [Link](https://santuariodelujan.org.ar/) </v>
      </c>
      <c r="AM81" s="37" t="str">
        <f t="shared" si="29"/>
        <v xml:space="preserve">| [Link](http://www.therealpresence.org/eucharst/misc/BVM/112_LUJAN_96x96.pdf) </v>
      </c>
      <c r="AN81" s="37" t="str">
        <f t="shared" si="30"/>
        <v xml:space="preserve">| [Link](http://www.miraclehunter.com/miraculous_images/icons_1600-1699.html) (Search "Lujan") </v>
      </c>
      <c r="AO81" s="37" t="str">
        <f t="shared" si="31"/>
        <v xml:space="preserve">| </v>
      </c>
      <c r="AP81" s="37" t="str">
        <f t="shared" si="42"/>
        <v xml:space="preserve">
| [Link](https://santuariodelujan.org.ar/) | [Link](http://www.therealpresence.org/eucharst/misc/BVM/112_LUJAN_96x96.pdf) | [Link](http://www.miraclehunter.com/miraculous_images/icons_1600-1699.html) (Search "Lujan") | |</v>
      </c>
      <c r="AQ81" s="48" t="str">
        <f>VLOOKUP(C81,'(Ref) Countries'!A:B,2,)&amp;"-"&amp;LOWER(SUBSTITUTE(H81," ","-"))&amp;".md"</f>
        <v>ar-basilica-of-our-lady-of-lujan.md</v>
      </c>
      <c r="AR81" s="35" t="str">
        <f t="shared" si="41"/>
        <v xml:space="preserve">
| [Luján](/places/ar-basilica-of-our-lady-of-lujan) | [Argentina](/tags/argentina) | 17th Century | [Link](/places/ar-basilica-of-our-lady-of-lujan) | [Link](https://santuariodelujan.org.ar/) | [Link](http://www.therealpresence.org/eucharst/misc/BVM/112_LUJAN_96x96.pdf) | [Link](http://www.miraclehunter.com/miraculous_images/icons_1600-1699.html) (Search "Lujan") | | |</v>
      </c>
      <c r="AS81" s="48" t="str">
        <f t="shared" si="32"/>
        <v xml:space="preserve">---
title: "Basilica of Our Lady of Lujan"
location: {lat: -34.5641985133718, lng: -59.1214082314216}
tags:
- marian-sites
- churches
- argentina
---
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
#### Source Material
| Official Site | The Real Presence | Miracle Hunter | MaryPages |
| --- | --- | --- | --- |
| [Link](https://santuariodelujan.org.ar/) | [Link](http://www.therealpresence.org/eucharst/misc/BVM/112_LUJAN_96x96.pdf) | [Link](http://www.miraclehunter.com/miraculous_images/icons_1600-1699.html) (Search "Lujan") | |
</v>
      </c>
      <c r="AT81" s="15" t="s">
        <v>336</v>
      </c>
    </row>
    <row r="82" spans="1:46" x14ac:dyDescent="0.25">
      <c r="A82" s="27"/>
      <c r="B82" s="31" t="s">
        <v>1262</v>
      </c>
      <c r="C82" s="32" t="s">
        <v>658</v>
      </c>
      <c r="D82" s="61" t="s">
        <v>1133</v>
      </c>
      <c r="E82" s="32"/>
      <c r="F82" s="32"/>
      <c r="G82" s="33"/>
      <c r="H82" s="33"/>
      <c r="I82" s="33" t="s">
        <v>1758</v>
      </c>
      <c r="J82" s="33"/>
      <c r="K82" s="32" t="s">
        <v>336</v>
      </c>
      <c r="L82" s="32" t="s">
        <v>336</v>
      </c>
      <c r="M82" s="32" t="s">
        <v>257</v>
      </c>
      <c r="N82" s="32" t="s">
        <v>336</v>
      </c>
      <c r="O82" s="32" t="s">
        <v>336</v>
      </c>
      <c r="P82" s="32" t="s">
        <v>336</v>
      </c>
      <c r="Q82" s="32" t="s">
        <v>336</v>
      </c>
      <c r="R82" s="32" t="s">
        <v>336</v>
      </c>
      <c r="S82" s="32" t="s">
        <v>336</v>
      </c>
      <c r="T82" s="32"/>
      <c r="U82" s="32"/>
      <c r="V82" s="33"/>
      <c r="W82" s="38" t="b">
        <f t="shared" si="33"/>
        <v>0</v>
      </c>
      <c r="X82" s="35" t="str">
        <f t="shared" si="26"/>
        <v>title: ""</v>
      </c>
      <c r="Y82" s="35" t="str">
        <f t="shared" si="27"/>
        <v>location: {lat: , lng: }</v>
      </c>
      <c r="Z82" s="35" t="str">
        <f>IF(LEN(S82)&gt;1,VLOOKUP(S82,Sheet3!$A:$B,2,),"")</f>
        <v/>
      </c>
      <c r="AA82" s="35" t="str">
        <f>IF(LEN(T82)&gt;1,VLOOKUP(T82,Sheet3!$A:$B,2,),"")</f>
        <v/>
      </c>
      <c r="AB82" s="35" t="str">
        <f>IF(LEN(U82)&gt;1,VLOOKUP(U82,Sheet3!$A:$B,2,),"")</f>
        <v/>
      </c>
      <c r="AC82" s="37" t="str">
        <f t="shared" si="34"/>
        <v/>
      </c>
      <c r="AD82" s="37" t="str">
        <f t="shared" si="35"/>
        <v/>
      </c>
      <c r="AE82" s="37" t="str">
        <f t="shared" si="36"/>
        <v/>
      </c>
      <c r="AF82" s="37" t="str">
        <f>"- marian-sites
- churches
- "&amp;VLOOKUP(C82,'(Ref) Countries'!A:C,3,)&amp;IF(LEN(S82)&gt;1,"
- "&amp;S82,"")&amp;IF(LEN(T82)&gt;1,"
- "&amp;T82,"")&amp;IF(LEN(U82)&gt;1,"
- "&amp;U82,"")</f>
        <v>- marian-sites
- churches
- paraguay</v>
      </c>
      <c r="AG82" s="37" t="str">
        <f t="shared" si="37"/>
        <v xml:space="preserve">| </v>
      </c>
      <c r="AH82" s="37" t="str">
        <f t="shared" si="38"/>
        <v xml:space="preserve">| Caacupé </v>
      </c>
      <c r="AI82" s="37" t="str">
        <f>"| "&amp;IF(W82,GetTagPage(C82,VLOOKUP(C82,'(Ref) Countries'!A:C,3,)),C82)&amp; " "</f>
        <v xml:space="preserve">| Paraguay </v>
      </c>
      <c r="AJ82" s="37" t="str">
        <f t="shared" si="39"/>
        <v xml:space="preserve">| 17th Century </v>
      </c>
      <c r="AK82" s="37" t="str">
        <f t="shared" si="40"/>
        <v xml:space="preserve">| </v>
      </c>
      <c r="AL82" s="35" t="str">
        <f t="shared" si="28"/>
        <v xml:space="preserve">| </v>
      </c>
      <c r="AM82" s="37" t="str">
        <f t="shared" si="29"/>
        <v xml:space="preserve">| [Link](http://www.therealpresence.org/eucharst/misc/BVM/92_CAACUPE_96x96.pdf) </v>
      </c>
      <c r="AN82" s="37" t="str">
        <f t="shared" si="30"/>
        <v xml:space="preserve">| </v>
      </c>
      <c r="AO82" s="37" t="str">
        <f t="shared" si="31"/>
        <v xml:space="preserve">| </v>
      </c>
      <c r="AP82" s="37" t="str">
        <f t="shared" si="42"/>
        <v xml:space="preserve">
| | [Link](http://www.therealpresence.org/eucharst/misc/BVM/92_CAACUPE_96x96.pdf) | | |</v>
      </c>
      <c r="AQ82" s="48" t="str">
        <f>VLOOKUP(C82,'(Ref) Countries'!A:B,2,)&amp;"-"&amp;LOWER(SUBSTITUTE(H82," ","-"))&amp;".md"</f>
        <v>py-.md</v>
      </c>
      <c r="AR82" s="35" t="str">
        <f t="shared" si="41"/>
        <v xml:space="preserve">
| Caacupé | Paraguay | 17th Century | | | [Link](http://www.therealpresence.org/eucharst/misc/BVM/92_CAACUPE_96x96.pdf) | | | |</v>
      </c>
      <c r="AS82" s="48" t="str">
        <f t="shared" si="32"/>
        <v/>
      </c>
      <c r="AT82" s="15" t="s">
        <v>336</v>
      </c>
    </row>
    <row r="83" spans="1:46" x14ac:dyDescent="0.25">
      <c r="A83" s="27"/>
      <c r="B83" s="31" t="s">
        <v>1260</v>
      </c>
      <c r="C83" s="32" t="s">
        <v>558</v>
      </c>
      <c r="D83" s="64" t="s">
        <v>1429</v>
      </c>
      <c r="E83" s="32"/>
      <c r="F83" s="32"/>
      <c r="G83" s="33"/>
      <c r="H83" s="33"/>
      <c r="I83" s="33" t="s">
        <v>1758</v>
      </c>
      <c r="J83" s="33"/>
      <c r="K83" s="32" t="s">
        <v>336</v>
      </c>
      <c r="L83" s="32" t="s">
        <v>336</v>
      </c>
      <c r="M83" s="32" t="s">
        <v>255</v>
      </c>
      <c r="N83" s="32" t="s">
        <v>336</v>
      </c>
      <c r="O83" s="32" t="s">
        <v>336</v>
      </c>
      <c r="P83" s="32" t="s">
        <v>336</v>
      </c>
      <c r="Q83" s="32" t="s">
        <v>336</v>
      </c>
      <c r="R83" s="32" t="s">
        <v>336</v>
      </c>
      <c r="S83" s="32" t="s">
        <v>336</v>
      </c>
      <c r="T83" s="32"/>
      <c r="U83" s="32"/>
      <c r="V83" s="33"/>
      <c r="W83" s="38" t="b">
        <f t="shared" si="33"/>
        <v>0</v>
      </c>
      <c r="X83" s="35" t="str">
        <f t="shared" si="26"/>
        <v>title: ""</v>
      </c>
      <c r="Y83" s="35" t="str">
        <f t="shared" si="27"/>
        <v>location: {lat: , lng: }</v>
      </c>
      <c r="Z83" s="35" t="str">
        <f>IF(LEN(S83)&gt;1,VLOOKUP(S83,Sheet3!$A:$B,2,),"")</f>
        <v/>
      </c>
      <c r="AA83" s="35" t="str">
        <f>IF(LEN(T83)&gt;1,VLOOKUP(T83,Sheet3!$A:$B,2,),"")</f>
        <v/>
      </c>
      <c r="AB83" s="35" t="str">
        <f>IF(LEN(U83)&gt;1,VLOOKUP(U83,Sheet3!$A:$B,2,),"")</f>
        <v/>
      </c>
      <c r="AC83" s="37" t="str">
        <f t="shared" si="34"/>
        <v/>
      </c>
      <c r="AD83" s="37" t="str">
        <f t="shared" si="35"/>
        <v/>
      </c>
      <c r="AE83" s="37" t="str">
        <f t="shared" si="36"/>
        <v/>
      </c>
      <c r="AF83" s="37" t="str">
        <f>"- marian-sites
- churches
- "&amp;VLOOKUP(C83,'(Ref) Countries'!A:C,3,)&amp;IF(LEN(S83)&gt;1,"
- "&amp;S83,"")&amp;IF(LEN(T83)&gt;1,"
- "&amp;T83,"")&amp;IF(LEN(U83)&gt;1,"
- "&amp;U83,"")</f>
        <v>- marian-sites
- churches
- france</v>
      </c>
      <c r="AG83" s="37" t="str">
        <f t="shared" si="37"/>
        <v xml:space="preserve">| </v>
      </c>
      <c r="AH83" s="37" t="str">
        <f t="shared" si="38"/>
        <v xml:space="preserve">| Bétharram </v>
      </c>
      <c r="AI83" s="37" t="str">
        <f>"| "&amp;IF(W83,GetTagPage(C83,VLOOKUP(C83,'(Ref) Countries'!A:C,3,)),C83)&amp; " "</f>
        <v xml:space="preserve">| France </v>
      </c>
      <c r="AJ83" s="37" t="str">
        <f t="shared" si="39"/>
        <v xml:space="preserve">| c. 17th Century </v>
      </c>
      <c r="AK83" s="37" t="str">
        <f t="shared" si="40"/>
        <v xml:space="preserve">| </v>
      </c>
      <c r="AL83" s="35" t="str">
        <f t="shared" si="28"/>
        <v xml:space="preserve">| </v>
      </c>
      <c r="AM83" s="37" t="str">
        <f t="shared" si="29"/>
        <v xml:space="preserve">| [Link](http://www.therealpresence.org/eucharst/misc/BVM/61_BETHARRAM_60x96.pdf) </v>
      </c>
      <c r="AN83" s="37" t="str">
        <f t="shared" si="30"/>
        <v xml:space="preserve">| </v>
      </c>
      <c r="AO83" s="37" t="str">
        <f t="shared" si="31"/>
        <v xml:space="preserve">| </v>
      </c>
      <c r="AP83" s="37" t="str">
        <f>"
"&amp;AL83&amp;AM83&amp;AN83&amp;AO83&amp;"|"</f>
        <v xml:space="preserve">
| | [Link](http://www.therealpresence.org/eucharst/misc/BVM/61_BETHARRAM_60x96.pdf) | | |</v>
      </c>
      <c r="AQ83" s="48" t="str">
        <f>VLOOKUP(C83,'(Ref) Countries'!A:B,2,)&amp;"-"&amp;LOWER(SUBSTITUTE(H83," ","-"))&amp;".md"</f>
        <v>fr-.md</v>
      </c>
      <c r="AR83" s="35" t="str">
        <f t="shared" si="41"/>
        <v xml:space="preserve">
| Bétharram | France | c. 17th Century | | | [Link](http://www.therealpresence.org/eucharst/misc/BVM/61_BETHARRAM_60x96.pdf) | | | |</v>
      </c>
      <c r="AS83" s="48" t="str">
        <f t="shared" si="32"/>
        <v/>
      </c>
      <c r="AT83" s="15" t="s">
        <v>336</v>
      </c>
    </row>
    <row r="84" spans="1:46" ht="38.25" x14ac:dyDescent="0.25">
      <c r="A84" s="27" t="s">
        <v>1058</v>
      </c>
      <c r="B84" s="31" t="s">
        <v>1263</v>
      </c>
      <c r="C84" s="32" t="s">
        <v>650</v>
      </c>
      <c r="D84" s="61">
        <v>1603</v>
      </c>
      <c r="E84" s="32">
        <v>13.882181522598099</v>
      </c>
      <c r="F84" s="32">
        <v>120.92027885535801</v>
      </c>
      <c r="G84" s="33" t="s">
        <v>1389</v>
      </c>
      <c r="H84" s="33" t="s">
        <v>1390</v>
      </c>
      <c r="I84" s="33" t="s">
        <v>1758</v>
      </c>
      <c r="J84" s="33" t="s">
        <v>1345</v>
      </c>
      <c r="K84" s="32" t="s">
        <v>1392</v>
      </c>
      <c r="L84" s="32" t="s">
        <v>336</v>
      </c>
      <c r="M84" s="32" t="s">
        <v>258</v>
      </c>
      <c r="N84" s="32" t="s">
        <v>336</v>
      </c>
      <c r="O84" s="32" t="s">
        <v>1391</v>
      </c>
      <c r="P84" s="32" t="s">
        <v>336</v>
      </c>
      <c r="Q84" s="32" t="s">
        <v>336</v>
      </c>
      <c r="R84" s="32" t="s">
        <v>336</v>
      </c>
      <c r="S84" s="32" t="s">
        <v>336</v>
      </c>
      <c r="T84" s="32"/>
      <c r="U84" s="32"/>
      <c r="V84" s="66" t="s">
        <v>1739</v>
      </c>
      <c r="W84" s="38" t="b">
        <f t="shared" si="33"/>
        <v>1</v>
      </c>
      <c r="X84" s="35" t="str">
        <f t="shared" si="26"/>
        <v>title: "Archdiocesan Shrine of Our Lady of Caysasay"</v>
      </c>
      <c r="Y84" s="35" t="str">
        <f t="shared" si="27"/>
        <v>location: {lat: 13.8821815225981, lng: 120.920278855358}</v>
      </c>
      <c r="Z84" s="35" t="str">
        <f>IF(LEN(S84)&gt;1,VLOOKUP(S84,Sheet3!$A:$B,2,),"")</f>
        <v/>
      </c>
      <c r="AA84" s="35" t="str">
        <f>IF(LEN(T84)&gt;1,VLOOKUP(T84,Sheet3!$A:$B,2,),"")</f>
        <v/>
      </c>
      <c r="AB84" s="35" t="str">
        <f>IF(LEN(U84)&gt;1,VLOOKUP(U84,Sheet3!$A:$B,2,),"")</f>
        <v/>
      </c>
      <c r="AC84" s="37" t="str">
        <f t="shared" si="34"/>
        <v/>
      </c>
      <c r="AD84" s="37" t="str">
        <f t="shared" si="35"/>
        <v/>
      </c>
      <c r="AE84" s="37" t="str">
        <f t="shared" si="36"/>
        <v/>
      </c>
      <c r="AF84" s="37" t="str">
        <f>"- marian-sites
- churches
- "&amp;VLOOKUP(C84,'(Ref) Countries'!A:C,3,)&amp;IF(LEN(S84)&gt;1,"
- "&amp;S84,"")&amp;IF(LEN(T84)&gt;1,"
- "&amp;T84,"")&amp;IF(LEN(U84)&gt;1,"
- "&amp;U84,"")</f>
        <v>- marian-sites
- churches
- philippines</v>
      </c>
      <c r="AG84" s="37" t="str">
        <f t="shared" si="37"/>
        <v xml:space="preserve">| </v>
      </c>
      <c r="AH84" s="37" t="str">
        <f t="shared" si="38"/>
        <v xml:space="preserve">| [Caysasay](/places/ph-shrine-of-our-lady-of-caysasay) </v>
      </c>
      <c r="AI84" s="37" t="str">
        <f>"| "&amp;IF(W84,GetTagPage(C84,VLOOKUP(C84,'(Ref) Countries'!A:C,3,)),C84)&amp; " "</f>
        <v xml:space="preserve">| [Philippines](/tags/philippines) </v>
      </c>
      <c r="AJ84" s="37" t="str">
        <f t="shared" si="39"/>
        <v xml:space="preserve">| 1603 </v>
      </c>
      <c r="AK84" s="37" t="str">
        <f t="shared" si="40"/>
        <v xml:space="preserve">| [Link](/places/ph-shrine-of-our-lady-of-caysasay) </v>
      </c>
      <c r="AL84" s="35" t="str">
        <f t="shared" si="28"/>
        <v xml:space="preserve">| [Link](https://www.facebook.com/CaysasayTaal) </v>
      </c>
      <c r="AM84" s="37" t="str">
        <f t="shared" si="29"/>
        <v xml:space="preserve">| [Link](http://www.therealpresence.org/eucharst/misc/BVM/94_CAYSASAY_60x96.pdf) </v>
      </c>
      <c r="AN84" s="37" t="str">
        <f t="shared" si="30"/>
        <v xml:space="preserve">| [Link](http://www.miraclehunter.com/marian_apparitions/approved_apparitions/caysasay/index.html) </v>
      </c>
      <c r="AO84" s="37" t="str">
        <f t="shared" si="31"/>
        <v xml:space="preserve">| </v>
      </c>
      <c r="AP84" s="37" t="str">
        <f t="shared" si="42"/>
        <v xml:space="preserve">
| [Link](https://www.facebook.com/CaysasayTaal) | [Link](http://www.therealpresence.org/eucharst/misc/BVM/94_CAYSASAY_60x96.pdf) | [Link](http://www.miraclehunter.com/marian_apparitions/approved_apparitions/caysasay/index.html) | |</v>
      </c>
      <c r="AQ84" s="48" t="str">
        <f>VLOOKUP(C84,'(Ref) Countries'!A:B,2,)&amp;"-"&amp;LOWER(SUBSTITUTE(H84," ","-"))&amp;".md"</f>
        <v>ph-shrine-of-our-lady-of-caysasay.md</v>
      </c>
      <c r="AR84" s="35" t="str">
        <f t="shared" si="41"/>
        <v xml:space="preserve">
| [Caysasay](/places/ph-shrine-of-our-lady-of-caysasay) | [Philippines](/tags/philippines) | 1603 | [Link](/places/ph-shrine-of-our-lady-of-caysasay) | [Link](https://www.facebook.com/CaysasayTaal) | [Link](http://www.therealpresence.org/eucharst/misc/BVM/94_CAYSASAY_60x96.pdf) | [Link](http://www.miraclehunter.com/marian_apparitions/approved_apparitions/caysasay/index.html) | | |</v>
      </c>
      <c r="AS84" s="48" t="str">
        <f t="shared" si="32"/>
        <v>---
title: "Archdiocesan Shrine of Our Lady of Caysasay"
location: {lat: 13.8821815225981, lng: 120.920278855358}
tags:
- marian-sites
- churches
- philippines
---
_Research in progress_
#### Source Material
| Official Site | The Real Presence | Miracle Hunter | MaryPages |
| --- | --- | --- | --- |
| [Link](https://www.facebook.com/CaysasayTaal) | [Link](http://www.therealpresence.org/eucharst/misc/BVM/94_CAYSASAY_60x96.pdf) | [Link](http://www.miraclehunter.com/marian_apparitions/approved_apparitions/caysasay/index.html) | |
#### Author's Note
The Facebook page appears to be the official site.
- JMM</v>
      </c>
      <c r="AT84" s="15" t="s">
        <v>336</v>
      </c>
    </row>
    <row r="85" spans="1:46" ht="89.25" x14ac:dyDescent="0.25">
      <c r="A85" s="27" t="s">
        <v>1330</v>
      </c>
      <c r="B85" s="31" t="s">
        <v>1264</v>
      </c>
      <c r="C85" s="32" t="s">
        <v>662</v>
      </c>
      <c r="D85" s="61">
        <v>1603</v>
      </c>
      <c r="E85" s="32">
        <v>45.592976471079801</v>
      </c>
      <c r="F85" s="32">
        <v>19.1905119128275</v>
      </c>
      <c r="G85" s="52" t="s">
        <v>1404</v>
      </c>
      <c r="H85" s="52" t="s">
        <v>1405</v>
      </c>
      <c r="I85" s="52" t="s">
        <v>1758</v>
      </c>
      <c r="J85" s="33" t="s">
        <v>1406</v>
      </c>
      <c r="K85" s="32" t="s">
        <v>1407</v>
      </c>
      <c r="L85" s="57" t="s">
        <v>1426</v>
      </c>
      <c r="M85" s="32" t="s">
        <v>259</v>
      </c>
      <c r="N85" s="32" t="s">
        <v>336</v>
      </c>
      <c r="O85" s="32" t="s">
        <v>1376</v>
      </c>
      <c r="P85" s="53" t="s">
        <v>1403</v>
      </c>
      <c r="Q85" s="32" t="s">
        <v>336</v>
      </c>
      <c r="R85" s="32" t="s">
        <v>336</v>
      </c>
      <c r="S85" s="32" t="s">
        <v>336</v>
      </c>
      <c r="T85" s="32"/>
      <c r="U85" s="32"/>
      <c r="V85" s="66" t="s">
        <v>1740</v>
      </c>
      <c r="W85" s="38" t="b">
        <f t="shared" si="33"/>
        <v>1</v>
      </c>
      <c r="X85" s="35" t="str">
        <f t="shared" si="26"/>
        <v>title: "Diocesan Shrine of Mary, Help of Christians"</v>
      </c>
      <c r="Y85" s="35" t="str">
        <f t="shared" si="27"/>
        <v>location: {lat: 45.5929764710798, lng: 19.1905119128275}</v>
      </c>
      <c r="Z85" s="35" t="str">
        <f>IF(LEN(S85)&gt;1,VLOOKUP(S85,Sheet3!$A:$B,2,),"")</f>
        <v/>
      </c>
      <c r="AA85" s="35" t="str">
        <f>IF(LEN(T85)&gt;1,VLOOKUP(T85,Sheet3!$A:$B,2,),"")</f>
        <v/>
      </c>
      <c r="AB85" s="35" t="str">
        <f>IF(LEN(U85)&gt;1,VLOOKUP(U85,Sheet3!$A:$B,2,),"")</f>
        <v/>
      </c>
      <c r="AC85" s="37" t="str">
        <f t="shared" si="34"/>
        <v/>
      </c>
      <c r="AD85" s="37" t="str">
        <f t="shared" si="35"/>
        <v/>
      </c>
      <c r="AE85" s="37" t="str">
        <f t="shared" si="36"/>
        <v/>
      </c>
      <c r="AF85" s="37" t="str">
        <f>"- marian-sites
- churches
- "&amp;VLOOKUP(C85,'(Ref) Countries'!A:C,3,)&amp;IF(LEN(S85)&gt;1,"
- "&amp;S85,"")&amp;IF(LEN(T85)&gt;1,"
- "&amp;T85,"")&amp;IF(LEN(U85)&gt;1,"
- "&amp;U85,"")</f>
        <v>- marian-sites
- churches
- serbia</v>
      </c>
      <c r="AG85" s="37" t="str">
        <f t="shared" si="37"/>
        <v xml:space="preserve">| </v>
      </c>
      <c r="AH85" s="37" t="str">
        <f t="shared" si="38"/>
        <v xml:space="preserve">| [Doroszló](/places/rs-shrine-of-mary-help-of-christians) </v>
      </c>
      <c r="AI85" s="37" t="str">
        <f>"| "&amp;IF(W85,GetTagPage(C85,VLOOKUP(C85,'(Ref) Countries'!A:C,3,)),C85)&amp; " "</f>
        <v xml:space="preserve">| [Serbia](/tags/serbia) </v>
      </c>
      <c r="AJ85" s="37" t="str">
        <f t="shared" si="39"/>
        <v xml:space="preserve">| 1603 </v>
      </c>
      <c r="AK85" s="37" t="str">
        <f t="shared" si="40"/>
        <v xml:space="preserve">| [Link](/places/rs-shrine-of-mary-help-of-christians) </v>
      </c>
      <c r="AL85" s="35" t="str">
        <f t="shared" si="28"/>
        <v xml:space="preserve">| [Link](https://szentkut.eu/), [Link](https://doroszlo.net/) </v>
      </c>
      <c r="AM85" s="37" t="str">
        <f t="shared" si="29"/>
        <v xml:space="preserve">| [Link](http://www.therealpresence.org/eucharst/misc/BVM/104_DOROSZLO_60x96.pdf) </v>
      </c>
      <c r="AN85" s="37" t="str">
        <f t="shared" si="30"/>
        <v xml:space="preserve">| [Link](https://www.miraclehunter.com/marian_apparitions/approved_apparitions/apparitions_1700-1799.html) (Search "Doroszlo") </v>
      </c>
      <c r="AO85" s="37" t="str">
        <f t="shared" si="31"/>
        <v xml:space="preserve">| </v>
      </c>
      <c r="AP85" s="37" t="str">
        <f t="shared" si="42"/>
        <v xml:space="preserve">
| [Link](https://szentkut.eu/), [Link](https://doroszlo.net/) | [Link](http://www.therealpresence.org/eucharst/misc/BVM/104_DOROSZLO_60x96.pdf) | [Link](https://www.miraclehunter.com/marian_apparitions/approved_apparitions/apparitions_1700-1799.html) (Search "Doroszlo") | |</v>
      </c>
      <c r="AQ85" s="48" t="str">
        <f>VLOOKUP(C85,'(Ref) Countries'!A:B,2,)&amp;"-"&amp;LOWER(SUBSTITUTE(H85," ","-"))&amp;".md"</f>
        <v>rs-shrine-of-mary-help-of-christians.md</v>
      </c>
      <c r="AR85" s="35" t="str">
        <f t="shared" si="41"/>
        <v xml:space="preserve">
| [Doroszló](/places/rs-shrine-of-mary-help-of-christians) | [Serbia](/tags/serbia) | 1603 | [Link](/places/rs-shrine-of-mary-help-of-christians) | [Link](https://szentkut.eu/), [Link](https://doroszlo.net/) | [Link](http://www.therealpresence.org/eucharst/misc/BVM/104_DOROSZLO_60x96.pdf) | [Link](https://www.miraclehunter.com/marian_apparitions/approved_apparitions/apparitions_1700-1799.html) (Search "Doroszlo") | | |</v>
      </c>
      <c r="AS85" s="48" t="str">
        <f t="shared" si="32"/>
        <v>---
title: "Diocesan Shrine of Mary, Help of Christians"
location: {lat: 45.5929764710798, lng: 19.1905119128275}
tags:
- marian-sites
- churches
- serbia
---
In 1792, the Virgin Mary appeared to a blind man, advising him to bathe his eyes in a miraculous fountain.  Upon his healing, a chapel was built and was eventually expanded to a larger church.
#### Source Material
| Official Site | The Real Presence | Miracle Hunter | MaryPages |
| --- | --- | --- | --- |
| [Link](https://szentkut.eu/), [Link](https://doroszlo.net/) | [Link](http://www.therealpresence.org/eucharst/misc/BVM/104_DOROSZLO_60x96.pdf) | [Link](https://www.miraclehunter.com/marian_apparitions/approved_apparitions/apparitions_1700-1799.html) (Search "Doroszlo") | |
#### Author's Note
At the time of this miracle the land belonged to Hungary; a few sources still refer to the site as Hungarian.  The two potential official pages listed may not be accurate; please [contact us](/contact) if you have any better information.
- JMM</v>
      </c>
      <c r="AT85" s="15" t="s">
        <v>336</v>
      </c>
    </row>
    <row r="86" spans="1:46" x14ac:dyDescent="0.25">
      <c r="A86" s="27"/>
      <c r="B86" s="31" t="s">
        <v>1265</v>
      </c>
      <c r="C86" s="32" t="s">
        <v>11</v>
      </c>
      <c r="D86" s="61">
        <v>1607</v>
      </c>
      <c r="E86" s="32"/>
      <c r="F86" s="32"/>
      <c r="G86" s="33"/>
      <c r="H86" s="33"/>
      <c r="I86" s="33" t="s">
        <v>1758</v>
      </c>
      <c r="J86" s="33"/>
      <c r="K86" s="32" t="s">
        <v>336</v>
      </c>
      <c r="L86" s="32" t="s">
        <v>336</v>
      </c>
      <c r="M86" s="32" t="s">
        <v>260</v>
      </c>
      <c r="N86" s="32" t="s">
        <v>336</v>
      </c>
      <c r="O86" s="32" t="s">
        <v>336</v>
      </c>
      <c r="P86" s="32" t="s">
        <v>336</v>
      </c>
      <c r="Q86" s="32" t="s">
        <v>336</v>
      </c>
      <c r="R86" s="32" t="s">
        <v>336</v>
      </c>
      <c r="S86" s="32" t="s">
        <v>336</v>
      </c>
      <c r="T86" s="32"/>
      <c r="U86" s="32"/>
      <c r="V86" s="33"/>
      <c r="W86" s="38" t="b">
        <f t="shared" si="33"/>
        <v>0</v>
      </c>
      <c r="X86" s="35" t="str">
        <f t="shared" si="26"/>
        <v>title: ""</v>
      </c>
      <c r="Y86" s="35" t="str">
        <f t="shared" si="27"/>
        <v>location: {lat: , lng: }</v>
      </c>
      <c r="Z86" s="35" t="str">
        <f>IF(LEN(S86)&gt;1,VLOOKUP(S86,Sheet3!$A:$B,2,),"")</f>
        <v/>
      </c>
      <c r="AA86" s="35" t="str">
        <f>IF(LEN(T86)&gt;1,VLOOKUP(T86,Sheet3!$A:$B,2,),"")</f>
        <v/>
      </c>
      <c r="AB86" s="35" t="str">
        <f>IF(LEN(U86)&gt;1,VLOOKUP(U86,Sheet3!$A:$B,2,),"")</f>
        <v/>
      </c>
      <c r="AC86" s="37" t="str">
        <f t="shared" si="34"/>
        <v/>
      </c>
      <c r="AD86" s="37" t="str">
        <f t="shared" si="35"/>
        <v/>
      </c>
      <c r="AE86" s="37" t="str">
        <f t="shared" si="36"/>
        <v/>
      </c>
      <c r="AF86" s="37" t="str">
        <f>"- marian-sites
- churches
- "&amp;VLOOKUP(C86,'(Ref) Countries'!A:C,3,)&amp;IF(LEN(S86)&gt;1,"
- "&amp;S86,"")&amp;IF(LEN(T86)&gt;1,"
- "&amp;T86,"")&amp;IF(LEN(U86)&gt;1,"
- "&amp;U86,"")</f>
        <v>- marian-sites
- churches
- italy</v>
      </c>
      <c r="AG86" s="37" t="str">
        <f t="shared" si="37"/>
        <v xml:space="preserve">| </v>
      </c>
      <c r="AH86" s="37" t="str">
        <f t="shared" si="38"/>
        <v xml:space="preserve">| Ardesio </v>
      </c>
      <c r="AI86" s="37" t="str">
        <f>"| "&amp;IF(W86,GetTagPage(C86,VLOOKUP(C86,'(Ref) Countries'!A:C,3,)),C86)&amp; " "</f>
        <v xml:space="preserve">| Italy </v>
      </c>
      <c r="AJ86" s="37" t="str">
        <f t="shared" si="39"/>
        <v xml:space="preserve">| 1607 </v>
      </c>
      <c r="AK86" s="37" t="str">
        <f t="shared" si="40"/>
        <v xml:space="preserve">| </v>
      </c>
      <c r="AL86" s="35" t="str">
        <f t="shared" si="28"/>
        <v xml:space="preserve">| </v>
      </c>
      <c r="AM86" s="37" t="str">
        <f t="shared" si="29"/>
        <v xml:space="preserve">| [Link](http://www.therealpresence.org/eucharst/misc/BVM/36_ARDESIO_60x96.pdf) </v>
      </c>
      <c r="AN86" s="37" t="str">
        <f t="shared" si="30"/>
        <v xml:space="preserve">| </v>
      </c>
      <c r="AO86" s="37" t="str">
        <f t="shared" si="31"/>
        <v xml:space="preserve">| </v>
      </c>
      <c r="AP86" s="37" t="str">
        <f t="shared" si="42"/>
        <v xml:space="preserve">
| | [Link](http://www.therealpresence.org/eucharst/misc/BVM/36_ARDESIO_60x96.pdf) | | |</v>
      </c>
      <c r="AQ86" s="48" t="str">
        <f>VLOOKUP(C86,'(Ref) Countries'!A:B,2,)&amp;"-"&amp;LOWER(SUBSTITUTE(H86," ","-"))&amp;".md"</f>
        <v>it-.md</v>
      </c>
      <c r="AR86" s="35" t="str">
        <f t="shared" si="41"/>
        <v xml:space="preserve">
| Ardesio | Italy | 1607 | | | [Link](http://www.therealpresence.org/eucharst/misc/BVM/36_ARDESIO_60x96.pdf) | | | |</v>
      </c>
      <c r="AS86" s="48" t="str">
        <f t="shared" si="32"/>
        <v/>
      </c>
      <c r="AT86" s="15" t="s">
        <v>336</v>
      </c>
    </row>
    <row r="87" spans="1:46" ht="63.75" x14ac:dyDescent="0.25">
      <c r="A87" s="27" t="s">
        <v>1330</v>
      </c>
      <c r="B87" s="31" t="s">
        <v>1011</v>
      </c>
      <c r="C87" s="32" t="s">
        <v>608</v>
      </c>
      <c r="D87" s="61">
        <v>1608</v>
      </c>
      <c r="E87" s="32">
        <v>55.530612599999998</v>
      </c>
      <c r="F87" s="32">
        <v>23.219925199999999</v>
      </c>
      <c r="G87" s="33" t="s">
        <v>1037</v>
      </c>
      <c r="H87" s="33" t="s">
        <v>1012</v>
      </c>
      <c r="I87" s="33" t="s">
        <v>1758</v>
      </c>
      <c r="J87" s="33" t="s">
        <v>463</v>
      </c>
      <c r="K87" s="32" t="s">
        <v>1013</v>
      </c>
      <c r="L87" s="32" t="s">
        <v>336</v>
      </c>
      <c r="M87" s="32" t="s">
        <v>261</v>
      </c>
      <c r="N87" s="32" t="s">
        <v>336</v>
      </c>
      <c r="O87" s="32" t="s">
        <v>465</v>
      </c>
      <c r="P87" s="32" t="s">
        <v>336</v>
      </c>
      <c r="Q87" s="32" t="s">
        <v>464</v>
      </c>
      <c r="R87" s="32" t="s">
        <v>336</v>
      </c>
      <c r="S87" s="34" t="s">
        <v>336</v>
      </c>
      <c r="T87" s="34"/>
      <c r="U87" s="34"/>
      <c r="V87" s="66" t="s">
        <v>1741</v>
      </c>
      <c r="W87" s="38" t="b">
        <f t="shared" si="33"/>
        <v>1</v>
      </c>
      <c r="X87" s="35" t="str">
        <f t="shared" si="26"/>
        <v>title: "Basilica of the Nativity of the Blessed Virgin Mary (Our Lady of Siluva)"</v>
      </c>
      <c r="Y87" s="35" t="str">
        <f t="shared" si="27"/>
        <v>location: {lat: 55.5306126, lng: 23.2199252}</v>
      </c>
      <c r="Z87" s="37" t="str">
        <f>IF(LEN(S87)&gt;1,VLOOKUP(S87,Sheet3!$A:$B,2,),"")</f>
        <v/>
      </c>
      <c r="AA87" s="37" t="str">
        <f>IF(LEN(T87)&gt;1,VLOOKUP(T87,Sheet3!$A:$B,2,),"")</f>
        <v/>
      </c>
      <c r="AB87" s="37" t="str">
        <f>IF(LEN(U87)&gt;1,VLOOKUP(U87,Sheet3!$A:$B,2,),"")</f>
        <v/>
      </c>
      <c r="AC87" s="37" t="str">
        <f t="shared" si="34"/>
        <v/>
      </c>
      <c r="AD87" s="37" t="str">
        <f t="shared" si="35"/>
        <v/>
      </c>
      <c r="AE87" s="37" t="str">
        <f t="shared" si="36"/>
        <v/>
      </c>
      <c r="AF87" s="37" t="str">
        <f>"- marian-sites
- churches
- "&amp;VLOOKUP(C87,'(Ref) Countries'!A:C,3,)&amp;IF(LEN(S87)&gt;1,"
- "&amp;S87,"")&amp;IF(LEN(T87)&gt;1,"
- "&amp;T87,"")&amp;IF(LEN(U87)&gt;1,"
- "&amp;U87,"")</f>
        <v>- marian-sites
- churches
- lithuania</v>
      </c>
      <c r="AG87" s="37" t="str">
        <f t="shared" si="37"/>
        <v xml:space="preserve">| </v>
      </c>
      <c r="AH87" s="37" t="str">
        <f t="shared" si="38"/>
        <v xml:space="preserve">| [Šiluva](/places/lt-basilica-of-the-nativity-of-the-blessed-virgin-mary) </v>
      </c>
      <c r="AI87" s="37" t="str">
        <f>"| "&amp;IF(W87,GetTagPage(C87,VLOOKUP(C87,'(Ref) Countries'!A:C,3,)),C87)&amp; " "</f>
        <v xml:space="preserve">| [Lithuania](/tags/lithuania) </v>
      </c>
      <c r="AJ87" s="37" t="str">
        <f t="shared" si="39"/>
        <v xml:space="preserve">| 1608 </v>
      </c>
      <c r="AK87" s="37" t="str">
        <f t="shared" si="40"/>
        <v xml:space="preserve">| [Link](/places/lt-basilica-of-the-nativity-of-the-blessed-virgin-mary) </v>
      </c>
      <c r="AL87" s="35" t="str">
        <f t="shared" si="28"/>
        <v xml:space="preserve">| [Link](https://siluva.lt/) </v>
      </c>
      <c r="AM87" s="37" t="str">
        <f t="shared" si="29"/>
        <v xml:space="preserve">| [Link](http://www.therealpresence.org/eucharst/misc/BVM/57_SILUVA_96x96.pdf) </v>
      </c>
      <c r="AN87" s="37" t="str">
        <f t="shared" si="30"/>
        <v xml:space="preserve">| [Link](https://www.miraclehunter.com/marian_apparitions/approved_apparitions/siluva/index.html) </v>
      </c>
      <c r="AO87" s="37" t="str">
        <f t="shared" si="31"/>
        <v xml:space="preserve">| [Link](https://www.marypages.com/our-lady-of-siluva-en.html) </v>
      </c>
      <c r="AP87" s="37" t="str">
        <f t="shared" si="42"/>
        <v xml:space="preserve">
| [Link](https://siluva.lt/) | [Link](http://www.therealpresence.org/eucharst/misc/BVM/57_SILUVA_96x96.pdf) | [Link](https://www.miraclehunter.com/marian_apparitions/approved_apparitions/siluva/index.html) | [Link](https://www.marypages.com/our-lady-of-siluva-en.html) |</v>
      </c>
      <c r="AQ87" s="48" t="str">
        <f>VLOOKUP(C87,'(Ref) Countries'!A:B,2,)&amp;"-"&amp;LOWER(SUBSTITUTE(H87," ","-"))&amp;".md"</f>
        <v>lt-basilica-of-the-nativity-of-the-blessed-virgin-mary.md</v>
      </c>
      <c r="AR87" s="35" t="str">
        <f t="shared" si="41"/>
        <v xml:space="preserve">
| [Šiluva](/places/lt-basilica-of-the-nativity-of-the-blessed-virgin-mary) | [Lithuania](/tags/lithuania) | 1608 | [Link](/places/lt-basilica-of-the-nativity-of-the-blessed-virgin-mary) | [Link](https://siluva.lt/) | [Link](http://www.therealpresence.org/eucharst/misc/BVM/57_SILUVA_96x96.pdf) | [Link](https://www.miraclehunter.com/marian_apparitions/approved_apparitions/siluva/index.html) | [Link](https://www.marypages.com/our-lady-of-siluva-en.html) | |</v>
      </c>
      <c r="AS87" s="48" t="str">
        <f t="shared" si="32"/>
        <v>---
title: "Basilica of the Nativity of the Blessed Virgin Mary (Our Lady of Siluva)"
location: {lat: 55.5306126, lng: 23.2199252}
tags:
- marian-sites
- churches
- lithuania
---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
#### Source Material
| Official Site | The Real Presence | Miracle Hunter | MaryPages |
| --- | --- | --- | --- |
| [Link](https://siluva.lt/) | [Link](http://www.therealpresence.org/eucharst/misc/BVM/57_SILUVA_96x96.pdf) | [Link](https://www.miraclehunter.com/marian_apparitions/approved_apparitions/siluva/index.html) | [Link](https://www.marypages.com/our-lady-of-siluva-en.html) |
#### Author's Note
Additional info and a good history [here](https://www.ourladyofsiluva.org/our_lady/).
- JMM</v>
      </c>
      <c r="AT87" s="15" t="s">
        <v>336</v>
      </c>
    </row>
    <row r="88" spans="1:46" ht="63.75" x14ac:dyDescent="0.25">
      <c r="A88" s="27" t="s">
        <v>1330</v>
      </c>
      <c r="B88" s="31" t="s">
        <v>1266</v>
      </c>
      <c r="C88" s="32" t="s">
        <v>650</v>
      </c>
      <c r="D88" s="61">
        <v>1610</v>
      </c>
      <c r="E88" s="32">
        <v>16.0440593284094</v>
      </c>
      <c r="F88" s="32">
        <v>120.488325579597</v>
      </c>
      <c r="G88" s="33" t="s">
        <v>1393</v>
      </c>
      <c r="H88" s="33" t="s">
        <v>1395</v>
      </c>
      <c r="I88" s="33" t="s">
        <v>1758</v>
      </c>
      <c r="J88" s="33" t="s">
        <v>1394</v>
      </c>
      <c r="K88" s="32" t="s">
        <v>1396</v>
      </c>
      <c r="L88" s="32" t="s">
        <v>336</v>
      </c>
      <c r="M88" s="32" t="s">
        <v>262</v>
      </c>
      <c r="N88" s="32" t="s">
        <v>336</v>
      </c>
      <c r="O88" s="32" t="s">
        <v>1397</v>
      </c>
      <c r="P88" s="32" t="s">
        <v>336</v>
      </c>
      <c r="Q88" s="32" t="s">
        <v>336</v>
      </c>
      <c r="R88" s="32" t="s">
        <v>336</v>
      </c>
      <c r="S88" s="32" t="s">
        <v>336</v>
      </c>
      <c r="T88" s="32"/>
      <c r="U88" s="32"/>
      <c r="V88" s="33"/>
      <c r="W88" s="38" t="b">
        <f t="shared" si="33"/>
        <v>1</v>
      </c>
      <c r="X88" s="35" t="str">
        <f t="shared" si="26"/>
        <v>title: "Minor Basilica of Our Lady of the Rosary of Manaoag"</v>
      </c>
      <c r="Y88" s="35" t="str">
        <f t="shared" si="27"/>
        <v>location: {lat: 16.0440593284094, lng: 120.488325579597}</v>
      </c>
      <c r="Z88" s="35" t="str">
        <f>IF(LEN(S88)&gt;1,VLOOKUP(S88,Sheet3!$A:$B,2,),"")</f>
        <v/>
      </c>
      <c r="AA88" s="35" t="str">
        <f>IF(LEN(T88)&gt;1,VLOOKUP(T88,Sheet3!$A:$B,2,),"")</f>
        <v/>
      </c>
      <c r="AB88" s="35" t="str">
        <f>IF(LEN(U88)&gt;1,VLOOKUP(U88,Sheet3!$A:$B,2,),"")</f>
        <v/>
      </c>
      <c r="AC88" s="37" t="str">
        <f t="shared" si="34"/>
        <v/>
      </c>
      <c r="AD88" s="37" t="str">
        <f t="shared" si="35"/>
        <v/>
      </c>
      <c r="AE88" s="37" t="str">
        <f t="shared" si="36"/>
        <v/>
      </c>
      <c r="AF88" s="37" t="str">
        <f>"- marian-sites
- churches
- "&amp;VLOOKUP(C88,'(Ref) Countries'!A:C,3,)&amp;IF(LEN(S88)&gt;1,"
- "&amp;S88,"")&amp;IF(LEN(T88)&gt;1,"
- "&amp;T88,"")&amp;IF(LEN(U88)&gt;1,"
- "&amp;U88,"")</f>
        <v>- marian-sites
- churches
- philippines</v>
      </c>
      <c r="AG88" s="37" t="str">
        <f t="shared" si="37"/>
        <v xml:space="preserve">| </v>
      </c>
      <c r="AH88" s="37" t="str">
        <f t="shared" si="38"/>
        <v xml:space="preserve">| [Manaoag](/places/ph-basilica-of-our-lady-of-the-rosary-of-manaoag) </v>
      </c>
      <c r="AI88" s="37" t="str">
        <f>"| "&amp;IF(W88,GetTagPage(C88,VLOOKUP(C88,'(Ref) Countries'!A:C,3,)),C88)&amp; " "</f>
        <v xml:space="preserve">| [Philippines](/tags/philippines) </v>
      </c>
      <c r="AJ88" s="37" t="str">
        <f t="shared" si="39"/>
        <v xml:space="preserve">| 1610 </v>
      </c>
      <c r="AK88" s="37" t="str">
        <f t="shared" si="40"/>
        <v xml:space="preserve">| [Link](/places/ph-basilica-of-our-lady-of-the-rosary-of-manaoag) </v>
      </c>
      <c r="AL88" s="35" t="str">
        <f t="shared" si="28"/>
        <v xml:space="preserve">| [Link](https://www.manaoagminorbasilica.org/) </v>
      </c>
      <c r="AM88" s="37" t="str">
        <f t="shared" si="29"/>
        <v xml:space="preserve">| [Link](http://www.therealpresence.org/eucharst/misc/BVM/88_MANAOAG_60x96.pdf) </v>
      </c>
      <c r="AN88" s="37" t="str">
        <f t="shared" si="30"/>
        <v xml:space="preserve">| [Link](https://www.miraclehunter.com/marian_apparitions/approved_apparitions/manaoag/index.html) </v>
      </c>
      <c r="AO88" s="37" t="str">
        <f t="shared" si="31"/>
        <v xml:space="preserve">| </v>
      </c>
      <c r="AP88" s="37" t="str">
        <f t="shared" si="42"/>
        <v xml:space="preserve">
| [Link](https://www.manaoagminorbasilica.org/) | [Link](http://www.therealpresence.org/eucharst/misc/BVM/88_MANAOAG_60x96.pdf) | [Link](https://www.miraclehunter.com/marian_apparitions/approved_apparitions/manaoag/index.html) | |</v>
      </c>
      <c r="AQ88" s="48" t="str">
        <f>VLOOKUP(C88,'(Ref) Countries'!A:B,2,)&amp;"-"&amp;LOWER(SUBSTITUTE(H88," ","-"))&amp;".md"</f>
        <v>ph-basilica-of-our-lady-of-the-rosary-of-manaoag.md</v>
      </c>
      <c r="AR88" s="35" t="str">
        <f t="shared" si="41"/>
        <v xml:space="preserve">
| [Manaoag](/places/ph-basilica-of-our-lady-of-the-rosary-of-manaoag) | [Philippines](/tags/philippines) | 1610 | [Link](/places/ph-basilica-of-our-lady-of-the-rosary-of-manaoag) | [Link](https://www.manaoagminorbasilica.org/) | [Link](http://www.therealpresence.org/eucharst/misc/BVM/88_MANAOAG_60x96.pdf) | [Link](https://www.miraclehunter.com/marian_apparitions/approved_apparitions/manaoag/index.html) | | |</v>
      </c>
      <c r="AS88" s="48" t="str">
        <f t="shared" si="32"/>
        <v xml:space="preserve">---
title: "Minor Basilica of Our Lady of the Rosary of Manaoag"
location: {lat: 16.0440593284094, lng: 120.488325579597}
tags:
- marian-sites
- churches
- philippines
---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
#### Source Material
| Official Site | The Real Presence | Miracle Hunter | MaryPages |
| --- | --- | --- | --- |
| [Link](https://www.manaoagminorbasilica.org/) | [Link](http://www.therealpresence.org/eucharst/misc/BVM/88_MANAOAG_60x96.pdf) | [Link](https://www.miraclehunter.com/marian_apparitions/approved_apparitions/manaoag/index.html) | |
</v>
      </c>
      <c r="AT88" s="15" t="s">
        <v>336</v>
      </c>
    </row>
    <row r="89" spans="1:46" x14ac:dyDescent="0.25">
      <c r="A89" s="27" t="s">
        <v>1058</v>
      </c>
      <c r="B89" s="31" t="s">
        <v>1324</v>
      </c>
      <c r="C89" s="32" t="s">
        <v>537</v>
      </c>
      <c r="D89" s="61">
        <v>1612</v>
      </c>
      <c r="E89" s="32">
        <v>20.050796521215599</v>
      </c>
      <c r="F89" s="32">
        <v>-75.948970548482805</v>
      </c>
      <c r="G89" s="33" t="s">
        <v>1326</v>
      </c>
      <c r="H89" s="33" t="s">
        <v>1327</v>
      </c>
      <c r="I89" s="33" t="s">
        <v>1758</v>
      </c>
      <c r="J89" s="33" t="s">
        <v>1345</v>
      </c>
      <c r="K89" s="32" t="s">
        <v>336</v>
      </c>
      <c r="L89" s="32" t="s">
        <v>336</v>
      </c>
      <c r="M89" s="32" t="s">
        <v>263</v>
      </c>
      <c r="N89" s="32" t="s">
        <v>336</v>
      </c>
      <c r="O89" s="32" t="s">
        <v>336</v>
      </c>
      <c r="P89" s="32" t="s">
        <v>336</v>
      </c>
      <c r="Q89" s="32" t="s">
        <v>336</v>
      </c>
      <c r="R89" s="32" t="s">
        <v>336</v>
      </c>
      <c r="S89" s="32" t="s">
        <v>336</v>
      </c>
      <c r="T89" s="32"/>
      <c r="U89" s="32"/>
      <c r="V89" s="33"/>
      <c r="W89" s="38" t="b">
        <f t="shared" si="33"/>
        <v>1</v>
      </c>
      <c r="X89" s="35" t="str">
        <f t="shared" si="26"/>
        <v>title: "Basilica of Our Lady of Charity of El Cobre"</v>
      </c>
      <c r="Y89" s="35" t="str">
        <f t="shared" si="27"/>
        <v>location: {lat: 20.0507965212156, lng: -75.9489705484828}</v>
      </c>
      <c r="Z89" s="35" t="str">
        <f>IF(LEN(S89)&gt;1,VLOOKUP(S89,Sheet3!$A:$B,2,),"")</f>
        <v/>
      </c>
      <c r="AA89" s="35" t="str">
        <f>IF(LEN(T89)&gt;1,VLOOKUP(T89,Sheet3!$A:$B,2,),"")</f>
        <v/>
      </c>
      <c r="AB89" s="35" t="str">
        <f>IF(LEN(U89)&gt;1,VLOOKUP(U89,Sheet3!$A:$B,2,),"")</f>
        <v/>
      </c>
      <c r="AC89" s="37" t="str">
        <f t="shared" si="34"/>
        <v/>
      </c>
      <c r="AD89" s="37" t="str">
        <f t="shared" si="35"/>
        <v/>
      </c>
      <c r="AE89" s="37" t="str">
        <f t="shared" si="36"/>
        <v/>
      </c>
      <c r="AF89" s="37" t="str">
        <f>"- marian-sites
- churches
- "&amp;VLOOKUP(C89,'(Ref) Countries'!A:C,3,)&amp;IF(LEN(S89)&gt;1,"
- "&amp;S89,"")&amp;IF(LEN(T89)&gt;1,"
- "&amp;T89,"")&amp;IF(LEN(U89)&gt;1,"
- "&amp;U89,"")</f>
        <v>- marian-sites
- churches
- cuba</v>
      </c>
      <c r="AG89" s="37" t="str">
        <f t="shared" si="37"/>
        <v xml:space="preserve">| </v>
      </c>
      <c r="AH89" s="37" t="str">
        <f t="shared" si="38"/>
        <v xml:space="preserve">| [El Cobre](/places/cu-basilica-of-el-cobre) </v>
      </c>
      <c r="AI89" s="37" t="str">
        <f>"| "&amp;IF(W89,GetTagPage(C89,VLOOKUP(C89,'(Ref) Countries'!A:C,3,)),C89)&amp; " "</f>
        <v xml:space="preserve">| [Cuba](/tags/cuba) </v>
      </c>
      <c r="AJ89" s="37" t="str">
        <f t="shared" si="39"/>
        <v xml:space="preserve">| 1612 </v>
      </c>
      <c r="AK89" s="37" t="str">
        <f t="shared" si="40"/>
        <v xml:space="preserve">| [Link](/places/cu-basilica-of-el-cobre) </v>
      </c>
      <c r="AL89" s="35" t="str">
        <f t="shared" si="28"/>
        <v xml:space="preserve">| </v>
      </c>
      <c r="AM89" s="37" t="str">
        <f t="shared" si="29"/>
        <v xml:space="preserve">| [Link](http://www.therealpresence.org/eucharst/misc/BVM/102_CUBA_96x96.pdf) </v>
      </c>
      <c r="AN89" s="37" t="str">
        <f t="shared" si="30"/>
        <v xml:space="preserve">| </v>
      </c>
      <c r="AO89" s="37" t="str">
        <f t="shared" si="31"/>
        <v xml:space="preserve">| </v>
      </c>
      <c r="AP89" s="37" t="str">
        <f t="shared" si="42"/>
        <v xml:space="preserve">
| | [Link](http://www.therealpresence.org/eucharst/misc/BVM/102_CUBA_96x96.pdf) | | |</v>
      </c>
      <c r="AQ89" s="48" t="str">
        <f>VLOOKUP(C89,'(Ref) Countries'!A:B,2,)&amp;"-"&amp;LOWER(SUBSTITUTE(H89," ","-"))&amp;".md"</f>
        <v>cu-basilica-of-el-cobre.md</v>
      </c>
      <c r="AR89" s="35" t="str">
        <f t="shared" si="41"/>
        <v xml:space="preserve">
| [El Cobre](/places/cu-basilica-of-el-cobre) | [Cuba](/tags/cuba) | 1612 | [Link](/places/cu-basilica-of-el-cobre) | | [Link](http://www.therealpresence.org/eucharst/misc/BVM/102_CUBA_96x96.pdf) | | | |</v>
      </c>
      <c r="AS89" s="48" t="str">
        <f t="shared" si="32"/>
        <v xml:space="preserve">---
title: "Basilica of Our Lady of Charity of El Cobre"
location: {lat: 20.0507965212156, lng: -75.9489705484828}
tags:
- marian-sites
- churches
- cuba
---
_Research in progress_
#### Source Material
| Official Site | The Real Presence | Miracle Hunter | MaryPages |
| --- | --- | --- | --- |
| | [Link](http://www.therealpresence.org/eucharst/misc/BVM/102_CUBA_96x96.pdf) | | |
</v>
      </c>
      <c r="AT89" s="15" t="s">
        <v>336</v>
      </c>
    </row>
    <row r="90" spans="1:46" x14ac:dyDescent="0.25">
      <c r="A90" s="27"/>
      <c r="B90" s="31" t="s">
        <v>1267</v>
      </c>
      <c r="C90" s="32" t="s">
        <v>11</v>
      </c>
      <c r="D90" s="61">
        <v>1616</v>
      </c>
      <c r="E90" s="32"/>
      <c r="F90" s="32"/>
      <c r="G90" s="33"/>
      <c r="H90" s="33"/>
      <c r="I90" s="33" t="s">
        <v>1758</v>
      </c>
      <c r="J90" s="33"/>
      <c r="K90" s="32" t="s">
        <v>336</v>
      </c>
      <c r="L90" s="32" t="s">
        <v>336</v>
      </c>
      <c r="M90" s="32" t="s">
        <v>264</v>
      </c>
      <c r="N90" s="32" t="s">
        <v>336</v>
      </c>
      <c r="O90" s="32" t="s">
        <v>336</v>
      </c>
      <c r="P90" s="32" t="s">
        <v>336</v>
      </c>
      <c r="Q90" s="32" t="s">
        <v>336</v>
      </c>
      <c r="R90" s="32" t="s">
        <v>336</v>
      </c>
      <c r="S90" s="32" t="s">
        <v>336</v>
      </c>
      <c r="T90" s="32"/>
      <c r="U90" s="32"/>
      <c r="V90" s="33"/>
      <c r="W90" s="38" t="b">
        <f t="shared" si="33"/>
        <v>0</v>
      </c>
      <c r="X90" s="35" t="str">
        <f t="shared" si="26"/>
        <v>title: ""</v>
      </c>
      <c r="Y90" s="35" t="str">
        <f t="shared" si="27"/>
        <v>location: {lat: , lng: }</v>
      </c>
      <c r="Z90" s="35" t="str">
        <f>IF(LEN(S90)&gt;1,VLOOKUP(S90,Sheet3!$A:$B,2,),"")</f>
        <v/>
      </c>
      <c r="AA90" s="35" t="str">
        <f>IF(LEN(T90)&gt;1,VLOOKUP(T90,Sheet3!$A:$B,2,),"")</f>
        <v/>
      </c>
      <c r="AB90" s="35" t="str">
        <f>IF(LEN(U90)&gt;1,VLOOKUP(U90,Sheet3!$A:$B,2,),"")</f>
        <v/>
      </c>
      <c r="AC90" s="37" t="str">
        <f t="shared" si="34"/>
        <v/>
      </c>
      <c r="AD90" s="37" t="str">
        <f t="shared" si="35"/>
        <v/>
      </c>
      <c r="AE90" s="37" t="str">
        <f t="shared" si="36"/>
        <v/>
      </c>
      <c r="AF90" s="37" t="str">
        <f>"- marian-sites
- churches
- "&amp;VLOOKUP(C90,'(Ref) Countries'!A:C,3,)&amp;IF(LEN(S90)&gt;1,"
- "&amp;S90,"")&amp;IF(LEN(T90)&gt;1,"
- "&amp;T90,"")&amp;IF(LEN(U90)&gt;1,"
- "&amp;U90,"")</f>
        <v>- marian-sites
- churches
- italy</v>
      </c>
      <c r="AG90" s="37" t="str">
        <f t="shared" si="37"/>
        <v xml:space="preserve">| </v>
      </c>
      <c r="AH90" s="37" t="str">
        <f t="shared" si="38"/>
        <v xml:space="preserve">| San Salvatore Monferrato </v>
      </c>
      <c r="AI90" s="37" t="str">
        <f>"| "&amp;IF(W90,GetTagPage(C90,VLOOKUP(C90,'(Ref) Countries'!A:C,3,)),C90)&amp; " "</f>
        <v xml:space="preserve">| Italy </v>
      </c>
      <c r="AJ90" s="37" t="str">
        <f t="shared" si="39"/>
        <v xml:space="preserve">| 1616 </v>
      </c>
      <c r="AK90" s="37" t="str">
        <f t="shared" si="40"/>
        <v xml:space="preserve">| </v>
      </c>
      <c r="AL90" s="35" t="str">
        <f t="shared" si="28"/>
        <v xml:space="preserve">| </v>
      </c>
      <c r="AM90" s="37" t="str">
        <f t="shared" si="29"/>
        <v xml:space="preserve">| [Link](http://www.therealpresence.org/eucharst/misc/BVM/22_MONFERRATO_60x96.pdf) </v>
      </c>
      <c r="AN90" s="37" t="str">
        <f t="shared" si="30"/>
        <v xml:space="preserve">| </v>
      </c>
      <c r="AO90" s="37" t="str">
        <f t="shared" si="31"/>
        <v xml:space="preserve">| </v>
      </c>
      <c r="AP90" s="37" t="str">
        <f t="shared" si="42"/>
        <v xml:space="preserve">
| | [Link](http://www.therealpresence.org/eucharst/misc/BVM/22_MONFERRATO_60x96.pdf) | | |</v>
      </c>
      <c r="AQ90" s="48" t="str">
        <f>VLOOKUP(C90,'(Ref) Countries'!A:B,2,)&amp;"-"&amp;LOWER(SUBSTITUTE(H90," ","-"))&amp;".md"</f>
        <v>it-.md</v>
      </c>
      <c r="AR90" s="35" t="str">
        <f t="shared" si="41"/>
        <v xml:space="preserve">
| San Salvatore Monferrato | Italy | 1616 | | | [Link](http://www.therealpresence.org/eucharst/misc/BVM/22_MONFERRATO_60x96.pdf) | | | |</v>
      </c>
      <c r="AS90" s="48" t="str">
        <f t="shared" si="32"/>
        <v/>
      </c>
      <c r="AT90" s="15" t="s">
        <v>336</v>
      </c>
    </row>
    <row r="91" spans="1:46" x14ac:dyDescent="0.25">
      <c r="A91" s="27"/>
      <c r="B91" s="31" t="s">
        <v>1268</v>
      </c>
      <c r="C91" s="32" t="s">
        <v>503</v>
      </c>
      <c r="D91" s="61">
        <v>1633</v>
      </c>
      <c r="E91" s="32"/>
      <c r="F91" s="32"/>
      <c r="G91" s="33"/>
      <c r="H91" s="33"/>
      <c r="I91" s="33" t="s">
        <v>1758</v>
      </c>
      <c r="J91" s="33"/>
      <c r="K91" s="32" t="s">
        <v>336</v>
      </c>
      <c r="L91" s="32" t="s">
        <v>336</v>
      </c>
      <c r="M91" s="32" t="s">
        <v>265</v>
      </c>
      <c r="N91" s="32" t="s">
        <v>336</v>
      </c>
      <c r="O91" s="32" t="s">
        <v>336</v>
      </c>
      <c r="P91" s="32" t="s">
        <v>336</v>
      </c>
      <c r="Q91" s="32" t="s">
        <v>336</v>
      </c>
      <c r="R91" s="32" t="s">
        <v>336</v>
      </c>
      <c r="S91" s="32" t="s">
        <v>336</v>
      </c>
      <c r="T91" s="32"/>
      <c r="U91" s="32"/>
      <c r="V91" s="33"/>
      <c r="W91" s="38" t="b">
        <f t="shared" si="33"/>
        <v>0</v>
      </c>
      <c r="X91" s="35" t="str">
        <f t="shared" si="26"/>
        <v>title: ""</v>
      </c>
      <c r="Y91" s="35" t="str">
        <f t="shared" si="27"/>
        <v>location: {lat: , lng: }</v>
      </c>
      <c r="Z91" s="35" t="str">
        <f>IF(LEN(S91)&gt;1,VLOOKUP(S91,Sheet3!$A:$B,2,),"")</f>
        <v/>
      </c>
      <c r="AA91" s="35" t="str">
        <f>IF(LEN(T91)&gt;1,VLOOKUP(T91,Sheet3!$A:$B,2,),"")</f>
        <v/>
      </c>
      <c r="AB91" s="35" t="str">
        <f>IF(LEN(U91)&gt;1,VLOOKUP(U91,Sheet3!$A:$B,2,),"")</f>
        <v/>
      </c>
      <c r="AC91" s="37" t="str">
        <f t="shared" si="34"/>
        <v/>
      </c>
      <c r="AD91" s="37" t="str">
        <f t="shared" si="35"/>
        <v/>
      </c>
      <c r="AE91" s="37" t="str">
        <f t="shared" si="36"/>
        <v/>
      </c>
      <c r="AF91" s="37" t="str">
        <f>"- marian-sites
- churches
- "&amp;VLOOKUP(C91,'(Ref) Countries'!A:C,3,)&amp;IF(LEN(S91)&gt;1,"
- "&amp;S91,"")&amp;IF(LEN(T91)&gt;1,"
- "&amp;T91,"")&amp;IF(LEN(U91)&gt;1,"
- "&amp;U91,"")</f>
        <v>- marian-sites
- churches
- austria</v>
      </c>
      <c r="AG91" s="37" t="str">
        <f t="shared" si="37"/>
        <v xml:space="preserve">| </v>
      </c>
      <c r="AH91" s="37" t="str">
        <f t="shared" si="38"/>
        <v xml:space="preserve">| Marbach </v>
      </c>
      <c r="AI91" s="37" t="str">
        <f>"| "&amp;IF(W91,GetTagPage(C91,VLOOKUP(C91,'(Ref) Countries'!A:C,3,)),C91)&amp; " "</f>
        <v xml:space="preserve">| Austria </v>
      </c>
      <c r="AJ91" s="37" t="str">
        <f t="shared" si="39"/>
        <v xml:space="preserve">| 1633 </v>
      </c>
      <c r="AK91" s="37" t="str">
        <f t="shared" si="40"/>
        <v xml:space="preserve">| </v>
      </c>
      <c r="AL91" s="35" t="str">
        <f t="shared" si="28"/>
        <v xml:space="preserve">| </v>
      </c>
      <c r="AM91" s="37" t="str">
        <f t="shared" si="29"/>
        <v xml:space="preserve">| [Link](http://www.therealpresence.org/eucharst/misc/BVM/118_MARBACH_60x96.pdf) </v>
      </c>
      <c r="AN91" s="37" t="str">
        <f t="shared" si="30"/>
        <v xml:space="preserve">| </v>
      </c>
      <c r="AO91" s="37" t="str">
        <f t="shared" si="31"/>
        <v xml:space="preserve">| </v>
      </c>
      <c r="AP91" s="37" t="str">
        <f t="shared" si="42"/>
        <v xml:space="preserve">
| | [Link](http://www.therealpresence.org/eucharst/misc/BVM/118_MARBACH_60x96.pdf) | | |</v>
      </c>
      <c r="AQ91" s="48" t="str">
        <f>VLOOKUP(C91,'(Ref) Countries'!A:B,2,)&amp;"-"&amp;LOWER(SUBSTITUTE(H91," ","-"))&amp;".md"</f>
        <v>at-.md</v>
      </c>
      <c r="AR91" s="35" t="str">
        <f t="shared" si="41"/>
        <v xml:space="preserve">
| Marbach | Austria | 1633 | | | [Link](http://www.therealpresence.org/eucharst/misc/BVM/118_MARBACH_60x96.pdf) | | | |</v>
      </c>
      <c r="AS91" s="48" t="str">
        <f t="shared" si="32"/>
        <v/>
      </c>
      <c r="AT91" s="15" t="s">
        <v>336</v>
      </c>
    </row>
    <row r="92" spans="1:46" x14ac:dyDescent="0.25">
      <c r="A92" s="27"/>
      <c r="B92" s="31" t="s">
        <v>1269</v>
      </c>
      <c r="C92" s="32" t="s">
        <v>536</v>
      </c>
      <c r="D92" s="61">
        <v>1635</v>
      </c>
      <c r="E92" s="32"/>
      <c r="F92" s="32"/>
      <c r="G92" s="33"/>
      <c r="H92" s="33"/>
      <c r="I92" s="33" t="s">
        <v>1758</v>
      </c>
      <c r="J92" s="33"/>
      <c r="K92" s="32" t="s">
        <v>336</v>
      </c>
      <c r="L92" s="32" t="s">
        <v>336</v>
      </c>
      <c r="M92" s="32" t="s">
        <v>266</v>
      </c>
      <c r="N92" s="32" t="s">
        <v>336</v>
      </c>
      <c r="O92" s="32" t="s">
        <v>336</v>
      </c>
      <c r="P92" s="32" t="s">
        <v>336</v>
      </c>
      <c r="Q92" s="32" t="s">
        <v>336</v>
      </c>
      <c r="R92" s="32" t="s">
        <v>336</v>
      </c>
      <c r="S92" s="32" t="s">
        <v>336</v>
      </c>
      <c r="T92" s="32"/>
      <c r="U92" s="32"/>
      <c r="V92" s="33"/>
      <c r="W92" s="38" t="b">
        <f t="shared" si="33"/>
        <v>0</v>
      </c>
      <c r="X92" s="35" t="str">
        <f t="shared" si="26"/>
        <v>title: ""</v>
      </c>
      <c r="Y92" s="35" t="str">
        <f t="shared" si="27"/>
        <v>location: {lat: , lng: }</v>
      </c>
      <c r="Z92" s="35" t="str">
        <f>IF(LEN(S92)&gt;1,VLOOKUP(S92,Sheet3!$A:$B,2,),"")</f>
        <v/>
      </c>
      <c r="AA92" s="35" t="str">
        <f>IF(LEN(T92)&gt;1,VLOOKUP(T92,Sheet3!$A:$B,2,),"")</f>
        <v/>
      </c>
      <c r="AB92" s="35" t="str">
        <f>IF(LEN(U92)&gt;1,VLOOKUP(U92,Sheet3!$A:$B,2,),"")</f>
        <v/>
      </c>
      <c r="AC92" s="37" t="str">
        <f t="shared" si="34"/>
        <v/>
      </c>
      <c r="AD92" s="37" t="str">
        <f t="shared" si="35"/>
        <v/>
      </c>
      <c r="AE92" s="37" t="str">
        <f t="shared" si="36"/>
        <v/>
      </c>
      <c r="AF92" s="37" t="str">
        <f>"- marian-sites
- churches
- "&amp;VLOOKUP(C92,'(Ref) Countries'!A:C,3,)&amp;IF(LEN(S92)&gt;1,"
- "&amp;S92,"")&amp;IF(LEN(T92)&gt;1,"
- "&amp;T92,"")&amp;IF(LEN(U92)&gt;1,"
- "&amp;U92,"")</f>
        <v>- marian-sites
- churches
- costa-rica</v>
      </c>
      <c r="AG92" s="37" t="str">
        <f t="shared" si="37"/>
        <v xml:space="preserve">| </v>
      </c>
      <c r="AH92" s="37" t="str">
        <f t="shared" si="38"/>
        <v xml:space="preserve">| Cartago </v>
      </c>
      <c r="AI92" s="37" t="str">
        <f>"| "&amp;IF(W92,GetTagPage(C92,VLOOKUP(C92,'(Ref) Countries'!A:C,3,)),C92)&amp; " "</f>
        <v xml:space="preserve">| Costa Rica </v>
      </c>
      <c r="AJ92" s="37" t="str">
        <f t="shared" si="39"/>
        <v xml:space="preserve">| 1635 </v>
      </c>
      <c r="AK92" s="37" t="str">
        <f t="shared" si="40"/>
        <v xml:space="preserve">| </v>
      </c>
      <c r="AL92" s="35" t="str">
        <f t="shared" si="28"/>
        <v xml:space="preserve">| </v>
      </c>
      <c r="AM92" s="37" t="str">
        <f t="shared" si="29"/>
        <v xml:space="preserve">| [Link](http://www.therealpresence.org/eucharst/misc/BVM/101_CARTAGO_60x96.pdf) </v>
      </c>
      <c r="AN92" s="37" t="str">
        <f t="shared" si="30"/>
        <v xml:space="preserve">| </v>
      </c>
      <c r="AO92" s="37" t="str">
        <f t="shared" si="31"/>
        <v xml:space="preserve">| </v>
      </c>
      <c r="AP92" s="37" t="str">
        <f t="shared" si="42"/>
        <v xml:space="preserve">
| | [Link](http://www.therealpresence.org/eucharst/misc/BVM/101_CARTAGO_60x96.pdf) | | |</v>
      </c>
      <c r="AQ92" s="48" t="str">
        <f>VLOOKUP(C92,'(Ref) Countries'!A:B,2,)&amp;"-"&amp;LOWER(SUBSTITUTE(H92," ","-"))&amp;".md"</f>
        <v>cr-.md</v>
      </c>
      <c r="AR92" s="35" t="str">
        <f t="shared" si="41"/>
        <v xml:space="preserve">
| Cartago | Costa Rica | 1635 | | | [Link](http://www.therealpresence.org/eucharst/misc/BVM/101_CARTAGO_60x96.pdf) | | | |</v>
      </c>
      <c r="AS92" s="48" t="str">
        <f t="shared" si="32"/>
        <v/>
      </c>
      <c r="AT92" s="15" t="s">
        <v>336</v>
      </c>
    </row>
    <row r="93" spans="1:46" x14ac:dyDescent="0.25">
      <c r="A93" s="27"/>
      <c r="B93" s="31" t="s">
        <v>1270</v>
      </c>
      <c r="C93" s="32" t="s">
        <v>543</v>
      </c>
      <c r="D93" s="61">
        <v>1641</v>
      </c>
      <c r="E93" s="32"/>
      <c r="F93" s="32"/>
      <c r="G93" s="33"/>
      <c r="H93" s="33"/>
      <c r="I93" s="33" t="s">
        <v>1758</v>
      </c>
      <c r="J93" s="33"/>
      <c r="K93" s="32" t="s">
        <v>336</v>
      </c>
      <c r="L93" s="32" t="s">
        <v>336</v>
      </c>
      <c r="M93" s="32" t="s">
        <v>267</v>
      </c>
      <c r="N93" s="32" t="s">
        <v>336</v>
      </c>
      <c r="O93" s="32" t="s">
        <v>336</v>
      </c>
      <c r="P93" s="32" t="s">
        <v>336</v>
      </c>
      <c r="Q93" s="32" t="s">
        <v>336</v>
      </c>
      <c r="R93" s="32" t="s">
        <v>336</v>
      </c>
      <c r="S93" s="32" t="s">
        <v>336</v>
      </c>
      <c r="T93" s="32"/>
      <c r="U93" s="32"/>
      <c r="V93" s="33"/>
      <c r="W93" s="38" t="b">
        <f t="shared" si="33"/>
        <v>0</v>
      </c>
      <c r="X93" s="35" t="str">
        <f t="shared" si="26"/>
        <v>title: ""</v>
      </c>
      <c r="Y93" s="35" t="str">
        <f t="shared" si="27"/>
        <v>location: {lat: , lng: }</v>
      </c>
      <c r="Z93" s="35" t="str">
        <f>IF(LEN(S93)&gt;1,VLOOKUP(S93,Sheet3!$A:$B,2,),"")</f>
        <v/>
      </c>
      <c r="AA93" s="35" t="str">
        <f>IF(LEN(T93)&gt;1,VLOOKUP(T93,Sheet3!$A:$B,2,),"")</f>
        <v/>
      </c>
      <c r="AB93" s="35" t="str">
        <f>IF(LEN(U93)&gt;1,VLOOKUP(U93,Sheet3!$A:$B,2,),"")</f>
        <v/>
      </c>
      <c r="AC93" s="37" t="str">
        <f t="shared" si="34"/>
        <v/>
      </c>
      <c r="AD93" s="37" t="str">
        <f t="shared" si="35"/>
        <v/>
      </c>
      <c r="AE93" s="37" t="str">
        <f t="shared" si="36"/>
        <v/>
      </c>
      <c r="AF93" s="37" t="str">
        <f>"- marian-sites
- churches
- "&amp;VLOOKUP(C93,'(Ref) Countries'!A:C,3,)&amp;IF(LEN(S93)&gt;1,"
- "&amp;S93,"")&amp;IF(LEN(T93)&gt;1,"
- "&amp;T93,"")&amp;IF(LEN(U93)&gt;1,"
- "&amp;U93,"")</f>
        <v>- marian-sites
- churches
- germany</v>
      </c>
      <c r="AG93" s="37" t="str">
        <f t="shared" si="37"/>
        <v xml:space="preserve">| </v>
      </c>
      <c r="AH93" s="37" t="str">
        <f t="shared" si="38"/>
        <v xml:space="preserve">| Kevelaer </v>
      </c>
      <c r="AI93" s="37" t="str">
        <f>"| "&amp;IF(W93,GetTagPage(C93,VLOOKUP(C93,'(Ref) Countries'!A:C,3,)),C93)&amp; " "</f>
        <v xml:space="preserve">| Germany </v>
      </c>
      <c r="AJ93" s="37" t="str">
        <f t="shared" si="39"/>
        <v xml:space="preserve">| 1641 </v>
      </c>
      <c r="AK93" s="37" t="str">
        <f t="shared" si="40"/>
        <v xml:space="preserve">| </v>
      </c>
      <c r="AL93" s="35" t="str">
        <f t="shared" si="28"/>
        <v xml:space="preserve">| </v>
      </c>
      <c r="AM93" s="37" t="str">
        <f t="shared" si="29"/>
        <v xml:space="preserve">| [Link](http://www.therealpresence.org/eucharst/misc/BVM/107_KEVELAER_96x96.pdf) </v>
      </c>
      <c r="AN93" s="37" t="str">
        <f t="shared" si="30"/>
        <v xml:space="preserve">| </v>
      </c>
      <c r="AO93" s="37" t="str">
        <f t="shared" si="31"/>
        <v xml:space="preserve">| </v>
      </c>
      <c r="AP93" s="37" t="str">
        <f t="shared" si="42"/>
        <v xml:space="preserve">
| | [Link](http://www.therealpresence.org/eucharst/misc/BVM/107_KEVELAER_96x96.pdf) | | |</v>
      </c>
      <c r="AQ93" s="48" t="str">
        <f>VLOOKUP(C93,'(Ref) Countries'!A:B,2,)&amp;"-"&amp;LOWER(SUBSTITUTE(H93," ","-"))&amp;".md"</f>
        <v>de-.md</v>
      </c>
      <c r="AR93" s="35" t="str">
        <f t="shared" si="41"/>
        <v xml:space="preserve">
| Kevelaer | Germany | 1641 | | | [Link](http://www.therealpresence.org/eucharst/misc/BVM/107_KEVELAER_96x96.pdf) | | | |</v>
      </c>
      <c r="AS93" s="48" t="str">
        <f t="shared" si="32"/>
        <v/>
      </c>
      <c r="AT93" s="15" t="s">
        <v>336</v>
      </c>
    </row>
    <row r="94" spans="1:46" x14ac:dyDescent="0.25">
      <c r="A94" s="27"/>
      <c r="B94" s="31" t="s">
        <v>1271</v>
      </c>
      <c r="C94" s="32" t="s">
        <v>558</v>
      </c>
      <c r="D94" s="61">
        <v>1649</v>
      </c>
      <c r="E94" s="32"/>
      <c r="F94" s="32"/>
      <c r="G94" s="33"/>
      <c r="H94" s="33"/>
      <c r="I94" s="33" t="s">
        <v>1758</v>
      </c>
      <c r="J94" s="33"/>
      <c r="K94" s="32" t="s">
        <v>336</v>
      </c>
      <c r="L94" s="32" t="s">
        <v>336</v>
      </c>
      <c r="M94" s="32" t="s">
        <v>268</v>
      </c>
      <c r="N94" s="32" t="s">
        <v>336</v>
      </c>
      <c r="O94" s="32" t="s">
        <v>336</v>
      </c>
      <c r="P94" s="32" t="s">
        <v>336</v>
      </c>
      <c r="Q94" s="32" t="s">
        <v>336</v>
      </c>
      <c r="R94" s="32" t="s">
        <v>336</v>
      </c>
      <c r="S94" s="32" t="s">
        <v>336</v>
      </c>
      <c r="T94" s="32"/>
      <c r="U94" s="32"/>
      <c r="V94" s="33"/>
      <c r="W94" s="38" t="b">
        <f t="shared" si="33"/>
        <v>0</v>
      </c>
      <c r="X94" s="35" t="str">
        <f t="shared" si="26"/>
        <v>title: ""</v>
      </c>
      <c r="Y94" s="35" t="str">
        <f t="shared" si="27"/>
        <v>location: {lat: , lng: }</v>
      </c>
      <c r="Z94" s="35" t="str">
        <f>IF(LEN(S94)&gt;1,VLOOKUP(S94,Sheet3!$A:$B,2,),"")</f>
        <v/>
      </c>
      <c r="AA94" s="35" t="str">
        <f>IF(LEN(T94)&gt;1,VLOOKUP(T94,Sheet3!$A:$B,2,),"")</f>
        <v/>
      </c>
      <c r="AB94" s="35" t="str">
        <f>IF(LEN(U94)&gt;1,VLOOKUP(U94,Sheet3!$A:$B,2,),"")</f>
        <v/>
      </c>
      <c r="AC94" s="37" t="str">
        <f t="shared" si="34"/>
        <v/>
      </c>
      <c r="AD94" s="37" t="str">
        <f t="shared" si="35"/>
        <v/>
      </c>
      <c r="AE94" s="37" t="str">
        <f t="shared" si="36"/>
        <v/>
      </c>
      <c r="AF94" s="37" t="str">
        <f>"- marian-sites
- churches
- "&amp;VLOOKUP(C94,'(Ref) Countries'!A:C,3,)&amp;IF(LEN(S94)&gt;1,"
- "&amp;S94,"")&amp;IF(LEN(T94)&gt;1,"
- "&amp;T94,"")&amp;IF(LEN(U94)&gt;1,"
- "&amp;U94,"")</f>
        <v>- marian-sites
- churches
- france</v>
      </c>
      <c r="AG94" s="37" t="str">
        <f t="shared" si="37"/>
        <v xml:space="preserve">| </v>
      </c>
      <c r="AH94" s="37" t="str">
        <f t="shared" si="38"/>
        <v xml:space="preserve">| Plantées </v>
      </c>
      <c r="AI94" s="37" t="str">
        <f>"| "&amp;IF(W94,GetTagPage(C94,VLOOKUP(C94,'(Ref) Countries'!A:C,3,)),C94)&amp; " "</f>
        <v xml:space="preserve">| France </v>
      </c>
      <c r="AJ94" s="37" t="str">
        <f t="shared" si="39"/>
        <v xml:space="preserve">| 1649 </v>
      </c>
      <c r="AK94" s="37" t="str">
        <f t="shared" si="40"/>
        <v xml:space="preserve">| </v>
      </c>
      <c r="AL94" s="35" t="str">
        <f t="shared" si="28"/>
        <v xml:space="preserve">| </v>
      </c>
      <c r="AM94" s="37" t="str">
        <f t="shared" si="29"/>
        <v xml:space="preserve">| [Link](http://www.therealpresence.org/eucharst/misc/BVM/125_PLANTEES_60x96.pdf) </v>
      </c>
      <c r="AN94" s="37" t="str">
        <f t="shared" si="30"/>
        <v xml:space="preserve">| </v>
      </c>
      <c r="AO94" s="37" t="str">
        <f t="shared" si="31"/>
        <v xml:space="preserve">| </v>
      </c>
      <c r="AP94" s="37" t="str">
        <f t="shared" si="42"/>
        <v xml:space="preserve">
| | [Link](http://www.therealpresence.org/eucharst/misc/BVM/125_PLANTEES_60x96.pdf) | | |</v>
      </c>
      <c r="AQ94" s="48" t="str">
        <f>VLOOKUP(C94,'(Ref) Countries'!A:B,2,)&amp;"-"&amp;LOWER(SUBSTITUTE(H94," ","-"))&amp;".md"</f>
        <v>fr-.md</v>
      </c>
      <c r="AR94" s="35" t="str">
        <f t="shared" si="41"/>
        <v xml:space="preserve">
| Plantées | France | 1649 | | | [Link](http://www.therealpresence.org/eucharst/misc/BVM/125_PLANTEES_60x96.pdf) | | | |</v>
      </c>
      <c r="AS94" s="48" t="str">
        <f t="shared" si="32"/>
        <v/>
      </c>
      <c r="AT94" s="15" t="s">
        <v>336</v>
      </c>
    </row>
    <row r="95" spans="1:46" x14ac:dyDescent="0.25">
      <c r="A95" s="27"/>
      <c r="B95" s="31" t="s">
        <v>1272</v>
      </c>
      <c r="C95" s="32" t="s">
        <v>719</v>
      </c>
      <c r="D95" s="61">
        <v>1651</v>
      </c>
      <c r="E95" s="32"/>
      <c r="F95" s="32"/>
      <c r="G95" s="33"/>
      <c r="H95" s="33"/>
      <c r="I95" s="33" t="s">
        <v>1758</v>
      </c>
      <c r="J95" s="33"/>
      <c r="K95" s="32" t="s">
        <v>336</v>
      </c>
      <c r="L95" s="32" t="s">
        <v>336</v>
      </c>
      <c r="M95" s="32" t="s">
        <v>269</v>
      </c>
      <c r="N95" s="32" t="s">
        <v>336</v>
      </c>
      <c r="O95" s="32" t="s">
        <v>336</v>
      </c>
      <c r="P95" s="32" t="s">
        <v>336</v>
      </c>
      <c r="Q95" s="32" t="s">
        <v>336</v>
      </c>
      <c r="R95" s="32" t="s">
        <v>336</v>
      </c>
      <c r="S95" s="32" t="s">
        <v>336</v>
      </c>
      <c r="T95" s="32"/>
      <c r="U95" s="32"/>
      <c r="V95" s="33"/>
      <c r="W95" s="38" t="b">
        <f t="shared" si="33"/>
        <v>0</v>
      </c>
      <c r="X95" s="35" t="str">
        <f t="shared" si="26"/>
        <v>title: ""</v>
      </c>
      <c r="Y95" s="35" t="str">
        <f t="shared" si="27"/>
        <v>location: {lat: , lng: }</v>
      </c>
      <c r="Z95" s="35" t="str">
        <f>IF(LEN(S95)&gt;1,VLOOKUP(S95,Sheet3!$A:$B,2,),"")</f>
        <v/>
      </c>
      <c r="AA95" s="35" t="str">
        <f>IF(LEN(T95)&gt;1,VLOOKUP(T95,Sheet3!$A:$B,2,),"")</f>
        <v/>
      </c>
      <c r="AB95" s="35" t="str">
        <f>IF(LEN(U95)&gt;1,VLOOKUP(U95,Sheet3!$A:$B,2,),"")</f>
        <v/>
      </c>
      <c r="AC95" s="37" t="str">
        <f t="shared" si="34"/>
        <v/>
      </c>
      <c r="AD95" s="37" t="str">
        <f t="shared" si="35"/>
        <v/>
      </c>
      <c r="AE95" s="37" t="str">
        <f t="shared" si="36"/>
        <v/>
      </c>
      <c r="AF95" s="37" t="str">
        <f>"- marian-sites
- churches
- "&amp;VLOOKUP(C95,'(Ref) Countries'!A:C,3,)&amp;IF(LEN(S95)&gt;1,"
- "&amp;S95,"")&amp;IF(LEN(T95)&gt;1,"
- "&amp;T95,"")&amp;IF(LEN(U95)&gt;1,"
- "&amp;U95,"")</f>
        <v>- marian-sites
- churches
- venezuela</v>
      </c>
      <c r="AG95" s="37" t="str">
        <f t="shared" si="37"/>
        <v xml:space="preserve">| </v>
      </c>
      <c r="AH95" s="37" t="str">
        <f t="shared" si="38"/>
        <v xml:space="preserve">| Guanare </v>
      </c>
      <c r="AI95" s="37" t="str">
        <f>"| "&amp;IF(W95,GetTagPage(C95,VLOOKUP(C95,'(Ref) Countries'!A:C,3,)),C95)&amp; " "</f>
        <v xml:space="preserve">| Venezuela </v>
      </c>
      <c r="AJ95" s="37" t="str">
        <f t="shared" si="39"/>
        <v xml:space="preserve">| 1651 </v>
      </c>
      <c r="AK95" s="37" t="str">
        <f t="shared" si="40"/>
        <v xml:space="preserve">| </v>
      </c>
      <c r="AL95" s="35" t="str">
        <f t="shared" si="28"/>
        <v xml:space="preserve">| </v>
      </c>
      <c r="AM95" s="37" t="str">
        <f t="shared" si="29"/>
        <v xml:space="preserve">| [Link](http://www.therealpresence.org/eucharst/misc/BVM/14_GUANARE_60x96.pdf) </v>
      </c>
      <c r="AN95" s="37" t="str">
        <f t="shared" si="30"/>
        <v xml:space="preserve">| </v>
      </c>
      <c r="AO95" s="37" t="str">
        <f t="shared" si="31"/>
        <v xml:space="preserve">| </v>
      </c>
      <c r="AP95" s="37" t="str">
        <f t="shared" si="42"/>
        <v xml:space="preserve">
| | [Link](http://www.therealpresence.org/eucharst/misc/BVM/14_GUANARE_60x96.pdf) | | |</v>
      </c>
      <c r="AQ95" s="48" t="str">
        <f>VLOOKUP(C95,'(Ref) Countries'!A:B,2,)&amp;"-"&amp;LOWER(SUBSTITUTE(H95," ","-"))&amp;".md"</f>
        <v>ve-.md</v>
      </c>
      <c r="AR95" s="35" t="str">
        <f t="shared" si="41"/>
        <v xml:space="preserve">
| Guanare | Venezuela | 1651 | | | [Link](http://www.therealpresence.org/eucharst/misc/BVM/14_GUANARE_60x96.pdf) | | | |</v>
      </c>
      <c r="AS95" s="48" t="str">
        <f t="shared" si="32"/>
        <v/>
      </c>
      <c r="AT95" s="15" t="s">
        <v>336</v>
      </c>
    </row>
    <row r="96" spans="1:46" x14ac:dyDescent="0.25">
      <c r="A96" s="27"/>
      <c r="B96" s="31" t="s">
        <v>1273</v>
      </c>
      <c r="C96" s="32" t="s">
        <v>558</v>
      </c>
      <c r="D96" s="61">
        <v>1652</v>
      </c>
      <c r="E96" s="32"/>
      <c r="F96" s="32"/>
      <c r="G96" s="33"/>
      <c r="H96" s="33"/>
      <c r="I96" s="33" t="s">
        <v>1758</v>
      </c>
      <c r="J96" s="33"/>
      <c r="K96" s="32" t="s">
        <v>336</v>
      </c>
      <c r="L96" s="32" t="s">
        <v>336</v>
      </c>
      <c r="M96" s="32" t="s">
        <v>270</v>
      </c>
      <c r="N96" s="32" t="s">
        <v>336</v>
      </c>
      <c r="O96" s="32" t="s">
        <v>336</v>
      </c>
      <c r="P96" s="32" t="s">
        <v>336</v>
      </c>
      <c r="Q96" s="32" t="s">
        <v>336</v>
      </c>
      <c r="R96" s="32" t="s">
        <v>336</v>
      </c>
      <c r="S96" s="32" t="s">
        <v>336</v>
      </c>
      <c r="T96" s="32"/>
      <c r="U96" s="32"/>
      <c r="V96" s="33"/>
      <c r="W96" s="38" t="b">
        <f t="shared" si="33"/>
        <v>0</v>
      </c>
      <c r="X96" s="35" t="str">
        <f t="shared" si="26"/>
        <v>title: ""</v>
      </c>
      <c r="Y96" s="35" t="str">
        <f t="shared" si="27"/>
        <v>location: {lat: , lng: }</v>
      </c>
      <c r="Z96" s="35" t="str">
        <f>IF(LEN(S96)&gt;1,VLOOKUP(S96,Sheet3!$A:$B,2,),"")</f>
        <v/>
      </c>
      <c r="AA96" s="35" t="str">
        <f>IF(LEN(T96)&gt;1,VLOOKUP(T96,Sheet3!$A:$B,2,),"")</f>
        <v/>
      </c>
      <c r="AB96" s="35" t="str">
        <f>IF(LEN(U96)&gt;1,VLOOKUP(U96,Sheet3!$A:$B,2,),"")</f>
        <v/>
      </c>
      <c r="AC96" s="37" t="str">
        <f t="shared" si="34"/>
        <v/>
      </c>
      <c r="AD96" s="37" t="str">
        <f t="shared" si="35"/>
        <v/>
      </c>
      <c r="AE96" s="37" t="str">
        <f t="shared" si="36"/>
        <v/>
      </c>
      <c r="AF96" s="37" t="str">
        <f>"- marian-sites
- churches
- "&amp;VLOOKUP(C96,'(Ref) Countries'!A:C,3,)&amp;IF(LEN(S96)&gt;1,"
- "&amp;S96,"")&amp;IF(LEN(T96)&gt;1,"
- "&amp;T96,"")&amp;IF(LEN(U96)&gt;1,"
- "&amp;U96,"")</f>
        <v>- marian-sites
- churches
- france</v>
      </c>
      <c r="AG96" s="37" t="str">
        <f t="shared" si="37"/>
        <v xml:space="preserve">| </v>
      </c>
      <c r="AH96" s="37" t="str">
        <f t="shared" si="38"/>
        <v xml:space="preserve">| La Prenessaye </v>
      </c>
      <c r="AI96" s="37" t="str">
        <f>"| "&amp;IF(W96,GetTagPage(C96,VLOOKUP(C96,'(Ref) Countries'!A:C,3,)),C96)&amp; " "</f>
        <v xml:space="preserve">| France </v>
      </c>
      <c r="AJ96" s="37" t="str">
        <f t="shared" si="39"/>
        <v xml:space="preserve">| 1652 </v>
      </c>
      <c r="AK96" s="37" t="str">
        <f t="shared" si="40"/>
        <v xml:space="preserve">| </v>
      </c>
      <c r="AL96" s="35" t="str">
        <f t="shared" si="28"/>
        <v xml:space="preserve">| </v>
      </c>
      <c r="AM96" s="37" t="str">
        <f t="shared" si="29"/>
        <v xml:space="preserve">| [Link](http://www.therealpresence.org/eucharst/misc/BVM/108_LA_PRENESSAYE_60x96.pdf) </v>
      </c>
      <c r="AN96" s="37" t="str">
        <f t="shared" si="30"/>
        <v xml:space="preserve">| </v>
      </c>
      <c r="AO96" s="37" t="str">
        <f t="shared" si="31"/>
        <v xml:space="preserve">| </v>
      </c>
      <c r="AP96" s="37" t="str">
        <f t="shared" si="42"/>
        <v xml:space="preserve">
| | [Link](http://www.therealpresence.org/eucharst/misc/BVM/108_LA_PRENESSAYE_60x96.pdf) | | |</v>
      </c>
      <c r="AQ96" s="48" t="str">
        <f>VLOOKUP(C96,'(Ref) Countries'!A:B,2,)&amp;"-"&amp;LOWER(SUBSTITUTE(H96," ","-"))&amp;".md"</f>
        <v>fr-.md</v>
      </c>
      <c r="AR96" s="35" t="str">
        <f t="shared" si="41"/>
        <v xml:space="preserve">
| La Prenessaye | France | 1652 | | | [Link](http://www.therealpresence.org/eucharst/misc/BVM/108_LA_PRENESSAYE_60x96.pdf) | | | |</v>
      </c>
      <c r="AS96" s="48" t="str">
        <f t="shared" si="32"/>
        <v/>
      </c>
      <c r="AT96" s="15" t="s">
        <v>336</v>
      </c>
    </row>
    <row r="97" spans="1:46" x14ac:dyDescent="0.25">
      <c r="A97" s="27"/>
      <c r="B97" s="31" t="s">
        <v>1274</v>
      </c>
      <c r="C97" s="32" t="s">
        <v>11</v>
      </c>
      <c r="D97" s="61">
        <v>1655</v>
      </c>
      <c r="E97" s="32"/>
      <c r="F97" s="32"/>
      <c r="G97" s="33"/>
      <c r="H97" s="33"/>
      <c r="I97" s="33" t="s">
        <v>1758</v>
      </c>
      <c r="J97" s="33"/>
      <c r="K97" s="32" t="s">
        <v>336</v>
      </c>
      <c r="L97" s="32" t="s">
        <v>336</v>
      </c>
      <c r="M97" s="32" t="s">
        <v>271</v>
      </c>
      <c r="N97" s="32" t="s">
        <v>336</v>
      </c>
      <c r="O97" s="32" t="s">
        <v>336</v>
      </c>
      <c r="P97" s="32" t="s">
        <v>336</v>
      </c>
      <c r="Q97" s="32" t="s">
        <v>336</v>
      </c>
      <c r="R97" s="32" t="s">
        <v>336</v>
      </c>
      <c r="S97" s="32" t="s">
        <v>336</v>
      </c>
      <c r="T97" s="32"/>
      <c r="U97" s="32"/>
      <c r="V97" s="33"/>
      <c r="W97" s="38" t="b">
        <f t="shared" si="33"/>
        <v>0</v>
      </c>
      <c r="X97" s="35" t="str">
        <f t="shared" si="26"/>
        <v>title: ""</v>
      </c>
      <c r="Y97" s="35" t="str">
        <f t="shared" si="27"/>
        <v>location: {lat: , lng: }</v>
      </c>
      <c r="Z97" s="35" t="str">
        <f>IF(LEN(S97)&gt;1,VLOOKUP(S97,Sheet3!$A:$B,2,),"")</f>
        <v/>
      </c>
      <c r="AA97" s="35" t="str">
        <f>IF(LEN(T97)&gt;1,VLOOKUP(T97,Sheet3!$A:$B,2,),"")</f>
        <v/>
      </c>
      <c r="AB97" s="35" t="str">
        <f>IF(LEN(U97)&gt;1,VLOOKUP(U97,Sheet3!$A:$B,2,),"")</f>
        <v/>
      </c>
      <c r="AC97" s="37" t="str">
        <f t="shared" si="34"/>
        <v/>
      </c>
      <c r="AD97" s="37" t="str">
        <f t="shared" si="35"/>
        <v/>
      </c>
      <c r="AE97" s="37" t="str">
        <f t="shared" si="36"/>
        <v/>
      </c>
      <c r="AF97" s="37" t="str">
        <f>"- marian-sites
- churches
- "&amp;VLOOKUP(C97,'(Ref) Countries'!A:C,3,)&amp;IF(LEN(S97)&gt;1,"
- "&amp;S97,"")&amp;IF(LEN(T97)&gt;1,"
- "&amp;T97,"")&amp;IF(LEN(U97)&gt;1,"
- "&amp;U97,"")</f>
        <v>- marian-sites
- churches
- italy</v>
      </c>
      <c r="AG97" s="37" t="str">
        <f t="shared" si="37"/>
        <v xml:space="preserve">| </v>
      </c>
      <c r="AH97" s="37" t="str">
        <f t="shared" si="38"/>
        <v xml:space="preserve">| Pieve Di Tagliamento </v>
      </c>
      <c r="AI97" s="37" t="str">
        <f>"| "&amp;IF(W97,GetTagPage(C97,VLOOKUP(C97,'(Ref) Countries'!A:C,3,)),C97)&amp; " "</f>
        <v xml:space="preserve">| Italy </v>
      </c>
      <c r="AJ97" s="37" t="str">
        <f t="shared" si="39"/>
        <v xml:space="preserve">| 1655 </v>
      </c>
      <c r="AK97" s="37" t="str">
        <f t="shared" si="40"/>
        <v xml:space="preserve">| </v>
      </c>
      <c r="AL97" s="35" t="str">
        <f t="shared" si="28"/>
        <v xml:space="preserve">| </v>
      </c>
      <c r="AM97" s="37" t="str">
        <f t="shared" si="29"/>
        <v xml:space="preserve">| [Link](http://www.therealpresence.org/eucharst/misc/BVM/08_PIEVE_DI_TAGLIAM_60x96.pdf) </v>
      </c>
      <c r="AN97" s="37" t="str">
        <f t="shared" si="30"/>
        <v xml:space="preserve">| </v>
      </c>
      <c r="AO97" s="37" t="str">
        <f t="shared" si="31"/>
        <v xml:space="preserve">| </v>
      </c>
      <c r="AP97" s="37" t="str">
        <f t="shared" si="42"/>
        <v xml:space="preserve">
| | [Link](http://www.therealpresence.org/eucharst/misc/BVM/08_PIEVE_DI_TAGLIAM_60x96.pdf) | | |</v>
      </c>
      <c r="AQ97" s="48" t="str">
        <f>VLOOKUP(C97,'(Ref) Countries'!A:B,2,)&amp;"-"&amp;LOWER(SUBSTITUTE(H97," ","-"))&amp;".md"</f>
        <v>it-.md</v>
      </c>
      <c r="AR97" s="35" t="str">
        <f t="shared" si="41"/>
        <v xml:space="preserve">
| Pieve Di Tagliamento | Italy | 1655 | | | [Link](http://www.therealpresence.org/eucharst/misc/BVM/08_PIEVE_DI_TAGLIAM_60x96.pdf) | | | |</v>
      </c>
      <c r="AS97" s="48" t="str">
        <f t="shared" si="32"/>
        <v/>
      </c>
      <c r="AT97" s="15" t="s">
        <v>336</v>
      </c>
    </row>
    <row r="98" spans="1:46" ht="76.5" x14ac:dyDescent="0.25">
      <c r="A98" s="27" t="s">
        <v>1330</v>
      </c>
      <c r="B98" s="31" t="s">
        <v>1014</v>
      </c>
      <c r="C98" s="32" t="s">
        <v>558</v>
      </c>
      <c r="D98" s="61" t="s">
        <v>1017</v>
      </c>
      <c r="E98" s="32">
        <v>44.521201599999998</v>
      </c>
      <c r="F98" s="32">
        <v>6.1521160000000004</v>
      </c>
      <c r="G98" s="33" t="s">
        <v>1015</v>
      </c>
      <c r="H98" s="33" t="s">
        <v>1015</v>
      </c>
      <c r="I98" s="33" t="s">
        <v>1758</v>
      </c>
      <c r="J98" s="33" t="s">
        <v>469</v>
      </c>
      <c r="K98" s="32" t="s">
        <v>420</v>
      </c>
      <c r="L98" s="32" t="s">
        <v>336</v>
      </c>
      <c r="M98" s="32" t="s">
        <v>272</v>
      </c>
      <c r="N98" s="32" t="s">
        <v>336</v>
      </c>
      <c r="O98" s="32" t="s">
        <v>470</v>
      </c>
      <c r="P98" s="32" t="s">
        <v>336</v>
      </c>
      <c r="Q98" s="32" t="s">
        <v>471</v>
      </c>
      <c r="R98" s="32" t="s">
        <v>336</v>
      </c>
      <c r="S98" s="40" t="s">
        <v>488</v>
      </c>
      <c r="T98" s="40"/>
      <c r="U98" s="40"/>
      <c r="V98" s="66" t="s">
        <v>1727</v>
      </c>
      <c r="W98" s="38" t="b">
        <f t="shared" si="33"/>
        <v>1</v>
      </c>
      <c r="X98" s="35" t="str">
        <f t="shared" ref="X98:X129" si="43">"title: """&amp;G98&amp;""""</f>
        <v>title: "Sanctuary of Our Lady of Laus"</v>
      </c>
      <c r="Y98" s="35" t="str">
        <f t="shared" ref="Y98:Y129" si="44">"location: {lat: "&amp;E98&amp;", lng: "&amp;F98&amp;"}"</f>
        <v>location: {lat: 44.5212016, lng: 6.152116}</v>
      </c>
      <c r="Z98" s="36" t="str">
        <f>IF(LEN(S98)&gt;1,VLOOKUP(S98,Sheet3!$A:$B,2,),"")</f>
        <v>? Benoite Rencurel</v>
      </c>
      <c r="AA98" s="36" t="str">
        <f>IF(LEN(T98)&gt;1,VLOOKUP(T98,Sheet3!$A:$B,2,),"")</f>
        <v/>
      </c>
      <c r="AB98" s="36" t="str">
        <f>IF(LEN(U98)&gt;1,VLOOKUP(U98,Sheet3!$A:$B,2,),"")</f>
        <v/>
      </c>
      <c r="AC98" s="37" t="str">
        <f t="shared" si="34"/>
        <v>[? Benoite Rencurel](/tags/benoite-rencurel)</v>
      </c>
      <c r="AD98" s="37" t="str">
        <f t="shared" si="35"/>
        <v/>
      </c>
      <c r="AE98" s="37" t="str">
        <f t="shared" si="36"/>
        <v/>
      </c>
      <c r="AF98" s="37" t="str">
        <f>"- marian-sites
- churches
- "&amp;VLOOKUP(C98,'(Ref) Countries'!A:C,3,)&amp;IF(LEN(S98)&gt;1,"
- "&amp;S98,"")&amp;IF(LEN(T98)&gt;1,"
- "&amp;T98,"")&amp;IF(LEN(U98)&gt;1,"
- "&amp;U98,"")</f>
        <v>- marian-sites
- churches
- france
- benoite-rencurel</v>
      </c>
      <c r="AG98" s="37" t="str">
        <f t="shared" si="37"/>
        <v xml:space="preserve">| [? Benoite Rencurel](/tags/benoite-rencurel) </v>
      </c>
      <c r="AH98" s="37" t="str">
        <f t="shared" si="38"/>
        <v xml:space="preserve">| [Laus](/places/fr-sanctuary-of-our-lady-of-laus) </v>
      </c>
      <c r="AI98" s="37" t="str">
        <f>"| "&amp;IF(W98,GetTagPage(C98,VLOOKUP(C98,'(Ref) Countries'!A:C,3,)),C98)&amp; " "</f>
        <v xml:space="preserve">| [France](/tags/france) </v>
      </c>
      <c r="AJ98" s="37" t="str">
        <f t="shared" si="39"/>
        <v xml:space="preserve">| 1664-1718 </v>
      </c>
      <c r="AK98" s="37" t="str">
        <f t="shared" si="40"/>
        <v xml:space="preserve">| [Link](/places/fr-sanctuary-of-our-lady-of-laus) </v>
      </c>
      <c r="AL98" s="35" t="str">
        <f t="shared" ref="AL98:AL129" si="45">IF(LEN(K98)&gt;1,"| [Link]("&amp;K98&amp;")"&amp;IF(LEN(L98)&gt;1,L98,"")&amp;" ","| ")</f>
        <v xml:space="preserve">| [Link](https://www.sanctuaire-notredamedulaus.com/) </v>
      </c>
      <c r="AM98" s="37" t="str">
        <f t="shared" ref="AM98:AM129" si="46">IF(LEN(M98)&gt;1,"| [Link]("&amp;M98&amp;")"&amp;IF(LEN(N98)&gt;1,N98,"")&amp;" ","| ")</f>
        <v xml:space="preserve">| [Link](http://www.therealpresence.org/eucharst/misc/BVM/69_LAUS_140x96.pdf) </v>
      </c>
      <c r="AN98" s="37" t="str">
        <f t="shared" ref="AN98:AN129" si="47">IF(LEN(O98)&gt;1,"| [Link]("&amp;O98&amp;")"&amp;IF(LEN(P98)&gt;1,P98,"")&amp;" ","| ")</f>
        <v xml:space="preserve">| [Link](https://www.miraclehunter.com/marian_apparitions/approved_apparitions/laus/index.html) </v>
      </c>
      <c r="AO98" s="37" t="str">
        <f t="shared" ref="AO98:AO129" si="48">IF(LEN(Q98)&gt;1,"| [Link]("&amp;Q98&amp;")"&amp;IF(LEN(R98)&gt;1,R98,"")&amp;" ","| ")</f>
        <v xml:space="preserve">| [Link](https://www.marypages.com/laus-(france)-en.html) </v>
      </c>
      <c r="AP98" s="37" t="str">
        <f t="shared" si="42"/>
        <v xml:space="preserve">
| [Link](https://www.sanctuaire-notredamedulaus.com/) | [Link](http://www.therealpresence.org/eucharst/misc/BVM/69_LAUS_140x96.pdf) | [Link](https://www.miraclehunter.com/marian_apparitions/approved_apparitions/laus/index.html) | [Link](https://www.marypages.com/laus-(france)-en.html) |</v>
      </c>
      <c r="AQ98" s="48" t="str">
        <f>VLOOKUP(C98,'(Ref) Countries'!A:B,2,)&amp;"-"&amp;LOWER(SUBSTITUTE(H98," ","-"))&amp;".md"</f>
        <v>fr-sanctuary-of-our-lady-of-laus.md</v>
      </c>
      <c r="AR98" s="35" t="str">
        <f t="shared" si="41"/>
        <v xml:space="preserve">
| [Laus](/places/fr-sanctuary-of-our-lady-of-laus) | [France](/tags/france) | 1664-1718 | [Link](/places/fr-sanctuary-of-our-lady-of-laus) | [Link](https://www.sanctuaire-notredamedulaus.com/) | [Link](http://www.therealpresence.org/eucharst/misc/BVM/69_LAUS_140x96.pdf) | [Link](https://www.miraclehunter.com/marian_apparitions/approved_apparitions/laus/index.html) | [Link](https://www.marypages.com/laus-(france)-en.html) | [? Benoite Rencurel](/tags/benoite-rencurel) |</v>
      </c>
      <c r="AS98" s="48" t="str">
        <f t="shared" ref="AS98:AS129" si="49">IF(OR(A98="Done",A98="In Progress"),"---
"&amp;X98&amp;"
"&amp;Y98&amp;"
"&amp;"tags:
"&amp;AF98&amp;"
---
"&amp;J98&amp;"
#### Source Material
| Official Site | The Real Presence | Miracle Hunter | MaryPages |
| --- | --- | --- | --- |"&amp;AP98&amp;"
"&amp;IF(LEN(V98)&gt;1,"#### Author's Note
"&amp;V98,""),"")</f>
        <v>---
title: "Sanctuary of Our Lady of Laus"
location: {lat: 44.5212016, lng: 6.152116}
tags:
- marian-sites
- churches
- france
- benoite-rencurel
---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
#### Source Material
| Official Site | The Real Presence | Miracle Hunter | MaryPages |
| --- | --- | --- | --- |
| [Link](https://www.sanctuaire-notredamedulaus.com/) | [Link](http://www.therealpresence.org/eucharst/misc/BVM/69_LAUS_140x96.pdf) | [Link](https://www.miraclehunter.com/marian_apparitions/approved_apparitions/laus/index.html) | [Link](https://www.marypages.com/laus-(france)-en.html) |
#### Author's Note
One of the most picturesque apparition sites to visit!  The road between Laus and nearby [La Salette](/places/fr-sanctuary-of-our-lady-of-la-salette) winds through the French Alpine countryside.
- JMM</v>
      </c>
      <c r="AT98" s="15" t="s">
        <v>336</v>
      </c>
    </row>
    <row r="99" spans="1:46" x14ac:dyDescent="0.25">
      <c r="A99" s="27"/>
      <c r="B99" s="31" t="s">
        <v>1275</v>
      </c>
      <c r="C99" s="32" t="s">
        <v>11</v>
      </c>
      <c r="D99" s="61">
        <v>1671</v>
      </c>
      <c r="E99" s="32"/>
      <c r="F99" s="32"/>
      <c r="G99" s="33"/>
      <c r="H99" s="33"/>
      <c r="I99" s="33" t="s">
        <v>1758</v>
      </c>
      <c r="J99" s="33"/>
      <c r="K99" s="32" t="s">
        <v>336</v>
      </c>
      <c r="L99" s="32" t="s">
        <v>336</v>
      </c>
      <c r="M99" s="32" t="s">
        <v>273</v>
      </c>
      <c r="N99" s="32" t="s">
        <v>336</v>
      </c>
      <c r="O99" s="32" t="s">
        <v>336</v>
      </c>
      <c r="P99" s="32" t="s">
        <v>336</v>
      </c>
      <c r="Q99" s="32" t="s">
        <v>336</v>
      </c>
      <c r="R99" s="32" t="s">
        <v>336</v>
      </c>
      <c r="S99" s="32" t="s">
        <v>336</v>
      </c>
      <c r="T99" s="32"/>
      <c r="U99" s="32"/>
      <c r="V99" s="33"/>
      <c r="W99" s="38" t="b">
        <f t="shared" si="33"/>
        <v>0</v>
      </c>
      <c r="X99" s="35" t="str">
        <f t="shared" si="43"/>
        <v>title: ""</v>
      </c>
      <c r="Y99" s="35" t="str">
        <f t="shared" si="44"/>
        <v>location: {lat: , lng: }</v>
      </c>
      <c r="Z99" s="35" t="str">
        <f>IF(LEN(S99)&gt;1,VLOOKUP(S99,Sheet3!$A:$B,2,),"")</f>
        <v/>
      </c>
      <c r="AA99" s="35" t="str">
        <f>IF(LEN(T99)&gt;1,VLOOKUP(T99,Sheet3!$A:$B,2,),"")</f>
        <v/>
      </c>
      <c r="AB99" s="35" t="str">
        <f>IF(LEN(U99)&gt;1,VLOOKUP(U99,Sheet3!$A:$B,2,),"")</f>
        <v/>
      </c>
      <c r="AC99" s="37" t="str">
        <f t="shared" si="34"/>
        <v/>
      </c>
      <c r="AD99" s="37" t="str">
        <f t="shared" si="35"/>
        <v/>
      </c>
      <c r="AE99" s="37" t="str">
        <f t="shared" si="36"/>
        <v/>
      </c>
      <c r="AF99" s="37" t="str">
        <f>"- marian-sites
- churches
- "&amp;VLOOKUP(C99,'(Ref) Countries'!A:C,3,)&amp;IF(LEN(S99)&gt;1,"
- "&amp;S99,"")&amp;IF(LEN(T99)&gt;1,"
- "&amp;T99,"")&amp;IF(LEN(U99)&gt;1,"
- "&amp;U99,"")</f>
        <v>- marian-sites
- churches
- italy</v>
      </c>
      <c r="AG99" s="37" t="str">
        <f t="shared" si="37"/>
        <v xml:space="preserve">| </v>
      </c>
      <c r="AH99" s="37" t="str">
        <f t="shared" si="38"/>
        <v xml:space="preserve">| San Bartolomeo Al Mare </v>
      </c>
      <c r="AI99" s="37" t="str">
        <f>"| "&amp;IF(W99,GetTagPage(C99,VLOOKUP(C99,'(Ref) Countries'!A:C,3,)),C99)&amp; " "</f>
        <v xml:space="preserve">| Italy </v>
      </c>
      <c r="AJ99" s="37" t="str">
        <f t="shared" si="39"/>
        <v xml:space="preserve">| 1671 </v>
      </c>
      <c r="AK99" s="37" t="str">
        <f t="shared" si="40"/>
        <v xml:space="preserve">| </v>
      </c>
      <c r="AL99" s="35" t="str">
        <f t="shared" si="45"/>
        <v xml:space="preserve">| </v>
      </c>
      <c r="AM99" s="37" t="str">
        <f t="shared" si="46"/>
        <v xml:space="preserve">| [Link](http://www.therealpresence.org/eucharst/misc/BVM/54_SAN_BARTOLOMEO_60x96.pdf) </v>
      </c>
      <c r="AN99" s="37" t="str">
        <f t="shared" si="47"/>
        <v xml:space="preserve">| </v>
      </c>
      <c r="AO99" s="37" t="str">
        <f t="shared" si="48"/>
        <v xml:space="preserve">| </v>
      </c>
      <c r="AP99" s="37" t="str">
        <f t="shared" si="42"/>
        <v xml:space="preserve">
| | [Link](http://www.therealpresence.org/eucharst/misc/BVM/54_SAN_BARTOLOMEO_60x96.pdf) | | |</v>
      </c>
      <c r="AQ99" s="48" t="str">
        <f>VLOOKUP(C99,'(Ref) Countries'!A:B,2,)&amp;"-"&amp;LOWER(SUBSTITUTE(H99," ","-"))&amp;".md"</f>
        <v>it-.md</v>
      </c>
      <c r="AR99" s="35" t="str">
        <f t="shared" si="41"/>
        <v xml:space="preserve">
| San Bartolomeo Al Mare | Italy | 1671 | | | [Link](http://www.therealpresence.org/eucharst/misc/BVM/54_SAN_BARTOLOMEO_60x96.pdf) | | | |</v>
      </c>
      <c r="AS99" s="48" t="str">
        <f t="shared" si="49"/>
        <v/>
      </c>
      <c r="AT99" s="15" t="s">
        <v>336</v>
      </c>
    </row>
    <row r="100" spans="1:46" x14ac:dyDescent="0.25">
      <c r="A100" s="27"/>
      <c r="B100" s="31" t="s">
        <v>1276</v>
      </c>
      <c r="C100" s="32" t="s">
        <v>582</v>
      </c>
      <c r="D100" s="61" t="s">
        <v>1147</v>
      </c>
      <c r="E100" s="32"/>
      <c r="F100" s="32"/>
      <c r="G100" s="33"/>
      <c r="H100" s="33"/>
      <c r="I100" s="33" t="s">
        <v>1758</v>
      </c>
      <c r="J100" s="33"/>
      <c r="K100" s="32" t="s">
        <v>336</v>
      </c>
      <c r="L100" s="32" t="s">
        <v>336</v>
      </c>
      <c r="M100" s="32" t="s">
        <v>274</v>
      </c>
      <c r="N100" s="32" t="s">
        <v>336</v>
      </c>
      <c r="O100" s="32" t="s">
        <v>336</v>
      </c>
      <c r="P100" s="32" t="s">
        <v>336</v>
      </c>
      <c r="Q100" s="32" t="s">
        <v>336</v>
      </c>
      <c r="R100" s="32" t="s">
        <v>336</v>
      </c>
      <c r="S100" s="32" t="s">
        <v>336</v>
      </c>
      <c r="T100" s="32"/>
      <c r="U100" s="32"/>
      <c r="V100" s="33"/>
      <c r="W100" s="38" t="b">
        <f t="shared" si="33"/>
        <v>0</v>
      </c>
      <c r="X100" s="35" t="str">
        <f t="shared" si="43"/>
        <v>title: ""</v>
      </c>
      <c r="Y100" s="35" t="str">
        <f t="shared" si="44"/>
        <v>location: {lat: , lng: }</v>
      </c>
      <c r="Z100" s="35" t="str">
        <f>IF(LEN(S100)&gt;1,VLOOKUP(S100,Sheet3!$A:$B,2,),"")</f>
        <v/>
      </c>
      <c r="AA100" s="35" t="str">
        <f>IF(LEN(T100)&gt;1,VLOOKUP(T100,Sheet3!$A:$B,2,),"")</f>
        <v/>
      </c>
      <c r="AB100" s="35" t="str">
        <f>IF(LEN(U100)&gt;1,VLOOKUP(U100,Sheet3!$A:$B,2,),"")</f>
        <v/>
      </c>
      <c r="AC100" s="37" t="str">
        <f t="shared" si="34"/>
        <v/>
      </c>
      <c r="AD100" s="37" t="str">
        <f t="shared" si="35"/>
        <v/>
      </c>
      <c r="AE100" s="37" t="str">
        <f t="shared" si="36"/>
        <v/>
      </c>
      <c r="AF100" s="37" t="str">
        <f>"- marian-sites
- churches
- "&amp;VLOOKUP(C100,'(Ref) Countries'!A:C,3,)&amp;IF(LEN(S100)&gt;1,"
- "&amp;S100,"")&amp;IF(LEN(T100)&gt;1,"
- "&amp;T100,"")&amp;IF(LEN(U100)&gt;1,"
- "&amp;U100,"")</f>
        <v>- marian-sites
- churches
- hungary</v>
      </c>
      <c r="AG100" s="37" t="str">
        <f t="shared" si="37"/>
        <v xml:space="preserve">| </v>
      </c>
      <c r="AH100" s="37" t="str">
        <f t="shared" si="38"/>
        <v xml:space="preserve">| Máriapócs and Gyõr </v>
      </c>
      <c r="AI100" s="37" t="str">
        <f>"| "&amp;IF(W100,GetTagPage(C100,VLOOKUP(C100,'(Ref) Countries'!A:C,3,)),C100)&amp; " "</f>
        <v xml:space="preserve">| Hungary </v>
      </c>
      <c r="AJ100" s="37" t="str">
        <f t="shared" si="39"/>
        <v xml:space="preserve">| 1696-1697 </v>
      </c>
      <c r="AK100" s="37" t="str">
        <f t="shared" si="40"/>
        <v xml:space="preserve">| </v>
      </c>
      <c r="AL100" s="35" t="str">
        <f t="shared" si="45"/>
        <v xml:space="preserve">| </v>
      </c>
      <c r="AM100" s="37" t="str">
        <f t="shared" si="46"/>
        <v xml:space="preserve">| [Link](http://www.therealpresence.org/eucharst/misc/BVM/145_GYOR_96x96.pdf) </v>
      </c>
      <c r="AN100" s="37" t="str">
        <f t="shared" si="47"/>
        <v xml:space="preserve">| </v>
      </c>
      <c r="AO100" s="37" t="str">
        <f t="shared" si="48"/>
        <v xml:space="preserve">| </v>
      </c>
      <c r="AP100" s="37" t="str">
        <f t="shared" si="42"/>
        <v xml:space="preserve">
| | [Link](http://www.therealpresence.org/eucharst/misc/BVM/145_GYOR_96x96.pdf) | | |</v>
      </c>
      <c r="AQ100" s="48" t="str">
        <f>VLOOKUP(C100,'(Ref) Countries'!A:B,2,)&amp;"-"&amp;LOWER(SUBSTITUTE(H100," ","-"))&amp;".md"</f>
        <v>hu-.md</v>
      </c>
      <c r="AR100" s="35" t="str">
        <f t="shared" si="41"/>
        <v xml:space="preserve">
| Máriapócs and Gyõr | Hungary | 1696-1697 | | | [Link](http://www.therealpresence.org/eucharst/misc/BVM/145_GYOR_96x96.pdf) | | | |</v>
      </c>
      <c r="AS100" s="48" t="str">
        <f t="shared" si="49"/>
        <v/>
      </c>
      <c r="AT100" s="15" t="s">
        <v>336</v>
      </c>
    </row>
    <row r="101" spans="1:46" x14ac:dyDescent="0.25">
      <c r="A101" s="27"/>
      <c r="B101" s="31" t="s">
        <v>1277</v>
      </c>
      <c r="C101" s="32" t="s">
        <v>711</v>
      </c>
      <c r="D101" s="61" t="s">
        <v>1148</v>
      </c>
      <c r="E101" s="32"/>
      <c r="F101" s="32"/>
      <c r="G101" s="33"/>
      <c r="H101" s="33"/>
      <c r="I101" s="33" t="s">
        <v>1758</v>
      </c>
      <c r="J101" s="33"/>
      <c r="K101" s="32" t="s">
        <v>336</v>
      </c>
      <c r="L101" s="32" t="s">
        <v>336</v>
      </c>
      <c r="M101" s="32" t="s">
        <v>275</v>
      </c>
      <c r="N101" s="32" t="s">
        <v>336</v>
      </c>
      <c r="O101" s="32" t="s">
        <v>336</v>
      </c>
      <c r="P101" s="32" t="s">
        <v>336</v>
      </c>
      <c r="Q101" s="32" t="s">
        <v>336</v>
      </c>
      <c r="R101" s="32" t="s">
        <v>336</v>
      </c>
      <c r="S101" s="32" t="s">
        <v>336</v>
      </c>
      <c r="T101" s="32"/>
      <c r="U101" s="32"/>
      <c r="V101" s="33"/>
      <c r="W101" s="38" t="b">
        <f t="shared" si="33"/>
        <v>0</v>
      </c>
      <c r="X101" s="35" t="str">
        <f t="shared" si="43"/>
        <v>title: ""</v>
      </c>
      <c r="Y101" s="35" t="str">
        <f t="shared" si="44"/>
        <v>location: {lat: , lng: }</v>
      </c>
      <c r="Z101" s="35" t="str">
        <f>IF(LEN(S101)&gt;1,VLOOKUP(S101,Sheet3!$A:$B,2,),"")</f>
        <v/>
      </c>
      <c r="AA101" s="35" t="str">
        <f>IF(LEN(T101)&gt;1,VLOOKUP(T101,Sheet3!$A:$B,2,),"")</f>
        <v/>
      </c>
      <c r="AB101" s="35" t="str">
        <f>IF(LEN(U101)&gt;1,VLOOKUP(U101,Sheet3!$A:$B,2,),"")</f>
        <v/>
      </c>
      <c r="AC101" s="37" t="str">
        <f t="shared" si="34"/>
        <v/>
      </c>
      <c r="AD101" s="37" t="str">
        <f t="shared" si="35"/>
        <v/>
      </c>
      <c r="AE101" s="37" t="str">
        <f t="shared" si="36"/>
        <v/>
      </c>
      <c r="AF101" s="37" t="str">
        <f>"- marian-sites
- churches
- "&amp;VLOOKUP(C101,'(Ref) Countries'!A:C,3,)&amp;IF(LEN(S101)&gt;1,"
- "&amp;S101,"")&amp;IF(LEN(T101)&gt;1,"
- "&amp;T101,"")&amp;IF(LEN(U101)&gt;1,"
- "&amp;U101,"")</f>
        <v>- marian-sites
- churches
- bolivia</v>
      </c>
      <c r="AG101" s="37" t="str">
        <f t="shared" si="37"/>
        <v xml:space="preserve">| </v>
      </c>
      <c r="AH101" s="37" t="str">
        <f t="shared" si="38"/>
        <v xml:space="preserve">| Cotoca </v>
      </c>
      <c r="AI101" s="37" t="str">
        <f>"| "&amp;IF(W101,GetTagPage(C101,VLOOKUP(C101,'(Ref) Countries'!A:C,3,)),C101)&amp; " "</f>
        <v xml:space="preserve">| Bolivia </v>
      </c>
      <c r="AJ101" s="37" t="str">
        <f t="shared" si="39"/>
        <v xml:space="preserve">| Late 18th Century </v>
      </c>
      <c r="AK101" s="37" t="str">
        <f t="shared" si="40"/>
        <v xml:space="preserve">| </v>
      </c>
      <c r="AL101" s="35" t="str">
        <f t="shared" si="45"/>
        <v xml:space="preserve">| </v>
      </c>
      <c r="AM101" s="37" t="str">
        <f t="shared" si="46"/>
        <v xml:space="preserve">| [Link](http://www.therealpresence.org/eucharst/misc/BVM/73_COTOCA_60x96.pdf) </v>
      </c>
      <c r="AN101" s="37" t="str">
        <f t="shared" si="47"/>
        <v xml:space="preserve">| </v>
      </c>
      <c r="AO101" s="37" t="str">
        <f t="shared" si="48"/>
        <v xml:space="preserve">| </v>
      </c>
      <c r="AP101" s="37" t="str">
        <f t="shared" si="42"/>
        <v xml:space="preserve">
| | [Link](http://www.therealpresence.org/eucharst/misc/BVM/73_COTOCA_60x96.pdf) | | |</v>
      </c>
      <c r="AQ101" s="48" t="str">
        <f>VLOOKUP(C101,'(Ref) Countries'!A:B,2,)&amp;"-"&amp;LOWER(SUBSTITUTE(H101," ","-"))&amp;".md"</f>
        <v>bo-.md</v>
      </c>
      <c r="AR101" s="35" t="str">
        <f t="shared" si="41"/>
        <v xml:space="preserve">
| Cotoca | Bolivia | Late 18th Century | | | [Link](http://www.therealpresence.org/eucharst/misc/BVM/73_COTOCA_60x96.pdf) | | | |</v>
      </c>
      <c r="AS101" s="48" t="str">
        <f t="shared" si="49"/>
        <v/>
      </c>
      <c r="AT101" s="15" t="s">
        <v>336</v>
      </c>
    </row>
    <row r="102" spans="1:46" x14ac:dyDescent="0.25">
      <c r="A102" s="27"/>
      <c r="B102" s="31" t="s">
        <v>1278</v>
      </c>
      <c r="C102" s="32" t="s">
        <v>711</v>
      </c>
      <c r="D102" s="64" t="s">
        <v>1428</v>
      </c>
      <c r="E102" s="32"/>
      <c r="F102" s="32"/>
      <c r="G102" s="33"/>
      <c r="H102" s="33"/>
      <c r="I102" s="33" t="s">
        <v>1758</v>
      </c>
      <c r="J102" s="33"/>
      <c r="K102" s="32" t="s">
        <v>336</v>
      </c>
      <c r="L102" s="32" t="s">
        <v>336</v>
      </c>
      <c r="M102" s="32" t="s">
        <v>276</v>
      </c>
      <c r="N102" s="32" t="s">
        <v>336</v>
      </c>
      <c r="O102" s="32" t="s">
        <v>336</v>
      </c>
      <c r="P102" s="32" t="s">
        <v>336</v>
      </c>
      <c r="Q102" s="32" t="s">
        <v>336</v>
      </c>
      <c r="R102" s="32" t="s">
        <v>336</v>
      </c>
      <c r="S102" s="32" t="s">
        <v>336</v>
      </c>
      <c r="T102" s="32"/>
      <c r="U102" s="32"/>
      <c r="V102" s="33"/>
      <c r="W102" s="38" t="b">
        <f t="shared" si="33"/>
        <v>0</v>
      </c>
      <c r="X102" s="35" t="str">
        <f t="shared" si="43"/>
        <v>title: ""</v>
      </c>
      <c r="Y102" s="35" t="str">
        <f t="shared" si="44"/>
        <v>location: {lat: , lng: }</v>
      </c>
      <c r="Z102" s="35" t="str">
        <f>IF(LEN(S102)&gt;1,VLOOKUP(S102,Sheet3!$A:$B,2,),"")</f>
        <v/>
      </c>
      <c r="AA102" s="35" t="str">
        <f>IF(LEN(T102)&gt;1,VLOOKUP(T102,Sheet3!$A:$B,2,),"")</f>
        <v/>
      </c>
      <c r="AB102" s="35" t="str">
        <f>IF(LEN(U102)&gt;1,VLOOKUP(U102,Sheet3!$A:$B,2,),"")</f>
        <v/>
      </c>
      <c r="AC102" s="37" t="str">
        <f t="shared" si="34"/>
        <v/>
      </c>
      <c r="AD102" s="37" t="str">
        <f t="shared" si="35"/>
        <v/>
      </c>
      <c r="AE102" s="37" t="str">
        <f t="shared" si="36"/>
        <v/>
      </c>
      <c r="AF102" s="37" t="str">
        <f>"- marian-sites
- churches
- "&amp;VLOOKUP(C102,'(Ref) Countries'!A:C,3,)&amp;IF(LEN(S102)&gt;1,"
- "&amp;S102,"")&amp;IF(LEN(T102)&gt;1,"
- "&amp;T102,"")&amp;IF(LEN(U102)&gt;1,"
- "&amp;U102,"")</f>
        <v>- marian-sites
- churches
- bolivia</v>
      </c>
      <c r="AG102" s="37" t="str">
        <f t="shared" si="37"/>
        <v xml:space="preserve">| </v>
      </c>
      <c r="AH102" s="37" t="str">
        <f t="shared" si="38"/>
        <v xml:space="preserve">| Quillacollo </v>
      </c>
      <c r="AI102" s="37" t="str">
        <f>"| "&amp;IF(W102,GetTagPage(C102,VLOOKUP(C102,'(Ref) Countries'!A:C,3,)),C102)&amp; " "</f>
        <v xml:space="preserve">| Bolivia </v>
      </c>
      <c r="AJ102" s="37" t="str">
        <f t="shared" si="39"/>
        <v xml:space="preserve">| c. 1700 </v>
      </c>
      <c r="AK102" s="37" t="str">
        <f t="shared" si="40"/>
        <v xml:space="preserve">| </v>
      </c>
      <c r="AL102" s="35" t="str">
        <f t="shared" si="45"/>
        <v xml:space="preserve">| </v>
      </c>
      <c r="AM102" s="37" t="str">
        <f t="shared" si="46"/>
        <v xml:space="preserve">| [Link](http://www.therealpresence.org/eucharst/misc/BVM/142_QUILLACOLLO_60x96.pdf) </v>
      </c>
      <c r="AN102" s="37" t="str">
        <f t="shared" si="47"/>
        <v xml:space="preserve">| </v>
      </c>
      <c r="AO102" s="37" t="str">
        <f t="shared" si="48"/>
        <v xml:space="preserve">| </v>
      </c>
      <c r="AP102" s="37" t="str">
        <f t="shared" si="42"/>
        <v xml:space="preserve">
| | [Link](http://www.therealpresence.org/eucharst/misc/BVM/142_QUILLACOLLO_60x96.pdf) | | |</v>
      </c>
      <c r="AQ102" s="48" t="str">
        <f>VLOOKUP(C102,'(Ref) Countries'!A:B,2,)&amp;"-"&amp;LOWER(SUBSTITUTE(H102," ","-"))&amp;".md"</f>
        <v>bo-.md</v>
      </c>
      <c r="AR102" s="35" t="str">
        <f t="shared" si="41"/>
        <v xml:space="preserve">
| Quillacollo | Bolivia | c. 1700 | | | [Link](http://www.therealpresence.org/eucharst/misc/BVM/142_QUILLACOLLO_60x96.pdf) | | | |</v>
      </c>
      <c r="AS102" s="48" t="str">
        <f t="shared" si="49"/>
        <v/>
      </c>
      <c r="AT102" s="15" t="s">
        <v>336</v>
      </c>
    </row>
    <row r="103" spans="1:46" x14ac:dyDescent="0.25">
      <c r="A103" s="27"/>
      <c r="B103" s="31" t="s">
        <v>1279</v>
      </c>
      <c r="C103" s="32" t="s">
        <v>11</v>
      </c>
      <c r="D103" s="61">
        <v>1716</v>
      </c>
      <c r="E103" s="32"/>
      <c r="F103" s="32"/>
      <c r="G103" s="33"/>
      <c r="H103" s="33"/>
      <c r="I103" s="33" t="s">
        <v>1758</v>
      </c>
      <c r="J103" s="33"/>
      <c r="K103" s="32" t="s">
        <v>336</v>
      </c>
      <c r="L103" s="32" t="s">
        <v>336</v>
      </c>
      <c r="M103" s="32" t="s">
        <v>277</v>
      </c>
      <c r="N103" s="32" t="s">
        <v>336</v>
      </c>
      <c r="O103" s="32" t="s">
        <v>336</v>
      </c>
      <c r="P103" s="32" t="s">
        <v>336</v>
      </c>
      <c r="Q103" s="32" t="s">
        <v>336</v>
      </c>
      <c r="R103" s="32" t="s">
        <v>336</v>
      </c>
      <c r="S103" s="32" t="s">
        <v>336</v>
      </c>
      <c r="T103" s="32"/>
      <c r="U103" s="32"/>
      <c r="V103" s="33"/>
      <c r="W103" s="38" t="b">
        <f t="shared" si="33"/>
        <v>0</v>
      </c>
      <c r="X103" s="35" t="str">
        <f t="shared" si="43"/>
        <v>title: ""</v>
      </c>
      <c r="Y103" s="35" t="str">
        <f t="shared" si="44"/>
        <v>location: {lat: , lng: }</v>
      </c>
      <c r="Z103" s="35" t="str">
        <f>IF(LEN(S103)&gt;1,VLOOKUP(S103,Sheet3!$A:$B,2,),"")</f>
        <v/>
      </c>
      <c r="AA103" s="35" t="str">
        <f>IF(LEN(T103)&gt;1,VLOOKUP(T103,Sheet3!$A:$B,2,),"")</f>
        <v/>
      </c>
      <c r="AB103" s="35" t="str">
        <f>IF(LEN(U103)&gt;1,VLOOKUP(U103,Sheet3!$A:$B,2,),"")</f>
        <v/>
      </c>
      <c r="AC103" s="37" t="str">
        <f t="shared" si="34"/>
        <v/>
      </c>
      <c r="AD103" s="37" t="str">
        <f t="shared" si="35"/>
        <v/>
      </c>
      <c r="AE103" s="37" t="str">
        <f t="shared" si="36"/>
        <v/>
      </c>
      <c r="AF103" s="37" t="str">
        <f>"- marian-sites
- churches
- "&amp;VLOOKUP(C103,'(Ref) Countries'!A:C,3,)&amp;IF(LEN(S103)&gt;1,"
- "&amp;S103,"")&amp;IF(LEN(T103)&gt;1,"
- "&amp;T103,"")&amp;IF(LEN(U103)&gt;1,"
- "&amp;U103,"")</f>
        <v>- marian-sites
- churches
- italy</v>
      </c>
      <c r="AG103" s="37" t="str">
        <f t="shared" si="37"/>
        <v xml:space="preserve">| </v>
      </c>
      <c r="AH103" s="37" t="str">
        <f t="shared" si="38"/>
        <v xml:space="preserve">| Pellestrina </v>
      </c>
      <c r="AI103" s="37" t="str">
        <f>"| "&amp;IF(W103,GetTagPage(C103,VLOOKUP(C103,'(Ref) Countries'!A:C,3,)),C103)&amp; " "</f>
        <v xml:space="preserve">| Italy </v>
      </c>
      <c r="AJ103" s="37" t="str">
        <f t="shared" si="39"/>
        <v xml:space="preserve">| 1716 </v>
      </c>
      <c r="AK103" s="37" t="str">
        <f t="shared" si="40"/>
        <v xml:space="preserve">| </v>
      </c>
      <c r="AL103" s="35" t="str">
        <f t="shared" si="45"/>
        <v xml:space="preserve">| </v>
      </c>
      <c r="AM103" s="37" t="str">
        <f t="shared" si="46"/>
        <v xml:space="preserve">| [Link](http://www.therealpresence.org/eucharst/misc/BVM/130_PELLESTRINA_96x96.pdf) </v>
      </c>
      <c r="AN103" s="37" t="str">
        <f t="shared" si="47"/>
        <v xml:space="preserve">| </v>
      </c>
      <c r="AO103" s="37" t="str">
        <f t="shared" si="48"/>
        <v xml:space="preserve">| </v>
      </c>
      <c r="AP103" s="37" t="str">
        <f t="shared" si="42"/>
        <v xml:space="preserve">
| | [Link](http://www.therealpresence.org/eucharst/misc/BVM/130_PELLESTRINA_96x96.pdf) | | |</v>
      </c>
      <c r="AQ103" s="48" t="str">
        <f>VLOOKUP(C103,'(Ref) Countries'!A:B,2,)&amp;"-"&amp;LOWER(SUBSTITUTE(H103," ","-"))&amp;".md"</f>
        <v>it-.md</v>
      </c>
      <c r="AR103" s="35" t="str">
        <f t="shared" si="41"/>
        <v xml:space="preserve">
| Pellestrina | Italy | 1716 | | | [Link](http://www.therealpresence.org/eucharst/misc/BVM/130_PELLESTRINA_96x96.pdf) | | | |</v>
      </c>
      <c r="AS103" s="48" t="str">
        <f t="shared" si="49"/>
        <v/>
      </c>
      <c r="AT103" s="15" t="s">
        <v>336</v>
      </c>
    </row>
    <row r="104" spans="1:46" x14ac:dyDescent="0.25">
      <c r="A104" s="27"/>
      <c r="B104" s="31" t="s">
        <v>1280</v>
      </c>
      <c r="C104" s="32" t="s">
        <v>519</v>
      </c>
      <c r="D104" s="61">
        <v>1717</v>
      </c>
      <c r="E104" s="32"/>
      <c r="F104" s="32"/>
      <c r="G104" s="33"/>
      <c r="H104" s="33"/>
      <c r="I104" s="33" t="s">
        <v>1758</v>
      </c>
      <c r="J104" s="33"/>
      <c r="K104" s="32" t="s">
        <v>336</v>
      </c>
      <c r="L104" s="32" t="s">
        <v>336</v>
      </c>
      <c r="M104" s="32" t="s">
        <v>278</v>
      </c>
      <c r="N104" s="32" t="s">
        <v>336</v>
      </c>
      <c r="O104" s="32" t="s">
        <v>336</v>
      </c>
      <c r="P104" s="32" t="s">
        <v>336</v>
      </c>
      <c r="Q104" s="32" t="s">
        <v>336</v>
      </c>
      <c r="R104" s="32" t="s">
        <v>336</v>
      </c>
      <c r="S104" s="32" t="s">
        <v>336</v>
      </c>
      <c r="T104" s="32"/>
      <c r="U104" s="32"/>
      <c r="V104" s="33"/>
      <c r="W104" s="38" t="b">
        <f t="shared" si="33"/>
        <v>0</v>
      </c>
      <c r="X104" s="35" t="str">
        <f t="shared" si="43"/>
        <v>title: ""</v>
      </c>
      <c r="Y104" s="35" t="str">
        <f t="shared" si="44"/>
        <v>location: {lat: , lng: }</v>
      </c>
      <c r="Z104" s="35" t="str">
        <f>IF(LEN(S104)&gt;1,VLOOKUP(S104,Sheet3!$A:$B,2,),"")</f>
        <v/>
      </c>
      <c r="AA104" s="35" t="str">
        <f>IF(LEN(T104)&gt;1,VLOOKUP(T104,Sheet3!$A:$B,2,),"")</f>
        <v/>
      </c>
      <c r="AB104" s="35" t="str">
        <f>IF(LEN(U104)&gt;1,VLOOKUP(U104,Sheet3!$A:$B,2,),"")</f>
        <v/>
      </c>
      <c r="AC104" s="37" t="str">
        <f t="shared" si="34"/>
        <v/>
      </c>
      <c r="AD104" s="37" t="str">
        <f t="shared" si="35"/>
        <v/>
      </c>
      <c r="AE104" s="37" t="str">
        <f t="shared" si="36"/>
        <v/>
      </c>
      <c r="AF104" s="37" t="str">
        <f>"- marian-sites
- churches
- "&amp;VLOOKUP(C104,'(Ref) Countries'!A:C,3,)&amp;IF(LEN(S104)&gt;1,"
- "&amp;S104,"")&amp;IF(LEN(T104)&gt;1,"
- "&amp;T104,"")&amp;IF(LEN(U104)&gt;1,"
- "&amp;U104,"")</f>
        <v>- marian-sites
- churches
- brazil</v>
      </c>
      <c r="AG104" s="37" t="str">
        <f t="shared" si="37"/>
        <v xml:space="preserve">| </v>
      </c>
      <c r="AH104" s="37" t="str">
        <f t="shared" si="38"/>
        <v xml:space="preserve">| Vale Do Paraíba </v>
      </c>
      <c r="AI104" s="37" t="str">
        <f>"| "&amp;IF(W104,GetTagPage(C104,VLOOKUP(C104,'(Ref) Countries'!A:C,3,)),C104)&amp; " "</f>
        <v xml:space="preserve">| Brazil </v>
      </c>
      <c r="AJ104" s="37" t="str">
        <f t="shared" si="39"/>
        <v xml:space="preserve">| 1717 </v>
      </c>
      <c r="AK104" s="37" t="str">
        <f t="shared" si="40"/>
        <v xml:space="preserve">| </v>
      </c>
      <c r="AL104" s="35" t="str">
        <f t="shared" si="45"/>
        <v xml:space="preserve">| </v>
      </c>
      <c r="AM104" s="37" t="str">
        <f t="shared" si="46"/>
        <v xml:space="preserve">| [Link](http://www.therealpresence.org/eucharst/misc/BVM/77_VALE_DO_PARAIBA_60x96.pdf) </v>
      </c>
      <c r="AN104" s="37" t="str">
        <f t="shared" si="47"/>
        <v xml:space="preserve">| </v>
      </c>
      <c r="AO104" s="37" t="str">
        <f t="shared" si="48"/>
        <v xml:space="preserve">| </v>
      </c>
      <c r="AP104" s="37" t="str">
        <f t="shared" si="42"/>
        <v xml:space="preserve">
| | [Link](http://www.therealpresence.org/eucharst/misc/BVM/77_VALE_DO_PARAIBA_60x96.pdf) | | |</v>
      </c>
      <c r="AQ104" s="48" t="str">
        <f>VLOOKUP(C104,'(Ref) Countries'!A:B,2,)&amp;"-"&amp;LOWER(SUBSTITUTE(H104," ","-"))&amp;".md"</f>
        <v>br-.md</v>
      </c>
      <c r="AR104" s="35" t="str">
        <f t="shared" si="41"/>
        <v xml:space="preserve">
| Vale Do Paraíba | Brazil | 1717 | | | [Link](http://www.therealpresence.org/eucharst/misc/BVM/77_VALE_DO_PARAIBA_60x96.pdf) | | | |</v>
      </c>
      <c r="AS104" s="48" t="str">
        <f t="shared" si="49"/>
        <v/>
      </c>
      <c r="AT104" s="15" t="s">
        <v>336</v>
      </c>
    </row>
    <row r="105" spans="1:46" x14ac:dyDescent="0.25">
      <c r="A105" s="27"/>
      <c r="B105" s="31" t="s">
        <v>1281</v>
      </c>
      <c r="C105" s="32" t="s">
        <v>11</v>
      </c>
      <c r="D105" s="61" t="s">
        <v>1152</v>
      </c>
      <c r="E105" s="32"/>
      <c r="F105" s="32"/>
      <c r="G105" s="33"/>
      <c r="H105" s="33"/>
      <c r="I105" s="33" t="s">
        <v>1758</v>
      </c>
      <c r="J105" s="33"/>
      <c r="K105" s="32" t="s">
        <v>336</v>
      </c>
      <c r="L105" s="32" t="s">
        <v>336</v>
      </c>
      <c r="M105" s="32" t="s">
        <v>279</v>
      </c>
      <c r="N105" s="32" t="s">
        <v>336</v>
      </c>
      <c r="O105" s="32" t="s">
        <v>336</v>
      </c>
      <c r="P105" s="32" t="s">
        <v>336</v>
      </c>
      <c r="Q105" s="32" t="s">
        <v>336</v>
      </c>
      <c r="R105" s="32" t="s">
        <v>336</v>
      </c>
      <c r="S105" s="32" t="s">
        <v>336</v>
      </c>
      <c r="T105" s="32"/>
      <c r="U105" s="32"/>
      <c r="V105" s="33"/>
      <c r="W105" s="38" t="b">
        <f t="shared" si="33"/>
        <v>0</v>
      </c>
      <c r="X105" s="35" t="str">
        <f t="shared" si="43"/>
        <v>title: ""</v>
      </c>
      <c r="Y105" s="35" t="str">
        <f t="shared" si="44"/>
        <v>location: {lat: , lng: }</v>
      </c>
      <c r="Z105" s="35" t="str">
        <f>IF(LEN(S105)&gt;1,VLOOKUP(S105,Sheet3!$A:$B,2,),"")</f>
        <v/>
      </c>
      <c r="AA105" s="35" t="str">
        <f>IF(LEN(T105)&gt;1,VLOOKUP(T105,Sheet3!$A:$B,2,),"")</f>
        <v/>
      </c>
      <c r="AB105" s="35" t="str">
        <f>IF(LEN(U105)&gt;1,VLOOKUP(U105,Sheet3!$A:$B,2,),"")</f>
        <v/>
      </c>
      <c r="AC105" s="37" t="str">
        <f t="shared" si="34"/>
        <v/>
      </c>
      <c r="AD105" s="37" t="str">
        <f t="shared" si="35"/>
        <v/>
      </c>
      <c r="AE105" s="37" t="str">
        <f t="shared" si="36"/>
        <v/>
      </c>
      <c r="AF105" s="37" t="str">
        <f>"- marian-sites
- churches
- "&amp;VLOOKUP(C105,'(Ref) Countries'!A:C,3,)&amp;IF(LEN(S105)&gt;1,"
- "&amp;S105,"")&amp;IF(LEN(T105)&gt;1,"
- "&amp;T105,"")&amp;IF(LEN(U105)&gt;1,"
- "&amp;U105,"")</f>
        <v>- marian-sites
- churches
- italy</v>
      </c>
      <c r="AG105" s="37" t="str">
        <f t="shared" si="37"/>
        <v xml:space="preserve">| </v>
      </c>
      <c r="AH105" s="37" t="str">
        <f t="shared" si="38"/>
        <v xml:space="preserve">| Montagnaga Di Pine’ </v>
      </c>
      <c r="AI105" s="37" t="str">
        <f>"| "&amp;IF(W105,GetTagPage(C105,VLOOKUP(C105,'(Ref) Countries'!A:C,3,)),C105)&amp; " "</f>
        <v xml:space="preserve">| Italy </v>
      </c>
      <c r="AJ105" s="37" t="str">
        <f t="shared" si="39"/>
        <v xml:space="preserve">| 1729-1730 </v>
      </c>
      <c r="AK105" s="37" t="str">
        <f t="shared" si="40"/>
        <v xml:space="preserve">| </v>
      </c>
      <c r="AL105" s="35" t="str">
        <f t="shared" si="45"/>
        <v xml:space="preserve">| </v>
      </c>
      <c r="AM105" s="37" t="str">
        <f t="shared" si="46"/>
        <v xml:space="preserve">| [Link](http://www.therealpresence.org/eucharst/misc/BVM/59_MONTAGNAGA_96x96.pdf) </v>
      </c>
      <c r="AN105" s="37" t="str">
        <f t="shared" si="47"/>
        <v xml:space="preserve">| </v>
      </c>
      <c r="AO105" s="37" t="str">
        <f t="shared" si="48"/>
        <v xml:space="preserve">| </v>
      </c>
      <c r="AP105" s="37" t="str">
        <f t="shared" si="42"/>
        <v xml:space="preserve">
| | [Link](http://www.therealpresence.org/eucharst/misc/BVM/59_MONTAGNAGA_96x96.pdf) | | |</v>
      </c>
      <c r="AQ105" s="48" t="str">
        <f>VLOOKUP(C105,'(Ref) Countries'!A:B,2,)&amp;"-"&amp;LOWER(SUBSTITUTE(H105," ","-"))&amp;".md"</f>
        <v>it-.md</v>
      </c>
      <c r="AR105" s="35" t="str">
        <f t="shared" si="41"/>
        <v xml:space="preserve">
| Montagnaga Di Pine’ | Italy | 1729-1730 | | | [Link](http://www.therealpresence.org/eucharst/misc/BVM/59_MONTAGNAGA_96x96.pdf) | | | |</v>
      </c>
      <c r="AS105" s="48" t="str">
        <f t="shared" si="49"/>
        <v/>
      </c>
      <c r="AT105" s="15" t="s">
        <v>336</v>
      </c>
    </row>
    <row r="106" spans="1:46" x14ac:dyDescent="0.25">
      <c r="A106" s="27"/>
      <c r="B106" s="31" t="s">
        <v>1320</v>
      </c>
      <c r="C106" s="32" t="s">
        <v>11</v>
      </c>
      <c r="D106" s="61">
        <v>1740</v>
      </c>
      <c r="E106" s="32"/>
      <c r="F106" s="32"/>
      <c r="G106" s="33"/>
      <c r="H106" s="33"/>
      <c r="I106" s="33" t="s">
        <v>1758</v>
      </c>
      <c r="J106" s="33"/>
      <c r="K106" s="32" t="s">
        <v>336</v>
      </c>
      <c r="L106" s="32" t="s">
        <v>336</v>
      </c>
      <c r="M106" s="32" t="s">
        <v>280</v>
      </c>
      <c r="N106" s="32" t="s">
        <v>336</v>
      </c>
      <c r="O106" s="32" t="s">
        <v>336</v>
      </c>
      <c r="P106" s="32" t="s">
        <v>336</v>
      </c>
      <c r="Q106" s="32" t="s">
        <v>336</v>
      </c>
      <c r="R106" s="32" t="s">
        <v>336</v>
      </c>
      <c r="S106" s="65" t="s">
        <v>1479</v>
      </c>
      <c r="T106" s="32"/>
      <c r="U106" s="32"/>
      <c r="V106" s="33"/>
      <c r="W106" s="38" t="b">
        <f t="shared" si="33"/>
        <v>0</v>
      </c>
      <c r="X106" s="35" t="str">
        <f t="shared" si="43"/>
        <v>title: ""</v>
      </c>
      <c r="Y106" s="35" t="str">
        <f t="shared" si="44"/>
        <v>location: {lat: , lng: }</v>
      </c>
      <c r="Z106" s="35" t="str">
        <f>IF(LEN(S106)&gt;1,VLOOKUP(S106,Sheet3!$A:$B,2,),"")</f>
        <v>Rome</v>
      </c>
      <c r="AA106" s="35" t="str">
        <f>IF(LEN(T106)&gt;1,VLOOKUP(T106,Sheet3!$A:$B,2,),"")</f>
        <v/>
      </c>
      <c r="AB106" s="35" t="str">
        <f>IF(LEN(U106)&gt;1,VLOOKUP(U106,Sheet3!$A:$B,2,),"")</f>
        <v/>
      </c>
      <c r="AC106" s="37" t="str">
        <f t="shared" si="34"/>
        <v>[Rome](/tags/rome)</v>
      </c>
      <c r="AD106" s="37" t="str">
        <f t="shared" si="35"/>
        <v/>
      </c>
      <c r="AE106" s="37" t="str">
        <f t="shared" si="36"/>
        <v/>
      </c>
      <c r="AF106" s="37" t="str">
        <f>"- marian-sites
- churches
- "&amp;VLOOKUP(C106,'(Ref) Countries'!A:C,3,)&amp;IF(LEN(S106)&gt;1,"
- "&amp;S106,"")&amp;IF(LEN(T106)&gt;1,"
- "&amp;T106,"")&amp;IF(LEN(U106)&gt;1,"
- "&amp;U106,"")</f>
        <v>- marian-sites
- churches
- italy
- rome</v>
      </c>
      <c r="AG106" s="37" t="str">
        <f t="shared" si="37"/>
        <v xml:space="preserve">| [Rome](/tags/rome) </v>
      </c>
      <c r="AH106" s="37" t="str">
        <f t="shared" si="38"/>
        <v xml:space="preserve">| Rome (Our Lady of Divine Love) </v>
      </c>
      <c r="AI106" s="37" t="str">
        <f>"| "&amp;IF(W106,GetTagPage(C106,VLOOKUP(C106,'(Ref) Countries'!A:C,3,)),C106)&amp; " "</f>
        <v xml:space="preserve">| Italy </v>
      </c>
      <c r="AJ106" s="37" t="str">
        <f t="shared" si="39"/>
        <v xml:space="preserve">| 1740 </v>
      </c>
      <c r="AK106" s="37" t="str">
        <f t="shared" si="40"/>
        <v xml:space="preserve">| </v>
      </c>
      <c r="AL106" s="35" t="str">
        <f t="shared" si="45"/>
        <v xml:space="preserve">| </v>
      </c>
      <c r="AM106" s="37" t="str">
        <f t="shared" si="46"/>
        <v xml:space="preserve">| [Link](http://www.therealpresence.org/eucharst/misc/BVM/17_DIVINO_AMORE_60x96.pdf) </v>
      </c>
      <c r="AN106" s="37" t="str">
        <f t="shared" si="47"/>
        <v xml:space="preserve">| </v>
      </c>
      <c r="AO106" s="37" t="str">
        <f t="shared" si="48"/>
        <v xml:space="preserve">| </v>
      </c>
      <c r="AP106" s="37" t="str">
        <f t="shared" si="42"/>
        <v xml:space="preserve">
| | [Link](http://www.therealpresence.org/eucharst/misc/BVM/17_DIVINO_AMORE_60x96.pdf) | | |</v>
      </c>
      <c r="AQ106" s="48" t="str">
        <f>VLOOKUP(C106,'(Ref) Countries'!A:B,2,)&amp;"-"&amp;LOWER(SUBSTITUTE(H106," ","-"))&amp;".md"</f>
        <v>it-.md</v>
      </c>
      <c r="AR106" s="35" t="str">
        <f t="shared" si="41"/>
        <v xml:space="preserve">
| Rome (Our Lady of Divine Love) | Italy | 1740 | | | [Link](http://www.therealpresence.org/eucharst/misc/BVM/17_DIVINO_AMORE_60x96.pdf) | | | [Rome](/tags/rome) |</v>
      </c>
      <c r="AS106" s="48" t="str">
        <f t="shared" si="49"/>
        <v/>
      </c>
      <c r="AT106" s="15" t="s">
        <v>336</v>
      </c>
    </row>
    <row r="107" spans="1:46" x14ac:dyDescent="0.25">
      <c r="A107" s="27"/>
      <c r="B107" s="31" t="s">
        <v>1282</v>
      </c>
      <c r="C107" s="32" t="s">
        <v>711</v>
      </c>
      <c r="D107" s="61">
        <v>1750</v>
      </c>
      <c r="E107" s="32"/>
      <c r="F107" s="32"/>
      <c r="G107" s="33"/>
      <c r="H107" s="33"/>
      <c r="I107" s="33" t="s">
        <v>1758</v>
      </c>
      <c r="J107" s="33"/>
      <c r="K107" s="32" t="s">
        <v>336</v>
      </c>
      <c r="L107" s="32" t="s">
        <v>336</v>
      </c>
      <c r="M107" s="32" t="s">
        <v>281</v>
      </c>
      <c r="N107" s="32" t="s">
        <v>336</v>
      </c>
      <c r="O107" s="32" t="s">
        <v>336</v>
      </c>
      <c r="P107" s="32" t="s">
        <v>336</v>
      </c>
      <c r="Q107" s="32" t="s">
        <v>336</v>
      </c>
      <c r="R107" s="32" t="s">
        <v>336</v>
      </c>
      <c r="S107" s="32" t="s">
        <v>336</v>
      </c>
      <c r="T107" s="32"/>
      <c r="U107" s="32"/>
      <c r="V107" s="33"/>
      <c r="W107" s="38" t="b">
        <f t="shared" si="33"/>
        <v>0</v>
      </c>
      <c r="X107" s="35" t="str">
        <f t="shared" si="43"/>
        <v>title: ""</v>
      </c>
      <c r="Y107" s="35" t="str">
        <f t="shared" si="44"/>
        <v>location: {lat: , lng: }</v>
      </c>
      <c r="Z107" s="35" t="str">
        <f>IF(LEN(S107)&gt;1,VLOOKUP(S107,Sheet3!$A:$B,2,),"")</f>
        <v/>
      </c>
      <c r="AA107" s="35" t="str">
        <f>IF(LEN(T107)&gt;1,VLOOKUP(T107,Sheet3!$A:$B,2,),"")</f>
        <v/>
      </c>
      <c r="AB107" s="35" t="str">
        <f>IF(LEN(U107)&gt;1,VLOOKUP(U107,Sheet3!$A:$B,2,),"")</f>
        <v/>
      </c>
      <c r="AC107" s="37" t="str">
        <f t="shared" si="34"/>
        <v/>
      </c>
      <c r="AD107" s="37" t="str">
        <f t="shared" si="35"/>
        <v/>
      </c>
      <c r="AE107" s="37" t="str">
        <f t="shared" si="36"/>
        <v/>
      </c>
      <c r="AF107" s="37" t="str">
        <f>"- marian-sites
- churches
- "&amp;VLOOKUP(C107,'(Ref) Countries'!A:C,3,)&amp;IF(LEN(S107)&gt;1,"
- "&amp;S107,"")&amp;IF(LEN(T107)&gt;1,"
- "&amp;T107,"")&amp;IF(LEN(U107)&gt;1,"
- "&amp;U107,"")</f>
        <v>- marian-sites
- churches
- bolivia</v>
      </c>
      <c r="AG107" s="37" t="str">
        <f t="shared" si="37"/>
        <v xml:space="preserve">| </v>
      </c>
      <c r="AH107" s="37" t="str">
        <f t="shared" si="38"/>
        <v xml:space="preserve">| Chaguaya </v>
      </c>
      <c r="AI107" s="37" t="str">
        <f>"| "&amp;IF(W107,GetTagPage(C107,VLOOKUP(C107,'(Ref) Countries'!A:C,3,)),C107)&amp; " "</f>
        <v xml:space="preserve">| Bolivia </v>
      </c>
      <c r="AJ107" s="37" t="str">
        <f t="shared" si="39"/>
        <v xml:space="preserve">| 1750 </v>
      </c>
      <c r="AK107" s="37" t="str">
        <f t="shared" si="40"/>
        <v xml:space="preserve">| </v>
      </c>
      <c r="AL107" s="35" t="str">
        <f t="shared" si="45"/>
        <v xml:space="preserve">| </v>
      </c>
      <c r="AM107" s="37" t="str">
        <f t="shared" si="46"/>
        <v xml:space="preserve">| [Link](http://www.therealpresence.org/eucharst/misc/BVM/95_CHAGUAYA_60x96.pdf) </v>
      </c>
      <c r="AN107" s="37" t="str">
        <f t="shared" si="47"/>
        <v xml:space="preserve">| </v>
      </c>
      <c r="AO107" s="37" t="str">
        <f t="shared" si="48"/>
        <v xml:space="preserve">| </v>
      </c>
      <c r="AP107" s="37" t="str">
        <f t="shared" si="42"/>
        <v xml:space="preserve">
| | [Link](http://www.therealpresence.org/eucharst/misc/BVM/95_CHAGUAYA_60x96.pdf) | | |</v>
      </c>
      <c r="AQ107" s="48" t="str">
        <f>VLOOKUP(C107,'(Ref) Countries'!A:B,2,)&amp;"-"&amp;LOWER(SUBSTITUTE(H107," ","-"))&amp;".md"</f>
        <v>bo-.md</v>
      </c>
      <c r="AR107" s="35" t="str">
        <f t="shared" si="41"/>
        <v xml:space="preserve">
| Chaguaya | Bolivia | 1750 | | | [Link](http://www.therealpresence.org/eucharst/misc/BVM/95_CHAGUAYA_60x96.pdf) | | | |</v>
      </c>
      <c r="AS107" s="48" t="str">
        <f t="shared" si="49"/>
        <v/>
      </c>
      <c r="AT107" s="15" t="s">
        <v>336</v>
      </c>
    </row>
    <row r="108" spans="1:46" ht="216.75" x14ac:dyDescent="0.25">
      <c r="A108" s="27" t="s">
        <v>1330</v>
      </c>
      <c r="B108" s="31" t="s">
        <v>1283</v>
      </c>
      <c r="C108" s="32" t="s">
        <v>535</v>
      </c>
      <c r="D108" s="61">
        <v>1754</v>
      </c>
      <c r="E108" s="32">
        <v>0.80532486588234498</v>
      </c>
      <c r="F108" s="32">
        <v>-77.585922676282493</v>
      </c>
      <c r="G108" s="33" t="s">
        <v>1342</v>
      </c>
      <c r="H108" s="33" t="s">
        <v>1343</v>
      </c>
      <c r="I108" s="33" t="s">
        <v>1758</v>
      </c>
      <c r="J108" s="33" t="s">
        <v>1357</v>
      </c>
      <c r="K108" s="32" t="s">
        <v>1344</v>
      </c>
      <c r="L108" s="32" t="s">
        <v>336</v>
      </c>
      <c r="M108" s="32" t="s">
        <v>282</v>
      </c>
      <c r="N108" s="32" t="s">
        <v>336</v>
      </c>
      <c r="O108" s="32" t="s">
        <v>1341</v>
      </c>
      <c r="P108" s="32" t="s">
        <v>336</v>
      </c>
      <c r="Q108" s="32" t="s">
        <v>336</v>
      </c>
      <c r="R108" s="32" t="s">
        <v>336</v>
      </c>
      <c r="S108" s="32" t="s">
        <v>336</v>
      </c>
      <c r="T108" s="32"/>
      <c r="U108" s="32"/>
      <c r="V108" s="66" t="s">
        <v>1742</v>
      </c>
      <c r="W108" s="38" t="b">
        <f t="shared" si="33"/>
        <v>1</v>
      </c>
      <c r="X108" s="35" t="str">
        <f t="shared" si="43"/>
        <v>title: "National Shrine Basilica of Our Lady of Las Lajas"</v>
      </c>
      <c r="Y108" s="35" t="str">
        <f t="shared" si="44"/>
        <v>location: {lat: 0.805324865882345, lng: -77.5859226762825}</v>
      </c>
      <c r="Z108" s="35" t="str">
        <f>IF(LEN(S108)&gt;1,VLOOKUP(S108,Sheet3!$A:$B,2,),"")</f>
        <v/>
      </c>
      <c r="AA108" s="35" t="str">
        <f>IF(LEN(T108)&gt;1,VLOOKUP(T108,Sheet3!$A:$B,2,),"")</f>
        <v/>
      </c>
      <c r="AB108" s="35" t="str">
        <f>IF(LEN(U108)&gt;1,VLOOKUP(U108,Sheet3!$A:$B,2,),"")</f>
        <v/>
      </c>
      <c r="AC108" s="37" t="str">
        <f t="shared" si="34"/>
        <v/>
      </c>
      <c r="AD108" s="37" t="str">
        <f t="shared" si="35"/>
        <v/>
      </c>
      <c r="AE108" s="37" t="str">
        <f t="shared" si="36"/>
        <v/>
      </c>
      <c r="AF108" s="37" t="str">
        <f>"- marian-sites
- churches
- "&amp;VLOOKUP(C108,'(Ref) Countries'!A:C,3,)&amp;IF(LEN(S108)&gt;1,"
- "&amp;S108,"")&amp;IF(LEN(T108)&gt;1,"
- "&amp;T108,"")&amp;IF(LEN(U108)&gt;1,"
- "&amp;U108,"")</f>
        <v>- marian-sites
- churches
- colombia</v>
      </c>
      <c r="AG108" s="37" t="str">
        <f t="shared" si="37"/>
        <v xml:space="preserve">| </v>
      </c>
      <c r="AH108" s="37" t="str">
        <f t="shared" si="38"/>
        <v xml:space="preserve">| [Las Lajas](/places/co-basilica-of-our-lady-of-las-lajas) </v>
      </c>
      <c r="AI108" s="37" t="str">
        <f>"| "&amp;IF(W108,GetTagPage(C108,VLOOKUP(C108,'(Ref) Countries'!A:C,3,)),C108)&amp; " "</f>
        <v xml:space="preserve">| [Colombia](/tags/colombia) </v>
      </c>
      <c r="AJ108" s="37" t="str">
        <f t="shared" si="39"/>
        <v xml:space="preserve">| 1754 </v>
      </c>
      <c r="AK108" s="37" t="str">
        <f t="shared" si="40"/>
        <v xml:space="preserve">| [Link](/places/co-basilica-of-our-lady-of-las-lajas) </v>
      </c>
      <c r="AL108" s="35" t="str">
        <f t="shared" si="45"/>
        <v xml:space="preserve">| [Link](https://www.laslajas.org/) </v>
      </c>
      <c r="AM108" s="37" t="str">
        <f t="shared" si="46"/>
        <v xml:space="preserve">| [Link](http://www.therealpresence.org/eucharst/misc/BVM/109_LAJAS_96x96.pdf) </v>
      </c>
      <c r="AN108" s="37" t="str">
        <f t="shared" si="47"/>
        <v xml:space="preserve">| [Link](http://www.miraclehunter.com/marian_apparitions/approved_apparitions/guaitara/index.html) </v>
      </c>
      <c r="AO108" s="37" t="str">
        <f t="shared" si="48"/>
        <v xml:space="preserve">| </v>
      </c>
      <c r="AP108" s="37" t="str">
        <f t="shared" si="42"/>
        <v xml:space="preserve">
| [Link](https://www.laslajas.org/) | [Link](http://www.therealpresence.org/eucharst/misc/BVM/109_LAJAS_96x96.pdf) | [Link](http://www.miraclehunter.com/marian_apparitions/approved_apparitions/guaitara/index.html) | |</v>
      </c>
      <c r="AQ108" s="48" t="str">
        <f>VLOOKUP(C108,'(Ref) Countries'!A:B,2,)&amp;"-"&amp;LOWER(SUBSTITUTE(H108," ","-"))&amp;".md"</f>
        <v>co-basilica-of-our-lady-of-las-lajas.md</v>
      </c>
      <c r="AR108" s="35" t="str">
        <f t="shared" si="41"/>
        <v xml:space="preserve">
| [Las Lajas](/places/co-basilica-of-our-lady-of-las-lajas) | [Colombia](/tags/colombia) | 1754 | [Link](/places/co-basilica-of-our-lady-of-las-lajas) | [Link](https://www.laslajas.org/) | [Link](http://www.therealpresence.org/eucharst/misc/BVM/109_LAJAS_96x96.pdf) | [Link](http://www.miraclehunter.com/marian_apparitions/approved_apparitions/guaitara/index.html) | | |</v>
      </c>
      <c r="AS108" s="48" t="str">
        <f t="shared" si="49"/>
        <v>---
title: "National Shrine Basilica of Our Lady of Las Lajas"
location: {lat: 0.805324865882345, lng: -77.5859226762825}
tags:
- marian-sites
- churches
- colombia
---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
#### Source Material
| Official Site | The Real Presence | Miracle Hunter | MaryPages |
| --- | --- | --- | --- |
| [Link](https://www.laslajas.org/) | [Link](http://www.therealpresence.org/eucharst/misc/BVM/109_LAJAS_96x96.pdf) | [Link](http://www.miraclehunter.com/marian_apparitions/approved_apparitions/guaitara/index.html) | |
#### Author's Note
Mass intentions requested at the gift shop will be prayed for at the very next mass.  Similar to the custom at [Our Lady of the Miraculous Medal](/places/fr-chapel-of-our-lady-of-the-miraculous-medal), grateful pilgrims have given thanks for answered prayers in the form of plaques lining the stairway down to the shrine.
- JMM</v>
      </c>
      <c r="AT108" s="15" t="s">
        <v>336</v>
      </c>
    </row>
    <row r="109" spans="1:46" x14ac:dyDescent="0.25">
      <c r="A109" s="27"/>
      <c r="B109" s="31" t="s">
        <v>1284</v>
      </c>
      <c r="C109" s="32" t="s">
        <v>503</v>
      </c>
      <c r="D109" s="61">
        <v>1797</v>
      </c>
      <c r="E109" s="32"/>
      <c r="F109" s="32"/>
      <c r="G109" s="33"/>
      <c r="H109" s="33"/>
      <c r="I109" s="33" t="s">
        <v>1758</v>
      </c>
      <c r="J109" s="33"/>
      <c r="K109" s="32" t="s">
        <v>336</v>
      </c>
      <c r="L109" s="32" t="s">
        <v>336</v>
      </c>
      <c r="M109" s="32" t="s">
        <v>283</v>
      </c>
      <c r="N109" s="32" t="s">
        <v>336</v>
      </c>
      <c r="O109" s="32" t="s">
        <v>336</v>
      </c>
      <c r="P109" s="32" t="s">
        <v>336</v>
      </c>
      <c r="Q109" s="32" t="s">
        <v>336</v>
      </c>
      <c r="R109" s="32" t="s">
        <v>336</v>
      </c>
      <c r="S109" s="32" t="s">
        <v>336</v>
      </c>
      <c r="T109" s="32"/>
      <c r="U109" s="32"/>
      <c r="V109" s="33"/>
      <c r="W109" s="38" t="b">
        <f t="shared" si="33"/>
        <v>0</v>
      </c>
      <c r="X109" s="35" t="str">
        <f t="shared" si="43"/>
        <v>title: ""</v>
      </c>
      <c r="Y109" s="35" t="str">
        <f t="shared" si="44"/>
        <v>location: {lat: , lng: }</v>
      </c>
      <c r="Z109" s="35" t="str">
        <f>IF(LEN(S109)&gt;1,VLOOKUP(S109,Sheet3!$A:$B,2,),"")</f>
        <v/>
      </c>
      <c r="AA109" s="35" t="str">
        <f>IF(LEN(T109)&gt;1,VLOOKUP(T109,Sheet3!$A:$B,2,),"")</f>
        <v/>
      </c>
      <c r="AB109" s="35" t="str">
        <f>IF(LEN(U109)&gt;1,VLOOKUP(U109,Sheet3!$A:$B,2,),"")</f>
        <v/>
      </c>
      <c r="AC109" s="37" t="str">
        <f t="shared" si="34"/>
        <v/>
      </c>
      <c r="AD109" s="37" t="str">
        <f t="shared" si="35"/>
        <v/>
      </c>
      <c r="AE109" s="37" t="str">
        <f t="shared" si="36"/>
        <v/>
      </c>
      <c r="AF109" s="37" t="str">
        <f>"- marian-sites
- churches
- "&amp;VLOOKUP(C109,'(Ref) Countries'!A:C,3,)&amp;IF(LEN(S109)&gt;1,"
- "&amp;S109,"")&amp;IF(LEN(T109)&gt;1,"
- "&amp;T109,"")&amp;IF(LEN(U109)&gt;1,"
- "&amp;U109,"")</f>
        <v>- marian-sites
- churches
- austria</v>
      </c>
      <c r="AG109" s="37" t="str">
        <f t="shared" si="37"/>
        <v xml:space="preserve">| </v>
      </c>
      <c r="AH109" s="37" t="str">
        <f t="shared" si="38"/>
        <v xml:space="preserve">| Absam </v>
      </c>
      <c r="AI109" s="37" t="str">
        <f>"| "&amp;IF(W109,GetTagPage(C109,VLOOKUP(C109,'(Ref) Countries'!A:C,3,)),C109)&amp; " "</f>
        <v xml:space="preserve">| Austria </v>
      </c>
      <c r="AJ109" s="37" t="str">
        <f t="shared" si="39"/>
        <v xml:space="preserve">| 1797 </v>
      </c>
      <c r="AK109" s="37" t="str">
        <f t="shared" si="40"/>
        <v xml:space="preserve">| </v>
      </c>
      <c r="AL109" s="35" t="str">
        <f t="shared" si="45"/>
        <v xml:space="preserve">| </v>
      </c>
      <c r="AM109" s="37" t="str">
        <f t="shared" si="46"/>
        <v xml:space="preserve">| [Link](http://www.therealpresence.org/eucharst/misc/BVM/33_ABSAM_60x96.pdf) </v>
      </c>
      <c r="AN109" s="37" t="str">
        <f t="shared" si="47"/>
        <v xml:space="preserve">| </v>
      </c>
      <c r="AO109" s="37" t="str">
        <f t="shared" si="48"/>
        <v xml:space="preserve">| </v>
      </c>
      <c r="AP109" s="37" t="str">
        <f t="shared" si="42"/>
        <v xml:space="preserve">
| | [Link](http://www.therealpresence.org/eucharst/misc/BVM/33_ABSAM_60x96.pdf) | | |</v>
      </c>
      <c r="AQ109" s="48" t="str">
        <f>VLOOKUP(C109,'(Ref) Countries'!A:B,2,)&amp;"-"&amp;LOWER(SUBSTITUTE(H109," ","-"))&amp;".md"</f>
        <v>at-.md</v>
      </c>
      <c r="AR109" s="35" t="str">
        <f t="shared" si="41"/>
        <v xml:space="preserve">
| Absam | Austria | 1797 | | | [Link](http://www.therealpresence.org/eucharst/misc/BVM/33_ABSAM_60x96.pdf) | | | |</v>
      </c>
      <c r="AS109" s="48" t="str">
        <f t="shared" si="49"/>
        <v/>
      </c>
      <c r="AT109" s="15" t="s">
        <v>336</v>
      </c>
    </row>
    <row r="110" spans="1:46" ht="102" x14ac:dyDescent="0.25">
      <c r="A110" s="27" t="s">
        <v>1330</v>
      </c>
      <c r="B110" s="31" t="s">
        <v>1285</v>
      </c>
      <c r="C110" s="32" t="s">
        <v>744</v>
      </c>
      <c r="D110" s="61">
        <v>1798</v>
      </c>
      <c r="E110" s="32">
        <v>16.705491099922099</v>
      </c>
      <c r="F110" s="32">
        <v>107.19601082359701</v>
      </c>
      <c r="G110" s="33" t="s">
        <v>1386</v>
      </c>
      <c r="H110" s="33" t="s">
        <v>1386</v>
      </c>
      <c r="I110" s="33" t="s">
        <v>1758</v>
      </c>
      <c r="J110" s="33" t="s">
        <v>1385</v>
      </c>
      <c r="K110" s="32" t="s">
        <v>336</v>
      </c>
      <c r="L110" s="32" t="s">
        <v>336</v>
      </c>
      <c r="M110" s="32" t="s">
        <v>284</v>
      </c>
      <c r="N110" s="32" t="s">
        <v>336</v>
      </c>
      <c r="O110" s="32" t="s">
        <v>1384</v>
      </c>
      <c r="P110" s="32" t="s">
        <v>336</v>
      </c>
      <c r="Q110" s="32" t="s">
        <v>1387</v>
      </c>
      <c r="R110" s="32" t="s">
        <v>336</v>
      </c>
      <c r="S110" s="32" t="s">
        <v>336</v>
      </c>
      <c r="T110" s="32"/>
      <c r="U110" s="32"/>
      <c r="V110" s="66" t="s">
        <v>1743</v>
      </c>
      <c r="W110" s="38" t="b">
        <f t="shared" si="33"/>
        <v>1</v>
      </c>
      <c r="X110" s="35" t="str">
        <f t="shared" si="43"/>
        <v>title: "Basilica of Our Lady of La Vang"</v>
      </c>
      <c r="Y110" s="35" t="str">
        <f t="shared" si="44"/>
        <v>location: {lat: 16.7054910999221, lng: 107.196010823597}</v>
      </c>
      <c r="Z110" s="35" t="str">
        <f>IF(LEN(S110)&gt;1,VLOOKUP(S110,Sheet3!$A:$B,2,),"")</f>
        <v/>
      </c>
      <c r="AA110" s="35" t="str">
        <f>IF(LEN(T110)&gt;1,VLOOKUP(T110,Sheet3!$A:$B,2,),"")</f>
        <v/>
      </c>
      <c r="AB110" s="35" t="str">
        <f>IF(LEN(U110)&gt;1,VLOOKUP(U110,Sheet3!$A:$B,2,),"")</f>
        <v/>
      </c>
      <c r="AC110" s="37" t="str">
        <f t="shared" si="34"/>
        <v/>
      </c>
      <c r="AD110" s="37" t="str">
        <f t="shared" si="35"/>
        <v/>
      </c>
      <c r="AE110" s="37" t="str">
        <f t="shared" si="36"/>
        <v/>
      </c>
      <c r="AF110" s="37" t="str">
        <f>"- marian-sites
- churches
- "&amp;VLOOKUP(C110,'(Ref) Countries'!A:C,3,)&amp;IF(LEN(S110)&gt;1,"
- "&amp;S110,"")&amp;IF(LEN(T110)&gt;1,"
- "&amp;T110,"")&amp;IF(LEN(U110)&gt;1,"
- "&amp;U110,"")</f>
        <v>- marian-sites
- churches
- vietnam</v>
      </c>
      <c r="AG110" s="37" t="str">
        <f t="shared" si="37"/>
        <v xml:space="preserve">| </v>
      </c>
      <c r="AH110" s="37" t="str">
        <f t="shared" si="38"/>
        <v xml:space="preserve">| [La Vang](/places/vn-basilica-of-our-lady-of-la-vang) </v>
      </c>
      <c r="AI110" s="37" t="str">
        <f>"| "&amp;IF(W110,GetTagPage(C110,VLOOKUP(C110,'(Ref) Countries'!A:C,3,)),C110)&amp; " "</f>
        <v xml:space="preserve">| [Vietnam](/tags/vietnam) </v>
      </c>
      <c r="AJ110" s="37" t="str">
        <f t="shared" si="39"/>
        <v xml:space="preserve">| 1798 </v>
      </c>
      <c r="AK110" s="37" t="str">
        <f t="shared" si="40"/>
        <v xml:space="preserve">| [Link](/places/vn-basilica-of-our-lady-of-la-vang) </v>
      </c>
      <c r="AL110" s="35" t="str">
        <f t="shared" si="45"/>
        <v xml:space="preserve">| </v>
      </c>
      <c r="AM110" s="37" t="str">
        <f t="shared" si="46"/>
        <v xml:space="preserve">| [Link](http://www.therealpresence.org/eucharst/misc/BVM/21_LAVANG_60x96.pdf) </v>
      </c>
      <c r="AN110" s="37" t="str">
        <f t="shared" si="47"/>
        <v xml:space="preserve">| [Link](http://www.miraclehunter.com/marian_apparitions/approved_apparitions/lavang/index.html) </v>
      </c>
      <c r="AO110" s="37" t="str">
        <f t="shared" si="48"/>
        <v xml:space="preserve">| [Link](https://www.marypages.com/la-vang-vietnam-en.html) </v>
      </c>
      <c r="AP110" s="37" t="str">
        <f t="shared" si="42"/>
        <v xml:space="preserve">
| | [Link](http://www.therealpresence.org/eucharst/misc/BVM/21_LAVANG_60x96.pdf) | [Link](http://www.miraclehunter.com/marian_apparitions/approved_apparitions/lavang/index.html) | [Link](https://www.marypages.com/la-vang-vietnam-en.html) |</v>
      </c>
      <c r="AQ110" s="48" t="str">
        <f>VLOOKUP(C110,'(Ref) Countries'!A:B,2,)&amp;"-"&amp;LOWER(SUBSTITUTE(H110," ","-"))&amp;".md"</f>
        <v>vn-basilica-of-our-lady-of-la-vang.md</v>
      </c>
      <c r="AR110" s="35" t="str">
        <f t="shared" si="41"/>
        <v xml:space="preserve">
| [La Vang](/places/vn-basilica-of-our-lady-of-la-vang) | [Vietnam](/tags/vietnam) | 1798 | [Link](/places/vn-basilica-of-our-lady-of-la-vang) | | [Link](http://www.therealpresence.org/eucharst/misc/BVM/21_LAVANG_60x96.pdf) | [Link](http://www.miraclehunter.com/marian_apparitions/approved_apparitions/lavang/index.html) | [Link](https://www.marypages.com/la-vang-vietnam-en.html) | |</v>
      </c>
      <c r="AS110" s="48" t="str">
        <f t="shared" si="49"/>
        <v>---
title: "Basilica of Our Lady of La Vang"
location: {lat: 16.7054910999221, lng: 107.196010823597}
tags:
- marian-sites
- churches
- vietnam
---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
#### Source Material
| Official Site | The Real Presence | Miracle Hunter | MaryPages |
| --- | --- | --- | --- |
| | [Link](http://www.therealpresence.org/eucharst/misc/BVM/21_LAVANG_60x96.pdf) | [Link](http://www.miraclehunter.com/marian_apparitions/approved_apparitions/lavang/index.html) | [Link](https://www.marypages.com/la-vang-vietnam-en.html) |
#### Author's Note
We can't find an official website or other social media page for the basilica.  If you know of one, please [contact us](/contact).
- JMM</v>
      </c>
      <c r="AT110" s="15" t="s">
        <v>336</v>
      </c>
    </row>
    <row r="111" spans="1:46" x14ac:dyDescent="0.25">
      <c r="A111" s="27"/>
      <c r="B111" s="31" t="s">
        <v>1286</v>
      </c>
      <c r="C111" s="32" t="s">
        <v>558</v>
      </c>
      <c r="D111" s="61">
        <v>1803</v>
      </c>
      <c r="E111" s="32"/>
      <c r="F111" s="32"/>
      <c r="G111" s="33"/>
      <c r="H111" s="33"/>
      <c r="I111" s="33" t="s">
        <v>1758</v>
      </c>
      <c r="J111" s="33"/>
      <c r="K111" s="32" t="s">
        <v>336</v>
      </c>
      <c r="L111" s="32" t="s">
        <v>336</v>
      </c>
      <c r="M111" s="32" t="s">
        <v>285</v>
      </c>
      <c r="N111" s="32" t="s">
        <v>336</v>
      </c>
      <c r="O111" s="32" t="s">
        <v>336</v>
      </c>
      <c r="P111" s="32" t="s">
        <v>336</v>
      </c>
      <c r="Q111" s="32" t="s">
        <v>336</v>
      </c>
      <c r="R111" s="32" t="s">
        <v>336</v>
      </c>
      <c r="S111" s="32" t="s">
        <v>336</v>
      </c>
      <c r="T111" s="32"/>
      <c r="U111" s="32"/>
      <c r="V111" s="33"/>
      <c r="W111" s="38" t="b">
        <f t="shared" si="33"/>
        <v>0</v>
      </c>
      <c r="X111" s="35" t="str">
        <f t="shared" si="43"/>
        <v>title: ""</v>
      </c>
      <c r="Y111" s="35" t="str">
        <f t="shared" si="44"/>
        <v>location: {lat: , lng: }</v>
      </c>
      <c r="Z111" s="35" t="str">
        <f>IF(LEN(S111)&gt;1,VLOOKUP(S111,Sheet3!$A:$B,2,),"")</f>
        <v/>
      </c>
      <c r="AA111" s="35" t="str">
        <f>IF(LEN(T111)&gt;1,VLOOKUP(T111,Sheet3!$A:$B,2,),"")</f>
        <v/>
      </c>
      <c r="AB111" s="35" t="str">
        <f>IF(LEN(U111)&gt;1,VLOOKUP(U111,Sheet3!$A:$B,2,),"")</f>
        <v/>
      </c>
      <c r="AC111" s="37" t="str">
        <f t="shared" si="34"/>
        <v/>
      </c>
      <c r="AD111" s="37" t="str">
        <f t="shared" si="35"/>
        <v/>
      </c>
      <c r="AE111" s="37" t="str">
        <f t="shared" si="36"/>
        <v/>
      </c>
      <c r="AF111" s="37" t="str">
        <f>"- marian-sites
- churches
- "&amp;VLOOKUP(C111,'(Ref) Countries'!A:C,3,)&amp;IF(LEN(S111)&gt;1,"
- "&amp;S111,"")&amp;IF(LEN(T111)&gt;1,"
- "&amp;T111,"")&amp;IF(LEN(U111)&gt;1,"
- "&amp;U111,"")</f>
        <v>- marian-sites
- churches
- france</v>
      </c>
      <c r="AG111" s="37" t="str">
        <f t="shared" si="37"/>
        <v xml:space="preserve">| </v>
      </c>
      <c r="AH111" s="37" t="str">
        <f t="shared" si="38"/>
        <v xml:space="preserve">| Ornans </v>
      </c>
      <c r="AI111" s="37" t="str">
        <f>"| "&amp;IF(W111,GetTagPage(C111,VLOOKUP(C111,'(Ref) Countries'!A:C,3,)),C111)&amp; " "</f>
        <v xml:space="preserve">| France </v>
      </c>
      <c r="AJ111" s="37" t="str">
        <f t="shared" si="39"/>
        <v xml:space="preserve">| 1803 </v>
      </c>
      <c r="AK111" s="37" t="str">
        <f t="shared" si="40"/>
        <v xml:space="preserve">| </v>
      </c>
      <c r="AL111" s="35" t="str">
        <f t="shared" si="45"/>
        <v xml:space="preserve">| </v>
      </c>
      <c r="AM111" s="37" t="str">
        <f t="shared" si="46"/>
        <v xml:space="preserve">| [Link](http://www.therealpresence.org/eucharst/misc/BVM/126_ORNANS_60x96.pdf) </v>
      </c>
      <c r="AN111" s="37" t="str">
        <f t="shared" si="47"/>
        <v xml:space="preserve">| </v>
      </c>
      <c r="AO111" s="37" t="str">
        <f t="shared" si="48"/>
        <v xml:space="preserve">| </v>
      </c>
      <c r="AP111" s="37" t="str">
        <f t="shared" si="42"/>
        <v xml:space="preserve">
| | [Link](http://www.therealpresence.org/eucharst/misc/BVM/126_ORNANS_60x96.pdf) | | |</v>
      </c>
      <c r="AQ111" s="48" t="str">
        <f>VLOOKUP(C111,'(Ref) Countries'!A:B,2,)&amp;"-"&amp;LOWER(SUBSTITUTE(H111," ","-"))&amp;".md"</f>
        <v>fr-.md</v>
      </c>
      <c r="AR111" s="35" t="str">
        <f t="shared" si="41"/>
        <v xml:space="preserve">
| Ornans | France | 1803 | | | [Link](http://www.therealpresence.org/eucharst/misc/BVM/126_ORNANS_60x96.pdf) | | | |</v>
      </c>
      <c r="AS111" s="48" t="str">
        <f t="shared" si="49"/>
        <v/>
      </c>
      <c r="AT111" s="15" t="s">
        <v>336</v>
      </c>
    </row>
    <row r="112" spans="1:46" ht="63.75" x14ac:dyDescent="0.25">
      <c r="A112" s="27" t="s">
        <v>1330</v>
      </c>
      <c r="B112" s="31" t="s">
        <v>1026</v>
      </c>
      <c r="C112" s="32" t="s">
        <v>652</v>
      </c>
      <c r="D112" s="61" t="s">
        <v>1027</v>
      </c>
      <c r="E112" s="32">
        <v>52.323705849375003</v>
      </c>
      <c r="F112" s="32">
        <v>18.358432557028099</v>
      </c>
      <c r="G112" s="33" t="s">
        <v>1028</v>
      </c>
      <c r="H112" s="33" t="s">
        <v>1029</v>
      </c>
      <c r="I112" s="33" t="s">
        <v>1758</v>
      </c>
      <c r="J112" s="33" t="s">
        <v>480</v>
      </c>
      <c r="K112" s="32" t="s">
        <v>378</v>
      </c>
      <c r="L112" s="32" t="s">
        <v>336</v>
      </c>
      <c r="M112" s="32" t="s">
        <v>286</v>
      </c>
      <c r="N112" s="32" t="s">
        <v>336</v>
      </c>
      <c r="O112" s="32" t="s">
        <v>356</v>
      </c>
      <c r="P112" s="32" t="s">
        <v>336</v>
      </c>
      <c r="Q112" s="32" t="s">
        <v>481</v>
      </c>
      <c r="R112" s="32" t="s">
        <v>336</v>
      </c>
      <c r="S112" s="34" t="s">
        <v>336</v>
      </c>
      <c r="T112" s="34"/>
      <c r="U112" s="34"/>
      <c r="V112" s="33"/>
      <c r="W112" s="38" t="b">
        <f t="shared" si="33"/>
        <v>1</v>
      </c>
      <c r="X112" s="35" t="str">
        <f t="shared" si="43"/>
        <v>title: "Basilica of Our Lady of Licheń (Holy Mother of Sorrows, Queen of Poland)"</v>
      </c>
      <c r="Y112" s="35" t="str">
        <f t="shared" si="44"/>
        <v>location: {lat: 52.323705849375, lng: 18.3584325570281}</v>
      </c>
      <c r="Z112" s="37" t="str">
        <f>IF(LEN(S112)&gt;1,VLOOKUP(S112,Sheet3!$A:$B,2,),"")</f>
        <v/>
      </c>
      <c r="AA112" s="37" t="str">
        <f>IF(LEN(T112)&gt;1,VLOOKUP(T112,Sheet3!$A:$B,2,),"")</f>
        <v/>
      </c>
      <c r="AB112" s="37" t="str">
        <f>IF(LEN(U112)&gt;1,VLOOKUP(U112,Sheet3!$A:$B,2,),"")</f>
        <v/>
      </c>
      <c r="AC112" s="37" t="str">
        <f t="shared" si="34"/>
        <v/>
      </c>
      <c r="AD112" s="37" t="str">
        <f t="shared" si="35"/>
        <v/>
      </c>
      <c r="AE112" s="37" t="str">
        <f t="shared" si="36"/>
        <v/>
      </c>
      <c r="AF112" s="37" t="str">
        <f>"- marian-sites
- churches
- "&amp;VLOOKUP(C112,'(Ref) Countries'!A:C,3,)&amp;IF(LEN(S112)&gt;1,"
- "&amp;S112,"")&amp;IF(LEN(T112)&gt;1,"
- "&amp;T112,"")&amp;IF(LEN(U112)&gt;1,"
- "&amp;U112,"")</f>
        <v>- marian-sites
- churches
- poland</v>
      </c>
      <c r="AG112" s="37" t="str">
        <f t="shared" si="37"/>
        <v xml:space="preserve">| </v>
      </c>
      <c r="AH112" s="37" t="str">
        <f t="shared" si="38"/>
        <v xml:space="preserve">| [Licheń](/places/pl-basilica-of-our-lady-of-lichen) </v>
      </c>
      <c r="AI112" s="37" t="str">
        <f>"| "&amp;IF(W112,GetTagPage(C112,VLOOKUP(C112,'(Ref) Countries'!A:C,3,)),C112)&amp; " "</f>
        <v xml:space="preserve">| [Poland](/tags/poland) </v>
      </c>
      <c r="AJ112" s="37" t="str">
        <f t="shared" si="39"/>
        <v xml:space="preserve">| 1813-1850 </v>
      </c>
      <c r="AK112" s="37" t="str">
        <f t="shared" si="40"/>
        <v xml:space="preserve">| [Link](/places/pl-basilica-of-our-lady-of-lichen) </v>
      </c>
      <c r="AL112" s="35" t="str">
        <f t="shared" si="45"/>
        <v xml:space="preserve">| [Link](https://www.lichen.pl/) </v>
      </c>
      <c r="AM112" s="37" t="str">
        <f t="shared" si="46"/>
        <v xml:space="preserve">| [Link](http://www.therealpresence.org/eucharst/misc/BVM/110_LICHEN_96x96.pdf) </v>
      </c>
      <c r="AN112" s="37" t="str">
        <f t="shared" si="47"/>
        <v xml:space="preserve">| [Link](http://www.miraclehunter.com/marian_apparitions/approved_apparitions/gietrzwald/index.html) </v>
      </c>
      <c r="AO112" s="37" t="str">
        <f t="shared" si="48"/>
        <v xml:space="preserve">| [Link](https://www.marypages.com/lichen-(poland)-holy-mother-of-sorrow-en.html) </v>
      </c>
      <c r="AP112" s="37" t="str">
        <f t="shared" si="42"/>
        <v xml:space="preserve">
| [Link](https://www.lichen.pl/) | [Link](http://www.therealpresence.org/eucharst/misc/BVM/110_LICHEN_96x96.pdf) | [Link](http://www.miraclehunter.com/marian_apparitions/approved_apparitions/gietrzwald/index.html) | [Link](https://www.marypages.com/lichen-(poland)-holy-mother-of-sorrow-en.html) |</v>
      </c>
      <c r="AQ112" s="48" t="str">
        <f>VLOOKUP(C112,'(Ref) Countries'!A:B,2,)&amp;"-"&amp;LOWER(SUBSTITUTE(H112," ","-"))&amp;".md"</f>
        <v>pl-basilica-of-our-lady-of-lichen.md</v>
      </c>
      <c r="AR112" s="35" t="str">
        <f t="shared" si="41"/>
        <v xml:space="preserve">
| [Licheń](/places/pl-basilica-of-our-lady-of-lichen) | [Poland](/tags/poland) | 1813-1850 | [Link](/places/pl-basilica-of-our-lady-of-lichen) | [Link](https://www.lichen.pl/) | [Link](http://www.therealpresence.org/eucharst/misc/BVM/110_LICHEN_96x96.pdf) | [Link](http://www.miraclehunter.com/marian_apparitions/approved_apparitions/gietrzwald/index.html) | [Link](https://www.marypages.com/lichen-(poland)-holy-mother-of-sorrow-en.html) | |</v>
      </c>
      <c r="AS112" s="48" t="str">
        <f t="shared" si="49"/>
        <v xml:space="preserve">---
title: "Basilica of Our Lady of Licheń (Holy Mother of Sorrows, Queen of Poland)"
location: {lat: 52.323705849375, lng: 18.3584325570281}
tags:
- marian-sites
- churches
- poland
---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
#### Source Material
| Official Site | The Real Presence | Miracle Hunter | MaryPages |
| --- | --- | --- | --- |
| [Link](https://www.lichen.pl/) | [Link](http://www.therealpresence.org/eucharst/misc/BVM/110_LICHEN_96x96.pdf) | [Link](http://www.miraclehunter.com/marian_apparitions/approved_apparitions/gietrzwald/index.html) | [Link](https://www.marypages.com/lichen-(poland)-holy-mother-of-sorrow-en.html) |
</v>
      </c>
      <c r="AT112" s="15" t="s">
        <v>336</v>
      </c>
    </row>
    <row r="113" spans="1:46" ht="204" x14ac:dyDescent="0.25">
      <c r="A113" s="27" t="s">
        <v>1332</v>
      </c>
      <c r="B113" s="31" t="s">
        <v>1030</v>
      </c>
      <c r="C113" s="65" t="s">
        <v>558</v>
      </c>
      <c r="D113" s="61">
        <v>1830</v>
      </c>
      <c r="E113" s="32">
        <v>48.850785899999998</v>
      </c>
      <c r="F113" s="32">
        <v>2.3229912000000001</v>
      </c>
      <c r="G113" s="33" t="s">
        <v>460</v>
      </c>
      <c r="H113" s="33" t="s">
        <v>460</v>
      </c>
      <c r="I113" s="33" t="s">
        <v>1758</v>
      </c>
      <c r="J113" s="66" t="s">
        <v>1728</v>
      </c>
      <c r="K113" s="32" t="s">
        <v>417</v>
      </c>
      <c r="L113" s="32" t="s">
        <v>336</v>
      </c>
      <c r="M113" s="32" t="s">
        <v>287</v>
      </c>
      <c r="N113" s="32" t="s">
        <v>336</v>
      </c>
      <c r="O113" s="32" t="s">
        <v>462</v>
      </c>
      <c r="P113" s="32" t="s">
        <v>336</v>
      </c>
      <c r="Q113" s="32" t="s">
        <v>461</v>
      </c>
      <c r="R113" s="32" t="s">
        <v>336</v>
      </c>
      <c r="S113" s="40" t="s">
        <v>489</v>
      </c>
      <c r="T113" s="70" t="s">
        <v>1729</v>
      </c>
      <c r="U113" s="40"/>
      <c r="V113" s="66" t="s">
        <v>1744</v>
      </c>
      <c r="W113" s="38" t="b">
        <f t="shared" si="33"/>
        <v>0</v>
      </c>
      <c r="X113" s="35" t="str">
        <f t="shared" si="43"/>
        <v>title: "Chapel of Our Lady of the Miraculous Medal"</v>
      </c>
      <c r="Y113" s="35" t="str">
        <f t="shared" si="44"/>
        <v>location: {lat: 48.8507859, lng: 2.3229912}</v>
      </c>
      <c r="Z113" s="36" t="str">
        <f>IF(LEN(S113)&gt;1,VLOOKUP(S113,Sheet3!$A:$B,2,),"")</f>
        <v>St. Catherine Laboure</v>
      </c>
      <c r="AA113" s="36" t="str">
        <f>IF(LEN(T113)&gt;1,VLOOKUP(T113,Sheet3!$A:$B,2,),"")</f>
        <v>St. Vincent de Paul</v>
      </c>
      <c r="AB113" s="36" t="str">
        <f>IF(LEN(U113)&gt;1,VLOOKUP(U113,Sheet3!$A:$B,2,),"")</f>
        <v/>
      </c>
      <c r="AC113" s="37" t="str">
        <f t="shared" si="34"/>
        <v>[St. Catherine Laboure](/tags/catherine-laboure)</v>
      </c>
      <c r="AD113" s="37" t="str">
        <f t="shared" si="35"/>
        <v>[St. Vincent de Paul](/tags/vincent-de-paul)</v>
      </c>
      <c r="AE113" s="37" t="str">
        <f t="shared" si="36"/>
        <v/>
      </c>
      <c r="AF113" s="37" t="str">
        <f>"- marian-sites
- churches
- "&amp;VLOOKUP(C113,'(Ref) Countries'!A:C,3,)&amp;IF(LEN(S113)&gt;1,"
- "&amp;S113,"")&amp;IF(LEN(T113)&gt;1,"
- "&amp;T113,"")&amp;IF(LEN(U113)&gt;1,"
- "&amp;U113,"")</f>
        <v>- marian-sites
- churches
- france
- catherine-laboure
- vincent-de-paul</v>
      </c>
      <c r="AG113" s="37" t="str">
        <f t="shared" si="37"/>
        <v xml:space="preserve">| [St. Catherine Laboure](/tags/catherine-laboure), [St. Vincent de Paul](/tags/vincent-de-paul) </v>
      </c>
      <c r="AH113" s="37" t="str">
        <f t="shared" si="38"/>
        <v xml:space="preserve">| Paris </v>
      </c>
      <c r="AI113" s="37" t="str">
        <f>"| "&amp;IF(W113,GetTagPage(C113,VLOOKUP(C113,'(Ref) Countries'!A:C,3,)),C113)&amp; " "</f>
        <v xml:space="preserve">| France </v>
      </c>
      <c r="AJ113" s="37" t="str">
        <f t="shared" si="39"/>
        <v xml:space="preserve">| 1830 </v>
      </c>
      <c r="AK113" s="37" t="str">
        <f t="shared" si="40"/>
        <v xml:space="preserve">| </v>
      </c>
      <c r="AL113" s="35" t="str">
        <f t="shared" si="45"/>
        <v xml:space="preserve">| [Link](https://www.chapellenotredamedelamedaillemiraculeuse.com/) </v>
      </c>
      <c r="AM113" s="37" t="str">
        <f t="shared" si="46"/>
        <v xml:space="preserve">| [Link](http://www.therealpresence.org/eucharst/misc/BVM/06_PARIGI_60x96.pdf) </v>
      </c>
      <c r="AN113" s="37" t="str">
        <f t="shared" si="47"/>
        <v xml:space="preserve">| [Link](https://www.miraclehunter.com/marian_apparitions/approved_apparitions/ruedubac/index.html) </v>
      </c>
      <c r="AO113" s="37" t="str">
        <f t="shared" si="48"/>
        <v xml:space="preserve">| [Link](https://www.marypages.com/paris-(france)-en.html) </v>
      </c>
      <c r="AP113" s="37" t="str">
        <f t="shared" si="42"/>
        <v xml:space="preserve">
| [Link](https://www.chapellenotredamedelamedaillemiraculeuse.com/) | [Link](http://www.therealpresence.org/eucharst/misc/BVM/06_PARIGI_60x96.pdf) | [Link](https://www.miraclehunter.com/marian_apparitions/approved_apparitions/ruedubac/index.html) | [Link](https://www.marypages.com/paris-(france)-en.html) |</v>
      </c>
      <c r="AQ113" s="48" t="str">
        <f>VLOOKUP(C113,'(Ref) Countries'!A:B,2,)&amp;"-"&amp;LOWER(SUBSTITUTE(H113," ","-"))&amp;".md"</f>
        <v>fr-chapel-of-our-lady-of-the-miraculous-medal.md</v>
      </c>
      <c r="AR113" s="35" t="str">
        <f t="shared" si="41"/>
        <v xml:space="preserve">
| Paris | France | 1830 | | [Link](https://www.chapellenotredamedelamedaillemiraculeuse.com/) | [Link](http://www.therealpresence.org/eucharst/misc/BVM/06_PARIGI_60x96.pdf) | [Link](https://www.miraclehunter.com/marian_apparitions/approved_apparitions/ruedubac/index.html) | [Link](https://www.marypages.com/paris-(france)-en.html) | [St. Catherine Laboure](/tags/catherine-laboure), [St. Vincent de Paul](/tags/vincent-de-paul) |</v>
      </c>
      <c r="AS113" s="48" t="str">
        <f t="shared" si="49"/>
        <v/>
      </c>
      <c r="AT113" s="15" t="s">
        <v>336</v>
      </c>
    </row>
    <row r="114" spans="1:46" ht="76.5" x14ac:dyDescent="0.25">
      <c r="A114" s="27" t="s">
        <v>1330</v>
      </c>
      <c r="B114" s="31" t="s">
        <v>1009</v>
      </c>
      <c r="C114" s="32" t="s">
        <v>11</v>
      </c>
      <c r="D114" s="61">
        <v>1842</v>
      </c>
      <c r="E114" s="32">
        <v>41.903563699999999</v>
      </c>
      <c r="F114" s="32">
        <v>12.483673899999999</v>
      </c>
      <c r="G114" s="33" t="s">
        <v>1033</v>
      </c>
      <c r="H114" s="33" t="s">
        <v>1034</v>
      </c>
      <c r="I114" s="33" t="s">
        <v>1758</v>
      </c>
      <c r="J114" s="33" t="s">
        <v>1035</v>
      </c>
      <c r="K114" s="32" t="s">
        <v>415</v>
      </c>
      <c r="L114" s="32" t="s">
        <v>336</v>
      </c>
      <c r="M114" s="32" t="s">
        <v>288</v>
      </c>
      <c r="N114" s="32" t="s">
        <v>336</v>
      </c>
      <c r="O114" s="32" t="s">
        <v>458</v>
      </c>
      <c r="P114" s="32" t="s">
        <v>336</v>
      </c>
      <c r="Q114" s="32" t="s">
        <v>459</v>
      </c>
      <c r="R114" s="32" t="s">
        <v>336</v>
      </c>
      <c r="S114" s="40" t="s">
        <v>490</v>
      </c>
      <c r="T114" s="70" t="s">
        <v>1479</v>
      </c>
      <c r="U114" s="40"/>
      <c r="V114" s="33"/>
      <c r="W114" s="38" t="b">
        <f t="shared" si="33"/>
        <v>1</v>
      </c>
      <c r="X114" s="35" t="str">
        <f t="shared" si="43"/>
        <v>title: "Sant'Andrea delle Fratte (Shrine of Our Lady of the Miracle, Our Lady of Zion)"</v>
      </c>
      <c r="Y114" s="35" t="str">
        <f t="shared" si="44"/>
        <v>location: {lat: 41.9035637, lng: 12.4836739}</v>
      </c>
      <c r="Z114" s="36" t="str">
        <f>IF(LEN(S114)&gt;1,VLOOKUP(S114,Sheet3!$A:$B,2,),"")</f>
        <v>Fr. Marie-Alphonse Ratisbonne</v>
      </c>
      <c r="AA114" s="36" t="str">
        <f>IF(LEN(T114)&gt;1,VLOOKUP(T114,Sheet3!$A:$B,2,),"")</f>
        <v>Rome</v>
      </c>
      <c r="AB114" s="36" t="str">
        <f>IF(LEN(U114)&gt;1,VLOOKUP(U114,Sheet3!$A:$B,2,),"")</f>
        <v/>
      </c>
      <c r="AC114" s="37" t="str">
        <f t="shared" si="34"/>
        <v>[Fr. Marie-Alphonse Ratisbonne](/tags/marie-alphonse-ratisbonne)</v>
      </c>
      <c r="AD114" s="37" t="str">
        <f t="shared" si="35"/>
        <v>[Rome](/tags/rome)</v>
      </c>
      <c r="AE114" s="37" t="str">
        <f t="shared" si="36"/>
        <v/>
      </c>
      <c r="AF114" s="37" t="str">
        <f>"- marian-sites
- churches
- "&amp;VLOOKUP(C114,'(Ref) Countries'!A:C,3,)&amp;IF(LEN(S114)&gt;1,"
- "&amp;S114,"")&amp;IF(LEN(T114)&gt;1,"
- "&amp;T114,"")&amp;IF(LEN(U114)&gt;1,"
- "&amp;U114,"")</f>
        <v>- marian-sites
- churches
- italy
- marie-alphonse-ratisbonne
- rome</v>
      </c>
      <c r="AG114" s="37" t="str">
        <f t="shared" si="37"/>
        <v xml:space="preserve">| [Fr. Marie-Alphonse Ratisbonne](/tags/marie-alphonse-ratisbonne), [Rome](/tags/rome) </v>
      </c>
      <c r="AH114" s="37" t="str">
        <f t="shared" si="38"/>
        <v xml:space="preserve">| [Rome](/places/it-sant-andrea-delle-fratte) </v>
      </c>
      <c r="AI114" s="37" t="str">
        <f>"| "&amp;IF(W114,GetTagPage(C114,VLOOKUP(C114,'(Ref) Countries'!A:C,3,)),C114)&amp; " "</f>
        <v xml:space="preserve">| [Italy](/tags/italy) </v>
      </c>
      <c r="AJ114" s="37" t="str">
        <f t="shared" si="39"/>
        <v xml:space="preserve">| 1842 </v>
      </c>
      <c r="AK114" s="37" t="str">
        <f t="shared" si="40"/>
        <v xml:space="preserve">| [Link](/places/it-sant-andrea-delle-fratte) </v>
      </c>
      <c r="AL114" s="35" t="str">
        <f t="shared" si="45"/>
        <v xml:space="preserve">| [Link](https://www.madonnadelmiracolo.it/) </v>
      </c>
      <c r="AM114" s="37" t="str">
        <f t="shared" si="46"/>
        <v xml:space="preserve">| [Link](http://www.therealpresence.org/eucharst/misc/BVM/23_ROMA_60x96.pdf) </v>
      </c>
      <c r="AN114" s="37" t="str">
        <f t="shared" si="47"/>
        <v xml:space="preserve">| [Link](https://www.miraclehunter.com/marian_apparitions/approved_apparitions/rome1842/index.html) </v>
      </c>
      <c r="AO114" s="37" t="str">
        <f t="shared" si="48"/>
        <v xml:space="preserve">| [Link](https://www.marypages.com/rome-(itali%C3%AB).html) </v>
      </c>
      <c r="AP114" s="37" t="str">
        <f t="shared" si="42"/>
        <v xml:space="preserve">
| [Link](https://www.madonnadelmiracolo.it/) | [Link](http://www.therealpresence.org/eucharst/misc/BVM/23_ROMA_60x96.pdf) | [Link](https://www.miraclehunter.com/marian_apparitions/approved_apparitions/rome1842/index.html) | [Link](https://www.marypages.com/rome-(itali%C3%AB).html) |</v>
      </c>
      <c r="AQ114" s="48" t="str">
        <f>VLOOKUP(C114,'(Ref) Countries'!A:B,2,)&amp;"-"&amp;LOWER(SUBSTITUTE(H114," ","-"))&amp;".md"</f>
        <v>it-sant-andrea-delle-fratte.md</v>
      </c>
      <c r="AR114" s="35" t="str">
        <f t="shared" si="41"/>
        <v xml:space="preserve">
| [Rome](/places/it-sant-andrea-delle-fratte) | [Italy](/tags/italy) | 1842 | [Link](/places/it-sant-andrea-delle-fratte) | [Link](https://www.madonnadelmiracolo.it/) | [Link](http://www.therealpresence.org/eucharst/misc/BVM/23_ROMA_60x96.pdf) | [Link](https://www.miraclehunter.com/marian_apparitions/approved_apparitions/rome1842/index.html) | [Link](https://www.marypages.com/rome-(itali%C3%AB).html) | [Fr. Marie-Alphonse Ratisbonne](/tags/marie-alphonse-ratisbonne), [Rome](/tags/rome) |</v>
      </c>
      <c r="AS114" s="48" t="str">
        <f t="shared" si="49"/>
        <v xml:space="preserve">---
title: "Sant'Andrea delle Fratte (Shrine of Our Lady of the Miracle, Our Lady of Zion)"
location: {lat: 41.9035637, lng: 12.4836739}
tags:
- marian-sites
- churches
- italy
- marie-alphonse-ratisbonne
- rome
---
Marie Alphonse Ratisbonne, an anti-Catholic Jew, befriended a baron in Rome and began wearing the [Miraculous Medal](/places/fr-chapel-of-our-lady-of-the-miraculous-medal)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
#### Source Material
| Official Site | The Real Presence | Miracle Hunter | MaryPages |
| --- | --- | --- | --- |
| [Link](https://www.madonnadelmiracolo.it/) | [Link](http://www.therealpresence.org/eucharst/misc/BVM/23_ROMA_60x96.pdf) | [Link](https://www.miraclehunter.com/marian_apparitions/approved_apparitions/rome1842/index.html) | [Link](https://www.marypages.com/rome-(itali%C3%AB).html) |
</v>
      </c>
      <c r="AT114" s="15" t="s">
        <v>336</v>
      </c>
    </row>
    <row r="115" spans="1:46" ht="51" x14ac:dyDescent="0.25">
      <c r="A115" s="27" t="s">
        <v>1330</v>
      </c>
      <c r="B115" s="31" t="s">
        <v>1031</v>
      </c>
      <c r="C115" s="32" t="s">
        <v>558</v>
      </c>
      <c r="D115" s="61">
        <v>1846</v>
      </c>
      <c r="E115" s="32">
        <v>44.8586296</v>
      </c>
      <c r="F115" s="32">
        <v>5.9788043999999996</v>
      </c>
      <c r="G115" s="33" t="s">
        <v>1032</v>
      </c>
      <c r="H115" s="33" t="s">
        <v>1032</v>
      </c>
      <c r="I115" s="33" t="s">
        <v>1758</v>
      </c>
      <c r="J115" s="33" t="s">
        <v>476</v>
      </c>
      <c r="K115" s="32" t="s">
        <v>413</v>
      </c>
      <c r="L115" s="32" t="s">
        <v>336</v>
      </c>
      <c r="M115" s="32" t="s">
        <v>289</v>
      </c>
      <c r="N115" s="32" t="s">
        <v>336</v>
      </c>
      <c r="O115" s="32" t="s">
        <v>477</v>
      </c>
      <c r="P115" s="32" t="s">
        <v>336</v>
      </c>
      <c r="Q115" s="32" t="s">
        <v>478</v>
      </c>
      <c r="R115" s="32" t="s">
        <v>336</v>
      </c>
      <c r="S115" s="34" t="s">
        <v>336</v>
      </c>
      <c r="T115" s="34"/>
      <c r="U115" s="34"/>
      <c r="V115" s="33"/>
      <c r="W115" s="38" t="b">
        <f t="shared" si="33"/>
        <v>1</v>
      </c>
      <c r="X115" s="35" t="str">
        <f t="shared" si="43"/>
        <v>title: "Sanctuary of Our Lady of La Salette"</v>
      </c>
      <c r="Y115" s="35" t="str">
        <f t="shared" si="44"/>
        <v>location: {lat: 44.8586296, lng: 5.9788044}</v>
      </c>
      <c r="Z115" s="37" t="str">
        <f>IF(LEN(S115)&gt;1,VLOOKUP(S115,Sheet3!$A:$B,2,),"")</f>
        <v/>
      </c>
      <c r="AA115" s="37" t="str">
        <f>IF(LEN(T115)&gt;1,VLOOKUP(T115,Sheet3!$A:$B,2,),"")</f>
        <v/>
      </c>
      <c r="AB115" s="37" t="str">
        <f>IF(LEN(U115)&gt;1,VLOOKUP(U115,Sheet3!$A:$B,2,),"")</f>
        <v/>
      </c>
      <c r="AC115" s="37" t="str">
        <f t="shared" si="34"/>
        <v/>
      </c>
      <c r="AD115" s="37" t="str">
        <f t="shared" si="35"/>
        <v/>
      </c>
      <c r="AE115" s="37" t="str">
        <f t="shared" si="36"/>
        <v/>
      </c>
      <c r="AF115" s="37" t="str">
        <f>"- marian-sites
- churches
- "&amp;VLOOKUP(C115,'(Ref) Countries'!A:C,3,)&amp;IF(LEN(S115)&gt;1,"
- "&amp;S115,"")&amp;IF(LEN(T115)&gt;1,"
- "&amp;T115,"")&amp;IF(LEN(U115)&gt;1,"
- "&amp;U115,"")</f>
        <v>- marian-sites
- churches
- france</v>
      </c>
      <c r="AG115" s="37" t="str">
        <f t="shared" si="37"/>
        <v xml:space="preserve">| </v>
      </c>
      <c r="AH115" s="37" t="str">
        <f t="shared" si="38"/>
        <v xml:space="preserve">| [La Salette](/places/fr-sanctuary-of-our-lady-of-la-salette) </v>
      </c>
      <c r="AI115" s="37" t="str">
        <f>"| "&amp;IF(W115,GetTagPage(C115,VLOOKUP(C115,'(Ref) Countries'!A:C,3,)),C115)&amp; " "</f>
        <v xml:space="preserve">| [France](/tags/france) </v>
      </c>
      <c r="AJ115" s="37" t="str">
        <f t="shared" si="39"/>
        <v xml:space="preserve">| 1846 </v>
      </c>
      <c r="AK115" s="37" t="str">
        <f t="shared" si="40"/>
        <v xml:space="preserve">| [Link](/places/fr-sanctuary-of-our-lady-of-la-salette) </v>
      </c>
      <c r="AL115" s="35" t="str">
        <f t="shared" si="45"/>
        <v xml:space="preserve">| [Link](https://lasalette.cef.fr/) </v>
      </c>
      <c r="AM115" s="37" t="str">
        <f t="shared" si="46"/>
        <v xml:space="preserve">| [Link](http://www.therealpresence.org/eucharst/misc/BVM/30_LA_SALETTE_96x96.pdf) </v>
      </c>
      <c r="AN115" s="37" t="str">
        <f t="shared" si="47"/>
        <v xml:space="preserve">| [Link](https://www.miraclehunter.com/marian_apparitions/approved_apparitions/lasalette/index.html) </v>
      </c>
      <c r="AO115" s="37" t="str">
        <f t="shared" si="48"/>
        <v xml:space="preserve">| [Link](https://www.marypages.com/la-salette-(france)-en.html) </v>
      </c>
      <c r="AP115" s="37" t="str">
        <f t="shared" si="42"/>
        <v xml:space="preserve">
| [Link](https://lasalette.cef.fr/) | [Link](http://www.therealpresence.org/eucharst/misc/BVM/30_LA_SALETTE_96x96.pdf) | [Link](https://www.miraclehunter.com/marian_apparitions/approved_apparitions/lasalette/index.html) | [Link](https://www.marypages.com/la-salette-(france)-en.html) |</v>
      </c>
      <c r="AQ115" s="48" t="str">
        <f>VLOOKUP(C115,'(Ref) Countries'!A:B,2,)&amp;"-"&amp;LOWER(SUBSTITUTE(H115," ","-"))&amp;".md"</f>
        <v>fr-sanctuary-of-our-lady-of-la-salette.md</v>
      </c>
      <c r="AR115" s="35" t="str">
        <f t="shared" si="41"/>
        <v xml:space="preserve">
| [La Salette](/places/fr-sanctuary-of-our-lady-of-la-salette) | [France](/tags/france) | 1846 | [Link](/places/fr-sanctuary-of-our-lady-of-la-salette) | [Link](https://lasalette.cef.fr/) | [Link](http://www.therealpresence.org/eucharst/misc/BVM/30_LA_SALETTE_96x96.pdf) | [Link](https://www.miraclehunter.com/marian_apparitions/approved_apparitions/lasalette/index.html) | [Link](https://www.marypages.com/la-salette-(france)-en.html) | |</v>
      </c>
      <c r="AS115" s="48" t="str">
        <f t="shared" si="49"/>
        <v xml:space="preserve">---
title: "Sanctuary of Our Lady of La Salette"
location: {lat: 44.8586296, lng: 5.9788044}
tags:
- marian-sites
- churches
- france
---
In 1846, the Blessed Virgin Mary appeared to 11-year-old Maximin Giraud and 14-year-old Melanie Calvat-Mathieu while they tended sheep in a small French Alpine village.  Her appearance in sorrow and tears called for conversion and repentance.
#### Source Material
| Official Site | The Real Presence | Miracle Hunter | MaryPages |
| --- | --- | --- | --- |
| [Link](https://lasalette.cef.fr/) | [Link](http://www.therealpresence.org/eucharst/misc/BVM/30_LA_SALETTE_96x96.pdf) | [Link](https://www.miraclehunter.com/marian_apparitions/approved_apparitions/lasalette/index.html) | [Link](https://www.marypages.com/la-salette-(france)-en.html) |
</v>
      </c>
      <c r="AT115" s="15" t="s">
        <v>336</v>
      </c>
    </row>
    <row r="116" spans="1:46" x14ac:dyDescent="0.25">
      <c r="A116" s="27"/>
      <c r="B116" s="31" t="s">
        <v>1287</v>
      </c>
      <c r="C116" s="32" t="s">
        <v>11</v>
      </c>
      <c r="D116" s="61">
        <v>1853</v>
      </c>
      <c r="E116" s="32"/>
      <c r="F116" s="32"/>
      <c r="G116" s="33"/>
      <c r="H116" s="33"/>
      <c r="I116" s="33" t="s">
        <v>1758</v>
      </c>
      <c r="J116" s="33"/>
      <c r="K116" s="32" t="s">
        <v>336</v>
      </c>
      <c r="L116" s="32" t="s">
        <v>336</v>
      </c>
      <c r="M116" s="32" t="s">
        <v>290</v>
      </c>
      <c r="N116" s="32" t="s">
        <v>336</v>
      </c>
      <c r="O116" s="32" t="s">
        <v>336</v>
      </c>
      <c r="P116" s="32" t="s">
        <v>336</v>
      </c>
      <c r="Q116" s="32" t="s">
        <v>336</v>
      </c>
      <c r="R116" s="32" t="s">
        <v>336</v>
      </c>
      <c r="S116" s="32" t="s">
        <v>336</v>
      </c>
      <c r="T116" s="32"/>
      <c r="U116" s="32"/>
      <c r="V116" s="33"/>
      <c r="W116" s="38" t="b">
        <f t="shared" si="33"/>
        <v>0</v>
      </c>
      <c r="X116" s="35" t="str">
        <f t="shared" si="43"/>
        <v>title: ""</v>
      </c>
      <c r="Y116" s="35" t="str">
        <f t="shared" si="44"/>
        <v>location: {lat: , lng: }</v>
      </c>
      <c r="Z116" s="35" t="str">
        <f>IF(LEN(S116)&gt;1,VLOOKUP(S116,Sheet3!$A:$B,2,),"")</f>
        <v/>
      </c>
      <c r="AA116" s="35" t="str">
        <f>IF(LEN(T116)&gt;1,VLOOKUP(T116,Sheet3!$A:$B,2,),"")</f>
        <v/>
      </c>
      <c r="AB116" s="35" t="str">
        <f>IF(LEN(U116)&gt;1,VLOOKUP(U116,Sheet3!$A:$B,2,),"")</f>
        <v/>
      </c>
      <c r="AC116" s="37" t="str">
        <f t="shared" si="34"/>
        <v/>
      </c>
      <c r="AD116" s="37" t="str">
        <f t="shared" si="35"/>
        <v/>
      </c>
      <c r="AE116" s="37" t="str">
        <f t="shared" si="36"/>
        <v/>
      </c>
      <c r="AF116" s="37" t="str">
        <f>"- marian-sites
- churches
- "&amp;VLOOKUP(C116,'(Ref) Countries'!A:C,3,)&amp;IF(LEN(S116)&gt;1,"
- "&amp;S116,"")&amp;IF(LEN(T116)&gt;1,"
- "&amp;T116,"")&amp;IF(LEN(U116)&gt;1,"
- "&amp;U116,"")</f>
        <v>- marian-sites
- churches
- italy</v>
      </c>
      <c r="AG116" s="37" t="str">
        <f t="shared" si="37"/>
        <v xml:space="preserve">| </v>
      </c>
      <c r="AH116" s="37" t="str">
        <f t="shared" si="38"/>
        <v xml:space="preserve">| Cerreto Di Sorano </v>
      </c>
      <c r="AI116" s="37" t="str">
        <f>"| "&amp;IF(W116,GetTagPage(C116,VLOOKUP(C116,'(Ref) Countries'!A:C,3,)),C116)&amp; " "</f>
        <v xml:space="preserve">| Italy </v>
      </c>
      <c r="AJ116" s="37" t="str">
        <f t="shared" si="39"/>
        <v xml:space="preserve">| 1853 </v>
      </c>
      <c r="AK116" s="37" t="str">
        <f t="shared" si="40"/>
        <v xml:space="preserve">| </v>
      </c>
      <c r="AL116" s="35" t="str">
        <f t="shared" si="45"/>
        <v xml:space="preserve">| </v>
      </c>
      <c r="AM116" s="37" t="str">
        <f t="shared" si="46"/>
        <v xml:space="preserve">| [Link](http://www.therealpresence.org/eucharst/misc/BVM/03_BORGO_CERRETO_60x96.pdf) </v>
      </c>
      <c r="AN116" s="37" t="str">
        <f t="shared" si="47"/>
        <v xml:space="preserve">| </v>
      </c>
      <c r="AO116" s="37" t="str">
        <f t="shared" si="48"/>
        <v xml:space="preserve">| </v>
      </c>
      <c r="AP116" s="37" t="str">
        <f t="shared" si="42"/>
        <v xml:space="preserve">
| | [Link](http://www.therealpresence.org/eucharst/misc/BVM/03_BORGO_CERRETO_60x96.pdf) | | |</v>
      </c>
      <c r="AQ116" s="48" t="str">
        <f>VLOOKUP(C116,'(Ref) Countries'!A:B,2,)&amp;"-"&amp;LOWER(SUBSTITUTE(H116," ","-"))&amp;".md"</f>
        <v>it-.md</v>
      </c>
      <c r="AR116" s="35" t="str">
        <f t="shared" si="41"/>
        <v xml:space="preserve">
| Cerreto Di Sorano | Italy | 1853 | | | [Link](http://www.therealpresence.org/eucharst/misc/BVM/03_BORGO_CERRETO_60x96.pdf) | | | |</v>
      </c>
      <c r="AS116" s="48" t="str">
        <f t="shared" si="49"/>
        <v/>
      </c>
      <c r="AT116" s="15" t="s">
        <v>336</v>
      </c>
    </row>
    <row r="117" spans="1:46" x14ac:dyDescent="0.25">
      <c r="A117" s="27"/>
      <c r="B117" s="31" t="s">
        <v>1288</v>
      </c>
      <c r="C117" s="32" t="s">
        <v>11</v>
      </c>
      <c r="D117" s="61" t="s">
        <v>1160</v>
      </c>
      <c r="E117" s="32"/>
      <c r="F117" s="32"/>
      <c r="G117" s="33"/>
      <c r="H117" s="33"/>
      <c r="I117" s="33" t="s">
        <v>1758</v>
      </c>
      <c r="J117" s="33"/>
      <c r="K117" s="32" t="s">
        <v>336</v>
      </c>
      <c r="L117" s="32" t="s">
        <v>336</v>
      </c>
      <c r="M117" s="32" t="s">
        <v>291</v>
      </c>
      <c r="N117" s="32" t="s">
        <v>336</v>
      </c>
      <c r="O117" s="32" t="s">
        <v>336</v>
      </c>
      <c r="P117" s="32" t="s">
        <v>336</v>
      </c>
      <c r="Q117" s="32" t="s">
        <v>336</v>
      </c>
      <c r="R117" s="32" t="s">
        <v>336</v>
      </c>
      <c r="S117" s="32" t="s">
        <v>336</v>
      </c>
      <c r="T117" s="32"/>
      <c r="U117" s="32"/>
      <c r="V117" s="33"/>
      <c r="W117" s="38" t="b">
        <f t="shared" si="33"/>
        <v>0</v>
      </c>
      <c r="X117" s="35" t="str">
        <f t="shared" si="43"/>
        <v>title: ""</v>
      </c>
      <c r="Y117" s="35" t="str">
        <f t="shared" si="44"/>
        <v>location: {lat: , lng: }</v>
      </c>
      <c r="Z117" s="35" t="str">
        <f>IF(LEN(S117)&gt;1,VLOOKUP(S117,Sheet3!$A:$B,2,),"")</f>
        <v/>
      </c>
      <c r="AA117" s="35" t="str">
        <f>IF(LEN(T117)&gt;1,VLOOKUP(T117,Sheet3!$A:$B,2,),"")</f>
        <v/>
      </c>
      <c r="AB117" s="35" t="str">
        <f>IF(LEN(U117)&gt;1,VLOOKUP(U117,Sheet3!$A:$B,2,),"")</f>
        <v/>
      </c>
      <c r="AC117" s="37" t="str">
        <f t="shared" si="34"/>
        <v/>
      </c>
      <c r="AD117" s="37" t="str">
        <f t="shared" si="35"/>
        <v/>
      </c>
      <c r="AE117" s="37" t="str">
        <f t="shared" si="36"/>
        <v/>
      </c>
      <c r="AF117" s="37" t="str">
        <f>"- marian-sites
- churches
- "&amp;VLOOKUP(C117,'(Ref) Countries'!A:C,3,)&amp;IF(LEN(S117)&gt;1,"
- "&amp;S117,"")&amp;IF(LEN(T117)&gt;1,"
- "&amp;T117,"")&amp;IF(LEN(U117)&gt;1,"
- "&amp;U117,"")</f>
        <v>- marian-sites
- churches
- italy</v>
      </c>
      <c r="AG117" s="37" t="str">
        <f t="shared" si="37"/>
        <v xml:space="preserve">| </v>
      </c>
      <c r="AH117" s="37" t="str">
        <f t="shared" si="38"/>
        <v xml:space="preserve">| Porzus Degli Slavi </v>
      </c>
      <c r="AI117" s="37" t="str">
        <f>"| "&amp;IF(W117,GetTagPage(C117,VLOOKUP(C117,'(Ref) Countries'!A:C,3,)),C117)&amp; " "</f>
        <v xml:space="preserve">| Italy </v>
      </c>
      <c r="AJ117" s="37" t="str">
        <f t="shared" si="39"/>
        <v xml:space="preserve">| 1855-1856 </v>
      </c>
      <c r="AK117" s="37" t="str">
        <f t="shared" si="40"/>
        <v xml:space="preserve">| </v>
      </c>
      <c r="AL117" s="35" t="str">
        <f t="shared" si="45"/>
        <v xml:space="preserve">| </v>
      </c>
      <c r="AM117" s="37" t="str">
        <f t="shared" si="46"/>
        <v xml:space="preserve">| [Link](http://www.therealpresence.org/eucharst/misc/BVM/27_PORZUS_60x96.pdf) </v>
      </c>
      <c r="AN117" s="37" t="str">
        <f t="shared" si="47"/>
        <v xml:space="preserve">| </v>
      </c>
      <c r="AO117" s="37" t="str">
        <f t="shared" si="48"/>
        <v xml:space="preserve">| </v>
      </c>
      <c r="AP117" s="37" t="str">
        <f t="shared" si="42"/>
        <v xml:space="preserve">
| | [Link](http://www.therealpresence.org/eucharst/misc/BVM/27_PORZUS_60x96.pdf) | | |</v>
      </c>
      <c r="AQ117" s="48" t="str">
        <f>VLOOKUP(C117,'(Ref) Countries'!A:B,2,)&amp;"-"&amp;LOWER(SUBSTITUTE(H117," ","-"))&amp;".md"</f>
        <v>it-.md</v>
      </c>
      <c r="AR117" s="35" t="str">
        <f t="shared" si="41"/>
        <v xml:space="preserve">
| Porzus Degli Slavi | Italy | 1855-1856 | | | [Link](http://www.therealpresence.org/eucharst/misc/BVM/27_PORZUS_60x96.pdf) | | | |</v>
      </c>
      <c r="AS117" s="48" t="str">
        <f t="shared" si="49"/>
        <v/>
      </c>
      <c r="AT117" s="15" t="s">
        <v>336</v>
      </c>
    </row>
    <row r="118" spans="1:46" s="21" customFormat="1" ht="51" x14ac:dyDescent="0.25">
      <c r="A118" s="51" t="s">
        <v>1330</v>
      </c>
      <c r="B118" s="41" t="s">
        <v>1001</v>
      </c>
      <c r="C118" s="42" t="s">
        <v>558</v>
      </c>
      <c r="D118" s="62">
        <v>1858</v>
      </c>
      <c r="E118" s="42">
        <v>43.0974206</v>
      </c>
      <c r="F118" s="42">
        <v>-5.8261100000000003E-2</v>
      </c>
      <c r="G118" s="43" t="s">
        <v>1016</v>
      </c>
      <c r="H118" s="43" t="s">
        <v>1016</v>
      </c>
      <c r="I118" s="43" t="s">
        <v>1758</v>
      </c>
      <c r="J118" s="43" t="s">
        <v>466</v>
      </c>
      <c r="K118" s="42" t="s">
        <v>429</v>
      </c>
      <c r="L118" s="42" t="s">
        <v>336</v>
      </c>
      <c r="M118" s="42" t="s">
        <v>292</v>
      </c>
      <c r="N118" s="42" t="s">
        <v>336</v>
      </c>
      <c r="O118" s="42" t="s">
        <v>467</v>
      </c>
      <c r="P118" s="42" t="s">
        <v>336</v>
      </c>
      <c r="Q118" s="42" t="s">
        <v>468</v>
      </c>
      <c r="R118" s="42" t="s">
        <v>336</v>
      </c>
      <c r="S118" s="44" t="s">
        <v>491</v>
      </c>
      <c r="T118" s="44"/>
      <c r="U118" s="44"/>
      <c r="V118" s="43"/>
      <c r="W118" s="38" t="b">
        <f t="shared" si="33"/>
        <v>1</v>
      </c>
      <c r="X118" s="45" t="str">
        <f t="shared" si="43"/>
        <v>title: "Sanctuary of Our Lady of Lourdes"</v>
      </c>
      <c r="Y118" s="45" t="str">
        <f t="shared" si="44"/>
        <v>location: {lat: 43.0974206, lng: -0.0582611}</v>
      </c>
      <c r="Z118" s="46" t="str">
        <f>IF(LEN(S118)&gt;1,VLOOKUP(S118,Sheet3!$A:$B,2,),"")</f>
        <v>St. Bernadette of Lourdes</v>
      </c>
      <c r="AA118" s="46" t="str">
        <f>IF(LEN(T118)&gt;1,VLOOKUP(T118,Sheet3!$A:$B,2,),"")</f>
        <v/>
      </c>
      <c r="AB118" s="46" t="str">
        <f>IF(LEN(U118)&gt;1,VLOOKUP(U118,Sheet3!$A:$B,2,),"")</f>
        <v/>
      </c>
      <c r="AC118" s="37" t="str">
        <f t="shared" si="34"/>
        <v>[St. Bernadette of Lourdes](/tags/bernadette-soubirous)</v>
      </c>
      <c r="AD118" s="37" t="str">
        <f t="shared" si="35"/>
        <v/>
      </c>
      <c r="AE118" s="37" t="str">
        <f t="shared" si="36"/>
        <v/>
      </c>
      <c r="AF118" s="37" t="str">
        <f>"- marian-sites
- churches
- "&amp;VLOOKUP(C118,'(Ref) Countries'!A:C,3,)&amp;IF(LEN(S118)&gt;1,"
- "&amp;S118,"")&amp;IF(LEN(T118)&gt;1,"
- "&amp;T118,"")&amp;IF(LEN(U118)&gt;1,"
- "&amp;U118,"")</f>
        <v>- marian-sites
- churches
- france
- bernadette-soubirous</v>
      </c>
      <c r="AG118" s="37" t="str">
        <f t="shared" si="37"/>
        <v xml:space="preserve">| [St. Bernadette of Lourdes](/tags/bernadette-soubirous) </v>
      </c>
      <c r="AH118" s="37" t="str">
        <f t="shared" si="38"/>
        <v xml:space="preserve">| [Lourdes](/places/fr-sanctuary-of-our-lady-of-lourdes) </v>
      </c>
      <c r="AI118" s="37" t="str">
        <f>"| "&amp;IF(W118,GetTagPage(C118,VLOOKUP(C118,'(Ref) Countries'!A:C,3,)),C118)&amp; " "</f>
        <v xml:space="preserve">| [France](/tags/france) </v>
      </c>
      <c r="AJ118" s="37" t="str">
        <f t="shared" si="39"/>
        <v xml:space="preserve">| 1858 </v>
      </c>
      <c r="AK118" s="37" t="str">
        <f t="shared" si="40"/>
        <v xml:space="preserve">| [Link](/places/fr-sanctuary-of-our-lady-of-lourdes) </v>
      </c>
      <c r="AL118" s="45" t="str">
        <f t="shared" si="45"/>
        <v xml:space="preserve">| [Link](https://www.lourdes-france.org/) </v>
      </c>
      <c r="AM118" s="37" t="str">
        <f t="shared" si="46"/>
        <v xml:space="preserve">| [Link](http://www.therealpresence.org/eucharst/misc/BVM/40_LOURDES_140x96.pdf) </v>
      </c>
      <c r="AN118" s="37" t="str">
        <f t="shared" si="47"/>
        <v xml:space="preserve">| [Link](https://www.miraclehunter.com/marian_apparitions/approved_apparitions/lourdes/index.html) </v>
      </c>
      <c r="AO118" s="37" t="str">
        <f t="shared" si="48"/>
        <v xml:space="preserve">| [Link](https://www.marypages.com/lourdes-(frankrijk)-1858/) </v>
      </c>
      <c r="AP118" s="37" t="str">
        <f t="shared" si="42"/>
        <v xml:space="preserve">
| [Link](https://www.lourdes-france.org/) | [Link](http://www.therealpresence.org/eucharst/misc/BVM/40_LOURDES_140x96.pdf) | [Link](https://www.miraclehunter.com/marian_apparitions/approved_apparitions/lourdes/index.html) | [Link](https://www.marypages.com/lourdes-(frankrijk)-1858/) |</v>
      </c>
      <c r="AQ118" s="49" t="str">
        <f>VLOOKUP(C118,'(Ref) Countries'!A:B,2,)&amp;"-"&amp;LOWER(SUBSTITUTE(H118," ","-"))&amp;".md"</f>
        <v>fr-sanctuary-of-our-lady-of-lourdes.md</v>
      </c>
      <c r="AR118" s="35" t="str">
        <f t="shared" si="41"/>
        <v xml:space="preserve">
| [Lourdes](/places/fr-sanctuary-of-our-lady-of-lourdes) | [France](/tags/france) | 1858 | [Link](/places/fr-sanctuary-of-our-lady-of-lourdes) | [Link](https://www.lourdes-france.org/) | [Link](http://www.therealpresence.org/eucharst/misc/BVM/40_LOURDES_140x96.pdf) | [Link](https://www.miraclehunter.com/marian_apparitions/approved_apparitions/lourdes/index.html) | [Link](https://www.marypages.com/lourdes-(frankrijk)-1858/) | [St. Bernadette of Lourdes](/tags/bernadette-soubirous) |</v>
      </c>
      <c r="AS118" s="49" t="str">
        <f t="shared" si="49"/>
        <v xml:space="preserve">---
title: "Sanctuary of Our Lady of Lourdes"
location: {lat: 43.0974206, lng: -0.0582611}
tags:
- marian-sites
- churches
- france
- bernadette-soubirous
---
In a series of apparitions in 1858, the Virgin Mary appeared to St. Bernadette Soubirous.  The stream of holy water which St. Bernadette uncovered has become a well-known source of healing, and Lourdes is now a major pilgrimage destination.
#### Source Material
| Official Site | The Real Presence | Miracle Hunter | MaryPages |
| --- | --- | --- | --- |
| [Link](https://www.lourdes-france.org/) | [Link](http://www.therealpresence.org/eucharst/misc/BVM/40_LOURDES_140x96.pdf) | [Link](https://www.miraclehunter.com/marian_apparitions/approved_apparitions/lourdes/index.html) | [Link](https://www.marypages.com/lourdes-(frankrijk)-1858/) |
</v>
      </c>
      <c r="AT118" s="21" t="s">
        <v>336</v>
      </c>
    </row>
    <row r="119" spans="1:46" x14ac:dyDescent="0.25">
      <c r="A119" s="27"/>
      <c r="B119" s="31" t="s">
        <v>1289</v>
      </c>
      <c r="C119" s="32" t="s">
        <v>698</v>
      </c>
      <c r="D119" s="61">
        <v>1859</v>
      </c>
      <c r="E119" s="32"/>
      <c r="F119" s="32"/>
      <c r="G119" s="33"/>
      <c r="H119" s="33"/>
      <c r="I119" s="33" t="s">
        <v>1758</v>
      </c>
      <c r="J119" s="33"/>
      <c r="K119" s="32" t="s">
        <v>336</v>
      </c>
      <c r="L119" s="32" t="s">
        <v>336</v>
      </c>
      <c r="M119" s="32" t="s">
        <v>293</v>
      </c>
      <c r="N119" s="32" t="s">
        <v>336</v>
      </c>
      <c r="O119" s="32" t="s">
        <v>336</v>
      </c>
      <c r="P119" s="32" t="s">
        <v>336</v>
      </c>
      <c r="Q119" s="32" t="s">
        <v>336</v>
      </c>
      <c r="R119" s="32" t="s">
        <v>336</v>
      </c>
      <c r="S119" s="32" t="s">
        <v>336</v>
      </c>
      <c r="T119" s="32"/>
      <c r="U119" s="32"/>
      <c r="V119" s="33"/>
      <c r="W119" s="38" t="b">
        <f t="shared" si="33"/>
        <v>0</v>
      </c>
      <c r="X119" s="35" t="str">
        <f t="shared" si="43"/>
        <v>title: ""</v>
      </c>
      <c r="Y119" s="35" t="str">
        <f t="shared" si="44"/>
        <v>location: {lat: , lng: }</v>
      </c>
      <c r="Z119" s="35" t="str">
        <f>IF(LEN(S119)&gt;1,VLOOKUP(S119,Sheet3!$A:$B,2,),"")</f>
        <v/>
      </c>
      <c r="AA119" s="35" t="str">
        <f>IF(LEN(T119)&gt;1,VLOOKUP(T119,Sheet3!$A:$B,2,),"")</f>
        <v/>
      </c>
      <c r="AB119" s="35" t="str">
        <f>IF(LEN(U119)&gt;1,VLOOKUP(U119,Sheet3!$A:$B,2,),"")</f>
        <v/>
      </c>
      <c r="AC119" s="37" t="str">
        <f t="shared" si="34"/>
        <v/>
      </c>
      <c r="AD119" s="37" t="str">
        <f t="shared" si="35"/>
        <v/>
      </c>
      <c r="AE119" s="37" t="str">
        <f t="shared" si="36"/>
        <v/>
      </c>
      <c r="AF119" s="37" t="str">
        <f>"- marian-sites
- churches
- "&amp;VLOOKUP(C119,'(Ref) Countries'!A:C,3,)&amp;IF(LEN(S119)&gt;1,"
- "&amp;S119,"")&amp;IF(LEN(T119)&gt;1,"
- "&amp;T119,"")&amp;IF(LEN(U119)&gt;1,"
- "&amp;U119,"")</f>
        <v>- marian-sites
- churches
- usa</v>
      </c>
      <c r="AG119" s="37" t="str">
        <f t="shared" si="37"/>
        <v xml:space="preserve">| </v>
      </c>
      <c r="AH119" s="37" t="str">
        <f t="shared" si="38"/>
        <v xml:space="preserve">| Champion </v>
      </c>
      <c r="AI119" s="37" t="str">
        <f>"| "&amp;IF(W119,GetTagPage(C119,VLOOKUP(C119,'(Ref) Countries'!A:C,3,)),C119)&amp; " "</f>
        <v xml:space="preserve">| United States of America </v>
      </c>
      <c r="AJ119" s="37" t="str">
        <f t="shared" si="39"/>
        <v xml:space="preserve">| 1859 </v>
      </c>
      <c r="AK119" s="37" t="str">
        <f t="shared" si="40"/>
        <v xml:space="preserve">| </v>
      </c>
      <c r="AL119" s="35" t="str">
        <f t="shared" si="45"/>
        <v xml:space="preserve">| </v>
      </c>
      <c r="AM119" s="37" t="str">
        <f t="shared" si="46"/>
        <v xml:space="preserve">| [Link](http://www.therealpresence.org/eucharst/misc/BVM/96_CHAMPION_140x96.pdf) </v>
      </c>
      <c r="AN119" s="37" t="str">
        <f t="shared" si="47"/>
        <v xml:space="preserve">| </v>
      </c>
      <c r="AO119" s="37" t="str">
        <f t="shared" si="48"/>
        <v xml:space="preserve">| </v>
      </c>
      <c r="AP119" s="37" t="str">
        <f t="shared" si="42"/>
        <v xml:space="preserve">
| | [Link](http://www.therealpresence.org/eucharst/misc/BVM/96_CHAMPION_140x96.pdf) | | |</v>
      </c>
      <c r="AQ119" s="48" t="str">
        <f>VLOOKUP(C119,'(Ref) Countries'!A:B,2,)&amp;"-"&amp;LOWER(SUBSTITUTE(H119," ","-"))&amp;".md"</f>
        <v>us-.md</v>
      </c>
      <c r="AR119" s="35" t="str">
        <f t="shared" si="41"/>
        <v xml:space="preserve">
| Champion | United States of America | 1859 | | | [Link](http://www.therealpresence.org/eucharst/misc/BVM/96_CHAMPION_140x96.pdf) | | | |</v>
      </c>
      <c r="AS119" s="48" t="str">
        <f t="shared" si="49"/>
        <v/>
      </c>
      <c r="AT119" s="15" t="s">
        <v>336</v>
      </c>
    </row>
    <row r="120" spans="1:46" x14ac:dyDescent="0.25">
      <c r="A120" s="27"/>
      <c r="B120" s="31" t="s">
        <v>1290</v>
      </c>
      <c r="C120" s="32" t="s">
        <v>11</v>
      </c>
      <c r="D120" s="61">
        <v>1861</v>
      </c>
      <c r="E120" s="32"/>
      <c r="F120" s="32"/>
      <c r="G120" s="33"/>
      <c r="H120" s="33"/>
      <c r="I120" s="33" t="s">
        <v>1758</v>
      </c>
      <c r="J120" s="33"/>
      <c r="K120" s="32" t="s">
        <v>336</v>
      </c>
      <c r="L120" s="32" t="s">
        <v>336</v>
      </c>
      <c r="M120" s="32" t="s">
        <v>294</v>
      </c>
      <c r="N120" s="32" t="s">
        <v>336</v>
      </c>
      <c r="O120" s="32" t="s">
        <v>336</v>
      </c>
      <c r="P120" s="32" t="s">
        <v>336</v>
      </c>
      <c r="Q120" s="32" t="s">
        <v>336</v>
      </c>
      <c r="R120" s="32" t="s">
        <v>336</v>
      </c>
      <c r="S120" s="32" t="s">
        <v>336</v>
      </c>
      <c r="T120" s="32"/>
      <c r="U120" s="32"/>
      <c r="V120" s="33"/>
      <c r="W120" s="38" t="b">
        <f t="shared" si="33"/>
        <v>0</v>
      </c>
      <c r="X120" s="35" t="str">
        <f t="shared" si="43"/>
        <v>title: ""</v>
      </c>
      <c r="Y120" s="35" t="str">
        <f t="shared" si="44"/>
        <v>location: {lat: , lng: }</v>
      </c>
      <c r="Z120" s="35" t="str">
        <f>IF(LEN(S120)&gt;1,VLOOKUP(S120,Sheet3!$A:$B,2,),"")</f>
        <v/>
      </c>
      <c r="AA120" s="35" t="str">
        <f>IF(LEN(T120)&gt;1,VLOOKUP(T120,Sheet3!$A:$B,2,),"")</f>
        <v/>
      </c>
      <c r="AB120" s="35" t="str">
        <f>IF(LEN(U120)&gt;1,VLOOKUP(U120,Sheet3!$A:$B,2,),"")</f>
        <v/>
      </c>
      <c r="AC120" s="37" t="str">
        <f t="shared" si="34"/>
        <v/>
      </c>
      <c r="AD120" s="37" t="str">
        <f t="shared" si="35"/>
        <v/>
      </c>
      <c r="AE120" s="37" t="str">
        <f t="shared" si="36"/>
        <v/>
      </c>
      <c r="AF120" s="37" t="str">
        <f>"- marian-sites
- churches
- "&amp;VLOOKUP(C120,'(Ref) Countries'!A:C,3,)&amp;IF(LEN(S120)&gt;1,"
- "&amp;S120,"")&amp;IF(LEN(T120)&gt;1,"
- "&amp;T120,"")&amp;IF(LEN(U120)&gt;1,"
- "&amp;U120,"")</f>
        <v>- marian-sites
- churches
- italy</v>
      </c>
      <c r="AG120" s="37" t="str">
        <f t="shared" si="37"/>
        <v xml:space="preserve">| </v>
      </c>
      <c r="AH120" s="37" t="str">
        <f t="shared" si="38"/>
        <v xml:space="preserve">| Montefalco </v>
      </c>
      <c r="AI120" s="37" t="str">
        <f>"| "&amp;IF(W120,GetTagPage(C120,VLOOKUP(C120,'(Ref) Countries'!A:C,3,)),C120)&amp; " "</f>
        <v xml:space="preserve">| Italy </v>
      </c>
      <c r="AJ120" s="37" t="str">
        <f t="shared" si="39"/>
        <v xml:space="preserve">| 1861 </v>
      </c>
      <c r="AK120" s="37" t="str">
        <f t="shared" si="40"/>
        <v xml:space="preserve">| </v>
      </c>
      <c r="AL120" s="35" t="str">
        <f t="shared" si="45"/>
        <v xml:space="preserve">| </v>
      </c>
      <c r="AM120" s="37" t="str">
        <f t="shared" si="46"/>
        <v xml:space="preserve">| [Link](http://www.therealpresence.org/eucharst/misc/BVM/12_MONTEFALCO_60x96.pdf) </v>
      </c>
      <c r="AN120" s="37" t="str">
        <f t="shared" si="47"/>
        <v xml:space="preserve">| </v>
      </c>
      <c r="AO120" s="37" t="str">
        <f t="shared" si="48"/>
        <v xml:space="preserve">| </v>
      </c>
      <c r="AP120" s="37" t="str">
        <f t="shared" si="42"/>
        <v xml:space="preserve">
| | [Link](http://www.therealpresence.org/eucharst/misc/BVM/12_MONTEFALCO_60x96.pdf) | | |</v>
      </c>
      <c r="AQ120" s="48" t="str">
        <f>VLOOKUP(C120,'(Ref) Countries'!A:B,2,)&amp;"-"&amp;LOWER(SUBSTITUTE(H120," ","-"))&amp;".md"</f>
        <v>it-.md</v>
      </c>
      <c r="AR120" s="35" t="str">
        <f t="shared" si="41"/>
        <v xml:space="preserve">
| Montefalco | Italy | 1861 | | | [Link](http://www.therealpresence.org/eucharst/misc/BVM/12_MONTEFALCO_60x96.pdf) | | | |</v>
      </c>
      <c r="AS120" s="48" t="str">
        <f t="shared" si="49"/>
        <v/>
      </c>
      <c r="AT120" s="15" t="s">
        <v>336</v>
      </c>
    </row>
    <row r="121" spans="1:46" ht="102" x14ac:dyDescent="0.25">
      <c r="A121" s="29" t="s">
        <v>1330</v>
      </c>
      <c r="B121" s="31" t="s">
        <v>999</v>
      </c>
      <c r="C121" s="32" t="s">
        <v>542</v>
      </c>
      <c r="D121" s="61">
        <v>1866</v>
      </c>
      <c r="E121" s="32">
        <v>50.980685700000002</v>
      </c>
      <c r="F121" s="32">
        <v>14.597349899999999</v>
      </c>
      <c r="G121" s="33" t="s">
        <v>368</v>
      </c>
      <c r="H121" s="33" t="s">
        <v>368</v>
      </c>
      <c r="I121" s="33" t="s">
        <v>1758</v>
      </c>
      <c r="J121" s="33" t="s">
        <v>365</v>
      </c>
      <c r="K121" s="32" t="s">
        <v>367</v>
      </c>
      <c r="L121" s="32" t="s">
        <v>1339</v>
      </c>
      <c r="M121" s="32" t="s">
        <v>295</v>
      </c>
      <c r="N121" s="32" t="s">
        <v>336</v>
      </c>
      <c r="O121" s="32" t="s">
        <v>366</v>
      </c>
      <c r="P121" s="32" t="s">
        <v>336</v>
      </c>
      <c r="Q121" s="32" t="s">
        <v>336</v>
      </c>
      <c r="R121" s="32" t="s">
        <v>336</v>
      </c>
      <c r="S121" s="34" t="s">
        <v>336</v>
      </c>
      <c r="T121" s="34"/>
      <c r="U121" s="34"/>
      <c r="V121" s="66" t="s">
        <v>1745</v>
      </c>
      <c r="W121" s="38" t="b">
        <f t="shared" si="33"/>
        <v>1</v>
      </c>
      <c r="X121" s="35" t="str">
        <f t="shared" si="43"/>
        <v>title: "Basilica of Our Lady Help of Christians"</v>
      </c>
      <c r="Y121" s="35" t="str">
        <f t="shared" si="44"/>
        <v>location: {lat: 50.9806857, lng: 14.5973499}</v>
      </c>
      <c r="Z121" s="37" t="str">
        <f>IF(LEN(S121)&gt;1,VLOOKUP(S121,Sheet3!$A:$B,2,),"")</f>
        <v/>
      </c>
      <c r="AA121" s="37" t="str">
        <f>IF(LEN(T121)&gt;1,VLOOKUP(T121,Sheet3!$A:$B,2,),"")</f>
        <v/>
      </c>
      <c r="AB121" s="37" t="str">
        <f>IF(LEN(U121)&gt;1,VLOOKUP(U121,Sheet3!$A:$B,2,),"")</f>
        <v/>
      </c>
      <c r="AC121" s="37" t="str">
        <f t="shared" si="34"/>
        <v/>
      </c>
      <c r="AD121" s="37" t="str">
        <f t="shared" si="35"/>
        <v/>
      </c>
      <c r="AE121" s="37" t="str">
        <f t="shared" si="36"/>
        <v/>
      </c>
      <c r="AF121" s="37" t="str">
        <f>"- marian-sites
- churches
- "&amp;VLOOKUP(C121,'(Ref) Countries'!A:C,3,)&amp;IF(LEN(S121)&gt;1,"
- "&amp;S121,"")&amp;IF(LEN(T121)&gt;1,"
- "&amp;T121,"")&amp;IF(LEN(U121)&gt;1,"
- "&amp;U121,"")</f>
        <v>- marian-sites
- churches
- czechia</v>
      </c>
      <c r="AG121" s="37" t="str">
        <f t="shared" si="37"/>
        <v xml:space="preserve">| </v>
      </c>
      <c r="AH121" s="37" t="str">
        <f t="shared" si="38"/>
        <v xml:space="preserve">| [Filipov](/places/cz-basilica-of-our-lady-help-of-christians) </v>
      </c>
      <c r="AI121" s="37" t="str">
        <f>"| "&amp;IF(W121,GetTagPage(C121,VLOOKUP(C121,'(Ref) Countries'!A:C,3,)),C121)&amp; " "</f>
        <v xml:space="preserve">| [Czechia](/tags/czechia) </v>
      </c>
      <c r="AJ121" s="37" t="str">
        <f t="shared" si="39"/>
        <v xml:space="preserve">| 1866 </v>
      </c>
      <c r="AK121" s="37" t="str">
        <f t="shared" si="40"/>
        <v xml:space="preserve">| [Link](/places/cz-basilica-of-our-lady-help-of-christians) </v>
      </c>
      <c r="AL121" s="35" t="str">
        <f t="shared" si="45"/>
        <v xml:space="preserve">| [Link](http://cz.poutni-mista-sluknovsko.cz/bazilika-minor-panny-marie-pomocnice-krestanu-filipov.html), [Facebook](https://www.facebook.com/poutnimistofilipov) </v>
      </c>
      <c r="AM121" s="37" t="str">
        <f t="shared" si="46"/>
        <v xml:space="preserve">| [Link](http://www.therealpresence.org/eucharst/misc/BVM/89_FILIPOV_96x96.pdf) </v>
      </c>
      <c r="AN121" s="37" t="str">
        <f t="shared" si="47"/>
        <v xml:space="preserve">| [Link](https://www.miraclehunter.com/marian_apparitions/approved_apparitions/filippsdorf/index.html) </v>
      </c>
      <c r="AO121" s="37" t="str">
        <f t="shared" si="48"/>
        <v xml:space="preserve">| </v>
      </c>
      <c r="AP121" s="37" t="str">
        <f t="shared" si="42"/>
        <v xml:space="preserve">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v>
      </c>
      <c r="AQ121" s="48" t="str">
        <f>VLOOKUP(C121,'(Ref) Countries'!A:B,2,)&amp;"-"&amp;LOWER(SUBSTITUTE(H121," ","-"))&amp;".md"</f>
        <v>cz-basilica-of-our-lady-help-of-christians.md</v>
      </c>
      <c r="AR121" s="35" t="str">
        <f t="shared" si="41"/>
        <v xml:space="preserve">
| [Filipov](/places/cz-basilica-of-our-lady-help-of-christians) | [Czechia](/tags/czechia) | 1866 | [Link](/places/cz-basilica-of-our-lady-help-of-christians)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v>
      </c>
      <c r="AS121" s="48" t="str">
        <f t="shared" si="49"/>
        <v>---
title: "Basilica of Our Lady Help of Christians"
location: {lat: 50.9806857, lng: 14.5973499}
tags:
- marian-sites
- churches
- czechia
---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
#### Source Material
| Official Site | The Real Presence | Miracle Hunter | MaryPages |
| --- | --- | --- | --- |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 Author's Note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 JMM</v>
      </c>
      <c r="AT121" s="15" t="s">
        <v>336</v>
      </c>
    </row>
    <row r="122" spans="1:46" ht="51" x14ac:dyDescent="0.25">
      <c r="A122" s="27" t="s">
        <v>1330</v>
      </c>
      <c r="B122" s="31" t="s">
        <v>1000</v>
      </c>
      <c r="C122" s="32" t="s">
        <v>558</v>
      </c>
      <c r="D122" s="61">
        <v>1871</v>
      </c>
      <c r="E122" s="32">
        <v>48.439602100000002</v>
      </c>
      <c r="F122" s="32">
        <v>-1.0592325</v>
      </c>
      <c r="G122" s="33" t="s">
        <v>479</v>
      </c>
      <c r="H122" s="33" t="s">
        <v>994</v>
      </c>
      <c r="I122" s="33" t="s">
        <v>1758</v>
      </c>
      <c r="J122" s="33" t="s">
        <v>361</v>
      </c>
      <c r="K122" s="32" t="s">
        <v>364</v>
      </c>
      <c r="L122" s="32" t="s">
        <v>336</v>
      </c>
      <c r="M122" s="32" t="s">
        <v>296</v>
      </c>
      <c r="N122" s="32" t="s">
        <v>336</v>
      </c>
      <c r="O122" s="32" t="s">
        <v>362</v>
      </c>
      <c r="P122" s="32" t="s">
        <v>336</v>
      </c>
      <c r="Q122" s="32" t="s">
        <v>363</v>
      </c>
      <c r="R122" s="32" t="s">
        <v>336</v>
      </c>
      <c r="S122" s="34" t="s">
        <v>336</v>
      </c>
      <c r="T122" s="34"/>
      <c r="U122" s="34"/>
      <c r="V122" s="33"/>
      <c r="W122" s="38" t="b">
        <f t="shared" si="33"/>
        <v>1</v>
      </c>
      <c r="X122" s="35" t="str">
        <f t="shared" si="43"/>
        <v>title: "Sanctuary of Pontmain (Mother of Hope)"</v>
      </c>
      <c r="Y122" s="35" t="str">
        <f t="shared" si="44"/>
        <v>location: {lat: 48.4396021, lng: -1.0592325}</v>
      </c>
      <c r="Z122" s="37" t="str">
        <f>IF(LEN(S122)&gt;1,VLOOKUP(S122,Sheet3!$A:$B,2,),"")</f>
        <v/>
      </c>
      <c r="AA122" s="37" t="str">
        <f>IF(LEN(T122)&gt;1,VLOOKUP(T122,Sheet3!$A:$B,2,),"")</f>
        <v/>
      </c>
      <c r="AB122" s="37" t="str">
        <f>IF(LEN(U122)&gt;1,VLOOKUP(U122,Sheet3!$A:$B,2,),"")</f>
        <v/>
      </c>
      <c r="AC122" s="37" t="str">
        <f t="shared" si="34"/>
        <v/>
      </c>
      <c r="AD122" s="37" t="str">
        <f t="shared" si="35"/>
        <v/>
      </c>
      <c r="AE122" s="37" t="str">
        <f t="shared" si="36"/>
        <v/>
      </c>
      <c r="AF122" s="37" t="str">
        <f>"- marian-sites
- churches
- "&amp;VLOOKUP(C122,'(Ref) Countries'!A:C,3,)&amp;IF(LEN(S122)&gt;1,"
- "&amp;S122,"")&amp;IF(LEN(T122)&gt;1,"
- "&amp;T122,"")&amp;IF(LEN(U122)&gt;1,"
- "&amp;U122,"")</f>
        <v>- marian-sites
- churches
- france</v>
      </c>
      <c r="AG122" s="37" t="str">
        <f t="shared" si="37"/>
        <v xml:space="preserve">| </v>
      </c>
      <c r="AH122" s="37" t="str">
        <f t="shared" si="38"/>
        <v xml:space="preserve">| [Pontmain](/places/fr-sanctuary-of-pontmain) </v>
      </c>
      <c r="AI122" s="37" t="str">
        <f>"| "&amp;IF(W122,GetTagPage(C122,VLOOKUP(C122,'(Ref) Countries'!A:C,3,)),C122)&amp; " "</f>
        <v xml:space="preserve">| [France](/tags/france) </v>
      </c>
      <c r="AJ122" s="37" t="str">
        <f t="shared" si="39"/>
        <v xml:space="preserve">| 1871 </v>
      </c>
      <c r="AK122" s="37" t="str">
        <f t="shared" si="40"/>
        <v xml:space="preserve">| [Link](/places/fr-sanctuary-of-pontmain) </v>
      </c>
      <c r="AL122" s="35" t="str">
        <f t="shared" si="45"/>
        <v xml:space="preserve">| [Link](https://sanctuaire-pontmain.com/) </v>
      </c>
      <c r="AM122" s="37" t="str">
        <f t="shared" si="46"/>
        <v xml:space="preserve">| [Link](http://www.therealpresence.org/eucharst/misc/BVM/26_PONTMAIN_60x96.pdf) </v>
      </c>
      <c r="AN122" s="37" t="str">
        <f t="shared" si="47"/>
        <v xml:space="preserve">| [Link](https://www.miraclehunter.com/marian_apparitions/approved_apparitions/pontmain/index.html)) </v>
      </c>
      <c r="AO122" s="37" t="str">
        <f t="shared" si="48"/>
        <v xml:space="preserve">| [Link](https://www.marypages.com/pontmain-(france)-en.html) </v>
      </c>
      <c r="AP122" s="37" t="str">
        <f t="shared" si="42"/>
        <v xml:space="preserve">
| [Link](https://sanctuaire-pontmain.com/) | [Link](http://www.therealpresence.org/eucharst/misc/BVM/26_PONTMAIN_60x96.pdf) | [Link](https://www.miraclehunter.com/marian_apparitions/approved_apparitions/pontmain/index.html)) | [Link](https://www.marypages.com/pontmain-(france)-en.html) |</v>
      </c>
      <c r="AQ122" s="48" t="str">
        <f>VLOOKUP(C122,'(Ref) Countries'!A:B,2,)&amp;"-"&amp;LOWER(SUBSTITUTE(H122," ","-"))&amp;".md"</f>
        <v>fr-sanctuary-of-pontmain.md</v>
      </c>
      <c r="AR122" s="35" t="str">
        <f t="shared" si="41"/>
        <v xml:space="preserve">
| [Pontmain](/places/fr-sanctuary-of-pontmain) | [France](/tags/france) | 1871 | [Link](/places/fr-sanctuary-of-pontmain) | [Link](https://sanctuaire-pontmain.com/) | [Link](http://www.therealpresence.org/eucharst/misc/BVM/26_PONTMAIN_60x96.pdf) | [Link](https://www.miraclehunter.com/marian_apparitions/approved_apparitions/pontmain/index.html)) | [Link](https://www.marypages.com/pontmain-(france)-en.html) | |</v>
      </c>
      <c r="AS122" s="48" t="str">
        <f t="shared" si="49"/>
        <v xml:space="preserve">---
title: "Sanctuary of Pontmain (Mother of Hope)"
location: {lat: 48.4396021, lng: -1.0592325}
tags:
- marian-sites
- churches
- france
---
In 1871, during the Franco-Prussian War, Mary appeared on a farm to students at the nearby convent school.  Her message was written on a banner that unfurled from her feet: "But pray my children. God will hear you in a short time. My Son allows Himself to be moved by compassion."
#### Source Material
| Official Site | The Real Presence | Miracle Hunter | MaryPages |
| --- | --- | --- | --- |
| [Link](https://sanctuaire-pontmain.com/) | [Link](http://www.therealpresence.org/eucharst/misc/BVM/26_PONTMAIN_60x96.pdf) | [Link](https://www.miraclehunter.com/marian_apparitions/approved_apparitions/pontmain/index.html)) | [Link](https://www.marypages.com/pontmain-(france)-en.html) |
</v>
      </c>
      <c r="AT122" s="15" t="s">
        <v>336</v>
      </c>
    </row>
    <row r="123" spans="1:46" x14ac:dyDescent="0.25">
      <c r="A123" s="27"/>
      <c r="B123" s="31" t="s">
        <v>1291</v>
      </c>
      <c r="C123" s="32" t="s">
        <v>558</v>
      </c>
      <c r="D123" s="61">
        <v>1873</v>
      </c>
      <c r="E123" s="32"/>
      <c r="F123" s="32"/>
      <c r="G123" s="33"/>
      <c r="H123" s="33"/>
      <c r="I123" s="33" t="s">
        <v>1758</v>
      </c>
      <c r="J123" s="33"/>
      <c r="K123" s="32" t="s">
        <v>336</v>
      </c>
      <c r="L123" s="32" t="s">
        <v>336</v>
      </c>
      <c r="M123" s="32" t="s">
        <v>297</v>
      </c>
      <c r="N123" s="32" t="s">
        <v>336</v>
      </c>
      <c r="O123" s="32" t="s">
        <v>336</v>
      </c>
      <c r="P123" s="32" t="s">
        <v>336</v>
      </c>
      <c r="Q123" s="32" t="s">
        <v>336</v>
      </c>
      <c r="R123" s="32" t="s">
        <v>336</v>
      </c>
      <c r="S123" s="32" t="s">
        <v>336</v>
      </c>
      <c r="T123" s="32"/>
      <c r="U123" s="32"/>
      <c r="V123" s="33"/>
      <c r="W123" s="38" t="b">
        <f t="shared" si="33"/>
        <v>0</v>
      </c>
      <c r="X123" s="35" t="str">
        <f t="shared" si="43"/>
        <v>title: ""</v>
      </c>
      <c r="Y123" s="35" t="str">
        <f t="shared" si="44"/>
        <v>location: {lat: , lng: }</v>
      </c>
      <c r="Z123" s="35" t="str">
        <f>IF(LEN(S123)&gt;1,VLOOKUP(S123,Sheet3!$A:$B,2,),"")</f>
        <v/>
      </c>
      <c r="AA123" s="35" t="str">
        <f>IF(LEN(T123)&gt;1,VLOOKUP(T123,Sheet3!$A:$B,2,),"")</f>
        <v/>
      </c>
      <c r="AB123" s="35" t="str">
        <f>IF(LEN(U123)&gt;1,VLOOKUP(U123,Sheet3!$A:$B,2,),"")</f>
        <v/>
      </c>
      <c r="AC123" s="37" t="str">
        <f t="shared" si="34"/>
        <v/>
      </c>
      <c r="AD123" s="37" t="str">
        <f t="shared" si="35"/>
        <v/>
      </c>
      <c r="AE123" s="37" t="str">
        <f t="shared" si="36"/>
        <v/>
      </c>
      <c r="AF123" s="37" t="str">
        <f>"- marian-sites
- churches
- "&amp;VLOOKUP(C123,'(Ref) Countries'!A:C,3,)&amp;IF(LEN(S123)&gt;1,"
- "&amp;S123,"")&amp;IF(LEN(T123)&gt;1,"
- "&amp;T123,"")&amp;IF(LEN(U123)&gt;1,"
- "&amp;U123,"")</f>
        <v>- marian-sites
- churches
- france</v>
      </c>
      <c r="AG123" s="37" t="str">
        <f t="shared" si="37"/>
        <v xml:space="preserve">| </v>
      </c>
      <c r="AH123" s="37" t="str">
        <f t="shared" si="38"/>
        <v xml:space="preserve">| Saint Bauzille de la Sylve </v>
      </c>
      <c r="AI123" s="37" t="str">
        <f>"| "&amp;IF(W123,GetTagPage(C123,VLOOKUP(C123,'(Ref) Countries'!A:C,3,)),C123)&amp; " "</f>
        <v xml:space="preserve">| France </v>
      </c>
      <c r="AJ123" s="37" t="str">
        <f t="shared" si="39"/>
        <v xml:space="preserve">| 1873 </v>
      </c>
      <c r="AK123" s="37" t="str">
        <f t="shared" si="40"/>
        <v xml:space="preserve">| </v>
      </c>
      <c r="AL123" s="35" t="str">
        <f t="shared" si="45"/>
        <v xml:space="preserve">| </v>
      </c>
      <c r="AM123" s="37" t="str">
        <f t="shared" si="46"/>
        <v xml:space="preserve">| [Link](http://www.therealpresence.org/eucharst/misc/BVM/135_S_BAUZILLE_96x96.pdf) </v>
      </c>
      <c r="AN123" s="37" t="str">
        <f t="shared" si="47"/>
        <v xml:space="preserve">| </v>
      </c>
      <c r="AO123" s="37" t="str">
        <f t="shared" si="48"/>
        <v xml:space="preserve">| </v>
      </c>
      <c r="AP123" s="37" t="str">
        <f t="shared" si="42"/>
        <v xml:space="preserve">
| | [Link](http://www.therealpresence.org/eucharst/misc/BVM/135_S_BAUZILLE_96x96.pdf) | | |</v>
      </c>
      <c r="AQ123" s="48" t="str">
        <f>VLOOKUP(C123,'(Ref) Countries'!A:B,2,)&amp;"-"&amp;LOWER(SUBSTITUTE(H123," ","-"))&amp;".md"</f>
        <v>fr-.md</v>
      </c>
      <c r="AR123" s="35" t="str">
        <f t="shared" si="41"/>
        <v xml:space="preserve">
| Saint Bauzille de la Sylve | France | 1873 | | | [Link](http://www.therealpresence.org/eucharst/misc/BVM/135_S_BAUZILLE_96x96.pdf) | | | |</v>
      </c>
      <c r="AS123" s="48" t="str">
        <f t="shared" si="49"/>
        <v/>
      </c>
      <c r="AT123" s="15" t="s">
        <v>336</v>
      </c>
    </row>
    <row r="124" spans="1:46" x14ac:dyDescent="0.25">
      <c r="A124" s="27"/>
      <c r="B124" s="31" t="s">
        <v>1292</v>
      </c>
      <c r="C124" s="32" t="s">
        <v>11</v>
      </c>
      <c r="D124" s="61">
        <v>1875</v>
      </c>
      <c r="E124" s="32"/>
      <c r="F124" s="32"/>
      <c r="G124" s="33"/>
      <c r="H124" s="33"/>
      <c r="I124" s="33" t="s">
        <v>1758</v>
      </c>
      <c r="J124" s="33"/>
      <c r="K124" s="32" t="s">
        <v>336</v>
      </c>
      <c r="L124" s="32" t="s">
        <v>336</v>
      </c>
      <c r="M124" s="32" t="s">
        <v>298</v>
      </c>
      <c r="N124" s="32" t="s">
        <v>336</v>
      </c>
      <c r="O124" s="32" t="s">
        <v>336</v>
      </c>
      <c r="P124" s="32" t="s">
        <v>336</v>
      </c>
      <c r="Q124" s="32" t="s">
        <v>336</v>
      </c>
      <c r="R124" s="32" t="s">
        <v>336</v>
      </c>
      <c r="S124" s="32" t="s">
        <v>336</v>
      </c>
      <c r="T124" s="32"/>
      <c r="U124" s="32"/>
      <c r="V124" s="33"/>
      <c r="W124" s="38" t="b">
        <f t="shared" si="33"/>
        <v>0</v>
      </c>
      <c r="X124" s="35" t="str">
        <f t="shared" si="43"/>
        <v>title: ""</v>
      </c>
      <c r="Y124" s="35" t="str">
        <f t="shared" si="44"/>
        <v>location: {lat: , lng: }</v>
      </c>
      <c r="Z124" s="35" t="str">
        <f>IF(LEN(S124)&gt;1,VLOOKUP(S124,Sheet3!$A:$B,2,),"")</f>
        <v/>
      </c>
      <c r="AA124" s="35" t="str">
        <f>IF(LEN(T124)&gt;1,VLOOKUP(T124,Sheet3!$A:$B,2,),"")</f>
        <v/>
      </c>
      <c r="AB124" s="35" t="str">
        <f>IF(LEN(U124)&gt;1,VLOOKUP(U124,Sheet3!$A:$B,2,),"")</f>
        <v/>
      </c>
      <c r="AC124" s="37" t="str">
        <f t="shared" si="34"/>
        <v/>
      </c>
      <c r="AD124" s="37" t="str">
        <f t="shared" si="35"/>
        <v/>
      </c>
      <c r="AE124" s="37" t="str">
        <f t="shared" si="36"/>
        <v/>
      </c>
      <c r="AF124" s="37" t="str">
        <f>"- marian-sites
- churches
- "&amp;VLOOKUP(C124,'(Ref) Countries'!A:C,3,)&amp;IF(LEN(S124)&gt;1,"
- "&amp;S124,"")&amp;IF(LEN(T124)&gt;1,"
- "&amp;T124,"")&amp;IF(LEN(U124)&gt;1,"
- "&amp;U124,"")</f>
        <v>- marian-sites
- churches
- italy</v>
      </c>
      <c r="AG124" s="37" t="str">
        <f t="shared" si="37"/>
        <v xml:space="preserve">| </v>
      </c>
      <c r="AH124" s="37" t="str">
        <f t="shared" si="38"/>
        <v xml:space="preserve">| Pompei </v>
      </c>
      <c r="AI124" s="37" t="str">
        <f>"| "&amp;IF(W124,GetTagPage(C124,VLOOKUP(C124,'(Ref) Countries'!A:C,3,)),C124)&amp; " "</f>
        <v xml:space="preserve">| Italy </v>
      </c>
      <c r="AJ124" s="37" t="str">
        <f t="shared" si="39"/>
        <v xml:space="preserve">| 1875 </v>
      </c>
      <c r="AK124" s="37" t="str">
        <f t="shared" si="40"/>
        <v xml:space="preserve">| </v>
      </c>
      <c r="AL124" s="35" t="str">
        <f t="shared" si="45"/>
        <v xml:space="preserve">| </v>
      </c>
      <c r="AM124" s="37" t="str">
        <f t="shared" si="46"/>
        <v xml:space="preserve">| [Link](http://www.therealpresence.org/eucharst/misc/BVM/25_POMPEI_96x96.pdf) </v>
      </c>
      <c r="AN124" s="37" t="str">
        <f t="shared" si="47"/>
        <v xml:space="preserve">| </v>
      </c>
      <c r="AO124" s="37" t="str">
        <f t="shared" si="48"/>
        <v xml:space="preserve">| </v>
      </c>
      <c r="AP124" s="37" t="str">
        <f t="shared" si="42"/>
        <v xml:space="preserve">
| | [Link](http://www.therealpresence.org/eucharst/misc/BVM/25_POMPEI_96x96.pdf) | | |</v>
      </c>
      <c r="AQ124" s="48" t="str">
        <f>VLOOKUP(C124,'(Ref) Countries'!A:B,2,)&amp;"-"&amp;LOWER(SUBSTITUTE(H124," ","-"))&amp;".md"</f>
        <v>it-.md</v>
      </c>
      <c r="AR124" s="35" t="str">
        <f t="shared" si="41"/>
        <v xml:space="preserve">
| Pompei | Italy | 1875 | | | [Link](http://www.therealpresence.org/eucharst/misc/BVM/25_POMPEI_96x96.pdf) | | | |</v>
      </c>
      <c r="AS124" s="48" t="str">
        <f t="shared" si="49"/>
        <v/>
      </c>
      <c r="AT124" s="15" t="s">
        <v>336</v>
      </c>
    </row>
    <row r="125" spans="1:46" x14ac:dyDescent="0.25">
      <c r="A125" s="27" t="s">
        <v>1058</v>
      </c>
      <c r="B125" s="31" t="s">
        <v>1293</v>
      </c>
      <c r="C125" s="32" t="s">
        <v>558</v>
      </c>
      <c r="D125" s="61">
        <v>1876</v>
      </c>
      <c r="E125" s="32">
        <v>46.982858987663199</v>
      </c>
      <c r="F125" s="32">
        <v>1.4171181142389</v>
      </c>
      <c r="G125" s="66" t="s">
        <v>1723</v>
      </c>
      <c r="H125" s="33" t="s">
        <v>1723</v>
      </c>
      <c r="I125" s="33" t="s">
        <v>1758</v>
      </c>
      <c r="J125" s="66" t="s">
        <v>1345</v>
      </c>
      <c r="K125" s="32" t="s">
        <v>1724</v>
      </c>
      <c r="L125" s="32" t="s">
        <v>336</v>
      </c>
      <c r="M125" s="32" t="s">
        <v>299</v>
      </c>
      <c r="N125" s="32" t="s">
        <v>336</v>
      </c>
      <c r="O125" s="32" t="s">
        <v>1725</v>
      </c>
      <c r="P125" s="32" t="s">
        <v>336</v>
      </c>
      <c r="Q125" s="32" t="s">
        <v>1726</v>
      </c>
      <c r="R125" s="32" t="s">
        <v>336</v>
      </c>
      <c r="S125" s="32" t="s">
        <v>336</v>
      </c>
      <c r="T125" s="32"/>
      <c r="U125" s="32"/>
      <c r="V125" s="33"/>
      <c r="W125" s="38" t="b">
        <f t="shared" si="33"/>
        <v>1</v>
      </c>
      <c r="X125" s="35" t="str">
        <f t="shared" si="43"/>
        <v>title: "Sanctuary of Pellevoisin"</v>
      </c>
      <c r="Y125" s="35" t="str">
        <f t="shared" si="44"/>
        <v>location: {lat: 46.9828589876632, lng: 1.4171181142389}</v>
      </c>
      <c r="Z125" s="35" t="str">
        <f>IF(LEN(S125)&gt;1,VLOOKUP(S125,Sheet3!$A:$B,2,),"")</f>
        <v/>
      </c>
      <c r="AA125" s="35" t="str">
        <f>IF(LEN(T125)&gt;1,VLOOKUP(T125,Sheet3!$A:$B,2,),"")</f>
        <v/>
      </c>
      <c r="AB125" s="35" t="str">
        <f>IF(LEN(U125)&gt;1,VLOOKUP(U125,Sheet3!$A:$B,2,),"")</f>
        <v/>
      </c>
      <c r="AC125" s="37" t="str">
        <f t="shared" si="34"/>
        <v/>
      </c>
      <c r="AD125" s="37" t="str">
        <f t="shared" si="35"/>
        <v/>
      </c>
      <c r="AE125" s="37" t="str">
        <f t="shared" si="36"/>
        <v/>
      </c>
      <c r="AF125" s="37" t="str">
        <f>"- marian-sites
- churches
- "&amp;VLOOKUP(C125,'(Ref) Countries'!A:C,3,)&amp;IF(LEN(S125)&gt;1,"
- "&amp;S125,"")&amp;IF(LEN(T125)&gt;1,"
- "&amp;T125,"")&amp;IF(LEN(U125)&gt;1,"
- "&amp;U125,"")</f>
        <v>- marian-sites
- churches
- france</v>
      </c>
      <c r="AG125" s="37" t="str">
        <f t="shared" si="37"/>
        <v xml:space="preserve">| </v>
      </c>
      <c r="AH125" s="37" t="str">
        <f t="shared" si="38"/>
        <v xml:space="preserve">| [Pellovoisin](/places/fr-sanctuary-of-pellevoisin) </v>
      </c>
      <c r="AI125" s="37" t="str">
        <f>"| "&amp;IF(W125,GetTagPage(C125,VLOOKUP(C125,'(Ref) Countries'!A:C,3,)),C125)&amp; " "</f>
        <v xml:space="preserve">| [France](/tags/france) </v>
      </c>
      <c r="AJ125" s="37" t="str">
        <f t="shared" si="39"/>
        <v xml:space="preserve">| 1876 </v>
      </c>
      <c r="AK125" s="37" t="str">
        <f t="shared" si="40"/>
        <v xml:space="preserve">| [Link](/places/fr-sanctuary-of-pellevoisin) </v>
      </c>
      <c r="AL125" s="35" t="str">
        <f t="shared" si="45"/>
        <v xml:space="preserve">| [Link](https://www.pellevoisin.net/) </v>
      </c>
      <c r="AM125" s="37" t="str">
        <f t="shared" si="46"/>
        <v xml:space="preserve">| [Link](http://www.therealpresence.org/eucharst/misc/BVM/07_PELLEVOISIN_60x96.pdf) </v>
      </c>
      <c r="AN125" s="37" t="str">
        <f t="shared" si="47"/>
        <v xml:space="preserve">| [Link](https://www.miraclehunter.com/marian_apparitions/approved_apparitions/pellevoisin/index.html) </v>
      </c>
      <c r="AO125" s="37" t="str">
        <f t="shared" si="48"/>
        <v xml:space="preserve">| [Link](https://www.marypages.com/pellevoisin-france-en.html) </v>
      </c>
      <c r="AP125" s="37" t="str">
        <f t="shared" si="42"/>
        <v xml:space="preserve">
| [Link](https://www.pellevoisin.net/) | [Link](http://www.therealpresence.org/eucharst/misc/BVM/07_PELLEVOISIN_60x96.pdf) | [Link](https://www.miraclehunter.com/marian_apparitions/approved_apparitions/pellevoisin/index.html) | [Link](https://www.marypages.com/pellevoisin-france-en.html) |</v>
      </c>
      <c r="AQ125" s="48" t="str">
        <f>VLOOKUP(C125,'(Ref) Countries'!A:B,2,)&amp;"-"&amp;LOWER(SUBSTITUTE(H125," ","-"))&amp;".md"</f>
        <v>fr-sanctuary-of-pellevoisin.md</v>
      </c>
      <c r="AR125" s="35" t="str">
        <f t="shared" si="41"/>
        <v xml:space="preserve">
| [Pellovoisin](/places/fr-sanctuary-of-pellevoisin) | [France](/tags/france) | 1876 | [Link](/places/fr-sanctuary-of-pellevoisin) | [Link](https://www.pellevoisin.net/) | [Link](http://www.therealpresence.org/eucharst/misc/BVM/07_PELLEVOISIN_60x96.pdf) | [Link](https://www.miraclehunter.com/marian_apparitions/approved_apparitions/pellevoisin/index.html) | [Link](https://www.marypages.com/pellevoisin-france-en.html) | |</v>
      </c>
      <c r="AS125" s="48" t="str">
        <f t="shared" si="49"/>
        <v xml:space="preserve">---
title: "Sanctuary of Pellevoisin"
location: {lat: 46.9828589876632, lng: 1.4171181142389}
tags:
- marian-sites
- churches
- france
---
_Research in progress_
#### Source Material
| Official Site | The Real Presence | Miracle Hunter | MaryPages |
| --- | --- | --- | --- |
| [Link](https://www.pellevoisin.net/) | [Link](http://www.therealpresence.org/eucharst/misc/BVM/07_PELLEVOISIN_60x96.pdf) | [Link](https://www.miraclehunter.com/marian_apparitions/approved_apparitions/pellevoisin/index.html) | [Link](https://www.marypages.com/pellevoisin-france-en.html) |
</v>
      </c>
      <c r="AT125" s="15" t="s">
        <v>336</v>
      </c>
    </row>
    <row r="126" spans="1:46" ht="51" x14ac:dyDescent="0.25">
      <c r="A126" s="27" t="s">
        <v>1330</v>
      </c>
      <c r="B126" s="31" t="s">
        <v>998</v>
      </c>
      <c r="C126" s="32" t="s">
        <v>652</v>
      </c>
      <c r="D126" s="61">
        <v>1877</v>
      </c>
      <c r="E126" s="32">
        <v>53.7480853</v>
      </c>
      <c r="F126" s="32">
        <v>20.235602400000001</v>
      </c>
      <c r="G126" s="33" t="s">
        <v>475</v>
      </c>
      <c r="H126" s="33" t="s">
        <v>475</v>
      </c>
      <c r="I126" s="33" t="s">
        <v>1758</v>
      </c>
      <c r="J126" s="33" t="s">
        <v>354</v>
      </c>
      <c r="K126" s="32" t="s">
        <v>357</v>
      </c>
      <c r="L126" s="32" t="s">
        <v>336</v>
      </c>
      <c r="M126" s="32" t="s">
        <v>300</v>
      </c>
      <c r="N126" s="32" t="s">
        <v>336</v>
      </c>
      <c r="O126" s="32" t="s">
        <v>356</v>
      </c>
      <c r="P126" s="32" t="s">
        <v>336</v>
      </c>
      <c r="Q126" s="32" t="s">
        <v>355</v>
      </c>
      <c r="R126" s="32" t="s">
        <v>336</v>
      </c>
      <c r="S126" s="40" t="s">
        <v>336</v>
      </c>
      <c r="T126" s="40"/>
      <c r="U126" s="40"/>
      <c r="V126" s="33"/>
      <c r="W126" s="38" t="b">
        <f t="shared" si="33"/>
        <v>1</v>
      </c>
      <c r="X126" s="35" t="str">
        <f t="shared" si="43"/>
        <v>title: "Sanctuary of Our Lady of Gietrzwałd"</v>
      </c>
      <c r="Y126" s="35" t="str">
        <f t="shared" si="44"/>
        <v>location: {lat: 53.7480853, lng: 20.2356024}</v>
      </c>
      <c r="Z126" s="36" t="str">
        <f>IF(LEN(S126)&gt;1,VLOOKUP(S126,Sheet3!$A:$B,2,),"")</f>
        <v/>
      </c>
      <c r="AA126" s="36" t="str">
        <f>IF(LEN(T126)&gt;1,VLOOKUP(T126,Sheet3!$A:$B,2,),"")</f>
        <v/>
      </c>
      <c r="AB126" s="36" t="str">
        <f>IF(LEN(U126)&gt;1,VLOOKUP(U126,Sheet3!$A:$B,2,),"")</f>
        <v/>
      </c>
      <c r="AC126" s="37" t="str">
        <f t="shared" si="34"/>
        <v/>
      </c>
      <c r="AD126" s="37" t="str">
        <f t="shared" si="35"/>
        <v/>
      </c>
      <c r="AE126" s="37" t="str">
        <f t="shared" si="36"/>
        <v/>
      </c>
      <c r="AF126" s="37" t="str">
        <f>"- marian-sites
- churches
- "&amp;VLOOKUP(C126,'(Ref) Countries'!A:C,3,)&amp;IF(LEN(S126)&gt;1,"
- "&amp;S126,"")&amp;IF(LEN(T126)&gt;1,"
- "&amp;T126,"")&amp;IF(LEN(U126)&gt;1,"
- "&amp;U126,"")</f>
        <v>- marian-sites
- churches
- poland</v>
      </c>
      <c r="AG126" s="37" t="str">
        <f t="shared" si="37"/>
        <v xml:space="preserve">| </v>
      </c>
      <c r="AH126" s="37" t="str">
        <f t="shared" si="38"/>
        <v xml:space="preserve">| [Gietrzwald](/places/pl-sanctuary-of-our-lady-of-gietrzwałd) </v>
      </c>
      <c r="AI126" s="37" t="str">
        <f>"| "&amp;IF(W126,GetTagPage(C126,VLOOKUP(C126,'(Ref) Countries'!A:C,3,)),C126)&amp; " "</f>
        <v xml:space="preserve">| [Poland](/tags/poland) </v>
      </c>
      <c r="AJ126" s="37" t="str">
        <f t="shared" si="39"/>
        <v xml:space="preserve">| 1877 </v>
      </c>
      <c r="AK126" s="37" t="str">
        <f t="shared" si="40"/>
        <v xml:space="preserve">| [Link](/places/pl-sanctuary-of-our-lady-of-gietrzwałd) </v>
      </c>
      <c r="AL126" s="35" t="str">
        <f t="shared" si="45"/>
        <v xml:space="preserve">| [Link](https://sanktuariummaryjne.pl/) </v>
      </c>
      <c r="AM126" s="37" t="str">
        <f t="shared" si="46"/>
        <v xml:space="preserve">| [Link](http://www.therealpresence.org/eucharst/misc/BVM/85_GIETRZALD_96x96.pdf) </v>
      </c>
      <c r="AN126" s="37" t="str">
        <f t="shared" si="47"/>
        <v xml:space="preserve">| [Link](http://www.miraclehunter.com/marian_apparitions/approved_apparitions/gietrzwald/index.html) </v>
      </c>
      <c r="AO126" s="37" t="str">
        <f t="shared" si="48"/>
        <v xml:space="preserve">| [Link](https://www.marypages.com/giertzwald-(poland)-en.html) </v>
      </c>
      <c r="AP126" s="37" t="str">
        <f t="shared" si="42"/>
        <v xml:space="preserve">
| [Link](https://sanktuariummaryjne.pl/) | [Link](http://www.therealpresence.org/eucharst/misc/BVM/85_GIETRZALD_96x96.pdf) | [Link](http://www.miraclehunter.com/marian_apparitions/approved_apparitions/gietrzwald/index.html) | [Link](https://www.marypages.com/giertzwald-(poland)-en.html) |</v>
      </c>
      <c r="AQ126" s="48" t="str">
        <f>VLOOKUP(C126,'(Ref) Countries'!A:B,2,)&amp;"-"&amp;LOWER(SUBSTITUTE(H126," ","-"))&amp;".md"</f>
        <v>pl-sanctuary-of-our-lady-of-gietrzwałd.md</v>
      </c>
      <c r="AR126" s="35" t="str">
        <f t="shared" si="41"/>
        <v xml:space="preserve">
| [Gietrzwald](/places/pl-sanctuary-of-our-lady-of-gietrzwałd) | [Poland](/tags/poland) | 1877 | [Link](/places/pl-sanctuary-of-our-lady-of-gietrzwałd) | [Link](https://sanktuariummaryjne.pl/) | [Link](http://www.therealpresence.org/eucharst/misc/BVM/85_GIETRZALD_96x96.pdf) | [Link](http://www.miraclehunter.com/marian_apparitions/approved_apparitions/gietrzwald/index.html) | [Link](https://www.marypages.com/giertzwald-(poland)-en.html) | |</v>
      </c>
      <c r="AS126" s="48" t="str">
        <f t="shared" si="49"/>
        <v xml:space="preserve">---
title: "Sanctuary of Our Lady of Gietrzwałd"
location: {lat: 53.7480853, lng: 20.2356024}
tags:
- marian-sites
- churches
- poland
---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
#### Source Material
| Official Site | The Real Presence | Miracle Hunter | MaryPages |
| --- | --- | --- | --- |
| [Link](https://sanktuariummaryjne.pl/) | [Link](http://www.therealpresence.org/eucharst/misc/BVM/85_GIETRZALD_96x96.pdf) | [Link](http://www.miraclehunter.com/marian_apparitions/approved_apparitions/gietrzwald/index.html) | [Link](https://www.marypages.com/giertzwald-(poland)-en.html) |
</v>
      </c>
      <c r="AT126" s="15" t="s">
        <v>336</v>
      </c>
    </row>
    <row r="127" spans="1:46" ht="89.25" x14ac:dyDescent="0.25">
      <c r="A127" s="27" t="s">
        <v>1330</v>
      </c>
      <c r="B127" s="31" t="s">
        <v>997</v>
      </c>
      <c r="C127" s="32" t="s">
        <v>584</v>
      </c>
      <c r="D127" s="61">
        <v>1879</v>
      </c>
      <c r="E127" s="32">
        <v>53.792756199999999</v>
      </c>
      <c r="F127" s="32">
        <v>-8.9189810000000005</v>
      </c>
      <c r="G127" s="33" t="s">
        <v>348</v>
      </c>
      <c r="H127" s="33" t="s">
        <v>405</v>
      </c>
      <c r="I127" s="33" t="s">
        <v>1758</v>
      </c>
      <c r="J127" s="33" t="s">
        <v>1004</v>
      </c>
      <c r="K127" s="32" t="s">
        <v>349</v>
      </c>
      <c r="L127" s="32" t="s">
        <v>336</v>
      </c>
      <c r="M127" s="32" t="s">
        <v>301</v>
      </c>
      <c r="N127" s="32" t="s">
        <v>336</v>
      </c>
      <c r="O127" s="32" t="s">
        <v>351</v>
      </c>
      <c r="P127" s="32" t="s">
        <v>336</v>
      </c>
      <c r="Q127" s="32" t="s">
        <v>352</v>
      </c>
      <c r="R127" s="32" t="s">
        <v>336</v>
      </c>
      <c r="S127" s="40" t="s">
        <v>336</v>
      </c>
      <c r="T127" s="40"/>
      <c r="U127" s="40"/>
      <c r="V127" s="66" t="s">
        <v>1731</v>
      </c>
      <c r="W127" s="38" t="b">
        <f t="shared" si="33"/>
        <v>1</v>
      </c>
      <c r="X127" s="35" t="str">
        <f t="shared" si="43"/>
        <v>title: "Knock Shrine (Our Lady of Knock)"</v>
      </c>
      <c r="Y127" s="35" t="str">
        <f t="shared" si="44"/>
        <v>location: {lat: 53.7927562, lng: -8.918981}</v>
      </c>
      <c r="Z127" s="36" t="str">
        <f>IF(LEN(S127)&gt;1,VLOOKUP(S127,Sheet3!$A:$B,2,),"")</f>
        <v/>
      </c>
      <c r="AA127" s="36" t="str">
        <f>IF(LEN(T127)&gt;1,VLOOKUP(T127,Sheet3!$A:$B,2,),"")</f>
        <v/>
      </c>
      <c r="AB127" s="36" t="str">
        <f>IF(LEN(U127)&gt;1,VLOOKUP(U127,Sheet3!$A:$B,2,),"")</f>
        <v/>
      </c>
      <c r="AC127" s="37" t="str">
        <f t="shared" si="34"/>
        <v/>
      </c>
      <c r="AD127" s="37" t="str">
        <f t="shared" si="35"/>
        <v/>
      </c>
      <c r="AE127" s="37" t="str">
        <f t="shared" si="36"/>
        <v/>
      </c>
      <c r="AF127" s="37" t="str">
        <f>"- marian-sites
- churches
- "&amp;VLOOKUP(C127,'(Ref) Countries'!A:C,3,)&amp;IF(LEN(S127)&gt;1,"
- "&amp;S127,"")&amp;IF(LEN(T127)&gt;1,"
- "&amp;T127,"")&amp;IF(LEN(U127)&gt;1,"
- "&amp;U127,"")</f>
        <v>- marian-sites
- churches
- ireland</v>
      </c>
      <c r="AG127" s="37" t="str">
        <f t="shared" si="37"/>
        <v xml:space="preserve">| </v>
      </c>
      <c r="AH127" s="37" t="str">
        <f t="shared" si="38"/>
        <v xml:space="preserve">| [Knock](/places/ie-knock-shrine) </v>
      </c>
      <c r="AI127" s="37" t="str">
        <f>"| "&amp;IF(W127,GetTagPage(C127,VLOOKUP(C127,'(Ref) Countries'!A:C,3,)),C127)&amp; " "</f>
        <v xml:space="preserve">| [Ireland](/tags/ireland) </v>
      </c>
      <c r="AJ127" s="37" t="str">
        <f t="shared" si="39"/>
        <v xml:space="preserve">| 1879 </v>
      </c>
      <c r="AK127" s="37" t="str">
        <f t="shared" si="40"/>
        <v xml:space="preserve">| [Link](/places/ie-knock-shrine) </v>
      </c>
      <c r="AL127" s="35" t="str">
        <f t="shared" si="45"/>
        <v xml:space="preserve">| [Link](https://www.knockshrine.ie/) </v>
      </c>
      <c r="AM127" s="37" t="str">
        <f t="shared" si="46"/>
        <v xml:space="preserve">| [Link](http://www.therealpresence.org/eucharst/misc/BVM/63_KNOCK_60x96.pdf) </v>
      </c>
      <c r="AN127" s="37" t="str">
        <f t="shared" si="47"/>
        <v xml:space="preserve">| [Link](http://www.miraclehunter.com/marian_apparitions/approved_apparitions/knock/index.html) </v>
      </c>
      <c r="AO127" s="37" t="str">
        <f t="shared" si="48"/>
        <v xml:space="preserve">| [Link](https://www.marypages.com/knock-(ireland)-en.html) </v>
      </c>
      <c r="AP127" s="37" t="str">
        <f t="shared" si="42"/>
        <v xml:space="preserve">
| [Link](https://www.knockshrine.ie/) | [Link](http://www.therealpresence.org/eucharst/misc/BVM/63_KNOCK_60x96.pdf) | [Link](http://www.miraclehunter.com/marian_apparitions/approved_apparitions/knock/index.html) | [Link](https://www.marypages.com/knock-(ireland)-en.html) |</v>
      </c>
      <c r="AQ127" s="48" t="str">
        <f>VLOOKUP(C127,'(Ref) Countries'!A:B,2,)&amp;"-"&amp;LOWER(SUBSTITUTE(H127," ","-"))&amp;".md"</f>
        <v>ie-knock-shrine.md</v>
      </c>
      <c r="AR127" s="35" t="str">
        <f t="shared" si="41"/>
        <v xml:space="preserve">
| [Knock](/places/ie-knock-shrine) | [Ireland](/tags/ireland) | 1879 | [Link](/places/ie-knock-shrine) | [Link](https://www.knockshrine.ie/) | [Link](http://www.therealpresence.org/eucharst/misc/BVM/63_KNOCK_60x96.pdf) | [Link](http://www.miraclehunter.com/marian_apparitions/approved_apparitions/knock/index.html) | [Link](https://www.marypages.com/knock-(ireland)-en.html) | |</v>
      </c>
      <c r="AS127" s="48" t="str">
        <f t="shared" si="49"/>
        <v>---
title: "Knock Shrine (Our Lady of Knock)"
location: {lat: 53.7927562, lng: -8.918981}
tags:
- marian-sites
- churches
- ireland
---
In 1879, 15 individuals witnessed the figures of Mary, Joseph, John the Evangelist, and a lamb and cross atop an altar, all enveloped in a bright light outside the local church.  The imagery is unique to Knock and holds eschatological significance for Catholics.
#### Source Material
| Official Site | The Real Presence | Miracle Hunter | MaryPages |
| --- | --- | --- | --- |
| [Link](https://www.knockshrine.ie/) | [Link](http://www.therealpresence.org/eucharst/misc/BVM/63_KNOCK_60x96.pdf) | [Link](http://www.miraclehunter.com/marian_apparitions/approved_apparitions/knock/index.html) | [Link](https://www.marypages.com/knock-(ireland)-en.html) |
#### Author's Note
Thanks to the testimonies of the visionaries, pilgrims today can experience a very accurate representation of the original apparition.  The statues have been placed in the same place as the apparition, in front of the church wall and slightly above ground level.
- JMM</v>
      </c>
      <c r="AT127" s="15" t="s">
        <v>336</v>
      </c>
    </row>
    <row r="128" spans="1:46" x14ac:dyDescent="0.25">
      <c r="A128" s="27"/>
      <c r="B128" s="31" t="s">
        <v>1294</v>
      </c>
      <c r="C128" s="32" t="s">
        <v>11</v>
      </c>
      <c r="D128" s="61">
        <v>1888</v>
      </c>
      <c r="E128" s="32"/>
      <c r="F128" s="32"/>
      <c r="G128" s="33"/>
      <c r="H128" s="33"/>
      <c r="I128" s="33" t="s">
        <v>1758</v>
      </c>
      <c r="J128" s="33"/>
      <c r="K128" s="32" t="s">
        <v>336</v>
      </c>
      <c r="L128" s="32" t="s">
        <v>336</v>
      </c>
      <c r="M128" s="32" t="s">
        <v>302</v>
      </c>
      <c r="N128" s="32" t="s">
        <v>336</v>
      </c>
      <c r="O128" s="32" t="s">
        <v>336</v>
      </c>
      <c r="P128" s="32" t="s">
        <v>336</v>
      </c>
      <c r="Q128" s="32" t="s">
        <v>336</v>
      </c>
      <c r="R128" s="32" t="s">
        <v>336</v>
      </c>
      <c r="S128" s="32" t="s">
        <v>336</v>
      </c>
      <c r="T128" s="32"/>
      <c r="U128" s="32"/>
      <c r="V128" s="33"/>
      <c r="W128" s="38" t="b">
        <f t="shared" si="33"/>
        <v>0</v>
      </c>
      <c r="X128" s="35" t="str">
        <f t="shared" si="43"/>
        <v>title: ""</v>
      </c>
      <c r="Y128" s="35" t="str">
        <f t="shared" si="44"/>
        <v>location: {lat: , lng: }</v>
      </c>
      <c r="Z128" s="35" t="str">
        <f>IF(LEN(S128)&gt;1,VLOOKUP(S128,Sheet3!$A:$B,2,),"")</f>
        <v/>
      </c>
      <c r="AA128" s="35" t="str">
        <f>IF(LEN(T128)&gt;1,VLOOKUP(T128,Sheet3!$A:$B,2,),"")</f>
        <v/>
      </c>
      <c r="AB128" s="35" t="str">
        <f>IF(LEN(U128)&gt;1,VLOOKUP(U128,Sheet3!$A:$B,2,),"")</f>
        <v/>
      </c>
      <c r="AC128" s="37" t="str">
        <f t="shared" si="34"/>
        <v/>
      </c>
      <c r="AD128" s="37" t="str">
        <f t="shared" si="35"/>
        <v/>
      </c>
      <c r="AE128" s="37" t="str">
        <f t="shared" si="36"/>
        <v/>
      </c>
      <c r="AF128" s="37" t="str">
        <f>"- marian-sites
- churches
- "&amp;VLOOKUP(C128,'(Ref) Countries'!A:C,3,)&amp;IF(LEN(S128)&gt;1,"
- "&amp;S128,"")&amp;IF(LEN(T128)&gt;1,"
- "&amp;T128,"")&amp;IF(LEN(U128)&gt;1,"
- "&amp;U128,"")</f>
        <v>- marian-sites
- churches
- italy</v>
      </c>
      <c r="AG128" s="37" t="str">
        <f t="shared" si="37"/>
        <v xml:space="preserve">| </v>
      </c>
      <c r="AH128" s="37" t="str">
        <f t="shared" si="38"/>
        <v xml:space="preserve">| Castelpetroso </v>
      </c>
      <c r="AI128" s="37" t="str">
        <f>"| "&amp;IF(W128,GetTagPage(C128,VLOOKUP(C128,'(Ref) Countries'!A:C,3,)),C128)&amp; " "</f>
        <v xml:space="preserve">| Italy </v>
      </c>
      <c r="AJ128" s="37" t="str">
        <f t="shared" si="39"/>
        <v xml:space="preserve">| 1888 </v>
      </c>
      <c r="AK128" s="37" t="str">
        <f t="shared" si="40"/>
        <v xml:space="preserve">| </v>
      </c>
      <c r="AL128" s="35" t="str">
        <f t="shared" si="45"/>
        <v xml:space="preserve">| </v>
      </c>
      <c r="AM128" s="37" t="str">
        <f t="shared" si="46"/>
        <v xml:space="preserve">| [Link](http://www.therealpresence.org/eucharst/misc/BVM/82_CASTELPETROSO_60x96.pdf) </v>
      </c>
      <c r="AN128" s="37" t="str">
        <f t="shared" si="47"/>
        <v xml:space="preserve">| </v>
      </c>
      <c r="AO128" s="37" t="str">
        <f t="shared" si="48"/>
        <v xml:space="preserve">| </v>
      </c>
      <c r="AP128" s="37" t="str">
        <f t="shared" si="42"/>
        <v xml:space="preserve">
| | [Link](http://www.therealpresence.org/eucharst/misc/BVM/82_CASTELPETROSO_60x96.pdf) | | |</v>
      </c>
      <c r="AQ128" s="48" t="str">
        <f>VLOOKUP(C128,'(Ref) Countries'!A:B,2,)&amp;"-"&amp;LOWER(SUBSTITUTE(H128," ","-"))&amp;".md"</f>
        <v>it-.md</v>
      </c>
      <c r="AR128" s="35" t="str">
        <f t="shared" si="41"/>
        <v xml:space="preserve">
| Castelpetroso | Italy | 1888 | | | [Link](http://www.therealpresence.org/eucharst/misc/BVM/82_CASTELPETROSO_60x96.pdf) | | | |</v>
      </c>
      <c r="AS128" s="48" t="str">
        <f t="shared" si="49"/>
        <v/>
      </c>
      <c r="AT128" s="15" t="s">
        <v>336</v>
      </c>
    </row>
    <row r="129" spans="1:46" x14ac:dyDescent="0.25">
      <c r="A129" s="27"/>
      <c r="B129" s="31" t="s">
        <v>1295</v>
      </c>
      <c r="C129" s="32" t="s">
        <v>652</v>
      </c>
      <c r="D129" s="61">
        <v>1894</v>
      </c>
      <c r="E129" s="32"/>
      <c r="F129" s="32"/>
      <c r="G129" s="33"/>
      <c r="H129" s="33"/>
      <c r="I129" s="33" t="s">
        <v>1758</v>
      </c>
      <c r="J129" s="33"/>
      <c r="K129" s="32" t="s">
        <v>336</v>
      </c>
      <c r="L129" s="32" t="s">
        <v>336</v>
      </c>
      <c r="M129" s="32" t="s">
        <v>303</v>
      </c>
      <c r="N129" s="32" t="s">
        <v>336</v>
      </c>
      <c r="O129" s="32" t="s">
        <v>336</v>
      </c>
      <c r="P129" s="32" t="s">
        <v>336</v>
      </c>
      <c r="Q129" s="32" t="s">
        <v>336</v>
      </c>
      <c r="R129" s="32" t="s">
        <v>336</v>
      </c>
      <c r="S129" s="32" t="s">
        <v>336</v>
      </c>
      <c r="T129" s="32"/>
      <c r="U129" s="32"/>
      <c r="V129" s="33"/>
      <c r="W129" s="38" t="b">
        <f t="shared" si="33"/>
        <v>0</v>
      </c>
      <c r="X129" s="35" t="str">
        <f t="shared" si="43"/>
        <v>title: ""</v>
      </c>
      <c r="Y129" s="35" t="str">
        <f t="shared" si="44"/>
        <v>location: {lat: , lng: }</v>
      </c>
      <c r="Z129" s="35" t="str">
        <f>IF(LEN(S129)&gt;1,VLOOKUP(S129,Sheet3!$A:$B,2,),"")</f>
        <v/>
      </c>
      <c r="AA129" s="35" t="str">
        <f>IF(LEN(T129)&gt;1,VLOOKUP(T129,Sheet3!$A:$B,2,),"")</f>
        <v/>
      </c>
      <c r="AB129" s="35" t="str">
        <f>IF(LEN(U129)&gt;1,VLOOKUP(U129,Sheet3!$A:$B,2,),"")</f>
        <v/>
      </c>
      <c r="AC129" s="37" t="str">
        <f t="shared" si="34"/>
        <v/>
      </c>
      <c r="AD129" s="37" t="str">
        <f t="shared" si="35"/>
        <v/>
      </c>
      <c r="AE129" s="37" t="str">
        <f t="shared" si="36"/>
        <v/>
      </c>
      <c r="AF129" s="37" t="str">
        <f>"- marian-sites
- churches
- "&amp;VLOOKUP(C129,'(Ref) Countries'!A:C,3,)&amp;IF(LEN(S129)&gt;1,"
- "&amp;S129,"")&amp;IF(LEN(T129)&gt;1,"
- "&amp;T129,"")&amp;IF(LEN(U129)&gt;1,"
- "&amp;U129,"")</f>
        <v>- marian-sites
- churches
- poland</v>
      </c>
      <c r="AG129" s="37" t="str">
        <f t="shared" si="37"/>
        <v xml:space="preserve">| </v>
      </c>
      <c r="AH129" s="37" t="str">
        <f t="shared" si="38"/>
        <v xml:space="preserve">| Szczyrk </v>
      </c>
      <c r="AI129" s="37" t="str">
        <f>"| "&amp;IF(W129,GetTagPage(C129,VLOOKUP(C129,'(Ref) Countries'!A:C,3,)),C129)&amp; " "</f>
        <v xml:space="preserve">| Poland </v>
      </c>
      <c r="AJ129" s="37" t="str">
        <f t="shared" si="39"/>
        <v xml:space="preserve">| 1894 </v>
      </c>
      <c r="AK129" s="37" t="str">
        <f t="shared" si="40"/>
        <v xml:space="preserve">| </v>
      </c>
      <c r="AL129" s="35" t="str">
        <f t="shared" si="45"/>
        <v xml:space="preserve">| </v>
      </c>
      <c r="AM129" s="37" t="str">
        <f t="shared" si="46"/>
        <v xml:space="preserve">| [Link](http://www.therealpresence.org/eucharst/misc/BVM/139_SZCZYRK_60x96.pdf) </v>
      </c>
      <c r="AN129" s="37" t="str">
        <f t="shared" si="47"/>
        <v xml:space="preserve">| </v>
      </c>
      <c r="AO129" s="37" t="str">
        <f t="shared" si="48"/>
        <v xml:space="preserve">| </v>
      </c>
      <c r="AP129" s="37" t="str">
        <f t="shared" si="42"/>
        <v xml:space="preserve">
| | [Link](http://www.therealpresence.org/eucharst/misc/BVM/139_SZCZYRK_60x96.pdf) | | |</v>
      </c>
      <c r="AQ129" s="48" t="str">
        <f>VLOOKUP(C129,'(Ref) Countries'!A:B,2,)&amp;"-"&amp;LOWER(SUBSTITUTE(H129," ","-"))&amp;".md"</f>
        <v>pl-.md</v>
      </c>
      <c r="AR129" s="35" t="str">
        <f t="shared" si="41"/>
        <v xml:space="preserve">
| Szczyrk | Poland | 1894 | | | [Link](http://www.therealpresence.org/eucharst/misc/BVM/139_SZCZYRK_60x96.pdf) | | | |</v>
      </c>
      <c r="AS129" s="48" t="str">
        <f t="shared" si="49"/>
        <v/>
      </c>
      <c r="AT129" s="15" t="s">
        <v>336</v>
      </c>
    </row>
    <row r="130" spans="1:46" x14ac:dyDescent="0.25">
      <c r="A130" s="27"/>
      <c r="B130" s="31" t="s">
        <v>1296</v>
      </c>
      <c r="C130" s="32" t="s">
        <v>719</v>
      </c>
      <c r="D130" s="64" t="s">
        <v>1430</v>
      </c>
      <c r="E130" s="32"/>
      <c r="F130" s="32"/>
      <c r="G130" s="33"/>
      <c r="H130" s="33"/>
      <c r="I130" s="33" t="s">
        <v>1758</v>
      </c>
      <c r="J130" s="33"/>
      <c r="K130" s="32" t="s">
        <v>336</v>
      </c>
      <c r="L130" s="32" t="s">
        <v>336</v>
      </c>
      <c r="M130" s="32" t="s">
        <v>304</v>
      </c>
      <c r="N130" s="32" t="s">
        <v>336</v>
      </c>
      <c r="O130" s="32" t="s">
        <v>336</v>
      </c>
      <c r="P130" s="32" t="s">
        <v>336</v>
      </c>
      <c r="Q130" s="32" t="s">
        <v>336</v>
      </c>
      <c r="R130" s="32" t="s">
        <v>336</v>
      </c>
      <c r="S130" s="32" t="s">
        <v>336</v>
      </c>
      <c r="T130" s="32"/>
      <c r="U130" s="32"/>
      <c r="V130" s="33"/>
      <c r="W130" s="38" t="b">
        <f t="shared" si="33"/>
        <v>0</v>
      </c>
      <c r="X130" s="35" t="str">
        <f t="shared" ref="X130:X159" si="50">"title: """&amp;G130&amp;""""</f>
        <v>title: ""</v>
      </c>
      <c r="Y130" s="35" t="str">
        <f t="shared" ref="Y130:Y159" si="51">"location: {lat: "&amp;E130&amp;", lng: "&amp;F130&amp;"}"</f>
        <v>location: {lat: , lng: }</v>
      </c>
      <c r="Z130" s="35" t="str">
        <f>IF(LEN(S130)&gt;1,VLOOKUP(S130,Sheet3!$A:$B,2,),"")</f>
        <v/>
      </c>
      <c r="AA130" s="35" t="str">
        <f>IF(LEN(T130)&gt;1,VLOOKUP(T130,Sheet3!$A:$B,2,),"")</f>
        <v/>
      </c>
      <c r="AB130" s="35" t="str">
        <f>IF(LEN(U130)&gt;1,VLOOKUP(U130,Sheet3!$A:$B,2,),"")</f>
        <v/>
      </c>
      <c r="AC130" s="37" t="str">
        <f t="shared" si="34"/>
        <v/>
      </c>
      <c r="AD130" s="37" t="str">
        <f t="shared" si="35"/>
        <v/>
      </c>
      <c r="AE130" s="37" t="str">
        <f t="shared" si="36"/>
        <v/>
      </c>
      <c r="AF130" s="37" t="str">
        <f>"- marian-sites
- churches
- "&amp;VLOOKUP(C130,'(Ref) Countries'!A:C,3,)&amp;IF(LEN(S130)&gt;1,"
- "&amp;S130,"")&amp;IF(LEN(T130)&gt;1,"
- "&amp;T130,"")&amp;IF(LEN(U130)&gt;1,"
- "&amp;U130,"")</f>
        <v>- marian-sites
- churches
- venezuela</v>
      </c>
      <c r="AG130" s="37" t="str">
        <f t="shared" si="37"/>
        <v xml:space="preserve">| </v>
      </c>
      <c r="AH130" s="37" t="str">
        <f t="shared" si="38"/>
        <v xml:space="preserve">| Betania </v>
      </c>
      <c r="AI130" s="37" t="str">
        <f>"| "&amp;IF(W130,GetTagPage(C130,VLOOKUP(C130,'(Ref) Countries'!A:C,3,)),C130)&amp; " "</f>
        <v xml:space="preserve">| Venezuela </v>
      </c>
      <c r="AJ130" s="37" t="str">
        <f t="shared" si="39"/>
        <v xml:space="preserve">| 20th-21st Centuries </v>
      </c>
      <c r="AK130" s="37" t="str">
        <f t="shared" si="40"/>
        <v xml:space="preserve">| </v>
      </c>
      <c r="AL130" s="35" t="str">
        <f t="shared" ref="AL130:AL159" si="52">IF(LEN(K130)&gt;1,"| [Link]("&amp;K130&amp;")"&amp;IF(LEN(L130)&gt;1,L130,"")&amp;" ","| ")</f>
        <v xml:space="preserve">| </v>
      </c>
      <c r="AM130" s="37" t="str">
        <f t="shared" ref="AM130:AM159" si="53">IF(LEN(M130)&gt;1,"| [Link]("&amp;M130&amp;")"&amp;IF(LEN(N130)&gt;1,N130,"")&amp;" ","| ")</f>
        <v xml:space="preserve">| [Link](http://www.therealpresence.org/eucharst/misc/BVM/91_BETANIA_96x96.pdf) </v>
      </c>
      <c r="AN130" s="37" t="str">
        <f t="shared" ref="AN130:AN159" si="54">IF(LEN(O130)&gt;1,"| [Link]("&amp;O130&amp;")"&amp;IF(LEN(P130)&gt;1,P130,"")&amp;" ","| ")</f>
        <v xml:space="preserve">| </v>
      </c>
      <c r="AO130" s="37" t="str">
        <f t="shared" ref="AO130:AO159" si="55">IF(LEN(Q130)&gt;1,"| [Link]("&amp;Q130&amp;")"&amp;IF(LEN(R130)&gt;1,R130,"")&amp;" ","| ")</f>
        <v xml:space="preserve">| </v>
      </c>
      <c r="AP130" s="37" t="str">
        <f t="shared" si="42"/>
        <v xml:space="preserve">
| | [Link](http://www.therealpresence.org/eucharst/misc/BVM/91_BETANIA_96x96.pdf) | | |</v>
      </c>
      <c r="AQ130" s="48" t="str">
        <f>VLOOKUP(C130,'(Ref) Countries'!A:B,2,)&amp;"-"&amp;LOWER(SUBSTITUTE(H130," ","-"))&amp;".md"</f>
        <v>ve-.md</v>
      </c>
      <c r="AR130" s="35" t="str">
        <f t="shared" si="41"/>
        <v xml:space="preserve">
| Betania | Venezuela | 20th-21st Centuries | | | [Link](http://www.therealpresence.org/eucharst/misc/BVM/91_BETANIA_96x96.pdf) | | | |</v>
      </c>
      <c r="AS130" s="48" t="str">
        <f t="shared" ref="AS130:AS159" si="56">IF(OR(A130="Done",A130="In Progress"),"---
"&amp;X130&amp;"
"&amp;Y130&amp;"
"&amp;"tags:
"&amp;AF130&amp;"
---
"&amp;J130&amp;"
#### Source Material
| Official Site | The Real Presence | Miracle Hunter | MaryPages |
| --- | --- | --- | --- |"&amp;AP130&amp;"
"&amp;IF(LEN(V130)&gt;1,"#### Author's Note
"&amp;V130,""),"")</f>
        <v/>
      </c>
      <c r="AT130" s="15" t="s">
        <v>336</v>
      </c>
    </row>
    <row r="131" spans="1:46" x14ac:dyDescent="0.25">
      <c r="A131" s="27"/>
      <c r="B131" s="31" t="s">
        <v>1297</v>
      </c>
      <c r="C131" s="32" t="s">
        <v>534</v>
      </c>
      <c r="D131" s="61" t="s">
        <v>1169</v>
      </c>
      <c r="E131" s="32"/>
      <c r="F131" s="32"/>
      <c r="G131" s="33"/>
      <c r="H131" s="33"/>
      <c r="I131" s="33" t="s">
        <v>1758</v>
      </c>
      <c r="J131" s="33"/>
      <c r="K131" s="32" t="s">
        <v>336</v>
      </c>
      <c r="L131" s="32" t="s">
        <v>336</v>
      </c>
      <c r="M131" s="32" t="s">
        <v>305</v>
      </c>
      <c r="N131" s="32" t="s">
        <v>336</v>
      </c>
      <c r="O131" s="32" t="s">
        <v>336</v>
      </c>
      <c r="P131" s="32" t="s">
        <v>336</v>
      </c>
      <c r="Q131" s="32" t="s">
        <v>336</v>
      </c>
      <c r="R131" s="32" t="s">
        <v>336</v>
      </c>
      <c r="S131" s="32" t="s">
        <v>336</v>
      </c>
      <c r="T131" s="32"/>
      <c r="U131" s="32"/>
      <c r="V131" s="33"/>
      <c r="W131" s="38" t="b">
        <f t="shared" ref="W131:W166" si="57">IF(OR(A131="Done",A131="In Progress"),TRUE)</f>
        <v>0</v>
      </c>
      <c r="X131" s="35" t="str">
        <f t="shared" si="50"/>
        <v>title: ""</v>
      </c>
      <c r="Y131" s="35" t="str">
        <f t="shared" si="51"/>
        <v>location: {lat: , lng: }</v>
      </c>
      <c r="Z131" s="35" t="str">
        <f>IF(LEN(S131)&gt;1,VLOOKUP(S131,Sheet3!$A:$B,2,),"")</f>
        <v/>
      </c>
      <c r="AA131" s="35" t="str">
        <f>IF(LEN(T131)&gt;1,VLOOKUP(T131,Sheet3!$A:$B,2,),"")</f>
        <v/>
      </c>
      <c r="AB131" s="35" t="str">
        <f>IF(LEN(U131)&gt;1,VLOOKUP(U131,Sheet3!$A:$B,2,),"")</f>
        <v/>
      </c>
      <c r="AC131" s="37" t="str">
        <f t="shared" ref="AC131:AC166" si="58">IF(LEN(S131)&gt;1,GetTagPage(Z131,S131),"")</f>
        <v/>
      </c>
      <c r="AD131" s="37" t="str">
        <f t="shared" ref="AD131:AD166" si="59">IF(LEN(T131)&gt;1,GetTagPage(AA131,T131),"")</f>
        <v/>
      </c>
      <c r="AE131" s="37" t="str">
        <f t="shared" ref="AE131:AE166" si="60">IF(LEN(U131)&gt;1,GetTagPage(AB131,U131),"")</f>
        <v/>
      </c>
      <c r="AF131" s="37" t="str">
        <f>"- marian-sites
- churches
- "&amp;VLOOKUP(C131,'(Ref) Countries'!A:C,3,)&amp;IF(LEN(S131)&gt;1,"
- "&amp;S131,"")&amp;IF(LEN(T131)&gt;1,"
- "&amp;T131,"")&amp;IF(LEN(U131)&gt;1,"
- "&amp;U131,"")</f>
        <v>- marian-sites
- churches
- china</v>
      </c>
      <c r="AG131" s="37" t="str">
        <f t="shared" ref="AG131:AG166" si="61">"|"&amp;IF(LEN(AC131)&gt;1," "&amp;AC131,"")&amp;IF(LEN(AD131)&gt;1,", "&amp;AD131,"")&amp;IF(LEN(AE131)&gt;1,", "&amp;AE131,"")&amp;" "</f>
        <v xml:space="preserve">| </v>
      </c>
      <c r="AH131" s="37" t="str">
        <f t="shared" ref="AH131:AH166" si="62">"| "&amp;IF(W131,"["&amp;B131&amp;"](/places/"&amp;SUBSTITUTE(AQ131,".md","")&amp;")",B131)&amp;" "</f>
        <v xml:space="preserve">| Dong Lu </v>
      </c>
      <c r="AI131" s="37" t="str">
        <f>"| "&amp;IF(W131,GetTagPage(C131,VLOOKUP(C131,'(Ref) Countries'!A:C,3,)),C131)&amp; " "</f>
        <v xml:space="preserve">| China </v>
      </c>
      <c r="AJ131" s="37" t="str">
        <f t="shared" ref="AJ131:AJ166" si="63">"| "&amp;D131&amp;" "</f>
        <v xml:space="preserve">| 1900 and 1995 </v>
      </c>
      <c r="AK131" s="37" t="str">
        <f t="shared" ref="AK131:AK166" si="64">"|"&amp;IF(W131," [Link](/places/"&amp;SUBSTITUTE(AQ131,".md","")&amp;")","")&amp;" "</f>
        <v xml:space="preserve">| </v>
      </c>
      <c r="AL131" s="35" t="str">
        <f t="shared" si="52"/>
        <v xml:space="preserve">| </v>
      </c>
      <c r="AM131" s="37" t="str">
        <f t="shared" si="53"/>
        <v xml:space="preserve">| [Link](http://www.therealpresence.org/eucharst/misc/BVM/103_DONG_LU_96x96.pdf) </v>
      </c>
      <c r="AN131" s="37" t="str">
        <f t="shared" si="54"/>
        <v xml:space="preserve">| </v>
      </c>
      <c r="AO131" s="37" t="str">
        <f t="shared" si="55"/>
        <v xml:space="preserve">| </v>
      </c>
      <c r="AP131" s="37" t="str">
        <f t="shared" si="42"/>
        <v xml:space="preserve">
| | [Link](http://www.therealpresence.org/eucharst/misc/BVM/103_DONG_LU_96x96.pdf) | | |</v>
      </c>
      <c r="AQ131" s="48" t="str">
        <f>VLOOKUP(C131,'(Ref) Countries'!A:B,2,)&amp;"-"&amp;LOWER(SUBSTITUTE(H131," ","-"))&amp;".md"</f>
        <v>cn-.md</v>
      </c>
      <c r="AR131" s="35" t="str">
        <f t="shared" ref="AR131:AR166" si="65">"
"&amp;AH131&amp;AI131&amp;AJ131&amp;AK131&amp;AL131&amp;AM131&amp;AN131&amp;AO131&amp;AG131&amp;"|"</f>
        <v xml:space="preserve">
| Dong Lu | China | 1900 and 1995 | | | [Link](http://www.therealpresence.org/eucharst/misc/BVM/103_DONG_LU_96x96.pdf) | | | |</v>
      </c>
      <c r="AS131" s="48" t="str">
        <f t="shared" si="56"/>
        <v/>
      </c>
      <c r="AT131" s="15" t="s">
        <v>336</v>
      </c>
    </row>
    <row r="132" spans="1:46" ht="409.5" x14ac:dyDescent="0.25">
      <c r="A132" s="29" t="s">
        <v>1330</v>
      </c>
      <c r="B132" s="31" t="s">
        <v>728</v>
      </c>
      <c r="C132" s="32" t="s">
        <v>656</v>
      </c>
      <c r="D132" s="61">
        <v>1916</v>
      </c>
      <c r="E132" s="32">
        <v>39.631263799999999</v>
      </c>
      <c r="F132" s="32">
        <v>-8.6731570999999992</v>
      </c>
      <c r="G132" s="33" t="s">
        <v>1038</v>
      </c>
      <c r="H132" s="33" t="s">
        <v>729</v>
      </c>
      <c r="I132" s="33" t="s">
        <v>1758</v>
      </c>
      <c r="J132" s="33" t="s">
        <v>472</v>
      </c>
      <c r="K132" s="32" t="s">
        <v>427</v>
      </c>
      <c r="L132" s="32" t="s">
        <v>336</v>
      </c>
      <c r="M132" s="32" t="s">
        <v>306</v>
      </c>
      <c r="N132" s="32" t="s">
        <v>1340</v>
      </c>
      <c r="O132" s="32" t="s">
        <v>473</v>
      </c>
      <c r="P132" s="32" t="s">
        <v>336</v>
      </c>
      <c r="Q132" s="32" t="s">
        <v>474</v>
      </c>
      <c r="R132" s="32" t="s">
        <v>336</v>
      </c>
      <c r="S132" s="40" t="s">
        <v>1444</v>
      </c>
      <c r="T132" s="40" t="s">
        <v>1445</v>
      </c>
      <c r="U132" s="40"/>
      <c r="V132" s="33"/>
      <c r="W132" s="38" t="b">
        <f t="shared" si="57"/>
        <v>1</v>
      </c>
      <c r="X132" s="35" t="str">
        <f t="shared" si="50"/>
        <v>title: "Sanctuary of Our Lady of the Rosary of Fatima"</v>
      </c>
      <c r="Y132" s="35" t="str">
        <f t="shared" si="51"/>
        <v>location: {lat: 39.6312638, lng: -8.6731571}</v>
      </c>
      <c r="Z132" s="36" t="str">
        <f>IF(LEN(S132)&gt;1,VLOOKUP(S132,Sheet3!$A:$B,2,),"")</f>
        <v>Bl. Lucia dos Santos</v>
      </c>
      <c r="AA132" s="36" t="str">
        <f>IF(LEN(T132)&gt;1,VLOOKUP(T132,Sheet3!$A:$B,2,),"")</f>
        <v>Sts. Francisco and Jacinta Marto</v>
      </c>
      <c r="AB132" s="36" t="str">
        <f>IF(LEN(U132)&gt;1,VLOOKUP(U132,Sheet3!$A:$B,2,),"")</f>
        <v/>
      </c>
      <c r="AC132" s="37" t="str">
        <f t="shared" si="58"/>
        <v>[Bl. Lucia dos Santos](/tags/lucia-dos-santos)</v>
      </c>
      <c r="AD132" s="37" t="str">
        <f t="shared" si="59"/>
        <v>[Sts. Francisco and Jacinta Marto](/tags/francisco-and-jacinta-marto)</v>
      </c>
      <c r="AE132" s="37" t="str">
        <f t="shared" si="60"/>
        <v/>
      </c>
      <c r="AF132" s="37" t="str">
        <f>"- marian-sites
- churches
- "&amp;VLOOKUP(C132,'(Ref) Countries'!A:C,3,)&amp;IF(LEN(S132)&gt;1,"
- "&amp;S132,"")&amp;IF(LEN(T132)&gt;1,"
- "&amp;T132,"")&amp;IF(LEN(U132)&gt;1,"
- "&amp;U132,"")</f>
        <v>- marian-sites
- churches
- portugal
- lucia-dos-santos
- francisco-and-jacinta-marto</v>
      </c>
      <c r="AG132" s="37" t="str">
        <f t="shared" si="61"/>
        <v xml:space="preserve">| [Bl. Lucia dos Santos](/tags/lucia-dos-santos), [Sts. Francisco and Jacinta Marto](/tags/francisco-and-jacinta-marto) </v>
      </c>
      <c r="AH132" s="37" t="str">
        <f t="shared" si="62"/>
        <v xml:space="preserve">| [Fatima](/places/pt-shrine-of-fatima) </v>
      </c>
      <c r="AI132" s="37" t="str">
        <f>"| "&amp;IF(W132,GetTagPage(C132,VLOOKUP(C132,'(Ref) Countries'!A:C,3,)),C132)&amp; " "</f>
        <v xml:space="preserve">| [Portugal](/tags/portugal) </v>
      </c>
      <c r="AJ132" s="37" t="str">
        <f t="shared" si="63"/>
        <v xml:space="preserve">| 1916 </v>
      </c>
      <c r="AK132" s="37" t="str">
        <f t="shared" si="64"/>
        <v xml:space="preserve">| [Link](/places/pt-shrine-of-fatima) </v>
      </c>
      <c r="AL132" s="35" t="str">
        <f t="shared" si="52"/>
        <v xml:space="preserve">| [Link](https://www.fatima.pt/) </v>
      </c>
      <c r="AM132" s="36" t="str">
        <f t="shared" si="53"/>
        <v xml:space="preserve">| [Link](http://www.therealpresence.org/eucharst/misc/BVM/154_FATIMA_96x96_1.pdf), [Link](http://www.therealpresence.org/eucharst/misc/BVM/154_FATIMA_140x96_2.pdf), [Link](http://www.therealpresence.org/eucharst/misc/BVM/154_FATIMA_96x96_3.pdf) </v>
      </c>
      <c r="AN132" s="37" t="str">
        <f t="shared" si="54"/>
        <v xml:space="preserve">| [Link](https://www.miraclehunter.com/marian_apparitions/approved_apparitions/fatima/index.html) </v>
      </c>
      <c r="AO132" s="37" t="str">
        <f t="shared" si="55"/>
        <v xml:space="preserve">| [Link](https://www.marypages.com/fatima-(portugal)-1917.html) </v>
      </c>
      <c r="AP132" s="37" t="str">
        <f t="shared" si="42"/>
        <v xml:space="preserve">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v>
      </c>
      <c r="AQ132" s="48" t="str">
        <f>VLOOKUP(C132,'(Ref) Countries'!A:B,2,)&amp;"-"&amp;LOWER(SUBSTITUTE(H132," ","-"))&amp;".md"</f>
        <v>pt-shrine-of-fatima.md</v>
      </c>
      <c r="AR132" s="35" t="str">
        <f t="shared" si="65"/>
        <v xml:space="preserve">
| [Fatima](/places/pt-shrine-of-fatima) | [Portugal](/tags/portugal) | 1916 | [Link](/places/pt-shrine-of-fatima)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[Bl. Lucia dos Santos](/tags/lucia-dos-santos), [Sts. Francisco and Jacinta Marto](/tags/francisco-and-jacinta-marto) |</v>
      </c>
      <c r="AS132" s="48" t="str">
        <f t="shared" si="56"/>
        <v xml:space="preserve">---
title: "Sanctuary of Our Lady of the Rosary of Fatima"
location: {lat: 39.6312638, lng: -8.6731571}
tags:
- marian-sites
- churches
- portugal
- lucia-dos-santos
- francisco-and-jacinta-marto
---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
#### Source Material
| Official Site | The Real Presence | Miracle Hunter | MaryPages |
| --- | --- | --- | --- |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v>
      </c>
      <c r="AT132" s="15" t="s">
        <v>336</v>
      </c>
    </row>
    <row r="133" spans="1:46" x14ac:dyDescent="0.25">
      <c r="A133" s="27"/>
      <c r="B133" s="31" t="s">
        <v>1298</v>
      </c>
      <c r="C133" s="32" t="s">
        <v>11</v>
      </c>
      <c r="D133" s="61">
        <v>1918</v>
      </c>
      <c r="E133" s="32"/>
      <c r="F133" s="32"/>
      <c r="G133" s="33"/>
      <c r="H133" s="33"/>
      <c r="I133" s="33" t="s">
        <v>1758</v>
      </c>
      <c r="J133" s="33"/>
      <c r="K133" s="32" t="s">
        <v>336</v>
      </c>
      <c r="L133" s="32" t="s">
        <v>336</v>
      </c>
      <c r="M133" s="32" t="s">
        <v>307</v>
      </c>
      <c r="N133" s="32" t="s">
        <v>336</v>
      </c>
      <c r="O133" s="32" t="s">
        <v>336</v>
      </c>
      <c r="P133" s="32" t="s">
        <v>336</v>
      </c>
      <c r="Q133" s="32" t="s">
        <v>336</v>
      </c>
      <c r="R133" s="32" t="s">
        <v>336</v>
      </c>
      <c r="S133" s="32" t="s">
        <v>336</v>
      </c>
      <c r="T133" s="32"/>
      <c r="U133" s="32"/>
      <c r="V133" s="33"/>
      <c r="W133" s="38" t="b">
        <f t="shared" si="57"/>
        <v>0</v>
      </c>
      <c r="X133" s="35" t="str">
        <f t="shared" si="50"/>
        <v>title: ""</v>
      </c>
      <c r="Y133" s="35" t="str">
        <f t="shared" si="51"/>
        <v>location: {lat: , lng: }</v>
      </c>
      <c r="Z133" s="35" t="str">
        <f>IF(LEN(S133)&gt;1,VLOOKUP(S133,Sheet3!$A:$B,2,),"")</f>
        <v/>
      </c>
      <c r="AA133" s="35" t="str">
        <f>IF(LEN(T133)&gt;1,VLOOKUP(T133,Sheet3!$A:$B,2,),"")</f>
        <v/>
      </c>
      <c r="AB133" s="35" t="str">
        <f>IF(LEN(U133)&gt;1,VLOOKUP(U133,Sheet3!$A:$B,2,),"")</f>
        <v/>
      </c>
      <c r="AC133" s="37" t="str">
        <f t="shared" si="58"/>
        <v/>
      </c>
      <c r="AD133" s="37" t="str">
        <f t="shared" si="59"/>
        <v/>
      </c>
      <c r="AE133" s="37" t="str">
        <f t="shared" si="60"/>
        <v/>
      </c>
      <c r="AF133" s="37" t="str">
        <f>"- marian-sites
- churches
- "&amp;VLOOKUP(C133,'(Ref) Countries'!A:C,3,)&amp;IF(LEN(S133)&gt;1,"
- "&amp;S133,"")&amp;IF(LEN(T133)&gt;1,"
- "&amp;T133,"")&amp;IF(LEN(U133)&gt;1,"
- "&amp;U133,"")</f>
        <v>- marian-sites
- churches
- italy</v>
      </c>
      <c r="AG133" s="37" t="str">
        <f t="shared" si="61"/>
        <v xml:space="preserve">| </v>
      </c>
      <c r="AH133" s="37" t="str">
        <f t="shared" si="62"/>
        <v xml:space="preserve">| Turin </v>
      </c>
      <c r="AI133" s="37" t="str">
        <f>"| "&amp;IF(W133,GetTagPage(C133,VLOOKUP(C133,'(Ref) Countries'!A:C,3,)),C133)&amp; " "</f>
        <v xml:space="preserve">| Italy </v>
      </c>
      <c r="AJ133" s="37" t="str">
        <f t="shared" si="63"/>
        <v xml:space="preserve">| 1918 </v>
      </c>
      <c r="AK133" s="37" t="str">
        <f t="shared" si="64"/>
        <v xml:space="preserve">| </v>
      </c>
      <c r="AL133" s="35" t="str">
        <f t="shared" si="52"/>
        <v xml:space="preserve">| </v>
      </c>
      <c r="AM133" s="37" t="str">
        <f t="shared" si="53"/>
        <v xml:space="preserve">| [Link](http://www.therealpresence.org/eucharst/misc/BVM/46_TORINO_60x96.pdf) </v>
      </c>
      <c r="AN133" s="37" t="str">
        <f t="shared" si="54"/>
        <v xml:space="preserve">| </v>
      </c>
      <c r="AO133" s="37" t="str">
        <f t="shared" si="55"/>
        <v xml:space="preserve">| </v>
      </c>
      <c r="AP133" s="37" t="str">
        <f t="shared" ref="AP133:AP158" si="66">"
"&amp;AL133&amp;AM133&amp;AN133&amp;AO133&amp;"|"</f>
        <v xml:space="preserve">
| | [Link](http://www.therealpresence.org/eucharst/misc/BVM/46_TORINO_60x96.pdf) | | |</v>
      </c>
      <c r="AQ133" s="48" t="str">
        <f>VLOOKUP(C133,'(Ref) Countries'!A:B,2,)&amp;"-"&amp;LOWER(SUBSTITUTE(H133," ","-"))&amp;".md"</f>
        <v>it-.md</v>
      </c>
      <c r="AR133" s="35" t="str">
        <f t="shared" si="65"/>
        <v xml:space="preserve">
| Turin | Italy | 1918 | | | [Link](http://www.therealpresence.org/eucharst/misc/BVM/46_TORINO_60x96.pdf) | | | |</v>
      </c>
      <c r="AS133" s="48" t="str">
        <f t="shared" si="56"/>
        <v/>
      </c>
      <c r="AT133" s="15" t="s">
        <v>336</v>
      </c>
    </row>
    <row r="134" spans="1:46" x14ac:dyDescent="0.25">
      <c r="A134" s="27"/>
      <c r="B134" s="31" t="s">
        <v>1299</v>
      </c>
      <c r="C134" s="32" t="s">
        <v>11</v>
      </c>
      <c r="D134" s="61">
        <v>1924</v>
      </c>
      <c r="E134" s="32"/>
      <c r="F134" s="32"/>
      <c r="G134" s="33"/>
      <c r="H134" s="33"/>
      <c r="I134" s="33" t="s">
        <v>1758</v>
      </c>
      <c r="J134" s="33"/>
      <c r="K134" s="32" t="s">
        <v>336</v>
      </c>
      <c r="L134" s="32" t="s">
        <v>336</v>
      </c>
      <c r="M134" s="32" t="s">
        <v>308</v>
      </c>
      <c r="N134" s="32" t="s">
        <v>336</v>
      </c>
      <c r="O134" s="32" t="s">
        <v>336</v>
      </c>
      <c r="P134" s="32" t="s">
        <v>336</v>
      </c>
      <c r="Q134" s="32" t="s">
        <v>336</v>
      </c>
      <c r="R134" s="32" t="s">
        <v>336</v>
      </c>
      <c r="S134" s="32" t="s">
        <v>336</v>
      </c>
      <c r="T134" s="32"/>
      <c r="U134" s="32"/>
      <c r="V134" s="33"/>
      <c r="W134" s="38" t="b">
        <f t="shared" si="57"/>
        <v>0</v>
      </c>
      <c r="X134" s="35" t="str">
        <f t="shared" si="50"/>
        <v>title: ""</v>
      </c>
      <c r="Y134" s="35" t="str">
        <f t="shared" si="51"/>
        <v>location: {lat: , lng: }</v>
      </c>
      <c r="Z134" s="35" t="str">
        <f>IF(LEN(S134)&gt;1,VLOOKUP(S134,Sheet3!$A:$B,2,),"")</f>
        <v/>
      </c>
      <c r="AA134" s="35" t="str">
        <f>IF(LEN(T134)&gt;1,VLOOKUP(T134,Sheet3!$A:$B,2,),"")</f>
        <v/>
      </c>
      <c r="AB134" s="35" t="str">
        <f>IF(LEN(U134)&gt;1,VLOOKUP(U134,Sheet3!$A:$B,2,),"")</f>
        <v/>
      </c>
      <c r="AC134" s="37" t="str">
        <f t="shared" si="58"/>
        <v/>
      </c>
      <c r="AD134" s="37" t="str">
        <f t="shared" si="59"/>
        <v/>
      </c>
      <c r="AE134" s="37" t="str">
        <f t="shared" si="60"/>
        <v/>
      </c>
      <c r="AF134" s="37" t="str">
        <f>"- marian-sites
- churches
- "&amp;VLOOKUP(C134,'(Ref) Countries'!A:C,3,)&amp;IF(LEN(S134)&gt;1,"
- "&amp;S134,"")&amp;IF(LEN(T134)&gt;1,"
- "&amp;T134,"")&amp;IF(LEN(U134)&gt;1,"
- "&amp;U134,"")</f>
        <v>- marian-sites
- churches
- italy</v>
      </c>
      <c r="AG134" s="37" t="str">
        <f t="shared" si="61"/>
        <v xml:space="preserve">| </v>
      </c>
      <c r="AH134" s="37" t="str">
        <f t="shared" si="62"/>
        <v xml:space="preserve">| Cernusco Sul Naviglio </v>
      </c>
      <c r="AI134" s="37" t="str">
        <f>"| "&amp;IF(W134,GetTagPage(C134,VLOOKUP(C134,'(Ref) Countries'!A:C,3,)),C134)&amp; " "</f>
        <v xml:space="preserve">| Italy </v>
      </c>
      <c r="AJ134" s="37" t="str">
        <f t="shared" si="63"/>
        <v xml:space="preserve">| 1924 </v>
      </c>
      <c r="AK134" s="37" t="str">
        <f t="shared" si="64"/>
        <v xml:space="preserve">| </v>
      </c>
      <c r="AL134" s="35" t="str">
        <f t="shared" si="52"/>
        <v xml:space="preserve">| </v>
      </c>
      <c r="AM134" s="37" t="str">
        <f t="shared" si="53"/>
        <v xml:space="preserve">| [Link](http://www.therealpresence.org/eucharst/misc/BVM/04_CERNUSCO_60x96.pdf) </v>
      </c>
      <c r="AN134" s="37" t="str">
        <f t="shared" si="54"/>
        <v xml:space="preserve">| </v>
      </c>
      <c r="AO134" s="37" t="str">
        <f t="shared" si="55"/>
        <v xml:space="preserve">| </v>
      </c>
      <c r="AP134" s="37" t="str">
        <f t="shared" si="66"/>
        <v xml:space="preserve">
| | [Link](http://www.therealpresence.org/eucharst/misc/BVM/04_CERNUSCO_60x96.pdf) | | |</v>
      </c>
      <c r="AQ134" s="48" t="str">
        <f>VLOOKUP(C134,'(Ref) Countries'!A:B,2,)&amp;"-"&amp;LOWER(SUBSTITUTE(H134," ","-"))&amp;".md"</f>
        <v>it-.md</v>
      </c>
      <c r="AR134" s="35" t="str">
        <f t="shared" si="65"/>
        <v xml:space="preserve">
| Cernusco Sul Naviglio | Italy | 1924 | | | [Link](http://www.therealpresence.org/eucharst/misc/BVM/04_CERNUSCO_60x96.pdf) | | | |</v>
      </c>
      <c r="AS134" s="48" t="str">
        <f t="shared" si="56"/>
        <v/>
      </c>
      <c r="AT134" s="15" t="s">
        <v>336</v>
      </c>
    </row>
    <row r="135" spans="1:46" x14ac:dyDescent="0.25">
      <c r="A135" s="27"/>
      <c r="B135" s="31" t="s">
        <v>1300</v>
      </c>
      <c r="C135" s="32" t="s">
        <v>553</v>
      </c>
      <c r="D135" s="64" t="s">
        <v>1172</v>
      </c>
      <c r="E135" s="32"/>
      <c r="F135" s="32"/>
      <c r="G135" s="33"/>
      <c r="H135" s="33"/>
      <c r="I135" s="33" t="s">
        <v>1758</v>
      </c>
      <c r="J135" s="33"/>
      <c r="K135" s="32" t="s">
        <v>336</v>
      </c>
      <c r="L135" s="32" t="s">
        <v>336</v>
      </c>
      <c r="M135" s="32" t="s">
        <v>309</v>
      </c>
      <c r="N135" s="32" t="s">
        <v>336</v>
      </c>
      <c r="O135" s="32" t="s">
        <v>336</v>
      </c>
      <c r="P135" s="32" t="s">
        <v>336</v>
      </c>
      <c r="Q135" s="32" t="s">
        <v>336</v>
      </c>
      <c r="R135" s="32" t="s">
        <v>336</v>
      </c>
      <c r="S135" s="32" t="s">
        <v>336</v>
      </c>
      <c r="T135" s="32"/>
      <c r="U135" s="32"/>
      <c r="V135" s="33"/>
      <c r="W135" s="38" t="b">
        <f t="shared" si="57"/>
        <v>0</v>
      </c>
      <c r="X135" s="35" t="str">
        <f t="shared" si="50"/>
        <v>title: ""</v>
      </c>
      <c r="Y135" s="35" t="str">
        <f t="shared" si="51"/>
        <v>location: {lat: , lng: }</v>
      </c>
      <c r="Z135" s="35" t="str">
        <f>IF(LEN(S135)&gt;1,VLOOKUP(S135,Sheet3!$A:$B,2,),"")</f>
        <v/>
      </c>
      <c r="AA135" s="35" t="str">
        <f>IF(LEN(T135)&gt;1,VLOOKUP(T135,Sheet3!$A:$B,2,),"")</f>
        <v/>
      </c>
      <c r="AB135" s="35" t="str">
        <f>IF(LEN(U135)&gt;1,VLOOKUP(U135,Sheet3!$A:$B,2,),"")</f>
        <v/>
      </c>
      <c r="AC135" s="37" t="str">
        <f t="shared" si="58"/>
        <v/>
      </c>
      <c r="AD135" s="37" t="str">
        <f t="shared" si="59"/>
        <v/>
      </c>
      <c r="AE135" s="37" t="str">
        <f t="shared" si="60"/>
        <v/>
      </c>
      <c r="AF135" s="37" t="str">
        <f>"- marian-sites
- churches
- "&amp;VLOOKUP(C135,'(Ref) Countries'!A:C,3,)&amp;IF(LEN(S135)&gt;1,"
- "&amp;S135,"")&amp;IF(LEN(T135)&gt;1,"
- "&amp;T135,"")&amp;IF(LEN(U135)&gt;1,"
- "&amp;U135,"")</f>
        <v>- marian-sites
- churches
- spain</v>
      </c>
      <c r="AG135" s="37" t="str">
        <f t="shared" si="61"/>
        <v xml:space="preserve">| </v>
      </c>
      <c r="AH135" s="37" t="str">
        <f t="shared" si="62"/>
        <v xml:space="preserve">| Pontevedra and Tuy </v>
      </c>
      <c r="AI135" s="37" t="str">
        <f>"| "&amp;IF(W135,GetTagPage(C135,VLOOKUP(C135,'(Ref) Countries'!A:C,3,)),C135)&amp; " "</f>
        <v xml:space="preserve">| Spain </v>
      </c>
      <c r="AJ135" s="37" t="str">
        <f t="shared" si="63"/>
        <v xml:space="preserve">| 1925-1926-1929 </v>
      </c>
      <c r="AK135" s="37" t="str">
        <f t="shared" si="64"/>
        <v xml:space="preserve">| </v>
      </c>
      <c r="AL135" s="35" t="str">
        <f t="shared" si="52"/>
        <v xml:space="preserve">| </v>
      </c>
      <c r="AM135" s="37" t="str">
        <f t="shared" si="53"/>
        <v xml:space="preserve">| [Link](http://www.therealpresence.org/eucharst/misc/BVM/31_PONTEVEDRA_96x96.pdf) </v>
      </c>
      <c r="AN135" s="37" t="str">
        <f t="shared" si="54"/>
        <v xml:space="preserve">| </v>
      </c>
      <c r="AO135" s="37" t="str">
        <f t="shared" si="55"/>
        <v xml:space="preserve">| </v>
      </c>
      <c r="AP135" s="37" t="str">
        <f t="shared" si="66"/>
        <v xml:space="preserve">
| | [Link](http://www.therealpresence.org/eucharst/misc/BVM/31_PONTEVEDRA_96x96.pdf) | | |</v>
      </c>
      <c r="AQ135" s="48" t="str">
        <f>VLOOKUP(C135,'(Ref) Countries'!A:B,2,)&amp;"-"&amp;LOWER(SUBSTITUTE(H135," ","-"))&amp;".md"</f>
        <v>es-.md</v>
      </c>
      <c r="AR135" s="35" t="str">
        <f t="shared" si="65"/>
        <v xml:space="preserve">
| Pontevedra and Tuy | Spain | 1925-1926-1929 | | | [Link](http://www.therealpresence.org/eucharst/misc/BVM/31_PONTEVEDRA_96x96.pdf) | | | |</v>
      </c>
      <c r="AS135" s="48" t="str">
        <f t="shared" si="56"/>
        <v/>
      </c>
      <c r="AT135" s="15" t="s">
        <v>336</v>
      </c>
    </row>
    <row r="136" spans="1:46" x14ac:dyDescent="0.25">
      <c r="A136" s="27"/>
      <c r="B136" s="31" t="s">
        <v>1301</v>
      </c>
      <c r="C136" s="32" t="s">
        <v>519</v>
      </c>
      <c r="D136" s="61">
        <v>1929</v>
      </c>
      <c r="E136" s="32"/>
      <c r="F136" s="32"/>
      <c r="G136" s="33"/>
      <c r="H136" s="33"/>
      <c r="I136" s="33" t="s">
        <v>1758</v>
      </c>
      <c r="J136" s="33"/>
      <c r="K136" s="32" t="s">
        <v>336</v>
      </c>
      <c r="L136" s="32" t="s">
        <v>336</v>
      </c>
      <c r="M136" s="32" t="s">
        <v>310</v>
      </c>
      <c r="N136" s="32" t="s">
        <v>336</v>
      </c>
      <c r="O136" s="32" t="s">
        <v>336</v>
      </c>
      <c r="P136" s="32" t="s">
        <v>336</v>
      </c>
      <c r="Q136" s="32" t="s">
        <v>336</v>
      </c>
      <c r="R136" s="32" t="s">
        <v>336</v>
      </c>
      <c r="S136" s="32" t="s">
        <v>336</v>
      </c>
      <c r="T136" s="32"/>
      <c r="U136" s="32"/>
      <c r="V136" s="33"/>
      <c r="W136" s="38" t="b">
        <f t="shared" si="57"/>
        <v>0</v>
      </c>
      <c r="X136" s="35" t="str">
        <f t="shared" si="50"/>
        <v>title: ""</v>
      </c>
      <c r="Y136" s="35" t="str">
        <f t="shared" si="51"/>
        <v>location: {lat: , lng: }</v>
      </c>
      <c r="Z136" s="35" t="str">
        <f>IF(LEN(S136)&gt;1,VLOOKUP(S136,Sheet3!$A:$B,2,),"")</f>
        <v/>
      </c>
      <c r="AA136" s="35" t="str">
        <f>IF(LEN(T136)&gt;1,VLOOKUP(T136,Sheet3!$A:$B,2,),"")</f>
        <v/>
      </c>
      <c r="AB136" s="35" t="str">
        <f>IF(LEN(U136)&gt;1,VLOOKUP(U136,Sheet3!$A:$B,2,),"")</f>
        <v/>
      </c>
      <c r="AC136" s="37" t="str">
        <f t="shared" si="58"/>
        <v/>
      </c>
      <c r="AD136" s="37" t="str">
        <f t="shared" si="59"/>
        <v/>
      </c>
      <c r="AE136" s="37" t="str">
        <f t="shared" si="60"/>
        <v/>
      </c>
      <c r="AF136" s="37" t="str">
        <f>"- marian-sites
- churches
- "&amp;VLOOKUP(C136,'(Ref) Countries'!A:C,3,)&amp;IF(LEN(S136)&gt;1,"
- "&amp;S136,"")&amp;IF(LEN(T136)&gt;1,"
- "&amp;T136,"")&amp;IF(LEN(U136)&gt;1,"
- "&amp;U136,"")</f>
        <v>- marian-sites
- churches
- brazil</v>
      </c>
      <c r="AG136" s="37" t="str">
        <f t="shared" si="61"/>
        <v xml:space="preserve">| </v>
      </c>
      <c r="AH136" s="37" t="str">
        <f t="shared" si="62"/>
        <v xml:space="preserve">| Campiñas </v>
      </c>
      <c r="AI136" s="37" t="str">
        <f>"| "&amp;IF(W136,GetTagPage(C136,VLOOKUP(C136,'(Ref) Countries'!A:C,3,)),C136)&amp; " "</f>
        <v xml:space="preserve">| Brazil </v>
      </c>
      <c r="AJ136" s="37" t="str">
        <f t="shared" si="63"/>
        <v xml:space="preserve">| 1929 </v>
      </c>
      <c r="AK136" s="37" t="str">
        <f t="shared" si="64"/>
        <v xml:space="preserve">| </v>
      </c>
      <c r="AL136" s="35" t="str">
        <f t="shared" si="52"/>
        <v xml:space="preserve">| </v>
      </c>
      <c r="AM136" s="37" t="str">
        <f t="shared" si="53"/>
        <v xml:space="preserve">| [Link](http://www.therealpresence.org/eucharst/misc/BVM/93_CAMPINAS_140x96.pdf) </v>
      </c>
      <c r="AN136" s="37" t="str">
        <f t="shared" si="54"/>
        <v xml:space="preserve">| </v>
      </c>
      <c r="AO136" s="37" t="str">
        <f t="shared" si="55"/>
        <v xml:space="preserve">| </v>
      </c>
      <c r="AP136" s="37" t="str">
        <f t="shared" si="66"/>
        <v xml:space="preserve">
| | [Link](http://www.therealpresence.org/eucharst/misc/BVM/93_CAMPINAS_140x96.pdf) | | |</v>
      </c>
      <c r="AQ136" s="48" t="str">
        <f>VLOOKUP(C136,'(Ref) Countries'!A:B,2,)&amp;"-"&amp;LOWER(SUBSTITUTE(H136," ","-"))&amp;".md"</f>
        <v>br-.md</v>
      </c>
      <c r="AR136" s="35" t="str">
        <f t="shared" si="65"/>
        <v xml:space="preserve">
| Campiñas | Brazil | 1929 | | | [Link](http://www.therealpresence.org/eucharst/misc/BVM/93_CAMPINAS_140x96.pdf) | | | |</v>
      </c>
      <c r="AS136" s="48" t="str">
        <f t="shared" si="56"/>
        <v/>
      </c>
      <c r="AT136" s="15" t="s">
        <v>336</v>
      </c>
    </row>
    <row r="137" spans="1:46" x14ac:dyDescent="0.25">
      <c r="A137" s="27"/>
      <c r="B137" s="31" t="s">
        <v>996</v>
      </c>
      <c r="C137" s="32" t="s">
        <v>510</v>
      </c>
      <c r="D137" s="61">
        <v>1932</v>
      </c>
      <c r="E137" s="32">
        <v>50.108666599999999</v>
      </c>
      <c r="F137" s="32">
        <v>4.9609611999999998</v>
      </c>
      <c r="G137" s="39" t="s">
        <v>346</v>
      </c>
      <c r="H137" s="39"/>
      <c r="I137" s="39" t="s">
        <v>1758</v>
      </c>
      <c r="J137" s="33"/>
      <c r="K137" s="32" t="s">
        <v>347</v>
      </c>
      <c r="L137" s="32" t="s">
        <v>336</v>
      </c>
      <c r="M137" s="32" t="s">
        <v>311</v>
      </c>
      <c r="N137" s="32" t="s">
        <v>336</v>
      </c>
      <c r="O137" s="32" t="s">
        <v>336</v>
      </c>
      <c r="P137" s="32" t="s">
        <v>336</v>
      </c>
      <c r="Q137" s="32" t="s">
        <v>336</v>
      </c>
      <c r="R137" s="32" t="s">
        <v>336</v>
      </c>
      <c r="S137" s="34" t="s">
        <v>336</v>
      </c>
      <c r="T137" s="34"/>
      <c r="U137" s="34"/>
      <c r="V137" s="33"/>
      <c r="W137" s="38" t="b">
        <f t="shared" si="57"/>
        <v>0</v>
      </c>
      <c r="X137" s="35" t="str">
        <f t="shared" si="50"/>
        <v>title: "The Virgin with the Golden Heart"</v>
      </c>
      <c r="Y137" s="35" t="str">
        <f t="shared" si="51"/>
        <v>location: {lat: 50.1086666, lng: 4.9609612}</v>
      </c>
      <c r="Z137" s="37" t="str">
        <f>IF(LEN(S137)&gt;1,VLOOKUP(S137,Sheet3!$A:$B,2,),"")</f>
        <v/>
      </c>
      <c r="AA137" s="37" t="str">
        <f>IF(LEN(T137)&gt;1,VLOOKUP(T137,Sheet3!$A:$B,2,),"")</f>
        <v/>
      </c>
      <c r="AB137" s="37" t="str">
        <f>IF(LEN(U137)&gt;1,VLOOKUP(U137,Sheet3!$A:$B,2,),"")</f>
        <v/>
      </c>
      <c r="AC137" s="37" t="str">
        <f t="shared" si="58"/>
        <v/>
      </c>
      <c r="AD137" s="37" t="str">
        <f t="shared" si="59"/>
        <v/>
      </c>
      <c r="AE137" s="37" t="str">
        <f t="shared" si="60"/>
        <v/>
      </c>
      <c r="AF137" s="37" t="str">
        <f>"- marian-sites
- churches
- "&amp;VLOOKUP(C137,'(Ref) Countries'!A:C,3,)&amp;IF(LEN(S137)&gt;1,"
- "&amp;S137,"")&amp;IF(LEN(T137)&gt;1,"
- "&amp;T137,"")&amp;IF(LEN(U137)&gt;1,"
- "&amp;U137,"")</f>
        <v>- marian-sites
- churches
- belgium</v>
      </c>
      <c r="AG137" s="37" t="str">
        <f t="shared" si="61"/>
        <v xml:space="preserve">| </v>
      </c>
      <c r="AH137" s="37" t="str">
        <f t="shared" si="62"/>
        <v xml:space="preserve">| Beauraing </v>
      </c>
      <c r="AI137" s="37" t="str">
        <f>"| "&amp;IF(W137,GetTagPage(C137,VLOOKUP(C137,'(Ref) Countries'!A:C,3,)),C137)&amp; " "</f>
        <v xml:space="preserve">| Belgium </v>
      </c>
      <c r="AJ137" s="37" t="str">
        <f t="shared" si="63"/>
        <v xml:space="preserve">| 1932 </v>
      </c>
      <c r="AK137" s="37" t="str">
        <f t="shared" si="64"/>
        <v xml:space="preserve">| </v>
      </c>
      <c r="AL137" s="35" t="str">
        <f t="shared" si="52"/>
        <v xml:space="preserve">| [Link](https://sanctuairedebeauraing.be/) </v>
      </c>
      <c r="AM137" s="37" t="str">
        <f t="shared" si="53"/>
        <v xml:space="preserve">| [Link](http://www.therealpresence.org/eucharst/misc/BVM/11_BEAURAING_60x96.pdf) </v>
      </c>
      <c r="AN137" s="37" t="str">
        <f t="shared" si="54"/>
        <v xml:space="preserve">| </v>
      </c>
      <c r="AO137" s="37" t="str">
        <f t="shared" si="55"/>
        <v xml:space="preserve">| </v>
      </c>
      <c r="AP137" s="37" t="str">
        <f t="shared" si="66"/>
        <v xml:space="preserve">
| [Link](https://sanctuairedebeauraing.be/) | [Link](http://www.therealpresence.org/eucharst/misc/BVM/11_BEAURAING_60x96.pdf) | | |</v>
      </c>
      <c r="AQ137" s="48" t="str">
        <f>VLOOKUP(C137,'(Ref) Countries'!A:B,2,)&amp;"-"&amp;LOWER(SUBSTITUTE(H137," ","-"))&amp;".md"</f>
        <v>be-.md</v>
      </c>
      <c r="AR137" s="35" t="str">
        <f t="shared" si="65"/>
        <v xml:space="preserve">
| Beauraing | Belgium | 1932 | | [Link](https://sanctuairedebeauraing.be/) | [Link](http://www.therealpresence.org/eucharst/misc/BVM/11_BEAURAING_60x96.pdf) | | | |</v>
      </c>
      <c r="AS137" s="48" t="str">
        <f t="shared" si="56"/>
        <v/>
      </c>
      <c r="AT137" s="15" t="s">
        <v>336</v>
      </c>
    </row>
    <row r="138" spans="1:46" x14ac:dyDescent="0.25">
      <c r="A138" s="27"/>
      <c r="B138" s="31" t="s">
        <v>995</v>
      </c>
      <c r="C138" s="32" t="s">
        <v>510</v>
      </c>
      <c r="D138" s="61">
        <v>1933</v>
      </c>
      <c r="E138" s="32">
        <v>50.538244800000001</v>
      </c>
      <c r="F138" s="32">
        <v>5.7507225999999996</v>
      </c>
      <c r="G138" s="39" t="s">
        <v>343</v>
      </c>
      <c r="H138" s="39"/>
      <c r="I138" s="39" t="s">
        <v>1758</v>
      </c>
      <c r="J138" s="33"/>
      <c r="K138" s="32" t="s">
        <v>344</v>
      </c>
      <c r="L138" s="32" t="s">
        <v>336</v>
      </c>
      <c r="M138" s="32" t="s">
        <v>312</v>
      </c>
      <c r="N138" s="32" t="s">
        <v>336</v>
      </c>
      <c r="O138" s="32" t="s">
        <v>336</v>
      </c>
      <c r="P138" s="32" t="s">
        <v>336</v>
      </c>
      <c r="Q138" s="32" t="s">
        <v>336</v>
      </c>
      <c r="R138" s="32" t="s">
        <v>336</v>
      </c>
      <c r="S138" s="34" t="s">
        <v>336</v>
      </c>
      <c r="T138" s="34"/>
      <c r="U138" s="34"/>
      <c r="V138" s="33"/>
      <c r="W138" s="38" t="b">
        <f t="shared" si="57"/>
        <v>0</v>
      </c>
      <c r="X138" s="35" t="str">
        <f t="shared" si="50"/>
        <v>title: "Our Lady of Banneux, Virgin of the Poor"</v>
      </c>
      <c r="Y138" s="35" t="str">
        <f t="shared" si="51"/>
        <v>location: {lat: 50.5382448, lng: 5.7507226}</v>
      </c>
      <c r="Z138" s="37" t="str">
        <f>IF(LEN(S138)&gt;1,VLOOKUP(S138,Sheet3!$A:$B,2,),"")</f>
        <v/>
      </c>
      <c r="AA138" s="37" t="str">
        <f>IF(LEN(T138)&gt;1,VLOOKUP(T138,Sheet3!$A:$B,2,),"")</f>
        <v/>
      </c>
      <c r="AB138" s="37" t="str">
        <f>IF(LEN(U138)&gt;1,VLOOKUP(U138,Sheet3!$A:$B,2,),"")</f>
        <v/>
      </c>
      <c r="AC138" s="37" t="str">
        <f t="shared" si="58"/>
        <v/>
      </c>
      <c r="AD138" s="37" t="str">
        <f t="shared" si="59"/>
        <v/>
      </c>
      <c r="AE138" s="37" t="str">
        <f t="shared" si="60"/>
        <v/>
      </c>
      <c r="AF138" s="37" t="str">
        <f>"- marian-sites
- churches
- "&amp;VLOOKUP(C138,'(Ref) Countries'!A:C,3,)&amp;IF(LEN(S138)&gt;1,"
- "&amp;S138,"")&amp;IF(LEN(T138)&gt;1,"
- "&amp;T138,"")&amp;IF(LEN(U138)&gt;1,"
- "&amp;U138,"")</f>
        <v>- marian-sites
- churches
- belgium</v>
      </c>
      <c r="AG138" s="37" t="str">
        <f t="shared" si="61"/>
        <v xml:space="preserve">| </v>
      </c>
      <c r="AH138" s="37" t="str">
        <f t="shared" si="62"/>
        <v xml:space="preserve">| Banneux </v>
      </c>
      <c r="AI138" s="37" t="str">
        <f>"| "&amp;IF(W138,GetTagPage(C138,VLOOKUP(C138,'(Ref) Countries'!A:C,3,)),C138)&amp; " "</f>
        <v xml:space="preserve">| Belgium </v>
      </c>
      <c r="AJ138" s="37" t="str">
        <f t="shared" si="63"/>
        <v xml:space="preserve">| 1933 </v>
      </c>
      <c r="AK138" s="37" t="str">
        <f t="shared" si="64"/>
        <v xml:space="preserve">| </v>
      </c>
      <c r="AL138" s="35" t="str">
        <f t="shared" si="52"/>
        <v xml:space="preserve">| [Link](https://banneux-nd.be/) </v>
      </c>
      <c r="AM138" s="37" t="str">
        <f t="shared" si="53"/>
        <v xml:space="preserve">| [Link](http://www.therealpresence.org/eucharst/misc/BVM/39_BANNEAUX_96x96.pdf) </v>
      </c>
      <c r="AN138" s="37" t="str">
        <f t="shared" si="54"/>
        <v xml:space="preserve">| </v>
      </c>
      <c r="AO138" s="37" t="str">
        <f t="shared" si="55"/>
        <v xml:space="preserve">| </v>
      </c>
      <c r="AP138" s="37" t="str">
        <f t="shared" si="66"/>
        <v xml:space="preserve">
| [Link](https://banneux-nd.be/) | [Link](http://www.therealpresence.org/eucharst/misc/BVM/39_BANNEAUX_96x96.pdf) | | |</v>
      </c>
      <c r="AQ138" s="48" t="str">
        <f>VLOOKUP(C138,'(Ref) Countries'!A:B,2,)&amp;"-"&amp;LOWER(SUBSTITUTE(H138," ","-"))&amp;".md"</f>
        <v>be-.md</v>
      </c>
      <c r="AR138" s="35" t="str">
        <f t="shared" si="65"/>
        <v xml:space="preserve">
| Banneux | Belgium | 1933 | | [Link](https://banneux-nd.be/) | [Link](http://www.therealpresence.org/eucharst/misc/BVM/39_BANNEAUX_96x96.pdf) | | | |</v>
      </c>
      <c r="AS138" s="48" t="str">
        <f t="shared" si="56"/>
        <v/>
      </c>
      <c r="AT138" s="15" t="s">
        <v>336</v>
      </c>
    </row>
    <row r="139" spans="1:46" x14ac:dyDescent="0.25">
      <c r="A139" s="27"/>
      <c r="B139" s="31" t="s">
        <v>1302</v>
      </c>
      <c r="C139" s="32" t="s">
        <v>519</v>
      </c>
      <c r="D139" s="61">
        <v>1936</v>
      </c>
      <c r="E139" s="32"/>
      <c r="F139" s="32"/>
      <c r="G139" s="33"/>
      <c r="H139" s="33"/>
      <c r="I139" s="33" t="s">
        <v>1758</v>
      </c>
      <c r="J139" s="33"/>
      <c r="K139" s="32" t="s">
        <v>336</v>
      </c>
      <c r="L139" s="32" t="s">
        <v>336</v>
      </c>
      <c r="M139" s="32" t="s">
        <v>313</v>
      </c>
      <c r="N139" s="32" t="s">
        <v>336</v>
      </c>
      <c r="O139" s="32" t="s">
        <v>336</v>
      </c>
      <c r="P139" s="32" t="s">
        <v>336</v>
      </c>
      <c r="Q139" s="32" t="s">
        <v>336</v>
      </c>
      <c r="R139" s="32" t="s">
        <v>336</v>
      </c>
      <c r="S139" s="32" t="s">
        <v>336</v>
      </c>
      <c r="T139" s="32"/>
      <c r="U139" s="32"/>
      <c r="V139" s="33"/>
      <c r="W139" s="38" t="b">
        <f t="shared" si="57"/>
        <v>0</v>
      </c>
      <c r="X139" s="35" t="str">
        <f t="shared" si="50"/>
        <v>title: ""</v>
      </c>
      <c r="Y139" s="35" t="str">
        <f t="shared" si="51"/>
        <v>location: {lat: , lng: }</v>
      </c>
      <c r="Z139" s="35" t="str">
        <f>IF(LEN(S139)&gt;1,VLOOKUP(S139,Sheet3!$A:$B,2,),"")</f>
        <v/>
      </c>
      <c r="AA139" s="35" t="str">
        <f>IF(LEN(T139)&gt;1,VLOOKUP(T139,Sheet3!$A:$B,2,),"")</f>
        <v/>
      </c>
      <c r="AB139" s="35" t="str">
        <f>IF(LEN(U139)&gt;1,VLOOKUP(U139,Sheet3!$A:$B,2,),"")</f>
        <v/>
      </c>
      <c r="AC139" s="37" t="str">
        <f t="shared" si="58"/>
        <v/>
      </c>
      <c r="AD139" s="37" t="str">
        <f t="shared" si="59"/>
        <v/>
      </c>
      <c r="AE139" s="37" t="str">
        <f t="shared" si="60"/>
        <v/>
      </c>
      <c r="AF139" s="37" t="str">
        <f>"- marian-sites
- churches
- "&amp;VLOOKUP(C139,'(Ref) Countries'!A:C,3,)&amp;IF(LEN(S139)&gt;1,"
- "&amp;S139,"")&amp;IF(LEN(T139)&gt;1,"
- "&amp;T139,"")&amp;IF(LEN(U139)&gt;1,"
- "&amp;U139,"")</f>
        <v>- marian-sites
- churches
- brazil</v>
      </c>
      <c r="AG139" s="37" t="str">
        <f t="shared" si="61"/>
        <v xml:space="preserve">| </v>
      </c>
      <c r="AH139" s="37" t="str">
        <f t="shared" si="62"/>
        <v xml:space="preserve">| Pesqueira </v>
      </c>
      <c r="AI139" s="37" t="str">
        <f>"| "&amp;IF(W139,GetTagPage(C139,VLOOKUP(C139,'(Ref) Countries'!A:C,3,)),C139)&amp; " "</f>
        <v xml:space="preserve">| Brazil </v>
      </c>
      <c r="AJ139" s="37" t="str">
        <f t="shared" si="63"/>
        <v xml:space="preserve">| 1936 </v>
      </c>
      <c r="AK139" s="37" t="str">
        <f t="shared" si="64"/>
        <v xml:space="preserve">| </v>
      </c>
      <c r="AL139" s="35" t="str">
        <f t="shared" si="52"/>
        <v xml:space="preserve">| </v>
      </c>
      <c r="AM139" s="37" t="str">
        <f t="shared" si="53"/>
        <v xml:space="preserve">| [Link](http://www.therealpresence.org/eucharst/misc/BVM/151_PESQUEIRA_140x96.pdf) </v>
      </c>
      <c r="AN139" s="37" t="str">
        <f t="shared" si="54"/>
        <v xml:space="preserve">| </v>
      </c>
      <c r="AO139" s="37" t="str">
        <f t="shared" si="55"/>
        <v xml:space="preserve">| </v>
      </c>
      <c r="AP139" s="37" t="str">
        <f t="shared" si="66"/>
        <v xml:space="preserve">
| | [Link](http://www.therealpresence.org/eucharst/misc/BVM/151_PESQUEIRA_140x96.pdf) | | |</v>
      </c>
      <c r="AQ139" s="48" t="str">
        <f>VLOOKUP(C139,'(Ref) Countries'!A:B,2,)&amp;"-"&amp;LOWER(SUBSTITUTE(H139," ","-"))&amp;".md"</f>
        <v>br-.md</v>
      </c>
      <c r="AR139" s="35" t="str">
        <f t="shared" si="65"/>
        <v xml:space="preserve">
| Pesqueira | Brazil | 1936 | | | [Link](http://www.therealpresence.org/eucharst/misc/BVM/151_PESQUEIRA_140x96.pdf) | | | |</v>
      </c>
      <c r="AS139" s="48" t="str">
        <f t="shared" si="56"/>
        <v/>
      </c>
      <c r="AT139" s="15" t="s">
        <v>336</v>
      </c>
    </row>
    <row r="140" spans="1:46" x14ac:dyDescent="0.25">
      <c r="A140" s="27"/>
      <c r="B140" s="31" t="s">
        <v>1303</v>
      </c>
      <c r="C140" s="32" t="s">
        <v>543</v>
      </c>
      <c r="D140" s="64" t="s">
        <v>1175</v>
      </c>
      <c r="E140" s="32"/>
      <c r="F140" s="32"/>
      <c r="G140" s="33"/>
      <c r="H140" s="33"/>
      <c r="I140" s="33" t="s">
        <v>1758</v>
      </c>
      <c r="J140" s="33"/>
      <c r="K140" s="32" t="s">
        <v>336</v>
      </c>
      <c r="L140" s="32" t="s">
        <v>336</v>
      </c>
      <c r="M140" s="32" t="s">
        <v>314</v>
      </c>
      <c r="N140" s="32" t="s">
        <v>336</v>
      </c>
      <c r="O140" s="32" t="s">
        <v>336</v>
      </c>
      <c r="P140" s="32" t="s">
        <v>336</v>
      </c>
      <c r="Q140" s="32" t="s">
        <v>336</v>
      </c>
      <c r="R140" s="32" t="s">
        <v>336</v>
      </c>
      <c r="S140" s="32" t="s">
        <v>336</v>
      </c>
      <c r="T140" s="32"/>
      <c r="U140" s="32"/>
      <c r="V140" s="33"/>
      <c r="W140" s="38" t="b">
        <f t="shared" si="57"/>
        <v>0</v>
      </c>
      <c r="X140" s="35" t="str">
        <f t="shared" si="50"/>
        <v>title: ""</v>
      </c>
      <c r="Y140" s="35" t="str">
        <f t="shared" si="51"/>
        <v>location: {lat: , lng: }</v>
      </c>
      <c r="Z140" s="35" t="str">
        <f>IF(LEN(S140)&gt;1,VLOOKUP(S140,Sheet3!$A:$B,2,),"")</f>
        <v/>
      </c>
      <c r="AA140" s="35" t="str">
        <f>IF(LEN(T140)&gt;1,VLOOKUP(T140,Sheet3!$A:$B,2,),"")</f>
        <v/>
      </c>
      <c r="AB140" s="35" t="str">
        <f>IF(LEN(U140)&gt;1,VLOOKUP(U140,Sheet3!$A:$B,2,),"")</f>
        <v/>
      </c>
      <c r="AC140" s="37" t="str">
        <f t="shared" si="58"/>
        <v/>
      </c>
      <c r="AD140" s="37" t="str">
        <f t="shared" si="59"/>
        <v/>
      </c>
      <c r="AE140" s="37" t="str">
        <f t="shared" si="60"/>
        <v/>
      </c>
      <c r="AF140" s="37" t="str">
        <f>"- marian-sites
- churches
- "&amp;VLOOKUP(C140,'(Ref) Countries'!A:C,3,)&amp;IF(LEN(S140)&gt;1,"
- "&amp;S140,"")&amp;IF(LEN(T140)&gt;1,"
- "&amp;T140,"")&amp;IF(LEN(U140)&gt;1,"
- "&amp;U140,"")</f>
        <v>- marian-sites
- churches
- germany</v>
      </c>
      <c r="AG140" s="37" t="str">
        <f t="shared" si="61"/>
        <v xml:space="preserve">| </v>
      </c>
      <c r="AH140" s="37" t="str">
        <f t="shared" si="62"/>
        <v xml:space="preserve">| Heede </v>
      </c>
      <c r="AI140" s="37" t="str">
        <f>"| "&amp;IF(W140,GetTagPage(C140,VLOOKUP(C140,'(Ref) Countries'!A:C,3,)),C140)&amp; " "</f>
        <v xml:space="preserve">| Germany </v>
      </c>
      <c r="AJ140" s="37" t="str">
        <f t="shared" si="63"/>
        <v xml:space="preserve">| 1937-1940 </v>
      </c>
      <c r="AK140" s="37" t="str">
        <f t="shared" si="64"/>
        <v xml:space="preserve">| </v>
      </c>
      <c r="AL140" s="35" t="str">
        <f t="shared" si="52"/>
        <v xml:space="preserve">| </v>
      </c>
      <c r="AM140" s="37" t="str">
        <f t="shared" si="53"/>
        <v xml:space="preserve">| [Link](http://www.therealpresence.org/eucharst/misc/BVM/146_HEEDE_140x96.pdf) </v>
      </c>
      <c r="AN140" s="37" t="str">
        <f t="shared" si="54"/>
        <v xml:space="preserve">| </v>
      </c>
      <c r="AO140" s="37" t="str">
        <f t="shared" si="55"/>
        <v xml:space="preserve">| </v>
      </c>
      <c r="AP140" s="37" t="str">
        <f t="shared" si="66"/>
        <v xml:space="preserve">
| | [Link](http://www.therealpresence.org/eucharst/misc/BVM/146_HEEDE_140x96.pdf) | | |</v>
      </c>
      <c r="AQ140" s="48" t="str">
        <f>VLOOKUP(C140,'(Ref) Countries'!A:B,2,)&amp;"-"&amp;LOWER(SUBSTITUTE(H140," ","-"))&amp;".md"</f>
        <v>de-.md</v>
      </c>
      <c r="AR140" s="35" t="str">
        <f t="shared" si="65"/>
        <v xml:space="preserve">
| Heede | Germany | 1937-1940 | | | [Link](http://www.therealpresence.org/eucharst/misc/BVM/146_HEEDE_140x96.pdf) | | | |</v>
      </c>
      <c r="AS140" s="48" t="str">
        <f t="shared" si="56"/>
        <v/>
      </c>
      <c r="AT140" s="15" t="s">
        <v>336</v>
      </c>
    </row>
    <row r="141" spans="1:46" x14ac:dyDescent="0.25">
      <c r="A141" s="27"/>
      <c r="B141" s="31" t="s">
        <v>1304</v>
      </c>
      <c r="C141" s="32" t="s">
        <v>11</v>
      </c>
      <c r="D141" s="64" t="s">
        <v>1176</v>
      </c>
      <c r="E141" s="32"/>
      <c r="F141" s="32"/>
      <c r="G141" s="33"/>
      <c r="H141" s="33"/>
      <c r="I141" s="33" t="s">
        <v>1758</v>
      </c>
      <c r="J141" s="33"/>
      <c r="K141" s="32" t="s">
        <v>336</v>
      </c>
      <c r="L141" s="32" t="s">
        <v>336</v>
      </c>
      <c r="M141" s="32" t="s">
        <v>315</v>
      </c>
      <c r="N141" s="32" t="s">
        <v>336</v>
      </c>
      <c r="O141" s="32" t="s">
        <v>336</v>
      </c>
      <c r="P141" s="32" t="s">
        <v>336</v>
      </c>
      <c r="Q141" s="32" t="s">
        <v>336</v>
      </c>
      <c r="R141" s="32" t="s">
        <v>336</v>
      </c>
      <c r="S141" s="32" t="s">
        <v>336</v>
      </c>
      <c r="T141" s="32"/>
      <c r="U141" s="32"/>
      <c r="V141" s="33"/>
      <c r="W141" s="38" t="b">
        <f t="shared" si="57"/>
        <v>0</v>
      </c>
      <c r="X141" s="35" t="str">
        <f t="shared" si="50"/>
        <v>title: ""</v>
      </c>
      <c r="Y141" s="35" t="str">
        <f t="shared" si="51"/>
        <v>location: {lat: , lng: }</v>
      </c>
      <c r="Z141" s="35" t="str">
        <f>IF(LEN(S141)&gt;1,VLOOKUP(S141,Sheet3!$A:$B,2,),"")</f>
        <v/>
      </c>
      <c r="AA141" s="35" t="str">
        <f>IF(LEN(T141)&gt;1,VLOOKUP(T141,Sheet3!$A:$B,2,),"")</f>
        <v/>
      </c>
      <c r="AB141" s="35" t="str">
        <f>IF(LEN(U141)&gt;1,VLOOKUP(U141,Sheet3!$A:$B,2,),"")</f>
        <v/>
      </c>
      <c r="AC141" s="37" t="str">
        <f t="shared" si="58"/>
        <v/>
      </c>
      <c r="AD141" s="37" t="str">
        <f t="shared" si="59"/>
        <v/>
      </c>
      <c r="AE141" s="37" t="str">
        <f t="shared" si="60"/>
        <v/>
      </c>
      <c r="AF141" s="37" t="str">
        <f>"- marian-sites
- churches
- "&amp;VLOOKUP(C141,'(Ref) Countries'!A:C,3,)&amp;IF(LEN(S141)&gt;1,"
- "&amp;S141,"")&amp;IF(LEN(T141)&gt;1,"
- "&amp;T141,"")&amp;IF(LEN(U141)&gt;1,"
- "&amp;U141,"")</f>
        <v>- marian-sites
- churches
- italy</v>
      </c>
      <c r="AG141" s="37" t="str">
        <f t="shared" si="61"/>
        <v xml:space="preserve">| </v>
      </c>
      <c r="AH141" s="37" t="str">
        <f t="shared" si="62"/>
        <v xml:space="preserve">| Milan </v>
      </c>
      <c r="AI141" s="37" t="str">
        <f>"| "&amp;IF(W141,GetTagPage(C141,VLOOKUP(C141,'(Ref) Countries'!A:C,3,)),C141)&amp; " "</f>
        <v xml:space="preserve">| Italy </v>
      </c>
      <c r="AJ141" s="37" t="str">
        <f t="shared" si="63"/>
        <v xml:space="preserve">| 1938-1945 </v>
      </c>
      <c r="AK141" s="37" t="str">
        <f t="shared" si="64"/>
        <v xml:space="preserve">| </v>
      </c>
      <c r="AL141" s="35" t="str">
        <f t="shared" si="52"/>
        <v xml:space="preserve">| </v>
      </c>
      <c r="AM141" s="37" t="str">
        <f t="shared" si="53"/>
        <v xml:space="preserve">| [Link](http://www.therealpresence.org/eucharst/misc/BVM/119_MILANO_96x96.pdf) </v>
      </c>
      <c r="AN141" s="37" t="str">
        <f t="shared" si="54"/>
        <v xml:space="preserve">| </v>
      </c>
      <c r="AO141" s="37" t="str">
        <f t="shared" si="55"/>
        <v xml:space="preserve">| </v>
      </c>
      <c r="AP141" s="37" t="str">
        <f t="shared" si="66"/>
        <v xml:space="preserve">
| | [Link](http://www.therealpresence.org/eucharst/misc/BVM/119_MILANO_96x96.pdf) | | |</v>
      </c>
      <c r="AQ141" s="48" t="str">
        <f>VLOOKUP(C141,'(Ref) Countries'!A:B,2,)&amp;"-"&amp;LOWER(SUBSTITUTE(H141," ","-"))&amp;".md"</f>
        <v>it-.md</v>
      </c>
      <c r="AR141" s="35" t="str">
        <f t="shared" si="65"/>
        <v xml:space="preserve">
| Milan | Italy | 1938-1945 | | | [Link](http://www.therealpresence.org/eucharst/misc/BVM/119_MILANO_96x96.pdf) | | | |</v>
      </c>
      <c r="AS141" s="48" t="str">
        <f t="shared" si="56"/>
        <v/>
      </c>
      <c r="AT141" s="15" t="s">
        <v>336</v>
      </c>
    </row>
    <row r="142" spans="1:46" ht="25.5" x14ac:dyDescent="0.25">
      <c r="A142" s="27" t="s">
        <v>1058</v>
      </c>
      <c r="B142" s="31" t="s">
        <v>1305</v>
      </c>
      <c r="C142" s="32" t="s">
        <v>2</v>
      </c>
      <c r="D142" s="61">
        <v>1939</v>
      </c>
      <c r="E142" s="32">
        <v>8.352427276057</v>
      </c>
      <c r="F142" s="32">
        <v>77.663576934286198</v>
      </c>
      <c r="G142" s="72" t="s">
        <v>1761</v>
      </c>
      <c r="H142" s="72" t="s">
        <v>1759</v>
      </c>
      <c r="I142" s="33" t="s">
        <v>1758</v>
      </c>
      <c r="J142" s="72" t="s">
        <v>1762</v>
      </c>
      <c r="K142" s="32" t="s">
        <v>1760</v>
      </c>
      <c r="L142" s="32" t="s">
        <v>336</v>
      </c>
      <c r="M142" s="32" t="s">
        <v>316</v>
      </c>
      <c r="N142" s="32" t="s">
        <v>336</v>
      </c>
      <c r="O142" s="32" t="s">
        <v>336</v>
      </c>
      <c r="P142" s="32" t="s">
        <v>336</v>
      </c>
      <c r="Q142" s="32" t="s">
        <v>336</v>
      </c>
      <c r="R142" s="32" t="s">
        <v>336</v>
      </c>
      <c r="S142" s="32" t="s">
        <v>336</v>
      </c>
      <c r="T142" s="32"/>
      <c r="U142" s="32"/>
      <c r="V142" s="33"/>
      <c r="W142" s="38" t="b">
        <f t="shared" si="57"/>
        <v>1</v>
      </c>
      <c r="X142" s="35" t="str">
        <f t="shared" si="50"/>
        <v>title: "Athisaya Panimatha (Our Lady of Snows) Shrine, Kallikulam"</v>
      </c>
      <c r="Y142" s="35" t="str">
        <f t="shared" si="51"/>
        <v>location: {lat: 8.352427276057, lng: 77.6635769342862}</v>
      </c>
      <c r="Z142" s="35" t="str">
        <f>IF(LEN(S142)&gt;1,VLOOKUP(S142,Sheet3!$A:$B,2,),"")</f>
        <v/>
      </c>
      <c r="AA142" s="35" t="str">
        <f>IF(LEN(T142)&gt;1,VLOOKUP(T142,Sheet3!$A:$B,2,),"")</f>
        <v/>
      </c>
      <c r="AB142" s="35" t="str">
        <f>IF(LEN(U142)&gt;1,VLOOKUP(U142,Sheet3!$A:$B,2,),"")</f>
        <v/>
      </c>
      <c r="AC142" s="37" t="str">
        <f t="shared" si="58"/>
        <v/>
      </c>
      <c r="AD142" s="37" t="str">
        <f t="shared" si="59"/>
        <v/>
      </c>
      <c r="AE142" s="37" t="str">
        <f t="shared" si="60"/>
        <v/>
      </c>
      <c r="AF142" s="37" t="str">
        <f>"- marian-sites
- churches
- "&amp;VLOOKUP(C142,'(Ref) Countries'!A:C,3,)&amp;IF(LEN(S142)&gt;1,"
- "&amp;S142,"")&amp;IF(LEN(T142)&gt;1,"
- "&amp;T142,"")&amp;IF(LEN(U142)&gt;1,"
- "&amp;U142,"")</f>
        <v>- marian-sites
- churches
- india</v>
      </c>
      <c r="AG142" s="37" t="str">
        <f t="shared" si="61"/>
        <v xml:space="preserve">| </v>
      </c>
      <c r="AH142" s="37" t="str">
        <f t="shared" si="62"/>
        <v xml:space="preserve">| [Kallikulam](/places/in-athisaya-panimatha-shrine) </v>
      </c>
      <c r="AI142" s="37" t="str">
        <f>"| "&amp;IF(W142,GetTagPage(C142,VLOOKUP(C142,'(Ref) Countries'!A:C,3,)),C142)&amp; " "</f>
        <v xml:space="preserve">| [India](/tags/india) </v>
      </c>
      <c r="AJ142" s="37" t="str">
        <f t="shared" si="63"/>
        <v xml:space="preserve">| 1939 </v>
      </c>
      <c r="AK142" s="37" t="str">
        <f t="shared" si="64"/>
        <v xml:space="preserve">| [Link](/places/in-athisaya-panimatha-shrine) </v>
      </c>
      <c r="AL142" s="35" t="str">
        <f t="shared" si="52"/>
        <v xml:space="preserve">| [Link](https://www.athisayapanimatha.com/) </v>
      </c>
      <c r="AM142" s="37" t="str">
        <f t="shared" si="53"/>
        <v xml:space="preserve">| [Link](http://www.therealpresence.org/eucharst/misc/BVM/128_KALLIKULAM_60x96.pdf) </v>
      </c>
      <c r="AN142" s="37" t="str">
        <f t="shared" si="54"/>
        <v xml:space="preserve">| </v>
      </c>
      <c r="AO142" s="37" t="str">
        <f t="shared" si="55"/>
        <v xml:space="preserve">| </v>
      </c>
      <c r="AP142" s="37" t="str">
        <f t="shared" si="66"/>
        <v xml:space="preserve">
| [Link](https://www.athisayapanimatha.com/) | [Link](http://www.therealpresence.org/eucharst/misc/BVM/128_KALLIKULAM_60x96.pdf) | | |</v>
      </c>
      <c r="AQ142" s="48" t="str">
        <f>VLOOKUP(C142,'(Ref) Countries'!A:B,2,)&amp;"-"&amp;LOWER(SUBSTITUTE(H142," ","-"))&amp;".md"</f>
        <v>in-athisaya-panimatha-shrine.md</v>
      </c>
      <c r="AR142" s="35" t="str">
        <f t="shared" si="65"/>
        <v xml:space="preserve">
| [Kallikulam](/places/in-athisaya-panimatha-shrine) | [India](/tags/india) | 1939 | [Link](/places/in-athisaya-panimatha-shrine) | [Link](https://www.athisayapanimatha.com/) | [Link](http://www.therealpresence.org/eucharst/misc/BVM/128_KALLIKULAM_60x96.pdf) | | | |</v>
      </c>
      <c r="AS142" s="48" t="str">
        <f t="shared" si="56"/>
        <v xml:space="preserve">---
title: "Athisaya Panimatha (Our Lady of Snows) Shrine, Kallikulam"
location: {lat: 8.352427276057, lng: 77.6635769342862}
tags:
- marian-sites
- churches
- india
---
Research in progress
#### Source Material
| Official Site | The Real Presence | Miracle Hunter | MaryPages |
| --- | --- | --- | --- |
| [Link](https://www.athisayapanimatha.com/) | [Link](http://www.therealpresence.org/eucharst/misc/BVM/128_KALLIKULAM_60x96.pdf) | | |
</v>
      </c>
      <c r="AT142" s="15" t="s">
        <v>336</v>
      </c>
    </row>
    <row r="143" spans="1:46" x14ac:dyDescent="0.25">
      <c r="A143" s="27"/>
      <c r="B143" s="31" t="s">
        <v>1306</v>
      </c>
      <c r="C143" s="32" t="s">
        <v>543</v>
      </c>
      <c r="D143" s="64" t="s">
        <v>1178</v>
      </c>
      <c r="E143" s="32"/>
      <c r="F143" s="32"/>
      <c r="G143" s="33"/>
      <c r="H143" s="33"/>
      <c r="I143" s="33" t="s">
        <v>1758</v>
      </c>
      <c r="J143" s="33"/>
      <c r="K143" s="32" t="s">
        <v>336</v>
      </c>
      <c r="L143" s="32" t="s">
        <v>336</v>
      </c>
      <c r="M143" s="32" t="s">
        <v>317</v>
      </c>
      <c r="N143" s="32" t="s">
        <v>336</v>
      </c>
      <c r="O143" s="32" t="s">
        <v>336</v>
      </c>
      <c r="P143" s="32" t="s">
        <v>336</v>
      </c>
      <c r="Q143" s="32" t="s">
        <v>336</v>
      </c>
      <c r="R143" s="32" t="s">
        <v>336</v>
      </c>
      <c r="S143" s="32" t="s">
        <v>336</v>
      </c>
      <c r="T143" s="32"/>
      <c r="U143" s="32"/>
      <c r="V143" s="33"/>
      <c r="W143" s="38" t="b">
        <f t="shared" si="57"/>
        <v>0</v>
      </c>
      <c r="X143" s="35" t="str">
        <f t="shared" si="50"/>
        <v>title: ""</v>
      </c>
      <c r="Y143" s="35" t="str">
        <f t="shared" si="51"/>
        <v>location: {lat: , lng: }</v>
      </c>
      <c r="Z143" s="35" t="str">
        <f>IF(LEN(S143)&gt;1,VLOOKUP(S143,Sheet3!$A:$B,2,),"")</f>
        <v/>
      </c>
      <c r="AA143" s="35" t="str">
        <f>IF(LEN(T143)&gt;1,VLOOKUP(T143,Sheet3!$A:$B,2,),"")</f>
        <v/>
      </c>
      <c r="AB143" s="35" t="str">
        <f>IF(LEN(U143)&gt;1,VLOOKUP(U143,Sheet3!$A:$B,2,),"")</f>
        <v/>
      </c>
      <c r="AC143" s="37" t="str">
        <f t="shared" si="58"/>
        <v/>
      </c>
      <c r="AD143" s="37" t="str">
        <f t="shared" si="59"/>
        <v/>
      </c>
      <c r="AE143" s="37" t="str">
        <f t="shared" si="60"/>
        <v/>
      </c>
      <c r="AF143" s="37" t="str">
        <f>"- marian-sites
- churches
- "&amp;VLOOKUP(C143,'(Ref) Countries'!A:C,3,)&amp;IF(LEN(S143)&gt;1,"
- "&amp;S143,"")&amp;IF(LEN(T143)&gt;1,"
- "&amp;T143,"")&amp;IF(LEN(U143)&gt;1,"
- "&amp;U143,"")</f>
        <v>- marian-sites
- churches
- germany</v>
      </c>
      <c r="AG143" s="37" t="str">
        <f t="shared" si="61"/>
        <v xml:space="preserve">| </v>
      </c>
      <c r="AH143" s="37" t="str">
        <f t="shared" si="62"/>
        <v xml:space="preserve">| Pfaffenhofen Marienfried </v>
      </c>
      <c r="AI143" s="37" t="str">
        <f>"| "&amp;IF(W143,GetTagPage(C143,VLOOKUP(C143,'(Ref) Countries'!A:C,3,)),C143)&amp; " "</f>
        <v xml:space="preserve">| Germany </v>
      </c>
      <c r="AJ143" s="37" t="str">
        <f t="shared" si="63"/>
        <v xml:space="preserve">| 1940-1946 </v>
      </c>
      <c r="AK143" s="37" t="str">
        <f t="shared" si="64"/>
        <v xml:space="preserve">| </v>
      </c>
      <c r="AL143" s="35" t="str">
        <f t="shared" si="52"/>
        <v xml:space="preserve">| </v>
      </c>
      <c r="AM143" s="37" t="str">
        <f t="shared" si="53"/>
        <v xml:space="preserve">| [Link](http://www.therealpresence.org/eucharst/misc/BVM/149_MARIENFRIED_140x96.pdf) </v>
      </c>
      <c r="AN143" s="37" t="str">
        <f t="shared" si="54"/>
        <v xml:space="preserve">| </v>
      </c>
      <c r="AO143" s="37" t="str">
        <f t="shared" si="55"/>
        <v xml:space="preserve">| </v>
      </c>
      <c r="AP143" s="37" t="str">
        <f t="shared" si="66"/>
        <v xml:space="preserve">
| | [Link](http://www.therealpresence.org/eucharst/misc/BVM/149_MARIENFRIED_140x96.pdf) | | |</v>
      </c>
      <c r="AQ143" s="48" t="str">
        <f>VLOOKUP(C143,'(Ref) Countries'!A:B,2,)&amp;"-"&amp;LOWER(SUBSTITUTE(H143," ","-"))&amp;".md"</f>
        <v>de-.md</v>
      </c>
      <c r="AR143" s="35" t="str">
        <f t="shared" si="65"/>
        <v xml:space="preserve">
| Pfaffenhofen Marienfried | Germany | 1940-1946 | | | [Link](http://www.therealpresence.org/eucharst/misc/BVM/149_MARIENFRIED_140x96.pdf) | | | |</v>
      </c>
      <c r="AS143" s="48" t="str">
        <f t="shared" si="56"/>
        <v/>
      </c>
      <c r="AT143" s="15" t="s">
        <v>336</v>
      </c>
    </row>
    <row r="144" spans="1:46" x14ac:dyDescent="0.25">
      <c r="A144" s="27"/>
      <c r="B144" s="31" t="s">
        <v>1307</v>
      </c>
      <c r="C144" s="32" t="s">
        <v>652</v>
      </c>
      <c r="D144" s="61">
        <v>1943</v>
      </c>
      <c r="E144" s="32"/>
      <c r="F144" s="32"/>
      <c r="G144" s="33"/>
      <c r="H144" s="33"/>
      <c r="I144" s="33" t="s">
        <v>1758</v>
      </c>
      <c r="J144" s="33"/>
      <c r="K144" s="32" t="s">
        <v>336</v>
      </c>
      <c r="L144" s="32" t="s">
        <v>336</v>
      </c>
      <c r="M144" s="32" t="s">
        <v>318</v>
      </c>
      <c r="N144" s="32" t="s">
        <v>336</v>
      </c>
      <c r="O144" s="32" t="s">
        <v>336</v>
      </c>
      <c r="P144" s="32" t="s">
        <v>336</v>
      </c>
      <c r="Q144" s="32" t="s">
        <v>336</v>
      </c>
      <c r="R144" s="32" t="s">
        <v>336</v>
      </c>
      <c r="S144" s="32" t="s">
        <v>336</v>
      </c>
      <c r="T144" s="32"/>
      <c r="U144" s="32"/>
      <c r="V144" s="33"/>
      <c r="W144" s="38" t="b">
        <f t="shared" si="57"/>
        <v>0</v>
      </c>
      <c r="X144" s="35" t="str">
        <f t="shared" si="50"/>
        <v>title: ""</v>
      </c>
      <c r="Y144" s="35" t="str">
        <f t="shared" si="51"/>
        <v>location: {lat: , lng: }</v>
      </c>
      <c r="Z144" s="35" t="str">
        <f>IF(LEN(S144)&gt;1,VLOOKUP(S144,Sheet3!$A:$B,2,),"")</f>
        <v/>
      </c>
      <c r="AA144" s="35" t="str">
        <f>IF(LEN(T144)&gt;1,VLOOKUP(T144,Sheet3!$A:$B,2,),"")</f>
        <v/>
      </c>
      <c r="AB144" s="35" t="str">
        <f>IF(LEN(U144)&gt;1,VLOOKUP(U144,Sheet3!$A:$B,2,),"")</f>
        <v/>
      </c>
      <c r="AC144" s="37" t="str">
        <f t="shared" si="58"/>
        <v/>
      </c>
      <c r="AD144" s="37" t="str">
        <f t="shared" si="59"/>
        <v/>
      </c>
      <c r="AE144" s="37" t="str">
        <f t="shared" si="60"/>
        <v/>
      </c>
      <c r="AF144" s="37" t="str">
        <f>"- marian-sites
- churches
- "&amp;VLOOKUP(C144,'(Ref) Countries'!A:C,3,)&amp;IF(LEN(S144)&gt;1,"
- "&amp;S144,"")&amp;IF(LEN(T144)&gt;1,"
- "&amp;T144,"")&amp;IF(LEN(U144)&gt;1,"
- "&amp;U144,"")</f>
        <v>- marian-sites
- churches
- poland</v>
      </c>
      <c r="AG144" s="37" t="str">
        <f t="shared" si="61"/>
        <v xml:space="preserve">| </v>
      </c>
      <c r="AH144" s="37" t="str">
        <f t="shared" si="62"/>
        <v xml:space="preserve">| Siekierki </v>
      </c>
      <c r="AI144" s="37" t="str">
        <f>"| "&amp;IF(W144,GetTagPage(C144,VLOOKUP(C144,'(Ref) Countries'!A:C,3,)),C144)&amp; " "</f>
        <v xml:space="preserve">| Poland </v>
      </c>
      <c r="AJ144" s="37" t="str">
        <f t="shared" si="63"/>
        <v xml:space="preserve">| 1943 </v>
      </c>
      <c r="AK144" s="37" t="str">
        <f t="shared" si="64"/>
        <v xml:space="preserve">| </v>
      </c>
      <c r="AL144" s="35" t="str">
        <f t="shared" si="52"/>
        <v xml:space="preserve">| </v>
      </c>
      <c r="AM144" s="37" t="str">
        <f t="shared" si="53"/>
        <v xml:space="preserve">| [Link](http://www.therealpresence.org/eucharst/misc/BVM/152_SIEKIERKI_96x96.pdf) </v>
      </c>
      <c r="AN144" s="37" t="str">
        <f t="shared" si="54"/>
        <v xml:space="preserve">| </v>
      </c>
      <c r="AO144" s="37" t="str">
        <f t="shared" si="55"/>
        <v xml:space="preserve">| </v>
      </c>
      <c r="AP144" s="37" t="str">
        <f t="shared" si="66"/>
        <v xml:space="preserve">
| | [Link](http://www.therealpresence.org/eucharst/misc/BVM/152_SIEKIERKI_96x96.pdf) | | |</v>
      </c>
      <c r="AQ144" s="48" t="str">
        <f>VLOOKUP(C144,'(Ref) Countries'!A:B,2,)&amp;"-"&amp;LOWER(SUBSTITUTE(H144," ","-"))&amp;".md"</f>
        <v>pl-.md</v>
      </c>
      <c r="AR144" s="35" t="str">
        <f t="shared" si="65"/>
        <v xml:space="preserve">
| Siekierki | Poland | 1943 | | | [Link](http://www.therealpresence.org/eucharst/misc/BVM/152_SIEKIERKI_96x96.pdf) | | | |</v>
      </c>
      <c r="AS144" s="48" t="str">
        <f t="shared" si="56"/>
        <v/>
      </c>
      <c r="AT144" s="15" t="s">
        <v>336</v>
      </c>
    </row>
    <row r="145" spans="1:46" x14ac:dyDescent="0.25">
      <c r="A145" s="27"/>
      <c r="B145" s="31" t="s">
        <v>1308</v>
      </c>
      <c r="C145" s="32" t="s">
        <v>553</v>
      </c>
      <c r="D145" s="61">
        <v>1945</v>
      </c>
      <c r="E145" s="32"/>
      <c r="F145" s="32"/>
      <c r="G145" s="33"/>
      <c r="H145" s="33"/>
      <c r="I145" s="33" t="s">
        <v>1758</v>
      </c>
      <c r="J145" s="33"/>
      <c r="K145" s="32" t="s">
        <v>336</v>
      </c>
      <c r="L145" s="32" t="s">
        <v>336</v>
      </c>
      <c r="M145" s="32" t="s">
        <v>319</v>
      </c>
      <c r="N145" s="32" t="s">
        <v>336</v>
      </c>
      <c r="O145" s="32" t="s">
        <v>336</v>
      </c>
      <c r="P145" s="32" t="s">
        <v>336</v>
      </c>
      <c r="Q145" s="32" t="s">
        <v>336</v>
      </c>
      <c r="R145" s="32" t="s">
        <v>336</v>
      </c>
      <c r="S145" s="32" t="s">
        <v>336</v>
      </c>
      <c r="T145" s="32"/>
      <c r="U145" s="32"/>
      <c r="V145" s="33"/>
      <c r="W145" s="38" t="b">
        <f t="shared" si="57"/>
        <v>0</v>
      </c>
      <c r="X145" s="35" t="str">
        <f t="shared" si="50"/>
        <v>title: ""</v>
      </c>
      <c r="Y145" s="35" t="str">
        <f t="shared" si="51"/>
        <v>location: {lat: , lng: }</v>
      </c>
      <c r="Z145" s="35" t="str">
        <f>IF(LEN(S145)&gt;1,VLOOKUP(S145,Sheet3!$A:$B,2,),"")</f>
        <v/>
      </c>
      <c r="AA145" s="35" t="str">
        <f>IF(LEN(T145)&gt;1,VLOOKUP(T145,Sheet3!$A:$B,2,),"")</f>
        <v/>
      </c>
      <c r="AB145" s="35" t="str">
        <f>IF(LEN(U145)&gt;1,VLOOKUP(U145,Sheet3!$A:$B,2,),"")</f>
        <v/>
      </c>
      <c r="AC145" s="37" t="str">
        <f t="shared" si="58"/>
        <v/>
      </c>
      <c r="AD145" s="37" t="str">
        <f t="shared" si="59"/>
        <v/>
      </c>
      <c r="AE145" s="37" t="str">
        <f t="shared" si="60"/>
        <v/>
      </c>
      <c r="AF145" s="37" t="str">
        <f>"- marian-sites
- churches
- "&amp;VLOOKUP(C145,'(Ref) Countries'!A:C,3,)&amp;IF(LEN(S145)&gt;1,"
- "&amp;S145,"")&amp;IF(LEN(T145)&gt;1,"
- "&amp;T145,"")&amp;IF(LEN(U145)&gt;1,"
- "&amp;U145,"")</f>
        <v>- marian-sites
- churches
- spain</v>
      </c>
      <c r="AG145" s="37" t="str">
        <f t="shared" si="61"/>
        <v xml:space="preserve">| </v>
      </c>
      <c r="AH145" s="37" t="str">
        <f t="shared" si="62"/>
        <v xml:space="preserve">| La Codosera </v>
      </c>
      <c r="AI145" s="37" t="str">
        <f>"| "&amp;IF(W145,GetTagPage(C145,VLOOKUP(C145,'(Ref) Countries'!A:C,3,)),C145)&amp; " "</f>
        <v xml:space="preserve">| Spain </v>
      </c>
      <c r="AJ145" s="37" t="str">
        <f t="shared" si="63"/>
        <v xml:space="preserve">| 1945 </v>
      </c>
      <c r="AK145" s="37" t="str">
        <f t="shared" si="64"/>
        <v xml:space="preserve">| </v>
      </c>
      <c r="AL145" s="35" t="str">
        <f t="shared" si="52"/>
        <v xml:space="preserve">| </v>
      </c>
      <c r="AM145" s="37" t="str">
        <f t="shared" si="53"/>
        <v xml:space="preserve">| [Link](http://www.therealpresence.org/eucharst/misc/BVM/99_CODOSERA_140x96.pdf) </v>
      </c>
      <c r="AN145" s="37" t="str">
        <f t="shared" si="54"/>
        <v xml:space="preserve">| </v>
      </c>
      <c r="AO145" s="37" t="str">
        <f t="shared" si="55"/>
        <v xml:space="preserve">| </v>
      </c>
      <c r="AP145" s="37" t="str">
        <f t="shared" si="66"/>
        <v xml:space="preserve">
| | [Link](http://www.therealpresence.org/eucharst/misc/BVM/99_CODOSERA_140x96.pdf) | | |</v>
      </c>
      <c r="AQ145" s="48" t="str">
        <f>VLOOKUP(C145,'(Ref) Countries'!A:B,2,)&amp;"-"&amp;LOWER(SUBSTITUTE(H145," ","-"))&amp;".md"</f>
        <v>es-.md</v>
      </c>
      <c r="AR145" s="35" t="str">
        <f t="shared" si="65"/>
        <v xml:space="preserve">
| La Codosera | Spain | 1945 | | | [Link](http://www.therealpresence.org/eucharst/misc/BVM/99_CODOSERA_140x96.pdf) | | | |</v>
      </c>
      <c r="AS145" s="48" t="str">
        <f t="shared" si="56"/>
        <v/>
      </c>
      <c r="AT145" s="15" t="s">
        <v>336</v>
      </c>
    </row>
    <row r="146" spans="1:46" x14ac:dyDescent="0.25">
      <c r="A146" s="27"/>
      <c r="B146" s="31" t="s">
        <v>1309</v>
      </c>
      <c r="C146" s="32" t="s">
        <v>558</v>
      </c>
      <c r="D146" s="61">
        <v>1947</v>
      </c>
      <c r="E146" s="32"/>
      <c r="F146" s="32"/>
      <c r="G146" s="33"/>
      <c r="H146" s="33"/>
      <c r="I146" s="33" t="s">
        <v>1758</v>
      </c>
      <c r="J146" s="33"/>
      <c r="K146" s="32" t="s">
        <v>336</v>
      </c>
      <c r="L146" s="32" t="s">
        <v>336</v>
      </c>
      <c r="M146" s="32" t="s">
        <v>320</v>
      </c>
      <c r="N146" s="32" t="s">
        <v>336</v>
      </c>
      <c r="O146" s="32" t="s">
        <v>336</v>
      </c>
      <c r="P146" s="32" t="s">
        <v>336</v>
      </c>
      <c r="Q146" s="32" t="s">
        <v>336</v>
      </c>
      <c r="R146" s="32" t="s">
        <v>336</v>
      </c>
      <c r="S146" s="32" t="s">
        <v>336</v>
      </c>
      <c r="T146" s="32"/>
      <c r="U146" s="32"/>
      <c r="V146" s="33"/>
      <c r="W146" s="38" t="b">
        <f t="shared" si="57"/>
        <v>0</v>
      </c>
      <c r="X146" s="35" t="str">
        <f t="shared" si="50"/>
        <v>title: ""</v>
      </c>
      <c r="Y146" s="35" t="str">
        <f t="shared" si="51"/>
        <v>location: {lat: , lng: }</v>
      </c>
      <c r="Z146" s="35" t="str">
        <f>IF(LEN(S146)&gt;1,VLOOKUP(S146,Sheet3!$A:$B,2,),"")</f>
        <v/>
      </c>
      <c r="AA146" s="35" t="str">
        <f>IF(LEN(T146)&gt;1,VLOOKUP(T146,Sheet3!$A:$B,2,),"")</f>
        <v/>
      </c>
      <c r="AB146" s="35" t="str">
        <f>IF(LEN(U146)&gt;1,VLOOKUP(U146,Sheet3!$A:$B,2,),"")</f>
        <v/>
      </c>
      <c r="AC146" s="37" t="str">
        <f t="shared" si="58"/>
        <v/>
      </c>
      <c r="AD146" s="37" t="str">
        <f t="shared" si="59"/>
        <v/>
      </c>
      <c r="AE146" s="37" t="str">
        <f t="shared" si="60"/>
        <v/>
      </c>
      <c r="AF146" s="37" t="str">
        <f>"- marian-sites
- churches
- "&amp;VLOOKUP(C146,'(Ref) Countries'!A:C,3,)&amp;IF(LEN(S146)&gt;1,"
- "&amp;S146,"")&amp;IF(LEN(T146)&gt;1,"
- "&amp;T146,"")&amp;IF(LEN(U146)&gt;1,"
- "&amp;U146,"")</f>
        <v>- marian-sites
- churches
- france</v>
      </c>
      <c r="AG146" s="37" t="str">
        <f t="shared" si="61"/>
        <v xml:space="preserve">| </v>
      </c>
      <c r="AH146" s="37" t="str">
        <f t="shared" si="62"/>
        <v xml:space="preserve">| Île-Bouchard </v>
      </c>
      <c r="AI146" s="37" t="str">
        <f>"| "&amp;IF(W146,GetTagPage(C146,VLOOKUP(C146,'(Ref) Countries'!A:C,3,)),C146)&amp; " "</f>
        <v xml:space="preserve">| France </v>
      </c>
      <c r="AJ146" s="37" t="str">
        <f t="shared" si="63"/>
        <v xml:space="preserve">| 1947 </v>
      </c>
      <c r="AK146" s="37" t="str">
        <f t="shared" si="64"/>
        <v xml:space="preserve">| </v>
      </c>
      <c r="AL146" s="35" t="str">
        <f t="shared" si="52"/>
        <v xml:space="preserve">| </v>
      </c>
      <c r="AM146" s="37" t="str">
        <f t="shared" si="53"/>
        <v xml:space="preserve">| [Link](http://www.therealpresence.org/eucharst/misc/BVM/19_ILE_BOUCHARD_96x96.pdf) </v>
      </c>
      <c r="AN146" s="37" t="str">
        <f t="shared" si="54"/>
        <v xml:space="preserve">| </v>
      </c>
      <c r="AO146" s="37" t="str">
        <f t="shared" si="55"/>
        <v xml:space="preserve">| </v>
      </c>
      <c r="AP146" s="37" t="str">
        <f t="shared" si="66"/>
        <v xml:space="preserve">
| | [Link](http://www.therealpresence.org/eucharst/misc/BVM/19_ILE_BOUCHARD_96x96.pdf) | | |</v>
      </c>
      <c r="AQ146" s="48" t="str">
        <f>VLOOKUP(C146,'(Ref) Countries'!A:B,2,)&amp;"-"&amp;LOWER(SUBSTITUTE(H146," ","-"))&amp;".md"</f>
        <v>fr-.md</v>
      </c>
      <c r="AR146" s="35" t="str">
        <f t="shared" si="65"/>
        <v xml:space="preserve">
| Île-Bouchard | France | 1947 | | | [Link](http://www.therealpresence.org/eucharst/misc/BVM/19_ILE_BOUCHARD_96x96.pdf) | | | |</v>
      </c>
      <c r="AS146" s="48" t="str">
        <f t="shared" si="56"/>
        <v/>
      </c>
      <c r="AT146" s="15" t="s">
        <v>336</v>
      </c>
    </row>
    <row r="147" spans="1:46" x14ac:dyDescent="0.25">
      <c r="A147" s="27"/>
      <c r="B147" s="31" t="s">
        <v>1310</v>
      </c>
      <c r="C147" s="32" t="s">
        <v>543</v>
      </c>
      <c r="D147" s="64" t="s">
        <v>1182</v>
      </c>
      <c r="E147" s="32"/>
      <c r="F147" s="32"/>
      <c r="G147" s="33"/>
      <c r="H147" s="33"/>
      <c r="I147" s="33" t="s">
        <v>1758</v>
      </c>
      <c r="J147" s="33"/>
      <c r="K147" s="32" t="s">
        <v>336</v>
      </c>
      <c r="L147" s="32" t="s">
        <v>336</v>
      </c>
      <c r="M147" s="32" t="s">
        <v>321</v>
      </c>
      <c r="N147" s="32" t="s">
        <v>336</v>
      </c>
      <c r="O147" s="32" t="s">
        <v>336</v>
      </c>
      <c r="P147" s="32" t="s">
        <v>336</v>
      </c>
      <c r="Q147" s="32" t="s">
        <v>336</v>
      </c>
      <c r="R147" s="32" t="s">
        <v>336</v>
      </c>
      <c r="S147" s="32" t="s">
        <v>336</v>
      </c>
      <c r="T147" s="32"/>
      <c r="U147" s="32"/>
      <c r="V147" s="33"/>
      <c r="W147" s="38" t="b">
        <f t="shared" si="57"/>
        <v>0</v>
      </c>
      <c r="X147" s="35" t="str">
        <f t="shared" si="50"/>
        <v>title: ""</v>
      </c>
      <c r="Y147" s="35" t="str">
        <f t="shared" si="51"/>
        <v>location: {lat: , lng: }</v>
      </c>
      <c r="Z147" s="35" t="str">
        <f>IF(LEN(S147)&gt;1,VLOOKUP(S147,Sheet3!$A:$B,2,),"")</f>
        <v/>
      </c>
      <c r="AA147" s="35" t="str">
        <f>IF(LEN(T147)&gt;1,VLOOKUP(T147,Sheet3!$A:$B,2,),"")</f>
        <v/>
      </c>
      <c r="AB147" s="35" t="str">
        <f>IF(LEN(U147)&gt;1,VLOOKUP(U147,Sheet3!$A:$B,2,),"")</f>
        <v/>
      </c>
      <c r="AC147" s="37" t="str">
        <f t="shared" si="58"/>
        <v/>
      </c>
      <c r="AD147" s="37" t="str">
        <f t="shared" si="59"/>
        <v/>
      </c>
      <c r="AE147" s="37" t="str">
        <f t="shared" si="60"/>
        <v/>
      </c>
      <c r="AF147" s="37" t="str">
        <f>"- marian-sites
- churches
- "&amp;VLOOKUP(C147,'(Ref) Countries'!A:C,3,)&amp;IF(LEN(S147)&gt;1,"
- "&amp;S147,"")&amp;IF(LEN(T147)&gt;1,"
- "&amp;T147,"")&amp;IF(LEN(U147)&gt;1,"
- "&amp;U147,"")</f>
        <v>- marian-sites
- churches
- germany</v>
      </c>
      <c r="AG147" s="37" t="str">
        <f t="shared" si="61"/>
        <v xml:space="preserve">| </v>
      </c>
      <c r="AH147" s="37" t="str">
        <f t="shared" si="62"/>
        <v xml:space="preserve">| Heroldsbach </v>
      </c>
      <c r="AI147" s="37" t="str">
        <f>"| "&amp;IF(W147,GetTagPage(C147,VLOOKUP(C147,'(Ref) Countries'!A:C,3,)),C147)&amp; " "</f>
        <v xml:space="preserve">| Germany </v>
      </c>
      <c r="AJ147" s="37" t="str">
        <f t="shared" si="63"/>
        <v xml:space="preserve">| 1949-1952 </v>
      </c>
      <c r="AK147" s="37" t="str">
        <f t="shared" si="64"/>
        <v xml:space="preserve">| </v>
      </c>
      <c r="AL147" s="35" t="str">
        <f t="shared" si="52"/>
        <v xml:space="preserve">| </v>
      </c>
      <c r="AM147" s="37" t="str">
        <f t="shared" si="53"/>
        <v xml:space="preserve">| [Link](http://www.therealpresence.org/eucharst/misc/BVM/147_HEROLDSBACH_140x96.pdf) </v>
      </c>
      <c r="AN147" s="37" t="str">
        <f t="shared" si="54"/>
        <v xml:space="preserve">| </v>
      </c>
      <c r="AO147" s="37" t="str">
        <f t="shared" si="55"/>
        <v xml:space="preserve">| </v>
      </c>
      <c r="AP147" s="37" t="str">
        <f t="shared" si="66"/>
        <v xml:space="preserve">
| | [Link](http://www.therealpresence.org/eucharst/misc/BVM/147_HEROLDSBACH_140x96.pdf) | | |</v>
      </c>
      <c r="AQ147" s="48" t="str">
        <f>VLOOKUP(C147,'(Ref) Countries'!A:B,2,)&amp;"-"&amp;LOWER(SUBSTITUTE(H147," ","-"))&amp;".md"</f>
        <v>de-.md</v>
      </c>
      <c r="AR147" s="35" t="str">
        <f t="shared" si="65"/>
        <v xml:space="preserve">
| Heroldsbach | Germany | 1949-1952 | | | [Link](http://www.therealpresence.org/eucharst/misc/BVM/147_HEROLDSBACH_140x96.pdf) | | | |</v>
      </c>
      <c r="AS147" s="48" t="str">
        <f t="shared" si="56"/>
        <v/>
      </c>
      <c r="AT147" s="15" t="s">
        <v>336</v>
      </c>
    </row>
    <row r="148" spans="1:46" x14ac:dyDescent="0.25">
      <c r="A148" s="27"/>
      <c r="B148" s="31" t="s">
        <v>1311</v>
      </c>
      <c r="C148" s="32" t="s">
        <v>11</v>
      </c>
      <c r="D148" s="61">
        <v>1951</v>
      </c>
      <c r="E148" s="32"/>
      <c r="F148" s="32"/>
      <c r="G148" s="33"/>
      <c r="H148" s="33"/>
      <c r="I148" s="33" t="s">
        <v>1758</v>
      </c>
      <c r="J148" s="33"/>
      <c r="K148" s="32" t="s">
        <v>336</v>
      </c>
      <c r="L148" s="32" t="s">
        <v>336</v>
      </c>
      <c r="M148" s="32" t="s">
        <v>322</v>
      </c>
      <c r="N148" s="32" t="s">
        <v>336</v>
      </c>
      <c r="O148" s="32" t="s">
        <v>336</v>
      </c>
      <c r="P148" s="32" t="s">
        <v>336</v>
      </c>
      <c r="Q148" s="32" t="s">
        <v>336</v>
      </c>
      <c r="R148" s="32" t="s">
        <v>336</v>
      </c>
      <c r="S148" s="32" t="s">
        <v>336</v>
      </c>
      <c r="T148" s="32"/>
      <c r="U148" s="32"/>
      <c r="V148" s="33"/>
      <c r="W148" s="38" t="b">
        <f t="shared" si="57"/>
        <v>0</v>
      </c>
      <c r="X148" s="35" t="str">
        <f t="shared" si="50"/>
        <v>title: ""</v>
      </c>
      <c r="Y148" s="35" t="str">
        <f t="shared" si="51"/>
        <v>location: {lat: , lng: }</v>
      </c>
      <c r="Z148" s="35" t="str">
        <f>IF(LEN(S148)&gt;1,VLOOKUP(S148,Sheet3!$A:$B,2,),"")</f>
        <v/>
      </c>
      <c r="AA148" s="35" t="str">
        <f>IF(LEN(T148)&gt;1,VLOOKUP(T148,Sheet3!$A:$B,2,),"")</f>
        <v/>
      </c>
      <c r="AB148" s="35" t="str">
        <f>IF(LEN(U148)&gt;1,VLOOKUP(U148,Sheet3!$A:$B,2,),"")</f>
        <v/>
      </c>
      <c r="AC148" s="37" t="str">
        <f t="shared" si="58"/>
        <v/>
      </c>
      <c r="AD148" s="37" t="str">
        <f t="shared" si="59"/>
        <v/>
      </c>
      <c r="AE148" s="37" t="str">
        <f t="shared" si="60"/>
        <v/>
      </c>
      <c r="AF148" s="37" t="str">
        <f>"- marian-sites
- churches
- "&amp;VLOOKUP(C148,'(Ref) Countries'!A:C,3,)&amp;IF(LEN(S148)&gt;1,"
- "&amp;S148,"")&amp;IF(LEN(T148)&gt;1,"
- "&amp;T148,"")&amp;IF(LEN(U148)&gt;1,"
- "&amp;U148,"")</f>
        <v>- marian-sites
- churches
- italy</v>
      </c>
      <c r="AG148" s="37" t="str">
        <f t="shared" si="61"/>
        <v xml:space="preserve">| </v>
      </c>
      <c r="AH148" s="37" t="str">
        <f t="shared" si="62"/>
        <v xml:space="preserve">| Rogorotto </v>
      </c>
      <c r="AI148" s="37" t="str">
        <f>"| "&amp;IF(W148,GetTagPage(C148,VLOOKUP(C148,'(Ref) Countries'!A:C,3,)),C148)&amp; " "</f>
        <v xml:space="preserve">| Italy </v>
      </c>
      <c r="AJ148" s="37" t="str">
        <f t="shared" si="63"/>
        <v xml:space="preserve">| 1951 </v>
      </c>
      <c r="AK148" s="37" t="str">
        <f t="shared" si="64"/>
        <v xml:space="preserve">| </v>
      </c>
      <c r="AL148" s="35" t="str">
        <f t="shared" si="52"/>
        <v xml:space="preserve">| </v>
      </c>
      <c r="AM148" s="37" t="str">
        <f t="shared" si="53"/>
        <v xml:space="preserve">| [Link](http://www.therealpresence.org/eucharst/misc/BVM/113_ROGOROTTO_60x96.pdf) </v>
      </c>
      <c r="AN148" s="37" t="str">
        <f t="shared" si="54"/>
        <v xml:space="preserve">| </v>
      </c>
      <c r="AO148" s="37" t="str">
        <f t="shared" si="55"/>
        <v xml:space="preserve">| </v>
      </c>
      <c r="AP148" s="37" t="str">
        <f t="shared" si="66"/>
        <v xml:space="preserve">
| | [Link](http://www.therealpresence.org/eucharst/misc/BVM/113_ROGOROTTO_60x96.pdf) | | |</v>
      </c>
      <c r="AQ148" s="48" t="str">
        <f>VLOOKUP(C148,'(Ref) Countries'!A:B,2,)&amp;"-"&amp;LOWER(SUBSTITUTE(H148," ","-"))&amp;".md"</f>
        <v>it-.md</v>
      </c>
      <c r="AR148" s="35" t="str">
        <f t="shared" si="65"/>
        <v xml:space="preserve">
| Rogorotto | Italy | 1951 | | | [Link](http://www.therealpresence.org/eucharst/misc/BVM/113_ROGOROTTO_60x96.pdf) | | | |</v>
      </c>
      <c r="AS148" s="48" t="str">
        <f t="shared" si="56"/>
        <v/>
      </c>
      <c r="AT148" s="15" t="s">
        <v>336</v>
      </c>
    </row>
    <row r="149" spans="1:46" x14ac:dyDescent="0.25">
      <c r="A149" s="27"/>
      <c r="B149" s="31" t="s">
        <v>1312</v>
      </c>
      <c r="C149" s="32" t="s">
        <v>11</v>
      </c>
      <c r="D149" s="61">
        <v>1953</v>
      </c>
      <c r="E149" s="32"/>
      <c r="F149" s="32"/>
      <c r="G149" s="33"/>
      <c r="H149" s="33"/>
      <c r="I149" s="33" t="s">
        <v>1758</v>
      </c>
      <c r="J149" s="33"/>
      <c r="K149" s="32" t="s">
        <v>336</v>
      </c>
      <c r="L149" s="32" t="s">
        <v>336</v>
      </c>
      <c r="M149" s="32" t="s">
        <v>323</v>
      </c>
      <c r="N149" s="32" t="s">
        <v>336</v>
      </c>
      <c r="O149" s="32" t="s">
        <v>336</v>
      </c>
      <c r="P149" s="32" t="s">
        <v>336</v>
      </c>
      <c r="Q149" s="32" t="s">
        <v>336</v>
      </c>
      <c r="R149" s="32" t="s">
        <v>336</v>
      </c>
      <c r="S149" s="32" t="s">
        <v>336</v>
      </c>
      <c r="T149" s="32"/>
      <c r="U149" s="32"/>
      <c r="V149" s="33"/>
      <c r="W149" s="38" t="b">
        <f t="shared" si="57"/>
        <v>0</v>
      </c>
      <c r="X149" s="35" t="str">
        <f t="shared" si="50"/>
        <v>title: ""</v>
      </c>
      <c r="Y149" s="35" t="str">
        <f t="shared" si="51"/>
        <v>location: {lat: , lng: }</v>
      </c>
      <c r="Z149" s="35" t="str">
        <f>IF(LEN(S149)&gt;1,VLOOKUP(S149,Sheet3!$A:$B,2,),"")</f>
        <v/>
      </c>
      <c r="AA149" s="35" t="str">
        <f>IF(LEN(T149)&gt;1,VLOOKUP(T149,Sheet3!$A:$B,2,),"")</f>
        <v/>
      </c>
      <c r="AB149" s="35" t="str">
        <f>IF(LEN(U149)&gt;1,VLOOKUP(U149,Sheet3!$A:$B,2,),"")</f>
        <v/>
      </c>
      <c r="AC149" s="37" t="str">
        <f t="shared" si="58"/>
        <v/>
      </c>
      <c r="AD149" s="37" t="str">
        <f t="shared" si="59"/>
        <v/>
      </c>
      <c r="AE149" s="37" t="str">
        <f t="shared" si="60"/>
        <v/>
      </c>
      <c r="AF149" s="37" t="str">
        <f>"- marian-sites
- churches
- "&amp;VLOOKUP(C149,'(Ref) Countries'!A:C,3,)&amp;IF(LEN(S149)&gt;1,"
- "&amp;S149,"")&amp;IF(LEN(T149)&gt;1,"
- "&amp;T149,"")&amp;IF(LEN(U149)&gt;1,"
- "&amp;U149,"")</f>
        <v>- marian-sites
- churches
- italy</v>
      </c>
      <c r="AG149" s="37" t="str">
        <f t="shared" si="61"/>
        <v xml:space="preserve">| </v>
      </c>
      <c r="AH149" s="37" t="str">
        <f t="shared" si="62"/>
        <v xml:space="preserve">| Syracuse </v>
      </c>
      <c r="AI149" s="37" t="str">
        <f>"| "&amp;IF(W149,GetTagPage(C149,VLOOKUP(C149,'(Ref) Countries'!A:C,3,)),C149)&amp; " "</f>
        <v xml:space="preserve">| Italy </v>
      </c>
      <c r="AJ149" s="37" t="str">
        <f t="shared" si="63"/>
        <v xml:space="preserve">| 1953 </v>
      </c>
      <c r="AK149" s="37" t="str">
        <f t="shared" si="64"/>
        <v xml:space="preserve">| </v>
      </c>
      <c r="AL149" s="35" t="str">
        <f t="shared" si="52"/>
        <v xml:space="preserve">| </v>
      </c>
      <c r="AM149" s="37" t="str">
        <f t="shared" si="53"/>
        <v xml:space="preserve">| [Link](http://www.therealpresence.org/eucharst/misc/BVM/28_SIRACUSA_60x96.pdf) </v>
      </c>
      <c r="AN149" s="37" t="str">
        <f t="shared" si="54"/>
        <v xml:space="preserve">| </v>
      </c>
      <c r="AO149" s="37" t="str">
        <f t="shared" si="55"/>
        <v xml:space="preserve">| </v>
      </c>
      <c r="AP149" s="37" t="str">
        <f t="shared" si="66"/>
        <v xml:space="preserve">
| | [Link](http://www.therealpresence.org/eucharst/misc/BVM/28_SIRACUSA_60x96.pdf) | | |</v>
      </c>
      <c r="AQ149" s="48" t="str">
        <f>VLOOKUP(C149,'(Ref) Countries'!A:B,2,)&amp;"-"&amp;LOWER(SUBSTITUTE(H149," ","-"))&amp;".md"</f>
        <v>it-.md</v>
      </c>
      <c r="AR149" s="35" t="str">
        <f t="shared" si="65"/>
        <v xml:space="preserve">
| Syracuse | Italy | 1953 | | | [Link](http://www.therealpresence.org/eucharst/misc/BVM/28_SIRACUSA_60x96.pdf) | | | |</v>
      </c>
      <c r="AS149" s="48" t="str">
        <f t="shared" si="56"/>
        <v/>
      </c>
      <c r="AT149" s="15" t="s">
        <v>336</v>
      </c>
    </row>
    <row r="150" spans="1:46" ht="63.75" x14ac:dyDescent="0.25">
      <c r="A150" s="27" t="s">
        <v>1058</v>
      </c>
      <c r="B150" s="31" t="s">
        <v>1313</v>
      </c>
      <c r="C150" s="32" t="s">
        <v>707</v>
      </c>
      <c r="D150" s="61" t="s">
        <v>1185</v>
      </c>
      <c r="E150" s="32">
        <v>-27.855349035650701</v>
      </c>
      <c r="F150" s="32">
        <v>31.453787971164701</v>
      </c>
      <c r="G150" s="33" t="s">
        <v>1328</v>
      </c>
      <c r="H150" s="33" t="s">
        <v>1328</v>
      </c>
      <c r="I150" s="33" t="s">
        <v>1758</v>
      </c>
      <c r="J150" s="33" t="s">
        <v>1345</v>
      </c>
      <c r="K150" s="32" t="s">
        <v>1346</v>
      </c>
      <c r="L150" s="32" t="s">
        <v>1347</v>
      </c>
      <c r="M150" s="32" t="s">
        <v>324</v>
      </c>
      <c r="N150" s="32" t="s">
        <v>336</v>
      </c>
      <c r="O150" s="32" t="s">
        <v>336</v>
      </c>
      <c r="P150" s="32" t="s">
        <v>336</v>
      </c>
      <c r="Q150" s="32" t="s">
        <v>336</v>
      </c>
      <c r="R150" s="32" t="s">
        <v>336</v>
      </c>
      <c r="S150" s="32" t="s">
        <v>1329</v>
      </c>
      <c r="T150" s="32"/>
      <c r="U150" s="32"/>
      <c r="V150" s="66" t="s">
        <v>1732</v>
      </c>
      <c r="W150" s="38" t="b">
        <f t="shared" si="57"/>
        <v>1</v>
      </c>
      <c r="X150" s="35" t="str">
        <f t="shared" si="50"/>
        <v>title: "Ngome Marian Shrine"</v>
      </c>
      <c r="Y150" s="35" t="str">
        <f t="shared" si="51"/>
        <v>location: {lat: -27.8553490356507, lng: 31.4537879711647}</v>
      </c>
      <c r="Z150" s="35" t="str">
        <f>IF(LEN(S150)&gt;1,VLOOKUP(S150,Sheet3!$A:$B,2,),"")</f>
        <v>? Reinolda May</v>
      </c>
      <c r="AA150" s="35" t="str">
        <f>IF(LEN(T150)&gt;1,VLOOKUP(T150,Sheet3!$A:$B,2,),"")</f>
        <v/>
      </c>
      <c r="AB150" s="35" t="str">
        <f>IF(LEN(U150)&gt;1,VLOOKUP(U150,Sheet3!$A:$B,2,),"")</f>
        <v/>
      </c>
      <c r="AC150" s="37" t="str">
        <f t="shared" si="58"/>
        <v>[? Reinolda May](/tags/reinolda-may)</v>
      </c>
      <c r="AD150" s="37" t="str">
        <f t="shared" si="59"/>
        <v/>
      </c>
      <c r="AE150" s="37" t="str">
        <f t="shared" si="60"/>
        <v/>
      </c>
      <c r="AF150" s="37" t="str">
        <f>"- marian-sites
- churches
- "&amp;VLOOKUP(C150,'(Ref) Countries'!A:C,3,)&amp;IF(LEN(S150)&gt;1,"
- "&amp;S150,"")&amp;IF(LEN(T150)&gt;1,"
- "&amp;T150,"")&amp;IF(LEN(U150)&gt;1,"
- "&amp;U150,"")</f>
        <v>- marian-sites
- churches
- south-africa
- reinolda-may</v>
      </c>
      <c r="AG150" s="37" t="str">
        <f t="shared" si="61"/>
        <v xml:space="preserve">| [? Reinolda May](/tags/reinolda-may) </v>
      </c>
      <c r="AH150" s="37" t="str">
        <f t="shared" si="62"/>
        <v xml:space="preserve">| [Ngome](/places/za-ngome-marian-shrine) </v>
      </c>
      <c r="AI150" s="37" t="str">
        <f>"| "&amp;IF(W150,GetTagPage(C150,VLOOKUP(C150,'(Ref) Countries'!A:C,3,)),C150)&amp; " "</f>
        <v xml:space="preserve">| [South Africa](/tags/south-africa) </v>
      </c>
      <c r="AJ150" s="37" t="str">
        <f t="shared" si="63"/>
        <v xml:space="preserve">| 1955-1971 </v>
      </c>
      <c r="AK150" s="37" t="str">
        <f t="shared" si="64"/>
        <v xml:space="preserve">| [Link](/places/za-ngome-marian-shrine) </v>
      </c>
      <c r="AL150" s="35" t="str">
        <f t="shared" si="52"/>
        <v xml:space="preserve">| [Link](http://www.ngome.co.za/), [Facebook](https://www.facebook.com/ngomemarianshrine/) </v>
      </c>
      <c r="AM150" s="37" t="str">
        <f t="shared" si="53"/>
        <v xml:space="preserve">| [Link](http://www.therealpresence.org/eucharst/misc/BVM/124_NGOME_140x96.pdf) </v>
      </c>
      <c r="AN150" s="37" t="str">
        <f t="shared" si="54"/>
        <v xml:space="preserve">| </v>
      </c>
      <c r="AO150" s="37" t="str">
        <f t="shared" si="55"/>
        <v xml:space="preserve">| </v>
      </c>
      <c r="AP150" s="37" t="str">
        <f t="shared" si="66"/>
        <v xml:space="preserve">
| [Link](http://www.ngome.co.za/), [Facebook](https://www.facebook.com/ngomemarianshrine/) | [Link](http://www.therealpresence.org/eucharst/misc/BVM/124_NGOME_140x96.pdf) | | |</v>
      </c>
      <c r="AQ150" s="48" t="str">
        <f>VLOOKUP(C150,'(Ref) Countries'!A:B,2,)&amp;"-"&amp;LOWER(SUBSTITUTE(H150," ","-"))&amp;".md"</f>
        <v>za-ngome-marian-shrine.md</v>
      </c>
      <c r="AR150" s="35" t="str">
        <f t="shared" si="65"/>
        <v xml:space="preserve">
| [Ngome](/places/za-ngome-marian-shrine) | [South Africa](/tags/south-africa) | 1955-1971 | [Link](/places/za-ngome-marian-shrine) | [Link](http://www.ngome.co.za/), [Facebook](https://www.facebook.com/ngomemarianshrine/) | [Link](http://www.therealpresence.org/eucharst/misc/BVM/124_NGOME_140x96.pdf) | | | [? Reinolda May](/tags/reinolda-may) |</v>
      </c>
      <c r="AS150" s="48" t="str">
        <f t="shared" si="56"/>
        <v>---
title: "Ngome Marian Shrine"
location: {lat: -27.8553490356507, lng: 31.4537879711647}
tags:
- marian-sites
- churches
- south-africa
- reinolda-may
---
_Research in progress_
#### Source Material
| Official Site | The Real Presence | Miracle Hunter | MaryPages |
| --- | --- | --- | --- |
| [Link](http://www.ngome.co.za/), [Facebook](https://www.facebook.com/ngomemarianshrine/) | [Link](http://www.therealpresence.org/eucharst/misc/BVM/124_NGOME_140x96.pdf) | | |
#### Author's Note
The main website is down at time of writing; we'd recommend using the Facebook page as a backup source.
- JMM</v>
      </c>
      <c r="AT150" s="15" t="s">
        <v>336</v>
      </c>
    </row>
    <row r="151" spans="1:46" x14ac:dyDescent="0.25">
      <c r="A151" s="27"/>
      <c r="B151" s="31" t="s">
        <v>1314</v>
      </c>
      <c r="C151" s="32" t="s">
        <v>698</v>
      </c>
      <c r="D151" s="61" t="s">
        <v>1186</v>
      </c>
      <c r="E151" s="32"/>
      <c r="F151" s="32"/>
      <c r="G151" s="33"/>
      <c r="H151" s="33"/>
      <c r="I151" s="33" t="s">
        <v>1758</v>
      </c>
      <c r="J151" s="33"/>
      <c r="K151" s="32" t="s">
        <v>336</v>
      </c>
      <c r="L151" s="32" t="s">
        <v>336</v>
      </c>
      <c r="M151" s="32" t="s">
        <v>325</v>
      </c>
      <c r="N151" s="32" t="s">
        <v>336</v>
      </c>
      <c r="O151" s="32" t="s">
        <v>336</v>
      </c>
      <c r="P151" s="32" t="s">
        <v>336</v>
      </c>
      <c r="Q151" s="32" t="s">
        <v>336</v>
      </c>
      <c r="R151" s="32" t="s">
        <v>336</v>
      </c>
      <c r="S151" s="32" t="s">
        <v>336</v>
      </c>
      <c r="T151" s="32"/>
      <c r="U151" s="32"/>
      <c r="V151" s="33"/>
      <c r="W151" s="38" t="b">
        <f t="shared" si="57"/>
        <v>0</v>
      </c>
      <c r="X151" s="35" t="str">
        <f t="shared" si="50"/>
        <v>title: ""</v>
      </c>
      <c r="Y151" s="35" t="str">
        <f t="shared" si="51"/>
        <v>location: {lat: , lng: }</v>
      </c>
      <c r="Z151" s="35" t="str">
        <f>IF(LEN(S151)&gt;1,VLOOKUP(S151,Sheet3!$A:$B,2,),"")</f>
        <v/>
      </c>
      <c r="AA151" s="35" t="str">
        <f>IF(LEN(T151)&gt;1,VLOOKUP(T151,Sheet3!$A:$B,2,),"")</f>
        <v/>
      </c>
      <c r="AB151" s="35" t="str">
        <f>IF(LEN(U151)&gt;1,VLOOKUP(U151,Sheet3!$A:$B,2,),"")</f>
        <v/>
      </c>
      <c r="AC151" s="37" t="str">
        <f t="shared" si="58"/>
        <v/>
      </c>
      <c r="AD151" s="37" t="str">
        <f t="shared" si="59"/>
        <v/>
      </c>
      <c r="AE151" s="37" t="str">
        <f t="shared" si="60"/>
        <v/>
      </c>
      <c r="AF151" s="37" t="str">
        <f>"- marian-sites
- churches
- "&amp;VLOOKUP(C151,'(Ref) Countries'!A:C,3,)&amp;IF(LEN(S151)&gt;1,"
- "&amp;S151,"")&amp;IF(LEN(T151)&gt;1,"
- "&amp;T151,"")&amp;IF(LEN(U151)&gt;1,"
- "&amp;U151,"")</f>
        <v>- marian-sites
- churches
- usa</v>
      </c>
      <c r="AG151" s="37" t="str">
        <f t="shared" si="61"/>
        <v xml:space="preserve">| </v>
      </c>
      <c r="AH151" s="37" t="str">
        <f t="shared" si="62"/>
        <v xml:space="preserve">| Fostoria </v>
      </c>
      <c r="AI151" s="37" t="str">
        <f>"| "&amp;IF(W151,GetTagPage(C151,VLOOKUP(C151,'(Ref) Countries'!A:C,3,)),C151)&amp; " "</f>
        <v xml:space="preserve">| United States of America </v>
      </c>
      <c r="AJ151" s="37" t="str">
        <f t="shared" si="63"/>
        <v xml:space="preserve">| 1956-1959 </v>
      </c>
      <c r="AK151" s="37" t="str">
        <f t="shared" si="64"/>
        <v xml:space="preserve">| </v>
      </c>
      <c r="AL151" s="35" t="str">
        <f t="shared" si="52"/>
        <v xml:space="preserve">| </v>
      </c>
      <c r="AM151" s="37" t="str">
        <f t="shared" si="53"/>
        <v xml:space="preserve">| [Link](http://www.therealpresence.org/eucharst/misc/BVM/150_FOSTORIA_140x96.pdf) </v>
      </c>
      <c r="AN151" s="37" t="str">
        <f t="shared" si="54"/>
        <v xml:space="preserve">| </v>
      </c>
      <c r="AO151" s="37" t="str">
        <f t="shared" si="55"/>
        <v xml:space="preserve">| </v>
      </c>
      <c r="AP151" s="37" t="str">
        <f t="shared" si="66"/>
        <v xml:space="preserve">
| | [Link](http://www.therealpresence.org/eucharst/misc/BVM/150_FOSTORIA_140x96.pdf) | | |</v>
      </c>
      <c r="AQ151" s="48" t="str">
        <f>VLOOKUP(C151,'(Ref) Countries'!A:B,2,)&amp;"-"&amp;LOWER(SUBSTITUTE(H151," ","-"))&amp;".md"</f>
        <v>us-.md</v>
      </c>
      <c r="AR151" s="35" t="str">
        <f t="shared" si="65"/>
        <v xml:space="preserve">
| Fostoria | United States of America | 1956-1959 | | | [Link](http://www.therealpresence.org/eucharst/misc/BVM/150_FOSTORIA_140x96.pdf) | | | |</v>
      </c>
      <c r="AS151" s="48" t="str">
        <f t="shared" si="56"/>
        <v/>
      </c>
      <c r="AT151" s="15" t="s">
        <v>336</v>
      </c>
    </row>
    <row r="152" spans="1:46" ht="127.5" x14ac:dyDescent="0.25">
      <c r="A152" s="27" t="s">
        <v>1330</v>
      </c>
      <c r="B152" s="31" t="s">
        <v>1036</v>
      </c>
      <c r="C152" s="32" t="s">
        <v>21</v>
      </c>
      <c r="D152" s="61" t="s">
        <v>1018</v>
      </c>
      <c r="E152" s="32">
        <v>30.104622926940898</v>
      </c>
      <c r="F152" s="32">
        <v>31.315544743810101</v>
      </c>
      <c r="G152" s="33" t="s">
        <v>1020</v>
      </c>
      <c r="H152" s="33" t="s">
        <v>1019</v>
      </c>
      <c r="I152" s="33" t="s">
        <v>1758</v>
      </c>
      <c r="J152" s="33" t="s">
        <v>1021</v>
      </c>
      <c r="K152" s="32" t="s">
        <v>1024</v>
      </c>
      <c r="L152" s="32" t="s">
        <v>336</v>
      </c>
      <c r="M152" s="32" t="s">
        <v>326</v>
      </c>
      <c r="N152" s="32" t="s">
        <v>336</v>
      </c>
      <c r="O152" s="32" t="s">
        <v>1022</v>
      </c>
      <c r="P152" s="32" t="s">
        <v>336</v>
      </c>
      <c r="Q152" s="32" t="s">
        <v>1023</v>
      </c>
      <c r="R152" s="32" t="s">
        <v>336</v>
      </c>
      <c r="S152" s="32" t="s">
        <v>1025</v>
      </c>
      <c r="T152" s="32"/>
      <c r="U152" s="32"/>
      <c r="V152" s="66" t="s">
        <v>1733</v>
      </c>
      <c r="W152" s="38" t="b">
        <f t="shared" si="57"/>
        <v>1</v>
      </c>
      <c r="X152" s="35" t="str">
        <f t="shared" si="50"/>
        <v>title: "Virgin Mary Church in Zeitoun (Our Lady of Zeitoun, Our Lady of Light)"</v>
      </c>
      <c r="Y152" s="35" t="str">
        <f t="shared" si="51"/>
        <v>location: {lat: 30.1046229269409, lng: 31.3155447438101}</v>
      </c>
      <c r="Z152" s="35" t="str">
        <f>IF(LEN(S152)&gt;1,VLOOKUP(S152,Sheet3!$A:$B,2,),"")</f>
        <v>Coptic Church</v>
      </c>
      <c r="AA152" s="35" t="str">
        <f>IF(LEN(T152)&gt;1,VLOOKUP(T152,Sheet3!$A:$B,2,),"")</f>
        <v/>
      </c>
      <c r="AB152" s="35" t="str">
        <f>IF(LEN(U152)&gt;1,VLOOKUP(U152,Sheet3!$A:$B,2,),"")</f>
        <v/>
      </c>
      <c r="AC152" s="37" t="str">
        <f t="shared" si="58"/>
        <v>[Coptic Church](/tags/coptic)</v>
      </c>
      <c r="AD152" s="37" t="str">
        <f t="shared" si="59"/>
        <v/>
      </c>
      <c r="AE152" s="37" t="str">
        <f t="shared" si="60"/>
        <v/>
      </c>
      <c r="AF152" s="37" t="str">
        <f>"- marian-sites
- churches
- "&amp;VLOOKUP(C152,'(Ref) Countries'!A:C,3,)&amp;IF(LEN(S152)&gt;1,"
- "&amp;S152,"")&amp;IF(LEN(T152)&gt;1,"
- "&amp;T152,"")&amp;IF(LEN(U152)&gt;1,"
- "&amp;U152,"")</f>
        <v>- marian-sites
- churches
- egypt
- coptic</v>
      </c>
      <c r="AG152" s="37" t="str">
        <f t="shared" si="61"/>
        <v xml:space="preserve">| [Coptic Church](/tags/coptic) </v>
      </c>
      <c r="AH152" s="37" t="str">
        <f t="shared" si="62"/>
        <v xml:space="preserve">| [Zeitoun](/places/eg-virgin-mary-church-in-zeitoun) </v>
      </c>
      <c r="AI152" s="37" t="str">
        <f>"| "&amp;IF(W152,GetTagPage(C152,VLOOKUP(C152,'(Ref) Countries'!A:C,3,)),C152)&amp; " "</f>
        <v xml:space="preserve">| [Egypt](/tags/egypt) </v>
      </c>
      <c r="AJ152" s="37" t="str">
        <f t="shared" si="63"/>
        <v xml:space="preserve">| 1968-1970 </v>
      </c>
      <c r="AK152" s="37" t="str">
        <f t="shared" si="64"/>
        <v xml:space="preserve">| [Link](/places/eg-virgin-mary-church-in-zeitoun) </v>
      </c>
      <c r="AL152" s="35" t="str">
        <f t="shared" si="52"/>
        <v xml:space="preserve">| [Link](https://www.stmaryztn.org/saintmary/en/) </v>
      </c>
      <c r="AM152" s="37" t="str">
        <f t="shared" si="53"/>
        <v xml:space="preserve">| [Link](http://www.therealpresence.org/eucharst/misc/BVM/144_ZEITUN_96x96.pdf) </v>
      </c>
      <c r="AN152" s="37" t="str">
        <f t="shared" si="54"/>
        <v xml:space="preserve">| [Link](https://www.miraclehunter.com/marian_apparitions/approved_apparitions/zeitun/index.html) </v>
      </c>
      <c r="AO152" s="37" t="str">
        <f t="shared" si="55"/>
        <v xml:space="preserve">| [Link](https://www.marypages.com/zeitoen-ca%C3%AFro-(egypt)-en.html) </v>
      </c>
      <c r="AP152" s="37" t="str">
        <f t="shared" si="66"/>
        <v xml:space="preserve">
| [Link](https://www.stmaryztn.org/saintmary/en/) | [Link](http://www.therealpresence.org/eucharst/misc/BVM/144_ZEITUN_96x96.pdf) | [Link](https://www.miraclehunter.com/marian_apparitions/approved_apparitions/zeitun/index.html) | [Link](https://www.marypages.com/zeitoen-ca%C3%AFro-(egypt)-en.html) |</v>
      </c>
      <c r="AQ152" s="48" t="str">
        <f>VLOOKUP(C152,'(Ref) Countries'!A:B,2,)&amp;"-"&amp;LOWER(SUBSTITUTE(H152," ","-"))&amp;".md"</f>
        <v>eg-virgin-mary-church-in-zeitoun.md</v>
      </c>
      <c r="AR152" s="35" t="str">
        <f t="shared" si="65"/>
        <v xml:space="preserve">
| [Zeitoun](/places/eg-virgin-mary-church-in-zeitoun) | [Egypt](/tags/egypt) | 1968-1970 | [Link](/places/eg-virgin-mary-church-in-zeitoun) | [Link](https://www.stmaryztn.org/saintmary/en/) | [Link](http://www.therealpresence.org/eucharst/misc/BVM/144_ZEITUN_96x96.pdf) | [Link](https://www.miraclehunter.com/marian_apparitions/approved_apparitions/zeitun/index.html) | [Link](https://www.marypages.com/zeitoen-ca%C3%AFro-(egypt)-en.html) | [Coptic Church](/tags/coptic) |</v>
      </c>
      <c r="AS152" s="48" t="str">
        <f t="shared" si="56"/>
        <v>---
title: "Virgin Mary Church in Zeitoun (Our Lady of Zeitoun, Our Lady of Light)"
location: {lat: 30.1046229269409, lng: 31.3155447438101}
tags:
- marian-sites
- churches
- egypt
- coptic
---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
#### Source Material
| Official Site | The Real Presence | Miracle Hunter | MaryPages |
| --- | --- | --- | --- |
| [Link](https://www.stmaryztn.org/saintmary/en/) | [Link](http://www.therealpresence.org/eucharst/misc/BVM/144_ZEITUN_96x96.pdf) | [Link](https://www.miraclehunter.com/marian_apparitions/approved_apparitions/zeitun/index.html) | [Link](https://www.marypages.com/zeitoen-ca%C3%AFro-(egypt)-en.html) |
#### Author's Note
You can read the statement issued by the Papal Residence in Cairo [here](https://www.stmaryztn.org/saintmary/en/apparition-story/papal-statment).
- JMM</v>
      </c>
      <c r="AT152" s="15" t="s">
        <v>336</v>
      </c>
    </row>
    <row r="153" spans="1:46" ht="38.25" x14ac:dyDescent="0.25">
      <c r="A153" s="27" t="s">
        <v>1330</v>
      </c>
      <c r="B153" s="31" t="s">
        <v>1315</v>
      </c>
      <c r="C153" s="32" t="s">
        <v>593</v>
      </c>
      <c r="D153" s="61">
        <v>1973</v>
      </c>
      <c r="E153" s="32">
        <v>39.759224404162097</v>
      </c>
      <c r="F153" s="32">
        <v>140.14975314135</v>
      </c>
      <c r="G153" s="33" t="s">
        <v>1371</v>
      </c>
      <c r="H153" s="33" t="s">
        <v>1372</v>
      </c>
      <c r="I153" s="33" t="s">
        <v>1758</v>
      </c>
      <c r="J153" s="33" t="s">
        <v>1388</v>
      </c>
      <c r="K153" s="32" t="s">
        <v>1373</v>
      </c>
      <c r="L153" s="32" t="s">
        <v>336</v>
      </c>
      <c r="M153" s="32" t="s">
        <v>327</v>
      </c>
      <c r="N153" s="32" t="s">
        <v>336</v>
      </c>
      <c r="O153" s="32" t="s">
        <v>1364</v>
      </c>
      <c r="P153" s="32" t="s">
        <v>336</v>
      </c>
      <c r="Q153" s="32" t="s">
        <v>1363</v>
      </c>
      <c r="R153" s="32" t="s">
        <v>336</v>
      </c>
      <c r="S153" s="32" t="s">
        <v>336</v>
      </c>
      <c r="T153" s="32"/>
      <c r="U153" s="32"/>
      <c r="V153" s="33"/>
      <c r="W153" s="38" t="b">
        <f t="shared" si="57"/>
        <v>1</v>
      </c>
      <c r="X153" s="35" t="str">
        <f t="shared" si="50"/>
        <v>title: "Seitai Hoshikai (Our Lady of Akita)"</v>
      </c>
      <c r="Y153" s="35" t="str">
        <f t="shared" si="51"/>
        <v>location: {lat: 39.7592244041621, lng: 140.14975314135}</v>
      </c>
      <c r="Z153" s="35" t="str">
        <f>IF(LEN(S153)&gt;1,VLOOKUP(S153,Sheet3!$A:$B,2,),"")</f>
        <v/>
      </c>
      <c r="AA153" s="35" t="str">
        <f>IF(LEN(T153)&gt;1,VLOOKUP(T153,Sheet3!$A:$B,2,),"")</f>
        <v/>
      </c>
      <c r="AB153" s="35" t="str">
        <f>IF(LEN(U153)&gt;1,VLOOKUP(U153,Sheet3!$A:$B,2,),"")</f>
        <v/>
      </c>
      <c r="AC153" s="37" t="str">
        <f t="shared" si="58"/>
        <v/>
      </c>
      <c r="AD153" s="37" t="str">
        <f t="shared" si="59"/>
        <v/>
      </c>
      <c r="AE153" s="37" t="str">
        <f t="shared" si="60"/>
        <v/>
      </c>
      <c r="AF153" s="37" t="str">
        <f>"- marian-sites
- churches
- "&amp;VLOOKUP(C153,'(Ref) Countries'!A:C,3,)&amp;IF(LEN(S153)&gt;1,"
- "&amp;S153,"")&amp;IF(LEN(T153)&gt;1,"
- "&amp;T153,"")&amp;IF(LEN(U153)&gt;1,"
- "&amp;U153,"")</f>
        <v>- marian-sites
- churches
- japan</v>
      </c>
      <c r="AG153" s="37" t="str">
        <f t="shared" si="61"/>
        <v xml:space="preserve">| </v>
      </c>
      <c r="AH153" s="37" t="str">
        <f t="shared" si="62"/>
        <v xml:space="preserve">| [Akita](/places/jp-seitai-hoshikai) </v>
      </c>
      <c r="AI153" s="37" t="str">
        <f>"| "&amp;IF(W153,GetTagPage(C153,VLOOKUP(C153,'(Ref) Countries'!A:C,3,)),C153)&amp; " "</f>
        <v xml:space="preserve">| [Japan](/tags/japan) </v>
      </c>
      <c r="AJ153" s="37" t="str">
        <f t="shared" si="63"/>
        <v xml:space="preserve">| 1973 </v>
      </c>
      <c r="AK153" s="37" t="str">
        <f t="shared" si="64"/>
        <v xml:space="preserve">| [Link](/places/jp-seitai-hoshikai) </v>
      </c>
      <c r="AL153" s="35" t="str">
        <f t="shared" si="52"/>
        <v xml:space="preserve">| [Link](https://www.seitaihoshikai.com/) </v>
      </c>
      <c r="AM153" s="37" t="str">
        <f t="shared" si="53"/>
        <v xml:space="preserve">| [Link](http://www.therealpresence.org/eucharst/misc/BVM/01_AKITA_60x96.pdf) </v>
      </c>
      <c r="AN153" s="37" t="str">
        <f t="shared" si="54"/>
        <v xml:space="preserve">| [Link](https://www.miraclehunter.com/marian_apparitions/approved_apparitions/akita/index.html) </v>
      </c>
      <c r="AO153" s="37" t="str">
        <f t="shared" si="55"/>
        <v xml:space="preserve">| [Link](https://www.marypages.com/akita-(japan)-en.html) </v>
      </c>
      <c r="AP153" s="37" t="str">
        <f t="shared" si="66"/>
        <v xml:space="preserve">
| [Link](https://www.seitaihoshikai.com/) | [Link](http://www.therealpresence.org/eucharst/misc/BVM/01_AKITA_60x96.pdf) | [Link](https://www.miraclehunter.com/marian_apparitions/approved_apparitions/akita/index.html) | [Link](https://www.marypages.com/akita-(japan)-en.html) |</v>
      </c>
      <c r="AQ153" s="48" t="str">
        <f>VLOOKUP(C153,'(Ref) Countries'!A:B,2,)&amp;"-"&amp;LOWER(SUBSTITUTE(H153," ","-"))&amp;".md"</f>
        <v>jp-seitai-hoshikai.md</v>
      </c>
      <c r="AR153" s="35" t="str">
        <f t="shared" si="65"/>
        <v xml:space="preserve">
| [Akita](/places/jp-seitai-hoshikai) | [Japan](/tags/japan) | 1973 | [Link](/places/jp-seitai-hoshikai) | [Link](https://www.seitaihoshikai.com/) | [Link](http://www.therealpresence.org/eucharst/misc/BVM/01_AKITA_60x96.pdf) | [Link](https://www.miraclehunter.com/marian_apparitions/approved_apparitions/akita/index.html) | [Link](https://www.marypages.com/akita-(japan)-en.html) | |</v>
      </c>
      <c r="AS153" s="48" t="str">
        <f t="shared" si="56"/>
        <v xml:space="preserve">---
title: "Seitai Hoshikai (Our Lady of Akita)"
location: {lat: 39.7592244041621, lng: 140.14975314135}
tags:
- marian-sites
- churches
- japan
---
Sister Agnes Sasagawa received visions of an angel and messages emanating from a wooden statue of Our Lady which wept 101 times, including one instance which was broadcast on Japanese national television in December 1973.
#### Source Material
| Official Site | The Real Presence | Miracle Hunter | MaryPages |
| --- | --- | --- | --- |
| [Link](https://www.seitaihoshikai.com/) | [Link](http://www.therealpresence.org/eucharst/misc/BVM/01_AKITA_60x96.pdf) | [Link](https://www.miraclehunter.com/marian_apparitions/approved_apparitions/akita/index.html) | [Link](https://www.marypages.com/akita-(japan)-en.html) |
</v>
      </c>
      <c r="AT153" s="15" t="s">
        <v>336</v>
      </c>
    </row>
    <row r="154" spans="1:46" ht="51" x14ac:dyDescent="0.25">
      <c r="A154" s="27" t="s">
        <v>1058</v>
      </c>
      <c r="B154" s="31" t="s">
        <v>1316</v>
      </c>
      <c r="C154" s="32" t="s">
        <v>639</v>
      </c>
      <c r="D154" s="61">
        <v>1980</v>
      </c>
      <c r="E154" s="32">
        <v>12.250924807686999</v>
      </c>
      <c r="F154" s="32">
        <v>-85.378274608161107</v>
      </c>
      <c r="G154" s="33" t="s">
        <v>1361</v>
      </c>
      <c r="H154" s="33" t="s">
        <v>1360</v>
      </c>
      <c r="I154" s="33" t="s">
        <v>1758</v>
      </c>
      <c r="J154" s="33" t="s">
        <v>1345</v>
      </c>
      <c r="K154" s="32" t="s">
        <v>1362</v>
      </c>
      <c r="L154" s="32" t="s">
        <v>336</v>
      </c>
      <c r="M154" s="32" t="s">
        <v>328</v>
      </c>
      <c r="N154" s="32" t="s">
        <v>336</v>
      </c>
      <c r="O154" s="32" t="s">
        <v>1359</v>
      </c>
      <c r="P154" s="32" t="s">
        <v>336</v>
      </c>
      <c r="Q154" s="32" t="s">
        <v>1358</v>
      </c>
      <c r="R154" s="32" t="s">
        <v>336</v>
      </c>
      <c r="S154" s="32" t="s">
        <v>336</v>
      </c>
      <c r="T154" s="32"/>
      <c r="U154" s="32"/>
      <c r="V154" s="66" t="s">
        <v>1734</v>
      </c>
      <c r="W154" s="38" t="b">
        <f t="shared" si="57"/>
        <v>1</v>
      </c>
      <c r="X154" s="35" t="str">
        <f t="shared" si="50"/>
        <v>title: "National Sanctuary of Our Lady of Cuapa"</v>
      </c>
      <c r="Y154" s="35" t="str">
        <f t="shared" si="51"/>
        <v>location: {lat: 12.250924807687, lng: -85.3782746081611}</v>
      </c>
      <c r="Z154" s="35" t="str">
        <f>IF(LEN(S154)&gt;1,VLOOKUP(S154,Sheet3!$A:$B,2,),"")</f>
        <v/>
      </c>
      <c r="AA154" s="35" t="str">
        <f>IF(LEN(T154)&gt;1,VLOOKUP(T154,Sheet3!$A:$B,2,),"")</f>
        <v/>
      </c>
      <c r="AB154" s="35" t="str">
        <f>IF(LEN(U154)&gt;1,VLOOKUP(U154,Sheet3!$A:$B,2,),"")</f>
        <v/>
      </c>
      <c r="AC154" s="37" t="str">
        <f t="shared" si="58"/>
        <v/>
      </c>
      <c r="AD154" s="37" t="str">
        <f t="shared" si="59"/>
        <v/>
      </c>
      <c r="AE154" s="37" t="str">
        <f t="shared" si="60"/>
        <v/>
      </c>
      <c r="AF154" s="37" t="str">
        <f>"- marian-sites
- churches
- "&amp;VLOOKUP(C154,'(Ref) Countries'!A:C,3,)&amp;IF(LEN(S154)&gt;1,"
- "&amp;S154,"")&amp;IF(LEN(T154)&gt;1,"
- "&amp;T154,"")&amp;IF(LEN(U154)&gt;1,"
- "&amp;U154,"")</f>
        <v>- marian-sites
- churches
- nicaragua</v>
      </c>
      <c r="AG154" s="37" t="str">
        <f t="shared" si="61"/>
        <v xml:space="preserve">| </v>
      </c>
      <c r="AH154" s="37" t="str">
        <f t="shared" si="62"/>
        <v xml:space="preserve">| [Cuapa](/places/ni-sanctuary-of-our-lady-of-cuapa) </v>
      </c>
      <c r="AI154" s="37" t="str">
        <f>"| "&amp;IF(W154,GetTagPage(C154,VLOOKUP(C154,'(Ref) Countries'!A:C,3,)),C154)&amp; " "</f>
        <v xml:space="preserve">| [Nicaragua](/tags/nicaragua) </v>
      </c>
      <c r="AJ154" s="37" t="str">
        <f t="shared" si="63"/>
        <v xml:space="preserve">| 1980 </v>
      </c>
      <c r="AK154" s="37" t="str">
        <f t="shared" si="64"/>
        <v xml:space="preserve">| [Link](/places/ni-sanctuary-of-our-lady-of-cuapa) </v>
      </c>
      <c r="AL154" s="35" t="str">
        <f t="shared" si="52"/>
        <v xml:space="preserve">| [Link](https://www.facebook.com/SDVirgendeCuapa) </v>
      </c>
      <c r="AM154" s="37" t="str">
        <f t="shared" si="53"/>
        <v xml:space="preserve">| [Link](http://www.therealpresence.org/eucharst/misc/BVM/16_CUAPA_60x96.pdf) </v>
      </c>
      <c r="AN154" s="37" t="str">
        <f t="shared" si="54"/>
        <v xml:space="preserve">| [Link](http://www.miraclehunter.com/marian_apparitions/approved_apparitions/cuapa/index.html) </v>
      </c>
      <c r="AO154" s="37" t="str">
        <f t="shared" si="55"/>
        <v xml:space="preserve">| [Link](https://www.marypages.com/our-lady-of-cuapa-also-known-as-our-lady-of-nicaragua-en.html) </v>
      </c>
      <c r="AP154" s="37" t="str">
        <f t="shared" si="66"/>
        <v xml:space="preserve">
| [Link](https://www.facebook.com/SDVirgendeCuapa) | [Link](http://www.therealpresence.org/eucharst/misc/BVM/16_CUAPA_60x96.pdf) | [Link](http://www.miraclehunter.com/marian_apparitions/approved_apparitions/cuapa/index.html) | [Link](https://www.marypages.com/our-lady-of-cuapa-also-known-as-our-lady-of-nicaragua-en.html) |</v>
      </c>
      <c r="AQ154" s="48" t="str">
        <f>VLOOKUP(C154,'(Ref) Countries'!A:B,2,)&amp;"-"&amp;LOWER(SUBSTITUTE(H154," ","-"))&amp;".md"</f>
        <v>ni-sanctuary-of-our-lady-of-cuapa.md</v>
      </c>
      <c r="AR154" s="35" t="str">
        <f t="shared" si="65"/>
        <v xml:space="preserve">
| [Cuapa](/places/ni-sanctuary-of-our-lady-of-cuapa) | [Nicaragua](/tags/nicaragua) | 1980 | [Link](/places/ni-sanctuary-of-our-lady-of-cuapa) | [Link](https://www.facebook.com/SDVirgendeCuapa) | [Link](http://www.therealpresence.org/eucharst/misc/BVM/16_CUAPA_60x96.pdf) | [Link](http://www.miraclehunter.com/marian_apparitions/approved_apparitions/cuapa/index.html) | [Link](https://www.marypages.com/our-lady-of-cuapa-also-known-as-our-lady-of-nicaragua-en.html) | |</v>
      </c>
      <c r="AS154" s="48" t="str">
        <f t="shared" si="56"/>
        <v>---
title: "National Sanctuary of Our Lady of Cuapa"
location: {lat: 12.250924807687, lng: -85.3782746081611}
tags:
- marian-sites
- churches
- nicaragua
---
_Research in progress_
#### Source Material
| Official Site | The Real Presence | Miracle Hunter | MaryPages |
| --- | --- | --- | --- |
| [Link](https://www.facebook.com/SDVirgendeCuapa) | [Link](http://www.therealpresence.org/eucharst/misc/BVM/16_CUAPA_60x96.pdf) | [Link](http://www.miraclehunter.com/marian_apparitions/approved_apparitions/cuapa/index.html) | [Link](https://www.marypages.com/our-lady-of-cuapa-also-known-as-our-lady-of-nicaragua-en.html) |
#### Author's Note
We can't find an official website for the parish; their Facebook page has been listed for now.
- JMM</v>
      </c>
      <c r="AT154" s="15" t="s">
        <v>336</v>
      </c>
    </row>
    <row r="155" spans="1:46" ht="76.5" x14ac:dyDescent="0.25">
      <c r="A155" s="27" t="s">
        <v>1330</v>
      </c>
      <c r="B155" s="31" t="s">
        <v>485</v>
      </c>
      <c r="C155" s="32" t="s">
        <v>483</v>
      </c>
      <c r="D155" s="61">
        <v>1981</v>
      </c>
      <c r="E155" s="32">
        <v>-2.6496097000000001</v>
      </c>
      <c r="F155" s="32">
        <v>29.553281200000001</v>
      </c>
      <c r="G155" s="33" t="s">
        <v>482</v>
      </c>
      <c r="H155" s="33" t="s">
        <v>401</v>
      </c>
      <c r="I155" s="33" t="s">
        <v>1758</v>
      </c>
      <c r="J155" s="33" t="s">
        <v>358</v>
      </c>
      <c r="K155" s="32" t="s">
        <v>340</v>
      </c>
      <c r="L155" s="32" t="s">
        <v>336</v>
      </c>
      <c r="M155" s="32" t="s">
        <v>329</v>
      </c>
      <c r="N155" s="32" t="s">
        <v>336</v>
      </c>
      <c r="O155" s="32" t="s">
        <v>359</v>
      </c>
      <c r="P155" s="32" t="s">
        <v>336</v>
      </c>
      <c r="Q155" s="32" t="s">
        <v>360</v>
      </c>
      <c r="R155" s="32" t="s">
        <v>336</v>
      </c>
      <c r="S155" s="40" t="s">
        <v>336</v>
      </c>
      <c r="T155" s="40"/>
      <c r="U155" s="40"/>
      <c r="V155" s="33"/>
      <c r="W155" s="38" t="b">
        <f t="shared" si="57"/>
        <v>1</v>
      </c>
      <c r="X155" s="35" t="str">
        <f t="shared" si="50"/>
        <v>title: "Shrine of Our Lady of Kibeho (Mother of the Word)"</v>
      </c>
      <c r="Y155" s="35" t="str">
        <f t="shared" si="51"/>
        <v>location: {lat: -2.6496097, lng: 29.5532812}</v>
      </c>
      <c r="Z155" s="36" t="str">
        <f>IF(LEN(S155)&gt;1,VLOOKUP(S155,Sheet3!$A:$B,2,),"")</f>
        <v/>
      </c>
      <c r="AA155" s="36" t="str">
        <f>IF(LEN(T155)&gt;1,VLOOKUP(T155,Sheet3!$A:$B,2,),"")</f>
        <v/>
      </c>
      <c r="AB155" s="36" t="str">
        <f>IF(LEN(U155)&gt;1,VLOOKUP(U155,Sheet3!$A:$B,2,),"")</f>
        <v/>
      </c>
      <c r="AC155" s="37" t="str">
        <f t="shared" si="58"/>
        <v/>
      </c>
      <c r="AD155" s="37" t="str">
        <f t="shared" si="59"/>
        <v/>
      </c>
      <c r="AE155" s="37" t="str">
        <f t="shared" si="60"/>
        <v/>
      </c>
      <c r="AF155" s="37" t="str">
        <f>"- marian-sites
- churches
- "&amp;VLOOKUP(C155,'(Ref) Countries'!A:C,3,)&amp;IF(LEN(S155)&gt;1,"
- "&amp;S155,"")&amp;IF(LEN(T155)&gt;1,"
- "&amp;T155,"")&amp;IF(LEN(U155)&gt;1,"
- "&amp;U155,"")</f>
        <v>- marian-sites
- churches
- rwanda</v>
      </c>
      <c r="AG155" s="37" t="str">
        <f t="shared" si="61"/>
        <v xml:space="preserve">| </v>
      </c>
      <c r="AH155" s="37" t="str">
        <f t="shared" si="62"/>
        <v xml:space="preserve">| [Kibeho](/places/rw-shrine-of-our-lady-of-kibeho) </v>
      </c>
      <c r="AI155" s="37" t="str">
        <f>"| "&amp;IF(W155,GetTagPage(C155,VLOOKUP(C155,'(Ref) Countries'!A:C,3,)),C155)&amp; " "</f>
        <v xml:space="preserve">| [Rwanda](/tags/rwanda) </v>
      </c>
      <c r="AJ155" s="37" t="str">
        <f t="shared" si="63"/>
        <v xml:space="preserve">| 1981 </v>
      </c>
      <c r="AK155" s="37" t="str">
        <f t="shared" si="64"/>
        <v xml:space="preserve">| [Link](/places/rw-shrine-of-our-lady-of-kibeho) </v>
      </c>
      <c r="AL155" s="35" t="str">
        <f t="shared" si="52"/>
        <v xml:space="preserve">| [Link](https://kibeho-sanctuary.com/) </v>
      </c>
      <c r="AM155" s="37" t="str">
        <f t="shared" si="53"/>
        <v xml:space="preserve">| [Link](http://www.therealpresence.org/eucharst/misc/BVM/20_KIBEHO_96x96.pdf) </v>
      </c>
      <c r="AN155" s="37" t="str">
        <f t="shared" si="54"/>
        <v xml:space="preserve">| [Link](https://www.miraclehunter.com/marian_apparitions/approved_apparitions/kibeho_rwanda/index.html) </v>
      </c>
      <c r="AO155" s="37" t="str">
        <f t="shared" si="55"/>
        <v xml:space="preserve">| [Link](https://www.marypages.com/kibeho-(rwanda)-en.html) </v>
      </c>
      <c r="AP155" s="37" t="str">
        <f t="shared" si="66"/>
        <v xml:space="preserve">
| [Link](https://kibeho-sanctuary.com/) | [Link](http://www.therealpresence.org/eucharst/misc/BVM/20_KIBEHO_96x96.pdf) | [Link](https://www.miraclehunter.com/marian_apparitions/approved_apparitions/kibeho_rwanda/index.html) | [Link](https://www.marypages.com/kibeho-(rwanda)-en.html) |</v>
      </c>
      <c r="AQ155" s="48" t="str">
        <f>VLOOKUP(C155,'(Ref) Countries'!A:B,2,)&amp;"-"&amp;LOWER(SUBSTITUTE(H155," ","-"))&amp;".md"</f>
        <v>rw-shrine-of-our-lady-of-kibeho.md</v>
      </c>
      <c r="AR155" s="35" t="str">
        <f t="shared" si="65"/>
        <v xml:space="preserve">
| [Kibeho](/places/rw-shrine-of-our-lady-of-kibeho) | [Rwanda](/tags/rwanda) | 1981 | [Link](/places/rw-shrine-of-our-lady-of-kibeho) | [Link](https://kibeho-sanctuary.com/) | [Link](http://www.therealpresence.org/eucharst/misc/BVM/20_KIBEHO_96x96.pdf) | [Link](https://www.miraclehunter.com/marian_apparitions/approved_apparitions/kibeho_rwanda/index.html) | [Link](https://www.marypages.com/kibeho-(rwanda)-en.html) | |</v>
      </c>
      <c r="AS155" s="48" t="str">
        <f t="shared" si="56"/>
        <v xml:space="preserve">---
title: "Shrine of Our Lady of Kibeho (Mother of the Word)"
location: {lat: -2.6496097, lng: 29.5532812}
tags:
- marian-sites
- churches
- rwanda
---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
#### Source Material
| Official Site | The Real Presence | Miracle Hunter | MaryPages |
| --- | --- | --- | --- |
| [Link](https://kibeho-sanctuary.com/) | [Link](http://www.therealpresence.org/eucharst/misc/BVM/20_KIBEHO_96x96.pdf) | [Link](https://www.miraclehunter.com/marian_apparitions/approved_apparitions/kibeho_rwanda/index.html) | [Link](https://www.marypages.com/kibeho-(rwanda)-en.html) |
</v>
      </c>
      <c r="AT155" s="15" t="s">
        <v>336</v>
      </c>
    </row>
    <row r="156" spans="1:46" ht="102" x14ac:dyDescent="0.25">
      <c r="A156" s="27" t="s">
        <v>1332</v>
      </c>
      <c r="B156" s="31" t="s">
        <v>1317</v>
      </c>
      <c r="C156" s="32" t="s">
        <v>722</v>
      </c>
      <c r="D156" s="61">
        <v>1984</v>
      </c>
      <c r="E156" s="32">
        <v>37.204861473063303</v>
      </c>
      <c r="F156" s="32">
        <v>126.81640992516</v>
      </c>
      <c r="G156" s="52" t="s">
        <v>1411</v>
      </c>
      <c r="H156" s="33" t="s">
        <v>1411</v>
      </c>
      <c r="I156" s="33" t="s">
        <v>1758</v>
      </c>
      <c r="J156" s="52" t="s">
        <v>1345</v>
      </c>
      <c r="K156" s="32" t="s">
        <v>336</v>
      </c>
      <c r="L156" s="32" t="s">
        <v>336</v>
      </c>
      <c r="M156" s="32" t="s">
        <v>330</v>
      </c>
      <c r="N156" s="32" t="s">
        <v>336</v>
      </c>
      <c r="O156" s="32" t="s">
        <v>336</v>
      </c>
      <c r="P156" s="32" t="s">
        <v>336</v>
      </c>
      <c r="Q156" s="32" t="s">
        <v>336</v>
      </c>
      <c r="R156" s="32" t="s">
        <v>336</v>
      </c>
      <c r="S156" s="32" t="s">
        <v>336</v>
      </c>
      <c r="T156" s="32"/>
      <c r="U156" s="32"/>
      <c r="V156" s="66" t="s">
        <v>1735</v>
      </c>
      <c r="W156" s="38" t="b">
        <f t="shared" si="57"/>
        <v>0</v>
      </c>
      <c r="X156" s="35" t="str">
        <f t="shared" si="50"/>
        <v>title: "Shrine of Our Lady of the Rosary of Namyang"</v>
      </c>
      <c r="Y156" s="35" t="str">
        <f t="shared" si="51"/>
        <v>location: {lat: 37.2048614730633, lng: 126.81640992516}</v>
      </c>
      <c r="Z156" s="35" t="str">
        <f>IF(LEN(S156)&gt;1,VLOOKUP(S156,Sheet3!$A:$B,2,),"")</f>
        <v/>
      </c>
      <c r="AA156" s="35" t="str">
        <f>IF(LEN(T156)&gt;1,VLOOKUP(T156,Sheet3!$A:$B,2,),"")</f>
        <v/>
      </c>
      <c r="AB156" s="35" t="str">
        <f>IF(LEN(U156)&gt;1,VLOOKUP(U156,Sheet3!$A:$B,2,),"")</f>
        <v/>
      </c>
      <c r="AC156" s="37" t="str">
        <f t="shared" si="58"/>
        <v/>
      </c>
      <c r="AD156" s="37" t="str">
        <f t="shared" si="59"/>
        <v/>
      </c>
      <c r="AE156" s="37" t="str">
        <f t="shared" si="60"/>
        <v/>
      </c>
      <c r="AF156" s="37" t="str">
        <f>"- marian-sites
- churches
- "&amp;VLOOKUP(C156,'(Ref) Countries'!A:C,3,)&amp;IF(LEN(S156)&gt;1,"
- "&amp;S156,"")&amp;IF(LEN(T156)&gt;1,"
- "&amp;T156,"")&amp;IF(LEN(U156)&gt;1,"
- "&amp;U156,"")</f>
        <v>- marian-sites
- churches
- south-korea</v>
      </c>
      <c r="AG156" s="37" t="str">
        <f t="shared" si="61"/>
        <v xml:space="preserve">| </v>
      </c>
      <c r="AH156" s="37" t="str">
        <f t="shared" si="62"/>
        <v xml:space="preserve">| Namyang </v>
      </c>
      <c r="AI156" s="37" t="str">
        <f>"| "&amp;IF(W156,GetTagPage(C156,VLOOKUP(C156,'(Ref) Countries'!A:C,3,)),C156)&amp; " "</f>
        <v xml:space="preserve">| South Korea </v>
      </c>
      <c r="AJ156" s="37" t="str">
        <f t="shared" si="63"/>
        <v xml:space="preserve">| 1984 </v>
      </c>
      <c r="AK156" s="37" t="str">
        <f t="shared" si="64"/>
        <v xml:space="preserve">| </v>
      </c>
      <c r="AL156" s="35" t="str">
        <f t="shared" si="52"/>
        <v xml:space="preserve">| </v>
      </c>
      <c r="AM156" s="37" t="str">
        <f t="shared" si="53"/>
        <v xml:space="preserve">| [Link](http://www.therealpresence.org/eucharst/misc/BVM/143_NAMYANG_96x96.pdf) </v>
      </c>
      <c r="AN156" s="37" t="str">
        <f t="shared" si="54"/>
        <v xml:space="preserve">| </v>
      </c>
      <c r="AO156" s="37" t="str">
        <f t="shared" si="55"/>
        <v xml:space="preserve">| </v>
      </c>
      <c r="AP156" s="37" t="str">
        <f t="shared" si="66"/>
        <v xml:space="preserve">
| | [Link](http://www.therealpresence.org/eucharst/misc/BVM/143_NAMYANG_96x96.pdf) | | |</v>
      </c>
      <c r="AQ156" s="48" t="str">
        <f>VLOOKUP(C156,'(Ref) Countries'!A:B,2,)&amp;"-"&amp;LOWER(SUBSTITUTE(H156," ","-"))&amp;".md"</f>
        <v>kr-shrine-of-our-lady-of-the-rosary-of-namyang.md</v>
      </c>
      <c r="AR156" s="35" t="str">
        <f t="shared" si="65"/>
        <v xml:space="preserve">
| Namyang | South Korea | 1984 | | | [Link](http://www.therealpresence.org/eucharst/misc/BVM/143_NAMYANG_96x96.pdf) | | | |</v>
      </c>
      <c r="AS156" s="48" t="str">
        <f t="shared" si="56"/>
        <v/>
      </c>
      <c r="AT156" s="15" t="s">
        <v>336</v>
      </c>
    </row>
    <row r="157" spans="1:46" ht="51" x14ac:dyDescent="0.25">
      <c r="A157" s="27" t="s">
        <v>1332</v>
      </c>
      <c r="B157" s="31" t="s">
        <v>1056</v>
      </c>
      <c r="C157" s="32" t="s">
        <v>638</v>
      </c>
      <c r="D157" s="61" t="s">
        <v>1055</v>
      </c>
      <c r="E157" s="32">
        <v>7.2085798653578497</v>
      </c>
      <c r="F157" s="32">
        <v>7.8115900693840503</v>
      </c>
      <c r="G157" s="33" t="s">
        <v>1051</v>
      </c>
      <c r="H157" s="33" t="s">
        <v>1052</v>
      </c>
      <c r="I157" s="33" t="s">
        <v>1758</v>
      </c>
      <c r="J157" s="33" t="s">
        <v>1054</v>
      </c>
      <c r="K157" s="32" t="s">
        <v>1050</v>
      </c>
      <c r="L157" s="32" t="s">
        <v>336</v>
      </c>
      <c r="M157" s="32" t="s">
        <v>331</v>
      </c>
      <c r="N157" s="32" t="s">
        <v>336</v>
      </c>
      <c r="O157" s="32" t="s">
        <v>1053</v>
      </c>
      <c r="P157" s="32" t="s">
        <v>336</v>
      </c>
      <c r="Q157" s="32" t="s">
        <v>336</v>
      </c>
      <c r="R157" s="32" t="s">
        <v>336</v>
      </c>
      <c r="S157" s="32" t="s">
        <v>336</v>
      </c>
      <c r="T157" s="32"/>
      <c r="U157" s="32"/>
      <c r="V157" s="33"/>
      <c r="W157" s="38" t="b">
        <f t="shared" si="57"/>
        <v>0</v>
      </c>
      <c r="X157" s="35" t="str">
        <f t="shared" si="50"/>
        <v>title: "Shrine of Our Lady of Aokpe (Mediatrix of all Graces)"</v>
      </c>
      <c r="Y157" s="35" t="str">
        <f t="shared" si="51"/>
        <v>location: {lat: 7.20857986535785, lng: 7.81159006938405}</v>
      </c>
      <c r="Z157" s="35" t="str">
        <f>IF(LEN(S157)&gt;1,VLOOKUP(S157,Sheet3!$A:$B,2,),"")</f>
        <v/>
      </c>
      <c r="AA157" s="35" t="str">
        <f>IF(LEN(T157)&gt;1,VLOOKUP(T157,Sheet3!$A:$B,2,),"")</f>
        <v/>
      </c>
      <c r="AB157" s="35" t="str">
        <f>IF(LEN(U157)&gt;1,VLOOKUP(U157,Sheet3!$A:$B,2,),"")</f>
        <v/>
      </c>
      <c r="AC157" s="37" t="str">
        <f t="shared" si="58"/>
        <v/>
      </c>
      <c r="AD157" s="37" t="str">
        <f t="shared" si="59"/>
        <v/>
      </c>
      <c r="AE157" s="37" t="str">
        <f t="shared" si="60"/>
        <v/>
      </c>
      <c r="AF157" s="37" t="str">
        <f>"- marian-sites
- churches
- "&amp;VLOOKUP(C157,'(Ref) Countries'!A:C,3,)&amp;IF(LEN(S157)&gt;1,"
- "&amp;S157,"")&amp;IF(LEN(T157)&gt;1,"
- "&amp;T157,"")&amp;IF(LEN(U157)&gt;1,"
- "&amp;U157,"")</f>
        <v>- marian-sites
- churches
- nigeria</v>
      </c>
      <c r="AG157" s="37" t="str">
        <f t="shared" si="61"/>
        <v xml:space="preserve">| </v>
      </c>
      <c r="AH157" s="37" t="str">
        <f t="shared" si="62"/>
        <v xml:space="preserve">| Aokpe </v>
      </c>
      <c r="AI157" s="37" t="str">
        <f>"| "&amp;IF(W157,GetTagPage(C157,VLOOKUP(C157,'(Ref) Countries'!A:C,3,)),C157)&amp; " "</f>
        <v xml:space="preserve">| Nigeria </v>
      </c>
      <c r="AJ157" s="37" t="str">
        <f t="shared" si="63"/>
        <v xml:space="preserve">| 1992-2004 </v>
      </c>
      <c r="AK157" s="37" t="str">
        <f t="shared" si="64"/>
        <v xml:space="preserve">| </v>
      </c>
      <c r="AL157" s="35" t="str">
        <f t="shared" si="52"/>
        <v xml:space="preserve">| [Link](https://www.ourladyofaokpe.com/) </v>
      </c>
      <c r="AM157" s="37" t="str">
        <f t="shared" si="53"/>
        <v xml:space="preserve">| [Link](http://www.therealpresence.org/eucharst/misc/BVM/76_AOKPE_140x96.pdf) </v>
      </c>
      <c r="AN157" s="37" t="str">
        <f t="shared" si="54"/>
        <v xml:space="preserve">| [Link](http://www.miraclehunter.com/marian_apparitions/approved_apparitions/aokpe/index.html) </v>
      </c>
      <c r="AO157" s="37" t="str">
        <f t="shared" si="55"/>
        <v xml:space="preserve">| </v>
      </c>
      <c r="AP157" s="37" t="str">
        <f t="shared" si="66"/>
        <v xml:space="preserve">
| [Link](https://www.ourladyofaokpe.com/) | [Link](http://www.therealpresence.org/eucharst/misc/BVM/76_AOKPE_140x96.pdf) | [Link](http://www.miraclehunter.com/marian_apparitions/approved_apparitions/aokpe/index.html) | |</v>
      </c>
      <c r="AQ157" s="48" t="str">
        <f>VLOOKUP(C157,'(Ref) Countries'!A:B,2,)&amp;"-"&amp;LOWER(SUBSTITUTE(H157," ","-"))&amp;".md"</f>
        <v>ng-shrine-of-our-lady-of-aokpe.md</v>
      </c>
      <c r="AR157" s="35" t="str">
        <f t="shared" si="65"/>
        <v xml:space="preserve">
| Aokpe | Nigeria | 1992-2004 | | [Link](https://www.ourladyofaokpe.com/) | [Link](http://www.therealpresence.org/eucharst/misc/BVM/76_AOKPE_140x96.pdf) | [Link](http://www.miraclehunter.com/marian_apparitions/approved_apparitions/aokpe/index.html) | | |</v>
      </c>
      <c r="AS157" s="48" t="str">
        <f t="shared" si="56"/>
        <v/>
      </c>
      <c r="AT157" s="15" t="s">
        <v>336</v>
      </c>
    </row>
    <row r="158" spans="1:46" x14ac:dyDescent="0.25">
      <c r="A158" s="27" t="s">
        <v>1332</v>
      </c>
      <c r="B158" s="31" t="s">
        <v>1057</v>
      </c>
      <c r="C158" s="32" t="s">
        <v>484</v>
      </c>
      <c r="D158" s="61">
        <v>2004</v>
      </c>
      <c r="E158" s="32">
        <v>34.149450392589202</v>
      </c>
      <c r="F158" s="32">
        <v>36.1356779618907</v>
      </c>
      <c r="G158" s="33" t="s">
        <v>1049</v>
      </c>
      <c r="H158" s="33" t="s">
        <v>1049</v>
      </c>
      <c r="I158" s="33" t="s">
        <v>1758</v>
      </c>
      <c r="J158" s="33"/>
      <c r="K158" s="32" t="s">
        <v>336</v>
      </c>
      <c r="L158" s="32" t="s">
        <v>336</v>
      </c>
      <c r="M158" s="32" t="s">
        <v>332</v>
      </c>
      <c r="N158" s="32" t="s">
        <v>336</v>
      </c>
      <c r="O158" s="32" t="s">
        <v>336</v>
      </c>
      <c r="P158" s="32" t="s">
        <v>336</v>
      </c>
      <c r="Q158" s="32" t="s">
        <v>336</v>
      </c>
      <c r="R158" s="32" t="s">
        <v>336</v>
      </c>
      <c r="S158" s="32" t="s">
        <v>336</v>
      </c>
      <c r="T158" s="32"/>
      <c r="U158" s="32"/>
      <c r="V158" s="33"/>
      <c r="W158" s="38" t="b">
        <f t="shared" si="57"/>
        <v>0</v>
      </c>
      <c r="X158" s="35" t="str">
        <f t="shared" si="50"/>
        <v>title: "Sanctuary of Our Lady of Bechouat"</v>
      </c>
      <c r="Y158" s="35" t="str">
        <f t="shared" si="51"/>
        <v>location: {lat: 34.1494503925892, lng: 36.1356779618907}</v>
      </c>
      <c r="Z158" s="35" t="str">
        <f>IF(LEN(S158)&gt;1,VLOOKUP(S158,Sheet3!$A:$B,2,),"")</f>
        <v/>
      </c>
      <c r="AA158" s="35" t="str">
        <f>IF(LEN(T158)&gt;1,VLOOKUP(T158,Sheet3!$A:$B,2,),"")</f>
        <v/>
      </c>
      <c r="AB158" s="35" t="str">
        <f>IF(LEN(U158)&gt;1,VLOOKUP(U158,Sheet3!$A:$B,2,),"")</f>
        <v/>
      </c>
      <c r="AC158" s="37" t="str">
        <f t="shared" si="58"/>
        <v/>
      </c>
      <c r="AD158" s="37" t="str">
        <f t="shared" si="59"/>
        <v/>
      </c>
      <c r="AE158" s="37" t="str">
        <f t="shared" si="60"/>
        <v/>
      </c>
      <c r="AF158" s="37" t="str">
        <f>"- marian-sites
- churches
- "&amp;VLOOKUP(C158,'(Ref) Countries'!A:C,3,)&amp;IF(LEN(S158)&gt;1,"
- "&amp;S158,"")&amp;IF(LEN(T158)&gt;1,"
- "&amp;T158,"")&amp;IF(LEN(U158)&gt;1,"
- "&amp;U158,"")</f>
        <v>- marian-sites
- churches
- lebanon</v>
      </c>
      <c r="AG158" s="37" t="str">
        <f t="shared" si="61"/>
        <v xml:space="preserve">| </v>
      </c>
      <c r="AH158" s="37" t="str">
        <f t="shared" si="62"/>
        <v xml:space="preserve">| Bechouat </v>
      </c>
      <c r="AI158" s="37" t="str">
        <f>"| "&amp;IF(W158,GetTagPage(C158,VLOOKUP(C158,'(Ref) Countries'!A:C,3,)),C158)&amp; " "</f>
        <v xml:space="preserve">| Lebanon </v>
      </c>
      <c r="AJ158" s="37" t="str">
        <f t="shared" si="63"/>
        <v xml:space="preserve">| 2004 </v>
      </c>
      <c r="AK158" s="37" t="str">
        <f t="shared" si="64"/>
        <v xml:space="preserve">| </v>
      </c>
      <c r="AL158" s="35" t="str">
        <f t="shared" si="52"/>
        <v xml:space="preserve">| </v>
      </c>
      <c r="AM158" s="37" t="str">
        <f t="shared" si="53"/>
        <v xml:space="preserve">| [Link](http://www.therealpresence.org/eucharst/misc/BVM/78_BECHWAT_60x96.pdf) </v>
      </c>
      <c r="AN158" s="37" t="str">
        <f t="shared" si="54"/>
        <v xml:space="preserve">| </v>
      </c>
      <c r="AO158" s="37" t="str">
        <f t="shared" si="55"/>
        <v xml:space="preserve">| </v>
      </c>
      <c r="AP158" s="37" t="str">
        <f t="shared" si="66"/>
        <v xml:space="preserve">
| | [Link](http://www.therealpresence.org/eucharst/misc/BVM/78_BECHWAT_60x96.pdf) | | |</v>
      </c>
      <c r="AQ158" s="48" t="str">
        <f>VLOOKUP(C158,'(Ref) Countries'!A:B,2,)&amp;"-"&amp;LOWER(SUBSTITUTE(H158," ","-"))&amp;".md"</f>
        <v>lb-sanctuary-of-our-lady-of-bechouat.md</v>
      </c>
      <c r="AR158" s="35" t="str">
        <f t="shared" si="65"/>
        <v xml:space="preserve">
| Bechouat | Lebanon | 2004 | | | [Link](http://www.therealpresence.org/eucharst/misc/BVM/78_BECHWAT_60x96.pdf) | | | |</v>
      </c>
      <c r="AS158" s="48" t="str">
        <f t="shared" si="56"/>
        <v/>
      </c>
      <c r="AT158" s="15" t="s">
        <v>336</v>
      </c>
    </row>
    <row r="159" spans="1:46" ht="51" x14ac:dyDescent="0.25">
      <c r="A159" s="27" t="s">
        <v>1330</v>
      </c>
      <c r="B159" s="31" t="s">
        <v>1063</v>
      </c>
      <c r="C159" s="32" t="s">
        <v>652</v>
      </c>
      <c r="D159" s="61" t="s">
        <v>1064</v>
      </c>
      <c r="E159" s="32">
        <v>50.812751619291099</v>
      </c>
      <c r="F159" s="32">
        <v>19.096651748272901</v>
      </c>
      <c r="G159" s="66" t="s">
        <v>1065</v>
      </c>
      <c r="H159" s="33" t="s">
        <v>1066</v>
      </c>
      <c r="I159" s="33" t="s">
        <v>1758</v>
      </c>
      <c r="J159" s="66" t="s">
        <v>1070</v>
      </c>
      <c r="K159" s="32" t="s">
        <v>1067</v>
      </c>
      <c r="L159" s="32" t="s">
        <v>336</v>
      </c>
      <c r="M159" s="32"/>
      <c r="N159" s="32" t="s">
        <v>336</v>
      </c>
      <c r="O159" s="32" t="s">
        <v>1068</v>
      </c>
      <c r="P159" s="32" t="s">
        <v>336</v>
      </c>
      <c r="Q159" s="32" t="s">
        <v>1069</v>
      </c>
      <c r="R159" s="32" t="s">
        <v>336</v>
      </c>
      <c r="S159" s="33" t="s">
        <v>1443</v>
      </c>
      <c r="T159" s="33" t="s">
        <v>1436</v>
      </c>
      <c r="U159" s="33"/>
      <c r="V159" s="33"/>
      <c r="W159" s="38" t="b">
        <f t="shared" si="57"/>
        <v>1</v>
      </c>
      <c r="X159" s="35" t="str">
        <f t="shared" si="50"/>
        <v>title: "Jasna Gora Monastery (Our Lady of Czestochowa)"</v>
      </c>
      <c r="Y159" s="35" t="str">
        <f t="shared" si="51"/>
        <v>location: {lat: 50.8127516192911, lng: 19.0966517482729}</v>
      </c>
      <c r="Z159" s="38" t="str">
        <f>IF(LEN(S159)&gt;1,VLOOKUP(S159,Sheet3!$A:$B,2,),"")</f>
        <v>Religious Communities</v>
      </c>
      <c r="AA159" s="38" t="str">
        <f>IF(LEN(T159)&gt;1,VLOOKUP(T159,Sheet3!$A:$B,2,),"")</f>
        <v>Pope St. John Paul II</v>
      </c>
      <c r="AB159" s="38" t="str">
        <f>IF(LEN(U159)&gt;1,VLOOKUP(U159,Sheet3!$A:$B,2,),"")</f>
        <v/>
      </c>
      <c r="AC159" s="37" t="str">
        <f t="shared" si="58"/>
        <v>[Religious Communities](/tags/communities)</v>
      </c>
      <c r="AD159" s="37" t="str">
        <f t="shared" si="59"/>
        <v>[Pope St. John Paul II](/tags/john-paul-ii)</v>
      </c>
      <c r="AE159" s="37" t="str">
        <f t="shared" si="60"/>
        <v/>
      </c>
      <c r="AF159" s="37" t="str">
        <f>"- marian-sites
- churches
- "&amp;VLOOKUP(C159,'(Ref) Countries'!A:C,3,)&amp;IF(LEN(S159)&gt;1,"
- "&amp;S159,"")&amp;IF(LEN(T159)&gt;1,"
- "&amp;T159,"")&amp;IF(LEN(U159)&gt;1,"
- "&amp;U159,"")</f>
        <v>- marian-sites
- churches
- poland
- communities
- john-paul-ii</v>
      </c>
      <c r="AG159" s="37" t="str">
        <f t="shared" si="61"/>
        <v xml:space="preserve">| [Religious Communities](/tags/communities), [Pope St. John Paul II](/tags/john-paul-ii) </v>
      </c>
      <c r="AH159" s="37" t="str">
        <f t="shared" si="62"/>
        <v xml:space="preserve">| [Czestochowa](/places/pl-jasna-gora-monastery) </v>
      </c>
      <c r="AI159" s="37" t="str">
        <f>"| "&amp;IF(W159,GetTagPage(C159,VLOOKUP(C159,'(Ref) Countries'!A:C,3,)),C159)&amp; " "</f>
        <v xml:space="preserve">| [Poland](/tags/poland) </v>
      </c>
      <c r="AJ159" s="37" t="str">
        <f t="shared" si="63"/>
        <v xml:space="preserve">| Unknown </v>
      </c>
      <c r="AK159" s="37" t="str">
        <f t="shared" si="64"/>
        <v xml:space="preserve">| [Link](/places/pl-jasna-gora-monastery) </v>
      </c>
      <c r="AL159" s="35" t="str">
        <f t="shared" si="52"/>
        <v xml:space="preserve">| [Link](https://jasnagora.pl/) </v>
      </c>
      <c r="AM159" s="37" t="str">
        <f t="shared" si="53"/>
        <v xml:space="preserve">| </v>
      </c>
      <c r="AN159" s="37" t="str">
        <f t="shared" si="54"/>
        <v xml:space="preserve">| [Link](https://www.miraclehunter.com/marian_apparitions/approved_apparitions/czestochowa/) </v>
      </c>
      <c r="AO159" s="37" t="str">
        <f t="shared" si="55"/>
        <v xml:space="preserve">| [Link](https://www.marypages.com/czestochowa-(poland)-en.html) </v>
      </c>
      <c r="AP159" s="37" t="str">
        <f>"
"&amp;AL159&amp;AM159&amp;AN159&amp;AO159&amp;"|"</f>
        <v xml:space="preserve">
| [Link](https://jasnagora.pl/) | | [Link](https://www.miraclehunter.com/marian_apparitions/approved_apparitions/czestochowa/) | [Link](https://www.marypages.com/czestochowa-(poland)-en.html) |</v>
      </c>
      <c r="AQ159" s="48" t="str">
        <f>VLOOKUP(C159,'(Ref) Countries'!A:B,2,)&amp;"-"&amp;LOWER(SUBSTITUTE(H159," ","-"))&amp;".md"</f>
        <v>pl-jasna-gora-monastery.md</v>
      </c>
      <c r="AR159" s="35" t="str">
        <f t="shared" si="65"/>
        <v xml:space="preserve">
| [Czestochowa](/places/pl-jasna-gora-monastery) | [Poland](/tags/poland) | Unknown | [Link](/places/pl-jasna-gora-monastery) | [Link](https://jasnagora.pl/) | | [Link](https://www.miraclehunter.com/marian_apparitions/approved_apparitions/czestochowa/) | [Link](https://www.marypages.com/czestochowa-(poland)-en.html) | [Religious Communities](/tags/communities), [Pope St. John Paul II](/tags/john-paul-ii) |</v>
      </c>
      <c r="AS159" s="48" t="str">
        <f t="shared" si="56"/>
        <v xml:space="preserve">---
title: "Jasna Gora Monastery (Our Lady of Czestochowa)"
location: {lat: 50.8127516192911, lng: 19.0966517482729}
tags:
- marian-sites
- churches
- poland
- communities
- john-paul-ii
---
The Monastery of Jasna Gora in Częstochowa, Poland, is the third-largest Catholic pilgrimage site in the world.  Home to the beloved miraculous icon of Our Lady of Częstochowa, the monastery is also the national shrine of Poland and a pillar of Polish Catholicism.
#### Source Material
| Official Site | The Real Presence | Miracle Hunter | MaryPages |
| --- | --- | --- | --- |
| [Link](https://jasnagora.pl/) | | [Link](https://www.miraclehunter.com/marian_apparitions/approved_apparitions/czestochowa/) | [Link](https://www.marypages.com/czestochowa-(poland)-en.html) |
</v>
      </c>
      <c r="AT159" s="15" t="s">
        <v>336</v>
      </c>
    </row>
    <row r="160" spans="1:46" x14ac:dyDescent="0.25">
      <c r="A160" s="27"/>
      <c r="B160" s="26" t="s">
        <v>1046</v>
      </c>
      <c r="C160" s="32"/>
      <c r="D160" s="61"/>
      <c r="E160" s="32"/>
      <c r="F160" s="32"/>
      <c r="G160" s="33"/>
      <c r="H160" s="33"/>
      <c r="I160" s="33"/>
      <c r="J160" s="33"/>
      <c r="K160" s="32"/>
      <c r="L160" s="32" t="s">
        <v>336</v>
      </c>
      <c r="M160" s="32"/>
      <c r="N160" s="32" t="s">
        <v>336</v>
      </c>
      <c r="O160" s="32"/>
      <c r="P160" s="32" t="s">
        <v>336</v>
      </c>
      <c r="Q160" s="32"/>
      <c r="R160" s="32" t="s">
        <v>336</v>
      </c>
      <c r="S160" s="32"/>
      <c r="T160" s="32"/>
      <c r="U160" s="32"/>
      <c r="V160" s="33"/>
      <c r="W160" s="38" t="b">
        <f t="shared" si="57"/>
        <v>0</v>
      </c>
      <c r="X160" s="35"/>
      <c r="Y160" s="35"/>
      <c r="Z160" s="35"/>
      <c r="AA160" s="35"/>
      <c r="AB160" s="35"/>
      <c r="AC160" s="37" t="str">
        <f t="shared" si="58"/>
        <v/>
      </c>
      <c r="AD160" s="37" t="str">
        <f t="shared" si="59"/>
        <v/>
      </c>
      <c r="AE160" s="37" t="str">
        <f t="shared" si="60"/>
        <v/>
      </c>
      <c r="AF160" s="35"/>
      <c r="AG160" s="37" t="str">
        <f t="shared" si="61"/>
        <v xml:space="preserve">| </v>
      </c>
      <c r="AH160" s="37" t="str">
        <f t="shared" si="62"/>
        <v xml:space="preserve">| Our Lady of Vladimir </v>
      </c>
      <c r="AI160" s="37" t="str">
        <f>"| "&amp;IF(W160,GetTagPage(C160,VLOOKUP(C160,'(Ref) Countries'!A:C,3,)),C160)&amp; " "</f>
        <v xml:space="preserve">|  </v>
      </c>
      <c r="AJ160" s="37" t="str">
        <f t="shared" si="63"/>
        <v xml:space="preserve">|  </v>
      </c>
      <c r="AK160" s="37" t="str">
        <f t="shared" si="64"/>
        <v xml:space="preserve">| </v>
      </c>
      <c r="AL160" s="35"/>
      <c r="AM160" s="35"/>
      <c r="AN160" s="35"/>
      <c r="AO160" s="35"/>
      <c r="AP160" s="35"/>
      <c r="AQ160" s="48"/>
      <c r="AR160" s="35" t="str">
        <f t="shared" si="65"/>
        <v xml:space="preserve">
| Our Lady of Vladimir |  |  | | |</v>
      </c>
      <c r="AS160" s="48"/>
    </row>
    <row r="161" spans="1:45" x14ac:dyDescent="0.25">
      <c r="A161" s="27"/>
      <c r="B161" s="26" t="s">
        <v>1047</v>
      </c>
      <c r="C161" s="32"/>
      <c r="D161" s="61"/>
      <c r="E161" s="32"/>
      <c r="F161" s="32"/>
      <c r="G161" s="33"/>
      <c r="H161" s="33"/>
      <c r="I161" s="33"/>
      <c r="J161" s="33"/>
      <c r="K161" s="32"/>
      <c r="L161" s="32" t="s">
        <v>336</v>
      </c>
      <c r="M161" s="32"/>
      <c r="N161" s="32" t="s">
        <v>336</v>
      </c>
      <c r="O161" s="32"/>
      <c r="P161" s="32" t="s">
        <v>336</v>
      </c>
      <c r="Q161" s="32"/>
      <c r="R161" s="32" t="s">
        <v>336</v>
      </c>
      <c r="S161" s="32"/>
      <c r="T161" s="32"/>
      <c r="U161" s="32"/>
      <c r="V161" s="33"/>
      <c r="W161" s="38" t="b">
        <f t="shared" si="57"/>
        <v>0</v>
      </c>
      <c r="X161" s="35"/>
      <c r="Y161" s="35"/>
      <c r="Z161" s="35"/>
      <c r="AA161" s="35"/>
      <c r="AB161" s="35"/>
      <c r="AC161" s="37" t="str">
        <f t="shared" si="58"/>
        <v/>
      </c>
      <c r="AD161" s="37" t="str">
        <f t="shared" si="59"/>
        <v/>
      </c>
      <c r="AE161" s="37" t="str">
        <f t="shared" si="60"/>
        <v/>
      </c>
      <c r="AF161" s="35"/>
      <c r="AG161" s="37" t="str">
        <f t="shared" si="61"/>
        <v xml:space="preserve">| </v>
      </c>
      <c r="AH161" s="37" t="str">
        <f t="shared" si="62"/>
        <v xml:space="preserve">| Our Lady of Altötting </v>
      </c>
      <c r="AI161" s="37" t="str">
        <f>"| "&amp;IF(W161,GetTagPage(C161,VLOOKUP(C161,'(Ref) Countries'!A:C,3,)),C161)&amp; " "</f>
        <v xml:space="preserve">|  </v>
      </c>
      <c r="AJ161" s="37" t="str">
        <f t="shared" si="63"/>
        <v xml:space="preserve">|  </v>
      </c>
      <c r="AK161" s="37" t="str">
        <f t="shared" si="64"/>
        <v xml:space="preserve">| </v>
      </c>
      <c r="AL161" s="35"/>
      <c r="AM161" s="35"/>
      <c r="AN161" s="35"/>
      <c r="AO161" s="35"/>
      <c r="AP161" s="35"/>
      <c r="AQ161" s="48"/>
      <c r="AR161" s="35" t="str">
        <f t="shared" si="65"/>
        <v xml:space="preserve">
| Our Lady of Altötting |  |  | | |</v>
      </c>
      <c r="AS161" s="48"/>
    </row>
    <row r="162" spans="1:45" x14ac:dyDescent="0.25">
      <c r="A162" s="27"/>
      <c r="B162" s="26" t="s">
        <v>1048</v>
      </c>
      <c r="C162" s="32"/>
      <c r="D162" s="61"/>
      <c r="E162" s="32"/>
      <c r="F162" s="32"/>
      <c r="G162" s="33"/>
      <c r="H162" s="33"/>
      <c r="I162" s="33"/>
      <c r="J162" s="33"/>
      <c r="K162" s="32"/>
      <c r="L162" s="32" t="s">
        <v>336</v>
      </c>
      <c r="M162" s="32"/>
      <c r="N162" s="32" t="s">
        <v>336</v>
      </c>
      <c r="O162" s="32"/>
      <c r="P162" s="32" t="s">
        <v>336</v>
      </c>
      <c r="Q162" s="32"/>
      <c r="R162" s="32" t="s">
        <v>336</v>
      </c>
      <c r="S162" s="32"/>
      <c r="T162" s="32"/>
      <c r="U162" s="32"/>
      <c r="V162" s="33"/>
      <c r="W162" s="38" t="b">
        <f t="shared" si="57"/>
        <v>0</v>
      </c>
      <c r="X162" s="35"/>
      <c r="Y162" s="35"/>
      <c r="Z162" s="35"/>
      <c r="AA162" s="35"/>
      <c r="AB162" s="35"/>
      <c r="AC162" s="37" t="str">
        <f t="shared" si="58"/>
        <v/>
      </c>
      <c r="AD162" s="37" t="str">
        <f t="shared" si="59"/>
        <v/>
      </c>
      <c r="AE162" s="37" t="str">
        <f t="shared" si="60"/>
        <v/>
      </c>
      <c r="AF162" s="35"/>
      <c r="AG162" s="37" t="str">
        <f t="shared" si="61"/>
        <v xml:space="preserve">| </v>
      </c>
      <c r="AH162" s="37" t="str">
        <f t="shared" si="62"/>
        <v xml:space="preserve">| Our Lady of Noorieh Monastery </v>
      </c>
      <c r="AI162" s="37" t="str">
        <f>"| "&amp;IF(W162,GetTagPage(C162,VLOOKUP(C162,'(Ref) Countries'!A:C,3,)),C162)&amp; " "</f>
        <v xml:space="preserve">|  </v>
      </c>
      <c r="AJ162" s="37" t="str">
        <f t="shared" si="63"/>
        <v xml:space="preserve">|  </v>
      </c>
      <c r="AK162" s="37" t="str">
        <f t="shared" si="64"/>
        <v xml:space="preserve">| </v>
      </c>
      <c r="AL162" s="35"/>
      <c r="AM162" s="35"/>
      <c r="AN162" s="35"/>
      <c r="AO162" s="35"/>
      <c r="AP162" s="35"/>
      <c r="AQ162" s="48"/>
      <c r="AR162" s="35" t="str">
        <f t="shared" si="65"/>
        <v xml:space="preserve">
| Our Lady of Noorieh Monastery |  |  | | |</v>
      </c>
      <c r="AS162" s="48"/>
    </row>
    <row r="163" spans="1:45" ht="25.5" x14ac:dyDescent="0.25">
      <c r="A163" s="14" t="s">
        <v>1332</v>
      </c>
      <c r="C163" s="54" t="s">
        <v>670</v>
      </c>
      <c r="E163" s="15">
        <v>46.329000000000001</v>
      </c>
      <c r="F163" s="15">
        <v>14.2324</v>
      </c>
      <c r="G163" s="55" t="s">
        <v>1409</v>
      </c>
      <c r="H163" s="55" t="s">
        <v>1405</v>
      </c>
      <c r="I163" s="55"/>
      <c r="J163" s="55" t="s">
        <v>1410</v>
      </c>
      <c r="K163" s="15" t="s">
        <v>1408</v>
      </c>
      <c r="W163" s="38" t="b">
        <f t="shared" si="57"/>
        <v>0</v>
      </c>
      <c r="AC163" s="37" t="str">
        <f t="shared" si="58"/>
        <v/>
      </c>
      <c r="AD163" s="37" t="str">
        <f t="shared" si="59"/>
        <v/>
      </c>
      <c r="AE163" s="37" t="str">
        <f t="shared" si="60"/>
        <v/>
      </c>
      <c r="AG163" s="37" t="str">
        <f t="shared" si="61"/>
        <v xml:space="preserve">| </v>
      </c>
      <c r="AH163" s="37" t="str">
        <f t="shared" si="62"/>
        <v xml:space="preserve">|  </v>
      </c>
      <c r="AI163" s="37" t="str">
        <f>"| "&amp;IF(W163,GetTagPage(C163,VLOOKUP(C163,'(Ref) Countries'!A:C,3,)),C163)&amp; " "</f>
        <v xml:space="preserve">| Slovenia </v>
      </c>
      <c r="AJ163" s="37" t="str">
        <f t="shared" si="63"/>
        <v xml:space="preserve">|  </v>
      </c>
      <c r="AK163" s="37" t="str">
        <f t="shared" si="64"/>
        <v xml:space="preserve">| </v>
      </c>
      <c r="AR163" s="35" t="str">
        <f t="shared" si="65"/>
        <v xml:space="preserve">
|  | Slovenia |  | | |</v>
      </c>
    </row>
    <row r="164" spans="1:45" x14ac:dyDescent="0.25">
      <c r="C164" s="71" t="s">
        <v>11</v>
      </c>
      <c r="G164" s="56" t="s">
        <v>1413</v>
      </c>
      <c r="J164" s="16" t="s">
        <v>1412</v>
      </c>
      <c r="S164" s="71" t="s">
        <v>1479</v>
      </c>
      <c r="W164" s="38" t="b">
        <f t="shared" si="57"/>
        <v>0</v>
      </c>
      <c r="AC164" s="37" t="str">
        <f t="shared" si="58"/>
        <v>[](/tags/rome)</v>
      </c>
      <c r="AD164" s="37" t="str">
        <f t="shared" si="59"/>
        <v/>
      </c>
      <c r="AE164" s="37" t="str">
        <f t="shared" si="60"/>
        <v/>
      </c>
      <c r="AG164" s="37" t="str">
        <f t="shared" si="61"/>
        <v xml:space="preserve">| [](/tags/rome) </v>
      </c>
      <c r="AH164" s="37" t="str">
        <f t="shared" si="62"/>
        <v xml:space="preserve">|  </v>
      </c>
      <c r="AI164" s="37" t="str">
        <f>"| "&amp;IF(W164,GetTagPage(C164,VLOOKUP(C164,'(Ref) Countries'!A:C,3,)),C164)&amp; " "</f>
        <v xml:space="preserve">| Italy </v>
      </c>
      <c r="AJ164" s="37" t="str">
        <f t="shared" si="63"/>
        <v xml:space="preserve">|  </v>
      </c>
      <c r="AK164" s="37" t="str">
        <f t="shared" si="64"/>
        <v xml:space="preserve">| </v>
      </c>
      <c r="AR164" s="35" t="str">
        <f t="shared" si="65"/>
        <v xml:space="preserve">
|  | Italy |  | | [](/tags/rome) |</v>
      </c>
    </row>
    <row r="165" spans="1:45" x14ac:dyDescent="0.25">
      <c r="A165" s="14" t="s">
        <v>1332</v>
      </c>
      <c r="B165" s="25" t="s">
        <v>1427</v>
      </c>
      <c r="G165" s="16" t="s">
        <v>1427</v>
      </c>
      <c r="W165" s="38" t="b">
        <f t="shared" si="57"/>
        <v>0</v>
      </c>
      <c r="AC165" s="37" t="str">
        <f t="shared" si="58"/>
        <v/>
      </c>
      <c r="AD165" s="37" t="str">
        <f t="shared" si="59"/>
        <v/>
      </c>
      <c r="AE165" s="37" t="str">
        <f t="shared" si="60"/>
        <v/>
      </c>
      <c r="AG165" s="37" t="str">
        <f t="shared" si="61"/>
        <v xml:space="preserve">| </v>
      </c>
      <c r="AH165" s="37" t="str">
        <f t="shared" si="62"/>
        <v xml:space="preserve">| Our Lady of Grace and St. Maria Goretti </v>
      </c>
      <c r="AI165" s="37" t="str">
        <f>"| "&amp;IF(W165,GetTagPage(C165,VLOOKUP(C165,'(Ref) Countries'!A:C,3,)),C165)&amp; " "</f>
        <v xml:space="preserve">|  </v>
      </c>
      <c r="AJ165" s="37" t="str">
        <f t="shared" si="63"/>
        <v xml:space="preserve">|  </v>
      </c>
      <c r="AK165" s="37" t="str">
        <f t="shared" si="64"/>
        <v xml:space="preserve">| </v>
      </c>
      <c r="AR165" s="35" t="str">
        <f t="shared" si="65"/>
        <v xml:space="preserve">
| Our Lady of Grace and St. Maria Goretti |  |  | | |</v>
      </c>
    </row>
    <row r="166" spans="1:45" x14ac:dyDescent="0.25">
      <c r="A166" s="14" t="s">
        <v>1332</v>
      </c>
      <c r="B166" s="25" t="s">
        <v>1747</v>
      </c>
      <c r="L166" s="74" t="s">
        <v>1749</v>
      </c>
      <c r="W166" s="24" t="b">
        <f t="shared" si="57"/>
        <v>0</v>
      </c>
      <c r="AC166" s="22" t="str">
        <f t="shared" si="58"/>
        <v/>
      </c>
      <c r="AD166" s="22" t="str">
        <f t="shared" si="59"/>
        <v/>
      </c>
      <c r="AE166" s="22" t="str">
        <f t="shared" si="60"/>
        <v/>
      </c>
      <c r="AG166" s="22" t="str">
        <f t="shared" si="61"/>
        <v xml:space="preserve">| </v>
      </c>
      <c r="AH166" s="22" t="str">
        <f t="shared" si="62"/>
        <v xml:space="preserve">| Our Lady of the Good Event </v>
      </c>
      <c r="AI166" s="22" t="str">
        <f>"| "&amp;IF(W166,GetTagPage(C166,VLOOKUP(C166,'(Ref) Countries'!A:C,3,)),C166)&amp; " "</f>
        <v xml:space="preserve">|  </v>
      </c>
      <c r="AJ166" s="22" t="str">
        <f t="shared" si="63"/>
        <v xml:space="preserve">|  </v>
      </c>
      <c r="AK166" s="22" t="str">
        <f t="shared" si="64"/>
        <v xml:space="preserve">| </v>
      </c>
      <c r="AR166" s="22" t="str">
        <f t="shared" si="65"/>
        <v xml:space="preserve">
| Our Lady of the Good Event |  |  | | |</v>
      </c>
    </row>
  </sheetData>
  <autoFilter ref="A1:AU166" xr:uid="{A598B8B3-DE60-41C5-96BA-7CC5FA9AD3BE}"/>
  <conditionalFormatting sqref="A1:AS1048576">
    <cfRule type="expression" dxfId="3" priority="8">
      <formula>IF($A1="Blocked",TRUE,FALSE)</formula>
    </cfRule>
    <cfRule type="expression" dxfId="2" priority="9">
      <formula>IF($A1="In Progress",TRUE,FALSE)</formula>
    </cfRule>
    <cfRule type="expression" dxfId="1" priority="30">
      <formula>IF($A1="Done",TRUE,FALSE)</formula>
    </cfRule>
  </conditionalFormatting>
  <conditionalFormatting sqref="S1:U1048576">
    <cfRule type="expression" dxfId="0" priority="7">
      <formula>IF(ISNA(Z1),TRUE,FALSE)</formula>
    </cfRule>
  </conditionalFormatting>
  <hyperlinks>
    <hyperlink ref="B2" r:id="rId1" display="http://www.therealpresence.org/eucharst/misc/BVM/09_ZARAGOZA_60x96.pdf" xr:uid="{AB7B61B7-42AC-4A08-9D71-067C190F4F4A}"/>
    <hyperlink ref="B3" r:id="rId2" display="http://www.therealpresence.org/eucharst/misc/BVM/68_LE_PUY_60x96.pdf" xr:uid="{87B20D60-7DD8-46EE-A9D8-92E7F9F9E7AA}"/>
    <hyperlink ref="B5" r:id="rId3" display="http://www.therealpresence.org/eucharst/misc/BVM/117_ROMA_60x96.pdf" xr:uid="{8ACD79FB-DF35-442C-AC45-3D9CE81FC752}"/>
    <hyperlink ref="B6" r:id="rId4" display="http://www.therealpresence.org/eucharst/misc/BVM/90_TINDARI_60x96.pdf" xr:uid="{7AE8DF62-210E-41AB-AD9D-3FD33B253E0F}"/>
    <hyperlink ref="B7" r:id="rId5" display="http://www.therealpresence.org/eucharst/misc/BVM/121_MONTSERRAT_60x96.pdf" xr:uid="{658E6E9B-A674-43A9-856E-0FD22B9E7C1C}"/>
    <hyperlink ref="B8" r:id="rId6" display="http://www.therealpresence.org/eucharst/misc/BVM/153_WALSINGHAM_60x96.pdf" xr:uid="{1140AD76-FBD3-4C0D-BB8B-6EF522B70058}"/>
    <hyperlink ref="B9" r:id="rId7" display="http://www.therealpresence.org/eucharst/misc/BVM/80_MONTEFORTINO_60x96.pdf" xr:uid="{36A2CD01-016A-49DA-B178-47912F7C1C64}"/>
    <hyperlink ref="B10" r:id="rId8" display="http://www.therealpresence.org/eucharst/misc/BVM/86_FOGGIA_60x96.pdf" xr:uid="{48179079-2376-47F5-8744-DD73EE09F2D5}"/>
    <hyperlink ref="B11" r:id="rId9" display="http://www.therealpresence.org/eucharst/misc/BVM/37_ARRAS_60x96.pdf" xr:uid="{1E61FC3E-3B23-43A3-942D-53934E3112B3}"/>
    <hyperlink ref="B12" r:id="rId10" display="http://www.therealpresence.org/eucharst/misc/BVM/123_NAZARE_96x96.pdf" xr:uid="{E15897B5-901D-47B8-AD5E-F2B13A66EDA7}"/>
    <hyperlink ref="B13" r:id="rId11" display="http://www.therealpresence.org/eucharst/misc/BVM/138_SWIETA_LIPKA_60x96.pdf" xr:uid="{77EED22E-7936-444F-86D7-FA2A7EBCC11B}"/>
    <hyperlink ref="B14" r:id="rId12" display="http://www.therealpresence.org/eucharst/misc/BVM/38_ASSISI_60x96.pdf" xr:uid="{5726E936-FC46-4A5C-8C28-68CC84714782}"/>
    <hyperlink ref="B15" r:id="rId13" display="http://www.therealpresence.org/eucharst/misc/BVM/136_ARCOS_60x96.pdf" xr:uid="{0E2BE527-EB5C-4435-9D95-B2DB27EF60F5}"/>
    <hyperlink ref="B16" r:id="rId14" display="http://www.therealpresence.org/eucharst/misc/BVM/35_CORTES_60x96.pdf" xr:uid="{42A568B9-C0D2-4696-A02E-B496E9DE17D0}"/>
    <hyperlink ref="B17" r:id="rId15" display="http://www.therealpresence.org/eucharst/misc/BVM/18_FIRENZE_60x96.pdf" xr:uid="{2DDBDFF6-77B2-4F97-9CD3-3648ED364359}"/>
    <hyperlink ref="B18" r:id="rId16" display="http://www.therealpresence.org/eucharst/misc/BVM/05_AYLESFORD_60x96.pdf" xr:uid="{13B71A39-C730-4715-BA19-BA311AF077F1}"/>
    <hyperlink ref="B19" r:id="rId17" display="http://www.therealpresence.org/eucharst/misc/BVM/133_ROMA_POZZO_60x96.pdf" xr:uid="{156758DA-2CDB-497B-81EA-E97CF7B3C093}"/>
    <hyperlink ref="B20" r:id="rId18" display="http://www.therealpresence.org/eucharst/misc/BVM/148_LORETO_140x96.pdf" xr:uid="{FA202AAD-0270-4673-906F-29BFCEFDE41E}"/>
    <hyperlink ref="B21" r:id="rId19" display="http://www.therealpresence.org/eucharst/misc/BVM/44_BRA_60x96.pdf" xr:uid="{EB93A5A8-7B4F-4ACE-8AF8-3700A0B7F0F0}"/>
    <hyperlink ref="B22" r:id="rId20" display="http://www.therealpresence.org/eucharst/misc/BVM/74_ROVERANO_60x96.pdf" xr:uid="{E1F811F0-46F8-48B6-B383-BFEC77E0E209}"/>
    <hyperlink ref="B23" r:id="rId21" display="http://www.therealpresence.org/eucharst/misc/BVM/13_VALVERDE_60x96.pdf" xr:uid="{D1B0BFFC-E9C1-4EA7-92B1-E2A6F63CE20E}"/>
    <hyperlink ref="B25" r:id="rId22" display="http://www.therealpresence.org/eucharst/misc/BVM/43_CASTEL_GODEGO_60x96.pdf" xr:uid="{DD5E87B0-EADA-44FE-A963-E111A0241358}"/>
    <hyperlink ref="B26" r:id="rId23" display="http://www.therealpresence.org/eucharst/misc/BVM/100_CORDOBA_60x96.pdf" xr:uid="{0A45FB25-0F12-4D96-A86E-93B9BE1616E8}"/>
    <hyperlink ref="B27" r:id="rId24" display="http://www.therealpresence.org/eucharst/misc/BVM/58_MONTE_BERICO_60x96.pdf" xr:uid="{C7B0CA35-23A2-4D18-A448-456F2716259C}"/>
    <hyperlink ref="B28" r:id="rId25" display="http://www.therealpresence.org/eucharst/misc/BVM/15_CARAVAGGIO_60x96.pdf" xr:uid="{2FD14D81-EEF7-45A1-9EA8-7F38714203B2}"/>
    <hyperlink ref="B29" r:id="rId26" display="http://www.therealpresence.org/eucharst/misc/BVM/50_DESENZANO_DI_ALBINO_60x96.pd.pdf" xr:uid="{8DCE04EE-B3ED-4A82-945F-06B600F8F507}"/>
    <hyperlink ref="B30" r:id="rId27" display="http://www.therealpresence.org/eucharst/misc/BVM/105_FUERTEVENTURA_60x96.pdf" xr:uid="{51DD2E9F-A9A5-4709-B162-AFBB59BF146D}"/>
    <hyperlink ref="B31" r:id="rId28" display="http://www.therealpresence.org/eucharst/misc/BVM/115_S_ANASTASIA_96x96.pdf" xr:uid="{C48F931D-3F37-434F-8944-6820E24EB787}"/>
    <hyperlink ref="B32" r:id="rId29" display="http://www.therealpresence.org/eucharst/misc/BVM/45_GHISALBA_60x96.pdf" xr:uid="{157E0100-A401-4662-A4A9-79002FC171BC}"/>
    <hyperlink ref="B33" r:id="rId30" display="http://www.therealpresence.org/eucharst/misc/BVM/72_GARLASCO_60x96.pdf" xr:uid="{87B3628E-2EAC-438B-9A4A-5663B3F530DC}"/>
    <hyperlink ref="B34" r:id="rId31" display="http://www.therealpresence.org/eucharst/misc/BVM/71_GENAZZANO_60x96.pdf" xr:uid="{07F0F5EC-4DC7-40B5-BCE0-4A78A4CC07B1}"/>
    <hyperlink ref="B35" r:id="rId32" display="http://www.therealpresence.org/eucharst/misc/BVM/75_BADIA_DI_CAVA_60x96.pdf" xr:uid="{D18FCF9D-7AFF-4CBB-9317-CE8CE7D71798}"/>
    <hyperlink ref="B36" r:id="rId33" display="http://www.therealpresence.org/eucharst/misc/BVM/42_BOCCADIRIO_60x96.pdf" xr:uid="{AD97BE69-C666-4F94-90EB-4EBEB216B37B}"/>
    <hyperlink ref="B37" r:id="rId34" display="http://www.therealpresence.org/eucharst/misc/BVM/106_TEROR_60x96.pdf" xr:uid="{2F89AE55-31FC-4B7C-8610-26D7B1F5D284}"/>
    <hyperlink ref="B38" r:id="rId35" display="http://www.therealpresence.org/eucharst/misc/BVM/49_IMOLA_60x96.pdf" xr:uid="{1B73B395-7BD4-4BFD-BCD1-E59A6204D253}"/>
    <hyperlink ref="B39" r:id="rId36" display="http://www.therealpresence.org/eucharst/misc/BVM/67_AGRES_60x96.pdf" xr:uid="{6863FB2D-822D-4494-8A6E-2DE8EB2FB6DB}"/>
    <hyperlink ref="B40" r:id="rId37" display="http://www.therealpresence.org/eucharst/misc/BVM/55_MADONNA_DEL_SASSO_60x96.pdf" xr:uid="{F4DE8BF9-7563-4FBF-9DBA-0A19527F73B4}"/>
    <hyperlink ref="B41" r:id="rId38" display="http://www.therealpresence.org/eucharst/misc/BVM/64_GENOVA_60x96.pdf" xr:uid="{85836A41-D29E-4C50-B688-A501C7D24025}"/>
    <hyperlink ref="B42" r:id="rId39" display="http://www.therealpresence.org/eucharst/misc/BVM/24_TROIS_EPIS_60x96.pdf" xr:uid="{33CFC5C9-F857-4635-B1B8-DAD3A9BBB42B}"/>
    <hyperlink ref="B43" r:id="rId40" display="http://www.therealpresence.org/eucharst/misc/BVM/51_GALLIVAGGIO_60x96.pdf" xr:uid="{8D37C3E2-0C3E-4C44-AB01-0C79B4F29ECF}"/>
    <hyperlink ref="B44" r:id="rId41" display="http://www.therealpresence.org/eucharst/misc/BVM/87_RE_60x96.pdf" xr:uid="{F770EBFE-550F-47A7-81F9-07ADB2609C57}"/>
    <hyperlink ref="B45" r:id="rId42" display="http://www.therealpresence.org/eucharst/misc/BVM/47_BETTOLA_60x96.pdf" xr:uid="{81B329D8-37EC-40E1-9B48-9950C2EA7171}"/>
    <hyperlink ref="B46" r:id="rId43" display="http://www.therealpresence.org/eucharst/misc/BVM/65_MOLARE_60x96.pdf" xr:uid="{0F617741-444E-4CA6-8D0E-29AE663EBB43}"/>
    <hyperlink ref="B47" r:id="rId44" display="http://www.therealpresence.org/eucharst/misc/BVM/32_VAILANKANNI_60x96.pdf" xr:uid="{94399EA1-EFE3-4172-A440-1F570330CB60}"/>
    <hyperlink ref="B48" r:id="rId45" display="http://www.therealpresence.org/eucharst/misc/BVM/98_ANDACOLLO_CILE_60x96.pdf" xr:uid="{60DB5ACB-64B7-47DE-A160-8CC02E93F301}"/>
    <hyperlink ref="B49" r:id="rId46" display="http://www.therealpresence.org/eucharst/misc/BVM/111_LUGGAU_60x96.pdf" xr:uid="{92BE830A-EA3F-49CC-94D3-4325C270BD4F}"/>
    <hyperlink ref="B50" r:id="rId47" display="http://www.therealpresence.org/eucharst/misc/BVM/79_TIRANO_96x96.pdf" xr:uid="{B7685827-D50E-42E9-A817-13ABF385F280}"/>
    <hyperlink ref="B51" r:id="rId48" display="http://www.therealpresence.org/eucharst/misc/BVM/122_MOTTA_DI_LIV_96x96.pdf" xr:uid="{6180EFD9-C993-4C32-9F30-F3E8FF5F7ED4}"/>
    <hyperlink ref="B52" r:id="rId49" display="http://www.therealpresence.org/eucharst/misc/BVM/66_PESCHIERA_S-GARDA_60x96.pdf" xr:uid="{61000713-E5CF-4D85-83B0-1C1ACDB21E28}"/>
    <hyperlink ref="B53" r:id="rId50" display="http://www.therealpresence.org/eucharst/misc/BVM/41_BERGAMO_60x96.pdf" xr:uid="{42BD3F37-12F2-4217-9717-512CA3DDF697}"/>
    <hyperlink ref="B54" r:id="rId51" display="http://www.therealpresence.org/eucharst/misc/BVM/134_RZESZOW_96x96.pdf" xr:uid="{5C7CC109-5BCF-4547-9F64-E0CCFE3861C6}"/>
    <hyperlink ref="B55" r:id="rId52" display="http://www.therealpresence.org/eucharst/misc/BVM/84_GARAISON_60x96.pdf" xr:uid="{CFA36045-F0E1-4EFF-83EF-78FC2166F51B}"/>
    <hyperlink ref="B56" r:id="rId53" display="http://www.therealpresence.org/eucharst/misc/BVM/34_ADRO_60x96.pdf" xr:uid="{3E6ED1F2-8D29-4D07-A363-F70125EDC398}"/>
    <hyperlink ref="B57" r:id="rId54" display="http://www.therealpresence.org/eucharst/misc/BVM/83_COTIGNAC_60x96.pdf" xr:uid="{9935782A-99CF-4468-B553-384E7871E642}"/>
    <hyperlink ref="B58" r:id="rId55" display="http://www.therealpresence.org/eucharst/misc/BVM/114_CORI_60x96.pdf" xr:uid="{B1CA8A89-FD41-43D4-9FBA-9B10C767A55E}"/>
    <hyperlink ref="B59" r:id="rId56" display="http://www.therealpresence.org/eucharst/misc/BVM/48_CUSSANIO_60x96.pdf" xr:uid="{AA54506B-CD7E-4830-9490-F08C6005F1BA}"/>
    <hyperlink ref="B60" r:id="rId57" display="http://www.therealpresence.org/eucharst/misc/BVM/53_CRESCENTINO_60x96.pdf" xr:uid="{153A73E3-6180-43DE-82C2-255ACEB3AFD2}"/>
    <hyperlink ref="B61" r:id="rId58" display="http://www.therealpresence.org/eucharst/misc/BVM/81_ORNAVASSO_60x96.pdf" xr:uid="{E1DAA1D0-2B11-4D8D-9CD3-5356C2F9D287}"/>
    <hyperlink ref="B62" r:id="rId59" display="http://www.therealpresence.org/eucharst/misc/BVM/70_GUADALUPE_96x96.pdf" xr:uid="{92EDC812-61B9-4808-AE5D-14D1CD0767D6}"/>
    <hyperlink ref="B63" r:id="rId60" display="http://www.therealpresence.org/eucharst/misc/BVM/29_SAVONA_60x96.pdf" xr:uid="{FB635B0C-D72D-4B60-A8E4-D3DFCCAD8260}"/>
    <hyperlink ref="B64" r:id="rId61" display="http://www.therealpresence.org/eucharst/misc/BVM/137_SVETA_GORA_60x96.pdf" xr:uid="{2F396AC2-438E-4E35-929A-6EF8E321BD2B}"/>
    <hyperlink ref="B65" r:id="rId62" display="http://www.therealpresence.org/eucharst/misc/BVM/127_OCOTLAN_96x96.pdf" xr:uid="{325EE6B5-4467-4CF0-83EA-8FA3AD7CC536}"/>
    <hyperlink ref="B66" r:id="rId63" display="http://www.therealpresence.org/eucharst/misc/BVM/116_VACCIAGO_60x96.pdf" xr:uid="{44FD30A3-C33D-47B3-9C34-AD34EBD00D27}"/>
    <hyperlink ref="B67" r:id="rId64" display="http://www.therealpresence.org/eucharst/misc/BVM/60_PIETRALBA_96x96.pdf" xr:uid="{5503B245-E9C6-4988-9829-CA03AFEBA3C9}"/>
    <hyperlink ref="B68" r:id="rId65" display="http://www.therealpresence.org/eucharst/misc/BVM/10_CORBETTA_60x96.pdf" xr:uid="{2FABD729-44EA-4566-B1C8-3062EA71A601}"/>
    <hyperlink ref="B69" r:id="rId66" display="http://www.therealpresence.org/eucharst/misc/BVM/02_ARCOLA_60x96.pdf" xr:uid="{50C58042-92C7-41A9-B4C1-452A8ACABDF0}"/>
    <hyperlink ref="B70" r:id="rId67" display="http://www.therealpresence.org/eucharst/misc/BVM/56_GIULIANOVA_96x96.pdf" xr:uid="{11F90242-10B7-4B74-93FB-111FD422B7FF}"/>
    <hyperlink ref="B71" r:id="rId68" display="http://www.therealpresence.org/eucharst/misc/BVM/62_GEROSA_60x96.pdf" xr:uid="{7F1CA3BF-FF1A-4C18-89E2-B0DCE4FF6F8F}"/>
    <hyperlink ref="B72" r:id="rId69" display="http://www.therealpresence.org/eucharst/misc/BVM/141_MONCRIVELLO_60x96.pdf" xr:uid="{423C4352-5EFA-4FFA-853E-2F3B6D864D68}"/>
    <hyperlink ref="B73" r:id="rId70" display="http://www.therealpresence.org/eucharst/misc/BVM/140_GOZO_60x96.pdf" xr:uid="{17065D3D-285F-4530-AFF3-C2DA298FBF92}"/>
    <hyperlink ref="B74" r:id="rId71" display="http://www.therealpresence.org/eucharst/misc/BVM/52_CASALBORDINO_60x96.pdf" xr:uid="{EA754CC6-1573-4520-8B78-4272013C5F1B}"/>
    <hyperlink ref="B76" r:id="rId72" display="http://www.therealpresence.org/eucharst/misc/BVM/129_LUMARZO_60x96.pdf" xr:uid="{4D2E8507-75F5-41AC-95C2-9CA5E6CF5D96}"/>
    <hyperlink ref="B77" r:id="rId73" display="http://www.therealpresence.org/eucharst/misc/BVM/97_CHIQUINQUIRA_96x96.pdf" xr:uid="{6BDAC134-A626-4E8C-A47D-C8A4CA25D576}"/>
    <hyperlink ref="B78" r:id="rId74" display="http://www.therealpresence.org/eucharst/misc/BVM/131_QUINCHE_60x96.pdf" xr:uid="{B0CB984F-EA72-4B4D-91CB-64C411D5122B}"/>
    <hyperlink ref="B79" r:id="rId75" display="http://www.therealpresence.org/eucharst/misc/BVM/132_QUITO_96x96.pdf" xr:uid="{EA433108-048C-44E1-BF9E-FE443A50501F}"/>
    <hyperlink ref="B80" r:id="rId76" display="http://www.therealpresence.org/eucharst/misc/BVM/120_RAPALLO_60x96.pdf" xr:uid="{2835A9F5-BBFF-4B51-8641-41722DBF8266}"/>
    <hyperlink ref="B83" r:id="rId77" display="http://www.therealpresence.org/eucharst/misc/BVM/61_BETHARRAM_60x96.pdf" xr:uid="{ED0FF0A2-B5FB-416F-935C-8F1E3A56E919}"/>
    <hyperlink ref="B81" r:id="rId78" display="http://www.therealpresence.org/eucharst/misc/BVM/112_LUJAN_96x96.pdf" xr:uid="{D7924296-3FD6-4F70-AD87-D42F75DF9F56}"/>
    <hyperlink ref="B82" r:id="rId79" display="http://www.therealpresence.org/eucharst/misc/BVM/92_CAACUPE_96x96.pdf" xr:uid="{2C6F0ED3-0F25-4A42-9AC3-8586122F624F}"/>
    <hyperlink ref="B84" r:id="rId80" display="http://www.therealpresence.org/eucharst/misc/BVM/94_CAYSASAY_60x96.pdf" xr:uid="{D09BEC33-BB11-443B-9544-D6945E056CF9}"/>
    <hyperlink ref="B85" r:id="rId81" display="http://www.therealpresence.org/eucharst/misc/BVM/104_DOROSZLO_60x96.pdf" xr:uid="{8DF47004-2D30-43F7-BB03-B887FB9D1509}"/>
    <hyperlink ref="B86" r:id="rId82" display="http://www.therealpresence.org/eucharst/misc/BVM/36_ARDESIO_60x96.pdf" xr:uid="{95AA4A67-B484-4AB0-9B24-FB3CFED15185}"/>
    <hyperlink ref="B87" r:id="rId83" display="http://www.therealpresence.org/eucharst/misc/BVM/57_SILUVA_96x96.pdf" xr:uid="{FB94FF86-48D4-4F9E-ABAE-FAAB487940C5}"/>
    <hyperlink ref="B88" r:id="rId84" display="http://www.therealpresence.org/eucharst/misc/BVM/88_MANAOAG_60x96.pdf" xr:uid="{B0E5C4F4-E009-401E-A8B8-EE388CCEA9A3}"/>
    <hyperlink ref="B89" r:id="rId85" display="http://www.therealpresence.org/eucharst/misc/BVM/102_CUBA_96x96.pdf" xr:uid="{DC185BFB-5513-461D-9AF8-61A5FC9272B4}"/>
    <hyperlink ref="B90" r:id="rId86" display="http://www.therealpresence.org/eucharst/misc/BVM/22_MONFERRATO_60x96.pdf" xr:uid="{77140C4C-B10E-4EED-BD16-EEB483169235}"/>
    <hyperlink ref="B91" r:id="rId87" display="http://www.therealpresence.org/eucharst/misc/BVM/118_MARBACH_60x96.pdf" xr:uid="{49AEECFE-7026-4ADE-837D-2C045323EEE8}"/>
    <hyperlink ref="B92" r:id="rId88" display="http://www.therealpresence.org/eucharst/misc/BVM/101_CARTAGO_60x96.pdf" xr:uid="{B32B2671-B1BC-4839-BEDF-829003AB9195}"/>
    <hyperlink ref="B93" r:id="rId89" display="http://www.therealpresence.org/eucharst/misc/BVM/107_KEVELAER_96x96.pdf" xr:uid="{5E962AFC-DFF1-4526-8697-E5901E0EF29F}"/>
    <hyperlink ref="B94" r:id="rId90" display="http://www.therealpresence.org/eucharst/misc/BVM/125_PLANTEES_60x96.pdf" xr:uid="{AC2E78FF-05DF-4C33-9B3B-FBE4366FE71E}"/>
    <hyperlink ref="B95" r:id="rId91" display="http://www.therealpresence.org/eucharst/misc/BVM/14_GUANARE_60x96.pdf" xr:uid="{99D173D7-9767-4AE2-A309-0B187552C3C3}"/>
    <hyperlink ref="B96" r:id="rId92" display="http://www.therealpresence.org/eucharst/misc/BVM/108_LA_PRENESSAYE_60x96.pdf" xr:uid="{AF3119AD-13D5-4162-930A-5FBA9FD56734}"/>
    <hyperlink ref="B97" r:id="rId93" display="http://www.therealpresence.org/eucharst/misc/BVM/08_PIEVE_DI_TAGLIAM_60x96.pdf" xr:uid="{455D0193-CDE9-4EE1-BF45-711FAECC323E}"/>
    <hyperlink ref="B98" r:id="rId94" display="http://www.therealpresence.org/eucharst/misc/BVM/69_LAUS_140x96.pdf" xr:uid="{3F9AE51B-F2B8-4612-9DD2-F1ADE1B54CC1}"/>
    <hyperlink ref="B99" r:id="rId95" display="http://www.therealpresence.org/eucharst/misc/BVM/54_SAN_BARTOLOMEO_60x96.pdf" xr:uid="{93CA0389-9EEA-4B54-81E0-06DD805D7DC2}"/>
    <hyperlink ref="B100" r:id="rId96" display="http://www.therealpresence.org/eucharst/misc/BVM/145_GYOR_96x96.pdf" xr:uid="{CFAABB82-E9FE-438C-8EFB-6E6CCBC86B12}"/>
    <hyperlink ref="B101" r:id="rId97" display="http://www.therealpresence.org/eucharst/misc/BVM/73_COTOCA_60x96.pdf" xr:uid="{AB18FD7E-93BC-44E5-B692-BD548A58EB64}"/>
    <hyperlink ref="B102" r:id="rId98" display="http://www.therealpresence.org/eucharst/misc/BVM/142_QUILLACOLLO_60x96.pdf" xr:uid="{5B95BB6E-AB2F-4F91-84AB-2CEAF7A2AF2E}"/>
    <hyperlink ref="B103" r:id="rId99" display="http://www.therealpresence.org/eucharst/misc/BVM/130_PELLESTRINA_96x96.pdf" xr:uid="{7C650E65-0C8F-4BBE-B7AC-E316951911B6}"/>
    <hyperlink ref="B104" r:id="rId100" display="http://www.therealpresence.org/eucharst/misc/BVM/77_VALE_DO_PARAIBA_60x96.pdf" xr:uid="{36F54A94-A819-4E3A-BF73-8BB5F67D261B}"/>
    <hyperlink ref="B105" r:id="rId101" display="http://www.therealpresence.org/eucharst/misc/BVM/59_MONTAGNAGA_96x96.pdf" xr:uid="{A57AC6E6-E3F3-450F-AC76-6C7ACFD807EA}"/>
    <hyperlink ref="B106" r:id="rId102" display="http://www.therealpresence.org/eucharst/misc/BVM/17_DIVINO_AMORE_60x96.pdf" xr:uid="{E9488973-4DDA-43BC-8753-B947895F234D}"/>
    <hyperlink ref="B107" r:id="rId103" display="http://www.therealpresence.org/eucharst/misc/BVM/95_CHAGUAYA_60x96.pdf" xr:uid="{F1436C3E-E077-4D5D-8DCD-487F99872005}"/>
    <hyperlink ref="B108" r:id="rId104" display="http://www.therealpresence.org/eucharst/misc/BVM/109_LAJAS_96x96.pdf" xr:uid="{01B9C267-4B15-401C-94D7-0B61E376A776}"/>
    <hyperlink ref="B109" r:id="rId105" display="http://www.therealpresence.org/eucharst/misc/BVM/33_ABSAM_60x96.pdf" xr:uid="{7A28C84E-1A47-4E6C-A875-FE5E481E37C2}"/>
    <hyperlink ref="B110" r:id="rId106" display="http://www.therealpresence.org/eucharst/misc/BVM/21_LAVANG_60x96.pdf" xr:uid="{C4311687-4753-4EE4-A0DF-ACD2CA149695}"/>
    <hyperlink ref="B111" r:id="rId107" display="http://www.therealpresence.org/eucharst/misc/BVM/126_ORNANS_60x96.pdf" xr:uid="{143C3561-04AA-4E6D-B492-1116C35BC8F6}"/>
    <hyperlink ref="B112" r:id="rId108" display="http://www.therealpresence.org/eucharst/misc/BVM/110_LICHEN_96x96.pdf" xr:uid="{AC9A9D9D-2063-42CA-B3C6-585EB0CBBCF4}"/>
    <hyperlink ref="B113" r:id="rId109" display="http://www.therealpresence.org/eucharst/misc/BVM/06_PARIGI_60x96.pdf" xr:uid="{DC737C70-17A8-4A71-9C5B-3FEA3822B43F}"/>
    <hyperlink ref="B114" r:id="rId110" display="http://www.therealpresence.org/eucharst/misc/BVM/23_ROMA_60x96.pdf" xr:uid="{F7796F7A-76FC-45FB-9EE2-5F53BE8F7BB3}"/>
    <hyperlink ref="B115" r:id="rId111" display="http://www.therealpresence.org/eucharst/misc/BVM/30_LA_SALETTE_96x96.pdf" xr:uid="{F694E494-0E1D-4CDC-BD0A-130977F3E594}"/>
    <hyperlink ref="B116" r:id="rId112" display="http://www.therealpresence.org/eucharst/misc/BVM/03_BORGO_CERRETO_60x96.pdf" xr:uid="{4926A5BA-39D3-4AAB-AE40-84962745F74F}"/>
    <hyperlink ref="B117" r:id="rId113" display="http://www.therealpresence.org/eucharst/misc/BVM/27_PORZUS_60x96.pdf" xr:uid="{AE448702-0AE6-4824-8292-FC690F65F292}"/>
    <hyperlink ref="B118" r:id="rId114" display="http://www.therealpresence.org/eucharst/misc/BVM/40_LOURDES_140x96.pdf" xr:uid="{CA53D479-72E8-4960-8F80-0996BB61C66D}"/>
    <hyperlink ref="B119" r:id="rId115" display="http://www.therealpresence.org/eucharst/misc/BVM/96_CHAMPION_140x96.pdf" xr:uid="{44028370-F8B6-43A4-A825-962E70ACD4F7}"/>
    <hyperlink ref="B120" r:id="rId116" display="http://www.therealpresence.org/eucharst/misc/BVM/12_MONTEFALCO_60x96.pdf" xr:uid="{B16C0D43-ED60-4623-A9F2-1E207A251936}"/>
    <hyperlink ref="B121" r:id="rId117" display="http://www.therealpresence.org/eucharst/misc/BVM/89_FILIPOV_96x96.pdf" xr:uid="{2B1F68DC-BBCB-4BFD-93AF-312771EED9E8}"/>
    <hyperlink ref="B122" r:id="rId118" display="http://www.therealpresence.org/eucharst/misc/BVM/26_PONTMAIN_60x96.pdf" xr:uid="{29E13BA3-F657-451E-ABBE-B3D47A98950B}"/>
    <hyperlink ref="B123" r:id="rId119" display="http://www.therealpresence.org/eucharst/misc/BVM/135_S_BAUZILLE_96x96.pdf" xr:uid="{094B2CDB-AAC6-426B-B694-52394C5C7CDE}"/>
    <hyperlink ref="B124" r:id="rId120" display="http://www.therealpresence.org/eucharst/misc/BVM/25_POMPEI_96x96.pdf" xr:uid="{7855DA74-4DC7-4DFC-A86D-C4634173906A}"/>
    <hyperlink ref="B125" r:id="rId121" display="http://www.therealpresence.org/eucharst/misc/BVM/07_PELLEVOISIN_60x96.pdf" xr:uid="{970FDEC7-2F83-444E-A4C4-531923F485F1}"/>
    <hyperlink ref="B126" r:id="rId122" display="http://www.therealpresence.org/eucharst/misc/BVM/85_GIETRZALD_96x96.pdf" xr:uid="{2EA8535E-19BB-44E9-A55E-45C029314D30}"/>
    <hyperlink ref="B127" r:id="rId123" display="http://www.therealpresence.org/eucharst/misc/BVM/63_KNOCK_60x96.pdf" xr:uid="{9DFDC529-9451-4320-AE44-7EE3DCA6516F}"/>
    <hyperlink ref="B128" r:id="rId124" display="http://www.therealpresence.org/eucharst/misc/BVM/82_CASTELPETROSO_60x96.pdf" xr:uid="{FBE95745-1B76-4C80-883C-A6020A15B608}"/>
    <hyperlink ref="B129" r:id="rId125" display="http://www.therealpresence.org/eucharst/misc/BVM/139_SZCZYRK_60x96.pdf" xr:uid="{121E7A4D-4303-4DAA-9897-1183BCA5910B}"/>
    <hyperlink ref="B130" r:id="rId126" display="http://www.therealpresence.org/eucharst/misc/BVM/91_BETANIA_96x96.pdf" xr:uid="{3BCB6EBD-DCB8-4074-9D4D-1173E3A9EABD}"/>
    <hyperlink ref="B131" r:id="rId127" display="http://www.therealpresence.org/eucharst/misc/BVM/103_DONG_LU_96x96.pdf" xr:uid="{D7F2F771-C91C-4D3D-A5FC-CA3544461DEE}"/>
    <hyperlink ref="B132" r:id="rId128" display="http://www.therealpresence.org/eucharst/misc/BVM/154_FATIMA_96x96_1.pdf" xr:uid="{CFA69F04-9B79-46A6-92FF-D928618A8B3A}"/>
    <hyperlink ref="B133" r:id="rId129" display="http://www.therealpresence.org/eucharst/misc/BVM/46_TORINO_60x96.pdf" xr:uid="{A174A645-F78D-41C4-93D9-E221F4743567}"/>
    <hyperlink ref="B134" r:id="rId130" display="http://www.therealpresence.org/eucharst/misc/BVM/04_CERNUSCO_60x96.pdf" xr:uid="{E75F4D6C-7F2D-42B7-AD95-AEA5CC77B8FA}"/>
    <hyperlink ref="B135" r:id="rId131" display="http://www.therealpresence.org/eucharst/misc/BVM/31_PONTEVEDRA_96x96.pdf" xr:uid="{6C5F5E1F-8B5D-4F82-A5EC-268028A3EED6}"/>
    <hyperlink ref="B136" r:id="rId132" display="http://www.therealpresence.org/eucharst/misc/BVM/93_CAMPINAS_140x96.pdf" xr:uid="{D6AB0E35-C295-429B-ACFF-748EF46301A1}"/>
    <hyperlink ref="B137" r:id="rId133" display="http://www.therealpresence.org/eucharst/misc/BVM/11_BEAURAING_60x96.pdf" xr:uid="{37CEF409-57CF-4D13-913D-F64B7E896A99}"/>
    <hyperlink ref="B138" r:id="rId134" display="http://www.therealpresence.org/eucharst/misc/BVM/39_BANNEAUX_96x96.pdf" xr:uid="{748AB8C2-22F4-4367-ADE3-D07A53A37B2A}"/>
    <hyperlink ref="B139" r:id="rId135" display="http://www.therealpresence.org/eucharst/misc/BVM/151_PESQUEIRA_140x96.pdf" xr:uid="{DF2684F1-F924-422C-8B92-EEFB862919A3}"/>
    <hyperlink ref="B140" r:id="rId136" display="http://www.therealpresence.org/eucharst/misc/BVM/146_HEEDE_140x96.pdf" xr:uid="{283ABDD9-4A18-41D3-9848-B942E3DA66C9}"/>
    <hyperlink ref="B141" r:id="rId137" display="http://www.therealpresence.org/eucharst/misc/BVM/119_MILANO_96x96.pdf" xr:uid="{0B286280-543C-4FE4-8976-937CDA0EA8A3}"/>
    <hyperlink ref="B142" r:id="rId138" display="http://www.therealpresence.org/eucharst/misc/BVM/128_KALLIKULAM_60x96.pdf" xr:uid="{A5D1A8B5-B2E4-4D8F-9791-86248B12A535}"/>
    <hyperlink ref="B143" r:id="rId139" display="http://www.therealpresence.org/eucharst/misc/BVM/149_MARIENFRIED_140x96.pdf" xr:uid="{A2098EFD-FA68-4C40-8A09-435034E8AE42}"/>
    <hyperlink ref="B144" r:id="rId140" display="http://www.therealpresence.org/eucharst/misc/BVM/152_SIEKIERKI_96x96.pdf" xr:uid="{6D525FF3-4BEF-4DF2-8105-41DD53AF646E}"/>
    <hyperlink ref="B145" r:id="rId141" display="http://www.therealpresence.org/eucharst/misc/BVM/99_CODOSERA_140x96.pdf" xr:uid="{D20B9B74-3D05-482F-89D3-7A01CF38BB0D}"/>
    <hyperlink ref="B146" r:id="rId142" display="http://www.therealpresence.org/eucharst/misc/BVM/19_ILE_BOUCHARD_96x96.pdf" xr:uid="{2D46B144-73F0-442E-8D39-1C183D12A98E}"/>
    <hyperlink ref="B147" r:id="rId143" display="http://www.therealpresence.org/eucharst/misc/BVM/147_HEROLDSBACH_140x96.pdf" xr:uid="{5D3A2EE4-7DFB-42DC-BB77-A5626BEFCF4C}"/>
    <hyperlink ref="B148" r:id="rId144" display="http://www.therealpresence.org/eucharst/misc/BVM/113_ROGOROTTO_60x96.pdf" xr:uid="{537D0338-2304-4311-9079-AD8E4BA5FCEA}"/>
    <hyperlink ref="B149" r:id="rId145" display="http://www.therealpresence.org/eucharst/misc/BVM/28_SIRACUSA_60x96.pdf" xr:uid="{BF63BB12-D370-451B-9471-DF48A49742CE}"/>
    <hyperlink ref="B150" r:id="rId146" display="http://www.therealpresence.org/eucharst/misc/BVM/124_NGOME_140x96.pdf" xr:uid="{B00269C0-FAF0-41D7-927E-08549508DA76}"/>
    <hyperlink ref="B151" r:id="rId147" display="http://www.therealpresence.org/eucharst/misc/BVM/150_FOSTORIA_140x96.pdf" xr:uid="{2CFD9A99-1D1B-4BC0-8A3E-BB77A5CC9464}"/>
    <hyperlink ref="B152" r:id="rId148" display="http://www.therealpresence.org/eucharst/misc/BVM/144_ZEITUN_96x96.pdf" xr:uid="{3B7128E4-F3CF-4862-85EB-BAEA95CA228D}"/>
    <hyperlink ref="B153" r:id="rId149" display="http://www.therealpresence.org/eucharst/misc/BVM/01_AKITA_60x96.pdf" xr:uid="{DA91CAF6-439F-4274-BD7B-E25EF5CD9528}"/>
    <hyperlink ref="B154" r:id="rId150" display="http://www.therealpresence.org/eucharst/misc/BVM/16_CUAPA_60x96.pdf" xr:uid="{102DCA40-09EC-4133-95ED-03297CCE4E37}"/>
    <hyperlink ref="B155" r:id="rId151" display="http://www.therealpresence.org/eucharst/misc/BVM/20_KIBEHO_96x96.pdf" xr:uid="{945D2248-A30F-4F03-A4D3-CC9AA30E356D}"/>
    <hyperlink ref="B156" r:id="rId152" display="http://www.therealpresence.org/eucharst/misc/BVM/143_NAMYANG_96x96.pdf" xr:uid="{68B3F2D2-FBAF-4933-B5BA-1876F5425328}"/>
    <hyperlink ref="B157" r:id="rId153" display="http://www.therealpresence.org/eucharst/misc/BVM/76_AOKPE_140x96.pdf" xr:uid="{7312975A-9717-402C-AD13-23C5A77984A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B19"/>
  <sheetViews>
    <sheetView workbookViewId="0">
      <selection activeCell="A20" sqref="A20"/>
    </sheetView>
  </sheetViews>
  <sheetFormatPr defaultRowHeight="12.75" x14ac:dyDescent="0.2"/>
  <cols>
    <col min="1" max="1" width="23.7109375" style="67" bestFit="1" customWidth="1"/>
    <col min="2" max="2" width="29" style="67" bestFit="1" customWidth="1"/>
    <col min="3" max="16384" width="9.140625" style="67"/>
  </cols>
  <sheetData>
    <row r="1" spans="1:2" s="23" customFormat="1" x14ac:dyDescent="0.2">
      <c r="A1" s="23" t="s">
        <v>1446</v>
      </c>
      <c r="B1" s="23" t="s">
        <v>1447</v>
      </c>
    </row>
    <row r="2" spans="1:2" x14ac:dyDescent="0.2">
      <c r="A2" s="67" t="s">
        <v>1044</v>
      </c>
      <c r="B2" s="67" t="s">
        <v>1448</v>
      </c>
    </row>
    <row r="3" spans="1:2" x14ac:dyDescent="0.2">
      <c r="A3" s="67" t="s">
        <v>1355</v>
      </c>
      <c r="B3" s="67" t="s">
        <v>1449</v>
      </c>
    </row>
    <row r="4" spans="1:2" x14ac:dyDescent="0.2">
      <c r="A4" s="67" t="s">
        <v>1420</v>
      </c>
      <c r="B4" s="67" t="s">
        <v>1450</v>
      </c>
    </row>
    <row r="5" spans="1:2" x14ac:dyDescent="0.2">
      <c r="A5" s="67" t="s">
        <v>1002</v>
      </c>
      <c r="B5" s="67" t="s">
        <v>1451</v>
      </c>
    </row>
    <row r="6" spans="1:2" x14ac:dyDescent="0.2">
      <c r="A6" s="67" t="s">
        <v>1352</v>
      </c>
      <c r="B6" s="67" t="s">
        <v>1452</v>
      </c>
    </row>
    <row r="7" spans="1:2" x14ac:dyDescent="0.2">
      <c r="A7" s="67" t="s">
        <v>1436</v>
      </c>
      <c r="B7" s="67" t="s">
        <v>1453</v>
      </c>
    </row>
    <row r="8" spans="1:2" x14ac:dyDescent="0.2">
      <c r="A8" s="67" t="s">
        <v>487</v>
      </c>
      <c r="B8" s="67" t="s">
        <v>1454</v>
      </c>
    </row>
    <row r="9" spans="1:2" x14ac:dyDescent="0.2">
      <c r="A9" s="67" t="s">
        <v>1443</v>
      </c>
      <c r="B9" s="67" t="s">
        <v>1456</v>
      </c>
    </row>
    <row r="10" spans="1:2" x14ac:dyDescent="0.2">
      <c r="A10" s="67" t="s">
        <v>488</v>
      </c>
      <c r="B10" s="68" t="s">
        <v>1457</v>
      </c>
    </row>
    <row r="11" spans="1:2" x14ac:dyDescent="0.2">
      <c r="A11" s="67" t="s">
        <v>489</v>
      </c>
      <c r="B11" s="67" t="s">
        <v>1455</v>
      </c>
    </row>
    <row r="12" spans="1:2" x14ac:dyDescent="0.2">
      <c r="A12" s="67" t="s">
        <v>490</v>
      </c>
      <c r="B12" s="67" t="s">
        <v>1458</v>
      </c>
    </row>
    <row r="13" spans="1:2" x14ac:dyDescent="0.2">
      <c r="A13" s="67" t="s">
        <v>491</v>
      </c>
      <c r="B13" s="67" t="s">
        <v>1459</v>
      </c>
    </row>
    <row r="14" spans="1:2" x14ac:dyDescent="0.2">
      <c r="A14" s="67" t="s">
        <v>1444</v>
      </c>
      <c r="B14" s="67" t="s">
        <v>1460</v>
      </c>
    </row>
    <row r="15" spans="1:2" x14ac:dyDescent="0.2">
      <c r="A15" s="67" t="s">
        <v>1329</v>
      </c>
      <c r="B15" s="68" t="s">
        <v>1462</v>
      </c>
    </row>
    <row r="16" spans="1:2" x14ac:dyDescent="0.2">
      <c r="A16" s="67" t="s">
        <v>1025</v>
      </c>
      <c r="B16" s="67" t="s">
        <v>1463</v>
      </c>
    </row>
    <row r="17" spans="1:2" x14ac:dyDescent="0.2">
      <c r="A17" s="67" t="s">
        <v>1445</v>
      </c>
      <c r="B17" s="67" t="s">
        <v>1461</v>
      </c>
    </row>
    <row r="18" spans="1:2" x14ac:dyDescent="0.2">
      <c r="A18" s="67" t="s">
        <v>1479</v>
      </c>
      <c r="B18" s="67" t="s">
        <v>1009</v>
      </c>
    </row>
    <row r="19" spans="1:2" x14ac:dyDescent="0.2">
      <c r="A19" s="67" t="s">
        <v>1729</v>
      </c>
      <c r="B19" s="67" t="s">
        <v>1730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0A638-9B01-45D2-9152-81DA70A117D3}">
  <sheetPr codeName="Sheet2"/>
  <dimension ref="A1"/>
  <sheetViews>
    <sheetView workbookViewId="0"/>
  </sheetViews>
  <sheetFormatPr defaultRowHeight="12.75" x14ac:dyDescent="0.2"/>
  <cols>
    <col min="1" max="16384" width="9.140625" style="67"/>
  </cols>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1414</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76.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250"/>
  <sheetViews>
    <sheetView topLeftCell="A200" workbookViewId="0">
      <selection sqref="A1:C250"/>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486</v>
      </c>
      <c r="B1" s="14" t="s">
        <v>710</v>
      </c>
      <c r="C1" s="14" t="s">
        <v>339</v>
      </c>
    </row>
    <row r="2" spans="1:3" x14ac:dyDescent="0.25">
      <c r="A2" s="15" t="s">
        <v>492</v>
      </c>
      <c r="B2" s="15" t="s">
        <v>745</v>
      </c>
      <c r="C2" s="15" t="s">
        <v>1480</v>
      </c>
    </row>
    <row r="3" spans="1:3" x14ac:dyDescent="0.25">
      <c r="A3" s="15" t="s">
        <v>493</v>
      </c>
      <c r="B3" s="15" t="s">
        <v>746</v>
      </c>
      <c r="C3" s="17" t="s">
        <v>1481</v>
      </c>
    </row>
    <row r="4" spans="1:3" x14ac:dyDescent="0.25">
      <c r="A4" s="15" t="s">
        <v>494</v>
      </c>
      <c r="B4" s="15" t="s">
        <v>747</v>
      </c>
      <c r="C4" s="15" t="s">
        <v>1482</v>
      </c>
    </row>
    <row r="5" spans="1:3" x14ac:dyDescent="0.25">
      <c r="A5" s="15" t="s">
        <v>495</v>
      </c>
      <c r="B5" s="15" t="s">
        <v>748</v>
      </c>
      <c r="C5" s="17" t="s">
        <v>1483</v>
      </c>
    </row>
    <row r="6" spans="1:3" x14ac:dyDescent="0.25">
      <c r="A6" s="15" t="s">
        <v>496</v>
      </c>
      <c r="B6" s="15" t="s">
        <v>749</v>
      </c>
      <c r="C6" s="15" t="s">
        <v>1484</v>
      </c>
    </row>
    <row r="7" spans="1:3" x14ac:dyDescent="0.25">
      <c r="A7" s="15" t="s">
        <v>497</v>
      </c>
      <c r="B7" s="15" t="s">
        <v>750</v>
      </c>
      <c r="C7" s="15" t="s">
        <v>1485</v>
      </c>
    </row>
    <row r="8" spans="1:3" x14ac:dyDescent="0.25">
      <c r="A8" s="15" t="s">
        <v>498</v>
      </c>
      <c r="B8" s="15" t="s">
        <v>751</v>
      </c>
      <c r="C8" s="15" t="s">
        <v>1486</v>
      </c>
    </row>
    <row r="9" spans="1:3" x14ac:dyDescent="0.25">
      <c r="A9" s="15" t="s">
        <v>499</v>
      </c>
      <c r="B9" s="15" t="s">
        <v>752</v>
      </c>
      <c r="C9" s="15" t="s">
        <v>1487</v>
      </c>
    </row>
    <row r="10" spans="1:3" x14ac:dyDescent="0.25">
      <c r="A10" s="15" t="s">
        <v>500</v>
      </c>
      <c r="B10" s="15" t="s">
        <v>753</v>
      </c>
      <c r="C10" s="15" t="s">
        <v>1488</v>
      </c>
    </row>
    <row r="11" spans="1:3" x14ac:dyDescent="0.25">
      <c r="A11" s="15" t="s">
        <v>501</v>
      </c>
      <c r="B11" s="15" t="s">
        <v>754</v>
      </c>
      <c r="C11" s="15" t="s">
        <v>1489</v>
      </c>
    </row>
    <row r="12" spans="1:3" x14ac:dyDescent="0.25">
      <c r="A12" s="15" t="s">
        <v>502</v>
      </c>
      <c r="B12" s="15" t="s">
        <v>755</v>
      </c>
      <c r="C12" s="17" t="s">
        <v>1490</v>
      </c>
    </row>
    <row r="13" spans="1:3" x14ac:dyDescent="0.25">
      <c r="A13" s="15" t="s">
        <v>503</v>
      </c>
      <c r="B13" s="15" t="s">
        <v>756</v>
      </c>
      <c r="C13" s="15" t="s">
        <v>1491</v>
      </c>
    </row>
    <row r="14" spans="1:3" x14ac:dyDescent="0.25">
      <c r="A14" s="15" t="s">
        <v>504</v>
      </c>
      <c r="B14" s="15" t="s">
        <v>757</v>
      </c>
      <c r="C14" s="15" t="s">
        <v>1492</v>
      </c>
    </row>
    <row r="15" spans="1:3" x14ac:dyDescent="0.25">
      <c r="A15" s="15" t="s">
        <v>505</v>
      </c>
      <c r="B15" s="15" t="s">
        <v>758</v>
      </c>
      <c r="C15" s="15" t="s">
        <v>1493</v>
      </c>
    </row>
    <row r="16" spans="1:3" x14ac:dyDescent="0.25">
      <c r="A16" s="15" t="s">
        <v>737</v>
      </c>
      <c r="B16" s="15" t="s">
        <v>759</v>
      </c>
      <c r="C16" s="17" t="s">
        <v>1494</v>
      </c>
    </row>
    <row r="17" spans="1:3" x14ac:dyDescent="0.25">
      <c r="A17" s="15" t="s">
        <v>506</v>
      </c>
      <c r="B17" s="15" t="s">
        <v>760</v>
      </c>
      <c r="C17" s="15" t="s">
        <v>1495</v>
      </c>
    </row>
    <row r="18" spans="1:3" x14ac:dyDescent="0.25">
      <c r="A18" s="15" t="s">
        <v>507</v>
      </c>
      <c r="B18" s="15" t="s">
        <v>761</v>
      </c>
      <c r="C18" s="17" t="s">
        <v>1496</v>
      </c>
    </row>
    <row r="19" spans="1:3" x14ac:dyDescent="0.25">
      <c r="A19" s="15" t="s">
        <v>508</v>
      </c>
      <c r="B19" s="15" t="s">
        <v>762</v>
      </c>
      <c r="C19" s="15" t="s">
        <v>1497</v>
      </c>
    </row>
    <row r="20" spans="1:3" x14ac:dyDescent="0.25">
      <c r="A20" s="15" t="s">
        <v>509</v>
      </c>
      <c r="B20" s="15" t="s">
        <v>763</v>
      </c>
      <c r="C20" s="15" t="s">
        <v>1498</v>
      </c>
    </row>
    <row r="21" spans="1:3" x14ac:dyDescent="0.25">
      <c r="A21" s="15" t="s">
        <v>510</v>
      </c>
      <c r="B21" s="15" t="s">
        <v>764</v>
      </c>
      <c r="C21" s="15" t="s">
        <v>1499</v>
      </c>
    </row>
    <row r="22" spans="1:3" x14ac:dyDescent="0.25">
      <c r="A22" s="15" t="s">
        <v>511</v>
      </c>
      <c r="B22" s="15" t="s">
        <v>765</v>
      </c>
      <c r="C22" s="17" t="s">
        <v>1500</v>
      </c>
    </row>
    <row r="23" spans="1:3" x14ac:dyDescent="0.25">
      <c r="A23" s="15" t="s">
        <v>512</v>
      </c>
      <c r="B23" s="15" t="s">
        <v>766</v>
      </c>
      <c r="C23" s="15" t="s">
        <v>1501</v>
      </c>
    </row>
    <row r="24" spans="1:3" x14ac:dyDescent="0.25">
      <c r="A24" s="15" t="s">
        <v>513</v>
      </c>
      <c r="B24" s="15" t="s">
        <v>767</v>
      </c>
      <c r="C24" s="15" t="s">
        <v>1502</v>
      </c>
    </row>
    <row r="25" spans="1:3" x14ac:dyDescent="0.25">
      <c r="A25" s="15" t="s">
        <v>514</v>
      </c>
      <c r="B25" s="15" t="s">
        <v>768</v>
      </c>
      <c r="C25" s="15" t="s">
        <v>1503</v>
      </c>
    </row>
    <row r="26" spans="1:3" x14ac:dyDescent="0.25">
      <c r="A26" s="15" t="s">
        <v>515</v>
      </c>
      <c r="B26" s="15" t="s">
        <v>769</v>
      </c>
      <c r="C26" s="15" t="s">
        <v>1504</v>
      </c>
    </row>
    <row r="27" spans="1:3" x14ac:dyDescent="0.25">
      <c r="A27" s="15" t="s">
        <v>736</v>
      </c>
      <c r="B27" s="15" t="s">
        <v>770</v>
      </c>
      <c r="C27" s="17" t="s">
        <v>1505</v>
      </c>
    </row>
    <row r="28" spans="1:3" x14ac:dyDescent="0.25">
      <c r="A28" s="15" t="s">
        <v>516</v>
      </c>
      <c r="B28" s="15" t="s">
        <v>771</v>
      </c>
      <c r="C28" s="15" t="s">
        <v>1506</v>
      </c>
    </row>
    <row r="29" spans="1:3" x14ac:dyDescent="0.25">
      <c r="A29" s="15" t="s">
        <v>517</v>
      </c>
      <c r="B29" s="15" t="s">
        <v>772</v>
      </c>
      <c r="C29" s="17" t="s">
        <v>1507</v>
      </c>
    </row>
    <row r="30" spans="1:3" x14ac:dyDescent="0.25">
      <c r="A30" s="15" t="s">
        <v>711</v>
      </c>
      <c r="B30" s="15" t="s">
        <v>773</v>
      </c>
      <c r="C30" s="15" t="s">
        <v>1508</v>
      </c>
    </row>
    <row r="31" spans="1:3" x14ac:dyDescent="0.25">
      <c r="A31" s="15" t="s">
        <v>518</v>
      </c>
      <c r="B31" s="15" t="s">
        <v>774</v>
      </c>
      <c r="C31" s="17" t="s">
        <v>1509</v>
      </c>
    </row>
    <row r="32" spans="1:3" x14ac:dyDescent="0.25">
      <c r="A32" s="15" t="s">
        <v>519</v>
      </c>
      <c r="B32" s="15" t="s">
        <v>775</v>
      </c>
      <c r="C32" s="15" t="s">
        <v>1510</v>
      </c>
    </row>
    <row r="33" spans="1:3" x14ac:dyDescent="0.25">
      <c r="A33" s="15" t="s">
        <v>520</v>
      </c>
      <c r="B33" s="15" t="s">
        <v>776</v>
      </c>
      <c r="C33" s="15" t="s">
        <v>1511</v>
      </c>
    </row>
    <row r="34" spans="1:3" x14ac:dyDescent="0.25">
      <c r="A34" s="15" t="s">
        <v>521</v>
      </c>
      <c r="B34" s="15" t="s">
        <v>777</v>
      </c>
      <c r="C34" s="15" t="s">
        <v>1512</v>
      </c>
    </row>
    <row r="35" spans="1:3" x14ac:dyDescent="0.25">
      <c r="A35" s="15" t="s">
        <v>522</v>
      </c>
      <c r="B35" s="15" t="s">
        <v>778</v>
      </c>
      <c r="C35" s="17" t="s">
        <v>1513</v>
      </c>
    </row>
    <row r="36" spans="1:3" x14ac:dyDescent="0.25">
      <c r="A36" s="15" t="s">
        <v>523</v>
      </c>
      <c r="B36" s="15" t="s">
        <v>779</v>
      </c>
      <c r="C36" s="15" t="s">
        <v>1514</v>
      </c>
    </row>
    <row r="37" spans="1:3" x14ac:dyDescent="0.25">
      <c r="A37" s="15" t="s">
        <v>524</v>
      </c>
      <c r="B37" s="15" t="s">
        <v>780</v>
      </c>
      <c r="C37" s="15" t="s">
        <v>1515</v>
      </c>
    </row>
    <row r="38" spans="1:3" x14ac:dyDescent="0.25">
      <c r="A38" s="15" t="s">
        <v>525</v>
      </c>
      <c r="B38" s="15" t="s">
        <v>781</v>
      </c>
      <c r="C38" s="15" t="s">
        <v>1516</v>
      </c>
    </row>
    <row r="39" spans="1:3" x14ac:dyDescent="0.25">
      <c r="A39" s="15" t="s">
        <v>526</v>
      </c>
      <c r="B39" s="15" t="s">
        <v>782</v>
      </c>
      <c r="C39" s="15" t="s">
        <v>1517</v>
      </c>
    </row>
    <row r="40" spans="1:3" x14ac:dyDescent="0.25">
      <c r="A40" s="15" t="s">
        <v>527</v>
      </c>
      <c r="B40" s="15" t="s">
        <v>783</v>
      </c>
      <c r="C40" s="17" t="s">
        <v>1518</v>
      </c>
    </row>
    <row r="41" spans="1:3" x14ac:dyDescent="0.25">
      <c r="A41" s="15" t="s">
        <v>712</v>
      </c>
      <c r="B41" s="15" t="s">
        <v>784</v>
      </c>
      <c r="C41" s="17" t="s">
        <v>1519</v>
      </c>
    </row>
    <row r="42" spans="1:3" x14ac:dyDescent="0.25">
      <c r="A42" s="15" t="s">
        <v>528</v>
      </c>
      <c r="B42" s="15" t="s">
        <v>785</v>
      </c>
      <c r="C42" s="17" t="s">
        <v>1520</v>
      </c>
    </row>
    <row r="43" spans="1:3" x14ac:dyDescent="0.25">
      <c r="A43" s="15" t="s">
        <v>529</v>
      </c>
      <c r="B43" s="15" t="s">
        <v>786</v>
      </c>
      <c r="C43" s="15" t="s">
        <v>1521</v>
      </c>
    </row>
    <row r="44" spans="1:3" x14ac:dyDescent="0.25">
      <c r="A44" s="15" t="s">
        <v>530</v>
      </c>
      <c r="B44" s="15" t="s">
        <v>787</v>
      </c>
      <c r="C44" s="15" t="s">
        <v>1522</v>
      </c>
    </row>
    <row r="45" spans="1:3" x14ac:dyDescent="0.25">
      <c r="A45" s="15" t="s">
        <v>735</v>
      </c>
      <c r="B45" s="15" t="s">
        <v>788</v>
      </c>
      <c r="C45" s="17" t="s">
        <v>1523</v>
      </c>
    </row>
    <row r="46" spans="1:3" x14ac:dyDescent="0.25">
      <c r="A46" s="15" t="s">
        <v>531</v>
      </c>
      <c r="B46" s="15" t="s">
        <v>789</v>
      </c>
      <c r="C46" s="17" t="s">
        <v>1524</v>
      </c>
    </row>
    <row r="47" spans="1:3" x14ac:dyDescent="0.25">
      <c r="A47" s="15" t="s">
        <v>532</v>
      </c>
      <c r="B47" s="15" t="s">
        <v>790</v>
      </c>
      <c r="C47" s="15" t="s">
        <v>1525</v>
      </c>
    </row>
    <row r="48" spans="1:3" x14ac:dyDescent="0.25">
      <c r="A48" s="15" t="s">
        <v>533</v>
      </c>
      <c r="B48" s="15" t="s">
        <v>791</v>
      </c>
      <c r="C48" s="15" t="s">
        <v>1526</v>
      </c>
    </row>
    <row r="49" spans="1:3" x14ac:dyDescent="0.25">
      <c r="A49" s="15" t="s">
        <v>534</v>
      </c>
      <c r="B49" s="15" t="s">
        <v>792</v>
      </c>
      <c r="C49" s="15" t="s">
        <v>1527</v>
      </c>
    </row>
    <row r="50" spans="1:3" x14ac:dyDescent="0.25">
      <c r="A50" s="15" t="s">
        <v>535</v>
      </c>
      <c r="B50" s="15" t="s">
        <v>793</v>
      </c>
      <c r="C50" s="15" t="s">
        <v>1528</v>
      </c>
    </row>
    <row r="51" spans="1:3" x14ac:dyDescent="0.25">
      <c r="A51" s="15" t="s">
        <v>536</v>
      </c>
      <c r="B51" s="15" t="s">
        <v>794</v>
      </c>
      <c r="C51" s="17" t="s">
        <v>1529</v>
      </c>
    </row>
    <row r="52" spans="1:3" x14ac:dyDescent="0.25">
      <c r="A52" s="15" t="s">
        <v>537</v>
      </c>
      <c r="B52" s="15" t="s">
        <v>795</v>
      </c>
      <c r="C52" s="15" t="s">
        <v>1530</v>
      </c>
    </row>
    <row r="53" spans="1:3" x14ac:dyDescent="0.25">
      <c r="A53" s="15" t="s">
        <v>538</v>
      </c>
      <c r="B53" s="15" t="s">
        <v>796</v>
      </c>
      <c r="C53" s="17" t="s">
        <v>1531</v>
      </c>
    </row>
    <row r="54" spans="1:3" x14ac:dyDescent="0.25">
      <c r="A54" s="15" t="s">
        <v>539</v>
      </c>
      <c r="B54" s="15" t="s">
        <v>797</v>
      </c>
      <c r="C54" s="15" t="s">
        <v>1532</v>
      </c>
    </row>
    <row r="55" spans="1:3" x14ac:dyDescent="0.25">
      <c r="A55" s="15" t="s">
        <v>540</v>
      </c>
      <c r="B55" s="15" t="s">
        <v>798</v>
      </c>
      <c r="C55" s="17" t="s">
        <v>1533</v>
      </c>
    </row>
    <row r="56" spans="1:3" x14ac:dyDescent="0.25">
      <c r="A56" s="15" t="s">
        <v>541</v>
      </c>
      <c r="B56" s="15" t="s">
        <v>799</v>
      </c>
      <c r="C56" s="15" t="s">
        <v>1534</v>
      </c>
    </row>
    <row r="57" spans="1:3" x14ac:dyDescent="0.25">
      <c r="A57" s="15" t="s">
        <v>542</v>
      </c>
      <c r="B57" s="15" t="s">
        <v>800</v>
      </c>
      <c r="C57" s="15" t="s">
        <v>1535</v>
      </c>
    </row>
    <row r="58" spans="1:3" x14ac:dyDescent="0.25">
      <c r="A58" s="15" t="s">
        <v>543</v>
      </c>
      <c r="B58" s="15" t="s">
        <v>801</v>
      </c>
      <c r="C58" s="15" t="s">
        <v>1536</v>
      </c>
    </row>
    <row r="59" spans="1:3" x14ac:dyDescent="0.25">
      <c r="A59" s="15" t="s">
        <v>544</v>
      </c>
      <c r="B59" s="15" t="s">
        <v>802</v>
      </c>
      <c r="C59" s="15" t="s">
        <v>1537</v>
      </c>
    </row>
    <row r="60" spans="1:3" x14ac:dyDescent="0.25">
      <c r="A60" s="15" t="s">
        <v>545</v>
      </c>
      <c r="B60" s="15" t="s">
        <v>803</v>
      </c>
      <c r="C60" s="15" t="s">
        <v>1538</v>
      </c>
    </row>
    <row r="61" spans="1:3" x14ac:dyDescent="0.25">
      <c r="A61" s="15" t="s">
        <v>546</v>
      </c>
      <c r="B61" s="15" t="s">
        <v>804</v>
      </c>
      <c r="C61" s="15" t="s">
        <v>1539</v>
      </c>
    </row>
    <row r="62" spans="1:3" x14ac:dyDescent="0.25">
      <c r="A62" s="15" t="s">
        <v>547</v>
      </c>
      <c r="B62" s="15" t="s">
        <v>805</v>
      </c>
      <c r="C62" s="17" t="s">
        <v>1540</v>
      </c>
    </row>
    <row r="63" spans="1:3" x14ac:dyDescent="0.25">
      <c r="A63" s="15" t="s">
        <v>548</v>
      </c>
      <c r="B63" s="15" t="s">
        <v>806</v>
      </c>
      <c r="C63" s="15" t="s">
        <v>1541</v>
      </c>
    </row>
    <row r="64" spans="1:3" x14ac:dyDescent="0.25">
      <c r="A64" s="15" t="s">
        <v>549</v>
      </c>
      <c r="B64" s="15" t="s">
        <v>807</v>
      </c>
      <c r="C64" s="15" t="s">
        <v>1542</v>
      </c>
    </row>
    <row r="65" spans="1:3" x14ac:dyDescent="0.25">
      <c r="A65" s="15" t="s">
        <v>550</v>
      </c>
      <c r="B65" s="15" t="s">
        <v>808</v>
      </c>
      <c r="C65" s="15" t="s">
        <v>1543</v>
      </c>
    </row>
    <row r="66" spans="1:3" x14ac:dyDescent="0.25">
      <c r="A66" s="15" t="s">
        <v>21</v>
      </c>
      <c r="B66" s="15" t="s">
        <v>809</v>
      </c>
      <c r="C66" s="15" t="s">
        <v>1544</v>
      </c>
    </row>
    <row r="67" spans="1:3" x14ac:dyDescent="0.25">
      <c r="A67" s="15" t="s">
        <v>551</v>
      </c>
      <c r="B67" s="15" t="s">
        <v>810</v>
      </c>
      <c r="C67" s="17" t="s">
        <v>1545</v>
      </c>
    </row>
    <row r="68" spans="1:3" x14ac:dyDescent="0.25">
      <c r="A68" s="15" t="s">
        <v>552</v>
      </c>
      <c r="B68" s="15" t="s">
        <v>811</v>
      </c>
      <c r="C68" s="15" t="s">
        <v>1546</v>
      </c>
    </row>
    <row r="69" spans="1:3" x14ac:dyDescent="0.25">
      <c r="A69" s="15" t="s">
        <v>553</v>
      </c>
      <c r="B69" s="15" t="s">
        <v>812</v>
      </c>
      <c r="C69" s="15" t="s">
        <v>1547</v>
      </c>
    </row>
    <row r="70" spans="1:3" x14ac:dyDescent="0.25">
      <c r="A70" s="15" t="s">
        <v>554</v>
      </c>
      <c r="B70" s="15" t="s">
        <v>813</v>
      </c>
      <c r="C70" s="15" t="s">
        <v>1548</v>
      </c>
    </row>
    <row r="71" spans="1:3" x14ac:dyDescent="0.25">
      <c r="A71" s="15" t="s">
        <v>555</v>
      </c>
      <c r="B71" s="15" t="s">
        <v>814</v>
      </c>
      <c r="C71" s="15" t="s">
        <v>1549</v>
      </c>
    </row>
    <row r="72" spans="1:3" x14ac:dyDescent="0.25">
      <c r="A72" s="15" t="s">
        <v>556</v>
      </c>
      <c r="B72" s="15" t="s">
        <v>815</v>
      </c>
      <c r="C72" s="15" t="s">
        <v>1550</v>
      </c>
    </row>
    <row r="73" spans="1:3" x14ac:dyDescent="0.25">
      <c r="A73" s="15" t="s">
        <v>713</v>
      </c>
      <c r="B73" s="15" t="s">
        <v>816</v>
      </c>
      <c r="C73" s="17" t="s">
        <v>1551</v>
      </c>
    </row>
    <row r="74" spans="1:3" x14ac:dyDescent="0.25">
      <c r="A74" s="15" t="s">
        <v>714</v>
      </c>
      <c r="B74" s="15" t="s">
        <v>817</v>
      </c>
      <c r="C74" s="15" t="s">
        <v>1552</v>
      </c>
    </row>
    <row r="75" spans="1:3" x14ac:dyDescent="0.25">
      <c r="A75" s="15" t="s">
        <v>557</v>
      </c>
      <c r="B75" s="15" t="s">
        <v>818</v>
      </c>
      <c r="C75" s="17" t="s">
        <v>1553</v>
      </c>
    </row>
    <row r="76" spans="1:3" x14ac:dyDescent="0.25">
      <c r="A76" s="15" t="s">
        <v>558</v>
      </c>
      <c r="B76" s="15" t="s">
        <v>819</v>
      </c>
      <c r="C76" s="15" t="s">
        <v>1466</v>
      </c>
    </row>
    <row r="77" spans="1:3" x14ac:dyDescent="0.25">
      <c r="A77" s="15" t="s">
        <v>559</v>
      </c>
      <c r="B77" s="15" t="s">
        <v>820</v>
      </c>
      <c r="C77" s="15" t="s">
        <v>1554</v>
      </c>
    </row>
    <row r="78" spans="1:3" x14ac:dyDescent="0.25">
      <c r="A78" s="15" t="s">
        <v>738</v>
      </c>
      <c r="B78" s="15" t="s">
        <v>821</v>
      </c>
      <c r="C78" s="17" t="s">
        <v>1464</v>
      </c>
    </row>
    <row r="79" spans="1:3" x14ac:dyDescent="0.25">
      <c r="A79" s="15" t="s">
        <v>560</v>
      </c>
      <c r="B79" s="15" t="s">
        <v>822</v>
      </c>
      <c r="C79" s="15" t="s">
        <v>1555</v>
      </c>
    </row>
    <row r="80" spans="1:3" x14ac:dyDescent="0.25">
      <c r="A80" s="15" t="s">
        <v>561</v>
      </c>
      <c r="B80" s="15" t="s">
        <v>823</v>
      </c>
      <c r="C80" s="15" t="s">
        <v>1556</v>
      </c>
    </row>
    <row r="81" spans="1:3" x14ac:dyDescent="0.25">
      <c r="A81" s="15" t="s">
        <v>562</v>
      </c>
      <c r="B81" s="15" t="s">
        <v>824</v>
      </c>
      <c r="C81" s="17" t="s">
        <v>1557</v>
      </c>
    </row>
    <row r="82" spans="1:3" x14ac:dyDescent="0.25">
      <c r="A82" s="15" t="s">
        <v>563</v>
      </c>
      <c r="B82" s="15" t="s">
        <v>825</v>
      </c>
      <c r="C82" s="15" t="s">
        <v>1558</v>
      </c>
    </row>
    <row r="83" spans="1:3" x14ac:dyDescent="0.25">
      <c r="A83" s="15" t="s">
        <v>564</v>
      </c>
      <c r="B83" s="15" t="s">
        <v>826</v>
      </c>
      <c r="C83" s="15" t="s">
        <v>1559</v>
      </c>
    </row>
    <row r="84" spans="1:3" x14ac:dyDescent="0.25">
      <c r="A84" s="15" t="s">
        <v>565</v>
      </c>
      <c r="B84" s="15" t="s">
        <v>827</v>
      </c>
      <c r="C84" s="15" t="s">
        <v>1560</v>
      </c>
    </row>
    <row r="85" spans="1:3" x14ac:dyDescent="0.25">
      <c r="A85" s="15" t="s">
        <v>566</v>
      </c>
      <c r="B85" s="15" t="s">
        <v>828</v>
      </c>
      <c r="C85" s="15" t="s">
        <v>1561</v>
      </c>
    </row>
    <row r="86" spans="1:3" x14ac:dyDescent="0.25">
      <c r="A86" s="15" t="s">
        <v>567</v>
      </c>
      <c r="B86" s="15" t="s">
        <v>829</v>
      </c>
      <c r="C86" s="15" t="s">
        <v>1562</v>
      </c>
    </row>
    <row r="87" spans="1:3" x14ac:dyDescent="0.25">
      <c r="A87" s="15" t="s">
        <v>568</v>
      </c>
      <c r="B87" s="15" t="s">
        <v>830</v>
      </c>
      <c r="C87" s="15" t="s">
        <v>1563</v>
      </c>
    </row>
    <row r="88" spans="1:3" x14ac:dyDescent="0.25">
      <c r="A88" s="15" t="s">
        <v>569</v>
      </c>
      <c r="B88" s="15" t="s">
        <v>831</v>
      </c>
      <c r="C88" s="15" t="s">
        <v>1564</v>
      </c>
    </row>
    <row r="89" spans="1:3" x14ac:dyDescent="0.25">
      <c r="A89" s="15" t="s">
        <v>570</v>
      </c>
      <c r="B89" s="15" t="s">
        <v>832</v>
      </c>
      <c r="C89" s="17" t="s">
        <v>1565</v>
      </c>
    </row>
    <row r="90" spans="1:3" x14ac:dyDescent="0.25">
      <c r="A90" s="15" t="s">
        <v>571</v>
      </c>
      <c r="B90" s="15" t="s">
        <v>833</v>
      </c>
      <c r="C90" s="15" t="s">
        <v>1566</v>
      </c>
    </row>
    <row r="91" spans="1:3" x14ac:dyDescent="0.25">
      <c r="A91" s="15" t="s">
        <v>572</v>
      </c>
      <c r="B91" s="15" t="s">
        <v>834</v>
      </c>
      <c r="C91" s="17" t="s">
        <v>1567</v>
      </c>
    </row>
    <row r="92" spans="1:3" x14ac:dyDescent="0.25">
      <c r="A92" s="15" t="s">
        <v>573</v>
      </c>
      <c r="B92" s="15" t="s">
        <v>835</v>
      </c>
      <c r="C92" s="15" t="s">
        <v>1568</v>
      </c>
    </row>
    <row r="93" spans="1:3" x14ac:dyDescent="0.25">
      <c r="A93" s="15" t="s">
        <v>574</v>
      </c>
      <c r="B93" s="15" t="s">
        <v>836</v>
      </c>
      <c r="C93" s="15" t="s">
        <v>1569</v>
      </c>
    </row>
    <row r="94" spans="1:3" x14ac:dyDescent="0.25">
      <c r="A94" s="15" t="s">
        <v>575</v>
      </c>
      <c r="B94" s="15" t="s">
        <v>837</v>
      </c>
      <c r="C94" s="15" t="s">
        <v>1570</v>
      </c>
    </row>
    <row r="95" spans="1:3" x14ac:dyDescent="0.25">
      <c r="A95" s="15" t="s">
        <v>576</v>
      </c>
      <c r="B95" s="15" t="s">
        <v>838</v>
      </c>
      <c r="C95" s="15" t="s">
        <v>1571</v>
      </c>
    </row>
    <row r="96" spans="1:3" x14ac:dyDescent="0.25">
      <c r="A96" s="15" t="s">
        <v>577</v>
      </c>
      <c r="B96" s="15" t="s">
        <v>839</v>
      </c>
      <c r="C96" s="17" t="s">
        <v>1572</v>
      </c>
    </row>
    <row r="97" spans="1:3" x14ac:dyDescent="0.25">
      <c r="A97" s="15" t="s">
        <v>578</v>
      </c>
      <c r="B97" s="15" t="s">
        <v>840</v>
      </c>
      <c r="C97" s="17" t="s">
        <v>1573</v>
      </c>
    </row>
    <row r="98" spans="1:3" x14ac:dyDescent="0.25">
      <c r="A98" s="15" t="s">
        <v>579</v>
      </c>
      <c r="B98" s="15" t="s">
        <v>841</v>
      </c>
      <c r="C98" s="15" t="s">
        <v>1574</v>
      </c>
    </row>
    <row r="99" spans="1:3" x14ac:dyDescent="0.25">
      <c r="A99" s="15" t="s">
        <v>580</v>
      </c>
      <c r="B99" s="15" t="s">
        <v>842</v>
      </c>
      <c r="C99" s="15" t="s">
        <v>1575</v>
      </c>
    </row>
    <row r="100" spans="1:3" x14ac:dyDescent="0.25">
      <c r="A100" s="15" t="s">
        <v>581</v>
      </c>
      <c r="B100" s="15" t="s">
        <v>843</v>
      </c>
      <c r="C100" s="15" t="s">
        <v>1576</v>
      </c>
    </row>
    <row r="101" spans="1:3" x14ac:dyDescent="0.25">
      <c r="A101" s="15" t="s">
        <v>582</v>
      </c>
      <c r="B101" s="15" t="s">
        <v>844</v>
      </c>
      <c r="C101" s="15" t="s">
        <v>1577</v>
      </c>
    </row>
    <row r="102" spans="1:3" x14ac:dyDescent="0.25">
      <c r="A102" s="15" t="s">
        <v>583</v>
      </c>
      <c r="B102" s="15" t="s">
        <v>453</v>
      </c>
      <c r="C102" s="15" t="s">
        <v>1578</v>
      </c>
    </row>
    <row r="103" spans="1:3" x14ac:dyDescent="0.25">
      <c r="A103" s="15" t="s">
        <v>584</v>
      </c>
      <c r="B103" s="15" t="s">
        <v>845</v>
      </c>
      <c r="C103" s="15" t="s">
        <v>1579</v>
      </c>
    </row>
    <row r="104" spans="1:3" x14ac:dyDescent="0.25">
      <c r="A104" s="15" t="s">
        <v>585</v>
      </c>
      <c r="B104" s="15" t="s">
        <v>846</v>
      </c>
      <c r="C104" s="15" t="s">
        <v>1580</v>
      </c>
    </row>
    <row r="105" spans="1:3" x14ac:dyDescent="0.25">
      <c r="A105" s="15" t="s">
        <v>586</v>
      </c>
      <c r="B105" s="15" t="s">
        <v>847</v>
      </c>
      <c r="C105" s="17" t="s">
        <v>1581</v>
      </c>
    </row>
    <row r="106" spans="1:3" x14ac:dyDescent="0.25">
      <c r="A106" s="15" t="s">
        <v>2</v>
      </c>
      <c r="B106" s="15" t="s">
        <v>848</v>
      </c>
      <c r="C106" s="15" t="s">
        <v>1582</v>
      </c>
    </row>
    <row r="107" spans="1:3" x14ac:dyDescent="0.25">
      <c r="A107" s="15" t="s">
        <v>587</v>
      </c>
      <c r="B107" s="15" t="s">
        <v>849</v>
      </c>
      <c r="C107" s="17" t="s">
        <v>1583</v>
      </c>
    </row>
    <row r="108" spans="1:3" x14ac:dyDescent="0.25">
      <c r="A108" s="15" t="s">
        <v>588</v>
      </c>
      <c r="B108" s="15" t="s">
        <v>850</v>
      </c>
      <c r="C108" s="15" t="s">
        <v>1584</v>
      </c>
    </row>
    <row r="109" spans="1:3" x14ac:dyDescent="0.25">
      <c r="A109" s="15" t="s">
        <v>715</v>
      </c>
      <c r="B109" s="15" t="s">
        <v>851</v>
      </c>
      <c r="C109" s="15" t="s">
        <v>1585</v>
      </c>
    </row>
    <row r="110" spans="1:3" x14ac:dyDescent="0.25">
      <c r="A110" s="15" t="s">
        <v>589</v>
      </c>
      <c r="B110" s="15" t="s">
        <v>852</v>
      </c>
      <c r="C110" s="15" t="s">
        <v>1586</v>
      </c>
    </row>
    <row r="111" spans="1:3" x14ac:dyDescent="0.25">
      <c r="A111" s="15" t="s">
        <v>11</v>
      </c>
      <c r="B111" s="15" t="s">
        <v>853</v>
      </c>
      <c r="C111" s="15" t="s">
        <v>1465</v>
      </c>
    </row>
    <row r="112" spans="1:3" x14ac:dyDescent="0.25">
      <c r="A112" s="15" t="s">
        <v>590</v>
      </c>
      <c r="B112" s="15" t="s">
        <v>854</v>
      </c>
      <c r="C112" s="15" t="s">
        <v>1587</v>
      </c>
    </row>
    <row r="113" spans="1:3" x14ac:dyDescent="0.25">
      <c r="A113" s="15" t="s">
        <v>591</v>
      </c>
      <c r="B113" s="15" t="s">
        <v>855</v>
      </c>
      <c r="C113" s="15" t="s">
        <v>1588</v>
      </c>
    </row>
    <row r="114" spans="1:3" x14ac:dyDescent="0.25">
      <c r="A114" s="15" t="s">
        <v>592</v>
      </c>
      <c r="B114" s="15" t="s">
        <v>856</v>
      </c>
      <c r="C114" s="15" t="s">
        <v>1589</v>
      </c>
    </row>
    <row r="115" spans="1:3" x14ac:dyDescent="0.25">
      <c r="A115" s="15" t="s">
        <v>593</v>
      </c>
      <c r="B115" s="15" t="s">
        <v>857</v>
      </c>
      <c r="C115" s="15" t="s">
        <v>1590</v>
      </c>
    </row>
    <row r="116" spans="1:3" x14ac:dyDescent="0.25">
      <c r="A116" s="15" t="s">
        <v>594</v>
      </c>
      <c r="B116" s="15" t="s">
        <v>858</v>
      </c>
      <c r="C116" s="15" t="s">
        <v>1591</v>
      </c>
    </row>
    <row r="117" spans="1:3" x14ac:dyDescent="0.25">
      <c r="A117" s="15" t="s">
        <v>595</v>
      </c>
      <c r="B117" s="15" t="s">
        <v>859</v>
      </c>
      <c r="C117" s="15" t="s">
        <v>1592</v>
      </c>
    </row>
    <row r="118" spans="1:3" x14ac:dyDescent="0.25">
      <c r="A118" s="15" t="s">
        <v>596</v>
      </c>
      <c r="B118" s="15" t="s">
        <v>860</v>
      </c>
      <c r="C118" s="15" t="s">
        <v>1593</v>
      </c>
    </row>
    <row r="119" spans="1:3" x14ac:dyDescent="0.25">
      <c r="A119" s="15" t="s">
        <v>597</v>
      </c>
      <c r="B119" s="15" t="s">
        <v>861</v>
      </c>
      <c r="C119" s="15" t="s">
        <v>1594</v>
      </c>
    </row>
    <row r="120" spans="1:3" x14ac:dyDescent="0.25">
      <c r="A120" s="15" t="s">
        <v>598</v>
      </c>
      <c r="B120" s="15" t="s">
        <v>862</v>
      </c>
      <c r="C120" s="15" t="s">
        <v>1595</v>
      </c>
    </row>
    <row r="121" spans="1:3" x14ac:dyDescent="0.25">
      <c r="A121" s="15" t="s">
        <v>599</v>
      </c>
      <c r="B121" s="15" t="s">
        <v>863</v>
      </c>
      <c r="C121" s="17" t="s">
        <v>1596</v>
      </c>
    </row>
    <row r="122" spans="1:3" x14ac:dyDescent="0.25">
      <c r="A122" s="15" t="s">
        <v>716</v>
      </c>
      <c r="B122" s="15" t="s">
        <v>864</v>
      </c>
      <c r="C122" s="17" t="s">
        <v>1597</v>
      </c>
    </row>
    <row r="123" spans="1:3" x14ac:dyDescent="0.25">
      <c r="A123" s="15" t="s">
        <v>722</v>
      </c>
      <c r="B123" s="15" t="s">
        <v>865</v>
      </c>
      <c r="C123" s="17" t="s">
        <v>1598</v>
      </c>
    </row>
    <row r="124" spans="1:3" x14ac:dyDescent="0.25">
      <c r="A124" s="15" t="s">
        <v>600</v>
      </c>
      <c r="B124" s="15" t="s">
        <v>866</v>
      </c>
      <c r="C124" s="15" t="s">
        <v>1599</v>
      </c>
    </row>
    <row r="125" spans="1:3" x14ac:dyDescent="0.25">
      <c r="A125" s="15" t="s">
        <v>601</v>
      </c>
      <c r="B125" s="15" t="s">
        <v>867</v>
      </c>
      <c r="C125" s="17" t="s">
        <v>1600</v>
      </c>
    </row>
    <row r="126" spans="1:3" x14ac:dyDescent="0.25">
      <c r="A126" s="15" t="s">
        <v>602</v>
      </c>
      <c r="B126" s="15" t="s">
        <v>868</v>
      </c>
      <c r="C126" s="15" t="s">
        <v>1601</v>
      </c>
    </row>
    <row r="127" spans="1:3" x14ac:dyDescent="0.25">
      <c r="A127" s="15" t="s">
        <v>739</v>
      </c>
      <c r="B127" s="15" t="s">
        <v>869</v>
      </c>
      <c r="C127" s="15" t="s">
        <v>1602</v>
      </c>
    </row>
    <row r="128" spans="1:3" x14ac:dyDescent="0.25">
      <c r="A128" s="15" t="s">
        <v>484</v>
      </c>
      <c r="B128" s="15" t="s">
        <v>870</v>
      </c>
      <c r="C128" s="15" t="s">
        <v>1603</v>
      </c>
    </row>
    <row r="129" spans="1:3" x14ac:dyDescent="0.25">
      <c r="A129" s="15" t="s">
        <v>603</v>
      </c>
      <c r="B129" s="15" t="s">
        <v>871</v>
      </c>
      <c r="C129" s="17" t="s">
        <v>1604</v>
      </c>
    </row>
    <row r="130" spans="1:3" x14ac:dyDescent="0.25">
      <c r="A130" s="15" t="s">
        <v>604</v>
      </c>
      <c r="B130" s="15" t="s">
        <v>872</v>
      </c>
      <c r="C130" s="15" t="s">
        <v>1605</v>
      </c>
    </row>
    <row r="131" spans="1:3" x14ac:dyDescent="0.25">
      <c r="A131" s="15" t="s">
        <v>605</v>
      </c>
      <c r="B131" s="15" t="s">
        <v>873</v>
      </c>
      <c r="C131" s="17" t="s">
        <v>1606</v>
      </c>
    </row>
    <row r="132" spans="1:3" x14ac:dyDescent="0.25">
      <c r="A132" s="15" t="s">
        <v>606</v>
      </c>
      <c r="B132" s="15" t="s">
        <v>874</v>
      </c>
      <c r="C132" s="15" t="s">
        <v>1607</v>
      </c>
    </row>
    <row r="133" spans="1:3" x14ac:dyDescent="0.25">
      <c r="A133" s="15" t="s">
        <v>607</v>
      </c>
      <c r="B133" s="15" t="s">
        <v>875</v>
      </c>
      <c r="C133" s="15" t="s">
        <v>1608</v>
      </c>
    </row>
    <row r="134" spans="1:3" x14ac:dyDescent="0.25">
      <c r="A134" s="15" t="s">
        <v>608</v>
      </c>
      <c r="B134" s="15" t="s">
        <v>876</v>
      </c>
      <c r="C134" s="15" t="s">
        <v>1609</v>
      </c>
    </row>
    <row r="135" spans="1:3" x14ac:dyDescent="0.25">
      <c r="A135" s="15" t="s">
        <v>609</v>
      </c>
      <c r="B135" s="15" t="s">
        <v>877</v>
      </c>
      <c r="C135" s="15" t="s">
        <v>1610</v>
      </c>
    </row>
    <row r="136" spans="1:3" x14ac:dyDescent="0.25">
      <c r="A136" s="15" t="s">
        <v>610</v>
      </c>
      <c r="B136" s="15" t="s">
        <v>878</v>
      </c>
      <c r="C136" s="15" t="s">
        <v>1611</v>
      </c>
    </row>
    <row r="137" spans="1:3" x14ac:dyDescent="0.25">
      <c r="A137" s="15" t="s">
        <v>611</v>
      </c>
      <c r="B137" s="15" t="s">
        <v>879</v>
      </c>
      <c r="C137" s="15" t="s">
        <v>1612</v>
      </c>
    </row>
    <row r="138" spans="1:3" x14ac:dyDescent="0.25">
      <c r="A138" s="15" t="s">
        <v>612</v>
      </c>
      <c r="B138" s="15" t="s">
        <v>880</v>
      </c>
      <c r="C138" s="15" t="s">
        <v>1613</v>
      </c>
    </row>
    <row r="139" spans="1:3" x14ac:dyDescent="0.25">
      <c r="A139" s="15" t="s">
        <v>613</v>
      </c>
      <c r="B139" s="15" t="s">
        <v>881</v>
      </c>
      <c r="C139" s="15" t="s">
        <v>1614</v>
      </c>
    </row>
    <row r="140" spans="1:3" x14ac:dyDescent="0.25">
      <c r="A140" s="15" t="s">
        <v>723</v>
      </c>
      <c r="B140" s="15" t="s">
        <v>882</v>
      </c>
      <c r="C140" s="15" t="s">
        <v>1615</v>
      </c>
    </row>
    <row r="141" spans="1:3" x14ac:dyDescent="0.25">
      <c r="A141" s="15" t="s">
        <v>614</v>
      </c>
      <c r="B141" s="15" t="s">
        <v>883</v>
      </c>
      <c r="C141" s="15" t="s">
        <v>1616</v>
      </c>
    </row>
    <row r="142" spans="1:3" x14ac:dyDescent="0.25">
      <c r="A142" s="15" t="s">
        <v>717</v>
      </c>
      <c r="B142" s="15" t="s">
        <v>884</v>
      </c>
      <c r="C142" s="17" t="s">
        <v>1617</v>
      </c>
    </row>
    <row r="143" spans="1:3" x14ac:dyDescent="0.25">
      <c r="A143" s="15" t="s">
        <v>615</v>
      </c>
      <c r="B143" s="15" t="s">
        <v>885</v>
      </c>
      <c r="C143" s="15" t="s">
        <v>1618</v>
      </c>
    </row>
    <row r="144" spans="1:3" x14ac:dyDescent="0.25">
      <c r="A144" s="15" t="s">
        <v>616</v>
      </c>
      <c r="B144" s="15" t="s">
        <v>886</v>
      </c>
      <c r="C144" s="17" t="s">
        <v>1619</v>
      </c>
    </row>
    <row r="145" spans="1:3" x14ac:dyDescent="0.25">
      <c r="A145" s="15" t="s">
        <v>617</v>
      </c>
      <c r="B145" s="15" t="s">
        <v>887</v>
      </c>
      <c r="C145" s="17" t="s">
        <v>1620</v>
      </c>
    </row>
    <row r="146" spans="1:3" x14ac:dyDescent="0.25">
      <c r="A146" s="15" t="s">
        <v>618</v>
      </c>
      <c r="B146" s="15" t="s">
        <v>888</v>
      </c>
      <c r="C146" s="15" t="s">
        <v>1621</v>
      </c>
    </row>
    <row r="147" spans="1:3" x14ac:dyDescent="0.25">
      <c r="A147" s="15" t="s">
        <v>619</v>
      </c>
      <c r="B147" s="15" t="s">
        <v>889</v>
      </c>
      <c r="C147" s="15" t="s">
        <v>1622</v>
      </c>
    </row>
    <row r="148" spans="1:3" x14ac:dyDescent="0.25">
      <c r="A148" s="15" t="s">
        <v>620</v>
      </c>
      <c r="B148" s="15" t="s">
        <v>890</v>
      </c>
      <c r="C148" s="15" t="s">
        <v>1623</v>
      </c>
    </row>
    <row r="149" spans="1:3" x14ac:dyDescent="0.25">
      <c r="A149" s="15" t="s">
        <v>621</v>
      </c>
      <c r="B149" s="15" t="s">
        <v>891</v>
      </c>
      <c r="C149" s="15" t="s">
        <v>1624</v>
      </c>
    </row>
    <row r="150" spans="1:3" x14ac:dyDescent="0.25">
      <c r="A150" s="15" t="s">
        <v>623</v>
      </c>
      <c r="B150" s="15" t="s">
        <v>892</v>
      </c>
      <c r="C150" s="17" t="s">
        <v>1625</v>
      </c>
    </row>
    <row r="151" spans="1:3" x14ac:dyDescent="0.25">
      <c r="A151" s="15" t="s">
        <v>624</v>
      </c>
      <c r="B151" s="15" t="s">
        <v>893</v>
      </c>
      <c r="C151" s="15" t="s">
        <v>1626</v>
      </c>
    </row>
    <row r="152" spans="1:3" x14ac:dyDescent="0.25">
      <c r="A152" s="15" t="s">
        <v>625</v>
      </c>
      <c r="B152" s="15" t="s">
        <v>894</v>
      </c>
      <c r="C152" s="15" t="s">
        <v>1627</v>
      </c>
    </row>
    <row r="153" spans="1:3" x14ac:dyDescent="0.25">
      <c r="A153" s="15" t="s">
        <v>626</v>
      </c>
      <c r="B153" s="15" t="s">
        <v>895</v>
      </c>
      <c r="C153" s="15" t="s">
        <v>1628</v>
      </c>
    </row>
    <row r="154" spans="1:3" x14ac:dyDescent="0.25">
      <c r="A154" s="15" t="s">
        <v>627</v>
      </c>
      <c r="B154" s="15" t="s">
        <v>896</v>
      </c>
      <c r="C154" s="15" t="s">
        <v>1629</v>
      </c>
    </row>
    <row r="155" spans="1:3" x14ac:dyDescent="0.25">
      <c r="A155" s="15" t="s">
        <v>628</v>
      </c>
      <c r="B155" s="15" t="s">
        <v>897</v>
      </c>
      <c r="C155" s="15" t="s">
        <v>1630</v>
      </c>
    </row>
    <row r="156" spans="1:3" x14ac:dyDescent="0.25">
      <c r="A156" s="15" t="s">
        <v>629</v>
      </c>
      <c r="B156" s="15" t="s">
        <v>898</v>
      </c>
      <c r="C156" s="15" t="s">
        <v>1631</v>
      </c>
    </row>
    <row r="157" spans="1:3" x14ac:dyDescent="0.25">
      <c r="A157" s="15" t="s">
        <v>630</v>
      </c>
      <c r="B157" s="15" t="s">
        <v>899</v>
      </c>
      <c r="C157" s="15" t="s">
        <v>1632</v>
      </c>
    </row>
    <row r="158" spans="1:3" x14ac:dyDescent="0.25">
      <c r="A158" s="15" t="s">
        <v>631</v>
      </c>
      <c r="B158" s="15" t="s">
        <v>900</v>
      </c>
      <c r="C158" s="15" t="s">
        <v>1633</v>
      </c>
    </row>
    <row r="159" spans="1:3" x14ac:dyDescent="0.25">
      <c r="A159" s="15" t="s">
        <v>632</v>
      </c>
      <c r="B159" s="15" t="s">
        <v>901</v>
      </c>
      <c r="C159" s="15" t="s">
        <v>1634</v>
      </c>
    </row>
    <row r="160" spans="1:3" x14ac:dyDescent="0.25">
      <c r="A160" s="15" t="s">
        <v>633</v>
      </c>
      <c r="B160" s="15" t="s">
        <v>902</v>
      </c>
      <c r="C160" s="15" t="s">
        <v>1635</v>
      </c>
    </row>
    <row r="161" spans="1:3" x14ac:dyDescent="0.25">
      <c r="A161" s="15" t="s">
        <v>634</v>
      </c>
      <c r="B161" s="15" t="s">
        <v>903</v>
      </c>
      <c r="C161" s="15" t="s">
        <v>1636</v>
      </c>
    </row>
    <row r="162" spans="1:3" x14ac:dyDescent="0.25">
      <c r="A162" s="15" t="s">
        <v>635</v>
      </c>
      <c r="B162" s="15" t="s">
        <v>904</v>
      </c>
      <c r="C162" s="17" t="s">
        <v>1637</v>
      </c>
    </row>
    <row r="163" spans="1:3" x14ac:dyDescent="0.25">
      <c r="A163" s="15" t="s">
        <v>636</v>
      </c>
      <c r="B163" s="15" t="s">
        <v>905</v>
      </c>
      <c r="C163" s="15" t="s">
        <v>1638</v>
      </c>
    </row>
    <row r="164" spans="1:3" x14ac:dyDescent="0.25">
      <c r="A164" s="15" t="s">
        <v>637</v>
      </c>
      <c r="B164" s="15" t="s">
        <v>906</v>
      </c>
      <c r="C164" s="17" t="s">
        <v>1639</v>
      </c>
    </row>
    <row r="165" spans="1:3" x14ac:dyDescent="0.25">
      <c r="A165" s="15" t="s">
        <v>638</v>
      </c>
      <c r="B165" s="15" t="s">
        <v>907</v>
      </c>
      <c r="C165" s="15" t="s">
        <v>1640</v>
      </c>
    </row>
    <row r="166" spans="1:3" x14ac:dyDescent="0.25">
      <c r="A166" s="15" t="s">
        <v>639</v>
      </c>
      <c r="B166" s="15" t="s">
        <v>908</v>
      </c>
      <c r="C166" s="15" t="s">
        <v>1641</v>
      </c>
    </row>
    <row r="167" spans="1:3" x14ac:dyDescent="0.25">
      <c r="A167" s="15" t="s">
        <v>724</v>
      </c>
      <c r="B167" s="15" t="s">
        <v>909</v>
      </c>
      <c r="C167" s="15" t="s">
        <v>1642</v>
      </c>
    </row>
    <row r="168" spans="1:3" x14ac:dyDescent="0.25">
      <c r="A168" s="15" t="s">
        <v>640</v>
      </c>
      <c r="B168" s="15" t="s">
        <v>910</v>
      </c>
      <c r="C168" s="15" t="s">
        <v>1643</v>
      </c>
    </row>
    <row r="169" spans="1:3" x14ac:dyDescent="0.25">
      <c r="A169" s="15" t="s">
        <v>641</v>
      </c>
      <c r="B169" s="15" t="s">
        <v>911</v>
      </c>
      <c r="C169" s="15" t="s">
        <v>1644</v>
      </c>
    </row>
    <row r="170" spans="1:3" x14ac:dyDescent="0.25">
      <c r="A170" s="15" t="s">
        <v>642</v>
      </c>
      <c r="B170" s="15" t="s">
        <v>912</v>
      </c>
      <c r="C170" s="15" t="s">
        <v>1645</v>
      </c>
    </row>
    <row r="171" spans="1:3" x14ac:dyDescent="0.25">
      <c r="A171" s="15" t="s">
        <v>643</v>
      </c>
      <c r="B171" s="15" t="s">
        <v>913</v>
      </c>
      <c r="C171" s="15" t="s">
        <v>1646</v>
      </c>
    </row>
    <row r="172" spans="1:3" x14ac:dyDescent="0.25">
      <c r="A172" s="15" t="s">
        <v>644</v>
      </c>
      <c r="B172" s="15" t="s">
        <v>914</v>
      </c>
      <c r="C172" s="17" t="s">
        <v>1647</v>
      </c>
    </row>
    <row r="173" spans="1:3" x14ac:dyDescent="0.25">
      <c r="A173" s="15" t="s">
        <v>645</v>
      </c>
      <c r="B173" s="15" t="s">
        <v>915</v>
      </c>
      <c r="C173" s="15" t="s">
        <v>1648</v>
      </c>
    </row>
    <row r="174" spans="1:3" x14ac:dyDescent="0.25">
      <c r="A174" s="15" t="s">
        <v>646</v>
      </c>
      <c r="B174" s="15" t="s">
        <v>916</v>
      </c>
      <c r="C174" s="15" t="s">
        <v>1649</v>
      </c>
    </row>
    <row r="175" spans="1:3" x14ac:dyDescent="0.25">
      <c r="A175" s="15" t="s">
        <v>647</v>
      </c>
      <c r="B175" s="15" t="s">
        <v>917</v>
      </c>
      <c r="C175" s="15" t="s">
        <v>1650</v>
      </c>
    </row>
    <row r="176" spans="1:3" x14ac:dyDescent="0.25">
      <c r="A176" s="15" t="s">
        <v>648</v>
      </c>
      <c r="B176" s="15" t="s">
        <v>918</v>
      </c>
      <c r="C176" s="17" t="s">
        <v>1651</v>
      </c>
    </row>
    <row r="177" spans="1:3" x14ac:dyDescent="0.25">
      <c r="A177" s="15" t="s">
        <v>649</v>
      </c>
      <c r="B177" s="15" t="s">
        <v>919</v>
      </c>
      <c r="C177" s="17" t="s">
        <v>1652</v>
      </c>
    </row>
    <row r="178" spans="1:3" x14ac:dyDescent="0.25">
      <c r="A178" s="15" t="s">
        <v>650</v>
      </c>
      <c r="B178" s="15" t="s">
        <v>920</v>
      </c>
      <c r="C178" s="15" t="s">
        <v>1653</v>
      </c>
    </row>
    <row r="179" spans="1:3" x14ac:dyDescent="0.25">
      <c r="A179" s="15" t="s">
        <v>651</v>
      </c>
      <c r="B179" s="15" t="s">
        <v>921</v>
      </c>
      <c r="C179" s="15" t="s">
        <v>1654</v>
      </c>
    </row>
    <row r="180" spans="1:3" x14ac:dyDescent="0.25">
      <c r="A180" s="15" t="s">
        <v>652</v>
      </c>
      <c r="B180" s="15" t="s">
        <v>922</v>
      </c>
      <c r="C180" s="15" t="s">
        <v>1468</v>
      </c>
    </row>
    <row r="181" spans="1:3" x14ac:dyDescent="0.25">
      <c r="A181" s="15" t="s">
        <v>653</v>
      </c>
      <c r="B181" s="15" t="s">
        <v>923</v>
      </c>
      <c r="C181" s="17" t="s">
        <v>1655</v>
      </c>
    </row>
    <row r="182" spans="1:3" x14ac:dyDescent="0.25">
      <c r="A182" s="15" t="s">
        <v>654</v>
      </c>
      <c r="B182" s="15" t="s">
        <v>924</v>
      </c>
      <c r="C182" s="15" t="s">
        <v>1656</v>
      </c>
    </row>
    <row r="183" spans="1:3" x14ac:dyDescent="0.25">
      <c r="A183" s="15" t="s">
        <v>655</v>
      </c>
      <c r="B183" s="15" t="s">
        <v>925</v>
      </c>
      <c r="C183" s="17" t="s">
        <v>1657</v>
      </c>
    </row>
    <row r="184" spans="1:3" x14ac:dyDescent="0.25">
      <c r="A184" s="15" t="s">
        <v>725</v>
      </c>
      <c r="B184" s="15" t="s">
        <v>926</v>
      </c>
      <c r="C184" s="15" t="s">
        <v>1658</v>
      </c>
    </row>
    <row r="185" spans="1:3" x14ac:dyDescent="0.25">
      <c r="A185" s="15" t="s">
        <v>656</v>
      </c>
      <c r="B185" s="15" t="s">
        <v>927</v>
      </c>
      <c r="C185" s="15" t="s">
        <v>1467</v>
      </c>
    </row>
    <row r="186" spans="1:3" x14ac:dyDescent="0.25">
      <c r="A186" s="15" t="s">
        <v>657</v>
      </c>
      <c r="B186" s="15" t="s">
        <v>928</v>
      </c>
      <c r="C186" s="15" t="s">
        <v>1659</v>
      </c>
    </row>
    <row r="187" spans="1:3" x14ac:dyDescent="0.25">
      <c r="A187" s="15" t="s">
        <v>658</v>
      </c>
      <c r="B187" s="15" t="s">
        <v>929</v>
      </c>
      <c r="C187" s="15" t="s">
        <v>1660</v>
      </c>
    </row>
    <row r="188" spans="1:3" x14ac:dyDescent="0.25">
      <c r="A188" s="15" t="s">
        <v>659</v>
      </c>
      <c r="B188" s="15" t="s">
        <v>930</v>
      </c>
      <c r="C188" s="15" t="s">
        <v>1661</v>
      </c>
    </row>
    <row r="189" spans="1:3" x14ac:dyDescent="0.25">
      <c r="A189" s="15" t="s">
        <v>660</v>
      </c>
      <c r="B189" s="15" t="s">
        <v>931</v>
      </c>
      <c r="C189" s="15" t="s">
        <v>1662</v>
      </c>
    </row>
    <row r="190" spans="1:3" x14ac:dyDescent="0.25">
      <c r="A190" s="15" t="s">
        <v>661</v>
      </c>
      <c r="B190" s="15" t="s">
        <v>932</v>
      </c>
      <c r="C190" s="15" t="s">
        <v>1663</v>
      </c>
    </row>
    <row r="191" spans="1:3" x14ac:dyDescent="0.25">
      <c r="A191" s="15" t="s">
        <v>662</v>
      </c>
      <c r="B191" s="15" t="s">
        <v>933</v>
      </c>
      <c r="C191" s="15" t="s">
        <v>1664</v>
      </c>
    </row>
    <row r="192" spans="1:3" x14ac:dyDescent="0.25">
      <c r="A192" s="15" t="s">
        <v>740</v>
      </c>
      <c r="B192" s="15" t="s">
        <v>934</v>
      </c>
      <c r="C192" s="15" t="s">
        <v>1665</v>
      </c>
    </row>
    <row r="193" spans="1:3" x14ac:dyDescent="0.25">
      <c r="A193" s="15" t="s">
        <v>483</v>
      </c>
      <c r="B193" s="15" t="s">
        <v>935</v>
      </c>
      <c r="C193" s="15" t="s">
        <v>1666</v>
      </c>
    </row>
    <row r="194" spans="1:3" x14ac:dyDescent="0.25">
      <c r="A194" s="15" t="s">
        <v>663</v>
      </c>
      <c r="B194" s="15" t="s">
        <v>936</v>
      </c>
      <c r="C194" s="17" t="s">
        <v>1667</v>
      </c>
    </row>
    <row r="195" spans="1:3" x14ac:dyDescent="0.25">
      <c r="A195" s="15" t="s">
        <v>664</v>
      </c>
      <c r="B195" s="15" t="s">
        <v>937</v>
      </c>
      <c r="C195" s="17" t="s">
        <v>1668</v>
      </c>
    </row>
    <row r="196" spans="1:3" x14ac:dyDescent="0.25">
      <c r="A196" s="15" t="s">
        <v>665</v>
      </c>
      <c r="B196" s="15" t="s">
        <v>938</v>
      </c>
      <c r="C196" s="15" t="s">
        <v>1669</v>
      </c>
    </row>
    <row r="197" spans="1:3" x14ac:dyDescent="0.25">
      <c r="A197" s="15" t="s">
        <v>666</v>
      </c>
      <c r="B197" s="15" t="s">
        <v>939</v>
      </c>
      <c r="C197" s="15" t="s">
        <v>1670</v>
      </c>
    </row>
    <row r="198" spans="1:3" x14ac:dyDescent="0.25">
      <c r="A198" s="15" t="s">
        <v>667</v>
      </c>
      <c r="B198" s="15" t="s">
        <v>940</v>
      </c>
      <c r="C198" s="15" t="s">
        <v>1671</v>
      </c>
    </row>
    <row r="199" spans="1:3" x14ac:dyDescent="0.25">
      <c r="A199" s="15" t="s">
        <v>668</v>
      </c>
      <c r="B199" s="15" t="s">
        <v>941</v>
      </c>
      <c r="C199" s="15" t="s">
        <v>1672</v>
      </c>
    </row>
    <row r="200" spans="1:3" x14ac:dyDescent="0.25">
      <c r="A200" s="15" t="s">
        <v>669</v>
      </c>
      <c r="B200" s="15" t="s">
        <v>942</v>
      </c>
      <c r="C200" s="17" t="s">
        <v>1673</v>
      </c>
    </row>
    <row r="201" spans="1:3" x14ac:dyDescent="0.25">
      <c r="A201" s="15" t="s">
        <v>670</v>
      </c>
      <c r="B201" s="15" t="s">
        <v>943</v>
      </c>
      <c r="C201" s="15" t="s">
        <v>1674</v>
      </c>
    </row>
    <row r="202" spans="1:3" x14ac:dyDescent="0.25">
      <c r="A202" s="15" t="s">
        <v>671</v>
      </c>
      <c r="B202" s="15" t="s">
        <v>944</v>
      </c>
      <c r="C202" s="17" t="s">
        <v>1675</v>
      </c>
    </row>
    <row r="203" spans="1:3" x14ac:dyDescent="0.25">
      <c r="A203" s="15" t="s">
        <v>672</v>
      </c>
      <c r="B203" s="15" t="s">
        <v>945</v>
      </c>
      <c r="C203" s="15" t="s">
        <v>1676</v>
      </c>
    </row>
    <row r="204" spans="1:3" x14ac:dyDescent="0.25">
      <c r="A204" s="15" t="s">
        <v>673</v>
      </c>
      <c r="B204" s="15" t="s">
        <v>946</v>
      </c>
      <c r="C204" s="17" t="s">
        <v>1677</v>
      </c>
    </row>
    <row r="205" spans="1:3" x14ac:dyDescent="0.25">
      <c r="A205" s="15" t="s">
        <v>674</v>
      </c>
      <c r="B205" s="15" t="s">
        <v>947</v>
      </c>
      <c r="C205" s="17" t="s">
        <v>1678</v>
      </c>
    </row>
    <row r="206" spans="1:3" x14ac:dyDescent="0.25">
      <c r="A206" s="15" t="s">
        <v>675</v>
      </c>
      <c r="B206" s="15" t="s">
        <v>948</v>
      </c>
      <c r="C206" s="15" t="s">
        <v>1679</v>
      </c>
    </row>
    <row r="207" spans="1:3" x14ac:dyDescent="0.25">
      <c r="A207" s="15" t="s">
        <v>676</v>
      </c>
      <c r="B207" s="15" t="s">
        <v>949</v>
      </c>
      <c r="C207" s="15" t="s">
        <v>1680</v>
      </c>
    </row>
    <row r="208" spans="1:3" x14ac:dyDescent="0.25">
      <c r="A208" s="15" t="s">
        <v>677</v>
      </c>
      <c r="B208" s="15" t="s">
        <v>950</v>
      </c>
      <c r="C208" s="15" t="s">
        <v>1681</v>
      </c>
    </row>
    <row r="209" spans="1:3" x14ac:dyDescent="0.25">
      <c r="A209" s="15" t="s">
        <v>678</v>
      </c>
      <c r="B209" s="15" t="s">
        <v>951</v>
      </c>
      <c r="C209" s="17" t="s">
        <v>1682</v>
      </c>
    </row>
    <row r="210" spans="1:3" x14ac:dyDescent="0.25">
      <c r="A210" s="15" t="s">
        <v>679</v>
      </c>
      <c r="B210" s="15" t="s">
        <v>952</v>
      </c>
      <c r="C210" s="17" t="s">
        <v>1683</v>
      </c>
    </row>
    <row r="211" spans="1:3" x14ac:dyDescent="0.25">
      <c r="A211" s="15" t="s">
        <v>680</v>
      </c>
      <c r="B211" s="15" t="s">
        <v>953</v>
      </c>
      <c r="C211" s="17" t="s">
        <v>1684</v>
      </c>
    </row>
    <row r="212" spans="1:3" x14ac:dyDescent="0.25">
      <c r="A212" s="15" t="s">
        <v>718</v>
      </c>
      <c r="B212" s="15" t="s">
        <v>954</v>
      </c>
      <c r="C212" s="17" t="s">
        <v>1685</v>
      </c>
    </row>
    <row r="213" spans="1:3" x14ac:dyDescent="0.25">
      <c r="A213" s="15" t="s">
        <v>741</v>
      </c>
      <c r="B213" s="15" t="s">
        <v>955</v>
      </c>
      <c r="C213" s="15" t="s">
        <v>1686</v>
      </c>
    </row>
    <row r="214" spans="1:3" x14ac:dyDescent="0.25">
      <c r="A214" s="15" t="s">
        <v>681</v>
      </c>
      <c r="B214" s="15" t="s">
        <v>956</v>
      </c>
      <c r="C214" s="15" t="s">
        <v>1687</v>
      </c>
    </row>
    <row r="215" spans="1:3" x14ac:dyDescent="0.25">
      <c r="A215" s="15" t="s">
        <v>742</v>
      </c>
      <c r="B215" s="15" t="s">
        <v>957</v>
      </c>
      <c r="C215" s="17" t="s">
        <v>1688</v>
      </c>
    </row>
    <row r="216" spans="1:3" x14ac:dyDescent="0.25">
      <c r="A216" s="15" t="s">
        <v>682</v>
      </c>
      <c r="B216" s="15" t="s">
        <v>958</v>
      </c>
      <c r="C216" s="15" t="s">
        <v>1689</v>
      </c>
    </row>
    <row r="217" spans="1:3" x14ac:dyDescent="0.25">
      <c r="A217" s="15" t="s">
        <v>683</v>
      </c>
      <c r="B217" s="15" t="s">
        <v>959</v>
      </c>
      <c r="C217" s="17" t="s">
        <v>1690</v>
      </c>
    </row>
    <row r="218" spans="1:3" x14ac:dyDescent="0.25">
      <c r="A218" s="15" t="s">
        <v>684</v>
      </c>
      <c r="B218" s="15" t="s">
        <v>960</v>
      </c>
      <c r="C218" s="15" t="s">
        <v>1691</v>
      </c>
    </row>
    <row r="219" spans="1:3" x14ac:dyDescent="0.25">
      <c r="A219" s="15" t="s">
        <v>685</v>
      </c>
      <c r="B219" s="15" t="s">
        <v>961</v>
      </c>
      <c r="C219" s="15" t="s">
        <v>1692</v>
      </c>
    </row>
    <row r="220" spans="1:3" x14ac:dyDescent="0.25">
      <c r="A220" s="15" t="s">
        <v>686</v>
      </c>
      <c r="B220" s="15" t="s">
        <v>962</v>
      </c>
      <c r="C220" s="15" t="s">
        <v>1693</v>
      </c>
    </row>
    <row r="221" spans="1:3" x14ac:dyDescent="0.25">
      <c r="A221" s="15" t="s">
        <v>687</v>
      </c>
      <c r="B221" s="15" t="s">
        <v>963</v>
      </c>
      <c r="C221" s="15" t="s">
        <v>1694</v>
      </c>
    </row>
    <row r="222" spans="1:3" x14ac:dyDescent="0.25">
      <c r="A222" s="15" t="s">
        <v>688</v>
      </c>
      <c r="B222" s="15" t="s">
        <v>964</v>
      </c>
      <c r="C222" s="15" t="s">
        <v>1695</v>
      </c>
    </row>
    <row r="223" spans="1:3" x14ac:dyDescent="0.25">
      <c r="A223" s="15" t="s">
        <v>689</v>
      </c>
      <c r="B223" s="15" t="s">
        <v>965</v>
      </c>
      <c r="C223" s="15" t="s">
        <v>1696</v>
      </c>
    </row>
    <row r="224" spans="1:3" x14ac:dyDescent="0.25">
      <c r="A224" s="15" t="s">
        <v>690</v>
      </c>
      <c r="B224" s="15" t="s">
        <v>966</v>
      </c>
      <c r="C224" s="15" t="s">
        <v>1697</v>
      </c>
    </row>
    <row r="225" spans="1:3" x14ac:dyDescent="0.25">
      <c r="A225" s="15" t="s">
        <v>691</v>
      </c>
      <c r="B225" s="15" t="s">
        <v>967</v>
      </c>
      <c r="C225" s="15" t="s">
        <v>1698</v>
      </c>
    </row>
    <row r="226" spans="1:3" x14ac:dyDescent="0.25">
      <c r="A226" s="15" t="s">
        <v>692</v>
      </c>
      <c r="B226" s="15" t="s">
        <v>968</v>
      </c>
      <c r="C226" s="15" t="s">
        <v>1699</v>
      </c>
    </row>
    <row r="227" spans="1:3" x14ac:dyDescent="0.25">
      <c r="A227" s="15" t="s">
        <v>693</v>
      </c>
      <c r="B227" s="15" t="s">
        <v>969</v>
      </c>
      <c r="C227" s="17" t="s">
        <v>1700</v>
      </c>
    </row>
    <row r="228" spans="1:3" x14ac:dyDescent="0.25">
      <c r="A228" s="15" t="s">
        <v>694</v>
      </c>
      <c r="B228" s="15" t="s">
        <v>970</v>
      </c>
      <c r="C228" s="15" t="s">
        <v>1701</v>
      </c>
    </row>
    <row r="229" spans="1:3" x14ac:dyDescent="0.25">
      <c r="A229" s="15" t="s">
        <v>726</v>
      </c>
      <c r="B229" s="15" t="s">
        <v>971</v>
      </c>
      <c r="C229" s="15" t="s">
        <v>1702</v>
      </c>
    </row>
    <row r="230" spans="1:3" x14ac:dyDescent="0.25">
      <c r="A230" s="15" t="s">
        <v>727</v>
      </c>
      <c r="B230" s="15" t="s">
        <v>972</v>
      </c>
      <c r="C230" s="15" t="s">
        <v>1703</v>
      </c>
    </row>
    <row r="231" spans="1:3" x14ac:dyDescent="0.25">
      <c r="A231" s="15" t="s">
        <v>695</v>
      </c>
      <c r="B231" s="15" t="s">
        <v>973</v>
      </c>
      <c r="C231" s="15" t="s">
        <v>1704</v>
      </c>
    </row>
    <row r="232" spans="1:3" x14ac:dyDescent="0.25">
      <c r="A232" s="15" t="s">
        <v>696</v>
      </c>
      <c r="B232" s="15" t="s">
        <v>974</v>
      </c>
      <c r="C232" s="15" t="s">
        <v>1705</v>
      </c>
    </row>
    <row r="233" spans="1:3" x14ac:dyDescent="0.25">
      <c r="A233" s="15" t="s">
        <v>697</v>
      </c>
      <c r="B233" s="15" t="s">
        <v>975</v>
      </c>
      <c r="C233" s="17" t="s">
        <v>1706</v>
      </c>
    </row>
    <row r="234" spans="1:3" x14ac:dyDescent="0.25">
      <c r="A234" s="15" t="s">
        <v>698</v>
      </c>
      <c r="B234" s="15" t="s">
        <v>976</v>
      </c>
      <c r="C234" s="17" t="s">
        <v>1707</v>
      </c>
    </row>
    <row r="235" spans="1:3" x14ac:dyDescent="0.25">
      <c r="A235" s="15" t="s">
        <v>699</v>
      </c>
      <c r="B235" s="15" t="s">
        <v>977</v>
      </c>
      <c r="C235" s="15" t="s">
        <v>1708</v>
      </c>
    </row>
    <row r="236" spans="1:3" x14ac:dyDescent="0.25">
      <c r="A236" s="15" t="s">
        <v>700</v>
      </c>
      <c r="B236" s="15" t="s">
        <v>978</v>
      </c>
      <c r="C236" s="15" t="s">
        <v>1709</v>
      </c>
    </row>
    <row r="237" spans="1:3" x14ac:dyDescent="0.25">
      <c r="A237" s="15" t="s">
        <v>743</v>
      </c>
      <c r="B237" s="15" t="s">
        <v>979</v>
      </c>
      <c r="C237" s="17" t="s">
        <v>979</v>
      </c>
    </row>
    <row r="238" spans="1:3" x14ac:dyDescent="0.25">
      <c r="A238" s="15" t="s">
        <v>701</v>
      </c>
      <c r="B238" s="15" t="s">
        <v>980</v>
      </c>
      <c r="C238" s="17" t="s">
        <v>1710</v>
      </c>
    </row>
    <row r="239" spans="1:3" x14ac:dyDescent="0.25">
      <c r="A239" s="15" t="s">
        <v>719</v>
      </c>
      <c r="B239" s="15" t="s">
        <v>981</v>
      </c>
      <c r="C239" s="15" t="s">
        <v>1711</v>
      </c>
    </row>
    <row r="240" spans="1:3" x14ac:dyDescent="0.25">
      <c r="A240" s="15" t="s">
        <v>720</v>
      </c>
      <c r="B240" s="15" t="s">
        <v>982</v>
      </c>
      <c r="C240" s="17" t="s">
        <v>1712</v>
      </c>
    </row>
    <row r="241" spans="1:3" x14ac:dyDescent="0.25">
      <c r="A241" s="15" t="s">
        <v>721</v>
      </c>
      <c r="B241" s="15" t="s">
        <v>983</v>
      </c>
      <c r="C241" s="17" t="s">
        <v>1713</v>
      </c>
    </row>
    <row r="242" spans="1:3" x14ac:dyDescent="0.25">
      <c r="A242" s="15" t="s">
        <v>744</v>
      </c>
      <c r="B242" s="15" t="s">
        <v>984</v>
      </c>
      <c r="C242" s="15" t="s">
        <v>1714</v>
      </c>
    </row>
    <row r="243" spans="1:3" x14ac:dyDescent="0.25">
      <c r="A243" s="15" t="s">
        <v>702</v>
      </c>
      <c r="B243" s="15" t="s">
        <v>985</v>
      </c>
      <c r="C243" s="15" t="s">
        <v>1715</v>
      </c>
    </row>
    <row r="244" spans="1:3" x14ac:dyDescent="0.25">
      <c r="A244" s="15" t="s">
        <v>703</v>
      </c>
      <c r="B244" s="15" t="s">
        <v>986</v>
      </c>
      <c r="C244" s="17" t="s">
        <v>1716</v>
      </c>
    </row>
    <row r="245" spans="1:3" x14ac:dyDescent="0.25">
      <c r="A245" s="15" t="s">
        <v>704</v>
      </c>
      <c r="B245" s="15" t="s">
        <v>987</v>
      </c>
      <c r="C245" s="15" t="s">
        <v>1717</v>
      </c>
    </row>
    <row r="246" spans="1:3" x14ac:dyDescent="0.25">
      <c r="A246" s="15" t="s">
        <v>705</v>
      </c>
      <c r="B246" s="15" t="s">
        <v>988</v>
      </c>
      <c r="C246" s="15" t="s">
        <v>1718</v>
      </c>
    </row>
    <row r="247" spans="1:3" x14ac:dyDescent="0.25">
      <c r="A247" s="15" t="s">
        <v>706</v>
      </c>
      <c r="B247" s="15" t="s">
        <v>989</v>
      </c>
      <c r="C247" s="15" t="s">
        <v>1719</v>
      </c>
    </row>
    <row r="248" spans="1:3" x14ac:dyDescent="0.25">
      <c r="A248" s="15" t="s">
        <v>707</v>
      </c>
      <c r="B248" s="15" t="s">
        <v>990</v>
      </c>
      <c r="C248" s="17" t="s">
        <v>1720</v>
      </c>
    </row>
    <row r="249" spans="1:3" x14ac:dyDescent="0.25">
      <c r="A249" s="15" t="s">
        <v>708</v>
      </c>
      <c r="B249" s="15" t="s">
        <v>991</v>
      </c>
      <c r="C249" s="15" t="s">
        <v>1721</v>
      </c>
    </row>
    <row r="250" spans="1:3" x14ac:dyDescent="0.25">
      <c r="A250" s="15" t="s">
        <v>709</v>
      </c>
      <c r="B250" s="15" t="s">
        <v>992</v>
      </c>
      <c r="C250" s="15" t="s">
        <v>1722</v>
      </c>
    </row>
  </sheetData>
  <autoFilter ref="A1:C250" xr:uid="{64B53212-52F5-4A7D-9FB7-1079DAE6F64C}"/>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A4" sqref="A4"/>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3" customFormat="1" x14ac:dyDescent="0.2">
      <c r="A1" s="23" t="s">
        <v>178</v>
      </c>
      <c r="B1" s="23" t="s">
        <v>486</v>
      </c>
      <c r="C1" s="23" t="s">
        <v>163</v>
      </c>
    </row>
    <row r="2" spans="1:6" x14ac:dyDescent="0.2">
      <c r="A2" s="1" t="s">
        <v>1045</v>
      </c>
      <c r="B2" s="1" t="s">
        <v>553</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1190</v>
      </c>
      <c r="F3" s="1" t="s">
        <v>558</v>
      </c>
    </row>
    <row r="4" spans="1:6" x14ac:dyDescent="0.2">
      <c r="A4" s="1" t="s">
        <v>1319</v>
      </c>
      <c r="B4" s="1" t="s">
        <v>733</v>
      </c>
      <c r="C4" s="1">
        <v>352</v>
      </c>
      <c r="D4" s="1" t="e">
        <f t="shared" si="0"/>
        <v>#VALUE!</v>
      </c>
      <c r="E4" s="1" t="e">
        <v>#VALUE!</v>
      </c>
    </row>
    <row r="5" spans="1:6" x14ac:dyDescent="0.2">
      <c r="A5" s="1" t="str">
        <f t="shared" ref="A5:A59" si="1">E5</f>
        <v>Tindari</v>
      </c>
      <c r="B5" s="1" t="str">
        <f t="shared" ref="B5:B17" si="2">F5</f>
        <v>Italy</v>
      </c>
      <c r="C5" s="1" t="s">
        <v>1071</v>
      </c>
      <c r="D5" s="1" t="e">
        <f t="shared" si="0"/>
        <v>#VALUE!</v>
      </c>
      <c r="E5" s="1" t="s">
        <v>1191</v>
      </c>
      <c r="F5" s="1" t="s">
        <v>11</v>
      </c>
    </row>
    <row r="6" spans="1:6" x14ac:dyDescent="0.2">
      <c r="A6" s="1" t="str">
        <f t="shared" si="1"/>
        <v>Montserrat</v>
      </c>
      <c r="B6" s="1" t="str">
        <f t="shared" si="2"/>
        <v>Spain</v>
      </c>
      <c r="C6" s="1" t="s">
        <v>1072</v>
      </c>
      <c r="D6" s="1" t="e">
        <f t="shared" si="0"/>
        <v>#VALUE!</v>
      </c>
      <c r="E6" s="1" t="s">
        <v>626</v>
      </c>
      <c r="F6" s="1" t="s">
        <v>553</v>
      </c>
    </row>
    <row r="7" spans="1:6" x14ac:dyDescent="0.2">
      <c r="A7" s="1" t="str">
        <f t="shared" si="1"/>
        <v>Walsingham</v>
      </c>
      <c r="B7" s="1" t="str">
        <f t="shared" si="2"/>
        <v>United Kingdom</v>
      </c>
      <c r="C7" s="1" t="s">
        <v>1073</v>
      </c>
      <c r="D7" s="1" t="e">
        <f t="shared" si="0"/>
        <v>#VALUE!</v>
      </c>
      <c r="E7" s="1" t="s">
        <v>1192</v>
      </c>
      <c r="F7" s="1" t="s">
        <v>738</v>
      </c>
    </row>
    <row r="8" spans="1:6" x14ac:dyDescent="0.2">
      <c r="A8" s="1" t="str">
        <f t="shared" si="1"/>
        <v>Montefortino</v>
      </c>
      <c r="B8" s="1" t="str">
        <f t="shared" si="2"/>
        <v>Italy</v>
      </c>
      <c r="C8" s="1" t="s">
        <v>1074</v>
      </c>
      <c r="D8" s="1" t="e">
        <f t="shared" si="0"/>
        <v>#VALUE!</v>
      </c>
      <c r="E8" s="1" t="s">
        <v>1193</v>
      </c>
      <c r="F8" s="1" t="s">
        <v>11</v>
      </c>
    </row>
    <row r="9" spans="1:6" x14ac:dyDescent="0.2">
      <c r="A9" s="1" t="str">
        <f t="shared" si="1"/>
        <v>Foggia</v>
      </c>
      <c r="B9" s="1" t="str">
        <f t="shared" si="2"/>
        <v>Italy</v>
      </c>
      <c r="C9" s="1" t="s">
        <v>1075</v>
      </c>
      <c r="D9" s="1" t="e">
        <f t="shared" si="0"/>
        <v>#VALUE!</v>
      </c>
      <c r="E9" s="1" t="s">
        <v>1194</v>
      </c>
      <c r="F9" s="1" t="s">
        <v>11</v>
      </c>
    </row>
    <row r="10" spans="1:6" x14ac:dyDescent="0.2">
      <c r="A10" s="1" t="str">
        <f t="shared" si="1"/>
        <v>Arras</v>
      </c>
      <c r="B10" s="1" t="str">
        <f t="shared" si="2"/>
        <v>France</v>
      </c>
      <c r="C10" s="1" t="s">
        <v>1076</v>
      </c>
      <c r="D10" s="1" t="e">
        <f t="shared" si="0"/>
        <v>#VALUE!</v>
      </c>
      <c r="E10" s="1" t="s">
        <v>1195</v>
      </c>
      <c r="F10" s="1" t="s">
        <v>558</v>
      </c>
    </row>
    <row r="11" spans="1:6" x14ac:dyDescent="0.2">
      <c r="A11" s="1" t="str">
        <f t="shared" si="1"/>
        <v>Nazaré</v>
      </c>
      <c r="B11" s="1" t="str">
        <f t="shared" si="2"/>
        <v>Portugal</v>
      </c>
      <c r="C11" s="1" t="s">
        <v>1077</v>
      </c>
      <c r="D11" s="1" t="e">
        <f t="shared" si="0"/>
        <v>#VALUE!</v>
      </c>
      <c r="E11" s="1" t="s">
        <v>1196</v>
      </c>
      <c r="F11" s="1" t="s">
        <v>656</v>
      </c>
    </row>
    <row r="12" spans="1:6" x14ac:dyDescent="0.2">
      <c r="A12" s="1" t="str">
        <f t="shared" si="1"/>
        <v>Swieta Lipka</v>
      </c>
      <c r="B12" s="1" t="str">
        <f t="shared" si="2"/>
        <v>Poland</v>
      </c>
      <c r="C12" s="1" t="s">
        <v>1078</v>
      </c>
      <c r="D12" s="1" t="e">
        <f t="shared" si="0"/>
        <v>#VALUE!</v>
      </c>
      <c r="E12" s="1" t="s">
        <v>1197</v>
      </c>
      <c r="F12" s="1" t="s">
        <v>652</v>
      </c>
    </row>
    <row r="13" spans="1:6" x14ac:dyDescent="0.2">
      <c r="A13" s="1" t="str">
        <f t="shared" si="1"/>
        <v>Assisi</v>
      </c>
      <c r="B13" s="1" t="str">
        <f t="shared" si="2"/>
        <v>Italy</v>
      </c>
      <c r="C13" s="1" t="s">
        <v>1079</v>
      </c>
      <c r="D13" s="1" t="e">
        <f t="shared" si="0"/>
        <v>#VALUE!</v>
      </c>
      <c r="E13" s="1" t="s">
        <v>1198</v>
      </c>
      <c r="F13" s="1" t="s">
        <v>11</v>
      </c>
    </row>
    <row r="14" spans="1:6" x14ac:dyDescent="0.2">
      <c r="A14" s="1" t="str">
        <f t="shared" si="1"/>
        <v>Arcos de Valdevez</v>
      </c>
      <c r="B14" s="1" t="str">
        <f t="shared" si="2"/>
        <v>Portugal</v>
      </c>
      <c r="C14" s="1" t="s">
        <v>1080</v>
      </c>
      <c r="D14" s="1" t="e">
        <f t="shared" si="0"/>
        <v>#VALUE!</v>
      </c>
      <c r="E14" s="1" t="s">
        <v>1199</v>
      </c>
      <c r="F14" s="1" t="s">
        <v>656</v>
      </c>
    </row>
    <row r="15" spans="1:6" x14ac:dyDescent="0.2">
      <c r="A15" s="1" t="str">
        <f t="shared" si="1"/>
        <v>Cortes</v>
      </c>
      <c r="B15" s="1" t="str">
        <f t="shared" si="2"/>
        <v>Spain</v>
      </c>
      <c r="C15" s="1" t="s">
        <v>1081</v>
      </c>
      <c r="D15" s="1" t="e">
        <f t="shared" si="0"/>
        <v>#VALUE!</v>
      </c>
      <c r="E15" s="1" t="s">
        <v>1200</v>
      </c>
      <c r="F15" s="1" t="s">
        <v>553</v>
      </c>
    </row>
    <row r="16" spans="1:6" x14ac:dyDescent="0.2">
      <c r="A16" s="1" t="str">
        <f t="shared" si="1"/>
        <v>Florence</v>
      </c>
      <c r="B16" s="1" t="str">
        <f t="shared" si="2"/>
        <v>Italy</v>
      </c>
      <c r="C16" s="1" t="s">
        <v>1082</v>
      </c>
      <c r="D16" s="1" t="e">
        <f t="shared" si="0"/>
        <v>#VALUE!</v>
      </c>
      <c r="E16" s="1" t="s">
        <v>1201</v>
      </c>
      <c r="F16" s="1" t="s">
        <v>11</v>
      </c>
    </row>
    <row r="17" spans="1:6" x14ac:dyDescent="0.2">
      <c r="A17" s="1" t="str">
        <f t="shared" si="1"/>
        <v>Aylesford</v>
      </c>
      <c r="B17" s="1" t="str">
        <f t="shared" si="2"/>
        <v>United Kingdom</v>
      </c>
      <c r="C17" s="1" t="s">
        <v>1083</v>
      </c>
      <c r="D17" s="1" t="e">
        <f t="shared" si="0"/>
        <v>#VALUE!</v>
      </c>
      <c r="E17" s="1" t="s">
        <v>1202</v>
      </c>
      <c r="F17" s="1" t="s">
        <v>738</v>
      </c>
    </row>
    <row r="18" spans="1:6" x14ac:dyDescent="0.2">
      <c r="A18" s="1" t="str">
        <f t="shared" si="1"/>
        <v>Rome (Santa Maria in Via)</v>
      </c>
      <c r="B18" s="1" t="s">
        <v>733</v>
      </c>
      <c r="C18" s="1" t="s">
        <v>1084</v>
      </c>
      <c r="D18" s="1" t="e">
        <f t="shared" si="0"/>
        <v>#VALUE!</v>
      </c>
      <c r="E18" s="1" t="s">
        <v>1318</v>
      </c>
      <c r="F18" s="1" t="s">
        <v>11</v>
      </c>
    </row>
    <row r="19" spans="1:6" x14ac:dyDescent="0.2">
      <c r="A19" s="1" t="str">
        <f t="shared" si="1"/>
        <v>The Holy House of Nazareth at Loreto </v>
      </c>
      <c r="B19" s="1" t="str">
        <f t="shared" ref="B19:B59" si="3">F19</f>
        <v>Italy</v>
      </c>
      <c r="C19" s="1" t="s">
        <v>1085</v>
      </c>
      <c r="D19" s="1" t="e">
        <f t="shared" si="0"/>
        <v>#VALUE!</v>
      </c>
      <c r="E19" s="1" t="s">
        <v>1203</v>
      </c>
      <c r="F19" s="1" t="s">
        <v>11</v>
      </c>
    </row>
    <row r="20" spans="1:6" x14ac:dyDescent="0.2">
      <c r="A20" s="1" t="str">
        <f t="shared" si="1"/>
        <v>Bra</v>
      </c>
      <c r="B20" s="1" t="str">
        <f t="shared" si="3"/>
        <v>Italy</v>
      </c>
      <c r="C20" s="1" t="s">
        <v>1086</v>
      </c>
      <c r="D20" s="1" t="e">
        <f t="shared" si="0"/>
        <v>#VALUE!</v>
      </c>
      <c r="E20" s="1" t="s">
        <v>1204</v>
      </c>
      <c r="F20" s="1" t="s">
        <v>11</v>
      </c>
    </row>
    <row r="21" spans="1:6" x14ac:dyDescent="0.2">
      <c r="A21" s="1" t="str">
        <f t="shared" si="1"/>
        <v>Roverano</v>
      </c>
      <c r="B21" s="1" t="str">
        <f t="shared" si="3"/>
        <v>Italy</v>
      </c>
      <c r="C21" s="1" t="s">
        <v>1087</v>
      </c>
      <c r="D21" s="1" t="e">
        <f t="shared" si="0"/>
        <v>#VALUE!</v>
      </c>
      <c r="E21" s="1" t="s">
        <v>1205</v>
      </c>
      <c r="F21" s="1" t="s">
        <v>11</v>
      </c>
    </row>
    <row r="22" spans="1:6" x14ac:dyDescent="0.2">
      <c r="A22" s="1" t="str">
        <f t="shared" si="1"/>
        <v>Valverdo Di Rezzato</v>
      </c>
      <c r="B22" s="1" t="str">
        <f t="shared" si="3"/>
        <v>Italy</v>
      </c>
      <c r="C22" s="1" t="s">
        <v>1321</v>
      </c>
      <c r="D22" s="1" t="e">
        <f t="shared" si="0"/>
        <v>#VALUE!</v>
      </c>
      <c r="E22" s="1" t="s">
        <v>1206</v>
      </c>
      <c r="F22" s="1" t="s">
        <v>11</v>
      </c>
    </row>
    <row r="23" spans="1:6" x14ac:dyDescent="0.2">
      <c r="A23" s="1" t="str">
        <f t="shared" si="1"/>
        <v>Castel Godego</v>
      </c>
      <c r="B23" s="1" t="str">
        <f t="shared" si="3"/>
        <v>Italy</v>
      </c>
      <c r="C23" s="1" t="s">
        <v>1088</v>
      </c>
      <c r="D23" s="1" t="e">
        <f t="shared" si="0"/>
        <v>#VALUE!</v>
      </c>
      <c r="E23" s="1" t="s">
        <v>1207</v>
      </c>
      <c r="F23" s="1" t="s">
        <v>11</v>
      </c>
    </row>
    <row r="24" spans="1:6" x14ac:dyDescent="0.2">
      <c r="A24" s="1" t="str">
        <f t="shared" si="1"/>
        <v>Cordoba</v>
      </c>
      <c r="B24" s="1" t="str">
        <f t="shared" si="3"/>
        <v>Spain</v>
      </c>
      <c r="C24" s="1" t="s">
        <v>1088</v>
      </c>
      <c r="D24" s="1" t="e">
        <f t="shared" si="0"/>
        <v>#VALUE!</v>
      </c>
      <c r="E24" s="1" t="s">
        <v>1208</v>
      </c>
      <c r="F24" s="1" t="s">
        <v>553</v>
      </c>
    </row>
    <row r="25" spans="1:6" x14ac:dyDescent="0.2">
      <c r="A25" s="1" t="str">
        <f t="shared" si="1"/>
        <v>Monte Berico</v>
      </c>
      <c r="B25" s="1" t="str">
        <f t="shared" si="3"/>
        <v>Italy</v>
      </c>
      <c r="C25" s="1" t="s">
        <v>1089</v>
      </c>
      <c r="D25" s="1" t="e">
        <f t="shared" si="0"/>
        <v>#VALUE!</v>
      </c>
      <c r="E25" s="1" t="s">
        <v>1209</v>
      </c>
      <c r="F25" s="1" t="s">
        <v>11</v>
      </c>
    </row>
    <row r="26" spans="1:6" x14ac:dyDescent="0.2">
      <c r="A26" s="1" t="str">
        <f t="shared" si="1"/>
        <v>Caravaggio</v>
      </c>
      <c r="B26" s="1" t="str">
        <f t="shared" si="3"/>
        <v>Italy</v>
      </c>
      <c r="C26" s="1" t="s">
        <v>1090</v>
      </c>
      <c r="D26" s="1" t="e">
        <f t="shared" si="0"/>
        <v>#VALUE!</v>
      </c>
      <c r="E26" s="1" t="s">
        <v>1210</v>
      </c>
      <c r="F26" s="1" t="s">
        <v>11</v>
      </c>
    </row>
    <row r="27" spans="1:6" x14ac:dyDescent="0.2">
      <c r="A27" s="1" t="str">
        <f t="shared" si="1"/>
        <v>Desenzano Di Albino</v>
      </c>
      <c r="B27" s="1" t="str">
        <f t="shared" si="3"/>
        <v>Italy</v>
      </c>
      <c r="C27" s="1" t="s">
        <v>1091</v>
      </c>
      <c r="D27" s="1" t="e">
        <f t="shared" si="0"/>
        <v>#VALUE!</v>
      </c>
      <c r="E27" s="1" t="s">
        <v>1211</v>
      </c>
      <c r="F27" s="1" t="s">
        <v>11</v>
      </c>
    </row>
    <row r="28" spans="1:6" x14ac:dyDescent="0.2">
      <c r="A28" s="1" t="str">
        <f t="shared" si="1"/>
        <v>Fuerteventura</v>
      </c>
      <c r="B28" s="1" t="str">
        <f t="shared" si="3"/>
        <v>Spain</v>
      </c>
      <c r="C28" s="1" t="s">
        <v>1092</v>
      </c>
      <c r="D28" s="1" t="e">
        <f t="shared" si="0"/>
        <v>#VALUE!</v>
      </c>
      <c r="E28" s="1" t="s">
        <v>1212</v>
      </c>
      <c r="F28" s="1" t="s">
        <v>553</v>
      </c>
    </row>
    <row r="29" spans="1:6" x14ac:dyDescent="0.2">
      <c r="A29" s="1" t="str">
        <f t="shared" si="1"/>
        <v>Sant'Anastasia</v>
      </c>
      <c r="B29" s="1" t="str">
        <f t="shared" si="3"/>
        <v>Italy</v>
      </c>
      <c r="C29" s="1" t="s">
        <v>1322</v>
      </c>
      <c r="D29" s="1" t="e">
        <f t="shared" si="0"/>
        <v>#VALUE!</v>
      </c>
      <c r="E29" s="1" t="s">
        <v>1323</v>
      </c>
      <c r="F29" s="1" t="s">
        <v>11</v>
      </c>
    </row>
    <row r="30" spans="1:6" x14ac:dyDescent="0.2">
      <c r="A30" s="1" t="str">
        <f t="shared" si="1"/>
        <v>Ghisalba</v>
      </c>
      <c r="B30" s="1" t="str">
        <f t="shared" si="3"/>
        <v>Italy</v>
      </c>
      <c r="C30" s="1" t="s">
        <v>1093</v>
      </c>
      <c r="D30" s="1" t="e">
        <f t="shared" si="0"/>
        <v>#VALUE!</v>
      </c>
      <c r="E30" s="1" t="s">
        <v>1213</v>
      </c>
      <c r="F30" s="1" t="s">
        <v>11</v>
      </c>
    </row>
    <row r="31" spans="1:6" x14ac:dyDescent="0.2">
      <c r="A31" s="1" t="str">
        <f t="shared" si="1"/>
        <v>Garlasco</v>
      </c>
      <c r="B31" s="1" t="str">
        <f t="shared" si="3"/>
        <v>Italy</v>
      </c>
      <c r="C31" s="1" t="s">
        <v>1094</v>
      </c>
      <c r="D31" s="1" t="e">
        <f t="shared" si="0"/>
        <v>#VALUE!</v>
      </c>
      <c r="E31" s="1" t="s">
        <v>1214</v>
      </c>
      <c r="F31" s="1" t="s">
        <v>11</v>
      </c>
    </row>
    <row r="32" spans="1:6" x14ac:dyDescent="0.2">
      <c r="A32" s="1" t="str">
        <f t="shared" si="1"/>
        <v>Genazzano</v>
      </c>
      <c r="B32" s="1" t="str">
        <f t="shared" si="3"/>
        <v>Italy</v>
      </c>
      <c r="C32" s="1" t="s">
        <v>1095</v>
      </c>
      <c r="D32" s="1" t="e">
        <f t="shared" si="0"/>
        <v>#VALUE!</v>
      </c>
      <c r="E32" s="1" t="s">
        <v>1215</v>
      </c>
      <c r="F32" s="1" t="s">
        <v>11</v>
      </c>
    </row>
    <row r="33" spans="1:6" x14ac:dyDescent="0.2">
      <c r="A33" s="1" t="str">
        <f t="shared" si="1"/>
        <v>Badia Di Cava</v>
      </c>
      <c r="B33" s="1" t="str">
        <f t="shared" si="3"/>
        <v>Italy</v>
      </c>
      <c r="C33" s="1" t="s">
        <v>1096</v>
      </c>
      <c r="D33" s="1" t="e">
        <f t="shared" si="0"/>
        <v>#VALUE!</v>
      </c>
      <c r="E33" s="1" t="s">
        <v>1216</v>
      </c>
      <c r="F33" s="1" t="s">
        <v>11</v>
      </c>
    </row>
    <row r="34" spans="1:6" x14ac:dyDescent="0.2">
      <c r="A34" s="1" t="str">
        <f t="shared" si="1"/>
        <v>Boccadirio</v>
      </c>
      <c r="B34" s="1" t="str">
        <f t="shared" si="3"/>
        <v>Italy</v>
      </c>
      <c r="C34" s="1" t="s">
        <v>1097</v>
      </c>
      <c r="D34" s="1" t="e">
        <f t="shared" si="0"/>
        <v>#VALUE!</v>
      </c>
      <c r="E34" s="1" t="s">
        <v>1217</v>
      </c>
      <c r="F34" s="1" t="s">
        <v>11</v>
      </c>
    </row>
    <row r="35" spans="1:6" x14ac:dyDescent="0.2">
      <c r="A35" s="1" t="str">
        <f t="shared" si="1"/>
        <v>Teror</v>
      </c>
      <c r="B35" s="1" t="str">
        <f t="shared" si="3"/>
        <v>Spain</v>
      </c>
      <c r="C35" s="1" t="s">
        <v>1098</v>
      </c>
      <c r="D35" s="1" t="e">
        <f t="shared" si="0"/>
        <v>#VALUE!</v>
      </c>
      <c r="E35" s="1" t="s">
        <v>1218</v>
      </c>
      <c r="F35" s="1" t="s">
        <v>553</v>
      </c>
    </row>
    <row r="36" spans="1:6" x14ac:dyDescent="0.2">
      <c r="A36" s="1" t="str">
        <f t="shared" si="1"/>
        <v>Imola</v>
      </c>
      <c r="B36" s="1" t="str">
        <f t="shared" si="3"/>
        <v>Italy</v>
      </c>
      <c r="C36" s="1" t="s">
        <v>1099</v>
      </c>
      <c r="D36" s="1" t="e">
        <f t="shared" si="0"/>
        <v>#VALUE!</v>
      </c>
      <c r="E36" s="1" t="s">
        <v>1219</v>
      </c>
      <c r="F36" s="1" t="s">
        <v>11</v>
      </c>
    </row>
    <row r="37" spans="1:6" x14ac:dyDescent="0.2">
      <c r="A37" s="1" t="str">
        <f t="shared" si="1"/>
        <v>Agres</v>
      </c>
      <c r="B37" s="1" t="str">
        <f t="shared" si="3"/>
        <v>Spain</v>
      </c>
      <c r="C37" s="1" t="s">
        <v>1100</v>
      </c>
      <c r="D37" s="1" t="e">
        <f t="shared" si="0"/>
        <v>#VALUE!</v>
      </c>
      <c r="E37" s="1" t="s">
        <v>1220</v>
      </c>
      <c r="F37" s="1" t="s">
        <v>553</v>
      </c>
    </row>
    <row r="38" spans="1:6" x14ac:dyDescent="0.2">
      <c r="A38" s="1" t="str">
        <f t="shared" si="1"/>
        <v>Pontassieve</v>
      </c>
      <c r="B38" s="1" t="str">
        <f t="shared" si="3"/>
        <v>Italy</v>
      </c>
      <c r="C38" s="1" t="s">
        <v>1100</v>
      </c>
      <c r="D38" s="1" t="e">
        <f t="shared" si="0"/>
        <v>#VALUE!</v>
      </c>
      <c r="E38" s="1" t="s">
        <v>1221</v>
      </c>
      <c r="F38" s="1" t="s">
        <v>11</v>
      </c>
    </row>
    <row r="39" spans="1:6" x14ac:dyDescent="0.2">
      <c r="A39" s="1" t="str">
        <f t="shared" si="1"/>
        <v>Genoa</v>
      </c>
      <c r="B39" s="1" t="str">
        <f t="shared" si="3"/>
        <v>Italy</v>
      </c>
      <c r="C39" s="1" t="s">
        <v>1101</v>
      </c>
      <c r="D39" s="1" t="e">
        <f t="shared" si="0"/>
        <v>#VALUE!</v>
      </c>
      <c r="E39" s="1" t="s">
        <v>1222</v>
      </c>
      <c r="F39" s="1" t="s">
        <v>11</v>
      </c>
    </row>
    <row r="40" spans="1:6" x14ac:dyDescent="0.2">
      <c r="A40" s="1" t="str">
        <f t="shared" si="1"/>
        <v>Trois-Epis</v>
      </c>
      <c r="B40" s="1" t="str">
        <f t="shared" si="3"/>
        <v>France</v>
      </c>
      <c r="C40" s="1" t="s">
        <v>1102</v>
      </c>
      <c r="D40" s="1" t="e">
        <f t="shared" si="0"/>
        <v>#VALUE!</v>
      </c>
      <c r="E40" s="1" t="s">
        <v>1223</v>
      </c>
      <c r="F40" s="1" t="s">
        <v>558</v>
      </c>
    </row>
    <row r="41" spans="1:6" x14ac:dyDescent="0.2">
      <c r="A41" s="1" t="str">
        <f t="shared" si="1"/>
        <v>Gallivaggio</v>
      </c>
      <c r="B41" s="1" t="str">
        <f t="shared" si="3"/>
        <v>Italy</v>
      </c>
      <c r="C41" s="1" t="s">
        <v>1103</v>
      </c>
      <c r="D41" s="1" t="e">
        <f t="shared" si="0"/>
        <v>#VALUE!</v>
      </c>
      <c r="E41" s="1" t="s">
        <v>1224</v>
      </c>
      <c r="F41" s="1" t="s">
        <v>11</v>
      </c>
    </row>
    <row r="42" spans="1:6" x14ac:dyDescent="0.2">
      <c r="A42" s="1" t="str">
        <f t="shared" si="1"/>
        <v>Re</v>
      </c>
      <c r="B42" s="1" t="str">
        <f t="shared" si="3"/>
        <v>Italy</v>
      </c>
      <c r="C42" s="1" t="s">
        <v>1104</v>
      </c>
      <c r="D42" s="1" t="e">
        <f t="shared" si="0"/>
        <v>#VALUE!</v>
      </c>
      <c r="E42" s="1" t="s">
        <v>1225</v>
      </c>
      <c r="F42" s="1" t="s">
        <v>11</v>
      </c>
    </row>
    <row r="43" spans="1:6" x14ac:dyDescent="0.2">
      <c r="A43" s="1" t="str">
        <f t="shared" si="1"/>
        <v>Bettola</v>
      </c>
      <c r="B43" s="1" t="str">
        <f t="shared" si="3"/>
        <v>Italy</v>
      </c>
      <c r="C43" s="1" t="s">
        <v>1105</v>
      </c>
      <c r="D43" s="1" t="e">
        <f t="shared" si="0"/>
        <v>#VALUE!</v>
      </c>
      <c r="E43" s="1" t="s">
        <v>1226</v>
      </c>
      <c r="F43" s="1" t="s">
        <v>11</v>
      </c>
    </row>
    <row r="44" spans="1:6" x14ac:dyDescent="0.2">
      <c r="A44" s="1" t="str">
        <f t="shared" si="1"/>
        <v>Molare</v>
      </c>
      <c r="B44" s="1" t="str">
        <f t="shared" si="3"/>
        <v>Italy</v>
      </c>
      <c r="C44" s="1" t="s">
        <v>1106</v>
      </c>
      <c r="D44" s="1" t="e">
        <f t="shared" si="0"/>
        <v>#VALUE!</v>
      </c>
      <c r="E44" s="1" t="s">
        <v>1227</v>
      </c>
      <c r="F44" s="1" t="s">
        <v>11</v>
      </c>
    </row>
    <row r="45" spans="1:6" x14ac:dyDescent="0.2">
      <c r="A45" s="1" t="str">
        <f t="shared" si="1"/>
        <v>Vailankanni</v>
      </c>
      <c r="B45" s="1" t="str">
        <f t="shared" si="3"/>
        <v>India</v>
      </c>
      <c r="C45" s="1" t="s">
        <v>1106</v>
      </c>
      <c r="D45" s="1" t="e">
        <f t="shared" si="0"/>
        <v>#VALUE!</v>
      </c>
      <c r="E45" s="1" t="s">
        <v>1228</v>
      </c>
      <c r="F45" s="1" t="s">
        <v>2</v>
      </c>
    </row>
    <row r="46" spans="1:6" x14ac:dyDescent="0.2">
      <c r="A46" s="1" t="str">
        <f t="shared" si="1"/>
        <v>Andacollo</v>
      </c>
      <c r="B46" s="1" t="str">
        <f t="shared" si="3"/>
        <v>Chile</v>
      </c>
      <c r="C46" s="1" t="s">
        <v>1106</v>
      </c>
      <c r="D46" s="1" t="e">
        <f t="shared" si="0"/>
        <v>#VALUE!</v>
      </c>
      <c r="E46" s="1" t="s">
        <v>1229</v>
      </c>
      <c r="F46" s="1" t="s">
        <v>532</v>
      </c>
    </row>
    <row r="47" spans="1:6" x14ac:dyDescent="0.2">
      <c r="A47" s="1" t="str">
        <f t="shared" si="1"/>
        <v>Luggau</v>
      </c>
      <c r="B47" s="1" t="str">
        <f t="shared" si="3"/>
        <v>Austria</v>
      </c>
      <c r="C47" s="1" t="s">
        <v>1106</v>
      </c>
      <c r="D47" s="1" t="e">
        <f t="shared" si="0"/>
        <v>#VALUE!</v>
      </c>
      <c r="E47" s="1" t="s">
        <v>1230</v>
      </c>
      <c r="F47" s="1" t="s">
        <v>503</v>
      </c>
    </row>
    <row r="48" spans="1:6" x14ac:dyDescent="0.2">
      <c r="A48" s="1" t="str">
        <f t="shared" si="1"/>
        <v>Tirano</v>
      </c>
      <c r="B48" s="1" t="str">
        <f t="shared" si="3"/>
        <v>Italy</v>
      </c>
      <c r="C48" s="1" t="s">
        <v>1107</v>
      </c>
      <c r="D48" s="1" t="e">
        <f t="shared" si="0"/>
        <v>#VALUE!</v>
      </c>
      <c r="E48" s="1" t="s">
        <v>1231</v>
      </c>
      <c r="F48" s="1" t="s">
        <v>11</v>
      </c>
    </row>
    <row r="49" spans="1:6" x14ac:dyDescent="0.2">
      <c r="A49" s="1" t="str">
        <f t="shared" si="1"/>
        <v>Motta Di Livenza</v>
      </c>
      <c r="B49" s="1" t="str">
        <f t="shared" si="3"/>
        <v>Italy</v>
      </c>
      <c r="C49" s="1" t="s">
        <v>1108</v>
      </c>
      <c r="D49" s="1" t="e">
        <f t="shared" si="0"/>
        <v>#VALUE!</v>
      </c>
      <c r="E49" s="1" t="s">
        <v>1232</v>
      </c>
      <c r="F49" s="1" t="s">
        <v>11</v>
      </c>
    </row>
    <row r="50" spans="1:6" x14ac:dyDescent="0.2">
      <c r="A50" s="1" t="str">
        <f t="shared" si="1"/>
        <v>Peschiera Sul Garda</v>
      </c>
      <c r="B50" s="1" t="str">
        <f t="shared" si="3"/>
        <v>Italy</v>
      </c>
      <c r="C50" s="1" t="s">
        <v>1108</v>
      </c>
      <c r="D50" s="1" t="e">
        <f t="shared" si="0"/>
        <v>#VALUE!</v>
      </c>
      <c r="E50" s="1" t="s">
        <v>1233</v>
      </c>
      <c r="F50" s="1" t="s">
        <v>11</v>
      </c>
    </row>
    <row r="51" spans="1:6" x14ac:dyDescent="0.2">
      <c r="A51" s="1" t="str">
        <f t="shared" si="1"/>
        <v>Bergamo</v>
      </c>
      <c r="B51" s="1" t="str">
        <f t="shared" si="3"/>
        <v>Italy</v>
      </c>
      <c r="C51" s="1" t="s">
        <v>1108</v>
      </c>
      <c r="D51" s="1" t="e">
        <f t="shared" si="0"/>
        <v>#VALUE!</v>
      </c>
      <c r="E51" s="1" t="s">
        <v>1234</v>
      </c>
      <c r="F51" s="1" t="s">
        <v>11</v>
      </c>
    </row>
    <row r="52" spans="1:6" x14ac:dyDescent="0.2">
      <c r="A52" s="1" t="str">
        <f t="shared" si="1"/>
        <v>Rzeszów</v>
      </c>
      <c r="B52" s="1" t="str">
        <f t="shared" si="3"/>
        <v>Poland</v>
      </c>
      <c r="C52" s="1" t="s">
        <v>1109</v>
      </c>
      <c r="D52" s="1" t="e">
        <f t="shared" si="0"/>
        <v>#VALUE!</v>
      </c>
      <c r="E52" s="1" t="s">
        <v>1235</v>
      </c>
      <c r="F52" s="1" t="s">
        <v>652</v>
      </c>
    </row>
    <row r="53" spans="1:6" x14ac:dyDescent="0.2">
      <c r="A53" s="1" t="str">
        <f t="shared" si="1"/>
        <v>Garaison</v>
      </c>
      <c r="B53" s="1" t="str">
        <f t="shared" si="3"/>
        <v>France</v>
      </c>
      <c r="C53" s="1" t="s">
        <v>1110</v>
      </c>
      <c r="D53" s="1" t="e">
        <f t="shared" si="0"/>
        <v>#VALUE!</v>
      </c>
      <c r="E53" s="1" t="s">
        <v>1236</v>
      </c>
      <c r="F53" s="1" t="s">
        <v>558</v>
      </c>
    </row>
    <row r="54" spans="1:6" x14ac:dyDescent="0.2">
      <c r="A54" s="1" t="str">
        <f t="shared" si="1"/>
        <v>Adro</v>
      </c>
      <c r="B54" s="1" t="str">
        <f t="shared" si="3"/>
        <v>Italy</v>
      </c>
      <c r="C54" s="1" t="s">
        <v>1111</v>
      </c>
      <c r="D54" s="1" t="e">
        <f t="shared" si="0"/>
        <v>#VALUE!</v>
      </c>
      <c r="E54" s="1" t="s">
        <v>1237</v>
      </c>
      <c r="F54" s="1" t="s">
        <v>11</v>
      </c>
    </row>
    <row r="55" spans="1:6" x14ac:dyDescent="0.2">
      <c r="A55" s="1" t="str">
        <f t="shared" si="1"/>
        <v>Cotignac</v>
      </c>
      <c r="B55" s="1" t="str">
        <f t="shared" si="3"/>
        <v>France</v>
      </c>
      <c r="C55" s="1" t="s">
        <v>1112</v>
      </c>
      <c r="D55" s="1" t="e">
        <f t="shared" si="0"/>
        <v>#VALUE!</v>
      </c>
      <c r="E55" s="1" t="s">
        <v>1238</v>
      </c>
      <c r="F55" s="1" t="s">
        <v>558</v>
      </c>
    </row>
    <row r="56" spans="1:6" x14ac:dyDescent="0.2">
      <c r="A56" s="1" t="str">
        <f t="shared" si="1"/>
        <v>Cori</v>
      </c>
      <c r="B56" s="1" t="str">
        <f t="shared" si="3"/>
        <v>Italy</v>
      </c>
      <c r="C56" s="1" t="s">
        <v>1113</v>
      </c>
      <c r="D56" s="1" t="e">
        <f t="shared" si="0"/>
        <v>#VALUE!</v>
      </c>
      <c r="E56" s="1" t="s">
        <v>1239</v>
      </c>
      <c r="F56" s="1" t="s">
        <v>11</v>
      </c>
    </row>
    <row r="57" spans="1:6" x14ac:dyDescent="0.2">
      <c r="A57" s="1" t="str">
        <f t="shared" si="1"/>
        <v>Cussanio</v>
      </c>
      <c r="B57" s="1" t="str">
        <f t="shared" si="3"/>
        <v>Italy</v>
      </c>
      <c r="C57" s="1" t="s">
        <v>1113</v>
      </c>
      <c r="D57" s="1" t="e">
        <f t="shared" si="0"/>
        <v>#VALUE!</v>
      </c>
      <c r="E57" s="1" t="s">
        <v>1240</v>
      </c>
      <c r="F57" s="1" t="s">
        <v>11</v>
      </c>
    </row>
    <row r="58" spans="1:6" x14ac:dyDescent="0.2">
      <c r="A58" s="1" t="str">
        <f t="shared" si="1"/>
        <v>Crescentino</v>
      </c>
      <c r="B58" s="1" t="str">
        <f t="shared" si="3"/>
        <v>Italy</v>
      </c>
      <c r="C58" s="1" t="s">
        <v>1114</v>
      </c>
      <c r="D58" s="1" t="e">
        <f t="shared" si="0"/>
        <v>#VALUE!</v>
      </c>
      <c r="E58" s="1" t="s">
        <v>1241</v>
      </c>
      <c r="F58" s="1" t="s">
        <v>11</v>
      </c>
    </row>
    <row r="59" spans="1:6" x14ac:dyDescent="0.2">
      <c r="A59" s="1" t="str">
        <f t="shared" si="1"/>
        <v>Ornavasso</v>
      </c>
      <c r="B59" s="1" t="str">
        <f t="shared" si="3"/>
        <v>Italy</v>
      </c>
      <c r="C59" s="1" t="s">
        <v>1115</v>
      </c>
      <c r="D59" s="1" t="e">
        <f t="shared" si="0"/>
        <v>#VALUE!</v>
      </c>
      <c r="E59" s="1" t="s">
        <v>1242</v>
      </c>
      <c r="F59" s="1" t="s">
        <v>11</v>
      </c>
    </row>
    <row r="60" spans="1:6" x14ac:dyDescent="0.2">
      <c r="A60" s="1" t="s">
        <v>1010</v>
      </c>
      <c r="B60" s="1" t="s">
        <v>631</v>
      </c>
      <c r="C60" s="1">
        <v>1531</v>
      </c>
      <c r="D60" s="1" t="e">
        <f t="shared" si="0"/>
        <v>#VALUE!</v>
      </c>
      <c r="E60" s="1" t="e">
        <v>#VALUE!</v>
      </c>
    </row>
    <row r="61" spans="1:6" x14ac:dyDescent="0.2">
      <c r="A61" s="1" t="str">
        <f t="shared" ref="A61:A72" si="4">E61</f>
        <v>Savona</v>
      </c>
      <c r="B61" s="1" t="str">
        <f t="shared" ref="B61:B72" si="5">F61</f>
        <v>Italy</v>
      </c>
      <c r="C61" s="1" t="s">
        <v>1116</v>
      </c>
      <c r="D61" s="1" t="e">
        <f t="shared" si="0"/>
        <v>#VALUE!</v>
      </c>
      <c r="E61" s="1" t="s">
        <v>1243</v>
      </c>
      <c r="F61" s="1" t="s">
        <v>11</v>
      </c>
    </row>
    <row r="62" spans="1:6" x14ac:dyDescent="0.2">
      <c r="A62" s="1" t="str">
        <f t="shared" si="4"/>
        <v>Sveta Gora</v>
      </c>
      <c r="B62" s="1" t="str">
        <f t="shared" si="5"/>
        <v>Slovenia</v>
      </c>
      <c r="C62" s="1" t="s">
        <v>1117</v>
      </c>
      <c r="D62" s="1" t="e">
        <f t="shared" si="0"/>
        <v>#VALUE!</v>
      </c>
      <c r="E62" s="1" t="s">
        <v>1244</v>
      </c>
      <c r="F62" s="1" t="s">
        <v>670</v>
      </c>
    </row>
    <row r="63" spans="1:6" x14ac:dyDescent="0.2">
      <c r="A63" s="1" t="str">
        <f t="shared" si="4"/>
        <v>Ocotlán</v>
      </c>
      <c r="B63" s="1" t="str">
        <f t="shared" si="5"/>
        <v>Mexico</v>
      </c>
      <c r="C63" s="1" t="s">
        <v>1118</v>
      </c>
      <c r="D63" s="1" t="e">
        <f t="shared" si="0"/>
        <v>#VALUE!</v>
      </c>
      <c r="E63" s="1" t="s">
        <v>1245</v>
      </c>
      <c r="F63" s="1" t="s">
        <v>631</v>
      </c>
    </row>
    <row r="64" spans="1:6" x14ac:dyDescent="0.2">
      <c r="A64" s="1" t="str">
        <f t="shared" si="4"/>
        <v>Vacciago</v>
      </c>
      <c r="B64" s="1" t="str">
        <f t="shared" si="5"/>
        <v>Italy</v>
      </c>
      <c r="C64" s="1" t="s">
        <v>1119</v>
      </c>
      <c r="D64" s="1" t="e">
        <f t="shared" si="0"/>
        <v>#VALUE!</v>
      </c>
      <c r="E64" s="1" t="s">
        <v>1246</v>
      </c>
      <c r="F64" s="1" t="s">
        <v>11</v>
      </c>
    </row>
    <row r="65" spans="1:6" x14ac:dyDescent="0.2">
      <c r="A65" s="1" t="str">
        <f t="shared" si="4"/>
        <v>Pietralba</v>
      </c>
      <c r="B65" s="1" t="str">
        <f t="shared" si="5"/>
        <v>Italy</v>
      </c>
      <c r="C65" s="1" t="s">
        <v>1120</v>
      </c>
      <c r="D65" s="1" t="e">
        <f t="shared" si="0"/>
        <v>#VALUE!</v>
      </c>
      <c r="E65" s="1" t="s">
        <v>1247</v>
      </c>
      <c r="F65" s="1" t="s">
        <v>11</v>
      </c>
    </row>
    <row r="66" spans="1:6" x14ac:dyDescent="0.2">
      <c r="A66" s="1" t="str">
        <f t="shared" si="4"/>
        <v>Corbetta</v>
      </c>
      <c r="B66" s="1" t="str">
        <f t="shared" si="5"/>
        <v>Italy</v>
      </c>
      <c r="C66" s="1" t="s">
        <v>1121</v>
      </c>
      <c r="D66" s="1" t="e">
        <f t="shared" si="0"/>
        <v>#VALUE!</v>
      </c>
      <c r="E66" s="1" t="s">
        <v>1248</v>
      </c>
      <c r="F66" s="1" t="s">
        <v>11</v>
      </c>
    </row>
    <row r="67" spans="1:6" x14ac:dyDescent="0.2">
      <c r="A67" s="1" t="str">
        <f t="shared" si="4"/>
        <v>Arcola</v>
      </c>
      <c r="B67" s="1" t="str">
        <f t="shared" si="5"/>
        <v>Italy</v>
      </c>
      <c r="C67" s="1" t="s">
        <v>1122</v>
      </c>
      <c r="D67" s="1" t="e">
        <f t="shared" ref="D67:D130" si="6">MID(A67,FIND(". ",A67)+2,LEN(A67))</f>
        <v>#VALUE!</v>
      </c>
      <c r="E67" s="1" t="s">
        <v>1249</v>
      </c>
      <c r="F67" s="1" t="s">
        <v>11</v>
      </c>
    </row>
    <row r="68" spans="1:6" x14ac:dyDescent="0.2">
      <c r="A68" s="1" t="str">
        <f t="shared" si="4"/>
        <v>Giulianova</v>
      </c>
      <c r="B68" s="1" t="str">
        <f t="shared" si="5"/>
        <v>Italy</v>
      </c>
      <c r="C68" s="1" t="s">
        <v>1123</v>
      </c>
      <c r="D68" s="1" t="e">
        <f t="shared" si="6"/>
        <v>#VALUE!</v>
      </c>
      <c r="E68" s="1" t="s">
        <v>1250</v>
      </c>
      <c r="F68" s="1" t="s">
        <v>11</v>
      </c>
    </row>
    <row r="69" spans="1:6" x14ac:dyDescent="0.2">
      <c r="A69" s="1" t="str">
        <f t="shared" si="4"/>
        <v>Gerosa</v>
      </c>
      <c r="B69" s="1" t="str">
        <f t="shared" si="5"/>
        <v>Italy</v>
      </c>
      <c r="C69" s="1" t="s">
        <v>1124</v>
      </c>
      <c r="D69" s="1" t="e">
        <f t="shared" si="6"/>
        <v>#VALUE!</v>
      </c>
      <c r="E69" s="1" t="s">
        <v>1251</v>
      </c>
      <c r="F69" s="1" t="s">
        <v>11</v>
      </c>
    </row>
    <row r="70" spans="1:6" x14ac:dyDescent="0.2">
      <c r="A70" s="1" t="str">
        <f t="shared" si="4"/>
        <v>Moncrivello</v>
      </c>
      <c r="B70" s="1" t="str">
        <f t="shared" si="5"/>
        <v>Italy</v>
      </c>
      <c r="C70" s="1" t="s">
        <v>1125</v>
      </c>
      <c r="D70" s="1" t="e">
        <f t="shared" si="6"/>
        <v>#VALUE!</v>
      </c>
      <c r="E70" s="1" t="s">
        <v>1252</v>
      </c>
      <c r="F70" s="1" t="s">
        <v>11</v>
      </c>
    </row>
    <row r="71" spans="1:6" x14ac:dyDescent="0.2">
      <c r="A71" s="1" t="str">
        <f t="shared" si="4"/>
        <v>Gozo</v>
      </c>
      <c r="B71" s="1" t="str">
        <f t="shared" si="5"/>
        <v>Malta</v>
      </c>
      <c r="C71" s="1" t="s">
        <v>1126</v>
      </c>
      <c r="D71" s="1" t="e">
        <f t="shared" si="6"/>
        <v>#VALUE!</v>
      </c>
      <c r="E71" s="1" t="s">
        <v>1253</v>
      </c>
      <c r="F71" s="1" t="s">
        <v>627</v>
      </c>
    </row>
    <row r="72" spans="1:6" x14ac:dyDescent="0.2">
      <c r="A72" s="1" t="str">
        <f t="shared" si="4"/>
        <v>Casalbordino</v>
      </c>
      <c r="B72" s="1" t="str">
        <f t="shared" si="5"/>
        <v>Italy</v>
      </c>
      <c r="C72" s="1" t="s">
        <v>1127</v>
      </c>
      <c r="D72" s="1" t="e">
        <f t="shared" si="6"/>
        <v>#VALUE!</v>
      </c>
      <c r="E72" s="1" t="s">
        <v>1254</v>
      </c>
      <c r="F72" s="1" t="s">
        <v>11</v>
      </c>
    </row>
    <row r="73" spans="1:6" x14ac:dyDescent="0.2">
      <c r="A73" s="1" t="s">
        <v>1059</v>
      </c>
      <c r="B73" s="1" t="s">
        <v>652</v>
      </c>
      <c r="C73" s="1">
        <v>1578</v>
      </c>
      <c r="D73" s="1" t="e">
        <f t="shared" si="6"/>
        <v>#VALUE!</v>
      </c>
      <c r="E73" s="1" t="e">
        <v>#VALUE!</v>
      </c>
    </row>
    <row r="74" spans="1:6" x14ac:dyDescent="0.2">
      <c r="A74" s="1" t="str">
        <f t="shared" ref="A74:A84" si="7">E74</f>
        <v>Lumarzo</v>
      </c>
      <c r="B74" s="1" t="str">
        <f t="shared" ref="B74:B84" si="8">F74</f>
        <v>Italy</v>
      </c>
      <c r="C74" s="1" t="s">
        <v>1128</v>
      </c>
      <c r="D74" s="1" t="e">
        <f t="shared" si="6"/>
        <v>#VALUE!</v>
      </c>
      <c r="E74" s="1" t="s">
        <v>1255</v>
      </c>
      <c r="F74" s="1" t="s">
        <v>11</v>
      </c>
    </row>
    <row r="75" spans="1:6" x14ac:dyDescent="0.2">
      <c r="A75" s="1" t="str">
        <f t="shared" si="7"/>
        <v>Chiquinquirá</v>
      </c>
      <c r="B75" s="1" t="str">
        <f t="shared" si="8"/>
        <v>Colombia</v>
      </c>
      <c r="C75" s="1" t="s">
        <v>1129</v>
      </c>
      <c r="D75" s="1" t="e">
        <f t="shared" si="6"/>
        <v>#VALUE!</v>
      </c>
      <c r="E75" s="1" t="s">
        <v>1256</v>
      </c>
      <c r="F75" s="1" t="s">
        <v>535</v>
      </c>
    </row>
    <row r="76" spans="1:6" x14ac:dyDescent="0.2">
      <c r="A76" s="1" t="str">
        <f t="shared" si="7"/>
        <v>Quinche</v>
      </c>
      <c r="B76" s="1" t="str">
        <f t="shared" si="8"/>
        <v>Ecuador</v>
      </c>
      <c r="C76" s="1" t="s">
        <v>1129</v>
      </c>
      <c r="D76" s="1" t="e">
        <f t="shared" si="6"/>
        <v>#VALUE!</v>
      </c>
      <c r="E76" s="1" t="s">
        <v>1257</v>
      </c>
      <c r="F76" s="1" t="s">
        <v>549</v>
      </c>
    </row>
    <row r="77" spans="1:6" x14ac:dyDescent="0.2">
      <c r="A77" s="1" t="str">
        <f t="shared" si="7"/>
        <v>Quito</v>
      </c>
      <c r="B77" s="1" t="str">
        <f t="shared" si="8"/>
        <v>Ecuador</v>
      </c>
      <c r="C77" s="1" t="s">
        <v>1130</v>
      </c>
      <c r="D77" s="1" t="e">
        <f t="shared" si="6"/>
        <v>#VALUE!</v>
      </c>
      <c r="E77" s="1" t="s">
        <v>1258</v>
      </c>
      <c r="F77" s="1" t="s">
        <v>549</v>
      </c>
    </row>
    <row r="78" spans="1:6" x14ac:dyDescent="0.2">
      <c r="A78" s="1" t="str">
        <f t="shared" si="7"/>
        <v>Rapallo</v>
      </c>
      <c r="B78" s="1" t="str">
        <f t="shared" si="8"/>
        <v>Italy</v>
      </c>
      <c r="C78" s="1" t="s">
        <v>1131</v>
      </c>
      <c r="D78" s="1" t="e">
        <f t="shared" si="6"/>
        <v>#VALUE!</v>
      </c>
      <c r="E78" s="1" t="s">
        <v>1259</v>
      </c>
      <c r="F78" s="1" t="s">
        <v>11</v>
      </c>
    </row>
    <row r="79" spans="1:6" x14ac:dyDescent="0.2">
      <c r="A79" s="1" t="str">
        <f t="shared" si="7"/>
        <v>Bétharram</v>
      </c>
      <c r="B79" s="1" t="str">
        <f t="shared" si="8"/>
        <v>France</v>
      </c>
      <c r="C79" s="1" t="s">
        <v>1132</v>
      </c>
      <c r="D79" s="1" t="e">
        <f t="shared" si="6"/>
        <v>#VALUE!</v>
      </c>
      <c r="E79" s="1" t="s">
        <v>1260</v>
      </c>
      <c r="F79" s="1" t="s">
        <v>558</v>
      </c>
    </row>
    <row r="80" spans="1:6" x14ac:dyDescent="0.2">
      <c r="A80" s="1" t="str">
        <f t="shared" si="7"/>
        <v>Luján</v>
      </c>
      <c r="B80" s="1" t="str">
        <f t="shared" si="8"/>
        <v>Argentina</v>
      </c>
      <c r="C80" s="1" t="s">
        <v>1133</v>
      </c>
      <c r="D80" s="1" t="e">
        <f t="shared" si="6"/>
        <v>#VALUE!</v>
      </c>
      <c r="E80" s="1" t="s">
        <v>1261</v>
      </c>
      <c r="F80" s="1" t="s">
        <v>501</v>
      </c>
    </row>
    <row r="81" spans="1:6" x14ac:dyDescent="0.2">
      <c r="A81" s="1" t="str">
        <f t="shared" si="7"/>
        <v>Caacupé</v>
      </c>
      <c r="B81" s="1" t="str">
        <f t="shared" si="8"/>
        <v>Paraguay</v>
      </c>
      <c r="C81" s="1" t="s">
        <v>1133</v>
      </c>
      <c r="D81" s="1" t="e">
        <f t="shared" si="6"/>
        <v>#VALUE!</v>
      </c>
      <c r="E81" s="1" t="s">
        <v>1262</v>
      </c>
      <c r="F81" s="1" t="s">
        <v>658</v>
      </c>
    </row>
    <row r="82" spans="1:6" x14ac:dyDescent="0.2">
      <c r="A82" s="1" t="str">
        <f t="shared" si="7"/>
        <v>Caysasay</v>
      </c>
      <c r="B82" s="1" t="str">
        <f t="shared" si="8"/>
        <v>Philippines</v>
      </c>
      <c r="C82" s="1" t="s">
        <v>1134</v>
      </c>
      <c r="D82" s="1" t="e">
        <f t="shared" si="6"/>
        <v>#VALUE!</v>
      </c>
      <c r="E82" s="1" t="s">
        <v>1263</v>
      </c>
      <c r="F82" s="1" t="s">
        <v>650</v>
      </c>
    </row>
    <row r="83" spans="1:6" x14ac:dyDescent="0.2">
      <c r="A83" s="1" t="str">
        <f t="shared" si="7"/>
        <v>Doroszló</v>
      </c>
      <c r="B83" s="1" t="str">
        <f t="shared" si="8"/>
        <v>Serbia</v>
      </c>
      <c r="C83" s="1" t="s">
        <v>1134</v>
      </c>
      <c r="D83" s="1" t="e">
        <f t="shared" si="6"/>
        <v>#VALUE!</v>
      </c>
      <c r="E83" s="1" t="s">
        <v>1264</v>
      </c>
      <c r="F83" s="1" t="s">
        <v>662</v>
      </c>
    </row>
    <row r="84" spans="1:6" x14ac:dyDescent="0.2">
      <c r="A84" s="1" t="str">
        <f t="shared" si="7"/>
        <v>Ardesio</v>
      </c>
      <c r="B84" s="1" t="str">
        <f t="shared" si="8"/>
        <v>Italy</v>
      </c>
      <c r="C84" s="1" t="s">
        <v>1135</v>
      </c>
      <c r="D84" s="1" t="e">
        <f t="shared" si="6"/>
        <v>#VALUE!</v>
      </c>
      <c r="E84" s="1" t="s">
        <v>1265</v>
      </c>
      <c r="F84" s="1" t="s">
        <v>11</v>
      </c>
    </row>
    <row r="85" spans="1:6" x14ac:dyDescent="0.2">
      <c r="A85" s="1" t="s">
        <v>1011</v>
      </c>
      <c r="B85" s="1" t="s">
        <v>608</v>
      </c>
      <c r="C85" s="1">
        <v>1608</v>
      </c>
      <c r="D85" s="1" t="e">
        <f t="shared" si="6"/>
        <v>#VALUE!</v>
      </c>
      <c r="E85" s="1" t="e">
        <v>#VALUE!</v>
      </c>
    </row>
    <row r="86" spans="1:6" x14ac:dyDescent="0.2">
      <c r="A86" s="1" t="str">
        <f t="shared" ref="A86:A95" si="9">E86</f>
        <v>Manaoag</v>
      </c>
      <c r="B86" s="1" t="str">
        <f t="shared" ref="B86:B95" si="10">F86</f>
        <v>Philippines</v>
      </c>
      <c r="C86" s="1" t="s">
        <v>1136</v>
      </c>
      <c r="D86" s="1" t="e">
        <f t="shared" si="6"/>
        <v>#VALUE!</v>
      </c>
      <c r="E86" s="1" t="s">
        <v>1266</v>
      </c>
      <c r="F86" s="1" t="s">
        <v>650</v>
      </c>
    </row>
    <row r="87" spans="1:6" x14ac:dyDescent="0.2">
      <c r="A87" s="1" t="str">
        <f t="shared" si="9"/>
        <v>El Cobre</v>
      </c>
      <c r="B87" s="1" t="str">
        <f t="shared" si="10"/>
        <v>Cuba</v>
      </c>
      <c r="C87" s="1" t="s">
        <v>1137</v>
      </c>
      <c r="D87" s="1" t="e">
        <f t="shared" si="6"/>
        <v>#VALUE!</v>
      </c>
      <c r="E87" s="1" t="s">
        <v>1324</v>
      </c>
      <c r="F87" s="1" t="s">
        <v>537</v>
      </c>
    </row>
    <row r="88" spans="1:6" x14ac:dyDescent="0.2">
      <c r="A88" s="1" t="str">
        <f t="shared" si="9"/>
        <v>San Salvatore Monferrato</v>
      </c>
      <c r="B88" s="1" t="str">
        <f t="shared" si="10"/>
        <v>Italy</v>
      </c>
      <c r="C88" s="1" t="s">
        <v>1138</v>
      </c>
      <c r="D88" s="1" t="e">
        <f t="shared" si="6"/>
        <v>#VALUE!</v>
      </c>
      <c r="E88" s="1" t="s">
        <v>1267</v>
      </c>
      <c r="F88" s="1" t="s">
        <v>11</v>
      </c>
    </row>
    <row r="89" spans="1:6" x14ac:dyDescent="0.2">
      <c r="A89" s="1" t="str">
        <f t="shared" si="9"/>
        <v>Marbach</v>
      </c>
      <c r="B89" s="1" t="str">
        <f t="shared" si="10"/>
        <v>Austria</v>
      </c>
      <c r="C89" s="1" t="s">
        <v>1139</v>
      </c>
      <c r="D89" s="1" t="e">
        <f t="shared" si="6"/>
        <v>#VALUE!</v>
      </c>
      <c r="E89" s="1" t="s">
        <v>1268</v>
      </c>
      <c r="F89" s="1" t="s">
        <v>503</v>
      </c>
    </row>
    <row r="90" spans="1:6" x14ac:dyDescent="0.2">
      <c r="A90" s="1" t="str">
        <f t="shared" si="9"/>
        <v>Cartago</v>
      </c>
      <c r="B90" s="1" t="str">
        <f t="shared" si="10"/>
        <v>Costa Rica</v>
      </c>
      <c r="C90" s="1" t="s">
        <v>1140</v>
      </c>
      <c r="D90" s="1" t="e">
        <f t="shared" si="6"/>
        <v>#VALUE!</v>
      </c>
      <c r="E90" s="1" t="s">
        <v>1269</v>
      </c>
      <c r="F90" s="1" t="s">
        <v>536</v>
      </c>
    </row>
    <row r="91" spans="1:6" x14ac:dyDescent="0.2">
      <c r="A91" s="1" t="str">
        <f t="shared" si="9"/>
        <v>Kevelaer</v>
      </c>
      <c r="B91" s="1" t="str">
        <f t="shared" si="10"/>
        <v>Germany</v>
      </c>
      <c r="C91" s="1" t="s">
        <v>1141</v>
      </c>
      <c r="D91" s="1" t="e">
        <f t="shared" si="6"/>
        <v>#VALUE!</v>
      </c>
      <c r="E91" s="1" t="s">
        <v>1270</v>
      </c>
      <c r="F91" s="1" t="s">
        <v>543</v>
      </c>
    </row>
    <row r="92" spans="1:6" x14ac:dyDescent="0.2">
      <c r="A92" s="1" t="str">
        <f t="shared" si="9"/>
        <v>Plantées</v>
      </c>
      <c r="B92" s="1" t="str">
        <f t="shared" si="10"/>
        <v>France</v>
      </c>
      <c r="C92" s="1" t="s">
        <v>1142</v>
      </c>
      <c r="D92" s="1" t="e">
        <f t="shared" si="6"/>
        <v>#VALUE!</v>
      </c>
      <c r="E92" s="1" t="s">
        <v>1271</v>
      </c>
      <c r="F92" s="1" t="s">
        <v>558</v>
      </c>
    </row>
    <row r="93" spans="1:6" x14ac:dyDescent="0.2">
      <c r="A93" s="1" t="str">
        <f t="shared" si="9"/>
        <v>Guanare</v>
      </c>
      <c r="B93" s="1" t="str">
        <f t="shared" si="10"/>
        <v>Venezuela</v>
      </c>
      <c r="C93" s="1" t="s">
        <v>1143</v>
      </c>
      <c r="D93" s="1" t="e">
        <f t="shared" si="6"/>
        <v>#VALUE!</v>
      </c>
      <c r="E93" s="1" t="s">
        <v>1272</v>
      </c>
      <c r="F93" s="1" t="s">
        <v>719</v>
      </c>
    </row>
    <row r="94" spans="1:6" x14ac:dyDescent="0.2">
      <c r="A94" s="1" t="str">
        <f t="shared" si="9"/>
        <v>La Prenessaye</v>
      </c>
      <c r="B94" s="1" t="str">
        <f t="shared" si="10"/>
        <v>France</v>
      </c>
      <c r="C94" s="1" t="s">
        <v>1144</v>
      </c>
      <c r="D94" s="1" t="e">
        <f t="shared" si="6"/>
        <v>#VALUE!</v>
      </c>
      <c r="E94" s="1" t="s">
        <v>1273</v>
      </c>
      <c r="F94" s="1" t="s">
        <v>558</v>
      </c>
    </row>
    <row r="95" spans="1:6" x14ac:dyDescent="0.2">
      <c r="A95" s="1" t="str">
        <f t="shared" si="9"/>
        <v>Pieve Di Tagliamento</v>
      </c>
      <c r="B95" s="1" t="str">
        <f t="shared" si="10"/>
        <v>Italy</v>
      </c>
      <c r="C95" s="1" t="s">
        <v>1145</v>
      </c>
      <c r="D95" s="1" t="e">
        <f t="shared" si="6"/>
        <v>#VALUE!</v>
      </c>
      <c r="E95" s="1" t="s">
        <v>1274</v>
      </c>
      <c r="F95" s="1" t="s">
        <v>11</v>
      </c>
    </row>
    <row r="96" spans="1:6" x14ac:dyDescent="0.2">
      <c r="A96" s="1" t="s">
        <v>1014</v>
      </c>
      <c r="B96" s="1" t="s">
        <v>558</v>
      </c>
      <c r="C96" s="1" t="s">
        <v>1017</v>
      </c>
      <c r="D96" s="1" t="e">
        <f t="shared" si="6"/>
        <v>#VALUE!</v>
      </c>
      <c r="E96" s="1" t="e">
        <v>#VALUE!</v>
      </c>
    </row>
    <row r="97" spans="1:6" x14ac:dyDescent="0.2">
      <c r="A97" s="1" t="str">
        <f t="shared" ref="A97:A109" si="11">E97</f>
        <v>San Bartolomeo Al Mare</v>
      </c>
      <c r="B97" s="1" t="str">
        <f t="shared" ref="B97:B103" si="12">F97</f>
        <v>Italy</v>
      </c>
      <c r="C97" s="1" t="s">
        <v>1146</v>
      </c>
      <c r="D97" s="1" t="e">
        <f t="shared" si="6"/>
        <v>#VALUE!</v>
      </c>
      <c r="E97" s="1" t="s">
        <v>1275</v>
      </c>
      <c r="F97" s="1" t="s">
        <v>11</v>
      </c>
    </row>
    <row r="98" spans="1:6" x14ac:dyDescent="0.2">
      <c r="A98" s="1" t="str">
        <f t="shared" si="11"/>
        <v>Máriapócs and Gyõr</v>
      </c>
      <c r="B98" s="1" t="str">
        <f t="shared" si="12"/>
        <v>Hungary</v>
      </c>
      <c r="C98" s="1" t="s">
        <v>1147</v>
      </c>
      <c r="D98" s="1" t="e">
        <f t="shared" si="6"/>
        <v>#VALUE!</v>
      </c>
      <c r="E98" s="1" t="s">
        <v>1276</v>
      </c>
      <c r="F98" s="1" t="s">
        <v>582</v>
      </c>
    </row>
    <row r="99" spans="1:6" x14ac:dyDescent="0.2">
      <c r="A99" s="1" t="str">
        <f t="shared" si="11"/>
        <v>Cotoca</v>
      </c>
      <c r="B99" s="1" t="str">
        <f t="shared" si="12"/>
        <v>Bolivia</v>
      </c>
      <c r="C99" s="1" t="s">
        <v>1148</v>
      </c>
      <c r="D99" s="1" t="e">
        <f t="shared" si="6"/>
        <v>#VALUE!</v>
      </c>
      <c r="E99" s="1" t="s">
        <v>1277</v>
      </c>
      <c r="F99" s="1" t="s">
        <v>711</v>
      </c>
    </row>
    <row r="100" spans="1:6" x14ac:dyDescent="0.2">
      <c r="A100" s="1" t="str">
        <f t="shared" si="11"/>
        <v>Quillacollo</v>
      </c>
      <c r="B100" s="1" t="str">
        <f t="shared" si="12"/>
        <v>Bolivia</v>
      </c>
      <c r="C100" s="1" t="s">
        <v>1149</v>
      </c>
      <c r="D100" s="1" t="e">
        <f t="shared" si="6"/>
        <v>#VALUE!</v>
      </c>
      <c r="E100" s="1" t="s">
        <v>1278</v>
      </c>
      <c r="F100" s="1" t="s">
        <v>711</v>
      </c>
    </row>
    <row r="101" spans="1:6" x14ac:dyDescent="0.2">
      <c r="A101" s="1" t="str">
        <f t="shared" si="11"/>
        <v>Pellestrina</v>
      </c>
      <c r="B101" s="1" t="str">
        <f t="shared" si="12"/>
        <v>Italy</v>
      </c>
      <c r="C101" s="1" t="s">
        <v>1150</v>
      </c>
      <c r="D101" s="1" t="e">
        <f t="shared" si="6"/>
        <v>#VALUE!</v>
      </c>
      <c r="E101" s="1" t="s">
        <v>1279</v>
      </c>
      <c r="F101" s="1" t="s">
        <v>11</v>
      </c>
    </row>
    <row r="102" spans="1:6" x14ac:dyDescent="0.2">
      <c r="A102" s="1" t="str">
        <f t="shared" si="11"/>
        <v>Vale Do Paraíba</v>
      </c>
      <c r="B102" s="1" t="str">
        <f t="shared" si="12"/>
        <v>Brazil</v>
      </c>
      <c r="C102" s="1" t="s">
        <v>1151</v>
      </c>
      <c r="D102" s="1" t="e">
        <f t="shared" si="6"/>
        <v>#VALUE!</v>
      </c>
      <c r="E102" s="1" t="s">
        <v>1280</v>
      </c>
      <c r="F102" s="1" t="s">
        <v>519</v>
      </c>
    </row>
    <row r="103" spans="1:6" x14ac:dyDescent="0.2">
      <c r="A103" s="1" t="str">
        <f t="shared" si="11"/>
        <v>Montagnaga Di Pine’</v>
      </c>
      <c r="B103" s="1" t="str">
        <f t="shared" si="12"/>
        <v>Italy</v>
      </c>
      <c r="C103" s="1" t="s">
        <v>1152</v>
      </c>
      <c r="D103" s="1" t="e">
        <f t="shared" si="6"/>
        <v>#VALUE!</v>
      </c>
      <c r="E103" s="1" t="s">
        <v>1281</v>
      </c>
      <c r="F103" s="1" t="s">
        <v>11</v>
      </c>
    </row>
    <row r="104" spans="1:6" x14ac:dyDescent="0.2">
      <c r="A104" s="1" t="str">
        <f t="shared" si="11"/>
        <v>Rome (Our Lady of Divine Love)</v>
      </c>
      <c r="B104" s="1" t="s">
        <v>733</v>
      </c>
      <c r="C104" s="1" t="s">
        <v>1153</v>
      </c>
      <c r="D104" s="1" t="e">
        <f t="shared" si="6"/>
        <v>#VALUE!</v>
      </c>
      <c r="E104" s="1" t="s">
        <v>1320</v>
      </c>
      <c r="F104" s="1" t="s">
        <v>11</v>
      </c>
    </row>
    <row r="105" spans="1:6" x14ac:dyDescent="0.2">
      <c r="A105" s="1" t="str">
        <f t="shared" si="11"/>
        <v>Chaguaya</v>
      </c>
      <c r="B105" s="1" t="str">
        <f>F105</f>
        <v>Bolivia</v>
      </c>
      <c r="C105" s="1" t="s">
        <v>1154</v>
      </c>
      <c r="D105" s="1" t="e">
        <f t="shared" si="6"/>
        <v>#VALUE!</v>
      </c>
      <c r="E105" s="1" t="s">
        <v>1282</v>
      </c>
      <c r="F105" s="1" t="s">
        <v>711</v>
      </c>
    </row>
    <row r="106" spans="1:6" x14ac:dyDescent="0.2">
      <c r="A106" s="1" t="str">
        <f t="shared" si="11"/>
        <v>Las Lajas</v>
      </c>
      <c r="B106" s="1" t="str">
        <f>F106</f>
        <v>Colombia</v>
      </c>
      <c r="C106" s="1" t="s">
        <v>1155</v>
      </c>
      <c r="D106" s="1" t="e">
        <f t="shared" si="6"/>
        <v>#VALUE!</v>
      </c>
      <c r="E106" s="1" t="s">
        <v>1283</v>
      </c>
      <c r="F106" s="1" t="s">
        <v>535</v>
      </c>
    </row>
    <row r="107" spans="1:6" x14ac:dyDescent="0.2">
      <c r="A107" s="1" t="str">
        <f t="shared" si="11"/>
        <v>Absam</v>
      </c>
      <c r="B107" s="1" t="str">
        <f>F107</f>
        <v>Austria</v>
      </c>
      <c r="C107" s="1" t="s">
        <v>1156</v>
      </c>
      <c r="D107" s="1" t="e">
        <f t="shared" si="6"/>
        <v>#VALUE!</v>
      </c>
      <c r="E107" s="1" t="s">
        <v>1284</v>
      </c>
      <c r="F107" s="1" t="s">
        <v>503</v>
      </c>
    </row>
    <row r="108" spans="1:6" x14ac:dyDescent="0.2">
      <c r="A108" s="1" t="str">
        <f t="shared" si="11"/>
        <v>La Vang</v>
      </c>
      <c r="B108" s="1" t="str">
        <f>F108</f>
        <v>Vietnam</v>
      </c>
      <c r="C108" s="1" t="s">
        <v>1157</v>
      </c>
      <c r="D108" s="1" t="e">
        <f t="shared" si="6"/>
        <v>#VALUE!</v>
      </c>
      <c r="E108" s="1" t="s">
        <v>1285</v>
      </c>
      <c r="F108" s="1" t="s">
        <v>744</v>
      </c>
    </row>
    <row r="109" spans="1:6" x14ac:dyDescent="0.2">
      <c r="A109" s="1" t="str">
        <f t="shared" si="11"/>
        <v>Ornans</v>
      </c>
      <c r="B109" s="1" t="str">
        <f>F109</f>
        <v>France</v>
      </c>
      <c r="C109" s="1" t="s">
        <v>1158</v>
      </c>
      <c r="D109" s="1" t="e">
        <f t="shared" si="6"/>
        <v>#VALUE!</v>
      </c>
      <c r="E109" s="1" t="s">
        <v>1286</v>
      </c>
      <c r="F109" s="1" t="s">
        <v>558</v>
      </c>
    </row>
    <row r="110" spans="1:6" x14ac:dyDescent="0.2">
      <c r="A110" s="1" t="s">
        <v>1026</v>
      </c>
      <c r="B110" s="1" t="s">
        <v>652</v>
      </c>
      <c r="C110" s="1" t="s">
        <v>1027</v>
      </c>
      <c r="D110" s="1" t="e">
        <f t="shared" si="6"/>
        <v>#VALUE!</v>
      </c>
      <c r="E110" s="1" t="e">
        <v>#VALUE!</v>
      </c>
    </row>
    <row r="111" spans="1:6" x14ac:dyDescent="0.2">
      <c r="A111" s="1" t="s">
        <v>1030</v>
      </c>
      <c r="B111" s="1" t="s">
        <v>734</v>
      </c>
      <c r="C111" s="1">
        <v>1830</v>
      </c>
      <c r="D111" s="1" t="e">
        <f t="shared" si="6"/>
        <v>#VALUE!</v>
      </c>
      <c r="E111" s="1" t="e">
        <v>#VALUE!</v>
      </c>
    </row>
    <row r="112" spans="1:6" x14ac:dyDescent="0.2">
      <c r="A112" s="1" t="s">
        <v>1009</v>
      </c>
      <c r="B112" s="1" t="s">
        <v>733</v>
      </c>
      <c r="C112" s="1">
        <v>1842</v>
      </c>
      <c r="D112" s="1" t="e">
        <f t="shared" si="6"/>
        <v>#VALUE!</v>
      </c>
      <c r="E112" s="1" t="e">
        <v>#VALUE!</v>
      </c>
    </row>
    <row r="113" spans="1:6" x14ac:dyDescent="0.2">
      <c r="A113" s="1" t="s">
        <v>1031</v>
      </c>
      <c r="B113" s="1" t="s">
        <v>558</v>
      </c>
      <c r="C113" s="1">
        <v>1846</v>
      </c>
      <c r="D113" s="1" t="e">
        <f t="shared" si="6"/>
        <v>#VALUE!</v>
      </c>
      <c r="E113" s="1" t="e">
        <v>#VALUE!</v>
      </c>
    </row>
    <row r="114" spans="1:6" x14ac:dyDescent="0.2">
      <c r="A114" s="1" t="str">
        <f>E114</f>
        <v>Cerreto Di Sorano</v>
      </c>
      <c r="B114" s="1" t="str">
        <f>F114</f>
        <v>Italy</v>
      </c>
      <c r="C114" s="1" t="s">
        <v>1159</v>
      </c>
      <c r="D114" s="1" t="e">
        <f t="shared" si="6"/>
        <v>#VALUE!</v>
      </c>
      <c r="E114" s="1" t="s">
        <v>1287</v>
      </c>
      <c r="F114" s="1" t="s">
        <v>11</v>
      </c>
    </row>
    <row r="115" spans="1:6" x14ac:dyDescent="0.2">
      <c r="A115" s="1" t="str">
        <f>E115</f>
        <v>Porzus Degli Slavi</v>
      </c>
      <c r="B115" s="1" t="str">
        <f>F115</f>
        <v>Italy</v>
      </c>
      <c r="C115" s="1" t="s">
        <v>1160</v>
      </c>
      <c r="D115" s="1" t="e">
        <f t="shared" si="6"/>
        <v>#VALUE!</v>
      </c>
      <c r="E115" s="1" t="s">
        <v>1288</v>
      </c>
      <c r="F115" s="1" t="s">
        <v>11</v>
      </c>
    </row>
    <row r="116" spans="1:6" x14ac:dyDescent="0.2">
      <c r="A116" s="1" t="s">
        <v>1001</v>
      </c>
      <c r="B116" s="1" t="s">
        <v>558</v>
      </c>
      <c r="C116" s="1">
        <v>1858</v>
      </c>
      <c r="D116" s="1" t="e">
        <f t="shared" si="6"/>
        <v>#VALUE!</v>
      </c>
      <c r="E116" s="1" t="e">
        <v>#VALUE!</v>
      </c>
    </row>
    <row r="117" spans="1:6" x14ac:dyDescent="0.2">
      <c r="A117" s="1" t="str">
        <f>E117</f>
        <v>Champion</v>
      </c>
      <c r="B117" s="1" t="str">
        <f>F117</f>
        <v>United States of America</v>
      </c>
      <c r="C117" s="1" t="s">
        <v>1161</v>
      </c>
      <c r="D117" s="1" t="e">
        <f t="shared" si="6"/>
        <v>#VALUE!</v>
      </c>
      <c r="E117" s="1" t="s">
        <v>1289</v>
      </c>
      <c r="F117" s="1" t="s">
        <v>698</v>
      </c>
    </row>
    <row r="118" spans="1:6" x14ac:dyDescent="0.2">
      <c r="A118" s="1" t="str">
        <f>E118</f>
        <v>Montefalco</v>
      </c>
      <c r="B118" s="1" t="str">
        <f>F118</f>
        <v>Italy</v>
      </c>
      <c r="C118" s="1" t="s">
        <v>1162</v>
      </c>
      <c r="D118" s="1" t="e">
        <f t="shared" si="6"/>
        <v>#VALUE!</v>
      </c>
      <c r="E118" s="1" t="s">
        <v>1290</v>
      </c>
      <c r="F118" s="1" t="s">
        <v>11</v>
      </c>
    </row>
    <row r="119" spans="1:6" x14ac:dyDescent="0.2">
      <c r="A119" s="1" t="s">
        <v>999</v>
      </c>
      <c r="B119" s="1" t="s">
        <v>542</v>
      </c>
      <c r="C119" s="1">
        <v>1866</v>
      </c>
      <c r="D119" s="1" t="e">
        <f t="shared" si="6"/>
        <v>#VALUE!</v>
      </c>
      <c r="E119" s="1" t="e">
        <v>#VALUE!</v>
      </c>
    </row>
    <row r="120" spans="1:6" x14ac:dyDescent="0.2">
      <c r="A120" s="1" t="s">
        <v>1000</v>
      </c>
      <c r="B120" s="1" t="s">
        <v>558</v>
      </c>
      <c r="C120" s="1">
        <v>1871</v>
      </c>
      <c r="D120" s="1" t="e">
        <f t="shared" si="6"/>
        <v>#VALUE!</v>
      </c>
      <c r="E120" s="1" t="e">
        <v>#VALUE!</v>
      </c>
    </row>
    <row r="121" spans="1:6" x14ac:dyDescent="0.2">
      <c r="A121" s="1" t="str">
        <f t="shared" ref="A121:B123" si="13">E121</f>
        <v>Saint Bauzille de la Sylve</v>
      </c>
      <c r="B121" s="1" t="str">
        <f t="shared" si="13"/>
        <v>France</v>
      </c>
      <c r="C121" s="1" t="s">
        <v>1163</v>
      </c>
      <c r="D121" s="1" t="e">
        <f t="shared" si="6"/>
        <v>#VALUE!</v>
      </c>
      <c r="E121" s="1" t="s">
        <v>1291</v>
      </c>
      <c r="F121" s="1" t="s">
        <v>558</v>
      </c>
    </row>
    <row r="122" spans="1:6" x14ac:dyDescent="0.2">
      <c r="A122" s="1" t="str">
        <f t="shared" si="13"/>
        <v>Pompei</v>
      </c>
      <c r="B122" s="1" t="str">
        <f t="shared" si="13"/>
        <v>Italy</v>
      </c>
      <c r="C122" s="1" t="s">
        <v>1164</v>
      </c>
      <c r="D122" s="1" t="e">
        <f t="shared" si="6"/>
        <v>#VALUE!</v>
      </c>
      <c r="E122" s="1" t="s">
        <v>1292</v>
      </c>
      <c r="F122" s="1" t="s">
        <v>11</v>
      </c>
    </row>
    <row r="123" spans="1:6" x14ac:dyDescent="0.2">
      <c r="A123" s="1" t="str">
        <f t="shared" si="13"/>
        <v>Pellovoisin</v>
      </c>
      <c r="B123" s="1" t="str">
        <f t="shared" si="13"/>
        <v>France</v>
      </c>
      <c r="C123" s="1" t="s">
        <v>1165</v>
      </c>
      <c r="D123" s="1" t="e">
        <f t="shared" si="6"/>
        <v>#VALUE!</v>
      </c>
      <c r="E123" s="1" t="s">
        <v>1293</v>
      </c>
      <c r="F123" s="1" t="s">
        <v>558</v>
      </c>
    </row>
    <row r="124" spans="1:6" x14ac:dyDescent="0.2">
      <c r="A124" s="1" t="s">
        <v>998</v>
      </c>
      <c r="B124" s="1" t="s">
        <v>652</v>
      </c>
      <c r="C124" s="1">
        <v>1877</v>
      </c>
      <c r="D124" s="1" t="e">
        <f t="shared" si="6"/>
        <v>#VALUE!</v>
      </c>
      <c r="E124" s="1" t="e">
        <v>#VALUE!</v>
      </c>
    </row>
    <row r="125" spans="1:6" x14ac:dyDescent="0.2">
      <c r="A125" s="1" t="s">
        <v>997</v>
      </c>
      <c r="B125" s="1" t="s">
        <v>584</v>
      </c>
      <c r="C125" s="1">
        <v>1879</v>
      </c>
      <c r="D125" s="1" t="e">
        <f t="shared" si="6"/>
        <v>#VALUE!</v>
      </c>
      <c r="E125" s="1" t="e">
        <v>#VALUE!</v>
      </c>
    </row>
    <row r="126" spans="1:6" x14ac:dyDescent="0.2">
      <c r="A126" s="1" t="str">
        <f t="shared" ref="A126:B129" si="14">E126</f>
        <v>Castelpetroso</v>
      </c>
      <c r="B126" s="1" t="str">
        <f t="shared" si="14"/>
        <v>Italy</v>
      </c>
      <c r="C126" s="1" t="s">
        <v>1166</v>
      </c>
      <c r="D126" s="1" t="e">
        <f t="shared" si="6"/>
        <v>#VALUE!</v>
      </c>
      <c r="E126" s="1" t="s">
        <v>1294</v>
      </c>
      <c r="F126" s="1" t="s">
        <v>11</v>
      </c>
    </row>
    <row r="127" spans="1:6" x14ac:dyDescent="0.2">
      <c r="A127" s="1" t="str">
        <f t="shared" si="14"/>
        <v>Szczyrk</v>
      </c>
      <c r="B127" s="1" t="str">
        <f t="shared" si="14"/>
        <v>Poland</v>
      </c>
      <c r="C127" s="1" t="s">
        <v>1167</v>
      </c>
      <c r="D127" s="1" t="e">
        <f t="shared" si="6"/>
        <v>#VALUE!</v>
      </c>
      <c r="E127" s="1" t="s">
        <v>1295</v>
      </c>
      <c r="F127" s="1" t="s">
        <v>652</v>
      </c>
    </row>
    <row r="128" spans="1:6" x14ac:dyDescent="0.2">
      <c r="A128" s="1" t="str">
        <f t="shared" si="14"/>
        <v>Betania</v>
      </c>
      <c r="B128" s="1" t="str">
        <f t="shared" si="14"/>
        <v>Venezuela</v>
      </c>
      <c r="C128" s="1" t="s">
        <v>1168</v>
      </c>
      <c r="D128" s="1" t="e">
        <f t="shared" si="6"/>
        <v>#VALUE!</v>
      </c>
      <c r="E128" s="1" t="s">
        <v>1296</v>
      </c>
      <c r="F128" s="1" t="s">
        <v>719</v>
      </c>
    </row>
    <row r="129" spans="1:6" x14ac:dyDescent="0.2">
      <c r="A129" s="1" t="str">
        <f t="shared" si="14"/>
        <v>Dong Lu</v>
      </c>
      <c r="B129" s="1" t="str">
        <f t="shared" si="14"/>
        <v>China</v>
      </c>
      <c r="C129" s="1" t="s">
        <v>1169</v>
      </c>
      <c r="D129" s="1" t="e">
        <f t="shared" si="6"/>
        <v>#VALUE!</v>
      </c>
      <c r="E129" s="1" t="s">
        <v>1297</v>
      </c>
      <c r="F129" s="1" t="s">
        <v>534</v>
      </c>
    </row>
    <row r="130" spans="1:6" x14ac:dyDescent="0.2">
      <c r="A130" s="1" t="s">
        <v>728</v>
      </c>
      <c r="B130" s="1" t="s">
        <v>656</v>
      </c>
      <c r="C130" s="1">
        <v>1916</v>
      </c>
      <c r="D130" s="1" t="e">
        <f t="shared" si="6"/>
        <v>#VALUE!</v>
      </c>
      <c r="E130" s="1" t="e">
        <v>#VALUE!</v>
      </c>
    </row>
    <row r="131" spans="1:6" x14ac:dyDescent="0.2">
      <c r="A131" s="1" t="str">
        <f t="shared" ref="A131:B134" si="15">E131</f>
        <v>Turin</v>
      </c>
      <c r="B131" s="1" t="str">
        <f t="shared" si="15"/>
        <v>Italy</v>
      </c>
      <c r="C131" s="1" t="s">
        <v>1170</v>
      </c>
      <c r="D131" s="1" t="e">
        <f t="shared" ref="D131:D154" si="16">MID(A131,FIND(". ",A131)+2,LEN(A131))</f>
        <v>#VALUE!</v>
      </c>
      <c r="E131" s="1" t="s">
        <v>1298</v>
      </c>
      <c r="F131" s="1" t="s">
        <v>11</v>
      </c>
    </row>
    <row r="132" spans="1:6" x14ac:dyDescent="0.2">
      <c r="A132" s="1" t="str">
        <f t="shared" si="15"/>
        <v>Cernusco Sul Naviglio</v>
      </c>
      <c r="B132" s="1" t="str">
        <f t="shared" si="15"/>
        <v>Italy</v>
      </c>
      <c r="C132" s="1" t="s">
        <v>1171</v>
      </c>
      <c r="D132" s="1" t="e">
        <f t="shared" si="16"/>
        <v>#VALUE!</v>
      </c>
      <c r="E132" s="1" t="s">
        <v>1299</v>
      </c>
      <c r="F132" s="1" t="s">
        <v>11</v>
      </c>
    </row>
    <row r="133" spans="1:6" x14ac:dyDescent="0.2">
      <c r="A133" s="1" t="str">
        <f t="shared" si="15"/>
        <v>Pontevedra and Tuy</v>
      </c>
      <c r="B133" s="1" t="str">
        <f t="shared" si="15"/>
        <v>Spain</v>
      </c>
      <c r="C133" s="1" t="s">
        <v>1172</v>
      </c>
      <c r="D133" s="1" t="e">
        <f t="shared" si="16"/>
        <v>#VALUE!</v>
      </c>
      <c r="E133" s="1" t="s">
        <v>1300</v>
      </c>
      <c r="F133" s="1" t="s">
        <v>553</v>
      </c>
    </row>
    <row r="134" spans="1:6" x14ac:dyDescent="0.2">
      <c r="A134" s="1" t="str">
        <f t="shared" si="15"/>
        <v>Campiñas</v>
      </c>
      <c r="B134" s="1" t="str">
        <f t="shared" si="15"/>
        <v>Brazil</v>
      </c>
      <c r="C134" s="1" t="s">
        <v>1173</v>
      </c>
      <c r="D134" s="1" t="e">
        <f t="shared" si="16"/>
        <v>#VALUE!</v>
      </c>
      <c r="E134" s="1" t="s">
        <v>1301</v>
      </c>
      <c r="F134" s="1" t="s">
        <v>519</v>
      </c>
    </row>
    <row r="135" spans="1:6" x14ac:dyDescent="0.2">
      <c r="A135" s="1" t="s">
        <v>996</v>
      </c>
      <c r="B135" s="1" t="s">
        <v>510</v>
      </c>
      <c r="C135" s="1">
        <v>1932</v>
      </c>
      <c r="D135" s="1" t="e">
        <f t="shared" si="16"/>
        <v>#VALUE!</v>
      </c>
      <c r="E135" s="1" t="e">
        <v>#VALUE!</v>
      </c>
    </row>
    <row r="136" spans="1:6" x14ac:dyDescent="0.2">
      <c r="A136" s="1" t="s">
        <v>995</v>
      </c>
      <c r="B136" s="1" t="s">
        <v>510</v>
      </c>
      <c r="C136" s="1">
        <v>1933</v>
      </c>
      <c r="D136" s="1" t="e">
        <f t="shared" si="16"/>
        <v>#VALUE!</v>
      </c>
      <c r="E136" s="1" t="e">
        <v>#VALUE!</v>
      </c>
    </row>
    <row r="137" spans="1:6" x14ac:dyDescent="0.2">
      <c r="A137" s="1" t="str">
        <f t="shared" ref="A137:A149" si="17">E137</f>
        <v>Pesqueira</v>
      </c>
      <c r="B137" s="1" t="str">
        <f t="shared" ref="B137:B149" si="18">F137</f>
        <v>Brazil</v>
      </c>
      <c r="C137" s="1" t="s">
        <v>1174</v>
      </c>
      <c r="D137" s="1" t="e">
        <f t="shared" si="16"/>
        <v>#VALUE!</v>
      </c>
      <c r="E137" s="1" t="s">
        <v>1302</v>
      </c>
      <c r="F137" s="1" t="s">
        <v>519</v>
      </c>
    </row>
    <row r="138" spans="1:6" x14ac:dyDescent="0.2">
      <c r="A138" s="1" t="str">
        <f t="shared" si="17"/>
        <v>Heede</v>
      </c>
      <c r="B138" s="1" t="str">
        <f t="shared" si="18"/>
        <v>Germany</v>
      </c>
      <c r="C138" s="1" t="s">
        <v>1175</v>
      </c>
      <c r="D138" s="1" t="e">
        <f t="shared" si="16"/>
        <v>#VALUE!</v>
      </c>
      <c r="E138" s="1" t="s">
        <v>1303</v>
      </c>
      <c r="F138" s="1" t="s">
        <v>543</v>
      </c>
    </row>
    <row r="139" spans="1:6" x14ac:dyDescent="0.2">
      <c r="A139" s="1" t="str">
        <f t="shared" si="17"/>
        <v>Milan</v>
      </c>
      <c r="B139" s="1" t="str">
        <f t="shared" si="18"/>
        <v>Italy</v>
      </c>
      <c r="C139" s="1" t="s">
        <v>1176</v>
      </c>
      <c r="D139" s="1" t="e">
        <f t="shared" si="16"/>
        <v>#VALUE!</v>
      </c>
      <c r="E139" s="1" t="s">
        <v>1304</v>
      </c>
      <c r="F139" s="1" t="s">
        <v>11</v>
      </c>
    </row>
    <row r="140" spans="1:6" x14ac:dyDescent="0.2">
      <c r="A140" s="1" t="str">
        <f t="shared" si="17"/>
        <v>Kallikulam</v>
      </c>
      <c r="B140" s="1" t="str">
        <f t="shared" si="18"/>
        <v>India</v>
      </c>
      <c r="C140" s="1" t="s">
        <v>1177</v>
      </c>
      <c r="D140" s="1" t="e">
        <f t="shared" si="16"/>
        <v>#VALUE!</v>
      </c>
      <c r="E140" s="1" t="s">
        <v>1305</v>
      </c>
      <c r="F140" s="1" t="s">
        <v>2</v>
      </c>
    </row>
    <row r="141" spans="1:6" x14ac:dyDescent="0.2">
      <c r="A141" s="1" t="str">
        <f t="shared" si="17"/>
        <v>Pfaffenhofen Marienfried</v>
      </c>
      <c r="B141" s="1" t="str">
        <f t="shared" si="18"/>
        <v>Germany</v>
      </c>
      <c r="C141" s="1" t="s">
        <v>1178</v>
      </c>
      <c r="D141" s="1" t="e">
        <f t="shared" si="16"/>
        <v>#VALUE!</v>
      </c>
      <c r="E141" s="1" t="s">
        <v>1306</v>
      </c>
      <c r="F141" s="1" t="s">
        <v>543</v>
      </c>
    </row>
    <row r="142" spans="1:6" x14ac:dyDescent="0.2">
      <c r="A142" s="1" t="str">
        <f t="shared" si="17"/>
        <v>Siekierki</v>
      </c>
      <c r="B142" s="1" t="str">
        <f t="shared" si="18"/>
        <v>Poland</v>
      </c>
      <c r="C142" s="1" t="s">
        <v>1179</v>
      </c>
      <c r="D142" s="1" t="e">
        <f t="shared" si="16"/>
        <v>#VALUE!</v>
      </c>
      <c r="E142" s="1" t="s">
        <v>1307</v>
      </c>
      <c r="F142" s="1" t="s">
        <v>652</v>
      </c>
    </row>
    <row r="143" spans="1:6" x14ac:dyDescent="0.2">
      <c r="A143" s="1" t="str">
        <f t="shared" si="17"/>
        <v>La Codosera</v>
      </c>
      <c r="B143" s="1" t="str">
        <f t="shared" si="18"/>
        <v>Spain</v>
      </c>
      <c r="C143" s="1" t="s">
        <v>1180</v>
      </c>
      <c r="D143" s="1" t="e">
        <f t="shared" si="16"/>
        <v>#VALUE!</v>
      </c>
      <c r="E143" s="1" t="s">
        <v>1308</v>
      </c>
      <c r="F143" s="1" t="s">
        <v>553</v>
      </c>
    </row>
    <row r="144" spans="1:6" x14ac:dyDescent="0.2">
      <c r="A144" s="1" t="str">
        <f t="shared" si="17"/>
        <v>Île-Bouchard</v>
      </c>
      <c r="B144" s="1" t="str">
        <f t="shared" si="18"/>
        <v>France</v>
      </c>
      <c r="C144" s="1" t="s">
        <v>1181</v>
      </c>
      <c r="D144" s="1" t="e">
        <f t="shared" si="16"/>
        <v>#VALUE!</v>
      </c>
      <c r="E144" s="1" t="s">
        <v>1309</v>
      </c>
      <c r="F144" s="1" t="s">
        <v>558</v>
      </c>
    </row>
    <row r="145" spans="1:6" x14ac:dyDescent="0.2">
      <c r="A145" s="1" t="str">
        <f t="shared" si="17"/>
        <v>Heroldsbach</v>
      </c>
      <c r="B145" s="1" t="str">
        <f t="shared" si="18"/>
        <v>Germany</v>
      </c>
      <c r="C145" s="1" t="s">
        <v>1182</v>
      </c>
      <c r="D145" s="1" t="e">
        <f t="shared" si="16"/>
        <v>#VALUE!</v>
      </c>
      <c r="E145" s="1" t="s">
        <v>1310</v>
      </c>
      <c r="F145" s="1" t="s">
        <v>543</v>
      </c>
    </row>
    <row r="146" spans="1:6" x14ac:dyDescent="0.2">
      <c r="A146" s="1" t="str">
        <f t="shared" si="17"/>
        <v>Rogorotto</v>
      </c>
      <c r="B146" s="1" t="str">
        <f t="shared" si="18"/>
        <v>Italy</v>
      </c>
      <c r="C146" s="1" t="s">
        <v>1183</v>
      </c>
      <c r="D146" s="1" t="e">
        <f t="shared" si="16"/>
        <v>#VALUE!</v>
      </c>
      <c r="E146" s="1" t="s">
        <v>1311</v>
      </c>
      <c r="F146" s="1" t="s">
        <v>11</v>
      </c>
    </row>
    <row r="147" spans="1:6" x14ac:dyDescent="0.2">
      <c r="A147" s="1" t="str">
        <f t="shared" si="17"/>
        <v>Syracuse</v>
      </c>
      <c r="B147" s="1" t="str">
        <f t="shared" si="18"/>
        <v>Italy</v>
      </c>
      <c r="C147" s="1" t="s">
        <v>1184</v>
      </c>
      <c r="D147" s="1" t="e">
        <f t="shared" si="16"/>
        <v>#VALUE!</v>
      </c>
      <c r="E147" s="1" t="s">
        <v>1312</v>
      </c>
      <c r="F147" s="1" t="s">
        <v>11</v>
      </c>
    </row>
    <row r="148" spans="1:6" x14ac:dyDescent="0.2">
      <c r="A148" s="1" t="str">
        <f t="shared" si="17"/>
        <v>Ngome</v>
      </c>
      <c r="B148" s="1" t="str">
        <f t="shared" si="18"/>
        <v>South Africa</v>
      </c>
      <c r="C148" s="1" t="s">
        <v>1185</v>
      </c>
      <c r="D148" s="1" t="e">
        <f t="shared" si="16"/>
        <v>#VALUE!</v>
      </c>
      <c r="E148" s="1" t="s">
        <v>1313</v>
      </c>
      <c r="F148" s="1" t="s">
        <v>707</v>
      </c>
    </row>
    <row r="149" spans="1:6" x14ac:dyDescent="0.2">
      <c r="A149" s="1" t="str">
        <f t="shared" si="17"/>
        <v>Fostoria</v>
      </c>
      <c r="B149" s="1" t="str">
        <f t="shared" si="18"/>
        <v>United States of America</v>
      </c>
      <c r="C149" s="1" t="s">
        <v>1186</v>
      </c>
      <c r="D149" s="1" t="e">
        <f t="shared" si="16"/>
        <v>#VALUE!</v>
      </c>
      <c r="E149" s="1" t="s">
        <v>1314</v>
      </c>
      <c r="F149" s="1" t="s">
        <v>698</v>
      </c>
    </row>
    <row r="150" spans="1:6" x14ac:dyDescent="0.2">
      <c r="A150" s="1" t="s">
        <v>1036</v>
      </c>
      <c r="B150" s="1" t="s">
        <v>21</v>
      </c>
      <c r="C150" s="1" t="s">
        <v>1018</v>
      </c>
      <c r="D150" s="1" t="e">
        <f t="shared" si="16"/>
        <v>#VALUE!</v>
      </c>
      <c r="E150" s="1" t="e">
        <v>#VALUE!</v>
      </c>
    </row>
    <row r="151" spans="1:6" x14ac:dyDescent="0.2">
      <c r="A151" s="1" t="str">
        <f>E151</f>
        <v>Akita</v>
      </c>
      <c r="B151" s="1" t="str">
        <f>F151</f>
        <v>Japan</v>
      </c>
      <c r="C151" s="1" t="s">
        <v>1187</v>
      </c>
      <c r="D151" s="1" t="e">
        <f t="shared" si="16"/>
        <v>#VALUE!</v>
      </c>
      <c r="E151" s="1" t="s">
        <v>1315</v>
      </c>
      <c r="F151" s="1" t="s">
        <v>593</v>
      </c>
    </row>
    <row r="152" spans="1:6" x14ac:dyDescent="0.2">
      <c r="A152" s="1" t="str">
        <f>E152</f>
        <v>Cuapa</v>
      </c>
      <c r="B152" s="1" t="str">
        <f>F152</f>
        <v>Nicaragua</v>
      </c>
      <c r="C152" s="1" t="s">
        <v>1188</v>
      </c>
      <c r="D152" s="1" t="e">
        <f t="shared" si="16"/>
        <v>#VALUE!</v>
      </c>
      <c r="E152" s="1" t="s">
        <v>1316</v>
      </c>
      <c r="F152" s="1" t="s">
        <v>639</v>
      </c>
    </row>
    <row r="153" spans="1:6" x14ac:dyDescent="0.2">
      <c r="A153" s="1" t="s">
        <v>485</v>
      </c>
      <c r="B153" s="1" t="s">
        <v>483</v>
      </c>
      <c r="C153" s="1">
        <v>1981</v>
      </c>
      <c r="D153" s="1" t="e">
        <f t="shared" si="16"/>
        <v>#VALUE!</v>
      </c>
      <c r="E153" s="1" t="e">
        <v>#VALUE!</v>
      </c>
    </row>
    <row r="154" spans="1:6" x14ac:dyDescent="0.2">
      <c r="A154" s="1" t="str">
        <f>E154</f>
        <v>Namyang</v>
      </c>
      <c r="B154" s="1" t="str">
        <f>F154</f>
        <v>South Korea</v>
      </c>
      <c r="C154" s="1" t="s">
        <v>1189</v>
      </c>
      <c r="D154" s="1" t="e">
        <f t="shared" si="16"/>
        <v>#VALUE!</v>
      </c>
      <c r="E154" s="1" t="s">
        <v>1317</v>
      </c>
      <c r="F154" s="1" t="s">
        <v>722</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Master</vt:lpstr>
      <vt:lpstr>Sheet3</vt:lpstr>
      <vt:lpstr>Marian Sites</vt:lpstr>
      <vt:lpstr>Sheet1</vt:lpstr>
      <vt:lpstr>(Ref) Countries</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2024-02-24T17:50:10Z</dcterms:modified>
</cp:coreProperties>
</file>