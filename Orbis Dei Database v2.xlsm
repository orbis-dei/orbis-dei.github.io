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oeld\OneDrive\Documents\GitHub\orbis-dei.github.io\"/>
    </mc:Choice>
  </mc:AlternateContent>
  <xr:revisionPtr revIDLastSave="0" documentId="13_ncr:1_{A3064E85-E500-49AE-94D5-885366134EDB}" xr6:coauthVersionLast="47" xr6:coauthVersionMax="47" xr10:uidLastSave="{00000000-0000-0000-0000-000000000000}"/>
  <bookViews>
    <workbookView xWindow="-103" yWindow="-103" windowWidth="21600" windowHeight="13749"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Sites'!$A$1:$CQ$81</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30" i="11" l="1"/>
  <c r="AU130" i="11"/>
  <c r="AS130" i="11"/>
  <c r="AW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A114" i="8"/>
  <c r="A109" i="8"/>
  <c r="D109" i="8" s="1"/>
  <c r="A108" i="8"/>
  <c r="A107" i="8"/>
  <c r="D107" i="8" s="1"/>
  <c r="A106" i="8"/>
  <c r="A105" i="8"/>
  <c r="D105" i="8" s="1"/>
  <c r="A104" i="8"/>
  <c r="A103" i="8"/>
  <c r="A102" i="8"/>
  <c r="A101" i="8"/>
  <c r="D101" i="8" s="1"/>
  <c r="A100" i="8"/>
  <c r="A99" i="8"/>
  <c r="A98" i="8"/>
  <c r="A97" i="8"/>
  <c r="D97" i="8" s="1"/>
  <c r="A95" i="8"/>
  <c r="D95" i="8" s="1"/>
  <c r="A94" i="8"/>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A50" i="8"/>
  <c r="A49" i="8"/>
  <c r="D49" i="8" s="1"/>
  <c r="A48" i="8"/>
  <c r="A47" i="8"/>
  <c r="A46" i="8"/>
  <c r="A45" i="8"/>
  <c r="D45" i="8" s="1"/>
  <c r="A44" i="8"/>
  <c r="D44" i="8" s="1"/>
  <c r="A43" i="8"/>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A19" i="8"/>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19" i="8"/>
  <c r="D20" i="8"/>
  <c r="D22" i="8"/>
  <c r="D24" i="8"/>
  <c r="D26" i="8"/>
  <c r="D30" i="8"/>
  <c r="D31" i="8"/>
  <c r="D32" i="8"/>
  <c r="D34" i="8"/>
  <c r="D38" i="8"/>
  <c r="D39" i="8"/>
  <c r="D40" i="8"/>
  <c r="D42" i="8"/>
  <c r="D43" i="8"/>
  <c r="D46" i="8"/>
  <c r="D47" i="8"/>
  <c r="D48" i="8"/>
  <c r="D50" i="8"/>
  <c r="D51" i="8"/>
  <c r="D52" i="8"/>
  <c r="D54" i="8"/>
  <c r="D56" i="8"/>
  <c r="D58" i="8"/>
  <c r="D60" i="8"/>
  <c r="D63" i="8"/>
  <c r="D64" i="8"/>
  <c r="D65" i="8"/>
  <c r="D67" i="8"/>
  <c r="D71" i="8"/>
  <c r="D72" i="8"/>
  <c r="D73" i="8"/>
  <c r="D74" i="8"/>
  <c r="D76" i="8"/>
  <c r="D80" i="8"/>
  <c r="D81" i="8"/>
  <c r="D82" i="8"/>
  <c r="D84" i="8"/>
  <c r="D85" i="8"/>
  <c r="D89" i="8"/>
  <c r="D90" i="8"/>
  <c r="D91" i="8"/>
  <c r="D93" i="8"/>
  <c r="D94" i="8"/>
  <c r="D96" i="8"/>
  <c r="D98" i="8"/>
  <c r="D99" i="8"/>
  <c r="D100" i="8"/>
  <c r="D102" i="8"/>
  <c r="D103" i="8"/>
  <c r="D104" i="8"/>
  <c r="D106" i="8"/>
  <c r="D108" i="8"/>
  <c r="D110" i="8"/>
  <c r="D111" i="8"/>
  <c r="D112" i="8"/>
  <c r="D113" i="8"/>
  <c r="D114" i="8"/>
  <c r="D115"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CE115" i="11"/>
  <c r="CC122" i="11"/>
  <c r="CC117" i="11"/>
  <c r="BK120" i="11"/>
  <c r="BT7" i="11"/>
  <c r="BK7" i="11"/>
  <c r="BT87" i="11"/>
  <c r="BK57" i="11"/>
  <c r="BK76" i="11"/>
  <c r="BK21" i="11"/>
  <c r="BT35" i="11"/>
  <c r="BT43" i="11"/>
  <c r="BW60" i="11"/>
  <c r="BT45" i="11"/>
  <c r="CE48" i="11"/>
  <c r="CC52" i="11"/>
  <c r="CD61" i="11"/>
  <c r="CE113" i="11"/>
  <c r="CE118" i="11"/>
  <c r="CD115" i="11"/>
  <c r="CD121" i="11"/>
  <c r="CC118" i="11"/>
  <c r="CC116" i="11"/>
  <c r="CC114" i="11"/>
  <c r="BK119" i="11"/>
  <c r="BT122" i="11"/>
  <c r="BK118" i="11"/>
  <c r="BT110" i="11"/>
  <c r="CH124" i="11"/>
  <c r="CH115" i="11"/>
  <c r="CH113" i="11"/>
  <c r="BK98" i="11"/>
  <c r="BT92" i="11"/>
  <c r="BK37" i="11"/>
  <c r="BT69" i="11"/>
  <c r="CH65" i="11"/>
  <c r="BT23" i="11"/>
  <c r="BT53" i="11"/>
  <c r="BT57" i="11"/>
  <c r="CH74" i="11"/>
  <c r="BW100" i="11"/>
  <c r="BK101" i="11"/>
  <c r="BT102" i="11"/>
  <c r="BK93" i="11"/>
  <c r="BT48" i="11"/>
  <c r="BT75" i="11"/>
  <c r="BK68" i="11"/>
  <c r="BT32" i="11"/>
  <c r="CH5" i="11"/>
  <c r="BK70" i="11"/>
  <c r="CH10" i="11"/>
  <c r="BK90" i="11"/>
  <c r="BT24" i="11"/>
  <c r="BW24" i="11"/>
  <c r="CH7" i="11"/>
  <c r="BK30" i="11"/>
  <c r="BT54" i="11"/>
  <c r="BK78" i="11"/>
  <c r="BT78" i="11"/>
  <c r="BK77" i="11"/>
  <c r="BK51" i="11"/>
  <c r="BT25" i="11"/>
  <c r="CH88" i="11"/>
  <c r="BT20" i="11"/>
  <c r="BK3" i="11"/>
  <c r="BT47" i="11"/>
  <c r="CH71" i="11"/>
  <c r="CH14" i="11"/>
  <c r="BK26" i="11"/>
  <c r="CE90" i="11"/>
  <c r="CE83" i="11"/>
  <c r="CE91" i="11"/>
  <c r="CE93" i="11"/>
  <c r="CD107" i="11"/>
  <c r="CC91" i="11"/>
  <c r="CC102" i="11"/>
  <c r="CC38" i="11"/>
  <c r="CC50" i="11"/>
  <c r="CD44" i="11"/>
  <c r="CD51" i="11"/>
  <c r="CD99" i="11"/>
  <c r="CC57" i="11"/>
  <c r="CC106" i="11"/>
  <c r="CD88" i="11"/>
  <c r="CC67" i="11"/>
  <c r="CE103" i="11"/>
  <c r="BT108" i="11"/>
  <c r="BW18" i="11"/>
  <c r="BK52" i="11"/>
  <c r="BT12" i="11"/>
  <c r="BT58" i="11"/>
  <c r="BK13" i="11"/>
  <c r="CH53" i="11"/>
  <c r="CD86" i="11"/>
  <c r="CD42" i="11"/>
  <c r="CC37" i="11"/>
  <c r="CD123" i="11"/>
  <c r="BT124" i="11"/>
  <c r="BT117" i="11"/>
  <c r="CH102" i="11"/>
  <c r="CH80" i="11"/>
  <c r="CE109" i="11"/>
  <c r="CE116" i="11"/>
  <c r="CD113" i="11"/>
  <c r="CD119" i="11"/>
  <c r="CC115" i="11"/>
  <c r="CC112" i="11"/>
  <c r="CC110" i="11"/>
  <c r="BK117" i="11"/>
  <c r="BT120" i="11"/>
  <c r="BK116" i="11"/>
  <c r="CH126" i="11"/>
  <c r="BT123" i="11"/>
  <c r="BK112" i="11"/>
  <c r="CH111" i="11"/>
  <c r="BK88" i="11"/>
  <c r="BT84" i="11"/>
  <c r="BK25" i="11"/>
  <c r="BW51" i="11"/>
  <c r="BK59" i="11"/>
  <c r="CH29" i="11"/>
  <c r="BK45" i="11"/>
  <c r="BW52" i="11"/>
  <c r="BK58" i="11"/>
  <c r="BK94" i="11"/>
  <c r="BK95" i="11"/>
  <c r="BK100" i="11"/>
  <c r="BT96" i="11"/>
  <c r="BW44" i="11"/>
  <c r="CH62" i="11"/>
  <c r="BW61" i="11"/>
  <c r="CH70" i="11"/>
  <c r="BK65" i="11"/>
  <c r="BK66" i="11"/>
  <c r="BT93" i="11"/>
  <c r="BT16" i="11"/>
  <c r="BW15" i="11"/>
  <c r="CH77" i="11"/>
  <c r="BT107" i="11"/>
  <c r="BW40" i="11"/>
  <c r="BK67" i="11"/>
  <c r="CH49" i="11"/>
  <c r="CH54" i="11"/>
  <c r="BK28" i="11"/>
  <c r="BK71" i="11"/>
  <c r="CH86" i="11"/>
  <c r="BT64" i="11"/>
  <c r="BK42" i="11"/>
  <c r="CH34" i="11"/>
  <c r="BT60" i="11"/>
  <c r="CH63" i="11"/>
  <c r="BK12" i="11"/>
  <c r="CD92" i="11"/>
  <c r="CD89" i="11"/>
  <c r="CC61" i="11"/>
  <c r="CC10" i="11"/>
  <c r="CE82" i="11"/>
  <c r="CE51" i="11"/>
  <c r="CC68" i="11"/>
  <c r="CD106" i="11"/>
  <c r="CC2" i="11"/>
  <c r="CD15" i="11"/>
  <c r="CE98" i="11"/>
  <c r="CC4" i="11"/>
  <c r="CD105" i="11"/>
  <c r="CC82" i="11"/>
  <c r="CC55" i="11"/>
  <c r="CC60" i="11"/>
  <c r="CC77" i="11"/>
  <c r="BK97" i="11"/>
  <c r="BK9" i="11"/>
  <c r="CH104" i="11"/>
  <c r="BK35" i="11"/>
  <c r="BK69" i="11"/>
  <c r="BT22" i="11"/>
  <c r="CH92" i="11"/>
  <c r="CC3" i="11"/>
  <c r="CC88" i="11"/>
  <c r="CE104" i="11"/>
  <c r="CC86" i="11"/>
  <c r="CC70" i="11"/>
  <c r="CC93" i="11"/>
  <c r="CE119" i="11"/>
  <c r="BT112" i="11"/>
  <c r="BT114" i="11"/>
  <c r="BW46" i="11"/>
  <c r="BK62" i="11"/>
  <c r="BW103" i="11"/>
  <c r="CH27" i="11"/>
  <c r="CD94" i="11"/>
  <c r="CC92" i="11"/>
  <c r="CE117" i="11"/>
  <c r="CD128" i="11"/>
  <c r="CD111" i="11"/>
  <c r="CD117" i="11"/>
  <c r="CC111" i="11"/>
  <c r="CC128" i="11"/>
  <c r="CD116" i="11"/>
  <c r="BK115" i="11"/>
  <c r="BT118" i="11"/>
  <c r="BK114" i="11"/>
  <c r="BT125" i="11"/>
  <c r="BT113" i="11"/>
  <c r="BK110" i="11"/>
  <c r="CC109" i="11"/>
  <c r="BT85" i="11"/>
  <c r="BW72" i="11"/>
  <c r="BK33" i="11"/>
  <c r="BT34" i="11"/>
  <c r="BK53" i="11"/>
  <c r="BK5" i="11"/>
  <c r="BT31" i="11"/>
  <c r="BK48" i="11"/>
  <c r="BT46" i="11"/>
  <c r="BK86" i="11"/>
  <c r="BT98" i="11"/>
  <c r="BK92" i="11"/>
  <c r="BT88" i="11"/>
  <c r="BT36" i="11"/>
  <c r="CH48" i="11"/>
  <c r="BK55" i="11"/>
  <c r="BT15" i="11"/>
  <c r="BT50" i="11"/>
  <c r="BK60" i="11"/>
  <c r="BT56" i="11"/>
  <c r="BK91" i="11"/>
  <c r="BT81" i="11"/>
  <c r="BT19" i="11"/>
  <c r="BK61" i="11"/>
  <c r="BT103" i="11"/>
  <c r="CH35" i="11"/>
  <c r="CH58" i="11"/>
  <c r="BU23" i="11"/>
  <c r="BT63" i="11"/>
  <c r="CH26" i="11"/>
  <c r="CH82" i="11"/>
  <c r="BK20" i="11"/>
  <c r="CH107" i="11"/>
  <c r="BK16" i="11"/>
  <c r="BK50" i="11"/>
  <c r="BT41" i="11"/>
  <c r="CH61" i="11"/>
  <c r="CE89" i="11"/>
  <c r="CC12" i="11"/>
  <c r="CC35" i="11"/>
  <c r="CD35" i="11"/>
  <c r="CC100" i="11"/>
  <c r="CD85" i="11"/>
  <c r="CC105" i="11"/>
  <c r="CD70" i="11"/>
  <c r="CE95" i="11"/>
  <c r="CC42" i="11"/>
  <c r="CC90" i="11"/>
  <c r="CD103" i="11"/>
  <c r="CD98" i="11"/>
  <c r="CC78" i="11"/>
  <c r="CC49" i="11"/>
  <c r="CE92" i="11"/>
  <c r="CC89" i="11"/>
  <c r="BK108" i="11"/>
  <c r="BT49" i="11"/>
  <c r="BK82" i="11"/>
  <c r="BK44" i="11"/>
  <c r="BT52" i="11"/>
  <c r="BK34" i="11"/>
  <c r="BK6" i="11"/>
  <c r="BW98" i="11"/>
  <c r="BT4" i="11"/>
  <c r="CC44" i="11"/>
  <c r="CC98" i="11"/>
  <c r="CD60" i="11"/>
  <c r="CE26" i="11"/>
  <c r="CD100" i="11"/>
  <c r="CE107" i="11"/>
  <c r="CC58" i="11"/>
  <c r="CC97" i="11"/>
  <c r="CC26" i="11"/>
  <c r="CD90" i="11"/>
  <c r="CE44" i="11"/>
  <c r="CE84" i="11"/>
  <c r="CC22" i="11"/>
  <c r="CC76" i="11"/>
  <c r="BK102" i="11"/>
  <c r="BT66" i="11"/>
  <c r="CH60" i="11"/>
  <c r="CE126" i="11"/>
  <c r="CC126" i="11"/>
  <c r="BK123" i="11"/>
  <c r="BT116" i="11"/>
  <c r="BK103" i="11"/>
  <c r="BK4" i="11"/>
  <c r="BW34" i="11"/>
  <c r="BK2" i="11"/>
  <c r="CH68" i="11"/>
  <c r="BK41" i="11"/>
  <c r="BT5" i="11"/>
  <c r="BK38" i="11"/>
  <c r="BK89" i="11"/>
  <c r="BK72" i="11"/>
  <c r="CH75" i="11"/>
  <c r="CC119" i="11"/>
  <c r="BT100" i="11"/>
  <c r="BK19" i="11"/>
  <c r="CH103" i="11"/>
  <c r="BK23" i="11"/>
  <c r="BT17" i="11"/>
  <c r="CH90" i="11"/>
  <c r="CC96" i="11"/>
  <c r="CC75" i="11"/>
  <c r="CC108" i="11"/>
  <c r="CH19" i="11"/>
  <c r="CH12" i="11"/>
  <c r="CE112" i="11"/>
  <c r="CD126" i="11"/>
  <c r="CD112" i="11"/>
  <c r="CD114" i="11"/>
  <c r="CC129" i="11"/>
  <c r="CC124" i="11"/>
  <c r="BK129" i="11"/>
  <c r="BK113" i="11"/>
  <c r="BK128" i="11"/>
  <c r="CH128" i="11"/>
  <c r="CH118" i="11"/>
  <c r="BT111" i="11"/>
  <c r="BT121" i="11"/>
  <c r="BT109" i="11"/>
  <c r="CH100" i="11"/>
  <c r="BK79" i="11"/>
  <c r="BT38" i="11"/>
  <c r="BU34" i="11"/>
  <c r="BW47" i="11"/>
  <c r="BW2" i="11"/>
  <c r="BT9" i="11"/>
  <c r="BW43" i="11"/>
  <c r="BW23" i="11"/>
  <c r="CH84" i="11"/>
  <c r="BT90" i="11"/>
  <c r="BK84" i="11"/>
  <c r="BT76" i="11"/>
  <c r="BW17" i="11"/>
  <c r="BK18" i="11"/>
  <c r="CH51" i="11"/>
  <c r="BT13" i="11"/>
  <c r="BK27" i="11"/>
  <c r="CH56" i="11"/>
  <c r="BK43" i="11"/>
  <c r="BK75" i="11"/>
  <c r="BT6" i="11"/>
  <c r="BT51" i="11"/>
  <c r="BU24" i="11"/>
  <c r="BT79" i="11"/>
  <c r="BK107" i="11"/>
  <c r="BT105" i="11"/>
  <c r="BT26" i="11"/>
  <c r="BT33" i="11"/>
  <c r="BT37" i="11"/>
  <c r="CC5" i="11"/>
  <c r="CC79" i="11"/>
  <c r="CE99" i="11"/>
  <c r="CE102" i="11"/>
  <c r="CC51" i="11"/>
  <c r="CD97" i="11"/>
  <c r="CC85" i="11"/>
  <c r="CD96" i="11"/>
  <c r="CC48" i="11"/>
  <c r="BU38" i="11"/>
  <c r="BT86" i="11"/>
  <c r="BK85" i="11"/>
  <c r="BK63" i="11"/>
  <c r="CE87" i="11"/>
  <c r="CC95" i="11"/>
  <c r="CD52" i="11"/>
  <c r="CC94" i="11"/>
  <c r="CD82" i="11"/>
  <c r="CE96" i="11"/>
  <c r="CD120" i="11"/>
  <c r="CC125" i="11"/>
  <c r="BT119" i="11"/>
  <c r="BT115" i="11"/>
  <c r="BT59" i="11"/>
  <c r="CH79" i="11"/>
  <c r="BK49" i="11"/>
  <c r="BK10" i="11"/>
  <c r="CH76" i="11"/>
  <c r="BT70" i="11"/>
  <c r="BK99" i="11"/>
  <c r="BT3" i="11"/>
  <c r="BT11" i="11"/>
  <c r="BK54" i="11"/>
  <c r="BT65" i="11"/>
  <c r="BT62" i="11"/>
  <c r="BK47" i="11"/>
  <c r="BK22" i="11"/>
  <c r="CC87" i="11"/>
  <c r="CC64" i="11"/>
  <c r="CC29" i="11"/>
  <c r="CC62" i="11"/>
  <c r="CE85" i="11"/>
  <c r="CE111" i="11"/>
  <c r="CD124" i="11"/>
  <c r="CD129" i="11"/>
  <c r="CD110" i="11"/>
  <c r="CC121" i="11"/>
  <c r="CC120" i="11"/>
  <c r="BK127" i="11"/>
  <c r="BK111" i="11"/>
  <c r="BK126" i="11"/>
  <c r="BT127" i="11"/>
  <c r="CH116" i="11"/>
  <c r="BT129" i="11"/>
  <c r="CH117" i="11"/>
  <c r="BK109" i="11"/>
  <c r="CH96" i="11"/>
  <c r="BT71" i="11"/>
  <c r="BT30" i="11"/>
  <c r="BK11" i="11"/>
  <c r="BK40" i="11"/>
  <c r="BT2" i="11"/>
  <c r="BT72" i="11"/>
  <c r="BK24" i="11"/>
  <c r="BK106" i="11"/>
  <c r="BT99" i="11"/>
  <c r="BT82" i="11"/>
  <c r="BT83" i="11"/>
  <c r="BT73" i="11"/>
  <c r="BW19" i="11"/>
  <c r="BW8" i="11"/>
  <c r="BK39" i="11"/>
  <c r="BW11" i="11"/>
  <c r="BT27" i="11"/>
  <c r="BW50" i="11"/>
  <c r="BK14" i="11"/>
  <c r="BT68" i="11"/>
  <c r="BT21" i="11"/>
  <c r="BW30" i="11"/>
  <c r="BW38" i="11"/>
  <c r="BT89" i="11"/>
  <c r="BW10" i="11"/>
  <c r="BK17" i="11"/>
  <c r="CH69" i="11"/>
  <c r="CH52" i="11"/>
  <c r="BK36" i="11"/>
  <c r="BT67" i="11"/>
  <c r="BT101" i="11"/>
  <c r="CH72" i="11"/>
  <c r="BT97" i="11"/>
  <c r="BT14" i="11"/>
  <c r="BW26" i="11"/>
  <c r="BT80" i="11"/>
  <c r="BK96" i="11"/>
  <c r="CC54" i="11"/>
  <c r="CE100" i="11"/>
  <c r="CC15" i="11"/>
  <c r="CD26" i="11"/>
  <c r="CC63" i="11"/>
  <c r="CC56" i="11"/>
  <c r="CC65" i="11"/>
  <c r="CC59" i="11"/>
  <c r="CD104" i="11"/>
  <c r="CD87" i="11"/>
  <c r="CC27" i="11"/>
  <c r="CH23" i="11"/>
  <c r="CE88" i="11"/>
  <c r="CC84" i="11"/>
  <c r="CD59" i="11"/>
  <c r="CC83" i="11"/>
  <c r="CD125" i="11"/>
  <c r="BT91" i="11"/>
  <c r="BT61" i="11"/>
  <c r="BT10" i="11"/>
  <c r="BT77" i="11"/>
  <c r="BW22" i="11"/>
  <c r="BK80" i="11"/>
  <c r="CH78" i="11"/>
  <c r="BK74" i="11"/>
  <c r="BK32" i="11"/>
  <c r="BT106" i="11"/>
  <c r="BT55" i="11"/>
  <c r="CH21" i="11"/>
  <c r="CE114" i="11"/>
  <c r="CE129" i="11"/>
  <c r="CD122" i="11"/>
  <c r="CD127" i="11"/>
  <c r="CD109" i="11"/>
  <c r="CC127" i="11"/>
  <c r="CC113" i="11"/>
  <c r="BK125" i="11"/>
  <c r="BT128" i="11"/>
  <c r="BK124" i="11"/>
  <c r="CH120" i="11"/>
  <c r="BK104" i="11"/>
  <c r="BK83" i="11"/>
  <c r="BK64" i="11"/>
  <c r="BK8" i="11"/>
  <c r="BK73" i="11"/>
  <c r="BK31" i="11"/>
  <c r="BT40" i="11"/>
  <c r="BU40" i="11" s="1"/>
  <c r="CH81" i="11"/>
  <c r="BK15" i="11"/>
  <c r="BK105" i="11"/>
  <c r="BT95" i="11"/>
  <c r="CH106" i="11"/>
  <c r="CH98" i="11"/>
  <c r="CH67" i="11"/>
  <c r="BT29" i="11"/>
  <c r="BU29" i="11" s="1"/>
  <c r="CH24" i="11"/>
  <c r="BT42" i="11"/>
  <c r="BK29" i="11"/>
  <c r="CH11" i="11"/>
  <c r="BK46" i="11"/>
  <c r="BK87" i="11"/>
  <c r="BK56" i="11"/>
  <c r="BT74" i="11"/>
  <c r="BT8" i="11"/>
  <c r="BT28" i="11"/>
  <c r="BT94" i="11"/>
  <c r="CH73" i="11"/>
  <c r="BT18" i="11"/>
  <c r="CH59" i="11"/>
  <c r="BU18" i="11"/>
  <c r="BT44" i="11"/>
  <c r="CD48" i="11"/>
  <c r="CC104" i="11"/>
  <c r="CE94" i="11"/>
  <c r="CD83" i="11"/>
  <c r="CD93" i="11"/>
  <c r="CD84" i="11"/>
  <c r="CC107" i="11"/>
  <c r="CE110" i="11"/>
  <c r="CC123" i="11"/>
  <c r="BT126" i="11"/>
  <c r="BK122" i="11"/>
  <c r="CH122" i="11"/>
  <c r="BT104" i="11"/>
  <c r="CH94" i="11"/>
  <c r="CH17" i="11"/>
  <c r="CC45" i="11"/>
  <c r="CC99" i="11"/>
  <c r="CD91" i="11"/>
  <c r="CC53" i="11"/>
  <c r="CD102" i="11"/>
  <c r="CC66" i="11"/>
  <c r="CC74" i="11"/>
  <c r="CE70" i="11"/>
  <c r="CD118" i="11"/>
  <c r="BK121" i="11"/>
  <c r="CH114" i="11"/>
  <c r="BT39" i="11"/>
  <c r="BK81" i="11"/>
  <c r="CC103" i="11"/>
  <c r="CE86" i="11"/>
  <c r="CE52" i="11"/>
  <c r="CC73" i="11"/>
  <c r="CD95" i="11"/>
  <c r="AV66" i="11" l="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V59" i="11" s="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U39" i="11"/>
  <c r="BV120" i="11"/>
  <c r="BV126" i="11"/>
  <c r="BV98" i="11"/>
  <c r="BU22" i="11"/>
  <c r="BX61" i="11"/>
  <c r="BU26" i="11"/>
  <c r="BV84" i="11"/>
  <c r="BV29" i="11"/>
  <c r="BX50" i="11"/>
  <c r="BU13" i="11"/>
  <c r="BV74" i="11"/>
  <c r="CH55" i="11"/>
  <c r="BU32" i="11"/>
  <c r="BV71" i="11"/>
  <c r="BU14" i="11"/>
  <c r="CH37" i="11"/>
  <c r="BV65" i="11"/>
  <c r="CH89" i="11"/>
  <c r="CH108" i="11"/>
  <c r="BX59" i="11"/>
  <c r="CH4" i="11"/>
  <c r="BU30" i="11"/>
  <c r="CH36" i="11"/>
  <c r="BU28" i="11"/>
  <c r="BV119" i="11"/>
  <c r="BX119" i="11" s="1"/>
  <c r="BV118" i="11"/>
  <c r="BX120" i="11"/>
  <c r="CH109" i="11"/>
  <c r="BV83" i="11"/>
  <c r="BX86" i="11"/>
  <c r="CH22" i="11"/>
  <c r="CH47" i="11"/>
  <c r="BV18" i="11"/>
  <c r="BV102" i="11"/>
  <c r="BV38" i="11"/>
  <c r="BU5" i="11"/>
  <c r="BU6" i="11"/>
  <c r="BX98" i="11"/>
  <c r="BV69" i="11"/>
  <c r="CH15" i="11"/>
  <c r="BV101" i="11"/>
  <c r="CH20" i="11"/>
  <c r="BU7" i="11"/>
  <c r="BU42" i="11"/>
  <c r="BV63" i="11"/>
  <c r="BU25" i="11"/>
  <c r="BU21" i="11"/>
  <c r="BU11" i="11"/>
  <c r="CH83" i="11"/>
  <c r="CH45" i="11"/>
  <c r="BU19" i="11"/>
  <c r="CH105" i="11"/>
  <c r="CH3" i="11"/>
  <c r="CH40" i="11"/>
  <c r="BU33" i="11"/>
  <c r="BV115" i="11"/>
  <c r="BX115" i="11" s="1"/>
  <c r="BV121" i="11"/>
  <c r="BV125" i="11"/>
  <c r="BV109" i="11"/>
  <c r="BX109" i="11" s="1"/>
  <c r="BU44" i="11"/>
  <c r="BV55" i="11"/>
  <c r="CH95" i="11"/>
  <c r="CH30" i="11"/>
  <c r="BV49" i="11"/>
  <c r="BX103" i="11"/>
  <c r="CH28" i="11"/>
  <c r="CH6" i="11"/>
  <c r="BV47" i="11"/>
  <c r="BX87" i="11"/>
  <c r="BU36" i="11"/>
  <c r="BV116" i="11"/>
  <c r="BX116" i="11" s="1"/>
  <c r="BV129" i="11"/>
  <c r="BV114" i="11"/>
  <c r="BV124" i="11"/>
  <c r="BX124" i="11" s="1"/>
  <c r="BU37" i="11"/>
  <c r="BV76" i="11"/>
  <c r="BX76" i="11" s="1"/>
  <c r="BX88" i="11"/>
  <c r="CH2" i="11"/>
  <c r="CH32" i="11"/>
  <c r="BU45" i="11"/>
  <c r="BV79" i="11"/>
  <c r="CH99" i="11"/>
  <c r="CH44" i="11"/>
  <c r="BU35" i="11"/>
  <c r="BX84" i="11"/>
  <c r="CH18" i="11"/>
  <c r="BX102" i="11"/>
  <c r="BU3" i="11"/>
  <c r="BX53" i="11"/>
  <c r="BX60" i="11"/>
  <c r="BV91" i="11"/>
  <c r="BU15" i="11"/>
  <c r="BV77" i="11"/>
  <c r="BV70" i="11"/>
  <c r="BX70" i="11" s="1"/>
  <c r="CH13" i="11"/>
  <c r="BV97" i="11"/>
  <c r="CH39" i="11"/>
  <c r="BU43" i="11"/>
  <c r="BV112" i="11"/>
  <c r="BX112" i="11" s="1"/>
  <c r="BV117" i="11"/>
  <c r="CH119" i="11"/>
  <c r="CH110" i="11"/>
  <c r="BX126" i="11"/>
  <c r="BU17" i="11"/>
  <c r="BV64" i="11"/>
  <c r="CH93" i="11"/>
  <c r="BU31" i="11"/>
  <c r="CH38" i="11"/>
  <c r="BU27" i="11"/>
  <c r="BV75" i="11"/>
  <c r="BX92" i="11"/>
  <c r="BU12" i="11"/>
  <c r="BU20" i="11"/>
  <c r="BV104" i="11"/>
  <c r="BX52" i="11"/>
  <c r="BV82" i="11"/>
  <c r="BX82" i="11" s="1"/>
  <c r="CH101" i="11"/>
  <c r="BU9" i="11"/>
  <c r="BU8" i="11"/>
  <c r="BU16" i="11"/>
  <c r="CH97" i="11"/>
  <c r="BV106" i="11"/>
  <c r="BU4" i="11"/>
  <c r="CH87" i="11"/>
  <c r="CH8" i="11"/>
  <c r="BV127" i="11"/>
  <c r="BX127" i="11" s="1"/>
  <c r="BX125" i="11"/>
  <c r="CH127" i="11"/>
  <c r="CH129" i="11"/>
  <c r="CH123" i="11"/>
  <c r="CH33" i="11"/>
  <c r="BV66" i="11"/>
  <c r="BX83" i="11"/>
  <c r="BX66" i="11"/>
  <c r="CH64" i="11"/>
  <c r="CH46" i="11"/>
  <c r="CH57" i="11"/>
  <c r="BX58" i="11"/>
  <c r="BV100" i="11"/>
  <c r="CH31" i="11"/>
  <c r="BV67" i="11"/>
  <c r="BX65" i="11"/>
  <c r="BV85" i="11"/>
  <c r="BX64" i="11"/>
  <c r="BX85" i="11"/>
  <c r="CH50" i="11"/>
  <c r="BV113" i="11"/>
  <c r="BV122" i="11"/>
  <c r="BX122" i="11" s="1"/>
  <c r="CH125" i="11"/>
  <c r="CH112" i="11"/>
  <c r="BV95" i="11"/>
  <c r="BX95" i="11" s="1"/>
  <c r="BV24" i="11"/>
  <c r="CH66" i="11"/>
  <c r="CH42" i="11"/>
  <c r="BU10" i="11"/>
  <c r="BV93" i="11"/>
  <c r="BV78" i="11"/>
  <c r="BX78" i="11" s="1"/>
  <c r="BU2" i="11"/>
  <c r="CH16" i="11"/>
  <c r="CH25" i="11"/>
  <c r="BV123" i="11"/>
  <c r="BX123" i="11" s="1"/>
  <c r="BV111" i="11"/>
  <c r="BX111" i="11" s="1"/>
  <c r="BV107" i="11"/>
  <c r="BX107" i="11" s="1"/>
  <c r="BV96" i="11"/>
  <c r="BX96" i="11" s="1"/>
  <c r="BV99" i="11"/>
  <c r="BX99" i="11" s="1"/>
  <c r="BV81" i="11"/>
  <c r="BV80" i="11"/>
  <c r="BV72" i="11"/>
  <c r="BV68" i="11"/>
  <c r="BX68" i="11" s="1"/>
  <c r="BV23" i="11"/>
  <c r="BV34" i="11"/>
  <c r="BV128" i="11"/>
  <c r="BX128" i="11" s="1"/>
  <c r="BV110" i="11"/>
  <c r="BX110" i="11" s="1"/>
  <c r="CH121" i="11"/>
  <c r="BX113" i="11"/>
  <c r="BX118" i="11"/>
  <c r="BV89" i="11"/>
  <c r="BX89" i="11" s="1"/>
  <c r="BX57" i="11"/>
  <c r="CH43" i="11"/>
  <c r="CH9" i="11"/>
  <c r="BV90" i="11"/>
  <c r="BV40" i="11"/>
  <c r="BX62" i="11"/>
  <c r="BX54" i="11"/>
  <c r="BX75" i="11"/>
  <c r="BV51" i="11"/>
  <c r="BX40" i="11"/>
  <c r="BU41" i="11"/>
  <c r="BV48" i="11"/>
  <c r="CH85" i="11"/>
  <c r="BX56" i="11"/>
  <c r="BX74" i="11"/>
  <c r="BX69" i="11"/>
  <c r="BV73" i="11"/>
  <c r="CH91" i="11"/>
  <c r="BX72" i="11"/>
  <c r="BX108" i="11"/>
  <c r="BX55" i="11"/>
  <c r="BX93" i="11"/>
  <c r="BV46" i="11"/>
  <c r="BV94" i="11"/>
  <c r="BX79" i="11"/>
  <c r="BV105" i="11"/>
  <c r="BX105" i="11" s="1"/>
  <c r="CH41" i="11"/>
  <c r="CJ119" i="11" l="1"/>
  <c r="CJ118" i="11"/>
  <c r="CK118" i="11" s="1"/>
  <c r="CG112" i="11"/>
  <c r="CJ113" i="11"/>
  <c r="CK113" i="11" s="1"/>
  <c r="CG114" i="11"/>
  <c r="CK114" i="11" s="1"/>
  <c r="CG110" i="11"/>
  <c r="CK110" i="11" s="1"/>
  <c r="CG123" i="11"/>
  <c r="CK123" i="11" s="1"/>
  <c r="CG122" i="11"/>
  <c r="CK122" i="11" s="1"/>
  <c r="CG115" i="11"/>
  <c r="CK115" i="11" s="1"/>
  <c r="CG111" i="11"/>
  <c r="CK111" i="11" s="1"/>
  <c r="CK119" i="1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K112" i="11"/>
  <c r="CJ109" i="11"/>
  <c r="CK109" i="11" s="1"/>
  <c r="CJ92" i="11"/>
  <c r="CK92" i="11" s="1"/>
  <c r="CJ107" i="11"/>
  <c r="CK107" i="11" s="1"/>
  <c r="CJ108" i="11"/>
  <c r="CK108" i="11" s="1"/>
  <c r="CK98" i="11"/>
  <c r="CG103" i="11"/>
  <c r="CK103" i="11" s="1"/>
  <c r="CJ105" i="11"/>
  <c r="CK105" i="11" s="1"/>
  <c r="CJ106" i="11"/>
  <c r="CK106" i="11" s="1"/>
  <c r="CK104" i="11"/>
  <c r="CJ85" i="11"/>
  <c r="CJ90" i="11"/>
  <c r="CK90" i="11" s="1"/>
  <c r="CJ82" i="11"/>
  <c r="CK82" i="11" s="1"/>
  <c r="CJ96" i="11"/>
  <c r="CK96" i="11" s="1"/>
  <c r="CJ88" i="11"/>
  <c r="CK88" i="11" s="1"/>
  <c r="CJ84" i="11"/>
  <c r="CK84" i="11" s="1"/>
  <c r="CJ94" i="11"/>
  <c r="CK94" i="11" s="1"/>
  <c r="CJ86" i="11"/>
  <c r="CK86" i="11" s="1"/>
  <c r="CJ102" i="11"/>
  <c r="CK102" i="11" s="1"/>
  <c r="CK85" i="1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X94" i="11"/>
  <c r="BX100" i="11"/>
  <c r="BX114" i="11"/>
  <c r="BX101" i="11"/>
  <c r="BV3" i="11"/>
  <c r="BV27" i="11"/>
  <c r="BV22" i="11"/>
  <c r="BV17" i="11"/>
  <c r="BX73" i="11"/>
  <c r="BX106" i="11"/>
  <c r="BX129" i="11"/>
  <c r="BV28" i="11"/>
  <c r="BX48" i="11"/>
  <c r="BX104" i="11"/>
  <c r="BV36" i="11"/>
  <c r="BX71" i="11"/>
  <c r="BV6" i="11"/>
  <c r="BV37" i="11"/>
  <c r="BV7" i="11"/>
  <c r="BV35" i="11"/>
  <c r="BX28" i="11"/>
  <c r="BV5" i="11"/>
  <c r="BV32" i="11"/>
  <c r="BX18" i="11"/>
  <c r="BX34" i="11"/>
  <c r="BV44" i="11"/>
  <c r="BX51" i="11"/>
  <c r="BX117" i="11"/>
  <c r="BX47" i="11"/>
  <c r="BV39" i="11"/>
  <c r="BX39" i="11" s="1"/>
  <c r="BV16" i="11"/>
  <c r="BV13" i="11"/>
  <c r="BX13" i="11" s="1"/>
  <c r="BV8" i="11"/>
  <c r="BV10" i="11"/>
  <c r="BV9" i="11"/>
  <c r="BX29" i="11"/>
  <c r="BV41" i="11"/>
  <c r="BV26" i="11"/>
  <c r="BV42" i="11"/>
  <c r="BX6" i="11"/>
  <c r="BV2" i="11"/>
  <c r="BV31" i="11"/>
  <c r="BX31" i="11" s="1"/>
  <c r="BX38" i="11"/>
  <c r="BV21" i="11"/>
  <c r="BV15" i="11"/>
  <c r="BX23" i="11"/>
  <c r="BX90" i="11"/>
  <c r="BV43" i="11"/>
  <c r="BX49" i="11"/>
  <c r="BV4" i="11"/>
  <c r="BX4" i="11" s="1"/>
  <c r="BX16" i="11"/>
  <c r="BV30" i="11"/>
  <c r="BX24" i="11"/>
  <c r="BV19" i="11"/>
  <c r="BX19" i="11" s="1"/>
  <c r="BX10" i="11"/>
  <c r="BX80" i="11"/>
  <c r="BX97" i="11"/>
  <c r="BX121" i="11"/>
  <c r="BX81" i="11"/>
  <c r="BX77" i="11"/>
  <c r="BV33" i="11"/>
  <c r="BX33" i="11" s="1"/>
  <c r="BV25" i="11"/>
  <c r="BV11" i="11"/>
  <c r="BV12" i="11"/>
  <c r="BX12" i="11" s="1"/>
  <c r="BX43" i="11"/>
  <c r="BX46" i="11"/>
  <c r="BV14" i="11"/>
  <c r="BV45" i="11"/>
  <c r="BX67" i="11"/>
  <c r="BX91" i="11"/>
  <c r="BX63" i="11"/>
  <c r="BX36" i="11"/>
  <c r="BV20" i="11"/>
  <c r="BX45" i="11"/>
  <c r="CK41" i="11" l="1"/>
  <c r="CK43" i="11"/>
  <c r="BX2" i="11"/>
  <c r="BX27" i="11"/>
  <c r="BX22" i="11"/>
  <c r="BX7" i="11"/>
  <c r="BX3" i="11"/>
  <c r="BX42" i="11"/>
  <c r="BX5" i="11"/>
  <c r="BX15" i="11"/>
  <c r="BX8" i="11"/>
  <c r="BX37" i="11"/>
  <c r="BX41" i="11"/>
  <c r="BX44" i="11"/>
  <c r="BX30" i="11"/>
  <c r="BX21" i="11"/>
  <c r="BX25" i="11"/>
  <c r="BX32" i="11"/>
  <c r="BX9" i="11"/>
  <c r="BX14" i="11"/>
  <c r="BX26" i="11"/>
  <c r="BX35" i="11"/>
  <c r="BX11" i="11"/>
  <c r="BX20" i="11"/>
  <c r="BX17" i="11"/>
</calcChain>
</file>

<file path=xl/sharedStrings.xml><?xml version="1.0" encoding="utf-8"?>
<sst xmlns="http://schemas.openxmlformats.org/spreadsheetml/2006/main" count="5289" uniqueCount="2466">
  <si>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</si>
  <si>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</si>
  <si>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</si>
  <si>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</si>
  <si>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</si>
  <si>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</si>
  <si>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</si>
  <si>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</si>
  <si>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</si>
  <si>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</si>
  <si>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</si>
  <si>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</si>
  <si>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</si>
  <si>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</si>
  <si>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</si>
  <si>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</si>
  <si>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</si>
  <si>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</si>
  <si>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</si>
  <si>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</si>
  <si>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</si>
  <si>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</si>
  <si>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</si>
  <si>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</si>
  <si>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</si>
  <si>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</si>
  <si>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</si>
  <si>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</si>
  <si>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</si>
  <si>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</si>
  <si>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</si>
  <si>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</si>
  <si>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</si>
  <si>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</si>
  <si>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</si>
  <si>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</si>
  <si>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</si>
  <si>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</si>
  <si>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</si>
  <si>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</si>
  <si>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</si>
  <si>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</si>
  <si>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</si>
  <si>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</si>
  <si>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</si>
  <si>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</si>
  <si>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</si>
  <si>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</si>
  <si>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</si>
  <si>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</si>
  <si>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</si>
  <si>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</si>
  <si>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</si>
  <si>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</si>
  <si>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</si>
  <si>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</si>
  <si>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</si>
  <si>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</si>
  <si>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</si>
  <si>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</si>
  <si>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</si>
  <si>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</si>
  <si>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</si>
  <si>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</si>
  <si>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</si>
  <si>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</si>
  <si>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</si>
  <si>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</si>
  <si>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</si>
  <si>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</si>
  <si>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</si>
  <si>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</si>
  <si>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</si>
  <si>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</si>
  <si>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</si>
  <si>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</si>
  <si>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</si>
  <si>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</si>
  <si>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</si>
  <si>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</si>
  <si>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</si>
  <si>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</si>
  <si>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</si>
  <si>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</si>
  <si>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</si>
  <si>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</si>
  <si>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</si>
  <si>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</si>
  <si>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</si>
  <si>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</si>
  <si>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</si>
  <si>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</si>
  <si>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</si>
  <si>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</si>
  <si>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</si>
  <si>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</si>
  <si>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</si>
  <si>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</si>
  <si>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</si>
  <si>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</si>
  <si>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</si>
  <si>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</si>
  <si>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</si>
  <si>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</si>
  <si>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</si>
  <si>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</si>
  <si>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</si>
  <si>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</si>
  <si>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</si>
  <si>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</si>
  <si>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</si>
  <si>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</si>
  <si>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</si>
  <si>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</si>
  <si>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</si>
  <si>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</si>
  <si>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</si>
  <si>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</si>
  <si>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</si>
  <si>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</si>
  <si>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</si>
  <si>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</si>
  <si>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</si>
  <si>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</si>
  <si>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</si>
  <si>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</si>
  <si>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</si>
  <si>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</si>
  <si>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</si>
  <si>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</si>
  <si>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</si>
  <si>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</si>
  <si>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</si>
  <si>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</si>
  <si>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</si>
  <si>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</si>
  <si>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</si>
  <si>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</si>
  <si>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</si>
  <si>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</si>
  <si>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</si>
  <si>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</si>
  <si>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</si>
  <si>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</si>
  <si>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</si>
  <si>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</si>
  <si>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</si>
  <si>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</si>
  <si>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</si>
  <si>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</si>
  <si>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</si>
  <si>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</si>
  <si>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</si>
  <si>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</si>
  <si>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</si>
  <si>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</si>
  <si>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</si>
  <si>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</si>
  <si>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</si>
  <si>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</si>
  <si>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</si>
  <si>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</si>
  <si>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</si>
  <si>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</si>
  <si>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</si>
  <si>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</si>
  <si>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</si>
  <si>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</si>
  <si>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</si>
  <si>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</si>
  <si>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</si>
  <si>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</si>
  <si>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</si>
  <si>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</si>
  <si>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</si>
  <si>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</si>
  <si>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</si>
  <si>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</si>
  <si>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</si>
  <si>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</si>
  <si>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</si>
  <si>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</si>
  <si>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</si>
  <si>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</si>
  <si>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</si>
  <si>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</si>
  <si>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</si>
  <si>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</si>
  <si>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</si>
  <si>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</si>
  <si>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</si>
  <si>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</si>
  <si>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</si>
  <si>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</si>
  <si>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</si>
  <si>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</si>
  <si>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</si>
  <si>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</si>
  <si>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</si>
  <si>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</si>
  <si>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</si>
  <si>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</si>
  <si>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</si>
  <si>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</si>
  <si>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</si>
  <si>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</si>
  <si>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</si>
  <si>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</si>
  <si>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</si>
  <si>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</si>
  <si>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</si>
  <si>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</si>
  <si>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</si>
  <si>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</si>
  <si>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</si>
  <si>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</si>
  <si>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</si>
  <si>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</si>
  <si>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</si>
  <si>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</si>
  <si>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</si>
  <si>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</si>
  <si>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</si>
  <si>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</si>
  <si>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</si>
  <si>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</si>
  <si>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</si>
  <si>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</si>
  <si>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</si>
  <si>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</si>
  <si>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</si>
  <si>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</si>
  <si>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</si>
  <si>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</si>
  <si>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</si>
  <si>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</si>
  <si>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</si>
  <si>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</si>
  <si>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</si>
  <si>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</si>
  <si>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</si>
  <si>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</si>
  <si>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</si>
  <si>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</si>
  <si>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</si>
  <si>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</si>
  <si>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</si>
  <si>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</si>
  <si>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</si>
  <si>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</si>
  <si>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</si>
  <si>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</si>
  <si>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</si>
  <si>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</si>
  <si>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</si>
  <si>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</si>
  <si>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</si>
  <si>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</si>
  <si>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</si>
  <si>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</si>
  <si>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</si>
  <si>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</si>
  <si>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</si>
  <si>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</si>
  <si>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</si>
  <si>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</si>
  <si>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</si>
  <si>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</si>
  <si>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</si>
  <si>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</si>
  <si>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</si>
  <si>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</si>
  <si>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</si>
  <si>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</si>
  <si>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</si>
  <si>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</si>
  <si>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</si>
  <si>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</si>
  <si>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</si>
  <si>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</si>
  <si>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</si>
  <si>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</si>
  <si>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</si>
  <si>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</si>
  <si>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</si>
  <si>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</si>
  <si>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</si>
  <si>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</si>
  <si>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</si>
  <si>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</si>
  <si>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</si>
  <si>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</si>
  <si>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</si>
  <si>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</si>
  <si>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</si>
  <si>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</si>
  <si>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</si>
  <si>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</si>
  <si>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</si>
  <si>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</si>
  <si>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</si>
  <si>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</si>
  <si>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</si>
  <si>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</si>
  <si>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</si>
  <si>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</si>
  <si>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</si>
  <si>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</si>
  <si>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</si>
  <si>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</si>
  <si>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</si>
  <si>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</si>
  <si>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</si>
  <si>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</si>
  <si>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</si>
  <si>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</si>
  <si>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</si>
  <si>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</si>
  <si>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</si>
  <si>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</si>
  <si>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</si>
  <si>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</si>
  <si>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</si>
  <si>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</si>
  <si>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</si>
  <si>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</si>
  <si>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</si>
  <si>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</si>
  <si>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</si>
  <si>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</si>
  <si>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</si>
  <si>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</si>
  <si>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</si>
  <si>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</si>
  <si>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</si>
  <si>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</si>
  <si>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</si>
  <si>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</si>
  <si>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</si>
  <si>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</si>
  <si>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</si>
  <si>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</si>
  <si>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</si>
  <si>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</si>
  <si>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</si>
  <si>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</si>
  <si>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</si>
  <si>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</si>
  <si>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</si>
  <si>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</si>
  <si>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</si>
  <si>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</si>
  <si>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</si>
  <si>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</si>
  <si>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</si>
  <si>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</si>
  <si>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</si>
  <si>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</si>
  <si>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</si>
  <si>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</si>
  <si>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</si>
  <si>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</si>
  <si>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</si>
  <si>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</si>
  <si>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</si>
  <si>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</si>
  <si>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</si>
  <si>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</si>
  <si>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</si>
  <si>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</si>
  <si>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</si>
  <si>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</si>
  <si>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</si>
  <si>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</si>
  <si>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</si>
  <si>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</si>
  <si>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</si>
  <si>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</si>
  <si>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</si>
  <si>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</si>
  <si>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</si>
  <si>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</si>
  <si>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</si>
  <si>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</si>
  <si>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</si>
  <si>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</si>
  <si>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</si>
  <si>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</si>
  <si>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</si>
  <si>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</si>
  <si>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</si>
  <si>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</si>
  <si>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</si>
  <si>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</si>
  <si>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</si>
  <si>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</si>
  <si>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</si>
  <si>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</si>
  <si>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</si>
  <si>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</si>
  <si>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</si>
  <si>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</si>
  <si>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</si>
  <si>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</si>
  <si>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</si>
  <si>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</si>
  <si>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</si>
  <si>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</si>
  <si>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</si>
  <si>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</si>
  <si>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</si>
  <si>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</si>
  <si>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</si>
  <si>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</si>
  <si>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</si>
  <si>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</si>
  <si>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</si>
  <si>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</si>
  <si>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</si>
  <si>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</si>
  <si>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</si>
  <si>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</si>
  <si>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</si>
  <si>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</si>
  <si>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</si>
  <si>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</si>
  <si>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</si>
  <si>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</si>
  <si>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</si>
  <si>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</si>
  <si>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</si>
  <si>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</si>
  <si>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</si>
  <si>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</si>
  <si>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</si>
  <si>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</si>
  <si>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</si>
  <si>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</si>
  <si>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</si>
  <si>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</si>
  <si>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</si>
  <si>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</si>
  <si>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</si>
  <si>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</si>
  <si>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</si>
  <si>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</si>
  <si>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</si>
  <si>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</si>
  <si>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</si>
  <si>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</si>
  <si>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</si>
  <si>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</si>
  <si>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</si>
  <si>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</si>
  <si>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</si>
  <si>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</si>
  <si>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</si>
  <si>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</si>
  <si>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</si>
  <si>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</si>
  <si>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</si>
  <si>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</si>
  <si>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</si>
  <si>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</si>
  <si>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</si>
  <si>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</si>
  <si>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</si>
  <si>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</si>
  <si>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</si>
  <si>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</si>
  <si>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</si>
  <si>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</si>
  <si>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</si>
  <si>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</si>
  <si>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</si>
  <si>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</si>
  <si>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</si>
  <si>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</si>
  <si>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</si>
  <si>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</si>
  <si>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</si>
  <si>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</si>
  <si>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</si>
  <si>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</si>
  <si>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</si>
  <si>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</si>
  <si>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</si>
  <si>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</si>
  <si>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</si>
  <si>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</si>
  <si>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</si>
  <si>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</si>
  <si>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</si>
  <si>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</si>
  <si>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</si>
  <si>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</si>
  <si>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</si>
  <si>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</si>
  <si>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</si>
  <si>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</si>
  <si>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</si>
  <si>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</si>
  <si>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</si>
  <si>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</si>
  <si>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</si>
  <si>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</si>
  <si>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</si>
  <si>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</si>
  <si>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</si>
  <si>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</si>
  <si>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</si>
  <si>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</si>
  <si>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</si>
  <si>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</si>
  <si>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</si>
  <si>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</si>
  <si>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</si>
  <si>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</si>
  <si>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</si>
  <si>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</si>
  <si>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</si>
  <si>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</si>
  <si>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</si>
  <si>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</si>
  <si>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</si>
  <si>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</si>
  <si>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</si>
  <si>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</si>
  <si>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</si>
  <si>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</si>
  <si>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</si>
  <si>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</si>
  <si>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</si>
  <si>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</si>
  <si>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</si>
  <si>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</si>
  <si>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</si>
  <si>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</si>
  <si>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</si>
  <si>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</si>
  <si>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</si>
  <si>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</si>
  <si>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</si>
  <si>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</si>
  <si>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</si>
  <si>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</si>
  <si>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</si>
  <si>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</si>
  <si>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</si>
  <si>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</si>
  <si>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</si>
  <si>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</si>
  <si>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</si>
  <si>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</si>
  <si>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</si>
  <si>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</si>
  <si>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</si>
  <si>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</si>
  <si>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</si>
  <si>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</si>
  <si>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</si>
  <si>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</si>
  <si>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</si>
  <si>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</si>
  <si>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</si>
  <si>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</si>
  <si>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</si>
  <si>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</si>
  <si>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</si>
  <si>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</si>
  <si>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</si>
  <si>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</si>
  <si>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</si>
  <si>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</si>
  <si>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</si>
  <si>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</si>
  <si>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</si>
  <si>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</si>
  <si>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</si>
  <si>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</si>
  <si>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</si>
  <si>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</si>
  <si>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</si>
  <si>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</si>
  <si>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</si>
  <si>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</si>
  <si>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</si>
  <si>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</si>
  <si>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</si>
  <si>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</si>
  <si>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</si>
  <si>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</si>
  <si>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</si>
  <si>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</si>
  <si>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</si>
  <si>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</si>
  <si>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</si>
  <si>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</si>
  <si>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</si>
  <si>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</si>
  <si>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</si>
  <si>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</si>
  <si>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</si>
  <si>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</si>
  <si>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</si>
  <si>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</si>
  <si>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</si>
  <si>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</si>
  <si>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</si>
  <si>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</si>
  <si>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</si>
  <si>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</si>
  <si>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</si>
  <si>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</si>
  <si>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</si>
  <si>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</si>
  <si>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</si>
  <si>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</si>
  <si>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</si>
  <si>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</si>
  <si>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</si>
  <si>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</si>
  <si>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</si>
  <si>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</si>
  <si>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</si>
  <si>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</si>
  <si>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</si>
  <si>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</si>
  <si>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</si>
  <si>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</si>
  <si>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</si>
  <si>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</si>
  <si>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</si>
  <si>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</si>
  <si>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</si>
  <si>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</si>
  <si>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</si>
  <si>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</si>
  <si>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</si>
  <si>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</si>
  <si>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</si>
  <si>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</si>
  <si>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</si>
  <si>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</si>
  <si>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</si>
  <si>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</si>
  <si>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</si>
  <si>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</si>
  <si>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</si>
  <si>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</si>
  <si>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</si>
  <si>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</si>
  <si>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</si>
  <si>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</si>
  <si>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</si>
  <si>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</si>
  <si>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</si>
  <si>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</si>
  <si>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</si>
  <si>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</si>
  <si>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</si>
  <si>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</si>
  <si>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</si>
  <si>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</si>
  <si>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</si>
  <si>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</si>
  <si>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</si>
  <si>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</si>
  <si>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</si>
  <si>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</si>
  <si>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</si>
  <si>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</si>
  <si>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</si>
  <si>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</si>
  <si>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</si>
  <si>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</si>
  <si>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</si>
  <si>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</si>
  <si>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</si>
  <si>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</si>
  <si>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</si>
  <si>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</si>
  <si>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</si>
  <si>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</si>
  <si>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</si>
  <si>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</si>
  <si>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</si>
  <si>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</si>
  <si>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</si>
  <si>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</si>
  <si>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</si>
  <si>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</si>
  <si>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</si>
  <si>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</si>
  <si>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</si>
  <si>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</si>
  <si>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</si>
  <si>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</si>
  <si>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</si>
  <si>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</si>
  <si>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</si>
  <si>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</si>
  <si>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</si>
  <si>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</si>
  <si>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</si>
  <si>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</si>
  <si>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</si>
  <si>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</si>
  <si>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</si>
  <si>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</si>
  <si>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</si>
  <si>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</si>
  <si>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</si>
  <si>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</si>
  <si>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</si>
  <si>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</si>
  <si>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</si>
  <si>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</si>
  <si>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</si>
  <si>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</si>
  <si>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</si>
  <si>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</si>
  <si>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</si>
  <si>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</si>
  <si>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</si>
  <si>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</si>
  <si>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</si>
  <si>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</si>
  <si>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</si>
  <si>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</si>
  <si>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</si>
  <si>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</si>
  <si>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</si>
  <si>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</si>
  <si>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</si>
  <si>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</si>
  <si>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</si>
  <si>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</si>
  <si>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</si>
  <si>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</si>
  <si>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</si>
  <si>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</si>
  <si>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</si>
  <si>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</si>
  <si>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</si>
  <si>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</si>
  <si>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</si>
  <si>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</si>
  <si>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</si>
  <si>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</si>
  <si>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</si>
  <si>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</si>
  <si>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</si>
  <si>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</si>
  <si>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</si>
  <si>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</si>
  <si>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</si>
  <si>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</si>
  <si>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</si>
  <si>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</si>
  <si>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</si>
  <si>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</si>
  <si>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</si>
  <si>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</si>
  <si>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</si>
  <si>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</si>
  <si>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</si>
  <si>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</si>
  <si>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</si>
  <si>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</si>
  <si>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</si>
  <si>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</si>
  <si>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</si>
  <si>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</si>
  <si>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</si>
  <si>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</si>
  <si>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</si>
  <si>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</si>
  <si>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</si>
  <si>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</si>
  <si>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</si>
  <si>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</si>
  <si>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</si>
  <si>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</si>
  <si>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</si>
  <si>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</si>
  <si>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</si>
  <si>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</si>
  <si>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</si>
  <si>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</si>
  <si>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</si>
  <si>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</si>
  <si>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</si>
  <si>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</si>
  <si>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</si>
  <si>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</si>
  <si>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</si>
  <si>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</si>
  <si>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</si>
  <si>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</si>
  <si>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</si>
  <si>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</si>
  <si>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</si>
  <si>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</si>
  <si>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</si>
  <si>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</si>
  <si>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</si>
  <si>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</si>
  <si>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</si>
  <si>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</si>
  <si>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</si>
  <si>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</si>
  <si>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</si>
  <si>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</si>
  <si>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</si>
  <si>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</si>
  <si>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</si>
  <si>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</si>
  <si>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</si>
  <si>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</si>
  <si>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</si>
  <si>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</si>
  <si>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</si>
  <si>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</si>
  <si>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</si>
  <si>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</si>
  <si>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</si>
  <si>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</si>
  <si>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</si>
  <si>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</si>
  <si>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</si>
  <si>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</si>
  <si>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</si>
  <si>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</si>
  <si>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</si>
  <si>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</si>
  <si>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</si>
  <si>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</si>
  <si>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</si>
  <si>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</si>
  <si>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</si>
  <si>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</si>
  <si>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</si>
  <si>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</si>
  <si>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</si>
  <si>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</si>
  <si>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</si>
  <si>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</si>
  <si>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</si>
  <si>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</si>
  <si>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</si>
  <si>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</si>
  <si>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</si>
  <si>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</si>
  <si>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</si>
  <si>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</si>
  <si>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</si>
  <si>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</si>
  <si>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</si>
  <si>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</si>
  <si>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</si>
  <si>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</si>
  <si>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</si>
  <si>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</si>
  <si>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</si>
  <si>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</si>
  <si>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</si>
  <si>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</si>
  <si>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</si>
  <si>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</si>
  <si>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</si>
  <si>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</si>
  <si>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</si>
  <si>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</si>
  <si>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</si>
  <si>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</si>
  <si>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</si>
  <si>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</si>
  <si>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</si>
  <si>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</si>
  <si>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</si>
  <si>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</si>
  <si>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</si>
  <si>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</si>
  <si>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</si>
  <si>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</si>
  <si>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</si>
  <si>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</si>
  <si>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</si>
  <si>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</si>
  <si>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</si>
  <si>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</si>
  <si>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</si>
  <si>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</si>
  <si>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</si>
  <si>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</si>
  <si>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</si>
  <si>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</si>
  <si>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</si>
  <si>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</si>
  <si>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</si>
  <si>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</si>
  <si>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</si>
  <si>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</si>
  <si>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</si>
  <si>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</si>
  <si>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</si>
  <si>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</si>
  <si>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</si>
  <si>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</si>
  <si>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</si>
  <si>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</si>
  <si>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</si>
  <si>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</si>
  <si>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</si>
  <si>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</si>
  <si>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</si>
  <si>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</si>
  <si>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</si>
  <si>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</si>
  <si>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</si>
  <si>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</si>
  <si>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</si>
  <si>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</si>
  <si>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</si>
  <si>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</si>
  <si>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</si>
  <si>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</si>
  <si>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</si>
  <si>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</si>
  <si>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</si>
  <si>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</si>
  <si>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</si>
  <si>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</si>
  <si>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</si>
  <si>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</si>
  <si>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</si>
  <si>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</si>
  <si>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</si>
  <si>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</si>
  <si>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</si>
  <si>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</si>
  <si>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</si>
  <si>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</si>
  <si>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</si>
  <si>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</si>
  <si>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</si>
  <si>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</si>
  <si>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</si>
  <si>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</si>
  <si>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</si>
  <si>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</si>
  <si>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</si>
  <si>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</si>
  <si>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</si>
  <si>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</si>
  <si>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</si>
  <si>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</si>
  <si>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</si>
  <si>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</si>
  <si>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</si>
  <si>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</si>
  <si>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</si>
  <si>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</si>
  <si>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</si>
  <si>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</si>
  <si>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</si>
  <si>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</si>
  <si>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</si>
  <si>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</si>
  <si>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</si>
  <si>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</si>
  <si>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</si>
  <si>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</si>
  <si>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</si>
  <si>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</si>
  <si>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</si>
  <si>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</si>
  <si>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</si>
  <si>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</si>
  <si>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</si>
  <si>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</si>
  <si>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</si>
  <si>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</si>
  <si>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</si>
  <si>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</si>
  <si>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</si>
  <si>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</si>
  <si>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</si>
  <si>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</si>
  <si>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</si>
  <si>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</si>
  <si>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</si>
  <si>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</si>
  <si>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</si>
  <si>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</si>
  <si>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</si>
  <si>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</si>
  <si>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</si>
  <si>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</si>
  <si>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</si>
  <si>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</si>
  <si>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</si>
  <si>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</si>
  <si>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</si>
  <si>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</si>
  <si>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</si>
  <si>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</si>
  <si>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</si>
  <si>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</si>
  <si>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</si>
  <si>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</si>
  <si>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</si>
  <si>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</si>
  <si>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</si>
  <si>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</si>
  <si>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</si>
  <si>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</si>
  <si>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</si>
  <si>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</si>
  <si>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</si>
  <si>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</si>
  <si>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</si>
  <si>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</si>
  <si>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</si>
  <si>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</si>
  <si>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</si>
  <si>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</si>
  <si>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</si>
  <si>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</si>
  <si>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</si>
  <si>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</si>
  <si>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</si>
  <si>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</si>
  <si>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</si>
  <si>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</si>
  <si>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</si>
  <si>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</si>
  <si>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</si>
  <si>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</si>
  <si>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</si>
  <si>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</si>
  <si>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</si>
  <si>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</si>
  <si>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</si>
  <si>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</si>
  <si>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</si>
  <si>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</si>
  <si>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</si>
  <si>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</si>
  <si>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</si>
  <si>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</si>
  <si>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</si>
  <si>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</si>
  <si>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</si>
  <si>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</si>
  <si>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</si>
  <si>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</si>
  <si>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</si>
  <si>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</si>
  <si>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</si>
  <si>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</si>
  <si>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</si>
  <si>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</si>
  <si>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</si>
  <si>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</si>
  <si>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</si>
  <si>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</si>
  <si>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</si>
  <si>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</si>
  <si>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</si>
  <si>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</si>
  <si>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</si>
  <si>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</si>
  <si>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</si>
  <si>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</si>
  <si>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</si>
  <si>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</si>
  <si>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</si>
  <si>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</si>
  <si>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</si>
  <si>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</si>
  <si>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</si>
  <si>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</si>
  <si>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</si>
  <si>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</si>
  <si>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</si>
  <si>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</si>
  <si>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</si>
  <si>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</si>
  <si>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</si>
  <si>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</si>
  <si>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</si>
  <si>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</si>
  <si>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</si>
  <si>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</si>
  <si>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</si>
  <si>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</si>
  <si>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</si>
  <si>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</si>
  <si>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</si>
  <si>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</si>
  <si>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</si>
  <si>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</si>
  <si>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</si>
  <si>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</si>
  <si>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</si>
  <si>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</si>
  <si>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</si>
  <si>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</si>
  <si>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</si>
  <si>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</si>
  <si>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</si>
  <si>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</si>
  <si>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</si>
  <si>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</si>
  <si>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</si>
  <si>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</si>
  <si>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</si>
  <si>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</si>
  <si>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</si>
  <si>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</si>
  <si>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</si>
  <si>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</si>
  <si>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</si>
  <si>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</si>
  <si>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</si>
  <si>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</si>
  <si>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</si>
  <si>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</si>
  <si>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</si>
  <si>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</si>
  <si>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</si>
  <si>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</si>
  <si>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</si>
  <si>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</si>
  <si>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</si>
  <si>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</si>
  <si>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</si>
  <si>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</si>
  <si>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</si>
  <si>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</si>
  <si>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</si>
  <si>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</si>
  <si>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</si>
  <si>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</si>
  <si>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</si>
  <si>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</si>
  <si>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</si>
  <si>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</si>
  <si>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</si>
  <si>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</si>
  <si>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</si>
  <si>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</si>
  <si>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</si>
  <si>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</si>
  <si>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</si>
  <si>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</si>
  <si>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</si>
  <si>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</si>
  <si>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</si>
  <si>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</si>
  <si>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</si>
  <si>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</si>
  <si>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</si>
  <si>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</si>
  <si>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</si>
  <si>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</si>
  <si>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</si>
  <si>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</si>
  <si>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</si>
  <si>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</si>
  <si>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</si>
  <si>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</si>
  <si>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</si>
  <si>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</si>
  <si>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</si>
  <si>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</si>
  <si>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</si>
  <si>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</si>
  <si>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</si>
  <si>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</si>
  <si>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</si>
  <si>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</si>
  <si>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</si>
  <si>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</si>
  <si>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</si>
  <si>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</si>
  <si>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</si>
  <si>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</si>
  <si>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</si>
  <si>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</si>
  <si>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</si>
  <si>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</si>
  <si>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</si>
  <si>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</si>
  <si>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</si>
  <si>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</si>
  <si>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</si>
  <si>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</si>
  <si>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</si>
  <si>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</si>
  <si>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</si>
  <si>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</si>
  <si>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</si>
  <si>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</si>
  <si>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</si>
  <si>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</si>
  <si>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</si>
  <si>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</si>
  <si>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</si>
  <si>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</si>
  <si>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</si>
  <si>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</si>
  <si>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</si>
  <si>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</si>
  <si>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</si>
  <si>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</si>
  <si>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</si>
  <si>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</si>
  <si>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</si>
  <si>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</si>
  <si>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</si>
  <si>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</si>
  <si>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</si>
  <si>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</si>
  <si>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</si>
  <si>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</si>
  <si>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</si>
  <si>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</si>
  <si>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</si>
  <si>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</si>
  <si>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</si>
  <si>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</si>
  <si>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</si>
  <si>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</si>
  <si>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</si>
  <si>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</si>
  <si>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</si>
  <si>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</si>
  <si>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</si>
  <si>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</si>
  <si>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</si>
  <si>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</si>
  <si>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</si>
  <si>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</si>
  <si>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</si>
  <si>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</si>
  <si>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</si>
  <si>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</si>
  <si>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</si>
  <si>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</si>
  <si>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</si>
  <si>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</si>
  <si>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</si>
  <si>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</si>
  <si>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</si>
  <si>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</si>
  <si>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</si>
  <si>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</si>
  <si>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</si>
  <si>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</si>
  <si>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</si>
  <si>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</si>
  <si>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</si>
  <si>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</si>
  <si>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</si>
  <si>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</si>
  <si>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</si>
  <si>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</si>
  <si>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</si>
  <si>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</si>
  <si>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</si>
  <si>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</si>
  <si>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</si>
  <si>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</si>
  <si>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</si>
  <si>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</si>
  <si>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</si>
  <si>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</si>
  <si>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</si>
  <si>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</si>
  <si>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</si>
  <si>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</si>
  <si>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</si>
  <si>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</si>
  <si>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</si>
  <si>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</si>
  <si>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</si>
  <si>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</si>
  <si>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</si>
  <si>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</si>
  <si>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</si>
  <si>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</si>
  <si>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</si>
  <si>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</si>
  <si>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</si>
  <si>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</si>
  <si>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</si>
  <si>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</si>
  <si>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</si>
  <si>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</si>
  <si>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</si>
  <si>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</si>
  <si>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</si>
  <si>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</si>
  <si>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</si>
  <si>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</si>
  <si>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</si>
  <si>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</si>
  <si>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</si>
  <si>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</si>
  <si>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</si>
  <si>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</si>
  <si>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</si>
  <si>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</si>
  <si>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</si>
  <si>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</si>
  <si>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</si>
  <si>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</si>
  <si>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</si>
  <si>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</si>
  <si>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</si>
  <si>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</si>
  <si>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</si>
  <si>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</si>
  <si>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</si>
  <si>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</si>
  <si>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</si>
  <si>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</si>
  <si>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</si>
  <si>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</si>
  <si>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</si>
  <si>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</si>
  <si>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</si>
  <si>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</si>
  <si>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</si>
  <si>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</si>
  <si>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</si>
  <si>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</si>
  <si>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</si>
  <si>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</si>
  <si>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</si>
  <si>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</si>
  <si>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</si>
  <si>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</si>
  <si>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</si>
  <si>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</si>
  <si>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</si>
  <si>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</si>
  <si>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</si>
  <si>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</si>
  <si>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</si>
  <si>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</si>
  <si>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</si>
  <si>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</si>
  <si>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</si>
  <si>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</si>
  <si>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</si>
  <si>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</si>
  <si>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</si>
  <si>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</si>
  <si>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</si>
  <si>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</si>
  <si>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</si>
  <si>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</si>
  <si>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</si>
  <si>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</si>
  <si>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</si>
  <si>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</si>
  <si>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</si>
  <si>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</si>
  <si>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</si>
  <si>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</si>
  <si>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</si>
  <si>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</si>
  <si>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</si>
  <si>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</si>
  <si>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</si>
  <si>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</si>
  <si>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</si>
  <si>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</si>
  <si>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</si>
  <si>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</si>
  <si>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</si>
  <si>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</si>
  <si>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</si>
  <si>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</si>
  <si>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</si>
  <si>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</si>
  <si>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</si>
  <si>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</si>
  <si>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</si>
  <si>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</si>
  <si>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</si>
  <si>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</si>
  <si>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</si>
  <si>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</si>
  <si>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</si>
  <si>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</si>
  <si>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</si>
  <si>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</si>
  <si>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</si>
  <si>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</si>
  <si>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</si>
  <si>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</si>
  <si>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</si>
  <si>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</si>
  <si>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</si>
  <si>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</si>
  <si>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</si>
  <si>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</si>
  <si>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</si>
  <si>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</si>
  <si>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</si>
  <si>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</si>
  <si>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</si>
  <si>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</si>
  <si>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</si>
  <si>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</si>
  <si>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</si>
  <si>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</si>
  <si>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</si>
  <si>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</si>
  <si>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</si>
  <si>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</si>
  <si>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</si>
  <si>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</si>
  <si>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</si>
  <si>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</si>
  <si>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</si>
  <si>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</si>
  <si>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</si>
  <si>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</si>
  <si>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</si>
  <si>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</si>
  <si>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</si>
  <si>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</si>
  <si>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</si>
  <si>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</si>
  <si>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Fr. Marie-Alphonse Ratisbonne</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</si>
  <si>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</si>
  <si>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</si>
  <si>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</si>
  <si>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</si>
  <si>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</si>
  <si>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</si>
  <si>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</si>
  <si>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</si>
  <si>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</si>
  <si>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</si>
  <si>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</si>
  <si>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</si>
  <si>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</si>
  <si>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</si>
  <si>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</si>
  <si>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</si>
  <si>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</si>
  <si>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</si>
  <si>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</si>
  <si>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</si>
  <si>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</si>
  <si>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</si>
  <si>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</si>
  <si>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</si>
  <si>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</si>
  <si>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</si>
  <si>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</si>
  <si>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</si>
  <si>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</si>
  <si>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</si>
  <si>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</si>
  <si>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</si>
  <si>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</si>
  <si>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</si>
  <si>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</si>
  <si>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</si>
  <si>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</si>
  <si>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</si>
  <si>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</si>
  <si>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</si>
  <si>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</si>
  <si>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</si>
  <si>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</si>
  <si>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</si>
  <si>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</si>
  <si>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</si>
  <si>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</si>
  <si>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</si>
  <si>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</si>
  <si>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</si>
  <si>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</si>
  <si>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</si>
  <si>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</si>
  <si>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</si>
  <si>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</si>
  <si>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</si>
  <si>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</si>
  <si>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</si>
  <si>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</si>
  <si>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</si>
  <si>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</si>
  <si>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</si>
  <si>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</si>
  <si>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</si>
  <si>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</si>
  <si>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</si>
  <si>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</si>
  <si>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</si>
  <si>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</si>
  <si>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</si>
  <si>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</si>
  <si>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</si>
  <si>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</si>
  <si>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</si>
  <si>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</si>
  <si>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</si>
  <si>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</si>
  <si>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</si>
  <si>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</si>
  <si>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</si>
  <si>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</si>
  <si>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</si>
  <si>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</si>
  <si>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</si>
  <si>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</si>
  <si>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</si>
  <si>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</si>
  <si>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</si>
  <si>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</si>
  <si>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</si>
  <si>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</si>
  <si>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</si>
  <si>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</si>
  <si>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</si>
  <si>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</si>
  <si>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</si>
  <si>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</si>
  <si>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</si>
  <si>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</si>
  <si>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</si>
  <si>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</si>
  <si>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</si>
  <si>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</si>
  <si>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</si>
  <si>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</si>
  <si>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</si>
  <si>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</si>
  <si>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</si>
  <si>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</si>
  <si>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</si>
  <si>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</si>
  <si>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</si>
  <si>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</si>
  <si>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</si>
  <si>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</si>
  <si>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</si>
  <si>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</si>
  <si>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</si>
  <si>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</si>
  <si>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</si>
  <si>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</si>
  <si>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</si>
  <si>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</si>
  <si>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</si>
  <si>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</si>
  <si>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</si>
  <si>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</si>
  <si>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</si>
  <si>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</si>
  <si>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</si>
  <si>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</si>
  <si>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</si>
  <si>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</si>
  <si>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</si>
  <si>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</si>
  <si>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</si>
  <si>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</si>
  <si>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</si>
  <si>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</si>
  <si>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</si>
  <si>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</si>
  <si>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</si>
  <si>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</si>
  <si>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</si>
  <si>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</si>
  <si>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</si>
  <si>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</si>
  <si>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</si>
  <si>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</si>
  <si>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</si>
  <si>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</si>
  <si>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</si>
  <si>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</si>
  <si>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</si>
  <si>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</si>
  <si>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</si>
  <si>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</si>
  <si>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</si>
  <si>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</si>
  <si>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</si>
  <si>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</si>
  <si>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</si>
  <si>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</si>
  <si>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</si>
  <si>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</si>
  <si>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</si>
  <si>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</si>
  <si>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</si>
  <si>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</si>
  <si>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</si>
  <si>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</si>
  <si>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</si>
  <si>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</si>
  <si>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</si>
  <si>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</si>
  <si>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</si>
  <si>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</si>
  <si>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</si>
  <si>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</si>
  <si>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</si>
  <si>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</si>
  <si>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</si>
  <si>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</si>
  <si>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</si>
  <si>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</si>
  <si>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</si>
  <si>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</si>
  <si>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</si>
  <si>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</si>
  <si>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</si>
  <si>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</si>
  <si>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</si>
  <si>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</si>
  <si>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</si>
  <si>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</si>
  <si>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</si>
  <si>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</si>
  <si>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</si>
  <si>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</si>
  <si>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</si>
  <si>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</si>
  <si>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</si>
  <si>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</si>
  <si>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</si>
  <si>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</si>
  <si>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</si>
  <si>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</si>
  <si>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</si>
  <si>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</si>
  <si>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</si>
  <si>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</si>
  <si>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</si>
  <si>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</si>
  <si>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</si>
  <si>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</si>
  <si>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</si>
  <si>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</si>
  <si>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</si>
  <si>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</si>
  <si>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</si>
  <si>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</si>
  <si>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</si>
  <si>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</si>
  <si>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</si>
  <si>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</si>
  <si>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</si>
  <si>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</si>
  <si>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</si>
  <si>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</si>
  <si>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</si>
  <si>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</si>
  <si>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</si>
  <si>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</si>
  <si>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</si>
  <si>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</si>
  <si>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</si>
  <si>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</si>
  <si>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</si>
  <si>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</si>
  <si>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</si>
  <si>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</si>
  <si>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</si>
  <si>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</si>
  <si>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</si>
  <si>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</si>
  <si>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</si>
  <si>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</si>
  <si>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</si>
  <si>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</si>
  <si>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</si>
  <si>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</si>
  <si>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</si>
  <si>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</si>
  <si>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</si>
  <si>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</si>
  <si>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</si>
  <si>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</si>
  <si>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</si>
  <si>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</si>
  <si>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</si>
  <si>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</si>
  <si>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</si>
  <si>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</si>
  <si>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</si>
  <si>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</si>
  <si>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</si>
  <si>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</si>
  <si>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</si>
  <si>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</si>
  <si>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</si>
  <si>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</si>
  <si>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</si>
  <si>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</si>
  <si>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</si>
  <si>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</si>
  <si>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</si>
  <si>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</si>
  <si>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</si>
  <si>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</si>
  <si>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</si>
  <si>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</si>
  <si>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</si>
  <si>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</si>
  <si>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</si>
  <si>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</si>
  <si>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</si>
  <si>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</si>
  <si>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</si>
  <si>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</si>
  <si>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</si>
  <si>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</si>
  <si>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</si>
  <si>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</si>
  <si>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</si>
  <si>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</si>
  <si>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</si>
  <si>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</si>
  <si>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</si>
  <si>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</si>
  <si>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</si>
  <si>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</si>
  <si>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</si>
  <si>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</si>
  <si>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</si>
  <si>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</si>
  <si>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</si>
  <si>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</si>
  <si>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</si>
  <si>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</si>
  <si>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</si>
  <si>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</si>
  <si>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</si>
  <si>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</si>
  <si>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</si>
  <si>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</si>
  <si>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</si>
  <si>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</si>
  <si>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</si>
  <si>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</si>
  <si>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</si>
  <si>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</si>
  <si>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</si>
  <si>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</si>
  <si>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</si>
  <si>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</si>
  <si>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</si>
  <si>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</si>
  <si>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</si>
  <si>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</si>
  <si>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</si>
  <si>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</si>
  <si>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</si>
  <si>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</si>
  <si>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</si>
  <si>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</si>
  <si>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</si>
  <si>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</si>
  <si>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</si>
  <si>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</si>
  <si>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</si>
  <si>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</si>
  <si>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</si>
  <si>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</si>
  <si>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</si>
  <si>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</si>
  <si>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</si>
  <si>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</si>
  <si>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</si>
  <si>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</si>
  <si>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</si>
  <si>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</si>
  <si>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</si>
  <si>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</si>
  <si>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</si>
  <si>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</si>
  <si>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</si>
  <si>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</si>
  <si>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</si>
  <si>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</si>
  <si>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</si>
  <si>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</si>
  <si>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</si>
  <si>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</si>
  <si>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</si>
  <si>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</si>
  <si>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</si>
  <si>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</si>
  <si>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</si>
  <si>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</si>
  <si>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</si>
  <si>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</si>
  <si>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</si>
  <si>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</si>
  <si>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</si>
  <si>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</si>
  <si>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</si>
  <si>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</si>
  <si>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</si>
  <si>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</si>
  <si>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</si>
  <si>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</si>
  <si>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</si>
  <si>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</si>
  <si>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</si>
  <si>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</si>
  <si>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</si>
  <si>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</si>
  <si>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</si>
  <si>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</si>
  <si>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</si>
  <si>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</si>
  <si>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</si>
  <si>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</si>
  <si>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</si>
  <si>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</si>
  <si>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</si>
  <si>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</si>
  <si>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</si>
  <si>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</si>
  <si>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</si>
  <si>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</si>
  <si>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</si>
  <si>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</si>
  <si>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</si>
  <si>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</si>
  <si>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</si>
  <si>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</si>
  <si>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</si>
  <si>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</si>
  <si>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</si>
  <si>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</si>
  <si>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</si>
  <si>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</si>
  <si>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</si>
  <si>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</si>
  <si>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</si>
  <si>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</si>
  <si>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</si>
  <si>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</si>
  <si>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</si>
  <si>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</si>
  <si>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</si>
  <si>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</si>
  <si>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</si>
  <si>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</si>
  <si>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</si>
  <si>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</si>
  <si>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</si>
  <si>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</si>
  <si>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</si>
  <si>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</si>
  <si>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</si>
  <si>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</si>
  <si>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</si>
  <si>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</si>
  <si>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</si>
  <si>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</si>
  <si>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</si>
  <si>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</si>
  <si>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</si>
  <si>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</si>
  <si>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</si>
  <si>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</si>
  <si>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</si>
  <si>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</si>
  <si>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</si>
  <si>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</si>
  <si>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</si>
  <si>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</si>
  <si>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</si>
  <si>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</si>
  <si>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</si>
  <si>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</si>
  <si>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</si>
  <si>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</si>
  <si>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</si>
  <si>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</si>
  <si>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</si>
  <si>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</si>
  <si>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</si>
  <si>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</si>
  <si>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</si>
  <si>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</si>
  <si>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</si>
  <si>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</si>
  <si>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</si>
  <si>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</si>
  <si>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</si>
  <si>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</si>
  <si>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</si>
  <si>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</si>
  <si>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</si>
  <si>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</si>
  <si>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</si>
  <si>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</si>
  <si>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</si>
  <si>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</si>
  <si>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</si>
  <si>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</si>
  <si>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</si>
  <si>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</si>
  <si>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</si>
  <si>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</si>
  <si>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</si>
  <si>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</si>
  <si>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</si>
  <si>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</si>
  <si>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</si>
  <si>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</si>
  <si>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</si>
  <si>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</si>
  <si>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</si>
  <si>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</si>
  <si>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</si>
  <si>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</si>
  <si>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</si>
  <si>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</si>
  <si>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</si>
  <si>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</si>
  <si>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</si>
  <si>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</si>
  <si>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</si>
  <si>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</si>
  <si>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</si>
  <si>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</si>
  <si>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</si>
  <si>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</si>
  <si>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</si>
  <si>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</si>
  <si>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</si>
  <si>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</si>
  <si>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</si>
  <si>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</si>
  <si>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</si>
  <si>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</si>
  <si>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</si>
  <si>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</si>
  <si>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</si>
  <si>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</si>
  <si>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</si>
  <si>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</si>
  <si>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</si>
  <si>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</si>
  <si>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</si>
  <si>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</si>
  <si>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</si>
  <si>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</si>
  <si>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</si>
  <si>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</si>
  <si>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</si>
  <si>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</si>
  <si>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</si>
  <si>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</si>
  <si>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</si>
  <si>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</si>
  <si>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</si>
  <si>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</si>
  <si>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</si>
  <si>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</si>
  <si>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</si>
  <si>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</si>
  <si>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</si>
  <si>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</si>
  <si>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</si>
  <si>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</si>
  <si>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</si>
  <si>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</si>
  <si>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</si>
  <si>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</si>
  <si>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</si>
  <si>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</si>
  <si>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</si>
  <si>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</si>
  <si>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</si>
  <si>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</si>
  <si>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</si>
  <si>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</si>
  <si>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</si>
  <si>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</si>
  <si>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</si>
  <si>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</si>
  <si>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</si>
  <si>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</si>
  <si>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</si>
  <si>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</si>
  <si>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</si>
  <si>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</si>
  <si>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</si>
  <si>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</si>
  <si>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</si>
  <si>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</si>
  <si>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</si>
  <si>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</si>
  <si>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</si>
  <si>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</si>
  <si>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</si>
  <si>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</si>
  <si>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</si>
  <si>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</si>
  <si>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</si>
  <si>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</si>
  <si>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</si>
  <si>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</si>
  <si>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</si>
  <si>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</si>
  <si>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</si>
  <si>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</si>
  <si>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</si>
  <si>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</si>
  <si>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</si>
  <si>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</si>
  <si>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</si>
  <si>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</si>
  <si>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</si>
  <si>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</si>
  <si>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</si>
  <si>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</si>
  <si>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</si>
  <si>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</si>
  <si>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</si>
  <si>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</si>
  <si>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</si>
  <si>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</si>
  <si>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</si>
  <si>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</si>
  <si>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</si>
  <si>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</si>
  <si>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</si>
  <si>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</si>
  <si>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</si>
  <si>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</si>
  <si>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</si>
  <si>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</si>
  <si>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</si>
  <si>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</si>
  <si>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</si>
  <si>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</si>
  <si>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</si>
  <si>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</si>
  <si>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</si>
  <si>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</si>
  <si>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</si>
  <si>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</si>
  <si>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</si>
  <si>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</si>
  <si>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</si>
  <si>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</si>
  <si>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</si>
  <si>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</si>
  <si>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</si>
  <si>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</si>
  <si>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</si>
  <si>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</si>
  <si>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</si>
  <si>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</si>
  <si>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</si>
  <si>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</si>
  <si>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</si>
  <si>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</si>
  <si>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</si>
  <si>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</si>
  <si>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</si>
  <si>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</si>
  <si>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</si>
  <si>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</si>
  <si>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</si>
  <si>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</si>
  <si>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</si>
  <si>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</si>
  <si>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</si>
  <si>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</si>
  <si>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</si>
  <si>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</si>
  <si>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</si>
  <si>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</si>
  <si>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</si>
  <si>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</si>
  <si>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</si>
  <si>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</si>
  <si>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</si>
  <si>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</si>
  <si>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</si>
  <si>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</si>
  <si>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</si>
  <si>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</si>
  <si>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</si>
  <si>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</si>
  <si>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</si>
  <si>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</si>
  <si>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</si>
  <si>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</si>
  <si>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</si>
  <si>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</si>
  <si>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</si>
  <si>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</si>
  <si>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</si>
  <si>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</si>
  <si>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</si>
  <si>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</si>
  <si>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</si>
  <si>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</si>
  <si>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</si>
  <si>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</si>
  <si>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</si>
  <si>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</si>
  <si>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</si>
  <si>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</si>
  <si>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</si>
  <si>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</si>
  <si>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</si>
  <si>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</si>
  <si>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</si>
  <si>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</si>
  <si>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</si>
  <si>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</si>
  <si>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</si>
  <si>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</si>
  <si>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</si>
  <si>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</si>
  <si>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</si>
  <si>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</si>
  <si>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</si>
  <si>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</si>
  <si>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</si>
  <si>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</si>
  <si>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</si>
  <si>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</si>
  <si>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</si>
  <si>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</si>
  <si>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</si>
  <si>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</si>
  <si>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</si>
  <si>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</si>
  <si>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</si>
  <si>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</si>
  <si>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</si>
  <si>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</si>
  <si>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</si>
  <si>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</si>
  <si>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</si>
  <si>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</si>
  <si>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</si>
  <si>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</si>
  <si>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</si>
  <si>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</si>
  <si>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</si>
  <si>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</si>
  <si>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</si>
  <si>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</si>
  <si>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</si>
  <si>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</si>
  <si>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</si>
  <si>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</si>
  <si>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</si>
  <si>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</si>
  <si>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</si>
  <si>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</si>
  <si>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</si>
  <si>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</si>
  <si>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</si>
  <si>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</si>
  <si>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</si>
  <si>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</si>
  <si>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</si>
  <si>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</si>
  <si>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</si>
  <si>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</si>
  <si>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</si>
  <si>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</si>
  <si>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</si>
  <si>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</si>
  <si>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</si>
  <si>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</si>
  <si>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</si>
  <si>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</si>
  <si>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</si>
  <si>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</si>
  <si>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</si>
  <si>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</si>
  <si>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</si>
  <si>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</si>
  <si>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</si>
  <si>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</si>
  <si>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</si>
  <si>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</si>
  <si>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</si>
  <si>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</si>
  <si>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</si>
  <si>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</si>
  <si>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</si>
  <si>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</si>
  <si>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</si>
  <si>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</si>
  <si>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</si>
  <si>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</si>
  <si>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</si>
  <si>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</si>
  <si>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</si>
  <si>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</si>
  <si>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</si>
  <si>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</si>
  <si>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</si>
  <si>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</si>
  <si>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</si>
  <si>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</si>
  <si>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</si>
  <si>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</si>
  <si>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</si>
  <si>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</si>
  <si>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</si>
  <si>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</si>
  <si>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</si>
  <si>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</si>
  <si>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</si>
  <si>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</si>
  <si>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</si>
  <si>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</si>
  <si>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</si>
  <si>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</si>
  <si>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</si>
  <si>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</si>
  <si>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</si>
  <si>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</si>
  <si>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</si>
  <si>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</si>
  <si>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</si>
  <si>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</si>
  <si>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</si>
  <si>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</si>
  <si>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</si>
  <si>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</si>
  <si>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</si>
  <si>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</si>
  <si>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</si>
  <si>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</si>
  <si>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</si>
  <si>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</si>
  <si>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</si>
  <si>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</si>
  <si>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</si>
  <si>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</si>
  <si>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</si>
  <si>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</si>
  <si>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</si>
  <si>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</si>
  <si>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</si>
  <si>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</si>
  <si>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</si>
  <si>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</si>
  <si>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</si>
  <si>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</si>
  <si>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</si>
  <si>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</si>
  <si>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</si>
  <si>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</si>
  <si>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</si>
  <si>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</si>
  <si>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</si>
  <si>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</si>
  <si>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</si>
  <si>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</si>
  <si>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</si>
  <si>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</si>
  <si>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</si>
  <si>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</si>
  <si>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</si>
  <si>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</si>
  <si>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</si>
  <si>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</si>
  <si>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</si>
  <si>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</si>
  <si>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</si>
  <si>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</si>
  <si>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</si>
  <si>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</si>
  <si>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</si>
  <si>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</si>
  <si>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</si>
  <si>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</si>
  <si>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</si>
  <si>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</si>
  <si>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</si>
  <si>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</si>
  <si>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</si>
  <si>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</si>
  <si>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</si>
  <si>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</si>
  <si>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</si>
  <si>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</si>
  <si>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</si>
  <si>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</si>
  <si>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</si>
  <si>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</si>
  <si>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</si>
  <si>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</si>
  <si>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</si>
  <si>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</si>
  <si>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</si>
  <si>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</si>
  <si>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</si>
  <si>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</si>
  <si>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</si>
  <si>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</si>
  <si>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</si>
  <si>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</si>
  <si>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</si>
  <si>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</si>
  <si>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</si>
  <si>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</si>
  <si>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</si>
  <si>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</si>
  <si>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</si>
  <si>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</si>
  <si>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</si>
  <si>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</si>
  <si>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</si>
  <si>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</si>
  <si>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</si>
  <si>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</si>
  <si>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</si>
  <si>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</si>
  <si>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</si>
  <si>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</si>
  <si>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</si>
  <si>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</si>
  <si>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</si>
  <si>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</si>
  <si>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</si>
  <si>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</si>
  <si>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</si>
  <si>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</si>
  <si>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</si>
  <si>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</si>
  <si>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</si>
  <si>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</si>
  <si>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</si>
  <si>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</si>
  <si>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</si>
  <si>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</si>
  <si>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</si>
  <si>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</si>
  <si>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</si>
  <si>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</si>
  <si>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</si>
  <si>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</si>
  <si>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</si>
  <si>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</si>
  <si>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</si>
  <si>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</si>
  <si>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</si>
  <si>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</si>
  <si>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</si>
  <si>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</si>
  <si>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</si>
  <si>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</si>
  <si>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</si>
  <si>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</si>
  <si>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</si>
  <si>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</si>
  <si>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</si>
  <si>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</si>
  <si>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</si>
  <si>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</si>
  <si>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</si>
  <si>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</si>
  <si>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</si>
  <si>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</si>
  <si>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</si>
  <si>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</si>
  <si>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</si>
  <si>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</si>
  <si>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</si>
  <si>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</si>
  <si>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</si>
  <si>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</si>
  <si>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</si>
  <si>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</si>
  <si>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</si>
  <si>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</si>
  <si>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</si>
  <si>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</si>
  <si>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</si>
  <si>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</si>
  <si>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</si>
  <si>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</si>
  <si>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</si>
  <si>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</si>
  <si>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</si>
  <si>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</si>
  <si>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</si>
  <si>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</si>
  <si>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</si>
  <si>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</si>
  <si>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</si>
  <si>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</si>
  <si>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</si>
  <si>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</si>
  <si>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</si>
  <si>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</si>
  <si>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</si>
  <si>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</si>
  <si>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</si>
  <si>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</si>
  <si>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</si>
  <si>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</si>
  <si>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</si>
  <si>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</si>
  <si>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</si>
  <si>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</si>
  <si>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</si>
  <si>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</si>
  <si>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</si>
  <si>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</si>
  <si>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</si>
  <si>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</si>
  <si>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</si>
  <si>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</si>
  <si>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</si>
  <si>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</si>
  <si>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</si>
  <si>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</si>
  <si>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</si>
  <si>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</si>
  <si>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</si>
  <si>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</si>
  <si>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</si>
  <si>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</si>
  <si>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</si>
  <si>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</si>
  <si>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</si>
  <si>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</si>
  <si>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St. Junipero Serra OFM</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</si>
  <si>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</si>
  <si>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</si>
  <si>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</si>
  <si>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</si>
  <si>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</si>
  <si>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</si>
  <si>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</si>
  <si>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</si>
  <si>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</si>
  <si>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</si>
  <si>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</si>
  <si>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St. Joseph Vaz</t>
  </si>
  <si>
    <t>https://www.omiworld.org/our-charism/our-saints/non-oblate-causes/saint-joseph-vaz-1651-1711/biography/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</si>
</sst>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12" fillId="0" borderId="0" xfId="0" applyFont="1"/>
    <xf numFmtId="0" fontId="16"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12" fillId="0" borderId="0" xfId="0" applyFont="1" applyAlignment="1">
      <alignment vertical="top"/>
    </xf>
    <xf numFmtId="0" fontId="13" fillId="0" borderId="0" xfId="0" applyFont="1" applyAlignment="1">
      <alignment horizontal="left" vertical="top"/>
    </xf>
    <xf numFmtId="0" fontId="14" fillId="0" borderId="0" xfId="1" applyFont="1" applyFill="1" applyAlignment="1">
      <alignment vertical="top"/>
    </xf>
    <xf numFmtId="0" fontId="15" fillId="0" borderId="0" xfId="0" applyFont="1" applyAlignment="1">
      <alignment vertical="top" wrapText="1"/>
    </xf>
    <xf numFmtId="0" fontId="13" fillId="0" borderId="0" xfId="0" applyFont="1" applyAlignment="1">
      <alignment vertical="top"/>
    </xf>
    <xf numFmtId="0" fontId="15" fillId="0" borderId="0" xfId="0" applyFont="1" applyAlignment="1">
      <alignment horizontal="left" vertical="top"/>
    </xf>
    <xf numFmtId="0" fontId="15" fillId="0" borderId="0" xfId="0" applyFont="1" applyAlignment="1">
      <alignment vertical="top"/>
    </xf>
    <xf numFmtId="0" fontId="12" fillId="0" borderId="0" xfId="0" applyFont="1" applyAlignment="1">
      <alignment horizontal="left" vertical="top"/>
    </xf>
    <xf numFmtId="0" fontId="12" fillId="0" borderId="0" xfId="0" applyFont="1" applyAlignment="1">
      <alignment vertical="top" wrapText="1"/>
    </xf>
    <xf numFmtId="0" fontId="16" fillId="0" borderId="0" xfId="0" applyFont="1" applyAlignment="1">
      <alignment vertical="center"/>
    </xf>
    <xf numFmtId="0" fontId="12" fillId="0" borderId="0" xfId="0" applyFont="1" applyAlignment="1">
      <alignment vertical="center"/>
    </xf>
    <xf numFmtId="0" fontId="12" fillId="0" borderId="0" xfId="0" quotePrefix="1" applyFont="1" applyAlignment="1">
      <alignment vertical="center"/>
    </xf>
    <xf numFmtId="0" fontId="0" fillId="2" borderId="0" xfId="0" applyFill="1"/>
    <xf numFmtId="0" fontId="0" fillId="3" borderId="0" xfId="0" applyFill="1"/>
    <xf numFmtId="0" fontId="11" fillId="3" borderId="0" xfId="1" applyFill="1"/>
    <xf numFmtId="0" fontId="16" fillId="0" borderId="0" xfId="0" applyFont="1"/>
    <xf numFmtId="0" fontId="8" fillId="0" borderId="0" xfId="0" applyFont="1"/>
    <xf numFmtId="0" fontId="6" fillId="0" borderId="0" xfId="0" applyFont="1"/>
    <xf numFmtId="0" fontId="20" fillId="0" borderId="0" xfId="0" applyFont="1" applyAlignment="1">
      <alignment vertical="center"/>
    </xf>
    <xf numFmtId="0" fontId="12" fillId="0" borderId="0" xfId="0" applyFont="1" applyAlignment="1">
      <alignment vertical="center" wrapText="1"/>
    </xf>
    <xf numFmtId="0" fontId="7" fillId="0" borderId="0" xfId="0" applyFont="1" applyAlignment="1">
      <alignment vertical="center"/>
    </xf>
    <xf numFmtId="0" fontId="8" fillId="0" borderId="0" xfId="0" quotePrefix="1" applyFont="1" applyAlignment="1">
      <alignment vertical="center"/>
    </xf>
    <xf numFmtId="0" fontId="8" fillId="0" borderId="0" xfId="0" applyFont="1" applyAlignment="1">
      <alignment vertical="center" wrapText="1"/>
    </xf>
    <xf numFmtId="0" fontId="18" fillId="0" borderId="0" xfId="0" applyFont="1" applyAlignment="1">
      <alignment vertical="center" wrapText="1"/>
    </xf>
    <xf numFmtId="0" fontId="18" fillId="0" borderId="0" xfId="0" applyFont="1" applyAlignment="1">
      <alignment vertical="center"/>
    </xf>
    <xf numFmtId="0" fontId="18" fillId="0" borderId="0" xfId="0" quotePrefix="1" applyFont="1" applyAlignment="1">
      <alignment vertical="center"/>
    </xf>
    <xf numFmtId="0" fontId="20" fillId="0" borderId="0" xfId="0" applyFont="1" applyAlignment="1">
      <alignment vertical="center" wrapText="1"/>
    </xf>
    <xf numFmtId="0" fontId="9" fillId="0" borderId="0" xfId="0" applyFont="1" applyAlignment="1">
      <alignment vertical="center" wrapText="1"/>
    </xf>
    <xf numFmtId="0" fontId="9" fillId="0" borderId="0" xfId="0" quotePrefix="1" applyFont="1" applyAlignment="1">
      <alignment vertical="center"/>
    </xf>
    <xf numFmtId="0" fontId="9" fillId="0" borderId="0" xfId="0" applyFont="1" applyAlignment="1">
      <alignment vertical="center"/>
    </xf>
    <xf numFmtId="0" fontId="6" fillId="0" borderId="0" xfId="0" applyFont="1" applyAlignment="1">
      <alignment vertical="center"/>
    </xf>
    <xf numFmtId="0" fontId="12" fillId="0" borderId="0" xfId="0" quotePrefix="1" applyFont="1" applyAlignment="1">
      <alignment vertical="center" wrapText="1"/>
    </xf>
    <xf numFmtId="0" fontId="8" fillId="0" borderId="0" xfId="0" quotePrefix="1" applyFont="1" applyAlignment="1">
      <alignment vertical="center" wrapText="1"/>
    </xf>
    <xf numFmtId="0" fontId="18" fillId="0" borderId="0" xfId="0" quotePrefix="1" applyFont="1" applyAlignment="1">
      <alignment vertical="center" wrapText="1"/>
    </xf>
    <xf numFmtId="0" fontId="8" fillId="0" borderId="0" xfId="0" applyFont="1" applyAlignment="1">
      <alignment vertical="center"/>
    </xf>
    <xf numFmtId="0" fontId="7" fillId="0" borderId="0" xfId="0" applyFont="1" applyAlignment="1">
      <alignment vertical="center" wrapText="1"/>
    </xf>
    <xf numFmtId="0" fontId="10" fillId="0" borderId="0" xfId="0" applyFont="1" applyAlignment="1">
      <alignment vertical="center" wrapText="1"/>
    </xf>
    <xf numFmtId="0" fontId="10" fillId="0" borderId="0" xfId="0" applyFont="1" applyAlignment="1">
      <alignment vertical="center"/>
    </xf>
    <xf numFmtId="0" fontId="12" fillId="2" borderId="0" xfId="0" applyFont="1" applyFill="1" applyAlignment="1">
      <alignment vertical="center" wrapText="1"/>
    </xf>
    <xf numFmtId="0" fontId="12" fillId="2" borderId="0" xfId="0" applyFont="1" applyFill="1" applyAlignment="1">
      <alignment vertical="center"/>
    </xf>
    <xf numFmtId="0" fontId="6" fillId="0" borderId="0" xfId="0" applyFont="1" applyAlignment="1">
      <alignment vertical="center" wrapText="1"/>
    </xf>
    <xf numFmtId="0" fontId="6" fillId="0" borderId="0" xfId="0" quotePrefix="1" applyFont="1" applyAlignment="1">
      <alignment vertical="center" wrapText="1"/>
    </xf>
    <xf numFmtId="0" fontId="5" fillId="0" borderId="0" xfId="0" applyFont="1" applyAlignment="1">
      <alignment vertical="center" wrapText="1"/>
    </xf>
    <xf numFmtId="0" fontId="5" fillId="0" borderId="0" xfId="0" applyFont="1" applyAlignment="1">
      <alignment vertical="center"/>
    </xf>
    <xf numFmtId="0" fontId="12" fillId="0" borderId="1" xfId="0" applyFont="1" applyBorder="1" applyAlignment="1">
      <alignment vertical="center"/>
    </xf>
    <xf numFmtId="0" fontId="12" fillId="0" borderId="1" xfId="0" quotePrefix="1" applyFont="1" applyBorder="1" applyAlignment="1">
      <alignment vertical="center"/>
    </xf>
    <xf numFmtId="0" fontId="9" fillId="0" borderId="1" xfId="0" quotePrefix="1" applyFont="1" applyBorder="1" applyAlignment="1">
      <alignment vertical="center"/>
    </xf>
    <xf numFmtId="0" fontId="12" fillId="0" borderId="2" xfId="0" applyFont="1" applyBorder="1" applyAlignment="1">
      <alignment vertical="center"/>
    </xf>
    <xf numFmtId="0" fontId="12" fillId="0" borderId="1" xfId="0" applyFont="1" applyBorder="1" applyAlignment="1">
      <alignment vertical="center" wrapText="1"/>
    </xf>
    <xf numFmtId="0" fontId="7" fillId="0" borderId="1" xfId="0" applyFont="1" applyBorder="1" applyAlignment="1">
      <alignment vertical="center" wrapText="1"/>
    </xf>
    <xf numFmtId="0" fontId="8" fillId="0" borderId="1" xfId="0" applyFont="1" applyBorder="1" applyAlignment="1">
      <alignment vertical="center" wrapText="1"/>
    </xf>
    <xf numFmtId="0" fontId="10" fillId="0" borderId="1" xfId="0" applyFont="1" applyBorder="1" applyAlignment="1">
      <alignment vertical="center" wrapText="1"/>
    </xf>
    <xf numFmtId="0" fontId="9" fillId="0" borderId="1" xfId="0" applyFont="1" applyBorder="1" applyAlignment="1">
      <alignment vertical="center" wrapText="1"/>
    </xf>
    <xf numFmtId="0" fontId="6" fillId="0" borderId="1" xfId="0" applyFont="1" applyBorder="1" applyAlignment="1">
      <alignment vertical="center" wrapText="1"/>
    </xf>
    <xf numFmtId="0" fontId="12" fillId="0" borderId="3" xfId="0" quotePrefix="1" applyFont="1" applyBorder="1" applyAlignment="1">
      <alignment vertical="center"/>
    </xf>
    <xf numFmtId="0" fontId="12" fillId="0" borderId="3" xfId="0" applyFont="1" applyBorder="1" applyAlignment="1">
      <alignment vertical="center"/>
    </xf>
    <xf numFmtId="0" fontId="9" fillId="0" borderId="3" xfId="0" applyFont="1" applyBorder="1" applyAlignment="1">
      <alignment vertical="center"/>
    </xf>
    <xf numFmtId="0" fontId="6" fillId="0" borderId="3" xfId="0" applyFont="1" applyBorder="1" applyAlignment="1">
      <alignment vertical="center"/>
    </xf>
    <xf numFmtId="0" fontId="12" fillId="0" borderId="4" xfId="0" quotePrefix="1" applyFont="1" applyBorder="1" applyAlignment="1">
      <alignment vertical="center"/>
    </xf>
    <xf numFmtId="0" fontId="12" fillId="0" borderId="4" xfId="0" applyFont="1" applyBorder="1" applyAlignment="1">
      <alignment vertical="center"/>
    </xf>
    <xf numFmtId="0" fontId="9" fillId="0" borderId="4" xfId="0" applyFont="1" applyBorder="1" applyAlignment="1">
      <alignment vertical="center"/>
    </xf>
    <xf numFmtId="0" fontId="6" fillId="0" borderId="4" xfId="0" applyFont="1" applyBorder="1" applyAlignment="1">
      <alignment vertical="center"/>
    </xf>
    <xf numFmtId="0" fontId="16" fillId="0" borderId="5" xfId="0" applyFont="1" applyBorder="1" applyAlignment="1">
      <alignment vertical="center"/>
    </xf>
    <xf numFmtId="0" fontId="16" fillId="0" borderId="5" xfId="0" applyFont="1" applyBorder="1" applyAlignment="1">
      <alignment vertical="center" wrapText="1"/>
    </xf>
    <xf numFmtId="0" fontId="16" fillId="0" borderId="5" xfId="0" applyFont="1" applyBorder="1" applyAlignment="1">
      <alignment horizontal="left" vertical="center"/>
    </xf>
    <xf numFmtId="0" fontId="16" fillId="0" borderId="6" xfId="0" applyFont="1" applyBorder="1" applyAlignment="1">
      <alignment vertical="center" wrapText="1"/>
    </xf>
    <xf numFmtId="0" fontId="16" fillId="0" borderId="7" xfId="0" applyFont="1" applyBorder="1" applyAlignment="1">
      <alignment vertical="center"/>
    </xf>
    <xf numFmtId="0" fontId="16" fillId="0" borderId="8" xfId="0" applyFont="1" applyBorder="1" applyAlignment="1">
      <alignment vertical="center"/>
    </xf>
    <xf numFmtId="0" fontId="16" fillId="0" borderId="9" xfId="0" applyFont="1" applyBorder="1" applyAlignment="1">
      <alignment vertical="center"/>
    </xf>
    <xf numFmtId="0" fontId="16" fillId="0" borderId="6" xfId="0" applyFont="1" applyBorder="1" applyAlignment="1">
      <alignment vertical="center"/>
    </xf>
    <xf numFmtId="0" fontId="17" fillId="0" borderId="5" xfId="0" applyFont="1" applyBorder="1" applyAlignment="1">
      <alignment vertical="center" wrapText="1"/>
    </xf>
    <xf numFmtId="0" fontId="17" fillId="0" borderId="5" xfId="0" applyFont="1" applyBorder="1" applyAlignment="1">
      <alignment vertical="center"/>
    </xf>
    <xf numFmtId="0" fontId="19" fillId="0" borderId="5" xfId="0" applyFont="1" applyBorder="1" applyAlignment="1">
      <alignment vertical="center" wrapText="1"/>
    </xf>
    <xf numFmtId="0" fontId="19" fillId="0" borderId="5" xfId="0" applyFont="1" applyBorder="1" applyAlignment="1">
      <alignment vertical="center"/>
    </xf>
    <xf numFmtId="0" fontId="12" fillId="2" borderId="1" xfId="0" applyFont="1" applyFill="1" applyBorder="1" applyAlignment="1">
      <alignment vertical="center" wrapText="1"/>
    </xf>
    <xf numFmtId="0" fontId="23" fillId="0" borderId="5" xfId="0" applyFont="1" applyBorder="1" applyAlignment="1">
      <alignment vertical="center"/>
    </xf>
    <xf numFmtId="0" fontId="5" fillId="0" borderId="0" xfId="0" quotePrefix="1" applyFont="1" applyAlignment="1">
      <alignment vertical="center"/>
    </xf>
    <xf numFmtId="0" fontId="5" fillId="0" borderId="3" xfId="0" quotePrefix="1" applyFont="1" applyBorder="1" applyAlignment="1">
      <alignment vertical="center"/>
    </xf>
    <xf numFmtId="0" fontId="5" fillId="0" borderId="4" xfId="0" quotePrefix="1" applyFont="1" applyBorder="1" applyAlignment="1">
      <alignment vertical="center"/>
    </xf>
    <xf numFmtId="0" fontId="5" fillId="0" borderId="3" xfId="0" applyFont="1" applyBorder="1" applyAlignment="1">
      <alignment vertical="center"/>
    </xf>
    <xf numFmtId="0" fontId="4" fillId="0" borderId="0" xfId="0" applyFont="1" applyAlignment="1">
      <alignment vertical="center" wrapText="1"/>
    </xf>
    <xf numFmtId="0" fontId="21" fillId="0" borderId="9" xfId="0" applyFont="1" applyBorder="1" applyAlignment="1">
      <alignment vertical="center"/>
    </xf>
    <xf numFmtId="0" fontId="24" fillId="0" borderId="2" xfId="1" applyFont="1" applyFill="1" applyBorder="1" applyAlignment="1">
      <alignment horizontal="left" vertical="center"/>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left" vertical="center"/>
    </xf>
    <xf numFmtId="0" fontId="24" fillId="0" borderId="2" xfId="0" applyFont="1" applyBorder="1" applyAlignment="1">
      <alignment vertical="center"/>
    </xf>
    <xf numFmtId="0" fontId="4" fillId="0" borderId="1" xfId="0" applyFont="1" applyBorder="1" applyAlignment="1">
      <alignment vertical="center" wrapText="1"/>
    </xf>
    <xf numFmtId="0" fontId="4" fillId="0" borderId="0" xfId="0" applyFont="1" applyAlignment="1">
      <alignment vertical="center"/>
    </xf>
    <xf numFmtId="0" fontId="4" fillId="0" borderId="0" xfId="0" applyFont="1"/>
    <xf numFmtId="0" fontId="4" fillId="0" borderId="4" xfId="0" quotePrefix="1" applyFont="1" applyBorder="1" applyAlignment="1">
      <alignment vertical="center"/>
    </xf>
    <xf numFmtId="0" fontId="4" fillId="0" borderId="0" xfId="0" quotePrefix="1" applyFont="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3" xfId="0" quotePrefix="1" applyFont="1" applyBorder="1" applyAlignment="1">
      <alignment vertical="center"/>
    </xf>
    <xf numFmtId="0" fontId="9" fillId="0" borderId="1" xfId="0" applyFont="1" applyBorder="1" applyAlignment="1">
      <alignment vertical="center"/>
    </xf>
    <xf numFmtId="0" fontId="6" fillId="0" borderId="1" xfId="0" applyFont="1" applyBorder="1" applyAlignment="1">
      <alignment vertical="center"/>
    </xf>
    <xf numFmtId="0" fontId="4" fillId="0" borderId="1" xfId="0" quotePrefix="1" applyFont="1" applyBorder="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xf numFmtId="0" fontId="3" fillId="0" borderId="3" xfId="0" applyFont="1" applyBorder="1" applyAlignment="1">
      <alignment vertical="center"/>
    </xf>
    <xf numFmtId="0" fontId="3" fillId="0" borderId="4" xfId="0" quotePrefix="1" applyFont="1" applyBorder="1" applyAlignment="1">
      <alignment vertical="center"/>
    </xf>
    <xf numFmtId="0" fontId="3" fillId="0" borderId="4" xfId="0" applyFont="1" applyBorder="1" applyAlignment="1">
      <alignment vertical="center"/>
    </xf>
    <xf numFmtId="0" fontId="3" fillId="0" borderId="3" xfId="0" quotePrefix="1" applyFont="1" applyBorder="1" applyAlignment="1">
      <alignment vertical="center"/>
    </xf>
    <xf numFmtId="0" fontId="2" fillId="0" borderId="0" xfId="0" applyFont="1" applyAlignment="1">
      <alignment vertical="center"/>
    </xf>
    <xf numFmtId="0" fontId="2" fillId="0" borderId="0" xfId="0" applyFont="1" applyAlignment="1">
      <alignment vertical="center" wrapText="1"/>
    </xf>
    <xf numFmtId="0" fontId="2" fillId="0" borderId="1" xfId="0" applyFont="1" applyBorder="1" applyAlignment="1">
      <alignment vertical="center" wrapText="1"/>
    </xf>
    <xf numFmtId="0" fontId="2" fillId="0" borderId="0" xfId="0" applyFont="1"/>
    <xf numFmtId="0" fontId="2" fillId="0" borderId="0" xfId="0" quotePrefix="1" applyFont="1" applyAlignment="1">
      <alignment vertical="center"/>
    </xf>
    <xf numFmtId="0" fontId="2" fillId="0" borderId="4" xfId="0" quotePrefix="1" applyFont="1" applyBorder="1" applyAlignment="1">
      <alignment vertical="center"/>
    </xf>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1" xfId="0" applyFont="1" applyBorder="1" applyAlignment="1">
      <alignment vertical="center" wrapText="1"/>
    </xf>
    <xf numFmtId="0" fontId="1" fillId="0" borderId="3" xfId="0" applyFont="1" applyBorder="1" applyAlignment="1">
      <alignment vertical="center"/>
    </xf>
    <xf numFmtId="0" fontId="1" fillId="0" borderId="4" xfId="0" quotePrefix="1" applyFont="1" applyBorder="1" applyAlignment="1">
      <alignment vertical="center"/>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6" x14ac:dyDescent="0.4"/>
  <cols>
    <col min="1" max="1" width="2.69140625" bestFit="1" customWidth="1"/>
    <col min="2" max="2" width="7.53515625" bestFit="1" customWidth="1"/>
    <col min="3" max="3" width="71.53515625" bestFit="1" customWidth="1"/>
    <col min="4" max="4" width="11" bestFit="1" customWidth="1"/>
    <col min="5" max="5" width="3.53515625" bestFit="1" customWidth="1"/>
    <col min="6" max="6" width="60" bestFit="1" customWidth="1"/>
    <col min="7" max="7" width="4.69140625" bestFit="1" customWidth="1"/>
    <col min="8" max="8" width="3.3046875" bestFit="1" customWidth="1"/>
    <col min="9" max="9" width="3.69140625" bestFit="1" customWidth="1"/>
    <col min="10" max="10" width="15.53515625" customWidth="1"/>
    <col min="11" max="11" width="5.3828125" bestFit="1" customWidth="1"/>
    <col min="12" max="12" width="45.3046875" bestFit="1" customWidth="1"/>
    <col min="14" max="14" width="8.53515625" bestFit="1" customWidth="1"/>
    <col min="15" max="15" width="9.3828125" bestFit="1" customWidth="1"/>
    <col min="16" max="16" width="6.3046875" bestFit="1" customWidth="1"/>
    <col min="17" max="17" width="5" bestFit="1" customWidth="1"/>
    <col min="18" max="18" width="3.84375" bestFit="1" customWidth="1"/>
    <col min="19" max="19" width="6" bestFit="1" customWidth="1"/>
    <col min="20" max="20" width="10.69140625" bestFit="1" customWidth="1"/>
    <col min="21" max="21" width="10.53515625" bestFit="1" customWidth="1"/>
  </cols>
  <sheetData>
    <row r="1" spans="1:21" x14ac:dyDescent="0.4">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4">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4">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4">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4">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4">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4">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4">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4">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4">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4">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4">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4">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4">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4">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4">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4">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4">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4">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4">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4">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4">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4">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0"/>
  <sheetViews>
    <sheetView tabSelected="1" zoomScale="80" zoomScaleNormal="80" workbookViewId="0">
      <pane xSplit="6" ySplit="1" topLeftCell="X124" activePane="bottomRight" state="frozen"/>
      <selection pane="topRight" activeCell="G1" sqref="G1"/>
      <selection pane="bottomLeft" activeCell="A2" sqref="A2"/>
      <selection pane="bottomRight" activeCell="X130" sqref="X130"/>
    </sheetView>
  </sheetViews>
  <sheetFormatPr defaultColWidth="9.15234375" defaultRowHeight="12.45" x14ac:dyDescent="0.4"/>
  <cols>
    <col min="1" max="1" width="12.84375" style="14" bestFit="1" customWidth="1"/>
    <col min="2" max="2" width="9.84375" style="24" bestFit="1" customWidth="1"/>
    <col min="3" max="3" width="14.3828125" style="15" customWidth="1"/>
    <col min="4" max="4" width="3.84375" style="15" bestFit="1" customWidth="1"/>
    <col min="5" max="5" width="5.3046875" style="49"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43" width="9.15234375" style="15"/>
    <col min="44" max="44" width="9" style="28" bestFit="1" customWidth="1"/>
    <col min="45" max="45" width="10.3046875" style="29" bestFit="1" customWidth="1"/>
    <col min="46" max="46" width="8.84375" style="29" bestFit="1" customWidth="1"/>
    <col min="47" max="47" width="8.84375" style="29" customWidth="1"/>
    <col min="48" max="63" width="9.15234375" style="29"/>
    <col min="64" max="71" width="7.15234375" style="29" customWidth="1"/>
    <col min="72" max="75" width="9.15234375" style="29"/>
    <col min="76" max="76" width="38.69140625" style="23" customWidth="1"/>
    <col min="77" max="77" width="38.69140625" style="31" customWidth="1"/>
    <col min="78" max="83" width="12" style="29" customWidth="1"/>
    <col min="84" max="84" width="11.84375" style="29" bestFit="1" customWidth="1"/>
    <col min="85" max="89" width="11.84375" style="29" customWidth="1"/>
    <col min="90" max="16384" width="9.15234375" style="15"/>
  </cols>
  <sheetData>
    <row r="1" spans="1:90" s="67" customFormat="1" ht="12.9" thickBot="1" x14ac:dyDescent="0.45">
      <c r="A1" s="67" t="s">
        <v>1323</v>
      </c>
      <c r="B1" s="68" t="s">
        <v>485</v>
      </c>
      <c r="C1" s="67" t="s">
        <v>1729</v>
      </c>
      <c r="D1" s="67"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c r="AR1" s="75" t="s">
        <v>1457</v>
      </c>
      <c r="AS1" s="76" t="s">
        <v>1001</v>
      </c>
      <c r="AT1" s="76" t="s">
        <v>164</v>
      </c>
      <c r="AU1" s="80" t="s">
        <v>1719</v>
      </c>
      <c r="AV1" s="76" t="s">
        <v>1808</v>
      </c>
      <c r="AW1" s="76" t="s">
        <v>1809</v>
      </c>
      <c r="AX1" s="76" t="s">
        <v>1807</v>
      </c>
      <c r="AY1" s="76" t="s">
        <v>1805</v>
      </c>
      <c r="AZ1" s="76" t="s">
        <v>1806</v>
      </c>
      <c r="BA1" s="76" t="s">
        <v>1794</v>
      </c>
      <c r="BB1" s="76" t="s">
        <v>1795</v>
      </c>
      <c r="BC1" s="76" t="s">
        <v>1796</v>
      </c>
      <c r="BD1" s="76" t="s">
        <v>1797</v>
      </c>
      <c r="BE1" s="76" t="s">
        <v>1798</v>
      </c>
      <c r="BF1" s="76" t="s">
        <v>1799</v>
      </c>
      <c r="BG1" s="76" t="s">
        <v>1800</v>
      </c>
      <c r="BH1" s="76" t="s">
        <v>1801</v>
      </c>
      <c r="BI1" s="76" t="s">
        <v>1802</v>
      </c>
      <c r="BJ1" s="76" t="s">
        <v>1803</v>
      </c>
      <c r="BK1" s="76" t="s">
        <v>339</v>
      </c>
      <c r="BL1" s="76" t="s">
        <v>1003</v>
      </c>
      <c r="BM1" s="76" t="s">
        <v>1813</v>
      </c>
      <c r="BN1" s="76" t="s">
        <v>1814</v>
      </c>
      <c r="BO1" s="76" t="s">
        <v>1815</v>
      </c>
      <c r="BP1" s="76" t="s">
        <v>1820</v>
      </c>
      <c r="BQ1" s="76" t="s">
        <v>1812</v>
      </c>
      <c r="BR1" s="76" t="s">
        <v>158</v>
      </c>
      <c r="BS1" s="76" t="s">
        <v>621</v>
      </c>
      <c r="BT1" s="76" t="s">
        <v>1816</v>
      </c>
      <c r="BU1" s="76" t="s">
        <v>1811</v>
      </c>
      <c r="BV1" s="76" t="s">
        <v>2292</v>
      </c>
      <c r="BW1" s="76" t="s">
        <v>1810</v>
      </c>
      <c r="BX1" s="78" t="s">
        <v>1817</v>
      </c>
      <c r="BY1" s="77" t="s">
        <v>991</v>
      </c>
      <c r="BZ1" s="76" t="s">
        <v>1421</v>
      </c>
      <c r="CA1" s="76" t="s">
        <v>1423</v>
      </c>
      <c r="CB1" s="76" t="s">
        <v>1425</v>
      </c>
      <c r="CC1" s="76" t="s">
        <v>1451</v>
      </c>
      <c r="CD1" s="76" t="s">
        <v>1452</v>
      </c>
      <c r="CE1" s="76" t="s">
        <v>1453</v>
      </c>
      <c r="CF1" s="76" t="s">
        <v>1450</v>
      </c>
      <c r="CG1" s="76" t="s">
        <v>1455</v>
      </c>
      <c r="CH1" s="76" t="s">
        <v>1456</v>
      </c>
      <c r="CI1" s="76" t="s">
        <v>1458</v>
      </c>
      <c r="CJ1" s="76" t="s">
        <v>1459</v>
      </c>
      <c r="CK1" s="76" t="s">
        <v>1454</v>
      </c>
    </row>
    <row r="2" spans="1:90" ht="87" x14ac:dyDescent="0.4">
      <c r="A2" s="14" t="s">
        <v>1322</v>
      </c>
      <c r="B2" s="24" t="s">
        <v>552</v>
      </c>
      <c r="D2" s="15">
        <v>41.656656769330702</v>
      </c>
      <c r="E2" s="49">
        <v>-0.87824062054636098</v>
      </c>
      <c r="F2" s="24" t="s">
        <v>1033</v>
      </c>
      <c r="G2" s="53" t="s">
        <v>1034</v>
      </c>
      <c r="H2" s="25" t="s">
        <v>1720</v>
      </c>
      <c r="I2" s="25" t="b">
        <v>1</v>
      </c>
      <c r="J2" s="15" t="b">
        <v>1</v>
      </c>
      <c r="K2" s="15" t="b">
        <v>1</v>
      </c>
      <c r="L2" s="47" t="s">
        <v>1818</v>
      </c>
      <c r="M2" s="55" t="s">
        <v>1737</v>
      </c>
      <c r="N2" s="16" t="s">
        <v>1035</v>
      </c>
      <c r="O2" s="16" t="s">
        <v>336</v>
      </c>
      <c r="P2" s="82"/>
      <c r="Q2" s="81"/>
      <c r="R2" s="83"/>
      <c r="S2" s="59"/>
      <c r="T2" s="16"/>
      <c r="U2" s="63"/>
      <c r="V2" s="16"/>
      <c r="W2" s="16"/>
      <c r="X2" s="50"/>
      <c r="Y2" s="16" t="s">
        <v>1037</v>
      </c>
      <c r="Z2" s="26"/>
      <c r="AA2" s="26"/>
      <c r="AB2" s="26"/>
      <c r="AC2" s="26"/>
      <c r="AD2" s="26"/>
      <c r="AE2" s="26"/>
      <c r="AF2" s="26"/>
      <c r="AG2" s="26"/>
      <c r="AH2" s="26"/>
      <c r="AI2" s="87" t="s">
        <v>1038</v>
      </c>
      <c r="AJ2" s="88">
        <v>40</v>
      </c>
      <c r="AK2" s="15" t="s">
        <v>179</v>
      </c>
      <c r="AL2" s="15" t="s">
        <v>336</v>
      </c>
      <c r="AM2" s="15" t="s">
        <v>91</v>
      </c>
      <c r="AN2" s="15" t="s">
        <v>336</v>
      </c>
      <c r="AO2" s="15" t="s">
        <v>1036</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churches_x000D_
- marian-sites_x000D_
- holy-persons_x000D_
- james-greater_x000D_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IF(LEN(_xludf.concat(BQ2:BS2))&gt;0,_xludf.concat("|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26">"|"&amp;IF(LEN(CC2)&gt;1," "&amp;CC2,"")&amp;IF(LEN(CD2)&gt;1,", "&amp;CD2,"")&amp;IF(LEN(CE2)&gt;1,", "&amp;CE2,"")&amp;" "</f>
        <v xml:space="preserve">| [St. James the Greater](/tags/james-greater) </v>
      </c>
      <c r="CG2" s="30" t="str">
        <f t="shared" ref="CG2:CG33" si="27">"| "&amp;IF(AR2,"["&amp;AI2&amp;"](/places/"&amp;SUBSTITUTE(BY2,".md","")&amp;")",AI2)&amp;" "</f>
        <v xml:space="preserve">| [Zaragoza](/places/es-cathedral-basilica-of-our-lady-of-the-pillar)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[Link](/places/es-cathedral-basilica-of-our-lady-of-the-pillar) </v>
      </c>
      <c r="CK2" s="29" t="str">
        <f t="shared" ref="CK2:CK13" si="30">"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49.75" x14ac:dyDescent="0.4">
      <c r="A3" s="14" t="s">
        <v>1322</v>
      </c>
      <c r="B3" s="24" t="s">
        <v>557</v>
      </c>
      <c r="C3" s="16"/>
      <c r="D3" s="15">
        <v>45.045629644626899</v>
      </c>
      <c r="E3" s="49">
        <v>3.8846338389333201</v>
      </c>
      <c r="F3" s="24" t="s">
        <v>1341</v>
      </c>
      <c r="G3" s="53" t="s">
        <v>1341</v>
      </c>
      <c r="H3" s="15" t="s">
        <v>1720</v>
      </c>
      <c r="I3" s="25" t="b">
        <v>1</v>
      </c>
      <c r="J3" s="16" t="b">
        <v>1</v>
      </c>
      <c r="K3" s="16"/>
      <c r="L3" s="24" t="s">
        <v>337</v>
      </c>
      <c r="N3" s="16" t="s">
        <v>1342</v>
      </c>
      <c r="O3" s="16" t="s">
        <v>336</v>
      </c>
      <c r="P3" s="59"/>
      <c r="Q3" s="16"/>
      <c r="R3" s="63"/>
      <c r="S3" s="59"/>
      <c r="T3" s="16"/>
      <c r="U3" s="63"/>
      <c r="V3" s="16"/>
      <c r="W3" s="16"/>
      <c r="X3" s="50"/>
      <c r="Y3" s="93" t="s">
        <v>2142</v>
      </c>
      <c r="AI3" s="87" t="s">
        <v>1182</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IF(LEN(_xludf.concat(BQ3:BS3))&gt;0,_xludf.concat("|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49.75" x14ac:dyDescent="0.4">
      <c r="A4" s="14" t="s">
        <v>1322</v>
      </c>
      <c r="B4" s="32" t="s">
        <v>2</v>
      </c>
      <c r="C4" s="33"/>
      <c r="D4" s="15">
        <v>9.7544459999999997</v>
      </c>
      <c r="E4" s="49">
        <v>76.564819999999997</v>
      </c>
      <c r="F4" s="32" t="s">
        <v>1401</v>
      </c>
      <c r="G4" s="57" t="s">
        <v>1402</v>
      </c>
      <c r="H4" s="34" t="s">
        <v>1720</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34"/>
      <c r="AI4" s="87" t="s">
        <v>1400</v>
      </c>
      <c r="AJ4" s="88">
        <v>335</v>
      </c>
      <c r="AK4" s="33" t="s">
        <v>336</v>
      </c>
      <c r="AL4" s="15" t="s">
        <v>336</v>
      </c>
      <c r="AM4" s="16" t="s">
        <v>1403</v>
      </c>
      <c r="AN4" s="33" t="s">
        <v>1404</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IF(LEN(_xludf.concat(BQ4:BS4))&gt;0,_xludf.concat("|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87" x14ac:dyDescent="0.4">
      <c r="A5" s="14" t="s">
        <v>1322</v>
      </c>
      <c r="B5" s="27" t="s">
        <v>11</v>
      </c>
      <c r="C5" s="35" t="s">
        <v>1004</v>
      </c>
      <c r="D5" s="15">
        <v>41.897293109963897</v>
      </c>
      <c r="E5" s="49">
        <v>12.4989743434214</v>
      </c>
      <c r="F5" s="24" t="s">
        <v>175</v>
      </c>
      <c r="G5" s="53" t="s">
        <v>730</v>
      </c>
      <c r="H5" s="15" t="s">
        <v>1720</v>
      </c>
      <c r="I5" s="25" t="b">
        <v>1</v>
      </c>
      <c r="J5" s="15" t="b">
        <v>1</v>
      </c>
      <c r="L5" s="24" t="s">
        <v>338</v>
      </c>
      <c r="N5" s="15" t="s">
        <v>176</v>
      </c>
      <c r="O5" s="15" t="s">
        <v>336</v>
      </c>
      <c r="Y5" s="36" t="s">
        <v>1000</v>
      </c>
      <c r="Z5" s="37"/>
      <c r="AA5" s="36"/>
      <c r="AB5" s="36"/>
      <c r="AC5" s="36"/>
      <c r="AD5" s="36"/>
      <c r="AE5" s="36"/>
      <c r="AF5" s="36"/>
      <c r="AG5" s="36"/>
      <c r="AH5" s="36"/>
      <c r="AI5" s="87" t="s">
        <v>1311</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IF(LEN(_xludf.concat(BQ5:BS5))&gt;0,_xludf.concat("|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4">
      <c r="A6" s="14" t="s">
        <v>1051</v>
      </c>
      <c r="B6" s="24" t="s">
        <v>11</v>
      </c>
      <c r="C6" s="35" t="s">
        <v>1435</v>
      </c>
      <c r="D6" s="15">
        <v>38.141271460015901</v>
      </c>
      <c r="E6" s="49">
        <v>15.0456795824699</v>
      </c>
      <c r="F6" s="24" t="s">
        <v>1340</v>
      </c>
      <c r="G6" s="53" t="s">
        <v>1339</v>
      </c>
      <c r="H6" s="15" t="s">
        <v>1720</v>
      </c>
      <c r="I6" s="25" t="b">
        <v>1</v>
      </c>
      <c r="J6" s="15" t="b">
        <v>1</v>
      </c>
      <c r="L6" s="24" t="s">
        <v>1335</v>
      </c>
      <c r="N6" s="15" t="s">
        <v>1337</v>
      </c>
      <c r="O6" s="15" t="s">
        <v>336</v>
      </c>
      <c r="AI6" s="87" t="s">
        <v>1183</v>
      </c>
      <c r="AJ6" s="88" t="s">
        <v>1343</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IF(LEN(_xludf.concat(BQ6:BS6))&gt;0,_xludf.concat("|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4.599999999999994" x14ac:dyDescent="0.4">
      <c r="A7" s="14" t="s">
        <v>1051</v>
      </c>
      <c r="B7" s="24" t="s">
        <v>736</v>
      </c>
      <c r="D7" s="15">
        <v>52.880559553822799</v>
      </c>
      <c r="E7" s="49">
        <v>0.85276071534114095</v>
      </c>
      <c r="F7" s="24" t="s">
        <v>1355</v>
      </c>
      <c r="G7" s="53" t="s">
        <v>334</v>
      </c>
      <c r="H7" s="15" t="s">
        <v>1720</v>
      </c>
      <c r="I7" s="25" t="b">
        <v>1</v>
      </c>
      <c r="J7" s="15" t="b">
        <v>1</v>
      </c>
      <c r="L7" s="24" t="s">
        <v>1353</v>
      </c>
      <c r="N7" s="15" t="s">
        <v>1354</v>
      </c>
      <c r="O7" s="15" t="s">
        <v>336</v>
      </c>
      <c r="Y7" s="15" t="s">
        <v>336</v>
      </c>
      <c r="AI7" s="87" t="s">
        <v>1184</v>
      </c>
      <c r="AJ7" s="88" t="s">
        <v>1065</v>
      </c>
      <c r="AK7" s="15" t="s">
        <v>184</v>
      </c>
      <c r="AL7" s="15" t="s">
        <v>336</v>
      </c>
      <c r="AM7" s="15" t="s">
        <v>1352</v>
      </c>
      <c r="AN7" s="15" t="s">
        <v>336</v>
      </c>
      <c r="AO7" s="15" t="s">
        <v>1356</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IF(LEN(_xludf.concat(BQ7:BS7))&gt;0,_xludf.concat("|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36.75" x14ac:dyDescent="0.4">
      <c r="A8" s="14" t="s">
        <v>1322</v>
      </c>
      <c r="B8" s="24" t="s">
        <v>651</v>
      </c>
      <c r="D8" s="15">
        <v>54.024675490094602</v>
      </c>
      <c r="E8" s="49">
        <v>21.217746272668698</v>
      </c>
      <c r="F8" s="24" t="s">
        <v>1317</v>
      </c>
      <c r="G8" s="53" t="s">
        <v>1317</v>
      </c>
      <c r="H8" s="15" t="s">
        <v>1720</v>
      </c>
      <c r="I8" s="25" t="b">
        <v>1</v>
      </c>
      <c r="J8" s="15" t="b">
        <v>1</v>
      </c>
      <c r="L8" s="40" t="s">
        <v>1717</v>
      </c>
      <c r="M8" s="54" t="s">
        <v>1738</v>
      </c>
      <c r="N8" s="15" t="s">
        <v>1325</v>
      </c>
      <c r="O8" s="15" t="s">
        <v>336</v>
      </c>
      <c r="Y8" s="15" t="s">
        <v>336</v>
      </c>
      <c r="AI8" s="87" t="s">
        <v>1189</v>
      </c>
      <c r="AJ8" s="88" t="s">
        <v>1070</v>
      </c>
      <c r="AK8" s="15" t="s">
        <v>189</v>
      </c>
      <c r="AL8" s="15" t="s">
        <v>336</v>
      </c>
      <c r="AM8" s="15" t="s">
        <v>1326</v>
      </c>
      <c r="AN8" s="15" t="s">
        <v>1338</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IF(LEN(_xludf.concat(BQ8:BS8))&gt;0,_xludf.concat("|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4.599999999999994" x14ac:dyDescent="0.4">
      <c r="A9" s="14" t="s">
        <v>1322</v>
      </c>
      <c r="B9" s="24" t="s">
        <v>11</v>
      </c>
      <c r="D9" s="15">
        <v>45.523673865207101</v>
      </c>
      <c r="E9" s="49">
        <v>10.3142692079531</v>
      </c>
      <c r="F9" s="85" t="s">
        <v>1899</v>
      </c>
      <c r="G9" s="53" t="s">
        <v>1899</v>
      </c>
      <c r="H9" s="15" t="s">
        <v>1720</v>
      </c>
      <c r="I9" s="25" t="b">
        <v>1</v>
      </c>
      <c r="J9" s="15" t="b">
        <v>1</v>
      </c>
      <c r="L9" s="24" t="s">
        <v>1360</v>
      </c>
      <c r="N9" s="15" t="s">
        <v>1364</v>
      </c>
      <c r="O9" s="15" t="s">
        <v>336</v>
      </c>
      <c r="Y9" s="15" t="s">
        <v>336</v>
      </c>
      <c r="AI9" s="87" t="s">
        <v>1363</v>
      </c>
      <c r="AJ9" s="88" t="s">
        <v>1313</v>
      </c>
      <c r="AK9" s="15" t="s">
        <v>199</v>
      </c>
      <c r="AL9" s="15" t="s">
        <v>336</v>
      </c>
      <c r="AM9" s="15" t="s">
        <v>1361</v>
      </c>
      <c r="AN9" s="15" t="s">
        <v>1362</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IF(LEN(_xludf.concat(BQ9:BS9))&gt;0,_xludf.concat("|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11.9" x14ac:dyDescent="0.4">
      <c r="A10" s="14" t="s">
        <v>1322</v>
      </c>
      <c r="B10" s="27" t="s">
        <v>651</v>
      </c>
      <c r="D10" s="15">
        <v>49.465129655108299</v>
      </c>
      <c r="E10" s="49">
        <v>19.982843057005098</v>
      </c>
      <c r="F10" s="27" t="s">
        <v>1416</v>
      </c>
      <c r="G10" s="53" t="s">
        <v>1416</v>
      </c>
      <c r="H10" s="15" t="s">
        <v>1720</v>
      </c>
      <c r="I10" s="25" t="b">
        <v>1</v>
      </c>
      <c r="J10" s="15" t="b">
        <v>1</v>
      </c>
      <c r="L10" s="27" t="s">
        <v>1417</v>
      </c>
      <c r="M10" s="55" t="s">
        <v>1739</v>
      </c>
      <c r="N10" s="15" t="s">
        <v>1418</v>
      </c>
      <c r="O10" s="15" t="s">
        <v>336</v>
      </c>
      <c r="Y10" s="39" t="s">
        <v>1419</v>
      </c>
      <c r="Z10" s="39"/>
      <c r="AA10" s="39"/>
      <c r="AB10" s="39"/>
      <c r="AC10" s="39"/>
      <c r="AD10" s="39"/>
      <c r="AE10" s="39"/>
      <c r="AF10" s="39"/>
      <c r="AG10" s="39"/>
      <c r="AH10" s="39"/>
      <c r="AI10" s="87" t="s">
        <v>1414</v>
      </c>
      <c r="AJ10" s="89" t="s">
        <v>1415</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IF(LEN(_xludf.concat(BQ10:BS10))&gt;0,_xludf.concat("|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2.15" x14ac:dyDescent="0.4">
      <c r="A11" s="14" t="s">
        <v>1322</v>
      </c>
      <c r="B11" s="24" t="s">
        <v>2</v>
      </c>
      <c r="D11" s="15">
        <v>10.6803068</v>
      </c>
      <c r="E11" s="49">
        <v>79.849313699999996</v>
      </c>
      <c r="F11" s="40" t="s">
        <v>1716</v>
      </c>
      <c r="G11" s="54" t="s">
        <v>1709</v>
      </c>
      <c r="H11" s="25" t="s">
        <v>1720</v>
      </c>
      <c r="I11" s="25" t="b">
        <v>1</v>
      </c>
      <c r="J11" s="15" t="b">
        <v>1</v>
      </c>
      <c r="L11" s="40" t="s">
        <v>1714</v>
      </c>
      <c r="M11" s="54" t="s">
        <v>1752</v>
      </c>
      <c r="N11" s="25" t="s">
        <v>1711</v>
      </c>
      <c r="O11" s="15" t="s">
        <v>336</v>
      </c>
      <c r="Y11" s="15" t="s">
        <v>336</v>
      </c>
      <c r="AI11" s="87" t="s">
        <v>1220</v>
      </c>
      <c r="AJ11" s="88" t="s">
        <v>1098</v>
      </c>
      <c r="AK11" s="15" t="s">
        <v>222</v>
      </c>
      <c r="AL11" s="15" t="s">
        <v>336</v>
      </c>
      <c r="AM11" s="25" t="s">
        <v>1713</v>
      </c>
      <c r="AN11" s="15" t="s">
        <v>336</v>
      </c>
      <c r="AO11" s="15" t="s">
        <v>1715</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IF(LEN(_xludf.concat(BQ11:BS11))&gt;0,_xludf.concat("|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37.299999999999997" x14ac:dyDescent="0.4">
      <c r="A12" s="14" t="s">
        <v>1322</v>
      </c>
      <c r="B12" s="24" t="s">
        <v>630</v>
      </c>
      <c r="C12" s="35" t="s">
        <v>1768</v>
      </c>
      <c r="D12" s="15">
        <v>19.483432799999999</v>
      </c>
      <c r="E12" s="49">
        <v>-99.117410300000003</v>
      </c>
      <c r="F12" s="24" t="s">
        <v>432</v>
      </c>
      <c r="G12" s="53" t="s">
        <v>432</v>
      </c>
      <c r="H12" s="15" t="s">
        <v>1720</v>
      </c>
      <c r="I12" s="25" t="b">
        <v>1</v>
      </c>
      <c r="J12" s="15" t="b">
        <v>1</v>
      </c>
      <c r="K12" s="15" t="b">
        <v>1</v>
      </c>
      <c r="L12" s="24" t="s">
        <v>453</v>
      </c>
      <c r="N12" s="15" t="s">
        <v>431</v>
      </c>
      <c r="O12" s="15" t="s">
        <v>336</v>
      </c>
      <c r="Y12" s="36" t="s">
        <v>486</v>
      </c>
      <c r="Z12" s="36"/>
      <c r="AA12" s="36"/>
      <c r="AB12" s="36"/>
      <c r="AC12" s="36"/>
      <c r="AD12" s="36"/>
      <c r="AE12" s="36"/>
      <c r="AF12" s="36"/>
      <c r="AG12" s="36"/>
      <c r="AH12" s="36"/>
      <c r="AI12" s="87" t="s">
        <v>1005</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IF(LEN(_xludf.concat(BQ12:BS12))&gt;0,_xludf.concat("|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49.75" x14ac:dyDescent="0.4">
      <c r="A13" s="14" t="s">
        <v>1322</v>
      </c>
      <c r="B13" s="24" t="s">
        <v>669</v>
      </c>
      <c r="D13" s="15">
        <v>45.998943044455899</v>
      </c>
      <c r="E13" s="49">
        <v>13.6553373449013</v>
      </c>
      <c r="F13" s="41" t="s">
        <v>1383</v>
      </c>
      <c r="G13" s="53" t="s">
        <v>1383</v>
      </c>
      <c r="H13" s="15" t="s">
        <v>1720</v>
      </c>
      <c r="I13" s="25" t="b">
        <v>1</v>
      </c>
      <c r="J13" s="15" t="b">
        <v>1</v>
      </c>
      <c r="L13" s="41" t="s">
        <v>1385</v>
      </c>
      <c r="N13" s="15" t="s">
        <v>1384</v>
      </c>
      <c r="O13" s="15" t="s">
        <v>336</v>
      </c>
      <c r="Y13" s="15" t="s">
        <v>336</v>
      </c>
      <c r="AI13" s="87" t="s">
        <v>1236</v>
      </c>
      <c r="AJ13" s="88">
        <v>1539</v>
      </c>
      <c r="AK13" s="15" t="s">
        <v>239</v>
      </c>
      <c r="AL13" s="15" t="s">
        <v>336</v>
      </c>
      <c r="AM13" s="15" t="s">
        <v>1386</v>
      </c>
      <c r="AN13" s="42" t="s">
        <v>1387</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IF(LEN(_xludf.concat(BQ13:BS13))&gt;0,_xludf.concat("|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4">
      <c r="A14" s="14" t="s">
        <v>1051</v>
      </c>
      <c r="B14" s="24" t="s">
        <v>626</v>
      </c>
      <c r="D14" s="15">
        <v>36.0617520264557</v>
      </c>
      <c r="E14" s="49">
        <v>14.2153318855345</v>
      </c>
      <c r="F14" s="24" t="s">
        <v>1368</v>
      </c>
      <c r="G14" s="54" t="s">
        <v>1718</v>
      </c>
      <c r="H14" s="25" t="s">
        <v>1720</v>
      </c>
      <c r="I14" s="25" t="b">
        <v>1</v>
      </c>
      <c r="J14" s="15" t="b">
        <v>1</v>
      </c>
      <c r="L14" s="24" t="s">
        <v>1335</v>
      </c>
      <c r="N14" s="15" t="s">
        <v>1365</v>
      </c>
      <c r="O14" s="15" t="s">
        <v>336</v>
      </c>
      <c r="Y14" s="15" t="s">
        <v>336</v>
      </c>
      <c r="AI14" s="87" t="s">
        <v>1245</v>
      </c>
      <c r="AJ14" s="88">
        <v>1575</v>
      </c>
      <c r="AK14" s="15" t="s">
        <v>248</v>
      </c>
      <c r="AL14" s="15" t="s">
        <v>336</v>
      </c>
      <c r="AM14" s="15" t="s">
        <v>1366</v>
      </c>
      <c r="AN14" s="15" t="s">
        <v>336</v>
      </c>
      <c r="AO14" s="15" t="s">
        <v>1367</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IF(LEN(_xludf.concat(BQ14:BS14))&gt;0,_xludf.concat("|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74.599999999999994" x14ac:dyDescent="0.4">
      <c r="A15" s="14" t="s">
        <v>1322</v>
      </c>
      <c r="B15" s="24" t="s">
        <v>651</v>
      </c>
      <c r="D15" s="15">
        <v>50.270467699999998</v>
      </c>
      <c r="E15" s="49">
        <v>22.408031600000001</v>
      </c>
      <c r="F15" s="85" t="s">
        <v>1828</v>
      </c>
      <c r="G15" s="53" t="s">
        <v>1053</v>
      </c>
      <c r="H15" s="15" t="s">
        <v>1720</v>
      </c>
      <c r="I15" s="25" t="b">
        <v>1</v>
      </c>
      <c r="J15" s="15" t="b">
        <v>1</v>
      </c>
      <c r="L15" s="24" t="s">
        <v>1054</v>
      </c>
      <c r="M15" s="55" t="s">
        <v>1740</v>
      </c>
      <c r="N15" s="15" t="s">
        <v>423</v>
      </c>
      <c r="O15" s="15" t="s">
        <v>336</v>
      </c>
      <c r="Y15" s="24" t="s">
        <v>1426</v>
      </c>
      <c r="Z15" s="24" t="s">
        <v>1419</v>
      </c>
      <c r="AA15" s="24"/>
      <c r="AB15" s="24"/>
      <c r="AC15" s="24"/>
      <c r="AD15" s="24"/>
      <c r="AE15" s="24"/>
      <c r="AF15" s="24"/>
      <c r="AG15" s="24"/>
      <c r="AH15" s="24"/>
      <c r="AI15" s="87" t="s">
        <v>1052</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john-paul-ii</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 john-paul-ii_x000D_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IF(LEN(_xludf.concat(BQ15:BS15))&gt;0,_xludf.concat("|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35"/>
        <v xml:space="preserve">| [Religious Communities](/tags/communities), [Pope St. John Paul II](/tags/john-paul-ii)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74.599999999999994" x14ac:dyDescent="0.4">
      <c r="A16" s="14" t="s">
        <v>1322</v>
      </c>
      <c r="B16" s="24" t="s">
        <v>500</v>
      </c>
      <c r="D16" s="15">
        <v>-34.564198513371799</v>
      </c>
      <c r="E16" s="49">
        <v>-59.121408231421597</v>
      </c>
      <c r="F16" s="32" t="s">
        <v>1406</v>
      </c>
      <c r="G16" s="57" t="s">
        <v>1406</v>
      </c>
      <c r="H16" s="34" t="s">
        <v>1720</v>
      </c>
      <c r="I16" s="25" t="b">
        <v>1</v>
      </c>
      <c r="J16" s="15" t="b">
        <v>1</v>
      </c>
      <c r="L16" s="47" t="s">
        <v>1819</v>
      </c>
      <c r="N16" s="15" t="s">
        <v>1407</v>
      </c>
      <c r="O16" s="15" t="s">
        <v>336</v>
      </c>
      <c r="Y16" s="15" t="s">
        <v>336</v>
      </c>
      <c r="AI16" s="87" t="s">
        <v>1253</v>
      </c>
      <c r="AJ16" s="88" t="s">
        <v>1125</v>
      </c>
      <c r="AK16" s="15" t="s">
        <v>256</v>
      </c>
      <c r="AL16" s="15" t="s">
        <v>336</v>
      </c>
      <c r="AM16" s="15" t="s">
        <v>1408</v>
      </c>
      <c r="AN16" s="34" t="s">
        <v>1409</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IF(LEN(_xludf.concat(BQ16:BS16))&gt;0,_xludf.concat("|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7.299999999999997" x14ac:dyDescent="0.4">
      <c r="A17" s="14" t="s">
        <v>1051</v>
      </c>
      <c r="B17" s="24" t="s">
        <v>649</v>
      </c>
      <c r="D17" s="15">
        <v>13.882181522598099</v>
      </c>
      <c r="E17" s="49">
        <v>120.92027885535801</v>
      </c>
      <c r="F17" s="24" t="s">
        <v>1374</v>
      </c>
      <c r="G17" s="53" t="s">
        <v>1375</v>
      </c>
      <c r="H17" s="15" t="s">
        <v>1720</v>
      </c>
      <c r="I17" s="25" t="b">
        <v>1</v>
      </c>
      <c r="J17" s="15" t="b">
        <v>1</v>
      </c>
      <c r="L17" s="24" t="s">
        <v>1335</v>
      </c>
      <c r="M17" s="55" t="s">
        <v>1741</v>
      </c>
      <c r="N17" s="15" t="s">
        <v>1377</v>
      </c>
      <c r="O17" s="15" t="s">
        <v>336</v>
      </c>
      <c r="Y17" s="15" t="s">
        <v>336</v>
      </c>
      <c r="AI17" s="87" t="s">
        <v>1255</v>
      </c>
      <c r="AJ17" s="88">
        <v>1603</v>
      </c>
      <c r="AK17" s="15" t="s">
        <v>258</v>
      </c>
      <c r="AL17" s="15" t="s">
        <v>336</v>
      </c>
      <c r="AM17" s="15" t="s">
        <v>1376</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IF(LEN(_xludf.concat(BQ17:BS17))&gt;0,_xludf.concat("|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7" x14ac:dyDescent="0.4">
      <c r="A18" s="14" t="s">
        <v>1322</v>
      </c>
      <c r="B18" s="24" t="s">
        <v>661</v>
      </c>
      <c r="D18" s="15">
        <v>45.592976471079801</v>
      </c>
      <c r="E18" s="49">
        <v>19.1905119128275</v>
      </c>
      <c r="F18" s="41" t="s">
        <v>1389</v>
      </c>
      <c r="G18" s="56" t="s">
        <v>1390</v>
      </c>
      <c r="H18" s="42" t="s">
        <v>1720</v>
      </c>
      <c r="I18" s="25" t="b">
        <v>1</v>
      </c>
      <c r="J18" s="15" t="b">
        <v>1</v>
      </c>
      <c r="L18" s="24" t="s">
        <v>1391</v>
      </c>
      <c r="M18" s="55" t="s">
        <v>1742</v>
      </c>
      <c r="N18" s="15" t="s">
        <v>1392</v>
      </c>
      <c r="O18" s="116" t="s">
        <v>336</v>
      </c>
      <c r="P18" s="84" t="s">
        <v>1822</v>
      </c>
      <c r="Q18" s="34" t="s">
        <v>1821</v>
      </c>
      <c r="R18" s="117" t="s">
        <v>336</v>
      </c>
      <c r="S18" s="61"/>
      <c r="T18" s="34"/>
      <c r="U18" s="65"/>
      <c r="V18" s="34"/>
      <c r="W18" s="34"/>
      <c r="X18" s="100"/>
      <c r="Y18" s="15" t="s">
        <v>336</v>
      </c>
      <c r="AI18" s="87" t="s">
        <v>1256</v>
      </c>
      <c r="AJ18" s="88">
        <v>1603</v>
      </c>
      <c r="AK18" s="15" t="s">
        <v>259</v>
      </c>
      <c r="AL18" s="15" t="s">
        <v>336</v>
      </c>
      <c r="AM18" s="15" t="s">
        <v>1361</v>
      </c>
      <c r="AN18" s="42" t="s">
        <v>1388</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IF(LEN(_xludf.concat(BQ18:BS18))&gt;0,_xludf.concat("|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2.15" x14ac:dyDescent="0.4">
      <c r="A19" s="14" t="s">
        <v>1322</v>
      </c>
      <c r="B19" s="24" t="s">
        <v>607</v>
      </c>
      <c r="D19" s="15">
        <v>55.530612599999998</v>
      </c>
      <c r="E19" s="49">
        <v>23.219925199999999</v>
      </c>
      <c r="F19" s="24" t="s">
        <v>1031</v>
      </c>
      <c r="G19" s="53" t="s">
        <v>1007</v>
      </c>
      <c r="H19" s="15" t="s">
        <v>1720</v>
      </c>
      <c r="I19" s="25" t="b">
        <v>1</v>
      </c>
      <c r="J19" s="15" t="b">
        <v>1</v>
      </c>
      <c r="L19" s="24" t="s">
        <v>462</v>
      </c>
      <c r="M19" s="55" t="s">
        <v>1743</v>
      </c>
      <c r="N19" s="15" t="s">
        <v>1008</v>
      </c>
      <c r="O19" s="15" t="s">
        <v>336</v>
      </c>
      <c r="Y19" s="16" t="s">
        <v>336</v>
      </c>
      <c r="Z19" s="16"/>
      <c r="AA19" s="16"/>
      <c r="AB19" s="16"/>
      <c r="AC19" s="16"/>
      <c r="AD19" s="16"/>
      <c r="AE19" s="16"/>
      <c r="AF19" s="16"/>
      <c r="AG19" s="16"/>
      <c r="AH19" s="16"/>
      <c r="AI19" s="87" t="s">
        <v>1006</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IF(LEN(_xludf.concat(BQ19:BS19))&gt;0,_xludf.concat("|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2.15" x14ac:dyDescent="0.4">
      <c r="A20" s="14" t="s">
        <v>1322</v>
      </c>
      <c r="B20" s="24" t="s">
        <v>649</v>
      </c>
      <c r="D20" s="15">
        <v>16.0440593284094</v>
      </c>
      <c r="E20" s="49">
        <v>120.488325579597</v>
      </c>
      <c r="F20" s="24" t="s">
        <v>1378</v>
      </c>
      <c r="G20" s="53" t="s">
        <v>1380</v>
      </c>
      <c r="H20" s="15" t="s">
        <v>1720</v>
      </c>
      <c r="I20" s="25" t="b">
        <v>1</v>
      </c>
      <c r="J20" s="15" t="b">
        <v>1</v>
      </c>
      <c r="L20" s="24" t="s">
        <v>1379</v>
      </c>
      <c r="N20" s="15" t="s">
        <v>1381</v>
      </c>
      <c r="O20" s="15" t="s">
        <v>336</v>
      </c>
      <c r="Y20" s="15" t="s">
        <v>336</v>
      </c>
      <c r="AI20" s="87" t="s">
        <v>1258</v>
      </c>
      <c r="AJ20" s="88">
        <v>1610</v>
      </c>
      <c r="AK20" s="15" t="s">
        <v>262</v>
      </c>
      <c r="AL20" s="15" t="s">
        <v>336</v>
      </c>
      <c r="AM20" s="15" t="s">
        <v>1382</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IF(LEN(_xludf.concat(BQ20:BS20))&gt;0,_xludf.concat("|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4">
      <c r="A21" s="14" t="s">
        <v>1051</v>
      </c>
      <c r="B21" s="24" t="s">
        <v>536</v>
      </c>
      <c r="D21" s="15">
        <v>20.050796521215599</v>
      </c>
      <c r="E21" s="49">
        <v>-75.948970548482805</v>
      </c>
      <c r="F21" s="24" t="s">
        <v>1318</v>
      </c>
      <c r="G21" s="53" t="s">
        <v>1319</v>
      </c>
      <c r="H21" s="15" t="s">
        <v>1720</v>
      </c>
      <c r="I21" s="25" t="b">
        <v>1</v>
      </c>
      <c r="J21" s="15" t="b">
        <v>1</v>
      </c>
      <c r="L21" s="24" t="s">
        <v>1335</v>
      </c>
      <c r="N21" s="15" t="s">
        <v>336</v>
      </c>
      <c r="O21" s="15" t="s">
        <v>336</v>
      </c>
      <c r="Y21" s="15" t="s">
        <v>336</v>
      </c>
      <c r="AI21" s="87" t="s">
        <v>1316</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IF(LEN(_xludf.concat(BQ21:BS21))&gt;0,_xludf.concat("|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4.599999999999994" x14ac:dyDescent="0.4">
      <c r="A22" s="14" t="s">
        <v>1322</v>
      </c>
      <c r="B22" s="24" t="s">
        <v>557</v>
      </c>
      <c r="D22" s="15">
        <v>44.521201599999998</v>
      </c>
      <c r="E22" s="49">
        <v>6.1521160000000004</v>
      </c>
      <c r="F22" s="24" t="s">
        <v>1010</v>
      </c>
      <c r="G22" s="53" t="s">
        <v>1010</v>
      </c>
      <c r="H22" s="15" t="s">
        <v>1720</v>
      </c>
      <c r="I22" s="25" t="b">
        <v>1</v>
      </c>
      <c r="J22" s="15" t="b">
        <v>1</v>
      </c>
      <c r="K22" s="15" t="b">
        <v>1</v>
      </c>
      <c r="L22" s="24" t="s">
        <v>468</v>
      </c>
      <c r="M22" s="55" t="s">
        <v>1744</v>
      </c>
      <c r="N22" s="15" t="s">
        <v>419</v>
      </c>
      <c r="O22" s="15" t="s">
        <v>336</v>
      </c>
      <c r="Y22" s="36" t="s">
        <v>487</v>
      </c>
      <c r="Z22" s="36"/>
      <c r="AA22" s="36"/>
      <c r="AB22" s="36"/>
      <c r="AC22" s="36"/>
      <c r="AD22" s="36"/>
      <c r="AE22" s="36"/>
      <c r="AF22" s="36"/>
      <c r="AG22" s="36"/>
      <c r="AH22" s="36"/>
      <c r="AI22" s="87" t="s">
        <v>1009</v>
      </c>
      <c r="AJ22" s="88" t="s">
        <v>1012</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IF(LEN(_xludf.concat(BQ22:BS22))&gt;0,_xludf.concat("|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198.9" x14ac:dyDescent="0.4">
      <c r="A23" s="14" t="s">
        <v>1322</v>
      </c>
      <c r="B23" s="24" t="s">
        <v>534</v>
      </c>
      <c r="D23" s="15">
        <v>0.80532486588234498</v>
      </c>
      <c r="E23" s="49">
        <v>-77.585922676282493</v>
      </c>
      <c r="F23" s="24" t="s">
        <v>1332</v>
      </c>
      <c r="G23" s="53" t="s">
        <v>1333</v>
      </c>
      <c r="H23" s="15" t="s">
        <v>1720</v>
      </c>
      <c r="I23" s="25" t="b">
        <v>1</v>
      </c>
      <c r="J23" s="15" t="b">
        <v>1</v>
      </c>
      <c r="L23" s="24" t="s">
        <v>1344</v>
      </c>
      <c r="M23" s="58" t="s">
        <v>1753</v>
      </c>
      <c r="N23" s="15" t="s">
        <v>1334</v>
      </c>
      <c r="O23" s="15" t="s">
        <v>336</v>
      </c>
      <c r="Y23" s="15" t="s">
        <v>336</v>
      </c>
      <c r="AI23" s="87" t="s">
        <v>1275</v>
      </c>
      <c r="AJ23" s="88">
        <v>1754</v>
      </c>
      <c r="AK23" s="15" t="s">
        <v>282</v>
      </c>
      <c r="AL23" s="15" t="s">
        <v>336</v>
      </c>
      <c r="AM23" s="15" t="s">
        <v>1331</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IF(LEN(_xludf.concat(BQ23:BS23))&gt;0,_xludf.concat("|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99.45" x14ac:dyDescent="0.4">
      <c r="A24" s="14" t="s">
        <v>1322</v>
      </c>
      <c r="B24" s="24" t="s">
        <v>742</v>
      </c>
      <c r="D24" s="15">
        <v>16.705491099922099</v>
      </c>
      <c r="E24" s="49">
        <v>107.19601082359701</v>
      </c>
      <c r="F24" s="24" t="s">
        <v>1371</v>
      </c>
      <c r="G24" s="53" t="s">
        <v>1371</v>
      </c>
      <c r="H24" s="15" t="s">
        <v>1720</v>
      </c>
      <c r="I24" s="25" t="b">
        <v>1</v>
      </c>
      <c r="J24" s="15" t="b">
        <v>1</v>
      </c>
      <c r="L24" s="24" t="s">
        <v>1370</v>
      </c>
      <c r="M24" s="55" t="s">
        <v>1745</v>
      </c>
      <c r="N24" s="15" t="s">
        <v>336</v>
      </c>
      <c r="O24" s="15" t="s">
        <v>336</v>
      </c>
      <c r="Y24" s="15" t="s">
        <v>336</v>
      </c>
      <c r="AI24" s="87" t="s">
        <v>1277</v>
      </c>
      <c r="AJ24" s="88">
        <v>1798</v>
      </c>
      <c r="AK24" s="15" t="s">
        <v>284</v>
      </c>
      <c r="AL24" s="15" t="s">
        <v>336</v>
      </c>
      <c r="AM24" s="15" t="s">
        <v>1369</v>
      </c>
      <c r="AN24" s="15" t="s">
        <v>336</v>
      </c>
      <c r="AO24" s="15" t="s">
        <v>1372</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IF(LEN(_xludf.concat(BQ24:BS24))&gt;0,_xludf.concat("|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2.15" x14ac:dyDescent="0.4">
      <c r="A25" s="14" t="s">
        <v>1322</v>
      </c>
      <c r="B25" s="24" t="s">
        <v>651</v>
      </c>
      <c r="D25" s="15">
        <v>52.323705849375003</v>
      </c>
      <c r="E25" s="49">
        <v>18.358432557028099</v>
      </c>
      <c r="F25" s="24" t="s">
        <v>1023</v>
      </c>
      <c r="G25" s="53" t="s">
        <v>1024</v>
      </c>
      <c r="H25" s="15" t="s">
        <v>1720</v>
      </c>
      <c r="I25" s="25" t="b">
        <v>1</v>
      </c>
      <c r="J25" s="15" t="b">
        <v>1</v>
      </c>
      <c r="L25" s="24" t="s">
        <v>479</v>
      </c>
      <c r="N25" s="15" t="s">
        <v>377</v>
      </c>
      <c r="O25" s="15" t="s">
        <v>336</v>
      </c>
      <c r="Y25" s="16" t="s">
        <v>336</v>
      </c>
      <c r="Z25" s="16"/>
      <c r="AA25" s="16"/>
      <c r="AB25" s="16"/>
      <c r="AC25" s="16"/>
      <c r="AD25" s="16"/>
      <c r="AE25" s="16"/>
      <c r="AF25" s="16"/>
      <c r="AG25" s="16"/>
      <c r="AH25" s="16"/>
      <c r="AI25" s="87" t="s">
        <v>1021</v>
      </c>
      <c r="AJ25" s="88" t="s">
        <v>1022</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IF(LEN(_xludf.concat(BQ25:BS25))&gt;0,_xludf.concat("|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198.9" x14ac:dyDescent="0.4">
      <c r="A26" s="14" t="s">
        <v>1322</v>
      </c>
      <c r="B26" s="27" t="s">
        <v>557</v>
      </c>
      <c r="C26" s="35" t="s">
        <v>1025</v>
      </c>
      <c r="D26" s="15">
        <v>48.850785899999998</v>
      </c>
      <c r="E26" s="49">
        <v>2.3229912000000001</v>
      </c>
      <c r="F26" s="24" t="s">
        <v>459</v>
      </c>
      <c r="G26" s="53" t="s">
        <v>459</v>
      </c>
      <c r="H26" s="15" t="s">
        <v>1720</v>
      </c>
      <c r="I26" s="25" t="b">
        <v>1</v>
      </c>
      <c r="J26" s="15" t="b">
        <v>1</v>
      </c>
      <c r="K26" s="15" t="b">
        <v>1</v>
      </c>
      <c r="L26" s="45" t="s">
        <v>1724</v>
      </c>
      <c r="M26" s="58" t="s">
        <v>1754</v>
      </c>
      <c r="N26" s="15" t="s">
        <v>416</v>
      </c>
      <c r="O26" s="15" t="s">
        <v>336</v>
      </c>
      <c r="Y26" s="36" t="s">
        <v>488</v>
      </c>
      <c r="Z26" s="37" t="s">
        <v>1707</v>
      </c>
      <c r="AA26" s="46" t="s">
        <v>1725</v>
      </c>
      <c r="AB26" s="46"/>
      <c r="AC26" s="46"/>
      <c r="AD26" s="46"/>
      <c r="AE26" s="46"/>
      <c r="AF26" s="46"/>
      <c r="AG26" s="46"/>
      <c r="AH26" s="46"/>
      <c r="AI26" s="87" t="s">
        <v>1025</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IF(LEN(_xludf.concat(BQ26:BS26))&gt;0,_xludf.concat("|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v>
      </c>
      <c r="CB26" s="38" t="str">
        <f>IF(LEN(AA26)&gt;1,VLOOKUP(AA26,'Tag List'!$A:$B,2,),"")</f>
        <v>St. Louise de Marillac</v>
      </c>
      <c r="CC26" s="30" t="str">
        <f>IF(LEN(Y26)&gt;1,GetTagPage(BZ26,Y26),"")</f>
        <v>[St. Catherine Laboure](/tags/catherine-laboure)</v>
      </c>
      <c r="CD26" s="30" t="str">
        <f>IF(LEN(Z26)&gt;1,GetTagPage(CA26,Z26),"")</f>
        <v>[St. Vincent de Paul](/tags/vincent-de-paul)</v>
      </c>
      <c r="CE26" s="30" t="str">
        <f>IF(LEN(AA26)&gt;1,GetTagPage(CB26,AA26),"")</f>
        <v>[St. Louise de Marillac](/tags/louise-de-marillac)</v>
      </c>
      <c r="CF26" s="30" t="str">
        <f t="shared" si="35"/>
        <v xml:space="preserve">| [St. Catherine Laboure](/tags/catherine-laboure), [St. Vincent de Paul](/tags/vincent-de-paul), [St. Louise de Marillac](/tags/louise-de-marillac)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27" spans="1:89" ht="74.599999999999994" x14ac:dyDescent="0.4">
      <c r="A27" s="14" t="s">
        <v>1322</v>
      </c>
      <c r="B27" s="24" t="s">
        <v>11</v>
      </c>
      <c r="C27" s="35" t="s">
        <v>1004</v>
      </c>
      <c r="D27" s="15">
        <v>41.903563699999999</v>
      </c>
      <c r="E27" s="49">
        <v>12.483673899999999</v>
      </c>
      <c r="F27" s="24" t="s">
        <v>1028</v>
      </c>
      <c r="G27" s="53" t="s">
        <v>1029</v>
      </c>
      <c r="H27" s="15" t="s">
        <v>1720</v>
      </c>
      <c r="I27" s="25" t="b">
        <v>1</v>
      </c>
      <c r="J27" s="15" t="b">
        <v>1</v>
      </c>
      <c r="L27" s="45" t="s">
        <v>1755</v>
      </c>
      <c r="N27" s="15" t="s">
        <v>414</v>
      </c>
      <c r="O27" s="15" t="s">
        <v>336</v>
      </c>
      <c r="Y27" s="36" t="s">
        <v>489</v>
      </c>
      <c r="Z27" s="37"/>
      <c r="AA27" s="36"/>
      <c r="AB27" s="36"/>
      <c r="AC27" s="36"/>
      <c r="AD27" s="36"/>
      <c r="AE27" s="36"/>
      <c r="AF27" s="36"/>
      <c r="AG27" s="36"/>
      <c r="AH27" s="36"/>
      <c r="AI27" s="87" t="s">
        <v>1004</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IF(LEN(_xludf.concat(BQ27:BS27))&gt;0,_xludf.concat("|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v>
      </c>
      <c r="CA27" s="38" t="str">
        <f>IF(LEN(Z27)&gt;1,VLOOKUP(Z27,'Tag List'!$A:$B,2,),"")</f>
        <v/>
      </c>
      <c r="CB27" s="38" t="str">
        <f>IF(LEN(AA27)&gt;1,VLOOKUP(AA27,'Tag List'!$A:$B,2,),"")</f>
        <v/>
      </c>
      <c r="CC27" s="30" t="str">
        <f>IF(LEN(Y27)&gt;1,GetTagPage(BZ27,Y27),"")</f>
        <v>[Fr. Marie-Alphonse Ratisbonne](/tags/marie-alphonse-ratisbonne)</v>
      </c>
      <c r="CD27" s="30" t="str">
        <f>IF(LEN(Z27)&gt;1,GetTagPage(CA27,Z27),"")</f>
        <v/>
      </c>
      <c r="CE27" s="30" t="str">
        <f>IF(LEN(AA27)&gt;1,GetTagPage(CB27,AA27),"")</f>
        <v/>
      </c>
      <c r="CF27" s="30" t="str">
        <f t="shared" si="35"/>
        <v xml:space="preserve">| [Fr. Marie-Alphonse Ratisbonne](/tags/marie-alphonse-ratisbonne)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28" spans="1:89" ht="37.299999999999997" x14ac:dyDescent="0.4">
      <c r="A28" s="14" t="s">
        <v>1322</v>
      </c>
      <c r="B28" s="24" t="s">
        <v>557</v>
      </c>
      <c r="D28" s="15">
        <v>44.8586296</v>
      </c>
      <c r="E28" s="49">
        <v>5.9788043999999996</v>
      </c>
      <c r="F28" s="24" t="s">
        <v>1027</v>
      </c>
      <c r="G28" s="53" t="s">
        <v>1027</v>
      </c>
      <c r="H28" s="15" t="s">
        <v>1720</v>
      </c>
      <c r="I28" s="25" t="b">
        <v>1</v>
      </c>
      <c r="J28" s="15" t="b">
        <v>1</v>
      </c>
      <c r="L28" s="24" t="s">
        <v>475</v>
      </c>
      <c r="N28" s="15" t="s">
        <v>412</v>
      </c>
      <c r="O28" s="15" t="s">
        <v>336</v>
      </c>
      <c r="Y28" s="16" t="s">
        <v>336</v>
      </c>
      <c r="Z28" s="16"/>
      <c r="AA28" s="16"/>
      <c r="AB28" s="16"/>
      <c r="AC28" s="16"/>
      <c r="AD28" s="16"/>
      <c r="AE28" s="16"/>
      <c r="AF28" s="16"/>
      <c r="AG28" s="16"/>
      <c r="AH28" s="16"/>
      <c r="AI28" s="87" t="s">
        <v>1026</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IF(LEN(_xludf.concat(BQ28:BS28))&gt;0,_xludf.concat("|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37.299999999999997" x14ac:dyDescent="0.4">
      <c r="A29" s="14" t="s">
        <v>1322</v>
      </c>
      <c r="B29" s="24" t="s">
        <v>557</v>
      </c>
      <c r="D29" s="15">
        <v>43.0974206</v>
      </c>
      <c r="E29" s="49">
        <v>-5.8261100000000003E-2</v>
      </c>
      <c r="F29" s="24" t="s">
        <v>1011</v>
      </c>
      <c r="G29" s="53" t="s">
        <v>1011</v>
      </c>
      <c r="H29" s="15" t="s">
        <v>1720</v>
      </c>
      <c r="I29" s="15" t="b">
        <v>1</v>
      </c>
      <c r="J29" s="15" t="b">
        <v>1</v>
      </c>
      <c r="K29" s="15" t="b">
        <v>1</v>
      </c>
      <c r="L29" s="24" t="s">
        <v>465</v>
      </c>
      <c r="N29" s="15" t="s">
        <v>428</v>
      </c>
      <c r="O29" s="15" t="s">
        <v>336</v>
      </c>
      <c r="Y29" s="36" t="s">
        <v>490</v>
      </c>
      <c r="Z29" s="36"/>
      <c r="AA29" s="36"/>
      <c r="AB29" s="36"/>
      <c r="AC29" s="36"/>
      <c r="AD29" s="36"/>
      <c r="AE29" s="36"/>
      <c r="AF29" s="36"/>
      <c r="AG29" s="36"/>
      <c r="AH29" s="36"/>
      <c r="AI29" s="87" t="s">
        <v>999</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IF(LEN(_xludf.concat(BQ29:BS29))&gt;0,_xludf.concat("|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99.45" x14ac:dyDescent="0.4">
      <c r="A30" s="14" t="s">
        <v>1322</v>
      </c>
      <c r="B30" s="24" t="s">
        <v>541</v>
      </c>
      <c r="D30" s="15">
        <v>50.980685700000002</v>
      </c>
      <c r="E30" s="49">
        <v>14.597349899999999</v>
      </c>
      <c r="F30" s="24" t="s">
        <v>368</v>
      </c>
      <c r="G30" s="53" t="s">
        <v>368</v>
      </c>
      <c r="H30" s="15" t="s">
        <v>1720</v>
      </c>
      <c r="I30" s="25" t="b">
        <v>1</v>
      </c>
      <c r="J30" s="15" t="b">
        <v>1</v>
      </c>
      <c r="L30" s="24" t="s">
        <v>365</v>
      </c>
      <c r="M30" s="55" t="s">
        <v>1746</v>
      </c>
      <c r="N30" s="15" t="s">
        <v>367</v>
      </c>
      <c r="O30" s="48"/>
      <c r="P30" s="84" t="s">
        <v>1827</v>
      </c>
      <c r="Q30" s="15" t="s">
        <v>1823</v>
      </c>
      <c r="Y30" s="16" t="s">
        <v>336</v>
      </c>
      <c r="Z30" s="16"/>
      <c r="AA30" s="16"/>
      <c r="AB30" s="16"/>
      <c r="AC30" s="16"/>
      <c r="AD30" s="16"/>
      <c r="AE30" s="16"/>
      <c r="AF30" s="16"/>
      <c r="AG30" s="16"/>
      <c r="AH30" s="16"/>
      <c r="AI30" s="87" t="s">
        <v>997</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IF(LEN(_xludf.concat(BQ30:BS30))&gt;0,_xludf.concat("|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49.75" x14ac:dyDescent="0.4">
      <c r="A31" s="14" t="s">
        <v>1322</v>
      </c>
      <c r="B31" s="24" t="s">
        <v>557</v>
      </c>
      <c r="D31" s="15">
        <v>48.439602100000002</v>
      </c>
      <c r="E31" s="49">
        <v>-1.0592325</v>
      </c>
      <c r="F31" s="24" t="s">
        <v>478</v>
      </c>
      <c r="G31" s="53" t="s">
        <v>992</v>
      </c>
      <c r="H31" s="15" t="s">
        <v>1720</v>
      </c>
      <c r="I31" s="25" t="b">
        <v>1</v>
      </c>
      <c r="J31" s="15" t="b">
        <v>1</v>
      </c>
      <c r="L31" s="24" t="s">
        <v>361</v>
      </c>
      <c r="N31" s="15" t="s">
        <v>364</v>
      </c>
      <c r="O31" s="15" t="s">
        <v>336</v>
      </c>
      <c r="Y31" s="16" t="s">
        <v>336</v>
      </c>
      <c r="Z31" s="16"/>
      <c r="AA31" s="16"/>
      <c r="AB31" s="16"/>
      <c r="AC31" s="16"/>
      <c r="AD31" s="16"/>
      <c r="AE31" s="16"/>
      <c r="AF31" s="16"/>
      <c r="AG31" s="16"/>
      <c r="AH31" s="16"/>
      <c r="AI31" s="87" t="s">
        <v>998</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IF(LEN(_xludf.concat(BQ31:BS31))&gt;0,_xludf.concat("|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4">
      <c r="A32" s="14" t="s">
        <v>1051</v>
      </c>
      <c r="B32" s="24" t="s">
        <v>557</v>
      </c>
      <c r="D32" s="15">
        <v>46.982858987663199</v>
      </c>
      <c r="E32" s="49">
        <v>1.4171181142389</v>
      </c>
      <c r="F32" s="27" t="s">
        <v>1703</v>
      </c>
      <c r="G32" s="53" t="s">
        <v>1703</v>
      </c>
      <c r="H32" s="15" t="s">
        <v>1720</v>
      </c>
      <c r="I32" s="25" t="b">
        <v>1</v>
      </c>
      <c r="J32" s="15" t="b">
        <v>1</v>
      </c>
      <c r="L32" s="27" t="s">
        <v>1335</v>
      </c>
      <c r="N32" s="15" t="s">
        <v>1704</v>
      </c>
      <c r="O32" s="15" t="s">
        <v>336</v>
      </c>
      <c r="Y32" s="15" t="s">
        <v>336</v>
      </c>
      <c r="AI32" s="87" t="s">
        <v>1285</v>
      </c>
      <c r="AJ32" s="88">
        <v>1876</v>
      </c>
      <c r="AK32" s="15" t="s">
        <v>299</v>
      </c>
      <c r="AL32" s="15" t="s">
        <v>336</v>
      </c>
      <c r="AM32" s="15" t="s">
        <v>1705</v>
      </c>
      <c r="AN32" s="15" t="s">
        <v>336</v>
      </c>
      <c r="AO32" s="15" t="s">
        <v>1706</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IF(LEN(_xludf.concat(BQ32:BS32))&gt;0,_xludf.concat("|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49.75" x14ac:dyDescent="0.4">
      <c r="A33" s="14" t="s">
        <v>1322</v>
      </c>
      <c r="B33" s="24" t="s">
        <v>651</v>
      </c>
      <c r="D33" s="15">
        <v>53.7480853</v>
      </c>
      <c r="E33" s="49">
        <v>20.235602400000001</v>
      </c>
      <c r="F33" s="24" t="s">
        <v>474</v>
      </c>
      <c r="G33" s="53" t="s">
        <v>474</v>
      </c>
      <c r="H33" s="15" t="s">
        <v>1720</v>
      </c>
      <c r="I33" s="25" t="b">
        <v>1</v>
      </c>
      <c r="J33" s="15" t="b">
        <v>1</v>
      </c>
      <c r="L33" s="24" t="s">
        <v>354</v>
      </c>
      <c r="N33" s="15" t="s">
        <v>357</v>
      </c>
      <c r="O33" s="15" t="s">
        <v>336</v>
      </c>
      <c r="Y33" s="36" t="s">
        <v>336</v>
      </c>
      <c r="Z33" s="36"/>
      <c r="AA33" s="36"/>
      <c r="AB33" s="36"/>
      <c r="AC33" s="36"/>
      <c r="AD33" s="36"/>
      <c r="AE33" s="36"/>
      <c r="AF33" s="36"/>
      <c r="AG33" s="36"/>
      <c r="AH33" s="36"/>
      <c r="AI33" s="87" t="s">
        <v>996</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IF(LEN(_xludf.concat(BQ33:BS33))&gt;0,_xludf.concat("|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87" x14ac:dyDescent="0.4">
      <c r="A34" s="14" t="s">
        <v>1322</v>
      </c>
      <c r="B34" s="24" t="s">
        <v>583</v>
      </c>
      <c r="D34" s="15">
        <v>53.792756199999999</v>
      </c>
      <c r="E34" s="49">
        <v>-8.9189810000000005</v>
      </c>
      <c r="F34" s="24" t="s">
        <v>348</v>
      </c>
      <c r="G34" s="53" t="s">
        <v>404</v>
      </c>
      <c r="H34" s="15" t="s">
        <v>1720</v>
      </c>
      <c r="I34" s="25" t="b">
        <v>1</v>
      </c>
      <c r="J34" s="15" t="b">
        <v>1</v>
      </c>
      <c r="L34" s="24" t="s">
        <v>1002</v>
      </c>
      <c r="M34" s="55" t="s">
        <v>1747</v>
      </c>
      <c r="N34" s="15" t="s">
        <v>349</v>
      </c>
      <c r="O34" s="15" t="s">
        <v>336</v>
      </c>
      <c r="Y34" s="36" t="s">
        <v>336</v>
      </c>
      <c r="Z34" s="36"/>
      <c r="AA34" s="36"/>
      <c r="AB34" s="36"/>
      <c r="AC34" s="36"/>
      <c r="AD34" s="36"/>
      <c r="AE34" s="36"/>
      <c r="AF34" s="36"/>
      <c r="AG34" s="36"/>
      <c r="AH34" s="36"/>
      <c r="AI34" s="87" t="s">
        <v>995</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IF(LEN(_xludf.concat(BQ34:BS34))&gt;0,_xludf.concat("|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2.15" x14ac:dyDescent="0.4">
      <c r="A35" s="14" t="s">
        <v>1322</v>
      </c>
      <c r="B35" s="24" t="s">
        <v>655</v>
      </c>
      <c r="D35" s="15">
        <v>39.631263799999999</v>
      </c>
      <c r="E35" s="49">
        <v>-8.6731570999999992</v>
      </c>
      <c r="F35" s="24" t="s">
        <v>1032</v>
      </c>
      <c r="G35" s="53" t="s">
        <v>727</v>
      </c>
      <c r="H35" s="15" t="s">
        <v>1720</v>
      </c>
      <c r="I35" s="25" t="b">
        <v>1</v>
      </c>
      <c r="J35" s="15" t="b">
        <v>1</v>
      </c>
      <c r="K35" s="15" t="b">
        <v>1</v>
      </c>
      <c r="L35" s="24" t="s">
        <v>471</v>
      </c>
      <c r="N35" s="15" t="s">
        <v>426</v>
      </c>
      <c r="O35" s="15" t="s">
        <v>336</v>
      </c>
      <c r="Y35" s="36" t="s">
        <v>1427</v>
      </c>
      <c r="Z35" s="36" t="s">
        <v>1428</v>
      </c>
      <c r="AA35" s="36"/>
      <c r="AB35" s="36"/>
      <c r="AC35" s="36"/>
      <c r="AD35" s="36"/>
      <c r="AE35" s="36"/>
      <c r="AF35" s="36"/>
      <c r="AG35" s="36"/>
      <c r="AH35" s="36"/>
      <c r="AI35" s="87" t="s">
        <v>726</v>
      </c>
      <c r="AJ35" s="88">
        <v>1916</v>
      </c>
      <c r="AK35" s="15" t="s">
        <v>306</v>
      </c>
      <c r="AL35" s="15" t="s">
        <v>1330</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IF(LEN(_xludf.concat(BQ35:BS35))&gt;0,_xludf.concat("|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4.9" x14ac:dyDescent="0.4">
      <c r="A36" s="14" t="s">
        <v>1051</v>
      </c>
      <c r="B36" s="24" t="s">
        <v>2</v>
      </c>
      <c r="D36" s="15">
        <v>8.352427276057</v>
      </c>
      <c r="E36" s="49">
        <v>77.663576934286198</v>
      </c>
      <c r="F36" s="40" t="s">
        <v>1723</v>
      </c>
      <c r="G36" s="54" t="s">
        <v>1721</v>
      </c>
      <c r="H36" s="15" t="s">
        <v>1720</v>
      </c>
      <c r="I36" s="25" t="b">
        <v>1</v>
      </c>
      <c r="J36" s="15" t="b">
        <v>1</v>
      </c>
      <c r="L36" s="40" t="s">
        <v>1335</v>
      </c>
      <c r="N36" s="15" t="s">
        <v>1722</v>
      </c>
      <c r="O36" s="15" t="s">
        <v>336</v>
      </c>
      <c r="Y36" s="15" t="s">
        <v>336</v>
      </c>
      <c r="AI36" s="87" t="s">
        <v>1297</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IF(LEN(_xludf.concat(BQ36:BS36))&gt;0,_xludf.concat("|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4.9" x14ac:dyDescent="0.4">
      <c r="A37" s="14" t="s">
        <v>1051</v>
      </c>
      <c r="B37" s="24" t="s">
        <v>706</v>
      </c>
      <c r="D37" s="15">
        <v>-27.855349035650701</v>
      </c>
      <c r="E37" s="49">
        <v>31.453787971164701</v>
      </c>
      <c r="F37" s="24" t="s">
        <v>1320</v>
      </c>
      <c r="G37" s="53" t="s">
        <v>1320</v>
      </c>
      <c r="H37" s="15" t="s">
        <v>1720</v>
      </c>
      <c r="I37" s="25" t="b">
        <v>1</v>
      </c>
      <c r="J37" s="15" t="b">
        <v>1</v>
      </c>
      <c r="L37" s="24" t="s">
        <v>1335</v>
      </c>
      <c r="M37" s="55"/>
      <c r="N37" s="15" t="s">
        <v>1336</v>
      </c>
      <c r="O37" s="48" t="s">
        <v>1826</v>
      </c>
      <c r="P37" s="60" t="s">
        <v>1827</v>
      </c>
      <c r="Q37" s="15" t="s">
        <v>1824</v>
      </c>
      <c r="Y37" s="15" t="s">
        <v>1321</v>
      </c>
      <c r="AI37" s="87" t="s">
        <v>1305</v>
      </c>
      <c r="AJ37" s="88" t="s">
        <v>1177</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IF(LEN(_xludf.concat(BQ37:BS37))&gt;0,_xludf.concat("|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4.3" x14ac:dyDescent="0.4">
      <c r="A38" s="14" t="s">
        <v>1322</v>
      </c>
      <c r="B38" s="24" t="s">
        <v>21</v>
      </c>
      <c r="D38" s="15">
        <v>30.104622926940898</v>
      </c>
      <c r="E38" s="49">
        <v>31.315544743810101</v>
      </c>
      <c r="F38" s="24" t="s">
        <v>1015</v>
      </c>
      <c r="G38" s="53" t="s">
        <v>1014</v>
      </c>
      <c r="H38" s="15" t="s">
        <v>1720</v>
      </c>
      <c r="I38" s="25" t="b">
        <v>1</v>
      </c>
      <c r="J38" s="15" t="b">
        <v>1</v>
      </c>
      <c r="L38" s="24" t="s">
        <v>1016</v>
      </c>
      <c r="M38" s="55" t="s">
        <v>1748</v>
      </c>
      <c r="N38" s="15" t="s">
        <v>1019</v>
      </c>
      <c r="O38" s="15" t="s">
        <v>336</v>
      </c>
      <c r="Y38" s="15" t="s">
        <v>1020</v>
      </c>
      <c r="AI38" s="87" t="s">
        <v>1030</v>
      </c>
      <c r="AJ38" s="88" t="s">
        <v>1013</v>
      </c>
      <c r="AK38" s="15" t="s">
        <v>326</v>
      </c>
      <c r="AL38" s="15" t="s">
        <v>336</v>
      </c>
      <c r="AM38" s="15" t="s">
        <v>1017</v>
      </c>
      <c r="AN38" s="15" t="s">
        <v>336</v>
      </c>
      <c r="AO38" s="15" t="s">
        <v>1018</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IF(LEN(_xludf.concat(BQ38:BS38))&gt;0,_xludf.concat("|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37.299999999999997" x14ac:dyDescent="0.4">
      <c r="A39" s="14" t="s">
        <v>1322</v>
      </c>
      <c r="B39" s="24" t="s">
        <v>592</v>
      </c>
      <c r="D39" s="15">
        <v>39.759224404162097</v>
      </c>
      <c r="E39" s="49">
        <v>140.14975314135</v>
      </c>
      <c r="F39" s="24" t="s">
        <v>1357</v>
      </c>
      <c r="G39" s="53" t="s">
        <v>1358</v>
      </c>
      <c r="H39" s="15" t="s">
        <v>1720</v>
      </c>
      <c r="I39" s="25" t="b">
        <v>1</v>
      </c>
      <c r="J39" s="15" t="b">
        <v>1</v>
      </c>
      <c r="L39" s="24" t="s">
        <v>1373</v>
      </c>
      <c r="N39" s="15" t="s">
        <v>1359</v>
      </c>
      <c r="O39" s="15" t="s">
        <v>336</v>
      </c>
      <c r="Y39" s="15" t="s">
        <v>336</v>
      </c>
      <c r="AI39" s="87" t="s">
        <v>1307</v>
      </c>
      <c r="AJ39" s="88">
        <v>1973</v>
      </c>
      <c r="AK39" s="15" t="s">
        <v>327</v>
      </c>
      <c r="AL39" s="15" t="s">
        <v>336</v>
      </c>
      <c r="AM39" s="15" t="s">
        <v>1351</v>
      </c>
      <c r="AN39" s="15" t="s">
        <v>336</v>
      </c>
      <c r="AO39" s="15" t="s">
        <v>1350</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IF(LEN(_xludf.concat(BQ39:BS39))&gt;0,_xludf.concat("|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49.75" x14ac:dyDescent="0.4">
      <c r="A40" s="14" t="s">
        <v>1051</v>
      </c>
      <c r="B40" s="24" t="s">
        <v>638</v>
      </c>
      <c r="D40" s="15">
        <v>12.250924807686999</v>
      </c>
      <c r="E40" s="49">
        <v>-85.378274608161107</v>
      </c>
      <c r="F40" s="24" t="s">
        <v>1348</v>
      </c>
      <c r="G40" s="53" t="s">
        <v>1347</v>
      </c>
      <c r="H40" s="15" t="s">
        <v>1720</v>
      </c>
      <c r="I40" s="25" t="b">
        <v>1</v>
      </c>
      <c r="J40" s="15" t="b">
        <v>1</v>
      </c>
      <c r="L40" s="24" t="s">
        <v>1335</v>
      </c>
      <c r="M40" s="55" t="s">
        <v>1749</v>
      </c>
      <c r="N40" s="15" t="s">
        <v>1349</v>
      </c>
      <c r="O40" s="15" t="s">
        <v>336</v>
      </c>
      <c r="Y40" s="15" t="s">
        <v>336</v>
      </c>
      <c r="AI40" s="87" t="s">
        <v>1308</v>
      </c>
      <c r="AJ40" s="88">
        <v>1980</v>
      </c>
      <c r="AK40" s="15" t="s">
        <v>328</v>
      </c>
      <c r="AL40" s="15" t="s">
        <v>336</v>
      </c>
      <c r="AM40" s="15" t="s">
        <v>1346</v>
      </c>
      <c r="AN40" s="15" t="s">
        <v>336</v>
      </c>
      <c r="AO40" s="15" t="s">
        <v>1345</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IF(LEN(_xludf.concat(BQ40:BS40))&gt;0,_xludf.concat("|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4.599999999999994" x14ac:dyDescent="0.4">
      <c r="A41" s="14" t="s">
        <v>1322</v>
      </c>
      <c r="B41" s="24" t="s">
        <v>482</v>
      </c>
      <c r="D41" s="15">
        <v>-2.6496097000000001</v>
      </c>
      <c r="E41" s="49">
        <v>29.553281200000001</v>
      </c>
      <c r="F41" s="24" t="s">
        <v>481</v>
      </c>
      <c r="G41" s="53" t="s">
        <v>400</v>
      </c>
      <c r="H41" s="15" t="s">
        <v>1720</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IF(LEN(_xludf.concat(BQ41:BS41))&gt;0,_xludf.concat("|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49.75" x14ac:dyDescent="0.4">
      <c r="A42" s="14" t="s">
        <v>1322</v>
      </c>
      <c r="B42" s="24" t="s">
        <v>651</v>
      </c>
      <c r="D42" s="15">
        <v>50.812751619291099</v>
      </c>
      <c r="E42" s="49">
        <v>19.096651748272901</v>
      </c>
      <c r="F42" s="27" t="s">
        <v>1057</v>
      </c>
      <c r="G42" s="53" t="s">
        <v>1058</v>
      </c>
      <c r="H42" s="15" t="s">
        <v>1720</v>
      </c>
      <c r="I42" s="25" t="b">
        <v>1</v>
      </c>
      <c r="J42" s="15" t="b">
        <v>1</v>
      </c>
      <c r="L42" s="27" t="s">
        <v>1062</v>
      </c>
      <c r="N42" s="15" t="s">
        <v>1059</v>
      </c>
      <c r="O42" s="15" t="s">
        <v>336</v>
      </c>
      <c r="Y42" s="24" t="s">
        <v>1426</v>
      </c>
      <c r="Z42" s="24" t="s">
        <v>1419</v>
      </c>
      <c r="AA42" s="24"/>
      <c r="AB42" s="24"/>
      <c r="AC42" s="24"/>
      <c r="AD42" s="24"/>
      <c r="AE42" s="24"/>
      <c r="AF42" s="24"/>
      <c r="AG42" s="24"/>
      <c r="AH42" s="24"/>
      <c r="AI42" s="87" t="s">
        <v>1055</v>
      </c>
      <c r="AJ42" s="88" t="s">
        <v>1056</v>
      </c>
      <c r="AK42" s="15" t="s">
        <v>336</v>
      </c>
      <c r="AL42" s="15" t="s">
        <v>336</v>
      </c>
      <c r="AM42" s="15" t="s">
        <v>1060</v>
      </c>
      <c r="AN42" s="15" t="s">
        <v>336</v>
      </c>
      <c r="AO42" s="15" t="s">
        <v>1061</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john-paul-ii</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 john-paul-ii_x000D_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IF(LEN(_xludf.concat(BQ42:BS42))&gt;0,_xludf.concat("|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58"/>
        <v xml:space="preserve">| [Religious Communities](/tags/communities), [Pope St. John Paul II](/tags/john-paul-ii)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49.75" x14ac:dyDescent="0.4">
      <c r="A43" s="14" t="s">
        <v>1051</v>
      </c>
      <c r="B43" s="45" t="s">
        <v>542</v>
      </c>
      <c r="C43" s="93" t="s">
        <v>1864</v>
      </c>
      <c r="D43" s="15">
        <v>48.369192631907303</v>
      </c>
      <c r="E43" s="49">
        <v>10.8982826487021</v>
      </c>
      <c r="F43" s="45" t="s">
        <v>1731</v>
      </c>
      <c r="G43" s="58" t="s">
        <v>1732</v>
      </c>
      <c r="H43" s="15" t="s">
        <v>1720</v>
      </c>
      <c r="I43" s="25" t="b">
        <v>1</v>
      </c>
      <c r="J43" s="15" t="b">
        <v>1</v>
      </c>
      <c r="L43" s="45" t="s">
        <v>1736</v>
      </c>
      <c r="M43" s="58" t="s">
        <v>1751</v>
      </c>
      <c r="N43" s="15" t="s">
        <v>1735</v>
      </c>
      <c r="O43" s="15" t="s">
        <v>336</v>
      </c>
      <c r="Y43" s="24"/>
      <c r="Z43" s="24"/>
      <c r="AA43" s="24"/>
      <c r="AB43" s="24"/>
      <c r="AC43" s="24"/>
      <c r="AD43" s="24"/>
      <c r="AE43" s="24"/>
      <c r="AF43" s="24"/>
      <c r="AG43" s="24"/>
      <c r="AH43" s="24"/>
      <c r="AI43" s="87" t="s">
        <v>1730</v>
      </c>
      <c r="AJ43" s="90" t="s">
        <v>1411</v>
      </c>
      <c r="AK43" s="15" t="s">
        <v>336</v>
      </c>
      <c r="AL43" s="15" t="s">
        <v>336</v>
      </c>
      <c r="AM43" s="15" t="s">
        <v>1734</v>
      </c>
      <c r="AN43" s="15" t="s">
        <v>336</v>
      </c>
      <c r="AO43" s="15" t="s">
        <v>1733</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IF(LEN(_xludf.concat(BQ43:BS43))&gt;0,_xludf.concat("|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61.6" x14ac:dyDescent="0.4">
      <c r="A44" s="14" t="s">
        <v>1322</v>
      </c>
      <c r="B44" s="24" t="s">
        <v>11</v>
      </c>
      <c r="C44" s="93" t="s">
        <v>1891</v>
      </c>
      <c r="D44" s="15">
        <v>41.457154000000003</v>
      </c>
      <c r="E44" s="49">
        <v>12.668148</v>
      </c>
      <c r="F44" s="85" t="s">
        <v>1893</v>
      </c>
      <c r="G44" s="92" t="s">
        <v>1894</v>
      </c>
      <c r="H44" s="35" t="s">
        <v>1767</v>
      </c>
      <c r="I44" s="25" t="b">
        <v>1</v>
      </c>
      <c r="J44" s="15" t="b">
        <v>1</v>
      </c>
      <c r="K44" s="15" t="b">
        <v>1</v>
      </c>
      <c r="L44" s="45" t="s">
        <v>1756</v>
      </c>
      <c r="M44" s="58" t="s">
        <v>1759</v>
      </c>
      <c r="N44" s="35" t="s">
        <v>1758</v>
      </c>
      <c r="O44" s="48" t="s">
        <v>1826</v>
      </c>
      <c r="P44" s="84" t="s">
        <v>1827</v>
      </c>
      <c r="Q44" s="35" t="s">
        <v>1825</v>
      </c>
      <c r="R44" s="95" t="s">
        <v>336</v>
      </c>
      <c r="S44" s="62"/>
      <c r="T44" s="35"/>
      <c r="U44" s="66"/>
      <c r="V44" s="35"/>
      <c r="W44" s="35"/>
      <c r="X44" s="101"/>
      <c r="Y44" s="35" t="s">
        <v>1760</v>
      </c>
      <c r="Z44" s="35" t="s">
        <v>1764</v>
      </c>
      <c r="AA44" s="35" t="s">
        <v>1763</v>
      </c>
      <c r="AB44" s="35"/>
      <c r="AC44" s="35"/>
      <c r="AD44" s="35"/>
      <c r="AE44" s="35"/>
      <c r="AF44" s="35"/>
      <c r="AG44" s="35"/>
      <c r="AH44" s="35"/>
      <c r="AI44" s="91" t="s">
        <v>1410</v>
      </c>
      <c r="AK44" s="15" t="s">
        <v>336</v>
      </c>
      <c r="AL44" s="15" t="s">
        <v>336</v>
      </c>
      <c r="AM44" s="15" t="s">
        <v>1386</v>
      </c>
      <c r="AN44" s="35" t="s">
        <v>1757</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IF(LEN(_xludf.concat(BQ44:BS44))&gt;0,_xludf.concat("|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99.45" x14ac:dyDescent="0.4">
      <c r="A45" s="14" t="s">
        <v>1322</v>
      </c>
      <c r="B45" s="45" t="s">
        <v>11</v>
      </c>
      <c r="D45" s="15">
        <v>45.6258893442062</v>
      </c>
      <c r="E45" s="49">
        <v>7.9823763846553701</v>
      </c>
      <c r="F45" s="45" t="s">
        <v>1770</v>
      </c>
      <c r="G45" s="58" t="s">
        <v>1769</v>
      </c>
      <c r="H45" s="35" t="s">
        <v>1767</v>
      </c>
      <c r="I45" s="25" t="b">
        <v>1</v>
      </c>
      <c r="J45" s="15" t="b">
        <v>1</v>
      </c>
      <c r="L45" s="45" t="s">
        <v>1774</v>
      </c>
      <c r="N45" s="15" t="s">
        <v>1771</v>
      </c>
      <c r="O45" s="15" t="s">
        <v>336</v>
      </c>
      <c r="Y45" s="15" t="s">
        <v>1772</v>
      </c>
      <c r="AI45" s="91" t="s">
        <v>1769</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IF(LEN(_xludf.concat(BQ45:BS45))&gt;0,_xludf.concat("|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v>
      </c>
      <c r="CA45" s="29" t="str">
        <f>IF(LEN(Z45)&gt;1,VLOOKUP(Z45,'Tag List'!$A:$B,2,),"")</f>
        <v/>
      </c>
      <c r="CB45" s="29" t="str">
        <f>IF(LEN(AA45)&gt;1,VLOOKUP(AA45,'Tag List'!$A:$B,2,),"")</f>
        <v/>
      </c>
      <c r="CC45" s="30" t="str">
        <f>IF(LEN(Y45)&gt;1,GetTagPage(BZ45,Y45),"")</f>
        <v>[Bl. Pier Giorgio Frassati](/tags/pier-giorgio-frassati)</v>
      </c>
      <c r="CD45" s="30" t="str">
        <f>IF(LEN(Z45)&gt;1,GetTagPage(CA45,Z45),"")</f>
        <v/>
      </c>
      <c r="CE45" s="30" t="str">
        <f>IF(LEN(AA45)&gt;1,GetTagPage(CB45,AA45),"")</f>
        <v/>
      </c>
      <c r="CF45" s="30" t="str">
        <f t="shared" si="58"/>
        <v xml:space="preserve">| [Bl. Pier Giorgio Frassati](/tags/pier-giorgio-frassati)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Frassati](/tags/pier-giorgio-frassati) |</v>
      </c>
    </row>
    <row r="46" spans="1:89" ht="49.75" x14ac:dyDescent="0.4">
      <c r="A46" s="14" t="s">
        <v>1322</v>
      </c>
      <c r="B46" s="85" t="s">
        <v>509</v>
      </c>
      <c r="C46" s="93" t="s">
        <v>1832</v>
      </c>
      <c r="D46" s="15">
        <v>50.847874450660399</v>
      </c>
      <c r="E46" s="49">
        <v>4.35897312161425</v>
      </c>
      <c r="F46" s="85" t="s">
        <v>1829</v>
      </c>
      <c r="G46" s="92" t="s">
        <v>1838</v>
      </c>
      <c r="H46" s="93" t="s">
        <v>1767</v>
      </c>
      <c r="I46" s="15" t="b">
        <v>1</v>
      </c>
      <c r="L46" s="85" t="s">
        <v>1839</v>
      </c>
      <c r="M46" s="92" t="s">
        <v>1830</v>
      </c>
      <c r="N46" s="93" t="s">
        <v>1831</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IF(LEN(_xludf.concat(BQ46:BS46))&gt;0,_xludf.concat("|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37.299999999999997" x14ac:dyDescent="0.4">
      <c r="A47" s="14" t="s">
        <v>1322</v>
      </c>
      <c r="B47" s="24" t="s">
        <v>509</v>
      </c>
      <c r="C47" s="15" t="s">
        <v>1832</v>
      </c>
      <c r="D47" s="15">
        <v>50.850689952510798</v>
      </c>
      <c r="E47" s="49">
        <v>4.3480492761285401</v>
      </c>
      <c r="F47" s="85" t="s">
        <v>1833</v>
      </c>
      <c r="G47" s="92" t="s">
        <v>1834</v>
      </c>
      <c r="H47" s="93" t="s">
        <v>1835</v>
      </c>
      <c r="I47" s="15" t="b">
        <v>1</v>
      </c>
      <c r="L47" s="85" t="s">
        <v>1836</v>
      </c>
      <c r="M47" s="92" t="s">
        <v>1837</v>
      </c>
      <c r="N47" s="15" t="s">
        <v>1831</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IF(LEN(_xludf.concat(BQ47:BS47))&gt;0,_xludf.concat("|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7.299999999999997" x14ac:dyDescent="0.4">
      <c r="A48" s="14" t="s">
        <v>1322</v>
      </c>
      <c r="B48" s="85" t="s">
        <v>542</v>
      </c>
      <c r="C48" s="93" t="s">
        <v>1864</v>
      </c>
      <c r="D48" s="15">
        <v>48.373341813628898</v>
      </c>
      <c r="E48" s="49">
        <v>10.8960887661434</v>
      </c>
      <c r="F48" s="24" t="s">
        <v>1840</v>
      </c>
      <c r="G48" s="92" t="s">
        <v>1841</v>
      </c>
      <c r="H48" s="93" t="s">
        <v>1767</v>
      </c>
      <c r="K48" s="15" t="b">
        <v>1</v>
      </c>
      <c r="L48" s="85" t="s">
        <v>1849</v>
      </c>
      <c r="N48" s="15" t="s">
        <v>1842</v>
      </c>
      <c r="O48" s="15" t="s">
        <v>336</v>
      </c>
      <c r="Y48" s="93" t="s">
        <v>1843</v>
      </c>
      <c r="Z48" s="93" t="s">
        <v>1844</v>
      </c>
      <c r="AA48" s="93" t="s">
        <v>1847</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IF(LEN(_xludf.concat(BQ48:BS48))&gt;0,_xludf.concat("|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4.9" x14ac:dyDescent="0.4">
      <c r="A49" s="14" t="s">
        <v>1322</v>
      </c>
      <c r="B49" s="24" t="s">
        <v>542</v>
      </c>
      <c r="C49" s="15" t="s">
        <v>1864</v>
      </c>
      <c r="D49" s="15">
        <v>48.372656224858602</v>
      </c>
      <c r="E49" s="49">
        <v>10.896980204558901</v>
      </c>
      <c r="F49" s="85" t="s">
        <v>1851</v>
      </c>
      <c r="G49" s="92" t="s">
        <v>1838</v>
      </c>
      <c r="H49" s="93" t="s">
        <v>1835</v>
      </c>
      <c r="I49" s="15" t="b">
        <v>1</v>
      </c>
      <c r="K49" s="15" t="b">
        <v>1</v>
      </c>
      <c r="L49" s="85" t="s">
        <v>1850</v>
      </c>
      <c r="N49" s="15" t="s">
        <v>1852</v>
      </c>
      <c r="O49" s="15" t="s">
        <v>336</v>
      </c>
      <c r="Y49" s="15" t="s">
        <v>1853</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IF(LEN(_xludf.concat(BQ49:BS49))&gt;0,_xludf.concat("|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49.75" x14ac:dyDescent="0.4">
      <c r="A50" s="14" t="s">
        <v>1322</v>
      </c>
      <c r="B50" s="24" t="s">
        <v>542</v>
      </c>
      <c r="C50" s="15" t="s">
        <v>1864</v>
      </c>
      <c r="D50" s="15">
        <v>48.372337108375902</v>
      </c>
      <c r="E50" s="49">
        <v>10.8944612321084</v>
      </c>
      <c r="F50" s="24" t="s">
        <v>1855</v>
      </c>
      <c r="G50" s="92" t="s">
        <v>1856</v>
      </c>
      <c r="H50" s="15" t="s">
        <v>1835</v>
      </c>
      <c r="L50" s="24" t="s">
        <v>1857</v>
      </c>
      <c r="M50" s="92" t="s">
        <v>1858</v>
      </c>
      <c r="O50" s="15" t="s">
        <v>336</v>
      </c>
      <c r="Y50" s="93" t="s">
        <v>1865</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IF(LEN(_xludf.concat(BQ50:BS50))&gt;0,_xludf.concat("|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74.599999999999994" x14ac:dyDescent="0.4">
      <c r="A51" s="14" t="s">
        <v>1322</v>
      </c>
      <c r="B51" s="24" t="s">
        <v>542</v>
      </c>
      <c r="C51" s="15" t="s">
        <v>1864</v>
      </c>
      <c r="D51" s="15">
        <v>48.361479239335097</v>
      </c>
      <c r="E51" s="49">
        <v>10.9000712149692</v>
      </c>
      <c r="F51" s="24" t="s">
        <v>1859</v>
      </c>
      <c r="G51" s="92" t="s">
        <v>1860</v>
      </c>
      <c r="H51" s="93" t="s">
        <v>1767</v>
      </c>
      <c r="I51" s="15" t="b">
        <v>1</v>
      </c>
      <c r="K51" s="15" t="b">
        <v>1</v>
      </c>
      <c r="L51" s="85" t="s">
        <v>1861</v>
      </c>
      <c r="M51" s="92" t="s">
        <v>1862</v>
      </c>
      <c r="N51" s="15" t="s">
        <v>1863</v>
      </c>
      <c r="O51" s="15" t="s">
        <v>336</v>
      </c>
      <c r="Y51" s="15" t="s">
        <v>1843</v>
      </c>
      <c r="Z51" s="15" t="s">
        <v>1844</v>
      </c>
      <c r="AA51" s="15" t="s">
        <v>1847</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IF(LEN(_xludf.concat(BQ51:BS51))&gt;0,_xludf.concat("|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49.75" x14ac:dyDescent="0.4">
      <c r="A52" s="14" t="s">
        <v>1322</v>
      </c>
      <c r="B52" s="85" t="s">
        <v>557</v>
      </c>
      <c r="C52" s="93" t="s">
        <v>1025</v>
      </c>
      <c r="D52" s="15">
        <v>48.848857382512399</v>
      </c>
      <c r="E52" s="49">
        <v>2.3216311122635598</v>
      </c>
      <c r="F52" s="24" t="s">
        <v>1867</v>
      </c>
      <c r="G52" s="92" t="s">
        <v>1868</v>
      </c>
      <c r="H52" s="15" t="s">
        <v>1767</v>
      </c>
      <c r="I52" s="15" t="b">
        <v>1</v>
      </c>
      <c r="K52" s="15" t="b">
        <v>1</v>
      </c>
      <c r="L52" s="85" t="s">
        <v>1869</v>
      </c>
      <c r="M52" s="92" t="s">
        <v>1870</v>
      </c>
      <c r="O52" s="15" t="s">
        <v>336</v>
      </c>
      <c r="Y52" s="15" t="s">
        <v>1707</v>
      </c>
      <c r="Z52" s="93" t="s">
        <v>1728</v>
      </c>
      <c r="AA52" s="93" t="s">
        <v>2080</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IF(LEN(_xludf.concat(BQ52:BS52))&gt;0,_xludf.concat("|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v>
      </c>
      <c r="CA52" s="29" t="str">
        <f>IF(LEN(Z52)&gt;1,VLOOKUP(Z52,'Tag List'!$A:$B,2,),"")</f>
        <v>St. Jean-Gabriel Perboyre</v>
      </c>
      <c r="CB52" s="29" t="str">
        <f>IF(LEN(AA52)&gt;1,VLOOKUP(AA52,'Tag List'!$A:$B,2,),"")</f>
        <v>Congregation of the Mission (Vincentians)</v>
      </c>
      <c r="CC52" s="29" t="str">
        <f>IF(LEN(Y52)&gt;1,GetTagPage(BZ52,Y52),"")</f>
        <v>[St. Vincent de Paul](/tags/vincent-de-paul)</v>
      </c>
      <c r="CD52" s="29" t="str">
        <f>IF(LEN(Z52)&gt;1,GetTagPage(CA52,Z52),"")</f>
        <v>[St. Jean-Gabriel Perboyre](/tags/jean-gabriel-perboyre)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Paul](/tags/vincent-de-paul), [St. Jean-Gabriel Perboyre](/tags/jean-gabriel-perboyre),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Paul](/tags/vincent-de-paul), [St. Jean-Gabriel Perboyre](/tags/jean-gabriel-perboyre), [Congregation of the Mission (Vincentians)](/tags/vincentians) |</v>
      </c>
    </row>
    <row r="53" spans="1:89" ht="37.299999999999997" x14ac:dyDescent="0.4">
      <c r="A53" s="14" t="s">
        <v>1322</v>
      </c>
      <c r="B53" s="85" t="s">
        <v>11</v>
      </c>
      <c r="C53" s="93" t="s">
        <v>1877</v>
      </c>
      <c r="D53" s="15">
        <v>43.650784999999999</v>
      </c>
      <c r="E53" s="49">
        <v>13.047758</v>
      </c>
      <c r="F53" s="85" t="s">
        <v>1878</v>
      </c>
      <c r="G53" s="92" t="s">
        <v>1879</v>
      </c>
      <c r="H53" s="93" t="s">
        <v>1835</v>
      </c>
      <c r="I53" s="15" t="b">
        <v>1</v>
      </c>
      <c r="K53" s="15" t="b">
        <v>1</v>
      </c>
      <c r="L53" s="85" t="s">
        <v>1880</v>
      </c>
      <c r="M53" s="92"/>
      <c r="O53" s="15" t="s">
        <v>336</v>
      </c>
      <c r="Y53" s="93" t="s">
        <v>1760</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IF(LEN(_xludf.concat(BQ53:BS53))&gt;0,_xludf.concat("|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4">
      <c r="A54" s="14" t="s">
        <v>1322</v>
      </c>
      <c r="B54" s="24" t="s">
        <v>11</v>
      </c>
      <c r="C54" s="15" t="s">
        <v>1877</v>
      </c>
      <c r="D54" s="15">
        <v>43.659849000000001</v>
      </c>
      <c r="E54" s="49">
        <v>13.051119999999999</v>
      </c>
      <c r="F54" s="24" t="s">
        <v>1881</v>
      </c>
      <c r="G54" s="92" t="s">
        <v>1882</v>
      </c>
      <c r="H54" s="93" t="s">
        <v>1835</v>
      </c>
      <c r="K54" s="15" t="b">
        <v>1</v>
      </c>
      <c r="L54" s="85" t="s">
        <v>1883</v>
      </c>
      <c r="O54" s="15" t="s">
        <v>336</v>
      </c>
      <c r="Y54" s="15" t="s">
        <v>1760</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IF(LEN(_xludf.concat(BQ54:BS54))&gt;0,_xludf.concat("|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24.9" x14ac:dyDescent="0.4">
      <c r="A55" s="14" t="s">
        <v>1322</v>
      </c>
      <c r="B55" s="24" t="s">
        <v>11</v>
      </c>
      <c r="C55" s="15" t="s">
        <v>1877</v>
      </c>
      <c r="D55" s="15">
        <v>43.649306500000002</v>
      </c>
      <c r="E55" s="49">
        <v>13.0472097</v>
      </c>
      <c r="F55" s="85" t="s">
        <v>1886</v>
      </c>
      <c r="G55" s="92" t="s">
        <v>1884</v>
      </c>
      <c r="H55" s="93" t="s">
        <v>1767</v>
      </c>
      <c r="I55" s="15" t="b">
        <v>1</v>
      </c>
      <c r="K55" s="15" t="b">
        <v>1</v>
      </c>
      <c r="L55" s="85" t="s">
        <v>1887</v>
      </c>
      <c r="N55" s="15" t="s">
        <v>1885</v>
      </c>
      <c r="O55" s="15" t="s">
        <v>336</v>
      </c>
      <c r="Y55" s="15" t="s">
        <v>1760</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IF(LEN(_xludf.concat(BQ55:BS55))&gt;0,_xludf.concat("|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7.299999999999997" x14ac:dyDescent="0.4">
      <c r="A56" s="14" t="s">
        <v>1322</v>
      </c>
      <c r="B56" s="85" t="s">
        <v>11</v>
      </c>
      <c r="C56" s="93" t="s">
        <v>1888</v>
      </c>
      <c r="D56" s="15">
        <v>41.516100799999997</v>
      </c>
      <c r="E56" s="49">
        <v>12.7567</v>
      </c>
      <c r="F56" s="85" t="s">
        <v>1889</v>
      </c>
      <c r="G56" s="53" t="s">
        <v>1889</v>
      </c>
      <c r="H56" s="93" t="s">
        <v>1767</v>
      </c>
      <c r="K56" s="15" t="b">
        <v>1</v>
      </c>
      <c r="L56" s="85" t="s">
        <v>1890</v>
      </c>
      <c r="O56" s="15" t="s">
        <v>336</v>
      </c>
      <c r="Y56" s="15" t="s">
        <v>1760</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IF(LEN(_xludf.concat(BQ56:BS56))&gt;0,_xludf.concat("|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4">
      <c r="A57" s="14" t="s">
        <v>1322</v>
      </c>
      <c r="B57" s="85" t="s">
        <v>11</v>
      </c>
      <c r="C57" s="93" t="s">
        <v>1891</v>
      </c>
      <c r="D57" s="15">
        <v>41.457250000000002</v>
      </c>
      <c r="E57" s="49">
        <v>12.655849999999999</v>
      </c>
      <c r="F57" s="85" t="s">
        <v>1892</v>
      </c>
      <c r="G57" s="92" t="s">
        <v>1895</v>
      </c>
      <c r="H57" s="93" t="s">
        <v>1835</v>
      </c>
      <c r="K57" s="15" t="b">
        <v>1</v>
      </c>
      <c r="L57" s="24" t="s">
        <v>1896</v>
      </c>
      <c r="O57" s="15" t="s">
        <v>336</v>
      </c>
      <c r="Y57" s="15" t="s">
        <v>1760</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IF(LEN(_xludf.concat(BQ57:BS57))&gt;0,_xludf.concat("|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49.75" x14ac:dyDescent="0.4">
      <c r="A58" s="14" t="s">
        <v>1322</v>
      </c>
      <c r="B58" s="85" t="s">
        <v>11</v>
      </c>
      <c r="C58" s="93" t="s">
        <v>1891</v>
      </c>
      <c r="D58" s="15">
        <v>41.456946000000002</v>
      </c>
      <c r="E58" s="49">
        <v>12.649850000000001</v>
      </c>
      <c r="F58" s="85" t="s">
        <v>1913</v>
      </c>
      <c r="G58" s="92" t="s">
        <v>1897</v>
      </c>
      <c r="H58" s="15" t="s">
        <v>1835</v>
      </c>
      <c r="K58" s="15" t="b">
        <v>1</v>
      </c>
      <c r="L58" s="85" t="s">
        <v>1898</v>
      </c>
      <c r="O58" s="15" t="s">
        <v>336</v>
      </c>
      <c r="Y58" s="15" t="s">
        <v>1760</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IF(LEN(_xludf.concat(BQ58:BS58))&gt;0,_xludf.concat("|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7.299999999999997" x14ac:dyDescent="0.4">
      <c r="A59" s="14" t="s">
        <v>1322</v>
      </c>
      <c r="B59" s="24" t="s">
        <v>630</v>
      </c>
      <c r="C59" s="15" t="s">
        <v>1768</v>
      </c>
      <c r="D59" s="15">
        <v>19.422522000000001</v>
      </c>
      <c r="E59" s="49">
        <v>-99.160942700000007</v>
      </c>
      <c r="F59" s="24" t="s">
        <v>1900</v>
      </c>
      <c r="G59" s="92" t="s">
        <v>1901</v>
      </c>
      <c r="H59" s="93" t="s">
        <v>1767</v>
      </c>
      <c r="I59" s="15" t="b">
        <v>1</v>
      </c>
      <c r="K59" s="15" t="b">
        <v>1</v>
      </c>
      <c r="L59" s="85" t="s">
        <v>1902</v>
      </c>
      <c r="O59" s="15" t="s">
        <v>336</v>
      </c>
      <c r="Y59" s="93" t="s">
        <v>1903</v>
      </c>
      <c r="Z59" s="93" t="s">
        <v>2082</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IF(LEN(_xludf.concat(BQ59:BS59))&gt;0,_xludf.concat("|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4.599999999999994" x14ac:dyDescent="0.4">
      <c r="A60" s="14" t="s">
        <v>1322</v>
      </c>
      <c r="B60" s="24" t="s">
        <v>630</v>
      </c>
      <c r="C60" s="15" t="s">
        <v>1768</v>
      </c>
      <c r="D60" s="15">
        <v>19.436178000000002</v>
      </c>
      <c r="E60" s="49">
        <v>-99.150290999999996</v>
      </c>
      <c r="F60" s="85" t="s">
        <v>1908</v>
      </c>
      <c r="G60" s="92" t="s">
        <v>1905</v>
      </c>
      <c r="H60" s="93" t="s">
        <v>1767</v>
      </c>
      <c r="K60" s="15" t="b">
        <v>1</v>
      </c>
      <c r="L60" s="85" t="s">
        <v>1906</v>
      </c>
      <c r="M60" s="92" t="s">
        <v>1907</v>
      </c>
      <c r="O60" s="15" t="s">
        <v>336</v>
      </c>
      <c r="Y60" s="15" t="s">
        <v>1903</v>
      </c>
      <c r="Z60" s="15" t="s">
        <v>2082</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IF(LEN(_xludf.concat(BQ60:BS60))&gt;0,_xludf.concat("|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4.599999999999994" x14ac:dyDescent="0.4">
      <c r="A61" s="14" t="s">
        <v>1322</v>
      </c>
      <c r="B61" s="24" t="s">
        <v>630</v>
      </c>
      <c r="C61" s="15" t="s">
        <v>1768</v>
      </c>
      <c r="D61" s="15">
        <v>19.4224</v>
      </c>
      <c r="E61" s="49">
        <v>-99.16095</v>
      </c>
      <c r="F61" s="85" t="s">
        <v>1909</v>
      </c>
      <c r="G61" s="92" t="s">
        <v>1910</v>
      </c>
      <c r="H61" s="15" t="s">
        <v>1767</v>
      </c>
      <c r="K61" s="15" t="b">
        <v>1</v>
      </c>
      <c r="L61" s="85" t="s">
        <v>1911</v>
      </c>
      <c r="M61" s="92" t="s">
        <v>1912</v>
      </c>
      <c r="O61" s="15" t="s">
        <v>336</v>
      </c>
      <c r="Y61" s="15" t="s">
        <v>1903</v>
      </c>
      <c r="Z61" s="15" t="s">
        <v>2082</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IF(LEN(_xludf.concat(BQ61:BS61))&gt;0,_xludf.concat("|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7.299999999999997" x14ac:dyDescent="0.4">
      <c r="A62" s="14" t="s">
        <v>1322</v>
      </c>
      <c r="B62" s="85" t="s">
        <v>572</v>
      </c>
      <c r="C62" s="93" t="s">
        <v>1873</v>
      </c>
      <c r="D62" s="15">
        <v>14.638171</v>
      </c>
      <c r="E62" s="49">
        <v>-91.229102999999995</v>
      </c>
      <c r="F62" s="85" t="s">
        <v>1871</v>
      </c>
      <c r="G62" s="92" t="s">
        <v>1872</v>
      </c>
      <c r="H62" s="93" t="s">
        <v>1767</v>
      </c>
      <c r="I62" s="93" t="b">
        <v>1</v>
      </c>
      <c r="K62" s="15" t="b">
        <v>1</v>
      </c>
      <c r="L62" s="85" t="s">
        <v>1876</v>
      </c>
      <c r="O62" s="15" t="s">
        <v>336</v>
      </c>
      <c r="Y62" s="93" t="s">
        <v>1874</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IF(LEN(_xludf.concat(BQ62:BS62))&gt;0,_xludf.concat("|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49.75" x14ac:dyDescent="0.4">
      <c r="A63" s="14" t="s">
        <v>1322</v>
      </c>
      <c r="B63" s="85" t="s">
        <v>1916</v>
      </c>
      <c r="C63" s="93" t="s">
        <v>2019</v>
      </c>
      <c r="D63" s="15">
        <v>34.324656099999999</v>
      </c>
      <c r="E63" s="49">
        <v>-91.942694700000004</v>
      </c>
      <c r="F63" s="24" t="s">
        <v>1914</v>
      </c>
      <c r="G63" s="92" t="s">
        <v>1915</v>
      </c>
      <c r="H63" s="93" t="s">
        <v>1767</v>
      </c>
      <c r="I63" s="15" t="b">
        <v>1</v>
      </c>
      <c r="K63" s="15" t="b">
        <v>1</v>
      </c>
      <c r="L63" s="85" t="s">
        <v>2020</v>
      </c>
      <c r="N63" s="15" t="s">
        <v>2021</v>
      </c>
      <c r="O63" s="93" t="s">
        <v>2022</v>
      </c>
      <c r="P63" s="108" t="s">
        <v>2171</v>
      </c>
      <c r="Q63" s="15" t="s">
        <v>2023</v>
      </c>
      <c r="R63" s="95" t="s">
        <v>336</v>
      </c>
      <c r="Y63" s="93" t="s">
        <v>2024</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IF(LEN(_xludf.concat(BQ63:BS63))&gt;0,_xludf.concat("|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4.9" x14ac:dyDescent="0.4">
      <c r="A64" s="14" t="s">
        <v>1322</v>
      </c>
      <c r="B64" s="85" t="s">
        <v>1937</v>
      </c>
      <c r="C64" s="93" t="s">
        <v>2026</v>
      </c>
      <c r="D64" s="15">
        <v>39.679924</v>
      </c>
      <c r="E64" s="49">
        <v>-77.356055999999995</v>
      </c>
      <c r="F64" s="24" t="s">
        <v>387</v>
      </c>
      <c r="G64" s="92" t="s">
        <v>2027</v>
      </c>
      <c r="H64" s="93" t="s">
        <v>1835</v>
      </c>
      <c r="I64" s="15" t="b">
        <v>1</v>
      </c>
      <c r="K64" s="15" t="b">
        <v>1</v>
      </c>
      <c r="L64" s="85" t="s">
        <v>2035</v>
      </c>
      <c r="N64" s="15" t="s">
        <v>388</v>
      </c>
      <c r="O64" s="96" t="s">
        <v>336</v>
      </c>
      <c r="Y64" s="93" t="s">
        <v>1874</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IF(LEN(_xludf.concat(BQ64:BS64))&gt;0,_xludf.concat("|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4.9" x14ac:dyDescent="0.4">
      <c r="A65" s="14" t="s">
        <v>1322</v>
      </c>
      <c r="B65" s="85" t="s">
        <v>1953</v>
      </c>
      <c r="C65" s="93" t="s">
        <v>2030</v>
      </c>
      <c r="D65" s="15">
        <v>35.728490299999997</v>
      </c>
      <c r="E65" s="49">
        <v>-97.975802000000002</v>
      </c>
      <c r="F65" s="85" t="s">
        <v>2028</v>
      </c>
      <c r="G65" s="92" t="s">
        <v>2029</v>
      </c>
      <c r="H65" s="93" t="s">
        <v>1835</v>
      </c>
      <c r="I65" s="15" t="b">
        <v>1</v>
      </c>
      <c r="K65" s="15" t="b">
        <v>1</v>
      </c>
      <c r="L65" s="24" t="s">
        <v>397</v>
      </c>
      <c r="N65" s="15" t="s">
        <v>396</v>
      </c>
      <c r="O65" s="15" t="s">
        <v>336</v>
      </c>
      <c r="Y65" s="15" t="s">
        <v>1874</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IF(LEN(_xludf.concat(BQ65:BS65))&gt;0,_xludf.concat("|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7.299999999999997" x14ac:dyDescent="0.4">
      <c r="A66" s="14" t="s">
        <v>1322</v>
      </c>
      <c r="B66" s="24" t="s">
        <v>1953</v>
      </c>
      <c r="C66" s="93" t="s">
        <v>2032</v>
      </c>
      <c r="D66" s="15">
        <v>35.375799999999998</v>
      </c>
      <c r="E66" s="49">
        <v>-97.497500000000002</v>
      </c>
      <c r="F66" s="24" t="s">
        <v>380</v>
      </c>
      <c r="G66" s="92" t="s">
        <v>2031</v>
      </c>
      <c r="H66" s="15" t="s">
        <v>1835</v>
      </c>
      <c r="I66" s="15" t="b">
        <v>1</v>
      </c>
      <c r="K66" s="15" t="b">
        <v>1</v>
      </c>
      <c r="L66" s="24" t="s">
        <v>2033</v>
      </c>
      <c r="N66" s="15" t="s">
        <v>381</v>
      </c>
      <c r="O66" s="15" t="s">
        <v>336</v>
      </c>
      <c r="Y66" s="15" t="s">
        <v>1874</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IF(LEN(_xludf.concat(BQ66:BS66))&gt;0,_xludf.concat("|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4.9" x14ac:dyDescent="0.4">
      <c r="A67" s="14" t="s">
        <v>1322</v>
      </c>
      <c r="B67" s="85" t="s">
        <v>1960</v>
      </c>
      <c r="C67" s="93" t="s">
        <v>2034</v>
      </c>
      <c r="D67" s="15">
        <v>29.454204000000001</v>
      </c>
      <c r="E67" s="49">
        <v>-98.545190000000005</v>
      </c>
      <c r="F67" s="85" t="s">
        <v>391</v>
      </c>
      <c r="G67" s="53" t="s">
        <v>391</v>
      </c>
      <c r="H67" s="15" t="s">
        <v>1835</v>
      </c>
      <c r="I67" s="15" t="b">
        <v>1</v>
      </c>
      <c r="K67" s="15" t="b">
        <v>1</v>
      </c>
      <c r="L67" s="85" t="s">
        <v>393</v>
      </c>
      <c r="N67" s="15" t="s">
        <v>392</v>
      </c>
      <c r="O67" s="15" t="s">
        <v>336</v>
      </c>
      <c r="Y67" s="15" t="s">
        <v>1874</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IF(LEN(_xludf.concat(BQ67:BS67))&gt;0,_xludf.concat("|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24.9" x14ac:dyDescent="0.4">
      <c r="A68" s="14" t="s">
        <v>1322</v>
      </c>
      <c r="B68" s="85" t="s">
        <v>1948</v>
      </c>
      <c r="C68" s="93" t="s">
        <v>2036</v>
      </c>
      <c r="D68" s="15">
        <v>35.6856315</v>
      </c>
      <c r="E68" s="49">
        <v>-105.93765930000001</v>
      </c>
      <c r="F68" s="24" t="s">
        <v>2037</v>
      </c>
      <c r="G68" s="92" t="s">
        <v>2038</v>
      </c>
      <c r="H68" s="93" t="s">
        <v>1767</v>
      </c>
      <c r="I68" s="15" t="b">
        <v>1</v>
      </c>
      <c r="K68" s="15" t="b">
        <v>1</v>
      </c>
      <c r="L68" s="85" t="s">
        <v>2039</v>
      </c>
      <c r="N68" s="15" t="s">
        <v>2040</v>
      </c>
      <c r="O68" s="15" t="s">
        <v>336</v>
      </c>
      <c r="P68" s="108" t="s">
        <v>2169</v>
      </c>
      <c r="Q68" s="15" t="s">
        <v>2041</v>
      </c>
      <c r="R68" s="95" t="s">
        <v>336</v>
      </c>
      <c r="Y68" s="93" t="s">
        <v>2042</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IF(LEN(_xludf.concat(BQ68:BS68))&gt;0,_xludf.concat("|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2.15" x14ac:dyDescent="0.4">
      <c r="A69" s="14" t="s">
        <v>1322</v>
      </c>
      <c r="B69" s="85" t="s">
        <v>1948</v>
      </c>
      <c r="C69" s="93" t="s">
        <v>2036</v>
      </c>
      <c r="D69" s="15">
        <v>35.989201000000001</v>
      </c>
      <c r="E69" s="49">
        <v>-105.93180220000001</v>
      </c>
      <c r="F69" s="24" t="s">
        <v>2048</v>
      </c>
      <c r="G69" s="92" t="s">
        <v>2049</v>
      </c>
      <c r="H69" s="93" t="s">
        <v>1767</v>
      </c>
      <c r="I69" s="15" t="b">
        <v>1</v>
      </c>
      <c r="L69" s="85" t="s">
        <v>2044</v>
      </c>
      <c r="O69" s="15" t="s">
        <v>336</v>
      </c>
      <c r="P69" s="97" t="s">
        <v>2046</v>
      </c>
      <c r="Q69" s="15" t="s">
        <v>2045</v>
      </c>
      <c r="R69" s="95" t="s">
        <v>336</v>
      </c>
      <c r="S69" s="108" t="s">
        <v>2170</v>
      </c>
      <c r="T69" s="15" t="s">
        <v>2047</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IF(LEN(_xludf.concat(BQ69:BS69))&gt;0,_xludf.concat("|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7.299999999999997" x14ac:dyDescent="0.4">
      <c r="A70" s="14" t="s">
        <v>1322</v>
      </c>
      <c r="B70" s="85" t="s">
        <v>1949</v>
      </c>
      <c r="D70" s="15">
        <v>42.9249911</v>
      </c>
      <c r="E70" s="49">
        <v>-74.302249200000006</v>
      </c>
      <c r="F70" s="85" t="s">
        <v>2062</v>
      </c>
      <c r="G70" s="53" t="s">
        <v>2050</v>
      </c>
      <c r="H70" s="15" t="s">
        <v>1767</v>
      </c>
      <c r="I70" s="15" t="b">
        <v>1</v>
      </c>
      <c r="K70" s="15" t="b">
        <v>1</v>
      </c>
      <c r="L70" s="85" t="s">
        <v>2060</v>
      </c>
      <c r="N70" s="15" t="s">
        <v>2063</v>
      </c>
      <c r="O70" s="15" t="s">
        <v>336</v>
      </c>
      <c r="P70" s="60" t="s">
        <v>2046</v>
      </c>
      <c r="Q70" s="15" t="s">
        <v>2045</v>
      </c>
      <c r="R70" s="64" t="s">
        <v>336</v>
      </c>
      <c r="S70" s="108" t="s">
        <v>2170</v>
      </c>
      <c r="T70" s="15" t="s">
        <v>2047</v>
      </c>
      <c r="U70" s="64" t="s">
        <v>336</v>
      </c>
      <c r="Y70" s="93" t="s">
        <v>2056</v>
      </c>
      <c r="Z70" s="15" t="s">
        <v>2051</v>
      </c>
      <c r="AA70" s="15" t="s">
        <v>2052</v>
      </c>
      <c r="AB70" s="15" t="s">
        <v>2053</v>
      </c>
      <c r="AC70" s="93" t="s">
        <v>2061</v>
      </c>
      <c r="AD70" s="93" t="s">
        <v>2082</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IF(LEN(_xludf.concat(BQ70:BS70))&gt;0,_xludf.concat("|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4.9" x14ac:dyDescent="0.4">
      <c r="A71" s="14" t="s">
        <v>1322</v>
      </c>
      <c r="B71" s="85" t="s">
        <v>1960</v>
      </c>
      <c r="C71" s="93" t="s">
        <v>2064</v>
      </c>
      <c r="D71" s="15">
        <v>32.750999999999998</v>
      </c>
      <c r="E71" s="49">
        <v>-96.8159986</v>
      </c>
      <c r="F71" s="85" t="s">
        <v>2065</v>
      </c>
      <c r="G71" s="92" t="s">
        <v>2066</v>
      </c>
      <c r="H71" s="93" t="s">
        <v>1835</v>
      </c>
      <c r="I71" s="15" t="b">
        <v>1</v>
      </c>
      <c r="L71" s="24" t="s">
        <v>2067</v>
      </c>
      <c r="N71" s="93" t="s">
        <v>2079</v>
      </c>
      <c r="O71" s="96" t="s">
        <v>336</v>
      </c>
      <c r="P71" s="97" t="s">
        <v>2078</v>
      </c>
      <c r="Q71" s="15" t="s">
        <v>2068</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IF(LEN(_xludf.concat(BQ71:BS71))&gt;0,_xludf.concat("|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99.45" x14ac:dyDescent="0.4">
      <c r="A72" s="14" t="s">
        <v>1322</v>
      </c>
      <c r="B72" s="24" t="s">
        <v>1960</v>
      </c>
      <c r="C72" s="15" t="s">
        <v>2064</v>
      </c>
      <c r="D72" s="15">
        <v>32.788515199999999</v>
      </c>
      <c r="E72" s="49">
        <v>-96.797780700000004</v>
      </c>
      <c r="F72" s="85" t="s">
        <v>2070</v>
      </c>
      <c r="G72" s="92" t="s">
        <v>2071</v>
      </c>
      <c r="H72" s="15" t="s">
        <v>1835</v>
      </c>
      <c r="I72" s="15" t="b">
        <v>1</v>
      </c>
      <c r="L72" s="85" t="s">
        <v>2069</v>
      </c>
      <c r="M72" s="92" t="s">
        <v>2072</v>
      </c>
      <c r="N72" s="15" t="s">
        <v>2073</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IF(LEN(_xludf.concat(BQ72:BS72))&gt;0,_xludf.concat("|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4.9" x14ac:dyDescent="0.4">
      <c r="A73" s="14" t="s">
        <v>1322</v>
      </c>
      <c r="B73" s="24" t="s">
        <v>1960</v>
      </c>
      <c r="C73" s="15" t="s">
        <v>2064</v>
      </c>
      <c r="D73" s="15">
        <v>32.814570799999998</v>
      </c>
      <c r="E73" s="49">
        <v>-96.802842799999993</v>
      </c>
      <c r="F73" s="24" t="s">
        <v>2074</v>
      </c>
      <c r="G73" s="92" t="s">
        <v>2029</v>
      </c>
      <c r="H73" s="15" t="s">
        <v>1835</v>
      </c>
      <c r="I73" s="15" t="b">
        <v>1</v>
      </c>
      <c r="L73" s="85" t="s">
        <v>2075</v>
      </c>
      <c r="N73" s="93" t="s">
        <v>2076</v>
      </c>
      <c r="O73" s="96" t="s">
        <v>336</v>
      </c>
      <c r="P73" s="97" t="s">
        <v>2078</v>
      </c>
      <c r="Q73" s="15" t="s">
        <v>2077</v>
      </c>
      <c r="R73" s="95" t="s">
        <v>336</v>
      </c>
      <c r="Y73" s="93" t="s">
        <v>2080</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IF(LEN(_xludf.concat(BQ73:BS73))&gt;0,_xludf.concat("|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4.3" x14ac:dyDescent="0.4">
      <c r="A74" s="14" t="s">
        <v>1322</v>
      </c>
      <c r="B74" s="24" t="s">
        <v>1960</v>
      </c>
      <c r="C74" s="15" t="s">
        <v>2064</v>
      </c>
      <c r="D74" s="15">
        <v>32.792158999999998</v>
      </c>
      <c r="E74" s="49">
        <v>-96.806457199999997</v>
      </c>
      <c r="F74" s="85" t="s">
        <v>2084</v>
      </c>
      <c r="G74" s="92" t="s">
        <v>2085</v>
      </c>
      <c r="H74" s="15" t="s">
        <v>1835</v>
      </c>
      <c r="L74" s="85" t="s">
        <v>2086</v>
      </c>
      <c r="P74" s="97" t="s">
        <v>2100</v>
      </c>
      <c r="Q74" s="93" t="s">
        <v>2087</v>
      </c>
      <c r="R74" s="95" t="s">
        <v>2101</v>
      </c>
      <c r="S74" s="97" t="s">
        <v>2089</v>
      </c>
      <c r="T74" s="15" t="s">
        <v>2088</v>
      </c>
      <c r="U74" s="95" t="s">
        <v>336</v>
      </c>
      <c r="Y74" s="15" t="s">
        <v>2139</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IF(LEN(_xludf.concat(BQ74:BS74))&gt;0,_xludf.concat("|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2.15" x14ac:dyDescent="0.4">
      <c r="A75" s="14" t="s">
        <v>1322</v>
      </c>
      <c r="B75" s="24" t="s">
        <v>1960</v>
      </c>
      <c r="C75" s="15" t="s">
        <v>2064</v>
      </c>
      <c r="D75" s="15">
        <v>32.775131000000002</v>
      </c>
      <c r="E75" s="49">
        <v>-96.787789000000004</v>
      </c>
      <c r="F75" s="24" t="s">
        <v>2090</v>
      </c>
      <c r="G75" s="92" t="s">
        <v>2091</v>
      </c>
      <c r="H75" s="15" t="s">
        <v>1835</v>
      </c>
      <c r="L75" s="85" t="s">
        <v>2092</v>
      </c>
      <c r="P75" s="97" t="s">
        <v>2093</v>
      </c>
      <c r="Q75" s="15" t="s">
        <v>2094</v>
      </c>
      <c r="R75" s="95" t="s">
        <v>336</v>
      </c>
      <c r="Y75" s="15" t="s">
        <v>2139</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IF(LEN(_xludf.concat(BQ75:BS75))&gt;0,_xludf.concat("|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4.3" x14ac:dyDescent="0.4">
      <c r="A76" s="14" t="s">
        <v>1322</v>
      </c>
      <c r="B76" s="24" t="s">
        <v>1960</v>
      </c>
      <c r="C76" s="15" t="s">
        <v>2064</v>
      </c>
      <c r="D76" s="15">
        <v>32.795627000000003</v>
      </c>
      <c r="E76" s="49">
        <v>-96.782279000000003</v>
      </c>
      <c r="F76" s="85" t="s">
        <v>2095</v>
      </c>
      <c r="G76" s="92" t="s">
        <v>2096</v>
      </c>
      <c r="H76" s="15" t="s">
        <v>1835</v>
      </c>
      <c r="L76" s="85" t="s">
        <v>2097</v>
      </c>
      <c r="P76" s="97" t="s">
        <v>2098</v>
      </c>
      <c r="Q76" s="15" t="s">
        <v>2102</v>
      </c>
      <c r="R76" s="98" t="s">
        <v>2099</v>
      </c>
      <c r="S76" s="99" t="s">
        <v>2103</v>
      </c>
      <c r="T76" s="93" t="s">
        <v>2104</v>
      </c>
      <c r="U76" s="98" t="s">
        <v>2105</v>
      </c>
      <c r="V76" s="15" t="s">
        <v>2106</v>
      </c>
      <c r="W76" s="93" t="s">
        <v>2107</v>
      </c>
      <c r="X76" s="102" t="s">
        <v>336</v>
      </c>
      <c r="Y76" s="15" t="s">
        <v>2139</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IF(LEN(_xludf.concat(BQ76:BS76))&gt;0,_xludf.concat("|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87" x14ac:dyDescent="0.4">
      <c r="A77" s="14" t="s">
        <v>1322</v>
      </c>
      <c r="B77" s="24" t="s">
        <v>1960</v>
      </c>
      <c r="C77" s="15" t="s">
        <v>2064</v>
      </c>
      <c r="D77" s="15">
        <v>32.794211099999998</v>
      </c>
      <c r="E77" s="49">
        <v>-96.788927799999996</v>
      </c>
      <c r="F77" s="85" t="s">
        <v>2108</v>
      </c>
      <c r="G77" s="92" t="s">
        <v>2109</v>
      </c>
      <c r="H77" s="15" t="s">
        <v>1835</v>
      </c>
      <c r="L77" s="85" t="s">
        <v>2110</v>
      </c>
      <c r="P77" s="97" t="s">
        <v>2111</v>
      </c>
      <c r="Q77" s="15" t="s">
        <v>2112</v>
      </c>
      <c r="R77" s="95" t="s">
        <v>336</v>
      </c>
      <c r="S77" s="97" t="s">
        <v>2114</v>
      </c>
      <c r="T77" s="15" t="s">
        <v>2113</v>
      </c>
      <c r="U77" s="95" t="s">
        <v>336</v>
      </c>
      <c r="V77" s="93" t="s">
        <v>2115</v>
      </c>
      <c r="W77" s="96" t="s">
        <v>2116</v>
      </c>
      <c r="X77" s="102" t="s">
        <v>336</v>
      </c>
      <c r="Y77" s="15" t="s">
        <v>2139</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IF(LEN(_xludf.concat(BQ77:BS77))&gt;0,_xludf.concat("|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4" x14ac:dyDescent="0.4">
      <c r="A78" s="14" t="s">
        <v>1322</v>
      </c>
      <c r="B78" s="24" t="s">
        <v>1960</v>
      </c>
      <c r="C78" s="15" t="s">
        <v>2064</v>
      </c>
      <c r="D78" s="15">
        <v>32.814343000000001</v>
      </c>
      <c r="E78" s="49">
        <v>-96.801815099999999</v>
      </c>
      <c r="F78" s="85" t="s">
        <v>2117</v>
      </c>
      <c r="G78" s="92" t="s">
        <v>2118</v>
      </c>
      <c r="H78" s="15" t="s">
        <v>1835</v>
      </c>
      <c r="L78" s="85" t="s">
        <v>2119</v>
      </c>
      <c r="P78" s="60" t="s">
        <v>2120</v>
      </c>
      <c r="Q78" s="15" t="s">
        <v>2121</v>
      </c>
      <c r="R78" s="95" t="s">
        <v>336</v>
      </c>
      <c r="Y78" s="15" t="s">
        <v>2139</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IF(LEN(_xludf.concat(BQ78:BS78))&gt;0,_xludf.concat("|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4.3" x14ac:dyDescent="0.4">
      <c r="A79" s="14" t="s">
        <v>1322</v>
      </c>
      <c r="B79" s="24" t="s">
        <v>1960</v>
      </c>
      <c r="C79" s="15" t="s">
        <v>2064</v>
      </c>
      <c r="D79" s="15">
        <v>32.787603699999998</v>
      </c>
      <c r="E79" s="49">
        <v>-96.787011800000002</v>
      </c>
      <c r="F79" s="85" t="s">
        <v>2127</v>
      </c>
      <c r="G79" s="92" t="s">
        <v>2128</v>
      </c>
      <c r="H79" s="15" t="s">
        <v>1835</v>
      </c>
      <c r="L79" s="85" t="s">
        <v>2129</v>
      </c>
      <c r="P79" s="60" t="s">
        <v>2130</v>
      </c>
      <c r="Q79" s="15" t="s">
        <v>2131</v>
      </c>
      <c r="R79" s="95" t="s">
        <v>336</v>
      </c>
      <c r="S79" s="60" t="s">
        <v>2132</v>
      </c>
      <c r="T79" s="15" t="s">
        <v>2133</v>
      </c>
      <c r="U79" s="95" t="s">
        <v>336</v>
      </c>
      <c r="Y79" s="93" t="s">
        <v>2139</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IF(LEN(_xludf.concat(BQ79:BS79))&gt;0,_xludf.concat("|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7" x14ac:dyDescent="0.4">
      <c r="A80" s="14" t="s">
        <v>1322</v>
      </c>
      <c r="B80" s="24" t="s">
        <v>1960</v>
      </c>
      <c r="C80" s="15" t="s">
        <v>2064</v>
      </c>
      <c r="D80" s="15">
        <v>32.788721000000002</v>
      </c>
      <c r="E80" s="49">
        <v>-96.772652600000001</v>
      </c>
      <c r="F80" s="24" t="s">
        <v>2122</v>
      </c>
      <c r="G80" s="92" t="s">
        <v>2124</v>
      </c>
      <c r="H80" s="15" t="s">
        <v>1835</v>
      </c>
      <c r="I80" s="15" t="b">
        <v>1</v>
      </c>
      <c r="L80" s="85" t="s">
        <v>2123</v>
      </c>
      <c r="N80" s="93" t="s">
        <v>2126</v>
      </c>
      <c r="O80" s="96" t="s">
        <v>336</v>
      </c>
      <c r="P80" s="97" t="s">
        <v>2078</v>
      </c>
      <c r="Q80" s="15" t="s">
        <v>2125</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IF(LEN(_xludf.concat(BQ80:BS80))&gt;0,_xludf.concat("|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4.9" x14ac:dyDescent="0.4">
      <c r="A81" s="14" t="s">
        <v>1322</v>
      </c>
      <c r="B81" s="24" t="s">
        <v>1960</v>
      </c>
      <c r="C81" s="15" t="s">
        <v>2064</v>
      </c>
      <c r="D81" s="15">
        <v>32.795037200000003</v>
      </c>
      <c r="E81" s="49">
        <v>-96.795031699999996</v>
      </c>
      <c r="F81" s="85" t="s">
        <v>2134</v>
      </c>
      <c r="G81" s="92" t="s">
        <v>2135</v>
      </c>
      <c r="H81" s="15" t="s">
        <v>1835</v>
      </c>
      <c r="I81" s="15" t="b">
        <v>1</v>
      </c>
      <c r="L81" s="85" t="s">
        <v>2136</v>
      </c>
      <c r="N81" s="93" t="s">
        <v>2138</v>
      </c>
      <c r="O81" s="96" t="s">
        <v>336</v>
      </c>
      <c r="P81" s="60" t="s">
        <v>2078</v>
      </c>
      <c r="Q81" s="15" t="s">
        <v>2137</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IF(LEN(_xludf.concat(BQ81:BS81))&gt;0,_xludf.concat("|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7.299999999999997" x14ac:dyDescent="0.4">
      <c r="A82" s="14" t="s">
        <v>1322</v>
      </c>
      <c r="B82" s="103" t="s">
        <v>552</v>
      </c>
      <c r="C82" s="104" t="s">
        <v>2149</v>
      </c>
      <c r="D82" s="15">
        <v>40.655493983492804</v>
      </c>
      <c r="E82" s="49">
        <v>-4.7027560083925497</v>
      </c>
      <c r="F82" s="103" t="s">
        <v>2184</v>
      </c>
      <c r="G82" s="105" t="s">
        <v>2183</v>
      </c>
      <c r="H82" s="104" t="s">
        <v>1835</v>
      </c>
      <c r="I82" s="15" t="b">
        <v>1</v>
      </c>
      <c r="K82" s="15" t="b">
        <v>1</v>
      </c>
      <c r="L82" s="103" t="s">
        <v>2150</v>
      </c>
      <c r="N82" s="15" t="s">
        <v>2151</v>
      </c>
      <c r="O82" s="106" t="s">
        <v>336</v>
      </c>
      <c r="Y82" s="104" t="s">
        <v>2157</v>
      </c>
      <c r="Z82" s="15" t="s">
        <v>2153</v>
      </c>
      <c r="AA82" s="104" t="s">
        <v>1426</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IF(LEN(_xludf.concat(BQ82:BS82))&gt;0,_xludf.concat("|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99.45" x14ac:dyDescent="0.4">
      <c r="A83" s="14" t="s">
        <v>1322</v>
      </c>
      <c r="B83" s="24" t="s">
        <v>552</v>
      </c>
      <c r="C83" s="15" t="s">
        <v>2149</v>
      </c>
      <c r="D83" s="15">
        <v>40.662828044541399</v>
      </c>
      <c r="E83" s="49">
        <v>-4.6997760138995996</v>
      </c>
      <c r="F83" s="103" t="s">
        <v>2164</v>
      </c>
      <c r="G83" s="105" t="s">
        <v>2163</v>
      </c>
      <c r="H83" s="15" t="s">
        <v>1835</v>
      </c>
      <c r="I83" s="15" t="b">
        <v>1</v>
      </c>
      <c r="K83" s="15" t="b">
        <v>1</v>
      </c>
      <c r="L83" s="103" t="s">
        <v>2290</v>
      </c>
      <c r="O83" s="15" t="s">
        <v>336</v>
      </c>
      <c r="P83" s="108" t="s">
        <v>2160</v>
      </c>
      <c r="Q83" s="15" t="s">
        <v>2161</v>
      </c>
      <c r="R83" s="109" t="s">
        <v>336</v>
      </c>
      <c r="Y83" s="15" t="s">
        <v>2157</v>
      </c>
      <c r="Z83" s="104" t="s">
        <v>2153</v>
      </c>
      <c r="AA83" s="104" t="s">
        <v>1426</v>
      </c>
      <c r="AB83" s="104" t="s">
        <v>2156</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IF(LEN(_xludf.concat(BQ83:BS83))&gt;0,_xludf.concat("|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24.9" x14ac:dyDescent="0.4">
      <c r="A84" s="14" t="s">
        <v>1322</v>
      </c>
      <c r="B84" s="24" t="s">
        <v>552</v>
      </c>
      <c r="C84" s="15" t="s">
        <v>2149</v>
      </c>
      <c r="D84" s="15">
        <v>40.655097925791601</v>
      </c>
      <c r="E84" s="49">
        <v>-4.6919360712877101</v>
      </c>
      <c r="F84" s="103" t="s">
        <v>2176</v>
      </c>
      <c r="G84" s="53" t="s">
        <v>2162</v>
      </c>
      <c r="H84" s="15" t="s">
        <v>1835</v>
      </c>
      <c r="I84" s="15" t="b">
        <v>1</v>
      </c>
      <c r="K84" s="15" t="b">
        <v>1</v>
      </c>
      <c r="L84" s="103" t="s">
        <v>2195</v>
      </c>
      <c r="N84" s="15" t="s">
        <v>2166</v>
      </c>
      <c r="O84" s="15" t="s">
        <v>1826</v>
      </c>
      <c r="P84" s="60" t="s">
        <v>2160</v>
      </c>
      <c r="Q84" s="15" t="s">
        <v>2165</v>
      </c>
      <c r="R84" s="64" t="s">
        <v>336</v>
      </c>
      <c r="Y84" s="15" t="s">
        <v>2157</v>
      </c>
      <c r="Z84" s="15" t="s">
        <v>2153</v>
      </c>
      <c r="AA84" s="104" t="s">
        <v>1426</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IF(LEN(_xludf.concat(BQ84:BS84))&gt;0,_xludf.concat("|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49.75" x14ac:dyDescent="0.4">
      <c r="A85" s="14" t="s">
        <v>1322</v>
      </c>
      <c r="B85" s="24" t="s">
        <v>552</v>
      </c>
      <c r="C85" s="104" t="s">
        <v>2177</v>
      </c>
      <c r="D85" s="15">
        <v>41.311399847334698</v>
      </c>
      <c r="E85" s="49">
        <v>-4.9193248846553699</v>
      </c>
      <c r="F85" s="103" t="s">
        <v>2178</v>
      </c>
      <c r="G85" s="53" t="s">
        <v>2162</v>
      </c>
      <c r="H85" s="15" t="s">
        <v>1835</v>
      </c>
      <c r="I85" s="15" t="b">
        <v>1</v>
      </c>
      <c r="K85" s="15" t="b">
        <v>1</v>
      </c>
      <c r="L85" s="103" t="s">
        <v>2270</v>
      </c>
      <c r="P85" s="108" t="s">
        <v>2266</v>
      </c>
      <c r="Q85" s="15" t="s">
        <v>2267</v>
      </c>
      <c r="R85" s="109" t="s">
        <v>336</v>
      </c>
      <c r="S85" s="108" t="s">
        <v>2268</v>
      </c>
      <c r="T85" s="15" t="s">
        <v>2269</v>
      </c>
      <c r="U85" s="64" t="s">
        <v>1826</v>
      </c>
      <c r="V85" s="106" t="s">
        <v>336</v>
      </c>
      <c r="Y85" s="15" t="s">
        <v>2157</v>
      </c>
      <c r="Z85" s="15" t="s">
        <v>2153</v>
      </c>
      <c r="AA85" s="15" t="s">
        <v>1426</v>
      </c>
      <c r="AB85" s="15" t="s">
        <v>2156</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IF(LEN(_xludf.concat(BQ85:BS85))&gt;0,_xludf.concat("|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4">
      <c r="A86" s="14" t="s">
        <v>1322</v>
      </c>
      <c r="B86" s="24" t="s">
        <v>552</v>
      </c>
      <c r="C86" s="104" t="s">
        <v>2179</v>
      </c>
      <c r="D86" s="15">
        <v>39.172836506337802</v>
      </c>
      <c r="E86" s="49">
        <v>-3.8518511711638399</v>
      </c>
      <c r="F86" s="103" t="s">
        <v>2180</v>
      </c>
      <c r="G86" s="53" t="s">
        <v>2162</v>
      </c>
      <c r="H86" s="15" t="s">
        <v>1835</v>
      </c>
      <c r="I86" s="15" t="b">
        <v>1</v>
      </c>
      <c r="K86" s="15" t="b">
        <v>1</v>
      </c>
      <c r="L86" s="103" t="s">
        <v>2194</v>
      </c>
      <c r="Y86" s="15" t="s">
        <v>2157</v>
      </c>
      <c r="Z86" s="15" t="s">
        <v>2153</v>
      </c>
      <c r="AA86" s="15" t="s">
        <v>1426</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IF(LEN(_xludf.concat(BQ86:BS86))&gt;0,_xludf.concat("|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4">
      <c r="A87" s="14" t="s">
        <v>1322</v>
      </c>
      <c r="B87" s="24" t="s">
        <v>552</v>
      </c>
      <c r="C87" s="112" t="s">
        <v>2182</v>
      </c>
      <c r="D87" s="15">
        <v>41.659886377779202</v>
      </c>
      <c r="E87" s="49">
        <v>-4.72687771534462</v>
      </c>
      <c r="F87" s="113" t="s">
        <v>2300</v>
      </c>
      <c r="G87" s="53" t="s">
        <v>2181</v>
      </c>
      <c r="H87" s="15" t="s">
        <v>1835</v>
      </c>
      <c r="I87" s="15" t="b">
        <v>1</v>
      </c>
      <c r="K87" s="15" t="b">
        <v>1</v>
      </c>
      <c r="L87" s="103" t="s">
        <v>2196</v>
      </c>
      <c r="Y87" s="15" t="s">
        <v>2157</v>
      </c>
      <c r="Z87" s="15" t="s">
        <v>2153</v>
      </c>
      <c r="AA87" s="15" t="s">
        <v>1426</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IF(LEN(_xludf.concat(BQ87:BS87))&gt;0,_xludf.concat("|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4">
      <c r="A88" s="14" t="s">
        <v>1322</v>
      </c>
      <c r="B88" s="24" t="s">
        <v>552</v>
      </c>
      <c r="C88" s="104" t="s">
        <v>2185</v>
      </c>
      <c r="D88" s="15">
        <v>39.860357499451801</v>
      </c>
      <c r="E88" s="49">
        <v>-4.0247343354961798</v>
      </c>
      <c r="F88" s="103" t="s">
        <v>2186</v>
      </c>
      <c r="G88" s="53" t="s">
        <v>2162</v>
      </c>
      <c r="H88" s="15" t="s">
        <v>1835</v>
      </c>
      <c r="I88" s="15" t="b">
        <v>1</v>
      </c>
      <c r="K88" s="15" t="b">
        <v>1</v>
      </c>
      <c r="L88" s="103" t="s">
        <v>2197</v>
      </c>
      <c r="Y88" s="15" t="s">
        <v>2157</v>
      </c>
      <c r="Z88" s="15" t="s">
        <v>2153</v>
      </c>
      <c r="AA88" s="15" t="s">
        <v>1426</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IF(LEN(_xludf.concat(BQ88:BS88))&gt;0,_xludf.concat("|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7" x14ac:dyDescent="0.4">
      <c r="A89" s="14" t="s">
        <v>1322</v>
      </c>
      <c r="B89" s="24" t="s">
        <v>552</v>
      </c>
      <c r="C89" s="104" t="s">
        <v>2189</v>
      </c>
      <c r="D89" s="15">
        <v>40.405087686540597</v>
      </c>
      <c r="E89" s="49">
        <v>-2.9172532935268598</v>
      </c>
      <c r="F89" s="103" t="s">
        <v>2188</v>
      </c>
      <c r="G89" s="105" t="s">
        <v>2187</v>
      </c>
      <c r="H89" s="15" t="s">
        <v>1835</v>
      </c>
      <c r="I89" s="15" t="b">
        <v>1</v>
      </c>
      <c r="K89" s="15" t="b">
        <v>1</v>
      </c>
      <c r="L89" s="103" t="s">
        <v>2291</v>
      </c>
      <c r="P89" s="108" t="s">
        <v>2192</v>
      </c>
      <c r="Q89" s="15" t="s">
        <v>2193</v>
      </c>
      <c r="R89" s="109" t="s">
        <v>336</v>
      </c>
      <c r="Y89" s="15" t="s">
        <v>2157</v>
      </c>
      <c r="Z89" s="104" t="s">
        <v>2153</v>
      </c>
      <c r="AA89" s="15" t="s">
        <v>1426</v>
      </c>
      <c r="AB89" s="15" t="s">
        <v>2190</v>
      </c>
      <c r="AC89" s="104" t="s">
        <v>2156</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IF(LEN(_xludf.concat(BQ89:BS89))&gt;0,_xludf.concat("|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7" x14ac:dyDescent="0.4">
      <c r="A90" s="14" t="s">
        <v>1322</v>
      </c>
      <c r="B90" s="24" t="s">
        <v>552</v>
      </c>
      <c r="C90" s="104"/>
      <c r="D90" s="15">
        <v>40.461168474019402</v>
      </c>
      <c r="E90" s="49">
        <v>-6.1468564846553697</v>
      </c>
      <c r="F90" s="103" t="s">
        <v>2167</v>
      </c>
      <c r="G90" s="53" t="s">
        <v>2167</v>
      </c>
      <c r="H90" s="15" t="s">
        <v>1835</v>
      </c>
      <c r="I90" s="15" t="b">
        <v>1</v>
      </c>
      <c r="K90" s="15" t="b">
        <v>1</v>
      </c>
      <c r="L90" s="103" t="s">
        <v>2199</v>
      </c>
      <c r="N90" s="15" t="s">
        <v>2168</v>
      </c>
      <c r="O90" s="106" t="s">
        <v>336</v>
      </c>
      <c r="R90" s="64" t="s">
        <v>336</v>
      </c>
      <c r="Y90" s="15" t="s">
        <v>2157</v>
      </c>
      <c r="Z90" s="15" t="s">
        <v>2153</v>
      </c>
      <c r="AA90" s="15" t="s">
        <v>1426</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IF(LEN(_xludf.concat(BQ90:BS90))&gt;0,_xludf.concat("|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7.299999999999997" x14ac:dyDescent="0.4">
      <c r="A91" s="14" t="s">
        <v>1322</v>
      </c>
      <c r="B91" s="24" t="s">
        <v>552</v>
      </c>
      <c r="C91" s="104" t="s">
        <v>2200</v>
      </c>
      <c r="D91" s="15">
        <v>40.826532835917298</v>
      </c>
      <c r="E91" s="49">
        <v>-5.5144056355381297</v>
      </c>
      <c r="F91" s="113" t="s">
        <v>2301</v>
      </c>
      <c r="G91" s="105" t="s">
        <v>2172</v>
      </c>
      <c r="H91" s="104" t="s">
        <v>1767</v>
      </c>
      <c r="I91" s="15" t="b">
        <v>1</v>
      </c>
      <c r="K91" s="15" t="b">
        <v>1</v>
      </c>
      <c r="L91" s="103" t="s">
        <v>2198</v>
      </c>
      <c r="N91" s="15" t="s">
        <v>2175</v>
      </c>
      <c r="O91" s="15" t="s">
        <v>336</v>
      </c>
      <c r="P91" s="108" t="s">
        <v>2173</v>
      </c>
      <c r="Q91" s="15" t="s">
        <v>2174</v>
      </c>
      <c r="R91" s="64" t="s">
        <v>336</v>
      </c>
      <c r="Y91" s="15" t="s">
        <v>2157</v>
      </c>
      <c r="Z91" s="15" t="s">
        <v>2153</v>
      </c>
      <c r="AA91" s="15" t="s">
        <v>1426</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IF(LEN(_xludf.concat(BQ91:BS91))&gt;0,_xludf.concat("|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4">
      <c r="A92" s="14" t="s">
        <v>1322</v>
      </c>
      <c r="B92" s="24" t="s">
        <v>552</v>
      </c>
      <c r="C92" s="104" t="s">
        <v>2201</v>
      </c>
      <c r="D92" s="15">
        <v>40.951196907421703</v>
      </c>
      <c r="E92" s="49">
        <v>-4.1268227200102796</v>
      </c>
      <c r="F92" s="103" t="s">
        <v>2202</v>
      </c>
      <c r="G92" s="53" t="s">
        <v>2162</v>
      </c>
      <c r="H92" s="15" t="s">
        <v>1835</v>
      </c>
      <c r="I92" s="15" t="b">
        <v>1</v>
      </c>
      <c r="K92" s="15" t="b">
        <v>1</v>
      </c>
      <c r="L92" s="103" t="s">
        <v>2203</v>
      </c>
      <c r="Y92" s="15" t="s">
        <v>2157</v>
      </c>
      <c r="Z92" s="15" t="s">
        <v>2153</v>
      </c>
      <c r="AA92" s="15" t="s">
        <v>1426</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IF(LEN(_xludf.concat(BQ92:BS92))&gt;0,_xludf.concat("|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4.9" x14ac:dyDescent="0.4">
      <c r="A93" s="14" t="s">
        <v>1322</v>
      </c>
      <c r="B93" s="24" t="s">
        <v>552</v>
      </c>
      <c r="C93" s="104" t="s">
        <v>2204</v>
      </c>
      <c r="D93" s="15">
        <v>38.251042949170802</v>
      </c>
      <c r="E93" s="49">
        <v>-2.88706618465537</v>
      </c>
      <c r="F93" s="113" t="s">
        <v>2302</v>
      </c>
      <c r="G93" s="53" t="s">
        <v>2205</v>
      </c>
      <c r="H93" s="15" t="s">
        <v>1835</v>
      </c>
      <c r="I93" s="15" t="b">
        <v>1</v>
      </c>
      <c r="K93" s="15" t="b">
        <v>1</v>
      </c>
      <c r="L93" s="103" t="s">
        <v>2211</v>
      </c>
      <c r="P93" s="108" t="s">
        <v>2206</v>
      </c>
      <c r="Q93" s="15" t="s">
        <v>2207</v>
      </c>
      <c r="R93" s="109" t="s">
        <v>336</v>
      </c>
      <c r="S93" s="108" t="s">
        <v>2208</v>
      </c>
      <c r="T93" s="15" t="s">
        <v>2209</v>
      </c>
      <c r="U93" s="110" t="s">
        <v>2210</v>
      </c>
      <c r="V93" s="106" t="s">
        <v>336</v>
      </c>
      <c r="Y93" s="15" t="s">
        <v>2157</v>
      </c>
      <c r="Z93" s="15" t="s">
        <v>2153</v>
      </c>
      <c r="AA93" s="15" t="s">
        <v>1426</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IF(LEN(_xludf.concat(BQ93:BS93))&gt;0,_xludf.concat("|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4.9" x14ac:dyDescent="0.4">
      <c r="A94" s="14" t="s">
        <v>1322</v>
      </c>
      <c r="B94" s="24" t="s">
        <v>552</v>
      </c>
      <c r="C94" s="104" t="s">
        <v>2212</v>
      </c>
      <c r="D94" s="15">
        <v>37.385800751465098</v>
      </c>
      <c r="E94" s="49">
        <v>-5.9889938846553701</v>
      </c>
      <c r="F94" s="113" t="s">
        <v>2303</v>
      </c>
      <c r="G94" s="53" t="s">
        <v>2213</v>
      </c>
      <c r="H94" s="15" t="s">
        <v>1835</v>
      </c>
      <c r="I94" s="15" t="b">
        <v>1</v>
      </c>
      <c r="K94" s="15" t="b">
        <v>1</v>
      </c>
      <c r="L94" s="103" t="s">
        <v>2214</v>
      </c>
      <c r="P94" s="108" t="s">
        <v>2215</v>
      </c>
      <c r="Q94" s="15" t="s">
        <v>2216</v>
      </c>
      <c r="R94" s="109" t="s">
        <v>336</v>
      </c>
      <c r="Y94" s="15" t="s">
        <v>2157</v>
      </c>
      <c r="Z94" s="15" t="s">
        <v>2153</v>
      </c>
      <c r="AA94" s="15" t="s">
        <v>1426</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IF(LEN(_xludf.concat(BQ94:BS94))&gt;0,_xludf.concat("|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x14ac:dyDescent="0.4">
      <c r="A95" s="14" t="s">
        <v>1322</v>
      </c>
      <c r="B95" s="24" t="s">
        <v>552</v>
      </c>
      <c r="C95" s="104" t="s">
        <v>2218</v>
      </c>
      <c r="D95" s="15">
        <v>38.106719284242402</v>
      </c>
      <c r="E95" s="49">
        <v>-1.8610296</v>
      </c>
      <c r="F95" s="103" t="s">
        <v>2219</v>
      </c>
      <c r="G95" s="53" t="s">
        <v>2162</v>
      </c>
      <c r="H95" s="15" t="s">
        <v>1835</v>
      </c>
      <c r="I95" s="15" t="b">
        <v>1</v>
      </c>
      <c r="K95" s="15" t="b">
        <v>1</v>
      </c>
      <c r="L95" s="103" t="s">
        <v>2224</v>
      </c>
      <c r="P95" s="108" t="s">
        <v>2222</v>
      </c>
      <c r="Q95" s="15" t="s">
        <v>2223</v>
      </c>
      <c r="R95" s="109" t="s">
        <v>336</v>
      </c>
      <c r="S95" s="108" t="s">
        <v>2220</v>
      </c>
      <c r="T95" s="15" t="s">
        <v>2221</v>
      </c>
      <c r="U95" s="109" t="s">
        <v>336</v>
      </c>
      <c r="Y95" s="15" t="s">
        <v>2157</v>
      </c>
      <c r="Z95" s="15" t="s">
        <v>2153</v>
      </c>
      <c r="AA95" s="15" t="s">
        <v>1426</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IF(LEN(_xludf.concat(BQ95:BS95))&gt;0,_xludf.concat("|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4.9" x14ac:dyDescent="0.4">
      <c r="A96" s="14" t="s">
        <v>1322</v>
      </c>
      <c r="B96" s="24" t="s">
        <v>552</v>
      </c>
      <c r="C96" s="112" t="s">
        <v>2226</v>
      </c>
      <c r="D96" s="15">
        <v>39.439610215366898</v>
      </c>
      <c r="E96" s="49">
        <v>-1.95650919993269</v>
      </c>
      <c r="F96" s="113" t="s">
        <v>2304</v>
      </c>
      <c r="G96" s="53" t="s">
        <v>2225</v>
      </c>
      <c r="H96" s="15" t="s">
        <v>1835</v>
      </c>
      <c r="I96" s="15" t="b">
        <v>1</v>
      </c>
      <c r="K96" s="15" t="b">
        <v>1</v>
      </c>
      <c r="L96" s="103" t="s">
        <v>2227</v>
      </c>
      <c r="P96" s="108" t="s">
        <v>2228</v>
      </c>
      <c r="Q96" s="15" t="s">
        <v>2229</v>
      </c>
      <c r="R96" s="109" t="s">
        <v>336</v>
      </c>
      <c r="Y96" s="15" t="s">
        <v>2157</v>
      </c>
      <c r="Z96" s="15" t="s">
        <v>2153</v>
      </c>
      <c r="AA96" s="15" t="s">
        <v>1426</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IF(LEN(_xludf.concat(BQ96:BS96))&gt;0,_xludf.concat("|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4.9" x14ac:dyDescent="0.4">
      <c r="A97" s="14" t="s">
        <v>1322</v>
      </c>
      <c r="B97" s="24" t="s">
        <v>552</v>
      </c>
      <c r="C97" s="104" t="s">
        <v>2230</v>
      </c>
      <c r="D97" s="15">
        <v>42.007672479991903</v>
      </c>
      <c r="E97" s="49">
        <v>-4.5314706466260501</v>
      </c>
      <c r="F97" s="113" t="s">
        <v>2305</v>
      </c>
      <c r="G97" s="105" t="s">
        <v>2235</v>
      </c>
      <c r="H97" s="15" t="s">
        <v>1835</v>
      </c>
      <c r="I97" s="15" t="b">
        <v>1</v>
      </c>
      <c r="K97" s="15" t="b">
        <v>1</v>
      </c>
      <c r="L97" s="103" t="s">
        <v>2231</v>
      </c>
      <c r="P97" s="108" t="s">
        <v>2232</v>
      </c>
      <c r="Q97" s="15" t="s">
        <v>2233</v>
      </c>
      <c r="R97" s="64" t="s">
        <v>336</v>
      </c>
      <c r="Y97" s="15" t="s">
        <v>2157</v>
      </c>
      <c r="Z97" s="15" t="s">
        <v>2153</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IF(LEN(_xludf.concat(BQ97:BS97))&gt;0,_xludf.concat("|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7" x14ac:dyDescent="0.4">
      <c r="A98" s="14" t="s">
        <v>1322</v>
      </c>
      <c r="B98" s="24" t="s">
        <v>552</v>
      </c>
      <c r="C98" s="104" t="s">
        <v>2234</v>
      </c>
      <c r="D98" s="15">
        <v>41.764625448349499</v>
      </c>
      <c r="E98" s="49">
        <v>-2.46296793728833</v>
      </c>
      <c r="F98" s="113" t="s">
        <v>2306</v>
      </c>
      <c r="G98" s="53" t="s">
        <v>2236</v>
      </c>
      <c r="H98" s="15" t="s">
        <v>1835</v>
      </c>
      <c r="I98" s="15" t="b">
        <v>1</v>
      </c>
      <c r="K98" s="15" t="b">
        <v>1</v>
      </c>
      <c r="L98" s="103" t="s">
        <v>2240</v>
      </c>
      <c r="M98" s="105" t="s">
        <v>2239</v>
      </c>
      <c r="P98" s="108" t="s">
        <v>2237</v>
      </c>
      <c r="Q98" s="15" t="s">
        <v>2238</v>
      </c>
      <c r="R98" s="64" t="s">
        <v>336</v>
      </c>
      <c r="Y98" s="15" t="s">
        <v>2157</v>
      </c>
      <c r="Z98" s="15" t="s">
        <v>2153</v>
      </c>
      <c r="AA98" s="15" t="s">
        <v>1426</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IF(LEN(_xludf.concat(BQ98:BS98))&gt;0,_xludf.concat("|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4.9" x14ac:dyDescent="0.4">
      <c r="A99" s="14" t="s">
        <v>1322</v>
      </c>
      <c r="B99" s="24" t="s">
        <v>552</v>
      </c>
      <c r="C99" s="104" t="s">
        <v>2241</v>
      </c>
      <c r="D99" s="15">
        <v>37.175062581351298</v>
      </c>
      <c r="E99" s="49">
        <v>-3.5968724999999999</v>
      </c>
      <c r="F99" s="103" t="s">
        <v>2242</v>
      </c>
      <c r="G99" s="53" t="s">
        <v>2162</v>
      </c>
      <c r="H99" s="15" t="s">
        <v>1835</v>
      </c>
      <c r="I99" s="15" t="b">
        <v>1</v>
      </c>
      <c r="K99" s="15" t="b">
        <v>1</v>
      </c>
      <c r="L99" s="103" t="s">
        <v>2246</v>
      </c>
      <c r="N99" s="15" t="s">
        <v>2243</v>
      </c>
      <c r="O99" s="104" t="s">
        <v>1826</v>
      </c>
      <c r="P99" s="108" t="s">
        <v>2245</v>
      </c>
      <c r="Q99" s="15" t="s">
        <v>2244</v>
      </c>
      <c r="R99" s="64" t="s">
        <v>336</v>
      </c>
      <c r="Y99" s="15" t="s">
        <v>2157</v>
      </c>
      <c r="Z99" s="104" t="s">
        <v>2153</v>
      </c>
      <c r="AA99" s="15" t="s">
        <v>1426</v>
      </c>
      <c r="AB99" s="15" t="s">
        <v>2156</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IF(LEN(_xludf.concat(BQ99:BS99))&gt;0,_xludf.concat("|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49.75" x14ac:dyDescent="0.4">
      <c r="A100" s="14" t="s">
        <v>1322</v>
      </c>
      <c r="B100" s="24" t="s">
        <v>552</v>
      </c>
      <c r="C100" s="104" t="s">
        <v>2247</v>
      </c>
      <c r="D100" s="15">
        <v>42.340120675583002</v>
      </c>
      <c r="E100" s="49">
        <v>-3.6942737000000001</v>
      </c>
      <c r="F100" s="113" t="s">
        <v>2307</v>
      </c>
      <c r="G100" s="53" t="s">
        <v>2248</v>
      </c>
      <c r="H100" s="15" t="s">
        <v>1835</v>
      </c>
      <c r="I100" s="15" t="b">
        <v>1</v>
      </c>
      <c r="K100" s="15" t="b">
        <v>1</v>
      </c>
      <c r="L100" s="103" t="s">
        <v>2249</v>
      </c>
      <c r="M100" s="105" t="s">
        <v>2250</v>
      </c>
      <c r="P100" s="108" t="s">
        <v>2252</v>
      </c>
      <c r="Q100" s="15" t="s">
        <v>2251</v>
      </c>
      <c r="R100" s="64" t="s">
        <v>1826</v>
      </c>
      <c r="S100" s="111" t="s">
        <v>336</v>
      </c>
      <c r="Y100" s="15" t="s">
        <v>2157</v>
      </c>
      <c r="Z100" s="15" t="s">
        <v>2153</v>
      </c>
      <c r="AA100" s="15" t="s">
        <v>1426</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IF(LEN(_xludf.concat(BQ100:BS100))&gt;0,_xludf.concat("|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7.299999999999997" x14ac:dyDescent="0.4">
      <c r="A101" s="14" t="s">
        <v>1322</v>
      </c>
      <c r="B101" s="24" t="s">
        <v>552</v>
      </c>
      <c r="C101" s="104" t="s">
        <v>2149</v>
      </c>
      <c r="D101" s="15">
        <v>40.655737633857697</v>
      </c>
      <c r="E101" s="49">
        <v>-4.69703687109845</v>
      </c>
      <c r="F101" s="103" t="s">
        <v>2255</v>
      </c>
      <c r="G101" s="105" t="s">
        <v>1838</v>
      </c>
      <c r="H101" s="15" t="s">
        <v>1767</v>
      </c>
      <c r="I101" s="15" t="b">
        <v>1</v>
      </c>
      <c r="L101" s="103" t="s">
        <v>2254</v>
      </c>
      <c r="N101" s="15" t="s">
        <v>2253</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IF(LEN(_xludf.concat(BQ101:BS101))&gt;0,_xludf.concat("|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7.299999999999997" x14ac:dyDescent="0.4">
      <c r="A102" s="14" t="s">
        <v>1322</v>
      </c>
      <c r="B102" s="24" t="s">
        <v>552</v>
      </c>
      <c r="C102" s="15" t="s">
        <v>2149</v>
      </c>
      <c r="D102" s="15">
        <v>40.657935208986103</v>
      </c>
      <c r="E102" s="49">
        <v>-4.6960390893359802</v>
      </c>
      <c r="F102" s="103" t="s">
        <v>2256</v>
      </c>
      <c r="G102" s="105" t="s">
        <v>2257</v>
      </c>
      <c r="H102" s="104" t="s">
        <v>1767</v>
      </c>
      <c r="I102" s="15" t="b">
        <v>1</v>
      </c>
      <c r="K102" s="15" t="b">
        <v>1</v>
      </c>
      <c r="L102" s="103" t="s">
        <v>2258</v>
      </c>
      <c r="N102" s="15" t="s">
        <v>2259</v>
      </c>
      <c r="O102" s="15" t="s">
        <v>336</v>
      </c>
      <c r="R102" s="64" t="s">
        <v>336</v>
      </c>
      <c r="Y102" s="104" t="s">
        <v>2260</v>
      </c>
      <c r="Z102" s="104" t="s">
        <v>2262</v>
      </c>
      <c r="AA102" s="104" t="s">
        <v>2264</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IF(LEN(_xludf.concat(BQ102:BS102))&gt;0,_xludf.concat("|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4.3" x14ac:dyDescent="0.4">
      <c r="A103" s="14" t="s">
        <v>1322</v>
      </c>
      <c r="B103" s="24" t="s">
        <v>552</v>
      </c>
      <c r="C103" s="15" t="s">
        <v>2271</v>
      </c>
      <c r="D103" s="15">
        <v>40.834106372070302</v>
      </c>
      <c r="E103" s="49">
        <v>-5.1301381279179701</v>
      </c>
      <c r="F103" s="24" t="s">
        <v>2272</v>
      </c>
      <c r="G103" s="53" t="s">
        <v>2273</v>
      </c>
      <c r="H103" s="15" t="s">
        <v>1835</v>
      </c>
      <c r="I103" s="15" t="b">
        <v>1</v>
      </c>
      <c r="K103" s="15" t="b">
        <v>1</v>
      </c>
      <c r="L103" s="103" t="s">
        <v>2274</v>
      </c>
      <c r="M103" s="105" t="s">
        <v>2275</v>
      </c>
      <c r="O103" s="15" t="s">
        <v>336</v>
      </c>
      <c r="R103" s="64" t="s">
        <v>336</v>
      </c>
      <c r="Y103" s="15" t="s">
        <v>2157</v>
      </c>
      <c r="Z103" s="15" t="s">
        <v>2153</v>
      </c>
      <c r="AA103" s="15" t="s">
        <v>2156</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IF(LEN(_xludf.concat(BQ103:BS103))&gt;0,_xludf.concat("|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2.15" x14ac:dyDescent="0.4">
      <c r="A104" s="14" t="s">
        <v>1322</v>
      </c>
      <c r="B104" s="24" t="s">
        <v>552</v>
      </c>
      <c r="C104" s="104" t="s">
        <v>2201</v>
      </c>
      <c r="D104" s="15">
        <v>40.955391357159002</v>
      </c>
      <c r="E104" s="49">
        <v>-4.1334718632315699</v>
      </c>
      <c r="F104" s="103" t="s">
        <v>2276</v>
      </c>
      <c r="G104" s="105" t="s">
        <v>2277</v>
      </c>
      <c r="H104" s="104" t="s">
        <v>1767</v>
      </c>
      <c r="I104" s="15" t="b">
        <v>1</v>
      </c>
      <c r="K104" s="15" t="b">
        <v>1</v>
      </c>
      <c r="L104" s="103" t="s">
        <v>2278</v>
      </c>
      <c r="N104" s="15" t="s">
        <v>2279</v>
      </c>
      <c r="O104" s="15" t="s">
        <v>336</v>
      </c>
      <c r="R104" s="64" t="s">
        <v>336</v>
      </c>
      <c r="Y104" s="15" t="s">
        <v>2157</v>
      </c>
      <c r="Z104" s="15" t="s">
        <v>2153</v>
      </c>
      <c r="AA104" s="15" t="s">
        <v>2156</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IF(LEN(_xludf.concat(BQ104:BS104))&gt;0,_xludf.concat("|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24.9" x14ac:dyDescent="0.4">
      <c r="A105" s="14" t="s">
        <v>1322</v>
      </c>
      <c r="B105" s="24" t="s">
        <v>552</v>
      </c>
      <c r="C105" s="104" t="s">
        <v>2280</v>
      </c>
      <c r="D105" s="15">
        <v>38.009716453448398</v>
      </c>
      <c r="E105" s="49">
        <v>-3.36573704226182</v>
      </c>
      <c r="F105" s="103" t="s">
        <v>2281</v>
      </c>
      <c r="G105" s="105" t="s">
        <v>2282</v>
      </c>
      <c r="H105" s="15" t="s">
        <v>1767</v>
      </c>
      <c r="I105" s="15" t="b">
        <v>1</v>
      </c>
      <c r="K105" s="15" t="b">
        <v>1</v>
      </c>
      <c r="L105" s="103" t="s">
        <v>2283</v>
      </c>
      <c r="N105" s="15" t="s">
        <v>2284</v>
      </c>
      <c r="O105" s="15" t="s">
        <v>336</v>
      </c>
      <c r="R105" s="64" t="s">
        <v>336</v>
      </c>
      <c r="Y105" s="15" t="s">
        <v>2156</v>
      </c>
      <c r="Z105" s="15" t="s">
        <v>2153</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IF(LEN(_xludf.concat(BQ105:BS105))&gt;0,_xludf.concat("|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7.299999999999997" x14ac:dyDescent="0.4">
      <c r="A106" s="14" t="s">
        <v>1322</v>
      </c>
      <c r="B106" s="24" t="s">
        <v>552</v>
      </c>
      <c r="C106" s="104" t="s">
        <v>2285</v>
      </c>
      <c r="D106" s="15">
        <v>40.931787066841601</v>
      </c>
      <c r="E106" s="49">
        <v>-4.9646371</v>
      </c>
      <c r="F106" s="103" t="s">
        <v>2286</v>
      </c>
      <c r="G106" s="105" t="s">
        <v>2287</v>
      </c>
      <c r="H106" s="104" t="s">
        <v>1835</v>
      </c>
      <c r="I106" s="15" t="b">
        <v>1</v>
      </c>
      <c r="K106" s="15" t="b">
        <v>1</v>
      </c>
      <c r="L106" s="103" t="s">
        <v>2288</v>
      </c>
      <c r="O106" s="15" t="s">
        <v>336</v>
      </c>
      <c r="P106" s="108" t="s">
        <v>2266</v>
      </c>
      <c r="Q106" s="15" t="s">
        <v>2289</v>
      </c>
      <c r="R106" s="64" t="s">
        <v>336</v>
      </c>
      <c r="Y106" s="15" t="s">
        <v>2156</v>
      </c>
      <c r="Z106" s="15" t="s">
        <v>2153</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IF(LEN(_xludf.concat(BQ106:BS106))&gt;0,_xludf.concat("|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87" x14ac:dyDescent="0.4">
      <c r="A107" s="14" t="s">
        <v>1322</v>
      </c>
      <c r="B107" s="24" t="s">
        <v>552</v>
      </c>
      <c r="C107" s="112" t="s">
        <v>2293</v>
      </c>
      <c r="D107" s="15">
        <v>42.8806093820127</v>
      </c>
      <c r="E107" s="49">
        <v>-8.5443954000000009</v>
      </c>
      <c r="F107" s="113" t="s">
        <v>2296</v>
      </c>
      <c r="G107" s="114" t="s">
        <v>2297</v>
      </c>
      <c r="H107" s="112" t="s">
        <v>1720</v>
      </c>
      <c r="I107" s="15" t="b">
        <v>1</v>
      </c>
      <c r="K107" s="15" t="b">
        <v>1</v>
      </c>
      <c r="L107" s="113" t="s">
        <v>2295</v>
      </c>
      <c r="N107" s="15" t="s">
        <v>2294</v>
      </c>
      <c r="O107" s="15" t="s">
        <v>336</v>
      </c>
      <c r="R107" s="64" t="s">
        <v>336</v>
      </c>
      <c r="Y107" s="112" t="s">
        <v>1037</v>
      </c>
      <c r="Z107" s="112" t="s">
        <v>2142</v>
      </c>
      <c r="AA107" s="112" t="s">
        <v>2298</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IF(LEN(_xludf.concat(BQ107:BS107))&gt;0,_xludf.concat("|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61.6" x14ac:dyDescent="0.4">
      <c r="A108" s="14" t="s">
        <v>1322</v>
      </c>
      <c r="B108" s="118" t="s">
        <v>736</v>
      </c>
      <c r="C108" s="119" t="s">
        <v>2309</v>
      </c>
      <c r="D108" s="15">
        <v>51.5133260560522</v>
      </c>
      <c r="E108" s="49">
        <v>-0.16038145235162099</v>
      </c>
      <c r="F108" s="118" t="s">
        <v>2308</v>
      </c>
      <c r="G108" s="53" t="s">
        <v>2308</v>
      </c>
      <c r="H108" s="119" t="s">
        <v>1767</v>
      </c>
      <c r="K108" s="15" t="b">
        <v>1</v>
      </c>
      <c r="L108" s="118" t="s">
        <v>2312</v>
      </c>
      <c r="O108" s="15" t="s">
        <v>336</v>
      </c>
      <c r="R108" s="64" t="s">
        <v>336</v>
      </c>
      <c r="Y108" s="119" t="s">
        <v>2310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IF(LEN(_xludf.concat(BQ108:BS108))&gt;0,_xludf.concat("|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4.9" x14ac:dyDescent="0.4">
      <c r="A109" s="14" t="s">
        <v>1322</v>
      </c>
      <c r="B109" s="118" t="s">
        <v>1921</v>
      </c>
      <c r="C109" s="15" t="s">
        <v>2333</v>
      </c>
      <c r="D109" s="15">
        <v>32.784454414036396</v>
      </c>
      <c r="E109" s="49">
        <v>-117.106379960395</v>
      </c>
      <c r="F109" s="24" t="s">
        <v>2313</v>
      </c>
      <c r="G109" s="121" t="s">
        <v>2354</v>
      </c>
      <c r="H109" s="119" t="s">
        <v>1835</v>
      </c>
      <c r="K109" s="15" t="b">
        <v>1</v>
      </c>
      <c r="L109" s="24" t="s">
        <v>2368</v>
      </c>
      <c r="N109" s="15" t="s">
        <v>2385</v>
      </c>
      <c r="O109" s="15" t="s">
        <v>336</v>
      </c>
      <c r="P109" s="122" t="s">
        <v>2405</v>
      </c>
      <c r="Q109" s="15" t="s">
        <v>2406</v>
      </c>
      <c r="R109" s="64" t="s">
        <v>336</v>
      </c>
      <c r="S109" s="122" t="s">
        <v>2427</v>
      </c>
      <c r="T109" s="15" t="s">
        <v>2428</v>
      </c>
      <c r="U109" s="123" t="s">
        <v>336</v>
      </c>
      <c r="Y109" s="119" t="s">
        <v>2459</v>
      </c>
      <c r="Z109" s="119" t="s">
        <v>2453</v>
      </c>
      <c r="AA109" s="15" t="s">
        <v>2451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IF(LEN(_xludf.concat(BQ109:BS109))&gt;0,_xludf.concat("|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4.9" x14ac:dyDescent="0.4">
      <c r="A110" s="14" t="s">
        <v>1322</v>
      </c>
      <c r="B110" s="24" t="s">
        <v>1921</v>
      </c>
      <c r="C110" s="15" t="s">
        <v>2334</v>
      </c>
      <c r="D110" s="15">
        <v>36.542542305904099</v>
      </c>
      <c r="E110" s="49">
        <v>-121.91985692948499</v>
      </c>
      <c r="F110" s="24" t="s">
        <v>2314</v>
      </c>
      <c r="G110" s="121" t="s">
        <v>2356</v>
      </c>
      <c r="H110" s="119" t="s">
        <v>1767</v>
      </c>
      <c r="K110" s="15" t="b">
        <v>1</v>
      </c>
      <c r="L110" s="118" t="s">
        <v>2455</v>
      </c>
      <c r="N110" s="15" t="s">
        <v>2386</v>
      </c>
      <c r="O110" s="15" t="s">
        <v>336</v>
      </c>
      <c r="P110" s="60" t="s">
        <v>2405</v>
      </c>
      <c r="Q110" s="15" t="s">
        <v>2407</v>
      </c>
      <c r="R110" s="64" t="s">
        <v>336</v>
      </c>
      <c r="S110" s="60" t="s">
        <v>2427</v>
      </c>
      <c r="T110" s="15" t="s">
        <v>2429</v>
      </c>
      <c r="U110" s="64" t="s">
        <v>336</v>
      </c>
      <c r="Y110" s="15" t="s">
        <v>2459</v>
      </c>
      <c r="Z110" s="15" t="s">
        <v>2453</v>
      </c>
      <c r="AA110" s="15" t="s">
        <v>2451</v>
      </c>
      <c r="AR110" s="28" t="b">
        <f t="shared" ref="AR110:AR130" si="713">IF(OR(A110="Done",A110="In Progress"),TRUE)</f>
        <v>1</v>
      </c>
      <c r="AS110" s="29" t="str">
        <f t="shared" ref="AS110:AS130" si="714">"title: """&amp;F110&amp;""""</f>
        <v>title: "Mission San Carlos Borromeo de Carmelo"</v>
      </c>
      <c r="AT110" s="29" t="str">
        <f t="shared" ref="AT110:AT129"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29" si="718">IF(I110,"- churches","")</f>
        <v/>
      </c>
      <c r="AY110" s="29" t="str">
        <f t="shared" ref="AY110:AY129" si="719">IF(J110,"- marian-sites","")</f>
        <v/>
      </c>
      <c r="AZ110" s="29" t="str">
        <f t="shared" ref="AZ110:AZ130" si="720">IF(K110,"- holy-persons","")</f>
        <v>- holy-persons</v>
      </c>
      <c r="BA110" s="29" t="str">
        <f t="shared" ref="BA110:BA129" si="721">IF(LEN(Y110)&gt;0,"- "&amp;Y110,"")</f>
        <v>- california-missions</v>
      </c>
      <c r="BB110" s="29" t="str">
        <f t="shared" ref="BB110:BB129" si="722">IF(LEN(Z110)&gt;0,"- "&amp;Z110,"")</f>
        <v>- franciscans</v>
      </c>
      <c r="BC110" s="29" t="str">
        <f t="shared" ref="BC110:BC129" si="723">IF(LEN(AA110)&gt;0,"- "&amp;AA110,"")</f>
        <v>- junipero-serra</v>
      </c>
      <c r="BD110" s="29" t="str">
        <f t="shared" ref="BD110:BD129" si="724">IF(LEN(AB110)&gt;0,"- "&amp;AB110,"")</f>
        <v/>
      </c>
      <c r="BE110" s="29" t="str">
        <f t="shared" ref="BE110:BE129" si="725">IF(LEN(AC110)&gt;0,"- "&amp;AC110,"")</f>
        <v/>
      </c>
      <c r="BF110" s="29" t="str">
        <f t="shared" ref="BF110:BF129" si="726">IF(LEN(AD110)&gt;0,"- "&amp;AD110,"")</f>
        <v/>
      </c>
      <c r="BG110" s="29" t="str">
        <f t="shared" ref="BG110:BG129" si="727">IF(LEN(AE110)&gt;0,"- "&amp;AE110,"")</f>
        <v/>
      </c>
      <c r="BH110" s="29" t="str">
        <f t="shared" ref="BH110:BH129" si="728">IF(LEN(AF110)&gt;0,"- "&amp;AF110,"")</f>
        <v/>
      </c>
      <c r="BI110" s="29" t="str">
        <f t="shared" ref="BI110:BI129" si="729">IF(LEN(AG110)&gt;0,"- "&amp;AG110,"")</f>
        <v/>
      </c>
      <c r="BJ110" s="29" t="str">
        <f t="shared" ref="BJ110:BJ129" si="730">IF(LEN(AH110)&gt;0,"- "&amp;AH110,"")</f>
        <v/>
      </c>
      <c r="BK110" s="29" t="str">
        <f t="shared" ref="BK110:BK129" si="731">"tags:"&amp;CHAR(10)&amp;concatl(AV110:BJ110)</f>
        <v xml:space="preserve">tags:
- usa
- california_x000D_
- carmel-by-the-sea_x000D_
- holy-persons_x000D_
- california-missions_x000D_
- franciscans_x000D_
- junipero-serra_x000D_
</v>
      </c>
      <c r="BL110" s="29" t="str">
        <f t="shared" ref="BL110:BL129" si="732">IF(LEN(N110)&gt;0,TRIM(CONCATENATE("[Official site](",N110,") ",O110)),"")</f>
        <v>[Official site](http://www.carmelmission.org/)</v>
      </c>
      <c r="BM110" s="29" t="str">
        <f t="shared" ref="BM110:BM129" si="733">IF(LEN(Q110)&gt;0,TRIM(CONCATENATE("["&amp;P110&amp;"](",Q110,") ",R110)),"")</f>
        <v>[California Missions Foundation page](https://californiamissionsfoundation.org/mission-san-carlos-borromeo/)</v>
      </c>
      <c r="BN110" s="29" t="str">
        <f t="shared" ref="BN110:BN129" si="734">IF(LEN(T110)&gt;0,TRIM(CONCATENATE("["&amp;S110&amp;"](",T110,") ",U110)),"")</f>
        <v>[Missions California page](https://www.missionscalifornia.com/missions/san-carlos-borromeo-de-carmelo/)</v>
      </c>
      <c r="BO110" s="29" t="str">
        <f t="shared" ref="BO110:BO129" si="735">IF(LEN(W110)&gt;0,TRIM(CONCATENATE("["&amp;V110&amp;"](",W110,") ",X110)),"")</f>
        <v/>
      </c>
      <c r="BP110" s="29" t="str">
        <f t="shared" ref="BP110:BP129"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29" si="737">IF(LEN(AK110)&gt;0,TRIM(CONCATENATE("[Link](",AK110,") ",AL110)),"")</f>
        <v/>
      </c>
      <c r="BR110" s="29" t="str">
        <f t="shared" ref="BR110:BR129" si="738">IF(LEN(AM110)&gt;0,TRIM(CONCATENATE("[Link](",AM110,") ",AN110)),"")</f>
        <v/>
      </c>
      <c r="BS110" s="29" t="str">
        <f t="shared" ref="BS110:BS129" si="739">IF(LEN(AO110)&gt;0,TRIM(CONCATENATE("[Link](",AO110,") ",AP110)),"")</f>
        <v/>
      </c>
      <c r="BT110" s="29" t="str">
        <f>IF(LEN(_xludf.concat(BQ110:BS110))&gt;0,_xludf.concat("| ",BQ110," | ",BR110," | ",BS110," |"),"")</f>
        <v/>
      </c>
      <c r="BU110" s="29" t="str">
        <f t="shared" ref="BU110:BU129"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29"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29"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29" si="743">"| "&amp;AJ110&amp;" "</f>
        <v xml:space="preserve">|  </v>
      </c>
      <c r="CJ110" s="29" t="str">
        <f t="shared" ref="CJ110:CJ129" si="744">"|"&amp;IF(AR110," [Link](/places/"&amp;SUBSTITUTE(BY110,".md","")&amp;")","")&amp;" "</f>
        <v xml:space="preserve">| [Link](/places/us_ca-carmel-by-the-sea-mission-san-carlos) </v>
      </c>
      <c r="CK110" s="29" t="str">
        <f t="shared" ref="CK110:CK129"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4.9" x14ac:dyDescent="0.4">
      <c r="A111" s="14" t="s">
        <v>1322</v>
      </c>
      <c r="B111" s="24" t="s">
        <v>1921</v>
      </c>
      <c r="C111" s="15" t="s">
        <v>2335</v>
      </c>
      <c r="D111" s="15">
        <v>36.015380016252898</v>
      </c>
      <c r="E111" s="49">
        <v>-121.250314673798</v>
      </c>
      <c r="F111" s="24" t="s">
        <v>2315</v>
      </c>
      <c r="G111" s="121" t="s">
        <v>2357</v>
      </c>
      <c r="H111" s="15" t="s">
        <v>1835</v>
      </c>
      <c r="K111" s="15" t="b">
        <v>1</v>
      </c>
      <c r="L111" s="24" t="s">
        <v>2369</v>
      </c>
      <c r="N111" s="15" t="s">
        <v>2387</v>
      </c>
      <c r="O111" s="15" t="s">
        <v>336</v>
      </c>
      <c r="P111" s="60" t="s">
        <v>2405</v>
      </c>
      <c r="Q111" s="15" t="s">
        <v>2408</v>
      </c>
      <c r="R111" s="64" t="s">
        <v>336</v>
      </c>
      <c r="S111" s="60" t="s">
        <v>2427</v>
      </c>
      <c r="T111" s="15" t="s">
        <v>2430</v>
      </c>
      <c r="U111" s="64" t="s">
        <v>336</v>
      </c>
      <c r="Y111" s="15" t="s">
        <v>2459</v>
      </c>
      <c r="Z111" s="15" t="s">
        <v>2453</v>
      </c>
      <c r="AA111" s="15" t="s">
        <v>2451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IF(LEN(_xludf.concat(BQ111:BS111))&gt;0,_xludf.concat("|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4.9" x14ac:dyDescent="0.4">
      <c r="A112" s="14" t="s">
        <v>1322</v>
      </c>
      <c r="B112" s="24" t="s">
        <v>1921</v>
      </c>
      <c r="C112" s="15" t="s">
        <v>2336</v>
      </c>
      <c r="D112" s="15">
        <v>34.096659673144899</v>
      </c>
      <c r="E112" s="49">
        <v>-118.10684110268799</v>
      </c>
      <c r="F112" s="24" t="s">
        <v>2316</v>
      </c>
      <c r="G112" s="121" t="s">
        <v>2358</v>
      </c>
      <c r="H112" s="15" t="s">
        <v>1835</v>
      </c>
      <c r="K112" s="15" t="b">
        <v>1</v>
      </c>
      <c r="L112" s="24" t="s">
        <v>2370</v>
      </c>
      <c r="N112" s="15" t="s">
        <v>2388</v>
      </c>
      <c r="O112" s="15" t="s">
        <v>336</v>
      </c>
      <c r="P112" s="60" t="s">
        <v>2405</v>
      </c>
      <c r="Q112" s="15" t="s">
        <v>2409</v>
      </c>
      <c r="R112" s="64" t="s">
        <v>336</v>
      </c>
      <c r="S112" s="60" t="s">
        <v>2427</v>
      </c>
      <c r="T112" s="15" t="s">
        <v>2431</v>
      </c>
      <c r="U112" s="64" t="s">
        <v>336</v>
      </c>
      <c r="Y112" s="15" t="s">
        <v>2459</v>
      </c>
      <c r="Z112" s="15" t="s">
        <v>2453</v>
      </c>
      <c r="AA112" s="15" t="s">
        <v>2451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IF(LEN(_xludf.concat(BQ112:BS112))&gt;0,_xludf.concat("|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4.9" x14ac:dyDescent="0.4">
      <c r="A113" s="14" t="s">
        <v>1322</v>
      </c>
      <c r="B113" s="24" t="s">
        <v>1921</v>
      </c>
      <c r="C113" s="15" t="s">
        <v>2337</v>
      </c>
      <c r="D113" s="15">
        <v>35.2809991057781</v>
      </c>
      <c r="E113" s="49">
        <v>-120.664704058475</v>
      </c>
      <c r="F113" s="24" t="s">
        <v>2317</v>
      </c>
      <c r="G113" s="121" t="s">
        <v>2355</v>
      </c>
      <c r="H113" s="15" t="s">
        <v>1835</v>
      </c>
      <c r="K113" s="15" t="b">
        <v>1</v>
      </c>
      <c r="L113" s="24" t="s">
        <v>2371</v>
      </c>
      <c r="N113" s="15" t="s">
        <v>2389</v>
      </c>
      <c r="O113" s="15" t="s">
        <v>336</v>
      </c>
      <c r="P113" s="60" t="s">
        <v>2405</v>
      </c>
      <c r="Q113" s="15" t="s">
        <v>2410</v>
      </c>
      <c r="R113" s="64" t="s">
        <v>336</v>
      </c>
      <c r="S113" s="60" t="s">
        <v>2427</v>
      </c>
      <c r="T113" s="15" t="s">
        <v>2432</v>
      </c>
      <c r="U113" s="64" t="s">
        <v>336</v>
      </c>
      <c r="Y113" s="15" t="s">
        <v>2459</v>
      </c>
      <c r="Z113" s="15" t="s">
        <v>2453</v>
      </c>
      <c r="AA113" s="15" t="s">
        <v>2451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IF(LEN(_xludf.concat(BQ113:BS113))&gt;0,_xludf.concat("|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4.9" x14ac:dyDescent="0.4">
      <c r="A114" s="14" t="s">
        <v>1322</v>
      </c>
      <c r="B114" s="24" t="s">
        <v>1921</v>
      </c>
      <c r="C114" s="15" t="s">
        <v>2338</v>
      </c>
      <c r="D114" s="15">
        <v>37.7643787904628</v>
      </c>
      <c r="E114" s="49">
        <v>-122.426918360256</v>
      </c>
      <c r="F114" s="24" t="s">
        <v>2318</v>
      </c>
      <c r="G114" s="121" t="s">
        <v>2365</v>
      </c>
      <c r="H114" s="15" t="s">
        <v>1835</v>
      </c>
      <c r="K114" s="15" t="b">
        <v>1</v>
      </c>
      <c r="L114" s="24" t="s">
        <v>2372</v>
      </c>
      <c r="N114" s="15" t="s">
        <v>2390</v>
      </c>
      <c r="O114" s="15" t="s">
        <v>336</v>
      </c>
      <c r="P114" s="60" t="s">
        <v>2405</v>
      </c>
      <c r="Q114" s="15" t="s">
        <v>2411</v>
      </c>
      <c r="R114" s="64" t="s">
        <v>336</v>
      </c>
      <c r="S114" s="60" t="s">
        <v>2427</v>
      </c>
      <c r="T114" s="15" t="s">
        <v>2433</v>
      </c>
      <c r="U114" s="64" t="s">
        <v>336</v>
      </c>
      <c r="Y114" s="15" t="s">
        <v>2459</v>
      </c>
      <c r="Z114" s="15" t="s">
        <v>2453</v>
      </c>
      <c r="AA114" s="15" t="s">
        <v>2451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IF(LEN(_xludf.concat(BQ114:BS114))&gt;0,_xludf.concat("|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4.9" x14ac:dyDescent="0.4">
      <c r="A115" s="14" t="s">
        <v>1322</v>
      </c>
      <c r="B115" s="24" t="s">
        <v>1921</v>
      </c>
      <c r="C115" s="15" t="s">
        <v>2339</v>
      </c>
      <c r="D115" s="15">
        <v>33.502028266204697</v>
      </c>
      <c r="E115" s="49">
        <v>-117.662690902704</v>
      </c>
      <c r="F115" s="24" t="s">
        <v>2319</v>
      </c>
      <c r="G115" s="53" t="s">
        <v>2319</v>
      </c>
      <c r="H115" s="15" t="s">
        <v>1835</v>
      </c>
      <c r="K115" s="15" t="b">
        <v>1</v>
      </c>
      <c r="L115" s="24" t="s">
        <v>2373</v>
      </c>
      <c r="N115" s="15" t="s">
        <v>2391</v>
      </c>
      <c r="O115" s="15" t="s">
        <v>336</v>
      </c>
      <c r="P115" s="60" t="s">
        <v>2405</v>
      </c>
      <c r="Q115" s="15" t="s">
        <v>2412</v>
      </c>
      <c r="R115" s="64" t="s">
        <v>336</v>
      </c>
      <c r="S115" s="60" t="s">
        <v>2427</v>
      </c>
      <c r="T115" s="15" t="s">
        <v>2434</v>
      </c>
      <c r="U115" s="64" t="s">
        <v>336</v>
      </c>
      <c r="Y115" s="15" t="s">
        <v>2459</v>
      </c>
      <c r="Z115" s="15" t="s">
        <v>2453</v>
      </c>
      <c r="AA115" s="15" t="s">
        <v>2451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IF(LEN(_xludf.concat(BQ115:BS115))&gt;0,_xludf.concat("|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4.9" x14ac:dyDescent="0.4">
      <c r="A116" s="14" t="s">
        <v>1322</v>
      </c>
      <c r="B116" s="24" t="s">
        <v>1921</v>
      </c>
      <c r="C116" s="15" t="s">
        <v>2340</v>
      </c>
      <c r="D116" s="15">
        <v>37.349189285345602</v>
      </c>
      <c r="E116" s="49">
        <v>-121.941511544924</v>
      </c>
      <c r="F116" s="24" t="s">
        <v>2320</v>
      </c>
      <c r="G116" s="121" t="s">
        <v>2360</v>
      </c>
      <c r="H116" s="15" t="s">
        <v>1835</v>
      </c>
      <c r="K116" s="15" t="b">
        <v>1</v>
      </c>
      <c r="L116" s="24" t="s">
        <v>2374</v>
      </c>
      <c r="N116" s="15" t="s">
        <v>2392</v>
      </c>
      <c r="O116" s="15" t="s">
        <v>336</v>
      </c>
      <c r="P116" s="60" t="s">
        <v>2405</v>
      </c>
      <c r="Q116" s="15" t="s">
        <v>2413</v>
      </c>
      <c r="R116" s="64" t="s">
        <v>336</v>
      </c>
      <c r="S116" s="60" t="s">
        <v>2427</v>
      </c>
      <c r="T116" s="15" t="s">
        <v>2435</v>
      </c>
      <c r="U116" s="64" t="s">
        <v>336</v>
      </c>
      <c r="Y116" s="15" t="s">
        <v>2459</v>
      </c>
      <c r="Z116" s="15" t="s">
        <v>2453</v>
      </c>
      <c r="AA116" s="119" t="s">
        <v>2451</v>
      </c>
      <c r="AB116" s="15" t="s">
        <v>2449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IF(LEN(_xludf.concat(BQ116:BS116))&gt;0,_xludf.concat("|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4.9" x14ac:dyDescent="0.4">
      <c r="A117" s="14" t="s">
        <v>1322</v>
      </c>
      <c r="B117" s="24" t="s">
        <v>1921</v>
      </c>
      <c r="C117" s="15" t="s">
        <v>2341</v>
      </c>
      <c r="D117" s="15">
        <v>34.281052108004999</v>
      </c>
      <c r="E117" s="49">
        <v>-119.298020331519</v>
      </c>
      <c r="F117" s="24" t="s">
        <v>2321</v>
      </c>
      <c r="G117" s="53" t="s">
        <v>2321</v>
      </c>
      <c r="H117" s="15" t="s">
        <v>1835</v>
      </c>
      <c r="K117" s="15" t="b">
        <v>1</v>
      </c>
      <c r="L117" s="24" t="s">
        <v>2375</v>
      </c>
      <c r="N117" s="15" t="s">
        <v>2393</v>
      </c>
      <c r="O117" s="15" t="s">
        <v>336</v>
      </c>
      <c r="P117" s="60" t="s">
        <v>2405</v>
      </c>
      <c r="Q117" s="15" t="s">
        <v>2414</v>
      </c>
      <c r="R117" s="64" t="s">
        <v>336</v>
      </c>
      <c r="S117" s="60" t="s">
        <v>2427</v>
      </c>
      <c r="T117" s="15" t="s">
        <v>2436</v>
      </c>
      <c r="U117" s="64" t="s">
        <v>336</v>
      </c>
      <c r="Y117" s="15" t="s">
        <v>2459</v>
      </c>
      <c r="Z117" s="15" t="s">
        <v>2453</v>
      </c>
      <c r="AA117" s="15" t="s">
        <v>2451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IF(LEN(_xludf.concat(BQ117:BS117))&gt;0,_xludf.concat("|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4.9" x14ac:dyDescent="0.4">
      <c r="A118" s="14" t="s">
        <v>1322</v>
      </c>
      <c r="B118" s="24" t="s">
        <v>1921</v>
      </c>
      <c r="C118" s="15" t="s">
        <v>2342</v>
      </c>
      <c r="D118" s="15">
        <v>34.438290779208302</v>
      </c>
      <c r="E118" s="49">
        <v>-119.714078531515</v>
      </c>
      <c r="F118" s="24" t="s">
        <v>2322</v>
      </c>
      <c r="G118" s="53" t="s">
        <v>2322</v>
      </c>
      <c r="H118" s="15" t="s">
        <v>1835</v>
      </c>
      <c r="K118" s="15" t="b">
        <v>1</v>
      </c>
      <c r="L118" s="24" t="s">
        <v>2376</v>
      </c>
      <c r="N118" s="15" t="s">
        <v>2394</v>
      </c>
      <c r="O118" s="15" t="s">
        <v>336</v>
      </c>
      <c r="P118" s="60" t="s">
        <v>2405</v>
      </c>
      <c r="Q118" s="15" t="s">
        <v>2415</v>
      </c>
      <c r="R118" s="64" t="s">
        <v>336</v>
      </c>
      <c r="S118" s="60" t="s">
        <v>2427</v>
      </c>
      <c r="T118" s="15" t="s">
        <v>2437</v>
      </c>
      <c r="U118" s="64" t="s">
        <v>336</v>
      </c>
      <c r="Y118" s="15" t="s">
        <v>2459</v>
      </c>
      <c r="Z118" s="15" t="s">
        <v>2453</v>
      </c>
      <c r="AA118" s="15" t="s">
        <v>1426</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IF(LEN(_xludf.concat(BQ118:BS118))&gt;0,_xludf.concat("|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24.9" x14ac:dyDescent="0.4">
      <c r="A119" s="14" t="s">
        <v>1322</v>
      </c>
      <c r="B119" s="24" t="s">
        <v>1921</v>
      </c>
      <c r="C119" s="15" t="s">
        <v>2343</v>
      </c>
      <c r="D119" s="15">
        <v>34.669743501321904</v>
      </c>
      <c r="E119" s="49">
        <v>-120.420619002672</v>
      </c>
      <c r="F119" s="24" t="s">
        <v>2323</v>
      </c>
      <c r="G119" s="121" t="s">
        <v>2361</v>
      </c>
      <c r="H119" s="15" t="s">
        <v>1835</v>
      </c>
      <c r="K119" s="15" t="b">
        <v>1</v>
      </c>
      <c r="L119" s="118" t="s">
        <v>2458</v>
      </c>
      <c r="N119" s="15" t="s">
        <v>2395</v>
      </c>
      <c r="O119" s="15" t="s">
        <v>336</v>
      </c>
      <c r="P119" s="60" t="s">
        <v>2405</v>
      </c>
      <c r="Q119" s="15" t="s">
        <v>2416</v>
      </c>
      <c r="R119" s="64" t="s">
        <v>336</v>
      </c>
      <c r="S119" s="60" t="s">
        <v>2427</v>
      </c>
      <c r="T119" s="15" t="s">
        <v>2438</v>
      </c>
      <c r="U119" s="64" t="s">
        <v>336</v>
      </c>
      <c r="Y119" s="15" t="s">
        <v>2459</v>
      </c>
      <c r="Z119" s="15" t="s">
        <v>2453</v>
      </c>
      <c r="AA119" s="119" t="s">
        <v>2139</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IF(LEN(_xludf.concat(BQ119:BS119))&gt;0,_xludf.concat("|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4.9" x14ac:dyDescent="0.4">
      <c r="A120" s="14" t="s">
        <v>1322</v>
      </c>
      <c r="B120" s="24" t="s">
        <v>1921</v>
      </c>
      <c r="C120" s="15" t="s">
        <v>2344</v>
      </c>
      <c r="D120" s="15">
        <v>36.9781412595296</v>
      </c>
      <c r="E120" s="49">
        <v>-122.029494075624</v>
      </c>
      <c r="F120" s="24" t="s">
        <v>2324</v>
      </c>
      <c r="G120" s="53" t="s">
        <v>2324</v>
      </c>
      <c r="H120" s="15" t="s">
        <v>1835</v>
      </c>
      <c r="K120" s="15" t="b">
        <v>1</v>
      </c>
      <c r="L120" s="24" t="s">
        <v>2377</v>
      </c>
      <c r="N120" s="15" t="s">
        <v>2396</v>
      </c>
      <c r="O120" s="15" t="s">
        <v>336</v>
      </c>
      <c r="P120" s="60" t="s">
        <v>2405</v>
      </c>
      <c r="Q120" s="15" t="s">
        <v>2417</v>
      </c>
      <c r="R120" s="64" t="s">
        <v>336</v>
      </c>
      <c r="S120" s="60" t="s">
        <v>2427</v>
      </c>
      <c r="T120" s="15" t="s">
        <v>2439</v>
      </c>
      <c r="U120" s="64" t="s">
        <v>336</v>
      </c>
      <c r="Y120" s="15" t="s">
        <v>2459</v>
      </c>
      <c r="Z120" s="15" t="s">
        <v>2453</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IF(LEN(_xludf.concat(BQ120:BS120))&gt;0,_xludf.concat("|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4.9" x14ac:dyDescent="0.4">
      <c r="A121" s="14" t="s">
        <v>1322</v>
      </c>
      <c r="B121" s="24" t="s">
        <v>1921</v>
      </c>
      <c r="C121" s="15" t="s">
        <v>2345</v>
      </c>
      <c r="D121" s="15">
        <v>36.404839082598102</v>
      </c>
      <c r="E121" s="49">
        <v>-121.35576157378701</v>
      </c>
      <c r="F121" s="24" t="s">
        <v>2325</v>
      </c>
      <c r="G121" s="121" t="s">
        <v>2366</v>
      </c>
      <c r="H121" s="15" t="s">
        <v>1835</v>
      </c>
      <c r="K121" s="15" t="b">
        <v>1</v>
      </c>
      <c r="L121" s="24" t="s">
        <v>2378</v>
      </c>
      <c r="N121" s="15" t="s">
        <v>2397</v>
      </c>
      <c r="O121" s="15" t="s">
        <v>336</v>
      </c>
      <c r="P121" s="60" t="s">
        <v>2405</v>
      </c>
      <c r="Q121" s="15" t="s">
        <v>2418</v>
      </c>
      <c r="R121" s="64" t="s">
        <v>336</v>
      </c>
      <c r="S121" s="60" t="s">
        <v>2427</v>
      </c>
      <c r="T121" s="15" t="s">
        <v>2440</v>
      </c>
      <c r="U121" s="64" t="s">
        <v>336</v>
      </c>
      <c r="Y121" s="15" t="s">
        <v>2459</v>
      </c>
      <c r="Z121" s="15" t="s">
        <v>2453</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IF(LEN(_xludf.concat(BQ121:BS121))&gt;0,_xludf.concat("|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4.9" x14ac:dyDescent="0.4">
      <c r="A122" s="14" t="s">
        <v>1322</v>
      </c>
      <c r="B122" s="24" t="s">
        <v>1921</v>
      </c>
      <c r="C122" s="15" t="s">
        <v>2346</v>
      </c>
      <c r="D122" s="15">
        <v>37.533403637449297</v>
      </c>
      <c r="E122" s="49">
        <v>-121.919695300919</v>
      </c>
      <c r="F122" s="24" t="s">
        <v>2326</v>
      </c>
      <c r="G122" s="53" t="s">
        <v>2326</v>
      </c>
      <c r="H122" s="15" t="s">
        <v>1835</v>
      </c>
      <c r="K122" s="15" t="b">
        <v>1</v>
      </c>
      <c r="L122" s="24" t="s">
        <v>2379</v>
      </c>
      <c r="N122" s="15" t="s">
        <v>2398</v>
      </c>
      <c r="O122" s="15" t="s">
        <v>336</v>
      </c>
      <c r="P122" s="60" t="s">
        <v>2405</v>
      </c>
      <c r="Q122" s="15" t="s">
        <v>2419</v>
      </c>
      <c r="R122" s="64" t="s">
        <v>336</v>
      </c>
      <c r="S122" s="60" t="s">
        <v>2427</v>
      </c>
      <c r="T122" s="15" t="s">
        <v>2441</v>
      </c>
      <c r="U122" s="64" t="s">
        <v>336</v>
      </c>
      <c r="Y122" s="15" t="s">
        <v>2459</v>
      </c>
      <c r="Z122" s="15" t="s">
        <v>2453</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IF(LEN(_xludf.concat(BQ122:BS122))&gt;0,_xludf.concat("|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4.9" x14ac:dyDescent="0.4">
      <c r="A123" s="14" t="s">
        <v>1322</v>
      </c>
      <c r="B123" s="24" t="s">
        <v>1921</v>
      </c>
      <c r="C123" s="15" t="s">
        <v>2347</v>
      </c>
      <c r="D123" s="15">
        <v>36.845891014947597</v>
      </c>
      <c r="E123" s="49">
        <v>-121.53575268911899</v>
      </c>
      <c r="F123" s="24" t="s">
        <v>2327</v>
      </c>
      <c r="G123" s="53" t="s">
        <v>2327</v>
      </c>
      <c r="H123" s="15" t="s">
        <v>1835</v>
      </c>
      <c r="K123" s="15" t="b">
        <v>1</v>
      </c>
      <c r="L123" s="24" t="s">
        <v>2380</v>
      </c>
      <c r="N123" s="15" t="s">
        <v>2399</v>
      </c>
      <c r="O123" s="15" t="s">
        <v>336</v>
      </c>
      <c r="P123" s="60" t="s">
        <v>2405</v>
      </c>
      <c r="Q123" s="15" t="s">
        <v>2420</v>
      </c>
      <c r="R123" s="64" t="s">
        <v>336</v>
      </c>
      <c r="S123" s="60" t="s">
        <v>2427</v>
      </c>
      <c r="T123" s="15" t="s">
        <v>2442</v>
      </c>
      <c r="U123" s="64" t="s">
        <v>336</v>
      </c>
      <c r="Y123" s="15" t="s">
        <v>2459</v>
      </c>
      <c r="Z123" s="15" t="s">
        <v>2453</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IF(LEN(_xludf.concat(BQ123:BS123))&gt;0,_xludf.concat("|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4.9" x14ac:dyDescent="0.4">
      <c r="A124" s="14" t="s">
        <v>1322</v>
      </c>
      <c r="B124" s="24" t="s">
        <v>1921</v>
      </c>
      <c r="C124" s="15" t="s">
        <v>2348</v>
      </c>
      <c r="D124" s="15">
        <v>35.744934541386101</v>
      </c>
      <c r="E124" s="49">
        <v>-120.69716204497</v>
      </c>
      <c r="F124" s="24" t="s">
        <v>2328</v>
      </c>
      <c r="G124" s="121" t="s">
        <v>2362</v>
      </c>
      <c r="H124" s="15" t="s">
        <v>1835</v>
      </c>
      <c r="K124" s="15" t="b">
        <v>1</v>
      </c>
      <c r="L124" s="24" t="s">
        <v>2381</v>
      </c>
      <c r="N124" s="15" t="s">
        <v>2400</v>
      </c>
      <c r="O124" s="15" t="s">
        <v>336</v>
      </c>
      <c r="P124" s="60" t="s">
        <v>2405</v>
      </c>
      <c r="Q124" s="15" t="s">
        <v>2421</v>
      </c>
      <c r="R124" s="64" t="s">
        <v>336</v>
      </c>
      <c r="S124" s="60" t="s">
        <v>2427</v>
      </c>
      <c r="T124" s="15" t="s">
        <v>2443</v>
      </c>
      <c r="U124" s="64" t="s">
        <v>336</v>
      </c>
      <c r="Y124" s="15" t="s">
        <v>2459</v>
      </c>
      <c r="Z124" s="15" t="s">
        <v>2453</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IF(LEN(_xludf.concat(BQ124:BS124))&gt;0,_xludf.concat("|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4.9" x14ac:dyDescent="0.4">
      <c r="A125" s="14" t="s">
        <v>1322</v>
      </c>
      <c r="B125" s="24" t="s">
        <v>1921</v>
      </c>
      <c r="C125" s="15" t="s">
        <v>2349</v>
      </c>
      <c r="D125" s="15">
        <v>34.272871781930903</v>
      </c>
      <c r="E125" s="49">
        <v>-118.461632373847</v>
      </c>
      <c r="F125" s="24" t="s">
        <v>2329</v>
      </c>
      <c r="G125" s="121" t="s">
        <v>2363</v>
      </c>
      <c r="H125" s="15" t="s">
        <v>1835</v>
      </c>
      <c r="K125" s="15" t="b">
        <v>1</v>
      </c>
      <c r="L125" s="24" t="s">
        <v>2382</v>
      </c>
      <c r="O125" s="15" t="s">
        <v>336</v>
      </c>
      <c r="P125" s="60" t="s">
        <v>2405</v>
      </c>
      <c r="Q125" s="15" t="s">
        <v>2422</v>
      </c>
      <c r="R125" s="64" t="s">
        <v>336</v>
      </c>
      <c r="S125" s="60" t="s">
        <v>2427</v>
      </c>
      <c r="T125" s="15" t="s">
        <v>2444</v>
      </c>
      <c r="U125" s="64" t="s">
        <v>336</v>
      </c>
      <c r="Y125" s="15" t="s">
        <v>2459</v>
      </c>
      <c r="Z125" s="15" t="s">
        <v>2453</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IF(LEN(_xludf.concat(BQ125:BS125))&gt;0,_xludf.concat("|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4.9" x14ac:dyDescent="0.4">
      <c r="A126" s="14" t="s">
        <v>1322</v>
      </c>
      <c r="B126" s="24" t="s">
        <v>1921</v>
      </c>
      <c r="C126" s="15" t="s">
        <v>2350</v>
      </c>
      <c r="D126" s="15">
        <v>33.232169550864199</v>
      </c>
      <c r="E126" s="49">
        <v>-117.31975640271099</v>
      </c>
      <c r="F126" s="24" t="s">
        <v>2330</v>
      </c>
      <c r="G126" s="121" t="s">
        <v>2359</v>
      </c>
      <c r="H126" s="15" t="s">
        <v>1835</v>
      </c>
      <c r="K126" s="15" t="b">
        <v>1</v>
      </c>
      <c r="L126" s="118" t="s">
        <v>2457</v>
      </c>
      <c r="N126" s="15" t="s">
        <v>2401</v>
      </c>
      <c r="O126" s="15" t="s">
        <v>336</v>
      </c>
      <c r="P126" s="60" t="s">
        <v>2405</v>
      </c>
      <c r="Q126" s="15" t="s">
        <v>2423</v>
      </c>
      <c r="R126" s="64" t="s">
        <v>336</v>
      </c>
      <c r="S126" s="60" t="s">
        <v>2427</v>
      </c>
      <c r="T126" s="15" t="s">
        <v>2445</v>
      </c>
      <c r="U126" s="64" t="s">
        <v>336</v>
      </c>
      <c r="Y126" s="15" t="s">
        <v>2459</v>
      </c>
      <c r="Z126" s="15" t="s">
        <v>2453</v>
      </c>
      <c r="AA126" s="15" t="s">
        <v>1426</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IF(LEN(_xludf.concat(BQ126:BS126))&gt;0,_xludf.concat("|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4.9" x14ac:dyDescent="0.4">
      <c r="A127" s="14" t="s">
        <v>1322</v>
      </c>
      <c r="B127" s="24" t="s">
        <v>1921</v>
      </c>
      <c r="C127" s="15" t="s">
        <v>2351</v>
      </c>
      <c r="D127" s="15">
        <v>34.594730577400298</v>
      </c>
      <c r="E127" s="49">
        <v>-120.13640525849399</v>
      </c>
      <c r="F127" s="24" t="s">
        <v>2331</v>
      </c>
      <c r="G127" s="53" t="s">
        <v>2331</v>
      </c>
      <c r="H127" s="15" t="s">
        <v>1835</v>
      </c>
      <c r="K127" s="15" t="b">
        <v>1</v>
      </c>
      <c r="L127" s="24" t="s">
        <v>2383</v>
      </c>
      <c r="N127" s="15" t="s">
        <v>2402</v>
      </c>
      <c r="O127" s="15" t="s">
        <v>336</v>
      </c>
      <c r="P127" s="60" t="s">
        <v>2405</v>
      </c>
      <c r="Q127" s="15" t="s">
        <v>2424</v>
      </c>
      <c r="R127" s="64" t="s">
        <v>336</v>
      </c>
      <c r="S127" s="60" t="s">
        <v>2427</v>
      </c>
      <c r="T127" s="15" t="s">
        <v>2446</v>
      </c>
      <c r="U127" s="64" t="s">
        <v>336</v>
      </c>
      <c r="Y127" s="15" t="s">
        <v>2459</v>
      </c>
      <c r="Z127" s="15" t="s">
        <v>2453</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IF(LEN(_xludf.concat(BQ127:BS127))&gt;0,_xludf.concat("|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4.9" x14ac:dyDescent="0.4">
      <c r="A128" s="14" t="s">
        <v>1322</v>
      </c>
      <c r="B128" s="24" t="s">
        <v>1921</v>
      </c>
      <c r="C128" s="15" t="s">
        <v>2352</v>
      </c>
      <c r="D128" s="15">
        <v>37.974237142318998</v>
      </c>
      <c r="E128" s="49">
        <v>-122.52797457374101</v>
      </c>
      <c r="F128" s="118" t="s">
        <v>2367</v>
      </c>
      <c r="G128" s="121" t="s">
        <v>2364</v>
      </c>
      <c r="H128" s="15" t="s">
        <v>1835</v>
      </c>
      <c r="K128" s="15" t="b">
        <v>1</v>
      </c>
      <c r="L128" s="24" t="s">
        <v>2384</v>
      </c>
      <c r="N128" s="15" t="s">
        <v>2403</v>
      </c>
      <c r="O128" s="15" t="s">
        <v>336</v>
      </c>
      <c r="P128" s="60" t="s">
        <v>2405</v>
      </c>
      <c r="Q128" s="15" t="s">
        <v>2425</v>
      </c>
      <c r="R128" s="64" t="s">
        <v>336</v>
      </c>
      <c r="S128" s="60" t="s">
        <v>2427</v>
      </c>
      <c r="T128" s="15" t="s">
        <v>2447</v>
      </c>
      <c r="U128" s="64" t="s">
        <v>336</v>
      </c>
      <c r="Y128" s="15" t="s">
        <v>2459</v>
      </c>
      <c r="Z128" s="15" t="s">
        <v>2453</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IF(LEN(_xludf.concat(BQ128:BS128))&gt;0,_xludf.concat("|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49.75" x14ac:dyDescent="0.4">
      <c r="A129" s="14" t="s">
        <v>1322</v>
      </c>
      <c r="B129" s="24" t="s">
        <v>1921</v>
      </c>
      <c r="C129" s="15" t="s">
        <v>2353</v>
      </c>
      <c r="D129" s="15">
        <v>38.293693030927699</v>
      </c>
      <c r="E129" s="49">
        <v>-122.45588850256701</v>
      </c>
      <c r="F129" s="24" t="s">
        <v>2332</v>
      </c>
      <c r="G129" s="53" t="s">
        <v>2332</v>
      </c>
      <c r="H129" s="15" t="s">
        <v>1835</v>
      </c>
      <c r="K129" s="15" t="b">
        <v>1</v>
      </c>
      <c r="L129" s="118" t="s">
        <v>2456</v>
      </c>
      <c r="N129" s="15" t="s">
        <v>2404</v>
      </c>
      <c r="O129" s="15" t="s">
        <v>336</v>
      </c>
      <c r="P129" s="60" t="s">
        <v>2405</v>
      </c>
      <c r="Q129" s="15" t="s">
        <v>2426</v>
      </c>
      <c r="R129" s="64" t="s">
        <v>336</v>
      </c>
      <c r="S129" s="60" t="s">
        <v>2427</v>
      </c>
      <c r="T129" s="15" t="s">
        <v>2448</v>
      </c>
      <c r="U129" s="64" t="s">
        <v>336</v>
      </c>
      <c r="Y129" s="15" t="s">
        <v>2459</v>
      </c>
      <c r="Z129" s="15" t="s">
        <v>2453</v>
      </c>
      <c r="AA129" s="15" t="s">
        <v>2139</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IF(LEN(_xludf.concat(BQ129:BS129))&gt;0,_xludf.concat("|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x14ac:dyDescent="0.4">
      <c r="A130" s="14" t="s">
        <v>1051</v>
      </c>
      <c r="B130" s="24" t="s">
        <v>2</v>
      </c>
      <c r="C130" s="119" t="s">
        <v>2462</v>
      </c>
      <c r="F130" s="118" t="s">
        <v>2463</v>
      </c>
      <c r="G130" s="121" t="s">
        <v>2464</v>
      </c>
      <c r="H130" s="119" t="s">
        <v>1767</v>
      </c>
      <c r="K130" s="15" t="b">
        <v>1</v>
      </c>
      <c r="N130" s="15" t="s">
        <v>2465</v>
      </c>
      <c r="P130" s="122"/>
      <c r="AR130" s="28" t="b">
        <f t="shared" si="713"/>
        <v>1</v>
      </c>
      <c r="AS130" s="29" t="str">
        <f t="shared" si="714"/>
        <v>title: "Sanctuary of St. Joseph Vaz"</v>
      </c>
      <c r="AU130" s="29" t="str">
        <f t="shared" si="716"/>
        <v>level: regional</v>
      </c>
      <c r="AW130" s="29" t="str">
        <f t="shared" si="717"/>
        <v>- goa</v>
      </c>
      <c r="AZ130" s="29" t="str">
        <f t="shared" si="720"/>
        <v>- holy-persons</v>
      </c>
    </row>
  </sheetData>
  <autoFilter ref="A1:CQ81" xr:uid="{A598B8B3-DE60-41C5-96BA-7CC5FA9AD3BE}"/>
  <conditionalFormatting sqref="A1:AP1048576 AR1:CK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54"/>
  <sheetViews>
    <sheetView workbookViewId="0">
      <pane ySplit="1" topLeftCell="A6" activePane="bottomLeft" state="frozen"/>
      <selection pane="bottomLeft" activeCell="A54" sqref="A54"/>
    </sheetView>
  </sheetViews>
  <sheetFormatPr defaultColWidth="9.15234375" defaultRowHeight="12.45" x14ac:dyDescent="0.3"/>
  <cols>
    <col min="1" max="1" width="23.69140625" style="21" bestFit="1" customWidth="1"/>
    <col min="2" max="2" width="46.3046875" style="21" bestFit="1" customWidth="1"/>
    <col min="3" max="3" width="12.15234375" style="21" bestFit="1" customWidth="1"/>
    <col min="4" max="16384" width="9.15234375" style="21"/>
  </cols>
  <sheetData>
    <row r="1" spans="1:5" s="20" customFormat="1" x14ac:dyDescent="0.3">
      <c r="A1" s="20" t="s">
        <v>1429</v>
      </c>
      <c r="B1" s="20" t="s">
        <v>1430</v>
      </c>
      <c r="C1" s="20" t="s">
        <v>2141</v>
      </c>
    </row>
    <row r="2" spans="1:5" x14ac:dyDescent="0.3">
      <c r="A2" s="21" t="s">
        <v>1037</v>
      </c>
      <c r="B2" s="21" t="s">
        <v>1431</v>
      </c>
      <c r="C2" s="94" t="s">
        <v>1762</v>
      </c>
    </row>
    <row r="3" spans="1:5" x14ac:dyDescent="0.3">
      <c r="A3" s="94" t="s">
        <v>2142</v>
      </c>
      <c r="B3" s="21" t="s">
        <v>1432</v>
      </c>
    </row>
    <row r="4" spans="1:5" x14ac:dyDescent="0.3">
      <c r="A4" s="21" t="s">
        <v>1405</v>
      </c>
      <c r="B4" s="21" t="s">
        <v>1433</v>
      </c>
      <c r="C4" s="21" t="s">
        <v>2147</v>
      </c>
    </row>
    <row r="5" spans="1:5" x14ac:dyDescent="0.3">
      <c r="A5" s="21" t="s">
        <v>1000</v>
      </c>
      <c r="B5" s="21" t="s">
        <v>1434</v>
      </c>
      <c r="C5" s="21" t="s">
        <v>2143</v>
      </c>
    </row>
    <row r="6" spans="1:5" x14ac:dyDescent="0.3">
      <c r="A6" s="21" t="s">
        <v>1419</v>
      </c>
      <c r="B6" s="21" t="s">
        <v>1436</v>
      </c>
      <c r="C6" s="94" t="s">
        <v>1762</v>
      </c>
    </row>
    <row r="7" spans="1:5" x14ac:dyDescent="0.3">
      <c r="A7" s="21" t="s">
        <v>486</v>
      </c>
      <c r="B7" s="21" t="s">
        <v>1437</v>
      </c>
      <c r="C7" s="94" t="s">
        <v>1762</v>
      </c>
    </row>
    <row r="8" spans="1:5" x14ac:dyDescent="0.3">
      <c r="A8" s="21" t="s">
        <v>1426</v>
      </c>
      <c r="B8" s="21" t="s">
        <v>1439</v>
      </c>
      <c r="C8" s="94" t="s">
        <v>2143</v>
      </c>
    </row>
    <row r="9" spans="1:5" x14ac:dyDescent="0.3">
      <c r="A9" s="21" t="s">
        <v>487</v>
      </c>
      <c r="B9" s="94" t="s">
        <v>2144</v>
      </c>
      <c r="C9" s="94" t="s">
        <v>1762</v>
      </c>
    </row>
    <row r="10" spans="1:5" x14ac:dyDescent="0.3">
      <c r="A10" s="21" t="s">
        <v>488</v>
      </c>
      <c r="B10" s="21" t="s">
        <v>1438</v>
      </c>
      <c r="C10" s="94" t="s">
        <v>1762</v>
      </c>
    </row>
    <row r="11" spans="1:5" x14ac:dyDescent="0.3">
      <c r="A11" s="21" t="s">
        <v>489</v>
      </c>
      <c r="B11" s="21" t="s">
        <v>1440</v>
      </c>
      <c r="C11" s="94" t="s">
        <v>1762</v>
      </c>
      <c r="E11" s="21" t="s">
        <v>2461</v>
      </c>
    </row>
    <row r="12" spans="1:5" x14ac:dyDescent="0.3">
      <c r="A12" s="21" t="s">
        <v>490</v>
      </c>
      <c r="B12" s="21" t="s">
        <v>1441</v>
      </c>
      <c r="C12" s="94" t="s">
        <v>1762</v>
      </c>
    </row>
    <row r="13" spans="1:5" x14ac:dyDescent="0.3">
      <c r="A13" s="21" t="s">
        <v>1427</v>
      </c>
      <c r="B13" s="21" t="s">
        <v>1442</v>
      </c>
      <c r="C13" s="94" t="s">
        <v>1762</v>
      </c>
    </row>
    <row r="14" spans="1:5" x14ac:dyDescent="0.3">
      <c r="A14" s="21" t="s">
        <v>1321</v>
      </c>
      <c r="B14" s="94" t="s">
        <v>2145</v>
      </c>
      <c r="C14" s="94" t="s">
        <v>1762</v>
      </c>
    </row>
    <row r="15" spans="1:5" x14ac:dyDescent="0.3">
      <c r="A15" s="21" t="s">
        <v>1020</v>
      </c>
      <c r="B15" s="21" t="s">
        <v>1444</v>
      </c>
      <c r="C15" s="94" t="s">
        <v>2147</v>
      </c>
    </row>
    <row r="16" spans="1:5" x14ac:dyDescent="0.3">
      <c r="A16" s="21" t="s">
        <v>1428</v>
      </c>
      <c r="B16" s="21" t="s">
        <v>1443</v>
      </c>
      <c r="C16" s="94" t="s">
        <v>1762</v>
      </c>
    </row>
    <row r="17" spans="1:3" x14ac:dyDescent="0.3">
      <c r="A17" s="21" t="s">
        <v>1707</v>
      </c>
      <c r="B17" s="21" t="s">
        <v>1708</v>
      </c>
      <c r="C17" s="21" t="s">
        <v>1762</v>
      </c>
    </row>
    <row r="18" spans="1:3" x14ac:dyDescent="0.3">
      <c r="A18" s="21" t="s">
        <v>1725</v>
      </c>
      <c r="B18" s="22" t="s">
        <v>1726</v>
      </c>
      <c r="C18" s="21" t="s">
        <v>1762</v>
      </c>
    </row>
    <row r="19" spans="1:3" x14ac:dyDescent="0.3">
      <c r="A19" s="21" t="s">
        <v>1728</v>
      </c>
      <c r="B19" s="22" t="s">
        <v>1727</v>
      </c>
      <c r="C19" s="21" t="s">
        <v>1762</v>
      </c>
    </row>
    <row r="20" spans="1:3" x14ac:dyDescent="0.3">
      <c r="A20" s="21" t="s">
        <v>1760</v>
      </c>
      <c r="B20" s="22" t="s">
        <v>1761</v>
      </c>
      <c r="C20" s="21" t="s">
        <v>1762</v>
      </c>
    </row>
    <row r="21" spans="1:3" x14ac:dyDescent="0.3">
      <c r="A21" s="21" t="s">
        <v>1764</v>
      </c>
      <c r="B21" s="22" t="s">
        <v>1765</v>
      </c>
    </row>
    <row r="22" spans="1:3" x14ac:dyDescent="0.3">
      <c r="A22" s="22" t="s">
        <v>1763</v>
      </c>
      <c r="B22" s="22" t="s">
        <v>1766</v>
      </c>
    </row>
    <row r="23" spans="1:3" x14ac:dyDescent="0.3">
      <c r="A23" s="21" t="s">
        <v>1772</v>
      </c>
      <c r="B23" s="22" t="s">
        <v>1773</v>
      </c>
      <c r="C23" s="21" t="s">
        <v>1762</v>
      </c>
    </row>
    <row r="24" spans="1:3" x14ac:dyDescent="0.3">
      <c r="A24" s="94" t="s">
        <v>1843</v>
      </c>
      <c r="B24" s="94" t="s">
        <v>1845</v>
      </c>
      <c r="C24" s="21" t="s">
        <v>1762</v>
      </c>
    </row>
    <row r="25" spans="1:3" x14ac:dyDescent="0.3">
      <c r="A25" s="94" t="s">
        <v>1844</v>
      </c>
      <c r="B25" s="94" t="s">
        <v>1846</v>
      </c>
      <c r="C25" s="21" t="s">
        <v>1762</v>
      </c>
    </row>
    <row r="26" spans="1:3" x14ac:dyDescent="0.3">
      <c r="A26" s="94" t="s">
        <v>1847</v>
      </c>
      <c r="B26" s="94" t="s">
        <v>1848</v>
      </c>
      <c r="C26" s="21" t="s">
        <v>1762</v>
      </c>
    </row>
    <row r="27" spans="1:3" x14ac:dyDescent="0.3">
      <c r="A27" s="21" t="s">
        <v>1853</v>
      </c>
      <c r="B27" s="94" t="s">
        <v>1854</v>
      </c>
      <c r="C27" s="21" t="s">
        <v>1762</v>
      </c>
    </row>
    <row r="28" spans="1:3" x14ac:dyDescent="0.3">
      <c r="A28" s="94" t="s">
        <v>1865</v>
      </c>
      <c r="B28" s="94" t="s">
        <v>1866</v>
      </c>
      <c r="C28" s="94" t="s">
        <v>2143</v>
      </c>
    </row>
    <row r="29" spans="1:3" x14ac:dyDescent="0.3">
      <c r="A29" s="21" t="s">
        <v>1874</v>
      </c>
      <c r="B29" s="94" t="s">
        <v>1875</v>
      </c>
      <c r="C29" s="21" t="s">
        <v>1762</v>
      </c>
    </row>
    <row r="30" spans="1:3" x14ac:dyDescent="0.3">
      <c r="A30" s="94" t="s">
        <v>1903</v>
      </c>
      <c r="B30" s="94" t="s">
        <v>1904</v>
      </c>
      <c r="C30" s="21" t="s">
        <v>1762</v>
      </c>
    </row>
    <row r="31" spans="1:3" x14ac:dyDescent="0.3">
      <c r="A31" s="94" t="s">
        <v>2024</v>
      </c>
      <c r="B31" s="94" t="s">
        <v>2025</v>
      </c>
      <c r="C31" s="21" t="s">
        <v>1762</v>
      </c>
    </row>
    <row r="32" spans="1:3" x14ac:dyDescent="0.3">
      <c r="A32" s="94" t="s">
        <v>2042</v>
      </c>
      <c r="B32" s="94" t="s">
        <v>2043</v>
      </c>
      <c r="C32" s="21" t="s">
        <v>1762</v>
      </c>
    </row>
    <row r="33" spans="1:5" x14ac:dyDescent="0.3">
      <c r="A33" s="21" t="s">
        <v>2051</v>
      </c>
      <c r="B33" s="94" t="s">
        <v>2054</v>
      </c>
      <c r="C33" s="21" t="s">
        <v>1762</v>
      </c>
    </row>
    <row r="34" spans="1:5" x14ac:dyDescent="0.3">
      <c r="A34" s="21" t="s">
        <v>2052</v>
      </c>
      <c r="B34" s="94" t="s">
        <v>2055</v>
      </c>
      <c r="C34" s="21" t="s">
        <v>1762</v>
      </c>
    </row>
    <row r="35" spans="1:5" x14ac:dyDescent="0.3">
      <c r="A35" s="21" t="s">
        <v>2053</v>
      </c>
      <c r="B35" s="94" t="s">
        <v>2058</v>
      </c>
      <c r="C35" s="21" t="s">
        <v>1762</v>
      </c>
    </row>
    <row r="36" spans="1:5" x14ac:dyDescent="0.3">
      <c r="A36" s="94" t="s">
        <v>2061</v>
      </c>
      <c r="B36" s="94" t="s">
        <v>2059</v>
      </c>
      <c r="C36" s="21" t="s">
        <v>1762</v>
      </c>
    </row>
    <row r="37" spans="1:5" x14ac:dyDescent="0.3">
      <c r="A37" s="94" t="s">
        <v>2056</v>
      </c>
      <c r="B37" s="94" t="s">
        <v>2057</v>
      </c>
    </row>
    <row r="38" spans="1:5" x14ac:dyDescent="0.3">
      <c r="A38" s="94" t="s">
        <v>2080</v>
      </c>
      <c r="B38" s="94" t="s">
        <v>2081</v>
      </c>
      <c r="C38" s="94" t="s">
        <v>2146</v>
      </c>
    </row>
    <row r="39" spans="1:5" x14ac:dyDescent="0.3">
      <c r="A39" s="94" t="s">
        <v>2082</v>
      </c>
      <c r="B39" s="94" t="s">
        <v>2083</v>
      </c>
      <c r="C39" s="94" t="s">
        <v>2146</v>
      </c>
    </row>
    <row r="40" spans="1:5" x14ac:dyDescent="0.3">
      <c r="A40" s="94" t="s">
        <v>2139</v>
      </c>
      <c r="B40" s="94" t="s">
        <v>2140</v>
      </c>
      <c r="C40" s="94" t="s">
        <v>2143</v>
      </c>
    </row>
    <row r="41" spans="1:5" x14ac:dyDescent="0.3">
      <c r="A41" s="107" t="s">
        <v>2153</v>
      </c>
      <c r="B41" s="107" t="s">
        <v>2154</v>
      </c>
      <c r="C41" s="107" t="s">
        <v>2146</v>
      </c>
    </row>
    <row r="42" spans="1:5" x14ac:dyDescent="0.3">
      <c r="A42" s="107" t="s">
        <v>2152</v>
      </c>
      <c r="B42" s="107" t="s">
        <v>2155</v>
      </c>
      <c r="C42" s="107" t="s">
        <v>2146</v>
      </c>
    </row>
    <row r="43" spans="1:5" x14ac:dyDescent="0.3">
      <c r="A43" s="107" t="s">
        <v>2157</v>
      </c>
      <c r="B43" s="107" t="s">
        <v>2158</v>
      </c>
      <c r="C43" s="107" t="s">
        <v>1762</v>
      </c>
      <c r="E43" s="21" t="s">
        <v>2217</v>
      </c>
    </row>
    <row r="44" spans="1:5" x14ac:dyDescent="0.3">
      <c r="A44" s="107" t="s">
        <v>2156</v>
      </c>
      <c r="B44" s="107" t="s">
        <v>2159</v>
      </c>
      <c r="C44" s="21" t="s">
        <v>1762</v>
      </c>
    </row>
    <row r="45" spans="1:5" x14ac:dyDescent="0.3">
      <c r="A45" s="107" t="s">
        <v>2190</v>
      </c>
      <c r="B45" s="107" t="s">
        <v>2191</v>
      </c>
      <c r="C45" s="107" t="s">
        <v>2146</v>
      </c>
    </row>
    <row r="46" spans="1:5" x14ac:dyDescent="0.3">
      <c r="A46" s="107" t="s">
        <v>2260</v>
      </c>
      <c r="B46" s="107" t="s">
        <v>2261</v>
      </c>
      <c r="C46" s="107" t="s">
        <v>1762</v>
      </c>
    </row>
    <row r="47" spans="1:5" x14ac:dyDescent="0.3">
      <c r="A47" s="107" t="s">
        <v>2262</v>
      </c>
      <c r="B47" s="107" t="s">
        <v>2263</v>
      </c>
      <c r="C47" s="107" t="s">
        <v>1762</v>
      </c>
    </row>
    <row r="48" spans="1:5" x14ac:dyDescent="0.3">
      <c r="A48" s="107" t="s">
        <v>2264</v>
      </c>
      <c r="B48" s="107" t="s">
        <v>2265</v>
      </c>
      <c r="C48" s="107" t="s">
        <v>1762</v>
      </c>
    </row>
    <row r="49" spans="1:3" x14ac:dyDescent="0.3">
      <c r="A49" s="115" t="s">
        <v>2298</v>
      </c>
      <c r="B49" s="115" t="s">
        <v>2299</v>
      </c>
      <c r="C49" s="115" t="s">
        <v>1762</v>
      </c>
    </row>
    <row r="50" spans="1:3" x14ac:dyDescent="0.3">
      <c r="A50" s="120" t="s">
        <v>2310</v>
      </c>
      <c r="B50" s="120" t="s">
        <v>2311</v>
      </c>
      <c r="C50" s="120" t="s">
        <v>2143</v>
      </c>
    </row>
    <row r="51" spans="1:3" x14ac:dyDescent="0.3">
      <c r="A51" s="120" t="s">
        <v>2449</v>
      </c>
      <c r="B51" s="120" t="s">
        <v>2450</v>
      </c>
      <c r="C51" s="120" t="s">
        <v>2143</v>
      </c>
    </row>
    <row r="52" spans="1:3" x14ac:dyDescent="0.3">
      <c r="A52" s="120" t="s">
        <v>2451</v>
      </c>
      <c r="B52" s="120" t="s">
        <v>2452</v>
      </c>
      <c r="C52" s="120" t="s">
        <v>1762</v>
      </c>
    </row>
    <row r="53" spans="1:3" x14ac:dyDescent="0.3">
      <c r="A53" s="120" t="s">
        <v>2453</v>
      </c>
      <c r="B53" s="120" t="s">
        <v>2454</v>
      </c>
      <c r="C53" s="120" t="s">
        <v>2143</v>
      </c>
    </row>
    <row r="54" spans="1:3" x14ac:dyDescent="0.3">
      <c r="A54" s="120" t="s">
        <v>2459</v>
      </c>
      <c r="B54" s="120" t="s">
        <v>2460</v>
      </c>
      <c r="C54" s="120" t="s">
        <v>2143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B2" sqref="B2"/>
    </sheetView>
  </sheetViews>
  <sheetFormatPr defaultColWidth="9.15234375" defaultRowHeight="12.45" x14ac:dyDescent="0.4"/>
  <cols>
    <col min="1" max="1" width="45.3828125" style="15" bestFit="1" customWidth="1"/>
    <col min="2" max="2" width="16.3046875" style="15" bestFit="1" customWidth="1"/>
    <col min="3" max="3" width="40.84375" style="15" bestFit="1" customWidth="1"/>
    <col min="4" max="16384" width="9.15234375" style="15"/>
  </cols>
  <sheetData>
    <row r="1" spans="1:3" s="14" customFormat="1" x14ac:dyDescent="0.4">
      <c r="A1" s="14" t="s">
        <v>485</v>
      </c>
      <c r="B1" s="14" t="s">
        <v>2148</v>
      </c>
      <c r="C1" s="14" t="s">
        <v>339</v>
      </c>
    </row>
    <row r="2" spans="1:3" x14ac:dyDescent="0.4">
      <c r="A2" s="15" t="s">
        <v>491</v>
      </c>
      <c r="B2" s="15" t="s">
        <v>743</v>
      </c>
      <c r="C2" s="15" t="s">
        <v>1460</v>
      </c>
    </row>
    <row r="3" spans="1:3" x14ac:dyDescent="0.4">
      <c r="A3" s="15" t="s">
        <v>492</v>
      </c>
      <c r="B3" s="15" t="s">
        <v>744</v>
      </c>
      <c r="C3" s="16" t="s">
        <v>1461</v>
      </c>
    </row>
    <row r="4" spans="1:3" x14ac:dyDescent="0.4">
      <c r="A4" s="15" t="s">
        <v>493</v>
      </c>
      <c r="B4" s="15" t="s">
        <v>745</v>
      </c>
      <c r="C4" s="15" t="s">
        <v>1462</v>
      </c>
    </row>
    <row r="5" spans="1:3" x14ac:dyDescent="0.4">
      <c r="A5" s="15" t="s">
        <v>494</v>
      </c>
      <c r="B5" s="15" t="s">
        <v>746</v>
      </c>
      <c r="C5" s="16" t="s">
        <v>1463</v>
      </c>
    </row>
    <row r="6" spans="1:3" x14ac:dyDescent="0.4">
      <c r="A6" s="15" t="s">
        <v>495</v>
      </c>
      <c r="B6" s="15" t="s">
        <v>747</v>
      </c>
      <c r="C6" s="15" t="s">
        <v>1464</v>
      </c>
    </row>
    <row r="7" spans="1:3" x14ac:dyDescent="0.4">
      <c r="A7" s="15" t="s">
        <v>496</v>
      </c>
      <c r="B7" s="15" t="s">
        <v>748</v>
      </c>
      <c r="C7" s="15" t="s">
        <v>1465</v>
      </c>
    </row>
    <row r="8" spans="1:3" x14ac:dyDescent="0.4">
      <c r="A8" s="15" t="s">
        <v>497</v>
      </c>
      <c r="B8" s="15" t="s">
        <v>749</v>
      </c>
      <c r="C8" s="15" t="s">
        <v>1466</v>
      </c>
    </row>
    <row r="9" spans="1:3" x14ac:dyDescent="0.4">
      <c r="A9" s="15" t="s">
        <v>498</v>
      </c>
      <c r="B9" s="15" t="s">
        <v>750</v>
      </c>
      <c r="C9" s="15" t="s">
        <v>1467</v>
      </c>
    </row>
    <row r="10" spans="1:3" x14ac:dyDescent="0.4">
      <c r="A10" s="15" t="s">
        <v>499</v>
      </c>
      <c r="B10" s="15" t="s">
        <v>751</v>
      </c>
      <c r="C10" s="15" t="s">
        <v>1468</v>
      </c>
    </row>
    <row r="11" spans="1:3" x14ac:dyDescent="0.4">
      <c r="A11" s="15" t="s">
        <v>500</v>
      </c>
      <c r="B11" s="15" t="s">
        <v>752</v>
      </c>
      <c r="C11" s="15" t="s">
        <v>1469</v>
      </c>
    </row>
    <row r="12" spans="1:3" x14ac:dyDescent="0.4">
      <c r="A12" s="15" t="s">
        <v>501</v>
      </c>
      <c r="B12" s="15" t="s">
        <v>753</v>
      </c>
      <c r="C12" s="16" t="s">
        <v>1470</v>
      </c>
    </row>
    <row r="13" spans="1:3" x14ac:dyDescent="0.4">
      <c r="A13" s="15" t="s">
        <v>502</v>
      </c>
      <c r="B13" s="15" t="s">
        <v>754</v>
      </c>
      <c r="C13" s="15" t="s">
        <v>1471</v>
      </c>
    </row>
    <row r="14" spans="1:3" x14ac:dyDescent="0.4">
      <c r="A14" s="15" t="s">
        <v>503</v>
      </c>
      <c r="B14" s="15" t="s">
        <v>755</v>
      </c>
      <c r="C14" s="15" t="s">
        <v>1472</v>
      </c>
    </row>
    <row r="15" spans="1:3" x14ac:dyDescent="0.4">
      <c r="A15" s="15" t="s">
        <v>504</v>
      </c>
      <c r="B15" s="15" t="s">
        <v>756</v>
      </c>
      <c r="C15" s="15" t="s">
        <v>1473</v>
      </c>
    </row>
    <row r="16" spans="1:3" x14ac:dyDescent="0.4">
      <c r="A16" s="15" t="s">
        <v>735</v>
      </c>
      <c r="B16" s="15" t="s">
        <v>757</v>
      </c>
      <c r="C16" s="16" t="s">
        <v>1474</v>
      </c>
    </row>
    <row r="17" spans="1:3" x14ac:dyDescent="0.4">
      <c r="A17" s="15" t="s">
        <v>505</v>
      </c>
      <c r="B17" s="15" t="s">
        <v>758</v>
      </c>
      <c r="C17" s="15" t="s">
        <v>1475</v>
      </c>
    </row>
    <row r="18" spans="1:3" x14ac:dyDescent="0.4">
      <c r="A18" s="15" t="s">
        <v>506</v>
      </c>
      <c r="B18" s="15" t="s">
        <v>759</v>
      </c>
      <c r="C18" s="16" t="s">
        <v>1476</v>
      </c>
    </row>
    <row r="19" spans="1:3" x14ac:dyDescent="0.4">
      <c r="A19" s="15" t="s">
        <v>507</v>
      </c>
      <c r="B19" s="15" t="s">
        <v>760</v>
      </c>
      <c r="C19" s="15" t="s">
        <v>1477</v>
      </c>
    </row>
    <row r="20" spans="1:3" x14ac:dyDescent="0.4">
      <c r="A20" s="15" t="s">
        <v>508</v>
      </c>
      <c r="B20" s="15" t="s">
        <v>761</v>
      </c>
      <c r="C20" s="15" t="s">
        <v>1478</v>
      </c>
    </row>
    <row r="21" spans="1:3" x14ac:dyDescent="0.4">
      <c r="A21" s="15" t="s">
        <v>509</v>
      </c>
      <c r="B21" s="15" t="s">
        <v>762</v>
      </c>
      <c r="C21" s="15" t="s">
        <v>1479</v>
      </c>
    </row>
    <row r="22" spans="1:3" x14ac:dyDescent="0.4">
      <c r="A22" s="15" t="s">
        <v>510</v>
      </c>
      <c r="B22" s="15" t="s">
        <v>763</v>
      </c>
      <c r="C22" s="16" t="s">
        <v>1480</v>
      </c>
    </row>
    <row r="23" spans="1:3" x14ac:dyDescent="0.4">
      <c r="A23" s="15" t="s">
        <v>511</v>
      </c>
      <c r="B23" s="15" t="s">
        <v>764</v>
      </c>
      <c r="C23" s="15" t="s">
        <v>1481</v>
      </c>
    </row>
    <row r="24" spans="1:3" x14ac:dyDescent="0.4">
      <c r="A24" s="15" t="s">
        <v>512</v>
      </c>
      <c r="B24" s="15" t="s">
        <v>765</v>
      </c>
      <c r="C24" s="15" t="s">
        <v>1482</v>
      </c>
    </row>
    <row r="25" spans="1:3" x14ac:dyDescent="0.4">
      <c r="A25" s="15" t="s">
        <v>513</v>
      </c>
      <c r="B25" s="15" t="s">
        <v>766</v>
      </c>
      <c r="C25" s="15" t="s">
        <v>1483</v>
      </c>
    </row>
    <row r="26" spans="1:3" x14ac:dyDescent="0.4">
      <c r="A26" s="15" t="s">
        <v>514</v>
      </c>
      <c r="B26" s="15" t="s">
        <v>767</v>
      </c>
      <c r="C26" s="15" t="s">
        <v>1484</v>
      </c>
    </row>
    <row r="27" spans="1:3" x14ac:dyDescent="0.4">
      <c r="A27" s="15" t="s">
        <v>734</v>
      </c>
      <c r="B27" s="15" t="s">
        <v>768</v>
      </c>
      <c r="C27" s="16" t="s">
        <v>1485</v>
      </c>
    </row>
    <row r="28" spans="1:3" x14ac:dyDescent="0.4">
      <c r="A28" s="15" t="s">
        <v>515</v>
      </c>
      <c r="B28" s="15" t="s">
        <v>769</v>
      </c>
      <c r="C28" s="15" t="s">
        <v>1486</v>
      </c>
    </row>
    <row r="29" spans="1:3" x14ac:dyDescent="0.4">
      <c r="A29" s="15" t="s">
        <v>516</v>
      </c>
      <c r="B29" s="15" t="s">
        <v>770</v>
      </c>
      <c r="C29" s="16" t="s">
        <v>1487</v>
      </c>
    </row>
    <row r="30" spans="1:3" x14ac:dyDescent="0.4">
      <c r="A30" s="15" t="s">
        <v>709</v>
      </c>
      <c r="B30" s="15" t="s">
        <v>771</v>
      </c>
      <c r="C30" s="15" t="s">
        <v>1488</v>
      </c>
    </row>
    <row r="31" spans="1:3" x14ac:dyDescent="0.4">
      <c r="A31" s="15" t="s">
        <v>517</v>
      </c>
      <c r="B31" s="15" t="s">
        <v>772</v>
      </c>
      <c r="C31" s="16" t="s">
        <v>1489</v>
      </c>
    </row>
    <row r="32" spans="1:3" x14ac:dyDescent="0.4">
      <c r="A32" s="15" t="s">
        <v>518</v>
      </c>
      <c r="B32" s="15" t="s">
        <v>773</v>
      </c>
      <c r="C32" s="15" t="s">
        <v>1490</v>
      </c>
    </row>
    <row r="33" spans="1:3" x14ac:dyDescent="0.4">
      <c r="A33" s="15" t="s">
        <v>519</v>
      </c>
      <c r="B33" s="15" t="s">
        <v>774</v>
      </c>
      <c r="C33" s="15" t="s">
        <v>1491</v>
      </c>
    </row>
    <row r="34" spans="1:3" x14ac:dyDescent="0.4">
      <c r="A34" s="15" t="s">
        <v>520</v>
      </c>
      <c r="B34" s="15" t="s">
        <v>775</v>
      </c>
      <c r="C34" s="15" t="s">
        <v>1492</v>
      </c>
    </row>
    <row r="35" spans="1:3" x14ac:dyDescent="0.4">
      <c r="A35" s="15" t="s">
        <v>521</v>
      </c>
      <c r="B35" s="15" t="s">
        <v>776</v>
      </c>
      <c r="C35" s="16" t="s">
        <v>1493</v>
      </c>
    </row>
    <row r="36" spans="1:3" x14ac:dyDescent="0.4">
      <c r="A36" s="15" t="s">
        <v>522</v>
      </c>
      <c r="B36" s="15" t="s">
        <v>777</v>
      </c>
      <c r="C36" s="15" t="s">
        <v>1494</v>
      </c>
    </row>
    <row r="37" spans="1:3" x14ac:dyDescent="0.4">
      <c r="A37" s="15" t="s">
        <v>523</v>
      </c>
      <c r="B37" s="15" t="s">
        <v>778</v>
      </c>
      <c r="C37" s="15" t="s">
        <v>1495</v>
      </c>
    </row>
    <row r="38" spans="1:3" x14ac:dyDescent="0.4">
      <c r="A38" s="15" t="s">
        <v>524</v>
      </c>
      <c r="B38" s="15" t="s">
        <v>779</v>
      </c>
      <c r="C38" s="15" t="s">
        <v>1496</v>
      </c>
    </row>
    <row r="39" spans="1:3" x14ac:dyDescent="0.4">
      <c r="A39" s="15" t="s">
        <v>525</v>
      </c>
      <c r="B39" s="15" t="s">
        <v>780</v>
      </c>
      <c r="C39" s="15" t="s">
        <v>1497</v>
      </c>
    </row>
    <row r="40" spans="1:3" x14ac:dyDescent="0.4">
      <c r="A40" s="15" t="s">
        <v>526</v>
      </c>
      <c r="B40" s="15" t="s">
        <v>781</v>
      </c>
      <c r="C40" s="16" t="s">
        <v>1498</v>
      </c>
    </row>
    <row r="41" spans="1:3" x14ac:dyDescent="0.4">
      <c r="A41" s="15" t="s">
        <v>710</v>
      </c>
      <c r="B41" s="15" t="s">
        <v>782</v>
      </c>
      <c r="C41" s="16" t="s">
        <v>1499</v>
      </c>
    </row>
    <row r="42" spans="1:3" x14ac:dyDescent="0.4">
      <c r="A42" s="15" t="s">
        <v>527</v>
      </c>
      <c r="B42" s="15" t="s">
        <v>783</v>
      </c>
      <c r="C42" s="16" t="s">
        <v>1500</v>
      </c>
    </row>
    <row r="43" spans="1:3" x14ac:dyDescent="0.4">
      <c r="A43" s="15" t="s">
        <v>528</v>
      </c>
      <c r="B43" s="15" t="s">
        <v>784</v>
      </c>
      <c r="C43" s="15" t="s">
        <v>1501</v>
      </c>
    </row>
    <row r="44" spans="1:3" x14ac:dyDescent="0.4">
      <c r="A44" s="15" t="s">
        <v>529</v>
      </c>
      <c r="B44" s="15" t="s">
        <v>785</v>
      </c>
      <c r="C44" s="15" t="s">
        <v>1502</v>
      </c>
    </row>
    <row r="45" spans="1:3" x14ac:dyDescent="0.4">
      <c r="A45" s="15" t="s">
        <v>733</v>
      </c>
      <c r="B45" s="15" t="s">
        <v>786</v>
      </c>
      <c r="C45" s="16" t="s">
        <v>1503</v>
      </c>
    </row>
    <row r="46" spans="1:3" x14ac:dyDescent="0.4">
      <c r="A46" s="15" t="s">
        <v>530</v>
      </c>
      <c r="B46" s="15" t="s">
        <v>787</v>
      </c>
      <c r="C46" s="16" t="s">
        <v>1504</v>
      </c>
    </row>
    <row r="47" spans="1:3" x14ac:dyDescent="0.4">
      <c r="A47" s="15" t="s">
        <v>531</v>
      </c>
      <c r="B47" s="15" t="s">
        <v>788</v>
      </c>
      <c r="C47" s="15" t="s">
        <v>1505</v>
      </c>
    </row>
    <row r="48" spans="1:3" x14ac:dyDescent="0.4">
      <c r="A48" s="15" t="s">
        <v>532</v>
      </c>
      <c r="B48" s="15" t="s">
        <v>789</v>
      </c>
      <c r="C48" s="15" t="s">
        <v>1506</v>
      </c>
    </row>
    <row r="49" spans="1:3" x14ac:dyDescent="0.4">
      <c r="A49" s="15" t="s">
        <v>533</v>
      </c>
      <c r="B49" s="15" t="s">
        <v>790</v>
      </c>
      <c r="C49" s="15" t="s">
        <v>1507</v>
      </c>
    </row>
    <row r="50" spans="1:3" x14ac:dyDescent="0.4">
      <c r="A50" s="15" t="s">
        <v>534</v>
      </c>
      <c r="B50" s="15" t="s">
        <v>791</v>
      </c>
      <c r="C50" s="15" t="s">
        <v>1508</v>
      </c>
    </row>
    <row r="51" spans="1:3" x14ac:dyDescent="0.4">
      <c r="A51" s="15" t="s">
        <v>535</v>
      </c>
      <c r="B51" s="15" t="s">
        <v>792</v>
      </c>
      <c r="C51" s="16" t="s">
        <v>1509</v>
      </c>
    </row>
    <row r="52" spans="1:3" x14ac:dyDescent="0.4">
      <c r="A52" s="15" t="s">
        <v>536</v>
      </c>
      <c r="B52" s="15" t="s">
        <v>793</v>
      </c>
      <c r="C52" s="15" t="s">
        <v>1510</v>
      </c>
    </row>
    <row r="53" spans="1:3" x14ac:dyDescent="0.4">
      <c r="A53" s="15" t="s">
        <v>537</v>
      </c>
      <c r="B53" s="15" t="s">
        <v>794</v>
      </c>
      <c r="C53" s="16" t="s">
        <v>1511</v>
      </c>
    </row>
    <row r="54" spans="1:3" x14ac:dyDescent="0.4">
      <c r="A54" s="15" t="s">
        <v>538</v>
      </c>
      <c r="B54" s="15" t="s">
        <v>795</v>
      </c>
      <c r="C54" s="15" t="s">
        <v>1512</v>
      </c>
    </row>
    <row r="55" spans="1:3" x14ac:dyDescent="0.4">
      <c r="A55" s="15" t="s">
        <v>539</v>
      </c>
      <c r="B55" s="15" t="s">
        <v>796</v>
      </c>
      <c r="C55" s="16" t="s">
        <v>1513</v>
      </c>
    </row>
    <row r="56" spans="1:3" x14ac:dyDescent="0.4">
      <c r="A56" s="15" t="s">
        <v>540</v>
      </c>
      <c r="B56" s="15" t="s">
        <v>797</v>
      </c>
      <c r="C56" s="15" t="s">
        <v>1514</v>
      </c>
    </row>
    <row r="57" spans="1:3" x14ac:dyDescent="0.4">
      <c r="A57" s="15" t="s">
        <v>541</v>
      </c>
      <c r="B57" s="15" t="s">
        <v>798</v>
      </c>
      <c r="C57" s="15" t="s">
        <v>1515</v>
      </c>
    </row>
    <row r="58" spans="1:3" x14ac:dyDescent="0.4">
      <c r="A58" s="15" t="s">
        <v>542</v>
      </c>
      <c r="B58" s="15" t="s">
        <v>799</v>
      </c>
      <c r="C58" s="15" t="s">
        <v>1516</v>
      </c>
    </row>
    <row r="59" spans="1:3" x14ac:dyDescent="0.4">
      <c r="A59" s="15" t="s">
        <v>543</v>
      </c>
      <c r="B59" s="15" t="s">
        <v>800</v>
      </c>
      <c r="C59" s="15" t="s">
        <v>1517</v>
      </c>
    </row>
    <row r="60" spans="1:3" x14ac:dyDescent="0.4">
      <c r="A60" s="15" t="s">
        <v>544</v>
      </c>
      <c r="B60" s="15" t="s">
        <v>801</v>
      </c>
      <c r="C60" s="15" t="s">
        <v>1518</v>
      </c>
    </row>
    <row r="61" spans="1:3" x14ac:dyDescent="0.4">
      <c r="A61" s="15" t="s">
        <v>545</v>
      </c>
      <c r="B61" s="15" t="s">
        <v>802</v>
      </c>
      <c r="C61" s="15" t="s">
        <v>1519</v>
      </c>
    </row>
    <row r="62" spans="1:3" x14ac:dyDescent="0.4">
      <c r="A62" s="15" t="s">
        <v>546</v>
      </c>
      <c r="B62" s="15" t="s">
        <v>803</v>
      </c>
      <c r="C62" s="16" t="s">
        <v>1520</v>
      </c>
    </row>
    <row r="63" spans="1:3" x14ac:dyDescent="0.4">
      <c r="A63" s="15" t="s">
        <v>547</v>
      </c>
      <c r="B63" s="15" t="s">
        <v>804</v>
      </c>
      <c r="C63" s="15" t="s">
        <v>1521</v>
      </c>
    </row>
    <row r="64" spans="1:3" x14ac:dyDescent="0.4">
      <c r="A64" s="15" t="s">
        <v>548</v>
      </c>
      <c r="B64" s="15" t="s">
        <v>805</v>
      </c>
      <c r="C64" s="15" t="s">
        <v>1522</v>
      </c>
    </row>
    <row r="65" spans="1:3" x14ac:dyDescent="0.4">
      <c r="A65" s="15" t="s">
        <v>549</v>
      </c>
      <c r="B65" s="15" t="s">
        <v>806</v>
      </c>
      <c r="C65" s="15" t="s">
        <v>1523</v>
      </c>
    </row>
    <row r="66" spans="1:3" x14ac:dyDescent="0.4">
      <c r="A66" s="15" t="s">
        <v>21</v>
      </c>
      <c r="B66" s="15" t="s">
        <v>807</v>
      </c>
      <c r="C66" s="15" t="s">
        <v>1524</v>
      </c>
    </row>
    <row r="67" spans="1:3" x14ac:dyDescent="0.4">
      <c r="A67" s="15" t="s">
        <v>550</v>
      </c>
      <c r="B67" s="15" t="s">
        <v>808</v>
      </c>
      <c r="C67" s="16" t="s">
        <v>1525</v>
      </c>
    </row>
    <row r="68" spans="1:3" x14ac:dyDescent="0.4">
      <c r="A68" s="15" t="s">
        <v>551</v>
      </c>
      <c r="B68" s="15" t="s">
        <v>809</v>
      </c>
      <c r="C68" s="15" t="s">
        <v>1526</v>
      </c>
    </row>
    <row r="69" spans="1:3" x14ac:dyDescent="0.4">
      <c r="A69" s="15" t="s">
        <v>552</v>
      </c>
      <c r="B69" s="15" t="s">
        <v>810</v>
      </c>
      <c r="C69" s="15" t="s">
        <v>1527</v>
      </c>
    </row>
    <row r="70" spans="1:3" x14ac:dyDescent="0.4">
      <c r="A70" s="15" t="s">
        <v>553</v>
      </c>
      <c r="B70" s="15" t="s">
        <v>811</v>
      </c>
      <c r="C70" s="15" t="s">
        <v>1528</v>
      </c>
    </row>
    <row r="71" spans="1:3" x14ac:dyDescent="0.4">
      <c r="A71" s="15" t="s">
        <v>554</v>
      </c>
      <c r="B71" s="15" t="s">
        <v>812</v>
      </c>
      <c r="C71" s="15" t="s">
        <v>1529</v>
      </c>
    </row>
    <row r="72" spans="1:3" x14ac:dyDescent="0.4">
      <c r="A72" s="15" t="s">
        <v>555</v>
      </c>
      <c r="B72" s="15" t="s">
        <v>813</v>
      </c>
      <c r="C72" s="15" t="s">
        <v>1530</v>
      </c>
    </row>
    <row r="73" spans="1:3" x14ac:dyDescent="0.4">
      <c r="A73" s="15" t="s">
        <v>711</v>
      </c>
      <c r="B73" s="15" t="s">
        <v>814</v>
      </c>
      <c r="C73" s="16" t="s">
        <v>1531</v>
      </c>
    </row>
    <row r="74" spans="1:3" x14ac:dyDescent="0.4">
      <c r="A74" s="15" t="s">
        <v>712</v>
      </c>
      <c r="B74" s="15" t="s">
        <v>815</v>
      </c>
      <c r="C74" s="15" t="s">
        <v>1532</v>
      </c>
    </row>
    <row r="75" spans="1:3" x14ac:dyDescent="0.4">
      <c r="A75" s="15" t="s">
        <v>556</v>
      </c>
      <c r="B75" s="15" t="s">
        <v>816</v>
      </c>
      <c r="C75" s="16" t="s">
        <v>1533</v>
      </c>
    </row>
    <row r="76" spans="1:3" x14ac:dyDescent="0.4">
      <c r="A76" s="15" t="s">
        <v>557</v>
      </c>
      <c r="B76" s="15" t="s">
        <v>817</v>
      </c>
      <c r="C76" s="15" t="s">
        <v>1447</v>
      </c>
    </row>
    <row r="77" spans="1:3" x14ac:dyDescent="0.4">
      <c r="A77" s="15" t="s">
        <v>558</v>
      </c>
      <c r="B77" s="15" t="s">
        <v>818</v>
      </c>
      <c r="C77" s="15" t="s">
        <v>1534</v>
      </c>
    </row>
    <row r="78" spans="1:3" x14ac:dyDescent="0.4">
      <c r="A78" s="15" t="s">
        <v>736</v>
      </c>
      <c r="B78" s="15" t="s">
        <v>819</v>
      </c>
      <c r="C78" s="16" t="s">
        <v>1445</v>
      </c>
    </row>
    <row r="79" spans="1:3" x14ac:dyDescent="0.4">
      <c r="A79" s="15" t="s">
        <v>559</v>
      </c>
      <c r="B79" s="15" t="s">
        <v>820</v>
      </c>
      <c r="C79" s="15" t="s">
        <v>1535</v>
      </c>
    </row>
    <row r="80" spans="1:3" x14ac:dyDescent="0.4">
      <c r="A80" s="15" t="s">
        <v>560</v>
      </c>
      <c r="B80" s="15" t="s">
        <v>821</v>
      </c>
      <c r="C80" s="15" t="s">
        <v>1536</v>
      </c>
    </row>
    <row r="81" spans="1:3" x14ac:dyDescent="0.4">
      <c r="A81" s="15" t="s">
        <v>561</v>
      </c>
      <c r="B81" s="15" t="s">
        <v>822</v>
      </c>
      <c r="C81" s="16" t="s">
        <v>1537</v>
      </c>
    </row>
    <row r="82" spans="1:3" x14ac:dyDescent="0.4">
      <c r="A82" s="15" t="s">
        <v>562</v>
      </c>
      <c r="B82" s="15" t="s">
        <v>823</v>
      </c>
      <c r="C82" s="15" t="s">
        <v>1538</v>
      </c>
    </row>
    <row r="83" spans="1:3" x14ac:dyDescent="0.4">
      <c r="A83" s="15" t="s">
        <v>563</v>
      </c>
      <c r="B83" s="15" t="s">
        <v>824</v>
      </c>
      <c r="C83" s="15" t="s">
        <v>1539</v>
      </c>
    </row>
    <row r="84" spans="1:3" x14ac:dyDescent="0.4">
      <c r="A84" s="15" t="s">
        <v>564</v>
      </c>
      <c r="B84" s="15" t="s">
        <v>825</v>
      </c>
      <c r="C84" s="15" t="s">
        <v>1540</v>
      </c>
    </row>
    <row r="85" spans="1:3" x14ac:dyDescent="0.4">
      <c r="A85" s="15" t="s">
        <v>565</v>
      </c>
      <c r="B85" s="15" t="s">
        <v>826</v>
      </c>
      <c r="C85" s="15" t="s">
        <v>1541</v>
      </c>
    </row>
    <row r="86" spans="1:3" x14ac:dyDescent="0.4">
      <c r="A86" s="15" t="s">
        <v>566</v>
      </c>
      <c r="B86" s="15" t="s">
        <v>827</v>
      </c>
      <c r="C86" s="15" t="s">
        <v>1542</v>
      </c>
    </row>
    <row r="87" spans="1:3" x14ac:dyDescent="0.4">
      <c r="A87" s="15" t="s">
        <v>567</v>
      </c>
      <c r="B87" s="15" t="s">
        <v>828</v>
      </c>
      <c r="C87" s="15" t="s">
        <v>1543</v>
      </c>
    </row>
    <row r="88" spans="1:3" x14ac:dyDescent="0.4">
      <c r="A88" s="15" t="s">
        <v>568</v>
      </c>
      <c r="B88" s="15" t="s">
        <v>829</v>
      </c>
      <c r="C88" s="15" t="s">
        <v>1544</v>
      </c>
    </row>
    <row r="89" spans="1:3" x14ac:dyDescent="0.4">
      <c r="A89" s="15" t="s">
        <v>569</v>
      </c>
      <c r="B89" s="15" t="s">
        <v>830</v>
      </c>
      <c r="C89" s="16" t="s">
        <v>1545</v>
      </c>
    </row>
    <row r="90" spans="1:3" x14ac:dyDescent="0.4">
      <c r="A90" s="15" t="s">
        <v>570</v>
      </c>
      <c r="B90" s="15" t="s">
        <v>831</v>
      </c>
      <c r="C90" s="15" t="s">
        <v>1546</v>
      </c>
    </row>
    <row r="91" spans="1:3" x14ac:dyDescent="0.4">
      <c r="A91" s="15" t="s">
        <v>571</v>
      </c>
      <c r="B91" s="15" t="s">
        <v>832</v>
      </c>
      <c r="C91" s="16" t="s">
        <v>1547</v>
      </c>
    </row>
    <row r="92" spans="1:3" x14ac:dyDescent="0.4">
      <c r="A92" s="15" t="s">
        <v>572</v>
      </c>
      <c r="B92" s="15" t="s">
        <v>833</v>
      </c>
      <c r="C92" s="15" t="s">
        <v>1548</v>
      </c>
    </row>
    <row r="93" spans="1:3" x14ac:dyDescent="0.4">
      <c r="A93" s="15" t="s">
        <v>573</v>
      </c>
      <c r="B93" s="15" t="s">
        <v>834</v>
      </c>
      <c r="C93" s="15" t="s">
        <v>1549</v>
      </c>
    </row>
    <row r="94" spans="1:3" x14ac:dyDescent="0.4">
      <c r="A94" s="15" t="s">
        <v>574</v>
      </c>
      <c r="B94" s="15" t="s">
        <v>835</v>
      </c>
      <c r="C94" s="15" t="s">
        <v>1550</v>
      </c>
    </row>
    <row r="95" spans="1:3" x14ac:dyDescent="0.4">
      <c r="A95" s="15" t="s">
        <v>575</v>
      </c>
      <c r="B95" s="15" t="s">
        <v>836</v>
      </c>
      <c r="C95" s="15" t="s">
        <v>1551</v>
      </c>
    </row>
    <row r="96" spans="1:3" x14ac:dyDescent="0.4">
      <c r="A96" s="15" t="s">
        <v>576</v>
      </c>
      <c r="B96" s="15" t="s">
        <v>837</v>
      </c>
      <c r="C96" s="16" t="s">
        <v>1552</v>
      </c>
    </row>
    <row r="97" spans="1:3" x14ac:dyDescent="0.4">
      <c r="A97" s="15" t="s">
        <v>577</v>
      </c>
      <c r="B97" s="15" t="s">
        <v>838</v>
      </c>
      <c r="C97" s="16" t="s">
        <v>1553</v>
      </c>
    </row>
    <row r="98" spans="1:3" x14ac:dyDescent="0.4">
      <c r="A98" s="15" t="s">
        <v>578</v>
      </c>
      <c r="B98" s="15" t="s">
        <v>839</v>
      </c>
      <c r="C98" s="15" t="s">
        <v>1554</v>
      </c>
    </row>
    <row r="99" spans="1:3" x14ac:dyDescent="0.4">
      <c r="A99" s="15" t="s">
        <v>579</v>
      </c>
      <c r="B99" s="15" t="s">
        <v>840</v>
      </c>
      <c r="C99" s="15" t="s">
        <v>1555</v>
      </c>
    </row>
    <row r="100" spans="1:3" x14ac:dyDescent="0.4">
      <c r="A100" s="15" t="s">
        <v>580</v>
      </c>
      <c r="B100" s="15" t="s">
        <v>841</v>
      </c>
      <c r="C100" s="15" t="s">
        <v>1556</v>
      </c>
    </row>
    <row r="101" spans="1:3" x14ac:dyDescent="0.4">
      <c r="A101" s="15" t="s">
        <v>581</v>
      </c>
      <c r="B101" s="15" t="s">
        <v>842</v>
      </c>
      <c r="C101" s="15" t="s">
        <v>1557</v>
      </c>
    </row>
    <row r="102" spans="1:3" x14ac:dyDescent="0.4">
      <c r="A102" s="15" t="s">
        <v>582</v>
      </c>
      <c r="B102" s="15" t="s">
        <v>452</v>
      </c>
      <c r="C102" s="15" t="s">
        <v>1558</v>
      </c>
    </row>
    <row r="103" spans="1:3" x14ac:dyDescent="0.4">
      <c r="A103" s="15" t="s">
        <v>583</v>
      </c>
      <c r="B103" s="15" t="s">
        <v>843</v>
      </c>
      <c r="C103" s="15" t="s">
        <v>1559</v>
      </c>
    </row>
    <row r="104" spans="1:3" x14ac:dyDescent="0.4">
      <c r="A104" s="15" t="s">
        <v>584</v>
      </c>
      <c r="B104" s="15" t="s">
        <v>844</v>
      </c>
      <c r="C104" s="15" t="s">
        <v>1560</v>
      </c>
    </row>
    <row r="105" spans="1:3" x14ac:dyDescent="0.4">
      <c r="A105" s="15" t="s">
        <v>585</v>
      </c>
      <c r="B105" s="15" t="s">
        <v>845</v>
      </c>
      <c r="C105" s="16" t="s">
        <v>1561</v>
      </c>
    </row>
    <row r="106" spans="1:3" x14ac:dyDescent="0.4">
      <c r="A106" s="15" t="s">
        <v>2</v>
      </c>
      <c r="B106" s="15" t="s">
        <v>846</v>
      </c>
      <c r="C106" s="15" t="s">
        <v>1562</v>
      </c>
    </row>
    <row r="107" spans="1:3" x14ac:dyDescent="0.4">
      <c r="A107" s="15" t="s">
        <v>586</v>
      </c>
      <c r="B107" s="15" t="s">
        <v>847</v>
      </c>
      <c r="C107" s="16" t="s">
        <v>1563</v>
      </c>
    </row>
    <row r="108" spans="1:3" x14ac:dyDescent="0.4">
      <c r="A108" s="15" t="s">
        <v>587</v>
      </c>
      <c r="B108" s="15" t="s">
        <v>848</v>
      </c>
      <c r="C108" s="15" t="s">
        <v>1564</v>
      </c>
    </row>
    <row r="109" spans="1:3" x14ac:dyDescent="0.4">
      <c r="A109" s="15" t="s">
        <v>713</v>
      </c>
      <c r="B109" s="15" t="s">
        <v>849</v>
      </c>
      <c r="C109" s="15" t="s">
        <v>1565</v>
      </c>
    </row>
    <row r="110" spans="1:3" x14ac:dyDescent="0.4">
      <c r="A110" s="15" t="s">
        <v>588</v>
      </c>
      <c r="B110" s="15" t="s">
        <v>850</v>
      </c>
      <c r="C110" s="15" t="s">
        <v>1566</v>
      </c>
    </row>
    <row r="111" spans="1:3" x14ac:dyDescent="0.4">
      <c r="A111" s="15" t="s">
        <v>11</v>
      </c>
      <c r="B111" s="15" t="s">
        <v>851</v>
      </c>
      <c r="C111" s="15" t="s">
        <v>1446</v>
      </c>
    </row>
    <row r="112" spans="1:3" x14ac:dyDescent="0.4">
      <c r="A112" s="15" t="s">
        <v>589</v>
      </c>
      <c r="B112" s="15" t="s">
        <v>852</v>
      </c>
      <c r="C112" s="15" t="s">
        <v>1567</v>
      </c>
    </row>
    <row r="113" spans="1:3" x14ac:dyDescent="0.4">
      <c r="A113" s="15" t="s">
        <v>590</v>
      </c>
      <c r="B113" s="15" t="s">
        <v>853</v>
      </c>
      <c r="C113" s="15" t="s">
        <v>1568</v>
      </c>
    </row>
    <row r="114" spans="1:3" x14ac:dyDescent="0.4">
      <c r="A114" s="15" t="s">
        <v>591</v>
      </c>
      <c r="B114" s="15" t="s">
        <v>854</v>
      </c>
      <c r="C114" s="15" t="s">
        <v>1569</v>
      </c>
    </row>
    <row r="115" spans="1:3" x14ac:dyDescent="0.4">
      <c r="A115" s="15" t="s">
        <v>592</v>
      </c>
      <c r="B115" s="15" t="s">
        <v>855</v>
      </c>
      <c r="C115" s="15" t="s">
        <v>1570</v>
      </c>
    </row>
    <row r="116" spans="1:3" x14ac:dyDescent="0.4">
      <c r="A116" s="15" t="s">
        <v>593</v>
      </c>
      <c r="B116" s="15" t="s">
        <v>856</v>
      </c>
      <c r="C116" s="15" t="s">
        <v>1571</v>
      </c>
    </row>
    <row r="117" spans="1:3" x14ac:dyDescent="0.4">
      <c r="A117" s="15" t="s">
        <v>594</v>
      </c>
      <c r="B117" s="15" t="s">
        <v>857</v>
      </c>
      <c r="C117" s="15" t="s">
        <v>1572</v>
      </c>
    </row>
    <row r="118" spans="1:3" x14ac:dyDescent="0.4">
      <c r="A118" s="15" t="s">
        <v>595</v>
      </c>
      <c r="B118" s="15" t="s">
        <v>858</v>
      </c>
      <c r="C118" s="15" t="s">
        <v>1573</v>
      </c>
    </row>
    <row r="119" spans="1:3" x14ac:dyDescent="0.4">
      <c r="A119" s="15" t="s">
        <v>596</v>
      </c>
      <c r="B119" s="15" t="s">
        <v>859</v>
      </c>
      <c r="C119" s="15" t="s">
        <v>1574</v>
      </c>
    </row>
    <row r="120" spans="1:3" x14ac:dyDescent="0.4">
      <c r="A120" s="15" t="s">
        <v>597</v>
      </c>
      <c r="B120" s="15" t="s">
        <v>860</v>
      </c>
      <c r="C120" s="15" t="s">
        <v>1575</v>
      </c>
    </row>
    <row r="121" spans="1:3" x14ac:dyDescent="0.4">
      <c r="A121" s="15" t="s">
        <v>598</v>
      </c>
      <c r="B121" s="15" t="s">
        <v>861</v>
      </c>
      <c r="C121" s="16" t="s">
        <v>1576</v>
      </c>
    </row>
    <row r="122" spans="1:3" x14ac:dyDescent="0.4">
      <c r="A122" s="15" t="s">
        <v>714</v>
      </c>
      <c r="B122" s="15" t="s">
        <v>862</v>
      </c>
      <c r="C122" s="16" t="s">
        <v>1577</v>
      </c>
    </row>
    <row r="123" spans="1:3" x14ac:dyDescent="0.4">
      <c r="A123" s="15" t="s">
        <v>720</v>
      </c>
      <c r="B123" s="15" t="s">
        <v>863</v>
      </c>
      <c r="C123" s="16" t="s">
        <v>1578</v>
      </c>
    </row>
    <row r="124" spans="1:3" x14ac:dyDescent="0.4">
      <c r="A124" s="15" t="s">
        <v>599</v>
      </c>
      <c r="B124" s="15" t="s">
        <v>864</v>
      </c>
      <c r="C124" s="15" t="s">
        <v>1579</v>
      </c>
    </row>
    <row r="125" spans="1:3" x14ac:dyDescent="0.4">
      <c r="A125" s="15" t="s">
        <v>600</v>
      </c>
      <c r="B125" s="15" t="s">
        <v>865</v>
      </c>
      <c r="C125" s="16" t="s">
        <v>1580</v>
      </c>
    </row>
    <row r="126" spans="1:3" x14ac:dyDescent="0.4">
      <c r="A126" s="15" t="s">
        <v>601</v>
      </c>
      <c r="B126" s="15" t="s">
        <v>866</v>
      </c>
      <c r="C126" s="15" t="s">
        <v>1581</v>
      </c>
    </row>
    <row r="127" spans="1:3" x14ac:dyDescent="0.4">
      <c r="A127" s="15" t="s">
        <v>737</v>
      </c>
      <c r="B127" s="15" t="s">
        <v>867</v>
      </c>
      <c r="C127" s="15" t="s">
        <v>1582</v>
      </c>
    </row>
    <row r="128" spans="1:3" x14ac:dyDescent="0.4">
      <c r="A128" s="15" t="s">
        <v>483</v>
      </c>
      <c r="B128" s="15" t="s">
        <v>868</v>
      </c>
      <c r="C128" s="15" t="s">
        <v>1583</v>
      </c>
    </row>
    <row r="129" spans="1:3" x14ac:dyDescent="0.4">
      <c r="A129" s="15" t="s">
        <v>602</v>
      </c>
      <c r="B129" s="15" t="s">
        <v>869</v>
      </c>
      <c r="C129" s="16" t="s">
        <v>1584</v>
      </c>
    </row>
    <row r="130" spans="1:3" x14ac:dyDescent="0.4">
      <c r="A130" s="15" t="s">
        <v>603</v>
      </c>
      <c r="B130" s="15" t="s">
        <v>870</v>
      </c>
      <c r="C130" s="15" t="s">
        <v>1585</v>
      </c>
    </row>
    <row r="131" spans="1:3" x14ac:dyDescent="0.4">
      <c r="A131" s="15" t="s">
        <v>604</v>
      </c>
      <c r="B131" s="15" t="s">
        <v>871</v>
      </c>
      <c r="C131" s="16" t="s">
        <v>1586</v>
      </c>
    </row>
    <row r="132" spans="1:3" x14ac:dyDescent="0.4">
      <c r="A132" s="15" t="s">
        <v>605</v>
      </c>
      <c r="B132" s="15" t="s">
        <v>872</v>
      </c>
      <c r="C132" s="15" t="s">
        <v>1587</v>
      </c>
    </row>
    <row r="133" spans="1:3" x14ac:dyDescent="0.4">
      <c r="A133" s="15" t="s">
        <v>606</v>
      </c>
      <c r="B133" s="15" t="s">
        <v>873</v>
      </c>
      <c r="C133" s="15" t="s">
        <v>1588</v>
      </c>
    </row>
    <row r="134" spans="1:3" x14ac:dyDescent="0.4">
      <c r="A134" s="15" t="s">
        <v>607</v>
      </c>
      <c r="B134" s="15" t="s">
        <v>874</v>
      </c>
      <c r="C134" s="15" t="s">
        <v>1589</v>
      </c>
    </row>
    <row r="135" spans="1:3" x14ac:dyDescent="0.4">
      <c r="A135" s="15" t="s">
        <v>608</v>
      </c>
      <c r="B135" s="15" t="s">
        <v>875</v>
      </c>
      <c r="C135" s="15" t="s">
        <v>1590</v>
      </c>
    </row>
    <row r="136" spans="1:3" x14ac:dyDescent="0.4">
      <c r="A136" s="15" t="s">
        <v>609</v>
      </c>
      <c r="B136" s="15" t="s">
        <v>876</v>
      </c>
      <c r="C136" s="15" t="s">
        <v>1591</v>
      </c>
    </row>
    <row r="137" spans="1:3" x14ac:dyDescent="0.4">
      <c r="A137" s="15" t="s">
        <v>610</v>
      </c>
      <c r="B137" s="15" t="s">
        <v>877</v>
      </c>
      <c r="C137" s="15" t="s">
        <v>1592</v>
      </c>
    </row>
    <row r="138" spans="1:3" x14ac:dyDescent="0.4">
      <c r="A138" s="15" t="s">
        <v>611</v>
      </c>
      <c r="B138" s="15" t="s">
        <v>878</v>
      </c>
      <c r="C138" s="15" t="s">
        <v>1593</v>
      </c>
    </row>
    <row r="139" spans="1:3" x14ac:dyDescent="0.4">
      <c r="A139" s="15" t="s">
        <v>612</v>
      </c>
      <c r="B139" s="15" t="s">
        <v>879</v>
      </c>
      <c r="C139" s="15" t="s">
        <v>1594</v>
      </c>
    </row>
    <row r="140" spans="1:3" x14ac:dyDescent="0.4">
      <c r="A140" s="15" t="s">
        <v>721</v>
      </c>
      <c r="B140" s="15" t="s">
        <v>880</v>
      </c>
      <c r="C140" s="15" t="s">
        <v>1595</v>
      </c>
    </row>
    <row r="141" spans="1:3" x14ac:dyDescent="0.4">
      <c r="A141" s="15" t="s">
        <v>613</v>
      </c>
      <c r="B141" s="15" t="s">
        <v>881</v>
      </c>
      <c r="C141" s="15" t="s">
        <v>1596</v>
      </c>
    </row>
    <row r="142" spans="1:3" x14ac:dyDescent="0.4">
      <c r="A142" s="15" t="s">
        <v>715</v>
      </c>
      <c r="B142" s="15" t="s">
        <v>882</v>
      </c>
      <c r="C142" s="16" t="s">
        <v>1597</v>
      </c>
    </row>
    <row r="143" spans="1:3" x14ac:dyDescent="0.4">
      <c r="A143" s="15" t="s">
        <v>614</v>
      </c>
      <c r="B143" s="15" t="s">
        <v>883</v>
      </c>
      <c r="C143" s="15" t="s">
        <v>1598</v>
      </c>
    </row>
    <row r="144" spans="1:3" x14ac:dyDescent="0.4">
      <c r="A144" s="15" t="s">
        <v>615</v>
      </c>
      <c r="B144" s="15" t="s">
        <v>884</v>
      </c>
      <c r="C144" s="16" t="s">
        <v>1599</v>
      </c>
    </row>
    <row r="145" spans="1:3" x14ac:dyDescent="0.4">
      <c r="A145" s="15" t="s">
        <v>616</v>
      </c>
      <c r="B145" s="15" t="s">
        <v>885</v>
      </c>
      <c r="C145" s="16" t="s">
        <v>1600</v>
      </c>
    </row>
    <row r="146" spans="1:3" x14ac:dyDescent="0.4">
      <c r="A146" s="15" t="s">
        <v>617</v>
      </c>
      <c r="B146" s="15" t="s">
        <v>886</v>
      </c>
      <c r="C146" s="15" t="s">
        <v>1601</v>
      </c>
    </row>
    <row r="147" spans="1:3" x14ac:dyDescent="0.4">
      <c r="A147" s="15" t="s">
        <v>618</v>
      </c>
      <c r="B147" s="15" t="s">
        <v>887</v>
      </c>
      <c r="C147" s="15" t="s">
        <v>1602</v>
      </c>
    </row>
    <row r="148" spans="1:3" x14ac:dyDescent="0.4">
      <c r="A148" s="15" t="s">
        <v>619</v>
      </c>
      <c r="B148" s="15" t="s">
        <v>888</v>
      </c>
      <c r="C148" s="15" t="s">
        <v>1603</v>
      </c>
    </row>
    <row r="149" spans="1:3" x14ac:dyDescent="0.4">
      <c r="A149" s="15" t="s">
        <v>620</v>
      </c>
      <c r="B149" s="15" t="s">
        <v>889</v>
      </c>
      <c r="C149" s="15" t="s">
        <v>1604</v>
      </c>
    </row>
    <row r="150" spans="1:3" x14ac:dyDescent="0.4">
      <c r="A150" s="15" t="s">
        <v>622</v>
      </c>
      <c r="B150" s="15" t="s">
        <v>890</v>
      </c>
      <c r="C150" s="16" t="s">
        <v>1605</v>
      </c>
    </row>
    <row r="151" spans="1:3" x14ac:dyDescent="0.4">
      <c r="A151" s="15" t="s">
        <v>623</v>
      </c>
      <c r="B151" s="15" t="s">
        <v>891</v>
      </c>
      <c r="C151" s="15" t="s">
        <v>1606</v>
      </c>
    </row>
    <row r="152" spans="1:3" x14ac:dyDescent="0.4">
      <c r="A152" s="15" t="s">
        <v>624</v>
      </c>
      <c r="B152" s="15" t="s">
        <v>892</v>
      </c>
      <c r="C152" s="15" t="s">
        <v>1607</v>
      </c>
    </row>
    <row r="153" spans="1:3" x14ac:dyDescent="0.4">
      <c r="A153" s="15" t="s">
        <v>625</v>
      </c>
      <c r="B153" s="15" t="s">
        <v>893</v>
      </c>
      <c r="C153" s="15" t="s">
        <v>1608</v>
      </c>
    </row>
    <row r="154" spans="1:3" x14ac:dyDescent="0.4">
      <c r="A154" s="15" t="s">
        <v>626</v>
      </c>
      <c r="B154" s="15" t="s">
        <v>894</v>
      </c>
      <c r="C154" s="15" t="s">
        <v>1609</v>
      </c>
    </row>
    <row r="155" spans="1:3" x14ac:dyDescent="0.4">
      <c r="A155" s="15" t="s">
        <v>627</v>
      </c>
      <c r="B155" s="15" t="s">
        <v>895</v>
      </c>
      <c r="C155" s="15" t="s">
        <v>1610</v>
      </c>
    </row>
    <row r="156" spans="1:3" x14ac:dyDescent="0.4">
      <c r="A156" s="15" t="s">
        <v>628</v>
      </c>
      <c r="B156" s="15" t="s">
        <v>896</v>
      </c>
      <c r="C156" s="15" t="s">
        <v>1611</v>
      </c>
    </row>
    <row r="157" spans="1:3" x14ac:dyDescent="0.4">
      <c r="A157" s="15" t="s">
        <v>629</v>
      </c>
      <c r="B157" s="15" t="s">
        <v>897</v>
      </c>
      <c r="C157" s="15" t="s">
        <v>1612</v>
      </c>
    </row>
    <row r="158" spans="1:3" x14ac:dyDescent="0.4">
      <c r="A158" s="15" t="s">
        <v>630</v>
      </c>
      <c r="B158" s="15" t="s">
        <v>898</v>
      </c>
      <c r="C158" s="15" t="s">
        <v>1613</v>
      </c>
    </row>
    <row r="159" spans="1:3" x14ac:dyDescent="0.4">
      <c r="A159" s="15" t="s">
        <v>631</v>
      </c>
      <c r="B159" s="15" t="s">
        <v>899</v>
      </c>
      <c r="C159" s="15" t="s">
        <v>1614</v>
      </c>
    </row>
    <row r="160" spans="1:3" x14ac:dyDescent="0.4">
      <c r="A160" s="15" t="s">
        <v>632</v>
      </c>
      <c r="B160" s="15" t="s">
        <v>900</v>
      </c>
      <c r="C160" s="15" t="s">
        <v>1615</v>
      </c>
    </row>
    <row r="161" spans="1:3" x14ac:dyDescent="0.4">
      <c r="A161" s="15" t="s">
        <v>633</v>
      </c>
      <c r="B161" s="15" t="s">
        <v>901</v>
      </c>
      <c r="C161" s="15" t="s">
        <v>1616</v>
      </c>
    </row>
    <row r="162" spans="1:3" x14ac:dyDescent="0.4">
      <c r="A162" s="15" t="s">
        <v>634</v>
      </c>
      <c r="B162" s="15" t="s">
        <v>902</v>
      </c>
      <c r="C162" s="16" t="s">
        <v>1617</v>
      </c>
    </row>
    <row r="163" spans="1:3" x14ac:dyDescent="0.4">
      <c r="A163" s="15" t="s">
        <v>635</v>
      </c>
      <c r="B163" s="15" t="s">
        <v>903</v>
      </c>
      <c r="C163" s="15" t="s">
        <v>1618</v>
      </c>
    </row>
    <row r="164" spans="1:3" x14ac:dyDescent="0.4">
      <c r="A164" s="15" t="s">
        <v>636</v>
      </c>
      <c r="B164" s="15" t="s">
        <v>904</v>
      </c>
      <c r="C164" s="16" t="s">
        <v>1619</v>
      </c>
    </row>
    <row r="165" spans="1:3" x14ac:dyDescent="0.4">
      <c r="A165" s="15" t="s">
        <v>637</v>
      </c>
      <c r="B165" s="15" t="s">
        <v>905</v>
      </c>
      <c r="C165" s="15" t="s">
        <v>1620</v>
      </c>
    </row>
    <row r="166" spans="1:3" x14ac:dyDescent="0.4">
      <c r="A166" s="15" t="s">
        <v>638</v>
      </c>
      <c r="B166" s="15" t="s">
        <v>906</v>
      </c>
      <c r="C166" s="15" t="s">
        <v>1621</v>
      </c>
    </row>
    <row r="167" spans="1:3" x14ac:dyDescent="0.4">
      <c r="A167" s="15" t="s">
        <v>722</v>
      </c>
      <c r="B167" s="15" t="s">
        <v>907</v>
      </c>
      <c r="C167" s="15" t="s">
        <v>1622</v>
      </c>
    </row>
    <row r="168" spans="1:3" x14ac:dyDescent="0.4">
      <c r="A168" s="15" t="s">
        <v>639</v>
      </c>
      <c r="B168" s="15" t="s">
        <v>908</v>
      </c>
      <c r="C168" s="15" t="s">
        <v>1623</v>
      </c>
    </row>
    <row r="169" spans="1:3" x14ac:dyDescent="0.4">
      <c r="A169" s="15" t="s">
        <v>640</v>
      </c>
      <c r="B169" s="15" t="s">
        <v>909</v>
      </c>
      <c r="C169" s="15" t="s">
        <v>1624</v>
      </c>
    </row>
    <row r="170" spans="1:3" x14ac:dyDescent="0.4">
      <c r="A170" s="15" t="s">
        <v>641</v>
      </c>
      <c r="B170" s="15" t="s">
        <v>910</v>
      </c>
      <c r="C170" s="15" t="s">
        <v>1625</v>
      </c>
    </row>
    <row r="171" spans="1:3" x14ac:dyDescent="0.4">
      <c r="A171" s="15" t="s">
        <v>642</v>
      </c>
      <c r="B171" s="15" t="s">
        <v>911</v>
      </c>
      <c r="C171" s="15" t="s">
        <v>1626</v>
      </c>
    </row>
    <row r="172" spans="1:3" x14ac:dyDescent="0.4">
      <c r="A172" s="15" t="s">
        <v>643</v>
      </c>
      <c r="B172" s="15" t="s">
        <v>912</v>
      </c>
      <c r="C172" s="16" t="s">
        <v>1627</v>
      </c>
    </row>
    <row r="173" spans="1:3" x14ac:dyDescent="0.4">
      <c r="A173" s="15" t="s">
        <v>644</v>
      </c>
      <c r="B173" s="15" t="s">
        <v>913</v>
      </c>
      <c r="C173" s="15" t="s">
        <v>1628</v>
      </c>
    </row>
    <row r="174" spans="1:3" x14ac:dyDescent="0.4">
      <c r="A174" s="15" t="s">
        <v>645</v>
      </c>
      <c r="B174" s="15" t="s">
        <v>914</v>
      </c>
      <c r="C174" s="15" t="s">
        <v>1629</v>
      </c>
    </row>
    <row r="175" spans="1:3" x14ac:dyDescent="0.4">
      <c r="A175" s="15" t="s">
        <v>646</v>
      </c>
      <c r="B175" s="15" t="s">
        <v>915</v>
      </c>
      <c r="C175" s="15" t="s">
        <v>1630</v>
      </c>
    </row>
    <row r="176" spans="1:3" x14ac:dyDescent="0.4">
      <c r="A176" s="15" t="s">
        <v>647</v>
      </c>
      <c r="B176" s="15" t="s">
        <v>916</v>
      </c>
      <c r="C176" s="16" t="s">
        <v>1631</v>
      </c>
    </row>
    <row r="177" spans="1:3" x14ac:dyDescent="0.4">
      <c r="A177" s="15" t="s">
        <v>648</v>
      </c>
      <c r="B177" s="15" t="s">
        <v>917</v>
      </c>
      <c r="C177" s="16" t="s">
        <v>1632</v>
      </c>
    </row>
    <row r="178" spans="1:3" x14ac:dyDescent="0.4">
      <c r="A178" s="15" t="s">
        <v>649</v>
      </c>
      <c r="B178" s="15" t="s">
        <v>918</v>
      </c>
      <c r="C178" s="15" t="s">
        <v>1633</v>
      </c>
    </row>
    <row r="179" spans="1:3" x14ac:dyDescent="0.4">
      <c r="A179" s="15" t="s">
        <v>650</v>
      </c>
      <c r="B179" s="15" t="s">
        <v>919</v>
      </c>
      <c r="C179" s="15" t="s">
        <v>1634</v>
      </c>
    </row>
    <row r="180" spans="1:3" x14ac:dyDescent="0.4">
      <c r="A180" s="15" t="s">
        <v>651</v>
      </c>
      <c r="B180" s="15" t="s">
        <v>920</v>
      </c>
      <c r="C180" s="15" t="s">
        <v>1449</v>
      </c>
    </row>
    <row r="181" spans="1:3" x14ac:dyDescent="0.4">
      <c r="A181" s="15" t="s">
        <v>652</v>
      </c>
      <c r="B181" s="15" t="s">
        <v>921</v>
      </c>
      <c r="C181" s="16" t="s">
        <v>1635</v>
      </c>
    </row>
    <row r="182" spans="1:3" x14ac:dyDescent="0.4">
      <c r="A182" s="15" t="s">
        <v>653</v>
      </c>
      <c r="B182" s="15" t="s">
        <v>922</v>
      </c>
      <c r="C182" s="15" t="s">
        <v>1636</v>
      </c>
    </row>
    <row r="183" spans="1:3" x14ac:dyDescent="0.4">
      <c r="A183" s="15" t="s">
        <v>654</v>
      </c>
      <c r="B183" s="15" t="s">
        <v>923</v>
      </c>
      <c r="C183" s="16" t="s">
        <v>1637</v>
      </c>
    </row>
    <row r="184" spans="1:3" x14ac:dyDescent="0.4">
      <c r="A184" s="15" t="s">
        <v>723</v>
      </c>
      <c r="B184" s="15" t="s">
        <v>924</v>
      </c>
      <c r="C184" s="15" t="s">
        <v>1638</v>
      </c>
    </row>
    <row r="185" spans="1:3" x14ac:dyDescent="0.4">
      <c r="A185" s="15" t="s">
        <v>655</v>
      </c>
      <c r="B185" s="15" t="s">
        <v>925</v>
      </c>
      <c r="C185" s="15" t="s">
        <v>1448</v>
      </c>
    </row>
    <row r="186" spans="1:3" x14ac:dyDescent="0.4">
      <c r="A186" s="15" t="s">
        <v>656</v>
      </c>
      <c r="B186" s="15" t="s">
        <v>926</v>
      </c>
      <c r="C186" s="15" t="s">
        <v>1639</v>
      </c>
    </row>
    <row r="187" spans="1:3" x14ac:dyDescent="0.4">
      <c r="A187" s="15" t="s">
        <v>657</v>
      </c>
      <c r="B187" s="15" t="s">
        <v>927</v>
      </c>
      <c r="C187" s="15" t="s">
        <v>1640</v>
      </c>
    </row>
    <row r="188" spans="1:3" x14ac:dyDescent="0.4">
      <c r="A188" s="15" t="s">
        <v>658</v>
      </c>
      <c r="B188" s="15" t="s">
        <v>928</v>
      </c>
      <c r="C188" s="15" t="s">
        <v>1641</v>
      </c>
    </row>
    <row r="189" spans="1:3" x14ac:dyDescent="0.4">
      <c r="A189" s="15" t="s">
        <v>659</v>
      </c>
      <c r="B189" s="15" t="s">
        <v>929</v>
      </c>
      <c r="C189" s="15" t="s">
        <v>1642</v>
      </c>
    </row>
    <row r="190" spans="1:3" x14ac:dyDescent="0.4">
      <c r="A190" s="15" t="s">
        <v>660</v>
      </c>
      <c r="B190" s="15" t="s">
        <v>930</v>
      </c>
      <c r="C190" s="15" t="s">
        <v>1643</v>
      </c>
    </row>
    <row r="191" spans="1:3" x14ac:dyDescent="0.4">
      <c r="A191" s="15" t="s">
        <v>661</v>
      </c>
      <c r="B191" s="15" t="s">
        <v>931</v>
      </c>
      <c r="C191" s="15" t="s">
        <v>1644</v>
      </c>
    </row>
    <row r="192" spans="1:3" x14ac:dyDescent="0.4">
      <c r="A192" s="15" t="s">
        <v>738</v>
      </c>
      <c r="B192" s="15" t="s">
        <v>932</v>
      </c>
      <c r="C192" s="15" t="s">
        <v>1645</v>
      </c>
    </row>
    <row r="193" spans="1:3" x14ac:dyDescent="0.4">
      <c r="A193" s="15" t="s">
        <v>482</v>
      </c>
      <c r="B193" s="15" t="s">
        <v>933</v>
      </c>
      <c r="C193" s="15" t="s">
        <v>1646</v>
      </c>
    </row>
    <row r="194" spans="1:3" x14ac:dyDescent="0.4">
      <c r="A194" s="15" t="s">
        <v>662</v>
      </c>
      <c r="B194" s="15" t="s">
        <v>934</v>
      </c>
      <c r="C194" s="16" t="s">
        <v>1647</v>
      </c>
    </row>
    <row r="195" spans="1:3" x14ac:dyDescent="0.4">
      <c r="A195" s="15" t="s">
        <v>663</v>
      </c>
      <c r="B195" s="15" t="s">
        <v>935</v>
      </c>
      <c r="C195" s="16" t="s">
        <v>1648</v>
      </c>
    </row>
    <row r="196" spans="1:3" x14ac:dyDescent="0.4">
      <c r="A196" s="15" t="s">
        <v>664</v>
      </c>
      <c r="B196" s="15" t="s">
        <v>936</v>
      </c>
      <c r="C196" s="15" t="s">
        <v>1649</v>
      </c>
    </row>
    <row r="197" spans="1:3" x14ac:dyDescent="0.4">
      <c r="A197" s="15" t="s">
        <v>665</v>
      </c>
      <c r="B197" s="15" t="s">
        <v>937</v>
      </c>
      <c r="C197" s="15" t="s">
        <v>1650</v>
      </c>
    </row>
    <row r="198" spans="1:3" x14ac:dyDescent="0.4">
      <c r="A198" s="15" t="s">
        <v>666</v>
      </c>
      <c r="B198" s="15" t="s">
        <v>938</v>
      </c>
      <c r="C198" s="15" t="s">
        <v>1651</v>
      </c>
    </row>
    <row r="199" spans="1:3" x14ac:dyDescent="0.4">
      <c r="A199" s="15" t="s">
        <v>667</v>
      </c>
      <c r="B199" s="15" t="s">
        <v>939</v>
      </c>
      <c r="C199" s="15" t="s">
        <v>1652</v>
      </c>
    </row>
    <row r="200" spans="1:3" x14ac:dyDescent="0.4">
      <c r="A200" s="15" t="s">
        <v>668</v>
      </c>
      <c r="B200" s="15" t="s">
        <v>940</v>
      </c>
      <c r="C200" s="16" t="s">
        <v>1653</v>
      </c>
    </row>
    <row r="201" spans="1:3" x14ac:dyDescent="0.4">
      <c r="A201" s="15" t="s">
        <v>669</v>
      </c>
      <c r="B201" s="15" t="s">
        <v>941</v>
      </c>
      <c r="C201" s="15" t="s">
        <v>1654</v>
      </c>
    </row>
    <row r="202" spans="1:3" x14ac:dyDescent="0.4">
      <c r="A202" s="15" t="s">
        <v>670</v>
      </c>
      <c r="B202" s="15" t="s">
        <v>942</v>
      </c>
      <c r="C202" s="16" t="s">
        <v>1655</v>
      </c>
    </row>
    <row r="203" spans="1:3" x14ac:dyDescent="0.4">
      <c r="A203" s="15" t="s">
        <v>671</v>
      </c>
      <c r="B203" s="15" t="s">
        <v>943</v>
      </c>
      <c r="C203" s="15" t="s">
        <v>1656</v>
      </c>
    </row>
    <row r="204" spans="1:3" x14ac:dyDescent="0.4">
      <c r="A204" s="15" t="s">
        <v>672</v>
      </c>
      <c r="B204" s="15" t="s">
        <v>944</v>
      </c>
      <c r="C204" s="16" t="s">
        <v>1657</v>
      </c>
    </row>
    <row r="205" spans="1:3" x14ac:dyDescent="0.4">
      <c r="A205" s="15" t="s">
        <v>673</v>
      </c>
      <c r="B205" s="15" t="s">
        <v>945</v>
      </c>
      <c r="C205" s="16" t="s">
        <v>1658</v>
      </c>
    </row>
    <row r="206" spans="1:3" x14ac:dyDescent="0.4">
      <c r="A206" s="15" t="s">
        <v>674</v>
      </c>
      <c r="B206" s="15" t="s">
        <v>946</v>
      </c>
      <c r="C206" s="15" t="s">
        <v>1659</v>
      </c>
    </row>
    <row r="207" spans="1:3" x14ac:dyDescent="0.4">
      <c r="A207" s="15" t="s">
        <v>675</v>
      </c>
      <c r="B207" s="15" t="s">
        <v>947</v>
      </c>
      <c r="C207" s="15" t="s">
        <v>1660</v>
      </c>
    </row>
    <row r="208" spans="1:3" x14ac:dyDescent="0.4">
      <c r="A208" s="15" t="s">
        <v>676</v>
      </c>
      <c r="B208" s="15" t="s">
        <v>948</v>
      </c>
      <c r="C208" s="15" t="s">
        <v>1661</v>
      </c>
    </row>
    <row r="209" spans="1:3" x14ac:dyDescent="0.4">
      <c r="A209" s="15" t="s">
        <v>677</v>
      </c>
      <c r="B209" s="15" t="s">
        <v>949</v>
      </c>
      <c r="C209" s="16" t="s">
        <v>1662</v>
      </c>
    </row>
    <row r="210" spans="1:3" x14ac:dyDescent="0.4">
      <c r="A210" s="15" t="s">
        <v>678</v>
      </c>
      <c r="B210" s="15" t="s">
        <v>950</v>
      </c>
      <c r="C210" s="16" t="s">
        <v>1663</v>
      </c>
    </row>
    <row r="211" spans="1:3" x14ac:dyDescent="0.4">
      <c r="A211" s="15" t="s">
        <v>679</v>
      </c>
      <c r="B211" s="15" t="s">
        <v>951</v>
      </c>
      <c r="C211" s="16" t="s">
        <v>1664</v>
      </c>
    </row>
    <row r="212" spans="1:3" x14ac:dyDescent="0.4">
      <c r="A212" s="15" t="s">
        <v>716</v>
      </c>
      <c r="B212" s="15" t="s">
        <v>952</v>
      </c>
      <c r="C212" s="16" t="s">
        <v>1665</v>
      </c>
    </row>
    <row r="213" spans="1:3" x14ac:dyDescent="0.4">
      <c r="A213" s="15" t="s">
        <v>739</v>
      </c>
      <c r="B213" s="15" t="s">
        <v>953</v>
      </c>
      <c r="C213" s="15" t="s">
        <v>1666</v>
      </c>
    </row>
    <row r="214" spans="1:3" x14ac:dyDescent="0.4">
      <c r="A214" s="15" t="s">
        <v>680</v>
      </c>
      <c r="B214" s="15" t="s">
        <v>954</v>
      </c>
      <c r="C214" s="15" t="s">
        <v>1667</v>
      </c>
    </row>
    <row r="215" spans="1:3" x14ac:dyDescent="0.4">
      <c r="A215" s="15" t="s">
        <v>740</v>
      </c>
      <c r="B215" s="15" t="s">
        <v>955</v>
      </c>
      <c r="C215" s="16" t="s">
        <v>1668</v>
      </c>
    </row>
    <row r="216" spans="1:3" x14ac:dyDescent="0.4">
      <c r="A216" s="15" t="s">
        <v>681</v>
      </c>
      <c r="B216" s="15" t="s">
        <v>956</v>
      </c>
      <c r="C216" s="15" t="s">
        <v>1669</v>
      </c>
    </row>
    <row r="217" spans="1:3" x14ac:dyDescent="0.4">
      <c r="A217" s="15" t="s">
        <v>682</v>
      </c>
      <c r="B217" s="15" t="s">
        <v>957</v>
      </c>
      <c r="C217" s="16" t="s">
        <v>1670</v>
      </c>
    </row>
    <row r="218" spans="1:3" x14ac:dyDescent="0.4">
      <c r="A218" s="15" t="s">
        <v>683</v>
      </c>
      <c r="B218" s="15" t="s">
        <v>958</v>
      </c>
      <c r="C218" s="15" t="s">
        <v>1671</v>
      </c>
    </row>
    <row r="219" spans="1:3" x14ac:dyDescent="0.4">
      <c r="A219" s="15" t="s">
        <v>684</v>
      </c>
      <c r="B219" s="15" t="s">
        <v>959</v>
      </c>
      <c r="C219" s="15" t="s">
        <v>1672</v>
      </c>
    </row>
    <row r="220" spans="1:3" x14ac:dyDescent="0.4">
      <c r="A220" s="15" t="s">
        <v>685</v>
      </c>
      <c r="B220" s="15" t="s">
        <v>960</v>
      </c>
      <c r="C220" s="15" t="s">
        <v>1673</v>
      </c>
    </row>
    <row r="221" spans="1:3" x14ac:dyDescent="0.4">
      <c r="A221" s="15" t="s">
        <v>686</v>
      </c>
      <c r="B221" s="15" t="s">
        <v>961</v>
      </c>
      <c r="C221" s="15" t="s">
        <v>1674</v>
      </c>
    </row>
    <row r="222" spans="1:3" x14ac:dyDescent="0.4">
      <c r="A222" s="15" t="s">
        <v>687</v>
      </c>
      <c r="B222" s="15" t="s">
        <v>962</v>
      </c>
      <c r="C222" s="15" t="s">
        <v>1675</v>
      </c>
    </row>
    <row r="223" spans="1:3" x14ac:dyDescent="0.4">
      <c r="A223" s="15" t="s">
        <v>688</v>
      </c>
      <c r="B223" s="15" t="s">
        <v>963</v>
      </c>
      <c r="C223" s="15" t="s">
        <v>1676</v>
      </c>
    </row>
    <row r="224" spans="1:3" x14ac:dyDescent="0.4">
      <c r="A224" s="15" t="s">
        <v>689</v>
      </c>
      <c r="B224" s="15" t="s">
        <v>964</v>
      </c>
      <c r="C224" s="15" t="s">
        <v>1677</v>
      </c>
    </row>
    <row r="225" spans="1:3" x14ac:dyDescent="0.4">
      <c r="A225" s="15" t="s">
        <v>690</v>
      </c>
      <c r="B225" s="15" t="s">
        <v>965</v>
      </c>
      <c r="C225" s="15" t="s">
        <v>1678</v>
      </c>
    </row>
    <row r="226" spans="1:3" x14ac:dyDescent="0.4">
      <c r="A226" s="15" t="s">
        <v>691</v>
      </c>
      <c r="B226" s="15" t="s">
        <v>966</v>
      </c>
      <c r="C226" s="15" t="s">
        <v>1679</v>
      </c>
    </row>
    <row r="227" spans="1:3" x14ac:dyDescent="0.4">
      <c r="A227" s="15" t="s">
        <v>692</v>
      </c>
      <c r="B227" s="15" t="s">
        <v>967</v>
      </c>
      <c r="C227" s="16" t="s">
        <v>1680</v>
      </c>
    </row>
    <row r="228" spans="1:3" x14ac:dyDescent="0.4">
      <c r="A228" s="15" t="s">
        <v>693</v>
      </c>
      <c r="B228" s="15" t="s">
        <v>968</v>
      </c>
      <c r="C228" s="15" t="s">
        <v>1681</v>
      </c>
    </row>
    <row r="229" spans="1:3" x14ac:dyDescent="0.4">
      <c r="A229" s="15" t="s">
        <v>724</v>
      </c>
      <c r="B229" s="15" t="s">
        <v>969</v>
      </c>
      <c r="C229" s="15" t="s">
        <v>1682</v>
      </c>
    </row>
    <row r="230" spans="1:3" x14ac:dyDescent="0.4">
      <c r="A230" s="15" t="s">
        <v>725</v>
      </c>
      <c r="B230" s="15" t="s">
        <v>970</v>
      </c>
      <c r="C230" s="15" t="s">
        <v>1683</v>
      </c>
    </row>
    <row r="231" spans="1:3" x14ac:dyDescent="0.4">
      <c r="A231" s="15" t="s">
        <v>694</v>
      </c>
      <c r="B231" s="15" t="s">
        <v>971</v>
      </c>
      <c r="C231" s="15" t="s">
        <v>1684</v>
      </c>
    </row>
    <row r="232" spans="1:3" x14ac:dyDescent="0.4">
      <c r="A232" s="15" t="s">
        <v>695</v>
      </c>
      <c r="B232" s="15" t="s">
        <v>972</v>
      </c>
      <c r="C232" s="15" t="s">
        <v>1685</v>
      </c>
    </row>
    <row r="233" spans="1:3" x14ac:dyDescent="0.4">
      <c r="A233" s="15" t="s">
        <v>696</v>
      </c>
      <c r="B233" s="15" t="s">
        <v>973</v>
      </c>
      <c r="C233" s="16" t="s">
        <v>1686</v>
      </c>
    </row>
    <row r="234" spans="1:3" x14ac:dyDescent="0.4">
      <c r="A234" s="15" t="s">
        <v>698</v>
      </c>
      <c r="B234" s="15" t="s">
        <v>975</v>
      </c>
      <c r="C234" s="15" t="s">
        <v>1688</v>
      </c>
    </row>
    <row r="235" spans="1:3" x14ac:dyDescent="0.4">
      <c r="A235" s="15" t="s">
        <v>699</v>
      </c>
      <c r="B235" s="15" t="s">
        <v>976</v>
      </c>
      <c r="C235" s="15" t="s">
        <v>1689</v>
      </c>
    </row>
    <row r="236" spans="1:3" x14ac:dyDescent="0.4">
      <c r="A236" s="15" t="s">
        <v>741</v>
      </c>
      <c r="B236" s="15" t="s">
        <v>977</v>
      </c>
      <c r="C236" s="96" t="s">
        <v>1917</v>
      </c>
    </row>
    <row r="237" spans="1:3" x14ac:dyDescent="0.4">
      <c r="A237" s="15" t="s">
        <v>700</v>
      </c>
      <c r="B237" s="15" t="s">
        <v>978</v>
      </c>
      <c r="C237" s="16" t="s">
        <v>1690</v>
      </c>
    </row>
    <row r="238" spans="1:3" x14ac:dyDescent="0.4">
      <c r="A238" s="15" t="s">
        <v>717</v>
      </c>
      <c r="B238" s="15" t="s">
        <v>979</v>
      </c>
      <c r="C238" s="15" t="s">
        <v>1691</v>
      </c>
    </row>
    <row r="239" spans="1:3" x14ac:dyDescent="0.4">
      <c r="A239" s="15" t="s">
        <v>718</v>
      </c>
      <c r="B239" s="15" t="s">
        <v>980</v>
      </c>
      <c r="C239" s="16" t="s">
        <v>1692</v>
      </c>
    </row>
    <row r="240" spans="1:3" x14ac:dyDescent="0.4">
      <c r="A240" s="15" t="s">
        <v>719</v>
      </c>
      <c r="B240" s="15" t="s">
        <v>981</v>
      </c>
      <c r="C240" s="16" t="s">
        <v>1693</v>
      </c>
    </row>
    <row r="241" spans="1:3" x14ac:dyDescent="0.4">
      <c r="A241" s="15" t="s">
        <v>742</v>
      </c>
      <c r="B241" s="15" t="s">
        <v>982</v>
      </c>
      <c r="C241" s="15" t="s">
        <v>1694</v>
      </c>
    </row>
    <row r="242" spans="1:3" x14ac:dyDescent="0.4">
      <c r="A242" s="15" t="s">
        <v>701</v>
      </c>
      <c r="B242" s="15" t="s">
        <v>983</v>
      </c>
      <c r="C242" s="15" t="s">
        <v>1695</v>
      </c>
    </row>
    <row r="243" spans="1:3" x14ac:dyDescent="0.4">
      <c r="A243" s="15" t="s">
        <v>702</v>
      </c>
      <c r="B243" s="15" t="s">
        <v>984</v>
      </c>
      <c r="C243" s="16" t="s">
        <v>1696</v>
      </c>
    </row>
    <row r="244" spans="1:3" x14ac:dyDescent="0.4">
      <c r="A244" s="15" t="s">
        <v>703</v>
      </c>
      <c r="B244" s="15" t="s">
        <v>985</v>
      </c>
      <c r="C244" s="15" t="s">
        <v>1697</v>
      </c>
    </row>
    <row r="245" spans="1:3" x14ac:dyDescent="0.4">
      <c r="A245" s="15" t="s">
        <v>704</v>
      </c>
      <c r="B245" s="15" t="s">
        <v>986</v>
      </c>
      <c r="C245" s="15" t="s">
        <v>1698</v>
      </c>
    </row>
    <row r="246" spans="1:3" x14ac:dyDescent="0.4">
      <c r="A246" s="15" t="s">
        <v>705</v>
      </c>
      <c r="B246" s="15" t="s">
        <v>987</v>
      </c>
      <c r="C246" s="15" t="s">
        <v>1699</v>
      </c>
    </row>
    <row r="247" spans="1:3" x14ac:dyDescent="0.4">
      <c r="A247" s="15" t="s">
        <v>706</v>
      </c>
      <c r="B247" s="15" t="s">
        <v>988</v>
      </c>
      <c r="C247" s="16" t="s">
        <v>1700</v>
      </c>
    </row>
    <row r="248" spans="1:3" x14ac:dyDescent="0.4">
      <c r="A248" s="15" t="s">
        <v>707</v>
      </c>
      <c r="B248" s="15" t="s">
        <v>989</v>
      </c>
      <c r="C248" s="15" t="s">
        <v>1701</v>
      </c>
    </row>
    <row r="249" spans="1:3" x14ac:dyDescent="0.4">
      <c r="A249" s="15" t="s">
        <v>708</v>
      </c>
      <c r="B249" s="15" t="s">
        <v>990</v>
      </c>
      <c r="C249" s="15" t="s">
        <v>1702</v>
      </c>
    </row>
    <row r="250" spans="1:3" x14ac:dyDescent="0.4">
      <c r="A250" s="15" t="s">
        <v>697</v>
      </c>
      <c r="B250" s="15" t="s">
        <v>974</v>
      </c>
      <c r="C250" s="16" t="s">
        <v>1687</v>
      </c>
    </row>
    <row r="251" spans="1:3" x14ac:dyDescent="0.4">
      <c r="A251" s="15" t="s">
        <v>1918</v>
      </c>
      <c r="B251" s="15" t="s">
        <v>1968</v>
      </c>
      <c r="C251" s="23" t="str">
        <f>"usa"&amp;CHAR(10)&amp;"- "&amp;SUBSTITUTE(LOWER(MID(A251,4,LEN(A251)))," ","-")</f>
        <v>usa
- alabama</v>
      </c>
    </row>
    <row r="252" spans="1:3" x14ac:dyDescent="0.4">
      <c r="A252" s="15" t="s">
        <v>1919</v>
      </c>
      <c r="B252" s="15" t="s">
        <v>1969</v>
      </c>
      <c r="C252" s="23" t="str">
        <f t="shared" ref="C252:C301" si="0">"usa"&amp;CHAR(10)&amp;"- "&amp;SUBSTITUTE(LOWER(MID(A252,4,LEN(A252)))," ","-")</f>
        <v>usa
- alaska</v>
      </c>
    </row>
    <row r="253" spans="1:3" x14ac:dyDescent="0.4">
      <c r="A253" s="15" t="s">
        <v>1920</v>
      </c>
      <c r="B253" s="15" t="s">
        <v>1970</v>
      </c>
      <c r="C253" s="23" t="str">
        <f t="shared" si="0"/>
        <v>usa
- arizona</v>
      </c>
    </row>
    <row r="254" spans="1:3" x14ac:dyDescent="0.4">
      <c r="A254" s="15" t="s">
        <v>1916</v>
      </c>
      <c r="B254" s="15" t="s">
        <v>1971</v>
      </c>
      <c r="C254" s="23" t="str">
        <f t="shared" si="0"/>
        <v>usa
- arkansas</v>
      </c>
    </row>
    <row r="255" spans="1:3" x14ac:dyDescent="0.4">
      <c r="A255" s="15" t="s">
        <v>1921</v>
      </c>
      <c r="B255" s="15" t="s">
        <v>1972</v>
      </c>
      <c r="C255" s="23" t="str">
        <f t="shared" si="0"/>
        <v>usa
- california</v>
      </c>
    </row>
    <row r="256" spans="1:3" x14ac:dyDescent="0.4">
      <c r="A256" s="15" t="s">
        <v>1922</v>
      </c>
      <c r="B256" s="15" t="s">
        <v>1973</v>
      </c>
      <c r="C256" s="23" t="str">
        <f t="shared" si="0"/>
        <v>usa
- colorado</v>
      </c>
    </row>
    <row r="257" spans="1:3" x14ac:dyDescent="0.4">
      <c r="A257" s="15" t="s">
        <v>1923</v>
      </c>
      <c r="B257" s="15" t="s">
        <v>1974</v>
      </c>
      <c r="C257" s="23" t="str">
        <f t="shared" si="0"/>
        <v>usa
- connecticut</v>
      </c>
    </row>
    <row r="258" spans="1:3" x14ac:dyDescent="0.4">
      <c r="A258" s="15" t="s">
        <v>1924</v>
      </c>
      <c r="B258" s="15" t="s">
        <v>1975</v>
      </c>
      <c r="C258" s="23" t="str">
        <f t="shared" si="0"/>
        <v>usa
- delaware</v>
      </c>
    </row>
    <row r="259" spans="1:3" x14ac:dyDescent="0.4">
      <c r="A259" s="15" t="s">
        <v>1925</v>
      </c>
      <c r="B259" s="15" t="s">
        <v>1976</v>
      </c>
      <c r="C259" s="23" t="str">
        <f t="shared" si="0"/>
        <v>usa
- dc</v>
      </c>
    </row>
    <row r="260" spans="1:3" x14ac:dyDescent="0.4">
      <c r="A260" s="15" t="s">
        <v>1926</v>
      </c>
      <c r="B260" s="15" t="s">
        <v>1977</v>
      </c>
      <c r="C260" s="23" t="str">
        <f t="shared" si="0"/>
        <v>usa
- florida</v>
      </c>
    </row>
    <row r="261" spans="1:3" x14ac:dyDescent="0.4">
      <c r="A261" s="15" t="s">
        <v>1927</v>
      </c>
      <c r="B261" s="15" t="s">
        <v>1978</v>
      </c>
      <c r="C261" s="23" t="str">
        <f t="shared" si="0"/>
        <v>usa
- georgia</v>
      </c>
    </row>
    <row r="262" spans="1:3" x14ac:dyDescent="0.4">
      <c r="A262" s="15" t="s">
        <v>1928</v>
      </c>
      <c r="B262" s="15" t="s">
        <v>1979</v>
      </c>
      <c r="C262" s="23" t="str">
        <f t="shared" si="0"/>
        <v>usa
- hawaii</v>
      </c>
    </row>
    <row r="263" spans="1:3" x14ac:dyDescent="0.4">
      <c r="A263" s="15" t="s">
        <v>1929</v>
      </c>
      <c r="B263" s="15" t="s">
        <v>1980</v>
      </c>
      <c r="C263" s="23" t="str">
        <f t="shared" si="0"/>
        <v>usa
- idaho</v>
      </c>
    </row>
    <row r="264" spans="1:3" x14ac:dyDescent="0.4">
      <c r="A264" s="15" t="s">
        <v>1930</v>
      </c>
      <c r="B264" s="15" t="s">
        <v>1981</v>
      </c>
      <c r="C264" s="23" t="str">
        <f t="shared" si="0"/>
        <v>usa
- illinois</v>
      </c>
    </row>
    <row r="265" spans="1:3" x14ac:dyDescent="0.4">
      <c r="A265" s="15" t="s">
        <v>1931</v>
      </c>
      <c r="B265" s="15" t="s">
        <v>1982</v>
      </c>
      <c r="C265" s="23" t="str">
        <f t="shared" si="0"/>
        <v>usa
- indiana</v>
      </c>
    </row>
    <row r="266" spans="1:3" x14ac:dyDescent="0.4">
      <c r="A266" s="15" t="s">
        <v>1932</v>
      </c>
      <c r="B266" s="15" t="s">
        <v>1983</v>
      </c>
      <c r="C266" s="23" t="str">
        <f t="shared" si="0"/>
        <v>usa
- iowa</v>
      </c>
    </row>
    <row r="267" spans="1:3" x14ac:dyDescent="0.4">
      <c r="A267" s="15" t="s">
        <v>1933</v>
      </c>
      <c r="B267" s="15" t="s">
        <v>1984</v>
      </c>
      <c r="C267" s="23" t="str">
        <f t="shared" si="0"/>
        <v>usa
- kansas</v>
      </c>
    </row>
    <row r="268" spans="1:3" x14ac:dyDescent="0.4">
      <c r="A268" s="15" t="s">
        <v>1934</v>
      </c>
      <c r="B268" s="15" t="s">
        <v>1985</v>
      </c>
      <c r="C268" s="23" t="str">
        <f t="shared" si="0"/>
        <v>usa
- kentucky</v>
      </c>
    </row>
    <row r="269" spans="1:3" x14ac:dyDescent="0.4">
      <c r="A269" s="15" t="s">
        <v>1935</v>
      </c>
      <c r="B269" s="15" t="s">
        <v>1986</v>
      </c>
      <c r="C269" s="23" t="str">
        <f t="shared" si="0"/>
        <v>usa
- louisiana</v>
      </c>
    </row>
    <row r="270" spans="1:3" x14ac:dyDescent="0.4">
      <c r="A270" s="15" t="s">
        <v>1936</v>
      </c>
      <c r="B270" s="15" t="s">
        <v>1987</v>
      </c>
      <c r="C270" s="23" t="str">
        <f t="shared" si="0"/>
        <v>usa
- maine</v>
      </c>
    </row>
    <row r="271" spans="1:3" x14ac:dyDescent="0.4">
      <c r="A271" s="15" t="s">
        <v>1937</v>
      </c>
      <c r="B271" s="15" t="s">
        <v>1988</v>
      </c>
      <c r="C271" s="23" t="str">
        <f t="shared" si="0"/>
        <v>usa
- maryland</v>
      </c>
    </row>
    <row r="272" spans="1:3" x14ac:dyDescent="0.4">
      <c r="A272" s="15" t="s">
        <v>1938</v>
      </c>
      <c r="B272" s="15" t="s">
        <v>1989</v>
      </c>
      <c r="C272" s="23" t="str">
        <f t="shared" si="0"/>
        <v>usa
- massachusetts</v>
      </c>
    </row>
    <row r="273" spans="1:3" x14ac:dyDescent="0.4">
      <c r="A273" s="15" t="s">
        <v>1939</v>
      </c>
      <c r="B273" s="15" t="s">
        <v>1990</v>
      </c>
      <c r="C273" s="23" t="str">
        <f t="shared" si="0"/>
        <v>usa
- michigan</v>
      </c>
    </row>
    <row r="274" spans="1:3" x14ac:dyDescent="0.4">
      <c r="A274" s="15" t="s">
        <v>1940</v>
      </c>
      <c r="B274" s="15" t="s">
        <v>1991</v>
      </c>
      <c r="C274" s="23" t="str">
        <f t="shared" si="0"/>
        <v>usa
- minnesota</v>
      </c>
    </row>
    <row r="275" spans="1:3" x14ac:dyDescent="0.4">
      <c r="A275" s="15" t="s">
        <v>1941</v>
      </c>
      <c r="B275" s="15" t="s">
        <v>1992</v>
      </c>
      <c r="C275" s="23" t="str">
        <f t="shared" si="0"/>
        <v>usa
- mississippi</v>
      </c>
    </row>
    <row r="276" spans="1:3" x14ac:dyDescent="0.4">
      <c r="A276" s="15" t="s">
        <v>1942</v>
      </c>
      <c r="B276" s="15" t="s">
        <v>1993</v>
      </c>
      <c r="C276" s="23" t="str">
        <f t="shared" si="0"/>
        <v>usa
- missouri</v>
      </c>
    </row>
    <row r="277" spans="1:3" x14ac:dyDescent="0.4">
      <c r="A277" s="15" t="s">
        <v>1943</v>
      </c>
      <c r="B277" s="15" t="s">
        <v>1994</v>
      </c>
      <c r="C277" s="23" t="str">
        <f t="shared" si="0"/>
        <v>usa
- montana</v>
      </c>
    </row>
    <row r="278" spans="1:3" x14ac:dyDescent="0.4">
      <c r="A278" s="15" t="s">
        <v>1944</v>
      </c>
      <c r="B278" s="15" t="s">
        <v>1995</v>
      </c>
      <c r="C278" s="23" t="str">
        <f t="shared" si="0"/>
        <v>usa
- nebraska</v>
      </c>
    </row>
    <row r="279" spans="1:3" x14ac:dyDescent="0.4">
      <c r="A279" s="15" t="s">
        <v>1945</v>
      </c>
      <c r="B279" s="15" t="s">
        <v>1996</v>
      </c>
      <c r="C279" s="23" t="str">
        <f t="shared" si="0"/>
        <v>usa
- nevada</v>
      </c>
    </row>
    <row r="280" spans="1:3" x14ac:dyDescent="0.4">
      <c r="A280" s="15" t="s">
        <v>1946</v>
      </c>
      <c r="B280" s="15" t="s">
        <v>1997</v>
      </c>
      <c r="C280" s="23" t="str">
        <f t="shared" si="0"/>
        <v>usa
- new-hampshire</v>
      </c>
    </row>
    <row r="281" spans="1:3" x14ac:dyDescent="0.4">
      <c r="A281" s="15" t="s">
        <v>1947</v>
      </c>
      <c r="B281" s="15" t="s">
        <v>1998</v>
      </c>
      <c r="C281" s="23" t="str">
        <f t="shared" si="0"/>
        <v>usa
- new-jersey</v>
      </c>
    </row>
    <row r="282" spans="1:3" x14ac:dyDescent="0.4">
      <c r="A282" s="15" t="s">
        <v>1948</v>
      </c>
      <c r="B282" s="15" t="s">
        <v>1999</v>
      </c>
      <c r="C282" s="23" t="str">
        <f t="shared" si="0"/>
        <v>usa
- new-mexico</v>
      </c>
    </row>
    <row r="283" spans="1:3" x14ac:dyDescent="0.4">
      <c r="A283" s="15" t="s">
        <v>1949</v>
      </c>
      <c r="B283" s="15" t="s">
        <v>2000</v>
      </c>
      <c r="C283" s="23" t="str">
        <f t="shared" si="0"/>
        <v>usa
- new-york</v>
      </c>
    </row>
    <row r="284" spans="1:3" x14ac:dyDescent="0.4">
      <c r="A284" s="15" t="s">
        <v>1950</v>
      </c>
      <c r="B284" s="15" t="s">
        <v>2001</v>
      </c>
      <c r="C284" s="23" t="str">
        <f t="shared" si="0"/>
        <v>usa
- north-carolina</v>
      </c>
    </row>
    <row r="285" spans="1:3" x14ac:dyDescent="0.4">
      <c r="A285" s="15" t="s">
        <v>1951</v>
      </c>
      <c r="B285" s="15" t="s">
        <v>2002</v>
      </c>
      <c r="C285" s="23" t="str">
        <f t="shared" si="0"/>
        <v>usa
- north-dakota</v>
      </c>
    </row>
    <row r="286" spans="1:3" x14ac:dyDescent="0.4">
      <c r="A286" s="15" t="s">
        <v>1952</v>
      </c>
      <c r="B286" s="15" t="s">
        <v>2003</v>
      </c>
      <c r="C286" s="23" t="str">
        <f t="shared" si="0"/>
        <v>usa
- ohio</v>
      </c>
    </row>
    <row r="287" spans="1:3" x14ac:dyDescent="0.4">
      <c r="A287" s="15" t="s">
        <v>1953</v>
      </c>
      <c r="B287" s="15" t="s">
        <v>2004</v>
      </c>
      <c r="C287" s="23" t="str">
        <f t="shared" si="0"/>
        <v>usa
- oklahoma</v>
      </c>
    </row>
    <row r="288" spans="1:3" x14ac:dyDescent="0.4">
      <c r="A288" s="15" t="s">
        <v>1954</v>
      </c>
      <c r="B288" s="15" t="s">
        <v>2005</v>
      </c>
      <c r="C288" s="23" t="str">
        <f t="shared" si="0"/>
        <v>usa
- oregon</v>
      </c>
    </row>
    <row r="289" spans="1:3" x14ac:dyDescent="0.4">
      <c r="A289" s="15" t="s">
        <v>1955</v>
      </c>
      <c r="B289" s="15" t="s">
        <v>2006</v>
      </c>
      <c r="C289" s="23" t="str">
        <f t="shared" si="0"/>
        <v>usa
- pennsylvania</v>
      </c>
    </row>
    <row r="290" spans="1:3" x14ac:dyDescent="0.4">
      <c r="A290" s="15" t="s">
        <v>1956</v>
      </c>
      <c r="B290" s="15" t="s">
        <v>2007</v>
      </c>
      <c r="C290" s="23" t="str">
        <f t="shared" si="0"/>
        <v>usa
- rhode-island</v>
      </c>
    </row>
    <row r="291" spans="1:3" x14ac:dyDescent="0.4">
      <c r="A291" s="15" t="s">
        <v>1957</v>
      </c>
      <c r="B291" s="15" t="s">
        <v>2008</v>
      </c>
      <c r="C291" s="23" t="str">
        <f t="shared" si="0"/>
        <v>usa
- south-carolina</v>
      </c>
    </row>
    <row r="292" spans="1:3" x14ac:dyDescent="0.4">
      <c r="A292" s="15" t="s">
        <v>1958</v>
      </c>
      <c r="B292" s="15" t="s">
        <v>2009</v>
      </c>
      <c r="C292" s="23" t="str">
        <f t="shared" si="0"/>
        <v>usa
- south-dakota</v>
      </c>
    </row>
    <row r="293" spans="1:3" x14ac:dyDescent="0.4">
      <c r="A293" s="15" t="s">
        <v>1959</v>
      </c>
      <c r="B293" s="15" t="s">
        <v>2010</v>
      </c>
      <c r="C293" s="23" t="str">
        <f t="shared" si="0"/>
        <v>usa
- tennessee</v>
      </c>
    </row>
    <row r="294" spans="1:3" x14ac:dyDescent="0.4">
      <c r="A294" s="15" t="s">
        <v>1960</v>
      </c>
      <c r="B294" s="15" t="s">
        <v>2011</v>
      </c>
      <c r="C294" s="23" t="str">
        <f t="shared" si="0"/>
        <v>usa
- texas</v>
      </c>
    </row>
    <row r="295" spans="1:3" x14ac:dyDescent="0.4">
      <c r="A295" s="15" t="s">
        <v>1961</v>
      </c>
      <c r="B295" s="15" t="s">
        <v>2012</v>
      </c>
      <c r="C295" s="23" t="str">
        <f t="shared" si="0"/>
        <v>usa
- utah</v>
      </c>
    </row>
    <row r="296" spans="1:3" x14ac:dyDescent="0.4">
      <c r="A296" s="15" t="s">
        <v>1962</v>
      </c>
      <c r="B296" s="15" t="s">
        <v>2013</v>
      </c>
      <c r="C296" s="23" t="str">
        <f t="shared" si="0"/>
        <v>usa
- vermont</v>
      </c>
    </row>
    <row r="297" spans="1:3" x14ac:dyDescent="0.4">
      <c r="A297" s="15" t="s">
        <v>1963</v>
      </c>
      <c r="B297" s="15" t="s">
        <v>2014</v>
      </c>
      <c r="C297" s="23" t="str">
        <f t="shared" si="0"/>
        <v>usa
- virginia</v>
      </c>
    </row>
    <row r="298" spans="1:3" x14ac:dyDescent="0.4">
      <c r="A298" s="15" t="s">
        <v>1964</v>
      </c>
      <c r="B298" s="15" t="s">
        <v>2015</v>
      </c>
      <c r="C298" s="23" t="str">
        <f t="shared" si="0"/>
        <v>usa
- washington</v>
      </c>
    </row>
    <row r="299" spans="1:3" x14ac:dyDescent="0.4">
      <c r="A299" s="15" t="s">
        <v>1965</v>
      </c>
      <c r="B299" s="15" t="s">
        <v>2016</v>
      </c>
      <c r="C299" s="23" t="str">
        <f t="shared" si="0"/>
        <v>usa
- west-virginia</v>
      </c>
    </row>
    <row r="300" spans="1:3" x14ac:dyDescent="0.4">
      <c r="A300" s="15" t="s">
        <v>1966</v>
      </c>
      <c r="B300" s="15" t="s">
        <v>2017</v>
      </c>
      <c r="C300" s="23" t="str">
        <f t="shared" si="0"/>
        <v>usa
- wisconsin</v>
      </c>
    </row>
    <row r="301" spans="1:3" x14ac:dyDescent="0.4">
      <c r="A301" s="15" t="s">
        <v>1967</v>
      </c>
      <c r="B301" s="15" t="s">
        <v>2018</v>
      </c>
      <c r="C301" s="23" t="str">
        <f t="shared" si="0"/>
        <v>usa
- wyoming</v>
      </c>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5234375" defaultRowHeight="12.45" x14ac:dyDescent="0.4"/>
  <cols>
    <col min="1" max="1" width="10.3828125" style="14" bestFit="1" customWidth="1"/>
    <col min="2" max="2" width="9.84375" style="24" bestFit="1" customWidth="1"/>
    <col min="3" max="3" width="14.3828125" style="15" customWidth="1"/>
    <col min="4" max="4" width="3.84375" style="52" bestFit="1" customWidth="1"/>
    <col min="5" max="5" width="4.3828125" style="49" bestFit="1"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16384" width="9.15234375" style="15"/>
  </cols>
  <sheetData>
    <row r="1" spans="1:42" s="67" customFormat="1" ht="12.9" thickBot="1" x14ac:dyDescent="0.45">
      <c r="A1" s="67" t="s">
        <v>1323</v>
      </c>
      <c r="B1" s="68" t="s">
        <v>485</v>
      </c>
      <c r="C1" s="67" t="s">
        <v>1729</v>
      </c>
      <c r="D1" s="73"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row>
    <row r="2" spans="1:42" x14ac:dyDescent="0.4">
      <c r="B2" s="24" t="s">
        <v>552</v>
      </c>
      <c r="H2" s="15" t="s">
        <v>1720</v>
      </c>
      <c r="I2" s="25" t="b">
        <v>1</v>
      </c>
      <c r="J2" s="15" t="b">
        <v>1</v>
      </c>
      <c r="N2" s="15" t="s">
        <v>336</v>
      </c>
      <c r="O2" s="15" t="s">
        <v>336</v>
      </c>
      <c r="Y2" s="39"/>
      <c r="Z2" s="39"/>
      <c r="AA2" s="39"/>
      <c r="AB2" s="39"/>
      <c r="AC2" s="39"/>
      <c r="AD2" s="39"/>
      <c r="AE2" s="39"/>
      <c r="AF2" s="39"/>
      <c r="AG2" s="39"/>
      <c r="AH2" s="39"/>
      <c r="AI2" s="87" t="s">
        <v>625</v>
      </c>
      <c r="AJ2" s="88" t="s">
        <v>1064</v>
      </c>
      <c r="AK2" s="15" t="s">
        <v>183</v>
      </c>
      <c r="AL2" s="15" t="s">
        <v>336</v>
      </c>
      <c r="AM2" s="15" t="s">
        <v>336</v>
      </c>
      <c r="AN2" s="15" t="s">
        <v>336</v>
      </c>
      <c r="AO2" s="15" t="s">
        <v>336</v>
      </c>
      <c r="AP2" s="49" t="s">
        <v>336</v>
      </c>
    </row>
    <row r="3" spans="1:42" x14ac:dyDescent="0.4">
      <c r="B3" s="24" t="s">
        <v>11</v>
      </c>
      <c r="H3" s="15" t="s">
        <v>1720</v>
      </c>
      <c r="I3" s="25" t="b">
        <v>1</v>
      </c>
      <c r="J3" s="15" t="b">
        <v>1</v>
      </c>
      <c r="N3" s="15" t="s">
        <v>336</v>
      </c>
      <c r="O3" s="15" t="s">
        <v>336</v>
      </c>
      <c r="Y3" s="15" t="s">
        <v>336</v>
      </c>
      <c r="AI3" s="87" t="s">
        <v>1185</v>
      </c>
      <c r="AJ3" s="88">
        <v>1000</v>
      </c>
      <c r="AK3" s="15" t="s">
        <v>185</v>
      </c>
      <c r="AL3" s="15" t="s">
        <v>336</v>
      </c>
      <c r="AM3" s="15" t="s">
        <v>336</v>
      </c>
      <c r="AN3" s="15" t="s">
        <v>336</v>
      </c>
      <c r="AO3" s="15" t="s">
        <v>336</v>
      </c>
      <c r="AP3" s="49" t="s">
        <v>336</v>
      </c>
    </row>
    <row r="4" spans="1:42" x14ac:dyDescent="0.4">
      <c r="B4" s="24" t="s">
        <v>11</v>
      </c>
      <c r="H4" s="15" t="s">
        <v>1720</v>
      </c>
      <c r="I4" s="25" t="b">
        <v>1</v>
      </c>
      <c r="J4" s="15" t="b">
        <v>1</v>
      </c>
      <c r="N4" s="15" t="s">
        <v>336</v>
      </c>
      <c r="O4" s="15" t="s">
        <v>336</v>
      </c>
      <c r="Y4" s="15" t="s">
        <v>336</v>
      </c>
      <c r="AI4" s="87" t="s">
        <v>1186</v>
      </c>
      <c r="AJ4" s="88">
        <v>1001</v>
      </c>
      <c r="AK4" s="15" t="s">
        <v>186</v>
      </c>
      <c r="AL4" s="15" t="s">
        <v>336</v>
      </c>
      <c r="AM4" s="15" t="s">
        <v>336</v>
      </c>
      <c r="AN4" s="15" t="s">
        <v>336</v>
      </c>
      <c r="AO4" s="15" t="s">
        <v>336</v>
      </c>
      <c r="AP4" s="49" t="s">
        <v>336</v>
      </c>
    </row>
    <row r="5" spans="1:42" x14ac:dyDescent="0.4">
      <c r="B5" s="24" t="s">
        <v>557</v>
      </c>
      <c r="H5" s="15" t="s">
        <v>1720</v>
      </c>
      <c r="I5" s="25" t="b">
        <v>1</v>
      </c>
      <c r="J5" s="15" t="b">
        <v>1</v>
      </c>
      <c r="N5" s="15" t="s">
        <v>336</v>
      </c>
      <c r="O5" s="15" t="s">
        <v>336</v>
      </c>
      <c r="Y5" s="15" t="s">
        <v>336</v>
      </c>
      <c r="AI5" s="87" t="s">
        <v>1187</v>
      </c>
      <c r="AJ5" s="88">
        <v>1105</v>
      </c>
      <c r="AK5" s="15" t="s">
        <v>187</v>
      </c>
      <c r="AL5" s="15" t="s">
        <v>336</v>
      </c>
      <c r="AM5" s="15" t="s">
        <v>336</v>
      </c>
      <c r="AN5" s="15" t="s">
        <v>336</v>
      </c>
      <c r="AO5" s="15" t="s">
        <v>336</v>
      </c>
      <c r="AP5" s="49" t="s">
        <v>336</v>
      </c>
    </row>
    <row r="6" spans="1:42" x14ac:dyDescent="0.4">
      <c r="B6" s="24" t="s">
        <v>655</v>
      </c>
      <c r="H6" s="15" t="s">
        <v>1720</v>
      </c>
      <c r="I6" s="25" t="b">
        <v>1</v>
      </c>
      <c r="J6" s="15" t="b">
        <v>1</v>
      </c>
      <c r="N6" s="15" t="s">
        <v>336</v>
      </c>
      <c r="O6" s="15" t="s">
        <v>336</v>
      </c>
      <c r="Y6" s="15" t="s">
        <v>336</v>
      </c>
      <c r="AI6" s="87" t="s">
        <v>1188</v>
      </c>
      <c r="AJ6" s="88">
        <v>1182</v>
      </c>
      <c r="AK6" s="15" t="s">
        <v>188</v>
      </c>
      <c r="AL6" s="15" t="s">
        <v>336</v>
      </c>
      <c r="AM6" s="15" t="s">
        <v>336</v>
      </c>
      <c r="AN6" s="15" t="s">
        <v>336</v>
      </c>
      <c r="AO6" s="15" t="s">
        <v>336</v>
      </c>
      <c r="AP6" s="49" t="s">
        <v>336</v>
      </c>
    </row>
    <row r="7" spans="1:42" x14ac:dyDescent="0.4">
      <c r="B7" s="24" t="s">
        <v>11</v>
      </c>
      <c r="H7" s="15" t="s">
        <v>1720</v>
      </c>
      <c r="I7" s="25" t="b">
        <v>1</v>
      </c>
      <c r="J7" s="15" t="b">
        <v>1</v>
      </c>
      <c r="N7" s="15" t="s">
        <v>336</v>
      </c>
      <c r="O7" s="15" t="s">
        <v>336</v>
      </c>
      <c r="Y7" s="15" t="s">
        <v>336</v>
      </c>
      <c r="AI7" s="87" t="s">
        <v>1190</v>
      </c>
      <c r="AJ7" s="88">
        <v>1216</v>
      </c>
      <c r="AK7" s="15" t="s">
        <v>190</v>
      </c>
      <c r="AL7" s="15" t="s">
        <v>336</v>
      </c>
      <c r="AM7" s="15" t="s">
        <v>336</v>
      </c>
      <c r="AN7" s="15" t="s">
        <v>336</v>
      </c>
      <c r="AO7" s="15" t="s">
        <v>336</v>
      </c>
      <c r="AP7" s="49" t="s">
        <v>336</v>
      </c>
    </row>
    <row r="8" spans="1:42" x14ac:dyDescent="0.4">
      <c r="B8" s="24" t="s">
        <v>655</v>
      </c>
      <c r="H8" s="15" t="s">
        <v>1720</v>
      </c>
      <c r="I8" s="25" t="b">
        <v>1</v>
      </c>
      <c r="J8" s="15" t="b">
        <v>1</v>
      </c>
      <c r="N8" s="15" t="s">
        <v>336</v>
      </c>
      <c r="O8" s="15" t="s">
        <v>336</v>
      </c>
      <c r="Y8" s="15" t="s">
        <v>336</v>
      </c>
      <c r="AI8" s="87" t="s">
        <v>1191</v>
      </c>
      <c r="AJ8" s="88">
        <v>1220</v>
      </c>
      <c r="AK8" s="15" t="s">
        <v>191</v>
      </c>
      <c r="AL8" s="15" t="s">
        <v>336</v>
      </c>
      <c r="AM8" s="15" t="s">
        <v>336</v>
      </c>
      <c r="AN8" s="15" t="s">
        <v>336</v>
      </c>
      <c r="AO8" s="15" t="s">
        <v>336</v>
      </c>
      <c r="AP8" s="49" t="s">
        <v>336</v>
      </c>
    </row>
    <row r="9" spans="1:42" x14ac:dyDescent="0.4">
      <c r="B9" s="24" t="s">
        <v>552</v>
      </c>
      <c r="H9" s="15" t="s">
        <v>1720</v>
      </c>
      <c r="I9" s="25" t="b">
        <v>1</v>
      </c>
      <c r="J9" s="15" t="b">
        <v>1</v>
      </c>
      <c r="N9" s="15" t="s">
        <v>336</v>
      </c>
      <c r="O9" s="15" t="s">
        <v>336</v>
      </c>
      <c r="Y9" s="15" t="s">
        <v>336</v>
      </c>
      <c r="AI9" s="87" t="s">
        <v>1192</v>
      </c>
      <c r="AJ9" s="88">
        <v>1222</v>
      </c>
      <c r="AK9" s="15" t="s">
        <v>192</v>
      </c>
      <c r="AL9" s="15" t="s">
        <v>336</v>
      </c>
      <c r="AM9" s="15" t="s">
        <v>336</v>
      </c>
      <c r="AN9" s="15" t="s">
        <v>336</v>
      </c>
      <c r="AO9" s="15" t="s">
        <v>336</v>
      </c>
      <c r="AP9" s="49" t="s">
        <v>336</v>
      </c>
    </row>
    <row r="10" spans="1:42" x14ac:dyDescent="0.4">
      <c r="B10" s="24" t="s">
        <v>11</v>
      </c>
      <c r="H10" s="15" t="s">
        <v>1720</v>
      </c>
      <c r="I10" s="25" t="b">
        <v>1</v>
      </c>
      <c r="J10" s="15" t="b">
        <v>1</v>
      </c>
      <c r="N10" s="15" t="s">
        <v>336</v>
      </c>
      <c r="O10" s="15" t="s">
        <v>336</v>
      </c>
      <c r="Y10" s="15" t="s">
        <v>336</v>
      </c>
      <c r="AI10" s="87" t="s">
        <v>1193</v>
      </c>
      <c r="AJ10" s="88">
        <v>1233</v>
      </c>
      <c r="AK10" s="15" t="s">
        <v>193</v>
      </c>
      <c r="AL10" s="15" t="s">
        <v>336</v>
      </c>
      <c r="AM10" s="15" t="s">
        <v>336</v>
      </c>
      <c r="AN10" s="15" t="s">
        <v>336</v>
      </c>
      <c r="AO10" s="15" t="s">
        <v>336</v>
      </c>
      <c r="AP10" s="49" t="s">
        <v>336</v>
      </c>
    </row>
    <row r="11" spans="1:42" ht="24.9" x14ac:dyDescent="0.4">
      <c r="B11" s="24" t="s">
        <v>736</v>
      </c>
      <c r="H11" s="15" t="s">
        <v>1720</v>
      </c>
      <c r="I11" s="25" t="b">
        <v>1</v>
      </c>
      <c r="J11" s="15" t="b">
        <v>1</v>
      </c>
      <c r="N11" s="15" t="s">
        <v>336</v>
      </c>
      <c r="O11" s="15" t="s">
        <v>336</v>
      </c>
      <c r="Y11" s="15" t="s">
        <v>336</v>
      </c>
      <c r="AI11" s="87" t="s">
        <v>1194</v>
      </c>
      <c r="AJ11" s="88">
        <v>1251</v>
      </c>
      <c r="AK11" s="15" t="s">
        <v>194</v>
      </c>
      <c r="AL11" s="15" t="s">
        <v>336</v>
      </c>
      <c r="AM11" s="15" t="s">
        <v>336</v>
      </c>
      <c r="AN11" s="15" t="s">
        <v>336</v>
      </c>
      <c r="AO11" s="15" t="s">
        <v>336</v>
      </c>
      <c r="AP11" s="49" t="s">
        <v>336</v>
      </c>
    </row>
    <row r="12" spans="1:42" x14ac:dyDescent="0.4">
      <c r="B12" s="27" t="s">
        <v>11</v>
      </c>
      <c r="C12" s="35" t="s">
        <v>1004</v>
      </c>
      <c r="H12" s="15" t="s">
        <v>1720</v>
      </c>
      <c r="I12" s="25" t="b">
        <v>1</v>
      </c>
      <c r="J12" s="15" t="b">
        <v>1</v>
      </c>
      <c r="N12" s="15" t="s">
        <v>336</v>
      </c>
      <c r="O12" s="15" t="s">
        <v>336</v>
      </c>
      <c r="Y12" s="39"/>
      <c r="AI12" s="87" t="s">
        <v>1310</v>
      </c>
      <c r="AJ12" s="88">
        <v>1256</v>
      </c>
      <c r="AK12" s="15" t="s">
        <v>195</v>
      </c>
      <c r="AL12" s="15" t="s">
        <v>336</v>
      </c>
      <c r="AM12" s="15" t="s">
        <v>336</v>
      </c>
      <c r="AN12" s="15" t="s">
        <v>336</v>
      </c>
      <c r="AO12" s="15" t="s">
        <v>336</v>
      </c>
      <c r="AP12" s="49" t="s">
        <v>336</v>
      </c>
    </row>
    <row r="13" spans="1:42" x14ac:dyDescent="0.4">
      <c r="B13" s="24" t="s">
        <v>11</v>
      </c>
      <c r="H13" s="15" t="s">
        <v>1720</v>
      </c>
      <c r="I13" s="25" t="b">
        <v>1</v>
      </c>
      <c r="J13" s="15" t="b">
        <v>1</v>
      </c>
      <c r="N13" s="15" t="s">
        <v>336</v>
      </c>
      <c r="O13" s="15" t="s">
        <v>336</v>
      </c>
      <c r="Y13" s="15" t="s">
        <v>336</v>
      </c>
      <c r="AI13" s="87" t="s">
        <v>1195</v>
      </c>
      <c r="AJ13" s="88">
        <v>1310</v>
      </c>
      <c r="AK13" s="15" t="s">
        <v>196</v>
      </c>
      <c r="AL13" s="15" t="s">
        <v>336</v>
      </c>
      <c r="AM13" s="15" t="s">
        <v>336</v>
      </c>
      <c r="AN13" s="15" t="s">
        <v>336</v>
      </c>
      <c r="AO13" s="15" t="s">
        <v>336</v>
      </c>
      <c r="AP13" s="49" t="s">
        <v>336</v>
      </c>
    </row>
    <row r="14" spans="1:42" x14ac:dyDescent="0.4">
      <c r="B14" s="24" t="s">
        <v>11</v>
      </c>
      <c r="H14" s="15" t="s">
        <v>1720</v>
      </c>
      <c r="I14" s="25" t="b">
        <v>1</v>
      </c>
      <c r="J14" s="15" t="b">
        <v>1</v>
      </c>
      <c r="N14" s="15" t="s">
        <v>336</v>
      </c>
      <c r="O14" s="15" t="s">
        <v>336</v>
      </c>
      <c r="Y14" s="15" t="s">
        <v>336</v>
      </c>
      <c r="AI14" s="87" t="s">
        <v>1196</v>
      </c>
      <c r="AJ14" s="88">
        <v>1336</v>
      </c>
      <c r="AK14" s="15" t="s">
        <v>197</v>
      </c>
      <c r="AL14" s="15" t="s">
        <v>336</v>
      </c>
      <c r="AM14" s="15" t="s">
        <v>336</v>
      </c>
      <c r="AN14" s="15" t="s">
        <v>336</v>
      </c>
      <c r="AO14" s="15" t="s">
        <v>336</v>
      </c>
      <c r="AP14" s="49" t="s">
        <v>336</v>
      </c>
    </row>
    <row r="15" spans="1:42" x14ac:dyDescent="0.4">
      <c r="B15" s="24" t="s">
        <v>11</v>
      </c>
      <c r="H15" s="15" t="s">
        <v>1720</v>
      </c>
      <c r="I15" s="25" t="b">
        <v>1</v>
      </c>
      <c r="J15" s="15" t="b">
        <v>1</v>
      </c>
      <c r="N15" s="15" t="s">
        <v>336</v>
      </c>
      <c r="O15" s="15" t="s">
        <v>336</v>
      </c>
      <c r="Y15" s="15" t="s">
        <v>336</v>
      </c>
      <c r="AI15" s="87" t="s">
        <v>1197</v>
      </c>
      <c r="AJ15" s="88">
        <v>1350</v>
      </c>
      <c r="AK15" s="15" t="s">
        <v>198</v>
      </c>
      <c r="AL15" s="15" t="s">
        <v>336</v>
      </c>
      <c r="AM15" s="15" t="s">
        <v>336</v>
      </c>
      <c r="AN15" s="15" t="s">
        <v>336</v>
      </c>
      <c r="AO15" s="15" t="s">
        <v>336</v>
      </c>
      <c r="AP15" s="49" t="s">
        <v>336</v>
      </c>
    </row>
    <row r="16" spans="1:42" x14ac:dyDescent="0.4">
      <c r="B16" s="24" t="s">
        <v>11</v>
      </c>
      <c r="H16" s="15" t="s">
        <v>1720</v>
      </c>
      <c r="I16" s="25" t="b">
        <v>1</v>
      </c>
      <c r="J16" s="15" t="b">
        <v>1</v>
      </c>
      <c r="N16" s="15" t="s">
        <v>336</v>
      </c>
      <c r="O16" s="15" t="s">
        <v>336</v>
      </c>
      <c r="Y16" s="15" t="s">
        <v>336</v>
      </c>
      <c r="AI16" s="87" t="s">
        <v>1199</v>
      </c>
      <c r="AJ16" s="88">
        <v>1420</v>
      </c>
      <c r="AK16" s="15" t="s">
        <v>200</v>
      </c>
      <c r="AL16" s="15" t="s">
        <v>336</v>
      </c>
      <c r="AM16" s="15" t="s">
        <v>336</v>
      </c>
      <c r="AN16" s="15" t="s">
        <v>336</v>
      </c>
      <c r="AO16" s="15" t="s">
        <v>336</v>
      </c>
      <c r="AP16" s="49" t="s">
        <v>336</v>
      </c>
    </row>
    <row r="17" spans="2:42" x14ac:dyDescent="0.4">
      <c r="B17" s="24" t="s">
        <v>552</v>
      </c>
      <c r="H17" s="15" t="s">
        <v>1720</v>
      </c>
      <c r="I17" s="25" t="b">
        <v>1</v>
      </c>
      <c r="J17" s="15" t="b">
        <v>1</v>
      </c>
      <c r="N17" s="15" t="s">
        <v>336</v>
      </c>
      <c r="O17" s="15" t="s">
        <v>336</v>
      </c>
      <c r="Y17" s="15" t="s">
        <v>336</v>
      </c>
      <c r="AI17" s="87" t="s">
        <v>1200</v>
      </c>
      <c r="AJ17" s="88">
        <v>1420</v>
      </c>
      <c r="AK17" s="15" t="s">
        <v>201</v>
      </c>
      <c r="AL17" s="15" t="s">
        <v>336</v>
      </c>
      <c r="AM17" s="15" t="s">
        <v>336</v>
      </c>
      <c r="AN17" s="15" t="s">
        <v>336</v>
      </c>
      <c r="AO17" s="15" t="s">
        <v>336</v>
      </c>
      <c r="AP17" s="49" t="s">
        <v>336</v>
      </c>
    </row>
    <row r="18" spans="2:42" x14ac:dyDescent="0.4">
      <c r="B18" s="24" t="s">
        <v>11</v>
      </c>
      <c r="H18" s="15" t="s">
        <v>1720</v>
      </c>
      <c r="I18" s="25" t="b">
        <v>1</v>
      </c>
      <c r="J18" s="15" t="b">
        <v>1</v>
      </c>
      <c r="N18" s="15" t="s">
        <v>336</v>
      </c>
      <c r="O18" s="15" t="s">
        <v>336</v>
      </c>
      <c r="Y18" s="15" t="s">
        <v>336</v>
      </c>
      <c r="AI18" s="87" t="s">
        <v>1201</v>
      </c>
      <c r="AJ18" s="88" t="s">
        <v>1081</v>
      </c>
      <c r="AK18" s="15" t="s">
        <v>202</v>
      </c>
      <c r="AL18" s="15" t="s">
        <v>336</v>
      </c>
      <c r="AM18" s="15" t="s">
        <v>336</v>
      </c>
      <c r="AN18" s="15" t="s">
        <v>336</v>
      </c>
      <c r="AO18" s="15" t="s">
        <v>336</v>
      </c>
      <c r="AP18" s="49" t="s">
        <v>336</v>
      </c>
    </row>
    <row r="19" spans="2:42" x14ac:dyDescent="0.4">
      <c r="B19" s="24" t="s">
        <v>11</v>
      </c>
      <c r="H19" s="15" t="s">
        <v>1720</v>
      </c>
      <c r="I19" s="25" t="b">
        <v>1</v>
      </c>
      <c r="J19" s="15" t="b">
        <v>1</v>
      </c>
      <c r="N19" s="15" t="s">
        <v>336</v>
      </c>
      <c r="O19" s="15" t="s">
        <v>336</v>
      </c>
      <c r="Y19" s="15" t="s">
        <v>336</v>
      </c>
      <c r="AI19" s="87" t="s">
        <v>1202</v>
      </c>
      <c r="AJ19" s="88">
        <v>1432</v>
      </c>
      <c r="AK19" s="15" t="s">
        <v>203</v>
      </c>
      <c r="AL19" s="15" t="s">
        <v>336</v>
      </c>
      <c r="AM19" s="15" t="s">
        <v>336</v>
      </c>
      <c r="AN19" s="15" t="s">
        <v>336</v>
      </c>
      <c r="AO19" s="15" t="s">
        <v>336</v>
      </c>
      <c r="AP19" s="49" t="s">
        <v>336</v>
      </c>
    </row>
    <row r="20" spans="2:42" x14ac:dyDescent="0.4">
      <c r="B20" s="24" t="s">
        <v>11</v>
      </c>
      <c r="H20" s="15" t="s">
        <v>1720</v>
      </c>
      <c r="I20" s="25" t="b">
        <v>1</v>
      </c>
      <c r="J20" s="15" t="b">
        <v>1</v>
      </c>
      <c r="N20" s="15" t="s">
        <v>336</v>
      </c>
      <c r="O20" s="15" t="s">
        <v>336</v>
      </c>
      <c r="Y20" s="15" t="s">
        <v>336</v>
      </c>
      <c r="AI20" s="87" t="s">
        <v>1203</v>
      </c>
      <c r="AJ20" s="88">
        <v>1440</v>
      </c>
      <c r="AK20" s="15" t="s">
        <v>204</v>
      </c>
      <c r="AL20" s="15" t="s">
        <v>336</v>
      </c>
      <c r="AM20" s="15" t="s">
        <v>336</v>
      </c>
      <c r="AN20" s="15" t="s">
        <v>336</v>
      </c>
      <c r="AO20" s="15" t="s">
        <v>336</v>
      </c>
      <c r="AP20" s="49" t="s">
        <v>336</v>
      </c>
    </row>
    <row r="21" spans="2:42" x14ac:dyDescent="0.4">
      <c r="B21" s="24" t="s">
        <v>552</v>
      </c>
      <c r="H21" s="15" t="s">
        <v>1720</v>
      </c>
      <c r="I21" s="25" t="b">
        <v>1</v>
      </c>
      <c r="J21" s="15" t="b">
        <v>1</v>
      </c>
      <c r="N21" s="15" t="s">
        <v>336</v>
      </c>
      <c r="O21" s="15" t="s">
        <v>336</v>
      </c>
      <c r="Y21" s="15" t="s">
        <v>336</v>
      </c>
      <c r="AI21" s="87" t="s">
        <v>1204</v>
      </c>
      <c r="AJ21" s="88">
        <v>1443</v>
      </c>
      <c r="AK21" s="15" t="s">
        <v>205</v>
      </c>
      <c r="AL21" s="15" t="s">
        <v>336</v>
      </c>
      <c r="AM21" s="15" t="s">
        <v>336</v>
      </c>
      <c r="AN21" s="15" t="s">
        <v>336</v>
      </c>
      <c r="AO21" s="15" t="s">
        <v>336</v>
      </c>
      <c r="AP21" s="49" t="s">
        <v>336</v>
      </c>
    </row>
    <row r="22" spans="2:42" x14ac:dyDescent="0.4">
      <c r="B22" s="24" t="s">
        <v>11</v>
      </c>
      <c r="H22" s="15" t="s">
        <v>1720</v>
      </c>
      <c r="I22" s="25" t="b">
        <v>1</v>
      </c>
      <c r="J22" s="15" t="b">
        <v>1</v>
      </c>
      <c r="N22" s="15" t="s">
        <v>336</v>
      </c>
      <c r="O22" s="15" t="s">
        <v>336</v>
      </c>
      <c r="Y22" s="15" t="s">
        <v>336</v>
      </c>
      <c r="AI22" s="87" t="s">
        <v>1315</v>
      </c>
      <c r="AJ22" s="88" t="s">
        <v>1314</v>
      </c>
      <c r="AK22" s="15" t="s">
        <v>206</v>
      </c>
      <c r="AL22" s="15" t="s">
        <v>336</v>
      </c>
      <c r="AM22" s="15" t="s">
        <v>336</v>
      </c>
      <c r="AN22" s="15" t="s">
        <v>336</v>
      </c>
      <c r="AO22" s="15" t="s">
        <v>336</v>
      </c>
      <c r="AP22" s="49" t="s">
        <v>336</v>
      </c>
    </row>
    <row r="23" spans="2:42" x14ac:dyDescent="0.4">
      <c r="B23" s="24" t="s">
        <v>11</v>
      </c>
      <c r="H23" s="15" t="s">
        <v>1720</v>
      </c>
      <c r="I23" s="25" t="b">
        <v>1</v>
      </c>
      <c r="J23" s="15" t="b">
        <v>1</v>
      </c>
      <c r="N23" s="15" t="s">
        <v>336</v>
      </c>
      <c r="O23" s="15" t="s">
        <v>336</v>
      </c>
      <c r="Y23" s="15" t="s">
        <v>336</v>
      </c>
      <c r="AI23" s="87" t="s">
        <v>1205</v>
      </c>
      <c r="AJ23" s="88">
        <v>1453</v>
      </c>
      <c r="AK23" s="15" t="s">
        <v>207</v>
      </c>
      <c r="AL23" s="15" t="s">
        <v>336</v>
      </c>
      <c r="AM23" s="15" t="s">
        <v>336</v>
      </c>
      <c r="AN23" s="15" t="s">
        <v>336</v>
      </c>
      <c r="AO23" s="15" t="s">
        <v>336</v>
      </c>
      <c r="AP23" s="49" t="s">
        <v>336</v>
      </c>
    </row>
    <row r="24" spans="2:42" x14ac:dyDescent="0.4">
      <c r="B24" s="24" t="s">
        <v>11</v>
      </c>
      <c r="H24" s="15" t="s">
        <v>1720</v>
      </c>
      <c r="I24" s="25" t="b">
        <v>1</v>
      </c>
      <c r="J24" s="15" t="b">
        <v>1</v>
      </c>
      <c r="N24" s="15" t="s">
        <v>336</v>
      </c>
      <c r="O24" s="15" t="s">
        <v>336</v>
      </c>
      <c r="Y24" s="15" t="s">
        <v>336</v>
      </c>
      <c r="AI24" s="87" t="s">
        <v>1206</v>
      </c>
      <c r="AJ24" s="88">
        <v>1462</v>
      </c>
      <c r="AK24" s="15" t="s">
        <v>208</v>
      </c>
      <c r="AL24" s="15" t="s">
        <v>336</v>
      </c>
      <c r="AM24" s="15" t="s">
        <v>336</v>
      </c>
      <c r="AN24" s="15" t="s">
        <v>336</v>
      </c>
      <c r="AO24" s="15" t="s">
        <v>336</v>
      </c>
      <c r="AP24" s="49" t="s">
        <v>336</v>
      </c>
    </row>
    <row r="25" spans="2:42" x14ac:dyDescent="0.4">
      <c r="B25" s="24" t="s">
        <v>11</v>
      </c>
      <c r="H25" s="15" t="s">
        <v>1720</v>
      </c>
      <c r="I25" s="25" t="b">
        <v>1</v>
      </c>
      <c r="J25" s="15" t="b">
        <v>1</v>
      </c>
      <c r="N25" s="15" t="s">
        <v>336</v>
      </c>
      <c r="O25" s="15" t="s">
        <v>336</v>
      </c>
      <c r="Y25" s="15" t="s">
        <v>336</v>
      </c>
      <c r="AI25" s="87" t="s">
        <v>1207</v>
      </c>
      <c r="AJ25" s="88">
        <v>1467</v>
      </c>
      <c r="AK25" s="15" t="s">
        <v>209</v>
      </c>
      <c r="AL25" s="15" t="s">
        <v>336</v>
      </c>
      <c r="AM25" s="15" t="s">
        <v>336</v>
      </c>
      <c r="AN25" s="15" t="s">
        <v>336</v>
      </c>
      <c r="AO25" s="15" t="s">
        <v>336</v>
      </c>
      <c r="AP25" s="49" t="s">
        <v>336</v>
      </c>
    </row>
    <row r="26" spans="2:42" x14ac:dyDescent="0.4">
      <c r="B26" s="24" t="s">
        <v>11</v>
      </c>
      <c r="H26" s="15" t="s">
        <v>1720</v>
      </c>
      <c r="I26" s="25" t="b">
        <v>1</v>
      </c>
      <c r="J26" s="15" t="b">
        <v>1</v>
      </c>
      <c r="N26" s="15" t="s">
        <v>336</v>
      </c>
      <c r="O26" s="15" t="s">
        <v>336</v>
      </c>
      <c r="Y26" s="15" t="s">
        <v>336</v>
      </c>
      <c r="AI26" s="87" t="s">
        <v>1208</v>
      </c>
      <c r="AJ26" s="88">
        <v>1470</v>
      </c>
      <c r="AK26" s="15" t="s">
        <v>210</v>
      </c>
      <c r="AL26" s="15" t="s">
        <v>336</v>
      </c>
      <c r="AM26" s="15" t="s">
        <v>336</v>
      </c>
      <c r="AN26" s="15" t="s">
        <v>336</v>
      </c>
      <c r="AO26" s="15" t="s">
        <v>336</v>
      </c>
      <c r="AP26" s="49" t="s">
        <v>336</v>
      </c>
    </row>
    <row r="27" spans="2:42" x14ac:dyDescent="0.4">
      <c r="B27" s="24" t="s">
        <v>11</v>
      </c>
      <c r="H27" s="15" t="s">
        <v>1720</v>
      </c>
      <c r="I27" s="25" t="b">
        <v>1</v>
      </c>
      <c r="J27" s="15" t="b">
        <v>1</v>
      </c>
      <c r="N27" s="15" t="s">
        <v>336</v>
      </c>
      <c r="O27" s="15" t="s">
        <v>336</v>
      </c>
      <c r="Y27" s="15" t="s">
        <v>336</v>
      </c>
      <c r="AI27" s="87" t="s">
        <v>1209</v>
      </c>
      <c r="AJ27" s="88">
        <v>1480</v>
      </c>
      <c r="AK27" s="15" t="s">
        <v>211</v>
      </c>
      <c r="AL27" s="15" t="s">
        <v>336</v>
      </c>
      <c r="AM27" s="15" t="s">
        <v>336</v>
      </c>
      <c r="AN27" s="15" t="s">
        <v>336</v>
      </c>
      <c r="AO27" s="15" t="s">
        <v>336</v>
      </c>
      <c r="AP27" s="49" t="s">
        <v>336</v>
      </c>
    </row>
    <row r="28" spans="2:42" x14ac:dyDescent="0.4">
      <c r="B28" s="24" t="s">
        <v>552</v>
      </c>
      <c r="H28" s="15" t="s">
        <v>1720</v>
      </c>
      <c r="I28" s="25" t="b">
        <v>1</v>
      </c>
      <c r="J28" s="15" t="b">
        <v>1</v>
      </c>
      <c r="N28" s="15" t="s">
        <v>336</v>
      </c>
      <c r="O28" s="15" t="s">
        <v>336</v>
      </c>
      <c r="Y28" s="15" t="s">
        <v>336</v>
      </c>
      <c r="AI28" s="87" t="s">
        <v>1210</v>
      </c>
      <c r="AJ28" s="88">
        <v>1481</v>
      </c>
      <c r="AK28" s="15" t="s">
        <v>212</v>
      </c>
      <c r="AL28" s="15" t="s">
        <v>336</v>
      </c>
      <c r="AM28" s="15" t="s">
        <v>336</v>
      </c>
      <c r="AN28" s="15" t="s">
        <v>336</v>
      </c>
      <c r="AO28" s="15" t="s">
        <v>336</v>
      </c>
      <c r="AP28" s="49" t="s">
        <v>336</v>
      </c>
    </row>
    <row r="29" spans="2:42" x14ac:dyDescent="0.4">
      <c r="B29" s="24" t="s">
        <v>11</v>
      </c>
      <c r="H29" s="15" t="s">
        <v>1720</v>
      </c>
      <c r="I29" s="25" t="b">
        <v>1</v>
      </c>
      <c r="J29" s="15" t="b">
        <v>1</v>
      </c>
      <c r="N29" s="15" t="s">
        <v>336</v>
      </c>
      <c r="O29" s="15" t="s">
        <v>336</v>
      </c>
      <c r="Y29" s="15" t="s">
        <v>336</v>
      </c>
      <c r="AI29" s="87" t="s">
        <v>1211</v>
      </c>
      <c r="AJ29" s="88">
        <v>1483</v>
      </c>
      <c r="AK29" s="15" t="s">
        <v>213</v>
      </c>
      <c r="AL29" s="15" t="s">
        <v>336</v>
      </c>
      <c r="AM29" s="15" t="s">
        <v>336</v>
      </c>
      <c r="AN29" s="15" t="s">
        <v>336</v>
      </c>
      <c r="AO29" s="15" t="s">
        <v>336</v>
      </c>
      <c r="AP29" s="49" t="s">
        <v>336</v>
      </c>
    </row>
    <row r="30" spans="2:42" x14ac:dyDescent="0.4">
      <c r="B30" s="24" t="s">
        <v>552</v>
      </c>
      <c r="H30" s="15" t="s">
        <v>1720</v>
      </c>
      <c r="I30" s="25" t="b">
        <v>1</v>
      </c>
      <c r="J30" s="15" t="b">
        <v>1</v>
      </c>
      <c r="N30" s="15" t="s">
        <v>336</v>
      </c>
      <c r="O30" s="15" t="s">
        <v>336</v>
      </c>
      <c r="Y30" s="15" t="s">
        <v>336</v>
      </c>
      <c r="AI30" s="87" t="s">
        <v>1212</v>
      </c>
      <c r="AJ30" s="88">
        <v>1484</v>
      </c>
      <c r="AK30" s="15" t="s">
        <v>214</v>
      </c>
      <c r="AL30" s="15" t="s">
        <v>336</v>
      </c>
      <c r="AM30" s="15" t="s">
        <v>336</v>
      </c>
      <c r="AN30" s="15" t="s">
        <v>336</v>
      </c>
      <c r="AO30" s="15" t="s">
        <v>336</v>
      </c>
      <c r="AP30" s="49" t="s">
        <v>336</v>
      </c>
    </row>
    <row r="31" spans="2:42" x14ac:dyDescent="0.4">
      <c r="B31" s="24" t="s">
        <v>11</v>
      </c>
      <c r="H31" s="15" t="s">
        <v>1720</v>
      </c>
      <c r="I31" s="25" t="b">
        <v>1</v>
      </c>
      <c r="J31" s="15" t="b">
        <v>1</v>
      </c>
      <c r="N31" s="15" t="s">
        <v>336</v>
      </c>
      <c r="O31" s="15" t="s">
        <v>336</v>
      </c>
      <c r="Y31" s="15" t="s">
        <v>336</v>
      </c>
      <c r="AI31" s="87" t="s">
        <v>1213</v>
      </c>
      <c r="AJ31" s="88">
        <v>1484</v>
      </c>
      <c r="AK31" s="15" t="s">
        <v>215</v>
      </c>
      <c r="AL31" s="15" t="s">
        <v>336</v>
      </c>
      <c r="AM31" s="15" t="s">
        <v>336</v>
      </c>
      <c r="AN31" s="15" t="s">
        <v>336</v>
      </c>
      <c r="AO31" s="15" t="s">
        <v>336</v>
      </c>
      <c r="AP31" s="49" t="s">
        <v>336</v>
      </c>
    </row>
    <row r="32" spans="2:42" x14ac:dyDescent="0.4">
      <c r="B32" s="24" t="s">
        <v>11</v>
      </c>
      <c r="H32" s="15" t="s">
        <v>1720</v>
      </c>
      <c r="I32" s="25" t="b">
        <v>1</v>
      </c>
      <c r="J32" s="15" t="b">
        <v>1</v>
      </c>
      <c r="N32" s="15" t="s">
        <v>336</v>
      </c>
      <c r="O32" s="15" t="s">
        <v>336</v>
      </c>
      <c r="Y32" s="15" t="s">
        <v>336</v>
      </c>
      <c r="AI32" s="87" t="s">
        <v>1214</v>
      </c>
      <c r="AJ32" s="88">
        <v>1490</v>
      </c>
      <c r="AK32" s="15" t="s">
        <v>216</v>
      </c>
      <c r="AL32" s="15" t="s">
        <v>336</v>
      </c>
      <c r="AM32" s="15" t="s">
        <v>336</v>
      </c>
      <c r="AN32" s="15" t="s">
        <v>336</v>
      </c>
      <c r="AO32" s="15" t="s">
        <v>336</v>
      </c>
      <c r="AP32" s="49" t="s">
        <v>336</v>
      </c>
    </row>
    <row r="33" spans="2:42" x14ac:dyDescent="0.4">
      <c r="B33" s="24" t="s">
        <v>557</v>
      </c>
      <c r="H33" s="15" t="s">
        <v>1720</v>
      </c>
      <c r="I33" s="25" t="b">
        <v>1</v>
      </c>
      <c r="J33" s="15" t="b">
        <v>1</v>
      </c>
      <c r="N33" s="15" t="s">
        <v>336</v>
      </c>
      <c r="O33" s="15" t="s">
        <v>336</v>
      </c>
      <c r="Y33" s="15" t="s">
        <v>336</v>
      </c>
      <c r="AI33" s="87" t="s">
        <v>1215</v>
      </c>
      <c r="AJ33" s="88">
        <v>1491</v>
      </c>
      <c r="AK33" s="15" t="s">
        <v>217</v>
      </c>
      <c r="AL33" s="15" t="s">
        <v>336</v>
      </c>
      <c r="AM33" s="15" t="s">
        <v>336</v>
      </c>
      <c r="AN33" s="15" t="s">
        <v>336</v>
      </c>
      <c r="AO33" s="15" t="s">
        <v>336</v>
      </c>
      <c r="AP33" s="49" t="s">
        <v>336</v>
      </c>
    </row>
    <row r="34" spans="2:42" x14ac:dyDescent="0.4">
      <c r="B34" s="24" t="s">
        <v>11</v>
      </c>
      <c r="H34" s="15" t="s">
        <v>1720</v>
      </c>
      <c r="I34" s="25" t="b">
        <v>1</v>
      </c>
      <c r="J34" s="15" t="b">
        <v>1</v>
      </c>
      <c r="N34" s="15" t="s">
        <v>336</v>
      </c>
      <c r="O34" s="15" t="s">
        <v>336</v>
      </c>
      <c r="Y34" s="15" t="s">
        <v>336</v>
      </c>
      <c r="AI34" s="87" t="s">
        <v>1216</v>
      </c>
      <c r="AJ34" s="88">
        <v>1492</v>
      </c>
      <c r="AK34" s="15" t="s">
        <v>218</v>
      </c>
      <c r="AL34" s="15" t="s">
        <v>336</v>
      </c>
      <c r="AM34" s="15" t="s">
        <v>336</v>
      </c>
      <c r="AN34" s="15" t="s">
        <v>336</v>
      </c>
      <c r="AO34" s="15" t="s">
        <v>336</v>
      </c>
      <c r="AP34" s="49" t="s">
        <v>336</v>
      </c>
    </row>
    <row r="35" spans="2:42" x14ac:dyDescent="0.4">
      <c r="B35" s="24" t="s">
        <v>11</v>
      </c>
      <c r="H35" s="15" t="s">
        <v>1720</v>
      </c>
      <c r="I35" s="25" t="b">
        <v>1</v>
      </c>
      <c r="J35" s="15" t="b">
        <v>1</v>
      </c>
      <c r="N35" s="15" t="s">
        <v>336</v>
      </c>
      <c r="O35" s="15" t="s">
        <v>336</v>
      </c>
      <c r="Y35" s="15" t="s">
        <v>336</v>
      </c>
      <c r="AI35" s="87" t="s">
        <v>1217</v>
      </c>
      <c r="AJ35" s="88">
        <v>1494</v>
      </c>
      <c r="AK35" s="15" t="s">
        <v>219</v>
      </c>
      <c r="AL35" s="15" t="s">
        <v>336</v>
      </c>
      <c r="AM35" s="15" t="s">
        <v>336</v>
      </c>
      <c r="AN35" s="15" t="s">
        <v>336</v>
      </c>
      <c r="AO35" s="15" t="s">
        <v>336</v>
      </c>
      <c r="AP35" s="49" t="s">
        <v>336</v>
      </c>
    </row>
    <row r="36" spans="2:42" x14ac:dyDescent="0.4">
      <c r="B36" s="24" t="s">
        <v>11</v>
      </c>
      <c r="H36" s="15" t="s">
        <v>1720</v>
      </c>
      <c r="I36" s="25" t="b">
        <v>1</v>
      </c>
      <c r="J36" s="15" t="b">
        <v>1</v>
      </c>
      <c r="N36" s="15" t="s">
        <v>336</v>
      </c>
      <c r="O36" s="15" t="s">
        <v>336</v>
      </c>
      <c r="Y36" s="15" t="s">
        <v>336</v>
      </c>
      <c r="AI36" s="87" t="s">
        <v>1218</v>
      </c>
      <c r="AJ36" s="88">
        <v>1496</v>
      </c>
      <c r="AK36" s="15" t="s">
        <v>220</v>
      </c>
      <c r="AL36" s="15" t="s">
        <v>336</v>
      </c>
      <c r="AM36" s="15" t="s">
        <v>336</v>
      </c>
      <c r="AN36" s="15" t="s">
        <v>336</v>
      </c>
      <c r="AO36" s="15" t="s">
        <v>336</v>
      </c>
      <c r="AP36" s="49" t="s">
        <v>336</v>
      </c>
    </row>
    <row r="37" spans="2:42" x14ac:dyDescent="0.4">
      <c r="B37" s="24" t="s">
        <v>11</v>
      </c>
      <c r="H37" s="15" t="s">
        <v>1720</v>
      </c>
      <c r="I37" s="25" t="b">
        <v>1</v>
      </c>
      <c r="J37" s="15" t="b">
        <v>1</v>
      </c>
      <c r="N37" s="15" t="s">
        <v>336</v>
      </c>
      <c r="O37" s="15" t="s">
        <v>336</v>
      </c>
      <c r="Y37" s="15" t="s">
        <v>336</v>
      </c>
      <c r="AI37" s="87" t="s">
        <v>1219</v>
      </c>
      <c r="AJ37" s="88" t="s">
        <v>1098</v>
      </c>
      <c r="AK37" s="15" t="s">
        <v>221</v>
      </c>
      <c r="AL37" s="15" t="s">
        <v>336</v>
      </c>
      <c r="AM37" s="15" t="s">
        <v>336</v>
      </c>
      <c r="AN37" s="15" t="s">
        <v>336</v>
      </c>
      <c r="AO37" s="15" t="s">
        <v>336</v>
      </c>
      <c r="AP37" s="49" t="s">
        <v>336</v>
      </c>
    </row>
    <row r="38" spans="2:42" x14ac:dyDescent="0.4">
      <c r="B38" s="24" t="s">
        <v>531</v>
      </c>
      <c r="H38" s="15" t="s">
        <v>1720</v>
      </c>
      <c r="I38" s="25" t="b">
        <v>1</v>
      </c>
      <c r="J38" s="15" t="b">
        <v>1</v>
      </c>
      <c r="N38" s="15" t="s">
        <v>336</v>
      </c>
      <c r="O38" s="15" t="s">
        <v>336</v>
      </c>
      <c r="Y38" s="15" t="s">
        <v>336</v>
      </c>
      <c r="AI38" s="87" t="s">
        <v>1221</v>
      </c>
      <c r="AJ38" s="88" t="s">
        <v>1098</v>
      </c>
      <c r="AK38" s="15" t="s">
        <v>223</v>
      </c>
      <c r="AL38" s="15" t="s">
        <v>336</v>
      </c>
      <c r="AM38" s="15" t="s">
        <v>336</v>
      </c>
      <c r="AN38" s="15" t="s">
        <v>336</v>
      </c>
      <c r="AO38" s="15" t="s">
        <v>336</v>
      </c>
      <c r="AP38" s="49" t="s">
        <v>336</v>
      </c>
    </row>
    <row r="39" spans="2:42" x14ac:dyDescent="0.4">
      <c r="B39" s="24" t="s">
        <v>502</v>
      </c>
      <c r="H39" s="15" t="s">
        <v>1720</v>
      </c>
      <c r="I39" s="25" t="b">
        <v>1</v>
      </c>
      <c r="J39" s="15" t="b">
        <v>1</v>
      </c>
      <c r="N39" s="15" t="s">
        <v>336</v>
      </c>
      <c r="O39" s="15" t="s">
        <v>336</v>
      </c>
      <c r="Y39" s="15" t="s">
        <v>336</v>
      </c>
      <c r="AI39" s="87" t="s">
        <v>1222</v>
      </c>
      <c r="AJ39" s="88" t="s">
        <v>1098</v>
      </c>
      <c r="AK39" s="15" t="s">
        <v>224</v>
      </c>
      <c r="AL39" s="15" t="s">
        <v>336</v>
      </c>
      <c r="AM39" s="15" t="s">
        <v>336</v>
      </c>
      <c r="AN39" s="15" t="s">
        <v>336</v>
      </c>
      <c r="AO39" s="15" t="s">
        <v>336</v>
      </c>
      <c r="AP39" s="49" t="s">
        <v>336</v>
      </c>
    </row>
    <row r="40" spans="2:42" x14ac:dyDescent="0.4">
      <c r="B40" s="24" t="s">
        <v>11</v>
      </c>
      <c r="H40" s="15" t="s">
        <v>1720</v>
      </c>
      <c r="I40" s="25" t="b">
        <v>1</v>
      </c>
      <c r="J40" s="15" t="b">
        <v>1</v>
      </c>
      <c r="N40" s="15" t="s">
        <v>336</v>
      </c>
      <c r="O40" s="15" t="s">
        <v>336</v>
      </c>
      <c r="Y40" s="15" t="s">
        <v>336</v>
      </c>
      <c r="AI40" s="87" t="s">
        <v>1223</v>
      </c>
      <c r="AJ40" s="88">
        <v>1504</v>
      </c>
      <c r="AK40" s="15" t="s">
        <v>225</v>
      </c>
      <c r="AL40" s="15" t="s">
        <v>336</v>
      </c>
      <c r="AM40" s="15" t="s">
        <v>336</v>
      </c>
      <c r="AN40" s="15" t="s">
        <v>336</v>
      </c>
      <c r="AO40" s="15" t="s">
        <v>336</v>
      </c>
      <c r="AP40" s="49" t="s">
        <v>336</v>
      </c>
    </row>
    <row r="41" spans="2:42" x14ac:dyDescent="0.4">
      <c r="B41" s="24" t="s">
        <v>11</v>
      </c>
      <c r="H41" s="15" t="s">
        <v>1720</v>
      </c>
      <c r="I41" s="25" t="b">
        <v>1</v>
      </c>
      <c r="J41" s="15" t="b">
        <v>1</v>
      </c>
      <c r="N41" s="15" t="s">
        <v>336</v>
      </c>
      <c r="O41" s="15" t="s">
        <v>336</v>
      </c>
      <c r="Y41" s="15" t="s">
        <v>336</v>
      </c>
      <c r="AI41" s="87" t="s">
        <v>1224</v>
      </c>
      <c r="AJ41" s="88">
        <v>1510</v>
      </c>
      <c r="AK41" s="15" t="s">
        <v>226</v>
      </c>
      <c r="AL41" s="15" t="s">
        <v>336</v>
      </c>
      <c r="AM41" s="15" t="s">
        <v>336</v>
      </c>
      <c r="AN41" s="15" t="s">
        <v>336</v>
      </c>
      <c r="AO41" s="15" t="s">
        <v>336</v>
      </c>
      <c r="AP41" s="49" t="s">
        <v>336</v>
      </c>
    </row>
    <row r="42" spans="2:42" x14ac:dyDescent="0.4">
      <c r="B42" s="24" t="s">
        <v>11</v>
      </c>
      <c r="H42" s="15" t="s">
        <v>1720</v>
      </c>
      <c r="I42" s="25" t="b">
        <v>1</v>
      </c>
      <c r="J42" s="15" t="b">
        <v>1</v>
      </c>
      <c r="N42" s="15" t="s">
        <v>336</v>
      </c>
      <c r="O42" s="15" t="s">
        <v>336</v>
      </c>
      <c r="Y42" s="15" t="s">
        <v>336</v>
      </c>
      <c r="AI42" s="87" t="s">
        <v>1225</v>
      </c>
      <c r="AJ42" s="88">
        <v>1510</v>
      </c>
      <c r="AK42" s="15" t="s">
        <v>227</v>
      </c>
      <c r="AL42" s="15" t="s">
        <v>336</v>
      </c>
      <c r="AM42" s="15" t="s">
        <v>336</v>
      </c>
      <c r="AN42" s="15" t="s">
        <v>336</v>
      </c>
      <c r="AO42" s="15" t="s">
        <v>336</v>
      </c>
      <c r="AP42" s="49" t="s">
        <v>336</v>
      </c>
    </row>
    <row r="43" spans="2:42" x14ac:dyDescent="0.4">
      <c r="B43" s="24" t="s">
        <v>11</v>
      </c>
      <c r="H43" s="15" t="s">
        <v>1720</v>
      </c>
      <c r="I43" s="25" t="b">
        <v>1</v>
      </c>
      <c r="J43" s="15" t="b">
        <v>1</v>
      </c>
      <c r="N43" s="15" t="s">
        <v>336</v>
      </c>
      <c r="O43" s="15" t="s">
        <v>336</v>
      </c>
      <c r="Y43" s="15" t="s">
        <v>336</v>
      </c>
      <c r="AI43" s="87" t="s">
        <v>1226</v>
      </c>
      <c r="AJ43" s="88">
        <v>1510</v>
      </c>
      <c r="AK43" s="15" t="s">
        <v>228</v>
      </c>
      <c r="AL43" s="15" t="s">
        <v>336</v>
      </c>
      <c r="AM43" s="15" t="s">
        <v>336</v>
      </c>
      <c r="AN43" s="15" t="s">
        <v>336</v>
      </c>
      <c r="AO43" s="15" t="s">
        <v>336</v>
      </c>
      <c r="AP43" s="49" t="s">
        <v>336</v>
      </c>
    </row>
    <row r="44" spans="2:42" x14ac:dyDescent="0.4">
      <c r="B44" s="24" t="s">
        <v>651</v>
      </c>
      <c r="H44" s="15" t="s">
        <v>1720</v>
      </c>
      <c r="I44" s="25" t="b">
        <v>1</v>
      </c>
      <c r="J44" s="15" t="b">
        <v>1</v>
      </c>
      <c r="N44" s="15" t="s">
        <v>336</v>
      </c>
      <c r="O44" s="15" t="s">
        <v>336</v>
      </c>
      <c r="Y44" s="15" t="s">
        <v>336</v>
      </c>
      <c r="AI44" s="87" t="s">
        <v>1227</v>
      </c>
      <c r="AJ44" s="88">
        <v>1513</v>
      </c>
      <c r="AK44" s="15" t="s">
        <v>229</v>
      </c>
      <c r="AL44" s="15" t="s">
        <v>336</v>
      </c>
      <c r="AM44" s="15" t="s">
        <v>336</v>
      </c>
      <c r="AN44" s="15" t="s">
        <v>336</v>
      </c>
      <c r="AO44" s="15" t="s">
        <v>336</v>
      </c>
      <c r="AP44" s="49" t="s">
        <v>336</v>
      </c>
    </row>
    <row r="45" spans="2:42" x14ac:dyDescent="0.4">
      <c r="B45" s="24" t="s">
        <v>557</v>
      </c>
      <c r="H45" s="15" t="s">
        <v>1720</v>
      </c>
      <c r="I45" s="25" t="b">
        <v>1</v>
      </c>
      <c r="J45" s="15" t="b">
        <v>1</v>
      </c>
      <c r="N45" s="15" t="s">
        <v>336</v>
      </c>
      <c r="O45" s="15" t="s">
        <v>336</v>
      </c>
      <c r="Y45" s="15" t="s">
        <v>336</v>
      </c>
      <c r="AI45" s="87" t="s">
        <v>1228</v>
      </c>
      <c r="AJ45" s="88">
        <v>1515</v>
      </c>
      <c r="AK45" s="15" t="s">
        <v>230</v>
      </c>
      <c r="AL45" s="15" t="s">
        <v>336</v>
      </c>
      <c r="AM45" s="15" t="s">
        <v>336</v>
      </c>
      <c r="AN45" s="15" t="s">
        <v>336</v>
      </c>
      <c r="AO45" s="15" t="s">
        <v>336</v>
      </c>
      <c r="AP45" s="49" t="s">
        <v>336</v>
      </c>
    </row>
    <row r="46" spans="2:42" x14ac:dyDescent="0.4">
      <c r="B46" s="24" t="s">
        <v>11</v>
      </c>
      <c r="H46" s="15" t="s">
        <v>1720</v>
      </c>
      <c r="I46" s="25" t="b">
        <v>1</v>
      </c>
      <c r="J46" s="15" t="b">
        <v>1</v>
      </c>
      <c r="N46" s="15" t="s">
        <v>336</v>
      </c>
      <c r="O46" s="15" t="s">
        <v>336</v>
      </c>
      <c r="Y46" s="15" t="s">
        <v>336</v>
      </c>
      <c r="AI46" s="87" t="s">
        <v>1229</v>
      </c>
      <c r="AJ46" s="88">
        <v>1519</v>
      </c>
      <c r="AK46" s="15" t="s">
        <v>231</v>
      </c>
      <c r="AL46" s="15" t="s">
        <v>336</v>
      </c>
      <c r="AM46" s="15" t="s">
        <v>336</v>
      </c>
      <c r="AN46" s="15" t="s">
        <v>336</v>
      </c>
      <c r="AO46" s="15" t="s">
        <v>336</v>
      </c>
      <c r="AP46" s="49" t="s">
        <v>336</v>
      </c>
    </row>
    <row r="47" spans="2:42" x14ac:dyDescent="0.4">
      <c r="B47" s="24" t="s">
        <v>557</v>
      </c>
      <c r="H47" s="15" t="s">
        <v>1720</v>
      </c>
      <c r="I47" s="25" t="b">
        <v>1</v>
      </c>
      <c r="J47" s="15" t="b">
        <v>1</v>
      </c>
      <c r="N47" s="15" t="s">
        <v>336</v>
      </c>
      <c r="O47" s="15" t="s">
        <v>336</v>
      </c>
      <c r="Y47" s="15" t="s">
        <v>336</v>
      </c>
      <c r="AI47" s="87" t="s">
        <v>1230</v>
      </c>
      <c r="AJ47" s="88" t="s">
        <v>1104</v>
      </c>
      <c r="AK47" s="15" t="s">
        <v>232</v>
      </c>
      <c r="AL47" s="15" t="s">
        <v>336</v>
      </c>
      <c r="AM47" s="15" t="s">
        <v>336</v>
      </c>
      <c r="AN47" s="15" t="s">
        <v>336</v>
      </c>
      <c r="AO47" s="15" t="s">
        <v>336</v>
      </c>
      <c r="AP47" s="49" t="s">
        <v>336</v>
      </c>
    </row>
    <row r="48" spans="2:42" x14ac:dyDescent="0.4">
      <c r="B48" s="24" t="s">
        <v>11</v>
      </c>
      <c r="H48" s="15" t="s">
        <v>1720</v>
      </c>
      <c r="I48" s="25" t="b">
        <v>1</v>
      </c>
      <c r="J48" s="15" t="b">
        <v>1</v>
      </c>
      <c r="N48" s="15" t="s">
        <v>336</v>
      </c>
      <c r="O48" s="15" t="s">
        <v>336</v>
      </c>
      <c r="Y48" s="15" t="s">
        <v>336</v>
      </c>
      <c r="AI48" s="87" t="s">
        <v>1231</v>
      </c>
      <c r="AJ48" s="88">
        <v>1521</v>
      </c>
      <c r="AK48" s="15" t="s">
        <v>233</v>
      </c>
      <c r="AL48" s="15" t="s">
        <v>336</v>
      </c>
      <c r="AM48" s="15" t="s">
        <v>336</v>
      </c>
      <c r="AN48" s="15" t="s">
        <v>336</v>
      </c>
      <c r="AO48" s="15" t="s">
        <v>336</v>
      </c>
      <c r="AP48" s="49" t="s">
        <v>336</v>
      </c>
    </row>
    <row r="49" spans="2:42" x14ac:dyDescent="0.4">
      <c r="B49" s="24" t="s">
        <v>11</v>
      </c>
      <c r="H49" s="15" t="s">
        <v>1720</v>
      </c>
      <c r="I49" s="25" t="b">
        <v>1</v>
      </c>
      <c r="J49" s="15" t="b">
        <v>1</v>
      </c>
      <c r="N49" s="15" t="s">
        <v>336</v>
      </c>
      <c r="O49" s="15" t="s">
        <v>336</v>
      </c>
      <c r="Y49" s="15" t="s">
        <v>336</v>
      </c>
      <c r="AI49" s="87" t="s">
        <v>1232</v>
      </c>
      <c r="AJ49" s="88">
        <v>1521</v>
      </c>
      <c r="AK49" s="15" t="s">
        <v>234</v>
      </c>
      <c r="AL49" s="15" t="s">
        <v>336</v>
      </c>
      <c r="AM49" s="15" t="s">
        <v>336</v>
      </c>
      <c r="AN49" s="15" t="s">
        <v>336</v>
      </c>
      <c r="AO49" s="15" t="s">
        <v>336</v>
      </c>
      <c r="AP49" s="49" t="s">
        <v>336</v>
      </c>
    </row>
    <row r="50" spans="2:42" x14ac:dyDescent="0.4">
      <c r="B50" s="24" t="s">
        <v>11</v>
      </c>
      <c r="H50" s="15" t="s">
        <v>1720</v>
      </c>
      <c r="I50" s="25" t="b">
        <v>1</v>
      </c>
      <c r="J50" s="15" t="b">
        <v>1</v>
      </c>
      <c r="N50" s="15" t="s">
        <v>336</v>
      </c>
      <c r="O50" s="15" t="s">
        <v>336</v>
      </c>
      <c r="Y50" s="15" t="s">
        <v>336</v>
      </c>
      <c r="AI50" s="87" t="s">
        <v>1233</v>
      </c>
      <c r="AJ50" s="88">
        <v>1525</v>
      </c>
      <c r="AK50" s="15" t="s">
        <v>235</v>
      </c>
      <c r="AL50" s="15" t="s">
        <v>336</v>
      </c>
      <c r="AM50" s="15" t="s">
        <v>336</v>
      </c>
      <c r="AN50" s="15" t="s">
        <v>336</v>
      </c>
      <c r="AO50" s="15" t="s">
        <v>336</v>
      </c>
      <c r="AP50" s="49" t="s">
        <v>336</v>
      </c>
    </row>
    <row r="51" spans="2:42" x14ac:dyDescent="0.4">
      <c r="B51" s="24" t="s">
        <v>11</v>
      </c>
      <c r="H51" s="15" t="s">
        <v>1720</v>
      </c>
      <c r="I51" s="25" t="b">
        <v>1</v>
      </c>
      <c r="J51" s="15" t="b">
        <v>1</v>
      </c>
      <c r="N51" s="15" t="s">
        <v>336</v>
      </c>
      <c r="O51" s="15" t="s">
        <v>336</v>
      </c>
      <c r="Y51" s="15" t="s">
        <v>336</v>
      </c>
      <c r="AI51" s="87" t="s">
        <v>1234</v>
      </c>
      <c r="AJ51" s="88">
        <v>1528</v>
      </c>
      <c r="AK51" s="15" t="s">
        <v>236</v>
      </c>
      <c r="AL51" s="15" t="s">
        <v>336</v>
      </c>
      <c r="AM51" s="15" t="s">
        <v>336</v>
      </c>
      <c r="AN51" s="15" t="s">
        <v>336</v>
      </c>
      <c r="AO51" s="15" t="s">
        <v>336</v>
      </c>
      <c r="AP51" s="49" t="s">
        <v>336</v>
      </c>
    </row>
    <row r="52" spans="2:42" x14ac:dyDescent="0.4">
      <c r="B52" s="24" t="s">
        <v>11</v>
      </c>
      <c r="H52" s="15" t="s">
        <v>1720</v>
      </c>
      <c r="I52" s="25" t="b">
        <v>1</v>
      </c>
      <c r="J52" s="15" t="b">
        <v>1</v>
      </c>
      <c r="N52" s="15" t="s">
        <v>336</v>
      </c>
      <c r="O52" s="15" t="s">
        <v>336</v>
      </c>
      <c r="Y52" s="15" t="s">
        <v>336</v>
      </c>
      <c r="AI52" s="87" t="s">
        <v>1235</v>
      </c>
      <c r="AJ52" s="88">
        <v>1536</v>
      </c>
      <c r="AK52" s="15" t="s">
        <v>238</v>
      </c>
      <c r="AL52" s="15" t="s">
        <v>336</v>
      </c>
      <c r="AM52" s="15" t="s">
        <v>336</v>
      </c>
      <c r="AN52" s="15" t="s">
        <v>336</v>
      </c>
      <c r="AO52" s="15" t="s">
        <v>336</v>
      </c>
      <c r="AP52" s="49" t="s">
        <v>336</v>
      </c>
    </row>
    <row r="53" spans="2:42" x14ac:dyDescent="0.4">
      <c r="B53" s="24" t="s">
        <v>630</v>
      </c>
      <c r="H53" s="15" t="s">
        <v>1720</v>
      </c>
      <c r="I53" s="25" t="b">
        <v>1</v>
      </c>
      <c r="J53" s="15" t="b">
        <v>1</v>
      </c>
      <c r="N53" s="15" t="s">
        <v>336</v>
      </c>
      <c r="O53" s="15" t="s">
        <v>336</v>
      </c>
      <c r="Y53" s="15" t="s">
        <v>336</v>
      </c>
      <c r="AI53" s="87" t="s">
        <v>1237</v>
      </c>
      <c r="AJ53" s="88">
        <v>1541</v>
      </c>
      <c r="AK53" s="15" t="s">
        <v>240</v>
      </c>
      <c r="AL53" s="15" t="s">
        <v>336</v>
      </c>
      <c r="AM53" s="15" t="s">
        <v>336</v>
      </c>
      <c r="AN53" s="15" t="s">
        <v>336</v>
      </c>
      <c r="AO53" s="15" t="s">
        <v>336</v>
      </c>
      <c r="AP53" s="49" t="s">
        <v>336</v>
      </c>
    </row>
    <row r="54" spans="2:42" x14ac:dyDescent="0.4">
      <c r="B54" s="24" t="s">
        <v>11</v>
      </c>
      <c r="H54" s="15" t="s">
        <v>1720</v>
      </c>
      <c r="I54" s="25" t="b">
        <v>1</v>
      </c>
      <c r="J54" s="15" t="b">
        <v>1</v>
      </c>
      <c r="N54" s="15" t="s">
        <v>336</v>
      </c>
      <c r="O54" s="15" t="s">
        <v>336</v>
      </c>
      <c r="Y54" s="15" t="s">
        <v>336</v>
      </c>
      <c r="AI54" s="87" t="s">
        <v>1238</v>
      </c>
      <c r="AJ54" s="88">
        <v>1543</v>
      </c>
      <c r="AK54" s="15" t="s">
        <v>241</v>
      </c>
      <c r="AL54" s="15" t="s">
        <v>336</v>
      </c>
      <c r="AM54" s="15" t="s">
        <v>336</v>
      </c>
      <c r="AN54" s="15" t="s">
        <v>336</v>
      </c>
      <c r="AO54" s="15" t="s">
        <v>336</v>
      </c>
      <c r="AP54" s="49" t="s">
        <v>336</v>
      </c>
    </row>
    <row r="55" spans="2:42" x14ac:dyDescent="0.4">
      <c r="B55" s="24" t="s">
        <v>11</v>
      </c>
      <c r="H55" s="15" t="s">
        <v>1720</v>
      </c>
      <c r="I55" s="25" t="b">
        <v>1</v>
      </c>
      <c r="J55" s="15" t="b">
        <v>1</v>
      </c>
      <c r="N55" s="15" t="s">
        <v>336</v>
      </c>
      <c r="O55" s="15" t="s">
        <v>336</v>
      </c>
      <c r="Y55" s="15" t="s">
        <v>336</v>
      </c>
      <c r="AI55" s="87" t="s">
        <v>1239</v>
      </c>
      <c r="AJ55" s="88">
        <v>1553</v>
      </c>
      <c r="AK55" s="15" t="s">
        <v>242</v>
      </c>
      <c r="AL55" s="15" t="s">
        <v>336</v>
      </c>
      <c r="AM55" s="15" t="s">
        <v>336</v>
      </c>
      <c r="AN55" s="15" t="s">
        <v>336</v>
      </c>
      <c r="AO55" s="15" t="s">
        <v>336</v>
      </c>
      <c r="AP55" s="49" t="s">
        <v>336</v>
      </c>
    </row>
    <row r="56" spans="2:42" x14ac:dyDescent="0.4">
      <c r="B56" s="24" t="s">
        <v>11</v>
      </c>
      <c r="H56" s="15" t="s">
        <v>1720</v>
      </c>
      <c r="I56" s="25" t="b">
        <v>1</v>
      </c>
      <c r="J56" s="15" t="b">
        <v>1</v>
      </c>
      <c r="N56" s="15" t="s">
        <v>336</v>
      </c>
      <c r="O56" s="15" t="s">
        <v>336</v>
      </c>
      <c r="Y56" s="15" t="s">
        <v>336</v>
      </c>
      <c r="AI56" s="87" t="s">
        <v>1240</v>
      </c>
      <c r="AJ56" s="88">
        <v>1555</v>
      </c>
      <c r="AK56" s="15" t="s">
        <v>243</v>
      </c>
      <c r="AL56" s="15" t="s">
        <v>336</v>
      </c>
      <c r="AM56" s="15" t="s">
        <v>336</v>
      </c>
      <c r="AN56" s="15" t="s">
        <v>336</v>
      </c>
      <c r="AO56" s="15" t="s">
        <v>336</v>
      </c>
      <c r="AP56" s="49" t="s">
        <v>336</v>
      </c>
    </row>
    <row r="57" spans="2:42" x14ac:dyDescent="0.4">
      <c r="B57" s="24" t="s">
        <v>11</v>
      </c>
      <c r="H57" s="15" t="s">
        <v>1720</v>
      </c>
      <c r="I57" s="25" t="b">
        <v>1</v>
      </c>
      <c r="J57" s="15" t="b">
        <v>1</v>
      </c>
      <c r="N57" s="15" t="s">
        <v>336</v>
      </c>
      <c r="O57" s="15" t="s">
        <v>336</v>
      </c>
      <c r="Y57" s="15" t="s">
        <v>336</v>
      </c>
      <c r="AI57" s="87" t="s">
        <v>1241</v>
      </c>
      <c r="AJ57" s="88">
        <v>1556</v>
      </c>
      <c r="AK57" s="15" t="s">
        <v>244</v>
      </c>
      <c r="AL57" s="15" t="s">
        <v>336</v>
      </c>
      <c r="AM57" s="15" t="s">
        <v>336</v>
      </c>
      <c r="AN57" s="15" t="s">
        <v>336</v>
      </c>
      <c r="AO57" s="15" t="s">
        <v>336</v>
      </c>
      <c r="AP57" s="49" t="s">
        <v>336</v>
      </c>
    </row>
    <row r="58" spans="2:42" x14ac:dyDescent="0.4">
      <c r="B58" s="24" t="s">
        <v>11</v>
      </c>
      <c r="H58" s="15" t="s">
        <v>1720</v>
      </c>
      <c r="I58" s="25" t="b">
        <v>1</v>
      </c>
      <c r="J58" s="15" t="b">
        <v>1</v>
      </c>
      <c r="N58" s="15" t="s">
        <v>336</v>
      </c>
      <c r="O58" s="15" t="s">
        <v>336</v>
      </c>
      <c r="Y58" s="15" t="s">
        <v>336</v>
      </c>
      <c r="AI58" s="87" t="s">
        <v>1242</v>
      </c>
      <c r="AJ58" s="88">
        <v>1557</v>
      </c>
      <c r="AK58" s="15" t="s">
        <v>245</v>
      </c>
      <c r="AL58" s="15" t="s">
        <v>336</v>
      </c>
      <c r="AM58" s="15" t="s">
        <v>336</v>
      </c>
      <c r="AN58" s="15" t="s">
        <v>336</v>
      </c>
      <c r="AO58" s="15" t="s">
        <v>336</v>
      </c>
      <c r="AP58" s="49" t="s">
        <v>336</v>
      </c>
    </row>
    <row r="59" spans="2:42" x14ac:dyDescent="0.4">
      <c r="B59" s="24" t="s">
        <v>11</v>
      </c>
      <c r="H59" s="15" t="s">
        <v>1720</v>
      </c>
      <c r="I59" s="25" t="b">
        <v>1</v>
      </c>
      <c r="J59" s="15" t="b">
        <v>1</v>
      </c>
      <c r="N59" s="15" t="s">
        <v>336</v>
      </c>
      <c r="O59" s="15" t="s">
        <v>336</v>
      </c>
      <c r="Y59" s="15" t="s">
        <v>336</v>
      </c>
      <c r="AI59" s="87" t="s">
        <v>1243</v>
      </c>
      <c r="AJ59" s="88">
        <v>1558</v>
      </c>
      <c r="AK59" s="15" t="s">
        <v>246</v>
      </c>
      <c r="AL59" s="15" t="s">
        <v>336</v>
      </c>
      <c r="AM59" s="15" t="s">
        <v>336</v>
      </c>
      <c r="AN59" s="15" t="s">
        <v>336</v>
      </c>
      <c r="AO59" s="15" t="s">
        <v>336</v>
      </c>
      <c r="AP59" s="49" t="s">
        <v>336</v>
      </c>
    </row>
    <row r="60" spans="2:42" x14ac:dyDescent="0.4">
      <c r="B60" s="24" t="s">
        <v>11</v>
      </c>
      <c r="H60" s="15" t="s">
        <v>1720</v>
      </c>
      <c r="I60" s="25" t="b">
        <v>1</v>
      </c>
      <c r="J60" s="15" t="b">
        <v>1</v>
      </c>
      <c r="N60" s="15" t="s">
        <v>336</v>
      </c>
      <c r="O60" s="15" t="s">
        <v>336</v>
      </c>
      <c r="Y60" s="15" t="s">
        <v>336</v>
      </c>
      <c r="AI60" s="87" t="s">
        <v>1244</v>
      </c>
      <c r="AJ60" s="88">
        <v>1562</v>
      </c>
      <c r="AK60" s="15" t="s">
        <v>247</v>
      </c>
      <c r="AL60" s="15" t="s">
        <v>336</v>
      </c>
      <c r="AM60" s="15" t="s">
        <v>336</v>
      </c>
      <c r="AN60" s="15" t="s">
        <v>336</v>
      </c>
      <c r="AO60" s="15" t="s">
        <v>336</v>
      </c>
      <c r="AP60" s="49" t="s">
        <v>336</v>
      </c>
    </row>
    <row r="61" spans="2:42" x14ac:dyDescent="0.4">
      <c r="B61" s="24" t="s">
        <v>11</v>
      </c>
      <c r="H61" s="15" t="s">
        <v>1720</v>
      </c>
      <c r="I61" s="25" t="b">
        <v>1</v>
      </c>
      <c r="J61" s="15" t="b">
        <v>1</v>
      </c>
      <c r="N61" s="15" t="s">
        <v>336</v>
      </c>
      <c r="O61" s="15" t="s">
        <v>336</v>
      </c>
      <c r="Y61" s="15" t="s">
        <v>336</v>
      </c>
      <c r="AI61" s="87" t="s">
        <v>1246</v>
      </c>
      <c r="AJ61" s="88">
        <v>1576</v>
      </c>
      <c r="AK61" s="15" t="s">
        <v>249</v>
      </c>
      <c r="AL61" s="15" t="s">
        <v>336</v>
      </c>
      <c r="AM61" s="15" t="s">
        <v>336</v>
      </c>
      <c r="AN61" s="15" t="s">
        <v>336</v>
      </c>
      <c r="AO61" s="15" t="s">
        <v>336</v>
      </c>
      <c r="AP61" s="49" t="s">
        <v>336</v>
      </c>
    </row>
    <row r="62" spans="2:42" x14ac:dyDescent="0.4">
      <c r="B62" s="24" t="s">
        <v>11</v>
      </c>
      <c r="H62" s="15" t="s">
        <v>1720</v>
      </c>
      <c r="I62" s="25" t="b">
        <v>1</v>
      </c>
      <c r="J62" s="15" t="b">
        <v>1</v>
      </c>
      <c r="N62" s="15" t="s">
        <v>336</v>
      </c>
      <c r="O62" s="15" t="s">
        <v>336</v>
      </c>
      <c r="Y62" s="15" t="s">
        <v>336</v>
      </c>
      <c r="AI62" s="87" t="s">
        <v>1247</v>
      </c>
      <c r="AJ62" s="88">
        <v>1583</v>
      </c>
      <c r="AK62" s="15" t="s">
        <v>250</v>
      </c>
      <c r="AL62" s="15" t="s">
        <v>336</v>
      </c>
      <c r="AM62" s="15" t="s">
        <v>336</v>
      </c>
      <c r="AN62" s="15" t="s">
        <v>336</v>
      </c>
      <c r="AO62" s="15" t="s">
        <v>336</v>
      </c>
      <c r="AP62" s="49" t="s">
        <v>336</v>
      </c>
    </row>
    <row r="63" spans="2:42" x14ac:dyDescent="0.4">
      <c r="B63" s="24" t="s">
        <v>534</v>
      </c>
      <c r="H63" s="15" t="s">
        <v>1720</v>
      </c>
      <c r="I63" s="25" t="b">
        <v>1</v>
      </c>
      <c r="J63" s="15" t="b">
        <v>1</v>
      </c>
      <c r="N63" s="15" t="s">
        <v>336</v>
      </c>
      <c r="O63" s="15" t="s">
        <v>336</v>
      </c>
      <c r="Y63" s="15" t="s">
        <v>336</v>
      </c>
      <c r="AI63" s="87" t="s">
        <v>1248</v>
      </c>
      <c r="AJ63" s="88">
        <v>1586</v>
      </c>
      <c r="AK63" s="15" t="s">
        <v>251</v>
      </c>
      <c r="AL63" s="15" t="s">
        <v>336</v>
      </c>
      <c r="AM63" s="15" t="s">
        <v>336</v>
      </c>
      <c r="AN63" s="15" t="s">
        <v>336</v>
      </c>
      <c r="AO63" s="15" t="s">
        <v>336</v>
      </c>
      <c r="AP63" s="49" t="s">
        <v>336</v>
      </c>
    </row>
    <row r="64" spans="2:42" x14ac:dyDescent="0.4">
      <c r="B64" s="24" t="s">
        <v>548</v>
      </c>
      <c r="H64" s="15" t="s">
        <v>1720</v>
      </c>
      <c r="I64" s="25" t="b">
        <v>1</v>
      </c>
      <c r="J64" s="15" t="b">
        <v>1</v>
      </c>
      <c r="N64" s="15" t="s">
        <v>336</v>
      </c>
      <c r="O64" s="15" t="s">
        <v>336</v>
      </c>
      <c r="Y64" s="15" t="s">
        <v>336</v>
      </c>
      <c r="AI64" s="87" t="s">
        <v>1249</v>
      </c>
      <c r="AJ64" s="88">
        <v>1586</v>
      </c>
      <c r="AK64" s="15" t="s">
        <v>252</v>
      </c>
      <c r="AL64" s="15" t="s">
        <v>336</v>
      </c>
      <c r="AM64" s="15" t="s">
        <v>336</v>
      </c>
      <c r="AN64" s="15" t="s">
        <v>336</v>
      </c>
      <c r="AO64" s="15" t="s">
        <v>336</v>
      </c>
      <c r="AP64" s="49" t="s">
        <v>336</v>
      </c>
    </row>
    <row r="65" spans="2:42" x14ac:dyDescent="0.4">
      <c r="B65" s="24" t="s">
        <v>548</v>
      </c>
      <c r="H65" s="15" t="s">
        <v>1720</v>
      </c>
      <c r="I65" s="25" t="b">
        <v>1</v>
      </c>
      <c r="J65" s="15" t="b">
        <v>1</v>
      </c>
      <c r="N65" s="15" t="s">
        <v>336</v>
      </c>
      <c r="O65" s="15" t="s">
        <v>336</v>
      </c>
      <c r="Y65" s="15" t="s">
        <v>336</v>
      </c>
      <c r="AI65" s="87" t="s">
        <v>1250</v>
      </c>
      <c r="AJ65" s="88" t="s">
        <v>1122</v>
      </c>
      <c r="AK65" s="15" t="s">
        <v>253</v>
      </c>
      <c r="AL65" s="15" t="s">
        <v>336</v>
      </c>
      <c r="AM65" s="15" t="s">
        <v>336</v>
      </c>
      <c r="AN65" s="15" t="s">
        <v>336</v>
      </c>
      <c r="AO65" s="15" t="s">
        <v>336</v>
      </c>
      <c r="AP65" s="49" t="s">
        <v>336</v>
      </c>
    </row>
    <row r="66" spans="2:42" x14ac:dyDescent="0.4">
      <c r="B66" s="24" t="s">
        <v>11</v>
      </c>
      <c r="H66" s="15" t="s">
        <v>1720</v>
      </c>
      <c r="I66" s="25" t="b">
        <v>1</v>
      </c>
      <c r="J66" s="15" t="b">
        <v>1</v>
      </c>
      <c r="N66" s="15" t="s">
        <v>336</v>
      </c>
      <c r="O66" s="15" t="s">
        <v>336</v>
      </c>
      <c r="Y66" s="15" t="s">
        <v>336</v>
      </c>
      <c r="AI66" s="87" t="s">
        <v>1251</v>
      </c>
      <c r="AJ66" s="88">
        <v>1597</v>
      </c>
      <c r="AK66" s="15" t="s">
        <v>254</v>
      </c>
      <c r="AL66" s="15" t="s">
        <v>336</v>
      </c>
      <c r="AM66" s="15" t="s">
        <v>336</v>
      </c>
      <c r="AN66" s="15" t="s">
        <v>336</v>
      </c>
      <c r="AO66" s="15" t="s">
        <v>336</v>
      </c>
      <c r="AP66" s="49" t="s">
        <v>336</v>
      </c>
    </row>
    <row r="67" spans="2:42" x14ac:dyDescent="0.4">
      <c r="B67" s="24" t="s">
        <v>657</v>
      </c>
      <c r="H67" s="15" t="s">
        <v>1720</v>
      </c>
      <c r="I67" s="25" t="b">
        <v>1</v>
      </c>
      <c r="J67" s="15" t="b">
        <v>1</v>
      </c>
      <c r="N67" s="15" t="s">
        <v>336</v>
      </c>
      <c r="O67" s="15" t="s">
        <v>336</v>
      </c>
      <c r="Y67" s="15" t="s">
        <v>336</v>
      </c>
      <c r="AI67" s="87" t="s">
        <v>1254</v>
      </c>
      <c r="AJ67" s="88" t="s">
        <v>1125</v>
      </c>
      <c r="AK67" s="15" t="s">
        <v>257</v>
      </c>
      <c r="AL67" s="15" t="s">
        <v>336</v>
      </c>
      <c r="AM67" s="15" t="s">
        <v>336</v>
      </c>
      <c r="AN67" s="15" t="s">
        <v>336</v>
      </c>
      <c r="AO67" s="15" t="s">
        <v>336</v>
      </c>
      <c r="AP67" s="49" t="s">
        <v>336</v>
      </c>
    </row>
    <row r="68" spans="2:42" x14ac:dyDescent="0.4">
      <c r="B68" s="24" t="s">
        <v>557</v>
      </c>
      <c r="H68" s="15" t="s">
        <v>1720</v>
      </c>
      <c r="I68" s="25" t="b">
        <v>1</v>
      </c>
      <c r="J68" s="15" t="b">
        <v>1</v>
      </c>
      <c r="N68" s="15" t="s">
        <v>336</v>
      </c>
      <c r="O68" s="15" t="s">
        <v>336</v>
      </c>
      <c r="Y68" s="15" t="s">
        <v>336</v>
      </c>
      <c r="AI68" s="87" t="s">
        <v>1252</v>
      </c>
      <c r="AJ68" s="89" t="s">
        <v>1412</v>
      </c>
      <c r="AK68" s="15" t="s">
        <v>255</v>
      </c>
      <c r="AL68" s="15" t="s">
        <v>336</v>
      </c>
      <c r="AM68" s="15" t="s">
        <v>336</v>
      </c>
      <c r="AN68" s="15" t="s">
        <v>336</v>
      </c>
      <c r="AO68" s="15" t="s">
        <v>336</v>
      </c>
      <c r="AP68" s="49" t="s">
        <v>336</v>
      </c>
    </row>
    <row r="69" spans="2:42" x14ac:dyDescent="0.4">
      <c r="B69" s="24" t="s">
        <v>11</v>
      </c>
      <c r="H69" s="15" t="s">
        <v>1720</v>
      </c>
      <c r="I69" s="25" t="b">
        <v>1</v>
      </c>
      <c r="J69" s="15" t="b">
        <v>1</v>
      </c>
      <c r="N69" s="15" t="s">
        <v>336</v>
      </c>
      <c r="O69" s="15" t="s">
        <v>336</v>
      </c>
      <c r="Y69" s="15" t="s">
        <v>336</v>
      </c>
      <c r="AI69" s="87" t="s">
        <v>1257</v>
      </c>
      <c r="AJ69" s="88">
        <v>1607</v>
      </c>
      <c r="AK69" s="15" t="s">
        <v>260</v>
      </c>
      <c r="AL69" s="15" t="s">
        <v>336</v>
      </c>
      <c r="AM69" s="15" t="s">
        <v>336</v>
      </c>
      <c r="AN69" s="15" t="s">
        <v>336</v>
      </c>
      <c r="AO69" s="15" t="s">
        <v>336</v>
      </c>
      <c r="AP69" s="49" t="s">
        <v>336</v>
      </c>
    </row>
    <row r="70" spans="2:42" x14ac:dyDescent="0.4">
      <c r="B70" s="24" t="s">
        <v>11</v>
      </c>
      <c r="H70" s="15" t="s">
        <v>1720</v>
      </c>
      <c r="I70" s="25" t="b">
        <v>1</v>
      </c>
      <c r="J70" s="15" t="b">
        <v>1</v>
      </c>
      <c r="N70" s="15" t="s">
        <v>336</v>
      </c>
      <c r="O70" s="15" t="s">
        <v>336</v>
      </c>
      <c r="Y70" s="15" t="s">
        <v>336</v>
      </c>
      <c r="AI70" s="87" t="s">
        <v>1259</v>
      </c>
      <c r="AJ70" s="88">
        <v>1616</v>
      </c>
      <c r="AK70" s="15" t="s">
        <v>264</v>
      </c>
      <c r="AL70" s="15" t="s">
        <v>336</v>
      </c>
      <c r="AM70" s="15" t="s">
        <v>336</v>
      </c>
      <c r="AN70" s="15" t="s">
        <v>336</v>
      </c>
      <c r="AO70" s="15" t="s">
        <v>336</v>
      </c>
      <c r="AP70" s="49" t="s">
        <v>336</v>
      </c>
    </row>
    <row r="71" spans="2:42" x14ac:dyDescent="0.4">
      <c r="B71" s="24" t="s">
        <v>502</v>
      </c>
      <c r="H71" s="15" t="s">
        <v>1720</v>
      </c>
      <c r="I71" s="25" t="b">
        <v>1</v>
      </c>
      <c r="J71" s="15" t="b">
        <v>1</v>
      </c>
      <c r="N71" s="15" t="s">
        <v>336</v>
      </c>
      <c r="O71" s="15" t="s">
        <v>336</v>
      </c>
      <c r="Y71" s="15" t="s">
        <v>336</v>
      </c>
      <c r="AI71" s="87" t="s">
        <v>1260</v>
      </c>
      <c r="AJ71" s="88">
        <v>1633</v>
      </c>
      <c r="AK71" s="15" t="s">
        <v>265</v>
      </c>
      <c r="AL71" s="15" t="s">
        <v>336</v>
      </c>
      <c r="AM71" s="15" t="s">
        <v>336</v>
      </c>
      <c r="AN71" s="15" t="s">
        <v>336</v>
      </c>
      <c r="AO71" s="15" t="s">
        <v>336</v>
      </c>
      <c r="AP71" s="49" t="s">
        <v>336</v>
      </c>
    </row>
    <row r="72" spans="2:42" x14ac:dyDescent="0.4">
      <c r="B72" s="24" t="s">
        <v>535</v>
      </c>
      <c r="H72" s="15" t="s">
        <v>1720</v>
      </c>
      <c r="I72" s="25" t="b">
        <v>1</v>
      </c>
      <c r="J72" s="15" t="b">
        <v>1</v>
      </c>
      <c r="N72" s="15" t="s">
        <v>336</v>
      </c>
      <c r="O72" s="15" t="s">
        <v>336</v>
      </c>
      <c r="Y72" s="15" t="s">
        <v>336</v>
      </c>
      <c r="AI72" s="87" t="s">
        <v>1261</v>
      </c>
      <c r="AJ72" s="88">
        <v>1635</v>
      </c>
      <c r="AK72" s="15" t="s">
        <v>266</v>
      </c>
      <c r="AL72" s="15" t="s">
        <v>336</v>
      </c>
      <c r="AM72" s="15" t="s">
        <v>336</v>
      </c>
      <c r="AN72" s="15" t="s">
        <v>336</v>
      </c>
      <c r="AO72" s="15" t="s">
        <v>336</v>
      </c>
      <c r="AP72" s="49" t="s">
        <v>336</v>
      </c>
    </row>
    <row r="73" spans="2:42" x14ac:dyDescent="0.4">
      <c r="B73" s="24" t="s">
        <v>542</v>
      </c>
      <c r="H73" s="15" t="s">
        <v>1720</v>
      </c>
      <c r="I73" s="25" t="b">
        <v>1</v>
      </c>
      <c r="J73" s="15" t="b">
        <v>1</v>
      </c>
      <c r="N73" s="15" t="s">
        <v>336</v>
      </c>
      <c r="O73" s="15" t="s">
        <v>336</v>
      </c>
      <c r="Y73" s="15" t="s">
        <v>336</v>
      </c>
      <c r="AI73" s="87" t="s">
        <v>1262</v>
      </c>
      <c r="AJ73" s="88">
        <v>1641</v>
      </c>
      <c r="AK73" s="15" t="s">
        <v>267</v>
      </c>
      <c r="AL73" s="15" t="s">
        <v>336</v>
      </c>
      <c r="AM73" s="15" t="s">
        <v>336</v>
      </c>
      <c r="AN73" s="15" t="s">
        <v>336</v>
      </c>
      <c r="AO73" s="15" t="s">
        <v>336</v>
      </c>
      <c r="AP73" s="49" t="s">
        <v>336</v>
      </c>
    </row>
    <row r="74" spans="2:42" x14ac:dyDescent="0.4">
      <c r="B74" s="24" t="s">
        <v>557</v>
      </c>
      <c r="H74" s="15" t="s">
        <v>1720</v>
      </c>
      <c r="I74" s="25" t="b">
        <v>1</v>
      </c>
      <c r="J74" s="15" t="b">
        <v>1</v>
      </c>
      <c r="N74" s="15" t="s">
        <v>336</v>
      </c>
      <c r="O74" s="15" t="s">
        <v>336</v>
      </c>
      <c r="Y74" s="15" t="s">
        <v>336</v>
      </c>
      <c r="AI74" s="87" t="s">
        <v>1263</v>
      </c>
      <c r="AJ74" s="88">
        <v>1649</v>
      </c>
      <c r="AK74" s="15" t="s">
        <v>268</v>
      </c>
      <c r="AL74" s="15" t="s">
        <v>336</v>
      </c>
      <c r="AM74" s="15" t="s">
        <v>336</v>
      </c>
      <c r="AN74" s="15" t="s">
        <v>336</v>
      </c>
      <c r="AO74" s="15" t="s">
        <v>336</v>
      </c>
      <c r="AP74" s="49" t="s">
        <v>336</v>
      </c>
    </row>
    <row r="75" spans="2:42" x14ac:dyDescent="0.4">
      <c r="B75" s="24" t="s">
        <v>717</v>
      </c>
      <c r="H75" s="15" t="s">
        <v>1720</v>
      </c>
      <c r="I75" s="25" t="b">
        <v>1</v>
      </c>
      <c r="J75" s="15" t="b">
        <v>1</v>
      </c>
      <c r="N75" s="15" t="s">
        <v>336</v>
      </c>
      <c r="O75" s="15" t="s">
        <v>336</v>
      </c>
      <c r="Y75" s="15" t="s">
        <v>336</v>
      </c>
      <c r="AI75" s="87" t="s">
        <v>1264</v>
      </c>
      <c r="AJ75" s="88">
        <v>1651</v>
      </c>
      <c r="AK75" s="15" t="s">
        <v>269</v>
      </c>
      <c r="AL75" s="15" t="s">
        <v>336</v>
      </c>
      <c r="AM75" s="15" t="s">
        <v>336</v>
      </c>
      <c r="AN75" s="15" t="s">
        <v>336</v>
      </c>
      <c r="AO75" s="15" t="s">
        <v>336</v>
      </c>
      <c r="AP75" s="49" t="s">
        <v>336</v>
      </c>
    </row>
    <row r="76" spans="2:42" x14ac:dyDescent="0.4">
      <c r="B76" s="24" t="s">
        <v>557</v>
      </c>
      <c r="H76" s="15" t="s">
        <v>1720</v>
      </c>
      <c r="I76" s="25" t="b">
        <v>1</v>
      </c>
      <c r="J76" s="15" t="b">
        <v>1</v>
      </c>
      <c r="N76" s="15" t="s">
        <v>336</v>
      </c>
      <c r="O76" s="15" t="s">
        <v>336</v>
      </c>
      <c r="Y76" s="15" t="s">
        <v>336</v>
      </c>
      <c r="AI76" s="87" t="s">
        <v>1265</v>
      </c>
      <c r="AJ76" s="88">
        <v>1652</v>
      </c>
      <c r="AK76" s="15" t="s">
        <v>270</v>
      </c>
      <c r="AL76" s="15" t="s">
        <v>336</v>
      </c>
      <c r="AM76" s="15" t="s">
        <v>336</v>
      </c>
      <c r="AN76" s="15" t="s">
        <v>336</v>
      </c>
      <c r="AO76" s="15" t="s">
        <v>336</v>
      </c>
      <c r="AP76" s="49" t="s">
        <v>336</v>
      </c>
    </row>
    <row r="77" spans="2:42" x14ac:dyDescent="0.4">
      <c r="B77" s="24" t="s">
        <v>11</v>
      </c>
      <c r="H77" s="15" t="s">
        <v>1720</v>
      </c>
      <c r="I77" s="25" t="b">
        <v>1</v>
      </c>
      <c r="J77" s="15" t="b">
        <v>1</v>
      </c>
      <c r="N77" s="15" t="s">
        <v>336</v>
      </c>
      <c r="O77" s="15" t="s">
        <v>336</v>
      </c>
      <c r="Y77" s="15" t="s">
        <v>336</v>
      </c>
      <c r="AI77" s="87" t="s">
        <v>1266</v>
      </c>
      <c r="AJ77" s="88">
        <v>1655</v>
      </c>
      <c r="AK77" s="15" t="s">
        <v>271</v>
      </c>
      <c r="AL77" s="15" t="s">
        <v>336</v>
      </c>
      <c r="AM77" s="15" t="s">
        <v>336</v>
      </c>
      <c r="AN77" s="15" t="s">
        <v>336</v>
      </c>
      <c r="AO77" s="15" t="s">
        <v>336</v>
      </c>
      <c r="AP77" s="49" t="s">
        <v>336</v>
      </c>
    </row>
    <row r="78" spans="2:42" x14ac:dyDescent="0.4">
      <c r="B78" s="24" t="s">
        <v>11</v>
      </c>
      <c r="H78" s="15" t="s">
        <v>1720</v>
      </c>
      <c r="I78" s="25" t="b">
        <v>1</v>
      </c>
      <c r="J78" s="15" t="b">
        <v>1</v>
      </c>
      <c r="N78" s="15" t="s">
        <v>336</v>
      </c>
      <c r="O78" s="15" t="s">
        <v>336</v>
      </c>
      <c r="Y78" s="15" t="s">
        <v>336</v>
      </c>
      <c r="AI78" s="87" t="s">
        <v>1267</v>
      </c>
      <c r="AJ78" s="88">
        <v>1671</v>
      </c>
      <c r="AK78" s="15" t="s">
        <v>273</v>
      </c>
      <c r="AL78" s="15" t="s">
        <v>336</v>
      </c>
      <c r="AM78" s="15" t="s">
        <v>336</v>
      </c>
      <c r="AN78" s="15" t="s">
        <v>336</v>
      </c>
      <c r="AO78" s="15" t="s">
        <v>336</v>
      </c>
      <c r="AP78" s="49" t="s">
        <v>336</v>
      </c>
    </row>
    <row r="79" spans="2:42" x14ac:dyDescent="0.4">
      <c r="B79" s="24" t="s">
        <v>581</v>
      </c>
      <c r="H79" s="15" t="s">
        <v>1720</v>
      </c>
      <c r="I79" s="25" t="b">
        <v>1</v>
      </c>
      <c r="J79" s="15" t="b">
        <v>1</v>
      </c>
      <c r="N79" s="15" t="s">
        <v>336</v>
      </c>
      <c r="O79" s="15" t="s">
        <v>336</v>
      </c>
      <c r="Y79" s="15" t="s">
        <v>336</v>
      </c>
      <c r="AI79" s="87" t="s">
        <v>1268</v>
      </c>
      <c r="AJ79" s="88" t="s">
        <v>1139</v>
      </c>
      <c r="AK79" s="15" t="s">
        <v>274</v>
      </c>
      <c r="AL79" s="15" t="s">
        <v>336</v>
      </c>
      <c r="AM79" s="15" t="s">
        <v>336</v>
      </c>
      <c r="AN79" s="15" t="s">
        <v>336</v>
      </c>
      <c r="AO79" s="15" t="s">
        <v>336</v>
      </c>
      <c r="AP79" s="49" t="s">
        <v>336</v>
      </c>
    </row>
    <row r="80" spans="2:42" x14ac:dyDescent="0.4">
      <c r="B80" s="24" t="s">
        <v>709</v>
      </c>
      <c r="H80" s="15" t="s">
        <v>1720</v>
      </c>
      <c r="I80" s="25" t="b">
        <v>1</v>
      </c>
      <c r="J80" s="15" t="b">
        <v>1</v>
      </c>
      <c r="N80" s="15" t="s">
        <v>336</v>
      </c>
      <c r="O80" s="15" t="s">
        <v>336</v>
      </c>
      <c r="Y80" s="15" t="s">
        <v>336</v>
      </c>
      <c r="AI80" s="87" t="s">
        <v>1269</v>
      </c>
      <c r="AJ80" s="88" t="s">
        <v>1140</v>
      </c>
      <c r="AK80" s="15" t="s">
        <v>275</v>
      </c>
      <c r="AL80" s="15" t="s">
        <v>336</v>
      </c>
      <c r="AM80" s="15" t="s">
        <v>336</v>
      </c>
      <c r="AN80" s="15" t="s">
        <v>336</v>
      </c>
      <c r="AO80" s="15" t="s">
        <v>336</v>
      </c>
      <c r="AP80" s="49" t="s">
        <v>336</v>
      </c>
    </row>
    <row r="81" spans="2:42" x14ac:dyDescent="0.4">
      <c r="B81" s="24" t="s">
        <v>709</v>
      </c>
      <c r="H81" s="15" t="s">
        <v>1720</v>
      </c>
      <c r="I81" s="25" t="b">
        <v>1</v>
      </c>
      <c r="J81" s="15" t="b">
        <v>1</v>
      </c>
      <c r="N81" s="15" t="s">
        <v>336</v>
      </c>
      <c r="O81" s="15" t="s">
        <v>336</v>
      </c>
      <c r="Y81" s="15" t="s">
        <v>336</v>
      </c>
      <c r="AI81" s="87" t="s">
        <v>1270</v>
      </c>
      <c r="AJ81" s="89" t="s">
        <v>1411</v>
      </c>
      <c r="AK81" s="15" t="s">
        <v>276</v>
      </c>
      <c r="AL81" s="15" t="s">
        <v>336</v>
      </c>
      <c r="AM81" s="15" t="s">
        <v>336</v>
      </c>
      <c r="AN81" s="15" t="s">
        <v>336</v>
      </c>
      <c r="AO81" s="15" t="s">
        <v>336</v>
      </c>
      <c r="AP81" s="49" t="s">
        <v>336</v>
      </c>
    </row>
    <row r="82" spans="2:42" x14ac:dyDescent="0.4">
      <c r="B82" s="24" t="s">
        <v>11</v>
      </c>
      <c r="H82" s="15" t="s">
        <v>1720</v>
      </c>
      <c r="I82" s="25" t="b">
        <v>1</v>
      </c>
      <c r="J82" s="15" t="b">
        <v>1</v>
      </c>
      <c r="N82" s="15" t="s">
        <v>336</v>
      </c>
      <c r="O82" s="15" t="s">
        <v>336</v>
      </c>
      <c r="Y82" s="15" t="s">
        <v>336</v>
      </c>
      <c r="AI82" s="87" t="s">
        <v>1271</v>
      </c>
      <c r="AJ82" s="88">
        <v>1716</v>
      </c>
      <c r="AK82" s="15" t="s">
        <v>277</v>
      </c>
      <c r="AL82" s="15" t="s">
        <v>336</v>
      </c>
      <c r="AM82" s="15" t="s">
        <v>336</v>
      </c>
      <c r="AN82" s="15" t="s">
        <v>336</v>
      </c>
      <c r="AO82" s="15" t="s">
        <v>336</v>
      </c>
      <c r="AP82" s="49" t="s">
        <v>336</v>
      </c>
    </row>
    <row r="83" spans="2:42" x14ac:dyDescent="0.4">
      <c r="B83" s="24" t="s">
        <v>518</v>
      </c>
      <c r="H83" s="15" t="s">
        <v>1720</v>
      </c>
      <c r="I83" s="25" t="b">
        <v>1</v>
      </c>
      <c r="J83" s="15" t="b">
        <v>1</v>
      </c>
      <c r="N83" s="15" t="s">
        <v>336</v>
      </c>
      <c r="O83" s="15" t="s">
        <v>336</v>
      </c>
      <c r="Y83" s="15" t="s">
        <v>336</v>
      </c>
      <c r="AI83" s="87" t="s">
        <v>1272</v>
      </c>
      <c r="AJ83" s="88">
        <v>1717</v>
      </c>
      <c r="AK83" s="15" t="s">
        <v>278</v>
      </c>
      <c r="AL83" s="15" t="s">
        <v>336</v>
      </c>
      <c r="AM83" s="15" t="s">
        <v>336</v>
      </c>
      <c r="AN83" s="15" t="s">
        <v>336</v>
      </c>
      <c r="AO83" s="15" t="s">
        <v>336</v>
      </c>
      <c r="AP83" s="49" t="s">
        <v>336</v>
      </c>
    </row>
    <row r="84" spans="2:42" x14ac:dyDescent="0.4">
      <c r="B84" s="24" t="s">
        <v>11</v>
      </c>
      <c r="H84" s="15" t="s">
        <v>1720</v>
      </c>
      <c r="I84" s="25" t="b">
        <v>1</v>
      </c>
      <c r="J84" s="15" t="b">
        <v>1</v>
      </c>
      <c r="N84" s="15" t="s">
        <v>336</v>
      </c>
      <c r="O84" s="15" t="s">
        <v>336</v>
      </c>
      <c r="Y84" s="15" t="s">
        <v>336</v>
      </c>
      <c r="AI84" s="87" t="s">
        <v>1273</v>
      </c>
      <c r="AJ84" s="88" t="s">
        <v>1144</v>
      </c>
      <c r="AK84" s="15" t="s">
        <v>279</v>
      </c>
      <c r="AL84" s="15" t="s">
        <v>336</v>
      </c>
      <c r="AM84" s="15" t="s">
        <v>336</v>
      </c>
      <c r="AN84" s="15" t="s">
        <v>336</v>
      </c>
      <c r="AO84" s="15" t="s">
        <v>336</v>
      </c>
      <c r="AP84" s="49" t="s">
        <v>336</v>
      </c>
    </row>
    <row r="85" spans="2:42" x14ac:dyDescent="0.4">
      <c r="B85" s="24" t="s">
        <v>11</v>
      </c>
      <c r="C85" s="35" t="s">
        <v>1004</v>
      </c>
      <c r="H85" s="15" t="s">
        <v>1720</v>
      </c>
      <c r="I85" s="25" t="b">
        <v>1</v>
      </c>
      <c r="J85" s="15" t="b">
        <v>1</v>
      </c>
      <c r="N85" s="15" t="s">
        <v>336</v>
      </c>
      <c r="O85" s="15" t="s">
        <v>336</v>
      </c>
      <c r="Y85" s="39"/>
      <c r="AI85" s="87" t="s">
        <v>1312</v>
      </c>
      <c r="AJ85" s="88">
        <v>1740</v>
      </c>
      <c r="AK85" s="15" t="s">
        <v>280</v>
      </c>
      <c r="AL85" s="15" t="s">
        <v>336</v>
      </c>
      <c r="AM85" s="15" t="s">
        <v>336</v>
      </c>
      <c r="AN85" s="15" t="s">
        <v>336</v>
      </c>
      <c r="AO85" s="15" t="s">
        <v>336</v>
      </c>
      <c r="AP85" s="49" t="s">
        <v>336</v>
      </c>
    </row>
    <row r="86" spans="2:42" x14ac:dyDescent="0.4">
      <c r="B86" s="24" t="s">
        <v>709</v>
      </c>
      <c r="H86" s="15" t="s">
        <v>1720</v>
      </c>
      <c r="I86" s="25" t="b">
        <v>1</v>
      </c>
      <c r="J86" s="15" t="b">
        <v>1</v>
      </c>
      <c r="N86" s="15" t="s">
        <v>336</v>
      </c>
      <c r="O86" s="15" t="s">
        <v>336</v>
      </c>
      <c r="Y86" s="15" t="s">
        <v>336</v>
      </c>
      <c r="AI86" s="87" t="s">
        <v>1274</v>
      </c>
      <c r="AJ86" s="88">
        <v>1750</v>
      </c>
      <c r="AK86" s="15" t="s">
        <v>281</v>
      </c>
      <c r="AL86" s="15" t="s">
        <v>336</v>
      </c>
      <c r="AM86" s="15" t="s">
        <v>336</v>
      </c>
      <c r="AN86" s="15" t="s">
        <v>336</v>
      </c>
      <c r="AO86" s="15" t="s">
        <v>336</v>
      </c>
      <c r="AP86" s="49" t="s">
        <v>336</v>
      </c>
    </row>
    <row r="87" spans="2:42" x14ac:dyDescent="0.4">
      <c r="B87" s="24" t="s">
        <v>502</v>
      </c>
      <c r="H87" s="15" t="s">
        <v>1720</v>
      </c>
      <c r="I87" s="25" t="b">
        <v>1</v>
      </c>
      <c r="J87" s="15" t="b">
        <v>1</v>
      </c>
      <c r="N87" s="15" t="s">
        <v>336</v>
      </c>
      <c r="O87" s="15" t="s">
        <v>336</v>
      </c>
      <c r="Y87" s="15" t="s">
        <v>336</v>
      </c>
      <c r="AI87" s="87" t="s">
        <v>1276</v>
      </c>
      <c r="AJ87" s="88">
        <v>1797</v>
      </c>
      <c r="AK87" s="15" t="s">
        <v>283</v>
      </c>
      <c r="AL87" s="15" t="s">
        <v>336</v>
      </c>
      <c r="AM87" s="15" t="s">
        <v>336</v>
      </c>
      <c r="AN87" s="15" t="s">
        <v>336</v>
      </c>
      <c r="AO87" s="15" t="s">
        <v>336</v>
      </c>
      <c r="AP87" s="49" t="s">
        <v>336</v>
      </c>
    </row>
    <row r="88" spans="2:42" x14ac:dyDescent="0.4">
      <c r="B88" s="24" t="s">
        <v>557</v>
      </c>
      <c r="H88" s="15" t="s">
        <v>1720</v>
      </c>
      <c r="I88" s="25" t="b">
        <v>1</v>
      </c>
      <c r="J88" s="15" t="b">
        <v>1</v>
      </c>
      <c r="N88" s="15" t="s">
        <v>336</v>
      </c>
      <c r="O88" s="15" t="s">
        <v>336</v>
      </c>
      <c r="Y88" s="15" t="s">
        <v>336</v>
      </c>
      <c r="AI88" s="87" t="s">
        <v>1278</v>
      </c>
      <c r="AJ88" s="88">
        <v>1803</v>
      </c>
      <c r="AK88" s="15" t="s">
        <v>285</v>
      </c>
      <c r="AL88" s="15" t="s">
        <v>336</v>
      </c>
      <c r="AM88" s="15" t="s">
        <v>336</v>
      </c>
      <c r="AN88" s="15" t="s">
        <v>336</v>
      </c>
      <c r="AO88" s="15" t="s">
        <v>336</v>
      </c>
      <c r="AP88" s="49" t="s">
        <v>336</v>
      </c>
    </row>
    <row r="89" spans="2:42" x14ac:dyDescent="0.4">
      <c r="B89" s="24" t="s">
        <v>11</v>
      </c>
      <c r="H89" s="15" t="s">
        <v>1720</v>
      </c>
      <c r="I89" s="25" t="b">
        <v>1</v>
      </c>
      <c r="J89" s="15" t="b">
        <v>1</v>
      </c>
      <c r="N89" s="15" t="s">
        <v>336</v>
      </c>
      <c r="O89" s="15" t="s">
        <v>336</v>
      </c>
      <c r="Y89" s="15" t="s">
        <v>336</v>
      </c>
      <c r="AI89" s="87" t="s">
        <v>1279</v>
      </c>
      <c r="AJ89" s="88">
        <v>1853</v>
      </c>
      <c r="AK89" s="15" t="s">
        <v>290</v>
      </c>
      <c r="AL89" s="15" t="s">
        <v>336</v>
      </c>
      <c r="AM89" s="15" t="s">
        <v>336</v>
      </c>
      <c r="AN89" s="15" t="s">
        <v>336</v>
      </c>
      <c r="AO89" s="15" t="s">
        <v>336</v>
      </c>
      <c r="AP89" s="49" t="s">
        <v>336</v>
      </c>
    </row>
    <row r="90" spans="2:42" x14ac:dyDescent="0.4">
      <c r="B90" s="24" t="s">
        <v>11</v>
      </c>
      <c r="H90" s="15" t="s">
        <v>1720</v>
      </c>
      <c r="I90" s="25" t="b">
        <v>1</v>
      </c>
      <c r="J90" s="15" t="b">
        <v>1</v>
      </c>
      <c r="N90" s="15" t="s">
        <v>336</v>
      </c>
      <c r="O90" s="15" t="s">
        <v>336</v>
      </c>
      <c r="Y90" s="15" t="s">
        <v>336</v>
      </c>
      <c r="AI90" s="87" t="s">
        <v>1280</v>
      </c>
      <c r="AJ90" s="88" t="s">
        <v>1152</v>
      </c>
      <c r="AK90" s="15" t="s">
        <v>291</v>
      </c>
      <c r="AL90" s="15" t="s">
        <v>336</v>
      </c>
      <c r="AM90" s="15" t="s">
        <v>336</v>
      </c>
      <c r="AN90" s="15" t="s">
        <v>336</v>
      </c>
      <c r="AO90" s="15" t="s">
        <v>336</v>
      </c>
      <c r="AP90" s="49" t="s">
        <v>336</v>
      </c>
    </row>
    <row r="91" spans="2:42" ht="37.299999999999997" x14ac:dyDescent="0.4">
      <c r="B91" s="24" t="s">
        <v>697</v>
      </c>
      <c r="H91" s="15" t="s">
        <v>1720</v>
      </c>
      <c r="I91" s="25" t="b">
        <v>1</v>
      </c>
      <c r="J91" s="15" t="b">
        <v>1</v>
      </c>
      <c r="N91" s="15" t="s">
        <v>336</v>
      </c>
      <c r="O91" s="15" t="s">
        <v>336</v>
      </c>
      <c r="Y91" s="15" t="s">
        <v>336</v>
      </c>
      <c r="AI91" s="87" t="s">
        <v>1281</v>
      </c>
      <c r="AJ91" s="88">
        <v>1859</v>
      </c>
      <c r="AK91" s="15" t="s">
        <v>293</v>
      </c>
      <c r="AL91" s="15" t="s">
        <v>336</v>
      </c>
      <c r="AM91" s="15" t="s">
        <v>336</v>
      </c>
      <c r="AN91" s="15" t="s">
        <v>336</v>
      </c>
      <c r="AO91" s="15" t="s">
        <v>336</v>
      </c>
      <c r="AP91" s="49" t="s">
        <v>336</v>
      </c>
    </row>
    <row r="92" spans="2:42" x14ac:dyDescent="0.4">
      <c r="B92" s="24" t="s">
        <v>11</v>
      </c>
      <c r="H92" s="15" t="s">
        <v>1720</v>
      </c>
      <c r="I92" s="25" t="b">
        <v>1</v>
      </c>
      <c r="J92" s="15" t="b">
        <v>1</v>
      </c>
      <c r="N92" s="15" t="s">
        <v>336</v>
      </c>
      <c r="O92" s="15" t="s">
        <v>336</v>
      </c>
      <c r="Y92" s="15" t="s">
        <v>336</v>
      </c>
      <c r="AI92" s="87" t="s">
        <v>1282</v>
      </c>
      <c r="AJ92" s="88">
        <v>1861</v>
      </c>
      <c r="AK92" s="15" t="s">
        <v>294</v>
      </c>
      <c r="AL92" s="15" t="s">
        <v>336</v>
      </c>
      <c r="AM92" s="15" t="s">
        <v>336</v>
      </c>
      <c r="AN92" s="15" t="s">
        <v>336</v>
      </c>
      <c r="AO92" s="15" t="s">
        <v>336</v>
      </c>
      <c r="AP92" s="49" t="s">
        <v>336</v>
      </c>
    </row>
    <row r="93" spans="2:42" x14ac:dyDescent="0.4">
      <c r="B93" s="24" t="s">
        <v>557</v>
      </c>
      <c r="H93" s="15" t="s">
        <v>1720</v>
      </c>
      <c r="I93" s="25" t="b">
        <v>1</v>
      </c>
      <c r="J93" s="15" t="b">
        <v>1</v>
      </c>
      <c r="N93" s="15" t="s">
        <v>336</v>
      </c>
      <c r="O93" s="15" t="s">
        <v>336</v>
      </c>
      <c r="Y93" s="15" t="s">
        <v>336</v>
      </c>
      <c r="AI93" s="87" t="s">
        <v>1283</v>
      </c>
      <c r="AJ93" s="88">
        <v>1873</v>
      </c>
      <c r="AK93" s="15" t="s">
        <v>297</v>
      </c>
      <c r="AL93" s="15" t="s">
        <v>336</v>
      </c>
      <c r="AM93" s="15" t="s">
        <v>336</v>
      </c>
      <c r="AN93" s="15" t="s">
        <v>336</v>
      </c>
      <c r="AO93" s="15" t="s">
        <v>336</v>
      </c>
      <c r="AP93" s="49" t="s">
        <v>336</v>
      </c>
    </row>
    <row r="94" spans="2:42" x14ac:dyDescent="0.4">
      <c r="B94" s="24" t="s">
        <v>11</v>
      </c>
      <c r="H94" s="15" t="s">
        <v>1720</v>
      </c>
      <c r="I94" s="25" t="b">
        <v>1</v>
      </c>
      <c r="J94" s="15" t="b">
        <v>1</v>
      </c>
      <c r="N94" s="15" t="s">
        <v>336</v>
      </c>
      <c r="O94" s="15" t="s">
        <v>336</v>
      </c>
      <c r="Y94" s="15" t="s">
        <v>336</v>
      </c>
      <c r="AI94" s="87" t="s">
        <v>1284</v>
      </c>
      <c r="AJ94" s="88">
        <v>1875</v>
      </c>
      <c r="AK94" s="15" t="s">
        <v>298</v>
      </c>
      <c r="AL94" s="15" t="s">
        <v>336</v>
      </c>
      <c r="AM94" s="15" t="s">
        <v>336</v>
      </c>
      <c r="AN94" s="15" t="s">
        <v>336</v>
      </c>
      <c r="AO94" s="15" t="s">
        <v>336</v>
      </c>
      <c r="AP94" s="49" t="s">
        <v>336</v>
      </c>
    </row>
    <row r="95" spans="2:42" x14ac:dyDescent="0.4">
      <c r="B95" s="24" t="s">
        <v>11</v>
      </c>
      <c r="H95" s="15" t="s">
        <v>1720</v>
      </c>
      <c r="I95" s="25" t="b">
        <v>1</v>
      </c>
      <c r="J95" s="15" t="b">
        <v>1</v>
      </c>
      <c r="N95" s="15" t="s">
        <v>336</v>
      </c>
      <c r="O95" s="15" t="s">
        <v>336</v>
      </c>
      <c r="Y95" s="15" t="s">
        <v>336</v>
      </c>
      <c r="AI95" s="87" t="s">
        <v>1286</v>
      </c>
      <c r="AJ95" s="88">
        <v>1888</v>
      </c>
      <c r="AK95" s="15" t="s">
        <v>302</v>
      </c>
      <c r="AL95" s="15" t="s">
        <v>336</v>
      </c>
      <c r="AM95" s="15" t="s">
        <v>336</v>
      </c>
      <c r="AN95" s="15" t="s">
        <v>336</v>
      </c>
      <c r="AO95" s="15" t="s">
        <v>336</v>
      </c>
      <c r="AP95" s="49" t="s">
        <v>336</v>
      </c>
    </row>
    <row r="96" spans="2:42" x14ac:dyDescent="0.4">
      <c r="B96" s="24" t="s">
        <v>651</v>
      </c>
      <c r="H96" s="15" t="s">
        <v>1720</v>
      </c>
      <c r="I96" s="25" t="b">
        <v>1</v>
      </c>
      <c r="J96" s="15" t="b">
        <v>1</v>
      </c>
      <c r="N96" s="15" t="s">
        <v>336</v>
      </c>
      <c r="O96" s="15" t="s">
        <v>336</v>
      </c>
      <c r="Y96" s="15" t="s">
        <v>336</v>
      </c>
      <c r="AI96" s="87" t="s">
        <v>1287</v>
      </c>
      <c r="AJ96" s="88">
        <v>1894</v>
      </c>
      <c r="AK96" s="15" t="s">
        <v>303</v>
      </c>
      <c r="AL96" s="15" t="s">
        <v>336</v>
      </c>
      <c r="AM96" s="15" t="s">
        <v>336</v>
      </c>
      <c r="AN96" s="15" t="s">
        <v>336</v>
      </c>
      <c r="AO96" s="15" t="s">
        <v>336</v>
      </c>
      <c r="AP96" s="49" t="s">
        <v>336</v>
      </c>
    </row>
    <row r="97" spans="2:42" x14ac:dyDescent="0.4">
      <c r="B97" s="24" t="s">
        <v>717</v>
      </c>
      <c r="H97" s="15" t="s">
        <v>1720</v>
      </c>
      <c r="I97" s="25" t="b">
        <v>1</v>
      </c>
      <c r="J97" s="15" t="b">
        <v>1</v>
      </c>
      <c r="N97" s="15" t="s">
        <v>336</v>
      </c>
      <c r="O97" s="15" t="s">
        <v>336</v>
      </c>
      <c r="Y97" s="15" t="s">
        <v>336</v>
      </c>
      <c r="AI97" s="87" t="s">
        <v>1288</v>
      </c>
      <c r="AJ97" s="89" t="s">
        <v>1413</v>
      </c>
      <c r="AK97" s="15" t="s">
        <v>304</v>
      </c>
      <c r="AL97" s="15" t="s">
        <v>336</v>
      </c>
      <c r="AM97" s="15" t="s">
        <v>336</v>
      </c>
      <c r="AN97" s="15" t="s">
        <v>336</v>
      </c>
      <c r="AO97" s="15" t="s">
        <v>336</v>
      </c>
      <c r="AP97" s="49" t="s">
        <v>336</v>
      </c>
    </row>
    <row r="98" spans="2:42" x14ac:dyDescent="0.4">
      <c r="B98" s="24" t="s">
        <v>533</v>
      </c>
      <c r="H98" s="15" t="s">
        <v>1720</v>
      </c>
      <c r="I98" s="25" t="b">
        <v>1</v>
      </c>
      <c r="J98" s="15" t="b">
        <v>1</v>
      </c>
      <c r="N98" s="15" t="s">
        <v>336</v>
      </c>
      <c r="O98" s="15" t="s">
        <v>336</v>
      </c>
      <c r="Y98" s="15" t="s">
        <v>336</v>
      </c>
      <c r="AI98" s="87" t="s">
        <v>1289</v>
      </c>
      <c r="AJ98" s="88" t="s">
        <v>1161</v>
      </c>
      <c r="AK98" s="15" t="s">
        <v>305</v>
      </c>
      <c r="AL98" s="15" t="s">
        <v>336</v>
      </c>
      <c r="AM98" s="15" t="s">
        <v>336</v>
      </c>
      <c r="AN98" s="15" t="s">
        <v>336</v>
      </c>
      <c r="AO98" s="15" t="s">
        <v>336</v>
      </c>
      <c r="AP98" s="49" t="s">
        <v>336</v>
      </c>
    </row>
    <row r="99" spans="2:42" x14ac:dyDescent="0.4">
      <c r="B99" s="24" t="s">
        <v>11</v>
      </c>
      <c r="H99" s="15" t="s">
        <v>1720</v>
      </c>
      <c r="I99" s="25" t="b">
        <v>1</v>
      </c>
      <c r="J99" s="15" t="b">
        <v>1</v>
      </c>
      <c r="N99" s="15" t="s">
        <v>336</v>
      </c>
      <c r="O99" s="15" t="s">
        <v>336</v>
      </c>
      <c r="Y99" s="15" t="s">
        <v>336</v>
      </c>
      <c r="AI99" s="87" t="s">
        <v>1290</v>
      </c>
      <c r="AJ99" s="88">
        <v>1918</v>
      </c>
      <c r="AK99" s="15" t="s">
        <v>307</v>
      </c>
      <c r="AL99" s="15" t="s">
        <v>336</v>
      </c>
      <c r="AM99" s="15" t="s">
        <v>336</v>
      </c>
      <c r="AN99" s="15" t="s">
        <v>336</v>
      </c>
      <c r="AO99" s="15" t="s">
        <v>336</v>
      </c>
      <c r="AP99" s="49" t="s">
        <v>336</v>
      </c>
    </row>
    <row r="100" spans="2:42" x14ac:dyDescent="0.4">
      <c r="B100" s="24" t="s">
        <v>11</v>
      </c>
      <c r="H100" s="15" t="s">
        <v>1720</v>
      </c>
      <c r="I100" s="25" t="b">
        <v>1</v>
      </c>
      <c r="J100" s="15" t="b">
        <v>1</v>
      </c>
      <c r="N100" s="15" t="s">
        <v>336</v>
      </c>
      <c r="O100" s="15" t="s">
        <v>336</v>
      </c>
      <c r="Y100" s="15" t="s">
        <v>336</v>
      </c>
      <c r="AI100" s="87" t="s">
        <v>1291</v>
      </c>
      <c r="AJ100" s="88">
        <v>1924</v>
      </c>
      <c r="AK100" s="15" t="s">
        <v>308</v>
      </c>
      <c r="AL100" s="15" t="s">
        <v>336</v>
      </c>
      <c r="AM100" s="15" t="s">
        <v>336</v>
      </c>
      <c r="AN100" s="15" t="s">
        <v>336</v>
      </c>
      <c r="AO100" s="15" t="s">
        <v>336</v>
      </c>
      <c r="AP100" s="49" t="s">
        <v>336</v>
      </c>
    </row>
    <row r="101" spans="2:42" x14ac:dyDescent="0.4">
      <c r="B101" s="24" t="s">
        <v>552</v>
      </c>
      <c r="H101" s="15" t="s">
        <v>1720</v>
      </c>
      <c r="I101" s="25" t="b">
        <v>1</v>
      </c>
      <c r="J101" s="15" t="b">
        <v>1</v>
      </c>
      <c r="N101" s="15" t="s">
        <v>336</v>
      </c>
      <c r="O101" s="15" t="s">
        <v>336</v>
      </c>
      <c r="Y101" s="15" t="s">
        <v>336</v>
      </c>
      <c r="AI101" s="87" t="s">
        <v>1292</v>
      </c>
      <c r="AJ101" s="89" t="s">
        <v>1164</v>
      </c>
      <c r="AK101" s="15" t="s">
        <v>309</v>
      </c>
      <c r="AL101" s="15" t="s">
        <v>336</v>
      </c>
      <c r="AM101" s="15" t="s">
        <v>336</v>
      </c>
      <c r="AN101" s="15" t="s">
        <v>336</v>
      </c>
      <c r="AO101" s="15" t="s">
        <v>336</v>
      </c>
      <c r="AP101" s="49" t="s">
        <v>336</v>
      </c>
    </row>
    <row r="102" spans="2:42" x14ac:dyDescent="0.4">
      <c r="B102" s="24" t="s">
        <v>518</v>
      </c>
      <c r="H102" s="15" t="s">
        <v>1720</v>
      </c>
      <c r="I102" s="25" t="b">
        <v>1</v>
      </c>
      <c r="J102" s="15" t="b">
        <v>1</v>
      </c>
      <c r="N102" s="15" t="s">
        <v>336</v>
      </c>
      <c r="O102" s="15" t="s">
        <v>336</v>
      </c>
      <c r="Y102" s="15" t="s">
        <v>336</v>
      </c>
      <c r="AI102" s="87" t="s">
        <v>1293</v>
      </c>
      <c r="AJ102" s="88">
        <v>1929</v>
      </c>
      <c r="AK102" s="15" t="s">
        <v>310</v>
      </c>
      <c r="AL102" s="15" t="s">
        <v>336</v>
      </c>
      <c r="AM102" s="15" t="s">
        <v>336</v>
      </c>
      <c r="AN102" s="15" t="s">
        <v>336</v>
      </c>
      <c r="AO102" s="15" t="s">
        <v>336</v>
      </c>
      <c r="AP102" s="49" t="s">
        <v>336</v>
      </c>
    </row>
    <row r="103" spans="2:42" x14ac:dyDescent="0.4">
      <c r="B103" s="24" t="s">
        <v>509</v>
      </c>
      <c r="D103" s="52">
        <v>50.108666599999999</v>
      </c>
      <c r="E103" s="49">
        <v>4.9609611999999998</v>
      </c>
      <c r="F103" s="43" t="s">
        <v>346</v>
      </c>
      <c r="G103" s="79"/>
      <c r="H103" s="44" t="s">
        <v>1720</v>
      </c>
      <c r="I103" s="25" t="b">
        <v>1</v>
      </c>
      <c r="J103" s="15" t="b">
        <v>1</v>
      </c>
      <c r="N103" s="15" t="s">
        <v>347</v>
      </c>
      <c r="O103" s="15" t="s">
        <v>336</v>
      </c>
      <c r="Y103" s="16" t="s">
        <v>336</v>
      </c>
      <c r="Z103" s="16"/>
      <c r="AA103" s="16"/>
      <c r="AB103" s="16"/>
      <c r="AC103" s="16"/>
      <c r="AD103" s="16"/>
      <c r="AE103" s="16"/>
      <c r="AF103" s="16"/>
      <c r="AG103" s="16"/>
      <c r="AH103" s="16"/>
      <c r="AI103" s="87" t="s">
        <v>994</v>
      </c>
      <c r="AJ103" s="88">
        <v>1932</v>
      </c>
      <c r="AK103" s="15" t="s">
        <v>311</v>
      </c>
      <c r="AL103" s="15" t="s">
        <v>336</v>
      </c>
      <c r="AM103" s="15" t="s">
        <v>336</v>
      </c>
      <c r="AN103" s="15" t="s">
        <v>336</v>
      </c>
      <c r="AO103" s="15" t="s">
        <v>336</v>
      </c>
      <c r="AP103" s="49" t="s">
        <v>336</v>
      </c>
    </row>
    <row r="104" spans="2:42" x14ac:dyDescent="0.4">
      <c r="B104" s="24" t="s">
        <v>509</v>
      </c>
      <c r="D104" s="52">
        <v>50.538244800000001</v>
      </c>
      <c r="E104" s="49">
        <v>5.7507225999999996</v>
      </c>
      <c r="F104" s="43" t="s">
        <v>343</v>
      </c>
      <c r="G104" s="79"/>
      <c r="H104" s="44" t="s">
        <v>1720</v>
      </c>
      <c r="I104" s="25" t="b">
        <v>1</v>
      </c>
      <c r="J104" s="15" t="b">
        <v>1</v>
      </c>
      <c r="N104" s="15" t="s">
        <v>344</v>
      </c>
      <c r="O104" s="15" t="s">
        <v>336</v>
      </c>
      <c r="Y104" s="16" t="s">
        <v>336</v>
      </c>
      <c r="Z104" s="16"/>
      <c r="AA104" s="16"/>
      <c r="AB104" s="16"/>
      <c r="AC104" s="16"/>
      <c r="AD104" s="16"/>
      <c r="AE104" s="16"/>
      <c r="AF104" s="16"/>
      <c r="AG104" s="16"/>
      <c r="AH104" s="16"/>
      <c r="AI104" s="87" t="s">
        <v>993</v>
      </c>
      <c r="AJ104" s="88">
        <v>1933</v>
      </c>
      <c r="AK104" s="15" t="s">
        <v>312</v>
      </c>
      <c r="AL104" s="15" t="s">
        <v>336</v>
      </c>
      <c r="AM104" s="15" t="s">
        <v>336</v>
      </c>
      <c r="AN104" s="15" t="s">
        <v>336</v>
      </c>
      <c r="AO104" s="15" t="s">
        <v>336</v>
      </c>
      <c r="AP104" s="49" t="s">
        <v>336</v>
      </c>
    </row>
    <row r="105" spans="2:42" x14ac:dyDescent="0.4">
      <c r="B105" s="24" t="s">
        <v>518</v>
      </c>
      <c r="H105" s="15" t="s">
        <v>1720</v>
      </c>
      <c r="I105" s="25" t="b">
        <v>1</v>
      </c>
      <c r="J105" s="15" t="b">
        <v>1</v>
      </c>
      <c r="N105" s="15" t="s">
        <v>336</v>
      </c>
      <c r="O105" s="15" t="s">
        <v>336</v>
      </c>
      <c r="Y105" s="15" t="s">
        <v>336</v>
      </c>
      <c r="AI105" s="87" t="s">
        <v>1294</v>
      </c>
      <c r="AJ105" s="88">
        <v>1936</v>
      </c>
      <c r="AK105" s="15" t="s">
        <v>313</v>
      </c>
      <c r="AL105" s="15" t="s">
        <v>336</v>
      </c>
      <c r="AM105" s="15" t="s">
        <v>336</v>
      </c>
      <c r="AN105" s="15" t="s">
        <v>336</v>
      </c>
      <c r="AO105" s="15" t="s">
        <v>336</v>
      </c>
      <c r="AP105" s="49" t="s">
        <v>336</v>
      </c>
    </row>
    <row r="106" spans="2:42" x14ac:dyDescent="0.4">
      <c r="B106" s="24" t="s">
        <v>542</v>
      </c>
      <c r="H106" s="15" t="s">
        <v>1720</v>
      </c>
      <c r="I106" s="25" t="b">
        <v>1</v>
      </c>
      <c r="J106" s="15" t="b">
        <v>1</v>
      </c>
      <c r="N106" s="15" t="s">
        <v>336</v>
      </c>
      <c r="O106" s="15" t="s">
        <v>336</v>
      </c>
      <c r="Y106" s="15" t="s">
        <v>336</v>
      </c>
      <c r="AI106" s="87" t="s">
        <v>1295</v>
      </c>
      <c r="AJ106" s="89" t="s">
        <v>1167</v>
      </c>
      <c r="AK106" s="15" t="s">
        <v>314</v>
      </c>
      <c r="AL106" s="15" t="s">
        <v>336</v>
      </c>
      <c r="AM106" s="15" t="s">
        <v>336</v>
      </c>
      <c r="AN106" s="15" t="s">
        <v>336</v>
      </c>
      <c r="AO106" s="15" t="s">
        <v>336</v>
      </c>
      <c r="AP106" s="49" t="s">
        <v>336</v>
      </c>
    </row>
    <row r="107" spans="2:42" x14ac:dyDescent="0.4">
      <c r="B107" s="24" t="s">
        <v>11</v>
      </c>
      <c r="H107" s="15" t="s">
        <v>1720</v>
      </c>
      <c r="I107" s="25" t="b">
        <v>1</v>
      </c>
      <c r="J107" s="15" t="b">
        <v>1</v>
      </c>
      <c r="N107" s="15" t="s">
        <v>336</v>
      </c>
      <c r="O107" s="15" t="s">
        <v>336</v>
      </c>
      <c r="Y107" s="15" t="s">
        <v>336</v>
      </c>
      <c r="AI107" s="87" t="s">
        <v>1296</v>
      </c>
      <c r="AJ107" s="89" t="s">
        <v>1168</v>
      </c>
      <c r="AK107" s="15" t="s">
        <v>315</v>
      </c>
      <c r="AL107" s="15" t="s">
        <v>336</v>
      </c>
      <c r="AM107" s="15" t="s">
        <v>336</v>
      </c>
      <c r="AN107" s="15" t="s">
        <v>336</v>
      </c>
      <c r="AO107" s="15" t="s">
        <v>336</v>
      </c>
      <c r="AP107" s="49" t="s">
        <v>336</v>
      </c>
    </row>
    <row r="108" spans="2:42" x14ac:dyDescent="0.4">
      <c r="B108" s="24" t="s">
        <v>542</v>
      </c>
      <c r="H108" s="15" t="s">
        <v>1720</v>
      </c>
      <c r="I108" s="25" t="b">
        <v>1</v>
      </c>
      <c r="J108" s="15" t="b">
        <v>1</v>
      </c>
      <c r="N108" s="15" t="s">
        <v>336</v>
      </c>
      <c r="O108" s="15" t="s">
        <v>336</v>
      </c>
      <c r="Y108" s="15" t="s">
        <v>336</v>
      </c>
      <c r="AI108" s="87" t="s">
        <v>1298</v>
      </c>
      <c r="AJ108" s="89" t="s">
        <v>1170</v>
      </c>
      <c r="AK108" s="15" t="s">
        <v>317</v>
      </c>
      <c r="AL108" s="15" t="s">
        <v>336</v>
      </c>
      <c r="AM108" s="15" t="s">
        <v>336</v>
      </c>
      <c r="AN108" s="15" t="s">
        <v>336</v>
      </c>
      <c r="AO108" s="15" t="s">
        <v>336</v>
      </c>
      <c r="AP108" s="49" t="s">
        <v>336</v>
      </c>
    </row>
    <row r="109" spans="2:42" x14ac:dyDescent="0.4">
      <c r="B109" s="24" t="s">
        <v>651</v>
      </c>
      <c r="H109" s="15" t="s">
        <v>1720</v>
      </c>
      <c r="I109" s="25" t="b">
        <v>1</v>
      </c>
      <c r="J109" s="15" t="b">
        <v>1</v>
      </c>
      <c r="N109" s="15" t="s">
        <v>336</v>
      </c>
      <c r="O109" s="15" t="s">
        <v>336</v>
      </c>
      <c r="Y109" s="15" t="s">
        <v>336</v>
      </c>
      <c r="AI109" s="87" t="s">
        <v>1299</v>
      </c>
      <c r="AJ109" s="88">
        <v>1943</v>
      </c>
      <c r="AK109" s="15" t="s">
        <v>318</v>
      </c>
      <c r="AL109" s="15" t="s">
        <v>336</v>
      </c>
      <c r="AM109" s="15" t="s">
        <v>336</v>
      </c>
      <c r="AN109" s="15" t="s">
        <v>336</v>
      </c>
      <c r="AO109" s="15" t="s">
        <v>336</v>
      </c>
      <c r="AP109" s="49" t="s">
        <v>336</v>
      </c>
    </row>
    <row r="110" spans="2:42" x14ac:dyDescent="0.4">
      <c r="B110" s="24" t="s">
        <v>552</v>
      </c>
      <c r="H110" s="15" t="s">
        <v>1720</v>
      </c>
      <c r="I110" s="25" t="b">
        <v>1</v>
      </c>
      <c r="J110" s="15" t="b">
        <v>1</v>
      </c>
      <c r="N110" s="15" t="s">
        <v>336</v>
      </c>
      <c r="O110" s="15" t="s">
        <v>336</v>
      </c>
      <c r="Y110" s="15" t="s">
        <v>336</v>
      </c>
      <c r="AI110" s="87" t="s">
        <v>1300</v>
      </c>
      <c r="AJ110" s="88">
        <v>1945</v>
      </c>
      <c r="AK110" s="15" t="s">
        <v>319</v>
      </c>
      <c r="AL110" s="15" t="s">
        <v>336</v>
      </c>
      <c r="AM110" s="15" t="s">
        <v>336</v>
      </c>
      <c r="AN110" s="15" t="s">
        <v>336</v>
      </c>
      <c r="AO110" s="15" t="s">
        <v>336</v>
      </c>
      <c r="AP110" s="49" t="s">
        <v>336</v>
      </c>
    </row>
    <row r="111" spans="2:42" x14ac:dyDescent="0.4">
      <c r="B111" s="24" t="s">
        <v>557</v>
      </c>
      <c r="H111" s="15" t="s">
        <v>1720</v>
      </c>
      <c r="I111" s="25" t="b">
        <v>1</v>
      </c>
      <c r="J111" s="15" t="b">
        <v>1</v>
      </c>
      <c r="N111" s="15" t="s">
        <v>336</v>
      </c>
      <c r="O111" s="15" t="s">
        <v>336</v>
      </c>
      <c r="Y111" s="15" t="s">
        <v>336</v>
      </c>
      <c r="AI111" s="87" t="s">
        <v>1301</v>
      </c>
      <c r="AJ111" s="88">
        <v>1947</v>
      </c>
      <c r="AK111" s="15" t="s">
        <v>320</v>
      </c>
      <c r="AL111" s="15" t="s">
        <v>336</v>
      </c>
      <c r="AM111" s="15" t="s">
        <v>336</v>
      </c>
      <c r="AN111" s="15" t="s">
        <v>336</v>
      </c>
      <c r="AO111" s="15" t="s">
        <v>336</v>
      </c>
      <c r="AP111" s="49" t="s">
        <v>336</v>
      </c>
    </row>
    <row r="112" spans="2:42" x14ac:dyDescent="0.4">
      <c r="B112" s="24" t="s">
        <v>542</v>
      </c>
      <c r="H112" s="15" t="s">
        <v>1720</v>
      </c>
      <c r="I112" s="25" t="b">
        <v>1</v>
      </c>
      <c r="J112" s="15" t="b">
        <v>1</v>
      </c>
      <c r="N112" s="15" t="s">
        <v>336</v>
      </c>
      <c r="O112" s="15" t="s">
        <v>336</v>
      </c>
      <c r="Y112" s="15" t="s">
        <v>336</v>
      </c>
      <c r="AI112" s="87" t="s">
        <v>1302</v>
      </c>
      <c r="AJ112" s="89" t="s">
        <v>1174</v>
      </c>
      <c r="AK112" s="15" t="s">
        <v>321</v>
      </c>
      <c r="AL112" s="15" t="s">
        <v>336</v>
      </c>
      <c r="AM112" s="15" t="s">
        <v>336</v>
      </c>
      <c r="AN112" s="15" t="s">
        <v>336</v>
      </c>
      <c r="AO112" s="15" t="s">
        <v>336</v>
      </c>
      <c r="AP112" s="49" t="s">
        <v>336</v>
      </c>
    </row>
    <row r="113" spans="1:42" x14ac:dyDescent="0.4">
      <c r="B113" s="24" t="s">
        <v>11</v>
      </c>
      <c r="H113" s="15" t="s">
        <v>1720</v>
      </c>
      <c r="I113" s="25" t="b">
        <v>1</v>
      </c>
      <c r="J113" s="15" t="b">
        <v>1</v>
      </c>
      <c r="N113" s="15" t="s">
        <v>336</v>
      </c>
      <c r="O113" s="15" t="s">
        <v>336</v>
      </c>
      <c r="Y113" s="15" t="s">
        <v>336</v>
      </c>
      <c r="AI113" s="87" t="s">
        <v>1303</v>
      </c>
      <c r="AJ113" s="88">
        <v>1951</v>
      </c>
      <c r="AK113" s="15" t="s">
        <v>322</v>
      </c>
      <c r="AL113" s="15" t="s">
        <v>336</v>
      </c>
      <c r="AM113" s="15" t="s">
        <v>336</v>
      </c>
      <c r="AN113" s="15" t="s">
        <v>336</v>
      </c>
      <c r="AO113" s="15" t="s">
        <v>336</v>
      </c>
      <c r="AP113" s="49" t="s">
        <v>336</v>
      </c>
    </row>
    <row r="114" spans="1:42" x14ac:dyDescent="0.4">
      <c r="B114" s="24" t="s">
        <v>11</v>
      </c>
      <c r="H114" s="15" t="s">
        <v>1720</v>
      </c>
      <c r="I114" s="25" t="b">
        <v>1</v>
      </c>
      <c r="J114" s="15" t="b">
        <v>1</v>
      </c>
      <c r="N114" s="15" t="s">
        <v>336</v>
      </c>
      <c r="O114" s="15" t="s">
        <v>336</v>
      </c>
      <c r="Y114" s="15" t="s">
        <v>336</v>
      </c>
      <c r="AI114" s="87" t="s">
        <v>1304</v>
      </c>
      <c r="AJ114" s="88">
        <v>1953</v>
      </c>
      <c r="AK114" s="15" t="s">
        <v>323</v>
      </c>
      <c r="AL114" s="15" t="s">
        <v>336</v>
      </c>
      <c r="AM114" s="15" t="s">
        <v>336</v>
      </c>
      <c r="AN114" s="15" t="s">
        <v>336</v>
      </c>
      <c r="AO114" s="15" t="s">
        <v>336</v>
      </c>
      <c r="AP114" s="49" t="s">
        <v>336</v>
      </c>
    </row>
    <row r="115" spans="1:42" ht="37.299999999999997" x14ac:dyDescent="0.4">
      <c r="B115" s="24" t="s">
        <v>697</v>
      </c>
      <c r="H115" s="15" t="s">
        <v>1720</v>
      </c>
      <c r="I115" s="25" t="b">
        <v>1</v>
      </c>
      <c r="J115" s="15" t="b">
        <v>1</v>
      </c>
      <c r="N115" s="15" t="s">
        <v>336</v>
      </c>
      <c r="O115" s="15" t="s">
        <v>336</v>
      </c>
      <c r="Y115" s="15" t="s">
        <v>336</v>
      </c>
      <c r="AI115" s="87" t="s">
        <v>1306</v>
      </c>
      <c r="AJ115" s="88" t="s">
        <v>1178</v>
      </c>
      <c r="AK115" s="15" t="s">
        <v>325</v>
      </c>
      <c r="AL115" s="15" t="s">
        <v>336</v>
      </c>
      <c r="AM115" s="15" t="s">
        <v>336</v>
      </c>
      <c r="AN115" s="15" t="s">
        <v>336</v>
      </c>
      <c r="AO115" s="15" t="s">
        <v>336</v>
      </c>
      <c r="AP115" s="49" t="s">
        <v>336</v>
      </c>
    </row>
    <row r="116" spans="1:42" ht="99.45" x14ac:dyDescent="0.4">
      <c r="A116" s="14" t="s">
        <v>1324</v>
      </c>
      <c r="B116" s="24" t="s">
        <v>720</v>
      </c>
      <c r="D116" s="52">
        <v>37.204861473063303</v>
      </c>
      <c r="E116" s="49">
        <v>126.81640992516</v>
      </c>
      <c r="F116" s="41" t="s">
        <v>1396</v>
      </c>
      <c r="G116" s="53" t="s">
        <v>1396</v>
      </c>
      <c r="H116" s="15" t="s">
        <v>1720</v>
      </c>
      <c r="I116" s="25" t="b">
        <v>1</v>
      </c>
      <c r="J116" s="15" t="b">
        <v>1</v>
      </c>
      <c r="L116" s="41" t="s">
        <v>1335</v>
      </c>
      <c r="M116" s="55" t="s">
        <v>1750</v>
      </c>
      <c r="N116" s="15" t="s">
        <v>336</v>
      </c>
      <c r="O116" s="15" t="s">
        <v>336</v>
      </c>
      <c r="Y116" s="15" t="s">
        <v>336</v>
      </c>
      <c r="AI116" s="87" t="s">
        <v>1309</v>
      </c>
      <c r="AJ116" s="88">
        <v>1984</v>
      </c>
      <c r="AK116" s="15" t="s">
        <v>330</v>
      </c>
      <c r="AL116" s="15" t="s">
        <v>336</v>
      </c>
      <c r="AM116" s="15" t="s">
        <v>336</v>
      </c>
      <c r="AN116" s="15" t="s">
        <v>336</v>
      </c>
      <c r="AO116" s="15" t="s">
        <v>336</v>
      </c>
      <c r="AP116" s="49" t="s">
        <v>336</v>
      </c>
    </row>
    <row r="117" spans="1:42" ht="49.75" x14ac:dyDescent="0.4">
      <c r="A117" s="14" t="s">
        <v>1324</v>
      </c>
      <c r="B117" s="24" t="s">
        <v>637</v>
      </c>
      <c r="D117" s="52">
        <v>7.2085798653578497</v>
      </c>
      <c r="E117" s="49">
        <v>7.8115900693840503</v>
      </c>
      <c r="F117" s="24" t="s">
        <v>1044</v>
      </c>
      <c r="G117" s="53" t="s">
        <v>1045</v>
      </c>
      <c r="H117" s="15" t="s">
        <v>1720</v>
      </c>
      <c r="I117" s="25" t="b">
        <v>1</v>
      </c>
      <c r="J117" s="15" t="b">
        <v>1</v>
      </c>
      <c r="L117" s="24" t="s">
        <v>1047</v>
      </c>
      <c r="N117" s="15" t="s">
        <v>1043</v>
      </c>
      <c r="O117" s="15" t="s">
        <v>336</v>
      </c>
      <c r="Y117" s="15" t="s">
        <v>336</v>
      </c>
      <c r="AI117" s="87" t="s">
        <v>1049</v>
      </c>
      <c r="AJ117" s="88" t="s">
        <v>1048</v>
      </c>
      <c r="AK117" s="15" t="s">
        <v>331</v>
      </c>
      <c r="AL117" s="15" t="s">
        <v>336</v>
      </c>
      <c r="AM117" s="15" t="s">
        <v>1046</v>
      </c>
      <c r="AN117" s="15" t="s">
        <v>336</v>
      </c>
      <c r="AO117" s="15" t="s">
        <v>336</v>
      </c>
      <c r="AP117" s="49" t="s">
        <v>336</v>
      </c>
    </row>
    <row r="118" spans="1:42" x14ac:dyDescent="0.4">
      <c r="A118" s="14" t="s">
        <v>1324</v>
      </c>
      <c r="B118" s="24" t="s">
        <v>483</v>
      </c>
      <c r="D118" s="52">
        <v>34.149450392589202</v>
      </c>
      <c r="E118" s="49">
        <v>36.1356779618907</v>
      </c>
      <c r="F118" s="24" t="s">
        <v>1042</v>
      </c>
      <c r="G118" s="53" t="s">
        <v>1042</v>
      </c>
      <c r="H118" s="15" t="s">
        <v>1720</v>
      </c>
      <c r="I118" s="25" t="b">
        <v>1</v>
      </c>
      <c r="J118" s="15" t="b">
        <v>1</v>
      </c>
      <c r="N118" s="15" t="s">
        <v>336</v>
      </c>
      <c r="O118" s="15" t="s">
        <v>336</v>
      </c>
      <c r="Y118" s="15" t="s">
        <v>336</v>
      </c>
      <c r="AI118" s="87" t="s">
        <v>1050</v>
      </c>
      <c r="AJ118" s="88">
        <v>2004</v>
      </c>
      <c r="AK118" s="15" t="s">
        <v>332</v>
      </c>
      <c r="AL118" s="15" t="s">
        <v>336</v>
      </c>
      <c r="AM118" s="15" t="s">
        <v>336</v>
      </c>
      <c r="AN118" s="15" t="s">
        <v>336</v>
      </c>
      <c r="AO118" s="15" t="s">
        <v>336</v>
      </c>
      <c r="AP118" s="49" t="s">
        <v>336</v>
      </c>
    </row>
    <row r="119" spans="1:42" x14ac:dyDescent="0.4">
      <c r="I119" s="25" t="b">
        <v>1</v>
      </c>
      <c r="J119" s="15" t="b">
        <v>1</v>
      </c>
      <c r="O119" s="15" t="s">
        <v>336</v>
      </c>
      <c r="AI119" s="91" t="s">
        <v>1039</v>
      </c>
      <c r="AK119" s="15" t="s">
        <v>336</v>
      </c>
      <c r="AL119" s="15" t="s">
        <v>336</v>
      </c>
      <c r="AM119" s="15" t="s">
        <v>336</v>
      </c>
      <c r="AN119" s="15" t="s">
        <v>336</v>
      </c>
      <c r="AO119" s="15" t="s">
        <v>336</v>
      </c>
      <c r="AP119" s="49" t="s">
        <v>336</v>
      </c>
    </row>
    <row r="120" spans="1:42" x14ac:dyDescent="0.4">
      <c r="I120" s="25" t="b">
        <v>1</v>
      </c>
      <c r="J120" s="15" t="b">
        <v>1</v>
      </c>
      <c r="O120" s="15" t="s">
        <v>336</v>
      </c>
      <c r="AI120" s="91" t="s">
        <v>1040</v>
      </c>
      <c r="AK120" s="15" t="s">
        <v>336</v>
      </c>
      <c r="AL120" s="15" t="s">
        <v>336</v>
      </c>
      <c r="AM120" s="15" t="s">
        <v>336</v>
      </c>
      <c r="AN120" s="15" t="s">
        <v>336</v>
      </c>
      <c r="AO120" s="15" t="s">
        <v>336</v>
      </c>
      <c r="AP120" s="49" t="s">
        <v>336</v>
      </c>
    </row>
    <row r="121" spans="1:42" x14ac:dyDescent="0.4">
      <c r="I121" s="25" t="b">
        <v>1</v>
      </c>
      <c r="J121" s="15" t="b">
        <v>1</v>
      </c>
      <c r="O121" s="15" t="s">
        <v>336</v>
      </c>
      <c r="AI121" s="91" t="s">
        <v>1041</v>
      </c>
      <c r="AK121" s="15" t="s">
        <v>336</v>
      </c>
      <c r="AL121" s="15" t="s">
        <v>336</v>
      </c>
      <c r="AM121" s="15" t="s">
        <v>336</v>
      </c>
      <c r="AN121" s="15" t="s">
        <v>336</v>
      </c>
      <c r="AO121" s="15" t="s">
        <v>336</v>
      </c>
      <c r="AP121" s="49" t="s">
        <v>336</v>
      </c>
    </row>
    <row r="122" spans="1:42" ht="24.9" x14ac:dyDescent="0.4">
      <c r="A122" s="14" t="s">
        <v>1324</v>
      </c>
      <c r="B122" s="24" t="s">
        <v>669</v>
      </c>
      <c r="D122" s="52">
        <v>46.329000000000001</v>
      </c>
      <c r="E122" s="49">
        <v>14.2324</v>
      </c>
      <c r="F122" s="24" t="s">
        <v>1394</v>
      </c>
      <c r="G122" s="53" t="s">
        <v>1390</v>
      </c>
      <c r="I122" s="25" t="b">
        <v>1</v>
      </c>
      <c r="J122" s="15" t="b">
        <v>1</v>
      </c>
      <c r="L122" s="24" t="s">
        <v>1395</v>
      </c>
      <c r="N122" s="15" t="s">
        <v>1393</v>
      </c>
      <c r="O122" s="15" t="s">
        <v>336</v>
      </c>
      <c r="AK122" s="15" t="s">
        <v>336</v>
      </c>
      <c r="AL122" s="15" t="s">
        <v>336</v>
      </c>
      <c r="AM122" s="15" t="s">
        <v>336</v>
      </c>
      <c r="AN122" s="15" t="s">
        <v>336</v>
      </c>
      <c r="AO122" s="15" t="s">
        <v>336</v>
      </c>
    </row>
    <row r="123" spans="1:42" x14ac:dyDescent="0.4">
      <c r="B123" s="24" t="s">
        <v>11</v>
      </c>
      <c r="C123" s="35" t="s">
        <v>1004</v>
      </c>
      <c r="F123" s="24" t="s">
        <v>1398</v>
      </c>
      <c r="I123" s="25" t="b">
        <v>1</v>
      </c>
      <c r="J123" s="15" t="b">
        <v>1</v>
      </c>
      <c r="L123" s="24" t="s">
        <v>1397</v>
      </c>
      <c r="O123" s="15" t="s">
        <v>336</v>
      </c>
      <c r="AK123" s="15" t="s">
        <v>336</v>
      </c>
      <c r="AL123" s="15" t="s">
        <v>336</v>
      </c>
      <c r="AM123" s="15" t="s">
        <v>336</v>
      </c>
      <c r="AN123" s="15" t="s">
        <v>336</v>
      </c>
      <c r="AO123" s="15" t="s">
        <v>336</v>
      </c>
    </row>
    <row r="124" spans="1:42" x14ac:dyDescent="0.4">
      <c r="A124" s="14" t="s">
        <v>1324</v>
      </c>
      <c r="I124" s="25" t="b">
        <v>1</v>
      </c>
      <c r="J124" s="15" t="b">
        <v>1</v>
      </c>
      <c r="O124" s="15" t="s">
        <v>1712</v>
      </c>
      <c r="AI124" s="91" t="s">
        <v>1710</v>
      </c>
      <c r="AK124" s="15" t="s">
        <v>336</v>
      </c>
      <c r="AL124" s="15" t="s">
        <v>336</v>
      </c>
      <c r="AM124" s="15" t="s">
        <v>336</v>
      </c>
      <c r="AN124" s="15" t="s">
        <v>336</v>
      </c>
      <c r="AO124" s="15" t="s">
        <v>336</v>
      </c>
    </row>
  </sheetData>
  <autoFilter ref="A1:AT124" xr:uid="{A598B8B3-DE60-41C5-96BA-7CC5FA9AD3BE}"/>
  <phoneticPr fontId="22"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5234375" defaultRowHeight="12.45" x14ac:dyDescent="0.4"/>
  <cols>
    <col min="1" max="1" width="7" style="5" bestFit="1" customWidth="1"/>
    <col min="2" max="2" width="16.3828125" style="12" bestFit="1" customWidth="1"/>
    <col min="3" max="3" width="40.3046875" style="5" bestFit="1" customWidth="1"/>
    <col min="4" max="4" width="77.15234375" style="13" customWidth="1"/>
    <col min="5" max="5" width="19.84375" style="13" bestFit="1" customWidth="1"/>
    <col min="6" max="6" width="19.84375" style="13" customWidth="1"/>
    <col min="7" max="8" width="11" style="5" customWidth="1"/>
    <col min="9" max="16384" width="9.15234375" style="5"/>
  </cols>
  <sheetData>
    <row r="1" spans="1:9" s="2" customFormat="1" x14ac:dyDescent="0.4">
      <c r="A1" s="2" t="s">
        <v>174</v>
      </c>
      <c r="B1" s="3" t="s">
        <v>163</v>
      </c>
      <c r="C1" s="2" t="s">
        <v>164</v>
      </c>
      <c r="D1" s="4" t="s">
        <v>166</v>
      </c>
      <c r="E1" s="4" t="s">
        <v>173</v>
      </c>
      <c r="F1" s="4"/>
      <c r="G1" s="2" t="s">
        <v>158</v>
      </c>
      <c r="I1" s="2" t="s">
        <v>159</v>
      </c>
    </row>
    <row r="2" spans="1:9" ht="62.15" x14ac:dyDescent="0.4">
      <c r="A2" s="5" t="s">
        <v>167</v>
      </c>
      <c r="B2" s="6" t="s">
        <v>0</v>
      </c>
      <c r="C2" s="9" t="s">
        <v>1</v>
      </c>
      <c r="D2" s="8" t="s">
        <v>90</v>
      </c>
      <c r="E2" s="8"/>
      <c r="F2" s="8"/>
    </row>
    <row r="3" spans="1:9" ht="37.299999999999997" x14ac:dyDescent="0.4">
      <c r="A3" s="5" t="s">
        <v>168</v>
      </c>
      <c r="B3" s="10"/>
      <c r="C3" s="9" t="s">
        <v>2</v>
      </c>
      <c r="D3" s="8" t="s">
        <v>92</v>
      </c>
      <c r="E3" s="8"/>
      <c r="F3" s="8"/>
    </row>
    <row r="4" spans="1:9" ht="49.75" x14ac:dyDescent="0.4">
      <c r="B4" s="6">
        <v>81</v>
      </c>
      <c r="C4" s="9" t="s">
        <v>3</v>
      </c>
      <c r="D4" s="8" t="s">
        <v>93</v>
      </c>
      <c r="E4" s="8"/>
      <c r="F4" s="8"/>
    </row>
    <row r="5" spans="1:9" ht="62.15" x14ac:dyDescent="0.4">
      <c r="B5" s="6">
        <v>231</v>
      </c>
      <c r="C5" s="7" t="s">
        <v>5</v>
      </c>
      <c r="D5" s="8" t="s">
        <v>169</v>
      </c>
      <c r="E5" s="8"/>
      <c r="F5" s="8"/>
      <c r="G5" s="5" t="s">
        <v>94</v>
      </c>
    </row>
    <row r="6" spans="1:9" ht="62.15" x14ac:dyDescent="0.4">
      <c r="B6" s="6" t="s">
        <v>6</v>
      </c>
      <c r="C6" s="7" t="s">
        <v>7</v>
      </c>
      <c r="D6" s="8" t="s">
        <v>96</v>
      </c>
      <c r="E6" s="8"/>
      <c r="F6" s="8"/>
      <c r="G6" s="5" t="s">
        <v>97</v>
      </c>
    </row>
    <row r="7" spans="1:9" ht="62.15" x14ac:dyDescent="0.4">
      <c r="B7" s="6" t="s">
        <v>9</v>
      </c>
      <c r="C7" s="9" t="s">
        <v>10</v>
      </c>
      <c r="D7" s="8" t="s">
        <v>170</v>
      </c>
      <c r="E7" s="8"/>
      <c r="F7" s="8"/>
    </row>
    <row r="8" spans="1:9" ht="87" x14ac:dyDescent="0.4">
      <c r="A8" s="5" t="s">
        <v>167</v>
      </c>
      <c r="B8" s="6" t="s">
        <v>9</v>
      </c>
      <c r="C8" s="9" t="s">
        <v>11</v>
      </c>
      <c r="D8" s="8" t="s">
        <v>171</v>
      </c>
      <c r="E8" s="8"/>
      <c r="F8" s="8"/>
    </row>
    <row r="9" spans="1:9" ht="74.599999999999994" x14ac:dyDescent="0.4">
      <c r="B9" s="6">
        <v>305</v>
      </c>
      <c r="C9" s="9" t="s">
        <v>12</v>
      </c>
      <c r="D9" s="8" t="s">
        <v>172</v>
      </c>
      <c r="E9" s="8"/>
      <c r="F9" s="8"/>
      <c r="G9" s="5" t="s">
        <v>98</v>
      </c>
    </row>
    <row r="10" spans="1:9" ht="87" x14ac:dyDescent="0.4">
      <c r="B10" s="6">
        <v>325</v>
      </c>
      <c r="C10" s="7" t="s">
        <v>13</v>
      </c>
      <c r="D10" s="8" t="s">
        <v>99</v>
      </c>
      <c r="E10" s="8"/>
      <c r="F10" s="8"/>
      <c r="G10" s="5" t="s">
        <v>100</v>
      </c>
    </row>
    <row r="11" spans="1:9" ht="49.75" x14ac:dyDescent="0.4">
      <c r="B11" s="6">
        <v>335</v>
      </c>
      <c r="C11" s="9" t="s">
        <v>4</v>
      </c>
      <c r="D11" s="8" t="s">
        <v>1399</v>
      </c>
      <c r="E11" s="8"/>
      <c r="F11" s="8"/>
      <c r="G11" s="5" t="s">
        <v>101</v>
      </c>
    </row>
    <row r="12" spans="1:9" ht="99.45" x14ac:dyDescent="0.4">
      <c r="B12" s="6" t="s">
        <v>14</v>
      </c>
      <c r="C12" s="11" t="s">
        <v>15</v>
      </c>
      <c r="D12" s="8" t="s">
        <v>102</v>
      </c>
      <c r="E12" s="8"/>
      <c r="F12" s="8"/>
    </row>
    <row r="13" spans="1:9" ht="87" x14ac:dyDescent="0.4">
      <c r="B13" s="6">
        <v>363</v>
      </c>
      <c r="C13" s="7" t="s">
        <v>16</v>
      </c>
      <c r="D13" s="8" t="s">
        <v>104</v>
      </c>
      <c r="E13" s="8"/>
      <c r="F13" s="8"/>
      <c r="G13" s="5" t="s">
        <v>105</v>
      </c>
    </row>
    <row r="14" spans="1:9" ht="62.15" x14ac:dyDescent="0.4">
      <c r="B14" s="6">
        <v>371</v>
      </c>
      <c r="C14" s="7" t="s">
        <v>17</v>
      </c>
      <c r="D14" s="8" t="s">
        <v>106</v>
      </c>
      <c r="E14" s="8"/>
      <c r="F14" s="8"/>
      <c r="G14" s="5" t="s">
        <v>107</v>
      </c>
    </row>
    <row r="15" spans="1:9" ht="37.299999999999997" x14ac:dyDescent="0.4">
      <c r="B15" s="6">
        <v>380</v>
      </c>
      <c r="C15" s="7" t="s">
        <v>18</v>
      </c>
      <c r="D15" s="8" t="s">
        <v>108</v>
      </c>
      <c r="E15" s="8"/>
      <c r="F15" s="8"/>
      <c r="G15" s="5" t="s">
        <v>109</v>
      </c>
    </row>
    <row r="16" spans="1:9" ht="111.9" x14ac:dyDescent="0.4">
      <c r="B16" s="6" t="s">
        <v>19</v>
      </c>
      <c r="C16" s="11" t="s">
        <v>20</v>
      </c>
      <c r="D16" s="8" t="s">
        <v>110</v>
      </c>
      <c r="E16" s="8"/>
      <c r="F16" s="8"/>
    </row>
    <row r="17" spans="2:7" ht="161.6" x14ac:dyDescent="0.4">
      <c r="B17" s="6">
        <v>420</v>
      </c>
      <c r="C17" s="9" t="s">
        <v>21</v>
      </c>
      <c r="D17" s="8" t="s">
        <v>111</v>
      </c>
      <c r="E17" s="8"/>
      <c r="F17" s="8"/>
    </row>
    <row r="18" spans="2:7" ht="74.599999999999994" x14ac:dyDescent="0.4">
      <c r="B18" s="6">
        <v>431</v>
      </c>
      <c r="C18" s="9" t="s">
        <v>22</v>
      </c>
      <c r="D18" s="8" t="s">
        <v>112</v>
      </c>
      <c r="E18" s="8"/>
      <c r="F18" s="8"/>
      <c r="G18" s="5" t="s">
        <v>113</v>
      </c>
    </row>
    <row r="19" spans="2:7" ht="87" x14ac:dyDescent="0.4">
      <c r="B19" s="6" t="s">
        <v>23</v>
      </c>
      <c r="C19" s="11" t="s">
        <v>24</v>
      </c>
      <c r="D19" s="8" t="s">
        <v>114</v>
      </c>
      <c r="E19" s="8"/>
      <c r="F19" s="8"/>
      <c r="G19" s="5" t="s">
        <v>115</v>
      </c>
    </row>
    <row r="20" spans="2:7" ht="161.6" x14ac:dyDescent="0.4">
      <c r="B20" s="6">
        <v>455</v>
      </c>
      <c r="C20" s="9" t="s">
        <v>20</v>
      </c>
      <c r="D20" s="8" t="s">
        <v>116</v>
      </c>
      <c r="E20" s="8"/>
      <c r="F20" s="8"/>
      <c r="G20" s="5" t="s">
        <v>86</v>
      </c>
    </row>
    <row r="21" spans="2:7" x14ac:dyDescent="0.4">
      <c r="B21" s="6" t="s">
        <v>25</v>
      </c>
      <c r="C21" s="8" t="s">
        <v>74</v>
      </c>
      <c r="D21" s="8" t="s">
        <v>74</v>
      </c>
      <c r="E21" s="8"/>
      <c r="F21" s="8"/>
    </row>
    <row r="22" spans="2:7" x14ac:dyDescent="0.4">
      <c r="B22" s="6">
        <v>492</v>
      </c>
      <c r="C22" s="9" t="s">
        <v>26</v>
      </c>
      <c r="D22" s="8" t="s">
        <v>75</v>
      </c>
      <c r="E22" s="8"/>
      <c r="F22" s="8"/>
    </row>
    <row r="23" spans="2:7" ht="62.15" x14ac:dyDescent="0.4">
      <c r="B23" s="6" t="s">
        <v>27</v>
      </c>
      <c r="C23" s="9" t="s">
        <v>28</v>
      </c>
      <c r="D23" s="8" t="s">
        <v>117</v>
      </c>
      <c r="E23" s="8"/>
      <c r="F23" s="8"/>
    </row>
    <row r="24" spans="2:7" x14ac:dyDescent="0.4">
      <c r="B24" s="6">
        <v>526</v>
      </c>
      <c r="C24" s="9" t="s">
        <v>8</v>
      </c>
      <c r="D24" s="8" t="s">
        <v>76</v>
      </c>
      <c r="E24" s="8"/>
      <c r="F24" s="8"/>
    </row>
    <row r="25" spans="2:7" x14ac:dyDescent="0.4">
      <c r="B25" s="6">
        <v>530</v>
      </c>
      <c r="C25" s="8" t="s">
        <v>77</v>
      </c>
      <c r="D25" s="8" t="s">
        <v>77</v>
      </c>
      <c r="E25" s="8"/>
      <c r="F25" s="8"/>
    </row>
    <row r="26" spans="2:7" x14ac:dyDescent="0.4">
      <c r="B26" s="6">
        <v>535</v>
      </c>
      <c r="C26" s="8" t="s">
        <v>78</v>
      </c>
      <c r="D26" s="8" t="s">
        <v>78</v>
      </c>
      <c r="E26" s="8"/>
      <c r="F26" s="8"/>
    </row>
    <row r="27" spans="2:7" ht="149.15" x14ac:dyDescent="0.4">
      <c r="B27" s="6">
        <v>538</v>
      </c>
      <c r="C27" s="9" t="s">
        <v>29</v>
      </c>
      <c r="D27" s="8" t="s">
        <v>118</v>
      </c>
      <c r="E27" s="8"/>
      <c r="F27" s="8"/>
    </row>
    <row r="28" spans="2:7" x14ac:dyDescent="0.4">
      <c r="B28" s="6" t="s">
        <v>30</v>
      </c>
      <c r="C28" s="8" t="s">
        <v>79</v>
      </c>
      <c r="D28" s="8" t="s">
        <v>79</v>
      </c>
      <c r="E28" s="8"/>
      <c r="F28" s="8"/>
    </row>
    <row r="29" spans="2:7" x14ac:dyDescent="0.4">
      <c r="B29" s="6" t="s">
        <v>30</v>
      </c>
      <c r="C29" s="8" t="s">
        <v>80</v>
      </c>
      <c r="D29" s="8" t="s">
        <v>80</v>
      </c>
      <c r="E29" s="8"/>
      <c r="F29" s="8"/>
    </row>
    <row r="30" spans="2:7" ht="216" customHeight="1" x14ac:dyDescent="0.4">
      <c r="B30" s="6" t="s">
        <v>30</v>
      </c>
      <c r="C30" s="9" t="s">
        <v>31</v>
      </c>
      <c r="D30" s="8" t="s">
        <v>119</v>
      </c>
      <c r="E30" s="8"/>
      <c r="F30" s="8"/>
      <c r="G30" s="5" t="s">
        <v>120</v>
      </c>
    </row>
    <row r="31" spans="2:7" ht="37.299999999999997" x14ac:dyDescent="0.4">
      <c r="B31" s="6">
        <v>552</v>
      </c>
      <c r="C31" s="9" t="s">
        <v>20</v>
      </c>
      <c r="D31" s="8" t="s">
        <v>32</v>
      </c>
      <c r="E31" s="8"/>
      <c r="F31" s="8"/>
      <c r="G31" s="5" t="s">
        <v>86</v>
      </c>
    </row>
    <row r="32" spans="2:7" x14ac:dyDescent="0.4">
      <c r="B32" s="6">
        <v>552</v>
      </c>
      <c r="C32" s="9" t="s">
        <v>33</v>
      </c>
      <c r="D32" s="8" t="s">
        <v>81</v>
      </c>
      <c r="E32" s="8"/>
      <c r="F32" s="8"/>
    </row>
    <row r="33" spans="2:7" ht="74.599999999999994" x14ac:dyDescent="0.4">
      <c r="B33" s="6">
        <v>560</v>
      </c>
      <c r="C33" s="7" t="s">
        <v>34</v>
      </c>
      <c r="D33" s="8" t="s">
        <v>121</v>
      </c>
      <c r="E33" s="8"/>
      <c r="F33" s="8"/>
      <c r="G33" s="5" t="s">
        <v>122</v>
      </c>
    </row>
    <row r="34" spans="2:7" ht="74.599999999999994" x14ac:dyDescent="0.4">
      <c r="B34" s="6" t="s">
        <v>35</v>
      </c>
      <c r="C34" s="9" t="s">
        <v>36</v>
      </c>
      <c r="D34" s="8" t="s">
        <v>37</v>
      </c>
      <c r="E34" s="8"/>
      <c r="F34" s="8"/>
      <c r="G34" s="5" t="s">
        <v>87</v>
      </c>
    </row>
    <row r="35" spans="2:7" ht="62.15" x14ac:dyDescent="0.4">
      <c r="B35" s="6" t="s">
        <v>38</v>
      </c>
      <c r="C35" s="9" t="s">
        <v>39</v>
      </c>
      <c r="D35" s="8" t="s">
        <v>40</v>
      </c>
      <c r="E35" s="8"/>
      <c r="F35" s="8"/>
      <c r="G35" s="5" t="s">
        <v>123</v>
      </c>
    </row>
    <row r="36" spans="2:7" ht="409.6" x14ac:dyDescent="0.4">
      <c r="B36" s="6" t="s">
        <v>38</v>
      </c>
      <c r="C36" s="9" t="s">
        <v>20</v>
      </c>
      <c r="D36" s="8" t="s">
        <v>124</v>
      </c>
      <c r="E36" s="8"/>
      <c r="F36" s="8"/>
    </row>
    <row r="37" spans="2:7" x14ac:dyDescent="0.4">
      <c r="B37" s="6">
        <v>626</v>
      </c>
      <c r="C37" s="9" t="s">
        <v>41</v>
      </c>
      <c r="D37" s="8" t="s">
        <v>82</v>
      </c>
      <c r="E37" s="8"/>
      <c r="F37" s="8"/>
    </row>
    <row r="38" spans="2:7" ht="136.75" x14ac:dyDescent="0.4">
      <c r="B38" s="6">
        <v>636</v>
      </c>
      <c r="C38" s="9" t="s">
        <v>42</v>
      </c>
      <c r="D38" s="8" t="s">
        <v>126</v>
      </c>
      <c r="E38" s="8"/>
      <c r="F38" s="8"/>
      <c r="G38" s="5" t="s">
        <v>125</v>
      </c>
    </row>
    <row r="39" spans="2:7" x14ac:dyDescent="0.4">
      <c r="B39" s="6">
        <v>658</v>
      </c>
      <c r="C39" s="8" t="s">
        <v>83</v>
      </c>
      <c r="D39" s="8" t="s">
        <v>83</v>
      </c>
      <c r="E39" s="8"/>
      <c r="F39" s="8"/>
    </row>
    <row r="40" spans="2:7" ht="99.45" x14ac:dyDescent="0.4">
      <c r="B40" s="6">
        <v>660</v>
      </c>
      <c r="C40" s="11" t="s">
        <v>43</v>
      </c>
      <c r="D40" s="8" t="s">
        <v>127</v>
      </c>
      <c r="E40" s="8"/>
      <c r="F40" s="8"/>
    </row>
    <row r="41" spans="2:7" ht="87" x14ac:dyDescent="0.4">
      <c r="B41" s="6" t="s">
        <v>44</v>
      </c>
      <c r="C41" s="7" t="s">
        <v>45</v>
      </c>
      <c r="D41" s="8" t="s">
        <v>129</v>
      </c>
      <c r="E41" s="8"/>
      <c r="F41" s="8"/>
      <c r="G41" s="5" t="s">
        <v>128</v>
      </c>
    </row>
    <row r="42" spans="2:7" ht="37.299999999999997" x14ac:dyDescent="0.4">
      <c r="B42" s="6">
        <v>663</v>
      </c>
      <c r="C42" s="7" t="s">
        <v>46</v>
      </c>
      <c r="D42" s="8" t="s">
        <v>130</v>
      </c>
      <c r="E42" s="8"/>
      <c r="F42" s="8"/>
      <c r="G42" s="5" t="s">
        <v>131</v>
      </c>
    </row>
    <row r="43" spans="2:7" ht="335.6" x14ac:dyDescent="0.4">
      <c r="B43" s="6" t="s">
        <v>160</v>
      </c>
      <c r="C43" s="9" t="s">
        <v>47</v>
      </c>
      <c r="D43" s="8" t="s">
        <v>132</v>
      </c>
      <c r="E43" s="8"/>
      <c r="F43" s="8"/>
    </row>
    <row r="44" spans="2:7" ht="74.599999999999994" x14ac:dyDescent="0.4">
      <c r="B44" s="6" t="s">
        <v>48</v>
      </c>
      <c r="C44" s="9" t="s">
        <v>49</v>
      </c>
      <c r="D44" s="8" t="s">
        <v>134</v>
      </c>
      <c r="E44" s="8"/>
      <c r="F44" s="8"/>
      <c r="G44" s="5" t="s">
        <v>133</v>
      </c>
    </row>
    <row r="45" spans="2:7" ht="136.75" x14ac:dyDescent="0.4">
      <c r="B45" s="6" t="s">
        <v>161</v>
      </c>
      <c r="C45" s="9" t="s">
        <v>50</v>
      </c>
      <c r="D45" s="8" t="s">
        <v>135</v>
      </c>
      <c r="E45" s="8"/>
      <c r="F45" s="8"/>
    </row>
    <row r="46" spans="2:7" ht="124.3" x14ac:dyDescent="0.4">
      <c r="B46" s="6">
        <v>714</v>
      </c>
      <c r="C46" s="9" t="s">
        <v>20</v>
      </c>
      <c r="D46" s="8" t="s">
        <v>136</v>
      </c>
      <c r="E46" s="8"/>
      <c r="F46" s="8"/>
      <c r="G46" s="5" t="s">
        <v>86</v>
      </c>
    </row>
    <row r="47" spans="2:7" ht="111.9" x14ac:dyDescent="0.4">
      <c r="B47" s="6">
        <v>715</v>
      </c>
      <c r="C47" s="9" t="s">
        <v>51</v>
      </c>
      <c r="D47" s="8" t="s">
        <v>137</v>
      </c>
      <c r="E47" s="8"/>
      <c r="F47" s="8"/>
      <c r="G47" s="5" t="s">
        <v>88</v>
      </c>
    </row>
    <row r="48" spans="2:7" ht="49.75" x14ac:dyDescent="0.4">
      <c r="B48" s="6">
        <v>720</v>
      </c>
      <c r="C48" s="9" t="s">
        <v>52</v>
      </c>
      <c r="D48" s="8" t="s">
        <v>138</v>
      </c>
      <c r="E48" s="8"/>
      <c r="F48" s="8"/>
    </row>
    <row r="49" spans="2:8" ht="111.9" x14ac:dyDescent="0.4">
      <c r="B49" s="6">
        <v>727</v>
      </c>
      <c r="C49" s="11" t="s">
        <v>53</v>
      </c>
      <c r="D49" s="8" t="s">
        <v>139</v>
      </c>
      <c r="E49" s="8"/>
      <c r="F49" s="8"/>
    </row>
    <row r="50" spans="2:8" ht="62.15" x14ac:dyDescent="0.4">
      <c r="B50" s="6">
        <v>731</v>
      </c>
      <c r="C50" s="9" t="s">
        <v>54</v>
      </c>
      <c r="D50" s="8" t="s">
        <v>140</v>
      </c>
      <c r="E50" s="8"/>
      <c r="F50" s="8"/>
    </row>
    <row r="51" spans="2:8" ht="87" x14ac:dyDescent="0.4">
      <c r="B51" s="6">
        <v>754</v>
      </c>
      <c r="C51" s="9" t="s">
        <v>55</v>
      </c>
      <c r="D51" s="8" t="s">
        <v>141</v>
      </c>
      <c r="E51" s="8"/>
      <c r="F51" s="8"/>
    </row>
    <row r="52" spans="2:8" ht="174" x14ac:dyDescent="0.4">
      <c r="B52" s="6">
        <v>766</v>
      </c>
      <c r="C52" s="9" t="s">
        <v>56</v>
      </c>
      <c r="D52" s="8" t="s">
        <v>142</v>
      </c>
      <c r="E52" s="8"/>
      <c r="F52" s="8"/>
    </row>
    <row r="53" spans="2:8" ht="149.15" x14ac:dyDescent="0.4">
      <c r="B53" s="6" t="s">
        <v>57</v>
      </c>
      <c r="C53" s="9" t="s">
        <v>58</v>
      </c>
      <c r="D53" s="8" t="s">
        <v>143</v>
      </c>
      <c r="E53" s="8"/>
      <c r="F53" s="8"/>
    </row>
    <row r="54" spans="2:8" ht="149.15" x14ac:dyDescent="0.4">
      <c r="B54" s="6" t="s">
        <v>59</v>
      </c>
      <c r="C54" s="9" t="s">
        <v>60</v>
      </c>
      <c r="D54" s="8" t="s">
        <v>144</v>
      </c>
      <c r="E54" s="8"/>
      <c r="F54" s="8"/>
    </row>
    <row r="55" spans="2:8" ht="62.15" x14ac:dyDescent="0.4">
      <c r="B55" s="6">
        <v>836</v>
      </c>
      <c r="C55" s="9" t="s">
        <v>61</v>
      </c>
      <c r="D55" s="8" t="s">
        <v>145</v>
      </c>
      <c r="E55" s="8"/>
      <c r="F55" s="8"/>
    </row>
    <row r="56" spans="2:8" x14ac:dyDescent="0.4">
      <c r="B56" s="6">
        <v>840</v>
      </c>
      <c r="C56" s="9" t="s">
        <v>17</v>
      </c>
      <c r="D56" s="8" t="s">
        <v>84</v>
      </c>
      <c r="E56" s="8"/>
      <c r="F56" s="8"/>
    </row>
    <row r="57" spans="2:8" ht="99.45" x14ac:dyDescent="0.4">
      <c r="B57" s="6" t="s">
        <v>62</v>
      </c>
      <c r="C57" s="9" t="s">
        <v>63</v>
      </c>
      <c r="D57" s="8" t="s">
        <v>147</v>
      </c>
      <c r="E57" s="8"/>
      <c r="F57" s="8"/>
      <c r="G57" s="5" t="s">
        <v>146</v>
      </c>
    </row>
    <row r="58" spans="2:8" x14ac:dyDescent="0.4">
      <c r="B58" s="6">
        <v>930</v>
      </c>
      <c r="C58" s="9" t="s">
        <v>64</v>
      </c>
      <c r="D58" s="8" t="s">
        <v>85</v>
      </c>
      <c r="E58" s="8"/>
      <c r="F58" s="8"/>
    </row>
    <row r="59" spans="2:8" ht="409.6" x14ac:dyDescent="0.4">
      <c r="B59" s="6" t="s">
        <v>65</v>
      </c>
      <c r="C59" s="9" t="s">
        <v>66</v>
      </c>
      <c r="D59" s="8" t="s">
        <v>148</v>
      </c>
      <c r="E59" s="8"/>
      <c r="F59" s="8"/>
      <c r="G59" s="7" t="s">
        <v>89</v>
      </c>
      <c r="H59" s="7"/>
    </row>
    <row r="60" spans="2:8" ht="223.75" x14ac:dyDescent="0.4">
      <c r="B60" s="6" t="s">
        <v>67</v>
      </c>
      <c r="C60" s="9" t="s">
        <v>162</v>
      </c>
      <c r="D60" s="8" t="s">
        <v>149</v>
      </c>
      <c r="E60" s="8"/>
      <c r="F60" s="8"/>
    </row>
    <row r="61" spans="2:8" ht="136.75" x14ac:dyDescent="0.4">
      <c r="B61" s="6">
        <v>959</v>
      </c>
      <c r="C61" s="9" t="s">
        <v>68</v>
      </c>
      <c r="D61" s="8" t="s">
        <v>151</v>
      </c>
      <c r="E61" s="8"/>
      <c r="F61" s="8"/>
      <c r="G61" s="5" t="s">
        <v>150</v>
      </c>
    </row>
    <row r="62" spans="2:8" ht="211.3" x14ac:dyDescent="0.4">
      <c r="B62" s="6">
        <v>963</v>
      </c>
      <c r="C62" s="9" t="s">
        <v>69</v>
      </c>
      <c r="D62" s="8" t="s">
        <v>152</v>
      </c>
      <c r="E62" s="8"/>
      <c r="F62" s="8"/>
    </row>
    <row r="63" spans="2:8" ht="49.75" x14ac:dyDescent="0.4">
      <c r="B63" s="6">
        <v>965</v>
      </c>
      <c r="C63" s="9" t="s">
        <v>70</v>
      </c>
      <c r="D63" s="8" t="s">
        <v>153</v>
      </c>
      <c r="E63" s="8"/>
      <c r="F63" s="8"/>
    </row>
    <row r="64" spans="2:8" ht="62.15" x14ac:dyDescent="0.4">
      <c r="B64" s="6">
        <v>970</v>
      </c>
      <c r="C64" s="9" t="s">
        <v>71</v>
      </c>
      <c r="D64" s="8" t="s">
        <v>155</v>
      </c>
      <c r="E64" s="8"/>
      <c r="F64" s="8"/>
      <c r="G64" s="5" t="s">
        <v>154</v>
      </c>
    </row>
    <row r="65" spans="2:6" ht="74.599999999999994" x14ac:dyDescent="0.4">
      <c r="B65" s="6">
        <v>980</v>
      </c>
      <c r="C65" s="9" t="s">
        <v>72</v>
      </c>
      <c r="D65" s="8" t="s">
        <v>156</v>
      </c>
      <c r="E65" s="8"/>
      <c r="F65" s="8"/>
    </row>
    <row r="66" spans="2:6" ht="62.15" x14ac:dyDescent="0.4">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5234375" defaultRowHeight="12.45" x14ac:dyDescent="0.3"/>
  <cols>
    <col min="1" max="1" width="62.84375" style="1" bestFit="1" customWidth="1"/>
    <col min="2" max="2" width="11.84375" style="1" bestFit="1" customWidth="1"/>
    <col min="3" max="3" width="9.69140625" style="1" bestFit="1" customWidth="1"/>
    <col min="4" max="4" width="46.3828125" style="1" bestFit="1" customWidth="1"/>
    <col min="5" max="5" width="33.3046875" style="1" bestFit="1" customWidth="1"/>
    <col min="6" max="16384" width="9.15234375" style="1"/>
  </cols>
  <sheetData>
    <row r="1" spans="1:6" s="20" customFormat="1" x14ac:dyDescent="0.3">
      <c r="A1" s="20" t="s">
        <v>178</v>
      </c>
      <c r="B1" s="20" t="s">
        <v>485</v>
      </c>
      <c r="C1" s="20" t="s">
        <v>163</v>
      </c>
    </row>
    <row r="2" spans="1:6" x14ac:dyDescent="0.3">
      <c r="A2" s="1" t="s">
        <v>1038</v>
      </c>
      <c r="B2" s="1" t="s">
        <v>552</v>
      </c>
      <c r="C2" s="1">
        <v>40</v>
      </c>
      <c r="D2" s="1" t="e">
        <f>MID(A2,FIND(". ",A2)+2,LEN(A2))</f>
        <v>#VALUE!</v>
      </c>
      <c r="E2" s="1" t="e">
        <v>#VALUE!</v>
      </c>
    </row>
    <row r="3" spans="1:6" x14ac:dyDescent="0.3">
      <c r="A3" s="1" t="str">
        <f>E3</f>
        <v>Le Puy En Velay</v>
      </c>
      <c r="B3" s="1" t="str">
        <f>F3</f>
        <v>France</v>
      </c>
      <c r="C3" s="1">
        <v>47</v>
      </c>
      <c r="D3" s="1" t="e">
        <f t="shared" ref="D3:D66" si="0">MID(A3,FIND(". ",A3)+2,LEN(A3))</f>
        <v>#VALUE!</v>
      </c>
      <c r="E3" s="1" t="s">
        <v>1182</v>
      </c>
      <c r="F3" s="1" t="s">
        <v>557</v>
      </c>
    </row>
    <row r="4" spans="1:6" x14ac:dyDescent="0.3">
      <c r="A4" s="1" t="s">
        <v>1311</v>
      </c>
      <c r="B4" s="1" t="s">
        <v>731</v>
      </c>
      <c r="C4" s="1">
        <v>352</v>
      </c>
      <c r="D4" s="1" t="e">
        <f t="shared" si="0"/>
        <v>#VALUE!</v>
      </c>
      <c r="E4" s="1" t="e">
        <v>#VALUE!</v>
      </c>
    </row>
    <row r="5" spans="1:6" x14ac:dyDescent="0.3">
      <c r="A5" s="1" t="str">
        <f t="shared" ref="A5:A59" si="1">E5</f>
        <v>Tindari</v>
      </c>
      <c r="B5" s="1" t="str">
        <f t="shared" ref="B5:B17" si="2">F5</f>
        <v>Italy</v>
      </c>
      <c r="C5" s="1" t="s">
        <v>1063</v>
      </c>
      <c r="D5" s="1" t="e">
        <f t="shared" si="0"/>
        <v>#VALUE!</v>
      </c>
      <c r="E5" s="1" t="s">
        <v>1183</v>
      </c>
      <c r="F5" s="1" t="s">
        <v>11</v>
      </c>
    </row>
    <row r="6" spans="1:6" x14ac:dyDescent="0.3">
      <c r="A6" s="1" t="str">
        <f t="shared" si="1"/>
        <v>Montserrat</v>
      </c>
      <c r="B6" s="1" t="str">
        <f t="shared" si="2"/>
        <v>Spain</v>
      </c>
      <c r="C6" s="1" t="s">
        <v>1064</v>
      </c>
      <c r="D6" s="1" t="e">
        <f t="shared" si="0"/>
        <v>#VALUE!</v>
      </c>
      <c r="E6" s="1" t="s">
        <v>625</v>
      </c>
      <c r="F6" s="1" t="s">
        <v>552</v>
      </c>
    </row>
    <row r="7" spans="1:6" x14ac:dyDescent="0.3">
      <c r="A7" s="1" t="str">
        <f t="shared" si="1"/>
        <v>Walsingham</v>
      </c>
      <c r="B7" s="1" t="str">
        <f t="shared" si="2"/>
        <v>United Kingdom</v>
      </c>
      <c r="C7" s="1" t="s">
        <v>1065</v>
      </c>
      <c r="D7" s="1" t="e">
        <f t="shared" si="0"/>
        <v>#VALUE!</v>
      </c>
      <c r="E7" s="1" t="s">
        <v>1184</v>
      </c>
      <c r="F7" s="1" t="s">
        <v>736</v>
      </c>
    </row>
    <row r="8" spans="1:6" x14ac:dyDescent="0.3">
      <c r="A8" s="1" t="str">
        <f t="shared" si="1"/>
        <v>Montefortino</v>
      </c>
      <c r="B8" s="1" t="str">
        <f t="shared" si="2"/>
        <v>Italy</v>
      </c>
      <c r="C8" s="1" t="s">
        <v>1066</v>
      </c>
      <c r="D8" s="1" t="e">
        <f t="shared" si="0"/>
        <v>#VALUE!</v>
      </c>
      <c r="E8" s="1" t="s">
        <v>1185</v>
      </c>
      <c r="F8" s="1" t="s">
        <v>11</v>
      </c>
    </row>
    <row r="9" spans="1:6" x14ac:dyDescent="0.3">
      <c r="A9" s="1" t="str">
        <f t="shared" si="1"/>
        <v>Foggia</v>
      </c>
      <c r="B9" s="1" t="str">
        <f t="shared" si="2"/>
        <v>Italy</v>
      </c>
      <c r="C9" s="1" t="s">
        <v>1067</v>
      </c>
      <c r="D9" s="1" t="e">
        <f t="shared" si="0"/>
        <v>#VALUE!</v>
      </c>
      <c r="E9" s="1" t="s">
        <v>1186</v>
      </c>
      <c r="F9" s="1" t="s">
        <v>11</v>
      </c>
    </row>
    <row r="10" spans="1:6" x14ac:dyDescent="0.3">
      <c r="A10" s="1" t="str">
        <f t="shared" si="1"/>
        <v>Arras</v>
      </c>
      <c r="B10" s="1" t="str">
        <f t="shared" si="2"/>
        <v>France</v>
      </c>
      <c r="C10" s="1" t="s">
        <v>1068</v>
      </c>
      <c r="D10" s="1" t="e">
        <f t="shared" si="0"/>
        <v>#VALUE!</v>
      </c>
      <c r="E10" s="1" t="s">
        <v>1187</v>
      </c>
      <c r="F10" s="1" t="s">
        <v>557</v>
      </c>
    </row>
    <row r="11" spans="1:6" x14ac:dyDescent="0.3">
      <c r="A11" s="1" t="str">
        <f t="shared" si="1"/>
        <v>Nazaré</v>
      </c>
      <c r="B11" s="1" t="str">
        <f t="shared" si="2"/>
        <v>Portugal</v>
      </c>
      <c r="C11" s="1" t="s">
        <v>1069</v>
      </c>
      <c r="D11" s="1" t="e">
        <f t="shared" si="0"/>
        <v>#VALUE!</v>
      </c>
      <c r="E11" s="1" t="s">
        <v>1188</v>
      </c>
      <c r="F11" s="1" t="s">
        <v>655</v>
      </c>
    </row>
    <row r="12" spans="1:6" x14ac:dyDescent="0.3">
      <c r="A12" s="1" t="str">
        <f t="shared" si="1"/>
        <v>Swieta Lipka</v>
      </c>
      <c r="B12" s="1" t="str">
        <f t="shared" si="2"/>
        <v>Poland</v>
      </c>
      <c r="C12" s="1" t="s">
        <v>1070</v>
      </c>
      <c r="D12" s="1" t="e">
        <f t="shared" si="0"/>
        <v>#VALUE!</v>
      </c>
      <c r="E12" s="1" t="s">
        <v>1189</v>
      </c>
      <c r="F12" s="1" t="s">
        <v>651</v>
      </c>
    </row>
    <row r="13" spans="1:6" x14ac:dyDescent="0.3">
      <c r="A13" s="1" t="str">
        <f t="shared" si="1"/>
        <v>Assisi</v>
      </c>
      <c r="B13" s="1" t="str">
        <f t="shared" si="2"/>
        <v>Italy</v>
      </c>
      <c r="C13" s="1" t="s">
        <v>1071</v>
      </c>
      <c r="D13" s="1" t="e">
        <f t="shared" si="0"/>
        <v>#VALUE!</v>
      </c>
      <c r="E13" s="1" t="s">
        <v>1190</v>
      </c>
      <c r="F13" s="1" t="s">
        <v>11</v>
      </c>
    </row>
    <row r="14" spans="1:6" x14ac:dyDescent="0.3">
      <c r="A14" s="1" t="str">
        <f t="shared" si="1"/>
        <v>Arcos de Valdevez</v>
      </c>
      <c r="B14" s="1" t="str">
        <f t="shared" si="2"/>
        <v>Portugal</v>
      </c>
      <c r="C14" s="1" t="s">
        <v>1072</v>
      </c>
      <c r="D14" s="1" t="e">
        <f t="shared" si="0"/>
        <v>#VALUE!</v>
      </c>
      <c r="E14" s="1" t="s">
        <v>1191</v>
      </c>
      <c r="F14" s="1" t="s">
        <v>655</v>
      </c>
    </row>
    <row r="15" spans="1:6" x14ac:dyDescent="0.3">
      <c r="A15" s="1" t="str">
        <f t="shared" si="1"/>
        <v>Cortes</v>
      </c>
      <c r="B15" s="1" t="str">
        <f t="shared" si="2"/>
        <v>Spain</v>
      </c>
      <c r="C15" s="1" t="s">
        <v>1073</v>
      </c>
      <c r="D15" s="1" t="e">
        <f t="shared" si="0"/>
        <v>#VALUE!</v>
      </c>
      <c r="E15" s="1" t="s">
        <v>1192</v>
      </c>
      <c r="F15" s="1" t="s">
        <v>552</v>
      </c>
    </row>
    <row r="16" spans="1:6" x14ac:dyDescent="0.3">
      <c r="A16" s="1" t="str">
        <f t="shared" si="1"/>
        <v>Florence</v>
      </c>
      <c r="B16" s="1" t="str">
        <f t="shared" si="2"/>
        <v>Italy</v>
      </c>
      <c r="C16" s="1" t="s">
        <v>1074</v>
      </c>
      <c r="D16" s="1" t="e">
        <f t="shared" si="0"/>
        <v>#VALUE!</v>
      </c>
      <c r="E16" s="1" t="s">
        <v>1193</v>
      </c>
      <c r="F16" s="1" t="s">
        <v>11</v>
      </c>
    </row>
    <row r="17" spans="1:6" x14ac:dyDescent="0.3">
      <c r="A17" s="1" t="str">
        <f t="shared" si="1"/>
        <v>Aylesford</v>
      </c>
      <c r="B17" s="1" t="str">
        <f t="shared" si="2"/>
        <v>United Kingdom</v>
      </c>
      <c r="C17" s="1" t="s">
        <v>1075</v>
      </c>
      <c r="D17" s="1" t="e">
        <f t="shared" si="0"/>
        <v>#VALUE!</v>
      </c>
      <c r="E17" s="1" t="s">
        <v>1194</v>
      </c>
      <c r="F17" s="1" t="s">
        <v>736</v>
      </c>
    </row>
    <row r="18" spans="1:6" x14ac:dyDescent="0.3">
      <c r="A18" s="1" t="str">
        <f t="shared" si="1"/>
        <v>Rome (Santa Maria in Via)</v>
      </c>
      <c r="B18" s="1" t="s">
        <v>731</v>
      </c>
      <c r="C18" s="1" t="s">
        <v>1076</v>
      </c>
      <c r="D18" s="1" t="e">
        <f t="shared" si="0"/>
        <v>#VALUE!</v>
      </c>
      <c r="E18" s="1" t="s">
        <v>1310</v>
      </c>
      <c r="F18" s="1" t="s">
        <v>11</v>
      </c>
    </row>
    <row r="19" spans="1:6" x14ac:dyDescent="0.3">
      <c r="A19" s="1" t="str">
        <f t="shared" si="1"/>
        <v>The Holy House of Nazareth at Loreto </v>
      </c>
      <c r="B19" s="1" t="str">
        <f t="shared" ref="B19:B59" si="3">F19</f>
        <v>Italy</v>
      </c>
      <c r="C19" s="1" t="s">
        <v>1077</v>
      </c>
      <c r="D19" s="1" t="e">
        <f t="shared" si="0"/>
        <v>#VALUE!</v>
      </c>
      <c r="E19" s="1" t="s">
        <v>1195</v>
      </c>
      <c r="F19" s="1" t="s">
        <v>11</v>
      </c>
    </row>
    <row r="20" spans="1:6" x14ac:dyDescent="0.3">
      <c r="A20" s="1" t="str">
        <f t="shared" si="1"/>
        <v>Bra</v>
      </c>
      <c r="B20" s="1" t="str">
        <f t="shared" si="3"/>
        <v>Italy</v>
      </c>
      <c r="C20" s="1" t="s">
        <v>1078</v>
      </c>
      <c r="D20" s="1" t="e">
        <f t="shared" si="0"/>
        <v>#VALUE!</v>
      </c>
      <c r="E20" s="1" t="s">
        <v>1196</v>
      </c>
      <c r="F20" s="1" t="s">
        <v>11</v>
      </c>
    </row>
    <row r="21" spans="1:6" x14ac:dyDescent="0.3">
      <c r="A21" s="1" t="str">
        <f t="shared" si="1"/>
        <v>Roverano</v>
      </c>
      <c r="B21" s="1" t="str">
        <f t="shared" si="3"/>
        <v>Italy</v>
      </c>
      <c r="C21" s="1" t="s">
        <v>1079</v>
      </c>
      <c r="D21" s="1" t="e">
        <f t="shared" si="0"/>
        <v>#VALUE!</v>
      </c>
      <c r="E21" s="1" t="s">
        <v>1197</v>
      </c>
      <c r="F21" s="1" t="s">
        <v>11</v>
      </c>
    </row>
    <row r="22" spans="1:6" x14ac:dyDescent="0.3">
      <c r="A22" s="1" t="str">
        <f t="shared" si="1"/>
        <v>Valverdo Di Rezzato</v>
      </c>
      <c r="B22" s="1" t="str">
        <f t="shared" si="3"/>
        <v>Italy</v>
      </c>
      <c r="C22" s="1" t="s">
        <v>1313</v>
      </c>
      <c r="D22" s="1" t="e">
        <f t="shared" si="0"/>
        <v>#VALUE!</v>
      </c>
      <c r="E22" s="1" t="s">
        <v>1198</v>
      </c>
      <c r="F22" s="1" t="s">
        <v>11</v>
      </c>
    </row>
    <row r="23" spans="1:6" x14ac:dyDescent="0.3">
      <c r="A23" s="1" t="str">
        <f t="shared" si="1"/>
        <v>Castel Godego</v>
      </c>
      <c r="B23" s="1" t="str">
        <f t="shared" si="3"/>
        <v>Italy</v>
      </c>
      <c r="C23" s="1" t="s">
        <v>1080</v>
      </c>
      <c r="D23" s="1" t="e">
        <f t="shared" si="0"/>
        <v>#VALUE!</v>
      </c>
      <c r="E23" s="1" t="s">
        <v>1199</v>
      </c>
      <c r="F23" s="1" t="s">
        <v>11</v>
      </c>
    </row>
    <row r="24" spans="1:6" x14ac:dyDescent="0.3">
      <c r="A24" s="1" t="str">
        <f t="shared" si="1"/>
        <v>Cordoba</v>
      </c>
      <c r="B24" s="1" t="str">
        <f t="shared" si="3"/>
        <v>Spain</v>
      </c>
      <c r="C24" s="1" t="s">
        <v>1080</v>
      </c>
      <c r="D24" s="1" t="e">
        <f t="shared" si="0"/>
        <v>#VALUE!</v>
      </c>
      <c r="E24" s="1" t="s">
        <v>1200</v>
      </c>
      <c r="F24" s="1" t="s">
        <v>552</v>
      </c>
    </row>
    <row r="25" spans="1:6" x14ac:dyDescent="0.3">
      <c r="A25" s="1" t="str">
        <f t="shared" si="1"/>
        <v>Monte Berico</v>
      </c>
      <c r="B25" s="1" t="str">
        <f t="shared" si="3"/>
        <v>Italy</v>
      </c>
      <c r="C25" s="1" t="s">
        <v>1081</v>
      </c>
      <c r="D25" s="1" t="e">
        <f t="shared" si="0"/>
        <v>#VALUE!</v>
      </c>
      <c r="E25" s="1" t="s">
        <v>1201</v>
      </c>
      <c r="F25" s="1" t="s">
        <v>11</v>
      </c>
    </row>
    <row r="26" spans="1:6" x14ac:dyDescent="0.3">
      <c r="A26" s="1" t="str">
        <f t="shared" si="1"/>
        <v>Caravaggio</v>
      </c>
      <c r="B26" s="1" t="str">
        <f t="shared" si="3"/>
        <v>Italy</v>
      </c>
      <c r="C26" s="1" t="s">
        <v>1082</v>
      </c>
      <c r="D26" s="1" t="e">
        <f t="shared" si="0"/>
        <v>#VALUE!</v>
      </c>
      <c r="E26" s="1" t="s">
        <v>1202</v>
      </c>
      <c r="F26" s="1" t="s">
        <v>11</v>
      </c>
    </row>
    <row r="27" spans="1:6" x14ac:dyDescent="0.3">
      <c r="A27" s="1" t="str">
        <f t="shared" si="1"/>
        <v>Desenzano Di Albino</v>
      </c>
      <c r="B27" s="1" t="str">
        <f t="shared" si="3"/>
        <v>Italy</v>
      </c>
      <c r="C27" s="1" t="s">
        <v>1083</v>
      </c>
      <c r="D27" s="1" t="e">
        <f t="shared" si="0"/>
        <v>#VALUE!</v>
      </c>
      <c r="E27" s="1" t="s">
        <v>1203</v>
      </c>
      <c r="F27" s="1" t="s">
        <v>11</v>
      </c>
    </row>
    <row r="28" spans="1:6" x14ac:dyDescent="0.3">
      <c r="A28" s="1" t="str">
        <f t="shared" si="1"/>
        <v>Fuerteventura</v>
      </c>
      <c r="B28" s="1" t="str">
        <f t="shared" si="3"/>
        <v>Spain</v>
      </c>
      <c r="C28" s="1" t="s">
        <v>1084</v>
      </c>
      <c r="D28" s="1" t="e">
        <f t="shared" si="0"/>
        <v>#VALUE!</v>
      </c>
      <c r="E28" s="1" t="s">
        <v>1204</v>
      </c>
      <c r="F28" s="1" t="s">
        <v>552</v>
      </c>
    </row>
    <row r="29" spans="1:6" x14ac:dyDescent="0.3">
      <c r="A29" s="1" t="str">
        <f t="shared" si="1"/>
        <v>Sant'Anastasia</v>
      </c>
      <c r="B29" s="1" t="str">
        <f t="shared" si="3"/>
        <v>Italy</v>
      </c>
      <c r="C29" s="1" t="s">
        <v>1314</v>
      </c>
      <c r="D29" s="1" t="e">
        <f t="shared" si="0"/>
        <v>#VALUE!</v>
      </c>
      <c r="E29" s="1" t="s">
        <v>1315</v>
      </c>
      <c r="F29" s="1" t="s">
        <v>11</v>
      </c>
    </row>
    <row r="30" spans="1:6" x14ac:dyDescent="0.3">
      <c r="A30" s="1" t="str">
        <f t="shared" si="1"/>
        <v>Ghisalba</v>
      </c>
      <c r="B30" s="1" t="str">
        <f t="shared" si="3"/>
        <v>Italy</v>
      </c>
      <c r="C30" s="1" t="s">
        <v>1085</v>
      </c>
      <c r="D30" s="1" t="e">
        <f t="shared" si="0"/>
        <v>#VALUE!</v>
      </c>
      <c r="E30" s="1" t="s">
        <v>1205</v>
      </c>
      <c r="F30" s="1" t="s">
        <v>11</v>
      </c>
    </row>
    <row r="31" spans="1:6" x14ac:dyDescent="0.3">
      <c r="A31" s="1" t="str">
        <f t="shared" si="1"/>
        <v>Garlasco</v>
      </c>
      <c r="B31" s="1" t="str">
        <f t="shared" si="3"/>
        <v>Italy</v>
      </c>
      <c r="C31" s="1" t="s">
        <v>1086</v>
      </c>
      <c r="D31" s="1" t="e">
        <f t="shared" si="0"/>
        <v>#VALUE!</v>
      </c>
      <c r="E31" s="1" t="s">
        <v>1206</v>
      </c>
      <c r="F31" s="1" t="s">
        <v>11</v>
      </c>
    </row>
    <row r="32" spans="1:6" x14ac:dyDescent="0.3">
      <c r="A32" s="1" t="str">
        <f t="shared" si="1"/>
        <v>Genazzano</v>
      </c>
      <c r="B32" s="1" t="str">
        <f t="shared" si="3"/>
        <v>Italy</v>
      </c>
      <c r="C32" s="1" t="s">
        <v>1087</v>
      </c>
      <c r="D32" s="1" t="e">
        <f t="shared" si="0"/>
        <v>#VALUE!</v>
      </c>
      <c r="E32" s="1" t="s">
        <v>1207</v>
      </c>
      <c r="F32" s="1" t="s">
        <v>11</v>
      </c>
    </row>
    <row r="33" spans="1:6" x14ac:dyDescent="0.3">
      <c r="A33" s="1" t="str">
        <f t="shared" si="1"/>
        <v>Badia Di Cava</v>
      </c>
      <c r="B33" s="1" t="str">
        <f t="shared" si="3"/>
        <v>Italy</v>
      </c>
      <c r="C33" s="1" t="s">
        <v>1088</v>
      </c>
      <c r="D33" s="1" t="e">
        <f t="shared" si="0"/>
        <v>#VALUE!</v>
      </c>
      <c r="E33" s="1" t="s">
        <v>1208</v>
      </c>
      <c r="F33" s="1" t="s">
        <v>11</v>
      </c>
    </row>
    <row r="34" spans="1:6" x14ac:dyDescent="0.3">
      <c r="A34" s="1" t="str">
        <f t="shared" si="1"/>
        <v>Boccadirio</v>
      </c>
      <c r="B34" s="1" t="str">
        <f t="shared" si="3"/>
        <v>Italy</v>
      </c>
      <c r="C34" s="1" t="s">
        <v>1089</v>
      </c>
      <c r="D34" s="1" t="e">
        <f t="shared" si="0"/>
        <v>#VALUE!</v>
      </c>
      <c r="E34" s="1" t="s">
        <v>1209</v>
      </c>
      <c r="F34" s="1" t="s">
        <v>11</v>
      </c>
    </row>
    <row r="35" spans="1:6" x14ac:dyDescent="0.3">
      <c r="A35" s="1" t="str">
        <f t="shared" si="1"/>
        <v>Teror</v>
      </c>
      <c r="B35" s="1" t="str">
        <f t="shared" si="3"/>
        <v>Spain</v>
      </c>
      <c r="C35" s="1" t="s">
        <v>1090</v>
      </c>
      <c r="D35" s="1" t="e">
        <f t="shared" si="0"/>
        <v>#VALUE!</v>
      </c>
      <c r="E35" s="1" t="s">
        <v>1210</v>
      </c>
      <c r="F35" s="1" t="s">
        <v>552</v>
      </c>
    </row>
    <row r="36" spans="1:6" x14ac:dyDescent="0.3">
      <c r="A36" s="1" t="str">
        <f t="shared" si="1"/>
        <v>Imola</v>
      </c>
      <c r="B36" s="1" t="str">
        <f t="shared" si="3"/>
        <v>Italy</v>
      </c>
      <c r="C36" s="1" t="s">
        <v>1091</v>
      </c>
      <c r="D36" s="1" t="e">
        <f t="shared" si="0"/>
        <v>#VALUE!</v>
      </c>
      <c r="E36" s="1" t="s">
        <v>1211</v>
      </c>
      <c r="F36" s="1" t="s">
        <v>11</v>
      </c>
    </row>
    <row r="37" spans="1:6" x14ac:dyDescent="0.3">
      <c r="A37" s="1" t="str">
        <f t="shared" si="1"/>
        <v>Agres</v>
      </c>
      <c r="B37" s="1" t="str">
        <f t="shared" si="3"/>
        <v>Spain</v>
      </c>
      <c r="C37" s="1" t="s">
        <v>1092</v>
      </c>
      <c r="D37" s="1" t="e">
        <f t="shared" si="0"/>
        <v>#VALUE!</v>
      </c>
      <c r="E37" s="1" t="s">
        <v>1212</v>
      </c>
      <c r="F37" s="1" t="s">
        <v>552</v>
      </c>
    </row>
    <row r="38" spans="1:6" x14ac:dyDescent="0.3">
      <c r="A38" s="1" t="str">
        <f t="shared" si="1"/>
        <v>Pontassieve</v>
      </c>
      <c r="B38" s="1" t="str">
        <f t="shared" si="3"/>
        <v>Italy</v>
      </c>
      <c r="C38" s="1" t="s">
        <v>1092</v>
      </c>
      <c r="D38" s="1" t="e">
        <f t="shared" si="0"/>
        <v>#VALUE!</v>
      </c>
      <c r="E38" s="1" t="s">
        <v>1213</v>
      </c>
      <c r="F38" s="1" t="s">
        <v>11</v>
      </c>
    </row>
    <row r="39" spans="1:6" x14ac:dyDescent="0.3">
      <c r="A39" s="1" t="str">
        <f t="shared" si="1"/>
        <v>Genoa</v>
      </c>
      <c r="B39" s="1" t="str">
        <f t="shared" si="3"/>
        <v>Italy</v>
      </c>
      <c r="C39" s="1" t="s">
        <v>1093</v>
      </c>
      <c r="D39" s="1" t="e">
        <f t="shared" si="0"/>
        <v>#VALUE!</v>
      </c>
      <c r="E39" s="1" t="s">
        <v>1214</v>
      </c>
      <c r="F39" s="1" t="s">
        <v>11</v>
      </c>
    </row>
    <row r="40" spans="1:6" x14ac:dyDescent="0.3">
      <c r="A40" s="1" t="str">
        <f t="shared" si="1"/>
        <v>Trois-Epis</v>
      </c>
      <c r="B40" s="1" t="str">
        <f t="shared" si="3"/>
        <v>France</v>
      </c>
      <c r="C40" s="1" t="s">
        <v>1094</v>
      </c>
      <c r="D40" s="1" t="e">
        <f t="shared" si="0"/>
        <v>#VALUE!</v>
      </c>
      <c r="E40" s="1" t="s">
        <v>1215</v>
      </c>
      <c r="F40" s="1" t="s">
        <v>557</v>
      </c>
    </row>
    <row r="41" spans="1:6" x14ac:dyDescent="0.3">
      <c r="A41" s="1" t="str">
        <f t="shared" si="1"/>
        <v>Gallivaggio</v>
      </c>
      <c r="B41" s="1" t="str">
        <f t="shared" si="3"/>
        <v>Italy</v>
      </c>
      <c r="C41" s="1" t="s">
        <v>1095</v>
      </c>
      <c r="D41" s="1" t="e">
        <f t="shared" si="0"/>
        <v>#VALUE!</v>
      </c>
      <c r="E41" s="1" t="s">
        <v>1216</v>
      </c>
      <c r="F41" s="1" t="s">
        <v>11</v>
      </c>
    </row>
    <row r="42" spans="1:6" x14ac:dyDescent="0.3">
      <c r="A42" s="1" t="str">
        <f t="shared" si="1"/>
        <v>Re</v>
      </c>
      <c r="B42" s="1" t="str">
        <f t="shared" si="3"/>
        <v>Italy</v>
      </c>
      <c r="C42" s="1" t="s">
        <v>1096</v>
      </c>
      <c r="D42" s="1" t="e">
        <f t="shared" si="0"/>
        <v>#VALUE!</v>
      </c>
      <c r="E42" s="1" t="s">
        <v>1217</v>
      </c>
      <c r="F42" s="1" t="s">
        <v>11</v>
      </c>
    </row>
    <row r="43" spans="1:6" x14ac:dyDescent="0.3">
      <c r="A43" s="1" t="str">
        <f t="shared" si="1"/>
        <v>Bettola</v>
      </c>
      <c r="B43" s="1" t="str">
        <f t="shared" si="3"/>
        <v>Italy</v>
      </c>
      <c r="C43" s="1" t="s">
        <v>1097</v>
      </c>
      <c r="D43" s="1" t="e">
        <f t="shared" si="0"/>
        <v>#VALUE!</v>
      </c>
      <c r="E43" s="1" t="s">
        <v>1218</v>
      </c>
      <c r="F43" s="1" t="s">
        <v>11</v>
      </c>
    </row>
    <row r="44" spans="1:6" x14ac:dyDescent="0.3">
      <c r="A44" s="1" t="str">
        <f t="shared" si="1"/>
        <v>Molare</v>
      </c>
      <c r="B44" s="1" t="str">
        <f t="shared" si="3"/>
        <v>Italy</v>
      </c>
      <c r="C44" s="1" t="s">
        <v>1098</v>
      </c>
      <c r="D44" s="1" t="e">
        <f t="shared" si="0"/>
        <v>#VALUE!</v>
      </c>
      <c r="E44" s="1" t="s">
        <v>1219</v>
      </c>
      <c r="F44" s="1" t="s">
        <v>11</v>
      </c>
    </row>
    <row r="45" spans="1:6" x14ac:dyDescent="0.3">
      <c r="A45" s="1" t="str">
        <f t="shared" si="1"/>
        <v>Vailankanni</v>
      </c>
      <c r="B45" s="1" t="str">
        <f t="shared" si="3"/>
        <v>India</v>
      </c>
      <c r="C45" s="1" t="s">
        <v>1098</v>
      </c>
      <c r="D45" s="1" t="e">
        <f t="shared" si="0"/>
        <v>#VALUE!</v>
      </c>
      <c r="E45" s="1" t="s">
        <v>1220</v>
      </c>
      <c r="F45" s="1" t="s">
        <v>2</v>
      </c>
    </row>
    <row r="46" spans="1:6" x14ac:dyDescent="0.3">
      <c r="A46" s="1" t="str">
        <f t="shared" si="1"/>
        <v>Andacollo</v>
      </c>
      <c r="B46" s="1" t="str">
        <f t="shared" si="3"/>
        <v>Chile</v>
      </c>
      <c r="C46" s="1" t="s">
        <v>1098</v>
      </c>
      <c r="D46" s="1" t="e">
        <f t="shared" si="0"/>
        <v>#VALUE!</v>
      </c>
      <c r="E46" s="1" t="s">
        <v>1221</v>
      </c>
      <c r="F46" s="1" t="s">
        <v>531</v>
      </c>
    </row>
    <row r="47" spans="1:6" x14ac:dyDescent="0.3">
      <c r="A47" s="1" t="str">
        <f t="shared" si="1"/>
        <v>Luggau</v>
      </c>
      <c r="B47" s="1" t="str">
        <f t="shared" si="3"/>
        <v>Austria</v>
      </c>
      <c r="C47" s="1" t="s">
        <v>1098</v>
      </c>
      <c r="D47" s="1" t="e">
        <f t="shared" si="0"/>
        <v>#VALUE!</v>
      </c>
      <c r="E47" s="1" t="s">
        <v>1222</v>
      </c>
      <c r="F47" s="1" t="s">
        <v>502</v>
      </c>
    </row>
    <row r="48" spans="1:6" x14ac:dyDescent="0.3">
      <c r="A48" s="1" t="str">
        <f t="shared" si="1"/>
        <v>Tirano</v>
      </c>
      <c r="B48" s="1" t="str">
        <f t="shared" si="3"/>
        <v>Italy</v>
      </c>
      <c r="C48" s="1" t="s">
        <v>1099</v>
      </c>
      <c r="D48" s="1" t="e">
        <f t="shared" si="0"/>
        <v>#VALUE!</v>
      </c>
      <c r="E48" s="1" t="s">
        <v>1223</v>
      </c>
      <c r="F48" s="1" t="s">
        <v>11</v>
      </c>
    </row>
    <row r="49" spans="1:6" x14ac:dyDescent="0.3">
      <c r="A49" s="1" t="str">
        <f t="shared" si="1"/>
        <v>Motta Di Livenza</v>
      </c>
      <c r="B49" s="1" t="str">
        <f t="shared" si="3"/>
        <v>Italy</v>
      </c>
      <c r="C49" s="1" t="s">
        <v>1100</v>
      </c>
      <c r="D49" s="1" t="e">
        <f t="shared" si="0"/>
        <v>#VALUE!</v>
      </c>
      <c r="E49" s="1" t="s">
        <v>1224</v>
      </c>
      <c r="F49" s="1" t="s">
        <v>11</v>
      </c>
    </row>
    <row r="50" spans="1:6" x14ac:dyDescent="0.3">
      <c r="A50" s="1" t="str">
        <f t="shared" si="1"/>
        <v>Peschiera Sul Garda</v>
      </c>
      <c r="B50" s="1" t="str">
        <f t="shared" si="3"/>
        <v>Italy</v>
      </c>
      <c r="C50" s="1" t="s">
        <v>1100</v>
      </c>
      <c r="D50" s="1" t="e">
        <f t="shared" si="0"/>
        <v>#VALUE!</v>
      </c>
      <c r="E50" s="1" t="s">
        <v>1225</v>
      </c>
      <c r="F50" s="1" t="s">
        <v>11</v>
      </c>
    </row>
    <row r="51" spans="1:6" x14ac:dyDescent="0.3">
      <c r="A51" s="1" t="str">
        <f t="shared" si="1"/>
        <v>Bergamo</v>
      </c>
      <c r="B51" s="1" t="str">
        <f t="shared" si="3"/>
        <v>Italy</v>
      </c>
      <c r="C51" s="1" t="s">
        <v>1100</v>
      </c>
      <c r="D51" s="1" t="e">
        <f t="shared" si="0"/>
        <v>#VALUE!</v>
      </c>
      <c r="E51" s="1" t="s">
        <v>1226</v>
      </c>
      <c r="F51" s="1" t="s">
        <v>11</v>
      </c>
    </row>
    <row r="52" spans="1:6" x14ac:dyDescent="0.3">
      <c r="A52" s="1" t="str">
        <f t="shared" si="1"/>
        <v>Rzeszów</v>
      </c>
      <c r="B52" s="1" t="str">
        <f t="shared" si="3"/>
        <v>Poland</v>
      </c>
      <c r="C52" s="1" t="s">
        <v>1101</v>
      </c>
      <c r="D52" s="1" t="e">
        <f t="shared" si="0"/>
        <v>#VALUE!</v>
      </c>
      <c r="E52" s="1" t="s">
        <v>1227</v>
      </c>
      <c r="F52" s="1" t="s">
        <v>651</v>
      </c>
    </row>
    <row r="53" spans="1:6" x14ac:dyDescent="0.3">
      <c r="A53" s="1" t="str">
        <f t="shared" si="1"/>
        <v>Garaison</v>
      </c>
      <c r="B53" s="1" t="str">
        <f t="shared" si="3"/>
        <v>France</v>
      </c>
      <c r="C53" s="1" t="s">
        <v>1102</v>
      </c>
      <c r="D53" s="1" t="e">
        <f t="shared" si="0"/>
        <v>#VALUE!</v>
      </c>
      <c r="E53" s="1" t="s">
        <v>1228</v>
      </c>
      <c r="F53" s="1" t="s">
        <v>557</v>
      </c>
    </row>
    <row r="54" spans="1:6" x14ac:dyDescent="0.3">
      <c r="A54" s="1" t="str">
        <f t="shared" si="1"/>
        <v>Adro</v>
      </c>
      <c r="B54" s="1" t="str">
        <f t="shared" si="3"/>
        <v>Italy</v>
      </c>
      <c r="C54" s="1" t="s">
        <v>1103</v>
      </c>
      <c r="D54" s="1" t="e">
        <f t="shared" si="0"/>
        <v>#VALUE!</v>
      </c>
      <c r="E54" s="1" t="s">
        <v>1229</v>
      </c>
      <c r="F54" s="1" t="s">
        <v>11</v>
      </c>
    </row>
    <row r="55" spans="1:6" x14ac:dyDescent="0.3">
      <c r="A55" s="1" t="str">
        <f t="shared" si="1"/>
        <v>Cotignac</v>
      </c>
      <c r="B55" s="1" t="str">
        <f t="shared" si="3"/>
        <v>France</v>
      </c>
      <c r="C55" s="1" t="s">
        <v>1104</v>
      </c>
      <c r="D55" s="1" t="e">
        <f t="shared" si="0"/>
        <v>#VALUE!</v>
      </c>
      <c r="E55" s="1" t="s">
        <v>1230</v>
      </c>
      <c r="F55" s="1" t="s">
        <v>557</v>
      </c>
    </row>
    <row r="56" spans="1:6" x14ac:dyDescent="0.3">
      <c r="A56" s="1" t="str">
        <f t="shared" si="1"/>
        <v>Cori</v>
      </c>
      <c r="B56" s="1" t="str">
        <f t="shared" si="3"/>
        <v>Italy</v>
      </c>
      <c r="C56" s="1" t="s">
        <v>1105</v>
      </c>
      <c r="D56" s="1" t="e">
        <f t="shared" si="0"/>
        <v>#VALUE!</v>
      </c>
      <c r="E56" s="1" t="s">
        <v>1231</v>
      </c>
      <c r="F56" s="1" t="s">
        <v>11</v>
      </c>
    </row>
    <row r="57" spans="1:6" x14ac:dyDescent="0.3">
      <c r="A57" s="1" t="str">
        <f t="shared" si="1"/>
        <v>Cussanio</v>
      </c>
      <c r="B57" s="1" t="str">
        <f t="shared" si="3"/>
        <v>Italy</v>
      </c>
      <c r="C57" s="1" t="s">
        <v>1105</v>
      </c>
      <c r="D57" s="1" t="e">
        <f t="shared" si="0"/>
        <v>#VALUE!</v>
      </c>
      <c r="E57" s="1" t="s">
        <v>1232</v>
      </c>
      <c r="F57" s="1" t="s">
        <v>11</v>
      </c>
    </row>
    <row r="58" spans="1:6" x14ac:dyDescent="0.3">
      <c r="A58" s="1" t="str">
        <f t="shared" si="1"/>
        <v>Crescentino</v>
      </c>
      <c r="B58" s="1" t="str">
        <f t="shared" si="3"/>
        <v>Italy</v>
      </c>
      <c r="C58" s="1" t="s">
        <v>1106</v>
      </c>
      <c r="D58" s="1" t="e">
        <f t="shared" si="0"/>
        <v>#VALUE!</v>
      </c>
      <c r="E58" s="1" t="s">
        <v>1233</v>
      </c>
      <c r="F58" s="1" t="s">
        <v>11</v>
      </c>
    </row>
    <row r="59" spans="1:6" x14ac:dyDescent="0.3">
      <c r="A59" s="1" t="str">
        <f t="shared" si="1"/>
        <v>Ornavasso</v>
      </c>
      <c r="B59" s="1" t="str">
        <f t="shared" si="3"/>
        <v>Italy</v>
      </c>
      <c r="C59" s="1" t="s">
        <v>1107</v>
      </c>
      <c r="D59" s="1" t="e">
        <f t="shared" si="0"/>
        <v>#VALUE!</v>
      </c>
      <c r="E59" s="1" t="s">
        <v>1234</v>
      </c>
      <c r="F59" s="1" t="s">
        <v>11</v>
      </c>
    </row>
    <row r="60" spans="1:6" x14ac:dyDescent="0.3">
      <c r="A60" s="1" t="s">
        <v>1005</v>
      </c>
      <c r="B60" s="1" t="s">
        <v>630</v>
      </c>
      <c r="C60" s="1">
        <v>1531</v>
      </c>
      <c r="D60" s="1" t="e">
        <f t="shared" si="0"/>
        <v>#VALUE!</v>
      </c>
      <c r="E60" s="1" t="e">
        <v>#VALUE!</v>
      </c>
    </row>
    <row r="61" spans="1:6" x14ac:dyDescent="0.3">
      <c r="A61" s="1" t="str">
        <f t="shared" ref="A61:A72" si="4">E61</f>
        <v>Savona</v>
      </c>
      <c r="B61" s="1" t="str">
        <f t="shared" ref="B61:B72" si="5">F61</f>
        <v>Italy</v>
      </c>
      <c r="C61" s="1" t="s">
        <v>1108</v>
      </c>
      <c r="D61" s="1" t="e">
        <f t="shared" si="0"/>
        <v>#VALUE!</v>
      </c>
      <c r="E61" s="1" t="s">
        <v>1235</v>
      </c>
      <c r="F61" s="1" t="s">
        <v>11</v>
      </c>
    </row>
    <row r="62" spans="1:6" x14ac:dyDescent="0.3">
      <c r="A62" s="1" t="str">
        <f t="shared" si="4"/>
        <v>Sveta Gora</v>
      </c>
      <c r="B62" s="1" t="str">
        <f t="shared" si="5"/>
        <v>Slovenia</v>
      </c>
      <c r="C62" s="1" t="s">
        <v>1109</v>
      </c>
      <c r="D62" s="1" t="e">
        <f t="shared" si="0"/>
        <v>#VALUE!</v>
      </c>
      <c r="E62" s="1" t="s">
        <v>1236</v>
      </c>
      <c r="F62" s="1" t="s">
        <v>669</v>
      </c>
    </row>
    <row r="63" spans="1:6" x14ac:dyDescent="0.3">
      <c r="A63" s="1" t="str">
        <f t="shared" si="4"/>
        <v>Ocotlán</v>
      </c>
      <c r="B63" s="1" t="str">
        <f t="shared" si="5"/>
        <v>Mexico</v>
      </c>
      <c r="C63" s="1" t="s">
        <v>1110</v>
      </c>
      <c r="D63" s="1" t="e">
        <f t="shared" si="0"/>
        <v>#VALUE!</v>
      </c>
      <c r="E63" s="1" t="s">
        <v>1237</v>
      </c>
      <c r="F63" s="1" t="s">
        <v>630</v>
      </c>
    </row>
    <row r="64" spans="1:6" x14ac:dyDescent="0.3">
      <c r="A64" s="1" t="str">
        <f t="shared" si="4"/>
        <v>Vacciago</v>
      </c>
      <c r="B64" s="1" t="str">
        <f t="shared" si="5"/>
        <v>Italy</v>
      </c>
      <c r="C64" s="1" t="s">
        <v>1111</v>
      </c>
      <c r="D64" s="1" t="e">
        <f t="shared" si="0"/>
        <v>#VALUE!</v>
      </c>
      <c r="E64" s="1" t="s">
        <v>1238</v>
      </c>
      <c r="F64" s="1" t="s">
        <v>11</v>
      </c>
    </row>
    <row r="65" spans="1:6" x14ac:dyDescent="0.3">
      <c r="A65" s="1" t="str">
        <f t="shared" si="4"/>
        <v>Pietralba</v>
      </c>
      <c r="B65" s="1" t="str">
        <f t="shared" si="5"/>
        <v>Italy</v>
      </c>
      <c r="C65" s="1" t="s">
        <v>1112</v>
      </c>
      <c r="D65" s="1" t="e">
        <f t="shared" si="0"/>
        <v>#VALUE!</v>
      </c>
      <c r="E65" s="1" t="s">
        <v>1239</v>
      </c>
      <c r="F65" s="1" t="s">
        <v>11</v>
      </c>
    </row>
    <row r="66" spans="1:6" x14ac:dyDescent="0.3">
      <c r="A66" s="1" t="str">
        <f t="shared" si="4"/>
        <v>Corbetta</v>
      </c>
      <c r="B66" s="1" t="str">
        <f t="shared" si="5"/>
        <v>Italy</v>
      </c>
      <c r="C66" s="1" t="s">
        <v>1113</v>
      </c>
      <c r="D66" s="1" t="e">
        <f t="shared" si="0"/>
        <v>#VALUE!</v>
      </c>
      <c r="E66" s="1" t="s">
        <v>1240</v>
      </c>
      <c r="F66" s="1" t="s">
        <v>11</v>
      </c>
    </row>
    <row r="67" spans="1:6" x14ac:dyDescent="0.3">
      <c r="A67" s="1" t="str">
        <f t="shared" si="4"/>
        <v>Arcola</v>
      </c>
      <c r="B67" s="1" t="str">
        <f t="shared" si="5"/>
        <v>Italy</v>
      </c>
      <c r="C67" s="1" t="s">
        <v>1114</v>
      </c>
      <c r="D67" s="1" t="e">
        <f t="shared" ref="D67:D130" si="6">MID(A67,FIND(". ",A67)+2,LEN(A67))</f>
        <v>#VALUE!</v>
      </c>
      <c r="E67" s="1" t="s">
        <v>1241</v>
      </c>
      <c r="F67" s="1" t="s">
        <v>11</v>
      </c>
    </row>
    <row r="68" spans="1:6" x14ac:dyDescent="0.3">
      <c r="A68" s="1" t="str">
        <f t="shared" si="4"/>
        <v>Giulianova</v>
      </c>
      <c r="B68" s="1" t="str">
        <f t="shared" si="5"/>
        <v>Italy</v>
      </c>
      <c r="C68" s="1" t="s">
        <v>1115</v>
      </c>
      <c r="D68" s="1" t="e">
        <f t="shared" si="6"/>
        <v>#VALUE!</v>
      </c>
      <c r="E68" s="1" t="s">
        <v>1242</v>
      </c>
      <c r="F68" s="1" t="s">
        <v>11</v>
      </c>
    </row>
    <row r="69" spans="1:6" x14ac:dyDescent="0.3">
      <c r="A69" s="1" t="str">
        <f t="shared" si="4"/>
        <v>Gerosa</v>
      </c>
      <c r="B69" s="1" t="str">
        <f t="shared" si="5"/>
        <v>Italy</v>
      </c>
      <c r="C69" s="1" t="s">
        <v>1116</v>
      </c>
      <c r="D69" s="1" t="e">
        <f t="shared" si="6"/>
        <v>#VALUE!</v>
      </c>
      <c r="E69" s="1" t="s">
        <v>1243</v>
      </c>
      <c r="F69" s="1" t="s">
        <v>11</v>
      </c>
    </row>
    <row r="70" spans="1:6" x14ac:dyDescent="0.3">
      <c r="A70" s="1" t="str">
        <f t="shared" si="4"/>
        <v>Moncrivello</v>
      </c>
      <c r="B70" s="1" t="str">
        <f t="shared" si="5"/>
        <v>Italy</v>
      </c>
      <c r="C70" s="1" t="s">
        <v>1117</v>
      </c>
      <c r="D70" s="1" t="e">
        <f t="shared" si="6"/>
        <v>#VALUE!</v>
      </c>
      <c r="E70" s="1" t="s">
        <v>1244</v>
      </c>
      <c r="F70" s="1" t="s">
        <v>11</v>
      </c>
    </row>
    <row r="71" spans="1:6" x14ac:dyDescent="0.3">
      <c r="A71" s="1" t="str">
        <f t="shared" si="4"/>
        <v>Gozo</v>
      </c>
      <c r="B71" s="1" t="str">
        <f t="shared" si="5"/>
        <v>Malta</v>
      </c>
      <c r="C71" s="1" t="s">
        <v>1118</v>
      </c>
      <c r="D71" s="1" t="e">
        <f t="shared" si="6"/>
        <v>#VALUE!</v>
      </c>
      <c r="E71" s="1" t="s">
        <v>1245</v>
      </c>
      <c r="F71" s="1" t="s">
        <v>626</v>
      </c>
    </row>
    <row r="72" spans="1:6" x14ac:dyDescent="0.3">
      <c r="A72" s="1" t="str">
        <f t="shared" si="4"/>
        <v>Casalbordino</v>
      </c>
      <c r="B72" s="1" t="str">
        <f t="shared" si="5"/>
        <v>Italy</v>
      </c>
      <c r="C72" s="1" t="s">
        <v>1119</v>
      </c>
      <c r="D72" s="1" t="e">
        <f t="shared" si="6"/>
        <v>#VALUE!</v>
      </c>
      <c r="E72" s="1" t="s">
        <v>1246</v>
      </c>
      <c r="F72" s="1" t="s">
        <v>11</v>
      </c>
    </row>
    <row r="73" spans="1:6" x14ac:dyDescent="0.3">
      <c r="A73" s="1" t="s">
        <v>1052</v>
      </c>
      <c r="B73" s="1" t="s">
        <v>651</v>
      </c>
      <c r="C73" s="1">
        <v>1578</v>
      </c>
      <c r="D73" s="1" t="e">
        <f t="shared" si="6"/>
        <v>#VALUE!</v>
      </c>
      <c r="E73" s="1" t="e">
        <v>#VALUE!</v>
      </c>
    </row>
    <row r="74" spans="1:6" x14ac:dyDescent="0.3">
      <c r="A74" s="1" t="str">
        <f t="shared" ref="A74:A84" si="7">E74</f>
        <v>Lumarzo</v>
      </c>
      <c r="B74" s="1" t="str">
        <f t="shared" ref="B74:B84" si="8">F74</f>
        <v>Italy</v>
      </c>
      <c r="C74" s="1" t="s">
        <v>1120</v>
      </c>
      <c r="D74" s="1" t="e">
        <f t="shared" si="6"/>
        <v>#VALUE!</v>
      </c>
      <c r="E74" s="1" t="s">
        <v>1247</v>
      </c>
      <c r="F74" s="1" t="s">
        <v>11</v>
      </c>
    </row>
    <row r="75" spans="1:6" x14ac:dyDescent="0.3">
      <c r="A75" s="1" t="str">
        <f t="shared" si="7"/>
        <v>Chiquinquirá</v>
      </c>
      <c r="B75" s="1" t="str">
        <f t="shared" si="8"/>
        <v>Colombia</v>
      </c>
      <c r="C75" s="1" t="s">
        <v>1121</v>
      </c>
      <c r="D75" s="1" t="e">
        <f t="shared" si="6"/>
        <v>#VALUE!</v>
      </c>
      <c r="E75" s="1" t="s">
        <v>1248</v>
      </c>
      <c r="F75" s="1" t="s">
        <v>534</v>
      </c>
    </row>
    <row r="76" spans="1:6" x14ac:dyDescent="0.3">
      <c r="A76" s="1" t="str">
        <f t="shared" si="7"/>
        <v>Quinche</v>
      </c>
      <c r="B76" s="1" t="str">
        <f t="shared" si="8"/>
        <v>Ecuador</v>
      </c>
      <c r="C76" s="1" t="s">
        <v>1121</v>
      </c>
      <c r="D76" s="1" t="e">
        <f t="shared" si="6"/>
        <v>#VALUE!</v>
      </c>
      <c r="E76" s="1" t="s">
        <v>1249</v>
      </c>
      <c r="F76" s="1" t="s">
        <v>548</v>
      </c>
    </row>
    <row r="77" spans="1:6" x14ac:dyDescent="0.3">
      <c r="A77" s="1" t="str">
        <f t="shared" si="7"/>
        <v>Quito</v>
      </c>
      <c r="B77" s="1" t="str">
        <f t="shared" si="8"/>
        <v>Ecuador</v>
      </c>
      <c r="C77" s="1" t="s">
        <v>1122</v>
      </c>
      <c r="D77" s="1" t="e">
        <f t="shared" si="6"/>
        <v>#VALUE!</v>
      </c>
      <c r="E77" s="1" t="s">
        <v>1250</v>
      </c>
      <c r="F77" s="1" t="s">
        <v>548</v>
      </c>
    </row>
    <row r="78" spans="1:6" x14ac:dyDescent="0.3">
      <c r="A78" s="1" t="str">
        <f t="shared" si="7"/>
        <v>Rapallo</v>
      </c>
      <c r="B78" s="1" t="str">
        <f t="shared" si="8"/>
        <v>Italy</v>
      </c>
      <c r="C78" s="1" t="s">
        <v>1123</v>
      </c>
      <c r="D78" s="1" t="e">
        <f t="shared" si="6"/>
        <v>#VALUE!</v>
      </c>
      <c r="E78" s="1" t="s">
        <v>1251</v>
      </c>
      <c r="F78" s="1" t="s">
        <v>11</v>
      </c>
    </row>
    <row r="79" spans="1:6" x14ac:dyDescent="0.3">
      <c r="A79" s="1" t="str">
        <f t="shared" si="7"/>
        <v>Bétharram</v>
      </c>
      <c r="B79" s="1" t="str">
        <f t="shared" si="8"/>
        <v>France</v>
      </c>
      <c r="C79" s="1" t="s">
        <v>1124</v>
      </c>
      <c r="D79" s="1" t="e">
        <f t="shared" si="6"/>
        <v>#VALUE!</v>
      </c>
      <c r="E79" s="1" t="s">
        <v>1252</v>
      </c>
      <c r="F79" s="1" t="s">
        <v>557</v>
      </c>
    </row>
    <row r="80" spans="1:6" x14ac:dyDescent="0.3">
      <c r="A80" s="1" t="str">
        <f t="shared" si="7"/>
        <v>Luján</v>
      </c>
      <c r="B80" s="1" t="str">
        <f t="shared" si="8"/>
        <v>Argentina</v>
      </c>
      <c r="C80" s="1" t="s">
        <v>1125</v>
      </c>
      <c r="D80" s="1" t="e">
        <f t="shared" si="6"/>
        <v>#VALUE!</v>
      </c>
      <c r="E80" s="1" t="s">
        <v>1253</v>
      </c>
      <c r="F80" s="1" t="s">
        <v>500</v>
      </c>
    </row>
    <row r="81" spans="1:6" x14ac:dyDescent="0.3">
      <c r="A81" s="1" t="str">
        <f t="shared" si="7"/>
        <v>Caacupé</v>
      </c>
      <c r="B81" s="1" t="str">
        <f t="shared" si="8"/>
        <v>Paraguay</v>
      </c>
      <c r="C81" s="1" t="s">
        <v>1125</v>
      </c>
      <c r="D81" s="1" t="e">
        <f t="shared" si="6"/>
        <v>#VALUE!</v>
      </c>
      <c r="E81" s="1" t="s">
        <v>1254</v>
      </c>
      <c r="F81" s="1" t="s">
        <v>657</v>
      </c>
    </row>
    <row r="82" spans="1:6" x14ac:dyDescent="0.3">
      <c r="A82" s="1" t="str">
        <f t="shared" si="7"/>
        <v>Caysasay</v>
      </c>
      <c r="B82" s="1" t="str">
        <f t="shared" si="8"/>
        <v>Philippines</v>
      </c>
      <c r="C82" s="1" t="s">
        <v>1126</v>
      </c>
      <c r="D82" s="1" t="e">
        <f t="shared" si="6"/>
        <v>#VALUE!</v>
      </c>
      <c r="E82" s="1" t="s">
        <v>1255</v>
      </c>
      <c r="F82" s="1" t="s">
        <v>649</v>
      </c>
    </row>
    <row r="83" spans="1:6" x14ac:dyDescent="0.3">
      <c r="A83" s="1" t="str">
        <f t="shared" si="7"/>
        <v>Doroszló</v>
      </c>
      <c r="B83" s="1" t="str">
        <f t="shared" si="8"/>
        <v>Serbia</v>
      </c>
      <c r="C83" s="1" t="s">
        <v>1126</v>
      </c>
      <c r="D83" s="1" t="e">
        <f t="shared" si="6"/>
        <v>#VALUE!</v>
      </c>
      <c r="E83" s="1" t="s">
        <v>1256</v>
      </c>
      <c r="F83" s="1" t="s">
        <v>661</v>
      </c>
    </row>
    <row r="84" spans="1:6" x14ac:dyDescent="0.3">
      <c r="A84" s="1" t="str">
        <f t="shared" si="7"/>
        <v>Ardesio</v>
      </c>
      <c r="B84" s="1" t="str">
        <f t="shared" si="8"/>
        <v>Italy</v>
      </c>
      <c r="C84" s="1" t="s">
        <v>1127</v>
      </c>
      <c r="D84" s="1" t="e">
        <f t="shared" si="6"/>
        <v>#VALUE!</v>
      </c>
      <c r="E84" s="1" t="s">
        <v>1257</v>
      </c>
      <c r="F84" s="1" t="s">
        <v>11</v>
      </c>
    </row>
    <row r="85" spans="1:6" x14ac:dyDescent="0.3">
      <c r="A85" s="1" t="s">
        <v>1006</v>
      </c>
      <c r="B85" s="1" t="s">
        <v>607</v>
      </c>
      <c r="C85" s="1">
        <v>1608</v>
      </c>
      <c r="D85" s="1" t="e">
        <f t="shared" si="6"/>
        <v>#VALUE!</v>
      </c>
      <c r="E85" s="1" t="e">
        <v>#VALUE!</v>
      </c>
    </row>
    <row r="86" spans="1:6" x14ac:dyDescent="0.3">
      <c r="A86" s="1" t="str">
        <f t="shared" ref="A86:A95" si="9">E86</f>
        <v>Manaoag</v>
      </c>
      <c r="B86" s="1" t="str">
        <f t="shared" ref="B86:B95" si="10">F86</f>
        <v>Philippines</v>
      </c>
      <c r="C86" s="1" t="s">
        <v>1128</v>
      </c>
      <c r="D86" s="1" t="e">
        <f t="shared" si="6"/>
        <v>#VALUE!</v>
      </c>
      <c r="E86" s="1" t="s">
        <v>1258</v>
      </c>
      <c r="F86" s="1" t="s">
        <v>649</v>
      </c>
    </row>
    <row r="87" spans="1:6" x14ac:dyDescent="0.3">
      <c r="A87" s="1" t="str">
        <f t="shared" si="9"/>
        <v>El Cobre</v>
      </c>
      <c r="B87" s="1" t="str">
        <f t="shared" si="10"/>
        <v>Cuba</v>
      </c>
      <c r="C87" s="1" t="s">
        <v>1129</v>
      </c>
      <c r="D87" s="1" t="e">
        <f t="shared" si="6"/>
        <v>#VALUE!</v>
      </c>
      <c r="E87" s="1" t="s">
        <v>1316</v>
      </c>
      <c r="F87" s="1" t="s">
        <v>536</v>
      </c>
    </row>
    <row r="88" spans="1:6" x14ac:dyDescent="0.3">
      <c r="A88" s="1" t="str">
        <f t="shared" si="9"/>
        <v>San Salvatore Monferrato</v>
      </c>
      <c r="B88" s="1" t="str">
        <f t="shared" si="10"/>
        <v>Italy</v>
      </c>
      <c r="C88" s="1" t="s">
        <v>1130</v>
      </c>
      <c r="D88" s="1" t="e">
        <f t="shared" si="6"/>
        <v>#VALUE!</v>
      </c>
      <c r="E88" s="1" t="s">
        <v>1259</v>
      </c>
      <c r="F88" s="1" t="s">
        <v>11</v>
      </c>
    </row>
    <row r="89" spans="1:6" x14ac:dyDescent="0.3">
      <c r="A89" s="1" t="str">
        <f t="shared" si="9"/>
        <v>Marbach</v>
      </c>
      <c r="B89" s="1" t="str">
        <f t="shared" si="10"/>
        <v>Austria</v>
      </c>
      <c r="C89" s="1" t="s">
        <v>1131</v>
      </c>
      <c r="D89" s="1" t="e">
        <f t="shared" si="6"/>
        <v>#VALUE!</v>
      </c>
      <c r="E89" s="1" t="s">
        <v>1260</v>
      </c>
      <c r="F89" s="1" t="s">
        <v>502</v>
      </c>
    </row>
    <row r="90" spans="1:6" x14ac:dyDescent="0.3">
      <c r="A90" s="1" t="str">
        <f t="shared" si="9"/>
        <v>Cartago</v>
      </c>
      <c r="B90" s="1" t="str">
        <f t="shared" si="10"/>
        <v>Costa Rica</v>
      </c>
      <c r="C90" s="1" t="s">
        <v>1132</v>
      </c>
      <c r="D90" s="1" t="e">
        <f t="shared" si="6"/>
        <v>#VALUE!</v>
      </c>
      <c r="E90" s="1" t="s">
        <v>1261</v>
      </c>
      <c r="F90" s="1" t="s">
        <v>535</v>
      </c>
    </row>
    <row r="91" spans="1:6" x14ac:dyDescent="0.3">
      <c r="A91" s="1" t="str">
        <f t="shared" si="9"/>
        <v>Kevelaer</v>
      </c>
      <c r="B91" s="1" t="str">
        <f t="shared" si="10"/>
        <v>Germany</v>
      </c>
      <c r="C91" s="1" t="s">
        <v>1133</v>
      </c>
      <c r="D91" s="1" t="e">
        <f t="shared" si="6"/>
        <v>#VALUE!</v>
      </c>
      <c r="E91" s="1" t="s">
        <v>1262</v>
      </c>
      <c r="F91" s="1" t="s">
        <v>542</v>
      </c>
    </row>
    <row r="92" spans="1:6" x14ac:dyDescent="0.3">
      <c r="A92" s="1" t="str">
        <f t="shared" si="9"/>
        <v>Plantées</v>
      </c>
      <c r="B92" s="1" t="str">
        <f t="shared" si="10"/>
        <v>France</v>
      </c>
      <c r="C92" s="1" t="s">
        <v>1134</v>
      </c>
      <c r="D92" s="1" t="e">
        <f t="shared" si="6"/>
        <v>#VALUE!</v>
      </c>
      <c r="E92" s="1" t="s">
        <v>1263</v>
      </c>
      <c r="F92" s="1" t="s">
        <v>557</v>
      </c>
    </row>
    <row r="93" spans="1:6" x14ac:dyDescent="0.3">
      <c r="A93" s="1" t="str">
        <f t="shared" si="9"/>
        <v>Guanare</v>
      </c>
      <c r="B93" s="1" t="str">
        <f t="shared" si="10"/>
        <v>Venezuela</v>
      </c>
      <c r="C93" s="1" t="s">
        <v>1135</v>
      </c>
      <c r="D93" s="1" t="e">
        <f t="shared" si="6"/>
        <v>#VALUE!</v>
      </c>
      <c r="E93" s="1" t="s">
        <v>1264</v>
      </c>
      <c r="F93" s="1" t="s">
        <v>717</v>
      </c>
    </row>
    <row r="94" spans="1:6" x14ac:dyDescent="0.3">
      <c r="A94" s="1" t="str">
        <f t="shared" si="9"/>
        <v>La Prenessaye</v>
      </c>
      <c r="B94" s="1" t="str">
        <f t="shared" si="10"/>
        <v>France</v>
      </c>
      <c r="C94" s="1" t="s">
        <v>1136</v>
      </c>
      <c r="D94" s="1" t="e">
        <f t="shared" si="6"/>
        <v>#VALUE!</v>
      </c>
      <c r="E94" s="1" t="s">
        <v>1265</v>
      </c>
      <c r="F94" s="1" t="s">
        <v>557</v>
      </c>
    </row>
    <row r="95" spans="1:6" x14ac:dyDescent="0.3">
      <c r="A95" s="1" t="str">
        <f t="shared" si="9"/>
        <v>Pieve Di Tagliamento</v>
      </c>
      <c r="B95" s="1" t="str">
        <f t="shared" si="10"/>
        <v>Italy</v>
      </c>
      <c r="C95" s="1" t="s">
        <v>1137</v>
      </c>
      <c r="D95" s="1" t="e">
        <f t="shared" si="6"/>
        <v>#VALUE!</v>
      </c>
      <c r="E95" s="1" t="s">
        <v>1266</v>
      </c>
      <c r="F95" s="1" t="s">
        <v>11</v>
      </c>
    </row>
    <row r="96" spans="1:6" x14ac:dyDescent="0.3">
      <c r="A96" s="1" t="s">
        <v>1009</v>
      </c>
      <c r="B96" s="1" t="s">
        <v>557</v>
      </c>
      <c r="C96" s="1" t="s">
        <v>1012</v>
      </c>
      <c r="D96" s="1" t="e">
        <f t="shared" si="6"/>
        <v>#VALUE!</v>
      </c>
      <c r="E96" s="1" t="e">
        <v>#VALUE!</v>
      </c>
    </row>
    <row r="97" spans="1:6" x14ac:dyDescent="0.3">
      <c r="A97" s="1" t="str">
        <f t="shared" ref="A97:A109" si="11">E97</f>
        <v>San Bartolomeo Al Mare</v>
      </c>
      <c r="B97" s="1" t="str">
        <f t="shared" ref="B97:B103" si="12">F97</f>
        <v>Italy</v>
      </c>
      <c r="C97" s="1" t="s">
        <v>1138</v>
      </c>
      <c r="D97" s="1" t="e">
        <f t="shared" si="6"/>
        <v>#VALUE!</v>
      </c>
      <c r="E97" s="1" t="s">
        <v>1267</v>
      </c>
      <c r="F97" s="1" t="s">
        <v>11</v>
      </c>
    </row>
    <row r="98" spans="1:6" x14ac:dyDescent="0.3">
      <c r="A98" s="1" t="str">
        <f t="shared" si="11"/>
        <v>Máriapócs and Gyõr</v>
      </c>
      <c r="B98" s="1" t="str">
        <f t="shared" si="12"/>
        <v>Hungary</v>
      </c>
      <c r="C98" s="1" t="s">
        <v>1139</v>
      </c>
      <c r="D98" s="1" t="e">
        <f t="shared" si="6"/>
        <v>#VALUE!</v>
      </c>
      <c r="E98" s="1" t="s">
        <v>1268</v>
      </c>
      <c r="F98" s="1" t="s">
        <v>581</v>
      </c>
    </row>
    <row r="99" spans="1:6" x14ac:dyDescent="0.3">
      <c r="A99" s="1" t="str">
        <f t="shared" si="11"/>
        <v>Cotoca</v>
      </c>
      <c r="B99" s="1" t="str">
        <f t="shared" si="12"/>
        <v>Bolivia</v>
      </c>
      <c r="C99" s="1" t="s">
        <v>1140</v>
      </c>
      <c r="D99" s="1" t="e">
        <f t="shared" si="6"/>
        <v>#VALUE!</v>
      </c>
      <c r="E99" s="1" t="s">
        <v>1269</v>
      </c>
      <c r="F99" s="1" t="s">
        <v>709</v>
      </c>
    </row>
    <row r="100" spans="1:6" x14ac:dyDescent="0.3">
      <c r="A100" s="1" t="str">
        <f t="shared" si="11"/>
        <v>Quillacollo</v>
      </c>
      <c r="B100" s="1" t="str">
        <f t="shared" si="12"/>
        <v>Bolivia</v>
      </c>
      <c r="C100" s="1" t="s">
        <v>1141</v>
      </c>
      <c r="D100" s="1" t="e">
        <f t="shared" si="6"/>
        <v>#VALUE!</v>
      </c>
      <c r="E100" s="1" t="s">
        <v>1270</v>
      </c>
      <c r="F100" s="1" t="s">
        <v>709</v>
      </c>
    </row>
    <row r="101" spans="1:6" x14ac:dyDescent="0.3">
      <c r="A101" s="1" t="str">
        <f t="shared" si="11"/>
        <v>Pellestrina</v>
      </c>
      <c r="B101" s="1" t="str">
        <f t="shared" si="12"/>
        <v>Italy</v>
      </c>
      <c r="C101" s="1" t="s">
        <v>1142</v>
      </c>
      <c r="D101" s="1" t="e">
        <f t="shared" si="6"/>
        <v>#VALUE!</v>
      </c>
      <c r="E101" s="1" t="s">
        <v>1271</v>
      </c>
      <c r="F101" s="1" t="s">
        <v>11</v>
      </c>
    </row>
    <row r="102" spans="1:6" x14ac:dyDescent="0.3">
      <c r="A102" s="1" t="str">
        <f t="shared" si="11"/>
        <v>Vale Do Paraíba</v>
      </c>
      <c r="B102" s="1" t="str">
        <f t="shared" si="12"/>
        <v>Brazil</v>
      </c>
      <c r="C102" s="1" t="s">
        <v>1143</v>
      </c>
      <c r="D102" s="1" t="e">
        <f t="shared" si="6"/>
        <v>#VALUE!</v>
      </c>
      <c r="E102" s="1" t="s">
        <v>1272</v>
      </c>
      <c r="F102" s="1" t="s">
        <v>518</v>
      </c>
    </row>
    <row r="103" spans="1:6" x14ac:dyDescent="0.3">
      <c r="A103" s="1" t="str">
        <f t="shared" si="11"/>
        <v>Montagnaga Di Pine’</v>
      </c>
      <c r="B103" s="1" t="str">
        <f t="shared" si="12"/>
        <v>Italy</v>
      </c>
      <c r="C103" s="1" t="s">
        <v>1144</v>
      </c>
      <c r="D103" s="1" t="e">
        <f t="shared" si="6"/>
        <v>#VALUE!</v>
      </c>
      <c r="E103" s="1" t="s">
        <v>1273</v>
      </c>
      <c r="F103" s="1" t="s">
        <v>11</v>
      </c>
    </row>
    <row r="104" spans="1:6" x14ac:dyDescent="0.3">
      <c r="A104" s="1" t="str">
        <f t="shared" si="11"/>
        <v>Rome (Our Lady of Divine Love)</v>
      </c>
      <c r="B104" s="1" t="s">
        <v>731</v>
      </c>
      <c r="C104" s="1" t="s">
        <v>1145</v>
      </c>
      <c r="D104" s="1" t="e">
        <f t="shared" si="6"/>
        <v>#VALUE!</v>
      </c>
      <c r="E104" s="1" t="s">
        <v>1312</v>
      </c>
      <c r="F104" s="1" t="s">
        <v>11</v>
      </c>
    </row>
    <row r="105" spans="1:6" x14ac:dyDescent="0.3">
      <c r="A105" s="1" t="str">
        <f t="shared" si="11"/>
        <v>Chaguaya</v>
      </c>
      <c r="B105" s="1" t="str">
        <f>F105</f>
        <v>Bolivia</v>
      </c>
      <c r="C105" s="1" t="s">
        <v>1146</v>
      </c>
      <c r="D105" s="1" t="e">
        <f t="shared" si="6"/>
        <v>#VALUE!</v>
      </c>
      <c r="E105" s="1" t="s">
        <v>1274</v>
      </c>
      <c r="F105" s="1" t="s">
        <v>709</v>
      </c>
    </row>
    <row r="106" spans="1:6" x14ac:dyDescent="0.3">
      <c r="A106" s="1" t="str">
        <f t="shared" si="11"/>
        <v>Las Lajas</v>
      </c>
      <c r="B106" s="1" t="str">
        <f>F106</f>
        <v>Colombia</v>
      </c>
      <c r="C106" s="1" t="s">
        <v>1147</v>
      </c>
      <c r="D106" s="1" t="e">
        <f t="shared" si="6"/>
        <v>#VALUE!</v>
      </c>
      <c r="E106" s="1" t="s">
        <v>1275</v>
      </c>
      <c r="F106" s="1" t="s">
        <v>534</v>
      </c>
    </row>
    <row r="107" spans="1:6" x14ac:dyDescent="0.3">
      <c r="A107" s="1" t="str">
        <f t="shared" si="11"/>
        <v>Absam</v>
      </c>
      <c r="B107" s="1" t="str">
        <f>F107</f>
        <v>Austria</v>
      </c>
      <c r="C107" s="1" t="s">
        <v>1148</v>
      </c>
      <c r="D107" s="1" t="e">
        <f t="shared" si="6"/>
        <v>#VALUE!</v>
      </c>
      <c r="E107" s="1" t="s">
        <v>1276</v>
      </c>
      <c r="F107" s="1" t="s">
        <v>502</v>
      </c>
    </row>
    <row r="108" spans="1:6" x14ac:dyDescent="0.3">
      <c r="A108" s="1" t="str">
        <f t="shared" si="11"/>
        <v>La Vang</v>
      </c>
      <c r="B108" s="1" t="str">
        <f>F108</f>
        <v>Vietnam</v>
      </c>
      <c r="C108" s="1" t="s">
        <v>1149</v>
      </c>
      <c r="D108" s="1" t="e">
        <f t="shared" si="6"/>
        <v>#VALUE!</v>
      </c>
      <c r="E108" s="1" t="s">
        <v>1277</v>
      </c>
      <c r="F108" s="1" t="s">
        <v>742</v>
      </c>
    </row>
    <row r="109" spans="1:6" x14ac:dyDescent="0.3">
      <c r="A109" s="1" t="str">
        <f t="shared" si="11"/>
        <v>Ornans</v>
      </c>
      <c r="B109" s="1" t="str">
        <f>F109</f>
        <v>France</v>
      </c>
      <c r="C109" s="1" t="s">
        <v>1150</v>
      </c>
      <c r="D109" s="1" t="e">
        <f t="shared" si="6"/>
        <v>#VALUE!</v>
      </c>
      <c r="E109" s="1" t="s">
        <v>1278</v>
      </c>
      <c r="F109" s="1" t="s">
        <v>557</v>
      </c>
    </row>
    <row r="110" spans="1:6" x14ac:dyDescent="0.3">
      <c r="A110" s="1" t="s">
        <v>1021</v>
      </c>
      <c r="B110" s="1" t="s">
        <v>651</v>
      </c>
      <c r="C110" s="1" t="s">
        <v>1022</v>
      </c>
      <c r="D110" s="1" t="e">
        <f t="shared" si="6"/>
        <v>#VALUE!</v>
      </c>
      <c r="E110" s="1" t="e">
        <v>#VALUE!</v>
      </c>
    </row>
    <row r="111" spans="1:6" x14ac:dyDescent="0.3">
      <c r="A111" s="1" t="s">
        <v>1025</v>
      </c>
      <c r="B111" s="1" t="s">
        <v>732</v>
      </c>
      <c r="C111" s="1">
        <v>1830</v>
      </c>
      <c r="D111" s="1" t="e">
        <f t="shared" si="6"/>
        <v>#VALUE!</v>
      </c>
      <c r="E111" s="1" t="e">
        <v>#VALUE!</v>
      </c>
    </row>
    <row r="112" spans="1:6" x14ac:dyDescent="0.3">
      <c r="A112" s="1" t="s">
        <v>1004</v>
      </c>
      <c r="B112" s="1" t="s">
        <v>731</v>
      </c>
      <c r="C112" s="1">
        <v>1842</v>
      </c>
      <c r="D112" s="1" t="e">
        <f t="shared" si="6"/>
        <v>#VALUE!</v>
      </c>
      <c r="E112" s="1" t="e">
        <v>#VALUE!</v>
      </c>
    </row>
    <row r="113" spans="1:6" x14ac:dyDescent="0.3">
      <c r="A113" s="1" t="s">
        <v>1026</v>
      </c>
      <c r="B113" s="1" t="s">
        <v>557</v>
      </c>
      <c r="C113" s="1">
        <v>1846</v>
      </c>
      <c r="D113" s="1" t="e">
        <f t="shared" si="6"/>
        <v>#VALUE!</v>
      </c>
      <c r="E113" s="1" t="e">
        <v>#VALUE!</v>
      </c>
    </row>
    <row r="114" spans="1:6" x14ac:dyDescent="0.3">
      <c r="A114" s="1" t="str">
        <f>E114</f>
        <v>Cerreto Di Sorano</v>
      </c>
      <c r="B114" s="1" t="str">
        <f>F114</f>
        <v>Italy</v>
      </c>
      <c r="C114" s="1" t="s">
        <v>1151</v>
      </c>
      <c r="D114" s="1" t="e">
        <f t="shared" si="6"/>
        <v>#VALUE!</v>
      </c>
      <c r="E114" s="1" t="s">
        <v>1279</v>
      </c>
      <c r="F114" s="1" t="s">
        <v>11</v>
      </c>
    </row>
    <row r="115" spans="1:6" x14ac:dyDescent="0.3">
      <c r="A115" s="1" t="str">
        <f>E115</f>
        <v>Porzus Degli Slavi</v>
      </c>
      <c r="B115" s="1" t="str">
        <f>F115</f>
        <v>Italy</v>
      </c>
      <c r="C115" s="1" t="s">
        <v>1152</v>
      </c>
      <c r="D115" s="1" t="e">
        <f t="shared" si="6"/>
        <v>#VALUE!</v>
      </c>
      <c r="E115" s="1" t="s">
        <v>1280</v>
      </c>
      <c r="F115" s="1" t="s">
        <v>11</v>
      </c>
    </row>
    <row r="116" spans="1:6" x14ac:dyDescent="0.3">
      <c r="A116" s="1" t="s">
        <v>999</v>
      </c>
      <c r="B116" s="1" t="s">
        <v>557</v>
      </c>
      <c r="C116" s="1">
        <v>1858</v>
      </c>
      <c r="D116" s="1" t="e">
        <f t="shared" si="6"/>
        <v>#VALUE!</v>
      </c>
      <c r="E116" s="1" t="e">
        <v>#VALUE!</v>
      </c>
    </row>
    <row r="117" spans="1:6" x14ac:dyDescent="0.3">
      <c r="A117" s="1" t="str">
        <f>E117</f>
        <v>Champion</v>
      </c>
      <c r="B117" s="1" t="str">
        <f>F117</f>
        <v>United States of America</v>
      </c>
      <c r="C117" s="1" t="s">
        <v>1153</v>
      </c>
      <c r="D117" s="1" t="e">
        <f t="shared" si="6"/>
        <v>#VALUE!</v>
      </c>
      <c r="E117" s="1" t="s">
        <v>1281</v>
      </c>
      <c r="F117" s="1" t="s">
        <v>697</v>
      </c>
    </row>
    <row r="118" spans="1:6" x14ac:dyDescent="0.3">
      <c r="A118" s="1" t="str">
        <f>E118</f>
        <v>Montefalco</v>
      </c>
      <c r="B118" s="1" t="str">
        <f>F118</f>
        <v>Italy</v>
      </c>
      <c r="C118" s="1" t="s">
        <v>1154</v>
      </c>
      <c r="D118" s="1" t="e">
        <f t="shared" si="6"/>
        <v>#VALUE!</v>
      </c>
      <c r="E118" s="1" t="s">
        <v>1282</v>
      </c>
      <c r="F118" s="1" t="s">
        <v>11</v>
      </c>
    </row>
    <row r="119" spans="1:6" x14ac:dyDescent="0.3">
      <c r="A119" s="1" t="s">
        <v>997</v>
      </c>
      <c r="B119" s="1" t="s">
        <v>541</v>
      </c>
      <c r="C119" s="1">
        <v>1866</v>
      </c>
      <c r="D119" s="1" t="e">
        <f t="shared" si="6"/>
        <v>#VALUE!</v>
      </c>
      <c r="E119" s="1" t="e">
        <v>#VALUE!</v>
      </c>
    </row>
    <row r="120" spans="1:6" x14ac:dyDescent="0.3">
      <c r="A120" s="1" t="s">
        <v>998</v>
      </c>
      <c r="B120" s="1" t="s">
        <v>557</v>
      </c>
      <c r="C120" s="1">
        <v>1871</v>
      </c>
      <c r="D120" s="1" t="e">
        <f t="shared" si="6"/>
        <v>#VALUE!</v>
      </c>
      <c r="E120" s="1" t="e">
        <v>#VALUE!</v>
      </c>
    </row>
    <row r="121" spans="1:6" x14ac:dyDescent="0.3">
      <c r="A121" s="1" t="str">
        <f t="shared" ref="A121:B123" si="13">E121</f>
        <v>Saint Bauzille de la Sylve</v>
      </c>
      <c r="B121" s="1" t="str">
        <f t="shared" si="13"/>
        <v>France</v>
      </c>
      <c r="C121" s="1" t="s">
        <v>1155</v>
      </c>
      <c r="D121" s="1" t="e">
        <f t="shared" si="6"/>
        <v>#VALUE!</v>
      </c>
      <c r="E121" s="1" t="s">
        <v>1283</v>
      </c>
      <c r="F121" s="1" t="s">
        <v>557</v>
      </c>
    </row>
    <row r="122" spans="1:6" x14ac:dyDescent="0.3">
      <c r="A122" s="1" t="str">
        <f t="shared" si="13"/>
        <v>Pompei</v>
      </c>
      <c r="B122" s="1" t="str">
        <f t="shared" si="13"/>
        <v>Italy</v>
      </c>
      <c r="C122" s="1" t="s">
        <v>1156</v>
      </c>
      <c r="D122" s="1" t="e">
        <f t="shared" si="6"/>
        <v>#VALUE!</v>
      </c>
      <c r="E122" s="1" t="s">
        <v>1284</v>
      </c>
      <c r="F122" s="1" t="s">
        <v>11</v>
      </c>
    </row>
    <row r="123" spans="1:6" x14ac:dyDescent="0.3">
      <c r="A123" s="1" t="str">
        <f t="shared" si="13"/>
        <v>Pellovoisin</v>
      </c>
      <c r="B123" s="1" t="str">
        <f t="shared" si="13"/>
        <v>France</v>
      </c>
      <c r="C123" s="1" t="s">
        <v>1157</v>
      </c>
      <c r="D123" s="1" t="e">
        <f t="shared" si="6"/>
        <v>#VALUE!</v>
      </c>
      <c r="E123" s="1" t="s">
        <v>1285</v>
      </c>
      <c r="F123" s="1" t="s">
        <v>557</v>
      </c>
    </row>
    <row r="124" spans="1:6" x14ac:dyDescent="0.3">
      <c r="A124" s="1" t="s">
        <v>996</v>
      </c>
      <c r="B124" s="1" t="s">
        <v>651</v>
      </c>
      <c r="C124" s="1">
        <v>1877</v>
      </c>
      <c r="D124" s="1" t="e">
        <f t="shared" si="6"/>
        <v>#VALUE!</v>
      </c>
      <c r="E124" s="1" t="e">
        <v>#VALUE!</v>
      </c>
    </row>
    <row r="125" spans="1:6" x14ac:dyDescent="0.3">
      <c r="A125" s="1" t="s">
        <v>995</v>
      </c>
      <c r="B125" s="1" t="s">
        <v>583</v>
      </c>
      <c r="C125" s="1">
        <v>1879</v>
      </c>
      <c r="D125" s="1" t="e">
        <f t="shared" si="6"/>
        <v>#VALUE!</v>
      </c>
      <c r="E125" s="1" t="e">
        <v>#VALUE!</v>
      </c>
    </row>
    <row r="126" spans="1:6" x14ac:dyDescent="0.3">
      <c r="A126" s="1" t="str">
        <f t="shared" ref="A126:B129" si="14">E126</f>
        <v>Castelpetroso</v>
      </c>
      <c r="B126" s="1" t="str">
        <f t="shared" si="14"/>
        <v>Italy</v>
      </c>
      <c r="C126" s="1" t="s">
        <v>1158</v>
      </c>
      <c r="D126" s="1" t="e">
        <f t="shared" si="6"/>
        <v>#VALUE!</v>
      </c>
      <c r="E126" s="1" t="s">
        <v>1286</v>
      </c>
      <c r="F126" s="1" t="s">
        <v>11</v>
      </c>
    </row>
    <row r="127" spans="1:6" x14ac:dyDescent="0.3">
      <c r="A127" s="1" t="str">
        <f t="shared" si="14"/>
        <v>Szczyrk</v>
      </c>
      <c r="B127" s="1" t="str">
        <f t="shared" si="14"/>
        <v>Poland</v>
      </c>
      <c r="C127" s="1" t="s">
        <v>1159</v>
      </c>
      <c r="D127" s="1" t="e">
        <f t="shared" si="6"/>
        <v>#VALUE!</v>
      </c>
      <c r="E127" s="1" t="s">
        <v>1287</v>
      </c>
      <c r="F127" s="1" t="s">
        <v>651</v>
      </c>
    </row>
    <row r="128" spans="1:6" x14ac:dyDescent="0.3">
      <c r="A128" s="1" t="str">
        <f t="shared" si="14"/>
        <v>Betania</v>
      </c>
      <c r="B128" s="1" t="str">
        <f t="shared" si="14"/>
        <v>Venezuela</v>
      </c>
      <c r="C128" s="1" t="s">
        <v>1160</v>
      </c>
      <c r="D128" s="1" t="e">
        <f t="shared" si="6"/>
        <v>#VALUE!</v>
      </c>
      <c r="E128" s="1" t="s">
        <v>1288</v>
      </c>
      <c r="F128" s="1" t="s">
        <v>717</v>
      </c>
    </row>
    <row r="129" spans="1:6" x14ac:dyDescent="0.3">
      <c r="A129" s="1" t="str">
        <f t="shared" si="14"/>
        <v>Dong Lu</v>
      </c>
      <c r="B129" s="1" t="str">
        <f t="shared" si="14"/>
        <v>China</v>
      </c>
      <c r="C129" s="1" t="s">
        <v>1161</v>
      </c>
      <c r="D129" s="1" t="e">
        <f t="shared" si="6"/>
        <v>#VALUE!</v>
      </c>
      <c r="E129" s="1" t="s">
        <v>1289</v>
      </c>
      <c r="F129" s="1" t="s">
        <v>533</v>
      </c>
    </row>
    <row r="130" spans="1:6" x14ac:dyDescent="0.3">
      <c r="A130" s="1" t="s">
        <v>726</v>
      </c>
      <c r="B130" s="1" t="s">
        <v>655</v>
      </c>
      <c r="C130" s="1">
        <v>1916</v>
      </c>
      <c r="D130" s="1" t="e">
        <f t="shared" si="6"/>
        <v>#VALUE!</v>
      </c>
      <c r="E130" s="1" t="e">
        <v>#VALUE!</v>
      </c>
    </row>
    <row r="131" spans="1:6" x14ac:dyDescent="0.3">
      <c r="A131" s="1" t="str">
        <f t="shared" ref="A131:B134" si="15">E131</f>
        <v>Turin</v>
      </c>
      <c r="B131" s="1" t="str">
        <f t="shared" si="15"/>
        <v>Italy</v>
      </c>
      <c r="C131" s="1" t="s">
        <v>1162</v>
      </c>
      <c r="D131" s="1" t="e">
        <f t="shared" ref="D131:D154" si="16">MID(A131,FIND(". ",A131)+2,LEN(A131))</f>
        <v>#VALUE!</v>
      </c>
      <c r="E131" s="1" t="s">
        <v>1290</v>
      </c>
      <c r="F131" s="1" t="s">
        <v>11</v>
      </c>
    </row>
    <row r="132" spans="1:6" x14ac:dyDescent="0.3">
      <c r="A132" s="1" t="str">
        <f t="shared" si="15"/>
        <v>Cernusco Sul Naviglio</v>
      </c>
      <c r="B132" s="1" t="str">
        <f t="shared" si="15"/>
        <v>Italy</v>
      </c>
      <c r="C132" s="1" t="s">
        <v>1163</v>
      </c>
      <c r="D132" s="1" t="e">
        <f t="shared" si="16"/>
        <v>#VALUE!</v>
      </c>
      <c r="E132" s="1" t="s">
        <v>1291</v>
      </c>
      <c r="F132" s="1" t="s">
        <v>11</v>
      </c>
    </row>
    <row r="133" spans="1:6" x14ac:dyDescent="0.3">
      <c r="A133" s="1" t="str">
        <f t="shared" si="15"/>
        <v>Pontevedra and Tuy</v>
      </c>
      <c r="B133" s="1" t="str">
        <f t="shared" si="15"/>
        <v>Spain</v>
      </c>
      <c r="C133" s="1" t="s">
        <v>1164</v>
      </c>
      <c r="D133" s="1" t="e">
        <f t="shared" si="16"/>
        <v>#VALUE!</v>
      </c>
      <c r="E133" s="1" t="s">
        <v>1292</v>
      </c>
      <c r="F133" s="1" t="s">
        <v>552</v>
      </c>
    </row>
    <row r="134" spans="1:6" x14ac:dyDescent="0.3">
      <c r="A134" s="1" t="str">
        <f t="shared" si="15"/>
        <v>Campiñas</v>
      </c>
      <c r="B134" s="1" t="str">
        <f t="shared" si="15"/>
        <v>Brazil</v>
      </c>
      <c r="C134" s="1" t="s">
        <v>1165</v>
      </c>
      <c r="D134" s="1" t="e">
        <f t="shared" si="16"/>
        <v>#VALUE!</v>
      </c>
      <c r="E134" s="1" t="s">
        <v>1293</v>
      </c>
      <c r="F134" s="1" t="s">
        <v>518</v>
      </c>
    </row>
    <row r="135" spans="1:6" x14ac:dyDescent="0.3">
      <c r="A135" s="1" t="s">
        <v>994</v>
      </c>
      <c r="B135" s="1" t="s">
        <v>509</v>
      </c>
      <c r="C135" s="1">
        <v>1932</v>
      </c>
      <c r="D135" s="1" t="e">
        <f t="shared" si="16"/>
        <v>#VALUE!</v>
      </c>
      <c r="E135" s="1" t="e">
        <v>#VALUE!</v>
      </c>
    </row>
    <row r="136" spans="1:6" x14ac:dyDescent="0.3">
      <c r="A136" s="1" t="s">
        <v>993</v>
      </c>
      <c r="B136" s="1" t="s">
        <v>509</v>
      </c>
      <c r="C136" s="1">
        <v>1933</v>
      </c>
      <c r="D136" s="1" t="e">
        <f t="shared" si="16"/>
        <v>#VALUE!</v>
      </c>
      <c r="E136" s="1" t="e">
        <v>#VALUE!</v>
      </c>
    </row>
    <row r="137" spans="1:6" x14ac:dyDescent="0.3">
      <c r="A137" s="1" t="str">
        <f t="shared" ref="A137:A149" si="17">E137</f>
        <v>Pesqueira</v>
      </c>
      <c r="B137" s="1" t="str">
        <f t="shared" ref="B137:B149" si="18">F137</f>
        <v>Brazil</v>
      </c>
      <c r="C137" s="1" t="s">
        <v>1166</v>
      </c>
      <c r="D137" s="1" t="e">
        <f t="shared" si="16"/>
        <v>#VALUE!</v>
      </c>
      <c r="E137" s="1" t="s">
        <v>1294</v>
      </c>
      <c r="F137" s="1" t="s">
        <v>518</v>
      </c>
    </row>
    <row r="138" spans="1:6" x14ac:dyDescent="0.3">
      <c r="A138" s="1" t="str">
        <f t="shared" si="17"/>
        <v>Heede</v>
      </c>
      <c r="B138" s="1" t="str">
        <f t="shared" si="18"/>
        <v>Germany</v>
      </c>
      <c r="C138" s="1" t="s">
        <v>1167</v>
      </c>
      <c r="D138" s="1" t="e">
        <f t="shared" si="16"/>
        <v>#VALUE!</v>
      </c>
      <c r="E138" s="1" t="s">
        <v>1295</v>
      </c>
      <c r="F138" s="1" t="s">
        <v>542</v>
      </c>
    </row>
    <row r="139" spans="1:6" x14ac:dyDescent="0.3">
      <c r="A139" s="1" t="str">
        <f t="shared" si="17"/>
        <v>Milan</v>
      </c>
      <c r="B139" s="1" t="str">
        <f t="shared" si="18"/>
        <v>Italy</v>
      </c>
      <c r="C139" s="1" t="s">
        <v>1168</v>
      </c>
      <c r="D139" s="1" t="e">
        <f t="shared" si="16"/>
        <v>#VALUE!</v>
      </c>
      <c r="E139" s="1" t="s">
        <v>1296</v>
      </c>
      <c r="F139" s="1" t="s">
        <v>11</v>
      </c>
    </row>
    <row r="140" spans="1:6" x14ac:dyDescent="0.3">
      <c r="A140" s="1" t="str">
        <f t="shared" si="17"/>
        <v>Kallikulam</v>
      </c>
      <c r="B140" s="1" t="str">
        <f t="shared" si="18"/>
        <v>India</v>
      </c>
      <c r="C140" s="1" t="s">
        <v>1169</v>
      </c>
      <c r="D140" s="1" t="e">
        <f t="shared" si="16"/>
        <v>#VALUE!</v>
      </c>
      <c r="E140" s="1" t="s">
        <v>1297</v>
      </c>
      <c r="F140" s="1" t="s">
        <v>2</v>
      </c>
    </row>
    <row r="141" spans="1:6" x14ac:dyDescent="0.3">
      <c r="A141" s="1" t="str">
        <f t="shared" si="17"/>
        <v>Pfaffenhofen Marienfried</v>
      </c>
      <c r="B141" s="1" t="str">
        <f t="shared" si="18"/>
        <v>Germany</v>
      </c>
      <c r="C141" s="1" t="s">
        <v>1170</v>
      </c>
      <c r="D141" s="1" t="e">
        <f t="shared" si="16"/>
        <v>#VALUE!</v>
      </c>
      <c r="E141" s="1" t="s">
        <v>1298</v>
      </c>
      <c r="F141" s="1" t="s">
        <v>542</v>
      </c>
    </row>
    <row r="142" spans="1:6" x14ac:dyDescent="0.3">
      <c r="A142" s="1" t="str">
        <f t="shared" si="17"/>
        <v>Siekierki</v>
      </c>
      <c r="B142" s="1" t="str">
        <f t="shared" si="18"/>
        <v>Poland</v>
      </c>
      <c r="C142" s="1" t="s">
        <v>1171</v>
      </c>
      <c r="D142" s="1" t="e">
        <f t="shared" si="16"/>
        <v>#VALUE!</v>
      </c>
      <c r="E142" s="1" t="s">
        <v>1299</v>
      </c>
      <c r="F142" s="1" t="s">
        <v>651</v>
      </c>
    </row>
    <row r="143" spans="1:6" x14ac:dyDescent="0.3">
      <c r="A143" s="1" t="str">
        <f t="shared" si="17"/>
        <v>La Codosera</v>
      </c>
      <c r="B143" s="1" t="str">
        <f t="shared" si="18"/>
        <v>Spain</v>
      </c>
      <c r="C143" s="1" t="s">
        <v>1172</v>
      </c>
      <c r="D143" s="1" t="e">
        <f t="shared" si="16"/>
        <v>#VALUE!</v>
      </c>
      <c r="E143" s="1" t="s">
        <v>1300</v>
      </c>
      <c r="F143" s="1" t="s">
        <v>552</v>
      </c>
    </row>
    <row r="144" spans="1:6" x14ac:dyDescent="0.3">
      <c r="A144" s="1" t="str">
        <f t="shared" si="17"/>
        <v>Île-Bouchard</v>
      </c>
      <c r="B144" s="1" t="str">
        <f t="shared" si="18"/>
        <v>France</v>
      </c>
      <c r="C144" s="1" t="s">
        <v>1173</v>
      </c>
      <c r="D144" s="1" t="e">
        <f t="shared" si="16"/>
        <v>#VALUE!</v>
      </c>
      <c r="E144" s="1" t="s">
        <v>1301</v>
      </c>
      <c r="F144" s="1" t="s">
        <v>557</v>
      </c>
    </row>
    <row r="145" spans="1:6" x14ac:dyDescent="0.3">
      <c r="A145" s="1" t="str">
        <f t="shared" si="17"/>
        <v>Heroldsbach</v>
      </c>
      <c r="B145" s="1" t="str">
        <f t="shared" si="18"/>
        <v>Germany</v>
      </c>
      <c r="C145" s="1" t="s">
        <v>1174</v>
      </c>
      <c r="D145" s="1" t="e">
        <f t="shared" si="16"/>
        <v>#VALUE!</v>
      </c>
      <c r="E145" s="1" t="s">
        <v>1302</v>
      </c>
      <c r="F145" s="1" t="s">
        <v>542</v>
      </c>
    </row>
    <row r="146" spans="1:6" x14ac:dyDescent="0.3">
      <c r="A146" s="1" t="str">
        <f t="shared" si="17"/>
        <v>Rogorotto</v>
      </c>
      <c r="B146" s="1" t="str">
        <f t="shared" si="18"/>
        <v>Italy</v>
      </c>
      <c r="C146" s="1" t="s">
        <v>1175</v>
      </c>
      <c r="D146" s="1" t="e">
        <f t="shared" si="16"/>
        <v>#VALUE!</v>
      </c>
      <c r="E146" s="1" t="s">
        <v>1303</v>
      </c>
      <c r="F146" s="1" t="s">
        <v>11</v>
      </c>
    </row>
    <row r="147" spans="1:6" x14ac:dyDescent="0.3">
      <c r="A147" s="1" t="str">
        <f t="shared" si="17"/>
        <v>Syracuse</v>
      </c>
      <c r="B147" s="1" t="str">
        <f t="shared" si="18"/>
        <v>Italy</v>
      </c>
      <c r="C147" s="1" t="s">
        <v>1176</v>
      </c>
      <c r="D147" s="1" t="e">
        <f t="shared" si="16"/>
        <v>#VALUE!</v>
      </c>
      <c r="E147" s="1" t="s">
        <v>1304</v>
      </c>
      <c r="F147" s="1" t="s">
        <v>11</v>
      </c>
    </row>
    <row r="148" spans="1:6" x14ac:dyDescent="0.3">
      <c r="A148" s="1" t="str">
        <f t="shared" si="17"/>
        <v>Ngome</v>
      </c>
      <c r="B148" s="1" t="str">
        <f t="shared" si="18"/>
        <v>South Africa</v>
      </c>
      <c r="C148" s="1" t="s">
        <v>1177</v>
      </c>
      <c r="D148" s="1" t="e">
        <f t="shared" si="16"/>
        <v>#VALUE!</v>
      </c>
      <c r="E148" s="1" t="s">
        <v>1305</v>
      </c>
      <c r="F148" s="1" t="s">
        <v>706</v>
      </c>
    </row>
    <row r="149" spans="1:6" x14ac:dyDescent="0.3">
      <c r="A149" s="1" t="str">
        <f t="shared" si="17"/>
        <v>Fostoria</v>
      </c>
      <c r="B149" s="1" t="str">
        <f t="shared" si="18"/>
        <v>United States of America</v>
      </c>
      <c r="C149" s="1" t="s">
        <v>1178</v>
      </c>
      <c r="D149" s="1" t="e">
        <f t="shared" si="16"/>
        <v>#VALUE!</v>
      </c>
      <c r="E149" s="1" t="s">
        <v>1306</v>
      </c>
      <c r="F149" s="1" t="s">
        <v>697</v>
      </c>
    </row>
    <row r="150" spans="1:6" x14ac:dyDescent="0.3">
      <c r="A150" s="1" t="s">
        <v>1030</v>
      </c>
      <c r="B150" s="1" t="s">
        <v>21</v>
      </c>
      <c r="C150" s="1" t="s">
        <v>1013</v>
      </c>
      <c r="D150" s="1" t="e">
        <f t="shared" si="16"/>
        <v>#VALUE!</v>
      </c>
      <c r="E150" s="1" t="e">
        <v>#VALUE!</v>
      </c>
    </row>
    <row r="151" spans="1:6" x14ac:dyDescent="0.3">
      <c r="A151" s="1" t="str">
        <f>E151</f>
        <v>Akita</v>
      </c>
      <c r="B151" s="1" t="str">
        <f>F151</f>
        <v>Japan</v>
      </c>
      <c r="C151" s="1" t="s">
        <v>1179</v>
      </c>
      <c r="D151" s="1" t="e">
        <f t="shared" si="16"/>
        <v>#VALUE!</v>
      </c>
      <c r="E151" s="1" t="s">
        <v>1307</v>
      </c>
      <c r="F151" s="1" t="s">
        <v>592</v>
      </c>
    </row>
    <row r="152" spans="1:6" x14ac:dyDescent="0.3">
      <c r="A152" s="1" t="str">
        <f>E152</f>
        <v>Cuapa</v>
      </c>
      <c r="B152" s="1" t="str">
        <f>F152</f>
        <v>Nicaragua</v>
      </c>
      <c r="C152" s="1" t="s">
        <v>1180</v>
      </c>
      <c r="D152" s="1" t="e">
        <f t="shared" si="16"/>
        <v>#VALUE!</v>
      </c>
      <c r="E152" s="1" t="s">
        <v>1308</v>
      </c>
      <c r="F152" s="1" t="s">
        <v>638</v>
      </c>
    </row>
    <row r="153" spans="1:6" x14ac:dyDescent="0.3">
      <c r="A153" s="1" t="s">
        <v>484</v>
      </c>
      <c r="B153" s="1" t="s">
        <v>482</v>
      </c>
      <c r="C153" s="1">
        <v>1981</v>
      </c>
      <c r="D153" s="1" t="e">
        <f t="shared" si="16"/>
        <v>#VALUE!</v>
      </c>
      <c r="E153" s="1" t="e">
        <v>#VALUE!</v>
      </c>
    </row>
    <row r="154" spans="1:6" x14ac:dyDescent="0.3">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Noel D'Souza</cp:lastModifiedBy>
  <dcterms:created xsi:type="dcterms:W3CDTF">2023-08-22T22:13:24Z</dcterms:created>
  <dcterms:modified xsi:type="dcterms:W3CDTF">2024-02-27T18:04:57Z</dcterms:modified>
</cp:coreProperties>
</file>