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366563E0-D631-4EF3-A925-59C43BC8365C}"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Draft Sites" sheetId="3" r:id="rId3"/>
    <sheet name="Tag List" sheetId="10" r:id="rId4"/>
    <sheet name="(Ref) Countries" sheetId="5" r:id="rId5"/>
    <sheet name="Sheet1" sheetId="1" r:id="rId6"/>
    <sheet name="Sheet7" sheetId="8" r:id="rId7"/>
  </sheets>
  <functionGroups builtInGroupCount="19"/>
  <definedNames>
    <definedName name="_xlnm._FilterDatabase" localSheetId="4" hidden="1">'(Ref) Countries'!$A$1:$C$249</definedName>
    <definedName name="_xlnm._FilterDatabase" localSheetId="2"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29" i="11" l="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V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V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V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V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V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V124" i="11"/>
  <c r="AU124" i="11"/>
  <c r="AT124" i="11"/>
  <c r="AS124" i="11"/>
  <c r="AR124" i="11"/>
  <c r="CI123" i="11"/>
  <c r="CE123" i="11"/>
  <c r="CB123" i="11"/>
  <c r="CA123" i="11"/>
  <c r="BZ123" i="11"/>
  <c r="BW123" i="11"/>
  <c r="BU123" i="11"/>
  <c r="BS123" i="11"/>
  <c r="BR123" i="11"/>
  <c r="BQ123" i="11"/>
  <c r="BO123" i="11"/>
  <c r="BN123" i="11"/>
  <c r="BM123" i="11"/>
  <c r="BL123" i="11"/>
  <c r="BP123" i="11" s="1"/>
  <c r="BJ123" i="11"/>
  <c r="BI123" i="11"/>
  <c r="BH123" i="11"/>
  <c r="BG123" i="11"/>
  <c r="BF123" i="11"/>
  <c r="BE123" i="11"/>
  <c r="BD123" i="11"/>
  <c r="BC123" i="11"/>
  <c r="BB123" i="11"/>
  <c r="BA123" i="11"/>
  <c r="AZ123" i="11"/>
  <c r="AY123" i="11"/>
  <c r="AX123" i="11"/>
  <c r="AW123" i="11"/>
  <c r="AV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V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V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V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V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V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V117" i="11"/>
  <c r="AU117" i="11"/>
  <c r="AT117" i="11"/>
  <c r="AS117" i="11"/>
  <c r="AR117" i="11"/>
  <c r="CI116" i="11"/>
  <c r="CB116" i="11"/>
  <c r="CA116" i="11"/>
  <c r="BZ116" i="11"/>
  <c r="BW116" i="11"/>
  <c r="BU116" i="11"/>
  <c r="BS116" i="11"/>
  <c r="BR116" i="11"/>
  <c r="BQ116" i="11"/>
  <c r="BO116" i="11"/>
  <c r="BN116" i="11"/>
  <c r="BM116" i="11"/>
  <c r="BL116" i="11"/>
  <c r="BP116" i="11" s="1"/>
  <c r="BJ116" i="11"/>
  <c r="BI116" i="11"/>
  <c r="BH116" i="11"/>
  <c r="BG116" i="11"/>
  <c r="BF116" i="11"/>
  <c r="BE116" i="11"/>
  <c r="BD116" i="11"/>
  <c r="BC116" i="11"/>
  <c r="BB116" i="11"/>
  <c r="BA116" i="11"/>
  <c r="AZ116" i="11"/>
  <c r="AY116" i="11"/>
  <c r="AX116" i="11"/>
  <c r="AW116" i="11"/>
  <c r="AV116" i="11"/>
  <c r="AU116" i="11"/>
  <c r="AT116" i="11"/>
  <c r="AS116" i="11"/>
  <c r="AR116" i="11"/>
  <c r="CI115" i="11"/>
  <c r="CB115" i="11"/>
  <c r="CA115" i="11"/>
  <c r="BZ115" i="11"/>
  <c r="BW115" i="11"/>
  <c r="BU115" i="11"/>
  <c r="BS115" i="11"/>
  <c r="BR115" i="11"/>
  <c r="BQ115" i="11"/>
  <c r="BO115" i="11"/>
  <c r="BN115" i="11"/>
  <c r="BM115" i="11"/>
  <c r="BL115" i="11"/>
  <c r="BP115" i="11" s="1"/>
  <c r="BJ115" i="11"/>
  <c r="BI115" i="11"/>
  <c r="BH115" i="11"/>
  <c r="BG115" i="11"/>
  <c r="BF115" i="11"/>
  <c r="BE115" i="11"/>
  <c r="BD115" i="11"/>
  <c r="BC115" i="11"/>
  <c r="BB115" i="11"/>
  <c r="BA115" i="11"/>
  <c r="AZ115" i="11"/>
  <c r="AY115" i="11"/>
  <c r="AX115" i="11"/>
  <c r="AW115" i="11"/>
  <c r="AV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V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V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V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V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V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V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U64" i="11"/>
  <c r="AT64" i="11"/>
  <c r="AS64" i="11"/>
  <c r="AR64" i="11"/>
  <c r="BY64" i="11" s="1"/>
  <c r="CG64" i="11" s="1"/>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14" i="11"/>
  <c r="CE110" i="11"/>
  <c r="CE115" i="11"/>
  <c r="CE113" i="11"/>
  <c r="CE109" i="11"/>
  <c r="CE117" i="11"/>
  <c r="CE112" i="11"/>
  <c r="CE111" i="11"/>
  <c r="CE129" i="11"/>
  <c r="CE126" i="11"/>
  <c r="CE119" i="11"/>
  <c r="CE118" i="11"/>
  <c r="CE116" i="11"/>
  <c r="CD128" i="11"/>
  <c r="CD126" i="11"/>
  <c r="CD124" i="11"/>
  <c r="CD122" i="11"/>
  <c r="CD120" i="11"/>
  <c r="CD118" i="11"/>
  <c r="CD115" i="11"/>
  <c r="CD113" i="11"/>
  <c r="CD111" i="11"/>
  <c r="CD112" i="11"/>
  <c r="CD129" i="11"/>
  <c r="CD127" i="11"/>
  <c r="CD125" i="11"/>
  <c r="CD123" i="11"/>
  <c r="CD121" i="11"/>
  <c r="CD119" i="11"/>
  <c r="CD117" i="11"/>
  <c r="CD114" i="11"/>
  <c r="CD110" i="11"/>
  <c r="CD109" i="11"/>
  <c r="CC126" i="11"/>
  <c r="CC122" i="11"/>
  <c r="CC118" i="11"/>
  <c r="CC115" i="11"/>
  <c r="CC111" i="11"/>
  <c r="CC129" i="11"/>
  <c r="CC121" i="11"/>
  <c r="CC127" i="11"/>
  <c r="CC123" i="11"/>
  <c r="CC119" i="11"/>
  <c r="CC116" i="11"/>
  <c r="CC112" i="11"/>
  <c r="CC128" i="11"/>
  <c r="CC124" i="11"/>
  <c r="CC120" i="11"/>
  <c r="CC113" i="11"/>
  <c r="CC125" i="11"/>
  <c r="CC117" i="11"/>
  <c r="CC114" i="11"/>
  <c r="CC110" i="11"/>
  <c r="CD116" i="11"/>
  <c r="BV123" i="11"/>
  <c r="BV115" i="11"/>
  <c r="BV116" i="11"/>
  <c r="BK129" i="11"/>
  <c r="BK127" i="11"/>
  <c r="BK125" i="11"/>
  <c r="BK123" i="11"/>
  <c r="BK121" i="11"/>
  <c r="BK119" i="11"/>
  <c r="BK117" i="11"/>
  <c r="BK115" i="11"/>
  <c r="BK113" i="11"/>
  <c r="BK111" i="11"/>
  <c r="BT128" i="11"/>
  <c r="BT126" i="11"/>
  <c r="BT124" i="11"/>
  <c r="BT122" i="11"/>
  <c r="BT120" i="11"/>
  <c r="BT118" i="11"/>
  <c r="BK128" i="11"/>
  <c r="BK126" i="11"/>
  <c r="BK124" i="11"/>
  <c r="BK122" i="11"/>
  <c r="BK120" i="11"/>
  <c r="BK118" i="11"/>
  <c r="BK116" i="11"/>
  <c r="BK114" i="11"/>
  <c r="CH128" i="11"/>
  <c r="BT127" i="11"/>
  <c r="CH120" i="11"/>
  <c r="BT119" i="11"/>
  <c r="BT112" i="11"/>
  <c r="BT110" i="11"/>
  <c r="CH126" i="11"/>
  <c r="BT125" i="11"/>
  <c r="CH118" i="11"/>
  <c r="CH116" i="11"/>
  <c r="BX116" i="11"/>
  <c r="BT116" i="11"/>
  <c r="CH114" i="11"/>
  <c r="CH124" i="11"/>
  <c r="BT123" i="11"/>
  <c r="BT113" i="11"/>
  <c r="BT111" i="11"/>
  <c r="BT129" i="11"/>
  <c r="BX123" i="11"/>
  <c r="CH122" i="11"/>
  <c r="BT117" i="11"/>
  <c r="CH115" i="11"/>
  <c r="BK112" i="11"/>
  <c r="BK110" i="11"/>
  <c r="BT121" i="11"/>
  <c r="CH117" i="11"/>
  <c r="BX115" i="11"/>
  <c r="BT115" i="11"/>
  <c r="BT114" i="11"/>
  <c r="CH113" i="11"/>
  <c r="CH111" i="11"/>
  <c r="CC109" i="11"/>
  <c r="BT109" i="11"/>
  <c r="BK109" i="11"/>
  <c r="BK104" i="11"/>
  <c r="BK103" i="11"/>
  <c r="CH102" i="11"/>
  <c r="BK98" i="11"/>
  <c r="BK88" i="11"/>
  <c r="BT85" i="11"/>
  <c r="CH100" i="11"/>
  <c r="CH96" i="11"/>
  <c r="BK83" i="11"/>
  <c r="BK97" i="11"/>
  <c r="BT100" i="11"/>
  <c r="BT92" i="11"/>
  <c r="BT84" i="11"/>
  <c r="BW72" i="11"/>
  <c r="BK79" i="11"/>
  <c r="BT71" i="11"/>
  <c r="BK64" i="11"/>
  <c r="BT59" i="11"/>
  <c r="BW46" i="11"/>
  <c r="BK37" i="11"/>
  <c r="BK25" i="11"/>
  <c r="BK33" i="11"/>
  <c r="BT38" i="11"/>
  <c r="BT30" i="11"/>
  <c r="BK8" i="11"/>
  <c r="BK4" i="11"/>
  <c r="BT7" i="11"/>
  <c r="BT69" i="11"/>
  <c r="BW51" i="11"/>
  <c r="BT34" i="11"/>
  <c r="BU34" i="11"/>
  <c r="BK11" i="11"/>
  <c r="BK73" i="11"/>
  <c r="CH79" i="11"/>
  <c r="BT70" i="11"/>
  <c r="CH65" i="11"/>
  <c r="BK59" i="11"/>
  <c r="BK53" i="11"/>
  <c r="BW47" i="11"/>
  <c r="BK40" i="11"/>
  <c r="BK31" i="11"/>
  <c r="BW34" i="11"/>
  <c r="BK19" i="11"/>
  <c r="BT23" i="11"/>
  <c r="CH29" i="11"/>
  <c r="BK5" i="11"/>
  <c r="BW2" i="11"/>
  <c r="BT2" i="11"/>
  <c r="BT40" i="11"/>
  <c r="BK2" i="11"/>
  <c r="BK74" i="11"/>
  <c r="BT53" i="11"/>
  <c r="BK45" i="11"/>
  <c r="BT31" i="11"/>
  <c r="BT9" i="11"/>
  <c r="BT72" i="11"/>
  <c r="CH81" i="11"/>
  <c r="CH68" i="11"/>
  <c r="BK62" i="11"/>
  <c r="BT57" i="11"/>
  <c r="BW52" i="11"/>
  <c r="BK48" i="11"/>
  <c r="BW43" i="11"/>
  <c r="BK24" i="11"/>
  <c r="BK15" i="11"/>
  <c r="BK9" i="11"/>
  <c r="BK7" i="11"/>
  <c r="CH74" i="11"/>
  <c r="BK58" i="11"/>
  <c r="BT46" i="11"/>
  <c r="BW23" i="11"/>
  <c r="BK106" i="11"/>
  <c r="BK105" i="11"/>
  <c r="CH104" i="11"/>
  <c r="CH103" i="11"/>
  <c r="BW100" i="11"/>
  <c r="BK94" i="11"/>
  <c r="BK86" i="11"/>
  <c r="CH84" i="11"/>
  <c r="BT99" i="11"/>
  <c r="BT95" i="11"/>
  <c r="BT91" i="11"/>
  <c r="BT87" i="11"/>
  <c r="BK101" i="11"/>
  <c r="BK95" i="11"/>
  <c r="BT98" i="11"/>
  <c r="BT90" i="11"/>
  <c r="BT82" i="11"/>
  <c r="CH106" i="11"/>
  <c r="BT104" i="11"/>
  <c r="BW103" i="11"/>
  <c r="BT102" i="11"/>
  <c r="BK100" i="11"/>
  <c r="BK92" i="11"/>
  <c r="BK84" i="11"/>
  <c r="BT83" i="11"/>
  <c r="CH98" i="11"/>
  <c r="CH94" i="11"/>
  <c r="BK99" i="11"/>
  <c r="BK93" i="11"/>
  <c r="BT96" i="11"/>
  <c r="BT88" i="11"/>
  <c r="BT76" i="11"/>
  <c r="BT73" i="11"/>
  <c r="CH67" i="11"/>
  <c r="BT61" i="11"/>
  <c r="BK57" i="11"/>
  <c r="BT48" i="11"/>
  <c r="BW44" i="11"/>
  <c r="BT36" i="11"/>
  <c r="BU36" i="11" s="1"/>
  <c r="BW17" i="11"/>
  <c r="BW19" i="11"/>
  <c r="BT29" i="11"/>
  <c r="BT10" i="11"/>
  <c r="BT3" i="11"/>
  <c r="BT75" i="11"/>
  <c r="CH62" i="11"/>
  <c r="CH48" i="11"/>
  <c r="BK18" i="11"/>
  <c r="BW8" i="11"/>
  <c r="CH24" i="11"/>
  <c r="BT77" i="11"/>
  <c r="CH80" i="11"/>
  <c r="BK68" i="11"/>
  <c r="BW61" i="11"/>
  <c r="BK55" i="11"/>
  <c r="CH51" i="11"/>
  <c r="BK39" i="11"/>
  <c r="BT42" i="11"/>
  <c r="BW22" i="11"/>
  <c r="BK32" i="11"/>
  <c r="BT32" i="11"/>
  <c r="BU29" i="11"/>
  <c r="BT15" i="11"/>
  <c r="BT13" i="11"/>
  <c r="BW11" i="11"/>
  <c r="BK29" i="11"/>
  <c r="BW18" i="11"/>
  <c r="CH27" i="11"/>
  <c r="CH5" i="11"/>
  <c r="CH70" i="11"/>
  <c r="BT50" i="11"/>
  <c r="BK27" i="11"/>
  <c r="BT27" i="11"/>
  <c r="CH11" i="11"/>
  <c r="BK80" i="11"/>
  <c r="BK76" i="11"/>
  <c r="BK70" i="11"/>
  <c r="BK65" i="11"/>
  <c r="BK60" i="11"/>
  <c r="CH56" i="11"/>
  <c r="BW50" i="11"/>
  <c r="BK46" i="11"/>
  <c r="BK35" i="11"/>
  <c r="BT11" i="11"/>
  <c r="CH10" i="11"/>
  <c r="BK66" i="11"/>
  <c r="BT56" i="11"/>
  <c r="BK43" i="11"/>
  <c r="BK14" i="11"/>
  <c r="BK87" i="11"/>
  <c r="CH17" i="11"/>
  <c r="BT106" i="11"/>
  <c r="BK90" i="11"/>
  <c r="BT93" i="11"/>
  <c r="BK91" i="11"/>
  <c r="BK75" i="11"/>
  <c r="BT68" i="11"/>
  <c r="BK56" i="11"/>
  <c r="BK41" i="11"/>
  <c r="BK23" i="11"/>
  <c r="BT24" i="11"/>
  <c r="BT16" i="11"/>
  <c r="BT81" i="11"/>
  <c r="BT49" i="11"/>
  <c r="BT21" i="11"/>
  <c r="BT74" i="11"/>
  <c r="BK69" i="11"/>
  <c r="BK54" i="11"/>
  <c r="BW24" i="11"/>
  <c r="BW15" i="11"/>
  <c r="BT19" i="11"/>
  <c r="BT6" i="11"/>
  <c r="BW30" i="11"/>
  <c r="BT8" i="11"/>
  <c r="BK52" i="11"/>
  <c r="BK21" i="11"/>
  <c r="CH7" i="11"/>
  <c r="CH77" i="11"/>
  <c r="BK61" i="11"/>
  <c r="BT51" i="11"/>
  <c r="BW38" i="11"/>
  <c r="BT28" i="11"/>
  <c r="BU28" i="11" s="1"/>
  <c r="BT5" i="11"/>
  <c r="BT55" i="11"/>
  <c r="BK30" i="11"/>
  <c r="BT107" i="11"/>
  <c r="BT103" i="11"/>
  <c r="BK82" i="11"/>
  <c r="BT89" i="11"/>
  <c r="BT94" i="11"/>
  <c r="CH78" i="11"/>
  <c r="BT65" i="11"/>
  <c r="BT54" i="11"/>
  <c r="BW40" i="11"/>
  <c r="CH35" i="11"/>
  <c r="BU24" i="11"/>
  <c r="BW10" i="11"/>
  <c r="CH73" i="11"/>
  <c r="BK38" i="11"/>
  <c r="CH21" i="11"/>
  <c r="BK78" i="11"/>
  <c r="BK67" i="11"/>
  <c r="CH58" i="11"/>
  <c r="BK44" i="11"/>
  <c r="BK17" i="11"/>
  <c r="BT18" i="11"/>
  <c r="BT22" i="11"/>
  <c r="BT17" i="11"/>
  <c r="BT78" i="11"/>
  <c r="CH49" i="11"/>
  <c r="BU23" i="11"/>
  <c r="BT79" i="11"/>
  <c r="CH69" i="11"/>
  <c r="CH59" i="11"/>
  <c r="BK49" i="11"/>
  <c r="BT35" i="11"/>
  <c r="BK77" i="11"/>
  <c r="CH54" i="11"/>
  <c r="BU40" i="11"/>
  <c r="BK107" i="11"/>
  <c r="CH52" i="11"/>
  <c r="BK102" i="11"/>
  <c r="BK89" i="11"/>
  <c r="BT62" i="11"/>
  <c r="BK51" i="11"/>
  <c r="BK28" i="11"/>
  <c r="CH19" i="11"/>
  <c r="BT63" i="11"/>
  <c r="BT52" i="11"/>
  <c r="BK36" i="11"/>
  <c r="BU38" i="11"/>
  <c r="BT12" i="11"/>
  <c r="BT39" i="11"/>
  <c r="BU39" i="11" s="1"/>
  <c r="BT25" i="11"/>
  <c r="BK71" i="11"/>
  <c r="CH26" i="11"/>
  <c r="BK34" i="11"/>
  <c r="BT67" i="11"/>
  <c r="CH23" i="11"/>
  <c r="CH92" i="11"/>
  <c r="CH90" i="11"/>
  <c r="CH88" i="11"/>
  <c r="CH86" i="11"/>
  <c r="CH82" i="11"/>
  <c r="BT105" i="11"/>
  <c r="BT101" i="11"/>
  <c r="BT86" i="11"/>
  <c r="BK72" i="11"/>
  <c r="BT43" i="11"/>
  <c r="BU43" i="11" s="1"/>
  <c r="BT20" i="11"/>
  <c r="BT64" i="11"/>
  <c r="BK20" i="11"/>
  <c r="BK6" i="11"/>
  <c r="CH72" i="11"/>
  <c r="BT66" i="11"/>
  <c r="BT58" i="11"/>
  <c r="BK47" i="11"/>
  <c r="BK3" i="11"/>
  <c r="BK42" i="11"/>
  <c r="CH107" i="11"/>
  <c r="BW98" i="11"/>
  <c r="BT97" i="11"/>
  <c r="BK85" i="11"/>
  <c r="CH75" i="11"/>
  <c r="BW60" i="11"/>
  <c r="BT47" i="11"/>
  <c r="CH34" i="11"/>
  <c r="BK16" i="11"/>
  <c r="BT26" i="11"/>
  <c r="BT14" i="11"/>
  <c r="CH60" i="11"/>
  <c r="BK13" i="11"/>
  <c r="BK81" i="11"/>
  <c r="CH71" i="11"/>
  <c r="BT60" i="11"/>
  <c r="BK50" i="11"/>
  <c r="BT33" i="11"/>
  <c r="BU33" i="11" s="1"/>
  <c r="BW26" i="11"/>
  <c r="BU18" i="11"/>
  <c r="BK10" i="11"/>
  <c r="BK22" i="11"/>
  <c r="CH14" i="11"/>
  <c r="CH63" i="11"/>
  <c r="BT41" i="11"/>
  <c r="BT4" i="11"/>
  <c r="BT80" i="11"/>
  <c r="BK63" i="11"/>
  <c r="CH53" i="11"/>
  <c r="BT45" i="11"/>
  <c r="BK26" i="11"/>
  <c r="BK12" i="11"/>
  <c r="CH61" i="11"/>
  <c r="BT37" i="11"/>
  <c r="BK96" i="11"/>
  <c r="BT44" i="11"/>
  <c r="CH76" i="11"/>
  <c r="CH12" i="11"/>
  <c r="CC103" i="11"/>
  <c r="CE90" i="11"/>
  <c r="CD92" i="11"/>
  <c r="CE89" i="11"/>
  <c r="CC44" i="11"/>
  <c r="CC54" i="11"/>
  <c r="CD48" i="11"/>
  <c r="CC45" i="11"/>
  <c r="CC87" i="11"/>
  <c r="CE83" i="11"/>
  <c r="CD89" i="11"/>
  <c r="CC12" i="11"/>
  <c r="CC5" i="11"/>
  <c r="CE100" i="11"/>
  <c r="CE87" i="11"/>
  <c r="CC3" i="11"/>
  <c r="CE48" i="11"/>
  <c r="CE91" i="11"/>
  <c r="CC61" i="11"/>
  <c r="CC35" i="11"/>
  <c r="CC98" i="11"/>
  <c r="CC15" i="11"/>
  <c r="CC104" i="11"/>
  <c r="CC99" i="11"/>
  <c r="CE86" i="11"/>
  <c r="CE93" i="11"/>
  <c r="CC10" i="11"/>
  <c r="CD35" i="11"/>
  <c r="CD60" i="11"/>
  <c r="CD26" i="11"/>
  <c r="CE88" i="11"/>
  <c r="CD91" i="11"/>
  <c r="CC64" i="11"/>
  <c r="CD107" i="11"/>
  <c r="CE82" i="11"/>
  <c r="CC100" i="11"/>
  <c r="CC79" i="11"/>
  <c r="CC63" i="11"/>
  <c r="CC95" i="11"/>
  <c r="CC88" i="11"/>
  <c r="CE52" i="11"/>
  <c r="CC91" i="11"/>
  <c r="CE51" i="11"/>
  <c r="CD85" i="11"/>
  <c r="CE26" i="11"/>
  <c r="CC56" i="11"/>
  <c r="CE94" i="11"/>
  <c r="CC53" i="11"/>
  <c r="CC52" i="11"/>
  <c r="CC102" i="11"/>
  <c r="CC68" i="11"/>
  <c r="CC105" i="11"/>
  <c r="CD100" i="11"/>
  <c r="CC65" i="11"/>
  <c r="CD52" i="11"/>
  <c r="CE104" i="11"/>
  <c r="CD94" i="11"/>
  <c r="CC38" i="11"/>
  <c r="CD106" i="11"/>
  <c r="CD70" i="11"/>
  <c r="CE99" i="11"/>
  <c r="CC59" i="11"/>
  <c r="CD83" i="11"/>
  <c r="CD102" i="11"/>
  <c r="CC96" i="11"/>
  <c r="CC50" i="11"/>
  <c r="CC2" i="11"/>
  <c r="CE95" i="11"/>
  <c r="CE107" i="11"/>
  <c r="CC85" i="11"/>
  <c r="CC84" i="11"/>
  <c r="CC86" i="11"/>
  <c r="CC29" i="11"/>
  <c r="CD44" i="11"/>
  <c r="CD15" i="11"/>
  <c r="CC42" i="11"/>
  <c r="CE102" i="11"/>
  <c r="CE84" i="11"/>
  <c r="CC94" i="11"/>
  <c r="CD86" i="11"/>
  <c r="CC73" i="11"/>
  <c r="CD51" i="11"/>
  <c r="CE98" i="11"/>
  <c r="CC90" i="11"/>
  <c r="CC58" i="11"/>
  <c r="CD104" i="11"/>
  <c r="CD93" i="11"/>
  <c r="CC66" i="11"/>
  <c r="CC62" i="11"/>
  <c r="CD99" i="11"/>
  <c r="CC4" i="11"/>
  <c r="CD103" i="11"/>
  <c r="CC97" i="11"/>
  <c r="CD96" i="11"/>
  <c r="CD59" i="11"/>
  <c r="CC70" i="11"/>
  <c r="CD61" i="11"/>
  <c r="CC57" i="11"/>
  <c r="CD105" i="11"/>
  <c r="CD98" i="11"/>
  <c r="CC51" i="11"/>
  <c r="CC22" i="11"/>
  <c r="CD82" i="11"/>
  <c r="CC74" i="11"/>
  <c r="CC75" i="11"/>
  <c r="CC106" i="11"/>
  <c r="CC82" i="11"/>
  <c r="CC78" i="11"/>
  <c r="CC26" i="11"/>
  <c r="CD87" i="11"/>
  <c r="CD84" i="11"/>
  <c r="CD42" i="11"/>
  <c r="CD95" i="11"/>
  <c r="CD88" i="11"/>
  <c r="CC55" i="11"/>
  <c r="CC49" i="11"/>
  <c r="CD90" i="11"/>
  <c r="CC48" i="11"/>
  <c r="CC107" i="11"/>
  <c r="CC93" i="11"/>
  <c r="CC92" i="11"/>
  <c r="CC67" i="11"/>
  <c r="CC60" i="11"/>
  <c r="CE92" i="11"/>
  <c r="CD97" i="11"/>
  <c r="CC76" i="11"/>
  <c r="CC83" i="11"/>
  <c r="CE70" i="11"/>
  <c r="CE85" i="11"/>
  <c r="CE103" i="11"/>
  <c r="CC77" i="11"/>
  <c r="CC89" i="11"/>
  <c r="CE44" i="11"/>
  <c r="CC27" i="11"/>
  <c r="CE96" i="11"/>
  <c r="CC37" i="11"/>
  <c r="CC108" i="11"/>
  <c r="BT108" i="11"/>
  <c r="CE108" i="11"/>
  <c r="BK108" i="11"/>
  <c r="CD108" i="11"/>
  <c r="CF110" i="11" l="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21" i="11"/>
  <c r="BX121" i="11" s="1"/>
  <c r="BV129" i="11"/>
  <c r="BX129" i="11" s="1"/>
  <c r="BV112" i="11"/>
  <c r="BV127" i="11"/>
  <c r="BV113" i="11"/>
  <c r="BV128" i="11"/>
  <c r="BV120" i="11"/>
  <c r="BV119" i="11"/>
  <c r="BV125" i="11"/>
  <c r="BV114" i="11"/>
  <c r="BX114" i="11" s="1"/>
  <c r="BV117" i="11"/>
  <c r="BX117" i="11" s="1"/>
  <c r="BX125" i="11"/>
  <c r="BV122" i="11"/>
  <c r="BV110" i="11"/>
  <c r="BV111" i="11"/>
  <c r="BV126" i="11"/>
  <c r="BV118" i="11"/>
  <c r="BV109" i="11"/>
  <c r="BV124" i="11"/>
  <c r="CH119" i="11"/>
  <c r="CH127" i="11"/>
  <c r="BX111" i="11"/>
  <c r="CH121" i="11"/>
  <c r="BX127" i="11"/>
  <c r="BX120" i="11"/>
  <c r="BX124" i="11"/>
  <c r="BX128" i="11"/>
  <c r="CH110" i="11"/>
  <c r="CH129" i="11"/>
  <c r="CH125" i="11"/>
  <c r="BX113" i="11"/>
  <c r="BX119" i="11"/>
  <c r="BX110" i="11"/>
  <c r="BX112" i="11"/>
  <c r="BX122" i="11"/>
  <c r="BX126" i="11"/>
  <c r="CH123" i="11"/>
  <c r="CH112" i="11"/>
  <c r="BX118" i="11"/>
  <c r="BX109" i="11"/>
  <c r="CH109" i="11"/>
  <c r="BU44" i="11"/>
  <c r="BU37" i="11"/>
  <c r="BU17" i="11"/>
  <c r="CH33" i="11"/>
  <c r="BV95" i="11"/>
  <c r="BV89" i="11"/>
  <c r="BV98" i="11"/>
  <c r="BV83" i="11"/>
  <c r="BV55" i="11"/>
  <c r="BV76" i="11"/>
  <c r="BV64" i="11"/>
  <c r="BV66" i="11"/>
  <c r="BV24" i="11"/>
  <c r="BV28" i="11"/>
  <c r="BV33" i="11"/>
  <c r="BX86" i="11"/>
  <c r="CH95" i="11"/>
  <c r="BX88" i="11"/>
  <c r="CH93" i="11"/>
  <c r="BX83" i="11"/>
  <c r="CH66" i="11"/>
  <c r="BX57" i="11"/>
  <c r="BU22" i="11"/>
  <c r="CH22" i="11"/>
  <c r="CH30" i="11"/>
  <c r="CH2" i="11"/>
  <c r="BU31" i="11"/>
  <c r="BX66" i="11"/>
  <c r="CH42" i="11"/>
  <c r="CH43" i="11"/>
  <c r="BX61" i="11"/>
  <c r="CH47" i="11"/>
  <c r="BU11" i="11"/>
  <c r="CH32" i="11"/>
  <c r="CH38" i="11"/>
  <c r="CH64" i="11"/>
  <c r="BU10" i="11"/>
  <c r="CH9" i="11"/>
  <c r="BU26" i="11"/>
  <c r="BV18" i="11"/>
  <c r="CH83" i="11"/>
  <c r="BU45" i="11"/>
  <c r="BU27" i="11"/>
  <c r="CH46" i="11"/>
  <c r="BV93" i="11"/>
  <c r="BV96" i="11"/>
  <c r="BV90" i="11"/>
  <c r="BX90" i="11" s="1"/>
  <c r="BV99" i="11"/>
  <c r="BV84" i="11"/>
  <c r="BV102" i="11"/>
  <c r="BV49" i="11"/>
  <c r="BX49" i="11" s="1"/>
  <c r="BV79" i="11"/>
  <c r="BV75" i="11"/>
  <c r="BV70" i="11"/>
  <c r="BV78" i="11"/>
  <c r="BV40" i="11"/>
  <c r="BV29" i="11"/>
  <c r="BV38" i="11"/>
  <c r="BX103" i="11"/>
  <c r="CH99" i="11"/>
  <c r="BX92" i="11"/>
  <c r="CH97" i="11"/>
  <c r="BU2" i="11"/>
  <c r="BX62" i="11"/>
  <c r="BX50" i="11"/>
  <c r="BU5" i="11"/>
  <c r="CH45" i="11"/>
  <c r="CH44" i="11"/>
  <c r="BU12" i="11"/>
  <c r="CH57" i="11"/>
  <c r="CH16" i="11"/>
  <c r="BX54" i="11"/>
  <c r="BU13" i="11"/>
  <c r="BU6" i="11"/>
  <c r="CH28" i="11"/>
  <c r="BX78" i="11"/>
  <c r="BU20" i="11"/>
  <c r="CH13" i="11"/>
  <c r="CH25" i="11"/>
  <c r="BX75" i="11"/>
  <c r="BX70" i="11"/>
  <c r="BX98" i="11"/>
  <c r="BX93" i="11"/>
  <c r="BV107" i="11"/>
  <c r="BU35" i="11"/>
  <c r="BV104" i="11"/>
  <c r="BX104" i="11" s="1"/>
  <c r="BV106" i="11"/>
  <c r="BX106" i="11" s="1"/>
  <c r="BV97" i="11"/>
  <c r="BX97" i="11" s="1"/>
  <c r="BV51" i="11"/>
  <c r="BX51" i="11" s="1"/>
  <c r="BV74" i="11"/>
  <c r="BV69" i="11"/>
  <c r="BV46" i="11"/>
  <c r="BX84" i="11"/>
  <c r="BX99" i="11"/>
  <c r="BX58" i="11"/>
  <c r="BU30" i="11"/>
  <c r="BX40" i="11"/>
  <c r="CH55" i="11"/>
  <c r="CH15" i="11"/>
  <c r="BU19" i="11"/>
  <c r="CH18" i="11"/>
  <c r="BX52" i="11"/>
  <c r="BU4" i="11"/>
  <c r="CH40" i="11"/>
  <c r="BU41" i="11"/>
  <c r="BU32" i="11"/>
  <c r="BV101" i="11"/>
  <c r="BX101" i="11" s="1"/>
  <c r="BV94" i="11"/>
  <c r="BX94" i="11" s="1"/>
  <c r="BV108" i="11"/>
  <c r="BV82" i="11"/>
  <c r="BV100" i="11"/>
  <c r="BX100" i="11" s="1"/>
  <c r="BV85" i="11"/>
  <c r="BV81" i="11"/>
  <c r="BX81" i="11" s="1"/>
  <c r="BV48" i="11"/>
  <c r="BX48" i="11" s="1"/>
  <c r="BV80" i="11"/>
  <c r="BX80" i="11" s="1"/>
  <c r="BV72" i="11"/>
  <c r="BV71" i="11"/>
  <c r="BX71" i="11" s="1"/>
  <c r="BV68" i="11"/>
  <c r="BV23" i="11"/>
  <c r="BV34" i="11"/>
  <c r="BV39" i="11"/>
  <c r="CH105" i="11"/>
  <c r="BX102" i="11"/>
  <c r="CH101" i="11"/>
  <c r="CH87" i="11"/>
  <c r="BX89" i="11"/>
  <c r="CH85" i="11"/>
  <c r="BX95" i="11"/>
  <c r="BX76" i="11"/>
  <c r="BX59" i="11"/>
  <c r="BU3" i="11"/>
  <c r="BU9" i="11"/>
  <c r="CH31" i="11"/>
  <c r="CH36" i="11"/>
  <c r="BX56" i="11"/>
  <c r="BU14" i="11"/>
  <c r="CH20" i="11"/>
  <c r="BX79" i="11"/>
  <c r="BX53" i="11"/>
  <c r="BU8" i="11"/>
  <c r="CH3" i="11"/>
  <c r="CH39" i="11"/>
  <c r="BX74" i="11"/>
  <c r="CH37" i="11"/>
  <c r="BU7" i="11"/>
  <c r="CH6" i="11"/>
  <c r="BX60" i="11"/>
  <c r="BU16" i="11"/>
  <c r="CH8" i="11"/>
  <c r="BX64" i="11"/>
  <c r="BX69" i="11"/>
  <c r="BX107" i="11"/>
  <c r="BU42" i="11"/>
  <c r="BV105" i="11"/>
  <c r="BV91" i="11"/>
  <c r="BX91" i="11" s="1"/>
  <c r="BV77" i="11"/>
  <c r="BX77" i="11" s="1"/>
  <c r="BV67" i="11"/>
  <c r="BX67" i="11" s="1"/>
  <c r="BV47" i="11"/>
  <c r="BX47" i="11" s="1"/>
  <c r="BV73" i="11"/>
  <c r="BX73" i="11" s="1"/>
  <c r="BV65" i="11"/>
  <c r="BV63" i="11"/>
  <c r="BX63" i="11" s="1"/>
  <c r="BV36" i="11"/>
  <c r="BV43" i="11"/>
  <c r="BX105" i="11"/>
  <c r="BX82" i="11"/>
  <c r="BX85" i="11"/>
  <c r="CH91" i="11"/>
  <c r="CH89" i="11"/>
  <c r="BU25" i="11"/>
  <c r="CH41" i="11"/>
  <c r="BU15" i="11"/>
  <c r="BX39" i="11"/>
  <c r="BX65" i="11"/>
  <c r="CH50" i="11"/>
  <c r="BX72" i="11"/>
  <c r="BX55" i="11"/>
  <c r="BU21" i="11"/>
  <c r="CH4" i="11"/>
  <c r="BX33" i="11"/>
  <c r="BX68" i="11"/>
  <c r="BX96" i="11"/>
  <c r="BX87" i="11"/>
  <c r="BX108" i="11"/>
  <c r="CH108" i="11"/>
  <c r="CJ119" i="11" l="1"/>
  <c r="CJ118" i="11"/>
  <c r="CK118" i="11"/>
  <c r="CG112" i="11"/>
  <c r="CJ113" i="11"/>
  <c r="CK113" i="11" s="1"/>
  <c r="CG114" i="11"/>
  <c r="CK114" i="11" s="1"/>
  <c r="CG110" i="11"/>
  <c r="CK110" i="11" s="1"/>
  <c r="CG123" i="1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K123"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16" i="11"/>
  <c r="BV10" i="11"/>
  <c r="BV26" i="11"/>
  <c r="BV25" i="11"/>
  <c r="BV19" i="11"/>
  <c r="BV3" i="11"/>
  <c r="BV21" i="11"/>
  <c r="BV6" i="11"/>
  <c r="BV5" i="11"/>
  <c r="BV4" i="11"/>
  <c r="BV42" i="11"/>
  <c r="BX42" i="11" s="1"/>
  <c r="BV11" i="11"/>
  <c r="BV45" i="11"/>
  <c r="BV27" i="11"/>
  <c r="BX27" i="11" s="1"/>
  <c r="BV20" i="11"/>
  <c r="BV37" i="11"/>
  <c r="BX37" i="11" s="1"/>
  <c r="BV13" i="11"/>
  <c r="BV9" i="11"/>
  <c r="BV30" i="11"/>
  <c r="BV12" i="11"/>
  <c r="BV31" i="11"/>
  <c r="BV22" i="11"/>
  <c r="BV15" i="11"/>
  <c r="BV7" i="11"/>
  <c r="BV32" i="11"/>
  <c r="BX32" i="11" s="1"/>
  <c r="BX29" i="11"/>
  <c r="BX6" i="11"/>
  <c r="BX43" i="11"/>
  <c r="BX36" i="11"/>
  <c r="BX31" i="11"/>
  <c r="BX23" i="11"/>
  <c r="BX4" i="11"/>
  <c r="BX12" i="11"/>
  <c r="BX16" i="11"/>
  <c r="BX19" i="11"/>
  <c r="BX46" i="11"/>
  <c r="BX10" i="11"/>
  <c r="BV17" i="11"/>
  <c r="BX17" i="11" s="1"/>
  <c r="BV44" i="11"/>
  <c r="BX44" i="11" s="1"/>
  <c r="BV35" i="11"/>
  <c r="BX35" i="11" s="1"/>
  <c r="BV8" i="11"/>
  <c r="BV41" i="11"/>
  <c r="BX41" i="11" s="1"/>
  <c r="BV2" i="11"/>
  <c r="BX2" i="11" s="1"/>
  <c r="BV14" i="11"/>
  <c r="BX38" i="11"/>
  <c r="BX13" i="11"/>
  <c r="BX45" i="11"/>
  <c r="BX28" i="11"/>
  <c r="BX18" i="11"/>
  <c r="BX34" i="11"/>
  <c r="BX24" i="11"/>
  <c r="CK41" i="11" l="1"/>
  <c r="CK43" i="11"/>
  <c r="BX8" i="11"/>
  <c r="BX9" i="11"/>
  <c r="BX11" i="11"/>
  <c r="BX21" i="11"/>
  <c r="BX25" i="11"/>
  <c r="BX22" i="11"/>
  <c r="BX5" i="11"/>
  <c r="BX15" i="11"/>
  <c r="BX30" i="11"/>
  <c r="BX14" i="11"/>
  <c r="BX20" i="11"/>
  <c r="BX26" i="11"/>
  <c r="BX3" i="11"/>
  <c r="BX7" i="11"/>
</calcChain>
</file>

<file path=xl/sharedStrings.xml><?xml version="1.0" encoding="utf-8"?>
<sst xmlns="http://schemas.openxmlformats.org/spreadsheetml/2006/main" count="5281" uniqueCount="2461">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</sst>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29"/>
  <sheetViews>
    <sheetView tabSelected="1" zoomScale="80" zoomScaleNormal="80" workbookViewId="0">
      <pane xSplit="6" ySplit="1" topLeftCell="N108" activePane="bottomRight" state="frozen"/>
      <selection pane="topRight" activeCell="G1" sqref="G1"/>
      <selection pane="bottomLeft" activeCell="A2" sqref="A2"/>
      <selection pane="bottomRight" activeCell="Y109" sqref="Y109:Y129"/>
    </sheetView>
  </sheetViews>
  <sheetFormatPr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102" x14ac:dyDescent="0.25">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6.5" x14ac:dyDescent="0.25">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51" x14ac:dyDescent="0.25">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51" x14ac:dyDescent="0.25">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8.25" x14ac:dyDescent="0.25">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AR109"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42" si="713">IF(OR(A110="Done",A110="In Progress"),TRUE)</f>
        <v>1</v>
      </c>
      <c r="AS110" s="29" t="str">
        <f t="shared" ref="AS110:AS142" si="714">"title: """&amp;F110&amp;""""</f>
        <v>title: "Mission San Carlos Borromeo de Carmelo"</v>
      </c>
      <c r="AT110" s="29" t="str">
        <f t="shared" ref="AT110:AT142" si="715">"location: {lat: "&amp;D110&amp;", lng: "&amp;E110&amp;"}"</f>
        <v>location: {lat: 36.5425423059041, lng: -121.919856929485}</v>
      </c>
      <c r="AU110" s="29" t="str">
        <f t="shared" ref="AU110:AU142" si="716">"level: "&amp;H110</f>
        <v>level: regional</v>
      </c>
      <c r="AV110" s="29" t="str">
        <f>"- "&amp;VLOOKUP(B110,'(Ref) Countries'!A:C,3,)</f>
        <v>- usa
- california</v>
      </c>
      <c r="AW110" s="29" t="str">
        <f t="shared" ref="AW110:AW142" si="717">IF(LEN(C110)&gt;1,"- "&amp;LOWER(SUBSTITUTE(C110," ","-")),"")</f>
        <v>- carmel-by-the-sea</v>
      </c>
      <c r="AX110" s="29" t="str">
        <f t="shared" ref="AX110:AX142" si="718">IF(I110,"- churches","")</f>
        <v/>
      </c>
      <c r="AY110" s="29" t="str">
        <f t="shared" ref="AY110:AY142" si="719">IF(J110,"- marian-sites","")</f>
        <v/>
      </c>
      <c r="AZ110" s="29" t="str">
        <f t="shared" ref="AZ110:AZ142" si="720">IF(K110,"- holy-persons","")</f>
        <v>- holy-persons</v>
      </c>
      <c r="BA110" s="29" t="str">
        <f t="shared" ref="BA110:BA142" si="721">IF(LEN(Y110)&gt;0,"- "&amp;Y110,"")</f>
        <v>- california-missions</v>
      </c>
      <c r="BB110" s="29" t="str">
        <f t="shared" ref="BB110:BB142" si="722">IF(LEN(Z110)&gt;0,"- "&amp;Z110,"")</f>
        <v>- franciscans</v>
      </c>
      <c r="BC110" s="29" t="str">
        <f t="shared" ref="BC110:BC142" si="723">IF(LEN(AA110)&gt;0,"- "&amp;AA110,"")</f>
        <v>- junipero-serra</v>
      </c>
      <c r="BD110" s="29" t="str">
        <f t="shared" ref="BD110:BD142" si="724">IF(LEN(AB110)&gt;0,"- "&amp;AB110,"")</f>
        <v/>
      </c>
      <c r="BE110" s="29" t="str">
        <f t="shared" ref="BE110:BE142" si="725">IF(LEN(AC110)&gt;0,"- "&amp;AC110,"")</f>
        <v/>
      </c>
      <c r="BF110" s="29" t="str">
        <f t="shared" ref="BF110:BF142" si="726">IF(LEN(AD110)&gt;0,"- "&amp;AD110,"")</f>
        <v/>
      </c>
      <c r="BG110" s="29" t="str">
        <f t="shared" ref="BG110:BG142" si="727">IF(LEN(AE110)&gt;0,"- "&amp;AE110,"")</f>
        <v/>
      </c>
      <c r="BH110" s="29" t="str">
        <f t="shared" ref="BH110:BH142" si="728">IF(LEN(AF110)&gt;0,"- "&amp;AF110,"")</f>
        <v/>
      </c>
      <c r="BI110" s="29" t="str">
        <f t="shared" ref="BI110:BI142" si="729">IF(LEN(AG110)&gt;0,"- "&amp;AG110,"")</f>
        <v/>
      </c>
      <c r="BJ110" s="29" t="str">
        <f t="shared" ref="BJ110:BJ142" si="730">IF(LEN(AH110)&gt;0,"- "&amp;AH110,"")</f>
        <v/>
      </c>
      <c r="BK110" s="29" t="str">
        <f t="shared" ref="BK110:BK142" si="731">"tags:"&amp;CHAR(10)&amp;concatl(AV110:BJ110)</f>
        <v xml:space="preserve">tags:
- usa
- california_x000D_
- carmel-by-the-sea_x000D_
- holy-persons_x000D_
- california-missions_x000D_
- franciscans_x000D_
- junipero-serra_x000D_
</v>
      </c>
      <c r="BL110" s="29" t="str">
        <f t="shared" ref="BL110:BL142" si="732">IF(LEN(N110)&gt;0,TRIM(CONCATENATE("[Official site](",N110,") ",O110)),"")</f>
        <v>[Official site](http://www.carmelmission.org/)</v>
      </c>
      <c r="BM110" s="29" t="str">
        <f t="shared" ref="BM110:BM142" si="733">IF(LEN(Q110)&gt;0,TRIM(CONCATENATE("["&amp;P110&amp;"](",Q110,") ",R110)),"")</f>
        <v>[California Missions Foundation page](https://californiamissionsfoundation.org/mission-san-carlos-borromeo/)</v>
      </c>
      <c r="BN110" s="29" t="str">
        <f t="shared" ref="BN110:BN142" si="734">IF(LEN(T110)&gt;0,TRIM(CONCATENATE("["&amp;S110&amp;"](",T110,") ",U110)),"")</f>
        <v>[Missions California page](https://www.missionscalifornia.com/missions/san-carlos-borromeo-de-carmelo/)</v>
      </c>
      <c r="BO110" s="29" t="str">
        <f t="shared" ref="BO110:BO142" si="735">IF(LEN(W110)&gt;0,TRIM(CONCATENATE("["&amp;V110&amp;"](",W110,") ",X110)),"")</f>
        <v/>
      </c>
      <c r="BP110" s="29" t="str">
        <f t="shared" ref="BP110:BP142"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42" si="737">IF(LEN(AK110)&gt;0,TRIM(CONCATENATE("[Link](",AK110,") ",AL110)),"")</f>
        <v/>
      </c>
      <c r="BR110" s="29" t="str">
        <f t="shared" ref="BR110:BR142" si="738">IF(LEN(AM110)&gt;0,TRIM(CONCATENATE("[Link](",AM110,") ",AN110)),"")</f>
        <v/>
      </c>
      <c r="BS110" s="29" t="str">
        <f t="shared" ref="BS110:BS142" si="739">IF(LEN(AO110)&gt;0,TRIM(CONCATENATE("[Link](",AO110,") ",AP110)),"")</f>
        <v/>
      </c>
      <c r="BT110" s="29" t="str">
        <f>IF(LEN(concat(BQ110:BS110))&gt;0,concat("| ",BQ110," | ",BR110," | ",BS110," |"),"")</f>
        <v/>
      </c>
      <c r="BU110" s="29" t="str">
        <f t="shared" ref="BU110:BU142"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42"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42"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42" si="743">"| "&amp;AJ110&amp;" "</f>
        <v xml:space="preserve">|  </v>
      </c>
      <c r="CJ110" s="29" t="str">
        <f t="shared" ref="CJ110:CJ142" si="744">"|"&amp;IF(AR110," [Link](/places/"&amp;SUBSTITUTE(BY110,".md","")&amp;")","")&amp;" "</f>
        <v xml:space="preserve">| [Link](/places/us_ca-carmel-by-the-sea-mission-san-carlos) </v>
      </c>
      <c r="CK110" s="29" t="str">
        <f t="shared" ref="CK110:CK142"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sheetData>
  <autoFilter ref="A1:CQ81"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25">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25">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25">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25">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25">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25">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25">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25">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25">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5.5" x14ac:dyDescent="0.25">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25">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25">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25">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25">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25">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25">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25">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25">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25">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25">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25">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25">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25">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25">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25">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25">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25">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25">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25">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25">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25">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25">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25">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25">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25">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25">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25">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25">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25">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25">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25">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25">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25">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25">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25">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25">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25">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25">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25">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25">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25">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25">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25">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25">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25">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25">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25">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25">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25">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25">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25">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25">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25">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25">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25">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25">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25">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25">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25">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25">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ht="25.5" x14ac:dyDescent="0.25">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25">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25">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25">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25">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25">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25">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25">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25">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25">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25">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25">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25">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25">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25">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25">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25">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25">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25">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8.25" x14ac:dyDescent="0.25">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25">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25">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25">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25">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25">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25">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25">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25">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25">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25">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25">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25">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25">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25">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25">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25">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25">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25">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25">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25">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25">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8.25" x14ac:dyDescent="0.25">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1039</v>
      </c>
      <c r="AK119" s="15" t="s">
        <v>336</v>
      </c>
      <c r="AL119" s="15" t="s">
        <v>336</v>
      </c>
      <c r="AM119" s="15" t="s">
        <v>336</v>
      </c>
      <c r="AN119" s="15" t="s">
        <v>336</v>
      </c>
      <c r="AO119" s="15" t="s">
        <v>336</v>
      </c>
      <c r="AP119" s="49" t="s">
        <v>336</v>
      </c>
    </row>
    <row r="120" spans="1:42" x14ac:dyDescent="0.25">
      <c r="I120" s="25" t="b">
        <v>1</v>
      </c>
      <c r="J120" s="15" t="b">
        <v>1</v>
      </c>
      <c r="O120" s="15" t="s">
        <v>336</v>
      </c>
      <c r="AI120" s="91" t="s">
        <v>1040</v>
      </c>
      <c r="AK120" s="15" t="s">
        <v>336</v>
      </c>
      <c r="AL120" s="15" t="s">
        <v>336</v>
      </c>
      <c r="AM120" s="15" t="s">
        <v>336</v>
      </c>
      <c r="AN120" s="15" t="s">
        <v>336</v>
      </c>
      <c r="AO120" s="15" t="s">
        <v>336</v>
      </c>
      <c r="AP120" s="49" t="s">
        <v>336</v>
      </c>
    </row>
    <row r="121" spans="1:42" x14ac:dyDescent="0.25">
      <c r="I121" s="25" t="b">
        <v>1</v>
      </c>
      <c r="J121" s="15" t="b">
        <v>1</v>
      </c>
      <c r="O121" s="15" t="s">
        <v>336</v>
      </c>
      <c r="AI121" s="91" t="s">
        <v>1041</v>
      </c>
      <c r="AK121" s="15"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25">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4"/>
  <sheetViews>
    <sheetView workbookViewId="0">
      <pane ySplit="1" topLeftCell="A6" activePane="bottomLeft" state="frozen"/>
      <selection pane="bottomLeft" activeCell="A55" sqref="A55"/>
    </sheetView>
  </sheetViews>
  <sheetFormatPr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3" s="20" customFormat="1" x14ac:dyDescent="0.2">
      <c r="A1" s="20" t="s">
        <v>1429</v>
      </c>
      <c r="B1" s="20" t="s">
        <v>1430</v>
      </c>
      <c r="C1" s="20" t="s">
        <v>2141</v>
      </c>
    </row>
    <row r="2" spans="1:3" x14ac:dyDescent="0.2">
      <c r="A2" s="21" t="s">
        <v>1037</v>
      </c>
      <c r="B2" s="21" t="s">
        <v>1431</v>
      </c>
      <c r="C2" s="94" t="s">
        <v>1762</v>
      </c>
    </row>
    <row r="3" spans="1:3" x14ac:dyDescent="0.2">
      <c r="A3" s="94" t="s">
        <v>2142</v>
      </c>
      <c r="B3" s="21" t="s">
        <v>1432</v>
      </c>
    </row>
    <row r="4" spans="1:3" x14ac:dyDescent="0.2">
      <c r="A4" s="21" t="s">
        <v>1405</v>
      </c>
      <c r="B4" s="21" t="s">
        <v>1433</v>
      </c>
      <c r="C4" s="21" t="s">
        <v>2147</v>
      </c>
    </row>
    <row r="5" spans="1:3" x14ac:dyDescent="0.2">
      <c r="A5" s="21" t="s">
        <v>1000</v>
      </c>
      <c r="B5" s="21" t="s">
        <v>1434</v>
      </c>
      <c r="C5" s="21" t="s">
        <v>2143</v>
      </c>
    </row>
    <row r="6" spans="1:3" x14ac:dyDescent="0.2">
      <c r="A6" s="21" t="s">
        <v>1419</v>
      </c>
      <c r="B6" s="21" t="s">
        <v>1436</v>
      </c>
      <c r="C6" s="94" t="s">
        <v>1762</v>
      </c>
    </row>
    <row r="7" spans="1:3" x14ac:dyDescent="0.2">
      <c r="A7" s="21" t="s">
        <v>486</v>
      </c>
      <c r="B7" s="21" t="s">
        <v>1437</v>
      </c>
      <c r="C7" s="94" t="s">
        <v>1762</v>
      </c>
    </row>
    <row r="8" spans="1:3" x14ac:dyDescent="0.2">
      <c r="A8" s="21" t="s">
        <v>1426</v>
      </c>
      <c r="B8" s="21" t="s">
        <v>1439</v>
      </c>
      <c r="C8" s="94" t="s">
        <v>2143</v>
      </c>
    </row>
    <row r="9" spans="1:3" x14ac:dyDescent="0.2">
      <c r="A9" s="21" t="s">
        <v>487</v>
      </c>
      <c r="B9" s="94" t="s">
        <v>2144</v>
      </c>
      <c r="C9" s="94" t="s">
        <v>1762</v>
      </c>
    </row>
    <row r="10" spans="1:3" x14ac:dyDescent="0.2">
      <c r="A10" s="21" t="s">
        <v>488</v>
      </c>
      <c r="B10" s="21" t="s">
        <v>1438</v>
      </c>
      <c r="C10" s="94" t="s">
        <v>1762</v>
      </c>
    </row>
    <row r="11" spans="1:3" x14ac:dyDescent="0.2">
      <c r="A11" s="21" t="s">
        <v>489</v>
      </c>
      <c r="B11" s="21" t="s">
        <v>1440</v>
      </c>
      <c r="C11" s="94" t="s">
        <v>1762</v>
      </c>
    </row>
    <row r="12" spans="1:3" x14ac:dyDescent="0.2">
      <c r="A12" s="21" t="s">
        <v>490</v>
      </c>
      <c r="B12" s="21" t="s">
        <v>1441</v>
      </c>
      <c r="C12" s="94" t="s">
        <v>1762</v>
      </c>
    </row>
    <row r="13" spans="1:3" x14ac:dyDescent="0.2">
      <c r="A13" s="21" t="s">
        <v>1427</v>
      </c>
      <c r="B13" s="21" t="s">
        <v>1442</v>
      </c>
      <c r="C13" s="94" t="s">
        <v>1762</v>
      </c>
    </row>
    <row r="14" spans="1:3" x14ac:dyDescent="0.2">
      <c r="A14" s="21" t="s">
        <v>1321</v>
      </c>
      <c r="B14" s="94" t="s">
        <v>2145</v>
      </c>
      <c r="C14" s="94" t="s">
        <v>1762</v>
      </c>
    </row>
    <row r="15" spans="1:3" x14ac:dyDescent="0.2">
      <c r="A15" s="21" t="s">
        <v>1020</v>
      </c>
      <c r="B15" s="21" t="s">
        <v>1444</v>
      </c>
      <c r="C15" s="94" t="s">
        <v>2147</v>
      </c>
    </row>
    <row r="16" spans="1:3" x14ac:dyDescent="0.2">
      <c r="A16" s="21" t="s">
        <v>1428</v>
      </c>
      <c r="B16" s="21" t="s">
        <v>1443</v>
      </c>
      <c r="C16" s="94" t="s">
        <v>1762</v>
      </c>
    </row>
    <row r="17" spans="1:3" x14ac:dyDescent="0.2">
      <c r="A17" s="21" t="s">
        <v>1707</v>
      </c>
      <c r="B17" s="21" t="s">
        <v>1708</v>
      </c>
      <c r="C17" s="21" t="s">
        <v>1762</v>
      </c>
    </row>
    <row r="18" spans="1:3" x14ac:dyDescent="0.2">
      <c r="A18" s="21" t="s">
        <v>1725</v>
      </c>
      <c r="B18" s="22" t="s">
        <v>1726</v>
      </c>
      <c r="C18" s="21" t="s">
        <v>1762</v>
      </c>
    </row>
    <row r="19" spans="1:3" x14ac:dyDescent="0.2">
      <c r="A19" s="21" t="s">
        <v>1728</v>
      </c>
      <c r="B19" s="22" t="s">
        <v>1727</v>
      </c>
      <c r="C19" s="21" t="s">
        <v>1762</v>
      </c>
    </row>
    <row r="20" spans="1:3" x14ac:dyDescent="0.2">
      <c r="A20" s="21" t="s">
        <v>1760</v>
      </c>
      <c r="B20" s="22" t="s">
        <v>1761</v>
      </c>
      <c r="C20" s="21" t="s">
        <v>1762</v>
      </c>
    </row>
    <row r="21" spans="1:3" x14ac:dyDescent="0.2">
      <c r="A21" s="21" t="s">
        <v>1764</v>
      </c>
      <c r="B21" s="22" t="s">
        <v>1765</v>
      </c>
    </row>
    <row r="22" spans="1:3" x14ac:dyDescent="0.2">
      <c r="A22" s="22" t="s">
        <v>1763</v>
      </c>
      <c r="B22" s="22" t="s">
        <v>1766</v>
      </c>
    </row>
    <row r="23" spans="1:3" x14ac:dyDescent="0.2">
      <c r="A23" s="21" t="s">
        <v>1772</v>
      </c>
      <c r="B23" s="22" t="s">
        <v>1773</v>
      </c>
      <c r="C23" s="21" t="s">
        <v>1762</v>
      </c>
    </row>
    <row r="24" spans="1:3" x14ac:dyDescent="0.2">
      <c r="A24" s="94" t="s">
        <v>1843</v>
      </c>
      <c r="B24" s="94" t="s">
        <v>1845</v>
      </c>
      <c r="C24" s="21" t="s">
        <v>1762</v>
      </c>
    </row>
    <row r="25" spans="1:3" x14ac:dyDescent="0.2">
      <c r="A25" s="94" t="s">
        <v>1844</v>
      </c>
      <c r="B25" s="94" t="s">
        <v>1846</v>
      </c>
      <c r="C25" s="21" t="s">
        <v>1762</v>
      </c>
    </row>
    <row r="26" spans="1:3" x14ac:dyDescent="0.2">
      <c r="A26" s="94" t="s">
        <v>1847</v>
      </c>
      <c r="B26" s="94" t="s">
        <v>1848</v>
      </c>
      <c r="C26" s="21" t="s">
        <v>1762</v>
      </c>
    </row>
    <row r="27" spans="1:3" x14ac:dyDescent="0.2">
      <c r="A27" s="21" t="s">
        <v>1853</v>
      </c>
      <c r="B27" s="94" t="s">
        <v>1854</v>
      </c>
      <c r="C27" s="21" t="s">
        <v>1762</v>
      </c>
    </row>
    <row r="28" spans="1:3" x14ac:dyDescent="0.2">
      <c r="A28" s="94" t="s">
        <v>1865</v>
      </c>
      <c r="B28" s="94" t="s">
        <v>1866</v>
      </c>
      <c r="C28" s="94" t="s">
        <v>2143</v>
      </c>
    </row>
    <row r="29" spans="1:3" x14ac:dyDescent="0.2">
      <c r="A29" s="21" t="s">
        <v>1874</v>
      </c>
      <c r="B29" s="94" t="s">
        <v>1875</v>
      </c>
      <c r="C29" s="21" t="s">
        <v>1762</v>
      </c>
    </row>
    <row r="30" spans="1:3" x14ac:dyDescent="0.2">
      <c r="A30" s="94" t="s">
        <v>1903</v>
      </c>
      <c r="B30" s="94" t="s">
        <v>1904</v>
      </c>
      <c r="C30" s="21" t="s">
        <v>1762</v>
      </c>
    </row>
    <row r="31" spans="1:3" x14ac:dyDescent="0.2">
      <c r="A31" s="94" t="s">
        <v>2024</v>
      </c>
      <c r="B31" s="94" t="s">
        <v>2025</v>
      </c>
      <c r="C31" s="21" t="s">
        <v>1762</v>
      </c>
    </row>
    <row r="32" spans="1:3" x14ac:dyDescent="0.2">
      <c r="A32" s="94" t="s">
        <v>2042</v>
      </c>
      <c r="B32" s="94" t="s">
        <v>2043</v>
      </c>
      <c r="C32" s="21" t="s">
        <v>1762</v>
      </c>
    </row>
    <row r="33" spans="1:5" x14ac:dyDescent="0.2">
      <c r="A33" s="21" t="s">
        <v>2051</v>
      </c>
      <c r="B33" s="94" t="s">
        <v>2054</v>
      </c>
      <c r="C33" s="21" t="s">
        <v>1762</v>
      </c>
    </row>
    <row r="34" spans="1:5" x14ac:dyDescent="0.2">
      <c r="A34" s="21" t="s">
        <v>2052</v>
      </c>
      <c r="B34" s="94" t="s">
        <v>2055</v>
      </c>
      <c r="C34" s="21" t="s">
        <v>1762</v>
      </c>
    </row>
    <row r="35" spans="1:5" x14ac:dyDescent="0.2">
      <c r="A35" s="21" t="s">
        <v>2053</v>
      </c>
      <c r="B35" s="94" t="s">
        <v>2058</v>
      </c>
      <c r="C35" s="21" t="s">
        <v>1762</v>
      </c>
    </row>
    <row r="36" spans="1:5" x14ac:dyDescent="0.2">
      <c r="A36" s="94" t="s">
        <v>2061</v>
      </c>
      <c r="B36" s="94" t="s">
        <v>2059</v>
      </c>
      <c r="C36" s="21" t="s">
        <v>1762</v>
      </c>
    </row>
    <row r="37" spans="1:5" x14ac:dyDescent="0.2">
      <c r="A37" s="94" t="s">
        <v>2056</v>
      </c>
      <c r="B37" s="94" t="s">
        <v>2057</v>
      </c>
    </row>
    <row r="38" spans="1:5" x14ac:dyDescent="0.2">
      <c r="A38" s="94" t="s">
        <v>2080</v>
      </c>
      <c r="B38" s="94" t="s">
        <v>2081</v>
      </c>
      <c r="C38" s="94" t="s">
        <v>2146</v>
      </c>
    </row>
    <row r="39" spans="1:5" x14ac:dyDescent="0.2">
      <c r="A39" s="94" t="s">
        <v>2082</v>
      </c>
      <c r="B39" s="94" t="s">
        <v>2083</v>
      </c>
      <c r="C39" s="94" t="s">
        <v>2146</v>
      </c>
    </row>
    <row r="40" spans="1:5" x14ac:dyDescent="0.2">
      <c r="A40" s="94" t="s">
        <v>2139</v>
      </c>
      <c r="B40" s="94" t="s">
        <v>2140</v>
      </c>
      <c r="C40" s="94" t="s">
        <v>2143</v>
      </c>
    </row>
    <row r="41" spans="1:5" x14ac:dyDescent="0.2">
      <c r="A41" s="107" t="s">
        <v>2153</v>
      </c>
      <c r="B41" s="107" t="s">
        <v>2154</v>
      </c>
      <c r="C41" s="107" t="s">
        <v>2146</v>
      </c>
    </row>
    <row r="42" spans="1:5" x14ac:dyDescent="0.2">
      <c r="A42" s="107" t="s">
        <v>2152</v>
      </c>
      <c r="B42" s="107" t="s">
        <v>2155</v>
      </c>
      <c r="C42" s="107" t="s">
        <v>2146</v>
      </c>
    </row>
    <row r="43" spans="1:5" x14ac:dyDescent="0.2">
      <c r="A43" s="107" t="s">
        <v>2157</v>
      </c>
      <c r="B43" s="107" t="s">
        <v>2158</v>
      </c>
      <c r="C43" s="107" t="s">
        <v>1762</v>
      </c>
      <c r="E43" s="21" t="s">
        <v>2217</v>
      </c>
    </row>
    <row r="44" spans="1:5" x14ac:dyDescent="0.2">
      <c r="A44" s="107" t="s">
        <v>2156</v>
      </c>
      <c r="B44" s="107" t="s">
        <v>2159</v>
      </c>
      <c r="C44" s="21" t="s">
        <v>1762</v>
      </c>
    </row>
    <row r="45" spans="1:5" x14ac:dyDescent="0.2">
      <c r="A45" s="107" t="s">
        <v>2190</v>
      </c>
      <c r="B45" s="107" t="s">
        <v>2191</v>
      </c>
      <c r="C45" s="107" t="s">
        <v>2146</v>
      </c>
    </row>
    <row r="46" spans="1:5" x14ac:dyDescent="0.2">
      <c r="A46" s="107" t="s">
        <v>2260</v>
      </c>
      <c r="B46" s="107" t="s">
        <v>2261</v>
      </c>
      <c r="C46" s="107" t="s">
        <v>1762</v>
      </c>
    </row>
    <row r="47" spans="1:5" x14ac:dyDescent="0.2">
      <c r="A47" s="107" t="s">
        <v>2262</v>
      </c>
      <c r="B47" s="107" t="s">
        <v>2263</v>
      </c>
      <c r="C47" s="107" t="s">
        <v>1762</v>
      </c>
    </row>
    <row r="48" spans="1:5" x14ac:dyDescent="0.2">
      <c r="A48" s="107" t="s">
        <v>2264</v>
      </c>
      <c r="B48" s="107" t="s">
        <v>2265</v>
      </c>
      <c r="C48" s="107" t="s">
        <v>1762</v>
      </c>
    </row>
    <row r="49" spans="1:3" x14ac:dyDescent="0.2">
      <c r="A49" s="115" t="s">
        <v>2298</v>
      </c>
      <c r="B49" s="115" t="s">
        <v>2299</v>
      </c>
      <c r="C49" s="115" t="s">
        <v>1762</v>
      </c>
    </row>
    <row r="50" spans="1:3" x14ac:dyDescent="0.2">
      <c r="A50" s="120" t="s">
        <v>2310</v>
      </c>
      <c r="B50" s="120" t="s">
        <v>2311</v>
      </c>
      <c r="C50" s="120" t="s">
        <v>2143</v>
      </c>
    </row>
    <row r="51" spans="1:3" x14ac:dyDescent="0.2">
      <c r="A51" s="120" t="s">
        <v>2449</v>
      </c>
      <c r="B51" s="120" t="s">
        <v>2450</v>
      </c>
      <c r="C51" s="120" t="s">
        <v>2143</v>
      </c>
    </row>
    <row r="52" spans="1:3" x14ac:dyDescent="0.2">
      <c r="A52" s="120" t="s">
        <v>2451</v>
      </c>
      <c r="B52" s="120" t="s">
        <v>2452</v>
      </c>
      <c r="C52" s="120" t="s">
        <v>1762</v>
      </c>
    </row>
    <row r="53" spans="1:3" x14ac:dyDescent="0.2">
      <c r="A53" s="120" t="s">
        <v>2453</v>
      </c>
      <c r="B53" s="120" t="s">
        <v>2454</v>
      </c>
      <c r="C53" s="120" t="s">
        <v>2143</v>
      </c>
    </row>
    <row r="54" spans="1:3" x14ac:dyDescent="0.2">
      <c r="A54" s="120" t="s">
        <v>2459</v>
      </c>
      <c r="B54" s="120" t="s">
        <v>2460</v>
      </c>
      <c r="C54" s="120" t="s">
        <v>2143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2148</v>
      </c>
      <c r="C1" s="14" t="s">
        <v>339</v>
      </c>
    </row>
    <row r="2" spans="1:3" x14ac:dyDescent="0.25">
      <c r="A2" s="15" t="s">
        <v>491</v>
      </c>
      <c r="B2" s="15" t="s">
        <v>743</v>
      </c>
      <c r="C2" s="15" t="s">
        <v>1460</v>
      </c>
    </row>
    <row r="3" spans="1:3" x14ac:dyDescent="0.25">
      <c r="A3" s="15" t="s">
        <v>492</v>
      </c>
      <c r="B3" s="15" t="s">
        <v>744</v>
      </c>
      <c r="C3" s="16" t="s">
        <v>1461</v>
      </c>
    </row>
    <row r="4" spans="1:3" x14ac:dyDescent="0.25">
      <c r="A4" s="15" t="s">
        <v>493</v>
      </c>
      <c r="B4" s="15" t="s">
        <v>745</v>
      </c>
      <c r="C4" s="15" t="s">
        <v>1462</v>
      </c>
    </row>
    <row r="5" spans="1:3" x14ac:dyDescent="0.25">
      <c r="A5" s="15" t="s">
        <v>494</v>
      </c>
      <c r="B5" s="15" t="s">
        <v>746</v>
      </c>
      <c r="C5" s="16" t="s">
        <v>1463</v>
      </c>
    </row>
    <row r="6" spans="1:3" x14ac:dyDescent="0.25">
      <c r="A6" s="15" t="s">
        <v>495</v>
      </c>
      <c r="B6" s="15" t="s">
        <v>747</v>
      </c>
      <c r="C6" s="15" t="s">
        <v>1464</v>
      </c>
    </row>
    <row r="7" spans="1:3" x14ac:dyDescent="0.25">
      <c r="A7" s="15" t="s">
        <v>496</v>
      </c>
      <c r="B7" s="15" t="s">
        <v>748</v>
      </c>
      <c r="C7" s="15" t="s">
        <v>1465</v>
      </c>
    </row>
    <row r="8" spans="1:3" x14ac:dyDescent="0.25">
      <c r="A8" s="15" t="s">
        <v>497</v>
      </c>
      <c r="B8" s="15" t="s">
        <v>749</v>
      </c>
      <c r="C8" s="15" t="s">
        <v>1466</v>
      </c>
    </row>
    <row r="9" spans="1:3" x14ac:dyDescent="0.25">
      <c r="A9" s="15" t="s">
        <v>498</v>
      </c>
      <c r="B9" s="15" t="s">
        <v>750</v>
      </c>
      <c r="C9" s="15" t="s">
        <v>1467</v>
      </c>
    </row>
    <row r="10" spans="1:3" x14ac:dyDescent="0.25">
      <c r="A10" s="15" t="s">
        <v>499</v>
      </c>
      <c r="B10" s="15" t="s">
        <v>751</v>
      </c>
      <c r="C10" s="15" t="s">
        <v>1468</v>
      </c>
    </row>
    <row r="11" spans="1:3" x14ac:dyDescent="0.25">
      <c r="A11" s="15" t="s">
        <v>500</v>
      </c>
      <c r="B11" s="15" t="s">
        <v>752</v>
      </c>
      <c r="C11" s="15" t="s">
        <v>1469</v>
      </c>
    </row>
    <row r="12" spans="1:3" x14ac:dyDescent="0.25">
      <c r="A12" s="15" t="s">
        <v>501</v>
      </c>
      <c r="B12" s="15" t="s">
        <v>753</v>
      </c>
      <c r="C12" s="16" t="s">
        <v>1470</v>
      </c>
    </row>
    <row r="13" spans="1:3" x14ac:dyDescent="0.25">
      <c r="A13" s="15" t="s">
        <v>502</v>
      </c>
      <c r="B13" s="15" t="s">
        <v>754</v>
      </c>
      <c r="C13" s="15" t="s">
        <v>1471</v>
      </c>
    </row>
    <row r="14" spans="1:3" x14ac:dyDescent="0.25">
      <c r="A14" s="15" t="s">
        <v>503</v>
      </c>
      <c r="B14" s="15" t="s">
        <v>755</v>
      </c>
      <c r="C14" s="15" t="s">
        <v>1472</v>
      </c>
    </row>
    <row r="15" spans="1:3" x14ac:dyDescent="0.25">
      <c r="A15" s="15" t="s">
        <v>504</v>
      </c>
      <c r="B15" s="15" t="s">
        <v>756</v>
      </c>
      <c r="C15" s="15" t="s">
        <v>1473</v>
      </c>
    </row>
    <row r="16" spans="1:3" x14ac:dyDescent="0.25">
      <c r="A16" s="15" t="s">
        <v>735</v>
      </c>
      <c r="B16" s="15" t="s">
        <v>757</v>
      </c>
      <c r="C16" s="16" t="s">
        <v>1474</v>
      </c>
    </row>
    <row r="17" spans="1:3" x14ac:dyDescent="0.25">
      <c r="A17" s="15" t="s">
        <v>505</v>
      </c>
      <c r="B17" s="15" t="s">
        <v>758</v>
      </c>
      <c r="C17" s="15" t="s">
        <v>1475</v>
      </c>
    </row>
    <row r="18" spans="1:3" x14ac:dyDescent="0.25">
      <c r="A18" s="15" t="s">
        <v>506</v>
      </c>
      <c r="B18" s="15" t="s">
        <v>759</v>
      </c>
      <c r="C18" s="16" t="s">
        <v>1476</v>
      </c>
    </row>
    <row r="19" spans="1:3" x14ac:dyDescent="0.25">
      <c r="A19" s="15" t="s">
        <v>507</v>
      </c>
      <c r="B19" s="15" t="s">
        <v>760</v>
      </c>
      <c r="C19" s="15" t="s">
        <v>1477</v>
      </c>
    </row>
    <row r="20" spans="1:3" x14ac:dyDescent="0.25">
      <c r="A20" s="15" t="s">
        <v>508</v>
      </c>
      <c r="B20" s="15" t="s">
        <v>761</v>
      </c>
      <c r="C20" s="15" t="s">
        <v>1478</v>
      </c>
    </row>
    <row r="21" spans="1:3" x14ac:dyDescent="0.25">
      <c r="A21" s="15" t="s">
        <v>509</v>
      </c>
      <c r="B21" s="15" t="s">
        <v>762</v>
      </c>
      <c r="C21" s="15" t="s">
        <v>1479</v>
      </c>
    </row>
    <row r="22" spans="1:3" x14ac:dyDescent="0.25">
      <c r="A22" s="15" t="s">
        <v>510</v>
      </c>
      <c r="B22" s="15" t="s">
        <v>763</v>
      </c>
      <c r="C22" s="16" t="s">
        <v>1480</v>
      </c>
    </row>
    <row r="23" spans="1:3" x14ac:dyDescent="0.25">
      <c r="A23" s="15" t="s">
        <v>511</v>
      </c>
      <c r="B23" s="15" t="s">
        <v>764</v>
      </c>
      <c r="C23" s="15" t="s">
        <v>1481</v>
      </c>
    </row>
    <row r="24" spans="1:3" x14ac:dyDescent="0.25">
      <c r="A24" s="15" t="s">
        <v>512</v>
      </c>
      <c r="B24" s="15" t="s">
        <v>765</v>
      </c>
      <c r="C24" s="15" t="s">
        <v>1482</v>
      </c>
    </row>
    <row r="25" spans="1:3" x14ac:dyDescent="0.25">
      <c r="A25" s="15" t="s">
        <v>513</v>
      </c>
      <c r="B25" s="15" t="s">
        <v>766</v>
      </c>
      <c r="C25" s="15" t="s">
        <v>1483</v>
      </c>
    </row>
    <row r="26" spans="1:3" x14ac:dyDescent="0.25">
      <c r="A26" s="15" t="s">
        <v>514</v>
      </c>
      <c r="B26" s="15" t="s">
        <v>767</v>
      </c>
      <c r="C26" s="15" t="s">
        <v>1484</v>
      </c>
    </row>
    <row r="27" spans="1:3" x14ac:dyDescent="0.25">
      <c r="A27" s="15" t="s">
        <v>734</v>
      </c>
      <c r="B27" s="15" t="s">
        <v>768</v>
      </c>
      <c r="C27" s="16" t="s">
        <v>1485</v>
      </c>
    </row>
    <row r="28" spans="1:3" x14ac:dyDescent="0.25">
      <c r="A28" s="15" t="s">
        <v>515</v>
      </c>
      <c r="B28" s="15" t="s">
        <v>769</v>
      </c>
      <c r="C28" s="15" t="s">
        <v>1486</v>
      </c>
    </row>
    <row r="29" spans="1:3" x14ac:dyDescent="0.25">
      <c r="A29" s="15" t="s">
        <v>516</v>
      </c>
      <c r="B29" s="15" t="s">
        <v>770</v>
      </c>
      <c r="C29" s="16" t="s">
        <v>1487</v>
      </c>
    </row>
    <row r="30" spans="1:3" x14ac:dyDescent="0.25">
      <c r="A30" s="15" t="s">
        <v>709</v>
      </c>
      <c r="B30" s="15" t="s">
        <v>771</v>
      </c>
      <c r="C30" s="15" t="s">
        <v>1488</v>
      </c>
    </row>
    <row r="31" spans="1:3" x14ac:dyDescent="0.25">
      <c r="A31" s="15" t="s">
        <v>517</v>
      </c>
      <c r="B31" s="15" t="s">
        <v>772</v>
      </c>
      <c r="C31" s="16" t="s">
        <v>1489</v>
      </c>
    </row>
    <row r="32" spans="1:3" x14ac:dyDescent="0.25">
      <c r="A32" s="15" t="s">
        <v>518</v>
      </c>
      <c r="B32" s="15" t="s">
        <v>773</v>
      </c>
      <c r="C32" s="15" t="s">
        <v>1490</v>
      </c>
    </row>
    <row r="33" spans="1:3" x14ac:dyDescent="0.25">
      <c r="A33" s="15" t="s">
        <v>519</v>
      </c>
      <c r="B33" s="15" t="s">
        <v>774</v>
      </c>
      <c r="C33" s="15" t="s">
        <v>1491</v>
      </c>
    </row>
    <row r="34" spans="1:3" x14ac:dyDescent="0.25">
      <c r="A34" s="15" t="s">
        <v>520</v>
      </c>
      <c r="B34" s="15" t="s">
        <v>775</v>
      </c>
      <c r="C34" s="15" t="s">
        <v>1492</v>
      </c>
    </row>
    <row r="35" spans="1:3" x14ac:dyDescent="0.25">
      <c r="A35" s="15" t="s">
        <v>521</v>
      </c>
      <c r="B35" s="15" t="s">
        <v>776</v>
      </c>
      <c r="C35" s="16" t="s">
        <v>1493</v>
      </c>
    </row>
    <row r="36" spans="1:3" x14ac:dyDescent="0.25">
      <c r="A36" s="15" t="s">
        <v>522</v>
      </c>
      <c r="B36" s="15" t="s">
        <v>777</v>
      </c>
      <c r="C36" s="15" t="s">
        <v>1494</v>
      </c>
    </row>
    <row r="37" spans="1:3" x14ac:dyDescent="0.25">
      <c r="A37" s="15" t="s">
        <v>523</v>
      </c>
      <c r="B37" s="15" t="s">
        <v>778</v>
      </c>
      <c r="C37" s="15" t="s">
        <v>1495</v>
      </c>
    </row>
    <row r="38" spans="1:3" x14ac:dyDescent="0.25">
      <c r="A38" s="15" t="s">
        <v>524</v>
      </c>
      <c r="B38" s="15" t="s">
        <v>779</v>
      </c>
      <c r="C38" s="15" t="s">
        <v>1496</v>
      </c>
    </row>
    <row r="39" spans="1:3" x14ac:dyDescent="0.25">
      <c r="A39" s="15" t="s">
        <v>525</v>
      </c>
      <c r="B39" s="15" t="s">
        <v>780</v>
      </c>
      <c r="C39" s="15" t="s">
        <v>1497</v>
      </c>
    </row>
    <row r="40" spans="1:3" x14ac:dyDescent="0.25">
      <c r="A40" s="15" t="s">
        <v>526</v>
      </c>
      <c r="B40" s="15" t="s">
        <v>781</v>
      </c>
      <c r="C40" s="16" t="s">
        <v>1498</v>
      </c>
    </row>
    <row r="41" spans="1:3" x14ac:dyDescent="0.25">
      <c r="A41" s="15" t="s">
        <v>710</v>
      </c>
      <c r="B41" s="15" t="s">
        <v>782</v>
      </c>
      <c r="C41" s="16" t="s">
        <v>1499</v>
      </c>
    </row>
    <row r="42" spans="1:3" x14ac:dyDescent="0.25">
      <c r="A42" s="15" t="s">
        <v>527</v>
      </c>
      <c r="B42" s="15" t="s">
        <v>783</v>
      </c>
      <c r="C42" s="16" t="s">
        <v>1500</v>
      </c>
    </row>
    <row r="43" spans="1:3" x14ac:dyDescent="0.25">
      <c r="A43" s="15" t="s">
        <v>528</v>
      </c>
      <c r="B43" s="15" t="s">
        <v>784</v>
      </c>
      <c r="C43" s="15" t="s">
        <v>1501</v>
      </c>
    </row>
    <row r="44" spans="1:3" x14ac:dyDescent="0.25">
      <c r="A44" s="15" t="s">
        <v>529</v>
      </c>
      <c r="B44" s="15" t="s">
        <v>785</v>
      </c>
      <c r="C44" s="15" t="s">
        <v>1502</v>
      </c>
    </row>
    <row r="45" spans="1:3" x14ac:dyDescent="0.25">
      <c r="A45" s="15" t="s">
        <v>733</v>
      </c>
      <c r="B45" s="15" t="s">
        <v>786</v>
      </c>
      <c r="C45" s="16" t="s">
        <v>1503</v>
      </c>
    </row>
    <row r="46" spans="1:3" x14ac:dyDescent="0.25">
      <c r="A46" s="15" t="s">
        <v>530</v>
      </c>
      <c r="B46" s="15" t="s">
        <v>787</v>
      </c>
      <c r="C46" s="16" t="s">
        <v>1504</v>
      </c>
    </row>
    <row r="47" spans="1:3" x14ac:dyDescent="0.25">
      <c r="A47" s="15" t="s">
        <v>531</v>
      </c>
      <c r="B47" s="15" t="s">
        <v>788</v>
      </c>
      <c r="C47" s="15" t="s">
        <v>1505</v>
      </c>
    </row>
    <row r="48" spans="1:3" x14ac:dyDescent="0.25">
      <c r="A48" s="15" t="s">
        <v>532</v>
      </c>
      <c r="B48" s="15" t="s">
        <v>789</v>
      </c>
      <c r="C48" s="15" t="s">
        <v>1506</v>
      </c>
    </row>
    <row r="49" spans="1:3" x14ac:dyDescent="0.25">
      <c r="A49" s="15" t="s">
        <v>533</v>
      </c>
      <c r="B49" s="15" t="s">
        <v>790</v>
      </c>
      <c r="C49" s="15" t="s">
        <v>1507</v>
      </c>
    </row>
    <row r="50" spans="1:3" x14ac:dyDescent="0.25">
      <c r="A50" s="15" t="s">
        <v>534</v>
      </c>
      <c r="B50" s="15" t="s">
        <v>791</v>
      </c>
      <c r="C50" s="15" t="s">
        <v>1508</v>
      </c>
    </row>
    <row r="51" spans="1:3" x14ac:dyDescent="0.25">
      <c r="A51" s="15" t="s">
        <v>535</v>
      </c>
      <c r="B51" s="15" t="s">
        <v>792</v>
      </c>
      <c r="C51" s="16" t="s">
        <v>1509</v>
      </c>
    </row>
    <row r="52" spans="1:3" x14ac:dyDescent="0.25">
      <c r="A52" s="15" t="s">
        <v>536</v>
      </c>
      <c r="B52" s="15" t="s">
        <v>793</v>
      </c>
      <c r="C52" s="15" t="s">
        <v>1510</v>
      </c>
    </row>
    <row r="53" spans="1:3" x14ac:dyDescent="0.25">
      <c r="A53" s="15" t="s">
        <v>537</v>
      </c>
      <c r="B53" s="15" t="s">
        <v>794</v>
      </c>
      <c r="C53" s="16" t="s">
        <v>1511</v>
      </c>
    </row>
    <row r="54" spans="1:3" x14ac:dyDescent="0.25">
      <c r="A54" s="15" t="s">
        <v>538</v>
      </c>
      <c r="B54" s="15" t="s">
        <v>795</v>
      </c>
      <c r="C54" s="15" t="s">
        <v>1512</v>
      </c>
    </row>
    <row r="55" spans="1:3" x14ac:dyDescent="0.25">
      <c r="A55" s="15" t="s">
        <v>539</v>
      </c>
      <c r="B55" s="15" t="s">
        <v>796</v>
      </c>
      <c r="C55" s="16" t="s">
        <v>1513</v>
      </c>
    </row>
    <row r="56" spans="1:3" x14ac:dyDescent="0.25">
      <c r="A56" s="15" t="s">
        <v>540</v>
      </c>
      <c r="B56" s="15" t="s">
        <v>797</v>
      </c>
      <c r="C56" s="15" t="s">
        <v>1514</v>
      </c>
    </row>
    <row r="57" spans="1:3" x14ac:dyDescent="0.25">
      <c r="A57" s="15" t="s">
        <v>541</v>
      </c>
      <c r="B57" s="15" t="s">
        <v>798</v>
      </c>
      <c r="C57" s="15" t="s">
        <v>1515</v>
      </c>
    </row>
    <row r="58" spans="1:3" x14ac:dyDescent="0.25">
      <c r="A58" s="15" t="s">
        <v>542</v>
      </c>
      <c r="B58" s="15" t="s">
        <v>799</v>
      </c>
      <c r="C58" s="15" t="s">
        <v>1516</v>
      </c>
    </row>
    <row r="59" spans="1:3" x14ac:dyDescent="0.25">
      <c r="A59" s="15" t="s">
        <v>543</v>
      </c>
      <c r="B59" s="15" t="s">
        <v>800</v>
      </c>
      <c r="C59" s="15" t="s">
        <v>1517</v>
      </c>
    </row>
    <row r="60" spans="1:3" x14ac:dyDescent="0.25">
      <c r="A60" s="15" t="s">
        <v>544</v>
      </c>
      <c r="B60" s="15" t="s">
        <v>801</v>
      </c>
      <c r="C60" s="15" t="s">
        <v>1518</v>
      </c>
    </row>
    <row r="61" spans="1:3" x14ac:dyDescent="0.25">
      <c r="A61" s="15" t="s">
        <v>545</v>
      </c>
      <c r="B61" s="15" t="s">
        <v>802</v>
      </c>
      <c r="C61" s="15" t="s">
        <v>1519</v>
      </c>
    </row>
    <row r="62" spans="1:3" x14ac:dyDescent="0.25">
      <c r="A62" s="15" t="s">
        <v>546</v>
      </c>
      <c r="B62" s="15" t="s">
        <v>803</v>
      </c>
      <c r="C62" s="16" t="s">
        <v>1520</v>
      </c>
    </row>
    <row r="63" spans="1:3" x14ac:dyDescent="0.25">
      <c r="A63" s="15" t="s">
        <v>547</v>
      </c>
      <c r="B63" s="15" t="s">
        <v>804</v>
      </c>
      <c r="C63" s="15" t="s">
        <v>1521</v>
      </c>
    </row>
    <row r="64" spans="1:3" x14ac:dyDescent="0.25">
      <c r="A64" s="15" t="s">
        <v>548</v>
      </c>
      <c r="B64" s="15" t="s">
        <v>805</v>
      </c>
      <c r="C64" s="15" t="s">
        <v>1522</v>
      </c>
    </row>
    <row r="65" spans="1:3" x14ac:dyDescent="0.25">
      <c r="A65" s="15" t="s">
        <v>549</v>
      </c>
      <c r="B65" s="15" t="s">
        <v>806</v>
      </c>
      <c r="C65" s="15" t="s">
        <v>1523</v>
      </c>
    </row>
    <row r="66" spans="1:3" x14ac:dyDescent="0.25">
      <c r="A66" s="15" t="s">
        <v>21</v>
      </c>
      <c r="B66" s="15" t="s">
        <v>807</v>
      </c>
      <c r="C66" s="15" t="s">
        <v>1524</v>
      </c>
    </row>
    <row r="67" spans="1:3" x14ac:dyDescent="0.25">
      <c r="A67" s="15" t="s">
        <v>550</v>
      </c>
      <c r="B67" s="15" t="s">
        <v>808</v>
      </c>
      <c r="C67" s="16" t="s">
        <v>1525</v>
      </c>
    </row>
    <row r="68" spans="1:3" x14ac:dyDescent="0.25">
      <c r="A68" s="15" t="s">
        <v>551</v>
      </c>
      <c r="B68" s="15" t="s">
        <v>809</v>
      </c>
      <c r="C68" s="15" t="s">
        <v>1526</v>
      </c>
    </row>
    <row r="69" spans="1:3" x14ac:dyDescent="0.25">
      <c r="A69" s="15" t="s">
        <v>552</v>
      </c>
      <c r="B69" s="15" t="s">
        <v>810</v>
      </c>
      <c r="C69" s="15" t="s">
        <v>1527</v>
      </c>
    </row>
    <row r="70" spans="1:3" x14ac:dyDescent="0.25">
      <c r="A70" s="15" t="s">
        <v>553</v>
      </c>
      <c r="B70" s="15" t="s">
        <v>811</v>
      </c>
      <c r="C70" s="15" t="s">
        <v>1528</v>
      </c>
    </row>
    <row r="71" spans="1:3" x14ac:dyDescent="0.25">
      <c r="A71" s="15" t="s">
        <v>554</v>
      </c>
      <c r="B71" s="15" t="s">
        <v>812</v>
      </c>
      <c r="C71" s="15" t="s">
        <v>1529</v>
      </c>
    </row>
    <row r="72" spans="1:3" x14ac:dyDescent="0.25">
      <c r="A72" s="15" t="s">
        <v>555</v>
      </c>
      <c r="B72" s="15" t="s">
        <v>813</v>
      </c>
      <c r="C72" s="15" t="s">
        <v>1530</v>
      </c>
    </row>
    <row r="73" spans="1:3" x14ac:dyDescent="0.25">
      <c r="A73" s="15" t="s">
        <v>711</v>
      </c>
      <c r="B73" s="15" t="s">
        <v>814</v>
      </c>
      <c r="C73" s="16" t="s">
        <v>1531</v>
      </c>
    </row>
    <row r="74" spans="1:3" x14ac:dyDescent="0.25">
      <c r="A74" s="15" t="s">
        <v>712</v>
      </c>
      <c r="B74" s="15" t="s">
        <v>815</v>
      </c>
      <c r="C74" s="15" t="s">
        <v>1532</v>
      </c>
    </row>
    <row r="75" spans="1:3" x14ac:dyDescent="0.25">
      <c r="A75" s="15" t="s">
        <v>556</v>
      </c>
      <c r="B75" s="15" t="s">
        <v>816</v>
      </c>
      <c r="C75" s="16" t="s">
        <v>1533</v>
      </c>
    </row>
    <row r="76" spans="1:3" x14ac:dyDescent="0.25">
      <c r="A76" s="15" t="s">
        <v>557</v>
      </c>
      <c r="B76" s="15" t="s">
        <v>817</v>
      </c>
      <c r="C76" s="15" t="s">
        <v>1447</v>
      </c>
    </row>
    <row r="77" spans="1:3" x14ac:dyDescent="0.25">
      <c r="A77" s="15" t="s">
        <v>558</v>
      </c>
      <c r="B77" s="15" t="s">
        <v>818</v>
      </c>
      <c r="C77" s="15" t="s">
        <v>1534</v>
      </c>
    </row>
    <row r="78" spans="1:3" x14ac:dyDescent="0.25">
      <c r="A78" s="15" t="s">
        <v>736</v>
      </c>
      <c r="B78" s="15" t="s">
        <v>819</v>
      </c>
      <c r="C78" s="16" t="s">
        <v>1445</v>
      </c>
    </row>
    <row r="79" spans="1:3" x14ac:dyDescent="0.25">
      <c r="A79" s="15" t="s">
        <v>559</v>
      </c>
      <c r="B79" s="15" t="s">
        <v>820</v>
      </c>
      <c r="C79" s="15" t="s">
        <v>1535</v>
      </c>
    </row>
    <row r="80" spans="1:3" x14ac:dyDescent="0.25">
      <c r="A80" s="15" t="s">
        <v>560</v>
      </c>
      <c r="B80" s="15" t="s">
        <v>821</v>
      </c>
      <c r="C80" s="15" t="s">
        <v>1536</v>
      </c>
    </row>
    <row r="81" spans="1:3" x14ac:dyDescent="0.25">
      <c r="A81" s="15" t="s">
        <v>561</v>
      </c>
      <c r="B81" s="15" t="s">
        <v>822</v>
      </c>
      <c r="C81" s="16" t="s">
        <v>1537</v>
      </c>
    </row>
    <row r="82" spans="1:3" x14ac:dyDescent="0.25">
      <c r="A82" s="15" t="s">
        <v>562</v>
      </c>
      <c r="B82" s="15" t="s">
        <v>823</v>
      </c>
      <c r="C82" s="15" t="s">
        <v>1538</v>
      </c>
    </row>
    <row r="83" spans="1:3" x14ac:dyDescent="0.25">
      <c r="A83" s="15" t="s">
        <v>563</v>
      </c>
      <c r="B83" s="15" t="s">
        <v>824</v>
      </c>
      <c r="C83" s="15" t="s">
        <v>1539</v>
      </c>
    </row>
    <row r="84" spans="1:3" x14ac:dyDescent="0.25">
      <c r="A84" s="15" t="s">
        <v>564</v>
      </c>
      <c r="B84" s="15" t="s">
        <v>825</v>
      </c>
      <c r="C84" s="15" t="s">
        <v>1540</v>
      </c>
    </row>
    <row r="85" spans="1:3" x14ac:dyDescent="0.25">
      <c r="A85" s="15" t="s">
        <v>565</v>
      </c>
      <c r="B85" s="15" t="s">
        <v>826</v>
      </c>
      <c r="C85" s="15" t="s">
        <v>1541</v>
      </c>
    </row>
    <row r="86" spans="1:3" x14ac:dyDescent="0.25">
      <c r="A86" s="15" t="s">
        <v>566</v>
      </c>
      <c r="B86" s="15" t="s">
        <v>827</v>
      </c>
      <c r="C86" s="15" t="s">
        <v>1542</v>
      </c>
    </row>
    <row r="87" spans="1:3" x14ac:dyDescent="0.25">
      <c r="A87" s="15" t="s">
        <v>567</v>
      </c>
      <c r="B87" s="15" t="s">
        <v>828</v>
      </c>
      <c r="C87" s="15" t="s">
        <v>1543</v>
      </c>
    </row>
    <row r="88" spans="1:3" x14ac:dyDescent="0.25">
      <c r="A88" s="15" t="s">
        <v>568</v>
      </c>
      <c r="B88" s="15" t="s">
        <v>829</v>
      </c>
      <c r="C88" s="15" t="s">
        <v>1544</v>
      </c>
    </row>
    <row r="89" spans="1:3" x14ac:dyDescent="0.25">
      <c r="A89" s="15" t="s">
        <v>569</v>
      </c>
      <c r="B89" s="15" t="s">
        <v>830</v>
      </c>
      <c r="C89" s="16" t="s">
        <v>1545</v>
      </c>
    </row>
    <row r="90" spans="1:3" x14ac:dyDescent="0.25">
      <c r="A90" s="15" t="s">
        <v>570</v>
      </c>
      <c r="B90" s="15" t="s">
        <v>831</v>
      </c>
      <c r="C90" s="15" t="s">
        <v>1546</v>
      </c>
    </row>
    <row r="91" spans="1:3" x14ac:dyDescent="0.25">
      <c r="A91" s="15" t="s">
        <v>571</v>
      </c>
      <c r="B91" s="15" t="s">
        <v>832</v>
      </c>
      <c r="C91" s="16" t="s">
        <v>1547</v>
      </c>
    </row>
    <row r="92" spans="1:3" x14ac:dyDescent="0.25">
      <c r="A92" s="15" t="s">
        <v>572</v>
      </c>
      <c r="B92" s="15" t="s">
        <v>833</v>
      </c>
      <c r="C92" s="15" t="s">
        <v>1548</v>
      </c>
    </row>
    <row r="93" spans="1:3" x14ac:dyDescent="0.25">
      <c r="A93" s="15" t="s">
        <v>573</v>
      </c>
      <c r="B93" s="15" t="s">
        <v>834</v>
      </c>
      <c r="C93" s="15" t="s">
        <v>1549</v>
      </c>
    </row>
    <row r="94" spans="1:3" x14ac:dyDescent="0.25">
      <c r="A94" s="15" t="s">
        <v>574</v>
      </c>
      <c r="B94" s="15" t="s">
        <v>835</v>
      </c>
      <c r="C94" s="15" t="s">
        <v>1550</v>
      </c>
    </row>
    <row r="95" spans="1:3" x14ac:dyDescent="0.25">
      <c r="A95" s="15" t="s">
        <v>575</v>
      </c>
      <c r="B95" s="15" t="s">
        <v>836</v>
      </c>
      <c r="C95" s="15" t="s">
        <v>1551</v>
      </c>
    </row>
    <row r="96" spans="1:3" x14ac:dyDescent="0.25">
      <c r="A96" s="15" t="s">
        <v>576</v>
      </c>
      <c r="B96" s="15" t="s">
        <v>837</v>
      </c>
      <c r="C96" s="16" t="s">
        <v>1552</v>
      </c>
    </row>
    <row r="97" spans="1:3" x14ac:dyDescent="0.25">
      <c r="A97" s="15" t="s">
        <v>577</v>
      </c>
      <c r="B97" s="15" t="s">
        <v>838</v>
      </c>
      <c r="C97" s="16" t="s">
        <v>1553</v>
      </c>
    </row>
    <row r="98" spans="1:3" x14ac:dyDescent="0.25">
      <c r="A98" s="15" t="s">
        <v>578</v>
      </c>
      <c r="B98" s="15" t="s">
        <v>839</v>
      </c>
      <c r="C98" s="15" t="s">
        <v>1554</v>
      </c>
    </row>
    <row r="99" spans="1:3" x14ac:dyDescent="0.25">
      <c r="A99" s="15" t="s">
        <v>579</v>
      </c>
      <c r="B99" s="15" t="s">
        <v>840</v>
      </c>
      <c r="C99" s="15" t="s">
        <v>1555</v>
      </c>
    </row>
    <row r="100" spans="1:3" x14ac:dyDescent="0.25">
      <c r="A100" s="15" t="s">
        <v>580</v>
      </c>
      <c r="B100" s="15" t="s">
        <v>841</v>
      </c>
      <c r="C100" s="15" t="s">
        <v>1556</v>
      </c>
    </row>
    <row r="101" spans="1:3" x14ac:dyDescent="0.25">
      <c r="A101" s="15" t="s">
        <v>581</v>
      </c>
      <c r="B101" s="15" t="s">
        <v>842</v>
      </c>
      <c r="C101" s="15" t="s">
        <v>1557</v>
      </c>
    </row>
    <row r="102" spans="1:3" x14ac:dyDescent="0.25">
      <c r="A102" s="15" t="s">
        <v>582</v>
      </c>
      <c r="B102" s="15" t="s">
        <v>452</v>
      </c>
      <c r="C102" s="15" t="s">
        <v>1558</v>
      </c>
    </row>
    <row r="103" spans="1:3" x14ac:dyDescent="0.25">
      <c r="A103" s="15" t="s">
        <v>583</v>
      </c>
      <c r="B103" s="15" t="s">
        <v>843</v>
      </c>
      <c r="C103" s="15" t="s">
        <v>1559</v>
      </c>
    </row>
    <row r="104" spans="1:3" x14ac:dyDescent="0.25">
      <c r="A104" s="15" t="s">
        <v>584</v>
      </c>
      <c r="B104" s="15" t="s">
        <v>844</v>
      </c>
      <c r="C104" s="15" t="s">
        <v>1560</v>
      </c>
    </row>
    <row r="105" spans="1:3" x14ac:dyDescent="0.25">
      <c r="A105" s="15" t="s">
        <v>585</v>
      </c>
      <c r="B105" s="15" t="s">
        <v>845</v>
      </c>
      <c r="C105" s="16" t="s">
        <v>1561</v>
      </c>
    </row>
    <row r="106" spans="1:3" x14ac:dyDescent="0.25">
      <c r="A106" s="15" t="s">
        <v>2</v>
      </c>
      <c r="B106" s="15" t="s">
        <v>846</v>
      </c>
      <c r="C106" s="15" t="s">
        <v>1562</v>
      </c>
    </row>
    <row r="107" spans="1:3" x14ac:dyDescent="0.25">
      <c r="A107" s="15" t="s">
        <v>586</v>
      </c>
      <c r="B107" s="15" t="s">
        <v>847</v>
      </c>
      <c r="C107" s="16" t="s">
        <v>1563</v>
      </c>
    </row>
    <row r="108" spans="1:3" x14ac:dyDescent="0.25">
      <c r="A108" s="15" t="s">
        <v>587</v>
      </c>
      <c r="B108" s="15" t="s">
        <v>848</v>
      </c>
      <c r="C108" s="15" t="s">
        <v>1564</v>
      </c>
    </row>
    <row r="109" spans="1:3" x14ac:dyDescent="0.25">
      <c r="A109" s="15" t="s">
        <v>713</v>
      </c>
      <c r="B109" s="15" t="s">
        <v>849</v>
      </c>
      <c r="C109" s="15" t="s">
        <v>1565</v>
      </c>
    </row>
    <row r="110" spans="1:3" x14ac:dyDescent="0.25">
      <c r="A110" s="15" t="s">
        <v>588</v>
      </c>
      <c r="B110" s="15" t="s">
        <v>850</v>
      </c>
      <c r="C110" s="15" t="s">
        <v>1566</v>
      </c>
    </row>
    <row r="111" spans="1:3" x14ac:dyDescent="0.25">
      <c r="A111" s="15" t="s">
        <v>11</v>
      </c>
      <c r="B111" s="15" t="s">
        <v>851</v>
      </c>
      <c r="C111" s="15" t="s">
        <v>1446</v>
      </c>
    </row>
    <row r="112" spans="1:3" x14ac:dyDescent="0.25">
      <c r="A112" s="15" t="s">
        <v>589</v>
      </c>
      <c r="B112" s="15" t="s">
        <v>852</v>
      </c>
      <c r="C112" s="15" t="s">
        <v>1567</v>
      </c>
    </row>
    <row r="113" spans="1:3" x14ac:dyDescent="0.25">
      <c r="A113" s="15" t="s">
        <v>590</v>
      </c>
      <c r="B113" s="15" t="s">
        <v>853</v>
      </c>
      <c r="C113" s="15" t="s">
        <v>1568</v>
      </c>
    </row>
    <row r="114" spans="1:3" x14ac:dyDescent="0.25">
      <c r="A114" s="15" t="s">
        <v>591</v>
      </c>
      <c r="B114" s="15" t="s">
        <v>854</v>
      </c>
      <c r="C114" s="15" t="s">
        <v>1569</v>
      </c>
    </row>
    <row r="115" spans="1:3" x14ac:dyDescent="0.25">
      <c r="A115" s="15" t="s">
        <v>592</v>
      </c>
      <c r="B115" s="15" t="s">
        <v>855</v>
      </c>
      <c r="C115" s="15" t="s">
        <v>1570</v>
      </c>
    </row>
    <row r="116" spans="1:3" x14ac:dyDescent="0.25">
      <c r="A116" s="15" t="s">
        <v>593</v>
      </c>
      <c r="B116" s="15" t="s">
        <v>856</v>
      </c>
      <c r="C116" s="15" t="s">
        <v>1571</v>
      </c>
    </row>
    <row r="117" spans="1:3" x14ac:dyDescent="0.25">
      <c r="A117" s="15" t="s">
        <v>594</v>
      </c>
      <c r="B117" s="15" t="s">
        <v>857</v>
      </c>
      <c r="C117" s="15" t="s">
        <v>1572</v>
      </c>
    </row>
    <row r="118" spans="1:3" x14ac:dyDescent="0.25">
      <c r="A118" s="15" t="s">
        <v>595</v>
      </c>
      <c r="B118" s="15" t="s">
        <v>858</v>
      </c>
      <c r="C118" s="15" t="s">
        <v>1573</v>
      </c>
    </row>
    <row r="119" spans="1:3" x14ac:dyDescent="0.25">
      <c r="A119" s="15" t="s">
        <v>596</v>
      </c>
      <c r="B119" s="15" t="s">
        <v>859</v>
      </c>
      <c r="C119" s="15" t="s">
        <v>1574</v>
      </c>
    </row>
    <row r="120" spans="1:3" x14ac:dyDescent="0.25">
      <c r="A120" s="15" t="s">
        <v>597</v>
      </c>
      <c r="B120" s="15" t="s">
        <v>860</v>
      </c>
      <c r="C120" s="15" t="s">
        <v>1575</v>
      </c>
    </row>
    <row r="121" spans="1:3" x14ac:dyDescent="0.25">
      <c r="A121" s="15" t="s">
        <v>598</v>
      </c>
      <c r="B121" s="15" t="s">
        <v>861</v>
      </c>
      <c r="C121" s="16" t="s">
        <v>1576</v>
      </c>
    </row>
    <row r="122" spans="1:3" x14ac:dyDescent="0.25">
      <c r="A122" s="15" t="s">
        <v>714</v>
      </c>
      <c r="B122" s="15" t="s">
        <v>862</v>
      </c>
      <c r="C122" s="16" t="s">
        <v>1577</v>
      </c>
    </row>
    <row r="123" spans="1:3" x14ac:dyDescent="0.25">
      <c r="A123" s="15" t="s">
        <v>720</v>
      </c>
      <c r="B123" s="15" t="s">
        <v>863</v>
      </c>
      <c r="C123" s="16" t="s">
        <v>1578</v>
      </c>
    </row>
    <row r="124" spans="1:3" x14ac:dyDescent="0.25">
      <c r="A124" s="15" t="s">
        <v>599</v>
      </c>
      <c r="B124" s="15" t="s">
        <v>864</v>
      </c>
      <c r="C124" s="15" t="s">
        <v>1579</v>
      </c>
    </row>
    <row r="125" spans="1:3" x14ac:dyDescent="0.25">
      <c r="A125" s="15" t="s">
        <v>600</v>
      </c>
      <c r="B125" s="15" t="s">
        <v>865</v>
      </c>
      <c r="C125" s="16" t="s">
        <v>1580</v>
      </c>
    </row>
    <row r="126" spans="1:3" x14ac:dyDescent="0.25">
      <c r="A126" s="15" t="s">
        <v>601</v>
      </c>
      <c r="B126" s="15" t="s">
        <v>866</v>
      </c>
      <c r="C126" s="15" t="s">
        <v>1581</v>
      </c>
    </row>
    <row r="127" spans="1:3" x14ac:dyDescent="0.25">
      <c r="A127" s="15" t="s">
        <v>737</v>
      </c>
      <c r="B127" s="15" t="s">
        <v>867</v>
      </c>
      <c r="C127" s="15" t="s">
        <v>1582</v>
      </c>
    </row>
    <row r="128" spans="1:3" x14ac:dyDescent="0.25">
      <c r="A128" s="15" t="s">
        <v>483</v>
      </c>
      <c r="B128" s="15" t="s">
        <v>868</v>
      </c>
      <c r="C128" s="15" t="s">
        <v>1583</v>
      </c>
    </row>
    <row r="129" spans="1:3" x14ac:dyDescent="0.25">
      <c r="A129" s="15" t="s">
        <v>602</v>
      </c>
      <c r="B129" s="15" t="s">
        <v>869</v>
      </c>
      <c r="C129" s="16" t="s">
        <v>1584</v>
      </c>
    </row>
    <row r="130" spans="1:3" x14ac:dyDescent="0.25">
      <c r="A130" s="15" t="s">
        <v>603</v>
      </c>
      <c r="B130" s="15" t="s">
        <v>870</v>
      </c>
      <c r="C130" s="15" t="s">
        <v>1585</v>
      </c>
    </row>
    <row r="131" spans="1:3" x14ac:dyDescent="0.25">
      <c r="A131" s="15" t="s">
        <v>604</v>
      </c>
      <c r="B131" s="15" t="s">
        <v>871</v>
      </c>
      <c r="C131" s="16" t="s">
        <v>1586</v>
      </c>
    </row>
    <row r="132" spans="1:3" x14ac:dyDescent="0.25">
      <c r="A132" s="15" t="s">
        <v>605</v>
      </c>
      <c r="B132" s="15" t="s">
        <v>872</v>
      </c>
      <c r="C132" s="15" t="s">
        <v>1587</v>
      </c>
    </row>
    <row r="133" spans="1:3" x14ac:dyDescent="0.25">
      <c r="A133" s="15" t="s">
        <v>606</v>
      </c>
      <c r="B133" s="15" t="s">
        <v>873</v>
      </c>
      <c r="C133" s="15" t="s">
        <v>1588</v>
      </c>
    </row>
    <row r="134" spans="1:3" x14ac:dyDescent="0.25">
      <c r="A134" s="15" t="s">
        <v>607</v>
      </c>
      <c r="B134" s="15" t="s">
        <v>874</v>
      </c>
      <c r="C134" s="15" t="s">
        <v>1589</v>
      </c>
    </row>
    <row r="135" spans="1:3" x14ac:dyDescent="0.25">
      <c r="A135" s="15" t="s">
        <v>608</v>
      </c>
      <c r="B135" s="15" t="s">
        <v>875</v>
      </c>
      <c r="C135" s="15" t="s">
        <v>1590</v>
      </c>
    </row>
    <row r="136" spans="1:3" x14ac:dyDescent="0.25">
      <c r="A136" s="15" t="s">
        <v>609</v>
      </c>
      <c r="B136" s="15" t="s">
        <v>876</v>
      </c>
      <c r="C136" s="15" t="s">
        <v>1591</v>
      </c>
    </row>
    <row r="137" spans="1:3" x14ac:dyDescent="0.25">
      <c r="A137" s="15" t="s">
        <v>610</v>
      </c>
      <c r="B137" s="15" t="s">
        <v>877</v>
      </c>
      <c r="C137" s="15" t="s">
        <v>1592</v>
      </c>
    </row>
    <row r="138" spans="1:3" x14ac:dyDescent="0.25">
      <c r="A138" s="15" t="s">
        <v>611</v>
      </c>
      <c r="B138" s="15" t="s">
        <v>878</v>
      </c>
      <c r="C138" s="15" t="s">
        <v>1593</v>
      </c>
    </row>
    <row r="139" spans="1:3" x14ac:dyDescent="0.25">
      <c r="A139" s="15" t="s">
        <v>612</v>
      </c>
      <c r="B139" s="15" t="s">
        <v>879</v>
      </c>
      <c r="C139" s="15" t="s">
        <v>1594</v>
      </c>
    </row>
    <row r="140" spans="1:3" x14ac:dyDescent="0.25">
      <c r="A140" s="15" t="s">
        <v>721</v>
      </c>
      <c r="B140" s="15" t="s">
        <v>880</v>
      </c>
      <c r="C140" s="15" t="s">
        <v>1595</v>
      </c>
    </row>
    <row r="141" spans="1:3" x14ac:dyDescent="0.25">
      <c r="A141" s="15" t="s">
        <v>613</v>
      </c>
      <c r="B141" s="15" t="s">
        <v>881</v>
      </c>
      <c r="C141" s="15" t="s">
        <v>1596</v>
      </c>
    </row>
    <row r="142" spans="1:3" x14ac:dyDescent="0.25">
      <c r="A142" s="15" t="s">
        <v>715</v>
      </c>
      <c r="B142" s="15" t="s">
        <v>882</v>
      </c>
      <c r="C142" s="16" t="s">
        <v>1597</v>
      </c>
    </row>
    <row r="143" spans="1:3" x14ac:dyDescent="0.25">
      <c r="A143" s="15" t="s">
        <v>614</v>
      </c>
      <c r="B143" s="15" t="s">
        <v>883</v>
      </c>
      <c r="C143" s="15" t="s">
        <v>1598</v>
      </c>
    </row>
    <row r="144" spans="1:3" x14ac:dyDescent="0.25">
      <c r="A144" s="15" t="s">
        <v>615</v>
      </c>
      <c r="B144" s="15" t="s">
        <v>884</v>
      </c>
      <c r="C144" s="16" t="s">
        <v>1599</v>
      </c>
    </row>
    <row r="145" spans="1:3" x14ac:dyDescent="0.25">
      <c r="A145" s="15" t="s">
        <v>616</v>
      </c>
      <c r="B145" s="15" t="s">
        <v>885</v>
      </c>
      <c r="C145" s="16" t="s">
        <v>1600</v>
      </c>
    </row>
    <row r="146" spans="1:3" x14ac:dyDescent="0.25">
      <c r="A146" s="15" t="s">
        <v>617</v>
      </c>
      <c r="B146" s="15" t="s">
        <v>886</v>
      </c>
      <c r="C146" s="15" t="s">
        <v>1601</v>
      </c>
    </row>
    <row r="147" spans="1:3" x14ac:dyDescent="0.25">
      <c r="A147" s="15" t="s">
        <v>618</v>
      </c>
      <c r="B147" s="15" t="s">
        <v>887</v>
      </c>
      <c r="C147" s="15" t="s">
        <v>1602</v>
      </c>
    </row>
    <row r="148" spans="1:3" x14ac:dyDescent="0.25">
      <c r="A148" s="15" t="s">
        <v>619</v>
      </c>
      <c r="B148" s="15" t="s">
        <v>888</v>
      </c>
      <c r="C148" s="15" t="s">
        <v>1603</v>
      </c>
    </row>
    <row r="149" spans="1:3" x14ac:dyDescent="0.25">
      <c r="A149" s="15" t="s">
        <v>620</v>
      </c>
      <c r="B149" s="15" t="s">
        <v>889</v>
      </c>
      <c r="C149" s="15" t="s">
        <v>1604</v>
      </c>
    </row>
    <row r="150" spans="1:3" x14ac:dyDescent="0.25">
      <c r="A150" s="15" t="s">
        <v>622</v>
      </c>
      <c r="B150" s="15" t="s">
        <v>890</v>
      </c>
      <c r="C150" s="16" t="s">
        <v>1605</v>
      </c>
    </row>
    <row r="151" spans="1:3" x14ac:dyDescent="0.25">
      <c r="A151" s="15" t="s">
        <v>623</v>
      </c>
      <c r="B151" s="15" t="s">
        <v>891</v>
      </c>
      <c r="C151" s="15" t="s">
        <v>1606</v>
      </c>
    </row>
    <row r="152" spans="1:3" x14ac:dyDescent="0.25">
      <c r="A152" s="15" t="s">
        <v>624</v>
      </c>
      <c r="B152" s="15" t="s">
        <v>892</v>
      </c>
      <c r="C152" s="15" t="s">
        <v>1607</v>
      </c>
    </row>
    <row r="153" spans="1:3" x14ac:dyDescent="0.25">
      <c r="A153" s="15" t="s">
        <v>625</v>
      </c>
      <c r="B153" s="15" t="s">
        <v>893</v>
      </c>
      <c r="C153" s="15" t="s">
        <v>1608</v>
      </c>
    </row>
    <row r="154" spans="1:3" x14ac:dyDescent="0.25">
      <c r="A154" s="15" t="s">
        <v>626</v>
      </c>
      <c r="B154" s="15" t="s">
        <v>894</v>
      </c>
      <c r="C154" s="15" t="s">
        <v>1609</v>
      </c>
    </row>
    <row r="155" spans="1:3" x14ac:dyDescent="0.25">
      <c r="A155" s="15" t="s">
        <v>627</v>
      </c>
      <c r="B155" s="15" t="s">
        <v>895</v>
      </c>
      <c r="C155" s="15" t="s">
        <v>1610</v>
      </c>
    </row>
    <row r="156" spans="1:3" x14ac:dyDescent="0.25">
      <c r="A156" s="15" t="s">
        <v>628</v>
      </c>
      <c r="B156" s="15" t="s">
        <v>896</v>
      </c>
      <c r="C156" s="15" t="s">
        <v>1611</v>
      </c>
    </row>
    <row r="157" spans="1:3" x14ac:dyDescent="0.25">
      <c r="A157" s="15" t="s">
        <v>629</v>
      </c>
      <c r="B157" s="15" t="s">
        <v>897</v>
      </c>
      <c r="C157" s="15" t="s">
        <v>1612</v>
      </c>
    </row>
    <row r="158" spans="1:3" x14ac:dyDescent="0.25">
      <c r="A158" s="15" t="s">
        <v>630</v>
      </c>
      <c r="B158" s="15" t="s">
        <v>898</v>
      </c>
      <c r="C158" s="15" t="s">
        <v>1613</v>
      </c>
    </row>
    <row r="159" spans="1:3" x14ac:dyDescent="0.25">
      <c r="A159" s="15" t="s">
        <v>631</v>
      </c>
      <c r="B159" s="15" t="s">
        <v>899</v>
      </c>
      <c r="C159" s="15" t="s">
        <v>1614</v>
      </c>
    </row>
    <row r="160" spans="1:3" x14ac:dyDescent="0.25">
      <c r="A160" s="15" t="s">
        <v>632</v>
      </c>
      <c r="B160" s="15" t="s">
        <v>900</v>
      </c>
      <c r="C160" s="15" t="s">
        <v>1615</v>
      </c>
    </row>
    <row r="161" spans="1:3" x14ac:dyDescent="0.25">
      <c r="A161" s="15" t="s">
        <v>633</v>
      </c>
      <c r="B161" s="15" t="s">
        <v>901</v>
      </c>
      <c r="C161" s="15" t="s">
        <v>1616</v>
      </c>
    </row>
    <row r="162" spans="1:3" x14ac:dyDescent="0.25">
      <c r="A162" s="15" t="s">
        <v>634</v>
      </c>
      <c r="B162" s="15" t="s">
        <v>902</v>
      </c>
      <c r="C162" s="16" t="s">
        <v>1617</v>
      </c>
    </row>
    <row r="163" spans="1:3" x14ac:dyDescent="0.25">
      <c r="A163" s="15" t="s">
        <v>635</v>
      </c>
      <c r="B163" s="15" t="s">
        <v>903</v>
      </c>
      <c r="C163" s="15" t="s">
        <v>1618</v>
      </c>
    </row>
    <row r="164" spans="1:3" x14ac:dyDescent="0.25">
      <c r="A164" s="15" t="s">
        <v>636</v>
      </c>
      <c r="B164" s="15" t="s">
        <v>904</v>
      </c>
      <c r="C164" s="16" t="s">
        <v>1619</v>
      </c>
    </row>
    <row r="165" spans="1:3" x14ac:dyDescent="0.25">
      <c r="A165" s="15" t="s">
        <v>637</v>
      </c>
      <c r="B165" s="15" t="s">
        <v>905</v>
      </c>
      <c r="C165" s="15" t="s">
        <v>1620</v>
      </c>
    </row>
    <row r="166" spans="1:3" x14ac:dyDescent="0.25">
      <c r="A166" s="15" t="s">
        <v>638</v>
      </c>
      <c r="B166" s="15" t="s">
        <v>906</v>
      </c>
      <c r="C166" s="15" t="s">
        <v>1621</v>
      </c>
    </row>
    <row r="167" spans="1:3" x14ac:dyDescent="0.25">
      <c r="A167" s="15" t="s">
        <v>722</v>
      </c>
      <c r="B167" s="15" t="s">
        <v>907</v>
      </c>
      <c r="C167" s="15" t="s">
        <v>1622</v>
      </c>
    </row>
    <row r="168" spans="1:3" x14ac:dyDescent="0.25">
      <c r="A168" s="15" t="s">
        <v>639</v>
      </c>
      <c r="B168" s="15" t="s">
        <v>908</v>
      </c>
      <c r="C168" s="15" t="s">
        <v>1623</v>
      </c>
    </row>
    <row r="169" spans="1:3" x14ac:dyDescent="0.25">
      <c r="A169" s="15" t="s">
        <v>640</v>
      </c>
      <c r="B169" s="15" t="s">
        <v>909</v>
      </c>
      <c r="C169" s="15" t="s">
        <v>1624</v>
      </c>
    </row>
    <row r="170" spans="1:3" x14ac:dyDescent="0.25">
      <c r="A170" s="15" t="s">
        <v>641</v>
      </c>
      <c r="B170" s="15" t="s">
        <v>910</v>
      </c>
      <c r="C170" s="15" t="s">
        <v>1625</v>
      </c>
    </row>
    <row r="171" spans="1:3" x14ac:dyDescent="0.25">
      <c r="A171" s="15" t="s">
        <v>642</v>
      </c>
      <c r="B171" s="15" t="s">
        <v>911</v>
      </c>
      <c r="C171" s="15" t="s">
        <v>1626</v>
      </c>
    </row>
    <row r="172" spans="1:3" x14ac:dyDescent="0.25">
      <c r="A172" s="15" t="s">
        <v>643</v>
      </c>
      <c r="B172" s="15" t="s">
        <v>912</v>
      </c>
      <c r="C172" s="16" t="s">
        <v>1627</v>
      </c>
    </row>
    <row r="173" spans="1:3" x14ac:dyDescent="0.25">
      <c r="A173" s="15" t="s">
        <v>644</v>
      </c>
      <c r="B173" s="15" t="s">
        <v>913</v>
      </c>
      <c r="C173" s="15" t="s">
        <v>1628</v>
      </c>
    </row>
    <row r="174" spans="1:3" x14ac:dyDescent="0.25">
      <c r="A174" s="15" t="s">
        <v>645</v>
      </c>
      <c r="B174" s="15" t="s">
        <v>914</v>
      </c>
      <c r="C174" s="15" t="s">
        <v>1629</v>
      </c>
    </row>
    <row r="175" spans="1:3" x14ac:dyDescent="0.25">
      <c r="A175" s="15" t="s">
        <v>646</v>
      </c>
      <c r="B175" s="15" t="s">
        <v>915</v>
      </c>
      <c r="C175" s="15" t="s">
        <v>1630</v>
      </c>
    </row>
    <row r="176" spans="1:3" x14ac:dyDescent="0.25">
      <c r="A176" s="15" t="s">
        <v>647</v>
      </c>
      <c r="B176" s="15" t="s">
        <v>916</v>
      </c>
      <c r="C176" s="16" t="s">
        <v>1631</v>
      </c>
    </row>
    <row r="177" spans="1:3" x14ac:dyDescent="0.25">
      <c r="A177" s="15" t="s">
        <v>648</v>
      </c>
      <c r="B177" s="15" t="s">
        <v>917</v>
      </c>
      <c r="C177" s="16" t="s">
        <v>1632</v>
      </c>
    </row>
    <row r="178" spans="1:3" x14ac:dyDescent="0.25">
      <c r="A178" s="15" t="s">
        <v>649</v>
      </c>
      <c r="B178" s="15" t="s">
        <v>918</v>
      </c>
      <c r="C178" s="15" t="s">
        <v>1633</v>
      </c>
    </row>
    <row r="179" spans="1:3" x14ac:dyDescent="0.25">
      <c r="A179" s="15" t="s">
        <v>650</v>
      </c>
      <c r="B179" s="15" t="s">
        <v>919</v>
      </c>
      <c r="C179" s="15" t="s">
        <v>1634</v>
      </c>
    </row>
    <row r="180" spans="1:3" x14ac:dyDescent="0.25">
      <c r="A180" s="15" t="s">
        <v>651</v>
      </c>
      <c r="B180" s="15" t="s">
        <v>920</v>
      </c>
      <c r="C180" s="15" t="s">
        <v>1449</v>
      </c>
    </row>
    <row r="181" spans="1:3" x14ac:dyDescent="0.25">
      <c r="A181" s="15" t="s">
        <v>652</v>
      </c>
      <c r="B181" s="15" t="s">
        <v>921</v>
      </c>
      <c r="C181" s="16" t="s">
        <v>1635</v>
      </c>
    </row>
    <row r="182" spans="1:3" x14ac:dyDescent="0.25">
      <c r="A182" s="15" t="s">
        <v>653</v>
      </c>
      <c r="B182" s="15" t="s">
        <v>922</v>
      </c>
      <c r="C182" s="15" t="s">
        <v>1636</v>
      </c>
    </row>
    <row r="183" spans="1:3" x14ac:dyDescent="0.25">
      <c r="A183" s="15" t="s">
        <v>654</v>
      </c>
      <c r="B183" s="15" t="s">
        <v>923</v>
      </c>
      <c r="C183" s="16" t="s">
        <v>1637</v>
      </c>
    </row>
    <row r="184" spans="1:3" x14ac:dyDescent="0.25">
      <c r="A184" s="15" t="s">
        <v>723</v>
      </c>
      <c r="B184" s="15" t="s">
        <v>924</v>
      </c>
      <c r="C184" s="15" t="s">
        <v>1638</v>
      </c>
    </row>
    <row r="185" spans="1:3" x14ac:dyDescent="0.25">
      <c r="A185" s="15" t="s">
        <v>655</v>
      </c>
      <c r="B185" s="15" t="s">
        <v>925</v>
      </c>
      <c r="C185" s="15" t="s">
        <v>1448</v>
      </c>
    </row>
    <row r="186" spans="1:3" x14ac:dyDescent="0.25">
      <c r="A186" s="15" t="s">
        <v>656</v>
      </c>
      <c r="B186" s="15" t="s">
        <v>926</v>
      </c>
      <c r="C186" s="15" t="s">
        <v>1639</v>
      </c>
    </row>
    <row r="187" spans="1:3" x14ac:dyDescent="0.25">
      <c r="A187" s="15" t="s">
        <v>657</v>
      </c>
      <c r="B187" s="15" t="s">
        <v>927</v>
      </c>
      <c r="C187" s="15" t="s">
        <v>1640</v>
      </c>
    </row>
    <row r="188" spans="1:3" x14ac:dyDescent="0.25">
      <c r="A188" s="15" t="s">
        <v>658</v>
      </c>
      <c r="B188" s="15" t="s">
        <v>928</v>
      </c>
      <c r="C188" s="15" t="s">
        <v>1641</v>
      </c>
    </row>
    <row r="189" spans="1:3" x14ac:dyDescent="0.25">
      <c r="A189" s="15" t="s">
        <v>659</v>
      </c>
      <c r="B189" s="15" t="s">
        <v>929</v>
      </c>
      <c r="C189" s="15" t="s">
        <v>1642</v>
      </c>
    </row>
    <row r="190" spans="1:3" x14ac:dyDescent="0.25">
      <c r="A190" s="15" t="s">
        <v>660</v>
      </c>
      <c r="B190" s="15" t="s">
        <v>930</v>
      </c>
      <c r="C190" s="15" t="s">
        <v>1643</v>
      </c>
    </row>
    <row r="191" spans="1:3" x14ac:dyDescent="0.25">
      <c r="A191" s="15" t="s">
        <v>661</v>
      </c>
      <c r="B191" s="15" t="s">
        <v>931</v>
      </c>
      <c r="C191" s="15" t="s">
        <v>1644</v>
      </c>
    </row>
    <row r="192" spans="1:3" x14ac:dyDescent="0.25">
      <c r="A192" s="15" t="s">
        <v>738</v>
      </c>
      <c r="B192" s="15" t="s">
        <v>932</v>
      </c>
      <c r="C192" s="15" t="s">
        <v>1645</v>
      </c>
    </row>
    <row r="193" spans="1:3" x14ac:dyDescent="0.25">
      <c r="A193" s="15" t="s">
        <v>482</v>
      </c>
      <c r="B193" s="15" t="s">
        <v>933</v>
      </c>
      <c r="C193" s="15" t="s">
        <v>1646</v>
      </c>
    </row>
    <row r="194" spans="1:3" x14ac:dyDescent="0.25">
      <c r="A194" s="15" t="s">
        <v>662</v>
      </c>
      <c r="B194" s="15" t="s">
        <v>934</v>
      </c>
      <c r="C194" s="16" t="s">
        <v>1647</v>
      </c>
    </row>
    <row r="195" spans="1:3" x14ac:dyDescent="0.25">
      <c r="A195" s="15" t="s">
        <v>663</v>
      </c>
      <c r="B195" s="15" t="s">
        <v>935</v>
      </c>
      <c r="C195" s="16" t="s">
        <v>1648</v>
      </c>
    </row>
    <row r="196" spans="1:3" x14ac:dyDescent="0.25">
      <c r="A196" s="15" t="s">
        <v>664</v>
      </c>
      <c r="B196" s="15" t="s">
        <v>936</v>
      </c>
      <c r="C196" s="15" t="s">
        <v>1649</v>
      </c>
    </row>
    <row r="197" spans="1:3" x14ac:dyDescent="0.25">
      <c r="A197" s="15" t="s">
        <v>665</v>
      </c>
      <c r="B197" s="15" t="s">
        <v>937</v>
      </c>
      <c r="C197" s="15" t="s">
        <v>1650</v>
      </c>
    </row>
    <row r="198" spans="1:3" x14ac:dyDescent="0.25">
      <c r="A198" s="15" t="s">
        <v>666</v>
      </c>
      <c r="B198" s="15" t="s">
        <v>938</v>
      </c>
      <c r="C198" s="15" t="s">
        <v>1651</v>
      </c>
    </row>
    <row r="199" spans="1:3" x14ac:dyDescent="0.25">
      <c r="A199" s="15" t="s">
        <v>667</v>
      </c>
      <c r="B199" s="15" t="s">
        <v>939</v>
      </c>
      <c r="C199" s="15" t="s">
        <v>1652</v>
      </c>
    </row>
    <row r="200" spans="1:3" x14ac:dyDescent="0.25">
      <c r="A200" s="15" t="s">
        <v>668</v>
      </c>
      <c r="B200" s="15" t="s">
        <v>940</v>
      </c>
      <c r="C200" s="16" t="s">
        <v>1653</v>
      </c>
    </row>
    <row r="201" spans="1:3" x14ac:dyDescent="0.25">
      <c r="A201" s="15" t="s">
        <v>669</v>
      </c>
      <c r="B201" s="15" t="s">
        <v>941</v>
      </c>
      <c r="C201" s="15" t="s">
        <v>1654</v>
      </c>
    </row>
    <row r="202" spans="1:3" x14ac:dyDescent="0.25">
      <c r="A202" s="15" t="s">
        <v>670</v>
      </c>
      <c r="B202" s="15" t="s">
        <v>942</v>
      </c>
      <c r="C202" s="16" t="s">
        <v>1655</v>
      </c>
    </row>
    <row r="203" spans="1:3" x14ac:dyDescent="0.25">
      <c r="A203" s="15" t="s">
        <v>671</v>
      </c>
      <c r="B203" s="15" t="s">
        <v>943</v>
      </c>
      <c r="C203" s="15" t="s">
        <v>1656</v>
      </c>
    </row>
    <row r="204" spans="1:3" x14ac:dyDescent="0.25">
      <c r="A204" s="15" t="s">
        <v>672</v>
      </c>
      <c r="B204" s="15" t="s">
        <v>944</v>
      </c>
      <c r="C204" s="16" t="s">
        <v>1657</v>
      </c>
    </row>
    <row r="205" spans="1:3" x14ac:dyDescent="0.25">
      <c r="A205" s="15" t="s">
        <v>673</v>
      </c>
      <c r="B205" s="15" t="s">
        <v>945</v>
      </c>
      <c r="C205" s="16" t="s">
        <v>1658</v>
      </c>
    </row>
    <row r="206" spans="1:3" x14ac:dyDescent="0.25">
      <c r="A206" s="15" t="s">
        <v>674</v>
      </c>
      <c r="B206" s="15" t="s">
        <v>946</v>
      </c>
      <c r="C206" s="15" t="s">
        <v>1659</v>
      </c>
    </row>
    <row r="207" spans="1:3" x14ac:dyDescent="0.25">
      <c r="A207" s="15" t="s">
        <v>675</v>
      </c>
      <c r="B207" s="15" t="s">
        <v>947</v>
      </c>
      <c r="C207" s="15" t="s">
        <v>1660</v>
      </c>
    </row>
    <row r="208" spans="1:3" x14ac:dyDescent="0.25">
      <c r="A208" s="15" t="s">
        <v>676</v>
      </c>
      <c r="B208" s="15" t="s">
        <v>948</v>
      </c>
      <c r="C208" s="15" t="s">
        <v>1661</v>
      </c>
    </row>
    <row r="209" spans="1:3" x14ac:dyDescent="0.25">
      <c r="A209" s="15" t="s">
        <v>677</v>
      </c>
      <c r="B209" s="15" t="s">
        <v>949</v>
      </c>
      <c r="C209" s="16" t="s">
        <v>1662</v>
      </c>
    </row>
    <row r="210" spans="1:3" x14ac:dyDescent="0.25">
      <c r="A210" s="15" t="s">
        <v>678</v>
      </c>
      <c r="B210" s="15" t="s">
        <v>950</v>
      </c>
      <c r="C210" s="16" t="s">
        <v>1663</v>
      </c>
    </row>
    <row r="211" spans="1:3" x14ac:dyDescent="0.25">
      <c r="A211" s="15" t="s">
        <v>679</v>
      </c>
      <c r="B211" s="15" t="s">
        <v>951</v>
      </c>
      <c r="C211" s="16" t="s">
        <v>1664</v>
      </c>
    </row>
    <row r="212" spans="1:3" x14ac:dyDescent="0.25">
      <c r="A212" s="15" t="s">
        <v>716</v>
      </c>
      <c r="B212" s="15" t="s">
        <v>952</v>
      </c>
      <c r="C212" s="16" t="s">
        <v>1665</v>
      </c>
    </row>
    <row r="213" spans="1:3" x14ac:dyDescent="0.25">
      <c r="A213" s="15" t="s">
        <v>739</v>
      </c>
      <c r="B213" s="15" t="s">
        <v>953</v>
      </c>
      <c r="C213" s="15" t="s">
        <v>1666</v>
      </c>
    </row>
    <row r="214" spans="1:3" x14ac:dyDescent="0.25">
      <c r="A214" s="15" t="s">
        <v>680</v>
      </c>
      <c r="B214" s="15" t="s">
        <v>954</v>
      </c>
      <c r="C214" s="15" t="s">
        <v>1667</v>
      </c>
    </row>
    <row r="215" spans="1:3" x14ac:dyDescent="0.25">
      <c r="A215" s="15" t="s">
        <v>740</v>
      </c>
      <c r="B215" s="15" t="s">
        <v>955</v>
      </c>
      <c r="C215" s="16" t="s">
        <v>1668</v>
      </c>
    </row>
    <row r="216" spans="1:3" x14ac:dyDescent="0.25">
      <c r="A216" s="15" t="s">
        <v>681</v>
      </c>
      <c r="B216" s="15" t="s">
        <v>956</v>
      </c>
      <c r="C216" s="15" t="s">
        <v>1669</v>
      </c>
    </row>
    <row r="217" spans="1:3" x14ac:dyDescent="0.25">
      <c r="A217" s="15" t="s">
        <v>682</v>
      </c>
      <c r="B217" s="15" t="s">
        <v>957</v>
      </c>
      <c r="C217" s="16" t="s">
        <v>1670</v>
      </c>
    </row>
    <row r="218" spans="1:3" x14ac:dyDescent="0.25">
      <c r="A218" s="15" t="s">
        <v>683</v>
      </c>
      <c r="B218" s="15" t="s">
        <v>958</v>
      </c>
      <c r="C218" s="15" t="s">
        <v>1671</v>
      </c>
    </row>
    <row r="219" spans="1:3" x14ac:dyDescent="0.25">
      <c r="A219" s="15" t="s">
        <v>684</v>
      </c>
      <c r="B219" s="15" t="s">
        <v>959</v>
      </c>
      <c r="C219" s="15" t="s">
        <v>1672</v>
      </c>
    </row>
    <row r="220" spans="1:3" x14ac:dyDescent="0.25">
      <c r="A220" s="15" t="s">
        <v>685</v>
      </c>
      <c r="B220" s="15" t="s">
        <v>960</v>
      </c>
      <c r="C220" s="15" t="s">
        <v>1673</v>
      </c>
    </row>
    <row r="221" spans="1:3" x14ac:dyDescent="0.25">
      <c r="A221" s="15" t="s">
        <v>686</v>
      </c>
      <c r="B221" s="15" t="s">
        <v>961</v>
      </c>
      <c r="C221" s="15" t="s">
        <v>1674</v>
      </c>
    </row>
    <row r="222" spans="1:3" x14ac:dyDescent="0.25">
      <c r="A222" s="15" t="s">
        <v>687</v>
      </c>
      <c r="B222" s="15" t="s">
        <v>962</v>
      </c>
      <c r="C222" s="15" t="s">
        <v>1675</v>
      </c>
    </row>
    <row r="223" spans="1:3" x14ac:dyDescent="0.25">
      <c r="A223" s="15" t="s">
        <v>688</v>
      </c>
      <c r="B223" s="15" t="s">
        <v>963</v>
      </c>
      <c r="C223" s="15" t="s">
        <v>1676</v>
      </c>
    </row>
    <row r="224" spans="1:3" x14ac:dyDescent="0.25">
      <c r="A224" s="15" t="s">
        <v>689</v>
      </c>
      <c r="B224" s="15" t="s">
        <v>964</v>
      </c>
      <c r="C224" s="15" t="s">
        <v>1677</v>
      </c>
    </row>
    <row r="225" spans="1:3" x14ac:dyDescent="0.25">
      <c r="A225" s="15" t="s">
        <v>690</v>
      </c>
      <c r="B225" s="15" t="s">
        <v>965</v>
      </c>
      <c r="C225" s="15" t="s">
        <v>1678</v>
      </c>
    </row>
    <row r="226" spans="1:3" x14ac:dyDescent="0.25">
      <c r="A226" s="15" t="s">
        <v>691</v>
      </c>
      <c r="B226" s="15" t="s">
        <v>966</v>
      </c>
      <c r="C226" s="15" t="s">
        <v>1679</v>
      </c>
    </row>
    <row r="227" spans="1:3" x14ac:dyDescent="0.25">
      <c r="A227" s="15" t="s">
        <v>692</v>
      </c>
      <c r="B227" s="15" t="s">
        <v>967</v>
      </c>
      <c r="C227" s="16" t="s">
        <v>1680</v>
      </c>
    </row>
    <row r="228" spans="1:3" x14ac:dyDescent="0.25">
      <c r="A228" s="15" t="s">
        <v>693</v>
      </c>
      <c r="B228" s="15" t="s">
        <v>968</v>
      </c>
      <c r="C228" s="15" t="s">
        <v>1681</v>
      </c>
    </row>
    <row r="229" spans="1:3" x14ac:dyDescent="0.25">
      <c r="A229" s="15" t="s">
        <v>724</v>
      </c>
      <c r="B229" s="15" t="s">
        <v>969</v>
      </c>
      <c r="C229" s="15" t="s">
        <v>1682</v>
      </c>
    </row>
    <row r="230" spans="1:3" x14ac:dyDescent="0.25">
      <c r="A230" s="15" t="s">
        <v>725</v>
      </c>
      <c r="B230" s="15" t="s">
        <v>970</v>
      </c>
      <c r="C230" s="15" t="s">
        <v>1683</v>
      </c>
    </row>
    <row r="231" spans="1:3" x14ac:dyDescent="0.25">
      <c r="A231" s="15" t="s">
        <v>694</v>
      </c>
      <c r="B231" s="15" t="s">
        <v>971</v>
      </c>
      <c r="C231" s="15" t="s">
        <v>1684</v>
      </c>
    </row>
    <row r="232" spans="1:3" x14ac:dyDescent="0.25">
      <c r="A232" s="15" t="s">
        <v>695</v>
      </c>
      <c r="B232" s="15" t="s">
        <v>972</v>
      </c>
      <c r="C232" s="15" t="s">
        <v>1685</v>
      </c>
    </row>
    <row r="233" spans="1:3" x14ac:dyDescent="0.25">
      <c r="A233" s="15" t="s">
        <v>696</v>
      </c>
      <c r="B233" s="15" t="s">
        <v>973</v>
      </c>
      <c r="C233" s="16" t="s">
        <v>1686</v>
      </c>
    </row>
    <row r="234" spans="1:3" x14ac:dyDescent="0.25">
      <c r="A234" s="15" t="s">
        <v>698</v>
      </c>
      <c r="B234" s="15" t="s">
        <v>975</v>
      </c>
      <c r="C234" s="15" t="s">
        <v>1688</v>
      </c>
    </row>
    <row r="235" spans="1:3" x14ac:dyDescent="0.25">
      <c r="A235" s="15" t="s">
        <v>699</v>
      </c>
      <c r="B235" s="15" t="s">
        <v>976</v>
      </c>
      <c r="C235" s="15" t="s">
        <v>1689</v>
      </c>
    </row>
    <row r="236" spans="1:3" x14ac:dyDescent="0.25">
      <c r="A236" s="15" t="s">
        <v>741</v>
      </c>
      <c r="B236" s="15" t="s">
        <v>977</v>
      </c>
      <c r="C236" s="96" t="s">
        <v>1917</v>
      </c>
    </row>
    <row r="237" spans="1:3" x14ac:dyDescent="0.25">
      <c r="A237" s="15" t="s">
        <v>700</v>
      </c>
      <c r="B237" s="15" t="s">
        <v>978</v>
      </c>
      <c r="C237" s="16" t="s">
        <v>1690</v>
      </c>
    </row>
    <row r="238" spans="1:3" x14ac:dyDescent="0.25">
      <c r="A238" s="15" t="s">
        <v>717</v>
      </c>
      <c r="B238" s="15" t="s">
        <v>979</v>
      </c>
      <c r="C238" s="15" t="s">
        <v>1691</v>
      </c>
    </row>
    <row r="239" spans="1:3" x14ac:dyDescent="0.25">
      <c r="A239" s="15" t="s">
        <v>718</v>
      </c>
      <c r="B239" s="15" t="s">
        <v>980</v>
      </c>
      <c r="C239" s="16" t="s">
        <v>1692</v>
      </c>
    </row>
    <row r="240" spans="1:3" x14ac:dyDescent="0.25">
      <c r="A240" s="15" t="s">
        <v>719</v>
      </c>
      <c r="B240" s="15" t="s">
        <v>981</v>
      </c>
      <c r="C240" s="16" t="s">
        <v>1693</v>
      </c>
    </row>
    <row r="241" spans="1:3" x14ac:dyDescent="0.25">
      <c r="A241" s="15" t="s">
        <v>742</v>
      </c>
      <c r="B241" s="15" t="s">
        <v>982</v>
      </c>
      <c r="C241" s="15" t="s">
        <v>1694</v>
      </c>
    </row>
    <row r="242" spans="1:3" x14ac:dyDescent="0.25">
      <c r="A242" s="15" t="s">
        <v>701</v>
      </c>
      <c r="B242" s="15" t="s">
        <v>983</v>
      </c>
      <c r="C242" s="15" t="s">
        <v>1695</v>
      </c>
    </row>
    <row r="243" spans="1:3" x14ac:dyDescent="0.25">
      <c r="A243" s="15" t="s">
        <v>702</v>
      </c>
      <c r="B243" s="15" t="s">
        <v>984</v>
      </c>
      <c r="C243" s="16" t="s">
        <v>1696</v>
      </c>
    </row>
    <row r="244" spans="1:3" x14ac:dyDescent="0.25">
      <c r="A244" s="15" t="s">
        <v>703</v>
      </c>
      <c r="B244" s="15" t="s">
        <v>985</v>
      </c>
      <c r="C244" s="15" t="s">
        <v>1697</v>
      </c>
    </row>
    <row r="245" spans="1:3" x14ac:dyDescent="0.25">
      <c r="A245" s="15" t="s">
        <v>704</v>
      </c>
      <c r="B245" s="15" t="s">
        <v>986</v>
      </c>
      <c r="C245" s="15" t="s">
        <v>1698</v>
      </c>
    </row>
    <row r="246" spans="1:3" x14ac:dyDescent="0.25">
      <c r="A246" s="15" t="s">
        <v>705</v>
      </c>
      <c r="B246" s="15" t="s">
        <v>987</v>
      </c>
      <c r="C246" s="15" t="s">
        <v>1699</v>
      </c>
    </row>
    <row r="247" spans="1:3" x14ac:dyDescent="0.25">
      <c r="A247" s="15" t="s">
        <v>706</v>
      </c>
      <c r="B247" s="15" t="s">
        <v>988</v>
      </c>
      <c r="C247" s="16" t="s">
        <v>1700</v>
      </c>
    </row>
    <row r="248" spans="1:3" x14ac:dyDescent="0.25">
      <c r="A248" s="15" t="s">
        <v>707</v>
      </c>
      <c r="B248" s="15" t="s">
        <v>989</v>
      </c>
      <c r="C248" s="15" t="s">
        <v>1701</v>
      </c>
    </row>
    <row r="249" spans="1:3" x14ac:dyDescent="0.25">
      <c r="A249" s="15" t="s">
        <v>708</v>
      </c>
      <c r="B249" s="15" t="s">
        <v>990</v>
      </c>
      <c r="C249" s="15" t="s">
        <v>1702</v>
      </c>
    </row>
    <row r="250" spans="1:3" x14ac:dyDescent="0.25">
      <c r="A250" s="15" t="s">
        <v>697</v>
      </c>
      <c r="B250" s="15" t="s">
        <v>974</v>
      </c>
      <c r="C250" s="16" t="s">
        <v>1687</v>
      </c>
    </row>
    <row r="251" spans="1:3" x14ac:dyDescent="0.25">
      <c r="A251" s="15" t="s">
        <v>1918</v>
      </c>
      <c r="B251" s="15" t="s">
        <v>1968</v>
      </c>
      <c r="C251" s="23" t="str">
        <f>"usa"&amp;CHAR(10)&amp;"- "&amp;SUBSTITUTE(LOWER(MID(A251,4,LEN(A251)))," ","-")</f>
        <v>usa
- alabama</v>
      </c>
    </row>
    <row r="252" spans="1:3" x14ac:dyDescent="0.25">
      <c r="A252" s="15" t="s">
        <v>1919</v>
      </c>
      <c r="B252" s="15" t="s">
        <v>1969</v>
      </c>
      <c r="C252" s="23" t="str">
        <f t="shared" ref="C252:C301" si="0">"usa"&amp;CHAR(10)&amp;"- "&amp;SUBSTITUTE(LOWER(MID(A252,4,LEN(A252)))," ","-")</f>
        <v>usa
- alaska</v>
      </c>
    </row>
    <row r="253" spans="1:3" x14ac:dyDescent="0.25">
      <c r="A253" s="15" t="s">
        <v>1920</v>
      </c>
      <c r="B253" s="15" t="s">
        <v>1970</v>
      </c>
      <c r="C253" s="23" t="str">
        <f t="shared" si="0"/>
        <v>usa
- arizona</v>
      </c>
    </row>
    <row r="254" spans="1:3" x14ac:dyDescent="0.25">
      <c r="A254" s="15" t="s">
        <v>1916</v>
      </c>
      <c r="B254" s="15" t="s">
        <v>1971</v>
      </c>
      <c r="C254" s="23" t="str">
        <f t="shared" si="0"/>
        <v>usa
- arkansas</v>
      </c>
    </row>
    <row r="255" spans="1:3" x14ac:dyDescent="0.25">
      <c r="A255" s="15" t="s">
        <v>1921</v>
      </c>
      <c r="B255" s="15" t="s">
        <v>1972</v>
      </c>
      <c r="C255" s="23" t="str">
        <f t="shared" si="0"/>
        <v>usa
- california</v>
      </c>
    </row>
    <row r="256" spans="1:3" x14ac:dyDescent="0.25">
      <c r="A256" s="15" t="s">
        <v>1922</v>
      </c>
      <c r="B256" s="15" t="s">
        <v>1973</v>
      </c>
      <c r="C256" s="23" t="str">
        <f t="shared" si="0"/>
        <v>usa
- colorado</v>
      </c>
    </row>
    <row r="257" spans="1:3" x14ac:dyDescent="0.25">
      <c r="A257" s="15" t="s">
        <v>1923</v>
      </c>
      <c r="B257" s="15" t="s">
        <v>1974</v>
      </c>
      <c r="C257" s="23" t="str">
        <f t="shared" si="0"/>
        <v>usa
- connecticut</v>
      </c>
    </row>
    <row r="258" spans="1:3" x14ac:dyDescent="0.25">
      <c r="A258" s="15" t="s">
        <v>1924</v>
      </c>
      <c r="B258" s="15" t="s">
        <v>1975</v>
      </c>
      <c r="C258" s="23" t="str">
        <f t="shared" si="0"/>
        <v>usa
- delaware</v>
      </c>
    </row>
    <row r="259" spans="1:3" x14ac:dyDescent="0.25">
      <c r="A259" s="15" t="s">
        <v>1925</v>
      </c>
      <c r="B259" s="15" t="s">
        <v>1976</v>
      </c>
      <c r="C259" s="23" t="str">
        <f t="shared" si="0"/>
        <v>usa
- dc</v>
      </c>
    </row>
    <row r="260" spans="1:3" x14ac:dyDescent="0.25">
      <c r="A260" s="15" t="s">
        <v>1926</v>
      </c>
      <c r="B260" s="15" t="s">
        <v>1977</v>
      </c>
      <c r="C260" s="23" t="str">
        <f t="shared" si="0"/>
        <v>usa
- florida</v>
      </c>
    </row>
    <row r="261" spans="1:3" x14ac:dyDescent="0.25">
      <c r="A261" s="15" t="s">
        <v>1927</v>
      </c>
      <c r="B261" s="15" t="s">
        <v>1978</v>
      </c>
      <c r="C261" s="23" t="str">
        <f t="shared" si="0"/>
        <v>usa
- georgia</v>
      </c>
    </row>
    <row r="262" spans="1:3" x14ac:dyDescent="0.25">
      <c r="A262" s="15" t="s">
        <v>1928</v>
      </c>
      <c r="B262" s="15" t="s">
        <v>1979</v>
      </c>
      <c r="C262" s="23" t="str">
        <f t="shared" si="0"/>
        <v>usa
- hawaii</v>
      </c>
    </row>
    <row r="263" spans="1:3" x14ac:dyDescent="0.25">
      <c r="A263" s="15" t="s">
        <v>1929</v>
      </c>
      <c r="B263" s="15" t="s">
        <v>1980</v>
      </c>
      <c r="C263" s="23" t="str">
        <f t="shared" si="0"/>
        <v>usa
- idaho</v>
      </c>
    </row>
    <row r="264" spans="1:3" x14ac:dyDescent="0.25">
      <c r="A264" s="15" t="s">
        <v>1930</v>
      </c>
      <c r="B264" s="15" t="s">
        <v>1981</v>
      </c>
      <c r="C264" s="23" t="str">
        <f t="shared" si="0"/>
        <v>usa
- illinois</v>
      </c>
    </row>
    <row r="265" spans="1:3" x14ac:dyDescent="0.25">
      <c r="A265" s="15" t="s">
        <v>1931</v>
      </c>
      <c r="B265" s="15" t="s">
        <v>1982</v>
      </c>
      <c r="C265" s="23" t="str">
        <f t="shared" si="0"/>
        <v>usa
- indiana</v>
      </c>
    </row>
    <row r="266" spans="1:3" x14ac:dyDescent="0.25">
      <c r="A266" s="15" t="s">
        <v>1932</v>
      </c>
      <c r="B266" s="15" t="s">
        <v>1983</v>
      </c>
      <c r="C266" s="23" t="str">
        <f t="shared" si="0"/>
        <v>usa
- iowa</v>
      </c>
    </row>
    <row r="267" spans="1:3" x14ac:dyDescent="0.25">
      <c r="A267" s="15" t="s">
        <v>1933</v>
      </c>
      <c r="B267" s="15" t="s">
        <v>1984</v>
      </c>
      <c r="C267" s="23" t="str">
        <f t="shared" si="0"/>
        <v>usa
- kansas</v>
      </c>
    </row>
    <row r="268" spans="1:3" x14ac:dyDescent="0.25">
      <c r="A268" s="15" t="s">
        <v>1934</v>
      </c>
      <c r="B268" s="15" t="s">
        <v>1985</v>
      </c>
      <c r="C268" s="23" t="str">
        <f t="shared" si="0"/>
        <v>usa
- kentucky</v>
      </c>
    </row>
    <row r="269" spans="1:3" x14ac:dyDescent="0.25">
      <c r="A269" s="15" t="s">
        <v>1935</v>
      </c>
      <c r="B269" s="15" t="s">
        <v>1986</v>
      </c>
      <c r="C269" s="23" t="str">
        <f t="shared" si="0"/>
        <v>usa
- louisiana</v>
      </c>
    </row>
    <row r="270" spans="1:3" x14ac:dyDescent="0.25">
      <c r="A270" s="15" t="s">
        <v>1936</v>
      </c>
      <c r="B270" s="15" t="s">
        <v>1987</v>
      </c>
      <c r="C270" s="23" t="str">
        <f t="shared" si="0"/>
        <v>usa
- maine</v>
      </c>
    </row>
    <row r="271" spans="1:3" x14ac:dyDescent="0.25">
      <c r="A271" s="15" t="s">
        <v>1937</v>
      </c>
      <c r="B271" s="15" t="s">
        <v>1988</v>
      </c>
      <c r="C271" s="23" t="str">
        <f t="shared" si="0"/>
        <v>usa
- maryland</v>
      </c>
    </row>
    <row r="272" spans="1:3" x14ac:dyDescent="0.25">
      <c r="A272" s="15" t="s">
        <v>1938</v>
      </c>
      <c r="B272" s="15" t="s">
        <v>1989</v>
      </c>
      <c r="C272" s="23" t="str">
        <f t="shared" si="0"/>
        <v>usa
- massachusetts</v>
      </c>
    </row>
    <row r="273" spans="1:3" x14ac:dyDescent="0.25">
      <c r="A273" s="15" t="s">
        <v>1939</v>
      </c>
      <c r="B273" s="15" t="s">
        <v>1990</v>
      </c>
      <c r="C273" s="23" t="str">
        <f t="shared" si="0"/>
        <v>usa
- michigan</v>
      </c>
    </row>
    <row r="274" spans="1:3" x14ac:dyDescent="0.25">
      <c r="A274" s="15" t="s">
        <v>1940</v>
      </c>
      <c r="B274" s="15" t="s">
        <v>1991</v>
      </c>
      <c r="C274" s="23" t="str">
        <f t="shared" si="0"/>
        <v>usa
- minnesota</v>
      </c>
    </row>
    <row r="275" spans="1:3" x14ac:dyDescent="0.25">
      <c r="A275" s="15" t="s">
        <v>1941</v>
      </c>
      <c r="B275" s="15" t="s">
        <v>1992</v>
      </c>
      <c r="C275" s="23" t="str">
        <f t="shared" si="0"/>
        <v>usa
- mississippi</v>
      </c>
    </row>
    <row r="276" spans="1:3" x14ac:dyDescent="0.25">
      <c r="A276" s="15" t="s">
        <v>1942</v>
      </c>
      <c r="B276" s="15" t="s">
        <v>1993</v>
      </c>
      <c r="C276" s="23" t="str">
        <f t="shared" si="0"/>
        <v>usa
- missouri</v>
      </c>
    </row>
    <row r="277" spans="1:3" x14ac:dyDescent="0.25">
      <c r="A277" s="15" t="s">
        <v>1943</v>
      </c>
      <c r="B277" s="15" t="s">
        <v>1994</v>
      </c>
      <c r="C277" s="23" t="str">
        <f t="shared" si="0"/>
        <v>usa
- montana</v>
      </c>
    </row>
    <row r="278" spans="1:3" x14ac:dyDescent="0.25">
      <c r="A278" s="15" t="s">
        <v>1944</v>
      </c>
      <c r="B278" s="15" t="s">
        <v>1995</v>
      </c>
      <c r="C278" s="23" t="str">
        <f t="shared" si="0"/>
        <v>usa
- nebraska</v>
      </c>
    </row>
    <row r="279" spans="1:3" x14ac:dyDescent="0.25">
      <c r="A279" s="15" t="s">
        <v>1945</v>
      </c>
      <c r="B279" s="15" t="s">
        <v>1996</v>
      </c>
      <c r="C279" s="23" t="str">
        <f t="shared" si="0"/>
        <v>usa
- nevada</v>
      </c>
    </row>
    <row r="280" spans="1:3" x14ac:dyDescent="0.25">
      <c r="A280" s="15" t="s">
        <v>1946</v>
      </c>
      <c r="B280" s="15" t="s">
        <v>1997</v>
      </c>
      <c r="C280" s="23" t="str">
        <f t="shared" si="0"/>
        <v>usa
- new-hampshire</v>
      </c>
    </row>
    <row r="281" spans="1:3" x14ac:dyDescent="0.25">
      <c r="A281" s="15" t="s">
        <v>1947</v>
      </c>
      <c r="B281" s="15" t="s">
        <v>1998</v>
      </c>
      <c r="C281" s="23" t="str">
        <f t="shared" si="0"/>
        <v>usa
- new-jersey</v>
      </c>
    </row>
    <row r="282" spans="1:3" x14ac:dyDescent="0.25">
      <c r="A282" s="15" t="s">
        <v>1948</v>
      </c>
      <c r="B282" s="15" t="s">
        <v>1999</v>
      </c>
      <c r="C282" s="23" t="str">
        <f t="shared" si="0"/>
        <v>usa
- new-mexico</v>
      </c>
    </row>
    <row r="283" spans="1:3" x14ac:dyDescent="0.25">
      <c r="A283" s="15" t="s">
        <v>1949</v>
      </c>
      <c r="B283" s="15" t="s">
        <v>2000</v>
      </c>
      <c r="C283" s="23" t="str">
        <f t="shared" si="0"/>
        <v>usa
- new-york</v>
      </c>
    </row>
    <row r="284" spans="1:3" x14ac:dyDescent="0.25">
      <c r="A284" s="15" t="s">
        <v>1950</v>
      </c>
      <c r="B284" s="15" t="s">
        <v>2001</v>
      </c>
      <c r="C284" s="23" t="str">
        <f t="shared" si="0"/>
        <v>usa
- north-carolina</v>
      </c>
    </row>
    <row r="285" spans="1:3" x14ac:dyDescent="0.25">
      <c r="A285" s="15" t="s">
        <v>1951</v>
      </c>
      <c r="B285" s="15" t="s">
        <v>2002</v>
      </c>
      <c r="C285" s="23" t="str">
        <f t="shared" si="0"/>
        <v>usa
- north-dakota</v>
      </c>
    </row>
    <row r="286" spans="1:3" x14ac:dyDescent="0.25">
      <c r="A286" s="15" t="s">
        <v>1952</v>
      </c>
      <c r="B286" s="15" t="s">
        <v>2003</v>
      </c>
      <c r="C286" s="23" t="str">
        <f t="shared" si="0"/>
        <v>usa
- ohio</v>
      </c>
    </row>
    <row r="287" spans="1:3" x14ac:dyDescent="0.25">
      <c r="A287" s="15" t="s">
        <v>1953</v>
      </c>
      <c r="B287" s="15" t="s">
        <v>2004</v>
      </c>
      <c r="C287" s="23" t="str">
        <f t="shared" si="0"/>
        <v>usa
- oklahoma</v>
      </c>
    </row>
    <row r="288" spans="1:3" x14ac:dyDescent="0.25">
      <c r="A288" s="15" t="s">
        <v>1954</v>
      </c>
      <c r="B288" s="15" t="s">
        <v>2005</v>
      </c>
      <c r="C288" s="23" t="str">
        <f t="shared" si="0"/>
        <v>usa
- oregon</v>
      </c>
    </row>
    <row r="289" spans="1:3" x14ac:dyDescent="0.25">
      <c r="A289" s="15" t="s">
        <v>1955</v>
      </c>
      <c r="B289" s="15" t="s">
        <v>2006</v>
      </c>
      <c r="C289" s="23" t="str">
        <f t="shared" si="0"/>
        <v>usa
- pennsylvania</v>
      </c>
    </row>
    <row r="290" spans="1:3" x14ac:dyDescent="0.25">
      <c r="A290" s="15" t="s">
        <v>1956</v>
      </c>
      <c r="B290" s="15" t="s">
        <v>2007</v>
      </c>
      <c r="C290" s="23" t="str">
        <f t="shared" si="0"/>
        <v>usa
- rhode-island</v>
      </c>
    </row>
    <row r="291" spans="1:3" x14ac:dyDescent="0.25">
      <c r="A291" s="15" t="s">
        <v>1957</v>
      </c>
      <c r="B291" s="15" t="s">
        <v>2008</v>
      </c>
      <c r="C291" s="23" t="str">
        <f t="shared" si="0"/>
        <v>usa
- south-carolina</v>
      </c>
    </row>
    <row r="292" spans="1:3" x14ac:dyDescent="0.25">
      <c r="A292" s="15" t="s">
        <v>1958</v>
      </c>
      <c r="B292" s="15" t="s">
        <v>2009</v>
      </c>
      <c r="C292" s="23" t="str">
        <f t="shared" si="0"/>
        <v>usa
- south-dakota</v>
      </c>
    </row>
    <row r="293" spans="1:3" x14ac:dyDescent="0.25">
      <c r="A293" s="15" t="s">
        <v>1959</v>
      </c>
      <c r="B293" s="15" t="s">
        <v>2010</v>
      </c>
      <c r="C293" s="23" t="str">
        <f t="shared" si="0"/>
        <v>usa
- tennessee</v>
      </c>
    </row>
    <row r="294" spans="1:3" x14ac:dyDescent="0.25">
      <c r="A294" s="15" t="s">
        <v>1960</v>
      </c>
      <c r="B294" s="15" t="s">
        <v>2011</v>
      </c>
      <c r="C294" s="23" t="str">
        <f t="shared" si="0"/>
        <v>usa
- texas</v>
      </c>
    </row>
    <row r="295" spans="1:3" x14ac:dyDescent="0.25">
      <c r="A295" s="15" t="s">
        <v>1961</v>
      </c>
      <c r="B295" s="15" t="s">
        <v>2012</v>
      </c>
      <c r="C295" s="23" t="str">
        <f t="shared" si="0"/>
        <v>usa
- utah</v>
      </c>
    </row>
    <row r="296" spans="1:3" x14ac:dyDescent="0.25">
      <c r="A296" s="15" t="s">
        <v>1962</v>
      </c>
      <c r="B296" s="15" t="s">
        <v>2013</v>
      </c>
      <c r="C296" s="23" t="str">
        <f t="shared" si="0"/>
        <v>usa
- vermont</v>
      </c>
    </row>
    <row r="297" spans="1:3" x14ac:dyDescent="0.25">
      <c r="A297" s="15" t="s">
        <v>1963</v>
      </c>
      <c r="B297" s="15" t="s">
        <v>2014</v>
      </c>
      <c r="C297" s="23" t="str">
        <f t="shared" si="0"/>
        <v>usa
- virginia</v>
      </c>
    </row>
    <row r="298" spans="1:3" x14ac:dyDescent="0.25">
      <c r="A298" s="15" t="s">
        <v>1964</v>
      </c>
      <c r="B298" s="15" t="s">
        <v>2015</v>
      </c>
      <c r="C298" s="23" t="str">
        <f t="shared" si="0"/>
        <v>usa
- washington</v>
      </c>
    </row>
    <row r="299" spans="1:3" x14ac:dyDescent="0.25">
      <c r="A299" s="15" t="s">
        <v>1965</v>
      </c>
      <c r="B299" s="15" t="s">
        <v>2016</v>
      </c>
      <c r="C299" s="23" t="str">
        <f t="shared" si="0"/>
        <v>usa
- west-virginia</v>
      </c>
    </row>
    <row r="300" spans="1:3" x14ac:dyDescent="0.25">
      <c r="A300" s="15" t="s">
        <v>1966</v>
      </c>
      <c r="B300" s="15" t="s">
        <v>2017</v>
      </c>
      <c r="C300" s="23" t="str">
        <f t="shared" si="0"/>
        <v>usa
- wisconsin</v>
      </c>
    </row>
    <row r="301" spans="1:3" x14ac:dyDescent="0.25">
      <c r="A301" s="15" t="s">
        <v>1967</v>
      </c>
      <c r="B301" s="15" t="s">
        <v>2018</v>
      </c>
      <c r="C301" s="23" t="str">
        <f t="shared" si="0"/>
        <v>usa
- wyoming</v>
      </c>
    </row>
  </sheetData>
  <autoFilter ref="A1:C249" xr:uid="{64B53212-52F5-4A7D-9FB7-1079DAE6F64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Draft Sites</vt:lpstr>
      <vt:lpstr>Tag List</vt:lpstr>
      <vt:lpstr>(Ref) Countries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2024-02-27T04:40:46Z</dcterms:modified>
</cp:coreProperties>
</file>