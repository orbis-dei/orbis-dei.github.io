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3B877D51-C1D7-4B9E-A388-D111AA0B3ECE}"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Sites'!$A$5:$CQ$135</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I140" i="11" l="1"/>
  <c r="CH140" i="11"/>
  <c r="CE140" i="11"/>
  <c r="CD140" i="11"/>
  <c r="CB140" i="11"/>
  <c r="CA140" i="11"/>
  <c r="BZ140" i="11"/>
  <c r="BU140" i="11"/>
  <c r="BS140" i="11"/>
  <c r="BR140" i="11"/>
  <c r="BQ140" i="11"/>
  <c r="BO140" i="11"/>
  <c r="BN140" i="11"/>
  <c r="BM140" i="11"/>
  <c r="BL140" i="11"/>
  <c r="BP140" i="11" s="1"/>
  <c r="BV140" i="11" s="1"/>
  <c r="BJ140" i="11"/>
  <c r="BI140" i="11"/>
  <c r="BH140" i="11"/>
  <c r="BG140" i="11"/>
  <c r="BF140" i="11"/>
  <c r="BE140" i="11"/>
  <c r="BD140" i="11"/>
  <c r="BC140" i="11"/>
  <c r="BB140" i="11"/>
  <c r="BA140" i="11"/>
  <c r="AZ140" i="11"/>
  <c r="AY140" i="11"/>
  <c r="AX140" i="11"/>
  <c r="AW140" i="11"/>
  <c r="AV140" i="11"/>
  <c r="AU140" i="11"/>
  <c r="AT140" i="11"/>
  <c r="AS140" i="11"/>
  <c r="AR140" i="11"/>
  <c r="CG140" i="11" s="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3" i="11"/>
  <c r="AU84"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U137" i="11"/>
  <c r="AU138" i="11"/>
  <c r="AU82" i="11"/>
  <c r="AU85" i="11"/>
  <c r="AU139" i="11"/>
  <c r="AU6" i="11"/>
  <c r="CC140" i="11"/>
  <c r="BW140" i="11"/>
  <c r="BK140" i="11"/>
  <c r="BT140" i="11"/>
  <c r="CF140" i="11" l="1"/>
  <c r="BX140" i="11"/>
  <c r="CJ140" i="11"/>
  <c r="CK140" i="11" s="1"/>
  <c r="BY140" i="11"/>
  <c r="CI1" i="11"/>
  <c r="CE1" i="11"/>
  <c r="CD1" i="11"/>
  <c r="CB1" i="11"/>
  <c r="CA1" i="11"/>
  <c r="BZ1" i="11"/>
  <c r="BU1" i="11"/>
  <c r="BS1" i="11"/>
  <c r="BR1" i="11"/>
  <c r="BQ1" i="11"/>
  <c r="BO1" i="11"/>
  <c r="BN1" i="11"/>
  <c r="BM1" i="11"/>
  <c r="BL1" i="11"/>
  <c r="BJ1" i="11"/>
  <c r="BI1" i="11"/>
  <c r="BH1" i="11"/>
  <c r="BG1" i="11"/>
  <c r="BF1" i="11"/>
  <c r="BE1" i="11"/>
  <c r="BD1" i="11"/>
  <c r="BC1" i="11"/>
  <c r="BB1" i="11"/>
  <c r="BA1" i="11"/>
  <c r="AZ1" i="11"/>
  <c r="AY1" i="11"/>
  <c r="AX1" i="11"/>
  <c r="AW1" i="11"/>
  <c r="AV1" i="11"/>
  <c r="AU1" i="11"/>
  <c r="AT1" i="11"/>
  <c r="AS1" i="11"/>
  <c r="AR1" i="11"/>
  <c r="CG1" i="11" s="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T6" i="11"/>
  <c r="AS6" i="11"/>
  <c r="AR6" i="11"/>
  <c r="BY6" i="11" s="1"/>
  <c r="AR129" i="11"/>
  <c r="AS129" i="11"/>
  <c r="AT129" i="11"/>
  <c r="AV129" i="11"/>
  <c r="AW129" i="11"/>
  <c r="AX129" i="11"/>
  <c r="AY129" i="11"/>
  <c r="AZ129" i="11"/>
  <c r="BA129" i="11"/>
  <c r="BB129" i="11"/>
  <c r="BC129" i="11"/>
  <c r="BD129" i="11"/>
  <c r="BE129" i="11"/>
  <c r="BF129" i="11"/>
  <c r="BG129" i="11"/>
  <c r="BH129" i="11"/>
  <c r="BI129" i="11"/>
  <c r="BJ129" i="11"/>
  <c r="BL129" i="11"/>
  <c r="BM129" i="11"/>
  <c r="BN129" i="11"/>
  <c r="BO129" i="11"/>
  <c r="BQ129" i="11"/>
  <c r="BR129" i="11"/>
  <c r="BS129" i="11"/>
  <c r="BU129" i="11"/>
  <c r="BZ129" i="11"/>
  <c r="CA129" i="11"/>
  <c r="CB129" i="11"/>
  <c r="CE129" i="11"/>
  <c r="CI129"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V127" i="11"/>
  <c r="AT127" i="11"/>
  <c r="AS127" i="11"/>
  <c r="AR127" i="11"/>
  <c r="CI84" i="11"/>
  <c r="CD84" i="11"/>
  <c r="CB84" i="11"/>
  <c r="CA84" i="11"/>
  <c r="BZ84" i="11"/>
  <c r="BS84" i="11"/>
  <c r="BR84" i="11"/>
  <c r="BQ84" i="11"/>
  <c r="BO84" i="11"/>
  <c r="BN84" i="11"/>
  <c r="BM84" i="11"/>
  <c r="BL84" i="11"/>
  <c r="BJ84" i="11"/>
  <c r="BI84" i="11"/>
  <c r="BH84" i="11"/>
  <c r="BG84" i="11"/>
  <c r="BF84" i="11"/>
  <c r="BE84" i="11"/>
  <c r="BD84" i="11"/>
  <c r="BC84" i="11"/>
  <c r="BB84" i="11"/>
  <c r="BA84" i="11"/>
  <c r="AZ84" i="11"/>
  <c r="AY84" i="11"/>
  <c r="AX84" i="11"/>
  <c r="AW84" i="11"/>
  <c r="AV84" i="11"/>
  <c r="AT84" i="11"/>
  <c r="AS84" i="11"/>
  <c r="AR84" i="11"/>
  <c r="BY84" i="11" s="1"/>
  <c r="CI83" i="11"/>
  <c r="CE83" i="11"/>
  <c r="CB83" i="11"/>
  <c r="CA83" i="11"/>
  <c r="BZ83" i="11"/>
  <c r="BS83" i="11"/>
  <c r="BR83" i="11"/>
  <c r="BQ83" i="11"/>
  <c r="BO83" i="11"/>
  <c r="BN83" i="11"/>
  <c r="BM83" i="11"/>
  <c r="BL83" i="11"/>
  <c r="BJ83" i="11"/>
  <c r="BI83" i="11"/>
  <c r="BH83" i="11"/>
  <c r="BG83" i="11"/>
  <c r="BF83" i="11"/>
  <c r="BE83" i="11"/>
  <c r="BD83" i="11"/>
  <c r="BC83" i="11"/>
  <c r="BB83" i="11"/>
  <c r="BA83" i="11"/>
  <c r="AZ83" i="11"/>
  <c r="AY83" i="11"/>
  <c r="AX83" i="11"/>
  <c r="AW83" i="11"/>
  <c r="AV83" i="11"/>
  <c r="AT83" i="11"/>
  <c r="AS83" i="11"/>
  <c r="AR83" i="11"/>
  <c r="BY83" i="11" s="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T85" i="11"/>
  <c r="AS85" i="11"/>
  <c r="AR85" i="11"/>
  <c r="BY85" i="11" s="1"/>
  <c r="CI26" i="11"/>
  <c r="CE26" i="11"/>
  <c r="CB26" i="11"/>
  <c r="CA26" i="11"/>
  <c r="BZ26" i="11"/>
  <c r="BW26" i="11"/>
  <c r="BU26" i="11"/>
  <c r="BS26" i="11"/>
  <c r="BR26" i="11"/>
  <c r="BQ26" i="11"/>
  <c r="BO26" i="11"/>
  <c r="BN26" i="11"/>
  <c r="BM26" i="11"/>
  <c r="BL26" i="11"/>
  <c r="BJ26" i="11"/>
  <c r="BI26" i="11"/>
  <c r="BH26" i="11"/>
  <c r="BG26" i="11"/>
  <c r="BF26" i="11"/>
  <c r="BE26" i="11"/>
  <c r="BD26" i="11"/>
  <c r="BC26" i="11"/>
  <c r="BB26" i="11"/>
  <c r="BA26" i="11"/>
  <c r="AZ26" i="11"/>
  <c r="AY26" i="11"/>
  <c r="AX26" i="11"/>
  <c r="AW26" i="11"/>
  <c r="AV26" i="11"/>
  <c r="AT26" i="11"/>
  <c r="AS26" i="11"/>
  <c r="AR26" i="11"/>
  <c r="BY26" i="11" s="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T108" i="11"/>
  <c r="AS108" i="11"/>
  <c r="AR108" i="11"/>
  <c r="BY108" i="11" s="1"/>
  <c r="CI107" i="11"/>
  <c r="CE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T107" i="11"/>
  <c r="AS107" i="11"/>
  <c r="AR107" i="11"/>
  <c r="BY107" i="11" s="1"/>
  <c r="CI106" i="11"/>
  <c r="CE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T106" i="11"/>
  <c r="AS106" i="11"/>
  <c r="AR106" i="11"/>
  <c r="BY106" i="11" s="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T105" i="11"/>
  <c r="AS105" i="11"/>
  <c r="AR105" i="11"/>
  <c r="BY105" i="11" s="1"/>
  <c r="CI104" i="11"/>
  <c r="CE104" i="11"/>
  <c r="CB104" i="11"/>
  <c r="CA104" i="11"/>
  <c r="BZ104" i="11"/>
  <c r="BW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T104" i="11"/>
  <c r="AS104" i="11"/>
  <c r="AR104" i="11"/>
  <c r="BY104" i="11" s="1"/>
  <c r="CI103" i="11"/>
  <c r="CE103" i="11"/>
  <c r="CB103" i="11"/>
  <c r="CA103" i="11"/>
  <c r="BZ103" i="11"/>
  <c r="BW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T103" i="11"/>
  <c r="AS103" i="11"/>
  <c r="AR103" i="11"/>
  <c r="BY103" i="11" s="1"/>
  <c r="CI102" i="11"/>
  <c r="CE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T102" i="11"/>
  <c r="AS102" i="11"/>
  <c r="AR102" i="11"/>
  <c r="BY102" i="11" s="1"/>
  <c r="CI101" i="11"/>
  <c r="CE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T101" i="11"/>
  <c r="AS101" i="11"/>
  <c r="AR101" i="11"/>
  <c r="BY101" i="11" s="1"/>
  <c r="CI100" i="11"/>
  <c r="CE100" i="11"/>
  <c r="CB100" i="11"/>
  <c r="CA100" i="11"/>
  <c r="BZ100" i="11"/>
  <c r="BW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T100" i="11"/>
  <c r="AS100" i="11"/>
  <c r="AR100" i="11"/>
  <c r="BY100" i="11" s="1"/>
  <c r="CI99" i="11"/>
  <c r="CE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T99" i="11"/>
  <c r="AS99" i="11"/>
  <c r="AR99" i="11"/>
  <c r="BY99" i="11" s="1"/>
  <c r="CI98" i="11"/>
  <c r="CB98" i="11"/>
  <c r="CA98" i="11"/>
  <c r="BZ98" i="11"/>
  <c r="BW98" i="11"/>
  <c r="BU98" i="11"/>
  <c r="BS98" i="11"/>
  <c r="BR98" i="11"/>
  <c r="BQ98" i="11"/>
  <c r="BO98" i="11"/>
  <c r="BN98" i="11"/>
  <c r="BM98" i="11"/>
  <c r="BL98" i="11"/>
  <c r="BJ98" i="11"/>
  <c r="BI98" i="11"/>
  <c r="BH98" i="11"/>
  <c r="BG98" i="11"/>
  <c r="BF98" i="11"/>
  <c r="BE98" i="11"/>
  <c r="BD98" i="11"/>
  <c r="BC98" i="11"/>
  <c r="BB98" i="11"/>
  <c r="BA98" i="11"/>
  <c r="AZ98" i="11"/>
  <c r="AY98" i="11"/>
  <c r="AX98" i="11"/>
  <c r="AW98" i="11"/>
  <c r="AT98" i="11"/>
  <c r="AS98" i="11"/>
  <c r="AR98" i="11"/>
  <c r="BY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T97" i="11"/>
  <c r="AS97" i="11"/>
  <c r="AR97" i="11"/>
  <c r="BY97" i="11" s="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T96" i="11"/>
  <c r="AS96" i="11"/>
  <c r="AR96" i="11"/>
  <c r="BY96" i="11" s="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T95" i="11"/>
  <c r="AS95" i="11"/>
  <c r="AR95" i="11"/>
  <c r="BY95" i="11" s="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T94" i="11"/>
  <c r="AS94" i="11"/>
  <c r="AR94" i="11"/>
  <c r="BY94" i="11" s="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T93" i="11"/>
  <c r="AS93" i="11"/>
  <c r="AR93" i="11"/>
  <c r="BY93" i="11" s="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T92" i="11"/>
  <c r="AS92" i="11"/>
  <c r="AR92" i="11"/>
  <c r="BY92" i="11" s="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T91" i="11"/>
  <c r="AS91" i="11"/>
  <c r="AR91" i="11"/>
  <c r="BY91" i="11" s="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T90" i="11"/>
  <c r="AS90" i="11"/>
  <c r="AR90" i="11"/>
  <c r="BY90" i="11" s="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T89" i="11"/>
  <c r="AS89" i="11"/>
  <c r="AR89" i="11"/>
  <c r="BY89" i="11" s="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T88" i="11"/>
  <c r="AS88" i="11"/>
  <c r="AR88" i="11"/>
  <c r="BY88" i="11" s="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T86" i="11"/>
  <c r="AS86" i="11"/>
  <c r="AR86" i="11"/>
  <c r="BY86" i="11" s="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T82" i="11"/>
  <c r="AS82" i="11"/>
  <c r="AR82" i="11"/>
  <c r="BY82" i="11" s="1"/>
  <c r="CI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V81" i="11"/>
  <c r="AT81" i="11"/>
  <c r="AS81" i="11"/>
  <c r="AR81" i="11"/>
  <c r="BY81" i="11" s="1"/>
  <c r="CI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V80" i="11"/>
  <c r="AT80" i="11"/>
  <c r="AS80" i="11"/>
  <c r="AR80" i="11"/>
  <c r="BY80" i="11" s="1"/>
  <c r="CI79" i="11"/>
  <c r="CB79" i="11"/>
  <c r="CA79" i="11"/>
  <c r="BZ79" i="11"/>
  <c r="BU79" i="11"/>
  <c r="BS79" i="11"/>
  <c r="BR79" i="11"/>
  <c r="BQ79" i="11"/>
  <c r="BO79" i="11"/>
  <c r="BN79" i="11"/>
  <c r="BM79" i="11"/>
  <c r="BL79" i="11"/>
  <c r="BJ79" i="11"/>
  <c r="BI79" i="11"/>
  <c r="BH79" i="11"/>
  <c r="BG79" i="11"/>
  <c r="BF79" i="11"/>
  <c r="BE79" i="11"/>
  <c r="BD79" i="11"/>
  <c r="BC79" i="11"/>
  <c r="BB79" i="11"/>
  <c r="BA79" i="11"/>
  <c r="AZ79" i="11"/>
  <c r="AY79" i="11"/>
  <c r="AX79" i="11"/>
  <c r="AW79" i="11"/>
  <c r="AV79" i="11"/>
  <c r="AT79" i="11"/>
  <c r="AS79" i="11"/>
  <c r="AR79" i="11"/>
  <c r="CI78" i="11"/>
  <c r="CB78" i="11"/>
  <c r="CA78" i="11"/>
  <c r="BZ78" i="11"/>
  <c r="BU78" i="11"/>
  <c r="BS78" i="11"/>
  <c r="BR78" i="11"/>
  <c r="BQ78" i="11"/>
  <c r="BO78" i="11"/>
  <c r="BN78" i="11"/>
  <c r="BM78" i="11"/>
  <c r="BL78" i="11"/>
  <c r="BJ78" i="11"/>
  <c r="BI78" i="11"/>
  <c r="BH78" i="11"/>
  <c r="BG78" i="11"/>
  <c r="BF78" i="11"/>
  <c r="BE78" i="11"/>
  <c r="BD78" i="11"/>
  <c r="BC78" i="11"/>
  <c r="BB78" i="11"/>
  <c r="BA78" i="11"/>
  <c r="AZ78" i="11"/>
  <c r="AY78" i="11"/>
  <c r="AX78" i="11"/>
  <c r="AW78" i="11"/>
  <c r="AV78" i="11"/>
  <c r="AT78" i="11"/>
  <c r="AS78" i="11"/>
  <c r="AR78" i="11"/>
  <c r="BY78" i="11" s="1"/>
  <c r="CI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V77" i="11"/>
  <c r="AT77" i="11"/>
  <c r="AS77" i="11"/>
  <c r="AR77" i="11"/>
  <c r="BY77" i="11" s="1"/>
  <c r="CI76" i="11"/>
  <c r="CE76" i="11"/>
  <c r="CD76" i="11"/>
  <c r="CC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V76" i="11"/>
  <c r="AT76" i="11"/>
  <c r="AS76" i="11"/>
  <c r="AR76" i="11"/>
  <c r="BY76" i="11" s="1"/>
  <c r="CI75" i="11"/>
  <c r="CB75" i="11"/>
  <c r="CA75" i="11"/>
  <c r="BZ75" i="11"/>
  <c r="BU75" i="11"/>
  <c r="BS75" i="11"/>
  <c r="BR75" i="11"/>
  <c r="BQ75" i="11"/>
  <c r="BO75" i="11"/>
  <c r="BN75" i="11"/>
  <c r="BM75" i="11"/>
  <c r="BL75" i="11"/>
  <c r="BJ75" i="11"/>
  <c r="BI75" i="11"/>
  <c r="BH75" i="11"/>
  <c r="BG75" i="11"/>
  <c r="BF75" i="11"/>
  <c r="BE75" i="11"/>
  <c r="BD75" i="11"/>
  <c r="BC75" i="11"/>
  <c r="BB75" i="11"/>
  <c r="BA75" i="11"/>
  <c r="AZ75" i="11"/>
  <c r="AY75" i="11"/>
  <c r="AX75" i="11"/>
  <c r="AW75" i="11"/>
  <c r="AV75" i="11"/>
  <c r="AT75" i="11"/>
  <c r="AS75" i="11"/>
  <c r="AR75" i="11"/>
  <c r="BY75" i="11" s="1"/>
  <c r="CI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V74" i="11"/>
  <c r="AT74" i="11"/>
  <c r="AS74" i="11"/>
  <c r="AR74" i="11"/>
  <c r="BY74" i="11" s="1"/>
  <c r="CI73" i="11"/>
  <c r="CB73" i="11"/>
  <c r="CA73" i="11"/>
  <c r="BZ73" i="11"/>
  <c r="BU73" i="11"/>
  <c r="BS73" i="11"/>
  <c r="BR73" i="11"/>
  <c r="BQ73" i="11"/>
  <c r="BO73" i="11"/>
  <c r="BN73" i="11"/>
  <c r="BM73" i="11"/>
  <c r="BL73" i="11"/>
  <c r="BJ73" i="11"/>
  <c r="BI73" i="11"/>
  <c r="BH73" i="11"/>
  <c r="BG73" i="11"/>
  <c r="BF73" i="11"/>
  <c r="BE73" i="11"/>
  <c r="BD73" i="11"/>
  <c r="BC73" i="11"/>
  <c r="BB73" i="11"/>
  <c r="BA73" i="11"/>
  <c r="AZ73" i="11"/>
  <c r="AY73" i="11"/>
  <c r="AX73" i="11"/>
  <c r="AW73" i="11"/>
  <c r="AV73" i="11"/>
  <c r="AT73" i="11"/>
  <c r="AS73" i="11"/>
  <c r="AR73" i="11"/>
  <c r="CI72" i="11"/>
  <c r="CB72" i="11"/>
  <c r="CA72" i="11"/>
  <c r="BZ72" i="11"/>
  <c r="BW72" i="11"/>
  <c r="BU72" i="11"/>
  <c r="BS72" i="11"/>
  <c r="BR72" i="11"/>
  <c r="BQ72" i="11"/>
  <c r="BO72" i="11"/>
  <c r="BN72" i="11"/>
  <c r="BM72" i="11"/>
  <c r="BL72" i="11"/>
  <c r="BJ72" i="11"/>
  <c r="BI72" i="11"/>
  <c r="BH72" i="11"/>
  <c r="BG72" i="11"/>
  <c r="BF72" i="11"/>
  <c r="BE72" i="11"/>
  <c r="BD72" i="11"/>
  <c r="BC72" i="11"/>
  <c r="BB72" i="11"/>
  <c r="BA72" i="11"/>
  <c r="AZ72" i="11"/>
  <c r="AY72" i="11"/>
  <c r="AX72" i="11"/>
  <c r="AW72" i="11"/>
  <c r="AV72" i="11"/>
  <c r="AT72" i="11"/>
  <c r="AS72" i="11"/>
  <c r="AR72" i="11"/>
  <c r="BY72" i="11" s="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V71" i="11"/>
  <c r="AT71" i="11"/>
  <c r="AS71" i="11"/>
  <c r="AR71" i="11"/>
  <c r="BY71" i="11" s="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V70" i="11"/>
  <c r="AT70" i="11"/>
  <c r="AS70" i="11"/>
  <c r="AR70" i="11"/>
  <c r="BY70" i="11" s="1"/>
  <c r="CI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T69" i="11"/>
  <c r="AS69" i="11"/>
  <c r="AR69" i="11"/>
  <c r="BY69" i="11" s="1"/>
  <c r="CI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T68" i="11"/>
  <c r="AS68" i="11"/>
  <c r="AR68" i="11"/>
  <c r="BY68" i="11" s="1"/>
  <c r="CI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V67" i="11"/>
  <c r="AT67" i="11"/>
  <c r="AS67" i="11"/>
  <c r="AR67" i="11"/>
  <c r="BY67" i="11" s="1"/>
  <c r="CI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V66" i="11"/>
  <c r="AT66" i="11"/>
  <c r="AS66" i="11"/>
  <c r="AR66" i="11"/>
  <c r="BY66" i="11" s="1"/>
  <c r="CI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V65" i="11"/>
  <c r="AT65" i="11"/>
  <c r="AS65" i="11"/>
  <c r="AR65" i="11"/>
  <c r="BY65" i="11" s="1"/>
  <c r="CI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V64" i="11"/>
  <c r="AT64" i="11"/>
  <c r="AS64" i="11"/>
  <c r="AR64" i="11"/>
  <c r="BY64" i="11" s="1"/>
  <c r="CI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V63" i="11"/>
  <c r="AT63" i="11"/>
  <c r="AS63" i="11"/>
  <c r="AR63" i="11"/>
  <c r="BY63" i="11" s="1"/>
  <c r="CI62" i="11"/>
  <c r="CB62" i="11"/>
  <c r="CA62" i="11"/>
  <c r="BZ62" i="11"/>
  <c r="BW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T62" i="11"/>
  <c r="AS62" i="11"/>
  <c r="AR62" i="11"/>
  <c r="BY62" i="11" s="1"/>
  <c r="CI61" i="11"/>
  <c r="CB61" i="11"/>
  <c r="CA61" i="11"/>
  <c r="BZ61" i="11"/>
  <c r="BW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T61" i="11"/>
  <c r="AS61" i="11"/>
  <c r="AR61" i="11"/>
  <c r="BY61" i="11" s="1"/>
  <c r="CI60" i="11"/>
  <c r="CB60" i="11"/>
  <c r="CA60" i="11"/>
  <c r="BZ60" i="11"/>
  <c r="BW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T60" i="11"/>
  <c r="AS60" i="11"/>
  <c r="AR60" i="11"/>
  <c r="BY60" i="11" s="1"/>
  <c r="CI59" i="11"/>
  <c r="CB59" i="11"/>
  <c r="CA59" i="11"/>
  <c r="BZ59" i="11"/>
  <c r="BW59" i="11"/>
  <c r="BU59" i="11"/>
  <c r="BS59" i="11"/>
  <c r="BR59" i="11"/>
  <c r="BQ59" i="11"/>
  <c r="BO59" i="11"/>
  <c r="BN59" i="11"/>
  <c r="BM59" i="11"/>
  <c r="BL59" i="11"/>
  <c r="BJ59" i="11"/>
  <c r="BI59" i="11"/>
  <c r="BH59" i="11"/>
  <c r="BG59" i="11"/>
  <c r="BF59" i="11"/>
  <c r="BE59" i="11"/>
  <c r="BD59" i="11"/>
  <c r="BC59" i="11"/>
  <c r="BB59" i="11"/>
  <c r="BA59" i="11"/>
  <c r="AZ59" i="11"/>
  <c r="AY59" i="11"/>
  <c r="AX59" i="11"/>
  <c r="AW59" i="11"/>
  <c r="AV59" i="11"/>
  <c r="AT59" i="11"/>
  <c r="AS59" i="11"/>
  <c r="AR59" i="11"/>
  <c r="BY59" i="11" s="1"/>
  <c r="CI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T58" i="11"/>
  <c r="AS58" i="11"/>
  <c r="AR58" i="11"/>
  <c r="BY58" i="11" s="1"/>
  <c r="CI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T57" i="11"/>
  <c r="AS57" i="11"/>
  <c r="AR57" i="11"/>
  <c r="BY57" i="11" s="1"/>
  <c r="CI126" i="11"/>
  <c r="CE126" i="11"/>
  <c r="CD126" i="11"/>
  <c r="CC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T126" i="11"/>
  <c r="AS126" i="11"/>
  <c r="AR126" i="11"/>
  <c r="BY126" i="11" s="1"/>
  <c r="CI124" i="11"/>
  <c r="CE124" i="11"/>
  <c r="CD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T124" i="11"/>
  <c r="AS124" i="11"/>
  <c r="AR124" i="11"/>
  <c r="BY124" i="11" s="1"/>
  <c r="CI125" i="11"/>
  <c r="CE125" i="11"/>
  <c r="CD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T125" i="11"/>
  <c r="AS125" i="11"/>
  <c r="AR125" i="11"/>
  <c r="BY125" i="11" s="1"/>
  <c r="CI123" i="11"/>
  <c r="CE123" i="11"/>
  <c r="CD123" i="11"/>
  <c r="CB123" i="11"/>
  <c r="CA123" i="11"/>
  <c r="BZ123" i="11"/>
  <c r="BW123" i="11"/>
  <c r="BU123" i="11"/>
  <c r="BS123" i="11"/>
  <c r="BR123" i="11"/>
  <c r="BQ123" i="11"/>
  <c r="BO123" i="11"/>
  <c r="BN123" i="11"/>
  <c r="BM123" i="11"/>
  <c r="BL123" i="11"/>
  <c r="BJ123" i="11"/>
  <c r="BI123" i="11"/>
  <c r="BH123" i="11"/>
  <c r="BG123" i="11"/>
  <c r="BF123" i="11"/>
  <c r="BE123" i="11"/>
  <c r="BD123" i="11"/>
  <c r="BC123" i="11"/>
  <c r="BB123" i="11"/>
  <c r="BA123" i="11"/>
  <c r="AZ123" i="11"/>
  <c r="AY123" i="11"/>
  <c r="AX123" i="11"/>
  <c r="AW123" i="11"/>
  <c r="AT123" i="11"/>
  <c r="AS123" i="11"/>
  <c r="AR123" i="11"/>
  <c r="BY123" i="11" s="1"/>
  <c r="CI122" i="11"/>
  <c r="CE122" i="11"/>
  <c r="CD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T122" i="11"/>
  <c r="AS122" i="11"/>
  <c r="AR122" i="11"/>
  <c r="BY122" i="11" s="1"/>
  <c r="CI121" i="11"/>
  <c r="CE121" i="11"/>
  <c r="CD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T121" i="11"/>
  <c r="AS121" i="11"/>
  <c r="AR121" i="11"/>
  <c r="BY121" i="11" s="1"/>
  <c r="CI120" i="11"/>
  <c r="CE120" i="11"/>
  <c r="CD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T120" i="11"/>
  <c r="AS120" i="11"/>
  <c r="AR120" i="11"/>
  <c r="BY120" i="11" s="1"/>
  <c r="CI119" i="11"/>
  <c r="CE119" i="11"/>
  <c r="CD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T119" i="11"/>
  <c r="AS119" i="11"/>
  <c r="AR119" i="11"/>
  <c r="BY119" i="11" s="1"/>
  <c r="CI118" i="11"/>
  <c r="CE118" i="11"/>
  <c r="CD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T118" i="11"/>
  <c r="AS118" i="11"/>
  <c r="AR118" i="11"/>
  <c r="BY118" i="11" s="1"/>
  <c r="CI117" i="11"/>
  <c r="CE117" i="11"/>
  <c r="CD117" i="11"/>
  <c r="CC117" i="11"/>
  <c r="CB117" i="11"/>
  <c r="CA117" i="11"/>
  <c r="BZ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T117" i="11"/>
  <c r="AS117" i="11"/>
  <c r="AR117" i="11"/>
  <c r="BY117" i="11" s="1"/>
  <c r="CI116" i="11"/>
  <c r="CB116" i="11"/>
  <c r="CA116" i="11"/>
  <c r="BZ116" i="11"/>
  <c r="BW116" i="11"/>
  <c r="BU116" i="11"/>
  <c r="BS116" i="11"/>
  <c r="BR116" i="11"/>
  <c r="BQ116" i="11"/>
  <c r="BO116" i="11"/>
  <c r="BN116" i="11"/>
  <c r="BM116" i="11"/>
  <c r="BL116" i="11"/>
  <c r="BJ116" i="11"/>
  <c r="BI116" i="11"/>
  <c r="BH116" i="11"/>
  <c r="BG116" i="11"/>
  <c r="BF116" i="11"/>
  <c r="BE116" i="11"/>
  <c r="BD116" i="11"/>
  <c r="BC116" i="11"/>
  <c r="BB116" i="11"/>
  <c r="BA116" i="11"/>
  <c r="AZ116" i="11"/>
  <c r="AY116" i="11"/>
  <c r="AX116" i="11"/>
  <c r="AW116" i="11"/>
  <c r="AT116" i="11"/>
  <c r="AS116" i="11"/>
  <c r="AR116" i="11"/>
  <c r="BY116" i="11" s="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T112" i="11"/>
  <c r="AS112" i="11"/>
  <c r="AR112" i="11"/>
  <c r="BY112" i="11" s="1"/>
  <c r="CI111" i="11"/>
  <c r="CE111" i="11"/>
  <c r="CD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T111" i="11"/>
  <c r="AS111" i="11"/>
  <c r="AR111" i="11"/>
  <c r="BY111" i="11" s="1"/>
  <c r="CI110" i="11"/>
  <c r="CE110" i="11"/>
  <c r="CD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T110" i="11"/>
  <c r="AS110" i="11"/>
  <c r="AR110" i="11"/>
  <c r="BY110" i="11" s="1"/>
  <c r="CI115" i="11"/>
  <c r="CE115" i="11"/>
  <c r="CD115" i="11"/>
  <c r="CB115" i="11"/>
  <c r="CA115" i="11"/>
  <c r="BZ115" i="11"/>
  <c r="BW115" i="11"/>
  <c r="BU115" i="11"/>
  <c r="BS115" i="11"/>
  <c r="BR115" i="11"/>
  <c r="BQ115" i="11"/>
  <c r="BO115" i="11"/>
  <c r="BN115" i="11"/>
  <c r="BM115" i="11"/>
  <c r="BL115" i="11"/>
  <c r="BJ115" i="11"/>
  <c r="BI115" i="11"/>
  <c r="BH115" i="11"/>
  <c r="BG115" i="11"/>
  <c r="BF115" i="11"/>
  <c r="BE115" i="11"/>
  <c r="BD115" i="11"/>
  <c r="BC115" i="11"/>
  <c r="BB115" i="11"/>
  <c r="BA115" i="11"/>
  <c r="AZ115" i="11"/>
  <c r="AY115" i="11"/>
  <c r="AX115" i="11"/>
  <c r="AW115" i="11"/>
  <c r="AT115" i="11"/>
  <c r="AS115" i="11"/>
  <c r="AR115" i="11"/>
  <c r="BY115" i="11" s="1"/>
  <c r="CI114" i="11"/>
  <c r="CE114" i="11"/>
  <c r="CD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T114" i="11"/>
  <c r="AS114" i="11"/>
  <c r="AR114" i="11"/>
  <c r="BY114" i="11" s="1"/>
  <c r="CI113" i="11"/>
  <c r="CE113" i="11"/>
  <c r="CD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T113" i="11"/>
  <c r="AS113" i="11"/>
  <c r="AR113" i="11"/>
  <c r="BY113" i="11" s="1"/>
  <c r="CI109" i="11"/>
  <c r="CE109" i="11"/>
  <c r="CD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T109" i="11"/>
  <c r="AS109" i="11"/>
  <c r="AR109" i="11"/>
  <c r="C252" i="5"/>
  <c r="C253" i="5"/>
  <c r="C254" i="5"/>
  <c r="AV87" i="11" s="1"/>
  <c r="C255" i="5"/>
  <c r="AV102" i="11" s="1"/>
  <c r="C256" i="5"/>
  <c r="C257" i="5"/>
  <c r="C258" i="5"/>
  <c r="C259" i="5"/>
  <c r="C260" i="5"/>
  <c r="C261" i="5"/>
  <c r="C262" i="5"/>
  <c r="C263" i="5"/>
  <c r="C264" i="5"/>
  <c r="C265" i="5"/>
  <c r="C266" i="5"/>
  <c r="C267" i="5"/>
  <c r="C268" i="5"/>
  <c r="C269" i="5"/>
  <c r="C270" i="5"/>
  <c r="C271" i="5"/>
  <c r="AV109" i="11" s="1"/>
  <c r="C272" i="5"/>
  <c r="C273" i="5"/>
  <c r="C274" i="5"/>
  <c r="C275" i="5"/>
  <c r="C276" i="5"/>
  <c r="C277" i="5"/>
  <c r="C278" i="5"/>
  <c r="C279" i="5"/>
  <c r="C280" i="5"/>
  <c r="C281" i="5"/>
  <c r="C282" i="5"/>
  <c r="AV111" i="11" s="1"/>
  <c r="C283" i="5"/>
  <c r="AV112" i="11" s="1"/>
  <c r="C284" i="5"/>
  <c r="C285" i="5"/>
  <c r="C286" i="5"/>
  <c r="C287" i="5"/>
  <c r="AV113" i="11" s="1"/>
  <c r="C288" i="5"/>
  <c r="C289" i="5"/>
  <c r="C290" i="5"/>
  <c r="C291" i="5"/>
  <c r="C292" i="5"/>
  <c r="C293" i="5"/>
  <c r="C294" i="5"/>
  <c r="AV125" i="11" s="1"/>
  <c r="C295" i="5"/>
  <c r="C296" i="5"/>
  <c r="C297" i="5"/>
  <c r="C298" i="5"/>
  <c r="C299" i="5"/>
  <c r="C300" i="5"/>
  <c r="C301" i="5"/>
  <c r="C251" i="5"/>
  <c r="CI87" i="11"/>
  <c r="CE87" i="11"/>
  <c r="CD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T87" i="11"/>
  <c r="AS87" i="11"/>
  <c r="AR87" i="11"/>
  <c r="BY87" i="11" s="1"/>
  <c r="CI23" i="11"/>
  <c r="CE23" i="11"/>
  <c r="CD23" i="11"/>
  <c r="CB23" i="11"/>
  <c r="CA23" i="11"/>
  <c r="BZ23" i="11"/>
  <c r="BU23" i="11"/>
  <c r="BS23" i="11"/>
  <c r="BR23" i="11"/>
  <c r="BQ23" i="11"/>
  <c r="BO23" i="11"/>
  <c r="BN23" i="11"/>
  <c r="BM23" i="11"/>
  <c r="BL23" i="11"/>
  <c r="BJ23" i="11"/>
  <c r="BI23" i="11"/>
  <c r="BH23" i="11"/>
  <c r="BG23" i="11"/>
  <c r="BF23" i="11"/>
  <c r="BE23" i="11"/>
  <c r="BD23" i="11"/>
  <c r="BC23" i="11"/>
  <c r="BB23" i="11"/>
  <c r="BA23" i="11"/>
  <c r="AZ23" i="11"/>
  <c r="AY23" i="11"/>
  <c r="AX23" i="11"/>
  <c r="AW23" i="11"/>
  <c r="AV23" i="11"/>
  <c r="AT23" i="11"/>
  <c r="AS23" i="11"/>
  <c r="AR23" i="11"/>
  <c r="BY23" i="11" s="1"/>
  <c r="CI44" i="11"/>
  <c r="CE44" i="11"/>
  <c r="CB44" i="11"/>
  <c r="CA44" i="11"/>
  <c r="BZ44" i="11"/>
  <c r="BU44" i="11"/>
  <c r="BS44" i="11"/>
  <c r="BR44" i="11"/>
  <c r="BQ44" i="11"/>
  <c r="BO44" i="11"/>
  <c r="BN44" i="11"/>
  <c r="BM44" i="11"/>
  <c r="BL44" i="11"/>
  <c r="BJ44" i="11"/>
  <c r="BI44" i="11"/>
  <c r="BH44" i="11"/>
  <c r="BG44" i="11"/>
  <c r="BF44" i="11"/>
  <c r="BE44" i="11"/>
  <c r="BD44" i="11"/>
  <c r="BC44" i="11"/>
  <c r="BB44" i="11"/>
  <c r="BA44" i="11"/>
  <c r="AZ44" i="11"/>
  <c r="AY44" i="11"/>
  <c r="AX44" i="11"/>
  <c r="AW44" i="11"/>
  <c r="AV44" i="11"/>
  <c r="AT44" i="11"/>
  <c r="AS44" i="11"/>
  <c r="AR44" i="11"/>
  <c r="BY44" i="11" s="1"/>
  <c r="CI43" i="11"/>
  <c r="CE43" i="11"/>
  <c r="CB43" i="11"/>
  <c r="CA43" i="11"/>
  <c r="BZ43" i="11"/>
  <c r="BU43" i="11"/>
  <c r="BS43" i="11"/>
  <c r="BR43" i="11"/>
  <c r="BQ43" i="11"/>
  <c r="BO43" i="11"/>
  <c r="BN43" i="11"/>
  <c r="BM43" i="11"/>
  <c r="BL43" i="11"/>
  <c r="BJ43" i="11"/>
  <c r="BI43" i="11"/>
  <c r="BH43" i="11"/>
  <c r="BG43" i="11"/>
  <c r="BF43" i="11"/>
  <c r="BE43" i="11"/>
  <c r="BD43" i="11"/>
  <c r="BC43" i="11"/>
  <c r="BB43" i="11"/>
  <c r="BA43" i="11"/>
  <c r="AZ43" i="11"/>
  <c r="AY43" i="11"/>
  <c r="AX43" i="11"/>
  <c r="AW43" i="11"/>
  <c r="AV43" i="11"/>
  <c r="AT43" i="11"/>
  <c r="AS43" i="11"/>
  <c r="AR43" i="11"/>
  <c r="BY43" i="11" s="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T42" i="11"/>
  <c r="AS42" i="11"/>
  <c r="AR42" i="11"/>
  <c r="BY42" i="11" s="1"/>
  <c r="CI38" i="11"/>
  <c r="CE38" i="11"/>
  <c r="CD38" i="11"/>
  <c r="CB38" i="11"/>
  <c r="CA38" i="11"/>
  <c r="BZ38" i="11"/>
  <c r="BW38" i="11"/>
  <c r="BU38" i="11"/>
  <c r="BS38" i="11"/>
  <c r="BR38" i="11"/>
  <c r="BQ38" i="11"/>
  <c r="BO38" i="11"/>
  <c r="BN38" i="11"/>
  <c r="BM38" i="11"/>
  <c r="BL38" i="11"/>
  <c r="BJ38" i="11"/>
  <c r="BI38" i="11"/>
  <c r="BH38" i="11"/>
  <c r="BG38" i="11"/>
  <c r="BF38" i="11"/>
  <c r="BE38" i="11"/>
  <c r="BD38" i="11"/>
  <c r="BC38" i="11"/>
  <c r="BB38" i="11"/>
  <c r="BA38" i="11"/>
  <c r="AZ38" i="11"/>
  <c r="AY38" i="11"/>
  <c r="AX38" i="11"/>
  <c r="AW38" i="11"/>
  <c r="AV38" i="11"/>
  <c r="AT38" i="11"/>
  <c r="AS38" i="11"/>
  <c r="AR38" i="11"/>
  <c r="BY38" i="11" s="1"/>
  <c r="CI37" i="11"/>
  <c r="CE37" i="11"/>
  <c r="CD37" i="11"/>
  <c r="CB37" i="11"/>
  <c r="CA37" i="11"/>
  <c r="BZ37" i="11"/>
  <c r="BW37" i="11"/>
  <c r="BU37" i="11"/>
  <c r="BS37" i="11"/>
  <c r="BR37" i="11"/>
  <c r="BQ37" i="11"/>
  <c r="BO37" i="11"/>
  <c r="BN37" i="11"/>
  <c r="BM37" i="11"/>
  <c r="BL37" i="11"/>
  <c r="BJ37" i="11"/>
  <c r="BI37" i="11"/>
  <c r="BH37" i="11"/>
  <c r="BG37" i="11"/>
  <c r="BF37" i="11"/>
  <c r="BE37" i="11"/>
  <c r="BD37" i="11"/>
  <c r="BC37" i="11"/>
  <c r="BB37" i="11"/>
  <c r="BA37" i="11"/>
  <c r="AZ37" i="11"/>
  <c r="AY37" i="11"/>
  <c r="AX37" i="11"/>
  <c r="AW37" i="11"/>
  <c r="AV37" i="11"/>
  <c r="AT37" i="11"/>
  <c r="AS37" i="11"/>
  <c r="AR37" i="11"/>
  <c r="BY37" i="11" s="1"/>
  <c r="CI36" i="11"/>
  <c r="CE36" i="11"/>
  <c r="CD36" i="11"/>
  <c r="CB36" i="11"/>
  <c r="CA36" i="11"/>
  <c r="BZ36" i="11"/>
  <c r="BW36" i="11"/>
  <c r="BU36" i="11"/>
  <c r="BS36" i="11"/>
  <c r="BR36" i="11"/>
  <c r="BQ36" i="11"/>
  <c r="BO36" i="11"/>
  <c r="BN36" i="11"/>
  <c r="BM36" i="11"/>
  <c r="BL36" i="11"/>
  <c r="BJ36" i="11"/>
  <c r="BI36" i="11"/>
  <c r="BH36" i="11"/>
  <c r="BG36" i="11"/>
  <c r="BF36" i="11"/>
  <c r="BE36" i="11"/>
  <c r="BD36" i="11"/>
  <c r="BC36" i="11"/>
  <c r="BB36" i="11"/>
  <c r="BA36" i="11"/>
  <c r="AZ36" i="11"/>
  <c r="AY36" i="11"/>
  <c r="AX36" i="11"/>
  <c r="AW36" i="11"/>
  <c r="AV36" i="11"/>
  <c r="AT36" i="11"/>
  <c r="AS36" i="11"/>
  <c r="AR36" i="11"/>
  <c r="BY36" i="11" s="1"/>
  <c r="CI35" i="11"/>
  <c r="CE35" i="11"/>
  <c r="CD35" i="11"/>
  <c r="CB35" i="11"/>
  <c r="CA35" i="11"/>
  <c r="BZ35" i="11"/>
  <c r="BW35" i="11"/>
  <c r="BU35" i="11"/>
  <c r="BS35" i="11"/>
  <c r="BR35" i="11"/>
  <c r="BQ35" i="11"/>
  <c r="BO35" i="11"/>
  <c r="BN35" i="11"/>
  <c r="BM35" i="11"/>
  <c r="BL35" i="11"/>
  <c r="BJ35" i="11"/>
  <c r="BI35" i="11"/>
  <c r="BH35" i="11"/>
  <c r="BG35" i="11"/>
  <c r="BF35" i="11"/>
  <c r="BE35" i="11"/>
  <c r="BD35" i="11"/>
  <c r="BC35" i="11"/>
  <c r="BB35" i="11"/>
  <c r="BA35" i="11"/>
  <c r="AZ35" i="11"/>
  <c r="AY35" i="11"/>
  <c r="AX35" i="11"/>
  <c r="AW35" i="11"/>
  <c r="AV35" i="11"/>
  <c r="AT35" i="11"/>
  <c r="AS35" i="11"/>
  <c r="AR35" i="11"/>
  <c r="BY35" i="11" s="1"/>
  <c r="CI34" i="11"/>
  <c r="CE34" i="11"/>
  <c r="CD34" i="11"/>
  <c r="CB34" i="11"/>
  <c r="CA34" i="11"/>
  <c r="BZ34" i="11"/>
  <c r="BW34" i="11"/>
  <c r="BU34" i="11"/>
  <c r="BS34" i="11"/>
  <c r="BR34" i="11"/>
  <c r="BQ34" i="11"/>
  <c r="BO34" i="11"/>
  <c r="BN34" i="11"/>
  <c r="BM34" i="11"/>
  <c r="BL34" i="11"/>
  <c r="BJ34" i="11"/>
  <c r="BI34" i="11"/>
  <c r="BH34" i="11"/>
  <c r="BG34" i="11"/>
  <c r="BF34" i="11"/>
  <c r="BE34" i="11"/>
  <c r="BD34" i="11"/>
  <c r="BC34" i="11"/>
  <c r="BB34" i="11"/>
  <c r="BA34" i="11"/>
  <c r="AZ34" i="11"/>
  <c r="AY34" i="11"/>
  <c r="AX34" i="11"/>
  <c r="AW34" i="11"/>
  <c r="AV34" i="11"/>
  <c r="AT34" i="11"/>
  <c r="AS34" i="11"/>
  <c r="AR34" i="11"/>
  <c r="BY34" i="11" s="1"/>
  <c r="CI33" i="11"/>
  <c r="CE33" i="11"/>
  <c r="CB33" i="11"/>
  <c r="CA33" i="11"/>
  <c r="BZ33" i="11"/>
  <c r="BU33" i="11"/>
  <c r="BS33" i="11"/>
  <c r="BR33" i="11"/>
  <c r="BQ33" i="11"/>
  <c r="BO33" i="11"/>
  <c r="BN33" i="11"/>
  <c r="BM33" i="11"/>
  <c r="BL33" i="11"/>
  <c r="BJ33" i="11"/>
  <c r="BI33" i="11"/>
  <c r="BH33" i="11"/>
  <c r="BG33" i="11"/>
  <c r="BF33" i="11"/>
  <c r="BE33" i="11"/>
  <c r="BD33" i="11"/>
  <c r="BC33" i="11"/>
  <c r="BB33" i="11"/>
  <c r="BA33" i="11"/>
  <c r="AZ33" i="11"/>
  <c r="AY33" i="11"/>
  <c r="AX33" i="11"/>
  <c r="AW33" i="11"/>
  <c r="AV33" i="11"/>
  <c r="AT33" i="11"/>
  <c r="AS33" i="11"/>
  <c r="AR33" i="11"/>
  <c r="BY33" i="11" s="1"/>
  <c r="CI18" i="11"/>
  <c r="CB18" i="11"/>
  <c r="CA18" i="11"/>
  <c r="BZ18" i="11"/>
  <c r="BU18" i="11"/>
  <c r="BS18" i="11"/>
  <c r="BR18" i="11"/>
  <c r="BQ18" i="11"/>
  <c r="BO18" i="11"/>
  <c r="BN18" i="11"/>
  <c r="BM18" i="11"/>
  <c r="BL18" i="11"/>
  <c r="BJ18" i="11"/>
  <c r="BI18" i="11"/>
  <c r="BH18" i="11"/>
  <c r="BG18" i="11"/>
  <c r="BF18" i="11"/>
  <c r="BE18" i="11"/>
  <c r="BD18" i="11"/>
  <c r="BC18" i="11"/>
  <c r="BB18" i="11"/>
  <c r="BA18" i="11"/>
  <c r="AZ18" i="11"/>
  <c r="AY18" i="11"/>
  <c r="AX18" i="11"/>
  <c r="AW18" i="11"/>
  <c r="AV18" i="11"/>
  <c r="AT18" i="11"/>
  <c r="AS18" i="11"/>
  <c r="AR18" i="11"/>
  <c r="BY18" i="11" s="1"/>
  <c r="CI22" i="11"/>
  <c r="CB22" i="11"/>
  <c r="CA22" i="11"/>
  <c r="BZ22" i="11"/>
  <c r="BU22" i="11"/>
  <c r="BS22" i="11"/>
  <c r="BR22" i="11"/>
  <c r="BQ22" i="11"/>
  <c r="BO22" i="11"/>
  <c r="BN22" i="11"/>
  <c r="BM22" i="11"/>
  <c r="BL22" i="11"/>
  <c r="BJ22" i="11"/>
  <c r="BI22" i="11"/>
  <c r="BH22" i="11"/>
  <c r="BG22" i="11"/>
  <c r="BF22" i="11"/>
  <c r="BE22" i="11"/>
  <c r="BD22" i="11"/>
  <c r="BC22" i="11"/>
  <c r="BB22" i="11"/>
  <c r="BA22" i="11"/>
  <c r="AZ22" i="11"/>
  <c r="AY22" i="11"/>
  <c r="AX22" i="11"/>
  <c r="AW22" i="11"/>
  <c r="AV22" i="11"/>
  <c r="AT22" i="11"/>
  <c r="AS22" i="11"/>
  <c r="AR22" i="11"/>
  <c r="BY22" i="11" s="1"/>
  <c r="CI21" i="11"/>
  <c r="CB21" i="11"/>
  <c r="CA21" i="11"/>
  <c r="BZ21" i="11"/>
  <c r="BU21" i="11"/>
  <c r="BS21" i="11"/>
  <c r="BR21" i="11"/>
  <c r="BQ21" i="11"/>
  <c r="BO21" i="11"/>
  <c r="BN21" i="11"/>
  <c r="BM21" i="11"/>
  <c r="BL21" i="11"/>
  <c r="BJ21" i="11"/>
  <c r="BI21" i="11"/>
  <c r="BH21" i="11"/>
  <c r="BG21" i="11"/>
  <c r="BF21" i="11"/>
  <c r="BE21" i="11"/>
  <c r="BD21" i="11"/>
  <c r="BC21" i="11"/>
  <c r="BB21" i="11"/>
  <c r="BA21" i="11"/>
  <c r="AZ21" i="11"/>
  <c r="AY21" i="11"/>
  <c r="AX21" i="11"/>
  <c r="AW21" i="11"/>
  <c r="AV21" i="11"/>
  <c r="AT21" i="11"/>
  <c r="AS21" i="11"/>
  <c r="AR21" i="11"/>
  <c r="CI20" i="11"/>
  <c r="CB20" i="11"/>
  <c r="CA20" i="11"/>
  <c r="BZ20" i="11"/>
  <c r="BW20" i="11"/>
  <c r="BU20" i="11"/>
  <c r="BS20" i="11"/>
  <c r="BR20" i="11"/>
  <c r="BQ20" i="11"/>
  <c r="BO20" i="11"/>
  <c r="BN20" i="11"/>
  <c r="BM20" i="11"/>
  <c r="BL20" i="11"/>
  <c r="BJ20" i="11"/>
  <c r="BI20" i="11"/>
  <c r="BH20" i="11"/>
  <c r="BG20" i="11"/>
  <c r="BF20" i="11"/>
  <c r="BE20" i="11"/>
  <c r="BD20" i="11"/>
  <c r="BC20" i="11"/>
  <c r="BB20" i="11"/>
  <c r="BA20" i="11"/>
  <c r="AZ20" i="11"/>
  <c r="AY20" i="11"/>
  <c r="AX20" i="11"/>
  <c r="AW20" i="11"/>
  <c r="AV20" i="11"/>
  <c r="AT20" i="11"/>
  <c r="AS20" i="11"/>
  <c r="AR20" i="11"/>
  <c r="BY20" i="11" s="1"/>
  <c r="CI19" i="11"/>
  <c r="CB19" i="11"/>
  <c r="CA19" i="11"/>
  <c r="BZ19" i="11"/>
  <c r="BU19" i="11"/>
  <c r="BS19" i="11"/>
  <c r="BR19" i="11"/>
  <c r="BQ19" i="11"/>
  <c r="BO19" i="11"/>
  <c r="BN19" i="11"/>
  <c r="BM19" i="11"/>
  <c r="BL19" i="11"/>
  <c r="BJ19" i="11"/>
  <c r="BI19" i="11"/>
  <c r="BH19" i="11"/>
  <c r="BG19" i="11"/>
  <c r="BF19" i="11"/>
  <c r="BE19" i="11"/>
  <c r="BD19" i="11"/>
  <c r="BC19" i="11"/>
  <c r="BB19" i="11"/>
  <c r="BA19" i="11"/>
  <c r="AZ19" i="11"/>
  <c r="AY19" i="11"/>
  <c r="AX19" i="11"/>
  <c r="AW19" i="11"/>
  <c r="AV19" i="11"/>
  <c r="AT19" i="11"/>
  <c r="AS19" i="11"/>
  <c r="AR19" i="11"/>
  <c r="BY19" i="11" s="1"/>
  <c r="CI8" i="11"/>
  <c r="CE8" i="11"/>
  <c r="CD8" i="11"/>
  <c r="CC8" i="11"/>
  <c r="CB8" i="11"/>
  <c r="CA8" i="11"/>
  <c r="BZ8" i="11"/>
  <c r="BU8" i="11"/>
  <c r="BS8" i="11"/>
  <c r="BR8" i="11"/>
  <c r="BQ8" i="11"/>
  <c r="BO8" i="11"/>
  <c r="BN8" i="11"/>
  <c r="BM8" i="11"/>
  <c r="BL8" i="11"/>
  <c r="BJ8" i="11"/>
  <c r="BI8" i="11"/>
  <c r="BH8" i="11"/>
  <c r="BG8" i="11"/>
  <c r="BF8" i="11"/>
  <c r="BE8" i="11"/>
  <c r="BD8" i="11"/>
  <c r="BC8" i="11"/>
  <c r="BB8" i="11"/>
  <c r="BA8" i="11"/>
  <c r="AZ8" i="11"/>
  <c r="AY8" i="11"/>
  <c r="AX8" i="11"/>
  <c r="AW8" i="11"/>
  <c r="AV8" i="11"/>
  <c r="AT8" i="11"/>
  <c r="AS8" i="11"/>
  <c r="AR8" i="11"/>
  <c r="AR7" i="11"/>
  <c r="AS7" i="11"/>
  <c r="AT7" i="11"/>
  <c r="AV7" i="11"/>
  <c r="AW7" i="11"/>
  <c r="AX7" i="11"/>
  <c r="AY7" i="11"/>
  <c r="AZ7" i="11"/>
  <c r="BA7" i="11"/>
  <c r="BB7" i="11"/>
  <c r="BC7" i="11"/>
  <c r="BD7" i="11"/>
  <c r="BE7" i="11"/>
  <c r="BF7" i="11"/>
  <c r="BG7" i="11"/>
  <c r="BH7" i="11"/>
  <c r="BI7" i="11"/>
  <c r="BJ7" i="11"/>
  <c r="BL7" i="11"/>
  <c r="BM7" i="11"/>
  <c r="BN7" i="11"/>
  <c r="BO7" i="11"/>
  <c r="BQ7" i="11"/>
  <c r="BR7" i="11"/>
  <c r="BS7" i="11"/>
  <c r="BU7" i="11"/>
  <c r="BZ7" i="11"/>
  <c r="CA7" i="11"/>
  <c r="CB7" i="11"/>
  <c r="CC7" i="11"/>
  <c r="CD7" i="11"/>
  <c r="CE7" i="11"/>
  <c r="CI7" i="11"/>
  <c r="CI32" i="11"/>
  <c r="CE32" i="11"/>
  <c r="CD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T32" i="11"/>
  <c r="AS32" i="11"/>
  <c r="AR32" i="11"/>
  <c r="BY32" i="11" s="1"/>
  <c r="CI31" i="11"/>
  <c r="CB31" i="11"/>
  <c r="CA31" i="11"/>
  <c r="BZ31" i="11"/>
  <c r="BS31" i="11"/>
  <c r="BR31" i="11"/>
  <c r="BQ31" i="11"/>
  <c r="BO31" i="11"/>
  <c r="BN31" i="11"/>
  <c r="BM31" i="11"/>
  <c r="BL31" i="11"/>
  <c r="BJ31" i="11"/>
  <c r="BI31" i="11"/>
  <c r="BH31" i="11"/>
  <c r="BG31" i="11"/>
  <c r="BF31" i="11"/>
  <c r="BE31" i="11"/>
  <c r="BD31" i="11"/>
  <c r="BC31" i="11"/>
  <c r="BB31" i="11"/>
  <c r="BA31" i="11"/>
  <c r="AZ31" i="11"/>
  <c r="AY31" i="11"/>
  <c r="AX31" i="11"/>
  <c r="AW31" i="11"/>
  <c r="AV31" i="11"/>
  <c r="AT31" i="11"/>
  <c r="AS31" i="11"/>
  <c r="AR31" i="11"/>
  <c r="BY31" i="11" s="1"/>
  <c r="CI132" i="11"/>
  <c r="CE132" i="11"/>
  <c r="CD132" i="11"/>
  <c r="CC132" i="11"/>
  <c r="CB132" i="11"/>
  <c r="CA132" i="11"/>
  <c r="BZ132" i="11"/>
  <c r="BS132" i="11"/>
  <c r="BR132" i="11"/>
  <c r="BQ132" i="11"/>
  <c r="BO132" i="11"/>
  <c r="BN132" i="11"/>
  <c r="BM132" i="11"/>
  <c r="BL132" i="11"/>
  <c r="BJ132" i="11"/>
  <c r="BI132" i="11"/>
  <c r="BH132" i="11"/>
  <c r="BG132" i="11"/>
  <c r="BF132" i="11"/>
  <c r="BE132" i="11"/>
  <c r="BD132" i="11"/>
  <c r="BC132" i="11"/>
  <c r="BB132" i="11"/>
  <c r="BA132" i="11"/>
  <c r="AZ132" i="11"/>
  <c r="AY132" i="11"/>
  <c r="AX132" i="11"/>
  <c r="AW132" i="11"/>
  <c r="AV132" i="11"/>
  <c r="AT132" i="11"/>
  <c r="AS132" i="11"/>
  <c r="AR132" i="11"/>
  <c r="BY132" i="11" s="1"/>
  <c r="CI51" i="11"/>
  <c r="CE51" i="11"/>
  <c r="CB51" i="11"/>
  <c r="CA51" i="11"/>
  <c r="BZ51" i="11"/>
  <c r="BW51" i="11"/>
  <c r="BS51" i="11"/>
  <c r="BR51" i="11"/>
  <c r="BQ51" i="11"/>
  <c r="BO51" i="11"/>
  <c r="BN51" i="11"/>
  <c r="BM51" i="11"/>
  <c r="BL51" i="11"/>
  <c r="BJ51" i="11"/>
  <c r="BI51" i="11"/>
  <c r="BH51" i="11"/>
  <c r="BG51" i="11"/>
  <c r="BF51" i="11"/>
  <c r="BE51" i="11"/>
  <c r="BD51" i="11"/>
  <c r="BC51" i="11"/>
  <c r="BB51" i="11"/>
  <c r="BA51" i="11"/>
  <c r="AZ51" i="11"/>
  <c r="AY51" i="11"/>
  <c r="AX51" i="11"/>
  <c r="AW51" i="11"/>
  <c r="AV51" i="11"/>
  <c r="AT51" i="11"/>
  <c r="AS51" i="11"/>
  <c r="AR51" i="11"/>
  <c r="BY51" i="11" s="1"/>
  <c r="CI53" i="11"/>
  <c r="CE53" i="11"/>
  <c r="CD53" i="11"/>
  <c r="CC53" i="11"/>
  <c r="CB53" i="11"/>
  <c r="CA53" i="11"/>
  <c r="BZ53" i="11"/>
  <c r="BW53" i="11"/>
  <c r="BS53" i="11"/>
  <c r="BR53" i="11"/>
  <c r="BQ53" i="11"/>
  <c r="BO53" i="11"/>
  <c r="BN53" i="11"/>
  <c r="BM53" i="11"/>
  <c r="BL53" i="11"/>
  <c r="BJ53" i="11"/>
  <c r="BI53" i="11"/>
  <c r="BH53" i="11"/>
  <c r="BG53" i="11"/>
  <c r="BF53" i="11"/>
  <c r="BE53" i="11"/>
  <c r="BD53" i="11"/>
  <c r="BC53" i="11"/>
  <c r="BB53" i="11"/>
  <c r="BA53" i="11"/>
  <c r="AZ53" i="11"/>
  <c r="AY53" i="11"/>
  <c r="AX53" i="11"/>
  <c r="AW53" i="11"/>
  <c r="AV53" i="11"/>
  <c r="AT53" i="11"/>
  <c r="AS53" i="11"/>
  <c r="AR53" i="11"/>
  <c r="BY53" i="11" s="1"/>
  <c r="CI136" i="11"/>
  <c r="CE136" i="11"/>
  <c r="CD136" i="11"/>
  <c r="CC136" i="11"/>
  <c r="CB136" i="11"/>
  <c r="CA136" i="11"/>
  <c r="BZ136" i="11"/>
  <c r="BS136" i="11"/>
  <c r="BR136" i="11"/>
  <c r="BQ136" i="11"/>
  <c r="BO136" i="11"/>
  <c r="BN136" i="11"/>
  <c r="BM136" i="11"/>
  <c r="BL136" i="11"/>
  <c r="BJ136" i="11"/>
  <c r="BI136" i="11"/>
  <c r="BH136" i="11"/>
  <c r="BG136" i="11"/>
  <c r="BF136" i="11"/>
  <c r="BE136" i="11"/>
  <c r="BD136" i="11"/>
  <c r="BC136" i="11"/>
  <c r="BB136" i="11"/>
  <c r="BA136" i="11"/>
  <c r="AZ136" i="11"/>
  <c r="AY136" i="11"/>
  <c r="AX136" i="11"/>
  <c r="AW136" i="11"/>
  <c r="AV136" i="11"/>
  <c r="AT136" i="11"/>
  <c r="AS136" i="11"/>
  <c r="AR136" i="11"/>
  <c r="BY136" i="11" s="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T39" i="11"/>
  <c r="AS39" i="11"/>
  <c r="AR39" i="11"/>
  <c r="BY39" i="11" s="1"/>
  <c r="CI11" i="11"/>
  <c r="CE11" i="11"/>
  <c r="CD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T11" i="11"/>
  <c r="AS11" i="11"/>
  <c r="AR11" i="11"/>
  <c r="BY11" i="11" s="1"/>
  <c r="CI138" i="11"/>
  <c r="CE138" i="11"/>
  <c r="CD138" i="11"/>
  <c r="CB138" i="11"/>
  <c r="CA138" i="11"/>
  <c r="BZ138" i="11"/>
  <c r="BW138" i="11"/>
  <c r="BS138" i="11"/>
  <c r="BR138" i="11"/>
  <c r="BQ138" i="11"/>
  <c r="BO138" i="11"/>
  <c r="BN138" i="11"/>
  <c r="BM138" i="11"/>
  <c r="BL138" i="11"/>
  <c r="BJ138" i="11"/>
  <c r="BI138" i="11"/>
  <c r="BH138" i="11"/>
  <c r="BG138" i="11"/>
  <c r="BF138" i="11"/>
  <c r="BE138" i="11"/>
  <c r="BD138" i="11"/>
  <c r="BC138" i="11"/>
  <c r="BB138" i="11"/>
  <c r="BA138" i="11"/>
  <c r="AZ138" i="11"/>
  <c r="AY138" i="11"/>
  <c r="AX138" i="11"/>
  <c r="AW138" i="11"/>
  <c r="AV138" i="11"/>
  <c r="AT138" i="11"/>
  <c r="AS138" i="11"/>
  <c r="AR138" i="11"/>
  <c r="BY138" i="11" s="1"/>
  <c r="CI133" i="11"/>
  <c r="CE133" i="11"/>
  <c r="CD133" i="11"/>
  <c r="CC133" i="11"/>
  <c r="CB133" i="11"/>
  <c r="CA133" i="11"/>
  <c r="BZ133" i="11"/>
  <c r="BW133" i="11"/>
  <c r="BS133" i="11"/>
  <c r="BR133" i="11"/>
  <c r="BQ133" i="11"/>
  <c r="BO133" i="11"/>
  <c r="BN133" i="11"/>
  <c r="BM133" i="11"/>
  <c r="BL133" i="11"/>
  <c r="BJ133" i="11"/>
  <c r="BI133" i="11"/>
  <c r="BH133" i="11"/>
  <c r="BG133" i="11"/>
  <c r="BF133" i="11"/>
  <c r="BE133" i="11"/>
  <c r="BD133" i="11"/>
  <c r="BC133" i="11"/>
  <c r="BB133" i="11"/>
  <c r="BA133" i="11"/>
  <c r="AZ133" i="11"/>
  <c r="AY133" i="11"/>
  <c r="AX133" i="11"/>
  <c r="AW133" i="11"/>
  <c r="AV133" i="11"/>
  <c r="AT133" i="11"/>
  <c r="AS133" i="11"/>
  <c r="AR133" i="11"/>
  <c r="BY133" i="11" s="1"/>
  <c r="CI52" i="11"/>
  <c r="CE52" i="11"/>
  <c r="CB52" i="11"/>
  <c r="CA52" i="11"/>
  <c r="BZ52" i="11"/>
  <c r="BW52" i="11"/>
  <c r="BS52" i="11"/>
  <c r="BR52" i="11"/>
  <c r="BQ52" i="11"/>
  <c r="BO52" i="11"/>
  <c r="BN52" i="11"/>
  <c r="BM52" i="11"/>
  <c r="BL52" i="11"/>
  <c r="BJ52" i="11"/>
  <c r="BI52" i="11"/>
  <c r="BH52" i="11"/>
  <c r="BG52" i="11"/>
  <c r="BF52" i="11"/>
  <c r="BE52" i="11"/>
  <c r="BD52" i="11"/>
  <c r="BC52" i="11"/>
  <c r="BB52" i="11"/>
  <c r="BA52" i="11"/>
  <c r="AZ52" i="11"/>
  <c r="AY52" i="11"/>
  <c r="AX52" i="11"/>
  <c r="AW52" i="11"/>
  <c r="AV52" i="11"/>
  <c r="AT52" i="11"/>
  <c r="AS52" i="11"/>
  <c r="AR52" i="11"/>
  <c r="BY52" i="11" s="1"/>
  <c r="CI27" i="11"/>
  <c r="CE27" i="11"/>
  <c r="CD27" i="11"/>
  <c r="CC27" i="11"/>
  <c r="CB27" i="11"/>
  <c r="CA27" i="11"/>
  <c r="BZ27" i="11"/>
  <c r="BS27" i="11"/>
  <c r="BR27" i="11"/>
  <c r="BQ27" i="11"/>
  <c r="BO27" i="11"/>
  <c r="BN27" i="11"/>
  <c r="BM27" i="11"/>
  <c r="BL27" i="11"/>
  <c r="BJ27" i="11"/>
  <c r="BI27" i="11"/>
  <c r="BH27" i="11"/>
  <c r="BG27" i="11"/>
  <c r="BF27" i="11"/>
  <c r="BE27" i="11"/>
  <c r="BD27" i="11"/>
  <c r="BC27" i="11"/>
  <c r="BB27" i="11"/>
  <c r="BA27" i="11"/>
  <c r="AZ27" i="11"/>
  <c r="AY27" i="11"/>
  <c r="AX27" i="11"/>
  <c r="AW27" i="11"/>
  <c r="AV27" i="11"/>
  <c r="AT27" i="11"/>
  <c r="AS27" i="11"/>
  <c r="AR27" i="11"/>
  <c r="BY27" i="11" s="1"/>
  <c r="CI50" i="11"/>
  <c r="CE50" i="11"/>
  <c r="CD50" i="11"/>
  <c r="CC50" i="11"/>
  <c r="CB50" i="11"/>
  <c r="CA50" i="11"/>
  <c r="BZ50" i="11"/>
  <c r="BW50" i="11"/>
  <c r="BS50" i="11"/>
  <c r="BR50" i="11"/>
  <c r="BQ50" i="11"/>
  <c r="BO50" i="11"/>
  <c r="BN50" i="11"/>
  <c r="BM50" i="11"/>
  <c r="BL50" i="11"/>
  <c r="BJ50" i="11"/>
  <c r="BI50" i="11"/>
  <c r="BH50" i="11"/>
  <c r="BG50" i="11"/>
  <c r="BF50" i="11"/>
  <c r="BE50" i="11"/>
  <c r="BD50" i="11"/>
  <c r="BC50" i="11"/>
  <c r="BB50" i="11"/>
  <c r="BA50" i="11"/>
  <c r="AZ50" i="11"/>
  <c r="AY50" i="11"/>
  <c r="AX50" i="11"/>
  <c r="AW50" i="11"/>
  <c r="AV50" i="11"/>
  <c r="AT50" i="11"/>
  <c r="AS50" i="11"/>
  <c r="AR50" i="11"/>
  <c r="CI131" i="11"/>
  <c r="CE131" i="11"/>
  <c r="CD131" i="11"/>
  <c r="CC131" i="11"/>
  <c r="CB131" i="11"/>
  <c r="CA131" i="11"/>
  <c r="BZ131" i="11"/>
  <c r="BW131" i="11"/>
  <c r="BS131" i="11"/>
  <c r="BR131" i="11"/>
  <c r="BQ131" i="11"/>
  <c r="BO131" i="11"/>
  <c r="BN131" i="11"/>
  <c r="BM131" i="11"/>
  <c r="BL131" i="11"/>
  <c r="BJ131" i="11"/>
  <c r="BI131" i="11"/>
  <c r="BH131" i="11"/>
  <c r="BG131" i="11"/>
  <c r="BF131" i="11"/>
  <c r="BE131" i="11"/>
  <c r="BD131" i="11"/>
  <c r="BC131" i="11"/>
  <c r="BB131" i="11"/>
  <c r="BA131" i="11"/>
  <c r="AZ131" i="11"/>
  <c r="AY131" i="11"/>
  <c r="AX131" i="11"/>
  <c r="AW131" i="11"/>
  <c r="AV131" i="11"/>
  <c r="AT131" i="11"/>
  <c r="AS131" i="11"/>
  <c r="AR131" i="11"/>
  <c r="CI17" i="11"/>
  <c r="CE17" i="11"/>
  <c r="CD17" i="11"/>
  <c r="CC17" i="11"/>
  <c r="CB17" i="11"/>
  <c r="CA17" i="11"/>
  <c r="BZ17" i="11"/>
  <c r="BW17" i="11"/>
  <c r="BS17" i="11"/>
  <c r="BR17" i="11"/>
  <c r="BQ17" i="11"/>
  <c r="BO17" i="11"/>
  <c r="BN17" i="11"/>
  <c r="BM17" i="11"/>
  <c r="BL17" i="11"/>
  <c r="BJ17" i="11"/>
  <c r="BI17" i="11"/>
  <c r="BH17" i="11"/>
  <c r="BG17" i="11"/>
  <c r="BF17" i="11"/>
  <c r="BE17" i="11"/>
  <c r="BD17" i="11"/>
  <c r="BC17" i="11"/>
  <c r="BB17" i="11"/>
  <c r="BA17" i="11"/>
  <c r="AZ17" i="11"/>
  <c r="AY17" i="11"/>
  <c r="AX17" i="11"/>
  <c r="AW17" i="11"/>
  <c r="AV17" i="11"/>
  <c r="AT17" i="11"/>
  <c r="AS17" i="11"/>
  <c r="AR17" i="11"/>
  <c r="BY17" i="11" s="1"/>
  <c r="CI10" i="11"/>
  <c r="CE10" i="11"/>
  <c r="CD10" i="11"/>
  <c r="CC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T10" i="11"/>
  <c r="AS10" i="11"/>
  <c r="AR10" i="11"/>
  <c r="BY10" i="11" s="1"/>
  <c r="CI16" i="11"/>
  <c r="CE16" i="11"/>
  <c r="CD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T16" i="11"/>
  <c r="AS16" i="11"/>
  <c r="AR16" i="11"/>
  <c r="BY16" i="11" s="1"/>
  <c r="CI15" i="11"/>
  <c r="CE15" i="11"/>
  <c r="CD15" i="11"/>
  <c r="CC15" i="11"/>
  <c r="CB15" i="11"/>
  <c r="CA15" i="11"/>
  <c r="BZ15" i="11"/>
  <c r="BW15" i="11"/>
  <c r="BS15" i="11"/>
  <c r="BR15" i="11"/>
  <c r="BQ15" i="11"/>
  <c r="BO15" i="11"/>
  <c r="BN15" i="11"/>
  <c r="BM15" i="11"/>
  <c r="BL15" i="11"/>
  <c r="BJ15" i="11"/>
  <c r="BI15" i="11"/>
  <c r="BH15" i="11"/>
  <c r="BG15" i="11"/>
  <c r="BF15" i="11"/>
  <c r="BE15" i="11"/>
  <c r="BD15" i="11"/>
  <c r="BC15" i="11"/>
  <c r="BB15" i="11"/>
  <c r="BA15" i="11"/>
  <c r="AZ15" i="11"/>
  <c r="AY15" i="11"/>
  <c r="AX15" i="11"/>
  <c r="AW15" i="11"/>
  <c r="AV15" i="11"/>
  <c r="AT15" i="11"/>
  <c r="AS15" i="11"/>
  <c r="AR15" i="11"/>
  <c r="BY15" i="11" s="1"/>
  <c r="CI30" i="11"/>
  <c r="CE30" i="11"/>
  <c r="CD30" i="11"/>
  <c r="CB30" i="11"/>
  <c r="CA30" i="11"/>
  <c r="BZ30" i="11"/>
  <c r="BW30" i="11"/>
  <c r="BS30" i="11"/>
  <c r="BR30" i="11"/>
  <c r="BQ30" i="11"/>
  <c r="BO30" i="11"/>
  <c r="BN30" i="11"/>
  <c r="BM30" i="11"/>
  <c r="BL30" i="11"/>
  <c r="BJ30" i="11"/>
  <c r="BI30" i="11"/>
  <c r="BH30" i="11"/>
  <c r="BG30" i="11"/>
  <c r="BF30" i="11"/>
  <c r="BE30" i="11"/>
  <c r="BD30" i="11"/>
  <c r="BC30" i="11"/>
  <c r="BB30" i="11"/>
  <c r="BA30" i="11"/>
  <c r="AZ30" i="11"/>
  <c r="AY30" i="11"/>
  <c r="AX30" i="11"/>
  <c r="AW30" i="11"/>
  <c r="AV30" i="11"/>
  <c r="AT30" i="11"/>
  <c r="AS30" i="11"/>
  <c r="AR30" i="11"/>
  <c r="BY30" i="11" s="1"/>
  <c r="CI14" i="11"/>
  <c r="CB14" i="11"/>
  <c r="CA14" i="11"/>
  <c r="BZ14" i="11"/>
  <c r="BS14" i="11"/>
  <c r="BR14" i="11"/>
  <c r="BQ14" i="11"/>
  <c r="BO14" i="11"/>
  <c r="BN14" i="11"/>
  <c r="BM14" i="11"/>
  <c r="BL14" i="11"/>
  <c r="BJ14" i="11"/>
  <c r="BI14" i="11"/>
  <c r="BH14" i="11"/>
  <c r="BG14" i="11"/>
  <c r="BF14" i="11"/>
  <c r="BE14" i="11"/>
  <c r="BD14" i="11"/>
  <c r="BC14" i="11"/>
  <c r="BB14" i="11"/>
  <c r="BA14" i="11"/>
  <c r="AZ14" i="11"/>
  <c r="AY14" i="11"/>
  <c r="AX14" i="11"/>
  <c r="AW14" i="11"/>
  <c r="AV14" i="11"/>
  <c r="AT14" i="11"/>
  <c r="AS14" i="11"/>
  <c r="AR14" i="11"/>
  <c r="BY14" i="11" s="1"/>
  <c r="CI49" i="11"/>
  <c r="CE49" i="11"/>
  <c r="CD49" i="11"/>
  <c r="CC49" i="11"/>
  <c r="CB49" i="11"/>
  <c r="CA49" i="11"/>
  <c r="BZ49" i="11"/>
  <c r="BW49" i="11"/>
  <c r="BS49" i="11"/>
  <c r="BR49" i="11"/>
  <c r="BQ49" i="11"/>
  <c r="BO49" i="11"/>
  <c r="BN49" i="11"/>
  <c r="BM49" i="11"/>
  <c r="BL49" i="11"/>
  <c r="BJ49" i="11"/>
  <c r="BI49" i="11"/>
  <c r="BH49" i="11"/>
  <c r="BG49" i="11"/>
  <c r="BF49" i="11"/>
  <c r="BE49" i="11"/>
  <c r="BD49" i="11"/>
  <c r="BC49" i="11"/>
  <c r="BB49" i="11"/>
  <c r="BA49" i="11"/>
  <c r="AZ49" i="11"/>
  <c r="AY49" i="11"/>
  <c r="AX49" i="11"/>
  <c r="AW49" i="11"/>
  <c r="AV49" i="11"/>
  <c r="AT49" i="11"/>
  <c r="AS49" i="11"/>
  <c r="AR49" i="11"/>
  <c r="BY49" i="11" s="1"/>
  <c r="CI128" i="11"/>
  <c r="CE128" i="11"/>
  <c r="CD128" i="11"/>
  <c r="CC128" i="11"/>
  <c r="CB128" i="11"/>
  <c r="CA128" i="11"/>
  <c r="BZ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V128" i="11"/>
  <c r="AT128" i="11"/>
  <c r="AS128" i="11"/>
  <c r="AR128" i="11"/>
  <c r="BY128" i="11" s="1"/>
  <c r="CI9" i="11"/>
  <c r="CE9" i="11"/>
  <c r="CD9" i="11"/>
  <c r="CC9" i="11"/>
  <c r="CB9" i="11"/>
  <c r="CA9" i="11"/>
  <c r="BZ9" i="11"/>
  <c r="BS9" i="11"/>
  <c r="BR9" i="11"/>
  <c r="BQ9" i="11"/>
  <c r="BO9" i="11"/>
  <c r="BN9" i="11"/>
  <c r="BM9" i="11"/>
  <c r="BL9" i="11"/>
  <c r="BJ9" i="11"/>
  <c r="BI9" i="11"/>
  <c r="BH9" i="11"/>
  <c r="BG9" i="11"/>
  <c r="BF9" i="11"/>
  <c r="BE9" i="11"/>
  <c r="BD9" i="11"/>
  <c r="BC9" i="11"/>
  <c r="BB9" i="11"/>
  <c r="BA9" i="11"/>
  <c r="AZ9" i="11"/>
  <c r="AY9" i="11"/>
  <c r="AX9" i="11"/>
  <c r="AW9" i="11"/>
  <c r="AV9" i="11"/>
  <c r="AT9" i="11"/>
  <c r="AS9" i="11"/>
  <c r="AR9" i="11"/>
  <c r="BY9" i="11" s="1"/>
  <c r="CI13" i="11"/>
  <c r="CE13" i="11"/>
  <c r="CD13" i="11"/>
  <c r="CB13" i="11"/>
  <c r="CA13" i="11"/>
  <c r="BZ13" i="11"/>
  <c r="BS13" i="11"/>
  <c r="BR13" i="11"/>
  <c r="BQ13" i="11"/>
  <c r="BO13" i="11"/>
  <c r="BN13" i="11"/>
  <c r="BM13" i="11"/>
  <c r="BL13" i="11"/>
  <c r="BJ13" i="11"/>
  <c r="BI13" i="11"/>
  <c r="BH13" i="11"/>
  <c r="BG13" i="11"/>
  <c r="BF13" i="11"/>
  <c r="BE13" i="11"/>
  <c r="BD13" i="11"/>
  <c r="BC13" i="11"/>
  <c r="BB13" i="11"/>
  <c r="BA13" i="11"/>
  <c r="AZ13" i="11"/>
  <c r="AY13" i="11"/>
  <c r="AX13" i="11"/>
  <c r="AW13" i="11"/>
  <c r="AV13" i="11"/>
  <c r="AT13" i="11"/>
  <c r="AS13" i="11"/>
  <c r="AR13" i="11"/>
  <c r="BY13" i="11" s="1"/>
  <c r="CI130" i="11"/>
  <c r="CE130" i="11"/>
  <c r="CD130" i="11"/>
  <c r="CC130" i="11"/>
  <c r="CB130" i="11"/>
  <c r="CA130" i="11"/>
  <c r="BZ130" i="11"/>
  <c r="BW130" i="11"/>
  <c r="BS130" i="11"/>
  <c r="BR130" i="11"/>
  <c r="BQ130" i="11"/>
  <c r="BO130" i="11"/>
  <c r="BN130" i="11"/>
  <c r="BM130" i="11"/>
  <c r="BL130" i="11"/>
  <c r="BJ130" i="11"/>
  <c r="BI130" i="11"/>
  <c r="BH130" i="11"/>
  <c r="BG130" i="11"/>
  <c r="BF130" i="11"/>
  <c r="BE130" i="11"/>
  <c r="BD130" i="11"/>
  <c r="BC130" i="11"/>
  <c r="BB130" i="11"/>
  <c r="BA130" i="11"/>
  <c r="AZ130" i="11"/>
  <c r="AY130" i="11"/>
  <c r="AX130" i="11"/>
  <c r="AW130" i="11"/>
  <c r="AV130" i="11"/>
  <c r="AT130" i="11"/>
  <c r="AS130" i="11"/>
  <c r="AR130" i="11"/>
  <c r="BY130" i="11" s="1"/>
  <c r="CI45" i="11"/>
  <c r="CE45" i="11"/>
  <c r="CD45" i="11"/>
  <c r="CC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T45" i="11"/>
  <c r="AS45" i="11"/>
  <c r="AR45" i="11"/>
  <c r="BY45" i="11" s="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T40" i="11"/>
  <c r="AS40" i="11"/>
  <c r="AR40" i="11"/>
  <c r="BY40" i="11" s="1"/>
  <c r="CI54" i="11"/>
  <c r="CE54" i="11"/>
  <c r="CD54" i="11"/>
  <c r="CC54" i="11"/>
  <c r="CB54" i="11"/>
  <c r="CA54" i="11"/>
  <c r="BZ54" i="11"/>
  <c r="BS54" i="11"/>
  <c r="BR54" i="11"/>
  <c r="BQ54" i="11"/>
  <c r="BO54" i="11"/>
  <c r="BN54" i="11"/>
  <c r="BM54" i="11"/>
  <c r="BL54" i="11"/>
  <c r="BJ54" i="11"/>
  <c r="BI54" i="11"/>
  <c r="BH54" i="11"/>
  <c r="BG54" i="11"/>
  <c r="BF54" i="11"/>
  <c r="BE54" i="11"/>
  <c r="BD54" i="11"/>
  <c r="BC54" i="11"/>
  <c r="BB54" i="11"/>
  <c r="BA54" i="11"/>
  <c r="AZ54" i="11"/>
  <c r="AY54" i="11"/>
  <c r="AX54" i="11"/>
  <c r="AW54" i="11"/>
  <c r="AV54" i="11"/>
  <c r="AT54" i="11"/>
  <c r="AS54" i="11"/>
  <c r="AR54" i="11"/>
  <c r="BY54" i="11" s="1"/>
  <c r="CI137" i="11"/>
  <c r="CE137" i="11"/>
  <c r="CD137" i="11"/>
  <c r="CC137" i="11"/>
  <c r="CB137" i="11"/>
  <c r="CA137" i="11"/>
  <c r="BZ137" i="11"/>
  <c r="BS137" i="11"/>
  <c r="BR137" i="11"/>
  <c r="BQ137" i="11"/>
  <c r="BO137" i="11"/>
  <c r="BN137" i="11"/>
  <c r="BM137" i="11"/>
  <c r="BL137" i="11"/>
  <c r="BJ137" i="11"/>
  <c r="BI137" i="11"/>
  <c r="BH137" i="11"/>
  <c r="BG137" i="11"/>
  <c r="BF137" i="11"/>
  <c r="BE137" i="11"/>
  <c r="BD137" i="11"/>
  <c r="BC137" i="11"/>
  <c r="BB137" i="11"/>
  <c r="BA137" i="11"/>
  <c r="AZ137" i="11"/>
  <c r="AY137" i="11"/>
  <c r="AX137" i="11"/>
  <c r="AW137" i="11"/>
  <c r="AV137" i="11"/>
  <c r="AT137" i="11"/>
  <c r="AS137" i="11"/>
  <c r="AR137" i="11"/>
  <c r="BY137" i="11" s="1"/>
  <c r="CI48" i="11"/>
  <c r="CE48" i="11"/>
  <c r="CB48" i="11"/>
  <c r="CA48" i="11"/>
  <c r="BZ48" i="11"/>
  <c r="BS48" i="11"/>
  <c r="BR48" i="11"/>
  <c r="BQ48" i="11"/>
  <c r="BO48" i="11"/>
  <c r="BN48" i="11"/>
  <c r="BM48" i="11"/>
  <c r="BL48" i="11"/>
  <c r="BJ48" i="11"/>
  <c r="BI48" i="11"/>
  <c r="BH48" i="11"/>
  <c r="BG48" i="11"/>
  <c r="BF48" i="11"/>
  <c r="BE48" i="11"/>
  <c r="BD48" i="11"/>
  <c r="BC48" i="11"/>
  <c r="BB48" i="11"/>
  <c r="BA48" i="11"/>
  <c r="AZ48" i="11"/>
  <c r="AY48" i="11"/>
  <c r="AX48" i="11"/>
  <c r="AW48" i="11"/>
  <c r="AV48" i="11"/>
  <c r="AT48" i="11"/>
  <c r="AS48" i="11"/>
  <c r="AR48" i="11"/>
  <c r="BY48" i="11" s="1"/>
  <c r="CI135" i="11"/>
  <c r="CE135" i="11"/>
  <c r="CD135" i="11"/>
  <c r="CC135" i="11"/>
  <c r="CB135" i="11"/>
  <c r="CA135" i="11"/>
  <c r="BZ135" i="11"/>
  <c r="BW135" i="11"/>
  <c r="BS135" i="11"/>
  <c r="BR135" i="11"/>
  <c r="BQ135" i="11"/>
  <c r="BO135" i="11"/>
  <c r="BN135" i="11"/>
  <c r="BM135" i="11"/>
  <c r="BL135" i="11"/>
  <c r="BJ135" i="11"/>
  <c r="BI135" i="11"/>
  <c r="BH135" i="11"/>
  <c r="BG135" i="11"/>
  <c r="BF135" i="11"/>
  <c r="BE135" i="11"/>
  <c r="BD135" i="11"/>
  <c r="BC135" i="11"/>
  <c r="BB135" i="11"/>
  <c r="BA135" i="11"/>
  <c r="AZ135" i="11"/>
  <c r="AY135" i="11"/>
  <c r="AX135" i="11"/>
  <c r="AW135" i="11"/>
  <c r="AV135" i="11"/>
  <c r="AT135" i="11"/>
  <c r="AS135" i="11"/>
  <c r="AR135" i="11"/>
  <c r="BY135" i="11" s="1"/>
  <c r="CI55" i="11"/>
  <c r="CE55" i="11"/>
  <c r="CD55" i="11"/>
  <c r="CC55" i="11"/>
  <c r="CB55" i="11"/>
  <c r="CA55" i="11"/>
  <c r="BZ55" i="11"/>
  <c r="BW55" i="11"/>
  <c r="BS55" i="11"/>
  <c r="BR55" i="11"/>
  <c r="BQ55" i="11"/>
  <c r="BO55" i="11"/>
  <c r="BN55" i="11"/>
  <c r="BM55" i="11"/>
  <c r="BL55" i="11"/>
  <c r="BJ55" i="11"/>
  <c r="BI55" i="11"/>
  <c r="BH55" i="11"/>
  <c r="BG55" i="11"/>
  <c r="BF55" i="11"/>
  <c r="BE55" i="11"/>
  <c r="BD55" i="11"/>
  <c r="BC55" i="11"/>
  <c r="BB55" i="11"/>
  <c r="BA55" i="11"/>
  <c r="AZ55" i="11"/>
  <c r="AY55" i="11"/>
  <c r="AX55" i="11"/>
  <c r="AW55" i="11"/>
  <c r="AV55" i="11"/>
  <c r="AT55" i="11"/>
  <c r="AS55" i="11"/>
  <c r="AR55" i="11"/>
  <c r="BY55" i="11" s="1"/>
  <c r="CI41" i="11"/>
  <c r="CE41" i="11"/>
  <c r="CD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T41" i="11"/>
  <c r="AS41" i="11"/>
  <c r="AR41" i="11"/>
  <c r="BY41" i="11" s="1"/>
  <c r="CI25" i="11"/>
  <c r="CE25" i="11"/>
  <c r="CD25" i="11"/>
  <c r="CC25" i="11"/>
  <c r="CB25" i="11"/>
  <c r="CA25" i="11"/>
  <c r="BZ25" i="11"/>
  <c r="BS25" i="11"/>
  <c r="BR25" i="11"/>
  <c r="BQ25" i="11"/>
  <c r="BO25" i="11"/>
  <c r="BN25" i="11"/>
  <c r="BM25" i="11"/>
  <c r="BL25" i="11"/>
  <c r="BJ25" i="11"/>
  <c r="BI25" i="11"/>
  <c r="BH25" i="11"/>
  <c r="BG25" i="11"/>
  <c r="BF25" i="11"/>
  <c r="BE25" i="11"/>
  <c r="BD25" i="11"/>
  <c r="BC25" i="11"/>
  <c r="BB25" i="11"/>
  <c r="BA25" i="11"/>
  <c r="AZ25" i="11"/>
  <c r="AY25" i="11"/>
  <c r="AX25" i="11"/>
  <c r="AW25" i="11"/>
  <c r="AV25" i="11"/>
  <c r="AT25" i="11"/>
  <c r="AS25" i="11"/>
  <c r="AR25" i="11"/>
  <c r="BY25" i="11" s="1"/>
  <c r="CI47" i="11"/>
  <c r="CE47" i="11"/>
  <c r="CD47" i="11"/>
  <c r="CB47" i="11"/>
  <c r="CA47" i="11"/>
  <c r="BZ47" i="11"/>
  <c r="BS47" i="11"/>
  <c r="BR47" i="11"/>
  <c r="BQ47" i="11"/>
  <c r="BO47" i="11"/>
  <c r="BN47" i="11"/>
  <c r="BM47" i="11"/>
  <c r="BL47" i="11"/>
  <c r="BJ47" i="11"/>
  <c r="BI47" i="11"/>
  <c r="BH47" i="11"/>
  <c r="BG47" i="11"/>
  <c r="BF47" i="11"/>
  <c r="BE47" i="11"/>
  <c r="BD47" i="11"/>
  <c r="BC47" i="11"/>
  <c r="BB47" i="11"/>
  <c r="BA47" i="11"/>
  <c r="AZ47" i="11"/>
  <c r="AY47" i="11"/>
  <c r="AX47" i="11"/>
  <c r="AW47" i="11"/>
  <c r="AV47" i="11"/>
  <c r="AT47" i="11"/>
  <c r="AS47" i="11"/>
  <c r="AR47" i="11"/>
  <c r="BY47" i="11" s="1"/>
  <c r="CI29" i="11"/>
  <c r="CE29" i="11"/>
  <c r="CD29" i="11"/>
  <c r="CC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T29" i="11"/>
  <c r="AS29" i="11"/>
  <c r="AR29" i="11"/>
  <c r="BY29" i="11" s="1"/>
  <c r="CI46" i="11"/>
  <c r="CE46" i="11"/>
  <c r="CD46" i="11"/>
  <c r="CC46" i="11"/>
  <c r="CB46" i="11"/>
  <c r="CA46" i="11"/>
  <c r="BZ46" i="11"/>
  <c r="BS46" i="11"/>
  <c r="BR46" i="11"/>
  <c r="BQ46" i="11"/>
  <c r="BO46" i="11"/>
  <c r="BN46" i="11"/>
  <c r="BM46" i="11"/>
  <c r="BL46" i="11"/>
  <c r="BJ46" i="11"/>
  <c r="BI46" i="11"/>
  <c r="BH46" i="11"/>
  <c r="BG46" i="11"/>
  <c r="BF46" i="11"/>
  <c r="BE46" i="11"/>
  <c r="BD46" i="11"/>
  <c r="BC46" i="11"/>
  <c r="BB46" i="11"/>
  <c r="BA46" i="11"/>
  <c r="AZ46" i="11"/>
  <c r="AY46" i="11"/>
  <c r="AX46" i="11"/>
  <c r="AW46" i="11"/>
  <c r="AV46" i="11"/>
  <c r="AT46" i="11"/>
  <c r="AS46" i="11"/>
  <c r="AR46" i="11"/>
  <c r="BY46" i="11" s="1"/>
  <c r="CI139" i="11"/>
  <c r="CE139" i="11"/>
  <c r="CD139" i="11"/>
  <c r="CC139" i="11"/>
  <c r="CB139" i="11"/>
  <c r="CA139" i="11"/>
  <c r="BZ139" i="11"/>
  <c r="BW139" i="11"/>
  <c r="BS139" i="11"/>
  <c r="BR139" i="11"/>
  <c r="BQ139" i="11"/>
  <c r="BO139" i="11"/>
  <c r="BN139" i="11"/>
  <c r="BM139" i="11"/>
  <c r="BL139" i="11"/>
  <c r="BJ139" i="11"/>
  <c r="BI139" i="11"/>
  <c r="BH139" i="11"/>
  <c r="BG139" i="11"/>
  <c r="BF139" i="11"/>
  <c r="BE139" i="11"/>
  <c r="BD139" i="11"/>
  <c r="BC139" i="11"/>
  <c r="BB139" i="11"/>
  <c r="BA139" i="11"/>
  <c r="AZ139" i="11"/>
  <c r="AY139" i="11"/>
  <c r="AX139" i="11"/>
  <c r="AW139" i="11"/>
  <c r="AV139" i="11"/>
  <c r="AT139" i="11"/>
  <c r="AS139" i="11"/>
  <c r="AR139" i="11"/>
  <c r="BY139" i="11" s="1"/>
  <c r="CI134" i="11"/>
  <c r="CE134" i="11"/>
  <c r="CD134" i="11"/>
  <c r="CC134" i="11"/>
  <c r="CB134" i="11"/>
  <c r="CA134" i="11"/>
  <c r="BZ134" i="11"/>
  <c r="BW134" i="11"/>
  <c r="BS134" i="11"/>
  <c r="BR134" i="11"/>
  <c r="BQ134" i="11"/>
  <c r="BO134" i="11"/>
  <c r="BN134" i="11"/>
  <c r="BM134" i="11"/>
  <c r="BL134" i="11"/>
  <c r="BJ134" i="11"/>
  <c r="BI134" i="11"/>
  <c r="BH134" i="11"/>
  <c r="BG134" i="11"/>
  <c r="BF134" i="11"/>
  <c r="BE134" i="11"/>
  <c r="BD134" i="11"/>
  <c r="BC134" i="11"/>
  <c r="BB134" i="11"/>
  <c r="BA134" i="11"/>
  <c r="AZ134" i="11"/>
  <c r="AY134" i="11"/>
  <c r="AX134" i="11"/>
  <c r="AW134" i="11"/>
  <c r="AV134" i="11"/>
  <c r="AT134" i="11"/>
  <c r="AS134" i="11"/>
  <c r="AR134" i="11"/>
  <c r="BY134" i="11" s="1"/>
  <c r="CI28" i="11"/>
  <c r="CE28" i="11"/>
  <c r="CD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T28" i="11"/>
  <c r="AS28" i="11"/>
  <c r="AR28" i="11"/>
  <c r="BY28" i="11" s="1"/>
  <c r="CI24" i="11"/>
  <c r="CE24" i="11"/>
  <c r="CD24" i="11"/>
  <c r="CB24" i="11"/>
  <c r="CA24" i="11"/>
  <c r="BZ24" i="11"/>
  <c r="BW24" i="11"/>
  <c r="BS24" i="11"/>
  <c r="BR24" i="11"/>
  <c r="BQ24" i="11"/>
  <c r="BO24" i="11"/>
  <c r="BN24" i="11"/>
  <c r="BM24" i="11"/>
  <c r="BL24" i="11"/>
  <c r="BJ24" i="11"/>
  <c r="BI24" i="11"/>
  <c r="BH24" i="11"/>
  <c r="BG24" i="11"/>
  <c r="BF24" i="11"/>
  <c r="BE24" i="11"/>
  <c r="BD24" i="11"/>
  <c r="BC24" i="11"/>
  <c r="BB24" i="11"/>
  <c r="BA24" i="11"/>
  <c r="AZ24" i="11"/>
  <c r="AY24" i="11"/>
  <c r="AX24" i="11"/>
  <c r="AW24" i="11"/>
  <c r="AV24" i="11"/>
  <c r="AT24" i="11"/>
  <c r="AS24" i="11"/>
  <c r="AR24" i="11"/>
  <c r="BY24" i="11" s="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T12" i="11"/>
  <c r="AS12" i="11"/>
  <c r="AR12" i="11"/>
  <c r="BY12" i="11" s="1"/>
  <c r="CI56" i="11"/>
  <c r="CE56" i="11"/>
  <c r="CB56" i="11"/>
  <c r="CA56" i="11"/>
  <c r="BZ56" i="11"/>
  <c r="BS56" i="11"/>
  <c r="BR56" i="11"/>
  <c r="BQ56" i="11"/>
  <c r="BO56" i="11"/>
  <c r="BN56" i="11"/>
  <c r="BM56" i="11"/>
  <c r="BL56" i="11"/>
  <c r="BJ56" i="11"/>
  <c r="BI56" i="11"/>
  <c r="BH56" i="11"/>
  <c r="BG56" i="11"/>
  <c r="BF56" i="11"/>
  <c r="BE56" i="11"/>
  <c r="BD56" i="11"/>
  <c r="BC56" i="11"/>
  <c r="BB56" i="11"/>
  <c r="BA56" i="11"/>
  <c r="AZ56" i="11"/>
  <c r="AY56" i="11"/>
  <c r="AX56" i="11"/>
  <c r="AW56" i="11"/>
  <c r="AV56" i="11"/>
  <c r="AT56" i="11"/>
  <c r="AS56" i="11"/>
  <c r="AR56" i="11"/>
  <c r="BY56" i="11" s="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D115" i="8" s="1"/>
  <c r="A114" i="8"/>
  <c r="A109" i="8"/>
  <c r="D109" i="8" s="1"/>
  <c r="A108" i="8"/>
  <c r="A107" i="8"/>
  <c r="D107" i="8" s="1"/>
  <c r="A106" i="8"/>
  <c r="A105" i="8"/>
  <c r="D105" i="8" s="1"/>
  <c r="A104" i="8"/>
  <c r="D104" i="8" s="1"/>
  <c r="A103" i="8"/>
  <c r="D103" i="8" s="1"/>
  <c r="A102" i="8"/>
  <c r="A101" i="8"/>
  <c r="D101" i="8" s="1"/>
  <c r="A100" i="8"/>
  <c r="A99" i="8"/>
  <c r="A98" i="8"/>
  <c r="A97" i="8"/>
  <c r="D97" i="8" s="1"/>
  <c r="A95" i="8"/>
  <c r="D95" i="8" s="1"/>
  <c r="A94" i="8"/>
  <c r="D94" i="8" s="1"/>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D51" i="8" s="1"/>
  <c r="A50" i="8"/>
  <c r="A49" i="8"/>
  <c r="D49" i="8" s="1"/>
  <c r="A48" i="8"/>
  <c r="A47" i="8"/>
  <c r="A46" i="8"/>
  <c r="A45" i="8"/>
  <c r="D45" i="8" s="1"/>
  <c r="A44" i="8"/>
  <c r="D44" i="8" s="1"/>
  <c r="A43" i="8"/>
  <c r="D43" i="8" s="1"/>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D20" i="8" s="1"/>
  <c r="A19" i="8"/>
  <c r="D19" i="8" s="1"/>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22" i="8"/>
  <c r="D24" i="8"/>
  <c r="D26" i="8"/>
  <c r="D30" i="8"/>
  <c r="D31" i="8"/>
  <c r="D32" i="8"/>
  <c r="D34" i="8"/>
  <c r="D38" i="8"/>
  <c r="D39" i="8"/>
  <c r="D40" i="8"/>
  <c r="D42" i="8"/>
  <c r="D46" i="8"/>
  <c r="D47" i="8"/>
  <c r="D48" i="8"/>
  <c r="D50" i="8"/>
  <c r="D52" i="8"/>
  <c r="D54" i="8"/>
  <c r="D56" i="8"/>
  <c r="D58" i="8"/>
  <c r="D60" i="8"/>
  <c r="D63" i="8"/>
  <c r="D64" i="8"/>
  <c r="D65" i="8"/>
  <c r="D67" i="8"/>
  <c r="D71" i="8"/>
  <c r="D72" i="8"/>
  <c r="D73" i="8"/>
  <c r="D74" i="8"/>
  <c r="D76" i="8"/>
  <c r="D80" i="8"/>
  <c r="D81" i="8"/>
  <c r="D82" i="8"/>
  <c r="D84" i="8"/>
  <c r="D85" i="8"/>
  <c r="D89" i="8"/>
  <c r="D90" i="8"/>
  <c r="D91" i="8"/>
  <c r="D93" i="8"/>
  <c r="D96" i="8"/>
  <c r="D98" i="8"/>
  <c r="D99" i="8"/>
  <c r="D100" i="8"/>
  <c r="D102" i="8"/>
  <c r="D106" i="8"/>
  <c r="D108" i="8"/>
  <c r="D110" i="8"/>
  <c r="D111" i="8"/>
  <c r="D112" i="8"/>
  <c r="D113" i="8"/>
  <c r="D114"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C125" i="11"/>
  <c r="CC116" i="11"/>
  <c r="CE116" i="11"/>
  <c r="CD116" i="11"/>
  <c r="CC111" i="11"/>
  <c r="BW23" i="11"/>
  <c r="BW33" i="11"/>
  <c r="CD33" i="11"/>
  <c r="CE21" i="11"/>
  <c r="CD21" i="11"/>
  <c r="CD20" i="11"/>
  <c r="CE20" i="11"/>
  <c r="BW19" i="11"/>
  <c r="CE81" i="11"/>
  <c r="CE80" i="11"/>
  <c r="BW79" i="11"/>
  <c r="CE72" i="11"/>
  <c r="CE86" i="11"/>
  <c r="CD86" i="11"/>
  <c r="BW84" i="11"/>
  <c r="CD83" i="11"/>
  <c r="CD48" i="11"/>
  <c r="CD51" i="11"/>
  <c r="CE84" i="11"/>
  <c r="CC1" i="11"/>
  <c r="BW1" i="11"/>
  <c r="BT1" i="11"/>
  <c r="BK1" i="11"/>
  <c r="BT6" i="11"/>
  <c r="BU6" i="11" s="1"/>
  <c r="BK6" i="11"/>
  <c r="CH6" i="11"/>
  <c r="BT104" i="11"/>
  <c r="BT34" i="11"/>
  <c r="BT123" i="11"/>
  <c r="BW31" i="11"/>
  <c r="BT51" i="11"/>
  <c r="BT85" i="11"/>
  <c r="CC36" i="11"/>
  <c r="CC106" i="11"/>
  <c r="CC24" i="11"/>
  <c r="CC22" i="11"/>
  <c r="CD96" i="11"/>
  <c r="CC66" i="11"/>
  <c r="BK12" i="11"/>
  <c r="CH121" i="11"/>
  <c r="BK32" i="11"/>
  <c r="CH63" i="11"/>
  <c r="CH123" i="11"/>
  <c r="CH25" i="11"/>
  <c r="BT16" i="11"/>
  <c r="CE71" i="11"/>
  <c r="CD61" i="11"/>
  <c r="BK40" i="11"/>
  <c r="BT45" i="11"/>
  <c r="BT139" i="11"/>
  <c r="BT125" i="11"/>
  <c r="BW128" i="11"/>
  <c r="BW40" i="11"/>
  <c r="CE90" i="11"/>
  <c r="CC107" i="11"/>
  <c r="CC73" i="11"/>
  <c r="CE65" i="11"/>
  <c r="CC95" i="11"/>
  <c r="CD77" i="11"/>
  <c r="BK78" i="11"/>
  <c r="CH47" i="11"/>
  <c r="CH130" i="11"/>
  <c r="BK34" i="11"/>
  <c r="BK136" i="11"/>
  <c r="BK57" i="11"/>
  <c r="BT19" i="11"/>
  <c r="BT73" i="11"/>
  <c r="BT103" i="11"/>
  <c r="BT102" i="11"/>
  <c r="BT93" i="11"/>
  <c r="CC120" i="11"/>
  <c r="CC60" i="11"/>
  <c r="CC96" i="11"/>
  <c r="CC89" i="11"/>
  <c r="CC88" i="11"/>
  <c r="CC123" i="11"/>
  <c r="BK20" i="11"/>
  <c r="BK11" i="11"/>
  <c r="BK83" i="11"/>
  <c r="BK71" i="11"/>
  <c r="CH57" i="11"/>
  <c r="BW11" i="11"/>
  <c r="BW7" i="11"/>
  <c r="CC12" i="11"/>
  <c r="BT42" i="11"/>
  <c r="BT36" i="11"/>
  <c r="BT137" i="11"/>
  <c r="BT28" i="11"/>
  <c r="BW132" i="11"/>
  <c r="CC99" i="11"/>
  <c r="CC65" i="11"/>
  <c r="CC80" i="11"/>
  <c r="CD101" i="11"/>
  <c r="CC122" i="11"/>
  <c r="CC56" i="11"/>
  <c r="CH33" i="11"/>
  <c r="BK112" i="11"/>
  <c r="BK135" i="11"/>
  <c r="CH122" i="11"/>
  <c r="BT55" i="11"/>
  <c r="BW78" i="11"/>
  <c r="BT18" i="11"/>
  <c r="BT87" i="11"/>
  <c r="BT95" i="11"/>
  <c r="CD93" i="11"/>
  <c r="CC138" i="11"/>
  <c r="CD26" i="11"/>
  <c r="CC35" i="11"/>
  <c r="CC103" i="11"/>
  <c r="CE89" i="11"/>
  <c r="CH79" i="11"/>
  <c r="BK74" i="11"/>
  <c r="CH112" i="11"/>
  <c r="BK41" i="11"/>
  <c r="BK134" i="11"/>
  <c r="BK84" i="11"/>
  <c r="BK45" i="11"/>
  <c r="BT105" i="11"/>
  <c r="CD64" i="11"/>
  <c r="CC100" i="11"/>
  <c r="BK81" i="11"/>
  <c r="BT17" i="11"/>
  <c r="BT41" i="11"/>
  <c r="BW54" i="11"/>
  <c r="BW48" i="11"/>
  <c r="BT15" i="11"/>
  <c r="CC91" i="11"/>
  <c r="CC43" i="11"/>
  <c r="CD68" i="11"/>
  <c r="CC63" i="11"/>
  <c r="CC108" i="11"/>
  <c r="CC93" i="11"/>
  <c r="CH116" i="11"/>
  <c r="CH139" i="11"/>
  <c r="CH117" i="11"/>
  <c r="BK128" i="11"/>
  <c r="CH126" i="11"/>
  <c r="BK102" i="11"/>
  <c r="CE22" i="11"/>
  <c r="BT50" i="11"/>
  <c r="BT27" i="11"/>
  <c r="BU27" i="11" s="1"/>
  <c r="BT75" i="11"/>
  <c r="BW27" i="11"/>
  <c r="BT115" i="11"/>
  <c r="CC86" i="11"/>
  <c r="CD104" i="11"/>
  <c r="CD78" i="11"/>
  <c r="CC51" i="11"/>
  <c r="CE69" i="11"/>
  <c r="CD103" i="11"/>
  <c r="BK37" i="11"/>
  <c r="BK31" i="11"/>
  <c r="CH36" i="11"/>
  <c r="CH77" i="11"/>
  <c r="CH75" i="11"/>
  <c r="BT114" i="11"/>
  <c r="CD81" i="11"/>
  <c r="BT107" i="11"/>
  <c r="BT138" i="11"/>
  <c r="BW10" i="11"/>
  <c r="BT98" i="11"/>
  <c r="BT122" i="11"/>
  <c r="CD72" i="11"/>
  <c r="CD79" i="11"/>
  <c r="CC34" i="11"/>
  <c r="CC20" i="11"/>
  <c r="BW14" i="11"/>
  <c r="BW56" i="11"/>
  <c r="BT117" i="11"/>
  <c r="BT22" i="11"/>
  <c r="BT37" i="11"/>
  <c r="CC30" i="11"/>
  <c r="CC52" i="11"/>
  <c r="CE68" i="11"/>
  <c r="CE18" i="11"/>
  <c r="CD65" i="11"/>
  <c r="CC115" i="11"/>
  <c r="CH73" i="11"/>
  <c r="BK48" i="11"/>
  <c r="CH87" i="11"/>
  <c r="CH93" i="11"/>
  <c r="BK52" i="11"/>
  <c r="BK65" i="11"/>
  <c r="CH137" i="11"/>
  <c r="BT96" i="11"/>
  <c r="CD69" i="11"/>
  <c r="CE64" i="11"/>
  <c r="BK66" i="11"/>
  <c r="BT124" i="11"/>
  <c r="BT92" i="11"/>
  <c r="BT24" i="11"/>
  <c r="BW73" i="11"/>
  <c r="BT88" i="11"/>
  <c r="CE14" i="11"/>
  <c r="CE73" i="11"/>
  <c r="CC81" i="11"/>
  <c r="CD66" i="11"/>
  <c r="CC72" i="11"/>
  <c r="CE74" i="11"/>
  <c r="BK72" i="11"/>
  <c r="BK130" i="11"/>
  <c r="CH124" i="11"/>
  <c r="BK33" i="11"/>
  <c r="BK85" i="11"/>
  <c r="CE85" i="11"/>
  <c r="BW13" i="11"/>
  <c r="BT134" i="11"/>
  <c r="BW21" i="11"/>
  <c r="BT30" i="11"/>
  <c r="CC118" i="11"/>
  <c r="CD92" i="11"/>
  <c r="CE94" i="11"/>
  <c r="CC82" i="11"/>
  <c r="CD98" i="11"/>
  <c r="CD100" i="11"/>
  <c r="CH111" i="11"/>
  <c r="CH95" i="11"/>
  <c r="CH30" i="11"/>
  <c r="BK55" i="11"/>
  <c r="BK56" i="11"/>
  <c r="BK16" i="11"/>
  <c r="BT133" i="11"/>
  <c r="CC31" i="11"/>
  <c r="BW18" i="11"/>
  <c r="BT67" i="11"/>
  <c r="BT81" i="11"/>
  <c r="BT8" i="11"/>
  <c r="BT130" i="11"/>
  <c r="BW83" i="11"/>
  <c r="CE82" i="11"/>
  <c r="CD14" i="11"/>
  <c r="CD43" i="11"/>
  <c r="CD31" i="11"/>
  <c r="CC38" i="11"/>
  <c r="CD58" i="11"/>
  <c r="BK75" i="11"/>
  <c r="BK86" i="11"/>
  <c r="CH42" i="11"/>
  <c r="CH52" i="11"/>
  <c r="BT39" i="11"/>
  <c r="CD108" i="11"/>
  <c r="BW44" i="11"/>
  <c r="BT9" i="11"/>
  <c r="BT46" i="11"/>
  <c r="BT7" i="11"/>
  <c r="BT77" i="11"/>
  <c r="CD91" i="11"/>
  <c r="CE96" i="11"/>
  <c r="CC58" i="11"/>
  <c r="CC94" i="11"/>
  <c r="CD94" i="11"/>
  <c r="CD107" i="11"/>
  <c r="CH96" i="11"/>
  <c r="BK58" i="11"/>
  <c r="BK13" i="11"/>
  <c r="CH113" i="11"/>
  <c r="CH125" i="11"/>
  <c r="BK38" i="11"/>
  <c r="BW8" i="11"/>
  <c r="BW117" i="11"/>
  <c r="BT63" i="11"/>
  <c r="BT43" i="11"/>
  <c r="CC71" i="11"/>
  <c r="CD22" i="11"/>
  <c r="CC23" i="11"/>
  <c r="CC104" i="11"/>
  <c r="CD56" i="11"/>
  <c r="CC33" i="11"/>
  <c r="CC59" i="11"/>
  <c r="CH103" i="11"/>
  <c r="BK18" i="11"/>
  <c r="CH26" i="11"/>
  <c r="BK43" i="11"/>
  <c r="BW136" i="11"/>
  <c r="CH78" i="11"/>
  <c r="BT121" i="11"/>
  <c r="BT91" i="11"/>
  <c r="BT21" i="11"/>
  <c r="BT78" i="11"/>
  <c r="BT126" i="11"/>
  <c r="CE97" i="11"/>
  <c r="CC79" i="11"/>
  <c r="CD57" i="11"/>
  <c r="CE78" i="11"/>
  <c r="CD62" i="11"/>
  <c r="CD82" i="11"/>
  <c r="CH120" i="11"/>
  <c r="CH105" i="11"/>
  <c r="BK111" i="11"/>
  <c r="BK125" i="11"/>
  <c r="CH43" i="11"/>
  <c r="BT64" i="11"/>
  <c r="CD73" i="11"/>
  <c r="CC110" i="11"/>
  <c r="BK15" i="11"/>
  <c r="CH14" i="11"/>
  <c r="BT80" i="11"/>
  <c r="CE57" i="11"/>
  <c r="BK49" i="11"/>
  <c r="BT44" i="11"/>
  <c r="CD112" i="11"/>
  <c r="BK53" i="11"/>
  <c r="CE70" i="11"/>
  <c r="BK68" i="11"/>
  <c r="BT116" i="11"/>
  <c r="CE59" i="11"/>
  <c r="BT112" i="11"/>
  <c r="CC83" i="11"/>
  <c r="CC85" i="11"/>
  <c r="BK25" i="11"/>
  <c r="CH101" i="11"/>
  <c r="CE88" i="11"/>
  <c r="BK42" i="11"/>
  <c r="BK17" i="11"/>
  <c r="BK47" i="11"/>
  <c r="BK60" i="11"/>
  <c r="BT76" i="11"/>
  <c r="BT110" i="11"/>
  <c r="BT101" i="11"/>
  <c r="CD89" i="11"/>
  <c r="CC57" i="11"/>
  <c r="CD85" i="11"/>
  <c r="BK82" i="11"/>
  <c r="CH115" i="11"/>
  <c r="CE63" i="11"/>
  <c r="BT129" i="11"/>
  <c r="CD129" i="11"/>
  <c r="BK137" i="11"/>
  <c r="CC78" i="11"/>
  <c r="BT62" i="11"/>
  <c r="CH83" i="11"/>
  <c r="CC42" i="11"/>
  <c r="BK30" i="11"/>
  <c r="BT58" i="11"/>
  <c r="BT118" i="11"/>
  <c r="BT38" i="11"/>
  <c r="CE61" i="11"/>
  <c r="CE112" i="11"/>
  <c r="BK19" i="11"/>
  <c r="CE19" i="11"/>
  <c r="BT128" i="11"/>
  <c r="BT56" i="11"/>
  <c r="CD60" i="11"/>
  <c r="CC119" i="11"/>
  <c r="BK22" i="11"/>
  <c r="BK59" i="11"/>
  <c r="BK46" i="11"/>
  <c r="BT23" i="11"/>
  <c r="BK67" i="11"/>
  <c r="BW129" i="11"/>
  <c r="BT120" i="11"/>
  <c r="CC13" i="11"/>
  <c r="CE75" i="11"/>
  <c r="CH23" i="11"/>
  <c r="BT47" i="11"/>
  <c r="BT66" i="11"/>
  <c r="BW46" i="11"/>
  <c r="CE31" i="11"/>
  <c r="CH28" i="11"/>
  <c r="CH107" i="11"/>
  <c r="BT49" i="11"/>
  <c r="CD63" i="11"/>
  <c r="CH16" i="11"/>
  <c r="BK109" i="11"/>
  <c r="BT40" i="11"/>
  <c r="BT111" i="11"/>
  <c r="CD19" i="11"/>
  <c r="CC68" i="11"/>
  <c r="CH128" i="11"/>
  <c r="BK29" i="11"/>
  <c r="CC69" i="11"/>
  <c r="BK64" i="11"/>
  <c r="BT136" i="11"/>
  <c r="BT97" i="11"/>
  <c r="BT113" i="11"/>
  <c r="CC87" i="11"/>
  <c r="CC37" i="11"/>
  <c r="CC41" i="11"/>
  <c r="CE58" i="11"/>
  <c r="CC98" i="11"/>
  <c r="BK27" i="11"/>
  <c r="CH119" i="11"/>
  <c r="BK26" i="11"/>
  <c r="CD90" i="11"/>
  <c r="BT68" i="11"/>
  <c r="BT53" i="11"/>
  <c r="BT69" i="11"/>
  <c r="BT72" i="11"/>
  <c r="CC114" i="11"/>
  <c r="CE67" i="11"/>
  <c r="CE98" i="11"/>
  <c r="CD67" i="11"/>
  <c r="CC16" i="11"/>
  <c r="BK87" i="11"/>
  <c r="CH118" i="11"/>
  <c r="CH34" i="11"/>
  <c r="CH84" i="11"/>
  <c r="BT132" i="11"/>
  <c r="BT119" i="11"/>
  <c r="BT52" i="11"/>
  <c r="BT65" i="11"/>
  <c r="BT108" i="11"/>
  <c r="CC112" i="11"/>
  <c r="CD70" i="11"/>
  <c r="CC90" i="11"/>
  <c r="CE66" i="11"/>
  <c r="CH92" i="11"/>
  <c r="BK79" i="11"/>
  <c r="CH110" i="11"/>
  <c r="CH41" i="11"/>
  <c r="BT131" i="11"/>
  <c r="CD106" i="11"/>
  <c r="CC62" i="11"/>
  <c r="CD71" i="11"/>
  <c r="BK51" i="11"/>
  <c r="BW9" i="11"/>
  <c r="CH44" i="11"/>
  <c r="CH20" i="11"/>
  <c r="CC26" i="11"/>
  <c r="CD105" i="11"/>
  <c r="CH90" i="11"/>
  <c r="CC18" i="11"/>
  <c r="CH127" i="11"/>
  <c r="CH40" i="11"/>
  <c r="BT74" i="11"/>
  <c r="CC44" i="11"/>
  <c r="BK138" i="11"/>
  <c r="BT99" i="11"/>
  <c r="CC92" i="11"/>
  <c r="BK61" i="11"/>
  <c r="CC74" i="11"/>
  <c r="BT71" i="11"/>
  <c r="BT135" i="11"/>
  <c r="BW47" i="11"/>
  <c r="CE77" i="11"/>
  <c r="CD52" i="11"/>
  <c r="CC21" i="11"/>
  <c r="CC19" i="11"/>
  <c r="CH65" i="11"/>
  <c r="BT94" i="11"/>
  <c r="CE95" i="11"/>
  <c r="BK36" i="11"/>
  <c r="BT89" i="11"/>
  <c r="BT10" i="11"/>
  <c r="CC32" i="11"/>
  <c r="CD102" i="11"/>
  <c r="CH19" i="11"/>
  <c r="CD42" i="11"/>
  <c r="CC129" i="11"/>
  <c r="BT31" i="11"/>
  <c r="BT84" i="11"/>
  <c r="CE62" i="11"/>
  <c r="BK70" i="11"/>
  <c r="BK54" i="11"/>
  <c r="CH18" i="11"/>
  <c r="BT57" i="11"/>
  <c r="CD95" i="11"/>
  <c r="CC121" i="11"/>
  <c r="BK113" i="11"/>
  <c r="BW43" i="11"/>
  <c r="CD59" i="11"/>
  <c r="CC61" i="11"/>
  <c r="CH38" i="11"/>
  <c r="BT48" i="11"/>
  <c r="BT13" i="11"/>
  <c r="CD74" i="11"/>
  <c r="CC14" i="11"/>
  <c r="CH61" i="11"/>
  <c r="BK50" i="11"/>
  <c r="BW25" i="11"/>
  <c r="CC105" i="11"/>
  <c r="BT20" i="11"/>
  <c r="BU9" i="11"/>
  <c r="BT86" i="11"/>
  <c r="BT14" i="11"/>
  <c r="CD80" i="11"/>
  <c r="CE105" i="11"/>
  <c r="CC67" i="11"/>
  <c r="CC48" i="11"/>
  <c r="CH59" i="11"/>
  <c r="CH135" i="11"/>
  <c r="CH22" i="11"/>
  <c r="BK24" i="11"/>
  <c r="CH69" i="11"/>
  <c r="BT70" i="11"/>
  <c r="BT54" i="11"/>
  <c r="BT11" i="11"/>
  <c r="BT79" i="11"/>
  <c r="CC101" i="11"/>
  <c r="CD44" i="11"/>
  <c r="CD97" i="11"/>
  <c r="CE108" i="11"/>
  <c r="BK7" i="11"/>
  <c r="BK73" i="11"/>
  <c r="BK14" i="11"/>
  <c r="BK131" i="11"/>
  <c r="CH81" i="11"/>
  <c r="BT109" i="11"/>
  <c r="BT90" i="11"/>
  <c r="BT33" i="11"/>
  <c r="BT35" i="11"/>
  <c r="CD99" i="11"/>
  <c r="CC109" i="11"/>
  <c r="CC97" i="11"/>
  <c r="CC77" i="11"/>
  <c r="CC28" i="11"/>
  <c r="BK76" i="11"/>
  <c r="BK77" i="11"/>
  <c r="BK44" i="11"/>
  <c r="BK9" i="11"/>
  <c r="CH9" i="11"/>
  <c r="CH82" i="11"/>
  <c r="BT29" i="11"/>
  <c r="CC70" i="11"/>
  <c r="BK139" i="11"/>
  <c r="CH67" i="11"/>
  <c r="CH129" i="11"/>
  <c r="CC127" i="11"/>
  <c r="BK69" i="11"/>
  <c r="BK133" i="11"/>
  <c r="CE93" i="11"/>
  <c r="CC47" i="11"/>
  <c r="BT60" i="11"/>
  <c r="CC124" i="11"/>
  <c r="BK80" i="11"/>
  <c r="BT25" i="11"/>
  <c r="BT100" i="11"/>
  <c r="CE91" i="11"/>
  <c r="CE60" i="11"/>
  <c r="CE92" i="11"/>
  <c r="CH27" i="11"/>
  <c r="BT32" i="11"/>
  <c r="BT26" i="11"/>
  <c r="BW75" i="11"/>
  <c r="BT61" i="11"/>
  <c r="BT106" i="11"/>
  <c r="BT83" i="11"/>
  <c r="CC113" i="11"/>
  <c r="CC75" i="11"/>
  <c r="CC11" i="11"/>
  <c r="CH71" i="11"/>
  <c r="BT59" i="11"/>
  <c r="CE79" i="11"/>
  <c r="CD88" i="11"/>
  <c r="BK35" i="11"/>
  <c r="BK63" i="11"/>
  <c r="BK28" i="11"/>
  <c r="BK62" i="11"/>
  <c r="BT12" i="11"/>
  <c r="CC102" i="11"/>
  <c r="BK10" i="11"/>
  <c r="BK132" i="11"/>
  <c r="BK129" i="11"/>
  <c r="CD127" i="11"/>
  <c r="BT127" i="11"/>
  <c r="BK23" i="11"/>
  <c r="BK39" i="11"/>
  <c r="CC84" i="11"/>
  <c r="BT82" i="11"/>
  <c r="CD18" i="11"/>
  <c r="BK21" i="11"/>
  <c r="BK127" i="11"/>
  <c r="CC64" i="11"/>
  <c r="BW137" i="11"/>
  <c r="BW22" i="11"/>
  <c r="CH94" i="11"/>
  <c r="CH97" i="11"/>
  <c r="CD75" i="11"/>
  <c r="BK8" i="11"/>
  <c r="CH99" i="11"/>
  <c r="BY21" i="11" l="1"/>
  <c r="CG21" i="11" s="1"/>
  <c r="BY127" i="11"/>
  <c r="CG127" i="11" s="1"/>
  <c r="BY7" i="11"/>
  <c r="CG7" i="11" s="1"/>
  <c r="BY79" i="11"/>
  <c r="CG79" i="11" s="1"/>
  <c r="BY131" i="11"/>
  <c r="CJ131" i="11" s="1"/>
  <c r="BY8" i="11"/>
  <c r="CG8" i="11" s="1"/>
  <c r="BY109" i="11"/>
  <c r="CG109" i="11" s="1"/>
  <c r="BY129" i="11"/>
  <c r="CJ129" i="11" s="1"/>
  <c r="BY50" i="11"/>
  <c r="CG50" i="11" s="1"/>
  <c r="BY73" i="11"/>
  <c r="CG73" i="11" s="1"/>
  <c r="CH1" i="11"/>
  <c r="BP1" i="11"/>
  <c r="BV1" i="11" s="1"/>
  <c r="CF1" i="11"/>
  <c r="BX1" i="11"/>
  <c r="CJ1" i="11"/>
  <c r="BY1" i="11"/>
  <c r="CF6" i="11"/>
  <c r="BP6" i="11"/>
  <c r="CG6" i="11"/>
  <c r="BP129" i="11"/>
  <c r="CF129" i="11"/>
  <c r="BP85" i="11"/>
  <c r="BV85" i="11" s="1"/>
  <c r="BP83" i="11"/>
  <c r="BU84" i="11"/>
  <c r="BP127" i="11"/>
  <c r="BP84" i="11"/>
  <c r="AV110" i="11"/>
  <c r="CF127" i="11"/>
  <c r="CJ127" i="11"/>
  <c r="CF84" i="11"/>
  <c r="CJ84" i="11"/>
  <c r="CF83" i="11"/>
  <c r="CG83" i="11"/>
  <c r="CF85" i="11"/>
  <c r="CJ85" i="11"/>
  <c r="BP26" i="11"/>
  <c r="CF26" i="11"/>
  <c r="CG26" i="11"/>
  <c r="AV114" i="11"/>
  <c r="AV116" i="11"/>
  <c r="AV117" i="11"/>
  <c r="AV121" i="11"/>
  <c r="AV124" i="11"/>
  <c r="AV103" i="11"/>
  <c r="AV104" i="11"/>
  <c r="AV115" i="11"/>
  <c r="AV118" i="11"/>
  <c r="AV122" i="11"/>
  <c r="AV126" i="11"/>
  <c r="AV105" i="11"/>
  <c r="AV106" i="11"/>
  <c r="BP94" i="11"/>
  <c r="BP95" i="11"/>
  <c r="AV107" i="11"/>
  <c r="AV119" i="11"/>
  <c r="AV123" i="11"/>
  <c r="AV88" i="11"/>
  <c r="AV89" i="11"/>
  <c r="AV90" i="11"/>
  <c r="AV91" i="11"/>
  <c r="AV92" i="11"/>
  <c r="AV93" i="11"/>
  <c r="AV94" i="11"/>
  <c r="AV95" i="11"/>
  <c r="AV96" i="11"/>
  <c r="AV97" i="11"/>
  <c r="AV98" i="11"/>
  <c r="AV99" i="11"/>
  <c r="AV108" i="11"/>
  <c r="AV100" i="11"/>
  <c r="AV120" i="11"/>
  <c r="AV101" i="11"/>
  <c r="BP102" i="11"/>
  <c r="CF89" i="11"/>
  <c r="CF92" i="11"/>
  <c r="CF96" i="11"/>
  <c r="CF97" i="11"/>
  <c r="CF100" i="11"/>
  <c r="CF104" i="11"/>
  <c r="CF108" i="11"/>
  <c r="CF94" i="11"/>
  <c r="CF91" i="11"/>
  <c r="CF98" i="11"/>
  <c r="CF102" i="11"/>
  <c r="CF106" i="11"/>
  <c r="CF107" i="11"/>
  <c r="CF93" i="11"/>
  <c r="CF90" i="11"/>
  <c r="CF105" i="11"/>
  <c r="CF103" i="11"/>
  <c r="CF101" i="11"/>
  <c r="CF99" i="11"/>
  <c r="CF95" i="11"/>
  <c r="BP100" i="11"/>
  <c r="BP108" i="11"/>
  <c r="BP91" i="11"/>
  <c r="BP92" i="11"/>
  <c r="BP98" i="11"/>
  <c r="BP99" i="11"/>
  <c r="BP106" i="11"/>
  <c r="BP107" i="11"/>
  <c r="BP93" i="11"/>
  <c r="BP101" i="11"/>
  <c r="BP89" i="11"/>
  <c r="BP90" i="11"/>
  <c r="BP96" i="11"/>
  <c r="BP104" i="11"/>
  <c r="CG92" i="11"/>
  <c r="BP88" i="11"/>
  <c r="CJ90" i="11"/>
  <c r="CG98" i="11"/>
  <c r="CG106" i="11"/>
  <c r="CJ94" i="11"/>
  <c r="CJ96" i="11"/>
  <c r="CJ100" i="11"/>
  <c r="BP103" i="11"/>
  <c r="CJ108" i="11"/>
  <c r="BP97" i="11"/>
  <c r="CJ102" i="11"/>
  <c r="BP105" i="11"/>
  <c r="CJ89" i="11"/>
  <c r="CJ91" i="11"/>
  <c r="CJ93" i="11"/>
  <c r="CJ95" i="11"/>
  <c r="CG97" i="11"/>
  <c r="CJ104" i="11"/>
  <c r="CJ99" i="11"/>
  <c r="CJ101" i="11"/>
  <c r="CJ103" i="11"/>
  <c r="CG105" i="11"/>
  <c r="CJ107" i="11"/>
  <c r="CG88" i="11"/>
  <c r="CF88" i="11"/>
  <c r="BP78" i="11"/>
  <c r="BV78" i="11" s="1"/>
  <c r="BP76" i="11"/>
  <c r="BP80" i="11"/>
  <c r="BP61" i="11"/>
  <c r="BV61" i="11" s="1"/>
  <c r="BP68" i="11"/>
  <c r="BP69" i="11"/>
  <c r="BP79" i="11"/>
  <c r="CG82" i="11"/>
  <c r="BP86" i="11"/>
  <c r="BV86" i="11" s="1"/>
  <c r="CF86" i="11"/>
  <c r="CG86" i="11"/>
  <c r="BP82" i="11"/>
  <c r="CF82" i="11"/>
  <c r="BP81" i="11"/>
  <c r="CG80" i="11"/>
  <c r="CF81" i="11"/>
  <c r="CG81" i="11"/>
  <c r="CF80" i="11"/>
  <c r="CJ79" i="11"/>
  <c r="CF79" i="11"/>
  <c r="CF78" i="11"/>
  <c r="CJ78" i="11"/>
  <c r="CG61" i="11"/>
  <c r="BP62" i="11"/>
  <c r="BV62" i="11" s="1"/>
  <c r="BP63" i="11"/>
  <c r="BV63" i="11" s="1"/>
  <c r="CG69" i="11"/>
  <c r="BP70" i="11"/>
  <c r="BP71" i="11"/>
  <c r="BP57" i="11"/>
  <c r="CG63" i="11"/>
  <c r="BP64" i="11"/>
  <c r="BP65" i="11"/>
  <c r="CG71" i="11"/>
  <c r="BP72" i="11"/>
  <c r="BP73" i="11"/>
  <c r="BP74" i="11"/>
  <c r="BP75" i="11"/>
  <c r="CG57" i="11"/>
  <c r="BP58" i="11"/>
  <c r="BP59" i="11"/>
  <c r="CG65" i="11"/>
  <c r="BP66" i="11"/>
  <c r="BP67" i="11"/>
  <c r="BV67" i="11" s="1"/>
  <c r="CJ73" i="11"/>
  <c r="CG59" i="11"/>
  <c r="CG67" i="11"/>
  <c r="BP77" i="11"/>
  <c r="BP60" i="11"/>
  <c r="CF76" i="11"/>
  <c r="CF77" i="11"/>
  <c r="CG77" i="11"/>
  <c r="CF61" i="11"/>
  <c r="CF63" i="11"/>
  <c r="CF65" i="11"/>
  <c r="CF67" i="11"/>
  <c r="CF69" i="11"/>
  <c r="CF71" i="11"/>
  <c r="CF73" i="11"/>
  <c r="CF75" i="11"/>
  <c r="CF59" i="11"/>
  <c r="CF57" i="11"/>
  <c r="CF58" i="11"/>
  <c r="CF60" i="11"/>
  <c r="CF62" i="11"/>
  <c r="CF64" i="11"/>
  <c r="CF66" i="11"/>
  <c r="CF68" i="11"/>
  <c r="CF70" i="11"/>
  <c r="CF72" i="11"/>
  <c r="CF74" i="11"/>
  <c r="CG75" i="11"/>
  <c r="CJ58" i="11"/>
  <c r="CG60" i="11"/>
  <c r="CG62" i="11"/>
  <c r="CG64" i="11"/>
  <c r="CJ66" i="11"/>
  <c r="CG68" i="11"/>
  <c r="CJ70" i="11"/>
  <c r="CG72" i="11"/>
  <c r="CJ74" i="11"/>
  <c r="CG76" i="11"/>
  <c r="BU42" i="11"/>
  <c r="BP18" i="11"/>
  <c r="BV18" i="11" s="1"/>
  <c r="BP126" i="11"/>
  <c r="BP122" i="11"/>
  <c r="BP23" i="11"/>
  <c r="BV23" i="11" s="1"/>
  <c r="BP20" i="11"/>
  <c r="BP21" i="11"/>
  <c r="BV21" i="11" s="1"/>
  <c r="BP22" i="11"/>
  <c r="BP35" i="11"/>
  <c r="BP37" i="11"/>
  <c r="BV37" i="11" s="1"/>
  <c r="BP42" i="11"/>
  <c r="BP115" i="11"/>
  <c r="BP121" i="11"/>
  <c r="BP124" i="11"/>
  <c r="BP19" i="11"/>
  <c r="BP43" i="11"/>
  <c r="BV43" i="11" s="1"/>
  <c r="BP109" i="11"/>
  <c r="BP120" i="11"/>
  <c r="BP125" i="11"/>
  <c r="BP8" i="11"/>
  <c r="BP33" i="11"/>
  <c r="BV33" i="11" s="1"/>
  <c r="BP34" i="11"/>
  <c r="BV34" i="11" s="1"/>
  <c r="BP36" i="11"/>
  <c r="BV36" i="11" s="1"/>
  <c r="BP38" i="11"/>
  <c r="BV38" i="11" s="1"/>
  <c r="BP44" i="11"/>
  <c r="BV44" i="11" s="1"/>
  <c r="BP112" i="11"/>
  <c r="BP117" i="11"/>
  <c r="BP119" i="11"/>
  <c r="CF120" i="11"/>
  <c r="BP123" i="11"/>
  <c r="CF125" i="11"/>
  <c r="CF117" i="11"/>
  <c r="CF122" i="11"/>
  <c r="CF126" i="11"/>
  <c r="CF121" i="11"/>
  <c r="CF124" i="11"/>
  <c r="CF119" i="11"/>
  <c r="CF123" i="11"/>
  <c r="CF118" i="11"/>
  <c r="BP118" i="11"/>
  <c r="CJ118" i="11"/>
  <c r="CJ120" i="11"/>
  <c r="CJ122" i="11"/>
  <c r="CG125" i="11"/>
  <c r="CJ126" i="11"/>
  <c r="CG117" i="11"/>
  <c r="CG119" i="11"/>
  <c r="CJ121" i="11"/>
  <c r="CG123" i="11"/>
  <c r="CG124" i="11"/>
  <c r="BP116" i="11"/>
  <c r="CF116" i="11"/>
  <c r="CG116" i="11"/>
  <c r="CF112" i="11"/>
  <c r="CG112" i="11"/>
  <c r="BP111" i="11"/>
  <c r="CF111" i="11"/>
  <c r="CG111" i="11"/>
  <c r="BP110" i="11"/>
  <c r="CF110" i="11"/>
  <c r="CJ110" i="11"/>
  <c r="CF115" i="11"/>
  <c r="CG115" i="11"/>
  <c r="BP113" i="11"/>
  <c r="BP114" i="11"/>
  <c r="CF114" i="11"/>
  <c r="CJ114" i="11"/>
  <c r="CF113" i="11"/>
  <c r="CG113" i="11"/>
  <c r="CJ109" i="11"/>
  <c r="CF109" i="11"/>
  <c r="BP87" i="11"/>
  <c r="CF87" i="11"/>
  <c r="CG87" i="11"/>
  <c r="CF23" i="11"/>
  <c r="CG23" i="11"/>
  <c r="CF44" i="11"/>
  <c r="CG44" i="11"/>
  <c r="CF43" i="11"/>
  <c r="CG43" i="11"/>
  <c r="CF42" i="11"/>
  <c r="CJ42" i="11"/>
  <c r="CF34" i="11"/>
  <c r="CF36" i="11"/>
  <c r="CF38" i="11"/>
  <c r="CF35" i="11"/>
  <c r="CF37" i="11"/>
  <c r="CJ34" i="11"/>
  <c r="CG36" i="11"/>
  <c r="CJ38" i="11"/>
  <c r="CJ35" i="11"/>
  <c r="CG37" i="11"/>
  <c r="CF33" i="11"/>
  <c r="CG33" i="11"/>
  <c r="CF18" i="11"/>
  <c r="CG18" i="11"/>
  <c r="CF22" i="11"/>
  <c r="CG22" i="11"/>
  <c r="CJ21" i="11"/>
  <c r="CF21" i="11"/>
  <c r="CF20" i="11"/>
  <c r="CG20" i="11"/>
  <c r="CF7" i="11"/>
  <c r="CF8" i="11"/>
  <c r="CF19" i="11"/>
  <c r="CG19" i="11"/>
  <c r="CJ7" i="11"/>
  <c r="BP7" i="11"/>
  <c r="CJ8" i="11"/>
  <c r="CF10" i="11"/>
  <c r="CF39" i="11"/>
  <c r="CF46" i="11"/>
  <c r="BP45" i="11"/>
  <c r="BP9" i="11"/>
  <c r="CF132" i="11"/>
  <c r="BP28" i="11"/>
  <c r="CF139" i="11"/>
  <c r="CF133" i="11"/>
  <c r="BP52" i="11"/>
  <c r="BP135" i="11"/>
  <c r="CF40" i="11"/>
  <c r="CF27" i="11"/>
  <c r="CF29" i="11"/>
  <c r="BP131" i="11"/>
  <c r="CF131" i="11"/>
  <c r="CF136" i="11"/>
  <c r="BP29" i="11"/>
  <c r="BP55" i="11"/>
  <c r="CF45" i="11"/>
  <c r="CF128" i="11"/>
  <c r="CF15" i="11"/>
  <c r="BP134" i="11"/>
  <c r="CF134" i="11"/>
  <c r="BP41" i="11"/>
  <c r="CF55" i="11"/>
  <c r="BP56" i="11"/>
  <c r="BP12" i="11"/>
  <c r="BP25" i="11"/>
  <c r="BP24" i="11"/>
  <c r="BP139" i="11"/>
  <c r="BP46" i="11"/>
  <c r="CF135" i="11"/>
  <c r="CF137" i="11"/>
  <c r="CF54" i="11"/>
  <c r="BP13" i="11"/>
  <c r="BP14" i="11"/>
  <c r="BP17" i="11"/>
  <c r="CF17" i="11"/>
  <c r="BP136" i="11"/>
  <c r="BP31" i="11"/>
  <c r="BP128" i="11"/>
  <c r="BP16" i="11"/>
  <c r="BP27" i="11"/>
  <c r="BP133" i="11"/>
  <c r="BP138" i="11"/>
  <c r="BP11" i="11"/>
  <c r="BP39" i="11"/>
  <c r="BP32" i="11"/>
  <c r="BP130" i="11"/>
  <c r="CF130" i="11"/>
  <c r="CF9" i="11"/>
  <c r="BP49" i="11"/>
  <c r="CF49" i="11"/>
  <c r="BP30" i="11"/>
  <c r="BP10" i="11"/>
  <c r="CF50" i="11"/>
  <c r="BP53" i="11"/>
  <c r="CF53" i="11"/>
  <c r="BP51" i="11"/>
  <c r="BP132" i="11"/>
  <c r="CF12" i="11"/>
  <c r="CF28" i="11"/>
  <c r="CF56" i="11"/>
  <c r="CF24" i="11"/>
  <c r="CF47" i="11"/>
  <c r="CF41" i="11"/>
  <c r="CF13" i="11"/>
  <c r="CF30" i="11"/>
  <c r="CF16" i="11"/>
  <c r="CF48" i="11"/>
  <c r="CF14" i="11"/>
  <c r="CF52" i="11"/>
  <c r="CF51" i="11"/>
  <c r="CF138" i="11"/>
  <c r="CF11" i="11"/>
  <c r="CF31" i="11"/>
  <c r="CF32" i="11"/>
  <c r="CG12" i="11"/>
  <c r="CG24" i="11"/>
  <c r="CG134" i="11"/>
  <c r="CJ56" i="11"/>
  <c r="CG46" i="11"/>
  <c r="BP47" i="11"/>
  <c r="CG45" i="11"/>
  <c r="CG28" i="11"/>
  <c r="CG139" i="11"/>
  <c r="CF25" i="11"/>
  <c r="CJ29" i="11"/>
  <c r="CG54" i="11"/>
  <c r="CJ25" i="11"/>
  <c r="CJ41" i="11"/>
  <c r="CG55" i="11"/>
  <c r="BP48" i="11"/>
  <c r="BP40" i="11"/>
  <c r="CG47" i="11"/>
  <c r="CG40" i="11"/>
  <c r="CJ49" i="11"/>
  <c r="BP137" i="11"/>
  <c r="CG17" i="11"/>
  <c r="CJ48" i="11"/>
  <c r="CJ137" i="11"/>
  <c r="BP54" i="11"/>
  <c r="CJ130" i="11"/>
  <c r="BP15" i="11"/>
  <c r="CG10" i="11"/>
  <c r="CG128" i="11"/>
  <c r="CG30" i="11"/>
  <c r="CG15" i="11"/>
  <c r="CG131" i="11"/>
  <c r="CG14" i="11"/>
  <c r="CJ39" i="11"/>
  <c r="CG51" i="11"/>
  <c r="CJ31" i="11"/>
  <c r="CJ135" i="11"/>
  <c r="CJ13" i="11"/>
  <c r="CJ9" i="11"/>
  <c r="CJ16" i="11"/>
  <c r="CJ138" i="11"/>
  <c r="CJ50" i="11"/>
  <c r="BP50" i="11"/>
  <c r="CJ27" i="11"/>
  <c r="CJ133" i="11"/>
  <c r="CJ52" i="11"/>
  <c r="CG11" i="11"/>
  <c r="CJ136" i="11"/>
  <c r="CG32" i="11"/>
  <c r="J4" i="4"/>
  <c r="J5" i="4"/>
  <c r="J6" i="4"/>
  <c r="J7" i="4"/>
  <c r="J8" i="4"/>
  <c r="J9" i="4"/>
  <c r="J10" i="4"/>
  <c r="J11" i="4"/>
  <c r="J12" i="4"/>
  <c r="J13" i="4"/>
  <c r="J14" i="4"/>
  <c r="J15" i="4"/>
  <c r="J16" i="4"/>
  <c r="J17" i="4"/>
  <c r="J18" i="4"/>
  <c r="J19" i="4"/>
  <c r="J20" i="4"/>
  <c r="J21" i="4"/>
  <c r="J22" i="4"/>
  <c r="J23" i="4"/>
  <c r="BV6" i="11"/>
  <c r="BX6" i="11" s="1"/>
  <c r="BV129" i="11"/>
  <c r="BU83" i="11"/>
  <c r="BU128" i="11"/>
  <c r="BV91" i="11"/>
  <c r="BV70" i="11"/>
  <c r="BU13" i="11"/>
  <c r="BV124" i="11"/>
  <c r="BU131" i="11"/>
  <c r="CH64" i="11"/>
  <c r="CH60" i="11"/>
  <c r="CH134" i="11"/>
  <c r="BV109" i="11"/>
  <c r="BU28" i="11"/>
  <c r="CH49" i="11"/>
  <c r="CH131" i="11"/>
  <c r="BK103" i="11"/>
  <c r="BX38" i="11"/>
  <c r="BU17" i="11"/>
  <c r="BV121" i="11"/>
  <c r="BV57" i="11"/>
  <c r="BK94" i="11"/>
  <c r="CH91" i="11"/>
  <c r="BV101" i="11"/>
  <c r="BV87" i="11"/>
  <c r="CH35" i="11"/>
  <c r="BK122" i="11"/>
  <c r="BK124" i="11"/>
  <c r="CH31" i="11"/>
  <c r="BU134" i="11"/>
  <c r="BU139" i="11"/>
  <c r="BV108" i="11"/>
  <c r="CH58" i="11"/>
  <c r="CH46" i="11"/>
  <c r="BV26" i="11"/>
  <c r="CH50" i="11"/>
  <c r="CH70" i="11"/>
  <c r="BK91" i="11"/>
  <c r="BU16" i="11"/>
  <c r="BU14" i="11"/>
  <c r="BV69" i="11"/>
  <c r="CH132" i="11"/>
  <c r="CH136" i="11"/>
  <c r="BX34" i="11"/>
  <c r="BV66" i="11"/>
  <c r="BU47" i="11"/>
  <c r="BV93" i="11"/>
  <c r="BK119" i="11"/>
  <c r="CH15" i="11"/>
  <c r="BK114" i="11"/>
  <c r="CH56" i="11"/>
  <c r="BX63" i="11"/>
  <c r="CH100" i="11"/>
  <c r="BX43" i="11"/>
  <c r="BV99" i="11"/>
  <c r="BU30" i="11"/>
  <c r="CH62" i="11"/>
  <c r="BU46" i="11"/>
  <c r="BU32" i="11"/>
  <c r="BU56" i="11"/>
  <c r="BX33" i="11"/>
  <c r="BX23" i="11"/>
  <c r="CH8" i="11"/>
  <c r="BK98" i="11"/>
  <c r="BX86" i="11"/>
  <c r="BU24" i="11"/>
  <c r="BU52" i="11"/>
  <c r="BV90" i="11"/>
  <c r="CH133" i="11"/>
  <c r="BK92" i="11"/>
  <c r="BV76" i="11"/>
  <c r="BU130" i="11"/>
  <c r="BV22" i="11"/>
  <c r="BX37" i="11"/>
  <c r="CH13" i="11"/>
  <c r="CH54" i="11"/>
  <c r="BV100" i="11"/>
  <c r="BU40" i="11"/>
  <c r="BV118" i="11"/>
  <c r="CH85" i="11"/>
  <c r="BU39" i="11"/>
  <c r="BU55" i="11"/>
  <c r="BV8" i="11"/>
  <c r="BV107" i="11"/>
  <c r="BK97" i="11"/>
  <c r="BK88" i="11"/>
  <c r="BK100" i="11"/>
  <c r="BK106" i="11"/>
  <c r="BV96" i="11"/>
  <c r="BK120" i="11"/>
  <c r="BV79" i="11"/>
  <c r="CH109" i="11"/>
  <c r="BU25" i="11"/>
  <c r="CH7" i="11"/>
  <c r="BK90" i="11"/>
  <c r="BV98" i="11"/>
  <c r="BV94" i="11"/>
  <c r="CH53" i="11"/>
  <c r="CH68" i="11"/>
  <c r="CH24" i="11"/>
  <c r="BX129" i="11"/>
  <c r="BV89" i="11"/>
  <c r="BV73" i="11"/>
  <c r="BV103" i="11"/>
  <c r="BU137" i="11"/>
  <c r="BX67" i="11"/>
  <c r="CH104" i="11"/>
  <c r="BX78" i="11"/>
  <c r="CH21" i="11"/>
  <c r="BU136" i="11"/>
  <c r="BU29" i="11"/>
  <c r="BX109" i="11"/>
  <c r="BX21" i="11"/>
  <c r="BU51" i="11"/>
  <c r="CH114" i="11"/>
  <c r="CH89" i="11"/>
  <c r="CH12" i="11"/>
  <c r="CH48" i="11"/>
  <c r="CH17" i="11"/>
  <c r="BU11" i="11"/>
  <c r="BU135" i="11"/>
  <c r="CH138" i="11"/>
  <c r="BV27" i="11"/>
  <c r="CH37" i="11"/>
  <c r="BK105" i="11"/>
  <c r="BV75" i="11"/>
  <c r="BK118" i="11"/>
  <c r="BU12" i="11"/>
  <c r="CH66" i="11"/>
  <c r="BV123" i="11"/>
  <c r="BV59" i="11"/>
  <c r="BK96" i="11"/>
  <c r="BV35" i="11"/>
  <c r="BU50" i="11"/>
  <c r="BV104" i="11"/>
  <c r="BK126" i="11"/>
  <c r="CH11" i="11"/>
  <c r="BU54" i="11"/>
  <c r="BK110" i="11"/>
  <c r="BV80" i="11"/>
  <c r="BV112" i="11"/>
  <c r="BV7" i="11"/>
  <c r="BV122" i="11"/>
  <c r="CH76" i="11"/>
  <c r="BK121" i="11"/>
  <c r="CH102" i="11"/>
  <c r="BU132" i="11"/>
  <c r="BV95" i="11"/>
  <c r="BU41" i="11"/>
  <c r="CH10" i="11"/>
  <c r="BK108" i="11"/>
  <c r="CH72" i="11"/>
  <c r="BK116" i="11"/>
  <c r="BV58" i="11"/>
  <c r="BX58" i="11" s="1"/>
  <c r="BV97" i="11"/>
  <c r="BV106" i="11"/>
  <c r="BV111" i="11"/>
  <c r="BX111" i="11" s="1"/>
  <c r="CH86" i="11"/>
  <c r="CH106" i="11"/>
  <c r="BU138" i="11"/>
  <c r="BV64" i="11"/>
  <c r="BV114" i="11"/>
  <c r="CH55" i="11"/>
  <c r="BK107" i="11"/>
  <c r="CH51" i="11"/>
  <c r="BX85" i="11"/>
  <c r="CH98" i="11"/>
  <c r="BV68" i="11"/>
  <c r="CH29" i="11"/>
  <c r="BK123" i="11"/>
  <c r="CH88" i="11"/>
  <c r="BV77" i="11"/>
  <c r="BU31" i="11"/>
  <c r="BK104" i="11"/>
  <c r="BX44" i="11"/>
  <c r="BX18" i="11"/>
  <c r="CH32" i="11"/>
  <c r="BU49" i="11"/>
  <c r="BV92" i="11"/>
  <c r="BV20" i="11"/>
  <c r="BK115" i="11"/>
  <c r="BX68" i="11"/>
  <c r="BK99" i="11"/>
  <c r="BV102" i="11"/>
  <c r="BV72" i="11"/>
  <c r="BV119" i="11"/>
  <c r="BX36" i="11"/>
  <c r="BX119" i="11"/>
  <c r="BK93" i="11"/>
  <c r="BX59" i="11"/>
  <c r="CH45" i="11"/>
  <c r="BX61" i="11"/>
  <c r="BV105" i="11"/>
  <c r="BV120" i="11"/>
  <c r="BX120" i="11" s="1"/>
  <c r="BV74" i="11"/>
  <c r="BK89" i="11"/>
  <c r="BU15" i="11"/>
  <c r="BU10" i="11"/>
  <c r="BU53" i="11"/>
  <c r="CH74" i="11"/>
  <c r="BX73" i="11"/>
  <c r="BU133" i="11"/>
  <c r="BV81" i="11"/>
  <c r="BK101" i="11"/>
  <c r="BV113" i="11"/>
  <c r="BU45" i="11"/>
  <c r="BK117" i="11"/>
  <c r="CH80" i="11"/>
  <c r="BX62" i="11"/>
  <c r="BV115" i="11"/>
  <c r="BV126" i="11"/>
  <c r="BK95" i="11"/>
  <c r="CH39" i="11"/>
  <c r="BU48" i="11"/>
  <c r="CH108" i="11"/>
  <c r="BV127" i="11"/>
  <c r="BX127" i="11" s="1"/>
  <c r="BV82" i="11"/>
  <c r="BV71" i="11"/>
  <c r="BV19" i="11"/>
  <c r="BV117" i="11"/>
  <c r="BV110" i="11"/>
  <c r="BV88" i="11"/>
  <c r="BV65" i="11"/>
  <c r="BV60" i="11"/>
  <c r="BX60" i="11" s="1"/>
  <c r="BV125" i="11"/>
  <c r="BV116" i="11"/>
  <c r="BV9" i="11"/>
  <c r="CG129" i="11" l="1"/>
  <c r="CK129" i="11" s="1"/>
  <c r="CK1" i="11"/>
  <c r="BV84" i="11"/>
  <c r="CJ6" i="11"/>
  <c r="CK6" i="11" s="1"/>
  <c r="CK127" i="11"/>
  <c r="CG84" i="11"/>
  <c r="CK84" i="11" s="1"/>
  <c r="CJ83" i="11"/>
  <c r="CK83" i="11" s="1"/>
  <c r="CG85" i="11"/>
  <c r="CK85" i="11" s="1"/>
  <c r="CJ26" i="11"/>
  <c r="CK26" i="11" s="1"/>
  <c r="BV42" i="11"/>
  <c r="CJ98" i="11"/>
  <c r="CK98" i="11" s="1"/>
  <c r="CJ97" i="11"/>
  <c r="CK97" i="11" s="1"/>
  <c r="CG91" i="11"/>
  <c r="CK91" i="11" s="1"/>
  <c r="CJ92" i="11"/>
  <c r="CK92" i="11" s="1"/>
  <c r="CG93" i="11"/>
  <c r="CK93" i="11" s="1"/>
  <c r="CG89" i="11"/>
  <c r="CK89" i="11" s="1"/>
  <c r="CG102" i="11"/>
  <c r="CK102" i="11" s="1"/>
  <c r="CG101" i="11"/>
  <c r="CK101" i="11" s="1"/>
  <c r="CG94" i="11"/>
  <c r="CK94" i="11" s="1"/>
  <c r="CG90" i="11"/>
  <c r="CK90" i="11" s="1"/>
  <c r="CJ105" i="11"/>
  <c r="CK105" i="11" s="1"/>
  <c r="CG107" i="11"/>
  <c r="CK107" i="11" s="1"/>
  <c r="CG99" i="11"/>
  <c r="CK99" i="11" s="1"/>
  <c r="CG104" i="11"/>
  <c r="CK104" i="11" s="1"/>
  <c r="CG95" i="11"/>
  <c r="CK95" i="11" s="1"/>
  <c r="CG103" i="11"/>
  <c r="CK103" i="11" s="1"/>
  <c r="CG108" i="11"/>
  <c r="CK108" i="11" s="1"/>
  <c r="CG96" i="11"/>
  <c r="CK96" i="11" s="1"/>
  <c r="CJ106" i="11"/>
  <c r="CK106" i="11" s="1"/>
  <c r="CG100" i="11"/>
  <c r="CK100" i="11" s="1"/>
  <c r="CJ88" i="11"/>
  <c r="CK88" i="11" s="1"/>
  <c r="CJ67" i="11"/>
  <c r="CK67" i="11" s="1"/>
  <c r="CJ82" i="11"/>
  <c r="CK82" i="11" s="1"/>
  <c r="CJ86" i="11"/>
  <c r="CK86" i="11" s="1"/>
  <c r="CK73" i="11"/>
  <c r="CG78" i="11"/>
  <c r="CK78" i="11" s="1"/>
  <c r="CJ80" i="11"/>
  <c r="CK80" i="11" s="1"/>
  <c r="CJ81" i="11"/>
  <c r="CK81" i="11" s="1"/>
  <c r="CK79" i="11"/>
  <c r="CJ60" i="11"/>
  <c r="CK60" i="11" s="1"/>
  <c r="CJ65" i="11"/>
  <c r="CK65" i="11" s="1"/>
  <c r="CJ57" i="11"/>
  <c r="CK57" i="11" s="1"/>
  <c r="CJ71" i="11"/>
  <c r="CK71" i="11" s="1"/>
  <c r="CJ63" i="11"/>
  <c r="CK63" i="11" s="1"/>
  <c r="CJ59" i="11"/>
  <c r="CK59" i="11" s="1"/>
  <c r="CJ69" i="11"/>
  <c r="CK69" i="11" s="1"/>
  <c r="CJ61" i="11"/>
  <c r="CK61" i="11" s="1"/>
  <c r="CJ77" i="11"/>
  <c r="CK77" i="11" s="1"/>
  <c r="CJ75" i="11"/>
  <c r="CK75" i="11" s="1"/>
  <c r="CJ62" i="11"/>
  <c r="CK62" i="11" s="1"/>
  <c r="CG58" i="11"/>
  <c r="CK58" i="11" s="1"/>
  <c r="CJ76" i="11"/>
  <c r="CK76" i="11" s="1"/>
  <c r="CJ72" i="11"/>
  <c r="CK72" i="11" s="1"/>
  <c r="CJ68" i="11"/>
  <c r="CK68" i="11" s="1"/>
  <c r="CJ64" i="11"/>
  <c r="CK64" i="11" s="1"/>
  <c r="CG70" i="11"/>
  <c r="CK70" i="11" s="1"/>
  <c r="CG66" i="11"/>
  <c r="CK66" i="11" s="1"/>
  <c r="CG74" i="11"/>
  <c r="CK74" i="11" s="1"/>
  <c r="CJ119" i="11"/>
  <c r="CK119" i="11" s="1"/>
  <c r="CG126" i="11"/>
  <c r="CK126" i="11" s="1"/>
  <c r="CG121" i="11"/>
  <c r="CK121" i="11" s="1"/>
  <c r="CJ125" i="11"/>
  <c r="CK125" i="11" s="1"/>
  <c r="CG122" i="11"/>
  <c r="CK122" i="11" s="1"/>
  <c r="CG118" i="11"/>
  <c r="CK118" i="11" s="1"/>
  <c r="CJ123" i="11"/>
  <c r="CK123" i="11" s="1"/>
  <c r="CJ124" i="11"/>
  <c r="CK124" i="11" s="1"/>
  <c r="CJ117" i="11"/>
  <c r="CK117" i="11" s="1"/>
  <c r="CG120" i="11"/>
  <c r="CK120" i="11" s="1"/>
  <c r="CJ116" i="11"/>
  <c r="CK116" i="11" s="1"/>
  <c r="CJ112" i="11"/>
  <c r="CK112" i="11" s="1"/>
  <c r="CJ111" i="11"/>
  <c r="CK111" i="11" s="1"/>
  <c r="CG110" i="11"/>
  <c r="CK110" i="11" s="1"/>
  <c r="CJ115" i="11"/>
  <c r="CK115" i="11" s="1"/>
  <c r="CG114" i="11"/>
  <c r="CK114" i="11" s="1"/>
  <c r="CJ113" i="11"/>
  <c r="CK113" i="11" s="1"/>
  <c r="CK109" i="11"/>
  <c r="CJ87" i="11"/>
  <c r="CK87" i="11" s="1"/>
  <c r="CJ23" i="11"/>
  <c r="CK23" i="11" s="1"/>
  <c r="CJ44" i="11"/>
  <c r="CK44" i="11" s="1"/>
  <c r="CJ43" i="11"/>
  <c r="CK43" i="11" s="1"/>
  <c r="CG42" i="11"/>
  <c r="CK42" i="11" s="1"/>
  <c r="CJ37" i="11"/>
  <c r="CK37" i="11" s="1"/>
  <c r="CG38" i="11"/>
  <c r="CK38" i="11" s="1"/>
  <c r="CG34" i="11"/>
  <c r="CK34" i="11" s="1"/>
  <c r="CG35" i="11"/>
  <c r="CK35" i="11" s="1"/>
  <c r="CJ36" i="11"/>
  <c r="CK36" i="11" s="1"/>
  <c r="CJ33" i="11"/>
  <c r="CK33" i="11" s="1"/>
  <c r="CJ18" i="11"/>
  <c r="CK18" i="11" s="1"/>
  <c r="CK7" i="11"/>
  <c r="CJ22" i="11"/>
  <c r="CK22" i="11" s="1"/>
  <c r="CK21" i="11"/>
  <c r="CJ20" i="11"/>
  <c r="CK20" i="11" s="1"/>
  <c r="CJ19" i="11"/>
  <c r="CK19" i="11" s="1"/>
  <c r="CK8" i="11"/>
  <c r="CJ30" i="11"/>
  <c r="CK30" i="11" s="1"/>
  <c r="CJ15" i="11"/>
  <c r="CK15" i="11" s="1"/>
  <c r="CJ24" i="11"/>
  <c r="CK24" i="11" s="1"/>
  <c r="CJ14" i="11"/>
  <c r="CK14" i="11" s="1"/>
  <c r="CJ12" i="11"/>
  <c r="CK12" i="11" s="1"/>
  <c r="CG29" i="11"/>
  <c r="CK29" i="11" s="1"/>
  <c r="CJ128" i="11"/>
  <c r="CK128" i="11" s="1"/>
  <c r="CJ28" i="11"/>
  <c r="CK28" i="11" s="1"/>
  <c r="CJ46" i="11"/>
  <c r="CK46" i="11" s="1"/>
  <c r="CG27" i="11"/>
  <c r="CK27" i="11" s="1"/>
  <c r="CG48" i="11"/>
  <c r="CK48" i="11" s="1"/>
  <c r="CK50" i="11"/>
  <c r="CG137" i="11"/>
  <c r="CK137" i="11" s="1"/>
  <c r="CJ134" i="11"/>
  <c r="CK134" i="11" s="1"/>
  <c r="CJ11" i="11"/>
  <c r="CK11" i="11" s="1"/>
  <c r="CJ51" i="11"/>
  <c r="CK51" i="11" s="1"/>
  <c r="CG130" i="11"/>
  <c r="CK130" i="11" s="1"/>
  <c r="CG41" i="11"/>
  <c r="CK41" i="11" s="1"/>
  <c r="CG52" i="11"/>
  <c r="CK52" i="11" s="1"/>
  <c r="CG49" i="11"/>
  <c r="CK49" i="11" s="1"/>
  <c r="CG13" i="11"/>
  <c r="CK13" i="11" s="1"/>
  <c r="CG39" i="11"/>
  <c r="CK39" i="11" s="1"/>
  <c r="CG16" i="11"/>
  <c r="CK16" i="11" s="1"/>
  <c r="CJ17" i="11"/>
  <c r="CK17" i="11" s="1"/>
  <c r="CJ32" i="11"/>
  <c r="CK32" i="11" s="1"/>
  <c r="CG53" i="11"/>
  <c r="CJ53" i="11"/>
  <c r="CJ132" i="11"/>
  <c r="CG132" i="11"/>
  <c r="CG136" i="11"/>
  <c r="CK136" i="11" s="1"/>
  <c r="CG133" i="11"/>
  <c r="CK133" i="11" s="1"/>
  <c r="CG138" i="11"/>
  <c r="CK138" i="11" s="1"/>
  <c r="CG9" i="11"/>
  <c r="CK9" i="11" s="1"/>
  <c r="CG135" i="11"/>
  <c r="CK135" i="11" s="1"/>
  <c r="CJ40" i="11"/>
  <c r="CK40" i="11" s="1"/>
  <c r="CG25" i="11"/>
  <c r="CK25" i="11" s="1"/>
  <c r="CJ47" i="11"/>
  <c r="CK47" i="11" s="1"/>
  <c r="CJ54" i="11"/>
  <c r="CK54" i="11" s="1"/>
  <c r="CJ139" i="11"/>
  <c r="CK139" i="11" s="1"/>
  <c r="CG31" i="11"/>
  <c r="CK31" i="11" s="1"/>
  <c r="CK131" i="11"/>
  <c r="CJ10" i="11"/>
  <c r="CK10" i="11" s="1"/>
  <c r="CJ55" i="11"/>
  <c r="CK55" i="11" s="1"/>
  <c r="CJ45" i="11"/>
  <c r="CK45" i="11" s="1"/>
  <c r="CG56" i="11"/>
  <c r="CK56" i="11" s="1"/>
  <c r="BX84" i="11"/>
  <c r="BX117" i="11"/>
  <c r="BX35" i="11"/>
  <c r="BV128" i="11"/>
  <c r="BX80" i="11"/>
  <c r="BX107" i="11"/>
  <c r="BX125" i="11"/>
  <c r="BV24" i="11"/>
  <c r="BX95" i="11"/>
  <c r="BX66" i="11"/>
  <c r="BX128" i="11"/>
  <c r="BV39" i="11"/>
  <c r="BV53" i="11"/>
  <c r="BX88" i="11"/>
  <c r="BV32" i="11"/>
  <c r="BV28" i="11"/>
  <c r="BV15" i="11"/>
  <c r="BV50" i="11"/>
  <c r="BV29" i="11"/>
  <c r="BV48" i="11"/>
  <c r="BX20" i="11"/>
  <c r="BV55" i="11"/>
  <c r="BX113" i="11"/>
  <c r="BV11" i="11"/>
  <c r="BV83" i="11"/>
  <c r="BX83" i="11" s="1"/>
  <c r="BV16" i="11"/>
  <c r="BV13" i="11"/>
  <c r="BX123" i="11"/>
  <c r="BV30" i="11"/>
  <c r="BV138" i="11"/>
  <c r="BX121" i="11"/>
  <c r="BV49" i="11"/>
  <c r="BX116" i="11"/>
  <c r="BV130" i="11"/>
  <c r="BV41" i="11"/>
  <c r="BX102" i="11"/>
  <c r="BX94" i="11"/>
  <c r="BV54" i="11"/>
  <c r="BX54" i="11" s="1"/>
  <c r="BX77" i="11"/>
  <c r="BX26" i="11"/>
  <c r="BV135" i="11"/>
  <c r="BX19" i="11"/>
  <c r="BV31" i="11"/>
  <c r="BX101" i="11"/>
  <c r="BX96" i="11"/>
  <c r="BX71" i="11"/>
  <c r="BV134" i="11"/>
  <c r="BV52" i="11"/>
  <c r="BX112" i="11"/>
  <c r="BX104" i="11"/>
  <c r="BX93" i="11"/>
  <c r="BV133" i="11"/>
  <c r="BX57" i="11"/>
  <c r="BX27" i="11"/>
  <c r="BV51" i="11"/>
  <c r="BX65" i="11"/>
  <c r="BX115" i="11"/>
  <c r="BX134" i="11"/>
  <c r="BV131" i="11"/>
  <c r="BX11" i="11"/>
  <c r="BX74" i="11"/>
  <c r="BX103" i="11"/>
  <c r="BV40" i="11"/>
  <c r="BX118" i="11"/>
  <c r="BX114" i="11"/>
  <c r="BV132" i="11"/>
  <c r="BX132" i="11" s="1"/>
  <c r="BX22" i="11"/>
  <c r="BX108" i="11"/>
  <c r="BV136" i="11"/>
  <c r="BX136" i="11"/>
  <c r="BX42" i="11"/>
  <c r="BX106" i="11"/>
  <c r="BX69" i="11"/>
  <c r="BX124" i="11"/>
  <c r="BX105" i="11"/>
  <c r="BV45" i="11"/>
  <c r="BX8" i="11"/>
  <c r="BV139" i="11"/>
  <c r="BX7" i="11"/>
  <c r="BX76" i="11"/>
  <c r="BV56" i="11"/>
  <c r="BX16" i="11"/>
  <c r="BV12" i="11"/>
  <c r="BX122" i="11"/>
  <c r="BX110" i="11"/>
  <c r="BV10" i="11"/>
  <c r="BX75" i="11"/>
  <c r="BX72" i="11"/>
  <c r="BV17" i="11"/>
  <c r="BV46" i="11"/>
  <c r="BX98" i="11"/>
  <c r="BX99" i="11"/>
  <c r="BV14" i="11"/>
  <c r="BX97" i="11"/>
  <c r="BX133" i="11"/>
  <c r="BX92" i="11"/>
  <c r="BX126" i="11"/>
  <c r="BV137" i="11"/>
  <c r="BX64" i="11"/>
  <c r="BX9" i="11"/>
  <c r="BX90" i="11"/>
  <c r="BX100" i="11"/>
  <c r="BX82" i="11"/>
  <c r="BV25" i="11"/>
  <c r="BX70" i="11"/>
  <c r="BV47" i="11"/>
  <c r="BX91" i="11"/>
  <c r="BX79" i="11"/>
  <c r="BX87" i="11"/>
  <c r="BX81" i="11"/>
  <c r="BX89" i="11"/>
  <c r="CK53" i="11" l="1"/>
  <c r="CK132" i="11"/>
  <c r="BX15" i="11"/>
  <c r="BX49" i="11"/>
  <c r="BX55" i="11"/>
  <c r="BX52" i="11"/>
  <c r="BX29" i="11"/>
  <c r="BX41" i="11"/>
  <c r="BX138" i="11"/>
  <c r="BX130" i="11"/>
  <c r="BX12" i="11"/>
  <c r="BX47" i="11"/>
  <c r="BX56" i="11"/>
  <c r="BX48" i="11"/>
  <c r="BX45" i="11"/>
  <c r="BX40" i="11"/>
  <c r="BX53" i="11"/>
  <c r="BX51" i="11"/>
  <c r="BX135" i="11"/>
  <c r="BX32" i="11"/>
  <c r="BX24" i="11"/>
  <c r="BX28" i="11"/>
  <c r="BX137" i="11"/>
  <c r="BX139" i="11"/>
  <c r="BX131" i="11"/>
  <c r="BX14" i="11"/>
  <c r="BX10" i="11"/>
  <c r="BX25" i="11"/>
  <c r="BX17" i="11"/>
  <c r="BX30" i="11"/>
  <c r="BX31" i="11"/>
  <c r="BX46" i="11"/>
  <c r="BX50" i="11"/>
  <c r="BX13" i="11"/>
  <c r="BX39" i="11"/>
</calcChain>
</file>

<file path=xl/sharedStrings.xml><?xml version="1.0" encoding="utf-8"?>
<sst xmlns="http://schemas.openxmlformats.org/spreadsheetml/2006/main" count="5440" uniqueCount="2519">
  <si>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</si>
  <si>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</si>
  <si>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</si>
  <si>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</si>
  <si>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</si>
  <si>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</si>
  <si>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</si>
  <si>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</si>
  <si>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</si>
  <si>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</si>
  <si>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</si>
  <si>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</si>
  <si>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</si>
  <si>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</si>
  <si>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</si>
  <si>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</si>
  <si>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</si>
  <si>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</si>
  <si>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</si>
  <si>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</si>
  <si>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</si>
  <si>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</si>
  <si>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</si>
  <si>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</si>
  <si>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</si>
  <si>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</si>
  <si>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</si>
  <si>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</si>
  <si>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</si>
  <si>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</si>
  <si>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</si>
  <si>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</si>
  <si>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</si>
  <si>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</si>
  <si>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</si>
  <si>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</si>
  <si>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</si>
  <si>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</si>
  <si>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</si>
  <si>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</si>
  <si>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</si>
  <si>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</si>
  <si>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</si>
  <si>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</si>
  <si>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</si>
  <si>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</si>
  <si>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</si>
  <si>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</si>
  <si>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</si>
  <si>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</si>
  <si>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</si>
  <si>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</si>
  <si>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</si>
  <si>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</si>
  <si>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</si>
  <si>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</si>
  <si>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</si>
  <si>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</si>
  <si>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</si>
  <si>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</si>
  <si>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</si>
  <si>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</si>
  <si>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</si>
  <si>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</si>
  <si>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</si>
  <si>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</si>
  <si>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</si>
  <si>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</si>
  <si>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</si>
  <si>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</si>
  <si>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</si>
  <si>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</si>
  <si>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</si>
  <si>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</si>
  <si>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</si>
  <si>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</si>
  <si>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</si>
  <si>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</si>
  <si>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</si>
  <si>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</si>
  <si>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</si>
  <si>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</si>
  <si>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</si>
  <si>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</si>
  <si>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</si>
  <si>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</si>
  <si>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</si>
  <si>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</si>
  <si>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</si>
  <si>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</si>
  <si>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</si>
  <si>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</si>
  <si>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</si>
  <si>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</si>
  <si>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</si>
  <si>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</si>
  <si>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</si>
  <si>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</si>
  <si>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</si>
  <si>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</si>
  <si>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</si>
  <si>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</si>
  <si>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</si>
  <si>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</si>
  <si>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</si>
  <si>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</si>
  <si>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</si>
  <si>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</si>
  <si>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</si>
  <si>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</si>
  <si>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</si>
  <si>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</si>
  <si>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</si>
  <si>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</si>
  <si>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</si>
  <si>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</si>
  <si>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</si>
  <si>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</si>
  <si>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</si>
  <si>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</si>
  <si>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</si>
  <si>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</si>
  <si>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</si>
  <si>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</si>
  <si>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</si>
  <si>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</si>
  <si>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</si>
  <si>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</si>
  <si>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</si>
  <si>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</si>
  <si>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</si>
  <si>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</si>
  <si>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</si>
  <si>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</si>
  <si>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</si>
  <si>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</si>
  <si>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</si>
  <si>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</si>
  <si>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</si>
  <si>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</si>
  <si>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</si>
  <si>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</si>
  <si>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</si>
  <si>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</si>
  <si>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</si>
  <si>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</si>
  <si>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</si>
  <si>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</si>
  <si>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</si>
  <si>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</si>
  <si>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</si>
  <si>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</si>
  <si>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</si>
  <si>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</si>
  <si>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</si>
  <si>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</si>
  <si>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</si>
  <si>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</si>
  <si>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</si>
  <si>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</si>
  <si>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</si>
  <si>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</si>
  <si>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</si>
  <si>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</si>
  <si>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</si>
  <si>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</si>
  <si>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</si>
  <si>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</si>
  <si>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</si>
  <si>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</si>
  <si>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</si>
  <si>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</si>
  <si>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</si>
  <si>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</si>
  <si>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</si>
  <si>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</si>
  <si>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</si>
  <si>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</si>
  <si>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</si>
  <si>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</si>
  <si>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</si>
  <si>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</si>
  <si>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</si>
  <si>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</si>
  <si>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</si>
  <si>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</si>
  <si>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</si>
  <si>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</si>
  <si>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</si>
  <si>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</si>
  <si>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</si>
  <si>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</si>
  <si>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</si>
  <si>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</si>
  <si>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</si>
  <si>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</si>
  <si>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</si>
  <si>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</si>
  <si>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</si>
  <si>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</si>
  <si>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</si>
  <si>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</si>
  <si>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</si>
  <si>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</si>
  <si>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</si>
  <si>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</si>
  <si>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</si>
  <si>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</si>
  <si>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</si>
  <si>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</si>
  <si>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</si>
  <si>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</si>
  <si>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</si>
  <si>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</si>
  <si>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</si>
  <si>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</si>
  <si>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</si>
  <si>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</si>
  <si>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</si>
  <si>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</si>
  <si>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</si>
  <si>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</si>
  <si>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</si>
  <si>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</si>
  <si>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</si>
  <si>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</si>
  <si>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</si>
  <si>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</si>
  <si>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</si>
  <si>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</si>
  <si>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</si>
  <si>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</si>
  <si>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</si>
  <si>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</si>
  <si>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</si>
  <si>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</si>
  <si>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</si>
  <si>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</si>
  <si>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</si>
  <si>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</si>
  <si>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</si>
  <si>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</si>
  <si>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</si>
  <si>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</si>
  <si>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</si>
  <si>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</si>
  <si>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</si>
  <si>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</si>
  <si>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</si>
  <si>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</si>
  <si>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</si>
  <si>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</si>
  <si>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</si>
  <si>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</si>
  <si>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</si>
  <si>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</si>
  <si>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</si>
  <si>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</si>
  <si>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</si>
  <si>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</si>
  <si>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</si>
  <si>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</si>
  <si>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</si>
  <si>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</si>
  <si>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</si>
  <si>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</si>
  <si>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</si>
  <si>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</si>
  <si>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</si>
  <si>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</si>
  <si>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</si>
  <si>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</si>
  <si>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</si>
  <si>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</si>
  <si>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</si>
  <si>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</si>
  <si>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</si>
  <si>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</si>
  <si>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</si>
  <si>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</si>
  <si>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</si>
  <si>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</si>
  <si>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</si>
  <si>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</si>
  <si>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</si>
  <si>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</si>
  <si>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</si>
  <si>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</si>
  <si>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</si>
  <si>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</si>
  <si>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</si>
  <si>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</si>
  <si>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</si>
  <si>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</si>
  <si>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</si>
  <si>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</si>
  <si>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</si>
  <si>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</si>
  <si>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</si>
  <si>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</si>
  <si>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</si>
  <si>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</si>
  <si>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</si>
  <si>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</si>
  <si>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</si>
  <si>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</si>
  <si>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</si>
  <si>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</si>
  <si>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</si>
  <si>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</si>
  <si>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</si>
  <si>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</si>
  <si>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</si>
  <si>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</si>
  <si>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</si>
  <si>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</si>
  <si>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</si>
  <si>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</si>
  <si>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</si>
  <si>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</si>
  <si>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</si>
  <si>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</si>
  <si>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</si>
  <si>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</si>
  <si>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</si>
  <si>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</si>
  <si>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</si>
  <si>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</si>
  <si>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</si>
  <si>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</si>
  <si>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</si>
  <si>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</si>
  <si>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</si>
  <si>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</si>
  <si>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</si>
  <si>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</si>
  <si>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</si>
  <si>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</si>
  <si>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</si>
  <si>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</si>
  <si>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</si>
  <si>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</si>
  <si>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</si>
  <si>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</si>
  <si>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</si>
  <si>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</si>
  <si>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</si>
  <si>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</si>
  <si>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</si>
  <si>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</si>
  <si>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</si>
  <si>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</si>
  <si>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</si>
  <si>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</si>
  <si>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</si>
  <si>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</si>
  <si>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</si>
  <si>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</si>
  <si>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</si>
  <si>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</si>
  <si>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</si>
  <si>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</si>
  <si>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</si>
  <si>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</si>
  <si>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</si>
  <si>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</si>
  <si>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</si>
  <si>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</si>
  <si>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</si>
  <si>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</si>
  <si>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</si>
  <si>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</si>
  <si>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</si>
  <si>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</si>
  <si>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</si>
  <si>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</si>
  <si>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</si>
  <si>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</si>
  <si>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</si>
  <si>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</si>
  <si>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</si>
  <si>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</si>
  <si>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</si>
  <si>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</si>
  <si>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</si>
  <si>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</si>
  <si>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</si>
  <si>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</si>
  <si>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</si>
  <si>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</si>
  <si>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</si>
  <si>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</si>
  <si>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</si>
  <si>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</si>
  <si>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</si>
  <si>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</si>
  <si>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</si>
  <si>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</si>
  <si>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</si>
  <si>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</si>
  <si>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</si>
  <si>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</si>
  <si>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</si>
  <si>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</si>
  <si>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</si>
  <si>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</si>
  <si>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</si>
  <si>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</si>
  <si>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</si>
  <si>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</si>
  <si>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</si>
  <si>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</si>
  <si>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</si>
  <si>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</si>
  <si>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</si>
  <si>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</si>
  <si>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</si>
  <si>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</si>
  <si>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</si>
  <si>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</si>
  <si>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</si>
  <si>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</si>
  <si>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</si>
  <si>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</si>
  <si>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</si>
  <si>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</si>
  <si>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</si>
  <si>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</si>
  <si>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</si>
  <si>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</si>
  <si>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</si>
  <si>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</si>
  <si>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</si>
  <si>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</si>
  <si>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</si>
  <si>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</si>
  <si>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</si>
  <si>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</si>
  <si>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</si>
  <si>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</si>
  <si>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</si>
  <si>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</si>
  <si>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</si>
  <si>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</si>
  <si>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</si>
  <si>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</si>
  <si>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</si>
  <si>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</si>
  <si>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</si>
  <si>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</si>
  <si>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</si>
  <si>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</si>
  <si>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</si>
  <si>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</si>
  <si>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</si>
  <si>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</si>
  <si>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</si>
  <si>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</si>
  <si>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</si>
  <si>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</si>
  <si>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</si>
  <si>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</si>
  <si>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</si>
  <si>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</si>
  <si>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</si>
  <si>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</si>
  <si>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</si>
  <si>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</si>
  <si>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</si>
  <si>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</si>
  <si>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</si>
  <si>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</si>
  <si>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</si>
  <si>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</si>
  <si>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</si>
  <si>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</si>
  <si>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</si>
  <si>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</si>
  <si>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</si>
  <si>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</si>
  <si>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</si>
  <si>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</si>
  <si>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</si>
  <si>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</si>
  <si>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</si>
  <si>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</si>
  <si>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</si>
  <si>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</si>
  <si>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</si>
  <si>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</si>
  <si>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</si>
  <si>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</si>
  <si>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</si>
  <si>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</si>
  <si>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</si>
  <si>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</si>
  <si>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</si>
  <si>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</si>
  <si>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</si>
  <si>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</si>
  <si>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</si>
  <si>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</si>
  <si>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</si>
  <si>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</si>
  <si>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</si>
  <si>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</si>
  <si>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</si>
  <si>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</si>
  <si>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</si>
  <si>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</si>
  <si>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</si>
  <si>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</si>
  <si>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</si>
  <si>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</si>
  <si>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</si>
  <si>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</si>
  <si>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</si>
  <si>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</si>
  <si>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</si>
  <si>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</si>
  <si>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</si>
  <si>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</si>
  <si>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</si>
  <si>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</si>
  <si>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</si>
  <si>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</si>
  <si>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</si>
  <si>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</si>
  <si>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</si>
  <si>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</si>
  <si>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</si>
  <si>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</si>
  <si>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</si>
  <si>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</si>
  <si>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</si>
  <si>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</si>
  <si>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</si>
  <si>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</si>
  <si>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</si>
  <si>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</si>
  <si>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</si>
  <si>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</si>
  <si>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</si>
  <si>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</si>
  <si>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</si>
  <si>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</si>
  <si>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</si>
  <si>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</si>
  <si>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</si>
  <si>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</si>
  <si>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</si>
  <si>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</si>
  <si>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</si>
  <si>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</si>
  <si>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</si>
  <si>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</si>
  <si>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</si>
  <si>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</si>
  <si>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</si>
  <si>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</si>
  <si>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</si>
  <si>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</si>
  <si>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</si>
  <si>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</si>
  <si>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</si>
  <si>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</si>
  <si>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</si>
  <si>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</si>
  <si>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</si>
  <si>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</si>
  <si>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</si>
  <si>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</si>
  <si>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</si>
  <si>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</si>
  <si>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</si>
  <si>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</si>
  <si>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</si>
  <si>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</si>
  <si>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</si>
  <si>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</si>
  <si>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</si>
  <si>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</si>
  <si>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</si>
  <si>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</si>
  <si>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</si>
  <si>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</si>
  <si>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</si>
  <si>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</si>
  <si>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</si>
  <si>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</si>
  <si>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</si>
  <si>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</si>
  <si>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</si>
  <si>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</si>
  <si>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</si>
  <si>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</si>
  <si>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</si>
  <si>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</si>
  <si>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</si>
  <si>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</si>
  <si>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</si>
  <si>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</si>
  <si>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</si>
  <si>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</si>
  <si>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</si>
  <si>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</si>
  <si>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</si>
  <si>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</si>
  <si>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</si>
  <si>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</si>
  <si>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</si>
  <si>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</si>
  <si>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</si>
  <si>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</si>
  <si>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</si>
  <si>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</si>
  <si>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</si>
  <si>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</si>
  <si>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</si>
  <si>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</si>
  <si>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</si>
  <si>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</si>
  <si>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</si>
  <si>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</si>
  <si>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</si>
  <si>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</si>
  <si>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</si>
  <si>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</si>
  <si>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</si>
  <si>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</si>
  <si>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</si>
  <si>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</si>
  <si>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</si>
  <si>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</si>
  <si>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</si>
  <si>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</si>
  <si>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</si>
  <si>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</si>
  <si>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</si>
  <si>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</si>
  <si>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</si>
  <si>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</si>
  <si>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</si>
  <si>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</si>
  <si>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</si>
  <si>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</si>
  <si>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</si>
  <si>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</si>
  <si>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</si>
  <si>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</si>
  <si>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</si>
  <si>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</si>
  <si>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</si>
  <si>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</si>
  <si>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</si>
  <si>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</si>
  <si>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</si>
  <si>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</si>
  <si>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</si>
  <si>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</si>
  <si>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</si>
  <si>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</si>
  <si>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</si>
  <si>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</si>
  <si>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</si>
  <si>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</si>
  <si>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</si>
  <si>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</si>
  <si>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</si>
  <si>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</si>
  <si>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</si>
  <si>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</si>
  <si>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</si>
  <si>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</si>
  <si>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</si>
  <si>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</si>
  <si>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</si>
  <si>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</si>
  <si>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</si>
  <si>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</si>
  <si>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</si>
  <si>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</si>
  <si>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</si>
  <si>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</si>
  <si>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</si>
  <si>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</si>
  <si>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</si>
  <si>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</si>
  <si>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</si>
  <si>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</si>
  <si>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</si>
  <si>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</si>
  <si>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</si>
  <si>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</si>
  <si>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</si>
  <si>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</si>
  <si>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</si>
  <si>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</si>
  <si>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</si>
  <si>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</si>
  <si>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</si>
  <si>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</si>
  <si>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</si>
  <si>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</si>
  <si>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</si>
  <si>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</si>
  <si>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</si>
  <si>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</si>
  <si>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</si>
  <si>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</si>
  <si>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</si>
  <si>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</si>
  <si>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</si>
  <si>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</si>
  <si>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</si>
  <si>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</si>
  <si>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</si>
  <si>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</si>
  <si>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</si>
  <si>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</si>
  <si>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</si>
  <si>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</si>
  <si>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</si>
  <si>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</si>
  <si>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</si>
  <si>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</si>
  <si>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</si>
  <si>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</si>
  <si>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</si>
  <si>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</si>
  <si>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</si>
  <si>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</si>
  <si>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</si>
  <si>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</si>
  <si>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</si>
  <si>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</si>
  <si>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</si>
  <si>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</si>
  <si>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</si>
  <si>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</si>
  <si>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</si>
  <si>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</si>
  <si>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</si>
  <si>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</si>
  <si>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</si>
  <si>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</si>
  <si>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</si>
  <si>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</si>
  <si>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</si>
  <si>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</si>
  <si>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</si>
  <si>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</si>
  <si>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</si>
  <si>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</si>
  <si>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</si>
  <si>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</si>
  <si>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</si>
  <si>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</si>
  <si>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</si>
  <si>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</si>
  <si>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</si>
  <si>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</si>
  <si>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</si>
  <si>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</si>
  <si>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</si>
  <si>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</si>
  <si>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</si>
  <si>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</si>
  <si>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</si>
  <si>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</si>
  <si>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</si>
  <si>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</si>
  <si>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</si>
  <si>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</si>
  <si>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</si>
  <si>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</si>
  <si>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</si>
  <si>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</si>
  <si>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</si>
  <si>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</si>
  <si>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</si>
  <si>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</si>
  <si>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</si>
  <si>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</si>
  <si>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</si>
  <si>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</si>
  <si>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</si>
  <si>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</si>
  <si>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</si>
  <si>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</si>
  <si>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</si>
  <si>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</si>
  <si>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</si>
  <si>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</si>
  <si>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</si>
  <si>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</si>
  <si>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</si>
  <si>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</si>
  <si>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</si>
  <si>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</si>
  <si>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</si>
  <si>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</si>
  <si>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</si>
  <si>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</si>
  <si>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</si>
  <si>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</si>
  <si>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</si>
  <si>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</si>
  <si>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</si>
  <si>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</si>
  <si>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</si>
  <si>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</si>
  <si>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</si>
  <si>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</si>
  <si>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</si>
  <si>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</si>
  <si>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</si>
  <si>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</si>
  <si>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</si>
  <si>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</si>
  <si>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</si>
  <si>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</si>
  <si>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</si>
  <si>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</si>
  <si>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</si>
  <si>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</si>
  <si>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</si>
  <si>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</si>
  <si>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</si>
  <si>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</si>
  <si>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</si>
  <si>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</si>
  <si>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</si>
  <si>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</si>
  <si>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</si>
  <si>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</si>
  <si>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</si>
  <si>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</si>
  <si>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</si>
  <si>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</si>
  <si>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</si>
  <si>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</si>
  <si>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</si>
  <si>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</si>
  <si>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</si>
  <si>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</si>
  <si>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</si>
  <si>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</si>
  <si>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</si>
  <si>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</si>
  <si>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</si>
  <si>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</si>
  <si>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</si>
  <si>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</si>
  <si>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</si>
  <si>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</si>
  <si>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</si>
  <si>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</si>
  <si>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</si>
  <si>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</si>
  <si>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</si>
  <si>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</si>
  <si>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</si>
  <si>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</si>
  <si>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</si>
  <si>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</si>
  <si>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</si>
  <si>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</si>
  <si>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</si>
  <si>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</si>
  <si>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</si>
  <si>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</si>
  <si>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</si>
  <si>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</si>
  <si>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</si>
  <si>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</si>
  <si>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</si>
  <si>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</si>
  <si>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</si>
  <si>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</si>
  <si>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</si>
  <si>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</si>
  <si>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</si>
  <si>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</si>
  <si>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</si>
  <si>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</si>
  <si>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</si>
  <si>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</si>
  <si>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</si>
  <si>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</si>
  <si>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</si>
  <si>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</si>
  <si>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</si>
  <si>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</si>
  <si>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</si>
  <si>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</si>
  <si>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</si>
  <si>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</si>
  <si>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</si>
  <si>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</si>
  <si>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</si>
  <si>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</si>
  <si>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</si>
  <si>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</si>
  <si>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</si>
  <si>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</si>
  <si>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</si>
  <si>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</si>
  <si>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</si>
  <si>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</si>
  <si>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</si>
  <si>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</si>
  <si>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</si>
  <si>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</si>
  <si>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</si>
  <si>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</si>
  <si>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</si>
  <si>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</si>
  <si>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</si>
  <si>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</si>
  <si>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</si>
  <si>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</si>
  <si>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</si>
  <si>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</si>
  <si>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</si>
  <si>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</si>
  <si>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</si>
  <si>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</si>
  <si>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</si>
  <si>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</si>
  <si>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</si>
  <si>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</si>
  <si>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</si>
  <si>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</si>
  <si>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</si>
  <si>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</si>
  <si>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</si>
  <si>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</si>
  <si>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</si>
  <si>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</si>
  <si>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</si>
  <si>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</si>
  <si>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</si>
  <si>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</si>
  <si>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</si>
  <si>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</si>
  <si>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</si>
  <si>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</si>
  <si>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</si>
  <si>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</si>
  <si>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</si>
  <si>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</si>
  <si>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</si>
  <si>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</si>
  <si>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</si>
  <si>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</si>
  <si>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</si>
  <si>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</si>
  <si>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</si>
  <si>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</si>
  <si>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</si>
  <si>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</si>
  <si>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</si>
  <si>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</si>
  <si>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</si>
  <si>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</si>
  <si>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</si>
  <si>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</si>
  <si>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</si>
  <si>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</si>
  <si>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</si>
  <si>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</si>
  <si>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</si>
  <si>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</si>
  <si>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</si>
  <si>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</si>
  <si>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</si>
  <si>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</si>
  <si>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</si>
  <si>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</si>
  <si>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</si>
  <si>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</si>
  <si>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</si>
  <si>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</si>
  <si>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</si>
  <si>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</si>
  <si>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</si>
  <si>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</si>
  <si>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</si>
  <si>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</si>
  <si>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</si>
  <si>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</si>
  <si>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</si>
  <si>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</si>
  <si>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</si>
  <si>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</si>
  <si>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</si>
  <si>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</si>
  <si>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</si>
  <si>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</si>
  <si>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</si>
  <si>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</si>
  <si>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</si>
  <si>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</si>
  <si>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</si>
  <si>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</si>
  <si>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</si>
  <si>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</si>
  <si>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</si>
  <si>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</si>
  <si>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</si>
  <si>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</si>
  <si>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</si>
  <si>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</si>
  <si>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</si>
  <si>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</si>
  <si>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</si>
  <si>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</si>
  <si>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</si>
  <si>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</si>
  <si>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</si>
  <si>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</si>
  <si>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</si>
  <si>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</si>
  <si>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</si>
  <si>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</si>
  <si>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</si>
  <si>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</si>
  <si>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</si>
  <si>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</si>
  <si>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</si>
  <si>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</si>
  <si>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</si>
  <si>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</si>
  <si>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</si>
  <si>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</si>
  <si>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</si>
  <si>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</si>
  <si>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</si>
  <si>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</si>
  <si>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</si>
  <si>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</si>
  <si>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</si>
  <si>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</si>
  <si>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</si>
  <si>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</si>
  <si>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</si>
  <si>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</si>
  <si>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</si>
  <si>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</si>
  <si>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</si>
  <si>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</si>
  <si>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</si>
  <si>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</si>
  <si>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</si>
  <si>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</si>
  <si>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</si>
  <si>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</si>
  <si>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</si>
  <si>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</si>
  <si>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</si>
  <si>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</si>
  <si>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</si>
  <si>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</si>
  <si>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</si>
  <si>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</si>
  <si>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</si>
  <si>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</si>
  <si>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</si>
  <si>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</si>
  <si>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</si>
  <si>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</si>
  <si>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</si>
  <si>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</si>
  <si>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</si>
  <si>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</si>
  <si>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</si>
  <si>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</si>
  <si>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</si>
  <si>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</si>
  <si>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</si>
  <si>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</si>
  <si>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</si>
  <si>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</si>
  <si>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</si>
  <si>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</si>
  <si>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</si>
  <si>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</si>
  <si>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</si>
  <si>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</si>
  <si>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</si>
  <si>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</si>
  <si>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</si>
  <si>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</si>
  <si>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</si>
  <si>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</si>
  <si>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</si>
  <si>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</si>
  <si>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</si>
  <si>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</si>
  <si>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</si>
  <si>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</si>
  <si>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</si>
  <si>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</si>
  <si>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</si>
  <si>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</si>
  <si>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</si>
  <si>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</si>
  <si>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</si>
  <si>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</si>
  <si>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</si>
  <si>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</si>
  <si>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</si>
  <si>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</si>
  <si>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</si>
  <si>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</si>
  <si>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</si>
  <si>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</si>
  <si>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</si>
  <si>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</si>
  <si>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</si>
  <si>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</si>
  <si>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</si>
  <si>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</si>
  <si>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</si>
  <si>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</si>
  <si>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</si>
  <si>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</si>
  <si>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</si>
  <si>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</si>
  <si>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</si>
  <si>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</si>
  <si>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</si>
  <si>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</si>
  <si>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</si>
  <si>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</si>
  <si>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</si>
  <si>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</si>
  <si>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</si>
  <si>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</si>
  <si>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</si>
  <si>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</si>
  <si>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</si>
  <si>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</si>
  <si>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</si>
  <si>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</si>
  <si>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</si>
  <si>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</si>
  <si>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</si>
  <si>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</si>
  <si>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</si>
  <si>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</si>
  <si>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</si>
  <si>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</si>
  <si>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</si>
  <si>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</si>
  <si>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</si>
  <si>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</si>
  <si>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</si>
  <si>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</si>
  <si>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</si>
  <si>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</si>
  <si>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</si>
  <si>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</si>
  <si>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</si>
  <si>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</si>
  <si>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</si>
  <si>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</si>
  <si>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</si>
  <si>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</si>
  <si>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</si>
  <si>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</si>
  <si>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</si>
  <si>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</si>
  <si>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</si>
  <si>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</si>
  <si>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</si>
  <si>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</si>
  <si>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</si>
  <si>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</si>
  <si>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</si>
  <si>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</si>
  <si>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</si>
  <si>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</si>
  <si>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</si>
  <si>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</si>
  <si>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</si>
  <si>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</si>
  <si>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</si>
  <si>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</si>
  <si>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</si>
  <si>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</si>
  <si>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</si>
  <si>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</si>
  <si>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</si>
  <si>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</si>
  <si>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</si>
  <si>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</si>
  <si>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</si>
  <si>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</si>
  <si>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</si>
  <si>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</si>
  <si>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</si>
  <si>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</si>
  <si>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</si>
  <si>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</si>
  <si>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</si>
  <si>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</si>
  <si>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</si>
  <si>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</si>
  <si>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</si>
  <si>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</si>
  <si>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</si>
  <si>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</si>
  <si>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</si>
  <si>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</si>
  <si>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</si>
  <si>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</si>
  <si>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</si>
  <si>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</si>
  <si>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</si>
  <si>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</si>
  <si>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</si>
  <si>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</si>
  <si>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</si>
  <si>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</si>
  <si>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</si>
  <si>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</si>
  <si>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</si>
  <si>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</si>
  <si>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</si>
  <si>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</si>
  <si>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</si>
  <si>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</si>
  <si>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</si>
  <si>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</si>
  <si>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</si>
  <si>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</si>
  <si>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</si>
  <si>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</si>
  <si>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</si>
  <si>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</si>
  <si>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</si>
  <si>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</si>
  <si>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</si>
  <si>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</si>
  <si>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</si>
  <si>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</si>
  <si>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</si>
  <si>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</si>
  <si>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</si>
  <si>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</si>
  <si>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</si>
  <si>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</si>
  <si>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</si>
  <si>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</si>
  <si>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</si>
  <si>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</si>
  <si>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</si>
  <si>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</si>
  <si>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</si>
  <si>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</si>
  <si>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</si>
  <si>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</si>
  <si>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</si>
  <si>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</si>
  <si>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</si>
  <si>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</si>
  <si>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</si>
  <si>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</si>
  <si>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</si>
  <si>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</si>
  <si>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</si>
  <si>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</si>
  <si>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</si>
  <si>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</si>
  <si>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</si>
  <si>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</si>
  <si>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</si>
  <si>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</si>
  <si>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</si>
  <si>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</si>
  <si>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</si>
  <si>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</si>
  <si>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</si>
  <si>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</si>
  <si>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</si>
  <si>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</si>
  <si>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</si>
  <si>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</si>
  <si>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</si>
  <si>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</si>
  <si>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</si>
  <si>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</si>
  <si>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</si>
  <si>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</si>
  <si>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</si>
  <si>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</si>
  <si>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</si>
  <si>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</si>
  <si>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</si>
  <si>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</si>
  <si>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</si>
  <si>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</si>
  <si>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</si>
  <si>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</si>
  <si>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</si>
  <si>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</si>
  <si>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</si>
  <si>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</si>
  <si>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</si>
  <si>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</si>
  <si>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</si>
  <si>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</si>
  <si>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</si>
  <si>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</si>
  <si>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</si>
  <si>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</si>
  <si>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</si>
  <si>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</si>
  <si>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</si>
  <si>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</si>
  <si>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</si>
  <si>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</si>
  <si>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</si>
  <si>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</si>
  <si>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</si>
  <si>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</si>
  <si>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</si>
  <si>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</si>
  <si>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</si>
  <si>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</si>
  <si>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</si>
  <si>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</si>
  <si>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</si>
  <si>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</si>
  <si>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</si>
  <si>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</si>
  <si>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</si>
  <si>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</si>
  <si>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</si>
  <si>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</si>
  <si>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</si>
  <si>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</si>
  <si>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</si>
  <si>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</si>
  <si>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</si>
  <si>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</si>
  <si>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</si>
  <si>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</si>
  <si>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</si>
  <si>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</si>
  <si>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</si>
  <si>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</si>
  <si>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</si>
  <si>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</si>
  <si>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</si>
  <si>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</si>
  <si>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</si>
  <si>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</si>
  <si>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</si>
  <si>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</si>
  <si>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</si>
  <si>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</si>
  <si>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</si>
  <si>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</si>
  <si>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</si>
  <si>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</si>
  <si>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</si>
  <si>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</si>
  <si>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</si>
  <si>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</si>
  <si>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</si>
  <si>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</si>
  <si>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</si>
  <si>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</si>
  <si>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</si>
  <si>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</si>
  <si>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</si>
  <si>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</si>
  <si>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</si>
  <si>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</si>
  <si>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</si>
  <si>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</si>
  <si>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</si>
  <si>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</si>
  <si>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</si>
  <si>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</si>
  <si>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</si>
  <si>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</si>
  <si>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</si>
  <si>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</si>
  <si>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</si>
  <si>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</si>
  <si>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</si>
  <si>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</si>
  <si>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</si>
  <si>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</si>
  <si>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</si>
  <si>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</si>
  <si>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</si>
  <si>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</si>
  <si>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</si>
  <si>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</si>
  <si>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</si>
  <si>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</si>
  <si>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</si>
  <si>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</si>
  <si>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</si>
  <si>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</si>
  <si>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</si>
  <si>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</si>
  <si>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</si>
  <si>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</si>
  <si>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</si>
  <si>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</si>
  <si>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</si>
  <si>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</si>
  <si>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</si>
  <si>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</si>
  <si>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</si>
  <si>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</si>
  <si>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</si>
  <si>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</si>
  <si>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</si>
  <si>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</si>
  <si>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</si>
  <si>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</si>
  <si>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</si>
  <si>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</si>
  <si>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</si>
  <si>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</si>
  <si>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</si>
  <si>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</si>
  <si>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</si>
  <si>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</si>
  <si>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</si>
  <si>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</si>
  <si>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</si>
  <si>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</si>
  <si>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</si>
  <si>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</si>
  <si>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</si>
  <si>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</si>
  <si>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</si>
  <si>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</si>
  <si>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</si>
  <si>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</si>
  <si>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</si>
  <si>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</si>
  <si>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</si>
  <si>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</si>
  <si>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</si>
  <si>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</si>
  <si>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</si>
  <si>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</si>
  <si>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</si>
  <si>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</si>
  <si>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</si>
  <si>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</si>
  <si>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</si>
  <si>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</si>
  <si>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</si>
  <si>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</si>
  <si>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</si>
  <si>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</si>
  <si>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</si>
  <si>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</si>
  <si>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</si>
  <si>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</si>
  <si>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</si>
  <si>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</si>
  <si>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</si>
  <si>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</si>
  <si>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</si>
  <si>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</si>
  <si>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</si>
  <si>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</si>
  <si>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</si>
  <si>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</si>
  <si>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</si>
  <si>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</si>
  <si>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</si>
  <si>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</si>
  <si>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</si>
  <si>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</si>
  <si>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</si>
  <si>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</si>
  <si>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</si>
  <si>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</si>
  <si>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</si>
  <si>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</si>
  <si>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</si>
  <si>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</si>
  <si>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</si>
  <si>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</si>
  <si>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</si>
  <si>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</si>
  <si>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</si>
  <si>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</si>
  <si>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</si>
  <si>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</si>
  <si>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</si>
  <si>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</si>
  <si>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</si>
  <si>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</si>
  <si>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</si>
  <si>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</si>
  <si>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</si>
  <si>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</si>
  <si>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</si>
  <si>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</si>
  <si>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</si>
  <si>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</si>
  <si>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</si>
  <si>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</si>
  <si>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</si>
  <si>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</si>
  <si>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</si>
  <si>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</si>
  <si>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</si>
  <si>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</si>
  <si>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</si>
  <si>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</si>
  <si>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</si>
  <si>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</si>
  <si>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</si>
  <si>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</si>
  <si>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</si>
  <si>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</si>
  <si>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</si>
  <si>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</si>
  <si>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</si>
  <si>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</si>
  <si>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</si>
  <si>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</si>
  <si>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</si>
  <si>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</si>
  <si>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</si>
  <si>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</si>
  <si>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</si>
  <si>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</si>
  <si>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</si>
  <si>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</si>
  <si>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</si>
  <si>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</si>
  <si>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</si>
  <si>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</si>
  <si>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</si>
  <si>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</si>
  <si>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</si>
  <si>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</si>
  <si>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</si>
  <si>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</si>
  <si>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</si>
  <si>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</si>
  <si>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</si>
  <si>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</si>
  <si>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</si>
  <si>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</si>
  <si>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</si>
  <si>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</si>
  <si>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</si>
  <si>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</si>
  <si>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</si>
  <si>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</si>
  <si>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</si>
  <si>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</si>
  <si>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</si>
  <si>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</si>
  <si>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</si>
  <si>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</si>
  <si>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</si>
  <si>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</si>
  <si>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</si>
  <si>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</si>
  <si>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</si>
  <si>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</si>
  <si>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</si>
  <si>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</si>
  <si>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</si>
  <si>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</si>
  <si>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</si>
  <si>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</si>
  <si>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</si>
  <si>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</si>
  <si>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</si>
  <si>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</si>
  <si>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</si>
  <si>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</si>
  <si>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</si>
  <si>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</si>
  <si>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</si>
  <si>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</si>
  <si>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</si>
  <si>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</si>
  <si>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</si>
  <si>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</si>
  <si>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</si>
  <si>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</si>
  <si>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</si>
  <si>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</si>
  <si>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</si>
  <si>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</si>
  <si>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</si>
  <si>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</si>
  <si>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</si>
  <si>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</si>
  <si>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</si>
  <si>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</si>
  <si>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</si>
  <si>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</si>
  <si>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</si>
  <si>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</si>
  <si>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</si>
  <si>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</si>
  <si>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</si>
  <si>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</si>
  <si>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</si>
  <si>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</si>
  <si>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</si>
  <si>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</si>
  <si>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</si>
  <si>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</si>
  <si>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</si>
  <si>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</si>
  <si>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</si>
  <si>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</si>
  <si>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</si>
  <si>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</si>
  <si>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</si>
  <si>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</si>
  <si>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</si>
  <si>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</si>
  <si>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</si>
  <si>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</si>
  <si>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</si>
  <si>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</si>
  <si>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</si>
  <si>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</si>
  <si>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</si>
  <si>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</si>
  <si>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</si>
  <si>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</si>
  <si>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</si>
  <si>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</si>
  <si>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</si>
  <si>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</si>
  <si>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</si>
  <si>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</si>
  <si>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</si>
  <si>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</si>
  <si>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</si>
  <si>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</si>
  <si>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</si>
  <si>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</si>
  <si>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</si>
  <si>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</si>
  <si>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</si>
  <si>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</si>
  <si>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</si>
  <si>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</si>
  <si>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</si>
  <si>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</si>
  <si>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</si>
  <si>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</si>
  <si>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</si>
  <si>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</si>
  <si>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</si>
  <si>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</si>
  <si>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</si>
  <si>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</si>
  <si>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</si>
  <si>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</si>
  <si>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</si>
  <si>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</si>
  <si>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</si>
  <si>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</si>
  <si>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</si>
  <si>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</si>
  <si>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</si>
  <si>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</si>
  <si>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</si>
  <si>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</si>
  <si>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</si>
  <si>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</si>
  <si>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</si>
  <si>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</si>
  <si>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</si>
  <si>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</si>
  <si>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</si>
  <si>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</si>
  <si>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</si>
  <si>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</si>
  <si>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</si>
  <si>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</si>
  <si>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</si>
  <si>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</si>
  <si>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</si>
  <si>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</si>
  <si>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</si>
  <si>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</si>
  <si>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</si>
  <si>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</si>
  <si>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</si>
  <si>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</si>
  <si>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</si>
  <si>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</si>
  <si>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</si>
  <si>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</si>
  <si>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</si>
  <si>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</si>
  <si>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</si>
  <si>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</si>
  <si>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</si>
  <si>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</si>
  <si>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</si>
  <si>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</si>
  <si>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</si>
  <si>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</si>
  <si>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</si>
  <si>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</si>
  <si>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Region/City</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</si>
  <si>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</si>
  <si>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</si>
  <si>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</si>
  <si>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</si>
  <si>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</si>
  <si>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</si>
  <si>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</si>
  <si>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</si>
  <si>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</si>
  <si>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</si>
  <si>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</si>
  <si>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</si>
  <si>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</si>
  <si>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</si>
  <si>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</si>
  <si>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</si>
  <si>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</si>
  <si>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</si>
  <si>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</si>
  <si>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</si>
  <si>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</si>
  <si>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</si>
  <si>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</si>
  <si>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</si>
  <si>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</si>
  <si>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</si>
  <si>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</si>
  <si>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</si>
  <si>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</si>
  <si>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</si>
  <si>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</si>
  <si>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</si>
  <si>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</si>
  <si>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</si>
  <si>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</si>
  <si>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</si>
  <si>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</si>
  <si>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</si>
  <si>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</si>
  <si>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</si>
  <si>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</si>
  <si>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</si>
  <si>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</si>
  <si>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</si>
  <si>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</si>
  <si>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</si>
  <si>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</si>
  <si>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</si>
  <si>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</si>
  <si>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</si>
  <si>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</si>
  <si>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</si>
  <si>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</si>
  <si>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</si>
  <si>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</si>
  <si>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</si>
  <si>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</si>
  <si>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</si>
  <si>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</si>
  <si>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</si>
  <si>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</si>
  <si>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</si>
  <si>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</si>
  <si>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</si>
  <si>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</si>
  <si>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</si>
  <si>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</si>
  <si>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</si>
  <si>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</si>
  <si>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</si>
  <si>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</si>
  <si>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</si>
  <si>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</si>
  <si>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</si>
  <si>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</si>
  <si>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</si>
  <si>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</si>
  <si>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</si>
  <si>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</si>
  <si>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</si>
  <si>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</si>
  <si>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</si>
  <si>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</si>
  <si>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</si>
  <si>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</si>
  <si>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</si>
  <si>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</si>
  <si>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</si>
  <si>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</si>
  <si>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</si>
  <si>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</si>
  <si>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</si>
  <si>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</si>
  <si>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</si>
  <si>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</si>
  <si>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</si>
  <si>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</si>
  <si>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</si>
  <si>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</si>
  <si>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</si>
  <si>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</si>
  <si>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</si>
  <si>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</si>
  <si>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</si>
  <si>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</si>
  <si>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</si>
  <si>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</si>
  <si>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</si>
  <si>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</si>
  <si>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</si>
  <si>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</si>
  <si>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</si>
  <si>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</si>
  <si>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</si>
  <si>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</si>
  <si>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</si>
  <si>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</si>
  <si>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</si>
  <si>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</si>
  <si>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</si>
  <si>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</si>
  <si>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</si>
  <si>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</si>
  <si>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</si>
  <si>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</si>
  <si>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</si>
  <si>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</si>
  <si>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</si>
  <si>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</si>
  <si>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</si>
  <si>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</si>
  <si>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</si>
  <si>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</si>
  <si>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</si>
  <si>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</si>
  <si>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</si>
  <si>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</si>
  <si>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</si>
  <si>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</si>
  <si>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</si>
  <si>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</si>
  <si>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</si>
  <si>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</si>
  <si>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</si>
  <si>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</si>
  <si>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</si>
  <si>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</si>
  <si>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</si>
  <si>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</si>
  <si>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</si>
  <si>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</si>
  <si>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</si>
  <si>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</si>
  <si>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</si>
  <si>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</si>
  <si>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</si>
  <si>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</si>
  <si>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</si>
  <si>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</si>
  <si>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</si>
  <si>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</si>
  <si>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</si>
  <si>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</si>
  <si>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</si>
  <si>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</si>
  <si>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</si>
  <si>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</si>
  <si>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</si>
  <si>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</si>
  <si>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</si>
  <si>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</si>
  <si>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</si>
  <si>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</si>
  <si>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</si>
  <si>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</si>
  <si>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</si>
  <si>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</si>
  <si>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</si>
  <si>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</si>
  <si>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</si>
  <si>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</si>
  <si>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</si>
  <si>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</si>
  <si>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</si>
  <si>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</si>
  <si>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</si>
  <si>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</si>
  <si>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</si>
  <si>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</si>
  <si>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</si>
  <si>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</si>
  <si>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</si>
  <si>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</si>
  <si>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</si>
  <si>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</si>
  <si>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</si>
  <si>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</si>
  <si>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</si>
  <si>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</si>
  <si>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</si>
  <si>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</si>
  <si>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</si>
  <si>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</si>
  <si>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</si>
  <si>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</si>
  <si>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</si>
  <si>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</si>
  <si>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</si>
  <si>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</si>
  <si>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</si>
  <si>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</si>
  <si>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</si>
  <si>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</si>
  <si>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</si>
  <si>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</si>
  <si>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</si>
  <si>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</si>
  <si>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</si>
  <si>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</si>
  <si>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</si>
  <si>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</si>
  <si>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</si>
  <si>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</si>
  <si>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</si>
  <si>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</si>
  <si>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</si>
  <si>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</si>
  <si>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</si>
  <si>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</si>
  <si>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</si>
  <si>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</si>
  <si>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</si>
  <si>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</si>
  <si>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</si>
  <si>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</si>
  <si>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</si>
  <si>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</si>
  <si>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</si>
  <si>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</si>
  <si>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</si>
  <si>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</si>
  <si>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</si>
  <si>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</si>
  <si>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</si>
  <si>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</si>
  <si>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</si>
  <si>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</si>
  <si>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</si>
  <si>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</si>
  <si>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</si>
  <si>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</si>
  <si>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</si>
  <si>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</si>
  <si>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</si>
  <si>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</si>
  <si>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</si>
  <si>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</si>
  <si>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</si>
  <si>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</si>
  <si>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</si>
  <si>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</si>
  <si>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</si>
  <si>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</si>
  <si>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</si>
  <si>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</si>
  <si>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</si>
  <si>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</si>
  <si>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</si>
  <si>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</si>
  <si>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</si>
  <si>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</si>
  <si>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</si>
  <si>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</si>
  <si>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</si>
  <si>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</si>
  <si>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</si>
  <si>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</si>
  <si>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</si>
  <si>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</si>
  <si>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</si>
  <si>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</si>
  <si>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</si>
  <si>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</si>
  <si>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</si>
  <si>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</si>
  <si>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</si>
  <si>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</si>
  <si>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</si>
  <si>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</si>
  <si>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</si>
  <si>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</si>
  <si>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</si>
  <si>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</si>
  <si>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</si>
  <si>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</si>
  <si>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</si>
  <si>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</si>
  <si>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</si>
  <si>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</si>
  <si>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</si>
  <si>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</si>
  <si>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</si>
  <si>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</si>
  <si>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</si>
  <si>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</si>
  <si>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</si>
  <si>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</si>
  <si>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</si>
  <si>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</si>
  <si>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</si>
  <si>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</si>
  <si>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</si>
  <si>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</si>
  <si>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</si>
  <si>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</si>
  <si>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</si>
  <si>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</si>
  <si>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</si>
  <si>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</si>
  <si>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</si>
  <si>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</si>
  <si>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</si>
  <si>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</si>
  <si>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</si>
  <si>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</si>
  <si>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</si>
  <si>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</si>
  <si>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</si>
  <si>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</si>
  <si>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</si>
  <si>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</si>
  <si>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</si>
  <si>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</si>
  <si>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</si>
  <si>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</si>
  <si>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</si>
  <si>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</si>
  <si>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</si>
  <si>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</si>
  <si>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</si>
  <si>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</si>
  <si>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</si>
  <si>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</si>
  <si>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</si>
  <si>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</si>
  <si>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</si>
  <si>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</si>
  <si>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</si>
  <si>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</si>
  <si>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</si>
  <si>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</si>
  <si>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</si>
  <si>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</si>
  <si>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</si>
  <si>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</si>
  <si>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</si>
  <si>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</si>
  <si>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</si>
  <si>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</si>
  <si>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</si>
  <si>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</si>
  <si>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</si>
  <si>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</si>
  <si>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</si>
  <si>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</si>
  <si>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</si>
  <si>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</si>
  <si>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</si>
  <si>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</si>
  <si>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</si>
  <si>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</si>
  <si>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</si>
  <si>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</si>
  <si>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</si>
  <si>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</si>
  <si>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</si>
  <si>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</si>
  <si>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</si>
  <si>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</si>
  <si>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</si>
  <si>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</si>
  <si>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</si>
  <si>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</si>
  <si>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</si>
  <si>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</si>
  <si>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</si>
  <si>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</si>
  <si>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</si>
  <si>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</si>
  <si>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</si>
  <si>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</si>
  <si>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</si>
  <si>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</si>
  <si>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</si>
  <si>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</si>
  <si>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</si>
  <si>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</si>
  <si>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</si>
  <si>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</si>
  <si>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</si>
  <si>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</si>
  <si>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</si>
  <si>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</si>
  <si>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</si>
  <si>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</si>
  <si>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</si>
  <si>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</si>
  <si>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</si>
  <si>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</si>
  <si>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</si>
  <si>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</si>
  <si>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</si>
  <si>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</si>
  <si>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</si>
  <si>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</si>
  <si>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</si>
  <si>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</si>
  <si>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</si>
  <si>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</si>
  <si>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</si>
  <si>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</si>
  <si>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</si>
  <si>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</si>
  <si>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</si>
  <si>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</si>
  <si>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</si>
  <si>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</si>
  <si>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</si>
  <si>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</si>
  <si>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</si>
  <si>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</si>
  <si>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</si>
  <si>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</si>
  <si>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</si>
  <si>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</si>
  <si>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</si>
  <si>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</si>
  <si>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</si>
  <si>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</si>
  <si>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</si>
  <si>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</si>
  <si>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</si>
  <si>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</si>
  <si>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</si>
  <si>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</si>
  <si>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</si>
  <si>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</si>
  <si>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</si>
  <si>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</si>
  <si>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</si>
  <si>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</si>
  <si>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</si>
  <si>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</si>
  <si>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</si>
  <si>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</si>
  <si>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</si>
  <si>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</si>
  <si>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</si>
  <si>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</si>
  <si>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</si>
  <si>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</si>
  <si>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</si>
  <si>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</si>
  <si>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</si>
  <si>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</si>
  <si>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</si>
  <si>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</si>
  <si>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</si>
  <si>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</si>
  <si>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</si>
  <si>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</si>
  <si>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</si>
  <si>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</si>
  <si>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</si>
  <si>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</si>
  <si>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</si>
  <si>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</si>
  <si>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</si>
  <si>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</si>
  <si>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</si>
  <si>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</si>
  <si>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</si>
  <si>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</si>
  <si>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</si>
  <si>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</si>
  <si>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</si>
  <si>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</si>
  <si>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</si>
  <si>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</si>
  <si>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</si>
  <si>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</si>
  <si>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</si>
  <si>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</si>
  <si>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</si>
  <si>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</si>
  <si>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</si>
  <si>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</si>
  <si>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</si>
  <si>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</si>
  <si>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</si>
  <si>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</si>
  <si>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</si>
  <si>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</si>
  <si>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</si>
  <si>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</si>
  <si>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</si>
  <si>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</si>
  <si>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</si>
  <si>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</si>
  <si>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</si>
  <si>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</si>
  <si>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</si>
  <si>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</si>
  <si>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</si>
  <si>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</si>
  <si>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</si>
  <si>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</si>
  <si>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</si>
  <si>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</si>
  <si>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</si>
  <si>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</si>
  <si>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</si>
  <si>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</si>
  <si>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</si>
  <si>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</si>
  <si>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</si>
  <si>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</si>
  <si>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</si>
  <si>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</si>
  <si>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</si>
  <si>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</si>
  <si>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</si>
  <si>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</si>
  <si>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</si>
  <si>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</si>
  <si>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</si>
  <si>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</si>
  <si>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</si>
  <si>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</si>
  <si>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</si>
  <si>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</si>
  <si>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</si>
  <si>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</si>
  <si>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</si>
  <si>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</si>
  <si>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</si>
  <si>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</si>
  <si>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</si>
  <si>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</si>
  <si>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</si>
  <si>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</si>
  <si>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</si>
  <si>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</si>
  <si>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</si>
  <si>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</si>
  <si>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</si>
  <si>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</si>
  <si>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</si>
  <si>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</si>
  <si>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</si>
  <si>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</si>
  <si>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</si>
  <si>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</si>
  <si>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</si>
  <si>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</si>
  <si>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</si>
  <si>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</si>
  <si>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</si>
  <si>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</si>
  <si>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</si>
  <si>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</si>
  <si>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</si>
  <si>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</si>
  <si>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</si>
  <si>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</si>
  <si>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</si>
  <si>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</si>
  <si>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</si>
  <si>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</si>
  <si>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</si>
  <si>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</si>
  <si>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</si>
  <si>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</si>
  <si>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</si>
  <si>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</si>
  <si>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</si>
  <si>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</si>
  <si>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</si>
  <si>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</si>
  <si>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</si>
  <si>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</si>
  <si>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</si>
  <si>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</si>
  <si>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</si>
  <si>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</si>
  <si>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</si>
  <si>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</si>
  <si>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</si>
  <si>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</si>
  <si>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</si>
  <si>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</si>
  <si>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</si>
  <si>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</si>
  <si>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</si>
  <si>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</si>
  <si>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</si>
  <si>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</si>
  <si>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</si>
  <si>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</si>
  <si>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</si>
  <si>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</si>
  <si>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</si>
  <si>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</si>
  <si>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</si>
  <si>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</si>
  <si>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</si>
  <si>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</si>
  <si>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</si>
  <si>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</si>
  <si>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</si>
  <si>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</si>
  <si>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</si>
  <si>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</si>
  <si>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</si>
  <si>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</si>
  <si>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</si>
  <si>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</si>
  <si>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</si>
  <si>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</si>
  <si>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</si>
  <si>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</si>
  <si>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</si>
  <si>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</si>
  <si>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</si>
  <si>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</si>
  <si>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</si>
  <si>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</si>
  <si>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</si>
  <si>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</si>
  <si>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</si>
  <si>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</si>
  <si>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</si>
  <si>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</si>
  <si>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</si>
  <si>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</si>
  <si>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</si>
  <si>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</si>
  <si>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</si>
  <si>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</si>
  <si>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</si>
  <si>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</si>
  <si>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</si>
  <si>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</si>
  <si>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</si>
  <si>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</si>
  <si>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</si>
  <si>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</si>
  <si>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</si>
  <si>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</si>
  <si>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</si>
  <si>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</si>
  <si>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</si>
  <si>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</si>
  <si>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</si>
  <si>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</si>
  <si>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</si>
  <si>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</si>
  <si>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</si>
  <si>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</si>
  <si>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</si>
  <si>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</si>
  <si>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</si>
  <si>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</si>
  <si>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</si>
  <si>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</si>
  <si>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</si>
  <si>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</si>
  <si>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</si>
  <si>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</si>
  <si>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</si>
  <si>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</si>
  <si>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</si>
  <si>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</si>
  <si>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</si>
  <si>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</si>
  <si>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</si>
  <si>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</si>
  <si>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</si>
  <si>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</si>
  <si>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</si>
  <si>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</si>
  <si>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</si>
  <si>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</si>
  <si>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</si>
  <si>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</si>
  <si>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</si>
  <si>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</si>
  <si>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</si>
  <si>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</si>
  <si>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</si>
  <si>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</si>
  <si>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</si>
  <si>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</si>
  <si>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</si>
  <si>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</si>
  <si>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</si>
  <si>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</si>
  <si>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</si>
  <si>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</si>
  <si>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</si>
  <si>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</si>
  <si>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</si>
  <si>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</si>
  <si>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</si>
  <si>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</si>
  <si>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</si>
  <si>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</si>
  <si>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</si>
  <si>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</si>
  <si>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</si>
  <si>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</si>
  <si>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</si>
  <si>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</si>
  <si>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</si>
  <si>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</si>
  <si>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</si>
  <si>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</si>
  <si>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https://www.vatican.va/news_services/liturgy/saints/ns_lit_doc_19960602_perboyre_en.html</t>
  </si>
  <si>
    <t>St. Jean-Gabriel Perboyre, CM</t>
  </si>
  <si>
    <t>Bl. Pier Giorgio Frassati, TOSD</t>
  </si>
  <si>
    <t>Turkey</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</si>
  <si>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</si>
  <si>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</si>
  <si>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</si>
  <si>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</si>
  <si>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</si>
  <si>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</si>
  <si>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</si>
  <si>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</si>
  <si>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</si>
  <si>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</si>
  <si>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</si>
  <si>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</si>
  <si>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</si>
  <si>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</si>
  <si>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</si>
  <si>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</si>
  <si>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</si>
  <si>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</si>
  <si>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</si>
  <si>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vatican
- rome</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</si>
  <si>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</si>
  <si>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</si>
  <si>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</si>
  <si>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</si>
  <si>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</si>
  <si>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</si>
  <si>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</si>
  <si>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</si>
  <si>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</si>
  <si>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_Research in progress_
-NDS</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</si>
  <si>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</si>
  <si>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</si>
  <si>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</si>
  <si>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</si>
  <si>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</si>
  <si>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</si>
  <si>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</si>
  <si>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</si>
  <si>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</si>
  <si>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</si>
  <si>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</si>
  <si>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</si>
  <si>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</si>
  <si>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</si>
  <si>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</si>
  <si>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</si>
  <si>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</si>
  <si>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</si>
  <si>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Region/City (optional - refer to existing list)</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</si>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</sst>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sz val="10"/>
      <name val="Arial"/>
      <family val="2"/>
    </font>
    <font>
      <b/>
      <sz val="11"/>
      <color theme="1"/>
      <name val="Calibri"/>
      <family val="2"/>
      <scheme val="minor"/>
    </font>
    <font>
      <b/>
      <sz val="10"/>
      <color rgb="FFDFBC5B"/>
      <name val="Arial"/>
      <family val="2"/>
    </font>
    <font>
      <sz val="10"/>
      <color theme="0" tint="-0.499984740745262"/>
      <name val="Arial"/>
      <family val="2"/>
    </font>
    <font>
      <b/>
      <sz val="10"/>
      <color theme="0" tint="-0.499984740745262"/>
      <name val="Arial"/>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7" fillId="0" borderId="0" applyNumberFormat="0" applyFill="0" applyBorder="0" applyAlignment="0" applyProtection="0"/>
  </cellStyleXfs>
  <cellXfs count="169">
    <xf numFmtId="0" fontId="0" fillId="0" borderId="0" xfId="0"/>
    <xf numFmtId="0" fontId="18" fillId="0" borderId="0" xfId="0" applyFont="1"/>
    <xf numFmtId="0" fontId="22" fillId="0" borderId="0" xfId="0" applyFont="1" applyAlignment="1">
      <alignment vertical="top"/>
    </xf>
    <xf numFmtId="0" fontId="22" fillId="0" borderId="0" xfId="0" applyFont="1" applyAlignment="1">
      <alignment horizontal="left" vertical="top"/>
    </xf>
    <xf numFmtId="0" fontId="22" fillId="0" borderId="0" xfId="0" applyFont="1" applyAlignment="1">
      <alignment vertical="top" wrapText="1"/>
    </xf>
    <xf numFmtId="0" fontId="18" fillId="0" borderId="0" xfId="0" applyFont="1" applyAlignment="1">
      <alignment vertical="top"/>
    </xf>
    <xf numFmtId="0" fontId="19" fillId="0" borderId="0" xfId="0" applyFont="1" applyAlignment="1">
      <alignment horizontal="left" vertical="top"/>
    </xf>
    <xf numFmtId="0" fontId="20" fillId="0" borderId="0" xfId="1" applyFont="1" applyFill="1" applyAlignment="1">
      <alignment vertical="top"/>
    </xf>
    <xf numFmtId="0" fontId="21" fillId="0" borderId="0" xfId="0" applyFont="1" applyAlignment="1">
      <alignment vertical="top" wrapText="1"/>
    </xf>
    <xf numFmtId="0" fontId="19" fillId="0" borderId="0" xfId="0" applyFont="1" applyAlignment="1">
      <alignment vertical="top"/>
    </xf>
    <xf numFmtId="0" fontId="21" fillId="0" borderId="0" xfId="0" applyFont="1" applyAlignment="1">
      <alignment horizontal="left" vertical="top"/>
    </xf>
    <xf numFmtId="0" fontId="21" fillId="0" borderId="0" xfId="0" applyFont="1" applyAlignment="1">
      <alignment vertical="top"/>
    </xf>
    <xf numFmtId="0" fontId="18" fillId="0" borderId="0" xfId="0" applyFont="1" applyAlignment="1">
      <alignment horizontal="left" vertical="top"/>
    </xf>
    <xf numFmtId="0" fontId="18" fillId="0" borderId="0" xfId="0" applyFont="1" applyAlignment="1">
      <alignment vertical="top" wrapText="1"/>
    </xf>
    <xf numFmtId="0" fontId="22" fillId="0" borderId="0" xfId="0" applyFont="1" applyAlignment="1">
      <alignment vertical="center"/>
    </xf>
    <xf numFmtId="0" fontId="18" fillId="0" borderId="0" xfId="0" applyFont="1" applyAlignment="1">
      <alignment vertical="center"/>
    </xf>
    <xf numFmtId="0" fontId="18" fillId="0" borderId="0" xfId="0" quotePrefix="1" applyFont="1" applyAlignment="1">
      <alignment vertical="center"/>
    </xf>
    <xf numFmtId="0" fontId="0" fillId="2" borderId="0" xfId="0" applyFill="1"/>
    <xf numFmtId="0" fontId="0" fillId="3" borderId="0" xfId="0" applyFill="1"/>
    <xf numFmtId="0" fontId="17" fillId="3" borderId="0" xfId="1" applyFill="1"/>
    <xf numFmtId="0" fontId="22" fillId="0" borderId="0" xfId="0" applyFont="1"/>
    <xf numFmtId="0" fontId="14" fillId="0" borderId="0" xfId="0" applyFont="1"/>
    <xf numFmtId="0" fontId="12" fillId="0" borderId="0" xfId="0" applyFont="1"/>
    <xf numFmtId="0" fontId="26" fillId="0" borderId="0" xfId="0" applyFont="1" applyAlignment="1">
      <alignment vertical="center"/>
    </xf>
    <xf numFmtId="0" fontId="18" fillId="0" borderId="0" xfId="0" applyFont="1" applyAlignment="1">
      <alignment vertical="center" wrapText="1"/>
    </xf>
    <xf numFmtId="0" fontId="13" fillId="0" borderId="0" xfId="0" applyFont="1" applyAlignment="1">
      <alignment vertical="center"/>
    </xf>
    <xf numFmtId="0" fontId="14" fillId="0" borderId="0" xfId="0" quotePrefix="1" applyFont="1" applyAlignment="1">
      <alignment vertical="center"/>
    </xf>
    <xf numFmtId="0" fontId="14" fillId="0" borderId="0" xfId="0" applyFont="1" applyAlignment="1">
      <alignment vertical="center" wrapText="1"/>
    </xf>
    <xf numFmtId="0" fontId="24" fillId="0" borderId="0" xfId="0" applyFont="1" applyAlignment="1">
      <alignment vertical="center" wrapText="1"/>
    </xf>
    <xf numFmtId="0" fontId="24" fillId="0" borderId="0" xfId="0" applyFont="1" applyAlignment="1">
      <alignment vertical="center"/>
    </xf>
    <xf numFmtId="0" fontId="24" fillId="0" borderId="0" xfId="0" quotePrefix="1" applyFont="1" applyAlignment="1">
      <alignment vertical="center"/>
    </xf>
    <xf numFmtId="0" fontId="26" fillId="0" borderId="0" xfId="0" applyFont="1" applyAlignment="1">
      <alignment vertical="center" wrapText="1"/>
    </xf>
    <xf numFmtId="0" fontId="15" fillId="0" borderId="0" xfId="0" applyFont="1" applyAlignment="1">
      <alignment vertical="center" wrapText="1"/>
    </xf>
    <xf numFmtId="0" fontId="15" fillId="0" borderId="0" xfId="0" quotePrefix="1" applyFont="1" applyAlignment="1">
      <alignment vertical="center"/>
    </xf>
    <xf numFmtId="0" fontId="15" fillId="0" borderId="0" xfId="0" applyFont="1" applyAlignment="1">
      <alignment vertical="center"/>
    </xf>
    <xf numFmtId="0" fontId="12" fillId="0" borderId="0" xfId="0" applyFont="1" applyAlignment="1">
      <alignment vertical="center"/>
    </xf>
    <xf numFmtId="0" fontId="18" fillId="0" borderId="0" xfId="0" quotePrefix="1" applyFont="1" applyAlignment="1">
      <alignment vertical="center" wrapText="1"/>
    </xf>
    <xf numFmtId="0" fontId="14" fillId="0" borderId="0" xfId="0" quotePrefix="1" applyFont="1" applyAlignment="1">
      <alignment vertical="center" wrapText="1"/>
    </xf>
    <xf numFmtId="0" fontId="24" fillId="0" borderId="0" xfId="0" quotePrefix="1" applyFont="1" applyAlignment="1">
      <alignment vertical="center" wrapText="1"/>
    </xf>
    <xf numFmtId="0" fontId="14" fillId="0" borderId="0" xfId="0" applyFont="1" applyAlignment="1">
      <alignment vertical="center"/>
    </xf>
    <xf numFmtId="0" fontId="13" fillId="0" borderId="0" xfId="0" applyFont="1" applyAlignment="1">
      <alignment vertical="center" wrapText="1"/>
    </xf>
    <xf numFmtId="0" fontId="16" fillId="0" borderId="0" xfId="0" applyFont="1" applyAlignment="1">
      <alignment vertical="center" wrapText="1"/>
    </xf>
    <xf numFmtId="0" fontId="16" fillId="0" borderId="0" xfId="0" applyFont="1" applyAlignment="1">
      <alignment vertical="center"/>
    </xf>
    <xf numFmtId="0" fontId="18" fillId="2" borderId="0" xfId="0" applyFont="1" applyFill="1" applyAlignment="1">
      <alignment vertical="center" wrapText="1"/>
    </xf>
    <xf numFmtId="0" fontId="18" fillId="2" borderId="0" xfId="0" applyFont="1" applyFill="1" applyAlignment="1">
      <alignment vertical="center"/>
    </xf>
    <xf numFmtId="0" fontId="12" fillId="0" borderId="0" xfId="0" applyFont="1" applyAlignment="1">
      <alignment vertical="center" wrapText="1"/>
    </xf>
    <xf numFmtId="0" fontId="12" fillId="0" borderId="0" xfId="0" quotePrefix="1" applyFont="1" applyAlignment="1">
      <alignment vertical="center" wrapText="1"/>
    </xf>
    <xf numFmtId="0" fontId="11" fillId="0" borderId="0" xfId="0" applyFont="1" applyAlignment="1">
      <alignment vertical="center" wrapText="1"/>
    </xf>
    <xf numFmtId="0" fontId="11" fillId="0" borderId="0" xfId="0" applyFont="1" applyAlignment="1">
      <alignment vertical="center"/>
    </xf>
    <xf numFmtId="0" fontId="18" fillId="0" borderId="1" xfId="0" applyFont="1" applyBorder="1" applyAlignment="1">
      <alignment vertical="center"/>
    </xf>
    <xf numFmtId="0" fontId="18" fillId="0" borderId="1" xfId="0" quotePrefix="1" applyFont="1" applyBorder="1" applyAlignment="1">
      <alignment vertical="center"/>
    </xf>
    <xf numFmtId="0" fontId="15" fillId="0" borderId="1" xfId="0" quotePrefix="1" applyFont="1" applyBorder="1" applyAlignment="1">
      <alignment vertical="center"/>
    </xf>
    <xf numFmtId="0" fontId="18" fillId="0" borderId="2" xfId="0" applyFont="1" applyBorder="1" applyAlignment="1">
      <alignment vertical="center"/>
    </xf>
    <xf numFmtId="0" fontId="18" fillId="0" borderId="1" xfId="0" applyFont="1" applyBorder="1" applyAlignment="1">
      <alignment vertical="center" wrapText="1"/>
    </xf>
    <xf numFmtId="0" fontId="13" fillId="0" borderId="1" xfId="0" applyFont="1" applyBorder="1" applyAlignment="1">
      <alignment vertical="center" wrapText="1"/>
    </xf>
    <xf numFmtId="0" fontId="14" fillId="0" borderId="1" xfId="0" applyFont="1" applyBorder="1" applyAlignment="1">
      <alignment vertical="center" wrapText="1"/>
    </xf>
    <xf numFmtId="0" fontId="16" fillId="0" borderId="1" xfId="0" applyFont="1" applyBorder="1" applyAlignment="1">
      <alignment vertical="center" wrapText="1"/>
    </xf>
    <xf numFmtId="0" fontId="15" fillId="0" borderId="1" xfId="0" applyFont="1" applyBorder="1" applyAlignment="1">
      <alignment vertical="center" wrapText="1"/>
    </xf>
    <xf numFmtId="0" fontId="12" fillId="0" borderId="1" xfId="0" applyFont="1" applyBorder="1" applyAlignment="1">
      <alignment vertical="center" wrapText="1"/>
    </xf>
    <xf numFmtId="0" fontId="18" fillId="0" borderId="3" xfId="0" quotePrefix="1" applyFont="1" applyBorder="1" applyAlignment="1">
      <alignment vertical="center"/>
    </xf>
    <xf numFmtId="0" fontId="18" fillId="0" borderId="3" xfId="0" applyFont="1" applyBorder="1" applyAlignment="1">
      <alignment vertical="center"/>
    </xf>
    <xf numFmtId="0" fontId="15" fillId="0" borderId="3" xfId="0" applyFont="1" applyBorder="1" applyAlignment="1">
      <alignment vertical="center"/>
    </xf>
    <xf numFmtId="0" fontId="12" fillId="0" borderId="3" xfId="0" applyFont="1" applyBorder="1" applyAlignment="1">
      <alignment vertical="center"/>
    </xf>
    <xf numFmtId="0" fontId="18" fillId="0" borderId="4" xfId="0" quotePrefix="1" applyFont="1" applyBorder="1" applyAlignment="1">
      <alignment vertical="center"/>
    </xf>
    <xf numFmtId="0" fontId="18" fillId="0" borderId="4" xfId="0" applyFont="1" applyBorder="1" applyAlignment="1">
      <alignment vertical="center"/>
    </xf>
    <xf numFmtId="0" fontId="15" fillId="0" borderId="4" xfId="0" applyFont="1" applyBorder="1" applyAlignment="1">
      <alignment vertical="center"/>
    </xf>
    <xf numFmtId="0" fontId="12" fillId="0" borderId="4" xfId="0" applyFont="1" applyBorder="1" applyAlignment="1">
      <alignment vertical="center"/>
    </xf>
    <xf numFmtId="0" fontId="22" fillId="0" borderId="5" xfId="0" applyFont="1" applyBorder="1" applyAlignment="1">
      <alignment vertical="center"/>
    </xf>
    <xf numFmtId="0" fontId="22" fillId="0" borderId="5" xfId="0" applyFont="1" applyBorder="1" applyAlignment="1">
      <alignment vertical="center" wrapText="1"/>
    </xf>
    <xf numFmtId="0" fontId="22" fillId="0" borderId="5" xfId="0" applyFont="1" applyBorder="1" applyAlignment="1">
      <alignment horizontal="left" vertical="center"/>
    </xf>
    <xf numFmtId="0" fontId="22" fillId="0" borderId="6" xfId="0" applyFont="1" applyBorder="1" applyAlignment="1">
      <alignment vertical="center" wrapText="1"/>
    </xf>
    <xf numFmtId="0" fontId="22" fillId="0" borderId="7" xfId="0" applyFont="1" applyBorder="1" applyAlignment="1">
      <alignment vertical="center"/>
    </xf>
    <xf numFmtId="0" fontId="22" fillId="0" borderId="8" xfId="0" applyFont="1" applyBorder="1" applyAlignment="1">
      <alignment vertical="center"/>
    </xf>
    <xf numFmtId="0" fontId="22" fillId="0" borderId="9" xfId="0" applyFont="1" applyBorder="1" applyAlignment="1">
      <alignment vertical="center"/>
    </xf>
    <xf numFmtId="0" fontId="22" fillId="0" borderId="6" xfId="0" applyFont="1" applyBorder="1" applyAlignment="1">
      <alignment vertical="center"/>
    </xf>
    <xf numFmtId="0" fontId="23" fillId="0" borderId="5" xfId="0" applyFont="1" applyBorder="1" applyAlignment="1">
      <alignment vertical="center"/>
    </xf>
    <xf numFmtId="0" fontId="25" fillId="0" borderId="5" xfId="0" applyFont="1" applyBorder="1" applyAlignment="1">
      <alignment vertical="center" wrapText="1"/>
    </xf>
    <xf numFmtId="0" fontId="25" fillId="0" borderId="5" xfId="0" applyFont="1" applyBorder="1" applyAlignment="1">
      <alignment vertical="center"/>
    </xf>
    <xf numFmtId="0" fontId="18" fillId="2" borderId="1" xfId="0" applyFont="1" applyFill="1" applyBorder="1" applyAlignment="1">
      <alignment vertical="center" wrapText="1"/>
    </xf>
    <xf numFmtId="0" fontId="11" fillId="0" borderId="0" xfId="0" quotePrefix="1" applyFont="1" applyAlignment="1">
      <alignment vertical="center"/>
    </xf>
    <xf numFmtId="0" fontId="11" fillId="0" borderId="3" xfId="0" quotePrefix="1" applyFont="1" applyBorder="1" applyAlignment="1">
      <alignment vertical="center"/>
    </xf>
    <xf numFmtId="0" fontId="11" fillId="0" borderId="4" xfId="0" quotePrefix="1" applyFont="1" applyBorder="1" applyAlignment="1">
      <alignment vertical="center"/>
    </xf>
    <xf numFmtId="0" fontId="11" fillId="0" borderId="3" xfId="0" applyFont="1" applyBorder="1" applyAlignment="1">
      <alignment vertical="center"/>
    </xf>
    <xf numFmtId="0" fontId="10" fillId="0" borderId="0" xfId="0" applyFont="1" applyAlignment="1">
      <alignment vertical="center" wrapText="1"/>
    </xf>
    <xf numFmtId="0" fontId="27" fillId="0" borderId="9" xfId="0" applyFont="1" applyBorder="1" applyAlignment="1">
      <alignment vertical="center"/>
    </xf>
    <xf numFmtId="0" fontId="29" fillId="0" borderId="2" xfId="1" applyFont="1" applyFill="1" applyBorder="1" applyAlignment="1">
      <alignment horizontal="left" vertical="center"/>
    </xf>
    <xf numFmtId="0" fontId="18" fillId="0" borderId="0" xfId="0" applyFont="1" applyAlignment="1">
      <alignment horizontal="left" vertical="center"/>
    </xf>
    <xf numFmtId="0" fontId="14" fillId="0" borderId="0" xfId="0" applyFont="1" applyAlignment="1">
      <alignment horizontal="left" vertical="center"/>
    </xf>
    <xf numFmtId="0" fontId="12" fillId="0" borderId="0" xfId="0" applyFont="1" applyAlignment="1">
      <alignment horizontal="left" vertical="center"/>
    </xf>
    <xf numFmtId="0" fontId="29" fillId="0" borderId="2" xfId="0" applyFont="1" applyBorder="1" applyAlignment="1">
      <alignment vertical="center"/>
    </xf>
    <xf numFmtId="0" fontId="10" fillId="0" borderId="1" xfId="0" applyFont="1" applyBorder="1" applyAlignment="1">
      <alignment vertical="center" wrapText="1"/>
    </xf>
    <xf numFmtId="0" fontId="10" fillId="0" borderId="0" xfId="0" applyFont="1" applyAlignment="1">
      <alignment vertical="center"/>
    </xf>
    <xf numFmtId="0" fontId="10" fillId="0" borderId="0" xfId="0" applyFont="1"/>
    <xf numFmtId="0" fontId="10" fillId="0" borderId="4" xfId="0" quotePrefix="1" applyFont="1" applyBorder="1" applyAlignment="1">
      <alignment vertical="center"/>
    </xf>
    <xf numFmtId="0" fontId="10" fillId="0" borderId="0" xfId="0" quotePrefix="1" applyFont="1" applyAlignment="1">
      <alignment vertical="center"/>
    </xf>
    <xf numFmtId="0" fontId="10" fillId="0" borderId="3" xfId="0" applyFont="1" applyBorder="1" applyAlignment="1">
      <alignment vertical="center"/>
    </xf>
    <xf numFmtId="0" fontId="10" fillId="0" borderId="4" xfId="0" applyFont="1" applyBorder="1" applyAlignment="1">
      <alignment vertical="center"/>
    </xf>
    <xf numFmtId="0" fontId="10" fillId="0" borderId="3" xfId="0" quotePrefix="1" applyFont="1" applyBorder="1" applyAlignment="1">
      <alignment vertical="center"/>
    </xf>
    <xf numFmtId="0" fontId="15" fillId="0" borderId="1" xfId="0" applyFont="1" applyBorder="1" applyAlignment="1">
      <alignment vertical="center"/>
    </xf>
    <xf numFmtId="0" fontId="12" fillId="0" borderId="1" xfId="0" applyFont="1" applyBorder="1" applyAlignment="1">
      <alignment vertical="center"/>
    </xf>
    <xf numFmtId="0" fontId="10" fillId="0" borderId="1" xfId="0" quotePrefix="1" applyFont="1" applyBorder="1" applyAlignment="1">
      <alignment vertical="center"/>
    </xf>
    <xf numFmtId="0" fontId="9" fillId="0" borderId="0" xfId="0" applyFont="1" applyAlignment="1">
      <alignment vertical="center" wrapText="1"/>
    </xf>
    <xf numFmtId="0" fontId="9" fillId="0" borderId="0" xfId="0" applyFont="1" applyAlignment="1">
      <alignment vertical="center"/>
    </xf>
    <xf numFmtId="0" fontId="9" fillId="0" borderId="1" xfId="0" applyFont="1" applyBorder="1" applyAlignment="1">
      <alignment vertical="center" wrapText="1"/>
    </xf>
    <xf numFmtId="0" fontId="9" fillId="0" borderId="0" xfId="0" quotePrefix="1" applyFont="1" applyAlignment="1">
      <alignment vertical="center"/>
    </xf>
    <xf numFmtId="0" fontId="9" fillId="0" borderId="0" xfId="0" applyFont="1"/>
    <xf numFmtId="0" fontId="9" fillId="0" borderId="3" xfId="0" applyFont="1" applyBorder="1" applyAlignment="1">
      <alignment vertical="center"/>
    </xf>
    <xf numFmtId="0" fontId="9" fillId="0" borderId="4" xfId="0" quotePrefix="1" applyFont="1" applyBorder="1" applyAlignment="1">
      <alignment vertical="center"/>
    </xf>
    <xf numFmtId="0" fontId="9" fillId="0" borderId="4" xfId="0" applyFont="1" applyBorder="1" applyAlignment="1">
      <alignment vertical="center"/>
    </xf>
    <xf numFmtId="0" fontId="9" fillId="0" borderId="3" xfId="0" quotePrefix="1" applyFont="1" applyBorder="1" applyAlignment="1">
      <alignment vertical="center"/>
    </xf>
    <xf numFmtId="0" fontId="8" fillId="0" borderId="0" xfId="0" applyFont="1" applyAlignment="1">
      <alignment vertical="center"/>
    </xf>
    <xf numFmtId="0" fontId="8" fillId="0" borderId="0" xfId="0" applyFont="1" applyAlignment="1">
      <alignment vertical="center" wrapText="1"/>
    </xf>
    <xf numFmtId="0" fontId="8" fillId="0" borderId="1" xfId="0" applyFont="1" applyBorder="1" applyAlignment="1">
      <alignment vertical="center" wrapText="1"/>
    </xf>
    <xf numFmtId="0" fontId="8" fillId="0" borderId="0" xfId="0" applyFont="1"/>
    <xf numFmtId="0" fontId="8" fillId="0" borderId="0" xfId="0" quotePrefix="1" applyFont="1" applyAlignment="1">
      <alignment vertical="center"/>
    </xf>
    <xf numFmtId="0" fontId="8" fillId="0" borderId="4" xfId="0" quotePrefix="1" applyFont="1" applyBorder="1" applyAlignment="1">
      <alignment vertical="center"/>
    </xf>
    <xf numFmtId="0" fontId="7" fillId="0" borderId="0" xfId="0" applyFont="1" applyAlignment="1">
      <alignment vertical="center" wrapText="1"/>
    </xf>
    <xf numFmtId="0" fontId="7" fillId="0" borderId="0" xfId="0" applyFont="1" applyAlignment="1">
      <alignment vertical="center"/>
    </xf>
    <xf numFmtId="0" fontId="7" fillId="0" borderId="0" xfId="0" applyFont="1"/>
    <xf numFmtId="0" fontId="7" fillId="0" borderId="1" xfId="0" applyFont="1" applyBorder="1" applyAlignment="1">
      <alignment vertical="center" wrapText="1"/>
    </xf>
    <xf numFmtId="0" fontId="7" fillId="0" borderId="3" xfId="0" applyFont="1" applyBorder="1" applyAlignment="1">
      <alignment vertical="center"/>
    </xf>
    <xf numFmtId="0" fontId="7" fillId="0" borderId="4" xfId="0" quotePrefix="1" applyFont="1" applyBorder="1" applyAlignment="1">
      <alignment vertical="center"/>
    </xf>
    <xf numFmtId="0" fontId="6" fillId="0" borderId="0" xfId="0" applyFont="1" applyAlignment="1">
      <alignment vertical="center"/>
    </xf>
    <xf numFmtId="0" fontId="6" fillId="0" borderId="0" xfId="0" applyFont="1"/>
    <xf numFmtId="0" fontId="5" fillId="0" borderId="0" xfId="0" applyFont="1" applyAlignment="1">
      <alignment vertical="center" wrapText="1"/>
    </xf>
    <xf numFmtId="0" fontId="5" fillId="0" borderId="0" xfId="0" applyFont="1" applyAlignment="1">
      <alignment vertical="center"/>
    </xf>
    <xf numFmtId="0" fontId="5" fillId="0" borderId="1" xfId="0" applyFont="1" applyBorder="1" applyAlignment="1">
      <alignment vertical="center" wrapText="1"/>
    </xf>
    <xf numFmtId="0" fontId="5" fillId="0" borderId="0" xfId="0" applyFont="1"/>
    <xf numFmtId="0" fontId="5" fillId="0" borderId="0" xfId="0" quotePrefix="1" applyFont="1" applyAlignment="1">
      <alignment vertical="center"/>
    </xf>
    <xf numFmtId="0" fontId="4" fillId="0" borderId="0" xfId="0" applyFont="1" applyAlignment="1">
      <alignment vertical="center" wrapText="1"/>
    </xf>
    <xf numFmtId="0" fontId="4" fillId="0" borderId="0" xfId="0" applyFont="1" applyAlignment="1">
      <alignment vertical="center"/>
    </xf>
    <xf numFmtId="0" fontId="4" fillId="0" borderId="1" xfId="0" applyFont="1" applyBorder="1" applyAlignment="1">
      <alignment vertical="center" wrapText="1"/>
    </xf>
    <xf numFmtId="0" fontId="4" fillId="0" borderId="0" xfId="0" quotePrefix="1" applyFont="1" applyAlignment="1">
      <alignment vertical="center"/>
    </xf>
    <xf numFmtId="0" fontId="4" fillId="0" borderId="0" xfId="0" applyFont="1"/>
    <xf numFmtId="0" fontId="3" fillId="0" borderId="0" xfId="0" applyFont="1" applyAlignment="1">
      <alignment vertical="center" wrapText="1"/>
    </xf>
    <xf numFmtId="0" fontId="3" fillId="0" borderId="0" xfId="0" applyFont="1" applyAlignment="1">
      <alignment vertical="center"/>
    </xf>
    <xf numFmtId="0" fontId="3" fillId="0" borderId="0" xfId="0" applyFont="1"/>
    <xf numFmtId="0" fontId="2" fillId="0" borderId="4" xfId="0" quotePrefix="1" applyFont="1" applyBorder="1" applyAlignment="1">
      <alignment vertical="center"/>
    </xf>
    <xf numFmtId="0" fontId="2" fillId="0" borderId="0" xfId="0" applyFont="1"/>
    <xf numFmtId="0" fontId="2" fillId="0" borderId="1" xfId="0" applyFont="1" applyBorder="1" applyAlignment="1">
      <alignment vertical="center" wrapText="1"/>
    </xf>
    <xf numFmtId="0" fontId="2" fillId="0" borderId="0" xfId="0" applyFont="1" applyAlignment="1">
      <alignment vertical="center" wrapText="1"/>
    </xf>
    <xf numFmtId="0" fontId="1" fillId="0" borderId="0" xfId="0" quotePrefix="1" applyFont="1" applyAlignment="1">
      <alignment vertical="center"/>
    </xf>
    <xf numFmtId="0" fontId="29" fillId="0" borderId="2" xfId="1" quotePrefix="1" applyFont="1" applyFill="1" applyBorder="1" applyAlignment="1">
      <alignment horizontal="left" vertical="center"/>
    </xf>
    <xf numFmtId="0" fontId="1" fillId="0" borderId="0" xfId="0" quotePrefix="1" applyFont="1" applyAlignment="1">
      <alignment horizontal="left" vertical="center"/>
    </xf>
    <xf numFmtId="0" fontId="1"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29"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18" fillId="4" borderId="0" xfId="0" applyFont="1" applyFill="1" applyAlignment="1">
      <alignment vertical="center"/>
    </xf>
    <xf numFmtId="0" fontId="22" fillId="4" borderId="5" xfId="0" quotePrefix="1" applyFont="1" applyFill="1" applyBorder="1" applyAlignment="1">
      <alignment vertical="center"/>
    </xf>
    <xf numFmtId="0" fontId="11" fillId="4" borderId="0" xfId="0" applyFont="1" applyFill="1" applyAlignment="1">
      <alignment vertical="center"/>
    </xf>
    <xf numFmtId="0" fontId="1" fillId="0" borderId="0" xfId="0" applyFont="1" applyAlignment="1">
      <alignment vertical="center"/>
    </xf>
    <xf numFmtId="0" fontId="1" fillId="0" borderId="1" xfId="0" applyFont="1" applyBorder="1" applyAlignment="1">
      <alignment vertical="center"/>
    </xf>
    <xf numFmtId="0" fontId="1" fillId="0" borderId="0" xfId="0" applyFont="1" applyAlignment="1">
      <alignment vertical="center" wrapText="1"/>
    </xf>
    <xf numFmtId="0" fontId="15" fillId="0" borderId="0" xfId="0" quotePrefix="1" applyFont="1" applyAlignment="1">
      <alignment vertical="center" wrapText="1"/>
    </xf>
    <xf numFmtId="0" fontId="1" fillId="0" borderId="1" xfId="0" applyFont="1" applyBorder="1" applyAlignment="1">
      <alignment vertical="center" wrapText="1"/>
    </xf>
    <xf numFmtId="0" fontId="1" fillId="0" borderId="4" xfId="0" applyFont="1" applyBorder="1" applyAlignment="1">
      <alignment vertical="center"/>
    </xf>
    <xf numFmtId="0" fontId="22" fillId="0" borderId="0" xfId="0" applyFont="1" applyAlignment="1">
      <alignment vertical="center" wrapText="1"/>
    </xf>
  </cellXfs>
  <cellStyles count="2">
    <cellStyle name="Hyperlink" xfId="1" builtinId="8"/>
    <cellStyle name="Normal" xfId="0" builtinId="0"/>
  </cellStyles>
  <dxfs count="17">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ill>
        <patternFill>
          <bgColor rgb="FFC00000"/>
        </patternFill>
      </fill>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45243</xdr:colOff>
          <xdr:row>1</xdr:row>
          <xdr:rowOff>33336</xdr:rowOff>
        </xdr:from>
        <xdr:to>
          <xdr:col>1</xdr:col>
          <xdr:colOff>595313</xdr:colOff>
          <xdr:row>2</xdr:row>
          <xdr:rowOff>119062</xdr:rowOff>
        </xdr:to>
        <xdr:sp macro="" textlink="">
          <xdr:nvSpPr>
            <xdr:cNvPr id="1029" name="Button 5" hidden="1">
              <a:extLst>
                <a:ext uri="{63B3BB69-23CF-44E3-9099-C40C66FF867C}">
                  <a14:compatExt spid="_x0000_s1029"/>
                </a:ext>
                <a:ext uri="{FF2B5EF4-FFF2-40B4-BE49-F238E27FC236}">
                  <a16:creationId xmlns:a16="http://schemas.microsoft.com/office/drawing/2014/main" id="{3CFDEEB7-4EBC-62D9-FEC2-9FB067B1BD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104_DOROSZLO_60x96.pdf" TargetMode="External"/><Relationship Id="rId18" Type="http://schemas.openxmlformats.org/officeDocument/2006/relationships/hyperlink" Target="http://www.therealpresence.org/eucharst/misc/BVM/109_LAJAS_96x96.pdf" TargetMode="External"/><Relationship Id="rId26" Type="http://schemas.openxmlformats.org/officeDocument/2006/relationships/hyperlink" Target="http://www.therealpresence.org/eucharst/misc/BVM/26_PONTMAIN_60x96.pdf" TargetMode="External"/><Relationship Id="rId39" Type="http://schemas.openxmlformats.org/officeDocument/2006/relationships/vmlDrawing" Target="../drawings/vmlDrawing1.vml"/><Relationship Id="rId21"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94_CAYSASAY_60x96.pdf" TargetMode="External"/><Relationship Id="rId17" Type="http://schemas.openxmlformats.org/officeDocument/2006/relationships/hyperlink" Target="http://www.therealpresence.org/eucharst/misc/BVM/69_LAUS_140x96.pdf" TargetMode="External"/><Relationship Id="rId25" Type="http://schemas.openxmlformats.org/officeDocument/2006/relationships/hyperlink" Target="http://www.therealpresence.org/eucharst/misc/BVM/89_FILIPOV_96x96.pdf" TargetMode="External"/><Relationship Id="rId33" Type="http://schemas.openxmlformats.org/officeDocument/2006/relationships/hyperlink" Target="http://www.therealpresence.org/eucharst/misc/BVM/144_ZEITUN_96x96.pdf" TargetMode="External"/><Relationship Id="rId38" Type="http://schemas.openxmlformats.org/officeDocument/2006/relationships/drawing" Target="../drawings/drawing1.xm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102_CUBA_96x96.pdf" TargetMode="External"/><Relationship Id="rId20" Type="http://schemas.openxmlformats.org/officeDocument/2006/relationships/hyperlink" Target="http://www.therealpresence.org/eucharst/misc/BVM/110_LICHEN_96x96.pdf" TargetMode="External"/><Relationship Id="rId29" Type="http://schemas.openxmlformats.org/officeDocument/2006/relationships/hyperlink" Target="http://www.therealpresence.org/eucharst/misc/BVM/63_KNOCK_6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40_LOURDES_140x96.pdf" TargetMode="External"/><Relationship Id="rId32" Type="http://schemas.openxmlformats.org/officeDocument/2006/relationships/hyperlink" Target="http://www.therealpresence.org/eucharst/misc/BVM/124_NGOME_140x96.pdf" TargetMode="External"/><Relationship Id="rId37" Type="http://schemas.openxmlformats.org/officeDocument/2006/relationships/printerSettings" Target="../printerSettings/printerSettings1.bin"/><Relationship Id="rId40" Type="http://schemas.openxmlformats.org/officeDocument/2006/relationships/ctrlProp" Target="../ctrlProps/ctrlProp1.xm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88_MANAOAG_60x96.pdf" TargetMode="External"/><Relationship Id="rId23" Type="http://schemas.openxmlformats.org/officeDocument/2006/relationships/hyperlink" Target="http://www.therealpresence.org/eucharst/misc/BVM/30_LA_SALETTE_96x96.pdf" TargetMode="External"/><Relationship Id="rId28" Type="http://schemas.openxmlformats.org/officeDocument/2006/relationships/hyperlink" Target="http://www.therealpresence.org/eucharst/misc/BVM/85_GIETRZALD_96x96.pdf" TargetMode="External"/><Relationship Id="rId36" Type="http://schemas.openxmlformats.org/officeDocument/2006/relationships/hyperlink" Target="http://www.therealpresence.org/eucharst/misc/BVM/20_KIBEHO_96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21_LAVANG_60x96.pdf" TargetMode="External"/><Relationship Id="rId31"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57_SILUVA_96x96.pdf" TargetMode="External"/><Relationship Id="rId22" Type="http://schemas.openxmlformats.org/officeDocument/2006/relationships/hyperlink" Target="http://www.therealpresence.org/eucharst/misc/BVM/23_ROMA_60x96.pdf" TargetMode="External"/><Relationship Id="rId27" Type="http://schemas.openxmlformats.org/officeDocument/2006/relationships/hyperlink" Target="http://www.therealpresence.org/eucharst/misc/BVM/07_PELLEVOISIN_60x96.pdf" TargetMode="External"/><Relationship Id="rId30" Type="http://schemas.openxmlformats.org/officeDocument/2006/relationships/hyperlink" Target="http://www.therealpresence.org/eucharst/misc/BVM/154_FATIMA_96x96_1.pdf" TargetMode="External"/><Relationship Id="rId35" Type="http://schemas.openxmlformats.org/officeDocument/2006/relationships/hyperlink" Target="http://www.therealpresence.org/eucharst/misc/BVM/16_CUAP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41"/>
  <sheetViews>
    <sheetView tabSelected="1" zoomScale="80" zoomScaleNormal="80" workbookViewId="0">
      <pane xSplit="6" ySplit="5" topLeftCell="G126" activePane="bottomRight" state="frozen"/>
      <selection pane="topRight" activeCell="G1" sqref="G1"/>
      <selection pane="bottomLeft" activeCell="A2" sqref="A2"/>
      <selection pane="bottomRight" activeCell="I140" sqref="I140"/>
    </sheetView>
  </sheetViews>
  <sheetFormatPr defaultColWidth="9.140625" defaultRowHeight="12.75" x14ac:dyDescent="0.25"/>
  <cols>
    <col min="1" max="1" width="12.85546875" style="168" bestFit="1" customWidth="1"/>
    <col min="2" max="2" width="9.85546875" style="24" bestFit="1" customWidth="1"/>
    <col min="3" max="3" width="14.42578125" style="24" customWidth="1"/>
    <col min="4" max="4" width="5.28515625" style="15" customWidth="1"/>
    <col min="5" max="5" width="5.28515625" style="49" customWidth="1"/>
    <col min="6" max="6" width="38.140625" style="24" bestFit="1" customWidth="1"/>
    <col min="7" max="7" width="38.140625" style="53" customWidth="1"/>
    <col min="8" max="8" width="9.42578125" style="24" bestFit="1" customWidth="1"/>
    <col min="9" max="9" width="9.42578125" style="24" customWidth="1"/>
    <col min="10" max="11" width="14.42578125" style="24" customWidth="1"/>
    <col min="12" max="12" width="69" style="24" customWidth="1"/>
    <col min="13" max="13" width="45.5703125" style="53" customWidth="1"/>
    <col min="14" max="14" width="11.42578125" style="15" bestFit="1" customWidth="1"/>
    <col min="15" max="15" width="9.140625" style="15"/>
    <col min="16" max="16" width="11.5703125" style="60" bestFit="1" customWidth="1"/>
    <col min="17" max="17" width="10.28515625" style="15" bestFit="1" customWidth="1"/>
    <col min="18" max="18" width="14.85546875" style="64" bestFit="1" customWidth="1"/>
    <col min="19" max="19" width="11.5703125" style="60" bestFit="1" customWidth="1"/>
    <col min="20" max="20" width="10.28515625" style="15" bestFit="1" customWidth="1"/>
    <col min="21" max="21" width="14.85546875" style="64" bestFit="1" customWidth="1"/>
    <col min="22" max="22" width="11.5703125" style="15" bestFit="1" customWidth="1"/>
    <col min="23" max="23" width="10.28515625" style="15" bestFit="1" customWidth="1"/>
    <col min="24" max="24" width="14.85546875" style="49" bestFit="1" customWidth="1"/>
    <col min="25" max="34" width="18.85546875" style="15" customWidth="1"/>
    <col min="35" max="35" width="36.28515625" style="89" bestFit="1" customWidth="1"/>
    <col min="36" max="36" width="21" style="86"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43" width="4.5703125" style="159" bestFit="1" customWidth="1"/>
    <col min="44" max="44" width="9" style="154" bestFit="1" customWidth="1"/>
    <col min="45" max="45" width="10.28515625" style="155" bestFit="1" customWidth="1"/>
    <col min="46" max="46" width="8.85546875" style="155" bestFit="1" customWidth="1"/>
    <col min="47" max="47" width="8.85546875" style="155" customWidth="1"/>
    <col min="48" max="63" width="9.140625" style="155"/>
    <col min="64" max="71" width="7.140625" style="155" customWidth="1"/>
    <col min="72" max="75" width="9.140625" style="155"/>
    <col min="76" max="76" width="38.7109375" style="23" customWidth="1"/>
    <col min="77" max="77" width="38.7109375" style="31" customWidth="1"/>
    <col min="78" max="83" width="12" style="29" customWidth="1"/>
    <col min="84" max="84" width="11.85546875" style="29" bestFit="1" customWidth="1"/>
    <col min="85" max="89" width="11.85546875" style="29" customWidth="1"/>
    <col min="90" max="16384" width="9.140625" style="15"/>
  </cols>
  <sheetData>
    <row r="1" spans="1:89" ht="51" x14ac:dyDescent="0.25">
      <c r="A1" s="168" t="s">
        <v>2518</v>
      </c>
      <c r="B1" s="24" t="s">
        <v>2509</v>
      </c>
      <c r="C1" s="164" t="s">
        <v>2502</v>
      </c>
      <c r="D1" s="162" t="s">
        <v>341</v>
      </c>
      <c r="E1" s="163" t="s">
        <v>2501</v>
      </c>
      <c r="F1" s="164" t="s">
        <v>2503</v>
      </c>
      <c r="G1" s="166" t="s">
        <v>2504</v>
      </c>
      <c r="H1" s="164" t="s">
        <v>2505</v>
      </c>
      <c r="I1" s="164" t="s">
        <v>2506</v>
      </c>
      <c r="J1" s="164" t="s">
        <v>2507</v>
      </c>
      <c r="K1" s="164" t="s">
        <v>2508</v>
      </c>
      <c r="L1" s="164" t="s">
        <v>2510</v>
      </c>
      <c r="M1" s="166" t="s">
        <v>2511</v>
      </c>
      <c r="N1" s="162" t="s">
        <v>2512</v>
      </c>
      <c r="O1" s="162" t="s">
        <v>2513</v>
      </c>
      <c r="P1" s="60" t="s">
        <v>1775</v>
      </c>
      <c r="Q1" s="15" t="s">
        <v>1776</v>
      </c>
      <c r="R1" s="167" t="s">
        <v>2514</v>
      </c>
      <c r="S1" s="60" t="s">
        <v>1779</v>
      </c>
      <c r="T1" s="15" t="s">
        <v>1780</v>
      </c>
      <c r="U1" s="64" t="s">
        <v>2515</v>
      </c>
      <c r="V1" s="15" t="s">
        <v>1782</v>
      </c>
      <c r="W1" s="15" t="s">
        <v>1783</v>
      </c>
      <c r="X1" s="49" t="s">
        <v>2516</v>
      </c>
      <c r="Y1" s="15" t="s">
        <v>2517</v>
      </c>
      <c r="AI1" s="89" t="s">
        <v>336</v>
      </c>
      <c r="AJ1" s="86" t="s">
        <v>336</v>
      </c>
      <c r="AK1" s="15" t="s">
        <v>336</v>
      </c>
      <c r="AL1" s="15" t="s">
        <v>336</v>
      </c>
      <c r="AM1" s="15" t="s">
        <v>336</v>
      </c>
      <c r="AN1" s="15" t="s">
        <v>336</v>
      </c>
      <c r="AO1" s="15" t="s">
        <v>336</v>
      </c>
      <c r="AP1" s="49" t="s">
        <v>336</v>
      </c>
      <c r="AR1" s="154" t="b">
        <f>IF(OR(A1="Done",A1="In Progress"),TRUE)</f>
        <v>0</v>
      </c>
      <c r="AS1" s="155" t="str">
        <f>"title: """&amp;F1&amp;""""</f>
        <v>title: "Page Title (what will display on website)"</v>
      </c>
      <c r="AT1" s="155" t="str">
        <f>"location: {lat: "&amp;D1&amp;", lng: "&amp;E1&amp;"}"</f>
        <v>location: {lat: Lat, lng: Lon}</v>
      </c>
      <c r="AU1" s="155" t="str">
        <f>"level: "&amp;H1</f>
        <v>level: Interest Level</v>
      </c>
      <c r="AV1" s="155" t="e">
        <f>"- "&amp;VLOOKUP(B1,'(Ref) Countries'!A:C,3,)</f>
        <v>#N/A</v>
      </c>
      <c r="AW1" s="155" t="str">
        <f>IF(LEN(C1)&gt;1,"- "&amp;LOWER(SUBSTITUTE(C1," ","-")),"")</f>
        <v>- region/city-(optional---refer-to-existing-list)</v>
      </c>
      <c r="AX1" s="155" t="e">
        <f>IF(I1,"- churches","")</f>
        <v>#VALUE!</v>
      </c>
      <c r="AY1" s="155" t="e">
        <f>IF(J1,"- marian-sites","")</f>
        <v>#VALUE!</v>
      </c>
      <c r="AZ1" s="155" t="e">
        <f>IF(K1,"- holy-persons","")</f>
        <v>#VALUE!</v>
      </c>
      <c r="BA1" s="155" t="str">
        <f>IF(LEN(Y1)&gt;0,"- "&amp;Y1,"")</f>
        <v>- Additional Tags (must add to tag sheet)</v>
      </c>
      <c r="BB1" s="155" t="str">
        <f>IF(LEN(Z1)&gt;0,"- "&amp;Z1,"")</f>
        <v/>
      </c>
      <c r="BC1" s="155" t="str">
        <f>IF(LEN(AA1)&gt;0,"- "&amp;AA1,"")</f>
        <v/>
      </c>
      <c r="BD1" s="155" t="str">
        <f>IF(LEN(AB1)&gt;0,"- "&amp;AB1,"")</f>
        <v/>
      </c>
      <c r="BE1" s="155" t="str">
        <f>IF(LEN(AC1)&gt;0,"- "&amp;AC1,"")</f>
        <v/>
      </c>
      <c r="BF1" s="155" t="str">
        <f>IF(LEN(AD1)&gt;0,"- "&amp;AD1,"")</f>
        <v/>
      </c>
      <c r="BG1" s="155" t="str">
        <f>IF(LEN(AE1)&gt;0,"- "&amp;AE1,"")</f>
        <v/>
      </c>
      <c r="BH1" s="155" t="str">
        <f>IF(LEN(AF1)&gt;0,"- "&amp;AF1,"")</f>
        <v/>
      </c>
      <c r="BI1" s="155" t="str">
        <f>IF(LEN(AG1)&gt;0,"- "&amp;AG1,"")</f>
        <v/>
      </c>
      <c r="BJ1" s="155" t="str">
        <f>IF(LEN(AH1)&gt;0,"- "&amp;AH1,"")</f>
        <v/>
      </c>
      <c r="BK1" s="155" t="e">
        <f>"tags:"&amp;CHAR(10)&amp;concatl(AV1:BJ1)</f>
        <v>#VALUE!</v>
      </c>
      <c r="BL1" s="155" t="str">
        <f>IF(LEN(N1)&gt;0,TRIM(CONCATENATE("[Official site](",N1,") ",O1)),"")</f>
        <v>[Official site](Official URL) Comment</v>
      </c>
      <c r="BM1" s="155" t="str">
        <f>IF(LEN(Q1)&gt;0,TRIM(CONCATENATE("["&amp;P1&amp;"](",Q1,") ",R1)),"")</f>
        <v>[Link 1 Name](Link 1 URL) Link 1 Comment</v>
      </c>
      <c r="BN1" s="155" t="str">
        <f>IF(LEN(T1)&gt;0,TRIM(CONCATENATE("["&amp;S1&amp;"](",T1,") ",U1)),"")</f>
        <v>[Link 2 Name](Link 2 URL) Link 2 Comment</v>
      </c>
      <c r="BO1" s="155" t="str">
        <f>IF(LEN(W1)&gt;0,TRIM(CONCATENATE("["&amp;V1&amp;"](",W1,") ",X1)),"")</f>
        <v>[Link 3 Name](Link 3 URL) Link 3 Comment</v>
      </c>
      <c r="BP1" s="155" t="str">
        <f>IF(LEN(BL1)&gt;0,"* "&amp;BL1&amp;CHAR(10),"")&amp;
IF(LEN(BM1)&gt;0,"* "&amp;BM1&amp;CHAR(10),"")&amp;
IF(LEN(BN1)&gt;0,"* "&amp;BN1&amp;CHAR(10),"")&amp;
IF(LEN(BO1)&gt;0,"* "&amp;BO1&amp;CHAR(10),"")</f>
        <v xml:space="preserve">* [Official site](Official URL) Comment
* [Link 1 Name](Link 1 URL) Link 1 Comment
* [Link 2 Name](Link 2 URL) Link 2 Comment
* [Link 3 Name](Link 3 URL) Link 3 Comment
</v>
      </c>
      <c r="BQ1" s="155" t="str">
        <f>IF(LEN(AK1)&gt;0,TRIM(CONCATENATE("[Link](",AK1,") ",AL1)),"")</f>
        <v/>
      </c>
      <c r="BR1" s="155" t="str">
        <f>IF(LEN(AM1)&gt;0,TRIM(CONCATENATE("[Link](",AM1,") ",AN1)),"")</f>
        <v/>
      </c>
      <c r="BS1" s="155" t="str">
        <f>IF(LEN(AO1)&gt;0,TRIM(CONCATENATE("[Link](",AO1,") ",AP1)),"")</f>
        <v/>
      </c>
      <c r="BT1" s="155" t="str">
        <f>IF(LEN(concat(BQ1:BS1))&gt;0,concat("| ",BQ1," | ",BR1," | ",BS1," |"),"")</f>
        <v/>
      </c>
      <c r="BU1" s="155" t="e">
        <f>IF(J1,concatl("| The Real Presence | Miracle Hunter | MaryPages |","| --- | --- | --- |",BT1),"")</f>
        <v>#VALUE!</v>
      </c>
      <c r="BV1" s="155" t="e">
        <f>IF(LEN(BP1&amp;BU1)&gt;0,concatll("#### More Information",BP1,BU1),"")</f>
        <v>#VALUE!</v>
      </c>
      <c r="BW1" s="155" t="str">
        <f>IF(LEN(M1)&gt;1,concatll("#### Author's Note",M1),"")</f>
        <v xml:space="preserve">#### Author's Note_x000D_
_x000D_
Non-referenceable information which you've found, or any other opinions/preferences_x000D_
_x000D_
</v>
      </c>
      <c r="BX1" s="23" t="str">
        <f>IF(AR1,concatll(concatl("---",AS1:AU1,BK1,"---"),L1,BV1:BW1),"")</f>
        <v/>
      </c>
      <c r="BY1" s="31" t="str">
        <f>IF(AR1,VLOOKUP(B1,'(Ref) Countries'!A:B,2,)&amp;IF(LEN(C1)&gt;1,"-"&amp;LOWER(SUBSTITUTE(C1," ","-")),"")&amp;"-"&amp;LOWER(SUBSTITUTE(G1," ","-"))&amp;".md","")</f>
        <v/>
      </c>
      <c r="BZ1" s="29" t="e">
        <f>IF(LEN(Y1)&gt;1,VLOOKUP(Y1,'Tag List'!$A:$B,2,),"")</f>
        <v>#N/A</v>
      </c>
      <c r="CA1" s="29" t="str">
        <f>IF(LEN(Z1)&gt;1,VLOOKUP(Z1,'Tag List'!$A:$B,2,),"")</f>
        <v/>
      </c>
      <c r="CB1" s="29" t="str">
        <f>IF(LEN(AA1)&gt;1,VLOOKUP(AA1,'Tag List'!$A:$B,2,),"")</f>
        <v/>
      </c>
      <c r="CC1" s="29" t="e">
        <f>IF(LEN(Y1)&gt;1,GetTagPage(BZ1,Y1),"")</f>
        <v>#VALUE!</v>
      </c>
      <c r="CD1" s="29" t="str">
        <f>IF(LEN(Z1)&gt;1,GetTagPage(CA1,Z1),"")</f>
        <v/>
      </c>
      <c r="CE1" s="29" t="str">
        <f>IF(LEN(AA1)&gt;1,GetTagPage(CB1,AA1),"")</f>
        <v/>
      </c>
      <c r="CF1" s="29" t="e">
        <f>"|"&amp;IF(LEN(CC1)&gt;1," "&amp;CC1,"")&amp;IF(LEN(CD1)&gt;1,", "&amp;CD1,"")&amp;IF(LEN(CE1)&gt;1,", "&amp;CE1,"")&amp;" "</f>
        <v>#VALUE!</v>
      </c>
      <c r="CG1" s="29" t="str">
        <f>"| "&amp;IF(AR1,"["&amp;AI1&amp;"](/places/"&amp;SUBSTITUTE(BY1,".md","")&amp;")",AI1)&amp;" "</f>
        <v xml:space="preserve">|  </v>
      </c>
      <c r="CH1" s="29" t="str">
        <f>"| "&amp;IF(AR1,GetTagPage(B1,VLOOKUP(B1,'(Ref) Countries'!A:C,3,)),B1)&amp; " "</f>
        <v xml:space="preserve">| Country Name </v>
      </c>
      <c r="CI1" s="29" t="str">
        <f>"| "&amp;AJ1&amp;" "</f>
        <v xml:space="preserve">|  </v>
      </c>
      <c r="CJ1" s="29" t="str">
        <f>"|"&amp;IF(AR1," [Link](/places/"&amp;SUBSTITUTE(BY1,".md","")&amp;")","")&amp;" "</f>
        <v xml:space="preserve">| </v>
      </c>
      <c r="CK1" s="29" t="e">
        <f>"
"&amp;CG1&amp;CH1&amp;CI1&amp;CJ1&amp;BL1&amp;BQ1&amp;BR1&amp;BS1&amp;CF1&amp;"|"</f>
        <v>#VALUE!</v>
      </c>
    </row>
    <row r="2" spans="1:89" x14ac:dyDescent="0.25">
      <c r="X2" s="163"/>
    </row>
    <row r="5" spans="1:89" s="67" customFormat="1" ht="13.5" thickBot="1" x14ac:dyDescent="0.3">
      <c r="A5" s="146" t="s">
        <v>1321</v>
      </c>
      <c r="B5" s="146" t="s">
        <v>485</v>
      </c>
      <c r="C5" s="146" t="s">
        <v>1722</v>
      </c>
      <c r="D5" s="145" t="s">
        <v>341</v>
      </c>
      <c r="E5" s="147" t="s">
        <v>342</v>
      </c>
      <c r="F5" s="146" t="s">
        <v>727</v>
      </c>
      <c r="G5" s="148" t="s">
        <v>728</v>
      </c>
      <c r="H5" s="146" t="s">
        <v>2486</v>
      </c>
      <c r="I5" s="146" t="s">
        <v>1795</v>
      </c>
      <c r="J5" s="146" t="s">
        <v>1766</v>
      </c>
      <c r="K5" s="146" t="s">
        <v>1754</v>
      </c>
      <c r="L5" s="146" t="s">
        <v>165</v>
      </c>
      <c r="M5" s="148" t="s">
        <v>369</v>
      </c>
      <c r="N5" s="145" t="s">
        <v>1777</v>
      </c>
      <c r="O5" s="145" t="s">
        <v>1774</v>
      </c>
      <c r="P5" s="149" t="s">
        <v>1775</v>
      </c>
      <c r="Q5" s="145" t="s">
        <v>1776</v>
      </c>
      <c r="R5" s="150" t="s">
        <v>2514</v>
      </c>
      <c r="S5" s="149" t="s">
        <v>1779</v>
      </c>
      <c r="T5" s="145" t="s">
        <v>1780</v>
      </c>
      <c r="U5" s="150" t="s">
        <v>1781</v>
      </c>
      <c r="V5" s="145" t="s">
        <v>1782</v>
      </c>
      <c r="W5" s="145" t="s">
        <v>1783</v>
      </c>
      <c r="X5" s="147" t="s">
        <v>1784</v>
      </c>
      <c r="Y5" s="145" t="s">
        <v>1418</v>
      </c>
      <c r="Z5" s="145" t="s">
        <v>1420</v>
      </c>
      <c r="AA5" s="145" t="s">
        <v>1422</v>
      </c>
      <c r="AB5" s="145" t="s">
        <v>1767</v>
      </c>
      <c r="AC5" s="145" t="s">
        <v>1768</v>
      </c>
      <c r="AD5" s="145" t="s">
        <v>1769</v>
      </c>
      <c r="AE5" s="145" t="s">
        <v>1770</v>
      </c>
      <c r="AF5" s="145" t="s">
        <v>1771</v>
      </c>
      <c r="AG5" s="145" t="s">
        <v>1772</v>
      </c>
      <c r="AH5" s="145" t="s">
        <v>1773</v>
      </c>
      <c r="AI5" s="151" t="s">
        <v>1766</v>
      </c>
      <c r="AJ5" s="152" t="s">
        <v>163</v>
      </c>
      <c r="AK5" s="145" t="s">
        <v>333</v>
      </c>
      <c r="AL5" s="145" t="s">
        <v>1325</v>
      </c>
      <c r="AM5" s="145" t="s">
        <v>335</v>
      </c>
      <c r="AN5" s="145" t="s">
        <v>1326</v>
      </c>
      <c r="AO5" s="145" t="s">
        <v>350</v>
      </c>
      <c r="AP5" s="147" t="s">
        <v>1327</v>
      </c>
      <c r="AQ5" s="160" t="s">
        <v>336</v>
      </c>
      <c r="AR5" s="156" t="s">
        <v>1454</v>
      </c>
      <c r="AS5" s="157" t="s">
        <v>999</v>
      </c>
      <c r="AT5" s="157" t="s">
        <v>164</v>
      </c>
      <c r="AU5" s="157" t="s">
        <v>2486</v>
      </c>
      <c r="AV5" s="157" t="s">
        <v>1799</v>
      </c>
      <c r="AW5" s="157" t="s">
        <v>1800</v>
      </c>
      <c r="AX5" s="157" t="s">
        <v>1798</v>
      </c>
      <c r="AY5" s="157" t="s">
        <v>1796</v>
      </c>
      <c r="AZ5" s="157" t="s">
        <v>1797</v>
      </c>
      <c r="BA5" s="157" t="s">
        <v>1785</v>
      </c>
      <c r="BB5" s="157" t="s">
        <v>1786</v>
      </c>
      <c r="BC5" s="157" t="s">
        <v>1787</v>
      </c>
      <c r="BD5" s="157" t="s">
        <v>1788</v>
      </c>
      <c r="BE5" s="157" t="s">
        <v>1789</v>
      </c>
      <c r="BF5" s="157" t="s">
        <v>1790</v>
      </c>
      <c r="BG5" s="157" t="s">
        <v>1791</v>
      </c>
      <c r="BH5" s="157" t="s">
        <v>1792</v>
      </c>
      <c r="BI5" s="157" t="s">
        <v>1793</v>
      </c>
      <c r="BJ5" s="157" t="s">
        <v>1794</v>
      </c>
      <c r="BK5" s="157" t="s">
        <v>339</v>
      </c>
      <c r="BL5" s="157" t="s">
        <v>1001</v>
      </c>
      <c r="BM5" s="157" t="s">
        <v>1804</v>
      </c>
      <c r="BN5" s="157" t="s">
        <v>1805</v>
      </c>
      <c r="BO5" s="157" t="s">
        <v>1806</v>
      </c>
      <c r="BP5" s="157" t="s">
        <v>1811</v>
      </c>
      <c r="BQ5" s="157" t="s">
        <v>1803</v>
      </c>
      <c r="BR5" s="157" t="s">
        <v>158</v>
      </c>
      <c r="BS5" s="157" t="s">
        <v>621</v>
      </c>
      <c r="BT5" s="157" t="s">
        <v>1807</v>
      </c>
      <c r="BU5" s="157" t="s">
        <v>1802</v>
      </c>
      <c r="BV5" s="157" t="s">
        <v>2268</v>
      </c>
      <c r="BW5" s="157" t="s">
        <v>1801</v>
      </c>
      <c r="BX5" s="77" t="s">
        <v>1808</v>
      </c>
      <c r="BY5" s="76" t="s">
        <v>989</v>
      </c>
      <c r="BZ5" s="75" t="s">
        <v>1419</v>
      </c>
      <c r="CA5" s="75" t="s">
        <v>1421</v>
      </c>
      <c r="CB5" s="75" t="s">
        <v>1423</v>
      </c>
      <c r="CC5" s="75" t="s">
        <v>1448</v>
      </c>
      <c r="CD5" s="75" t="s">
        <v>1449</v>
      </c>
      <c r="CE5" s="75" t="s">
        <v>1450</v>
      </c>
      <c r="CF5" s="75" t="s">
        <v>1447</v>
      </c>
      <c r="CG5" s="75" t="s">
        <v>1452</v>
      </c>
      <c r="CH5" s="75" t="s">
        <v>1453</v>
      </c>
      <c r="CI5" s="75" t="s">
        <v>1455</v>
      </c>
      <c r="CJ5" s="75" t="s">
        <v>1456</v>
      </c>
      <c r="CK5" s="75" t="s">
        <v>1451</v>
      </c>
    </row>
    <row r="6" spans="1:89" ht="89.25" x14ac:dyDescent="0.25">
      <c r="A6" s="168" t="s">
        <v>1320</v>
      </c>
      <c r="B6" s="24" t="s">
        <v>500</v>
      </c>
      <c r="D6" s="15">
        <v>-34.564198513371799</v>
      </c>
      <c r="E6" s="49">
        <v>-59.121408231421597</v>
      </c>
      <c r="F6" s="32" t="s">
        <v>1404</v>
      </c>
      <c r="G6" s="57" t="s">
        <v>1404</v>
      </c>
      <c r="H6" s="32" t="s">
        <v>1715</v>
      </c>
      <c r="I6" s="40" t="b">
        <v>1</v>
      </c>
      <c r="J6" s="24" t="b">
        <v>1</v>
      </c>
      <c r="L6" s="47" t="s">
        <v>1810</v>
      </c>
      <c r="N6" s="15" t="s">
        <v>1405</v>
      </c>
      <c r="O6" s="15" t="s">
        <v>336</v>
      </c>
      <c r="Y6" s="15" t="s">
        <v>336</v>
      </c>
      <c r="AI6" s="85" t="s">
        <v>1251</v>
      </c>
      <c r="AJ6" s="86" t="s">
        <v>1123</v>
      </c>
      <c r="AK6" s="15" t="s">
        <v>256</v>
      </c>
      <c r="AL6" s="15" t="s">
        <v>336</v>
      </c>
      <c r="AM6" s="15" t="s">
        <v>1406</v>
      </c>
      <c r="AN6" s="34" t="s">
        <v>1407</v>
      </c>
      <c r="AO6" s="15" t="s">
        <v>336</v>
      </c>
      <c r="AP6" s="49" t="s">
        <v>336</v>
      </c>
      <c r="AR6" s="154" t="b">
        <f>IF(OR(A6="Done",A6="In Progress"),TRUE)</f>
        <v>1</v>
      </c>
      <c r="AS6" s="155" t="str">
        <f>"title: """&amp;F6&amp;""""</f>
        <v>title: "Basilica of Our Lady of Lujan"</v>
      </c>
      <c r="AT6" s="155" t="str">
        <f>"location: {lat: "&amp;D6&amp;", lng: "&amp;E6&amp;"}"</f>
        <v>location: {lat: -34.5641985133718, lng: -59.1214082314216}</v>
      </c>
      <c r="AU6" s="155" t="str">
        <f>"interest: "&amp;H6</f>
        <v>interest: global</v>
      </c>
      <c r="AV6" s="155" t="str">
        <f>"- "&amp;VLOOKUP(B6,'(Ref) Countries'!A:C,3,)</f>
        <v>- argentina</v>
      </c>
      <c r="AW6" s="155" t="str">
        <f>IF(LEN(C6)&gt;1,"- "&amp;LOWER(SUBSTITUTE(C6," ","-")),"")</f>
        <v/>
      </c>
      <c r="AX6" s="155" t="str">
        <f>IF(I6,"- churches","")</f>
        <v>- churches</v>
      </c>
      <c r="AY6" s="155" t="str">
        <f>IF(J6,"- marian-sites","")</f>
        <v>- marian-sites</v>
      </c>
      <c r="AZ6" s="155" t="str">
        <f>IF(K6,"- holy-persons","")</f>
        <v/>
      </c>
      <c r="BA6" s="155" t="str">
        <f>IF(LEN(Y6)&gt;0,"- "&amp;Y6,"")</f>
        <v/>
      </c>
      <c r="BB6" s="155" t="str">
        <f>IF(LEN(Z6)&gt;0,"- "&amp;Z6,"")</f>
        <v/>
      </c>
      <c r="BC6" s="155" t="str">
        <f>IF(LEN(AA6)&gt;0,"- "&amp;AA6,"")</f>
        <v/>
      </c>
      <c r="BD6" s="155" t="str">
        <f>IF(LEN(AB6)&gt;0,"- "&amp;AB6,"")</f>
        <v/>
      </c>
      <c r="BE6" s="155" t="str">
        <f>IF(LEN(AC6)&gt;0,"- "&amp;AC6,"")</f>
        <v/>
      </c>
      <c r="BF6" s="155" t="str">
        <f>IF(LEN(AD6)&gt;0,"- "&amp;AD6,"")</f>
        <v/>
      </c>
      <c r="BG6" s="155" t="str">
        <f>IF(LEN(AE6)&gt;0,"- "&amp;AE6,"")</f>
        <v/>
      </c>
      <c r="BH6" s="155" t="str">
        <f>IF(LEN(AF6)&gt;0,"- "&amp;AF6,"")</f>
        <v/>
      </c>
      <c r="BI6" s="155" t="str">
        <f>IF(LEN(AG6)&gt;0,"- "&amp;AG6,"")</f>
        <v/>
      </c>
      <c r="BJ6" s="155" t="str">
        <f>IF(LEN(AH6)&gt;0,"- "&amp;AH6,"")</f>
        <v/>
      </c>
      <c r="BK6" s="155" t="str">
        <f>"tags:"&amp;CHAR(10)&amp;concatl(AV6:BJ6)</f>
        <v xml:space="preserve">tags:
- argentina_x000D_
- churches_x000D_
- marian-sites_x000D_
</v>
      </c>
      <c r="BL6" s="158" t="str">
        <f>IF(LEN(N6)&gt;0,TRIM(CONCATENATE("[Official site](",N6,") ",O6)),"")</f>
        <v>[Official site](https://santuariodelujan.org.ar/)</v>
      </c>
      <c r="BM6" s="158" t="str">
        <f>IF(LEN(Q6)&gt;0,TRIM(CONCATENATE("["&amp;P6&amp;"](",Q6,") ",R6)),"")</f>
        <v/>
      </c>
      <c r="BN6" s="158" t="str">
        <f>IF(LEN(T6)&gt;0,TRIM(CONCATENATE("["&amp;S6&amp;"](",T6,") ",U6)),"")</f>
        <v/>
      </c>
      <c r="BO6" s="158" t="str">
        <f>IF(LEN(W6)&gt;0,TRIM(CONCATENATE("["&amp;V6&amp;"](",W6,") ",X6)),"")</f>
        <v/>
      </c>
      <c r="BP6" s="158" t="str">
        <f>IF(LEN(BL6)&gt;0,"* "&amp;BL6&amp;CHAR(10),"")&amp;
IF(LEN(BM6)&gt;0,"* "&amp;BM6&amp;CHAR(10),"")&amp;
IF(LEN(BN6)&gt;0,"* "&amp;BN6&amp;CHAR(10),"")&amp;
IF(LEN(BO6)&gt;0,"* "&amp;BO6&amp;CHAR(10),"")</f>
        <v xml:space="preserve">* [Official site](https://santuariodelujan.org.ar/)
</v>
      </c>
      <c r="BQ6" s="158" t="str">
        <f>IF(LEN(AK6)&gt;0,TRIM(CONCATENATE("[Link](",AK6,") ",AL6)),"")</f>
        <v>[Link](http://www.therealpresence.org/eucharst/misc/BVM/112_LUJAN_96x96.pdf)</v>
      </c>
      <c r="BR6" s="158" t="str">
        <f>IF(LEN(AM6)&gt;0,TRIM(CONCATENATE("[Link](",AM6,") ",AN6)),"")</f>
        <v>[Link](http://www.miraclehunter.com/miraculous_images/icons_1600-1699.html) (Search "Lujan")</v>
      </c>
      <c r="BS6" s="158" t="str">
        <f>IF(LEN(AO6)&gt;0,TRIM(CONCATENATE("[Link](",AO6,") ",AP6)),"")</f>
        <v/>
      </c>
      <c r="BT6" s="158" t="str">
        <f>IF(LEN(concat(BQ6:BS6))&gt;0,concat("| ",BQ6," | ",BR6," | ",BS6," |"),"")</f>
        <v>| [Link](http://www.therealpresence.org/eucharst/misc/BVM/112_LUJAN_96x96.pdf) | [Link](http://www.miraclehunter.com/miraculous_images/icons_1600-1699.html) (Search "Lujan") |  |</v>
      </c>
      <c r="BU6" s="155" t="str">
        <f>IF(J6,concatl("| The Real Presence | Miracle Hunter | MaryPages |","| --- | --- | --- |",BT6),"")</f>
        <v xml:space="preserve">| The Real Presence | Miracle Hunter | MaryPages |_x000D_
| --- | --- | --- |_x000D_
| [Link](http://www.therealpresence.org/eucharst/misc/BVM/112_LUJAN_96x96.pdf) | [Link](http://www.miraclehunter.com/miraculous_images/icons_1600-1699.html) (Search "Lujan") |  |_x000D_
</v>
      </c>
      <c r="BV6" s="155" t="str">
        <f>IF(LEN(BP6&amp;BU6)&gt;0,concatll("#### More Information",BP6,BU6),"")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6" s="155" t="str">
        <f>IF(LEN(M6)&gt;1,concatll("#### Author's Note",M6),"")</f>
        <v/>
      </c>
      <c r="BX6" s="23" t="str">
        <f>IF(AR6,concatll(concatl("---",AS6:AU6,BK6,"---"),L6,BV6:BW6),"")</f>
        <v xml:space="preserve">---_x000D_
title: "Basilica of Our Lady of Lujan"_x000D_
location: {lat: -34.5641985133718, lng: -59.1214082314216}_x000D_
interest: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6" s="23" t="str">
        <f>IF(AR6,VLOOKUP(B6,'(Ref) Countries'!A:B,2,)&amp;IF(LEN(C6)&gt;1,"-"&amp;LOWER(SUBSTITUTE(C6," ","-")),"")&amp;"-"&amp;LOWER(SUBSTITUTE(SUBSTITUTE(G6," ","-"),".",""))&amp;".md","")</f>
        <v>ar-basilica-of-our-lady-of-lujan.md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"|"&amp;IF(LEN(CC6)&gt;1," "&amp;CC6,"")&amp;IF(LEN(CD6)&gt;1,", "&amp;CD6,"")&amp;IF(LEN(CE6)&gt;1,", "&amp;CE6,"")&amp;" "</f>
        <v xml:space="preserve">| </v>
      </c>
      <c r="CG6" s="30" t="str">
        <f>"| "&amp;IF(AR6,"["&amp;AI6&amp;"](/places/"&amp;SUBSTITUTE(BY6,".md","")&amp;")",AI6)&amp;" "</f>
        <v xml:space="preserve">| [Luján](/places/ar-basilica-of-our-lady-of-lujan) </v>
      </c>
      <c r="CH6" s="30" t="str">
        <f>"| "&amp;IF(AR6,GetTagPage(B6,VLOOKUP(B6,'(Ref) Countries'!A:C,3,)),B6)&amp; " "</f>
        <v xml:space="preserve">| [Argentina](/tags/argentina) </v>
      </c>
      <c r="CI6" s="30" t="str">
        <f>"| "&amp;AJ6&amp;" "</f>
        <v xml:space="preserve">| 17th Century </v>
      </c>
      <c r="CJ6" s="30" t="str">
        <f>"|"&amp;IF(AR6," [Link](/places/"&amp;SUBSTITUTE(BY6,".md","")&amp;")","")&amp;" "</f>
        <v xml:space="preserve">| [Link](/places/ar-basilica-of-our-lady-of-lujan) </v>
      </c>
      <c r="CK6" s="29" t="str">
        <f>"
"&amp;CG6&amp;CH6&amp;CI6&amp;CJ6&amp;BL6&amp;BQ6&amp;BR6&amp;BS6&amp;CF6&amp;"|"</f>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7" spans="1:89" ht="51" x14ac:dyDescent="0.25">
      <c r="A7" s="168" t="s">
        <v>1320</v>
      </c>
      <c r="B7" s="83" t="s">
        <v>509</v>
      </c>
      <c r="C7" s="83" t="s">
        <v>1823</v>
      </c>
      <c r="D7" s="15">
        <v>50.847874450660399</v>
      </c>
      <c r="E7" s="49">
        <v>4.35897312161425</v>
      </c>
      <c r="F7" s="83" t="s">
        <v>1820</v>
      </c>
      <c r="G7" s="90" t="s">
        <v>1828</v>
      </c>
      <c r="H7" s="83" t="s">
        <v>1759</v>
      </c>
      <c r="I7" s="24" t="b">
        <v>1</v>
      </c>
      <c r="L7" s="83" t="s">
        <v>1829</v>
      </c>
      <c r="M7" s="90" t="s">
        <v>1821</v>
      </c>
      <c r="N7" s="91" t="s">
        <v>1822</v>
      </c>
      <c r="O7" s="15" t="s">
        <v>336</v>
      </c>
      <c r="AR7" s="154" t="b">
        <f>IF(OR(A7="Done",A7="In Progress"),TRUE)</f>
        <v>1</v>
      </c>
      <c r="AS7" s="155" t="str">
        <f>"title: """&amp;F7&amp;""""</f>
        <v>title: "St. Michael and St. Gudula Cathedral (Brussels Cathedral)"</v>
      </c>
      <c r="AT7" s="155" t="str">
        <f>"location: {lat: "&amp;D7&amp;", lng: "&amp;E7&amp;"}"</f>
        <v>location: {lat: 50.8478744506604, lng: 4.35897312161425}</v>
      </c>
      <c r="AU7" s="155" t="str">
        <f>"interest: "&amp;H7</f>
        <v>interest: regional</v>
      </c>
      <c r="AV7" s="155" t="str">
        <f>"- "&amp;VLOOKUP(B7,'(Ref) Countries'!A:C,3,)</f>
        <v>- belgium</v>
      </c>
      <c r="AW7" s="155" t="str">
        <f>IF(LEN(C7)&gt;1,"- "&amp;LOWER(SUBSTITUTE(C7," ","-")),"")</f>
        <v>- brussels</v>
      </c>
      <c r="AX7" s="155" t="str">
        <f>IF(I7,"- churches","")</f>
        <v>- churches</v>
      </c>
      <c r="AY7" s="155" t="str">
        <f>IF(J7,"- marian-sites","")</f>
        <v/>
      </c>
      <c r="AZ7" s="155" t="str">
        <f>IF(K7,"- holy-persons","")</f>
        <v/>
      </c>
      <c r="BA7" s="155" t="str">
        <f>IF(LEN(Y7)&gt;0,"- "&amp;Y7,"")</f>
        <v/>
      </c>
      <c r="BB7" s="155" t="str">
        <f>IF(LEN(Z7)&gt;0,"- "&amp;Z7,"")</f>
        <v/>
      </c>
      <c r="BC7" s="155" t="str">
        <f>IF(LEN(AA7)&gt;0,"- "&amp;AA7,"")</f>
        <v/>
      </c>
      <c r="BD7" s="155" t="str">
        <f>IF(LEN(AB7)&gt;0,"- "&amp;AB7,"")</f>
        <v/>
      </c>
      <c r="BE7" s="155" t="str">
        <f>IF(LEN(AC7)&gt;0,"- "&amp;AC7,"")</f>
        <v/>
      </c>
      <c r="BF7" s="155" t="str">
        <f>IF(LEN(AD7)&gt;0,"- "&amp;AD7,"")</f>
        <v/>
      </c>
      <c r="BG7" s="155" t="str">
        <f>IF(LEN(AE7)&gt;0,"- "&amp;AE7,"")</f>
        <v/>
      </c>
      <c r="BH7" s="155" t="str">
        <f>IF(LEN(AF7)&gt;0,"- "&amp;AF7,"")</f>
        <v/>
      </c>
      <c r="BI7" s="155" t="str">
        <f>IF(LEN(AG7)&gt;0,"- "&amp;AG7,"")</f>
        <v/>
      </c>
      <c r="BJ7" s="155" t="str">
        <f>IF(LEN(AH7)&gt;0,"- "&amp;AH7,"")</f>
        <v/>
      </c>
      <c r="BK7" s="155" t="str">
        <f>"tags:"&amp;CHAR(10)&amp;concatl(AV7:BJ7)</f>
        <v xml:space="preserve">tags:
- belgium_x000D_
- brussels_x000D_
- churches_x000D_
</v>
      </c>
      <c r="BL7" s="158" t="str">
        <f>IF(LEN(N7)&gt;0,TRIM(CONCATENATE("[Official site](",N7,") ",O7)),"")</f>
        <v>[Official site](https://www.cathedralisbruxellensis.be/)</v>
      </c>
      <c r="BM7" s="158" t="str">
        <f>IF(LEN(Q7)&gt;0,TRIM(CONCATENATE("["&amp;P7&amp;"](",Q7,") ",R7)),"")</f>
        <v/>
      </c>
      <c r="BN7" s="158" t="str">
        <f>IF(LEN(T7)&gt;0,TRIM(CONCATENATE("["&amp;S7&amp;"](",T7,") ",U7)),"")</f>
        <v/>
      </c>
      <c r="BO7" s="158" t="str">
        <f>IF(LEN(W7)&gt;0,TRIM(CONCATENATE("["&amp;V7&amp;"](",W7,") ",X7)),"")</f>
        <v/>
      </c>
      <c r="BP7" s="158" t="str">
        <f>IF(LEN(BL7)&gt;0,"* "&amp;BL7&amp;CHAR(10),"")&amp;
IF(LEN(BM7)&gt;0,"* "&amp;BM7&amp;CHAR(10),"")&amp;
IF(LEN(BN7)&gt;0,"* "&amp;BN7&amp;CHAR(10),"")&amp;
IF(LEN(BO7)&gt;0,"* "&amp;BO7&amp;CHAR(10),"")</f>
        <v xml:space="preserve">* [Official site](https://www.cathedralisbruxellensis.be/)
</v>
      </c>
      <c r="BQ7" s="158" t="str">
        <f>IF(LEN(AK7)&gt;0,TRIM(CONCATENATE("[Link](",AK7,") ",AL7)),"")</f>
        <v/>
      </c>
      <c r="BR7" s="158" t="str">
        <f>IF(LEN(AM7)&gt;0,TRIM(CONCATENATE("[Link](",AM7,") ",AN7)),"")</f>
        <v/>
      </c>
      <c r="BS7" s="158" t="str">
        <f>IF(LEN(AO7)&gt;0,TRIM(CONCATENATE("[Link](",AO7,") ",AP7)),"")</f>
        <v/>
      </c>
      <c r="BT7" s="158" t="str">
        <f>IF(LEN(concat(BQ7:BS7))&gt;0,concat("| ",BQ7," | ",BR7," | ",BS7," |"),"")</f>
        <v/>
      </c>
      <c r="BU7" s="155" t="str">
        <f>IF(J7,concatl("| The Real Presence | Miracle Hunter | MaryPages |","| --- | --- | --- |",BT7),"")</f>
        <v/>
      </c>
      <c r="BV7" s="155" t="str">
        <f>IF(LEN(BP7&amp;BU7)&gt;0,concatll("#### More Information",BP7,BU7),"")</f>
        <v xml:space="preserve">#### More Information_x000D_
_x000D_
* [Official site](https://www.cathedralisbruxellensis.be/)
_x000D_
_x000D_
</v>
      </c>
      <c r="BW7" s="155" t="str">
        <f>IF(LEN(M7)&gt;1,concatll("#### Author's Note",M7),"")</f>
        <v xml:space="preserve">#### Author's Note_x000D_
_x000D_
This church has the most awesome pulpit I have ever seen.
-JPY_x000D_
_x000D_
</v>
      </c>
      <c r="BX7" s="23" t="str">
        <f>IF(AR7,concatll(concatl("---",AS7:AU7,BK7,"---"),L7,BV7:BW7),"")</f>
        <v xml:space="preserve">---_x000D_
title: "St. Michael and St. Gudula Cathedral (Brussels Cathedral)"_x000D_
location: {lat: 50.8478744506604, lng: 4.35897312161425}_x000D_
interest: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7" s="23" t="str">
        <f>IF(AR7,VLOOKUP(B7,'(Ref) Countries'!A:B,2,)&amp;IF(LEN(C7)&gt;1,"-"&amp;LOWER(SUBSTITUTE(C7," ","-")),"")&amp;"-"&amp;LOWER(SUBSTITUTE(SUBSTITUTE(G7," ","-"),".",""))&amp;".md","")</f>
        <v>be-brussels-cathedral.md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"|"&amp;IF(LEN(CC7)&gt;1," "&amp;CC7,"")&amp;IF(LEN(CD7)&gt;1,", "&amp;CD7,"")&amp;IF(LEN(CE7)&gt;1,", "&amp;CE7,"")&amp;" "</f>
        <v xml:space="preserve">| </v>
      </c>
      <c r="CG7" s="30" t="str">
        <f>"| "&amp;IF(AR7,"["&amp;AI7&amp;"](/places/"&amp;SUBSTITUTE(BY7,".md","")&amp;")",AI7)&amp;" "</f>
        <v xml:space="preserve">| [](/places/be-brussels-cathedral) </v>
      </c>
      <c r="CH7" s="30" t="str">
        <f>"| "&amp;IF(AR7,GetTagPage(B7,VLOOKUP(B7,'(Ref) Countries'!A:C,3,)),B7)&amp; " "</f>
        <v xml:space="preserve">| [Belgium](/tags/belgium) </v>
      </c>
      <c r="CI7" s="30" t="str">
        <f>"| "&amp;AJ7&amp;" "</f>
        <v xml:space="preserve">|  </v>
      </c>
      <c r="CJ7" s="30" t="str">
        <f>"|"&amp;IF(AR7," [Link](/places/"&amp;SUBSTITUTE(BY7,".md","")&amp;")","")&amp;" "</f>
        <v xml:space="preserve">| [Link](/places/be-brussels-cathedral) </v>
      </c>
      <c r="CK7" s="29" t="str">
        <f>"
"&amp;CG7&amp;CH7&amp;CI7&amp;CJ7&amp;BL7&amp;BQ7&amp;BR7&amp;BS7&amp;CF7&amp;"|"</f>
        <v xml:space="preserve">
| [](/places/be-brussels-cathedral) | [Belgium](/tags/belgium) |  | [Link](/places/be-brussels-cathedral) [Official site](https://www.cathedralisbruxellensis.be/)| |</v>
      </c>
    </row>
    <row r="8" spans="1:89" ht="51" x14ac:dyDescent="0.25">
      <c r="A8" s="168" t="s">
        <v>1320</v>
      </c>
      <c r="B8" s="24" t="s">
        <v>509</v>
      </c>
      <c r="C8" s="24" t="s">
        <v>1823</v>
      </c>
      <c r="D8" s="15">
        <v>50.850689952510798</v>
      </c>
      <c r="E8" s="49">
        <v>4.3480492761285401</v>
      </c>
      <c r="F8" s="83" t="s">
        <v>1824</v>
      </c>
      <c r="G8" s="90" t="s">
        <v>2487</v>
      </c>
      <c r="H8" s="83" t="s">
        <v>1825</v>
      </c>
      <c r="I8" s="24" t="b">
        <v>1</v>
      </c>
      <c r="L8" s="83" t="s">
        <v>1826</v>
      </c>
      <c r="M8" s="90" t="s">
        <v>1827</v>
      </c>
      <c r="N8" s="15" t="s">
        <v>1822</v>
      </c>
      <c r="O8" s="15" t="s">
        <v>336</v>
      </c>
      <c r="AR8" s="154" t="b">
        <f>IF(OR(A8="Done",A8="In Progress"),TRUE)</f>
        <v>1</v>
      </c>
      <c r="AS8" s="155" t="str">
        <f>"title: """&amp;F8&amp;""""</f>
        <v>title: "St. Catherine's Church"</v>
      </c>
      <c r="AT8" s="155" t="str">
        <f>"location: {lat: "&amp;D8&amp;", lng: "&amp;E8&amp;"}"</f>
        <v>location: {lat: 50.8506899525108, lng: 4.34804927612854}</v>
      </c>
      <c r="AU8" s="155" t="str">
        <f>"interest: "&amp;H8</f>
        <v>interest: local</v>
      </c>
      <c r="AV8" s="155" t="str">
        <f>"- "&amp;VLOOKUP(B8,'(Ref) Countries'!A:C,3,)</f>
        <v>- belgium</v>
      </c>
      <c r="AW8" s="155" t="str">
        <f>IF(LEN(C8)&gt;1,"- "&amp;LOWER(SUBSTITUTE(C8," ","-")),"")</f>
        <v>- brussels</v>
      </c>
      <c r="AX8" s="155" t="str">
        <f>IF(I8,"- churches","")</f>
        <v>- churches</v>
      </c>
      <c r="AY8" s="155" t="str">
        <f>IF(J8,"- marian-sites","")</f>
        <v/>
      </c>
      <c r="AZ8" s="155" t="str">
        <f>IF(K8,"- holy-persons","")</f>
        <v/>
      </c>
      <c r="BA8" s="155" t="str">
        <f>IF(LEN(Y8)&gt;0,"- "&amp;Y8,"")</f>
        <v/>
      </c>
      <c r="BB8" s="155" t="str">
        <f>IF(LEN(Z8)&gt;0,"- "&amp;Z8,"")</f>
        <v/>
      </c>
      <c r="BC8" s="155" t="str">
        <f>IF(LEN(AA8)&gt;0,"- "&amp;AA8,"")</f>
        <v/>
      </c>
      <c r="BD8" s="155" t="str">
        <f>IF(LEN(AB8)&gt;0,"- "&amp;AB8,"")</f>
        <v/>
      </c>
      <c r="BE8" s="155" t="str">
        <f>IF(LEN(AC8)&gt;0,"- "&amp;AC8,"")</f>
        <v/>
      </c>
      <c r="BF8" s="155" t="str">
        <f>IF(LEN(AD8)&gt;0,"- "&amp;AD8,"")</f>
        <v/>
      </c>
      <c r="BG8" s="155" t="str">
        <f>IF(LEN(AE8)&gt;0,"- "&amp;AE8,"")</f>
        <v/>
      </c>
      <c r="BH8" s="155" t="str">
        <f>IF(LEN(AF8)&gt;0,"- "&amp;AF8,"")</f>
        <v/>
      </c>
      <c r="BI8" s="155" t="str">
        <f>IF(LEN(AG8)&gt;0,"- "&amp;AG8,"")</f>
        <v/>
      </c>
      <c r="BJ8" s="155" t="str">
        <f>IF(LEN(AH8)&gt;0,"- "&amp;AH8,"")</f>
        <v/>
      </c>
      <c r="BK8" s="155" t="str">
        <f>"tags:"&amp;CHAR(10)&amp;concatl(AV8:BJ8)</f>
        <v xml:space="preserve">tags:
- belgium_x000D_
- brussels_x000D_
- churches_x000D_
</v>
      </c>
      <c r="BL8" s="155" t="str">
        <f>IF(LEN(N8)&gt;0,TRIM(CONCATENATE("[Official site](",N8,") ",O8)),"")</f>
        <v>[Official site](https://www.cathedralisbruxellensis.be/)</v>
      </c>
      <c r="BM8" s="155" t="str">
        <f>IF(LEN(Q8)&gt;0,TRIM(CONCATENATE("["&amp;P8&amp;"](",Q8,") ",R8)),"")</f>
        <v/>
      </c>
      <c r="BN8" s="155" t="str">
        <f>IF(LEN(T8)&gt;0,TRIM(CONCATENATE("["&amp;S8&amp;"](",T8,") ",U8)),"")</f>
        <v/>
      </c>
      <c r="BO8" s="155" t="str">
        <f>IF(LEN(W8)&gt;0,TRIM(CONCATENATE("["&amp;V8&amp;"](",W8,") ",X8)),"")</f>
        <v/>
      </c>
      <c r="BP8" s="155" t="str">
        <f>IF(LEN(BL8)&gt;0,"* "&amp;BL8&amp;CHAR(10),"")&amp;
IF(LEN(BM8)&gt;0,"* "&amp;BM8&amp;CHAR(10),"")&amp;
IF(LEN(BN8)&gt;0,"* "&amp;BN8&amp;CHAR(10),"")&amp;
IF(LEN(BO8)&gt;0,"* "&amp;BO8&amp;CHAR(10),"")</f>
        <v xml:space="preserve">* [Official site](https://www.cathedralisbruxellensis.be/)
</v>
      </c>
      <c r="BQ8" s="155" t="str">
        <f>IF(LEN(AK8)&gt;0,TRIM(CONCATENATE("[Link](",AK8,") ",AL8)),"")</f>
        <v/>
      </c>
      <c r="BR8" s="155" t="str">
        <f>IF(LEN(AM8)&gt;0,TRIM(CONCATENATE("[Link](",AM8,") ",AN8)),"")</f>
        <v/>
      </c>
      <c r="BS8" s="155" t="str">
        <f>IF(LEN(AO8)&gt;0,TRIM(CONCATENATE("[Link](",AO8,") ",AP8)),"")</f>
        <v/>
      </c>
      <c r="BT8" s="155" t="str">
        <f>IF(LEN(concat(BQ8:BS8))&gt;0,concat("| ",BQ8," | ",BR8," | ",BS8," |"),"")</f>
        <v/>
      </c>
      <c r="BU8" s="155" t="str">
        <f>IF(J8,concatl("| The Real Presence | Miracle Hunter | MaryPages |","| --- | --- | --- |",BT8),"")</f>
        <v/>
      </c>
      <c r="BV8" s="155" t="str">
        <f>IF(LEN(BP8&amp;BU8)&gt;0,concatll("#### More Information",BP8,BU8),"")</f>
        <v xml:space="preserve">#### More Information_x000D_
_x000D_
* [Official site](https://www.cathedralisbruxellensis.be/)
_x000D_
_x000D_
</v>
      </c>
      <c r="BW8" s="155" t="str">
        <f>IF(LEN(M8)&gt;1,concatll("#### Author's Note",M8),"")</f>
        <v xml:space="preserve">#### Author's Note_x000D_
_x000D_
As of 2023, this church has tons of confession times.
-JPY_x000D_
_x000D_
</v>
      </c>
      <c r="BX8" s="23" t="str">
        <f>IF(AR8,concatll(concatl("---",AS8:AU8,BK8,"---"),L8,BV8:BW8),"")</f>
        <v xml:space="preserve">---_x000D_
title: "St. Catherine's Church"_x000D_
location: {lat: 50.8506899525108, lng: 4.34804927612854}_x000D_
interest: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8" s="23" t="str">
        <f>IF(AR8,VLOOKUP(B8,'(Ref) Countries'!A:B,2,)&amp;IF(LEN(C8)&gt;1,"-"&amp;LOWER(SUBSTITUTE(C8," ","-")),"")&amp;"-"&amp;LOWER(SUBSTITUTE(SUBSTITUTE(G8," ","-"),".",""))&amp;".md","")</f>
        <v>be-brussels-st-catherine.md</v>
      </c>
      <c r="BZ8" s="29" t="str">
        <f>IF(LEN(Y8)&gt;1,VLOOKUP(Y8,'Tag List'!$A:$B,2,),"")</f>
        <v/>
      </c>
      <c r="CA8" s="29" t="str">
        <f>IF(LEN(Z8)&gt;1,VLOOKUP(Z8,'Tag List'!$A:$B,2,),"")</f>
        <v/>
      </c>
      <c r="CB8" s="29" t="str">
        <f>IF(LEN(AA8)&gt;1,VLOOKUP(AA8,'Tag List'!$A:$B,2,),"")</f>
        <v/>
      </c>
      <c r="CC8" s="29" t="str">
        <f>IF(LEN(Y8)&gt;1,GetTagPage(BZ8,Y8),"")</f>
        <v/>
      </c>
      <c r="CD8" s="29" t="str">
        <f>IF(LEN(Z8)&gt;1,GetTagPage(CA8,Z8),"")</f>
        <v/>
      </c>
      <c r="CE8" s="29" t="str">
        <f>IF(LEN(AA8)&gt;1,GetTagPage(CB8,AA8),"")</f>
        <v/>
      </c>
      <c r="CF8" s="29" t="str">
        <f>"|"&amp;IF(LEN(CC8)&gt;1," "&amp;CC8,"")&amp;IF(LEN(CD8)&gt;1,", "&amp;CD8,"")&amp;IF(LEN(CE8)&gt;1,", "&amp;CE8,"")&amp;" "</f>
        <v xml:space="preserve">| </v>
      </c>
      <c r="CG8" s="29" t="str">
        <f>"| "&amp;IF(AR8,"["&amp;AI8&amp;"](/places/"&amp;SUBSTITUTE(BY8,".md","")&amp;")",AI8)&amp;" "</f>
        <v xml:space="preserve">| [](/places/be-brussels-st-catherine) </v>
      </c>
      <c r="CH8" s="29" t="str">
        <f>"| "&amp;IF(AR8,GetTagPage(B8,VLOOKUP(B8,'(Ref) Countries'!A:C,3,)),B8)&amp; " "</f>
        <v xml:space="preserve">| [Belgium](/tags/belgium) </v>
      </c>
      <c r="CI8" s="29" t="str">
        <f>"| "&amp;AJ8&amp;" "</f>
        <v xml:space="preserve">|  </v>
      </c>
      <c r="CJ8" s="29" t="str">
        <f>"|"&amp;IF(AR8," [Link](/places/"&amp;SUBSTITUTE(BY8,".md","")&amp;")","")&amp;" "</f>
        <v xml:space="preserve">| [Link](/places/be-brussels-st-catherine) </v>
      </c>
      <c r="CK8" s="29" t="str">
        <f>"
"&amp;CG8&amp;CH8&amp;CI8&amp;CJ8&amp;BL8&amp;BQ8&amp;BR8&amp;BS8&amp;CF8&amp;"|"</f>
        <v xml:space="preserve">
| [](/places/be-brussels-st-catherine) | [Belgium](/tags/belgium) |  | [Link](/places/be-brussels-st-catherine) [Official site](https://www.cathedralisbruxellensis.be/)| |</v>
      </c>
    </row>
    <row r="9" spans="1:89" ht="216.75" x14ac:dyDescent="0.25">
      <c r="A9" s="168" t="s">
        <v>1320</v>
      </c>
      <c r="B9" s="24" t="s">
        <v>534</v>
      </c>
      <c r="D9" s="15">
        <v>0.80532486588234498</v>
      </c>
      <c r="E9" s="49">
        <v>-77.585922676282493</v>
      </c>
      <c r="F9" s="24" t="s">
        <v>1330</v>
      </c>
      <c r="G9" s="53" t="s">
        <v>1331</v>
      </c>
      <c r="H9" s="24" t="s">
        <v>1715</v>
      </c>
      <c r="I9" s="40" t="b">
        <v>1</v>
      </c>
      <c r="J9" s="24" t="b">
        <v>1</v>
      </c>
      <c r="L9" s="24" t="s">
        <v>1342</v>
      </c>
      <c r="M9" s="58" t="s">
        <v>1745</v>
      </c>
      <c r="N9" s="15" t="s">
        <v>1332</v>
      </c>
      <c r="O9" s="15" t="s">
        <v>336</v>
      </c>
      <c r="Y9" s="15" t="s">
        <v>336</v>
      </c>
      <c r="AI9" s="85" t="s">
        <v>1273</v>
      </c>
      <c r="AJ9" s="86">
        <v>1754</v>
      </c>
      <c r="AK9" s="15" t="s">
        <v>282</v>
      </c>
      <c r="AL9" s="15" t="s">
        <v>336</v>
      </c>
      <c r="AM9" s="15" t="s">
        <v>1329</v>
      </c>
      <c r="AN9" s="15" t="s">
        <v>336</v>
      </c>
      <c r="AO9" s="15" t="s">
        <v>336</v>
      </c>
      <c r="AP9" s="49" t="s">
        <v>336</v>
      </c>
      <c r="AR9" s="154" t="b">
        <f>IF(OR(A9="Done",A9="In Progress"),TRUE)</f>
        <v>1</v>
      </c>
      <c r="AS9" s="155" t="str">
        <f>"title: """&amp;F9&amp;""""</f>
        <v>title: "National Shrine Basilica of Our Lady of Las Lajas"</v>
      </c>
      <c r="AT9" s="155" t="str">
        <f>"location: {lat: "&amp;D9&amp;", lng: "&amp;E9&amp;"}"</f>
        <v>location: {lat: 0.805324865882345, lng: -77.5859226762825}</v>
      </c>
      <c r="AU9" s="155" t="str">
        <f>"interest: "&amp;H9</f>
        <v>interest: global</v>
      </c>
      <c r="AV9" s="155" t="str">
        <f>"- "&amp;VLOOKUP(B9,'(Ref) Countries'!A:C,3,)</f>
        <v>- colombia</v>
      </c>
      <c r="AW9" s="155" t="str">
        <f>IF(LEN(C9)&gt;1,"- "&amp;LOWER(SUBSTITUTE(C9," ","-")),"")</f>
        <v/>
      </c>
      <c r="AX9" s="155" t="str">
        <f>IF(I9,"- churches","")</f>
        <v>- churches</v>
      </c>
      <c r="AY9" s="155" t="str">
        <f>IF(J9,"- marian-sites","")</f>
        <v>- marian-sites</v>
      </c>
      <c r="AZ9" s="155" t="str">
        <f>IF(K9,"- holy-persons","")</f>
        <v/>
      </c>
      <c r="BA9" s="155" t="str">
        <f>IF(LEN(Y9)&gt;0,"- "&amp;Y9,"")</f>
        <v/>
      </c>
      <c r="BB9" s="155" t="str">
        <f>IF(LEN(Z9)&gt;0,"- "&amp;Z9,"")</f>
        <v/>
      </c>
      <c r="BC9" s="155" t="str">
        <f>IF(LEN(AA9)&gt;0,"- "&amp;AA9,"")</f>
        <v/>
      </c>
      <c r="BD9" s="155" t="str">
        <f>IF(LEN(AB9)&gt;0,"- "&amp;AB9,"")</f>
        <v/>
      </c>
      <c r="BE9" s="155" t="str">
        <f>IF(LEN(AC9)&gt;0,"- "&amp;AC9,"")</f>
        <v/>
      </c>
      <c r="BF9" s="155" t="str">
        <f>IF(LEN(AD9)&gt;0,"- "&amp;AD9,"")</f>
        <v/>
      </c>
      <c r="BG9" s="155" t="str">
        <f>IF(LEN(AE9)&gt;0,"- "&amp;AE9,"")</f>
        <v/>
      </c>
      <c r="BH9" s="155" t="str">
        <f>IF(LEN(AF9)&gt;0,"- "&amp;AF9,"")</f>
        <v/>
      </c>
      <c r="BI9" s="155" t="str">
        <f>IF(LEN(AG9)&gt;0,"- "&amp;AG9,"")</f>
        <v/>
      </c>
      <c r="BJ9" s="155" t="str">
        <f>IF(LEN(AH9)&gt;0,"- "&amp;AH9,"")</f>
        <v/>
      </c>
      <c r="BK9" s="155" t="str">
        <f>"tags:"&amp;CHAR(10)&amp;concatl(AV9:BJ9)</f>
        <v xml:space="preserve">tags:
- colombia_x000D_
- churches_x000D_
- marian-sites_x000D_
</v>
      </c>
      <c r="BL9" s="158" t="str">
        <f>IF(LEN(N9)&gt;0,TRIM(CONCATENATE("[Official site](",N9,") ",O9)),"")</f>
        <v>[Official site](https://www.laslajas.org/)</v>
      </c>
      <c r="BM9" s="158" t="str">
        <f>IF(LEN(Q9)&gt;0,TRIM(CONCATENATE("["&amp;P9&amp;"](",Q9,") ",R9)),"")</f>
        <v/>
      </c>
      <c r="BN9" s="158" t="str">
        <f>IF(LEN(T9)&gt;0,TRIM(CONCATENATE("["&amp;S9&amp;"](",T9,") ",U9)),"")</f>
        <v/>
      </c>
      <c r="BO9" s="158" t="str">
        <f>IF(LEN(W9)&gt;0,TRIM(CONCATENATE("["&amp;V9&amp;"](",W9,") ",X9)),"")</f>
        <v/>
      </c>
      <c r="BP9" s="158" t="str">
        <f>IF(LEN(BL9)&gt;0,"* "&amp;BL9&amp;CHAR(10),"")&amp;
IF(LEN(BM9)&gt;0,"* "&amp;BM9&amp;CHAR(10),"")&amp;
IF(LEN(BN9)&gt;0,"* "&amp;BN9&amp;CHAR(10),"")&amp;
IF(LEN(BO9)&gt;0,"* "&amp;BO9&amp;CHAR(10),"")</f>
        <v xml:space="preserve">* [Official site](https://www.laslajas.org/)
</v>
      </c>
      <c r="BQ9" s="158" t="str">
        <f>IF(LEN(AK9)&gt;0,TRIM(CONCATENATE("[Link](",AK9,") ",AL9)),"")</f>
        <v>[Link](http://www.therealpresence.org/eucharst/misc/BVM/109_LAJAS_96x96.pdf)</v>
      </c>
      <c r="BR9" s="158" t="str">
        <f>IF(LEN(AM9)&gt;0,TRIM(CONCATENATE("[Link](",AM9,") ",AN9)),"")</f>
        <v>[Link](http://www.miraclehunter.com/marian_apparitions/approved_apparitions/guaitara/index.html)</v>
      </c>
      <c r="BS9" s="158" t="str">
        <f>IF(LEN(AO9)&gt;0,TRIM(CONCATENATE("[Link](",AO9,") ",AP9)),"")</f>
        <v/>
      </c>
      <c r="BT9" s="158" t="str">
        <f>IF(LEN(concat(BQ9:BS9))&gt;0,concat("| ",BQ9," | ",BR9," | ",BS9," |"),"")</f>
        <v>| [Link](http://www.therealpresence.org/eucharst/misc/BVM/109_LAJAS_96x96.pdf) | [Link](http://www.miraclehunter.com/marian_apparitions/approved_apparitions/guaitara/index.html) |  |</v>
      </c>
      <c r="BU9" s="155" t="str">
        <f>IF(J9,concatl("| The Real Presence | Miracle Hunter | MaryPages |","| --- | --- | --- |",BT9),"")</f>
        <v xml:space="preserve">| The Real Presence | Miracle Hunter | MaryPages |_x000D_
| --- | --- | --- |_x000D_
| [Link](http://www.therealpresence.org/eucharst/misc/BVM/109_LAJAS_96x96.pdf) | [Link](http://www.miraclehunter.com/marian_apparitions/approved_apparitions/guaitara/index.html) |  |_x000D_
</v>
      </c>
      <c r="BV9" s="155" t="str">
        <f>IF(LEN(BP9&amp;BU9)&gt;0,concatll("#### More Information",BP9,BU9),"")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9" s="155" t="str">
        <f>IF(LEN(M9)&gt;1,concatll("#### Author's Note",M9),"")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9" s="23" t="str">
        <f>IF(AR9,concatll(concatl("---",AS9:AU9,BK9,"---"),L9,BV9:BW9),"")</f>
        <v xml:space="preserve">---_x000D_
title: "National Shrine Basilica of Our Lady of Las Lajas"_x000D_
location: {lat: 0.805324865882345, lng: -77.5859226762825}_x000D_
interest: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9" s="23" t="str">
        <f>IF(AR9,VLOOKUP(B9,'(Ref) Countries'!A:B,2,)&amp;IF(LEN(C9)&gt;1,"-"&amp;LOWER(SUBSTITUTE(C9," ","-")),"")&amp;"-"&amp;LOWER(SUBSTITUTE(SUBSTITUTE(G9," ","-"),".",""))&amp;".md","")</f>
        <v>co-basilica-of-our-lady-of-las-lajas.md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"|"&amp;IF(LEN(CC9)&gt;1," "&amp;CC9,"")&amp;IF(LEN(CD9)&gt;1,", "&amp;CD9,"")&amp;IF(LEN(CE9)&gt;1,", "&amp;CE9,"")&amp;" "</f>
        <v xml:space="preserve">| </v>
      </c>
      <c r="CG9" s="30" t="str">
        <f>"| "&amp;IF(AR9,"["&amp;AI9&amp;"](/places/"&amp;SUBSTITUTE(BY9,".md","")&amp;")",AI9)&amp;" "</f>
        <v xml:space="preserve">| [Las Lajas](/places/co-basilica-of-our-lady-of-las-lajas) </v>
      </c>
      <c r="CH9" s="30" t="str">
        <f>"| "&amp;IF(AR9,GetTagPage(B9,VLOOKUP(B9,'(Ref) Countries'!A:C,3,)),B9)&amp; " "</f>
        <v xml:space="preserve">| [Colombia](/tags/colombia) </v>
      </c>
      <c r="CI9" s="30" t="str">
        <f>"| "&amp;AJ9&amp;" "</f>
        <v xml:space="preserve">| 1754 </v>
      </c>
      <c r="CJ9" s="30" t="str">
        <f>"|"&amp;IF(AR9," [Link](/places/"&amp;SUBSTITUTE(BY9,".md","")&amp;")","")&amp;" "</f>
        <v xml:space="preserve">| [Link](/places/co-basilica-of-our-lady-of-las-lajas) </v>
      </c>
      <c r="CK9" s="29" t="str">
        <f>"
"&amp;CG9&amp;CH9&amp;CI9&amp;CJ9&amp;BL9&amp;BQ9&amp;BR9&amp;BS9&amp;CF9&amp;"|"</f>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10" spans="1:89" ht="102" x14ac:dyDescent="0.25">
      <c r="A10" s="168" t="s">
        <v>1320</v>
      </c>
      <c r="B10" s="24" t="s">
        <v>541</v>
      </c>
      <c r="D10" s="15">
        <v>50.980685700000002</v>
      </c>
      <c r="E10" s="49">
        <v>14.597349899999999</v>
      </c>
      <c r="F10" s="24" t="s">
        <v>368</v>
      </c>
      <c r="G10" s="53" t="s">
        <v>368</v>
      </c>
      <c r="H10" s="24" t="s">
        <v>1715</v>
      </c>
      <c r="I10" s="40" t="b">
        <v>1</v>
      </c>
      <c r="J10" s="24" t="b">
        <v>1</v>
      </c>
      <c r="L10" s="24" t="s">
        <v>365</v>
      </c>
      <c r="M10" s="55" t="s">
        <v>1738</v>
      </c>
      <c r="N10" s="15" t="s">
        <v>367</v>
      </c>
      <c r="O10" s="48"/>
      <c r="P10" s="82" t="s">
        <v>1818</v>
      </c>
      <c r="Q10" s="15" t="s">
        <v>1814</v>
      </c>
      <c r="Y10" s="16" t="s">
        <v>336</v>
      </c>
      <c r="Z10" s="16"/>
      <c r="AA10" s="16"/>
      <c r="AB10" s="16"/>
      <c r="AC10" s="16"/>
      <c r="AD10" s="16"/>
      <c r="AE10" s="16"/>
      <c r="AF10" s="16"/>
      <c r="AG10" s="16"/>
      <c r="AH10" s="16"/>
      <c r="AI10" s="85" t="s">
        <v>995</v>
      </c>
      <c r="AJ10" s="86">
        <v>1866</v>
      </c>
      <c r="AK10" s="15" t="s">
        <v>295</v>
      </c>
      <c r="AL10" s="15" t="s">
        <v>336</v>
      </c>
      <c r="AM10" s="15" t="s">
        <v>366</v>
      </c>
      <c r="AN10" s="15" t="s">
        <v>336</v>
      </c>
      <c r="AO10" s="15" t="s">
        <v>336</v>
      </c>
      <c r="AP10" s="49" t="s">
        <v>336</v>
      </c>
      <c r="AR10" s="154" t="b">
        <f>IF(OR(A10="Done",A10="In Progress"),TRUE)</f>
        <v>1</v>
      </c>
      <c r="AS10" s="155" t="str">
        <f>"title: """&amp;F10&amp;""""</f>
        <v>title: "Basilica of Our Lady Help of Christians"</v>
      </c>
      <c r="AT10" s="155" t="str">
        <f>"location: {lat: "&amp;D10&amp;", lng: "&amp;E10&amp;"}"</f>
        <v>location: {lat: 50.9806857, lng: 14.5973499}</v>
      </c>
      <c r="AU10" s="155" t="str">
        <f>"interest: "&amp;H10</f>
        <v>interest: global</v>
      </c>
      <c r="AV10" s="155" t="str">
        <f>"- "&amp;VLOOKUP(B10,'(Ref) Countries'!A:C,3,)</f>
        <v>- czechia</v>
      </c>
      <c r="AW10" s="155" t="str">
        <f>IF(LEN(C10)&gt;1,"- "&amp;LOWER(SUBSTITUTE(C10," ","-")),"")</f>
        <v/>
      </c>
      <c r="AX10" s="155" t="str">
        <f>IF(I10,"- churches","")</f>
        <v>- churches</v>
      </c>
      <c r="AY10" s="155" t="str">
        <f>IF(J10,"- marian-sites","")</f>
        <v>- marian-sites</v>
      </c>
      <c r="AZ10" s="155" t="str">
        <f>IF(K10,"- holy-persons","")</f>
        <v/>
      </c>
      <c r="BA10" s="155" t="str">
        <f>IF(LEN(Y10)&gt;0,"- "&amp;Y10,"")</f>
        <v/>
      </c>
      <c r="BB10" s="155" t="str">
        <f>IF(LEN(Z10)&gt;0,"- "&amp;Z10,"")</f>
        <v/>
      </c>
      <c r="BC10" s="155" t="str">
        <f>IF(LEN(AA10)&gt;0,"- "&amp;AA10,"")</f>
        <v/>
      </c>
      <c r="BD10" s="155" t="str">
        <f>IF(LEN(AB10)&gt;0,"- "&amp;AB10,"")</f>
        <v/>
      </c>
      <c r="BE10" s="155" t="str">
        <f>IF(LEN(AC10)&gt;0,"- "&amp;AC10,"")</f>
        <v/>
      </c>
      <c r="BF10" s="155" t="str">
        <f>IF(LEN(AD10)&gt;0,"- "&amp;AD10,"")</f>
        <v/>
      </c>
      <c r="BG10" s="155" t="str">
        <f>IF(LEN(AE10)&gt;0,"- "&amp;AE10,"")</f>
        <v/>
      </c>
      <c r="BH10" s="155" t="str">
        <f>IF(LEN(AF10)&gt;0,"- "&amp;AF10,"")</f>
        <v/>
      </c>
      <c r="BI10" s="155" t="str">
        <f>IF(LEN(AG10)&gt;0,"- "&amp;AG10,"")</f>
        <v/>
      </c>
      <c r="BJ10" s="155" t="str">
        <f>IF(LEN(AH10)&gt;0,"- "&amp;AH10,"")</f>
        <v/>
      </c>
      <c r="BK10" s="155" t="str">
        <f>"tags:"&amp;CHAR(10)&amp;concatl(AV10:BJ10)</f>
        <v xml:space="preserve">tags:
- czechia_x000D_
- churches_x000D_
- marian-sites_x000D_
</v>
      </c>
      <c r="BL10" s="158" t="str">
        <f>IF(LEN(N10)&gt;0,TRIM(CONCATENATE("[Official site](",N10,") ",O10)),"")</f>
        <v>[Official site](http://cz.poutni-mista-sluknovsko.cz/bazilika-minor-panny-marie-pomocnice-krestanu-filipov.html)</v>
      </c>
      <c r="BM10" s="158" t="str">
        <f>IF(LEN(Q10)&gt;0,TRIM(CONCATENATE("["&amp;P10&amp;"](",Q10,") ",R10)),"")</f>
        <v>[Official Facebook page](https://www.facebook.com/poutnimistofilipov)</v>
      </c>
      <c r="BN10" s="158" t="str">
        <f>IF(LEN(T10)&gt;0,TRIM(CONCATENATE("["&amp;S10&amp;"](",T10,") ",U10)),"")</f>
        <v/>
      </c>
      <c r="BO10" s="158" t="str">
        <f>IF(LEN(W10)&gt;0,TRIM(CONCATENATE("["&amp;V10&amp;"](",W10,") ",X10)),"")</f>
        <v/>
      </c>
      <c r="BP10" s="158" t="str">
        <f>IF(LEN(BL10)&gt;0,"* "&amp;BL10&amp;CHAR(10),"")&amp;
IF(LEN(BM10)&gt;0,"* "&amp;BM10&amp;CHAR(10),"")&amp;
IF(LEN(BN10)&gt;0,"* "&amp;BN10&amp;CHAR(10),"")&amp;
IF(LEN(BO10)&gt;0,"* "&amp;BO10&amp;CHAR(10),"")</f>
        <v xml:space="preserve">* [Official site](http://cz.poutni-mista-sluknovsko.cz/bazilika-minor-panny-marie-pomocnice-krestanu-filipov.html)
* [Official Facebook page](https://www.facebook.com/poutnimistofilipov)
</v>
      </c>
      <c r="BQ10" s="158" t="str">
        <f>IF(LEN(AK10)&gt;0,TRIM(CONCATENATE("[Link](",AK10,") ",AL10)),"")</f>
        <v>[Link](http://www.therealpresence.org/eucharst/misc/BVM/89_FILIPOV_96x96.pdf)</v>
      </c>
      <c r="BR10" s="158" t="str">
        <f>IF(LEN(AM10)&gt;0,TRIM(CONCATENATE("[Link](",AM10,") ",AN10)),"")</f>
        <v>[Link](https://www.miraclehunter.com/marian_apparitions/approved_apparitions/filippsdorf/index.html)</v>
      </c>
      <c r="BS10" s="158" t="str">
        <f>IF(LEN(AO10)&gt;0,TRIM(CONCATENATE("[Link](",AO10,") ",AP10)),"")</f>
        <v/>
      </c>
      <c r="BT10" s="158" t="str">
        <f>IF(LEN(concat(BQ10:BS10))&gt;0,concat("| ",BQ10," | ",BR10," | ",BS10," |"),"")</f>
        <v>| [Link](http://www.therealpresence.org/eucharst/misc/BVM/89_FILIPOV_96x96.pdf) | [Link](https://www.miraclehunter.com/marian_apparitions/approved_apparitions/filippsdorf/index.html) |  |</v>
      </c>
      <c r="BU10" s="155" t="str">
        <f>IF(J10,concatl("| The Real Presence | Miracle Hunter | MaryPages |","| --- | --- | --- |",BT10),"")</f>
        <v xml:space="preserve">| The Real Presence | Miracle Hunter | MaryPages |_x000D_
| --- | --- | --- |_x000D_
| [Link](http://www.therealpresence.org/eucharst/misc/BVM/89_FILIPOV_96x96.pdf) | [Link](https://www.miraclehunter.com/marian_apparitions/approved_apparitions/filippsdorf/index.html) |  |_x000D_
</v>
      </c>
      <c r="BV10" s="155" t="str">
        <f>IF(LEN(BP10&amp;BU10)&gt;0,concatll("#### More Information",BP10,BU10),"")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10" s="155" t="str">
        <f>IF(LEN(M10)&gt;1,concatll("#### Author's Note",M10),"")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10" s="23" t="str">
        <f>IF(AR10,concatll(concatl("---",AS10:AU10,BK10,"---"),L10,BV10:BW10),"")</f>
        <v xml:space="preserve">---_x000D_
title: "Basilica of Our Lady Help of Christians"_x000D_
location: {lat: 50.9806857, lng: 14.5973499}_x000D_
interest: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10" s="23" t="str">
        <f>IF(AR10,VLOOKUP(B10,'(Ref) Countries'!A:B,2,)&amp;IF(LEN(C10)&gt;1,"-"&amp;LOWER(SUBSTITUTE(C10," ","-")),"")&amp;"-"&amp;LOWER(SUBSTITUTE(SUBSTITUTE(G10," ","-"),".",""))&amp;".md","")</f>
        <v>cz-basilica-of-our-lady-help-of-christians.md</v>
      </c>
      <c r="BZ10" s="30" t="str">
        <f>IF(LEN(Y10)&gt;1,VLOOKUP(Y10,'Tag List'!$A:$B,2,),"")</f>
        <v/>
      </c>
      <c r="CA10" s="30" t="str">
        <f>IF(LEN(Z10)&gt;1,VLOOKUP(Z10,'Tag List'!$A:$B,2,),"")</f>
        <v/>
      </c>
      <c r="CB10" s="30" t="str">
        <f>IF(LEN(AA10)&gt;1,VLOOKUP(AA10,'Tag List'!$A:$B,2,),"")</f>
        <v/>
      </c>
      <c r="CC10" s="30" t="str">
        <f>IF(LEN(Y10)&gt;1,GetTagPage(BZ10,Y10),"")</f>
        <v/>
      </c>
      <c r="CD10" s="30" t="str">
        <f>IF(LEN(Z10)&gt;1,GetTagPage(CA10,Z10),"")</f>
        <v/>
      </c>
      <c r="CE10" s="30" t="str">
        <f>IF(LEN(AA10)&gt;1,GetTagPage(CB10,AA10),"")</f>
        <v/>
      </c>
      <c r="CF10" s="30" t="str">
        <f>"|"&amp;IF(LEN(CC10)&gt;1," "&amp;CC10,"")&amp;IF(LEN(CD10)&gt;1,", "&amp;CD10,"")&amp;IF(LEN(CE10)&gt;1,", "&amp;CE10,"")&amp;" "</f>
        <v xml:space="preserve">| </v>
      </c>
      <c r="CG10" s="30" t="str">
        <f>"| "&amp;IF(AR10,"["&amp;AI10&amp;"](/places/"&amp;SUBSTITUTE(BY10,".md","")&amp;")",AI10)&amp;" "</f>
        <v xml:space="preserve">| [Filipov](/places/cz-basilica-of-our-lady-help-of-christians) </v>
      </c>
      <c r="CH10" s="30" t="str">
        <f>"| "&amp;IF(AR10,GetTagPage(B10,VLOOKUP(B10,'(Ref) Countries'!A:C,3,)),B10)&amp; " "</f>
        <v xml:space="preserve">| [Czechia](/tags/czechia) </v>
      </c>
      <c r="CI10" s="30" t="str">
        <f>"| "&amp;AJ10&amp;" "</f>
        <v xml:space="preserve">| 1866 </v>
      </c>
      <c r="CJ10" s="30" t="str">
        <f>"|"&amp;IF(AR10," [Link](/places/"&amp;SUBSTITUTE(BY10,".md","")&amp;")","")&amp;" "</f>
        <v xml:space="preserve">| [Link](/places/cz-basilica-of-our-lady-help-of-christians) </v>
      </c>
      <c r="CK10" s="29" t="str">
        <f>"
"&amp;CG10&amp;CH10&amp;CI10&amp;CJ10&amp;BL10&amp;BQ10&amp;BR10&amp;BS10&amp;CF10&amp;"|"</f>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89" ht="127.5" x14ac:dyDescent="0.25">
      <c r="A11" s="168" t="s">
        <v>1320</v>
      </c>
      <c r="B11" s="24" t="s">
        <v>21</v>
      </c>
      <c r="D11" s="15">
        <v>30.104622926940898</v>
      </c>
      <c r="E11" s="49">
        <v>31.315544743810101</v>
      </c>
      <c r="F11" s="24" t="s">
        <v>1013</v>
      </c>
      <c r="G11" s="53" t="s">
        <v>1012</v>
      </c>
      <c r="H11" s="24" t="s">
        <v>1715</v>
      </c>
      <c r="I11" s="40" t="b">
        <v>1</v>
      </c>
      <c r="J11" s="24" t="b">
        <v>1</v>
      </c>
      <c r="L11" s="24" t="s">
        <v>1014</v>
      </c>
      <c r="M11" s="55" t="s">
        <v>1740</v>
      </c>
      <c r="N11" s="15" t="s">
        <v>1017</v>
      </c>
      <c r="O11" s="15" t="s">
        <v>336</v>
      </c>
      <c r="Y11" s="15" t="s">
        <v>1018</v>
      </c>
      <c r="AI11" s="85" t="s">
        <v>1028</v>
      </c>
      <c r="AJ11" s="86" t="s">
        <v>1011</v>
      </c>
      <c r="AK11" s="15" t="s">
        <v>326</v>
      </c>
      <c r="AL11" s="15" t="s">
        <v>336</v>
      </c>
      <c r="AM11" s="15" t="s">
        <v>1015</v>
      </c>
      <c r="AN11" s="15" t="s">
        <v>336</v>
      </c>
      <c r="AO11" s="15" t="s">
        <v>1016</v>
      </c>
      <c r="AP11" s="49" t="s">
        <v>336</v>
      </c>
      <c r="AR11" s="154" t="b">
        <f>IF(OR(A11="Done",A11="In Progress"),TRUE)</f>
        <v>1</v>
      </c>
      <c r="AS11" s="155" t="str">
        <f>"title: """&amp;F11&amp;""""</f>
        <v>title: "Virgin Mary Church in Zeitoun (Our Lady of Zeitoun, Our Lady of Light)"</v>
      </c>
      <c r="AT11" s="155" t="str">
        <f>"location: {lat: "&amp;D11&amp;", lng: "&amp;E11&amp;"}"</f>
        <v>location: {lat: 30.1046229269409, lng: 31.3155447438101}</v>
      </c>
      <c r="AU11" s="155" t="str">
        <f>"interest: "&amp;H11</f>
        <v>interest: global</v>
      </c>
      <c r="AV11" s="155" t="str">
        <f>"- "&amp;VLOOKUP(B11,'(Ref) Countries'!A:C,3,)</f>
        <v>- egypt</v>
      </c>
      <c r="AW11" s="155" t="str">
        <f>IF(LEN(C11)&gt;1,"- "&amp;LOWER(SUBSTITUTE(C11," ","-")),"")</f>
        <v/>
      </c>
      <c r="AX11" s="155" t="str">
        <f>IF(I11,"- churches","")</f>
        <v>- churches</v>
      </c>
      <c r="AY11" s="155" t="str">
        <f>IF(J11,"- marian-sites","")</f>
        <v>- marian-sites</v>
      </c>
      <c r="AZ11" s="155" t="str">
        <f>IF(K11,"- holy-persons","")</f>
        <v/>
      </c>
      <c r="BA11" s="155" t="str">
        <f>IF(LEN(Y11)&gt;0,"- "&amp;Y11,"")</f>
        <v>- coptic</v>
      </c>
      <c r="BB11" s="155" t="str">
        <f>IF(LEN(Z11)&gt;0,"- "&amp;Z11,"")</f>
        <v/>
      </c>
      <c r="BC11" s="155" t="str">
        <f>IF(LEN(AA11)&gt;0,"- "&amp;AA11,"")</f>
        <v/>
      </c>
      <c r="BD11" s="155" t="str">
        <f>IF(LEN(AB11)&gt;0,"- "&amp;AB11,"")</f>
        <v/>
      </c>
      <c r="BE11" s="155" t="str">
        <f>IF(LEN(AC11)&gt;0,"- "&amp;AC11,"")</f>
        <v/>
      </c>
      <c r="BF11" s="155" t="str">
        <f>IF(LEN(AD11)&gt;0,"- "&amp;AD11,"")</f>
        <v/>
      </c>
      <c r="BG11" s="155" t="str">
        <f>IF(LEN(AE11)&gt;0,"- "&amp;AE11,"")</f>
        <v/>
      </c>
      <c r="BH11" s="155" t="str">
        <f>IF(LEN(AF11)&gt;0,"- "&amp;AF11,"")</f>
        <v/>
      </c>
      <c r="BI11" s="155" t="str">
        <f>IF(LEN(AG11)&gt;0,"- "&amp;AG11,"")</f>
        <v/>
      </c>
      <c r="BJ11" s="155" t="str">
        <f>IF(LEN(AH11)&gt;0,"- "&amp;AH11,"")</f>
        <v/>
      </c>
      <c r="BK11" s="155" t="str">
        <f>"tags:"&amp;CHAR(10)&amp;concatl(AV11:BJ11)</f>
        <v xml:space="preserve">tags:
- egypt_x000D_
- churches_x000D_
- marian-sites_x000D_
- coptic_x000D_
</v>
      </c>
      <c r="BL11" s="158" t="str">
        <f>IF(LEN(N11)&gt;0,TRIM(CONCATENATE("[Official site](",N11,") ",O11)),"")</f>
        <v>[Official site](https://www.stmaryztn.org/saintmary/en/)</v>
      </c>
      <c r="BM11" s="158" t="str">
        <f>IF(LEN(Q11)&gt;0,TRIM(CONCATENATE("["&amp;P11&amp;"](",Q11,") ",R11)),"")</f>
        <v/>
      </c>
      <c r="BN11" s="158" t="str">
        <f>IF(LEN(T11)&gt;0,TRIM(CONCATENATE("["&amp;S11&amp;"](",T11,") ",U11)),"")</f>
        <v/>
      </c>
      <c r="BO11" s="158" t="str">
        <f>IF(LEN(W11)&gt;0,TRIM(CONCATENATE("["&amp;V11&amp;"](",W11,") ",X11)),"")</f>
        <v/>
      </c>
      <c r="BP11" s="158" t="str">
        <f>IF(LEN(BL11)&gt;0,"* "&amp;BL11&amp;CHAR(10),"")&amp;
IF(LEN(BM11)&gt;0,"* "&amp;BM11&amp;CHAR(10),"")&amp;
IF(LEN(BN11)&gt;0,"* "&amp;BN11&amp;CHAR(10),"")&amp;
IF(LEN(BO11)&gt;0,"* "&amp;BO11&amp;CHAR(10),"")</f>
        <v xml:space="preserve">* [Official site](https://www.stmaryztn.org/saintmary/en/)
</v>
      </c>
      <c r="BQ11" s="158" t="str">
        <f>IF(LEN(AK11)&gt;0,TRIM(CONCATENATE("[Link](",AK11,") ",AL11)),"")</f>
        <v>[Link](http://www.therealpresence.org/eucharst/misc/BVM/144_ZEITUN_96x96.pdf)</v>
      </c>
      <c r="BR11" s="158" t="str">
        <f>IF(LEN(AM11)&gt;0,TRIM(CONCATENATE("[Link](",AM11,") ",AN11)),"")</f>
        <v>[Link](https://www.miraclehunter.com/marian_apparitions/approved_apparitions/zeitun/index.html)</v>
      </c>
      <c r="BS11" s="158" t="str">
        <f>IF(LEN(AO11)&gt;0,TRIM(CONCATENATE("[Link](",AO11,") ",AP11)),"")</f>
        <v>[Link](https://www.marypages.com/zeitoen-ca%C3%AFro-(egypt)-en.html)</v>
      </c>
      <c r="BT11" s="158" t="str">
        <f>IF(LEN(concat(BQ11:BS11))&gt;0,concat("| ",BQ11," | ",BR11," | ",BS11," |"),"")</f>
        <v>| [Link](http://www.therealpresence.org/eucharst/misc/BVM/144_ZEITUN_96x96.pdf) | [Link](https://www.miraclehunter.com/marian_apparitions/approved_apparitions/zeitun/index.html) | [Link](https://www.marypages.com/zeitoen-ca%C3%AFro-(egypt)-en.html) |</v>
      </c>
      <c r="BU11" s="155" t="str">
        <f>IF(J11,concatl("| The Real Presence | Miracle Hunter | MaryPages |","| --- | --- | --- |",BT11),"")</f>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11" s="155" t="str">
        <f>IF(LEN(BP11&amp;BU11)&gt;0,concatll("#### More Information",BP11,BU11),"")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11" s="155" t="str">
        <f>IF(LEN(M11)&gt;1,concatll("#### Author's Note",M11),"")</f>
        <v xml:space="preserve">#### Author's Note_x000D_
_x000D_
You can read the statement issued by the Papal Residence in Cairo [here](https://www.stmaryztn.org/saintmary/en/apparition-story/papal-statment).
-JMM_x000D_
_x000D_
</v>
      </c>
      <c r="BX11" s="23" t="str">
        <f>IF(AR11,concatll(concatl("---",AS11:AU11,BK11,"---"),L11,BV11:BW11),"")</f>
        <v xml:space="preserve">---_x000D_
title: "Virgin Mary Church in Zeitoun (Our Lady of Zeitoun, Our Lady of Light)"_x000D_
location: {lat: 30.1046229269409, lng: 31.3155447438101}_x000D_
interest: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11" s="23" t="str">
        <f>IF(AR11,VLOOKUP(B11,'(Ref) Countries'!A:B,2,)&amp;IF(LEN(C11)&gt;1,"-"&amp;LOWER(SUBSTITUTE(C11," ","-")),"")&amp;"-"&amp;LOWER(SUBSTITUTE(SUBSTITUTE(G11," ","-"),".",""))&amp;".md","")</f>
        <v>eg-virgin-mary-church-in-zeitoun.md</v>
      </c>
      <c r="BZ11" s="29" t="str">
        <f>IF(LEN(Y11)&gt;1,VLOOKUP(Y11,'Tag List'!$A:$B,2,),"")</f>
        <v>Coptic Church</v>
      </c>
      <c r="CA11" s="29" t="str">
        <f>IF(LEN(Z11)&gt;1,VLOOKUP(Z11,'Tag List'!$A:$B,2,),"")</f>
        <v/>
      </c>
      <c r="CB11" s="29" t="str">
        <f>IF(LEN(AA11)&gt;1,VLOOKUP(AA11,'Tag List'!$A:$B,2,),"")</f>
        <v/>
      </c>
      <c r="CC11" s="30" t="str">
        <f>IF(LEN(Y11)&gt;1,GetTagPage(BZ11,Y11),"")</f>
        <v>[Coptic Church](/tags/coptic)</v>
      </c>
      <c r="CD11" s="30" t="str">
        <f>IF(LEN(Z11)&gt;1,GetTagPage(CA11,Z11),"")</f>
        <v/>
      </c>
      <c r="CE11" s="30" t="str">
        <f>IF(LEN(AA11)&gt;1,GetTagPage(CB11,AA11),"")</f>
        <v/>
      </c>
      <c r="CF11" s="30" t="str">
        <f>"|"&amp;IF(LEN(CC11)&gt;1," "&amp;CC11,"")&amp;IF(LEN(CD11)&gt;1,", "&amp;CD11,"")&amp;IF(LEN(CE11)&gt;1,", "&amp;CE11,"")&amp;" "</f>
        <v xml:space="preserve">| [Coptic Church](/tags/coptic) </v>
      </c>
      <c r="CG11" s="30" t="str">
        <f>"| "&amp;IF(AR11,"["&amp;AI11&amp;"](/places/"&amp;SUBSTITUTE(BY11,".md","")&amp;")",AI11)&amp;" "</f>
        <v xml:space="preserve">| [Zeitoun](/places/eg-virgin-mary-church-in-zeitoun) </v>
      </c>
      <c r="CH11" s="30" t="str">
        <f>"| "&amp;IF(AR11,GetTagPage(B11,VLOOKUP(B11,'(Ref) Countries'!A:C,3,)),B11)&amp; " "</f>
        <v xml:space="preserve">| [Egypt](/tags/egypt) </v>
      </c>
      <c r="CI11" s="30" t="str">
        <f>"| "&amp;AJ11&amp;" "</f>
        <v xml:space="preserve">| 1968-1970 </v>
      </c>
      <c r="CJ11" s="30" t="str">
        <f>"|"&amp;IF(AR11," [Link](/places/"&amp;SUBSTITUTE(BY11,".md","")&amp;")","")&amp;" "</f>
        <v xml:space="preserve">| [Link](/places/eg-virgin-mary-church-in-zeitoun) </v>
      </c>
      <c r="CK11" s="29" t="str">
        <f>"
"&amp;CG11&amp;CH11&amp;CI11&amp;CJ11&amp;BL11&amp;BQ11&amp;BR11&amp;BS11&amp;CF11&amp;"|"</f>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12" spans="1:89" ht="51" x14ac:dyDescent="0.25">
      <c r="A12" s="168" t="s">
        <v>1320</v>
      </c>
      <c r="B12" s="24" t="s">
        <v>557</v>
      </c>
      <c r="C12" s="36"/>
      <c r="D12" s="15">
        <v>45.045629644626899</v>
      </c>
      <c r="E12" s="49">
        <v>3.8846338389333201</v>
      </c>
      <c r="F12" s="24" t="s">
        <v>1339</v>
      </c>
      <c r="G12" s="53" t="s">
        <v>1339</v>
      </c>
      <c r="H12" s="24" t="s">
        <v>1715</v>
      </c>
      <c r="I12" s="40" t="b">
        <v>1</v>
      </c>
      <c r="J12" s="36" t="b">
        <v>1</v>
      </c>
      <c r="K12" s="36"/>
      <c r="L12" s="24" t="s">
        <v>337</v>
      </c>
      <c r="N12" s="16" t="s">
        <v>1340</v>
      </c>
      <c r="O12" s="16" t="s">
        <v>336</v>
      </c>
      <c r="P12" s="59"/>
      <c r="Q12" s="16"/>
      <c r="R12" s="63"/>
      <c r="S12" s="59"/>
      <c r="T12" s="16"/>
      <c r="U12" s="63"/>
      <c r="V12" s="16"/>
      <c r="W12" s="16"/>
      <c r="X12" s="50"/>
      <c r="Y12" s="91" t="s">
        <v>2118</v>
      </c>
      <c r="AI12" s="85" t="s">
        <v>1180</v>
      </c>
      <c r="AJ12" s="86">
        <v>47</v>
      </c>
      <c r="AK12" s="15" t="s">
        <v>180</v>
      </c>
      <c r="AL12" s="15" t="s">
        <v>336</v>
      </c>
      <c r="AM12" s="16" t="s">
        <v>95</v>
      </c>
      <c r="AN12" s="16" t="s">
        <v>336</v>
      </c>
      <c r="AO12" s="16" t="s">
        <v>336</v>
      </c>
      <c r="AP12" s="50" t="s">
        <v>336</v>
      </c>
      <c r="AR12" s="154" t="b">
        <f>IF(OR(A12="Done",A12="In Progress"),TRUE)</f>
        <v>1</v>
      </c>
      <c r="AS12" s="155" t="str">
        <f>"title: """&amp;F12&amp;""""</f>
        <v>title: "Cathedral of Our Lady of Puy"</v>
      </c>
      <c r="AT12" s="155" t="str">
        <f>"location: {lat: "&amp;D12&amp;", lng: "&amp;E12&amp;"}"</f>
        <v>location: {lat: 45.0456296446269, lng: 3.88463383893332}</v>
      </c>
      <c r="AU12" s="155" t="str">
        <f>"interest: "&amp;H12</f>
        <v>interest: global</v>
      </c>
      <c r="AV12" s="155" t="str">
        <f>"- "&amp;VLOOKUP(B12,'(Ref) Countries'!A:C,3,)</f>
        <v>- france</v>
      </c>
      <c r="AW12" s="155" t="str">
        <f>IF(LEN(C12)&gt;1,"- "&amp;LOWER(SUBSTITUTE(C12," ","-")),"")</f>
        <v/>
      </c>
      <c r="AX12" s="155" t="str">
        <f>IF(I12,"- churches","")</f>
        <v>- churches</v>
      </c>
      <c r="AY12" s="155" t="str">
        <f>IF(J12,"- marian-sites","")</f>
        <v>- marian-sites</v>
      </c>
      <c r="AZ12" s="155" t="str">
        <f>IF(K12,"- holy-persons","")</f>
        <v/>
      </c>
      <c r="BA12" s="155" t="str">
        <f>IF(LEN(Y12)&gt;0,"- "&amp;Y12,"")</f>
        <v>- camino</v>
      </c>
      <c r="BB12" s="155" t="str">
        <f>IF(LEN(Z12)&gt;0,"- "&amp;Z12,"")</f>
        <v/>
      </c>
      <c r="BC12" s="155" t="str">
        <f>IF(LEN(AA12)&gt;0,"- "&amp;AA12,"")</f>
        <v/>
      </c>
      <c r="BD12" s="155" t="str">
        <f>IF(LEN(AB12)&gt;0,"- "&amp;AB12,"")</f>
        <v/>
      </c>
      <c r="BE12" s="155" t="str">
        <f>IF(LEN(AC12)&gt;0,"- "&amp;AC12,"")</f>
        <v/>
      </c>
      <c r="BF12" s="155" t="str">
        <f>IF(LEN(AD12)&gt;0,"- "&amp;AD12,"")</f>
        <v/>
      </c>
      <c r="BG12" s="155" t="str">
        <f>IF(LEN(AE12)&gt;0,"- "&amp;AE12,"")</f>
        <v/>
      </c>
      <c r="BH12" s="155" t="str">
        <f>IF(LEN(AF12)&gt;0,"- "&amp;AF12,"")</f>
        <v/>
      </c>
      <c r="BI12" s="155" t="str">
        <f>IF(LEN(AG12)&gt;0,"- "&amp;AG12,"")</f>
        <v/>
      </c>
      <c r="BJ12" s="155" t="str">
        <f>IF(LEN(AH12)&gt;0,"- "&amp;AH12,"")</f>
        <v/>
      </c>
      <c r="BK12" s="155" t="str">
        <f>"tags:"&amp;CHAR(10)&amp;concatl(AV12:BJ12)</f>
        <v xml:space="preserve">tags:
- france_x000D_
- churches_x000D_
- marian-sites_x000D_
- camino_x000D_
</v>
      </c>
      <c r="BL12" s="158" t="str">
        <f>IF(LEN(N12)&gt;0,TRIM(CONCATENATE("[Official site](",N12,") ",O12)),"")</f>
        <v>[Official site](https://www.cathedraledupuy.org/)</v>
      </c>
      <c r="BM12" s="158" t="str">
        <f>IF(LEN(Q12)&gt;0,TRIM(CONCATENATE("["&amp;P12&amp;"](",Q12,") ",R12)),"")</f>
        <v/>
      </c>
      <c r="BN12" s="158" t="str">
        <f>IF(LEN(T12)&gt;0,TRIM(CONCATENATE("["&amp;S12&amp;"](",T12,") ",U12)),"")</f>
        <v/>
      </c>
      <c r="BO12" s="158" t="str">
        <f>IF(LEN(W12)&gt;0,TRIM(CONCATENATE("["&amp;V12&amp;"](",W12,") ",X12)),"")</f>
        <v/>
      </c>
      <c r="BP12" s="158" t="str">
        <f>IF(LEN(BL12)&gt;0,"* "&amp;BL12&amp;CHAR(10),"")&amp;
IF(LEN(BM12)&gt;0,"* "&amp;BM12&amp;CHAR(10),"")&amp;
IF(LEN(BN12)&gt;0,"* "&amp;BN12&amp;CHAR(10),"")&amp;
IF(LEN(BO12)&gt;0,"* "&amp;BO12&amp;CHAR(10),"")</f>
        <v xml:space="preserve">* [Official site](https://www.cathedraledupuy.org/)
</v>
      </c>
      <c r="BQ12" s="158" t="str">
        <f>IF(LEN(AK12)&gt;0,TRIM(CONCATENATE("[Link](",AK12,") ",AL12)),"")</f>
        <v>[Link](http://www.therealpresence.org/eucharst/misc/BVM/68_LE_PUY_60x96.pdf)</v>
      </c>
      <c r="BR12" s="158" t="str">
        <f>IF(LEN(AM12)&gt;0,TRIM(CONCATENATE("[Link](",AM12,") ",AN12)),"")</f>
        <v>[Link](https://www.miraclehunter.com/marian_apparitions/approved_apparitions/lepuy/index.html)</v>
      </c>
      <c r="BS12" s="158" t="str">
        <f>IF(LEN(AO12)&gt;0,TRIM(CONCATENATE("[Link](",AO12,") ",AP12)),"")</f>
        <v/>
      </c>
      <c r="BT12" s="158" t="str">
        <f>IF(LEN(concat(BQ12:BS12))&gt;0,concat("| ",BQ12," | ",BR12," | ",BS12," |"),"")</f>
        <v>| [Link](http://www.therealpresence.org/eucharst/misc/BVM/68_LE_PUY_60x96.pdf) | [Link](https://www.miraclehunter.com/marian_apparitions/approved_apparitions/lepuy/index.html) |  |</v>
      </c>
      <c r="BU12" s="155" t="str">
        <f>IF(J12,concatl("| The Real Presence | Miracle Hunter | MaryPages |","| --- | --- | --- |",BT12),"")</f>
        <v xml:space="preserve">| The Real Presence | Miracle Hunter | MaryPages |_x000D_
| --- | --- | --- |_x000D_
| [Link](http://www.therealpresence.org/eucharst/misc/BVM/68_LE_PUY_60x96.pdf) | [Link](https://www.miraclehunter.com/marian_apparitions/approved_apparitions/lepuy/index.html) |  |_x000D_
</v>
      </c>
      <c r="BV12" s="155" t="str">
        <f>IF(LEN(BP12&amp;BU12)&gt;0,concatll("#### More Information",BP12,BU12),"")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12" s="155" t="str">
        <f>IF(LEN(M12)&gt;1,concatll("#### Author's Note",M12),"")</f>
        <v/>
      </c>
      <c r="BX12" s="23" t="str">
        <f>IF(AR12,concatll(concatl("---",AS12:AU12,BK12,"---"),L12,BV12:BW12),"")</f>
        <v xml:space="preserve">---_x000D_
title: "Cathedral of Our Lady of Puy"_x000D_
location: {lat: 45.0456296446269, lng: 3.88463383893332}_x000D_
interest: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12" s="23" t="str">
        <f>IF(AR12,VLOOKUP(B12,'(Ref) Countries'!A:B,2,)&amp;IF(LEN(C12)&gt;1,"-"&amp;LOWER(SUBSTITUTE(C12," ","-")),"")&amp;"-"&amp;LOWER(SUBSTITUTE(SUBSTITUTE(G12," ","-"),".",""))&amp;".md","")</f>
        <v>fr-cathedral-of-our-lady-of-puy.md</v>
      </c>
      <c r="BZ12" s="29" t="str">
        <f>IF(LEN(Y12)&gt;1,VLOOKUP(Y12,'Tag List'!$A:$B,2,),"")</f>
        <v>Camino de Santiago</v>
      </c>
      <c r="CA12" s="29" t="str">
        <f>IF(LEN(Z12)&gt;1,VLOOKUP(Z12,'Tag List'!$A:$B,2,),"")</f>
        <v/>
      </c>
      <c r="CB12" s="29" t="str">
        <f>IF(LEN(AA12)&gt;1,VLOOKUP(AA12,'Tag List'!$A:$B,2,),"")</f>
        <v/>
      </c>
      <c r="CC12" s="30" t="str">
        <f>IF(LEN(Y12)&gt;1,GetTagPage(BZ12,Y12),"")</f>
        <v>[Camino de Santiago](/tags/camino)</v>
      </c>
      <c r="CD12" s="30" t="str">
        <f>IF(LEN(Z12)&gt;1,GetTagPage(CA12,Z12),"")</f>
        <v/>
      </c>
      <c r="CE12" s="30" t="str">
        <f>IF(LEN(AA12)&gt;1,GetTagPage(CB12,AA12),"")</f>
        <v/>
      </c>
      <c r="CF12" s="30" t="str">
        <f>"|"&amp;IF(LEN(CC12)&gt;1," "&amp;CC12,"")&amp;IF(LEN(CD12)&gt;1,", "&amp;CD12,"")&amp;IF(LEN(CE12)&gt;1,", "&amp;CE12,"")&amp;" "</f>
        <v xml:space="preserve">| [Camino de Santiago](/tags/camino) </v>
      </c>
      <c r="CG12" s="30" t="str">
        <f>"| "&amp;IF(AR12,"["&amp;AI12&amp;"](/places/"&amp;SUBSTITUTE(BY12,".md","")&amp;")",AI12)&amp;" "</f>
        <v xml:space="preserve">| [Le Puy En Velay](/places/fr-cathedral-of-our-lady-of-puy) </v>
      </c>
      <c r="CH12" s="30" t="str">
        <f>"| "&amp;IF(AR12,GetTagPage(B12,VLOOKUP(B12,'(Ref) Countries'!A:C,3,)),B12)&amp; " "</f>
        <v xml:space="preserve">| [France](/tags/france) </v>
      </c>
      <c r="CI12" s="30" t="str">
        <f>"| "&amp;AJ12&amp;" "</f>
        <v xml:space="preserve">| 47 </v>
      </c>
      <c r="CJ12" s="30" t="str">
        <f>"|"&amp;IF(AR12," [Link](/places/"&amp;SUBSTITUTE(BY12,".md","")&amp;")","")&amp;" "</f>
        <v xml:space="preserve">| [Link](/places/fr-cathedral-of-our-lady-of-puy) </v>
      </c>
      <c r="CK12" s="29" t="str">
        <f>"
"&amp;CG12&amp;CH12&amp;CI12&amp;CJ12&amp;BL12&amp;BQ12&amp;BR12&amp;BS12&amp;CF12&amp;"|"</f>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13" spans="1:89" ht="76.5" x14ac:dyDescent="0.25">
      <c r="A13" s="168" t="s">
        <v>1320</v>
      </c>
      <c r="B13" s="24" t="s">
        <v>557</v>
      </c>
      <c r="D13" s="15">
        <v>44.521201599999998</v>
      </c>
      <c r="E13" s="49">
        <v>6.1521160000000004</v>
      </c>
      <c r="F13" s="24" t="s">
        <v>1008</v>
      </c>
      <c r="G13" s="53" t="s">
        <v>1008</v>
      </c>
      <c r="H13" s="24" t="s">
        <v>1715</v>
      </c>
      <c r="I13" s="40" t="b">
        <v>1</v>
      </c>
      <c r="J13" s="24" t="b">
        <v>1</v>
      </c>
      <c r="K13" s="24" t="b">
        <v>1</v>
      </c>
      <c r="L13" s="24" t="s">
        <v>468</v>
      </c>
      <c r="M13" s="55" t="s">
        <v>1736</v>
      </c>
      <c r="N13" s="15" t="s">
        <v>419</v>
      </c>
      <c r="O13" s="15" t="s">
        <v>336</v>
      </c>
      <c r="Y13" s="36" t="s">
        <v>487</v>
      </c>
      <c r="Z13" s="36"/>
      <c r="AA13" s="36"/>
      <c r="AB13" s="36"/>
      <c r="AC13" s="36"/>
      <c r="AD13" s="36"/>
      <c r="AE13" s="36"/>
      <c r="AF13" s="36"/>
      <c r="AG13" s="36"/>
      <c r="AH13" s="36"/>
      <c r="AI13" s="85" t="s">
        <v>1007</v>
      </c>
      <c r="AJ13" s="86" t="s">
        <v>1010</v>
      </c>
      <c r="AK13" s="15" t="s">
        <v>272</v>
      </c>
      <c r="AL13" s="15" t="s">
        <v>336</v>
      </c>
      <c r="AM13" s="15" t="s">
        <v>469</v>
      </c>
      <c r="AN13" s="15" t="s">
        <v>336</v>
      </c>
      <c r="AO13" s="15" t="s">
        <v>470</v>
      </c>
      <c r="AP13" s="49" t="s">
        <v>336</v>
      </c>
      <c r="AR13" s="154" t="b">
        <f>IF(OR(A13="Done",A13="In Progress"),TRUE)</f>
        <v>1</v>
      </c>
      <c r="AS13" s="155" t="str">
        <f>"title: """&amp;F13&amp;""""</f>
        <v>title: "Sanctuary of Our Lady of Laus"</v>
      </c>
      <c r="AT13" s="155" t="str">
        <f>"location: {lat: "&amp;D13&amp;", lng: "&amp;E13&amp;"}"</f>
        <v>location: {lat: 44.5212016, lng: 6.152116}</v>
      </c>
      <c r="AU13" s="155" t="str">
        <f>"interest: "&amp;H13</f>
        <v>interest: global</v>
      </c>
      <c r="AV13" s="155" t="str">
        <f>"- "&amp;VLOOKUP(B13,'(Ref) Countries'!A:C,3,)</f>
        <v>- france</v>
      </c>
      <c r="AW13" s="155" t="str">
        <f>IF(LEN(C13)&gt;1,"- "&amp;LOWER(SUBSTITUTE(C13," ","-")),"")</f>
        <v/>
      </c>
      <c r="AX13" s="155" t="str">
        <f>IF(I13,"- churches","")</f>
        <v>- churches</v>
      </c>
      <c r="AY13" s="155" t="str">
        <f>IF(J13,"- marian-sites","")</f>
        <v>- marian-sites</v>
      </c>
      <c r="AZ13" s="155" t="str">
        <f>IF(K13,"- holy-persons","")</f>
        <v>- holy-persons</v>
      </c>
      <c r="BA13" s="155" t="str">
        <f>IF(LEN(Y13)&gt;0,"- "&amp;Y13,"")</f>
        <v>- benoite-rencurel</v>
      </c>
      <c r="BB13" s="155" t="str">
        <f>IF(LEN(Z13)&gt;0,"- "&amp;Z13,"")</f>
        <v/>
      </c>
      <c r="BC13" s="155" t="str">
        <f>IF(LEN(AA13)&gt;0,"- "&amp;AA13,"")</f>
        <v/>
      </c>
      <c r="BD13" s="155" t="str">
        <f>IF(LEN(AB13)&gt;0,"- "&amp;AB13,"")</f>
        <v/>
      </c>
      <c r="BE13" s="155" t="str">
        <f>IF(LEN(AC13)&gt;0,"- "&amp;AC13,"")</f>
        <v/>
      </c>
      <c r="BF13" s="155" t="str">
        <f>IF(LEN(AD13)&gt;0,"- "&amp;AD13,"")</f>
        <v/>
      </c>
      <c r="BG13" s="155" t="str">
        <f>IF(LEN(AE13)&gt;0,"- "&amp;AE13,"")</f>
        <v/>
      </c>
      <c r="BH13" s="155" t="str">
        <f>IF(LEN(AF13)&gt;0,"- "&amp;AF13,"")</f>
        <v/>
      </c>
      <c r="BI13" s="155" t="str">
        <f>IF(LEN(AG13)&gt;0,"- "&amp;AG13,"")</f>
        <v/>
      </c>
      <c r="BJ13" s="155" t="str">
        <f>IF(LEN(AH13)&gt;0,"- "&amp;AH13,"")</f>
        <v/>
      </c>
      <c r="BK13" s="155" t="str">
        <f>"tags:"&amp;CHAR(10)&amp;concatl(AV13:BJ13)</f>
        <v xml:space="preserve">tags:
- france_x000D_
- churches_x000D_
- marian-sites_x000D_
- holy-persons_x000D_
- benoite-rencurel_x000D_
</v>
      </c>
      <c r="BL13" s="158" t="str">
        <f>IF(LEN(N13)&gt;0,TRIM(CONCATENATE("[Official site](",N13,") ",O13)),"")</f>
        <v>[Official site](https://www.sanctuaire-notredamedulaus.com/)</v>
      </c>
      <c r="BM13" s="158" t="str">
        <f>IF(LEN(Q13)&gt;0,TRIM(CONCATENATE("["&amp;P13&amp;"](",Q13,") ",R13)),"")</f>
        <v/>
      </c>
      <c r="BN13" s="158" t="str">
        <f>IF(LEN(T13)&gt;0,TRIM(CONCATENATE("["&amp;S13&amp;"](",T13,") ",U13)),"")</f>
        <v/>
      </c>
      <c r="BO13" s="158" t="str">
        <f>IF(LEN(W13)&gt;0,TRIM(CONCATENATE("["&amp;V13&amp;"](",W13,") ",X13)),"")</f>
        <v/>
      </c>
      <c r="BP13" s="158" t="str">
        <f>IF(LEN(BL13)&gt;0,"* "&amp;BL13&amp;CHAR(10),"")&amp;
IF(LEN(BM13)&gt;0,"* "&amp;BM13&amp;CHAR(10),"")&amp;
IF(LEN(BN13)&gt;0,"* "&amp;BN13&amp;CHAR(10),"")&amp;
IF(LEN(BO13)&gt;0,"* "&amp;BO13&amp;CHAR(10),"")</f>
        <v xml:space="preserve">* [Official site](https://www.sanctuaire-notredamedulaus.com/)
</v>
      </c>
      <c r="BQ13" s="158" t="str">
        <f>IF(LEN(AK13)&gt;0,TRIM(CONCATENATE("[Link](",AK13,") ",AL13)),"")</f>
        <v>[Link](http://www.therealpresence.org/eucharst/misc/BVM/69_LAUS_140x96.pdf)</v>
      </c>
      <c r="BR13" s="158" t="str">
        <f>IF(LEN(AM13)&gt;0,TRIM(CONCATENATE("[Link](",AM13,") ",AN13)),"")</f>
        <v>[Link](https://www.miraclehunter.com/marian_apparitions/approved_apparitions/laus/index.html)</v>
      </c>
      <c r="BS13" s="158" t="str">
        <f>IF(LEN(AO13)&gt;0,TRIM(CONCATENATE("[Link](",AO13,") ",AP13)),"")</f>
        <v>[Link](https://www.marypages.com/laus-(france)-en.html)</v>
      </c>
      <c r="BT13" s="158" t="str">
        <f>IF(LEN(concat(BQ13:BS13))&gt;0,concat("| ",BQ13," | ",BR13," | ",BS13," |"),"")</f>
        <v>| [Link](http://www.therealpresence.org/eucharst/misc/BVM/69_LAUS_140x96.pdf) | [Link](https://www.miraclehunter.com/marian_apparitions/approved_apparitions/laus/index.html) | [Link](https://www.marypages.com/laus-(france)-en.html) |</v>
      </c>
      <c r="BU13" s="155" t="str">
        <f>IF(J13,concatl("| The Real Presence | Miracle Hunter | MaryPages |","| --- | --- | --- |",BT13),"")</f>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13" s="155" t="str">
        <f>IF(LEN(BP13&amp;BU13)&gt;0,concatll("#### More Information",BP13,BU13),"")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13" s="155" t="str">
        <f>IF(LEN(M13)&gt;1,concatll("#### Author's Note",M13),"")</f>
        <v xml:space="preserve">#### Author's Note_x000D_
_x000D_
One of the most picturesque apparition sites to visit!  The road between Laus and nearby [La Salette](/places/fr-sanctuary-of-our-lady-of-la-salette) winds through the French Alpine countryside.
-JMM_x000D_
_x000D_
</v>
      </c>
      <c r="BX13" s="23" t="str">
        <f>IF(AR13,concatll(concatl("---",AS13:AU13,BK13,"---"),L13,BV13:BW13),"")</f>
        <v xml:space="preserve">---_x000D_
title: "Sanctuary of Our Lady of Laus"_x000D_
location: {lat: 44.5212016, lng: 6.152116}_x000D_
interest: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13" s="23" t="str">
        <f>IF(AR13,VLOOKUP(B13,'(Ref) Countries'!A:B,2,)&amp;IF(LEN(C13)&gt;1,"-"&amp;LOWER(SUBSTITUTE(C13," ","-")),"")&amp;"-"&amp;LOWER(SUBSTITUTE(SUBSTITUTE(G13," ","-"),".",""))&amp;".md","")</f>
        <v>fr-sanctuary-of-our-lady-of-laus.md</v>
      </c>
      <c r="BZ13" s="38" t="str">
        <f>IF(LEN(Y13)&gt;1,VLOOKUP(Y13,'Tag List'!$A:$B,2,),"")</f>
        <v>Ven. Benoite Rencurel</v>
      </c>
      <c r="CA13" s="38" t="str">
        <f>IF(LEN(Z13)&gt;1,VLOOKUP(Z13,'Tag List'!$A:$B,2,),"")</f>
        <v/>
      </c>
      <c r="CB13" s="38" t="str">
        <f>IF(LEN(AA13)&gt;1,VLOOKUP(AA13,'Tag List'!$A:$B,2,),"")</f>
        <v/>
      </c>
      <c r="CC13" s="30" t="str">
        <f>IF(LEN(Y13)&gt;1,GetTagPage(BZ13,Y13),"")</f>
        <v>[Ven. Benoite Rencurel](/tags/benoite-rencurel)</v>
      </c>
      <c r="CD13" s="30" t="str">
        <f>IF(LEN(Z13)&gt;1,GetTagPage(CA13,Z13),"")</f>
        <v/>
      </c>
      <c r="CE13" s="30" t="str">
        <f>IF(LEN(AA13)&gt;1,GetTagPage(CB13,AA13),"")</f>
        <v/>
      </c>
      <c r="CF13" s="30" t="str">
        <f>"|"&amp;IF(LEN(CC13)&gt;1," "&amp;CC13,"")&amp;IF(LEN(CD13)&gt;1,", "&amp;CD13,"")&amp;IF(LEN(CE13)&gt;1,", "&amp;CE13,"")&amp;" "</f>
        <v xml:space="preserve">| [Ven. Benoite Rencurel](/tags/benoite-rencurel) </v>
      </c>
      <c r="CG13" s="30" t="str">
        <f>"| "&amp;IF(AR13,"["&amp;AI13&amp;"](/places/"&amp;SUBSTITUTE(BY13,".md","")&amp;")",AI13)&amp;" "</f>
        <v xml:space="preserve">| [Laus](/places/fr-sanctuary-of-our-lady-of-laus) </v>
      </c>
      <c r="CH13" s="30" t="str">
        <f>"| "&amp;IF(AR13,GetTagPage(B13,VLOOKUP(B13,'(Ref) Countries'!A:C,3,)),B13)&amp; " "</f>
        <v xml:space="preserve">| [France](/tags/france) </v>
      </c>
      <c r="CI13" s="30" t="str">
        <f>"| "&amp;AJ13&amp;" "</f>
        <v xml:space="preserve">| 1664-1718 </v>
      </c>
      <c r="CJ13" s="30" t="str">
        <f>"|"&amp;IF(AR13," [Link](/places/"&amp;SUBSTITUTE(BY13,".md","")&amp;")","")&amp;" "</f>
        <v xml:space="preserve">| [Link](/places/fr-sanctuary-of-our-lady-of-laus) </v>
      </c>
      <c r="CK13" s="29" t="str">
        <f>"
"&amp;CG13&amp;CH13&amp;CI13&amp;CJ13&amp;BL13&amp;BQ13&amp;BR13&amp;BS13&amp;CF13&amp;"|"</f>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14" spans="1:89" ht="229.5" x14ac:dyDescent="0.25">
      <c r="A14" s="168" t="s">
        <v>1320</v>
      </c>
      <c r="B14" s="27" t="s">
        <v>557</v>
      </c>
      <c r="C14" s="45" t="s">
        <v>1023</v>
      </c>
      <c r="D14" s="15">
        <v>48.850785899999998</v>
      </c>
      <c r="E14" s="49">
        <v>2.3229912000000001</v>
      </c>
      <c r="F14" s="24" t="s">
        <v>459</v>
      </c>
      <c r="G14" s="53" t="s">
        <v>459</v>
      </c>
      <c r="H14" s="24" t="s">
        <v>1715</v>
      </c>
      <c r="I14" s="40" t="b">
        <v>1</v>
      </c>
      <c r="J14" s="24" t="b">
        <v>1</v>
      </c>
      <c r="K14" s="24" t="b">
        <v>1</v>
      </c>
      <c r="L14" s="45" t="s">
        <v>1719</v>
      </c>
      <c r="M14" s="58" t="s">
        <v>1746</v>
      </c>
      <c r="N14" s="15" t="s">
        <v>416</v>
      </c>
      <c r="O14" s="15" t="s">
        <v>336</v>
      </c>
      <c r="Y14" s="36" t="s">
        <v>488</v>
      </c>
      <c r="Z14" s="37" t="s">
        <v>1703</v>
      </c>
      <c r="AA14" s="46" t="s">
        <v>1720</v>
      </c>
      <c r="AB14" s="46"/>
      <c r="AC14" s="46"/>
      <c r="AD14" s="46"/>
      <c r="AE14" s="46"/>
      <c r="AF14" s="46"/>
      <c r="AG14" s="46"/>
      <c r="AH14" s="46"/>
      <c r="AI14" s="85" t="s">
        <v>1023</v>
      </c>
      <c r="AJ14" s="86">
        <v>1830</v>
      </c>
      <c r="AK14" s="15" t="s">
        <v>287</v>
      </c>
      <c r="AL14" s="15" t="s">
        <v>336</v>
      </c>
      <c r="AM14" s="15" t="s">
        <v>461</v>
      </c>
      <c r="AN14" s="15" t="s">
        <v>336</v>
      </c>
      <c r="AO14" s="15" t="s">
        <v>460</v>
      </c>
      <c r="AP14" s="49" t="s">
        <v>336</v>
      </c>
      <c r="AR14" s="154" t="b">
        <f>IF(OR(A14="Done",A14="In Progress"),TRUE)</f>
        <v>1</v>
      </c>
      <c r="AS14" s="155" t="str">
        <f>"title: """&amp;F14&amp;""""</f>
        <v>title: "Chapel of Our Lady of the Miraculous Medal"</v>
      </c>
      <c r="AT14" s="155" t="str">
        <f>"location: {lat: "&amp;D14&amp;", lng: "&amp;E14&amp;"}"</f>
        <v>location: {lat: 48.8507859, lng: 2.3229912}</v>
      </c>
      <c r="AU14" s="155" t="str">
        <f>"interest: "&amp;H14</f>
        <v>interest: global</v>
      </c>
      <c r="AV14" s="155" t="str">
        <f>"- "&amp;VLOOKUP(B14,'(Ref) Countries'!A:C,3,)</f>
        <v>- france</v>
      </c>
      <c r="AW14" s="155" t="str">
        <f>IF(LEN(C14)&gt;1,"- "&amp;LOWER(SUBSTITUTE(C14," ","-")),"")</f>
        <v>- paris</v>
      </c>
      <c r="AX14" s="155" t="str">
        <f>IF(I14,"- churches","")</f>
        <v>- churches</v>
      </c>
      <c r="AY14" s="155" t="str">
        <f>IF(J14,"- marian-sites","")</f>
        <v>- marian-sites</v>
      </c>
      <c r="AZ14" s="155" t="str">
        <f>IF(K14,"- holy-persons","")</f>
        <v>- holy-persons</v>
      </c>
      <c r="BA14" s="155" t="str">
        <f>IF(LEN(Y14)&gt;0,"- "&amp;Y14,"")</f>
        <v>- catherine-laboure</v>
      </c>
      <c r="BB14" s="155" t="str">
        <f>IF(LEN(Z14)&gt;0,"- "&amp;Z14,"")</f>
        <v>- vincent-de-paul</v>
      </c>
      <c r="BC14" s="155" t="str">
        <f>IF(LEN(AA14)&gt;0,"- "&amp;AA14,"")</f>
        <v>- louise-de-marillac</v>
      </c>
      <c r="BD14" s="155" t="str">
        <f>IF(LEN(AB14)&gt;0,"- "&amp;AB14,"")</f>
        <v/>
      </c>
      <c r="BE14" s="155" t="str">
        <f>IF(LEN(AC14)&gt;0,"- "&amp;AC14,"")</f>
        <v/>
      </c>
      <c r="BF14" s="155" t="str">
        <f>IF(LEN(AD14)&gt;0,"- "&amp;AD14,"")</f>
        <v/>
      </c>
      <c r="BG14" s="155" t="str">
        <f>IF(LEN(AE14)&gt;0,"- "&amp;AE14,"")</f>
        <v/>
      </c>
      <c r="BH14" s="155" t="str">
        <f>IF(LEN(AF14)&gt;0,"- "&amp;AF14,"")</f>
        <v/>
      </c>
      <c r="BI14" s="155" t="str">
        <f>IF(LEN(AG14)&gt;0,"- "&amp;AG14,"")</f>
        <v/>
      </c>
      <c r="BJ14" s="155" t="str">
        <f>IF(LEN(AH14)&gt;0,"- "&amp;AH14,"")</f>
        <v/>
      </c>
      <c r="BK14" s="155" t="str">
        <f>"tags:"&amp;CHAR(10)&amp;concatl(AV14:BJ14)</f>
        <v xml:space="preserve">tags:
- france_x000D_
- paris_x000D_
- churches_x000D_
- marian-sites_x000D_
- holy-persons_x000D_
- catherine-laboure_x000D_
- vincent-de-paul_x000D_
- louise-de-marillac_x000D_
</v>
      </c>
      <c r="BL14" s="158" t="str">
        <f>IF(LEN(N14)&gt;0,TRIM(CONCATENATE("[Official site](",N14,") ",O14)),"")</f>
        <v>[Official site](https://www.chapellenotredamedelamedaillemiraculeuse.com/)</v>
      </c>
      <c r="BM14" s="158" t="str">
        <f>IF(LEN(Q14)&gt;0,TRIM(CONCATENATE("["&amp;P14&amp;"](",Q14,") ",R14)),"")</f>
        <v/>
      </c>
      <c r="BN14" s="158" t="str">
        <f>IF(LEN(T14)&gt;0,TRIM(CONCATENATE("["&amp;S14&amp;"](",T14,") ",U14)),"")</f>
        <v/>
      </c>
      <c r="BO14" s="158" t="str">
        <f>IF(LEN(W14)&gt;0,TRIM(CONCATENATE("["&amp;V14&amp;"](",W14,") ",X14)),"")</f>
        <v/>
      </c>
      <c r="BP14" s="158" t="str">
        <f>IF(LEN(BL14)&gt;0,"* "&amp;BL14&amp;CHAR(10),"")&amp;
IF(LEN(BM14)&gt;0,"* "&amp;BM14&amp;CHAR(10),"")&amp;
IF(LEN(BN14)&gt;0,"* "&amp;BN14&amp;CHAR(10),"")&amp;
IF(LEN(BO14)&gt;0,"* "&amp;BO14&amp;CHAR(10),"")</f>
        <v xml:space="preserve">* [Official site](https://www.chapellenotredamedelamedaillemiraculeuse.com/)
</v>
      </c>
      <c r="BQ14" s="158" t="str">
        <f>IF(LEN(AK14)&gt;0,TRIM(CONCATENATE("[Link](",AK14,") ",AL14)),"")</f>
        <v>[Link](http://www.therealpresence.org/eucharst/misc/BVM/06_PARIGI_60x96.pdf)</v>
      </c>
      <c r="BR14" s="158" t="str">
        <f>IF(LEN(AM14)&gt;0,TRIM(CONCATENATE("[Link](",AM14,") ",AN14)),"")</f>
        <v>[Link](https://www.miraclehunter.com/marian_apparitions/approved_apparitions/ruedubac/index.html)</v>
      </c>
      <c r="BS14" s="158" t="str">
        <f>IF(LEN(AO14)&gt;0,TRIM(CONCATENATE("[Link](",AO14,") ",AP14)),"")</f>
        <v>[Link](https://www.marypages.com/paris-(france)-en.html)</v>
      </c>
      <c r="BT14" s="158" t="str">
        <f>IF(LEN(concat(BQ14:BS14))&gt;0,concat("| ",BQ14," | ",BR14," | ",BS14," |"),"")</f>
        <v>| [Link](http://www.therealpresence.org/eucharst/misc/BVM/06_PARIGI_60x96.pdf) | [Link](https://www.miraclehunter.com/marian_apparitions/approved_apparitions/ruedubac/index.html) | [Link](https://www.marypages.com/paris-(france)-en.html) |</v>
      </c>
      <c r="BU14" s="155" t="str">
        <f>IF(J14,concatl("| The Real Presence | Miracle Hunter | MaryPages |","| --- | --- | --- |",BT14),"")</f>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14" s="155" t="str">
        <f>IF(LEN(BP14&amp;BU14)&gt;0,concatll("#### More Information",BP14,BU14),"")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14" s="155" t="str">
        <f>IF(LEN(M14)&gt;1,concatll("#### Author's Note",M14),"")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14" s="23" t="str">
        <f>IF(AR14,concatll(concatl("---",AS14:AU14,BK14,"---"),L14,BV14:BW14),"")</f>
        <v xml:space="preserve">---_x000D_
title: "Chapel of Our Lady of the Miraculous Medal"_x000D_
location: {lat: 48.8507859, lng: 2.3229912}_x000D_
interest: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14" s="23" t="str">
        <f>IF(AR14,VLOOKUP(B14,'(Ref) Countries'!A:B,2,)&amp;IF(LEN(C14)&gt;1,"-"&amp;LOWER(SUBSTITUTE(C14," ","-")),"")&amp;"-"&amp;LOWER(SUBSTITUTE(SUBSTITUTE(G14," ","-"),".",""))&amp;".md","")</f>
        <v>fr-paris-chapel-of-our-lady-of-the-miraculous-medal.md</v>
      </c>
      <c r="BZ14" s="38" t="str">
        <f>IF(LEN(Y14)&gt;1,VLOOKUP(Y14,'Tag List'!$A:$B,2,),"")</f>
        <v>St. Catherine Laboure</v>
      </c>
      <c r="CA14" s="38" t="str">
        <f>IF(LEN(Z14)&gt;1,VLOOKUP(Z14,'Tag List'!$A:$B,2,),"")</f>
        <v>St. Vincent de Paul, CM</v>
      </c>
      <c r="CB14" s="38" t="str">
        <f>IF(LEN(AA14)&gt;1,VLOOKUP(AA14,'Tag List'!$A:$B,2,),"")</f>
        <v>St. Louise de Marillac, DC</v>
      </c>
      <c r="CC14" s="30" t="str">
        <f>IF(LEN(Y14)&gt;1,GetTagPage(BZ14,Y14),"")</f>
        <v>[St. Catherine Laboure](/tags/catherine-laboure)</v>
      </c>
      <c r="CD14" s="30" t="str">
        <f>IF(LEN(Z14)&gt;1,GetTagPage(CA14,Z14),"")</f>
        <v>[St. Vincent de Paul, CM](/tags/vincent-de-paul)</v>
      </c>
      <c r="CE14" s="30" t="str">
        <f>IF(LEN(AA14)&gt;1,GetTagPage(CB14,AA14),"")</f>
        <v>[St. Louise de Marillac, DC](/tags/louise-de-marillac)</v>
      </c>
      <c r="CF14" s="30" t="str">
        <f>"|"&amp;IF(LEN(CC14)&gt;1," "&amp;CC14,"")&amp;IF(LEN(CD14)&gt;1,", "&amp;CD14,"")&amp;IF(LEN(CE14)&gt;1,", "&amp;CE14,"")&amp;" "</f>
        <v xml:space="preserve">| [St. Catherine Laboure](/tags/catherine-laboure), [St. Vincent de Paul, CM](/tags/vincent-de-paul), [St. Louise de Marillac, DC](/tags/louise-de-marillac) </v>
      </c>
      <c r="CG14" s="30" t="str">
        <f>"| "&amp;IF(AR14,"["&amp;AI14&amp;"](/places/"&amp;SUBSTITUTE(BY14,".md","")&amp;")",AI14)&amp;" "</f>
        <v xml:space="preserve">| [Paris](/places/fr-paris-chapel-of-our-lady-of-the-miraculous-medal) </v>
      </c>
      <c r="CH14" s="30" t="str">
        <f>"| "&amp;IF(AR14,GetTagPage(B14,VLOOKUP(B14,'(Ref) Countries'!A:C,3,)),B14)&amp; " "</f>
        <v xml:space="preserve">| [France](/tags/france) </v>
      </c>
      <c r="CI14" s="30" t="str">
        <f>"| "&amp;AJ14&amp;" "</f>
        <v xml:space="preserve">| 1830 </v>
      </c>
      <c r="CJ14" s="30" t="str">
        <f>"|"&amp;IF(AR14," [Link](/places/"&amp;SUBSTITUTE(BY14,".md","")&amp;")","")&amp;" "</f>
        <v xml:space="preserve">| [Link](/places/fr-paris-chapel-of-our-lady-of-the-miraculous-medal) </v>
      </c>
      <c r="CK14" s="29" t="str">
        <f>"
"&amp;CG14&amp;CH14&amp;CI14&amp;CJ14&amp;BL14&amp;BQ14&amp;BR14&amp;BS14&amp;CF14&amp;"|"</f>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 CM](/tags/vincent-de-paul), [St. Louise de Marillac, DC](/tags/louise-de-marillac) |</v>
      </c>
    </row>
    <row r="15" spans="1:89" ht="51" x14ac:dyDescent="0.25">
      <c r="A15" s="168" t="s">
        <v>1320</v>
      </c>
      <c r="B15" s="24" t="s">
        <v>557</v>
      </c>
      <c r="D15" s="15">
        <v>44.8586296</v>
      </c>
      <c r="E15" s="49">
        <v>5.9788043999999996</v>
      </c>
      <c r="F15" s="24" t="s">
        <v>1025</v>
      </c>
      <c r="G15" s="53" t="s">
        <v>1025</v>
      </c>
      <c r="H15" s="24" t="s">
        <v>1715</v>
      </c>
      <c r="I15" s="40" t="b">
        <v>1</v>
      </c>
      <c r="J15" s="24" t="b">
        <v>1</v>
      </c>
      <c r="L15" s="24" t="s">
        <v>475</v>
      </c>
      <c r="N15" s="15" t="s">
        <v>412</v>
      </c>
      <c r="O15" s="15" t="s">
        <v>336</v>
      </c>
      <c r="Y15" s="16" t="s">
        <v>336</v>
      </c>
      <c r="Z15" s="16"/>
      <c r="AA15" s="16"/>
      <c r="AB15" s="16"/>
      <c r="AC15" s="16"/>
      <c r="AD15" s="16"/>
      <c r="AE15" s="16"/>
      <c r="AF15" s="16"/>
      <c r="AG15" s="16"/>
      <c r="AH15" s="16"/>
      <c r="AI15" s="85" t="s">
        <v>1024</v>
      </c>
      <c r="AJ15" s="86">
        <v>1846</v>
      </c>
      <c r="AK15" s="15" t="s">
        <v>289</v>
      </c>
      <c r="AL15" s="15" t="s">
        <v>336</v>
      </c>
      <c r="AM15" s="15" t="s">
        <v>476</v>
      </c>
      <c r="AN15" s="15" t="s">
        <v>336</v>
      </c>
      <c r="AO15" s="15" t="s">
        <v>477</v>
      </c>
      <c r="AP15" s="49" t="s">
        <v>336</v>
      </c>
      <c r="AR15" s="154" t="b">
        <f>IF(OR(A15="Done",A15="In Progress"),TRUE)</f>
        <v>1</v>
      </c>
      <c r="AS15" s="155" t="str">
        <f>"title: """&amp;F15&amp;""""</f>
        <v>title: "Sanctuary of Our Lady of La Salette"</v>
      </c>
      <c r="AT15" s="155" t="str">
        <f>"location: {lat: "&amp;D15&amp;", lng: "&amp;E15&amp;"}"</f>
        <v>location: {lat: 44.8586296, lng: 5.9788044}</v>
      </c>
      <c r="AU15" s="155" t="str">
        <f>"interest: "&amp;H15</f>
        <v>interest: global</v>
      </c>
      <c r="AV15" s="155" t="str">
        <f>"- "&amp;VLOOKUP(B15,'(Ref) Countries'!A:C,3,)</f>
        <v>- france</v>
      </c>
      <c r="AW15" s="155" t="str">
        <f>IF(LEN(C15)&gt;1,"- "&amp;LOWER(SUBSTITUTE(C15," ","-")),"")</f>
        <v/>
      </c>
      <c r="AX15" s="155" t="str">
        <f>IF(I15,"- churches","")</f>
        <v>- churches</v>
      </c>
      <c r="AY15" s="155" t="str">
        <f>IF(J15,"- marian-sites","")</f>
        <v>- marian-sites</v>
      </c>
      <c r="AZ15" s="155" t="str">
        <f>IF(K15,"- holy-persons","")</f>
        <v/>
      </c>
      <c r="BA15" s="155" t="str">
        <f>IF(LEN(Y15)&gt;0,"- "&amp;Y15,"")</f>
        <v/>
      </c>
      <c r="BB15" s="155" t="str">
        <f>IF(LEN(Z15)&gt;0,"- "&amp;Z15,"")</f>
        <v/>
      </c>
      <c r="BC15" s="155" t="str">
        <f>IF(LEN(AA15)&gt;0,"- "&amp;AA15,"")</f>
        <v/>
      </c>
      <c r="BD15" s="155" t="str">
        <f>IF(LEN(AB15)&gt;0,"- "&amp;AB15,"")</f>
        <v/>
      </c>
      <c r="BE15" s="155" t="str">
        <f>IF(LEN(AC15)&gt;0,"- "&amp;AC15,"")</f>
        <v/>
      </c>
      <c r="BF15" s="155" t="str">
        <f>IF(LEN(AD15)&gt;0,"- "&amp;AD15,"")</f>
        <v/>
      </c>
      <c r="BG15" s="155" t="str">
        <f>IF(LEN(AE15)&gt;0,"- "&amp;AE15,"")</f>
        <v/>
      </c>
      <c r="BH15" s="155" t="str">
        <f>IF(LEN(AF15)&gt;0,"- "&amp;AF15,"")</f>
        <v/>
      </c>
      <c r="BI15" s="155" t="str">
        <f>IF(LEN(AG15)&gt;0,"- "&amp;AG15,"")</f>
        <v/>
      </c>
      <c r="BJ15" s="155" t="str">
        <f>IF(LEN(AH15)&gt;0,"- "&amp;AH15,"")</f>
        <v/>
      </c>
      <c r="BK15" s="155" t="str">
        <f>"tags:"&amp;CHAR(10)&amp;concatl(AV15:BJ15)</f>
        <v xml:space="preserve">tags:
- france_x000D_
- churches_x000D_
- marian-sites_x000D_
</v>
      </c>
      <c r="BL15" s="158" t="str">
        <f>IF(LEN(N15)&gt;0,TRIM(CONCATENATE("[Official site](",N15,") ",O15)),"")</f>
        <v>[Official site](https://lasalette.cef.fr/)</v>
      </c>
      <c r="BM15" s="158" t="str">
        <f>IF(LEN(Q15)&gt;0,TRIM(CONCATENATE("["&amp;P15&amp;"](",Q15,") ",R15)),"")</f>
        <v/>
      </c>
      <c r="BN15" s="158" t="str">
        <f>IF(LEN(T15)&gt;0,TRIM(CONCATENATE("["&amp;S15&amp;"](",T15,") ",U15)),"")</f>
        <v/>
      </c>
      <c r="BO15" s="158" t="str">
        <f>IF(LEN(W15)&gt;0,TRIM(CONCATENATE("["&amp;V15&amp;"](",W15,") ",X15)),"")</f>
        <v/>
      </c>
      <c r="BP15" s="158" t="str">
        <f>IF(LEN(BL15)&gt;0,"* "&amp;BL15&amp;CHAR(10),"")&amp;
IF(LEN(BM15)&gt;0,"* "&amp;BM15&amp;CHAR(10),"")&amp;
IF(LEN(BN15)&gt;0,"* "&amp;BN15&amp;CHAR(10),"")&amp;
IF(LEN(BO15)&gt;0,"* "&amp;BO15&amp;CHAR(10),"")</f>
        <v xml:space="preserve">* [Official site](https://lasalette.cef.fr/)
</v>
      </c>
      <c r="BQ15" s="158" t="str">
        <f>IF(LEN(AK15)&gt;0,TRIM(CONCATENATE("[Link](",AK15,") ",AL15)),"")</f>
        <v>[Link](http://www.therealpresence.org/eucharst/misc/BVM/30_LA_SALETTE_96x96.pdf)</v>
      </c>
      <c r="BR15" s="158" t="str">
        <f>IF(LEN(AM15)&gt;0,TRIM(CONCATENATE("[Link](",AM15,") ",AN15)),"")</f>
        <v>[Link](https://www.miraclehunter.com/marian_apparitions/approved_apparitions/lasalette/index.html)</v>
      </c>
      <c r="BS15" s="158" t="str">
        <f>IF(LEN(AO15)&gt;0,TRIM(CONCATENATE("[Link](",AO15,") ",AP15)),"")</f>
        <v>[Link](https://www.marypages.com/la-salette-(france)-en.html)</v>
      </c>
      <c r="BT15" s="158" t="str">
        <f>IF(LEN(concat(BQ15:BS15))&gt;0,concat("| ",BQ15," | ",BR15," | ",BS15," |"),"")</f>
        <v>| [Link](http://www.therealpresence.org/eucharst/misc/BVM/30_LA_SALETTE_96x96.pdf) | [Link](https://www.miraclehunter.com/marian_apparitions/approved_apparitions/lasalette/index.html) | [Link](https://www.marypages.com/la-salette-(france)-en.html) |</v>
      </c>
      <c r="BU15" s="155" t="str">
        <f>IF(J15,concatl("| The Real Presence | Miracle Hunter | MaryPages |","| --- | --- | --- |",BT15),"")</f>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15" s="155" t="str">
        <f>IF(LEN(BP15&amp;BU15)&gt;0,concatll("#### More Information",BP15,BU15),"")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15" s="155" t="str">
        <f>IF(LEN(M15)&gt;1,concatll("#### Author's Note",M15),"")</f>
        <v/>
      </c>
      <c r="BX15" s="23" t="str">
        <f>IF(AR15,concatll(concatl("---",AS15:AU15,BK15,"---"),L15,BV15:BW15),"")</f>
        <v xml:space="preserve">---_x000D_
title: "Sanctuary of Our Lady of La Salette"_x000D_
location: {lat: 44.8586296, lng: 5.9788044}_x000D_
interest: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15" s="23" t="str">
        <f>IF(AR15,VLOOKUP(B15,'(Ref) Countries'!A:B,2,)&amp;IF(LEN(C15)&gt;1,"-"&amp;LOWER(SUBSTITUTE(C15," ","-")),"")&amp;"-"&amp;LOWER(SUBSTITUTE(SUBSTITUTE(G15," ","-"),".",""))&amp;".md","")</f>
        <v>fr-sanctuary-of-our-lady-of-la-salette.md</v>
      </c>
      <c r="BZ15" s="30" t="str">
        <f>IF(LEN(Y15)&gt;1,VLOOKUP(Y15,'Tag List'!$A:$B,2,),"")</f>
        <v/>
      </c>
      <c r="CA15" s="30" t="str">
        <f>IF(LEN(Z15)&gt;1,VLOOKUP(Z15,'Tag List'!$A:$B,2,),"")</f>
        <v/>
      </c>
      <c r="CB15" s="30" t="str">
        <f>IF(LEN(AA15)&gt;1,VLOOKUP(AA15,'Tag List'!$A:$B,2,),"")</f>
        <v/>
      </c>
      <c r="CC15" s="30" t="str">
        <f>IF(LEN(Y15)&gt;1,GetTagPage(BZ15,Y15),"")</f>
        <v/>
      </c>
      <c r="CD15" s="30" t="str">
        <f>IF(LEN(Z15)&gt;1,GetTagPage(CA15,Z15),"")</f>
        <v/>
      </c>
      <c r="CE15" s="30" t="str">
        <f>IF(LEN(AA15)&gt;1,GetTagPage(CB15,AA15),"")</f>
        <v/>
      </c>
      <c r="CF15" s="30" t="str">
        <f>"|"&amp;IF(LEN(CC15)&gt;1," "&amp;CC15,"")&amp;IF(LEN(CD15)&gt;1,", "&amp;CD15,"")&amp;IF(LEN(CE15)&gt;1,", "&amp;CE15,"")&amp;" "</f>
        <v xml:space="preserve">| </v>
      </c>
      <c r="CG15" s="30" t="str">
        <f>"| "&amp;IF(AR15,"["&amp;AI15&amp;"](/places/"&amp;SUBSTITUTE(BY15,".md","")&amp;")",AI15)&amp;" "</f>
        <v xml:space="preserve">| [La Salette](/places/fr-sanctuary-of-our-lady-of-la-salette) </v>
      </c>
      <c r="CH15" s="30" t="str">
        <f>"| "&amp;IF(AR15,GetTagPage(B15,VLOOKUP(B15,'(Ref) Countries'!A:C,3,)),B15)&amp; " "</f>
        <v xml:space="preserve">| [France](/tags/france) </v>
      </c>
      <c r="CI15" s="30" t="str">
        <f>"| "&amp;AJ15&amp;" "</f>
        <v xml:space="preserve">| 1846 </v>
      </c>
      <c r="CJ15" s="30" t="str">
        <f>"|"&amp;IF(AR15," [Link](/places/"&amp;SUBSTITUTE(BY15,".md","")&amp;")","")&amp;" "</f>
        <v xml:space="preserve">| [Link](/places/fr-sanctuary-of-our-lady-of-la-salette) </v>
      </c>
      <c r="CK15" s="29" t="str">
        <f>"
"&amp;CG15&amp;CH15&amp;CI15&amp;CJ15&amp;BL15&amp;BQ15&amp;BR15&amp;BS15&amp;CF15&amp;"|"</f>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89" ht="51" x14ac:dyDescent="0.25">
      <c r="A16" s="168" t="s">
        <v>1320</v>
      </c>
      <c r="B16" s="24" t="s">
        <v>557</v>
      </c>
      <c r="D16" s="15">
        <v>43.0974206</v>
      </c>
      <c r="E16" s="49">
        <v>-5.8261100000000003E-2</v>
      </c>
      <c r="F16" s="24" t="s">
        <v>1009</v>
      </c>
      <c r="G16" s="53" t="s">
        <v>1009</v>
      </c>
      <c r="H16" s="24" t="s">
        <v>1715</v>
      </c>
      <c r="I16" s="24" t="b">
        <v>1</v>
      </c>
      <c r="J16" s="24" t="b">
        <v>1</v>
      </c>
      <c r="K16" s="24" t="b">
        <v>1</v>
      </c>
      <c r="L16" s="24" t="s">
        <v>465</v>
      </c>
      <c r="N16" s="15" t="s">
        <v>428</v>
      </c>
      <c r="O16" s="15" t="s">
        <v>336</v>
      </c>
      <c r="Y16" s="36" t="s">
        <v>490</v>
      </c>
      <c r="Z16" s="36"/>
      <c r="AA16" s="36"/>
      <c r="AB16" s="36"/>
      <c r="AC16" s="36"/>
      <c r="AD16" s="36"/>
      <c r="AE16" s="36"/>
      <c r="AF16" s="36"/>
      <c r="AG16" s="36"/>
      <c r="AH16" s="36"/>
      <c r="AI16" s="85" t="s">
        <v>997</v>
      </c>
      <c r="AJ16" s="86">
        <v>1858</v>
      </c>
      <c r="AK16" s="15" t="s">
        <v>292</v>
      </c>
      <c r="AL16" s="15" t="s">
        <v>336</v>
      </c>
      <c r="AM16" s="15" t="s">
        <v>466</v>
      </c>
      <c r="AN16" s="15" t="s">
        <v>336</v>
      </c>
      <c r="AO16" s="15" t="s">
        <v>467</v>
      </c>
      <c r="AP16" s="49" t="s">
        <v>336</v>
      </c>
      <c r="AR16" s="154" t="b">
        <f>IF(OR(A16="Done",A16="In Progress"),TRUE)</f>
        <v>1</v>
      </c>
      <c r="AS16" s="155" t="str">
        <f>"title: """&amp;F16&amp;""""</f>
        <v>title: "Sanctuary of Our Lady of Lourdes"</v>
      </c>
      <c r="AT16" s="155" t="str">
        <f>"location: {lat: "&amp;D16&amp;", lng: "&amp;E16&amp;"}"</f>
        <v>location: {lat: 43.0974206, lng: -0.0582611}</v>
      </c>
      <c r="AU16" s="155" t="str">
        <f>"interest: "&amp;H16</f>
        <v>interest: global</v>
      </c>
      <c r="AV16" s="155" t="str">
        <f>"- "&amp;VLOOKUP(B16,'(Ref) Countries'!A:C,3,)</f>
        <v>- france</v>
      </c>
      <c r="AW16" s="155" t="str">
        <f>IF(LEN(C16)&gt;1,"- "&amp;LOWER(SUBSTITUTE(C16," ","-")),"")</f>
        <v/>
      </c>
      <c r="AX16" s="155" t="str">
        <f>IF(I16,"- churches","")</f>
        <v>- churches</v>
      </c>
      <c r="AY16" s="155" t="str">
        <f>IF(J16,"- marian-sites","")</f>
        <v>- marian-sites</v>
      </c>
      <c r="AZ16" s="155" t="str">
        <f>IF(K16,"- holy-persons","")</f>
        <v>- holy-persons</v>
      </c>
      <c r="BA16" s="155" t="str">
        <f>IF(LEN(Y16)&gt;0,"- "&amp;Y16,"")</f>
        <v>- bernadette-soubirous</v>
      </c>
      <c r="BB16" s="155" t="str">
        <f>IF(LEN(Z16)&gt;0,"- "&amp;Z16,"")</f>
        <v/>
      </c>
      <c r="BC16" s="155" t="str">
        <f>IF(LEN(AA16)&gt;0,"- "&amp;AA16,"")</f>
        <v/>
      </c>
      <c r="BD16" s="155" t="str">
        <f>IF(LEN(AB16)&gt;0,"- "&amp;AB16,"")</f>
        <v/>
      </c>
      <c r="BE16" s="155" t="str">
        <f>IF(LEN(AC16)&gt;0,"- "&amp;AC16,"")</f>
        <v/>
      </c>
      <c r="BF16" s="155" t="str">
        <f>IF(LEN(AD16)&gt;0,"- "&amp;AD16,"")</f>
        <v/>
      </c>
      <c r="BG16" s="155" t="str">
        <f>IF(LEN(AE16)&gt;0,"- "&amp;AE16,"")</f>
        <v/>
      </c>
      <c r="BH16" s="155" t="str">
        <f>IF(LEN(AF16)&gt;0,"- "&amp;AF16,"")</f>
        <v/>
      </c>
      <c r="BI16" s="155" t="str">
        <f>IF(LEN(AG16)&gt;0,"- "&amp;AG16,"")</f>
        <v/>
      </c>
      <c r="BJ16" s="155" t="str">
        <f>IF(LEN(AH16)&gt;0,"- "&amp;AH16,"")</f>
        <v/>
      </c>
      <c r="BK16" s="155" t="str">
        <f>"tags:"&amp;CHAR(10)&amp;concatl(AV16:BJ16)</f>
        <v xml:space="preserve">tags:
- france_x000D_
- churches_x000D_
- marian-sites_x000D_
- holy-persons_x000D_
- bernadette-soubirous_x000D_
</v>
      </c>
      <c r="BL16" s="158" t="str">
        <f>IF(LEN(N16)&gt;0,TRIM(CONCATENATE("[Official site](",N16,") ",O16)),"")</f>
        <v>[Official site](https://www.lourdes-france.org/)</v>
      </c>
      <c r="BM16" s="158" t="str">
        <f>IF(LEN(Q16)&gt;0,TRIM(CONCATENATE("["&amp;P16&amp;"](",Q16,") ",R16)),"")</f>
        <v/>
      </c>
      <c r="BN16" s="158" t="str">
        <f>IF(LEN(T16)&gt;0,TRIM(CONCATENATE("["&amp;S16&amp;"](",T16,") ",U16)),"")</f>
        <v/>
      </c>
      <c r="BO16" s="158" t="str">
        <f>IF(LEN(W16)&gt;0,TRIM(CONCATENATE("["&amp;V16&amp;"](",W16,") ",X16)),"")</f>
        <v/>
      </c>
      <c r="BP16" s="158" t="str">
        <f>IF(LEN(BL16)&gt;0,"* "&amp;BL16&amp;CHAR(10),"")&amp;
IF(LEN(BM16)&gt;0,"* "&amp;BM16&amp;CHAR(10),"")&amp;
IF(LEN(BN16)&gt;0,"* "&amp;BN16&amp;CHAR(10),"")&amp;
IF(LEN(BO16)&gt;0,"* "&amp;BO16&amp;CHAR(10),"")</f>
        <v xml:space="preserve">* [Official site](https://www.lourdes-france.org/)
</v>
      </c>
      <c r="BQ16" s="158" t="str">
        <f>IF(LEN(AK16)&gt;0,TRIM(CONCATENATE("[Link](",AK16,") ",AL16)),"")</f>
        <v>[Link](http://www.therealpresence.org/eucharst/misc/BVM/40_LOURDES_140x96.pdf)</v>
      </c>
      <c r="BR16" s="158" t="str">
        <f>IF(LEN(AM16)&gt;0,TRIM(CONCATENATE("[Link](",AM16,") ",AN16)),"")</f>
        <v>[Link](https://www.miraclehunter.com/marian_apparitions/approved_apparitions/lourdes/index.html)</v>
      </c>
      <c r="BS16" s="158" t="str">
        <f>IF(LEN(AO16)&gt;0,TRIM(CONCATENATE("[Link](",AO16,") ",AP16)),"")</f>
        <v>[Link](https://www.marypages.com/lourdes-(frankrijk)-1858/)</v>
      </c>
      <c r="BT16" s="158" t="str">
        <f>IF(LEN(concat(BQ16:BS16))&gt;0,concat("| ",BQ16," | ",BR16," | ",BS16," |"),"")</f>
        <v>| [Link](http://www.therealpresence.org/eucharst/misc/BVM/40_LOURDES_140x96.pdf) | [Link](https://www.miraclehunter.com/marian_apparitions/approved_apparitions/lourdes/index.html) | [Link](https://www.marypages.com/lourdes-(frankrijk)-1858/) |</v>
      </c>
      <c r="BU16" s="155" t="str">
        <f>IF(J16,concatl("| The Real Presence | Miracle Hunter | MaryPages |","| --- | --- | --- |",BT16),"")</f>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16" s="155" t="str">
        <f>IF(LEN(BP16&amp;BU16)&gt;0,concatll("#### More Information",BP16,BU16),"")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16" s="155" t="str">
        <f>IF(LEN(M16)&gt;1,concatll("#### Author's Note",M16),"")</f>
        <v/>
      </c>
      <c r="BX16" s="23" t="str">
        <f>IF(AR16,concatll(concatl("---",AS16:AU16,BK16,"---"),L16,BV16:BW16),"")</f>
        <v xml:space="preserve">---_x000D_
title: "Sanctuary of Our Lady of Lourdes"_x000D_
location: {lat: 43.0974206, lng: -0.0582611}_x000D_
interest: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16" s="23" t="str">
        <f>IF(AR16,VLOOKUP(B16,'(Ref) Countries'!A:B,2,)&amp;IF(LEN(C16)&gt;1,"-"&amp;LOWER(SUBSTITUTE(C16," ","-")),"")&amp;"-"&amp;LOWER(SUBSTITUTE(SUBSTITUTE(G16," ","-"),".",""))&amp;".md","")</f>
        <v>fr-sanctuary-of-our-lady-of-lourdes.md</v>
      </c>
      <c r="BZ16" s="38" t="str">
        <f>IF(LEN(Y16)&gt;1,VLOOKUP(Y16,'Tag List'!$A:$B,2,),"")</f>
        <v>St. Bernadette of Lourdes</v>
      </c>
      <c r="CA16" s="38" t="str">
        <f>IF(LEN(Z16)&gt;1,VLOOKUP(Z16,'Tag List'!$A:$B,2,),"")</f>
        <v/>
      </c>
      <c r="CB16" s="38" t="str">
        <f>IF(LEN(AA16)&gt;1,VLOOKUP(AA16,'Tag List'!$A:$B,2,),"")</f>
        <v/>
      </c>
      <c r="CC16" s="30" t="str">
        <f>IF(LEN(Y16)&gt;1,GetTagPage(BZ16,Y16),"")</f>
        <v>[St. Bernadette of Lourdes](/tags/bernadette-soubirous)</v>
      </c>
      <c r="CD16" s="30" t="str">
        <f>IF(LEN(Z16)&gt;1,GetTagPage(CA16,Z16),"")</f>
        <v/>
      </c>
      <c r="CE16" s="30" t="str">
        <f>IF(LEN(AA16)&gt;1,GetTagPage(CB16,AA16),"")</f>
        <v/>
      </c>
      <c r="CF16" s="30" t="str">
        <f>"|"&amp;IF(LEN(CC16)&gt;1," "&amp;CC16,"")&amp;IF(LEN(CD16)&gt;1,", "&amp;CD16,"")&amp;IF(LEN(CE16)&gt;1,", "&amp;CE16,"")&amp;" "</f>
        <v xml:space="preserve">| [St. Bernadette of Lourdes](/tags/bernadette-soubirous) </v>
      </c>
      <c r="CG16" s="30" t="str">
        <f>"| "&amp;IF(AR16,"["&amp;AI16&amp;"](/places/"&amp;SUBSTITUTE(BY16,".md","")&amp;")",AI16)&amp;" "</f>
        <v xml:space="preserve">| [Lourdes](/places/fr-sanctuary-of-our-lady-of-lourdes) </v>
      </c>
      <c r="CH16" s="30" t="str">
        <f>"| "&amp;IF(AR16,GetTagPage(B16,VLOOKUP(B16,'(Ref) Countries'!A:C,3,)),B16)&amp; " "</f>
        <v xml:space="preserve">| [France](/tags/france) </v>
      </c>
      <c r="CI16" s="30" t="str">
        <f>"| "&amp;AJ16&amp;" "</f>
        <v xml:space="preserve">| 1858 </v>
      </c>
      <c r="CJ16" s="30" t="str">
        <f>"|"&amp;IF(AR16," [Link](/places/"&amp;SUBSTITUTE(BY16,".md","")&amp;")","")&amp;" "</f>
        <v xml:space="preserve">| [Link](/places/fr-sanctuary-of-our-lady-of-lourdes) </v>
      </c>
      <c r="CK16" s="29" t="str">
        <f>"
"&amp;CG16&amp;CH16&amp;CI16&amp;CJ16&amp;BL16&amp;BQ16&amp;BR16&amp;BS16&amp;CF16&amp;"|"</f>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17" spans="1:89" ht="51" x14ac:dyDescent="0.25">
      <c r="A17" s="168" t="s">
        <v>1320</v>
      </c>
      <c r="B17" s="24" t="s">
        <v>557</v>
      </c>
      <c r="D17" s="15">
        <v>48.439602100000002</v>
      </c>
      <c r="E17" s="49">
        <v>-1.0592325</v>
      </c>
      <c r="F17" s="24" t="s">
        <v>478</v>
      </c>
      <c r="G17" s="53" t="s">
        <v>990</v>
      </c>
      <c r="H17" s="24" t="s">
        <v>1715</v>
      </c>
      <c r="I17" s="40" t="b">
        <v>1</v>
      </c>
      <c r="J17" s="24" t="b">
        <v>1</v>
      </c>
      <c r="L17" s="24" t="s">
        <v>361</v>
      </c>
      <c r="N17" s="15" t="s">
        <v>364</v>
      </c>
      <c r="O17" s="15" t="s">
        <v>336</v>
      </c>
      <c r="Y17" s="16" t="s">
        <v>336</v>
      </c>
      <c r="Z17" s="16"/>
      <c r="AA17" s="16"/>
      <c r="AB17" s="16"/>
      <c r="AC17" s="16"/>
      <c r="AD17" s="16"/>
      <c r="AE17" s="16"/>
      <c r="AF17" s="16"/>
      <c r="AG17" s="16"/>
      <c r="AH17" s="16"/>
      <c r="AI17" s="85" t="s">
        <v>996</v>
      </c>
      <c r="AJ17" s="86">
        <v>1871</v>
      </c>
      <c r="AK17" s="15" t="s">
        <v>296</v>
      </c>
      <c r="AL17" s="15" t="s">
        <v>336</v>
      </c>
      <c r="AM17" s="15" t="s">
        <v>362</v>
      </c>
      <c r="AN17" s="15" t="s">
        <v>336</v>
      </c>
      <c r="AO17" s="15" t="s">
        <v>363</v>
      </c>
      <c r="AP17" s="49" t="s">
        <v>336</v>
      </c>
      <c r="AR17" s="154" t="b">
        <f>IF(OR(A17="Done",A17="In Progress"),TRUE)</f>
        <v>1</v>
      </c>
      <c r="AS17" s="155" t="str">
        <f>"title: """&amp;F17&amp;""""</f>
        <v>title: "Sanctuary of Pontmain (Mother of Hope)"</v>
      </c>
      <c r="AT17" s="155" t="str">
        <f>"location: {lat: "&amp;D17&amp;", lng: "&amp;E17&amp;"}"</f>
        <v>location: {lat: 48.4396021, lng: -1.0592325}</v>
      </c>
      <c r="AU17" s="155" t="str">
        <f>"interest: "&amp;H17</f>
        <v>interest: global</v>
      </c>
      <c r="AV17" s="155" t="str">
        <f>"- "&amp;VLOOKUP(B17,'(Ref) Countries'!A:C,3,)</f>
        <v>- france</v>
      </c>
      <c r="AW17" s="155" t="str">
        <f>IF(LEN(C17)&gt;1,"- "&amp;LOWER(SUBSTITUTE(C17," ","-")),"")</f>
        <v/>
      </c>
      <c r="AX17" s="155" t="str">
        <f>IF(I17,"- churches","")</f>
        <v>- churches</v>
      </c>
      <c r="AY17" s="155" t="str">
        <f>IF(J17,"- marian-sites","")</f>
        <v>- marian-sites</v>
      </c>
      <c r="AZ17" s="155" t="str">
        <f>IF(K17,"- holy-persons","")</f>
        <v/>
      </c>
      <c r="BA17" s="155" t="str">
        <f>IF(LEN(Y17)&gt;0,"- "&amp;Y17,"")</f>
        <v/>
      </c>
      <c r="BB17" s="155" t="str">
        <f>IF(LEN(Z17)&gt;0,"- "&amp;Z17,"")</f>
        <v/>
      </c>
      <c r="BC17" s="155" t="str">
        <f>IF(LEN(AA17)&gt;0,"- "&amp;AA17,"")</f>
        <v/>
      </c>
      <c r="BD17" s="155" t="str">
        <f>IF(LEN(AB17)&gt;0,"- "&amp;AB17,"")</f>
        <v/>
      </c>
      <c r="BE17" s="155" t="str">
        <f>IF(LEN(AC17)&gt;0,"- "&amp;AC17,"")</f>
        <v/>
      </c>
      <c r="BF17" s="155" t="str">
        <f>IF(LEN(AD17)&gt;0,"- "&amp;AD17,"")</f>
        <v/>
      </c>
      <c r="BG17" s="155" t="str">
        <f>IF(LEN(AE17)&gt;0,"- "&amp;AE17,"")</f>
        <v/>
      </c>
      <c r="BH17" s="155" t="str">
        <f>IF(LEN(AF17)&gt;0,"- "&amp;AF17,"")</f>
        <v/>
      </c>
      <c r="BI17" s="155" t="str">
        <f>IF(LEN(AG17)&gt;0,"- "&amp;AG17,"")</f>
        <v/>
      </c>
      <c r="BJ17" s="155" t="str">
        <f>IF(LEN(AH17)&gt;0,"- "&amp;AH17,"")</f>
        <v/>
      </c>
      <c r="BK17" s="155" t="str">
        <f>"tags:"&amp;CHAR(10)&amp;concatl(AV17:BJ17)</f>
        <v xml:space="preserve">tags:
- france_x000D_
- churches_x000D_
- marian-sites_x000D_
</v>
      </c>
      <c r="BL17" s="158" t="str">
        <f>IF(LEN(N17)&gt;0,TRIM(CONCATENATE("[Official site](",N17,") ",O17)),"")</f>
        <v>[Official site](https://sanctuaire-pontmain.com/)</v>
      </c>
      <c r="BM17" s="158" t="str">
        <f>IF(LEN(Q17)&gt;0,TRIM(CONCATENATE("["&amp;P17&amp;"](",Q17,") ",R17)),"")</f>
        <v/>
      </c>
      <c r="BN17" s="158" t="str">
        <f>IF(LEN(T17)&gt;0,TRIM(CONCATENATE("["&amp;S17&amp;"](",T17,") ",U17)),"")</f>
        <v/>
      </c>
      <c r="BO17" s="158" t="str">
        <f>IF(LEN(W17)&gt;0,TRIM(CONCATENATE("["&amp;V17&amp;"](",W17,") ",X17)),"")</f>
        <v/>
      </c>
      <c r="BP17" s="158" t="str">
        <f>IF(LEN(BL17)&gt;0,"* "&amp;BL17&amp;CHAR(10),"")&amp;
IF(LEN(BM17)&gt;0,"* "&amp;BM17&amp;CHAR(10),"")&amp;
IF(LEN(BN17)&gt;0,"* "&amp;BN17&amp;CHAR(10),"")&amp;
IF(LEN(BO17)&gt;0,"* "&amp;BO17&amp;CHAR(10),"")</f>
        <v xml:space="preserve">* [Official site](https://sanctuaire-pontmain.com/)
</v>
      </c>
      <c r="BQ17" s="158" t="str">
        <f>IF(LEN(AK17)&gt;0,TRIM(CONCATENATE("[Link](",AK17,") ",AL17)),"")</f>
        <v>[Link](http://www.therealpresence.org/eucharst/misc/BVM/26_PONTMAIN_60x96.pdf)</v>
      </c>
      <c r="BR17" s="158" t="str">
        <f>IF(LEN(AM17)&gt;0,TRIM(CONCATENATE("[Link](",AM17,") ",AN17)),"")</f>
        <v>[Link](https://www.miraclehunter.com/marian_apparitions/approved_apparitions/pontmain/index.html))</v>
      </c>
      <c r="BS17" s="158" t="str">
        <f>IF(LEN(AO17)&gt;0,TRIM(CONCATENATE("[Link](",AO17,") ",AP17)),"")</f>
        <v>[Link](https://www.marypages.com/pontmain-(france)-en.html)</v>
      </c>
      <c r="BT17" s="158" t="str">
        <f>IF(LEN(concat(BQ17:BS17))&gt;0,concat("| ",BQ17," | ",BR17," | ",BS17," |"),"")</f>
        <v>| [Link](http://www.therealpresence.org/eucharst/misc/BVM/26_PONTMAIN_60x96.pdf) | [Link](https://www.miraclehunter.com/marian_apparitions/approved_apparitions/pontmain/index.html)) | [Link](https://www.marypages.com/pontmain-(france)-en.html) |</v>
      </c>
      <c r="BU17" s="155" t="str">
        <f>IF(J17,concatl("| The Real Presence | Miracle Hunter | MaryPages |","| --- | --- | --- |",BT17),"")</f>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17" s="155" t="str">
        <f>IF(LEN(BP17&amp;BU17)&gt;0,concatll("#### More Information",BP17,BU17),"")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17" s="155" t="str">
        <f>IF(LEN(M17)&gt;1,concatll("#### Author's Note",M17),"")</f>
        <v/>
      </c>
      <c r="BX17" s="23" t="str">
        <f>IF(AR17,concatll(concatl("---",AS17:AU17,BK17,"---"),L17,BV17:BW17),"")</f>
        <v xml:space="preserve">---_x000D_
title: "Sanctuary of Pontmain (Mother of Hope)"_x000D_
location: {lat: 48.4396021, lng: -1.0592325}_x000D_
interest: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17" s="23" t="str">
        <f>IF(AR17,VLOOKUP(B17,'(Ref) Countries'!A:B,2,)&amp;IF(LEN(C17)&gt;1,"-"&amp;LOWER(SUBSTITUTE(C17," ","-")),"")&amp;"-"&amp;LOWER(SUBSTITUTE(SUBSTITUTE(G17," ","-"),".",""))&amp;".md","")</f>
        <v>fr-sanctuary-of-pontmain.md</v>
      </c>
      <c r="BZ17" s="30" t="str">
        <f>IF(LEN(Y17)&gt;1,VLOOKUP(Y17,'Tag List'!$A:$B,2,),"")</f>
        <v/>
      </c>
      <c r="CA17" s="30" t="str">
        <f>IF(LEN(Z17)&gt;1,VLOOKUP(Z17,'Tag List'!$A:$B,2,),"")</f>
        <v/>
      </c>
      <c r="CB17" s="30" t="str">
        <f>IF(LEN(AA17)&gt;1,VLOOKUP(AA17,'Tag List'!$A:$B,2,),"")</f>
        <v/>
      </c>
      <c r="CC17" s="30" t="str">
        <f>IF(LEN(Y17)&gt;1,GetTagPage(BZ17,Y17),"")</f>
        <v/>
      </c>
      <c r="CD17" s="30" t="str">
        <f>IF(LEN(Z17)&gt;1,GetTagPage(CA17,Z17),"")</f>
        <v/>
      </c>
      <c r="CE17" s="30" t="str">
        <f>IF(LEN(AA17)&gt;1,GetTagPage(CB17,AA17),"")</f>
        <v/>
      </c>
      <c r="CF17" s="30" t="str">
        <f>"|"&amp;IF(LEN(CC17)&gt;1," "&amp;CC17,"")&amp;IF(LEN(CD17)&gt;1,", "&amp;CD17,"")&amp;IF(LEN(CE17)&gt;1,", "&amp;CE17,"")&amp;" "</f>
        <v xml:space="preserve">| </v>
      </c>
      <c r="CG17" s="30" t="str">
        <f>"| "&amp;IF(AR17,"["&amp;AI17&amp;"](/places/"&amp;SUBSTITUTE(BY17,".md","")&amp;")",AI17)&amp;" "</f>
        <v xml:space="preserve">| [Pontmain](/places/fr-sanctuary-of-pontmain) </v>
      </c>
      <c r="CH17" s="30" t="str">
        <f>"| "&amp;IF(AR17,GetTagPage(B17,VLOOKUP(B17,'(Ref) Countries'!A:C,3,)),B17)&amp; " "</f>
        <v xml:space="preserve">| [France](/tags/france) </v>
      </c>
      <c r="CI17" s="30" t="str">
        <f>"| "&amp;AJ17&amp;" "</f>
        <v xml:space="preserve">| 1871 </v>
      </c>
      <c r="CJ17" s="30" t="str">
        <f>"|"&amp;IF(AR17," [Link](/places/"&amp;SUBSTITUTE(BY17,".md","")&amp;")","")&amp;" "</f>
        <v xml:space="preserve">| [Link](/places/fr-sanctuary-of-pontmain) </v>
      </c>
      <c r="CK17" s="29" t="str">
        <f>"
"&amp;CG17&amp;CH17&amp;CI17&amp;CJ17&amp;BL17&amp;BQ17&amp;BR17&amp;BS17&amp;CF17&amp;"|"</f>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89" ht="63.75" x14ac:dyDescent="0.25">
      <c r="A18" s="168" t="s">
        <v>1320</v>
      </c>
      <c r="B18" s="83" t="s">
        <v>557</v>
      </c>
      <c r="C18" s="83" t="s">
        <v>1023</v>
      </c>
      <c r="D18" s="15">
        <v>48.848857382512399</v>
      </c>
      <c r="E18" s="49">
        <v>2.3216311122635598</v>
      </c>
      <c r="F18" s="24" t="s">
        <v>1857</v>
      </c>
      <c r="G18" s="90" t="s">
        <v>1857</v>
      </c>
      <c r="H18" s="24" t="s">
        <v>1759</v>
      </c>
      <c r="I18" s="24" t="b">
        <v>1</v>
      </c>
      <c r="K18" s="24" t="b">
        <v>1</v>
      </c>
      <c r="L18" s="83" t="s">
        <v>1858</v>
      </c>
      <c r="M18" s="90" t="s">
        <v>1859</v>
      </c>
      <c r="O18" s="15" t="s">
        <v>336</v>
      </c>
      <c r="Y18" s="15" t="s">
        <v>1703</v>
      </c>
      <c r="Z18" s="91" t="s">
        <v>1721</v>
      </c>
      <c r="AA18" s="91" t="s">
        <v>2061</v>
      </c>
      <c r="AR18" s="154" t="b">
        <f>IF(OR(A18="Done",A18="In Progress"),TRUE)</f>
        <v>1</v>
      </c>
      <c r="AS18" s="155" t="str">
        <f>"title: """&amp;F18&amp;""""</f>
        <v>title: "St. Vincent De Paul Chapel"</v>
      </c>
      <c r="AT18" s="155" t="str">
        <f>"location: {lat: "&amp;D18&amp;", lng: "&amp;E18&amp;"}"</f>
        <v>location: {lat: 48.8488573825124, lng: 2.32163111226356}</v>
      </c>
      <c r="AU18" s="155" t="str">
        <f>"interest: "&amp;H18</f>
        <v>interest: regional</v>
      </c>
      <c r="AV18" s="155" t="str">
        <f>"- "&amp;VLOOKUP(B18,'(Ref) Countries'!A:C,3,)</f>
        <v>- france</v>
      </c>
      <c r="AW18" s="155" t="str">
        <f>IF(LEN(C18)&gt;1,"- "&amp;LOWER(SUBSTITUTE(C18," ","-")),"")</f>
        <v>- paris</v>
      </c>
      <c r="AX18" s="155" t="str">
        <f>IF(I18,"- churches","")</f>
        <v>- churches</v>
      </c>
      <c r="AY18" s="155" t="str">
        <f>IF(J18,"- marian-sites","")</f>
        <v/>
      </c>
      <c r="AZ18" s="155" t="str">
        <f>IF(K18,"- holy-persons","")</f>
        <v>- holy-persons</v>
      </c>
      <c r="BA18" s="155" t="str">
        <f>IF(LEN(Y18)&gt;0,"- "&amp;Y18,"")</f>
        <v>- vincent-de-paul</v>
      </c>
      <c r="BB18" s="155" t="str">
        <f>IF(LEN(Z18)&gt;0,"- "&amp;Z18,"")</f>
        <v>- jean-gabriel-perboyre</v>
      </c>
      <c r="BC18" s="155" t="str">
        <f>IF(LEN(AA18)&gt;0,"- "&amp;AA18,"")</f>
        <v>- vincentians</v>
      </c>
      <c r="BD18" s="155" t="str">
        <f>IF(LEN(AB18)&gt;0,"- "&amp;AB18,"")</f>
        <v/>
      </c>
      <c r="BE18" s="155" t="str">
        <f>IF(LEN(AC18)&gt;0,"- "&amp;AC18,"")</f>
        <v/>
      </c>
      <c r="BF18" s="155" t="str">
        <f>IF(LEN(AD18)&gt;0,"- "&amp;AD18,"")</f>
        <v/>
      </c>
      <c r="BG18" s="155" t="str">
        <f>IF(LEN(AE18)&gt;0,"- "&amp;AE18,"")</f>
        <v/>
      </c>
      <c r="BH18" s="155" t="str">
        <f>IF(LEN(AF18)&gt;0,"- "&amp;AF18,"")</f>
        <v/>
      </c>
      <c r="BI18" s="155" t="str">
        <f>IF(LEN(AG18)&gt;0,"- "&amp;AG18,"")</f>
        <v/>
      </c>
      <c r="BJ18" s="155" t="str">
        <f>IF(LEN(AH18)&gt;0,"- "&amp;AH18,"")</f>
        <v/>
      </c>
      <c r="BK18" s="155" t="str">
        <f>"tags:"&amp;CHAR(10)&amp;concatl(AV18:BJ18)</f>
        <v xml:space="preserve">tags:
- france_x000D_
- paris_x000D_
- churches_x000D_
- holy-persons_x000D_
- vincent-de-paul_x000D_
- jean-gabriel-perboyre_x000D_
- vincentians_x000D_
</v>
      </c>
      <c r="BL18" s="155" t="str">
        <f>IF(LEN(N18)&gt;0,TRIM(CONCATENATE("[Official site](",N18,") ",O18)),"")</f>
        <v/>
      </c>
      <c r="BM18" s="155" t="str">
        <f>IF(LEN(Q18)&gt;0,TRIM(CONCATENATE("["&amp;P18&amp;"](",Q18,") ",R18)),"")</f>
        <v/>
      </c>
      <c r="BN18" s="155" t="str">
        <f>IF(LEN(T18)&gt;0,TRIM(CONCATENATE("["&amp;S18&amp;"](",T18,") ",U18)),"")</f>
        <v/>
      </c>
      <c r="BO18" s="155" t="str">
        <f>IF(LEN(W18)&gt;0,TRIM(CONCATENATE("["&amp;V18&amp;"](",W18,") ",X18)),"")</f>
        <v/>
      </c>
      <c r="BP18" s="155" t="str">
        <f>IF(LEN(BL18)&gt;0,"* "&amp;BL18&amp;CHAR(10),"")&amp;
IF(LEN(BM18)&gt;0,"* "&amp;BM18&amp;CHAR(10),"")&amp;
IF(LEN(BN18)&gt;0,"* "&amp;BN18&amp;CHAR(10),"")&amp;
IF(LEN(BO18)&gt;0,"* "&amp;BO18&amp;CHAR(10),"")</f>
        <v/>
      </c>
      <c r="BQ18" s="155" t="str">
        <f>IF(LEN(AK18)&gt;0,TRIM(CONCATENATE("[Link](",AK18,") ",AL18)),"")</f>
        <v/>
      </c>
      <c r="BR18" s="155" t="str">
        <f>IF(LEN(AM18)&gt;0,TRIM(CONCATENATE("[Link](",AM18,") ",AN18)),"")</f>
        <v/>
      </c>
      <c r="BS18" s="155" t="str">
        <f>IF(LEN(AO18)&gt;0,TRIM(CONCATENATE("[Link](",AO18,") ",AP18)),"")</f>
        <v/>
      </c>
      <c r="BT18" s="155" t="str">
        <f>IF(LEN(concat(BQ18:BS18))&gt;0,concat("| ",BQ18," | ",BR18," | ",BS18," |"),"")</f>
        <v/>
      </c>
      <c r="BU18" s="155" t="str">
        <f>IF(J18,concatl("| The Real Presence | Miracle Hunter | MaryPages |","| --- | --- | --- |",BT18),"")</f>
        <v/>
      </c>
      <c r="BV18" s="155" t="str">
        <f>IF(LEN(BP18&amp;BU18)&gt;0,concatll("#### More Information",BP18,BU18),"")</f>
        <v/>
      </c>
      <c r="BW18" s="155" t="str">
        <f>IF(LEN(M18)&gt;1,concatll("#### Author's Note",M18),"")</f>
        <v xml:space="preserve">#### Author's Note_x000D_
_x000D_
An incredibly beautiful sanctuary of prayer, just a short walk from the often crowded Miraculous Medal Chapel.
-JMM_x000D_
_x000D_
</v>
      </c>
      <c r="BX18" s="23" t="str">
        <f>IF(AR18,concatll(concatl("---",AS18:AU18,BK18,"---"),L18,BV18:BW18),"")</f>
        <v xml:space="preserve">---_x000D_
title: "St. Vincent De Paul Chapel"_x000D_
location: {lat: 48.8488573825124, lng: 2.32163111226356}_x000D_
interest: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18" s="23" t="str">
        <f>IF(AR18,VLOOKUP(B18,'(Ref) Countries'!A:B,2,)&amp;IF(LEN(C18)&gt;1,"-"&amp;LOWER(SUBSTITUTE(C18," ","-")),"")&amp;"-"&amp;LOWER(SUBSTITUTE(SUBSTITUTE(G18," ","-"),".",""))&amp;".md","")</f>
        <v>fr-paris-st-vincent-de-paul-chapel.md</v>
      </c>
      <c r="BZ18" s="29" t="str">
        <f>IF(LEN(Y18)&gt;1,VLOOKUP(Y18,'Tag List'!$A:$B,2,),"")</f>
        <v>St. Vincent de Paul, CM</v>
      </c>
      <c r="CA18" s="29" t="str">
        <f>IF(LEN(Z18)&gt;1,VLOOKUP(Z18,'Tag List'!$A:$B,2,),"")</f>
        <v>St. Jean-Gabriel Perboyre, CM</v>
      </c>
      <c r="CB18" s="29" t="str">
        <f>IF(LEN(AA18)&gt;1,VLOOKUP(AA18,'Tag List'!$A:$B,2,),"")</f>
        <v>Congregation of the Mission (Vincentians)</v>
      </c>
      <c r="CC18" s="29" t="str">
        <f>IF(LEN(Y18)&gt;1,GetTagPage(BZ18,Y18),"")</f>
        <v>[St. Vincent de Paul, CM](/tags/vincent-de-paul)</v>
      </c>
      <c r="CD18" s="29" t="str">
        <f>IF(LEN(Z18)&gt;1,GetTagPage(CA18,Z18),"")</f>
        <v>[St. Jean-Gabriel Perboyre, CM](/tags/jean-gabriel-perboyre)</v>
      </c>
      <c r="CE18" s="29" t="str">
        <f>IF(LEN(AA18)&gt;1,GetTagPage(CB18,AA18),"")</f>
        <v>[Congregation of the Mission (Vincentians)](/tags/vincentians)</v>
      </c>
      <c r="CF18" s="29" t="str">
        <f>"|"&amp;IF(LEN(CC18)&gt;1," "&amp;CC18,"")&amp;IF(LEN(CD18)&gt;1,", "&amp;CD18,"")&amp;IF(LEN(CE18)&gt;1,", "&amp;CE18,"")&amp;" "</f>
        <v xml:space="preserve">| [St. Vincent de Paul, CM](/tags/vincent-de-paul), [St. Jean-Gabriel Perboyre, CM](/tags/jean-gabriel-perboyre), [Congregation of the Mission (Vincentians)](/tags/vincentians) </v>
      </c>
      <c r="CG18" s="29" t="str">
        <f>"| "&amp;IF(AR18,"["&amp;AI18&amp;"](/places/"&amp;SUBSTITUTE(BY18,".md","")&amp;")",AI18)&amp;" "</f>
        <v xml:space="preserve">| [](/places/fr-paris-st-vincent-de-paul-chapel) </v>
      </c>
      <c r="CH18" s="29" t="str">
        <f>"| "&amp;IF(AR18,GetTagPage(B18,VLOOKUP(B18,'(Ref) Countries'!A:C,3,)),B18)&amp; " "</f>
        <v xml:space="preserve">| [France](/tags/france) </v>
      </c>
      <c r="CI18" s="29" t="str">
        <f>"| "&amp;AJ18&amp;" "</f>
        <v xml:space="preserve">|  </v>
      </c>
      <c r="CJ18" s="29" t="str">
        <f>"|"&amp;IF(AR18," [Link](/places/"&amp;SUBSTITUTE(BY18,".md","")&amp;")","")&amp;" "</f>
        <v xml:space="preserve">| [Link](/places/fr-paris-st-vincent-de-paul-chapel) </v>
      </c>
      <c r="CK18" s="29" t="str">
        <f>"
"&amp;CG18&amp;CH18&amp;CI18&amp;CJ18&amp;BL18&amp;BQ18&amp;BR18&amp;BS18&amp;CF18&amp;"|"</f>
        <v xml:space="preserve">
| [](/places/fr-paris-st-vincent-de-paul-chapel) | [France](/tags/france) |  | [Link](/places/fr-paris-st-vincent-de-paul-chapel) | [St. Vincent de Paul, CM](/tags/vincent-de-paul), [St. Jean-Gabriel Perboyre, CM](/tags/jean-gabriel-perboyre), [Congregation of the Mission (Vincentians)](/tags/vincentians) |</v>
      </c>
    </row>
    <row r="19" spans="1:89" ht="38.25" x14ac:dyDescent="0.25">
      <c r="A19" s="168" t="s">
        <v>1320</v>
      </c>
      <c r="B19" s="83" t="s">
        <v>542</v>
      </c>
      <c r="C19" s="83" t="s">
        <v>1854</v>
      </c>
      <c r="D19" s="15">
        <v>48.373341813628898</v>
      </c>
      <c r="E19" s="49">
        <v>10.8960887661434</v>
      </c>
      <c r="F19" s="24" t="s">
        <v>1830</v>
      </c>
      <c r="G19" s="90" t="s">
        <v>1831</v>
      </c>
      <c r="H19" s="83" t="s">
        <v>1759</v>
      </c>
      <c r="K19" s="24" t="b">
        <v>1</v>
      </c>
      <c r="L19" s="83" t="s">
        <v>1839</v>
      </c>
      <c r="N19" s="15" t="s">
        <v>1832</v>
      </c>
      <c r="O19" s="15" t="s">
        <v>336</v>
      </c>
      <c r="Y19" s="91" t="s">
        <v>1833</v>
      </c>
      <c r="Z19" s="91" t="s">
        <v>1834</v>
      </c>
      <c r="AA19" s="91" t="s">
        <v>1837</v>
      </c>
      <c r="AR19" s="154" t="b">
        <f>IF(OR(A19="Done",A19="In Progress"),TRUE)</f>
        <v>1</v>
      </c>
      <c r="AS19" s="155" t="str">
        <f>"title: """&amp;F19&amp;""""</f>
        <v>title: "Diocesan Museum of St. Afra"</v>
      </c>
      <c r="AT19" s="155" t="str">
        <f>"location: {lat: "&amp;D19&amp;", lng: "&amp;E19&amp;"}"</f>
        <v>location: {lat: 48.3733418136289, lng: 10.8960887661434}</v>
      </c>
      <c r="AU19" s="155" t="str">
        <f>"interest: "&amp;H19</f>
        <v>interest: regional</v>
      </c>
      <c r="AV19" s="155" t="str">
        <f>"- "&amp;VLOOKUP(B19,'(Ref) Countries'!A:C,3,)</f>
        <v>- germany</v>
      </c>
      <c r="AW19" s="155" t="str">
        <f>IF(LEN(C19)&gt;1,"- "&amp;LOWER(SUBSTITUTE(C19," ","-")),"")</f>
        <v>- augsburg</v>
      </c>
      <c r="AX19" s="155" t="str">
        <f>IF(I19,"- churches","")</f>
        <v/>
      </c>
      <c r="AY19" s="155" t="str">
        <f>IF(J19,"- marian-sites","")</f>
        <v/>
      </c>
      <c r="AZ19" s="155" t="str">
        <f>IF(K19,"- holy-persons","")</f>
        <v>- holy-persons</v>
      </c>
      <c r="BA19" s="155" t="str">
        <f>IF(LEN(Y19)&gt;0,"- "&amp;Y19,"")</f>
        <v>- ulrich</v>
      </c>
      <c r="BB19" s="155" t="str">
        <f>IF(LEN(Z19)&gt;0,"- "&amp;Z19,"")</f>
        <v>- afra</v>
      </c>
      <c r="BC19" s="155" t="str">
        <f>IF(LEN(AA19)&gt;0,"- "&amp;AA19,"")</f>
        <v>- simpert</v>
      </c>
      <c r="BD19" s="155" t="str">
        <f>IF(LEN(AB19)&gt;0,"- "&amp;AB19,"")</f>
        <v/>
      </c>
      <c r="BE19" s="155" t="str">
        <f>IF(LEN(AC19)&gt;0,"- "&amp;AC19,"")</f>
        <v/>
      </c>
      <c r="BF19" s="155" t="str">
        <f>IF(LEN(AD19)&gt;0,"- "&amp;AD19,"")</f>
        <v/>
      </c>
      <c r="BG19" s="155" t="str">
        <f>IF(LEN(AE19)&gt;0,"- "&amp;AE19,"")</f>
        <v/>
      </c>
      <c r="BH19" s="155" t="str">
        <f>IF(LEN(AF19)&gt;0,"- "&amp;AF19,"")</f>
        <v/>
      </c>
      <c r="BI19" s="155" t="str">
        <f>IF(LEN(AG19)&gt;0,"- "&amp;AG19,"")</f>
        <v/>
      </c>
      <c r="BJ19" s="155" t="str">
        <f>IF(LEN(AH19)&gt;0,"- "&amp;AH19,"")</f>
        <v/>
      </c>
      <c r="BK19" s="155" t="str">
        <f>"tags:"&amp;CHAR(10)&amp;concatl(AV19:BJ19)</f>
        <v xml:space="preserve">tags:
- germany_x000D_
- augsburg_x000D_
- holy-persons_x000D_
- ulrich_x000D_
- afra_x000D_
- simpert_x000D_
</v>
      </c>
      <c r="BL19" s="155" t="str">
        <f>IF(LEN(N19)&gt;0,TRIM(CONCATENATE("[Official site](",N19,") ",O19)),"")</f>
        <v>[Official site](https://www.museum-st-afra.de/en/)</v>
      </c>
      <c r="BM19" s="155" t="str">
        <f>IF(LEN(Q19)&gt;0,TRIM(CONCATENATE("["&amp;P19&amp;"](",Q19,") ",R19)),"")</f>
        <v/>
      </c>
      <c r="BN19" s="155" t="str">
        <f>IF(LEN(T19)&gt;0,TRIM(CONCATENATE("["&amp;S19&amp;"](",T19,") ",U19)),"")</f>
        <v/>
      </c>
      <c r="BO19" s="155" t="str">
        <f>IF(LEN(W19)&gt;0,TRIM(CONCATENATE("["&amp;V19&amp;"](",W19,") ",X19)),"")</f>
        <v/>
      </c>
      <c r="BP19" s="155" t="str">
        <f>IF(LEN(BL19)&gt;0,"* "&amp;BL19&amp;CHAR(10),"")&amp;
IF(LEN(BM19)&gt;0,"* "&amp;BM19&amp;CHAR(10),"")&amp;
IF(LEN(BN19)&gt;0,"* "&amp;BN19&amp;CHAR(10),"")&amp;
IF(LEN(BO19)&gt;0,"* "&amp;BO19&amp;CHAR(10),"")</f>
        <v xml:space="preserve">* [Official site](https://www.museum-st-afra.de/en/)
</v>
      </c>
      <c r="BQ19" s="155" t="str">
        <f>IF(LEN(AK19)&gt;0,TRIM(CONCATENATE("[Link](",AK19,") ",AL19)),"")</f>
        <v/>
      </c>
      <c r="BR19" s="155" t="str">
        <f>IF(LEN(AM19)&gt;0,TRIM(CONCATENATE("[Link](",AM19,") ",AN19)),"")</f>
        <v/>
      </c>
      <c r="BS19" s="155" t="str">
        <f>IF(LEN(AO19)&gt;0,TRIM(CONCATENATE("[Link](",AO19,") ",AP19)),"")</f>
        <v/>
      </c>
      <c r="BT19" s="155" t="str">
        <f>IF(LEN(concat(BQ19:BS19))&gt;0,concat("| ",BQ19," | ",BR19," | ",BS19," |"),"")</f>
        <v/>
      </c>
      <c r="BU19" s="155" t="str">
        <f>IF(J19,concatl("| The Real Presence | Miracle Hunter | MaryPages |","| --- | --- | --- |",BT19),"")</f>
        <v/>
      </c>
      <c r="BV19" s="155" t="str">
        <f>IF(LEN(BP19&amp;BU19)&gt;0,concatll("#### More Information",BP19,BU19),"")</f>
        <v xml:space="preserve">#### More Information_x000D_
_x000D_
* [Official site](https://www.museum-st-afra.de/en/)
_x000D_
_x000D_
</v>
      </c>
      <c r="BW19" s="155" t="str">
        <f>IF(LEN(M19)&gt;1,concatll("#### Author's Note",M19),"")</f>
        <v/>
      </c>
      <c r="BX19" s="23" t="str">
        <f>IF(AR19,concatll(concatl("---",AS19:AU19,BK19,"---"),L19,BV19:BW19),"")</f>
        <v xml:space="preserve">---_x000D_
title: "Diocesan Museum of St. Afra"_x000D_
location: {lat: 48.3733418136289, lng: 10.8960887661434}_x000D_
interest: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19" s="23" t="str">
        <f>IF(AR19,VLOOKUP(B19,'(Ref) Countries'!A:B,2,)&amp;IF(LEN(C19)&gt;1,"-"&amp;LOWER(SUBSTITUTE(C19," ","-")),"")&amp;"-"&amp;LOWER(SUBSTITUTE(SUBSTITUTE(G19," ","-"),".",""))&amp;".md","")</f>
        <v>de-augsburg-diocesan-museum.md</v>
      </c>
      <c r="BZ19" s="29" t="str">
        <f>IF(LEN(Y19)&gt;1,VLOOKUP(Y19,'Tag List'!$A:$B,2,),"")</f>
        <v>St. Ulrich</v>
      </c>
      <c r="CA19" s="29" t="str">
        <f>IF(LEN(Z19)&gt;1,VLOOKUP(Z19,'Tag List'!$A:$B,2,),"")</f>
        <v>St. Afra</v>
      </c>
      <c r="CB19" s="29" t="str">
        <f>IF(LEN(AA19)&gt;1,VLOOKUP(AA19,'Tag List'!$A:$B,2,),"")</f>
        <v>St. Simpert</v>
      </c>
      <c r="CC19" s="29" t="str">
        <f>IF(LEN(Y19)&gt;1,GetTagPage(BZ19,Y19),"")</f>
        <v>[St. Ulrich](/tags/ulrich)</v>
      </c>
      <c r="CD19" s="29" t="str">
        <f>IF(LEN(Z19)&gt;1,GetTagPage(CA19,Z19),"")</f>
        <v>[St. Afra](/tags/afra)</v>
      </c>
      <c r="CE19" s="29" t="str">
        <f>IF(LEN(AA19)&gt;1,GetTagPage(CB19,AA19),"")</f>
        <v>[St. Simpert](/tags/simpert)</v>
      </c>
      <c r="CF19" s="29" t="str">
        <f>"|"&amp;IF(LEN(CC19)&gt;1," "&amp;CC19,"")&amp;IF(LEN(CD19)&gt;1,", "&amp;CD19,"")&amp;IF(LEN(CE19)&gt;1,", "&amp;CE19,"")&amp;" "</f>
        <v xml:space="preserve">| [St. Ulrich](/tags/ulrich), [St. Afra](/tags/afra), [St. Simpert](/tags/simpert) </v>
      </c>
      <c r="CG19" s="29" t="str">
        <f>"| "&amp;IF(AR19,"["&amp;AI19&amp;"](/places/"&amp;SUBSTITUTE(BY19,".md","")&amp;")",AI19)&amp;" "</f>
        <v xml:space="preserve">| [](/places/de-augsburg-diocesan-museum) </v>
      </c>
      <c r="CH19" s="29" t="str">
        <f>"| "&amp;IF(AR19,GetTagPage(B19,VLOOKUP(B19,'(Ref) Countries'!A:C,3,)),B19)&amp; " "</f>
        <v xml:space="preserve">| [Germany](/tags/germany) </v>
      </c>
      <c r="CI19" s="29" t="str">
        <f>"| "&amp;AJ19&amp;" "</f>
        <v xml:space="preserve">|  </v>
      </c>
      <c r="CJ19" s="29" t="str">
        <f>"|"&amp;IF(AR19," [Link](/places/"&amp;SUBSTITUTE(BY19,".md","")&amp;")","")&amp;" "</f>
        <v xml:space="preserve">| [Link](/places/de-augsburg-diocesan-museum) </v>
      </c>
      <c r="CK19" s="29" t="str">
        <f>"
"&amp;CG19&amp;CH19&amp;CI19&amp;CJ19&amp;BL19&amp;BQ19&amp;BR19&amp;BS19&amp;CF19&amp;"|"</f>
        <v xml:space="preserve">
| [](/places/de-augsburg-diocesan-museum) | [Germany](/tags/germany) |  | [Link](/places/de-augsburg-diocesan-museum) [Official site](https://www.museum-st-afra.de/en/)| [St. Ulrich](/tags/ulrich), [St. Afra](/tags/afra), [St. Simpert](/tags/simpert) |</v>
      </c>
    </row>
    <row r="20" spans="1:89" ht="25.5" x14ac:dyDescent="0.25">
      <c r="A20" s="168" t="s">
        <v>1320</v>
      </c>
      <c r="B20" s="24" t="s">
        <v>542</v>
      </c>
      <c r="C20" s="24" t="s">
        <v>1854</v>
      </c>
      <c r="D20" s="15">
        <v>48.372656224858602</v>
      </c>
      <c r="E20" s="49">
        <v>10.896980204558901</v>
      </c>
      <c r="F20" s="83" t="s">
        <v>1841</v>
      </c>
      <c r="G20" s="90" t="s">
        <v>1828</v>
      </c>
      <c r="H20" s="83" t="s">
        <v>1825</v>
      </c>
      <c r="I20" s="24" t="b">
        <v>1</v>
      </c>
      <c r="K20" s="24" t="b">
        <v>1</v>
      </c>
      <c r="L20" s="83" t="s">
        <v>1840</v>
      </c>
      <c r="N20" s="15" t="s">
        <v>1842</v>
      </c>
      <c r="O20" s="15" t="s">
        <v>336</v>
      </c>
      <c r="Y20" s="15" t="s">
        <v>1843</v>
      </c>
      <c r="AR20" s="154" t="b">
        <f>IF(OR(A20="Done",A20="In Progress"),TRUE)</f>
        <v>1</v>
      </c>
      <c r="AS20" s="155" t="str">
        <f>"title: """&amp;F20&amp;""""</f>
        <v>title: "Augsburg Cathedral (Augsburgur Dom)"</v>
      </c>
      <c r="AT20" s="155" t="str">
        <f>"location: {lat: "&amp;D20&amp;", lng: "&amp;E20&amp;"}"</f>
        <v>location: {lat: 48.3726562248586, lng: 10.8969802045589}</v>
      </c>
      <c r="AU20" s="155" t="str">
        <f>"interest: "&amp;H20</f>
        <v>interest: local</v>
      </c>
      <c r="AV20" s="155" t="str">
        <f>"- "&amp;VLOOKUP(B20,'(Ref) Countries'!A:C,3,)</f>
        <v>- germany</v>
      </c>
      <c r="AW20" s="155" t="str">
        <f>IF(LEN(C20)&gt;1,"- "&amp;LOWER(SUBSTITUTE(C20," ","-")),"")</f>
        <v>- augsburg</v>
      </c>
      <c r="AX20" s="155" t="str">
        <f>IF(I20,"- churches","")</f>
        <v>- churches</v>
      </c>
      <c r="AY20" s="155" t="str">
        <f>IF(J20,"- marian-sites","")</f>
        <v/>
      </c>
      <c r="AZ20" s="155" t="str">
        <f>IF(K20,"- holy-persons","")</f>
        <v>- holy-persons</v>
      </c>
      <c r="BA20" s="155" t="str">
        <f>IF(LEN(Y20)&gt;0,"- "&amp;Y20,"")</f>
        <v>- peter-canisius</v>
      </c>
      <c r="BB20" s="155" t="str">
        <f>IF(LEN(Z20)&gt;0,"- "&amp;Z20,"")</f>
        <v/>
      </c>
      <c r="BC20" s="155" t="str">
        <f>IF(LEN(AA20)&gt;0,"- "&amp;AA20,"")</f>
        <v/>
      </c>
      <c r="BD20" s="155" t="str">
        <f>IF(LEN(AB20)&gt;0,"- "&amp;AB20,"")</f>
        <v/>
      </c>
      <c r="BE20" s="155" t="str">
        <f>IF(LEN(AC20)&gt;0,"- "&amp;AC20,"")</f>
        <v/>
      </c>
      <c r="BF20" s="155" t="str">
        <f>IF(LEN(AD20)&gt;0,"- "&amp;AD20,"")</f>
        <v/>
      </c>
      <c r="BG20" s="155" t="str">
        <f>IF(LEN(AE20)&gt;0,"- "&amp;AE20,"")</f>
        <v/>
      </c>
      <c r="BH20" s="155" t="str">
        <f>IF(LEN(AF20)&gt;0,"- "&amp;AF20,"")</f>
        <v/>
      </c>
      <c r="BI20" s="155" t="str">
        <f>IF(LEN(AG20)&gt;0,"- "&amp;AG20,"")</f>
        <v/>
      </c>
      <c r="BJ20" s="155" t="str">
        <f>IF(LEN(AH20)&gt;0,"- "&amp;AH20,"")</f>
        <v/>
      </c>
      <c r="BK20" s="155" t="str">
        <f>"tags:"&amp;CHAR(10)&amp;concatl(AV20:BJ20)</f>
        <v xml:space="preserve">tags:
- germany_x000D_
- augsburg_x000D_
- churches_x000D_
- holy-persons_x000D_
- peter-canisius_x000D_
</v>
      </c>
      <c r="BL20" s="155" t="str">
        <f>IF(LEN(N20)&gt;0,TRIM(CONCATENATE("[Official site](",N20,") ",O20)),"")</f>
        <v>[Official site](https://bistum-augsburg.de/Bistum/Unser-Bistum/Kathedrale/Hoher-Dom)</v>
      </c>
      <c r="BM20" s="155" t="str">
        <f>IF(LEN(Q20)&gt;0,TRIM(CONCATENATE("["&amp;P20&amp;"](",Q20,") ",R20)),"")</f>
        <v/>
      </c>
      <c r="BN20" s="155" t="str">
        <f>IF(LEN(T20)&gt;0,TRIM(CONCATENATE("["&amp;S20&amp;"](",T20,") ",U20)),"")</f>
        <v/>
      </c>
      <c r="BO20" s="155" t="str">
        <f>IF(LEN(W20)&gt;0,TRIM(CONCATENATE("["&amp;V20&amp;"](",W20,") ",X20)),"")</f>
        <v/>
      </c>
      <c r="BP20" s="155" t="str">
        <f>IF(LEN(BL20)&gt;0,"* "&amp;BL20&amp;CHAR(10),"")&amp;
IF(LEN(BM20)&gt;0,"* "&amp;BM20&amp;CHAR(10),"")&amp;
IF(LEN(BN20)&gt;0,"* "&amp;BN20&amp;CHAR(10),"")&amp;
IF(LEN(BO20)&gt;0,"* "&amp;BO20&amp;CHAR(10),"")</f>
        <v xml:space="preserve">* [Official site](https://bistum-augsburg.de/Bistum/Unser-Bistum/Kathedrale/Hoher-Dom)
</v>
      </c>
      <c r="BQ20" s="155" t="str">
        <f>IF(LEN(AK20)&gt;0,TRIM(CONCATENATE("[Link](",AK20,") ",AL20)),"")</f>
        <v/>
      </c>
      <c r="BR20" s="155" t="str">
        <f>IF(LEN(AM20)&gt;0,TRIM(CONCATENATE("[Link](",AM20,") ",AN20)),"")</f>
        <v/>
      </c>
      <c r="BS20" s="155" t="str">
        <f>IF(LEN(AO20)&gt;0,TRIM(CONCATENATE("[Link](",AO20,") ",AP20)),"")</f>
        <v/>
      </c>
      <c r="BT20" s="155" t="str">
        <f>IF(LEN(concat(BQ20:BS20))&gt;0,concat("| ",BQ20," | ",BR20," | ",BS20," |"),"")</f>
        <v/>
      </c>
      <c r="BU20" s="155" t="str">
        <f>IF(J20,concatl("| The Real Presence | Miracle Hunter | MaryPages |","| --- | --- | --- |",BT20),"")</f>
        <v/>
      </c>
      <c r="BV20" s="155" t="str">
        <f>IF(LEN(BP20&amp;BU20)&gt;0,concatll("#### More Information",BP20,BU20),"")</f>
        <v xml:space="preserve">#### More Information_x000D_
_x000D_
* [Official site](https://bistum-augsburg.de/Bistum/Unser-Bistum/Kathedrale/Hoher-Dom)
_x000D_
_x000D_
</v>
      </c>
      <c r="BW20" s="155" t="str">
        <f>IF(LEN(M20)&gt;1,concatll("#### Author's Note",M20),"")</f>
        <v/>
      </c>
      <c r="BX20" s="23" t="str">
        <f>IF(AR20,concatll(concatl("---",AS20:AU20,BK20,"---"),L20,BV20:BW20),"")</f>
        <v xml:space="preserve">---_x000D_
title: "Augsburg Cathedral (Augsburgur Dom)"_x000D_
location: {lat: 48.3726562248586, lng: 10.8969802045589}_x000D_
interest: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20" s="23" t="str">
        <f>IF(AR20,VLOOKUP(B20,'(Ref) Countries'!A:B,2,)&amp;IF(LEN(C20)&gt;1,"-"&amp;LOWER(SUBSTITUTE(C20," ","-")),"")&amp;"-"&amp;LOWER(SUBSTITUTE(SUBSTITUTE(G20," ","-"),".",""))&amp;".md","")</f>
        <v>de-augsburg-cathedral.md</v>
      </c>
      <c r="BZ20" s="29" t="str">
        <f>IF(LEN(Y20)&gt;1,VLOOKUP(Y20,'Tag List'!$A:$B,2,),"")</f>
        <v>St. Peter Canisius</v>
      </c>
      <c r="CA20" s="29" t="str">
        <f>IF(LEN(Z20)&gt;1,VLOOKUP(Z20,'Tag List'!$A:$B,2,),"")</f>
        <v/>
      </c>
      <c r="CB20" s="29" t="str">
        <f>IF(LEN(AA20)&gt;1,VLOOKUP(AA20,'Tag List'!$A:$B,2,),"")</f>
        <v/>
      </c>
      <c r="CC20" s="29" t="str">
        <f>IF(LEN(Y20)&gt;1,GetTagPage(BZ20,Y20),"")</f>
        <v>[St. Peter Canisius](/tags/peter-canisius)</v>
      </c>
      <c r="CD20" s="29" t="str">
        <f>IF(LEN(Z20)&gt;1,GetTagPage(CA20,Z20),"")</f>
        <v/>
      </c>
      <c r="CE20" s="29" t="str">
        <f>IF(LEN(AA20)&gt;1,GetTagPage(CB20,AA20),"")</f>
        <v/>
      </c>
      <c r="CF20" s="29" t="str">
        <f>"|"&amp;IF(LEN(CC20)&gt;1," "&amp;CC20,"")&amp;IF(LEN(CD20)&gt;1,", "&amp;CD20,"")&amp;IF(LEN(CE20)&gt;1,", "&amp;CE20,"")&amp;" "</f>
        <v xml:space="preserve">| [St. Peter Canisius](/tags/peter-canisius) </v>
      </c>
      <c r="CG20" s="29" t="str">
        <f>"| "&amp;IF(AR20,"["&amp;AI20&amp;"](/places/"&amp;SUBSTITUTE(BY20,".md","")&amp;")",AI20)&amp;" "</f>
        <v xml:space="preserve">| [](/places/de-augsburg-cathedral) </v>
      </c>
      <c r="CH20" s="29" t="str">
        <f>"| "&amp;IF(AR20,GetTagPage(B20,VLOOKUP(B20,'(Ref) Countries'!A:C,3,)),B20)&amp; " "</f>
        <v xml:space="preserve">| [Germany](/tags/germany) </v>
      </c>
      <c r="CI20" s="29" t="str">
        <f>"| "&amp;AJ20&amp;" "</f>
        <v xml:space="preserve">|  </v>
      </c>
      <c r="CJ20" s="29" t="str">
        <f>"|"&amp;IF(AR20," [Link](/places/"&amp;SUBSTITUTE(BY20,".md","")&amp;")","")&amp;" "</f>
        <v xml:space="preserve">| [Link](/places/de-augsburg-cathedral) </v>
      </c>
      <c r="CK20" s="29" t="str">
        <f>"
"&amp;CG20&amp;CH20&amp;CI20&amp;CJ20&amp;BL20&amp;BQ20&amp;BR20&amp;BS20&amp;CF20&amp;"|"</f>
        <v xml:space="preserve">
| [](/places/de-augsburg-cathedral) | [Germany](/tags/germany) |  | [Link](/places/de-augsburg-cathedral) [Official site](https://bistum-augsburg.de/Bistum/Unser-Bistum/Kathedrale/Hoher-Dom)| [St. Peter Canisius](/tags/peter-canisius) |</v>
      </c>
    </row>
    <row r="21" spans="1:89" ht="51" x14ac:dyDescent="0.25">
      <c r="A21" s="168" t="s">
        <v>1320</v>
      </c>
      <c r="B21" s="24" t="s">
        <v>542</v>
      </c>
      <c r="C21" s="24" t="s">
        <v>1854</v>
      </c>
      <c r="D21" s="15">
        <v>48.372337108375902</v>
      </c>
      <c r="E21" s="49">
        <v>10.8944612321084</v>
      </c>
      <c r="F21" s="24" t="s">
        <v>1845</v>
      </c>
      <c r="G21" s="90" t="s">
        <v>1846</v>
      </c>
      <c r="H21" s="24" t="s">
        <v>1825</v>
      </c>
      <c r="L21" s="24" t="s">
        <v>1847</v>
      </c>
      <c r="M21" s="90" t="s">
        <v>1848</v>
      </c>
      <c r="O21" s="15" t="s">
        <v>336</v>
      </c>
      <c r="Y21" s="91" t="s">
        <v>1855</v>
      </c>
      <c r="AR21" s="154" t="b">
        <f>IF(OR(A21="Done",A21="In Progress"),TRUE)</f>
        <v>1</v>
      </c>
      <c r="AS21" s="155" t="str">
        <f>"title: """&amp;F21&amp;""""</f>
        <v>title: "Former Residence of the Prince-Bishop of Augsburg"</v>
      </c>
      <c r="AT21" s="155" t="str">
        <f>"location: {lat: "&amp;D21&amp;", lng: "&amp;E21&amp;"}"</f>
        <v>location: {lat: 48.3723371083759, lng: 10.8944612321084}</v>
      </c>
      <c r="AU21" s="155" t="str">
        <f>"interest: "&amp;H21</f>
        <v>interest: local</v>
      </c>
      <c r="AV21" s="155" t="str">
        <f>"- "&amp;VLOOKUP(B21,'(Ref) Countries'!A:C,3,)</f>
        <v>- germany</v>
      </c>
      <c r="AW21" s="155" t="str">
        <f>IF(LEN(C21)&gt;1,"- "&amp;LOWER(SUBSTITUTE(C21," ","-")),"")</f>
        <v>- augsburg</v>
      </c>
      <c r="AX21" s="155" t="str">
        <f>IF(I21,"- churches","")</f>
        <v/>
      </c>
      <c r="AY21" s="155" t="str">
        <f>IF(J21,"- marian-sites","")</f>
        <v/>
      </c>
      <c r="AZ21" s="155" t="str">
        <f>IF(K21,"- holy-persons","")</f>
        <v/>
      </c>
      <c r="BA21" s="155" t="str">
        <f>IF(LEN(Y21)&gt;0,"- "&amp;Y21,"")</f>
        <v>- reformation</v>
      </c>
      <c r="BB21" s="155" t="str">
        <f>IF(LEN(Z21)&gt;0,"- "&amp;Z21,"")</f>
        <v/>
      </c>
      <c r="BC21" s="155" t="str">
        <f>IF(LEN(AA21)&gt;0,"- "&amp;AA21,"")</f>
        <v/>
      </c>
      <c r="BD21" s="155" t="str">
        <f>IF(LEN(AB21)&gt;0,"- "&amp;AB21,"")</f>
        <v/>
      </c>
      <c r="BE21" s="155" t="str">
        <f>IF(LEN(AC21)&gt;0,"- "&amp;AC21,"")</f>
        <v/>
      </c>
      <c r="BF21" s="155" t="str">
        <f>IF(LEN(AD21)&gt;0,"- "&amp;AD21,"")</f>
        <v/>
      </c>
      <c r="BG21" s="155" t="str">
        <f>IF(LEN(AE21)&gt;0,"- "&amp;AE21,"")</f>
        <v/>
      </c>
      <c r="BH21" s="155" t="str">
        <f>IF(LEN(AF21)&gt;0,"- "&amp;AF21,"")</f>
        <v/>
      </c>
      <c r="BI21" s="155" t="str">
        <f>IF(LEN(AG21)&gt;0,"- "&amp;AG21,"")</f>
        <v/>
      </c>
      <c r="BJ21" s="155" t="str">
        <f>IF(LEN(AH21)&gt;0,"- "&amp;AH21,"")</f>
        <v/>
      </c>
      <c r="BK21" s="155" t="str">
        <f>"tags:"&amp;CHAR(10)&amp;concatl(AV21:BJ21)</f>
        <v xml:space="preserve">tags:
- germany_x000D_
- augsburg_x000D_
- reformation_x000D_
</v>
      </c>
      <c r="BL21" s="155" t="str">
        <f>IF(LEN(N21)&gt;0,TRIM(CONCATENATE("[Official site](",N21,") ",O21)),"")</f>
        <v/>
      </c>
      <c r="BM21" s="155" t="str">
        <f>IF(LEN(Q21)&gt;0,TRIM(CONCATENATE("["&amp;P21&amp;"](",Q21,") ",R21)),"")</f>
        <v/>
      </c>
      <c r="BN21" s="155" t="str">
        <f>IF(LEN(T21)&gt;0,TRIM(CONCATENATE("["&amp;S21&amp;"](",T21,") ",U21)),"")</f>
        <v/>
      </c>
      <c r="BO21" s="155" t="str">
        <f>IF(LEN(W21)&gt;0,TRIM(CONCATENATE("["&amp;V21&amp;"](",W21,") ",X21)),"")</f>
        <v/>
      </c>
      <c r="BP21" s="155" t="str">
        <f>IF(LEN(BL21)&gt;0,"* "&amp;BL21&amp;CHAR(10),"")&amp;
IF(LEN(BM21)&gt;0,"* "&amp;BM21&amp;CHAR(10),"")&amp;
IF(LEN(BN21)&gt;0,"* "&amp;BN21&amp;CHAR(10),"")&amp;
IF(LEN(BO21)&gt;0,"* "&amp;BO21&amp;CHAR(10),"")</f>
        <v/>
      </c>
      <c r="BQ21" s="155" t="str">
        <f>IF(LEN(AK21)&gt;0,TRIM(CONCATENATE("[Link](",AK21,") ",AL21)),"")</f>
        <v/>
      </c>
      <c r="BR21" s="155" t="str">
        <f>IF(LEN(AM21)&gt;0,TRIM(CONCATENATE("[Link](",AM21,") ",AN21)),"")</f>
        <v/>
      </c>
      <c r="BS21" s="155" t="str">
        <f>IF(LEN(AO21)&gt;0,TRIM(CONCATENATE("[Link](",AO21,") ",AP21)),"")</f>
        <v/>
      </c>
      <c r="BT21" s="155" t="str">
        <f>IF(LEN(concat(BQ21:BS21))&gt;0,concat("| ",BQ21," | ",BR21," | ",BS21," |"),"")</f>
        <v/>
      </c>
      <c r="BU21" s="155" t="str">
        <f>IF(J21,concatl("| The Real Presence | Miracle Hunter | MaryPages |","| --- | --- | --- |",BT21),"")</f>
        <v/>
      </c>
      <c r="BV21" s="155" t="str">
        <f>IF(LEN(BP21&amp;BU21)&gt;0,concatll("#### More Information",BP21,BU21),"")</f>
        <v/>
      </c>
      <c r="BW21" s="155" t="str">
        <f>IF(LEN(M21)&gt;1,concatll("#### Author's Note",M21),"")</f>
        <v xml:space="preserve">#### Author's Note_x000D_
_x000D_
Let us pray for Christian unity and for our Protestant brethern to come to the True Faith.
-JPY_x000D_
_x000D_
</v>
      </c>
      <c r="BX21" s="23" t="str">
        <f>IF(AR21,concatll(concatl("---",AS21:AU21,BK21,"---"),L21,BV21:BW21),"")</f>
        <v xml:space="preserve">---_x000D_
title: "Former Residence of the Prince-Bishop of Augsburg"_x000D_
location: {lat: 48.3723371083759, lng: 10.8944612321084}_x000D_
interest: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21" s="23" t="str">
        <f>IF(AR21,VLOOKUP(B21,'(Ref) Countries'!A:B,2,)&amp;IF(LEN(C21)&gt;1,"-"&amp;LOWER(SUBSTITUTE(C21," ","-")),"")&amp;"-"&amp;LOWER(SUBSTITUTE(SUBSTITUTE(G21," ","-"),".",""))&amp;".md","")</f>
        <v>de-augsburg-prince-bishop-residence.md</v>
      </c>
      <c r="BZ21" s="29" t="str">
        <f>IF(LEN(Y21)&gt;1,VLOOKUP(Y21,'Tag List'!$A:$B,2,),"")</f>
        <v>Protestant Reformation</v>
      </c>
      <c r="CA21" s="29" t="str">
        <f>IF(LEN(Z21)&gt;1,VLOOKUP(Z21,'Tag List'!$A:$B,2,),"")</f>
        <v/>
      </c>
      <c r="CB21" s="29" t="str">
        <f>IF(LEN(AA21)&gt;1,VLOOKUP(AA21,'Tag List'!$A:$B,2,),"")</f>
        <v/>
      </c>
      <c r="CC21" s="29" t="str">
        <f>IF(LEN(Y21)&gt;1,GetTagPage(BZ21,Y21),"")</f>
        <v>[Protestant Reformation](/tags/reformation)</v>
      </c>
      <c r="CD21" s="29" t="str">
        <f>IF(LEN(Z21)&gt;1,GetTagPage(CA21,Z21),"")</f>
        <v/>
      </c>
      <c r="CE21" s="29" t="str">
        <f>IF(LEN(AA21)&gt;1,GetTagPage(CB21,AA21),"")</f>
        <v/>
      </c>
      <c r="CF21" s="29" t="str">
        <f>"|"&amp;IF(LEN(CC21)&gt;1," "&amp;CC21,"")&amp;IF(LEN(CD21)&gt;1,", "&amp;CD21,"")&amp;IF(LEN(CE21)&gt;1,", "&amp;CE21,"")&amp;" "</f>
        <v xml:space="preserve">| [Protestant Reformation](/tags/reformation) </v>
      </c>
      <c r="CG21" s="29" t="str">
        <f>"| "&amp;IF(AR21,"["&amp;AI21&amp;"](/places/"&amp;SUBSTITUTE(BY21,".md","")&amp;")",AI21)&amp;" "</f>
        <v xml:space="preserve">| [](/places/de-augsburg-prince-bishop-residence) </v>
      </c>
      <c r="CH21" s="29" t="str">
        <f>"| "&amp;IF(AR21,GetTagPage(B21,VLOOKUP(B21,'(Ref) Countries'!A:C,3,)),B21)&amp; " "</f>
        <v xml:space="preserve">| [Germany](/tags/germany) </v>
      </c>
      <c r="CI21" s="29" t="str">
        <f>"| "&amp;AJ21&amp;" "</f>
        <v xml:space="preserve">|  </v>
      </c>
      <c r="CJ21" s="29" t="str">
        <f>"|"&amp;IF(AR21," [Link](/places/"&amp;SUBSTITUTE(BY21,".md","")&amp;")","")&amp;" "</f>
        <v xml:space="preserve">| [Link](/places/de-augsburg-prince-bishop-residence) </v>
      </c>
      <c r="CK21" s="29" t="str">
        <f>"
"&amp;CG21&amp;CH21&amp;CI21&amp;CJ21&amp;BL21&amp;BQ21&amp;BR21&amp;BS21&amp;CF21&amp;"|"</f>
        <v xml:space="preserve">
| [](/places/de-augsburg-prince-bishop-residence) | [Germany](/tags/germany) |  | [Link](/places/de-augsburg-prince-bishop-residence) | [Protestant Reformation](/tags/reformation) |</v>
      </c>
    </row>
    <row r="22" spans="1:89" ht="89.25" x14ac:dyDescent="0.25">
      <c r="A22" s="168" t="s">
        <v>1320</v>
      </c>
      <c r="B22" s="24" t="s">
        <v>542</v>
      </c>
      <c r="C22" s="24" t="s">
        <v>1854</v>
      </c>
      <c r="D22" s="15">
        <v>48.361479239335097</v>
      </c>
      <c r="E22" s="49">
        <v>10.9000712149692</v>
      </c>
      <c r="F22" s="24" t="s">
        <v>1849</v>
      </c>
      <c r="G22" s="90" t="s">
        <v>1850</v>
      </c>
      <c r="H22" s="83" t="s">
        <v>1759</v>
      </c>
      <c r="I22" s="24" t="b">
        <v>1</v>
      </c>
      <c r="K22" s="24" t="b">
        <v>1</v>
      </c>
      <c r="L22" s="83" t="s">
        <v>1851</v>
      </c>
      <c r="M22" s="90" t="s">
        <v>1852</v>
      </c>
      <c r="N22" s="15" t="s">
        <v>1853</v>
      </c>
      <c r="O22" s="15" t="s">
        <v>336</v>
      </c>
      <c r="Y22" s="15" t="s">
        <v>1833</v>
      </c>
      <c r="Z22" s="15" t="s">
        <v>1834</v>
      </c>
      <c r="AA22" s="15" t="s">
        <v>1837</v>
      </c>
      <c r="AR22" s="154" t="b">
        <f>IF(OR(A22="Done",A22="In Progress"),TRUE)</f>
        <v>1</v>
      </c>
      <c r="AS22" s="155" t="str">
        <f>"title: """&amp;F22&amp;""""</f>
        <v>title: "Basilica of Sts. Ulrich and Afra"</v>
      </c>
      <c r="AT22" s="155" t="str">
        <f>"location: {lat: "&amp;D22&amp;", lng: "&amp;E22&amp;"}"</f>
        <v>location: {lat: 48.3614792393351, lng: 10.9000712149692}</v>
      </c>
      <c r="AU22" s="155" t="str">
        <f>"interest: "&amp;H22</f>
        <v>interest: regional</v>
      </c>
      <c r="AV22" s="155" t="str">
        <f>"- "&amp;VLOOKUP(B22,'(Ref) Countries'!A:C,3,)</f>
        <v>- germany</v>
      </c>
      <c r="AW22" s="155" t="str">
        <f>IF(LEN(C22)&gt;1,"- "&amp;LOWER(SUBSTITUTE(C22," ","-")),"")</f>
        <v>- augsburg</v>
      </c>
      <c r="AX22" s="155" t="str">
        <f>IF(I22,"- churches","")</f>
        <v>- churches</v>
      </c>
      <c r="AY22" s="155" t="str">
        <f>IF(J22,"- marian-sites","")</f>
        <v/>
      </c>
      <c r="AZ22" s="155" t="str">
        <f>IF(K22,"- holy-persons","")</f>
        <v>- holy-persons</v>
      </c>
      <c r="BA22" s="155" t="str">
        <f>IF(LEN(Y22)&gt;0,"- "&amp;Y22,"")</f>
        <v>- ulrich</v>
      </c>
      <c r="BB22" s="155" t="str">
        <f>IF(LEN(Z22)&gt;0,"- "&amp;Z22,"")</f>
        <v>- afra</v>
      </c>
      <c r="BC22" s="155" t="str">
        <f>IF(LEN(AA22)&gt;0,"- "&amp;AA22,"")</f>
        <v>- simpert</v>
      </c>
      <c r="BD22" s="155" t="str">
        <f>IF(LEN(AB22)&gt;0,"- "&amp;AB22,"")</f>
        <v/>
      </c>
      <c r="BE22" s="155" t="str">
        <f>IF(LEN(AC22)&gt;0,"- "&amp;AC22,"")</f>
        <v/>
      </c>
      <c r="BF22" s="155" t="str">
        <f>IF(LEN(AD22)&gt;0,"- "&amp;AD22,"")</f>
        <v/>
      </c>
      <c r="BG22" s="155" t="str">
        <f>IF(LEN(AE22)&gt;0,"- "&amp;AE22,"")</f>
        <v/>
      </c>
      <c r="BH22" s="155" t="str">
        <f>IF(LEN(AF22)&gt;0,"- "&amp;AF22,"")</f>
        <v/>
      </c>
      <c r="BI22" s="155" t="str">
        <f>IF(LEN(AG22)&gt;0,"- "&amp;AG22,"")</f>
        <v/>
      </c>
      <c r="BJ22" s="155" t="str">
        <f>IF(LEN(AH22)&gt;0,"- "&amp;AH22,"")</f>
        <v/>
      </c>
      <c r="BK22" s="155" t="str">
        <f>"tags:"&amp;CHAR(10)&amp;concatl(AV22:BJ22)</f>
        <v xml:space="preserve">tags:
- germany_x000D_
- augsburg_x000D_
- churches_x000D_
- holy-persons_x000D_
- ulrich_x000D_
- afra_x000D_
- simpert_x000D_
</v>
      </c>
      <c r="BL22" s="155" t="str">
        <f>IF(LEN(N22)&gt;0,TRIM(CONCATENATE("[Official site](",N22,") ",O22)),"")</f>
        <v>[Official site](https://ulrich-afra-anton.de)</v>
      </c>
      <c r="BM22" s="155" t="str">
        <f>IF(LEN(Q22)&gt;0,TRIM(CONCATENATE("["&amp;P22&amp;"](",Q22,") ",R22)),"")</f>
        <v/>
      </c>
      <c r="BN22" s="155" t="str">
        <f>IF(LEN(T22)&gt;0,TRIM(CONCATENATE("["&amp;S22&amp;"](",T22,") ",U22)),"")</f>
        <v/>
      </c>
      <c r="BO22" s="155" t="str">
        <f>IF(LEN(W22)&gt;0,TRIM(CONCATENATE("["&amp;V22&amp;"](",W22,") ",X22)),"")</f>
        <v/>
      </c>
      <c r="BP22" s="155" t="str">
        <f>IF(LEN(BL22)&gt;0,"* "&amp;BL22&amp;CHAR(10),"")&amp;
IF(LEN(BM22)&gt;0,"* "&amp;BM22&amp;CHAR(10),"")&amp;
IF(LEN(BN22)&gt;0,"* "&amp;BN22&amp;CHAR(10),"")&amp;
IF(LEN(BO22)&gt;0,"* "&amp;BO22&amp;CHAR(10),"")</f>
        <v xml:space="preserve">* [Official site](https://ulrich-afra-anton.de)
</v>
      </c>
      <c r="BQ22" s="155" t="str">
        <f>IF(LEN(AK22)&gt;0,TRIM(CONCATENATE("[Link](",AK22,") ",AL22)),"")</f>
        <v/>
      </c>
      <c r="BR22" s="155" t="str">
        <f>IF(LEN(AM22)&gt;0,TRIM(CONCATENATE("[Link](",AM22,") ",AN22)),"")</f>
        <v/>
      </c>
      <c r="BS22" s="155" t="str">
        <f>IF(LEN(AO22)&gt;0,TRIM(CONCATENATE("[Link](",AO22,") ",AP22)),"")</f>
        <v/>
      </c>
      <c r="BT22" s="155" t="str">
        <f>IF(LEN(concat(BQ22:BS22))&gt;0,concat("| ",BQ22," | ",BR22," | ",BS22," |"),"")</f>
        <v/>
      </c>
      <c r="BU22" s="155" t="str">
        <f>IF(J22,concatl("| The Real Presence | Miracle Hunter | MaryPages |","| --- | --- | --- |",BT22),"")</f>
        <v/>
      </c>
      <c r="BV22" s="155" t="str">
        <f>IF(LEN(BP22&amp;BU22)&gt;0,concatll("#### More Information",BP22,BU22),"")</f>
        <v xml:space="preserve">#### More Information_x000D_
_x000D_
* [Official site](https://ulrich-afra-anton.de)
_x000D_
_x000D_
</v>
      </c>
      <c r="BW22" s="155" t="str">
        <f>IF(LEN(M22)&gt;1,concatll("#### Author's Note",M22),"")</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22" s="23" t="str">
        <f>IF(AR22,concatll(concatl("---",AS22:AU22,BK22,"---"),L22,BV22:BW22),"")</f>
        <v xml:space="preserve">---_x000D_
title: "Basilica of Sts. Ulrich and Afra"_x000D_
location: {lat: 48.3614792393351, lng: 10.9000712149692}_x000D_
interest: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22" s="23" t="str">
        <f>IF(AR22,VLOOKUP(B22,'(Ref) Countries'!A:B,2,)&amp;IF(LEN(C22)&gt;1,"-"&amp;LOWER(SUBSTITUTE(C22," ","-")),"")&amp;"-"&amp;LOWER(SUBSTITUTE(SUBSTITUTE(G22," ","-"),".",""))&amp;".md","")</f>
        <v>de-augsburg-basilica-of-sts-ulrich-and-afra.md</v>
      </c>
      <c r="BZ22" s="29" t="str">
        <f>IF(LEN(Y22)&gt;1,VLOOKUP(Y22,'Tag List'!$A:$B,2,),"")</f>
        <v>St. Ulrich</v>
      </c>
      <c r="CA22" s="29" t="str">
        <f>IF(LEN(Z22)&gt;1,VLOOKUP(Z22,'Tag List'!$A:$B,2,),"")</f>
        <v>St. Afra</v>
      </c>
      <c r="CB22" s="29" t="str">
        <f>IF(LEN(AA22)&gt;1,VLOOKUP(AA22,'Tag List'!$A:$B,2,),"")</f>
        <v>St. Simpert</v>
      </c>
      <c r="CC22" s="29" t="str">
        <f>IF(LEN(Y22)&gt;1,GetTagPage(BZ22,Y22),"")</f>
        <v>[St. Ulrich](/tags/ulrich)</v>
      </c>
      <c r="CD22" s="29" t="str">
        <f>IF(LEN(Z22)&gt;1,GetTagPage(CA22,Z22),"")</f>
        <v>[St. Afra](/tags/afra)</v>
      </c>
      <c r="CE22" s="29" t="str">
        <f>IF(LEN(AA22)&gt;1,GetTagPage(CB22,AA22),"")</f>
        <v>[St. Simpert](/tags/simpert)</v>
      </c>
      <c r="CF22" s="29" t="str">
        <f>"|"&amp;IF(LEN(CC22)&gt;1," "&amp;CC22,"")&amp;IF(LEN(CD22)&gt;1,", "&amp;CD22,"")&amp;IF(LEN(CE22)&gt;1,", "&amp;CE22,"")&amp;" "</f>
        <v xml:space="preserve">| [St. Ulrich](/tags/ulrich), [St. Afra](/tags/afra), [St. Simpert](/tags/simpert) </v>
      </c>
      <c r="CG22" s="29" t="str">
        <f>"| "&amp;IF(AR22,"["&amp;AI22&amp;"](/places/"&amp;SUBSTITUTE(BY22,".md","")&amp;")",AI22)&amp;" "</f>
        <v xml:space="preserve">| [](/places/de-augsburg-basilica-of-sts-ulrich-and-afra) </v>
      </c>
      <c r="CH22" s="29" t="str">
        <f>"| "&amp;IF(AR22,GetTagPage(B22,VLOOKUP(B22,'(Ref) Countries'!A:C,3,)),B22)&amp; " "</f>
        <v xml:space="preserve">| [Germany](/tags/germany) </v>
      </c>
      <c r="CI22" s="29" t="str">
        <f>"| "&amp;AJ22&amp;" "</f>
        <v xml:space="preserve">|  </v>
      </c>
      <c r="CJ22" s="29" t="str">
        <f>"|"&amp;IF(AR22," [Link](/places/"&amp;SUBSTITUTE(BY22,".md","")&amp;")","")&amp;" "</f>
        <v xml:space="preserve">| [Link](/places/de-augsburg-basilica-of-sts-ulrich-and-afra) </v>
      </c>
      <c r="CK22" s="29" t="str">
        <f>"
"&amp;CG22&amp;CH22&amp;CI22&amp;CJ22&amp;BL22&amp;BQ22&amp;BR22&amp;BS22&amp;CF22&amp;"|"</f>
        <v xml:space="preserve">
| [](/places/de-augsburg-basilica-of-sts-ulrich-and-afra) | [Germany](/tags/germany) |  | [Link](/places/de-augsburg-basilica-of-sts-ulrich-and-afra) [Official site](https://ulrich-afra-anton.de)| [St. Ulrich](/tags/ulrich), [St. Afra](/tags/afra), [St. Simpert](/tags/simpert) |</v>
      </c>
    </row>
    <row r="23" spans="1:89" ht="38.25" x14ac:dyDescent="0.25">
      <c r="A23" s="168" t="s">
        <v>1320</v>
      </c>
      <c r="B23" s="83" t="s">
        <v>572</v>
      </c>
      <c r="C23" s="83" t="s">
        <v>1862</v>
      </c>
      <c r="D23" s="15">
        <v>14.638171</v>
      </c>
      <c r="E23" s="49">
        <v>-91.229102999999995</v>
      </c>
      <c r="F23" s="83" t="s">
        <v>1860</v>
      </c>
      <c r="G23" s="90" t="s">
        <v>1861</v>
      </c>
      <c r="H23" s="83" t="s">
        <v>1759</v>
      </c>
      <c r="I23" s="83" t="b">
        <v>1</v>
      </c>
      <c r="K23" s="24" t="b">
        <v>1</v>
      </c>
      <c r="L23" s="83" t="s">
        <v>1865</v>
      </c>
      <c r="O23" s="15" t="s">
        <v>336</v>
      </c>
      <c r="Y23" s="91" t="s">
        <v>1863</v>
      </c>
      <c r="AR23" s="154" t="b">
        <f>IF(OR(A23="Done",A23="In Progress"),TRUE)</f>
        <v>1</v>
      </c>
      <c r="AS23" s="155" t="str">
        <f>"title: """&amp;F23&amp;""""</f>
        <v>title: "Church of St. James the Apostle (Iglesia Santiago Apostol)"</v>
      </c>
      <c r="AT23" s="155" t="str">
        <f>"location: {lat: "&amp;D23&amp;", lng: "&amp;E23&amp;"}"</f>
        <v>location: {lat: 14.638171, lng: -91.229103}</v>
      </c>
      <c r="AU23" s="155" t="str">
        <f>"interest: "&amp;H23</f>
        <v>interest: regional</v>
      </c>
      <c r="AV23" s="155" t="str">
        <f>"- "&amp;VLOOKUP(B23,'(Ref) Countries'!A:C,3,)</f>
        <v>- guatemala</v>
      </c>
      <c r="AW23" s="155" t="str">
        <f>IF(LEN(C23)&gt;1,"- "&amp;LOWER(SUBSTITUTE(C23," ","-")),"")</f>
        <v>- atitlan</v>
      </c>
      <c r="AX23" s="155" t="str">
        <f>IF(I23,"- churches","")</f>
        <v>- churches</v>
      </c>
      <c r="AY23" s="155" t="str">
        <f>IF(J23,"- marian-sites","")</f>
        <v/>
      </c>
      <c r="AZ23" s="155" t="str">
        <f>IF(K23,"- holy-persons","")</f>
        <v>- holy-persons</v>
      </c>
      <c r="BA23" s="155" t="str">
        <f>IF(LEN(Y23)&gt;0,"- "&amp;Y23,"")</f>
        <v>- stanley-rother</v>
      </c>
      <c r="BB23" s="155" t="str">
        <f>IF(LEN(Z23)&gt;0,"- "&amp;Z23,"")</f>
        <v/>
      </c>
      <c r="BC23" s="155" t="str">
        <f>IF(LEN(AA23)&gt;0,"- "&amp;AA23,"")</f>
        <v/>
      </c>
      <c r="BD23" s="155" t="str">
        <f>IF(LEN(AB23)&gt;0,"- "&amp;AB23,"")</f>
        <v/>
      </c>
      <c r="BE23" s="155" t="str">
        <f>IF(LEN(AC23)&gt;0,"- "&amp;AC23,"")</f>
        <v/>
      </c>
      <c r="BF23" s="155" t="str">
        <f>IF(LEN(AD23)&gt;0,"- "&amp;AD23,"")</f>
        <v/>
      </c>
      <c r="BG23" s="155" t="str">
        <f>IF(LEN(AE23)&gt;0,"- "&amp;AE23,"")</f>
        <v/>
      </c>
      <c r="BH23" s="155" t="str">
        <f>IF(LEN(AF23)&gt;0,"- "&amp;AF23,"")</f>
        <v/>
      </c>
      <c r="BI23" s="155" t="str">
        <f>IF(LEN(AG23)&gt;0,"- "&amp;AG23,"")</f>
        <v/>
      </c>
      <c r="BJ23" s="155" t="str">
        <f>IF(LEN(AH23)&gt;0,"- "&amp;AH23,"")</f>
        <v/>
      </c>
      <c r="BK23" s="155" t="str">
        <f>"tags:"&amp;CHAR(10)&amp;concatl(AV23:BJ23)</f>
        <v xml:space="preserve">tags:
- guatemala_x000D_
- atitlan_x000D_
- churches_x000D_
- holy-persons_x000D_
- stanley-rother_x000D_
</v>
      </c>
      <c r="BL23" s="155" t="str">
        <f>IF(LEN(N23)&gt;0,TRIM(CONCATENATE("[Official site](",N23,") ",O23)),"")</f>
        <v/>
      </c>
      <c r="BM23" s="155" t="str">
        <f>IF(LEN(Q23)&gt;0,TRIM(CONCATENATE("["&amp;P23&amp;"](",Q23,") ",R23)),"")</f>
        <v/>
      </c>
      <c r="BN23" s="155" t="str">
        <f>IF(LEN(T23)&gt;0,TRIM(CONCATENATE("["&amp;S23&amp;"](",T23,") ",U23)),"")</f>
        <v/>
      </c>
      <c r="BO23" s="155" t="str">
        <f>IF(LEN(W23)&gt;0,TRIM(CONCATENATE("["&amp;V23&amp;"](",W23,") ",X23)),"")</f>
        <v/>
      </c>
      <c r="BP23" s="155" t="str">
        <f>IF(LEN(BL23)&gt;0,"* "&amp;BL23&amp;CHAR(10),"")&amp;
IF(LEN(BM23)&gt;0,"* "&amp;BM23&amp;CHAR(10),"")&amp;
IF(LEN(BN23)&gt;0,"* "&amp;BN23&amp;CHAR(10),"")&amp;
IF(LEN(BO23)&gt;0,"* "&amp;BO23&amp;CHAR(10),"")</f>
        <v/>
      </c>
      <c r="BQ23" s="155" t="str">
        <f>IF(LEN(AK23)&gt;0,TRIM(CONCATENATE("[Link](",AK23,") ",AL23)),"")</f>
        <v/>
      </c>
      <c r="BR23" s="155" t="str">
        <f>IF(LEN(AM23)&gt;0,TRIM(CONCATENATE("[Link](",AM23,") ",AN23)),"")</f>
        <v/>
      </c>
      <c r="BS23" s="155" t="str">
        <f>IF(LEN(AO23)&gt;0,TRIM(CONCATENATE("[Link](",AO23,") ",AP23)),"")</f>
        <v/>
      </c>
      <c r="BT23" s="155" t="str">
        <f>IF(LEN(concat(BQ23:BS23))&gt;0,concat("| ",BQ23," | ",BR23," | ",BS23," |"),"")</f>
        <v/>
      </c>
      <c r="BU23" s="155" t="str">
        <f>IF(J23,concatl("| The Real Presence | Miracle Hunter | MaryPages |","| --- | --- | --- |",BT23),"")</f>
        <v/>
      </c>
      <c r="BV23" s="155" t="str">
        <f>IF(LEN(BP23&amp;BU23)&gt;0,concatll("#### More Information",BP23,BU23),"")</f>
        <v/>
      </c>
      <c r="BW23" s="155" t="str">
        <f>IF(LEN(M23)&gt;1,concatll("#### Author's Note",M23),"")</f>
        <v/>
      </c>
      <c r="BX23" s="23" t="str">
        <f>IF(AR23,concatll(concatl("---",AS23:AU23,BK23,"---"),L23,BV23:BW23),"")</f>
        <v xml:space="preserve">---_x000D_
title: "Church of St. James the Apostle (Iglesia Santiago Apostol)"_x000D_
location: {lat: 14.638171, lng: -91.229103}_x000D_
interest: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23" s="23" t="str">
        <f>IF(AR23,VLOOKUP(B23,'(Ref) Countries'!A:B,2,)&amp;IF(LEN(C23)&gt;1,"-"&amp;LOWER(SUBSTITUTE(C23," ","-")),"")&amp;"-"&amp;LOWER(SUBSTITUTE(SUBSTITUTE(G23," ","-"),".",""))&amp;".md","")</f>
        <v>gt-atitlan-iglesia-santiago-apostol.md</v>
      </c>
      <c r="BZ23" s="29" t="str">
        <f>IF(LEN(Y23)&gt;1,VLOOKUP(Y23,'Tag List'!$A:$B,2,),"")</f>
        <v>Bl. Stanley Rother</v>
      </c>
      <c r="CA23" s="29" t="str">
        <f>IF(LEN(Z23)&gt;1,VLOOKUP(Z23,'Tag List'!$A:$B,2,),"")</f>
        <v/>
      </c>
      <c r="CB23" s="29" t="str">
        <f>IF(LEN(AA23)&gt;1,VLOOKUP(AA23,'Tag List'!$A:$B,2,),"")</f>
        <v/>
      </c>
      <c r="CC23" s="29" t="str">
        <f>IF(LEN(Y23)&gt;1,GetTagPage(BZ23,Y23),"")</f>
        <v>[Bl. Stanley Rother](/tags/stanley-rother)</v>
      </c>
      <c r="CD23" s="29" t="str">
        <f>IF(LEN(Z23)&gt;1,GetTagPage(CA23,Z23),"")</f>
        <v/>
      </c>
      <c r="CE23" s="29" t="str">
        <f>IF(LEN(AA23)&gt;1,GetTagPage(CB23,AA23),"")</f>
        <v/>
      </c>
      <c r="CF23" s="29" t="str">
        <f>"|"&amp;IF(LEN(CC23)&gt;1," "&amp;CC23,"")&amp;IF(LEN(CD23)&gt;1,", "&amp;CD23,"")&amp;IF(LEN(CE23)&gt;1,", "&amp;CE23,"")&amp;" "</f>
        <v xml:space="preserve">| [Bl. Stanley Rother](/tags/stanley-rother) </v>
      </c>
      <c r="CG23" s="29" t="str">
        <f>"| "&amp;IF(AR23,"["&amp;AI23&amp;"](/places/"&amp;SUBSTITUTE(BY23,".md","")&amp;")",AI23)&amp;" "</f>
        <v xml:space="preserve">| [](/places/gt-atitlan-iglesia-santiago-apostol) </v>
      </c>
      <c r="CH23" s="29" t="str">
        <f>"| "&amp;IF(AR23,GetTagPage(B23,VLOOKUP(B23,'(Ref) Countries'!A:C,3,)),B23)&amp; " "</f>
        <v xml:space="preserve">| [Guatemala](/tags/guatemala) </v>
      </c>
      <c r="CI23" s="29" t="str">
        <f>"| "&amp;AJ23&amp;" "</f>
        <v xml:space="preserve">|  </v>
      </c>
      <c r="CJ23" s="29" t="str">
        <f>"|"&amp;IF(AR23," [Link](/places/"&amp;SUBSTITUTE(BY23,".md","")&amp;")","")&amp;" "</f>
        <v xml:space="preserve">| [Link](/places/gt-atitlan-iglesia-santiago-apostol) </v>
      </c>
      <c r="CK23" s="29" t="str">
        <f>"
"&amp;CG23&amp;CH23&amp;CI23&amp;CJ23&amp;BL23&amp;BQ23&amp;BR23&amp;BS23&amp;CF23&amp;"|"</f>
        <v xml:space="preserve">
| [](/places/gt-atitlan-iglesia-santiago-apostol) | [Guatemala](/tags/guatemala) |  | [Link](/places/gt-atitlan-iglesia-santiago-apostol) | [Bl. Stanley Rother](/tags/stanley-rother) |</v>
      </c>
    </row>
    <row r="24" spans="1:89" ht="63.75" x14ac:dyDescent="0.25">
      <c r="A24" s="168" t="s">
        <v>1320</v>
      </c>
      <c r="B24" s="32" t="s">
        <v>2</v>
      </c>
      <c r="C24" s="165"/>
      <c r="D24" s="15">
        <v>9.7544459999999997</v>
      </c>
      <c r="E24" s="49">
        <v>76.564819999999997</v>
      </c>
      <c r="F24" s="32" t="s">
        <v>1399</v>
      </c>
      <c r="G24" s="57" t="s">
        <v>1400</v>
      </c>
      <c r="H24" s="32" t="s">
        <v>1715</v>
      </c>
      <c r="I24" s="40" t="b">
        <v>1</v>
      </c>
      <c r="J24" s="165" t="b">
        <v>1</v>
      </c>
      <c r="K24" s="165"/>
      <c r="L24" s="24" t="s">
        <v>1397</v>
      </c>
      <c r="N24" s="16" t="s">
        <v>101</v>
      </c>
      <c r="O24" s="16" t="s">
        <v>336</v>
      </c>
      <c r="P24" s="59"/>
      <c r="Q24" s="16"/>
      <c r="R24" s="63"/>
      <c r="S24" s="59"/>
      <c r="T24" s="16"/>
      <c r="U24" s="63"/>
      <c r="V24" s="16"/>
      <c r="W24" s="16"/>
      <c r="X24" s="50"/>
      <c r="Y24" s="34" t="s">
        <v>1403</v>
      </c>
      <c r="Z24" s="34"/>
      <c r="AA24" s="34"/>
      <c r="AB24" s="34"/>
      <c r="AC24" s="34"/>
      <c r="AD24" s="34"/>
      <c r="AE24" s="34"/>
      <c r="AF24" s="34"/>
      <c r="AG24" s="34"/>
      <c r="AH24" s="34"/>
      <c r="AI24" s="85" t="s">
        <v>1398</v>
      </c>
      <c r="AJ24" s="86">
        <v>335</v>
      </c>
      <c r="AK24" s="33" t="s">
        <v>336</v>
      </c>
      <c r="AL24" s="15" t="s">
        <v>336</v>
      </c>
      <c r="AM24" s="16" t="s">
        <v>1401</v>
      </c>
      <c r="AN24" s="33" t="s">
        <v>1402</v>
      </c>
      <c r="AO24" s="33" t="s">
        <v>336</v>
      </c>
      <c r="AP24" s="51" t="s">
        <v>336</v>
      </c>
      <c r="AR24" s="154" t="b">
        <f>IF(OR(A24="Done",A24="In Progress"),TRUE)</f>
        <v>1</v>
      </c>
      <c r="AS24" s="155" t="str">
        <f>"title: """&amp;F24&amp;""""</f>
        <v>title: "Major Archiepiscopal Marth Mariam Archdeacon Pilgrim Church at Kuravilangad"</v>
      </c>
      <c r="AT24" s="155" t="str">
        <f>"location: {lat: "&amp;D24&amp;", lng: "&amp;E24&amp;"}"</f>
        <v>location: {lat: 9.754446, lng: 76.56482}</v>
      </c>
      <c r="AU24" s="155" t="str">
        <f>"interest: "&amp;H24</f>
        <v>interest: global</v>
      </c>
      <c r="AV24" s="155" t="str">
        <f>"- "&amp;VLOOKUP(B24,'(Ref) Countries'!A:C,3,)</f>
        <v>- india</v>
      </c>
      <c r="AW24" s="155" t="str">
        <f>IF(LEN(C24)&gt;1,"- "&amp;LOWER(SUBSTITUTE(C24," ","-")),"")</f>
        <v/>
      </c>
      <c r="AX24" s="155" t="str">
        <f>IF(I24,"- churches","")</f>
        <v>- churches</v>
      </c>
      <c r="AY24" s="155" t="str">
        <f>IF(J24,"- marian-sites","")</f>
        <v>- marian-sites</v>
      </c>
      <c r="AZ24" s="155" t="str">
        <f>IF(K24,"- holy-persons","")</f>
        <v/>
      </c>
      <c r="BA24" s="155" t="str">
        <f>IF(LEN(Y24)&gt;0,"- "&amp;Y24,"")</f>
        <v>- syro-malabar</v>
      </c>
      <c r="BB24" s="155" t="str">
        <f>IF(LEN(Z24)&gt;0,"- "&amp;Z24,"")</f>
        <v/>
      </c>
      <c r="BC24" s="155" t="str">
        <f>IF(LEN(AA24)&gt;0,"- "&amp;AA24,"")</f>
        <v/>
      </c>
      <c r="BD24" s="155" t="str">
        <f>IF(LEN(AB24)&gt;0,"- "&amp;AB24,"")</f>
        <v/>
      </c>
      <c r="BE24" s="155" t="str">
        <f>IF(LEN(AC24)&gt;0,"- "&amp;AC24,"")</f>
        <v/>
      </c>
      <c r="BF24" s="155" t="str">
        <f>IF(LEN(AD24)&gt;0,"- "&amp;AD24,"")</f>
        <v/>
      </c>
      <c r="BG24" s="155" t="str">
        <f>IF(LEN(AE24)&gt;0,"- "&amp;AE24,"")</f>
        <v/>
      </c>
      <c r="BH24" s="155" t="str">
        <f>IF(LEN(AF24)&gt;0,"- "&amp;AF24,"")</f>
        <v/>
      </c>
      <c r="BI24" s="155" t="str">
        <f>IF(LEN(AG24)&gt;0,"- "&amp;AG24,"")</f>
        <v/>
      </c>
      <c r="BJ24" s="155" t="str">
        <f>IF(LEN(AH24)&gt;0,"- "&amp;AH24,"")</f>
        <v/>
      </c>
      <c r="BK24" s="155" t="str">
        <f>"tags:"&amp;CHAR(10)&amp;concatl(AV24:BJ24)</f>
        <v xml:space="preserve">tags:
- india_x000D_
- churches_x000D_
- marian-sites_x000D_
- syro-malabar_x000D_
</v>
      </c>
      <c r="BL24" s="158" t="str">
        <f>IF(LEN(N24)&gt;0,TRIM(CONCATENATE("[Official site](",N24,") ",O24)),"")</f>
        <v>[Official site](http://kuravilangadpally.com/)</v>
      </c>
      <c r="BM24" s="158" t="str">
        <f>IF(LEN(Q24)&gt;0,TRIM(CONCATENATE("["&amp;P24&amp;"](",Q24,") ",R24)),"")</f>
        <v/>
      </c>
      <c r="BN24" s="158" t="str">
        <f>IF(LEN(T24)&gt;0,TRIM(CONCATENATE("["&amp;S24&amp;"](",T24,") ",U24)),"")</f>
        <v/>
      </c>
      <c r="BO24" s="158" t="str">
        <f>IF(LEN(W24)&gt;0,TRIM(CONCATENATE("["&amp;V24&amp;"](",W24,") ",X24)),"")</f>
        <v/>
      </c>
      <c r="BP24" s="158" t="str">
        <f>IF(LEN(BL24)&gt;0,"* "&amp;BL24&amp;CHAR(10),"")&amp;
IF(LEN(BM24)&gt;0,"* "&amp;BM24&amp;CHAR(10),"")&amp;
IF(LEN(BN24)&gt;0,"* "&amp;BN24&amp;CHAR(10),"")&amp;
IF(LEN(BO24)&gt;0,"* "&amp;BO24&amp;CHAR(10),"")</f>
        <v xml:space="preserve">* [Official site](http://kuravilangadpally.com/)
</v>
      </c>
      <c r="BQ24" s="158" t="str">
        <f>IF(LEN(AK24)&gt;0,TRIM(CONCATENATE("[Link](",AK24,") ",AL24)),"")</f>
        <v/>
      </c>
      <c r="BR24" s="158" t="str">
        <f>IF(LEN(AM24)&gt;0,TRIM(CONCATENATE("[Link](",AM24,") ",AN24)),"")</f>
        <v>[Link](https://www.miraclehunter.com/marian_apparitions/approved_apparitions/apparitions_0040-0999.html) (Search "Kuravilangad")</v>
      </c>
      <c r="BS24" s="158" t="str">
        <f>IF(LEN(AO24)&gt;0,TRIM(CONCATENATE("[Link](",AO24,") ",AP24)),"")</f>
        <v/>
      </c>
      <c r="BT24" s="158" t="str">
        <f>IF(LEN(concat(BQ24:BS24))&gt;0,concat("| ",BQ24," | ",BR24," | ",BS24," |"),"")</f>
        <v>|  | [Link](https://www.miraclehunter.com/marian_apparitions/approved_apparitions/apparitions_0040-0999.html) (Search "Kuravilangad") |  |</v>
      </c>
      <c r="BU24" s="155" t="str">
        <f>IF(J24,concatl("| The Real Presence | Miracle Hunter | MaryPages |","| --- | --- | --- |",BT24),"")</f>
        <v xml:space="preserve">| The Real Presence | Miracle Hunter | MaryPages |_x000D_
| --- | --- | --- |_x000D_
|  | [Link](https://www.miraclehunter.com/marian_apparitions/approved_apparitions/apparitions_0040-0999.html) (Search "Kuravilangad") |  |_x000D_
</v>
      </c>
      <c r="BV24" s="155" t="str">
        <f>IF(LEN(BP24&amp;BU24)&gt;0,concatll("#### More Information",BP24,BU24),"")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24" s="155" t="str">
        <f>IF(LEN(M24)&gt;1,concatll("#### Author's Note",M24),"")</f>
        <v/>
      </c>
      <c r="BX24" s="23" t="str">
        <f>IF(AR24,concatll(concatl("---",AS24:AU24,BK24,"---"),L24,BV24:BW24),"")</f>
        <v xml:space="preserve">---_x000D_
title: "Major Archiepiscopal Marth Mariam Archdeacon Pilgrim Church at Kuravilangad"_x000D_
location: {lat: 9.754446, lng: 76.56482}_x000D_
interest: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24" s="23" t="str">
        <f>IF(AR24,VLOOKUP(B24,'(Ref) Countries'!A:B,2,)&amp;IF(LEN(C24)&gt;1,"-"&amp;LOWER(SUBSTITUTE(C24," ","-")),"")&amp;"-"&amp;LOWER(SUBSTITUTE(SUBSTITUTE(G24," ","-"),".",""))&amp;".md","")</f>
        <v>in-marth-mariam-archdeacon-pilgrim-church-at-kuravilangad.md</v>
      </c>
      <c r="BZ24" s="29" t="str">
        <f>IF(LEN(Y24)&gt;1,VLOOKUP(Y24,'Tag List'!$A:$B,2,),"")</f>
        <v>Syro-Malabar Church</v>
      </c>
      <c r="CA24" s="29" t="str">
        <f>IF(LEN(Z24)&gt;1,VLOOKUP(Z24,'Tag List'!$A:$B,2,),"")</f>
        <v/>
      </c>
      <c r="CB24" s="29" t="str">
        <f>IF(LEN(AA24)&gt;1,VLOOKUP(AA24,'Tag List'!$A:$B,2,),"")</f>
        <v/>
      </c>
      <c r="CC24" s="30" t="str">
        <f>IF(LEN(Y24)&gt;1,GetTagPage(BZ24,Y24),"")</f>
        <v>[Syro-Malabar Church](/tags/syro-malabar)</v>
      </c>
      <c r="CD24" s="30" t="str">
        <f>IF(LEN(Z24)&gt;1,GetTagPage(CA24,Z24),"")</f>
        <v/>
      </c>
      <c r="CE24" s="30" t="str">
        <f>IF(LEN(AA24)&gt;1,GetTagPage(CB24,AA24),"")</f>
        <v/>
      </c>
      <c r="CF24" s="30" t="str">
        <f>"|"&amp;IF(LEN(CC24)&gt;1," "&amp;CC24,"")&amp;IF(LEN(CD24)&gt;1,", "&amp;CD24,"")&amp;IF(LEN(CE24)&gt;1,", "&amp;CE24,"")&amp;" "</f>
        <v xml:space="preserve">| [Syro-Malabar Church](/tags/syro-malabar) </v>
      </c>
      <c r="CG24" s="30" t="str">
        <f>"| "&amp;IF(AR24,"["&amp;AI24&amp;"](/places/"&amp;SUBSTITUTE(BY24,".md","")&amp;")",AI24)&amp;" "</f>
        <v xml:space="preserve">| [Kuravilangad](/places/in-marth-mariam-archdeacon-pilgrim-church-at-kuravilangad) </v>
      </c>
      <c r="CH24" s="30" t="str">
        <f>"| "&amp;IF(AR24,GetTagPage(B24,VLOOKUP(B24,'(Ref) Countries'!A:C,3,)),B24)&amp; " "</f>
        <v xml:space="preserve">| [India](/tags/india) </v>
      </c>
      <c r="CI24" s="30" t="str">
        <f>"| "&amp;AJ24&amp;" "</f>
        <v xml:space="preserve">| 335 </v>
      </c>
      <c r="CJ24" s="30" t="str">
        <f>"|"&amp;IF(AR24," [Link](/places/"&amp;SUBSTITUTE(BY24,".md","")&amp;")","")&amp;" "</f>
        <v xml:space="preserve">| [Link](/places/in-marth-mariam-archdeacon-pilgrim-church-at-kuravilangad) </v>
      </c>
      <c r="CK24" s="29" t="str">
        <f>"
"&amp;CG24&amp;CH24&amp;CI24&amp;CJ24&amp;BL24&amp;BQ24&amp;BR24&amp;BS24&amp;CF24&amp;"|"</f>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25" spans="1:89" ht="63.75" x14ac:dyDescent="0.25">
      <c r="A25" s="168" t="s">
        <v>1320</v>
      </c>
      <c r="B25" s="24" t="s">
        <v>2</v>
      </c>
      <c r="D25" s="15">
        <v>10.6803068</v>
      </c>
      <c r="E25" s="49">
        <v>79.849313699999996</v>
      </c>
      <c r="F25" s="40" t="s">
        <v>1711</v>
      </c>
      <c r="G25" s="54" t="s">
        <v>1704</v>
      </c>
      <c r="H25" s="40" t="s">
        <v>1715</v>
      </c>
      <c r="I25" s="40" t="b">
        <v>1</v>
      </c>
      <c r="J25" s="24" t="b">
        <v>1</v>
      </c>
      <c r="L25" s="40" t="s">
        <v>1709</v>
      </c>
      <c r="M25" s="54" t="s">
        <v>1744</v>
      </c>
      <c r="N25" s="25" t="s">
        <v>1706</v>
      </c>
      <c r="O25" s="15" t="s">
        <v>336</v>
      </c>
      <c r="Y25" s="15" t="s">
        <v>336</v>
      </c>
      <c r="AI25" s="85" t="s">
        <v>1218</v>
      </c>
      <c r="AJ25" s="86" t="s">
        <v>1096</v>
      </c>
      <c r="AK25" s="15" t="s">
        <v>222</v>
      </c>
      <c r="AL25" s="15" t="s">
        <v>336</v>
      </c>
      <c r="AM25" s="25" t="s">
        <v>1708</v>
      </c>
      <c r="AN25" s="15" t="s">
        <v>336</v>
      </c>
      <c r="AO25" s="15" t="s">
        <v>1710</v>
      </c>
      <c r="AP25" s="49" t="s">
        <v>336</v>
      </c>
      <c r="AR25" s="154" t="b">
        <f>IF(OR(A25="Done",A25="In Progress"),TRUE)</f>
        <v>1</v>
      </c>
      <c r="AS25" s="155" t="str">
        <f>"title: """&amp;F25&amp;""""</f>
        <v>title: "Basilica of Our Lady of Good Health (Our Lady of Velankanni)"</v>
      </c>
      <c r="AT25" s="155" t="str">
        <f>"location: {lat: "&amp;D25&amp;", lng: "&amp;E25&amp;"}"</f>
        <v>location: {lat: 10.6803068, lng: 79.8493137}</v>
      </c>
      <c r="AU25" s="155" t="str">
        <f>"interest: "&amp;H25</f>
        <v>interest: global</v>
      </c>
      <c r="AV25" s="155" t="str">
        <f>"- "&amp;VLOOKUP(B25,'(Ref) Countries'!A:C,3,)</f>
        <v>- india</v>
      </c>
      <c r="AW25" s="155" t="str">
        <f>IF(LEN(C25)&gt;1,"- "&amp;LOWER(SUBSTITUTE(C25," ","-")),"")</f>
        <v/>
      </c>
      <c r="AX25" s="155" t="str">
        <f>IF(I25,"- churches","")</f>
        <v>- churches</v>
      </c>
      <c r="AY25" s="155" t="str">
        <f>IF(J25,"- marian-sites","")</f>
        <v>- marian-sites</v>
      </c>
      <c r="AZ25" s="155" t="str">
        <f>IF(K25,"- holy-persons","")</f>
        <v/>
      </c>
      <c r="BA25" s="155" t="str">
        <f>IF(LEN(Y25)&gt;0,"- "&amp;Y25,"")</f>
        <v/>
      </c>
      <c r="BB25" s="155" t="str">
        <f>IF(LEN(Z25)&gt;0,"- "&amp;Z25,"")</f>
        <v/>
      </c>
      <c r="BC25" s="155" t="str">
        <f>IF(LEN(AA25)&gt;0,"- "&amp;AA25,"")</f>
        <v/>
      </c>
      <c r="BD25" s="155" t="str">
        <f>IF(LEN(AB25)&gt;0,"- "&amp;AB25,"")</f>
        <v/>
      </c>
      <c r="BE25" s="155" t="str">
        <f>IF(LEN(AC25)&gt;0,"- "&amp;AC25,"")</f>
        <v/>
      </c>
      <c r="BF25" s="155" t="str">
        <f>IF(LEN(AD25)&gt;0,"- "&amp;AD25,"")</f>
        <v/>
      </c>
      <c r="BG25" s="155" t="str">
        <f>IF(LEN(AE25)&gt;0,"- "&amp;AE25,"")</f>
        <v/>
      </c>
      <c r="BH25" s="155" t="str">
        <f>IF(LEN(AF25)&gt;0,"- "&amp;AF25,"")</f>
        <v/>
      </c>
      <c r="BI25" s="155" t="str">
        <f>IF(LEN(AG25)&gt;0,"- "&amp;AG25,"")</f>
        <v/>
      </c>
      <c r="BJ25" s="155" t="str">
        <f>IF(LEN(AH25)&gt;0,"- "&amp;AH25,"")</f>
        <v/>
      </c>
      <c r="BK25" s="155" t="str">
        <f>"tags:"&amp;CHAR(10)&amp;concatl(AV25:BJ25)</f>
        <v xml:space="preserve">tags:
- india_x000D_
- churches_x000D_
- marian-sites_x000D_
</v>
      </c>
      <c r="BL25" s="158" t="str">
        <f>IF(LEN(N25)&gt;0,TRIM(CONCATENATE("[Official site](",N25,") ",O25)),"")</f>
        <v>[Official site](https://www.velankannichurch.com/)</v>
      </c>
      <c r="BM25" s="158" t="str">
        <f>IF(LEN(Q25)&gt;0,TRIM(CONCATENATE("["&amp;P25&amp;"](",Q25,") ",R25)),"")</f>
        <v/>
      </c>
      <c r="BN25" s="158" t="str">
        <f>IF(LEN(T25)&gt;0,TRIM(CONCATENATE("["&amp;S25&amp;"](",T25,") ",U25)),"")</f>
        <v/>
      </c>
      <c r="BO25" s="158" t="str">
        <f>IF(LEN(W25)&gt;0,TRIM(CONCATENATE("["&amp;V25&amp;"](",W25,") ",X25)),"")</f>
        <v/>
      </c>
      <c r="BP25" s="158" t="str">
        <f>IF(LEN(BL25)&gt;0,"* "&amp;BL25&amp;CHAR(10),"")&amp;
IF(LEN(BM25)&gt;0,"* "&amp;BM25&amp;CHAR(10),"")&amp;
IF(LEN(BN25)&gt;0,"* "&amp;BN25&amp;CHAR(10),"")&amp;
IF(LEN(BO25)&gt;0,"* "&amp;BO25&amp;CHAR(10),"")</f>
        <v xml:space="preserve">* [Official site](https://www.velankannichurch.com/)
</v>
      </c>
      <c r="BQ25" s="158" t="str">
        <f>IF(LEN(AK25)&gt;0,TRIM(CONCATENATE("[Link](",AK25,") ",AL25)),"")</f>
        <v>[Link](http://www.therealpresence.org/eucharst/misc/BVM/32_VAILANKANNI_60x96.pdf)</v>
      </c>
      <c r="BR25" s="158" t="str">
        <f>IF(LEN(AM25)&gt;0,TRIM(CONCATENATE("[Link](",AM25,") ",AN25)),"")</f>
        <v>[Link](https://www.miraclehunter.com/marian_apparitions/approved_apparitions/vailankanni/)</v>
      </c>
      <c r="BS25" s="158" t="str">
        <f>IF(LEN(AO25)&gt;0,TRIM(CONCATENATE("[Link](",AO25,") ",AP25)),"")</f>
        <v>[Link](https://www.marypages.com/vailankanni-(india)-en.html)</v>
      </c>
      <c r="BT25" s="158" t="str">
        <f>IF(LEN(concat(BQ25:BS25))&gt;0,concat("| ",BQ25," | ",BR25," | ",BS25," |"),"")</f>
        <v>| [Link](http://www.therealpresence.org/eucharst/misc/BVM/32_VAILANKANNI_60x96.pdf) | [Link](https://www.miraclehunter.com/marian_apparitions/approved_apparitions/vailankanni/) | [Link](https://www.marypages.com/vailankanni-(india)-en.html) |</v>
      </c>
      <c r="BU25" s="155" t="str">
        <f>IF(J25,concatl("| The Real Presence | Miracle Hunter | MaryPages |","| --- | --- | --- |",BT25),"")</f>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25" s="155" t="str">
        <f>IF(LEN(BP25&amp;BU25)&gt;0,concatll("#### More Information",BP25,BU25),"")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25" s="155" t="str">
        <f>IF(LEN(M25)&gt;1,concatll("#### Author's Note",M25),"")</f>
        <v xml:space="preserve">#### Author's Note_x000D_
_x000D_
An Indonesian parish of the same name also has a [good history](https://velangkanni.com/en/about-annai-velangkanni/) of the apparition.
-NDS_x000D_
_x000D_
</v>
      </c>
      <c r="BX25" s="23" t="str">
        <f>IF(AR25,concatll(concatl("---",AS25:AU25,BK25,"---"),L25,BV25:BW25),"")</f>
        <v xml:space="preserve">---_x000D_
title: "Basilica of Our Lady of Good Health (Our Lady of Velankanni)"_x000D_
location: {lat: 10.6803068, lng: 79.8493137}_x000D_
interest: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25" s="23" t="str">
        <f>IF(AR25,VLOOKUP(B25,'(Ref) Countries'!A:B,2,)&amp;IF(LEN(C25)&gt;1,"-"&amp;LOWER(SUBSTITUTE(C25," ","-")),"")&amp;"-"&amp;LOWER(SUBSTITUTE(SUBSTITUTE(G25," ","-"),".",""))&amp;".md","")</f>
        <v>in-basilica-of-our-lady-of-good-health.md</v>
      </c>
      <c r="BZ25" s="29" t="str">
        <f>IF(LEN(Y25)&gt;1,VLOOKUP(Y25,'Tag List'!$A:$B,2,),"")</f>
        <v/>
      </c>
      <c r="CA25" s="29" t="str">
        <f>IF(LEN(Z25)&gt;1,VLOOKUP(Z25,'Tag List'!$A:$B,2,),"")</f>
        <v/>
      </c>
      <c r="CB25" s="29" t="str">
        <f>IF(LEN(AA25)&gt;1,VLOOKUP(AA25,'Tag List'!$A:$B,2,),"")</f>
        <v/>
      </c>
      <c r="CC25" s="30" t="str">
        <f>IF(LEN(Y25)&gt;1,GetTagPage(BZ25,Y25),"")</f>
        <v/>
      </c>
      <c r="CD25" s="30" t="str">
        <f>IF(LEN(Z25)&gt;1,GetTagPage(CA25,Z25),"")</f>
        <v/>
      </c>
      <c r="CE25" s="30" t="str">
        <f>IF(LEN(AA25)&gt;1,GetTagPage(CB25,AA25),"")</f>
        <v/>
      </c>
      <c r="CF25" s="30" t="str">
        <f>"|"&amp;IF(LEN(CC25)&gt;1," "&amp;CC25,"")&amp;IF(LEN(CD25)&gt;1,", "&amp;CD25,"")&amp;IF(LEN(CE25)&gt;1,", "&amp;CE25,"")&amp;" "</f>
        <v xml:space="preserve">| </v>
      </c>
      <c r="CG25" s="30" t="str">
        <f>"| "&amp;IF(AR25,"["&amp;AI25&amp;"](/places/"&amp;SUBSTITUTE(BY25,".md","")&amp;")",AI25)&amp;" "</f>
        <v xml:space="preserve">| [Vailankanni](/places/in-basilica-of-our-lady-of-good-health) </v>
      </c>
      <c r="CH25" s="30" t="str">
        <f>"| "&amp;IF(AR25,GetTagPage(B25,VLOOKUP(B25,'(Ref) Countries'!A:C,3,)),B25)&amp; " "</f>
        <v xml:space="preserve">| [India](/tags/india) </v>
      </c>
      <c r="CI25" s="30" t="str">
        <f>"| "&amp;AJ25&amp;" "</f>
        <v xml:space="preserve">| 16th Century </v>
      </c>
      <c r="CJ25" s="30" t="str">
        <f>"|"&amp;IF(AR25," [Link](/places/"&amp;SUBSTITUTE(BY25,".md","")&amp;")","")&amp;" "</f>
        <v xml:space="preserve">| [Link](/places/in-basilica-of-our-lady-of-good-health) </v>
      </c>
      <c r="CK25" s="29" t="str">
        <f>"
"&amp;CG25&amp;CH25&amp;CI25&amp;CJ25&amp;BL25&amp;BQ25&amp;BR25&amp;BS25&amp;CF25&amp;"|"</f>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89" ht="38.25" x14ac:dyDescent="0.25">
      <c r="A26" s="168" t="s">
        <v>1320</v>
      </c>
      <c r="B26" s="24" t="s">
        <v>2</v>
      </c>
      <c r="C26" s="24" t="s">
        <v>2436</v>
      </c>
      <c r="D26" s="15">
        <v>15.391251440231599</v>
      </c>
      <c r="E26" s="49">
        <v>73.903795958225004</v>
      </c>
      <c r="F26" s="24" t="s">
        <v>2437</v>
      </c>
      <c r="G26" s="53" t="s">
        <v>2488</v>
      </c>
      <c r="H26" s="24" t="s">
        <v>1825</v>
      </c>
      <c r="I26" s="24" t="b">
        <v>1</v>
      </c>
      <c r="K26" s="24" t="b">
        <v>1</v>
      </c>
      <c r="L26" s="116" t="s">
        <v>2442</v>
      </c>
      <c r="N26" s="15" t="s">
        <v>2441</v>
      </c>
      <c r="O26" s="15" t="s">
        <v>336</v>
      </c>
      <c r="P26" s="60" t="s">
        <v>2440</v>
      </c>
      <c r="Q26" s="15" t="s">
        <v>2438</v>
      </c>
      <c r="R26" s="64" t="s">
        <v>336</v>
      </c>
      <c r="Y26" s="15" t="s">
        <v>2439</v>
      </c>
      <c r="Z26" s="122" t="s">
        <v>2443</v>
      </c>
      <c r="AR26" s="154" t="b">
        <f>IF(OR(A26="Done",A26="In Progress"),TRUE)</f>
        <v>1</v>
      </c>
      <c r="AS26" s="155" t="str">
        <f>"title: """&amp;F26&amp;""""</f>
        <v>title: "Sanctuary of St. Joseph Vaz"</v>
      </c>
      <c r="AT26" s="155" t="str">
        <f>"location: {lat: "&amp;D26&amp;", lng: "&amp;E26&amp;"}"</f>
        <v>location: {lat: 15.3912514402316, lng: 73.903795958225}</v>
      </c>
      <c r="AU26" s="155" t="str">
        <f>"interest: "&amp;H26</f>
        <v>interest: local</v>
      </c>
      <c r="AV26" s="155" t="str">
        <f>"- "&amp;VLOOKUP(B26,'(Ref) Countries'!A:C,3,)</f>
        <v>- india</v>
      </c>
      <c r="AW26" s="155" t="str">
        <f>IF(LEN(C26)&gt;1,"- "&amp;LOWER(SUBSTITUTE(C26," ","-")),"")</f>
        <v>- goa</v>
      </c>
      <c r="AX26" s="155" t="str">
        <f>IF(I26,"- churches","")</f>
        <v>- churches</v>
      </c>
      <c r="AY26" s="155" t="str">
        <f>IF(J26,"- marian-sites","")</f>
        <v/>
      </c>
      <c r="AZ26" s="155" t="str">
        <f>IF(K26,"- holy-persons","")</f>
        <v>- holy-persons</v>
      </c>
      <c r="BA26" s="155" t="str">
        <f>IF(LEN(Y26)&gt;0,"- "&amp;Y26,"")</f>
        <v>- joseph-vaz</v>
      </c>
      <c r="BB26" s="155" t="str">
        <f>IF(LEN(Z26)&gt;0,"- "&amp;Z26,"")</f>
        <v>- oratorians</v>
      </c>
      <c r="BC26" s="155" t="str">
        <f>IF(LEN(AA26)&gt;0,"- "&amp;AA26,"")</f>
        <v/>
      </c>
      <c r="BD26" s="155" t="str">
        <f>IF(LEN(AB26)&gt;0,"- "&amp;AB26,"")</f>
        <v/>
      </c>
      <c r="BE26" s="155" t="str">
        <f>IF(LEN(AC26)&gt;0,"- "&amp;AC26,"")</f>
        <v/>
      </c>
      <c r="BF26" s="155" t="str">
        <f>IF(LEN(AD26)&gt;0,"- "&amp;AD26,"")</f>
        <v/>
      </c>
      <c r="BG26" s="155" t="str">
        <f>IF(LEN(AE26)&gt;0,"- "&amp;AE26,"")</f>
        <v/>
      </c>
      <c r="BH26" s="155" t="str">
        <f>IF(LEN(AF26)&gt;0,"- "&amp;AF26,"")</f>
        <v/>
      </c>
      <c r="BI26" s="155" t="str">
        <f>IF(LEN(AG26)&gt;0,"- "&amp;AG26,"")</f>
        <v/>
      </c>
      <c r="BJ26" s="155" t="str">
        <f>IF(LEN(AH26)&gt;0,"- "&amp;AH26,"")</f>
        <v/>
      </c>
      <c r="BK26" s="155" t="str">
        <f>"tags:"&amp;CHAR(10)&amp;concatl(AV26:BJ26)</f>
        <v xml:space="preserve">tags:
- india_x000D_
- goa_x000D_
- churches_x000D_
- holy-persons_x000D_
- joseph-vaz_x000D_
- oratorians_x000D_
</v>
      </c>
      <c r="BL26" s="155" t="str">
        <f>IF(LEN(N26)&gt;0,TRIM(CONCATENATE("[Official site](",N26,") ",O26)),"")</f>
        <v>[Official site](https://blessedjosephvaz.org/sanctuary.htm)</v>
      </c>
      <c r="BM26" s="155" t="str">
        <f>IF(LEN(Q26)&gt;0,TRIM(CONCATENATE("["&amp;P26&amp;"](",Q26,") ",R26)),"")</f>
        <v>[Missionary Oblates of Mary Immaculate biography](https://www.omiworld.org/our-charism/our-saints/non-oblate-causes/saint-joseph-vaz-1651-1711/biography/)</v>
      </c>
      <c r="BN26" s="155" t="str">
        <f>IF(LEN(T26)&gt;0,TRIM(CONCATENATE("["&amp;S26&amp;"](",T26,") ",U26)),"")</f>
        <v/>
      </c>
      <c r="BO26" s="155" t="str">
        <f>IF(LEN(W26)&gt;0,TRIM(CONCATENATE("["&amp;V26&amp;"](",W26,") ",X26)),"")</f>
        <v/>
      </c>
      <c r="BP26" s="155" t="str">
        <f>IF(LEN(BL26)&gt;0,"* "&amp;BL26&amp;CHAR(10),"")&amp;
IF(LEN(BM26)&gt;0,"* "&amp;BM26&amp;CHAR(10),"")&amp;
IF(LEN(BN26)&gt;0,"* "&amp;BN26&amp;CHAR(10),"")&amp;
IF(LEN(BO26)&gt;0,"* "&amp;BO26&amp;CHAR(10),"")</f>
        <v xml:space="preserve">* [Official site](https://blessedjosephvaz.org/sanctuary.htm)
* [Missionary Oblates of Mary Immaculate biography](https://www.omiworld.org/our-charism/our-saints/non-oblate-causes/saint-joseph-vaz-1651-1711/biography/)
</v>
      </c>
      <c r="BQ26" s="155" t="str">
        <f>IF(LEN(AK26)&gt;0,TRIM(CONCATENATE("[Link](",AK26,") ",AL26)),"")</f>
        <v/>
      </c>
      <c r="BR26" s="155" t="str">
        <f>IF(LEN(AM26)&gt;0,TRIM(CONCATENATE("[Link](",AM26,") ",AN26)),"")</f>
        <v/>
      </c>
      <c r="BS26" s="155" t="str">
        <f>IF(LEN(AO26)&gt;0,TRIM(CONCATENATE("[Link](",AO26,") ",AP26)),"")</f>
        <v/>
      </c>
      <c r="BT26" s="155" t="str">
        <f>IF(LEN(concat(BQ26:BS26))&gt;0,concat("| ",BQ26," | ",BR26," | ",BS26," |"),"")</f>
        <v/>
      </c>
      <c r="BU26" s="155" t="str">
        <f>IF(J26,concatl("| The Real Presence | Miracle Hunter | MaryPages |","| --- | --- | --- |",BT26),"")</f>
        <v/>
      </c>
      <c r="BV26" s="155" t="str">
        <f>IF(LEN(BP26&amp;BU26)&gt;0,concatll("#### More Information",BP26,BU26),"")</f>
        <v xml:space="preserve">#### More Information_x000D_
_x000D_
* [Official site](https://blessedjosephvaz.org/sanctuary.htm)
* [Missionary Oblates of Mary Immaculate biography](https://www.omiworld.org/our-charism/our-saints/non-oblate-causes/saint-joseph-vaz-1651-1711/biography/)
_x000D_
_x000D_
</v>
      </c>
      <c r="BW26" s="155" t="str">
        <f>IF(LEN(M26)&gt;1,concatll("#### Author's Note",M26),"")</f>
        <v/>
      </c>
      <c r="BX26" s="23" t="str">
        <f>IF(AR26,concatll(concatl("---",AS26:AU26,BK26,"---"),L26,BV26:BW26),"")</f>
        <v xml:space="preserve">---_x000D_
title: "Sanctuary of St. Joseph Vaz"_x000D_
location: {lat: 15.3912514402316, lng: 73.903795958225}_x000D_
interest: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BY26" s="23" t="str">
        <f>IF(AR26,VLOOKUP(B26,'(Ref) Countries'!A:B,2,)&amp;IF(LEN(C26)&gt;1,"-"&amp;LOWER(SUBSTITUTE(C26," ","-")),"")&amp;"-"&amp;LOWER(SUBSTITUTE(SUBSTITUTE(G26," ","-"),".",""))&amp;".md","")</f>
        <v>in-goa-st-joseph-vaz.md</v>
      </c>
      <c r="BZ26" s="29" t="str">
        <f>IF(LEN(Y26)&gt;1,VLOOKUP(Y26,'Tag List'!$A:$B,2,),"")</f>
        <v>St. Joseph Vaz, CO</v>
      </c>
      <c r="CA26" s="29" t="str">
        <f>IF(LEN(Z26)&gt;1,VLOOKUP(Z26,'Tag List'!$A:$B,2,),"")</f>
        <v>Oratory of St. Philip Neri (Oratorians)</v>
      </c>
      <c r="CB26" s="29" t="str">
        <f>IF(LEN(AA26)&gt;1,VLOOKUP(AA26,'Tag List'!$A:$B,2,),"")</f>
        <v/>
      </c>
      <c r="CC26" s="29" t="str">
        <f>IF(LEN(Y26)&gt;1,GetTagPage(BZ26,Y26),"")</f>
        <v>[St. Joseph Vaz, CO](/tags/joseph-vaz)</v>
      </c>
      <c r="CD26" s="29" t="str">
        <f>IF(LEN(Z26)&gt;1,GetTagPage(CA26,Z26),"")</f>
        <v>[Oratory of St. Philip Neri (Oratorians)](/tags/oratorians)</v>
      </c>
      <c r="CE26" s="29" t="str">
        <f>IF(LEN(AA26)&gt;1,GetTagPage(CB26,AA26),"")</f>
        <v/>
      </c>
      <c r="CF26" s="29" t="str">
        <f>"|"&amp;IF(LEN(CC26)&gt;1," "&amp;CC26,"")&amp;IF(LEN(CD26)&gt;1,", "&amp;CD26,"")&amp;IF(LEN(CE26)&gt;1,", "&amp;CE26,"")&amp;" "</f>
        <v xml:space="preserve">| [St. Joseph Vaz, CO](/tags/joseph-vaz), [Oratory of St. Philip Neri (Oratorians)](/tags/oratorians) </v>
      </c>
      <c r="CG26" s="29" t="str">
        <f>"| "&amp;IF(AR26,"["&amp;AI26&amp;"](/places/"&amp;SUBSTITUTE(BY26,".md","")&amp;")",AI26)&amp;" "</f>
        <v xml:space="preserve">| [](/places/in-goa-st-joseph-vaz) </v>
      </c>
      <c r="CH26" s="29" t="str">
        <f>"| "&amp;IF(AR26,GetTagPage(B26,VLOOKUP(B26,'(Ref) Countries'!A:C,3,)),B26)&amp; " "</f>
        <v xml:space="preserve">| [India](/tags/india) </v>
      </c>
      <c r="CI26" s="29" t="str">
        <f>"| "&amp;AJ26&amp;" "</f>
        <v xml:space="preserve">|  </v>
      </c>
      <c r="CJ26" s="29" t="str">
        <f>"|"&amp;IF(AR26," [Link](/places/"&amp;SUBSTITUTE(BY26,".md","")&amp;")","")&amp;" "</f>
        <v xml:space="preserve">| [Link](/places/in-goa-st-joseph-vaz) </v>
      </c>
      <c r="CK26" s="29" t="str">
        <f>"
"&amp;CG26&amp;CH26&amp;CI26&amp;CJ26&amp;BL26&amp;BQ26&amp;BR26&amp;BS26&amp;CF26&amp;"|"</f>
        <v xml:space="preserve">
| [](/places/in-goa-st-joseph-vaz) | [India](/tags/india) |  | [Link](/places/in-goa-st-joseph-vaz) [Official site](https://blessedjosephvaz.org/sanctuary.htm)| [St. Joseph Vaz, CO](/tags/joseph-vaz), [Oratory of St. Philip Neri (Oratorians)](/tags/oratorians) |</v>
      </c>
    </row>
    <row r="27" spans="1:89" ht="102" x14ac:dyDescent="0.25">
      <c r="A27" s="168" t="s">
        <v>1320</v>
      </c>
      <c r="B27" s="24" t="s">
        <v>583</v>
      </c>
      <c r="D27" s="15">
        <v>53.792756199999999</v>
      </c>
      <c r="E27" s="49">
        <v>-8.9189810000000005</v>
      </c>
      <c r="F27" s="24" t="s">
        <v>348</v>
      </c>
      <c r="G27" s="53" t="s">
        <v>404</v>
      </c>
      <c r="H27" s="24" t="s">
        <v>1715</v>
      </c>
      <c r="I27" s="40" t="b">
        <v>1</v>
      </c>
      <c r="J27" s="24" t="b">
        <v>1</v>
      </c>
      <c r="L27" s="24" t="s">
        <v>1000</v>
      </c>
      <c r="M27" s="55" t="s">
        <v>1739</v>
      </c>
      <c r="N27" s="15" t="s">
        <v>349</v>
      </c>
      <c r="O27" s="15" t="s">
        <v>336</v>
      </c>
      <c r="Y27" s="36" t="s">
        <v>336</v>
      </c>
      <c r="Z27" s="36"/>
      <c r="AA27" s="36"/>
      <c r="AB27" s="36"/>
      <c r="AC27" s="36"/>
      <c r="AD27" s="36"/>
      <c r="AE27" s="36"/>
      <c r="AF27" s="36"/>
      <c r="AG27" s="36"/>
      <c r="AH27" s="36"/>
      <c r="AI27" s="85" t="s">
        <v>993</v>
      </c>
      <c r="AJ27" s="86">
        <v>1879</v>
      </c>
      <c r="AK27" s="15" t="s">
        <v>301</v>
      </c>
      <c r="AL27" s="15" t="s">
        <v>336</v>
      </c>
      <c r="AM27" s="15" t="s">
        <v>351</v>
      </c>
      <c r="AN27" s="15" t="s">
        <v>336</v>
      </c>
      <c r="AO27" s="15" t="s">
        <v>352</v>
      </c>
      <c r="AP27" s="49" t="s">
        <v>336</v>
      </c>
      <c r="AR27" s="154" t="b">
        <f>IF(OR(A27="Done",A27="In Progress"),TRUE)</f>
        <v>1</v>
      </c>
      <c r="AS27" s="155" t="str">
        <f>"title: """&amp;F27&amp;""""</f>
        <v>title: "Knock Shrine (Our Lady of Knock)"</v>
      </c>
      <c r="AT27" s="155" t="str">
        <f>"location: {lat: "&amp;D27&amp;", lng: "&amp;E27&amp;"}"</f>
        <v>location: {lat: 53.7927562, lng: -8.918981}</v>
      </c>
      <c r="AU27" s="155" t="str">
        <f>"interest: "&amp;H27</f>
        <v>interest: global</v>
      </c>
      <c r="AV27" s="155" t="str">
        <f>"- "&amp;VLOOKUP(B27,'(Ref) Countries'!A:C,3,)</f>
        <v>- ireland</v>
      </c>
      <c r="AW27" s="155" t="str">
        <f>IF(LEN(C27)&gt;1,"- "&amp;LOWER(SUBSTITUTE(C27," ","-")),"")</f>
        <v/>
      </c>
      <c r="AX27" s="155" t="str">
        <f>IF(I27,"- churches","")</f>
        <v>- churches</v>
      </c>
      <c r="AY27" s="155" t="str">
        <f>IF(J27,"- marian-sites","")</f>
        <v>- marian-sites</v>
      </c>
      <c r="AZ27" s="155" t="str">
        <f>IF(K27,"- holy-persons","")</f>
        <v/>
      </c>
      <c r="BA27" s="155" t="str">
        <f>IF(LEN(Y27)&gt;0,"- "&amp;Y27,"")</f>
        <v/>
      </c>
      <c r="BB27" s="155" t="str">
        <f>IF(LEN(Z27)&gt;0,"- "&amp;Z27,"")</f>
        <v/>
      </c>
      <c r="BC27" s="155" t="str">
        <f>IF(LEN(AA27)&gt;0,"- "&amp;AA27,"")</f>
        <v/>
      </c>
      <c r="BD27" s="155" t="str">
        <f>IF(LEN(AB27)&gt;0,"- "&amp;AB27,"")</f>
        <v/>
      </c>
      <c r="BE27" s="155" t="str">
        <f>IF(LEN(AC27)&gt;0,"- "&amp;AC27,"")</f>
        <v/>
      </c>
      <c r="BF27" s="155" t="str">
        <f>IF(LEN(AD27)&gt;0,"- "&amp;AD27,"")</f>
        <v/>
      </c>
      <c r="BG27" s="155" t="str">
        <f>IF(LEN(AE27)&gt;0,"- "&amp;AE27,"")</f>
        <v/>
      </c>
      <c r="BH27" s="155" t="str">
        <f>IF(LEN(AF27)&gt;0,"- "&amp;AF27,"")</f>
        <v/>
      </c>
      <c r="BI27" s="155" t="str">
        <f>IF(LEN(AG27)&gt;0,"- "&amp;AG27,"")</f>
        <v/>
      </c>
      <c r="BJ27" s="155" t="str">
        <f>IF(LEN(AH27)&gt;0,"- "&amp;AH27,"")</f>
        <v/>
      </c>
      <c r="BK27" s="155" t="str">
        <f>"tags:"&amp;CHAR(10)&amp;concatl(AV27:BJ27)</f>
        <v xml:space="preserve">tags:
- ireland_x000D_
- churches_x000D_
- marian-sites_x000D_
</v>
      </c>
      <c r="BL27" s="158" t="str">
        <f>IF(LEN(N27)&gt;0,TRIM(CONCATENATE("[Official site](",N27,") ",O27)),"")</f>
        <v>[Official site](https://www.knockshrine.ie/)</v>
      </c>
      <c r="BM27" s="158" t="str">
        <f>IF(LEN(Q27)&gt;0,TRIM(CONCATENATE("["&amp;P27&amp;"](",Q27,") ",R27)),"")</f>
        <v/>
      </c>
      <c r="BN27" s="158" t="str">
        <f>IF(LEN(T27)&gt;0,TRIM(CONCATENATE("["&amp;S27&amp;"](",T27,") ",U27)),"")</f>
        <v/>
      </c>
      <c r="BO27" s="158" t="str">
        <f>IF(LEN(W27)&gt;0,TRIM(CONCATENATE("["&amp;V27&amp;"](",W27,") ",X27)),"")</f>
        <v/>
      </c>
      <c r="BP27" s="158" t="str">
        <f>IF(LEN(BL27)&gt;0,"* "&amp;BL27&amp;CHAR(10),"")&amp;
IF(LEN(BM27)&gt;0,"* "&amp;BM27&amp;CHAR(10),"")&amp;
IF(LEN(BN27)&gt;0,"* "&amp;BN27&amp;CHAR(10),"")&amp;
IF(LEN(BO27)&gt;0,"* "&amp;BO27&amp;CHAR(10),"")</f>
        <v xml:space="preserve">* [Official site](https://www.knockshrine.ie/)
</v>
      </c>
      <c r="BQ27" s="158" t="str">
        <f>IF(LEN(AK27)&gt;0,TRIM(CONCATENATE("[Link](",AK27,") ",AL27)),"")</f>
        <v>[Link](http://www.therealpresence.org/eucharst/misc/BVM/63_KNOCK_60x96.pdf)</v>
      </c>
      <c r="BR27" s="158" t="str">
        <f>IF(LEN(AM27)&gt;0,TRIM(CONCATENATE("[Link](",AM27,") ",AN27)),"")</f>
        <v>[Link](http://www.miraclehunter.com/marian_apparitions/approved_apparitions/knock/index.html)</v>
      </c>
      <c r="BS27" s="158" t="str">
        <f>IF(LEN(AO27)&gt;0,TRIM(CONCATENATE("[Link](",AO27,") ",AP27)),"")</f>
        <v>[Link](https://www.marypages.com/knock-(ireland)-en.html)</v>
      </c>
      <c r="BT27" s="158" t="str">
        <f>IF(LEN(concat(BQ27:BS27))&gt;0,concat("| ",BQ27," | ",BR27," | ",BS27," |"),"")</f>
        <v>| [Link](http://www.therealpresence.org/eucharst/misc/BVM/63_KNOCK_60x96.pdf) | [Link](http://www.miraclehunter.com/marian_apparitions/approved_apparitions/knock/index.html) | [Link](https://www.marypages.com/knock-(ireland)-en.html) |</v>
      </c>
      <c r="BU27" s="155" t="str">
        <f>IF(J27,concatl("| The Real Presence | Miracle Hunter | MaryPages |","| --- | --- | --- |",BT27),"")</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27" s="155" t="str">
        <f>IF(LEN(BP27&amp;BU27)&gt;0,concatll("#### More Information",BP27,BU27),"")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27" s="155" t="str">
        <f>IF(LEN(M27)&gt;1,concatll("#### Author's Note",M27),"")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27" s="23" t="str">
        <f>IF(AR27,concatll(concatl("---",AS27:AU27,BK27,"---"),L27,BV27:BW27),"")</f>
        <v xml:space="preserve">---_x000D_
title: "Knock Shrine (Our Lady of Knock)"_x000D_
location: {lat: 53.7927562, lng: -8.918981}_x000D_
interest: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27" s="23" t="str">
        <f>IF(AR27,VLOOKUP(B27,'(Ref) Countries'!A:B,2,)&amp;IF(LEN(C27)&gt;1,"-"&amp;LOWER(SUBSTITUTE(C27," ","-")),"")&amp;"-"&amp;LOWER(SUBSTITUTE(SUBSTITUTE(G27," ","-"),".",""))&amp;".md","")</f>
        <v>ie-knock-shrine.md</v>
      </c>
      <c r="BZ27" s="38" t="str">
        <f>IF(LEN(Y27)&gt;1,VLOOKUP(Y27,'Tag List'!$A:$B,2,),"")</f>
        <v/>
      </c>
      <c r="CA27" s="38" t="str">
        <f>IF(LEN(Z27)&gt;1,VLOOKUP(Z27,'Tag List'!$A:$B,2,),"")</f>
        <v/>
      </c>
      <c r="CB27" s="38" t="str">
        <f>IF(LEN(AA27)&gt;1,VLOOKUP(AA27,'Tag List'!$A:$B,2,),"")</f>
        <v/>
      </c>
      <c r="CC27" s="30" t="str">
        <f>IF(LEN(Y27)&gt;1,GetTagPage(BZ27,Y27),"")</f>
        <v/>
      </c>
      <c r="CD27" s="30" t="str">
        <f>IF(LEN(Z27)&gt;1,GetTagPage(CA27,Z27),"")</f>
        <v/>
      </c>
      <c r="CE27" s="30" t="str">
        <f>IF(LEN(AA27)&gt;1,GetTagPage(CB27,AA27),"")</f>
        <v/>
      </c>
      <c r="CF27" s="30" t="str">
        <f>"|"&amp;IF(LEN(CC27)&gt;1," "&amp;CC27,"")&amp;IF(LEN(CD27)&gt;1,", "&amp;CD27,"")&amp;IF(LEN(CE27)&gt;1,", "&amp;CE27,"")&amp;" "</f>
        <v xml:space="preserve">| </v>
      </c>
      <c r="CG27" s="30" t="str">
        <f>"| "&amp;IF(AR27,"["&amp;AI27&amp;"](/places/"&amp;SUBSTITUTE(BY27,".md","")&amp;")",AI27)&amp;" "</f>
        <v xml:space="preserve">| [Knock](/places/ie-knock-shrine) </v>
      </c>
      <c r="CH27" s="30" t="str">
        <f>"| "&amp;IF(AR27,GetTagPage(B27,VLOOKUP(B27,'(Ref) Countries'!A:C,3,)),B27)&amp; " "</f>
        <v xml:space="preserve">| [Ireland](/tags/ireland) </v>
      </c>
      <c r="CI27" s="30" t="str">
        <f>"| "&amp;AJ27&amp;" "</f>
        <v xml:space="preserve">| 1879 </v>
      </c>
      <c r="CJ27" s="30" t="str">
        <f>"|"&amp;IF(AR27," [Link](/places/"&amp;SUBSTITUTE(BY27,".md","")&amp;")","")&amp;" "</f>
        <v xml:space="preserve">| [Link](/places/ie-knock-shrine) </v>
      </c>
      <c r="CK27" s="29" t="str">
        <f>"
"&amp;CG27&amp;CH27&amp;CI27&amp;CJ27&amp;BL27&amp;BQ27&amp;BR27&amp;BS27&amp;CF27&amp;"|"</f>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28" spans="1:89" ht="102" x14ac:dyDescent="0.25">
      <c r="A28" s="168" t="s">
        <v>1320</v>
      </c>
      <c r="B28" s="27" t="s">
        <v>11</v>
      </c>
      <c r="C28" s="45" t="s">
        <v>1002</v>
      </c>
      <c r="D28" s="15">
        <v>41.897293109963897</v>
      </c>
      <c r="E28" s="49">
        <v>12.4989743434214</v>
      </c>
      <c r="F28" s="24" t="s">
        <v>175</v>
      </c>
      <c r="G28" s="53" t="s">
        <v>729</v>
      </c>
      <c r="H28" s="24" t="s">
        <v>1715</v>
      </c>
      <c r="I28" s="40" t="b">
        <v>1</v>
      </c>
      <c r="J28" s="24" t="b">
        <v>1</v>
      </c>
      <c r="L28" s="24" t="s">
        <v>338</v>
      </c>
      <c r="N28" s="15" t="s">
        <v>176</v>
      </c>
      <c r="O28" s="15" t="s">
        <v>336</v>
      </c>
      <c r="Y28" s="36" t="s">
        <v>998</v>
      </c>
      <c r="Z28" s="37"/>
      <c r="AA28" s="36"/>
      <c r="AB28" s="36"/>
      <c r="AC28" s="36"/>
      <c r="AD28" s="36"/>
      <c r="AE28" s="36"/>
      <c r="AF28" s="36"/>
      <c r="AG28" s="36"/>
      <c r="AH28" s="36"/>
      <c r="AI28" s="85" t="s">
        <v>1309</v>
      </c>
      <c r="AJ28" s="86">
        <v>352</v>
      </c>
      <c r="AK28" s="15" t="s">
        <v>181</v>
      </c>
      <c r="AL28" s="15" t="s">
        <v>336</v>
      </c>
      <c r="AM28" s="15" t="s">
        <v>103</v>
      </c>
      <c r="AN28" s="15" t="s">
        <v>336</v>
      </c>
      <c r="AO28" s="15" t="s">
        <v>177</v>
      </c>
      <c r="AP28" s="49" t="s">
        <v>336</v>
      </c>
      <c r="AR28" s="154" t="b">
        <f>IF(OR(A28="Done",A28="In Progress"),TRUE)</f>
        <v>1</v>
      </c>
      <c r="AS28" s="155" t="str">
        <f>"title: """&amp;F28&amp;""""</f>
        <v>title: "Santa Maria Maggiore (Our Lady of the Snows)"</v>
      </c>
      <c r="AT28" s="155" t="str">
        <f>"location: {lat: "&amp;D28&amp;", lng: "&amp;E28&amp;"}"</f>
        <v>location: {lat: 41.8972931099639, lng: 12.4989743434214}</v>
      </c>
      <c r="AU28" s="155" t="str">
        <f>"interest: "&amp;H28</f>
        <v>interest: global</v>
      </c>
      <c r="AV28" s="155" t="str">
        <f>"- "&amp;VLOOKUP(B28,'(Ref) Countries'!A:C,3,)</f>
        <v>- italy</v>
      </c>
      <c r="AW28" s="155" t="str">
        <f>IF(LEN(C28)&gt;1,"- "&amp;LOWER(SUBSTITUTE(C28," ","-")),"")</f>
        <v>- rome</v>
      </c>
      <c r="AX28" s="155" t="str">
        <f>IF(I28,"- churches","")</f>
        <v>- churches</v>
      </c>
      <c r="AY28" s="155" t="str">
        <f>IF(J28,"- marian-sites","")</f>
        <v>- marian-sites</v>
      </c>
      <c r="AZ28" s="155" t="str">
        <f>IF(K28,"- holy-persons","")</f>
        <v/>
      </c>
      <c r="BA28" s="155" t="str">
        <f>IF(LEN(Y28)&gt;0,"- "&amp;Y28,"")</f>
        <v>- papal-basilicas</v>
      </c>
      <c r="BB28" s="155" t="str">
        <f>IF(LEN(Z28)&gt;0,"- "&amp;Z28,"")</f>
        <v/>
      </c>
      <c r="BC28" s="155" t="str">
        <f>IF(LEN(AA28)&gt;0,"- "&amp;AA28,"")</f>
        <v/>
      </c>
      <c r="BD28" s="155" t="str">
        <f>IF(LEN(AB28)&gt;0,"- "&amp;AB28,"")</f>
        <v/>
      </c>
      <c r="BE28" s="155" t="str">
        <f>IF(LEN(AC28)&gt;0,"- "&amp;AC28,"")</f>
        <v/>
      </c>
      <c r="BF28" s="155" t="str">
        <f>IF(LEN(AD28)&gt;0,"- "&amp;AD28,"")</f>
        <v/>
      </c>
      <c r="BG28" s="155" t="str">
        <f>IF(LEN(AE28)&gt;0,"- "&amp;AE28,"")</f>
        <v/>
      </c>
      <c r="BH28" s="155" t="str">
        <f>IF(LEN(AF28)&gt;0,"- "&amp;AF28,"")</f>
        <v/>
      </c>
      <c r="BI28" s="155" t="str">
        <f>IF(LEN(AG28)&gt;0,"- "&amp;AG28,"")</f>
        <v/>
      </c>
      <c r="BJ28" s="155" t="str">
        <f>IF(LEN(AH28)&gt;0,"- "&amp;AH28,"")</f>
        <v/>
      </c>
      <c r="BK28" s="155" t="str">
        <f>"tags:"&amp;CHAR(10)&amp;concatl(AV28:BJ28)</f>
        <v xml:space="preserve">tags:
- italy_x000D_
- rome_x000D_
- churches_x000D_
- marian-sites_x000D_
- papal-basilicas_x000D_
</v>
      </c>
      <c r="BL28" s="158" t="str">
        <f>IF(LEN(N28)&gt;0,TRIM(CONCATENATE("[Official site](",N28,") ",O28)),"")</f>
        <v>[Official site](https://www.vatican.va/various/basiliche/sm_maggiore/index_en.html)</v>
      </c>
      <c r="BM28" s="158" t="str">
        <f>IF(LEN(Q28)&gt;0,TRIM(CONCATENATE("["&amp;P28&amp;"](",Q28,") ",R28)),"")</f>
        <v/>
      </c>
      <c r="BN28" s="158" t="str">
        <f>IF(LEN(T28)&gt;0,TRIM(CONCATENATE("["&amp;S28&amp;"](",T28,") ",U28)),"")</f>
        <v/>
      </c>
      <c r="BO28" s="158" t="str">
        <f>IF(LEN(W28)&gt;0,TRIM(CONCATENATE("["&amp;V28&amp;"](",W28,") ",X28)),"")</f>
        <v/>
      </c>
      <c r="BP28" s="158" t="str">
        <f>IF(LEN(BL28)&gt;0,"* "&amp;BL28&amp;CHAR(10),"")&amp;
IF(LEN(BM28)&gt;0,"* "&amp;BM28&amp;CHAR(10),"")&amp;
IF(LEN(BN28)&gt;0,"* "&amp;BN28&amp;CHAR(10),"")&amp;
IF(LEN(BO28)&gt;0,"* "&amp;BO28&amp;CHAR(10),"")</f>
        <v xml:space="preserve">* [Official site](https://www.vatican.va/various/basiliche/sm_maggiore/index_en.html)
</v>
      </c>
      <c r="BQ28" s="158" t="str">
        <f>IF(LEN(AK28)&gt;0,TRIM(CONCATENATE("[Link](",AK28,") ",AL28)),"")</f>
        <v>[Link](http://www.therealpresence.org/eucharst/misc/BVM/117_ROMA_60x96.pdf)</v>
      </c>
      <c r="BR28" s="158" t="str">
        <f>IF(LEN(AM28)&gt;0,TRIM(CONCATENATE("[Link](",AM28,") ",AN28)),"")</f>
        <v>[Link](https://www.miraclehunter.com/marian_apparitions/approved_apparitions/rome/index.html)</v>
      </c>
      <c r="BS28" s="158" t="str">
        <f>IF(LEN(AO28)&gt;0,TRIM(CONCATENATE("[Link](",AO28,") ",AP28)),"")</f>
        <v>[Link](https://www.marypages.com/our-lady-of-the-snows-en.html)</v>
      </c>
      <c r="BT28" s="158" t="str">
        <f>IF(LEN(concat(BQ28:BS28))&gt;0,concat("| ",BQ28," | ",BR28," | ",BS28," |"),"")</f>
        <v>| [Link](http://www.therealpresence.org/eucharst/misc/BVM/117_ROMA_60x96.pdf) | [Link](https://www.miraclehunter.com/marian_apparitions/approved_apparitions/rome/index.html) | [Link](https://www.marypages.com/our-lady-of-the-snows-en.html) |</v>
      </c>
      <c r="BU28" s="155" t="str">
        <f>IF(J28,concatl("| The Real Presence | Miracle Hunter | MaryPages |","| --- | --- | --- |",BT28),"")</f>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28" s="155" t="str">
        <f>IF(LEN(BP28&amp;BU28)&gt;0,concatll("#### More Information",BP28,BU28),"")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28" s="155" t="str">
        <f>IF(LEN(M28)&gt;1,concatll("#### Author's Note",M28),"")</f>
        <v/>
      </c>
      <c r="BX28" s="23" t="str">
        <f>IF(AR28,concatll(concatl("---",AS28:AU28,BK28,"---"),L28,BV28:BW28),"")</f>
        <v xml:space="preserve">---_x000D_
title: "Santa Maria Maggiore (Our Lady of the Snows)"_x000D_
location: {lat: 41.8972931099639, lng: 12.4989743434214}_x000D_
interest: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28" s="23" t="str">
        <f>IF(AR28,VLOOKUP(B28,'(Ref) Countries'!A:B,2,)&amp;IF(LEN(C28)&gt;1,"-"&amp;LOWER(SUBSTITUTE(C28," ","-")),"")&amp;"-"&amp;LOWER(SUBSTITUTE(SUBSTITUTE(G28," ","-"),".",""))&amp;".md","")</f>
        <v>it-rome-s-maria-maggiore.md</v>
      </c>
      <c r="BZ28" s="38" t="str">
        <f>IF(LEN(Y28)&gt;1,VLOOKUP(Y28,'Tag List'!$A:$B,2,),"")</f>
        <v>Papal Basilicas</v>
      </c>
      <c r="CA28" s="38" t="str">
        <f>IF(LEN(Z28)&gt;1,VLOOKUP(Z28,'Tag List'!$A:$B,2,),"")</f>
        <v/>
      </c>
      <c r="CB28" s="38" t="str">
        <f>IF(LEN(AA28)&gt;1,VLOOKUP(AA28,'Tag List'!$A:$B,2,),"")</f>
        <v/>
      </c>
      <c r="CC28" s="30" t="str">
        <f>IF(LEN(Y28)&gt;1,GetTagPage(BZ28,Y28),"")</f>
        <v>[Papal Basilicas](/tags/papal-basilicas)</v>
      </c>
      <c r="CD28" s="30" t="str">
        <f>IF(LEN(Z28)&gt;1,GetTagPage(CA28,Z28),"")</f>
        <v/>
      </c>
      <c r="CE28" s="30" t="str">
        <f>IF(LEN(AA28)&gt;1,GetTagPage(CB28,AA28),"")</f>
        <v/>
      </c>
      <c r="CF28" s="30" t="str">
        <f>"|"&amp;IF(LEN(CC28)&gt;1," "&amp;CC28,"")&amp;IF(LEN(CD28)&gt;1,", "&amp;CD28,"")&amp;IF(LEN(CE28)&gt;1,", "&amp;CE28,"")&amp;" "</f>
        <v xml:space="preserve">| [Papal Basilicas](/tags/papal-basilicas) </v>
      </c>
      <c r="CG28" s="30" t="str">
        <f>"| "&amp;IF(AR28,"["&amp;AI28&amp;"](/places/"&amp;SUBSTITUTE(BY28,".md","")&amp;")",AI28)&amp;" "</f>
        <v xml:space="preserve">| [Rome (Santa Maria Maggiore)](/places/it-rome-s-maria-maggiore) </v>
      </c>
      <c r="CH28" s="30" t="str">
        <f>"| "&amp;IF(AR28,GetTagPage(B28,VLOOKUP(B28,'(Ref) Countries'!A:C,3,)),B28)&amp; " "</f>
        <v xml:space="preserve">| [Italy](/tags/italy) </v>
      </c>
      <c r="CI28" s="30" t="str">
        <f>"| "&amp;AJ28&amp;" "</f>
        <v xml:space="preserve">| 352 </v>
      </c>
      <c r="CJ28" s="30" t="str">
        <f>"|"&amp;IF(AR28," [Link](/places/"&amp;SUBSTITUTE(BY28,".md","")&amp;")","")&amp;" "</f>
        <v xml:space="preserve">| [Link](/places/it-rome-s-maria-maggiore) </v>
      </c>
      <c r="CK28" s="29" t="str">
        <f>"
"&amp;CG28&amp;CH28&amp;CI28&amp;CJ28&amp;BL28&amp;BQ28&amp;BR28&amp;BS28&amp;CF28&amp;"|"</f>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29" spans="1:89" ht="76.5" x14ac:dyDescent="0.25">
      <c r="A29" s="168" t="s">
        <v>1320</v>
      </c>
      <c r="B29" s="24" t="s">
        <v>11</v>
      </c>
      <c r="D29" s="15">
        <v>45.523673865207101</v>
      </c>
      <c r="E29" s="49">
        <v>10.3142692079531</v>
      </c>
      <c r="F29" s="83" t="s">
        <v>1883</v>
      </c>
      <c r="G29" s="53" t="s">
        <v>1883</v>
      </c>
      <c r="H29" s="24" t="s">
        <v>1715</v>
      </c>
      <c r="I29" s="40" t="b">
        <v>1</v>
      </c>
      <c r="J29" s="24" t="b">
        <v>1</v>
      </c>
      <c r="L29" s="24" t="s">
        <v>1358</v>
      </c>
      <c r="N29" s="15" t="s">
        <v>1362</v>
      </c>
      <c r="O29" s="15" t="s">
        <v>336</v>
      </c>
      <c r="Y29" s="15" t="s">
        <v>336</v>
      </c>
      <c r="AI29" s="85" t="s">
        <v>1361</v>
      </c>
      <c r="AJ29" s="86" t="s">
        <v>1311</v>
      </c>
      <c r="AK29" s="15" t="s">
        <v>199</v>
      </c>
      <c r="AL29" s="15" t="s">
        <v>336</v>
      </c>
      <c r="AM29" s="15" t="s">
        <v>1359</v>
      </c>
      <c r="AN29" s="15" t="s">
        <v>1360</v>
      </c>
      <c r="AO29" s="15" t="s">
        <v>336</v>
      </c>
      <c r="AP29" s="49" t="s">
        <v>336</v>
      </c>
      <c r="AR29" s="154" t="b">
        <f>IF(OR(A29="Done",A29="In Progress"),TRUE)</f>
        <v>1</v>
      </c>
      <c r="AS29" s="155" t="str">
        <f>"title: """&amp;F29&amp;""""</f>
        <v>title: "Sanctuary of Our Lady of Valverde"</v>
      </c>
      <c r="AT29" s="155" t="str">
        <f>"location: {lat: "&amp;D29&amp;", lng: "&amp;E29&amp;"}"</f>
        <v>location: {lat: 45.5236738652071, lng: 10.3142692079531}</v>
      </c>
      <c r="AU29" s="155" t="str">
        <f>"interest: "&amp;H29</f>
        <v>interest: global</v>
      </c>
      <c r="AV29" s="155" t="str">
        <f>"- "&amp;VLOOKUP(B29,'(Ref) Countries'!A:C,3,)</f>
        <v>- italy</v>
      </c>
      <c r="AW29" s="155" t="str">
        <f>IF(LEN(C29)&gt;1,"- "&amp;LOWER(SUBSTITUTE(C29," ","-")),"")</f>
        <v/>
      </c>
      <c r="AX29" s="155" t="str">
        <f>IF(I29,"- churches","")</f>
        <v>- churches</v>
      </c>
      <c r="AY29" s="155" t="str">
        <f>IF(J29,"- marian-sites","")</f>
        <v>- marian-sites</v>
      </c>
      <c r="AZ29" s="155" t="str">
        <f>IF(K29,"- holy-persons","")</f>
        <v/>
      </c>
      <c r="BA29" s="155" t="str">
        <f>IF(LEN(Y29)&gt;0,"- "&amp;Y29,"")</f>
        <v/>
      </c>
      <c r="BB29" s="155" t="str">
        <f>IF(LEN(Z29)&gt;0,"- "&amp;Z29,"")</f>
        <v/>
      </c>
      <c r="BC29" s="155" t="str">
        <f>IF(LEN(AA29)&gt;0,"- "&amp;AA29,"")</f>
        <v/>
      </c>
      <c r="BD29" s="155" t="str">
        <f>IF(LEN(AB29)&gt;0,"- "&amp;AB29,"")</f>
        <v/>
      </c>
      <c r="BE29" s="155" t="str">
        <f>IF(LEN(AC29)&gt;0,"- "&amp;AC29,"")</f>
        <v/>
      </c>
      <c r="BF29" s="155" t="str">
        <f>IF(LEN(AD29)&gt;0,"- "&amp;AD29,"")</f>
        <v/>
      </c>
      <c r="BG29" s="155" t="str">
        <f>IF(LEN(AE29)&gt;0,"- "&amp;AE29,"")</f>
        <v/>
      </c>
      <c r="BH29" s="155" t="str">
        <f>IF(LEN(AF29)&gt;0,"- "&amp;AF29,"")</f>
        <v/>
      </c>
      <c r="BI29" s="155" t="str">
        <f>IF(LEN(AG29)&gt;0,"- "&amp;AG29,"")</f>
        <v/>
      </c>
      <c r="BJ29" s="155" t="str">
        <f>IF(LEN(AH29)&gt;0,"- "&amp;AH29,"")</f>
        <v/>
      </c>
      <c r="BK29" s="155" t="str">
        <f>"tags:"&amp;CHAR(10)&amp;concatl(AV29:BJ29)</f>
        <v xml:space="preserve">tags:
- italy_x000D_
- churches_x000D_
- marian-sites_x000D_
</v>
      </c>
      <c r="BL29" s="158" t="str">
        <f>IF(LEN(N29)&gt;0,TRIM(CONCATENATE("[Official site](",N29,") ",O29)),"")</f>
        <v>[Official site](https://www.uprezzatovirle.it/santuario-valverde)</v>
      </c>
      <c r="BM29" s="158" t="str">
        <f>IF(LEN(Q29)&gt;0,TRIM(CONCATENATE("["&amp;P29&amp;"](",Q29,") ",R29)),"")</f>
        <v/>
      </c>
      <c r="BN29" s="158" t="str">
        <f>IF(LEN(T29)&gt;0,TRIM(CONCATENATE("["&amp;S29&amp;"](",T29,") ",U29)),"")</f>
        <v/>
      </c>
      <c r="BO29" s="158" t="str">
        <f>IF(LEN(W29)&gt;0,TRIM(CONCATENATE("["&amp;V29&amp;"](",W29,") ",X29)),"")</f>
        <v/>
      </c>
      <c r="BP29" s="158" t="str">
        <f>IF(LEN(BL29)&gt;0,"* "&amp;BL29&amp;CHAR(10),"")&amp;
IF(LEN(BM29)&gt;0,"* "&amp;BM29&amp;CHAR(10),"")&amp;
IF(LEN(BN29)&gt;0,"* "&amp;BN29&amp;CHAR(10),"")&amp;
IF(LEN(BO29)&gt;0,"* "&amp;BO29&amp;CHAR(10),"")</f>
        <v xml:space="preserve">* [Official site](https://www.uprezzatovirle.it/santuario-valverde)
</v>
      </c>
      <c r="BQ29" s="158" t="str">
        <f>IF(LEN(AK29)&gt;0,TRIM(CONCATENATE("[Link](",AK29,") ",AL29)),"")</f>
        <v>[Link](http://www.therealpresence.org/eucharst/misc/BVM/13_VALVERDE_60x96.pdf)</v>
      </c>
      <c r="BR29" s="158" t="str">
        <f>IF(LEN(AM29)&gt;0,TRIM(CONCATENATE("[Link](",AM29,") ",AN29)),"")</f>
        <v>[Link](https://www.miraclehunter.com/marian_apparitions/approved_apparitions/apparitions_1700-1799.html) (Search for "Valverde")</v>
      </c>
      <c r="BS29" s="158" t="str">
        <f>IF(LEN(AO29)&gt;0,TRIM(CONCATENATE("[Link](",AO29,") ",AP29)),"")</f>
        <v/>
      </c>
      <c r="BT29" s="158" t="str">
        <f>IF(LEN(concat(BQ29:BS29))&gt;0,concat("| ",BQ29," | ",BR29," | ",BS29," |"),"")</f>
        <v>| [Link](http://www.therealpresence.org/eucharst/misc/BVM/13_VALVERDE_60x96.pdf) | [Link](https://www.miraclehunter.com/marian_apparitions/approved_apparitions/apparitions_1700-1799.html) (Search for "Valverde") |  |</v>
      </c>
      <c r="BU29" s="155" t="str">
        <f>IF(J29,concatl("| The Real Presence | Miracle Hunter | MaryPages |","| --- | --- | --- |",BT29),"")</f>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29" s="155" t="str">
        <f>IF(LEN(BP29&amp;BU29)&gt;0,concatll("#### More Information",BP29,BU29),"")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29" s="155" t="str">
        <f>IF(LEN(M29)&gt;1,concatll("#### Author's Note",M29),"")</f>
        <v/>
      </c>
      <c r="BX29" s="23" t="str">
        <f>IF(AR29,concatll(concatl("---",AS29:AU29,BK29,"---"),L29,BV29:BW29),"")</f>
        <v xml:space="preserve">---_x000D_
title: "Sanctuary of Our Lady of Valverde"_x000D_
location: {lat: 45.5236738652071, lng: 10.3142692079531}_x000D_
interest: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29" s="23" t="str">
        <f>IF(AR29,VLOOKUP(B29,'(Ref) Countries'!A:B,2,)&amp;IF(LEN(C29)&gt;1,"-"&amp;LOWER(SUBSTITUTE(C29," ","-")),"")&amp;"-"&amp;LOWER(SUBSTITUTE(SUBSTITUTE(G29," ","-"),".",""))&amp;".md","")</f>
        <v>it-sanctuary-of-our-lady-of-valverde.md</v>
      </c>
      <c r="BZ29" s="29" t="str">
        <f>IF(LEN(Y29)&gt;1,VLOOKUP(Y29,'Tag List'!$A:$B,2,),"")</f>
        <v/>
      </c>
      <c r="CA29" s="29" t="str">
        <f>IF(LEN(Z29)&gt;1,VLOOKUP(Z29,'Tag List'!$A:$B,2,),"")</f>
        <v/>
      </c>
      <c r="CB29" s="29" t="str">
        <f>IF(LEN(AA29)&gt;1,VLOOKUP(AA29,'Tag List'!$A:$B,2,),"")</f>
        <v/>
      </c>
      <c r="CC29" s="30" t="str">
        <f>IF(LEN(Y29)&gt;1,GetTagPage(BZ29,Y29),"")</f>
        <v/>
      </c>
      <c r="CD29" s="30" t="str">
        <f>IF(LEN(Z29)&gt;1,GetTagPage(CA29,Z29),"")</f>
        <v/>
      </c>
      <c r="CE29" s="30" t="str">
        <f>IF(LEN(AA29)&gt;1,GetTagPage(CB29,AA29),"")</f>
        <v/>
      </c>
      <c r="CF29" s="30" t="str">
        <f>"|"&amp;IF(LEN(CC29)&gt;1," "&amp;CC29,"")&amp;IF(LEN(CD29)&gt;1,", "&amp;CD29,"")&amp;IF(LEN(CE29)&gt;1,", "&amp;CE29,"")&amp;" "</f>
        <v xml:space="preserve">| </v>
      </c>
      <c r="CG29" s="30" t="str">
        <f>"| "&amp;IF(AR29,"["&amp;AI29&amp;"](/places/"&amp;SUBSTITUTE(BY29,".md","")&amp;")",AI29)&amp;" "</f>
        <v xml:space="preserve">| [Valverde Di Rezzato](/places/it-sanctuary-of-our-lady-of-valverde) </v>
      </c>
      <c r="CH29" s="30" t="str">
        <f>"| "&amp;IF(AR29,GetTagPage(B29,VLOOKUP(B29,'(Ref) Countries'!A:C,3,)),B29)&amp; " "</f>
        <v xml:space="preserve">| [Italy](/tags/italy) </v>
      </c>
      <c r="CI29" s="30" t="str">
        <f>"| "&amp;AJ29&amp;" "</f>
        <v xml:space="preserve">| 1399, 1711 </v>
      </c>
      <c r="CJ29" s="30" t="str">
        <f>"|"&amp;IF(AR29," [Link](/places/"&amp;SUBSTITUTE(BY29,".md","")&amp;")","")&amp;" "</f>
        <v xml:space="preserve">| [Link](/places/it-sanctuary-of-our-lady-of-valverde) </v>
      </c>
      <c r="CK29" s="29" t="str">
        <f>"
"&amp;CG29&amp;CH29&amp;CI29&amp;CJ29&amp;BL29&amp;BQ29&amp;BR29&amp;BS29&amp;CF29&amp;"|"</f>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89" ht="76.5" x14ac:dyDescent="0.25">
      <c r="A30" s="168" t="s">
        <v>1320</v>
      </c>
      <c r="B30" s="24" t="s">
        <v>11</v>
      </c>
      <c r="C30" s="45" t="s">
        <v>1002</v>
      </c>
      <c r="D30" s="15">
        <v>41.903563699999999</v>
      </c>
      <c r="E30" s="49">
        <v>12.483673899999999</v>
      </c>
      <c r="F30" s="24" t="s">
        <v>1026</v>
      </c>
      <c r="G30" s="53" t="s">
        <v>1027</v>
      </c>
      <c r="H30" s="24" t="s">
        <v>1715</v>
      </c>
      <c r="I30" s="40" t="b">
        <v>1</v>
      </c>
      <c r="J30" s="24" t="b">
        <v>1</v>
      </c>
      <c r="L30" s="45" t="s">
        <v>1747</v>
      </c>
      <c r="N30" s="15" t="s">
        <v>414</v>
      </c>
      <c r="O30" s="15" t="s">
        <v>336</v>
      </c>
      <c r="Y30" s="36" t="s">
        <v>489</v>
      </c>
      <c r="Z30" s="37"/>
      <c r="AA30" s="36"/>
      <c r="AB30" s="36"/>
      <c r="AC30" s="36"/>
      <c r="AD30" s="36"/>
      <c r="AE30" s="36"/>
      <c r="AF30" s="36"/>
      <c r="AG30" s="36"/>
      <c r="AH30" s="36"/>
      <c r="AI30" s="85" t="s">
        <v>1002</v>
      </c>
      <c r="AJ30" s="86">
        <v>1842</v>
      </c>
      <c r="AK30" s="15" t="s">
        <v>288</v>
      </c>
      <c r="AL30" s="15" t="s">
        <v>336</v>
      </c>
      <c r="AM30" s="15" t="s">
        <v>457</v>
      </c>
      <c r="AN30" s="15" t="s">
        <v>336</v>
      </c>
      <c r="AO30" s="15" t="s">
        <v>458</v>
      </c>
      <c r="AP30" s="49" t="s">
        <v>336</v>
      </c>
      <c r="AR30" s="154" t="b">
        <f>IF(OR(A30="Done",A30="In Progress"),TRUE)</f>
        <v>1</v>
      </c>
      <c r="AS30" s="155" t="str">
        <f>"title: """&amp;F30&amp;""""</f>
        <v>title: "Sant'Andrea delle Fratte (Shrine of Our Lady of the Miracle, Our Lady of Zion)"</v>
      </c>
      <c r="AT30" s="155" t="str">
        <f>"location: {lat: "&amp;D30&amp;", lng: "&amp;E30&amp;"}"</f>
        <v>location: {lat: 41.9035637, lng: 12.4836739}</v>
      </c>
      <c r="AU30" s="155" t="str">
        <f>"interest: "&amp;H30</f>
        <v>interest: global</v>
      </c>
      <c r="AV30" s="155" t="str">
        <f>"- "&amp;VLOOKUP(B30,'(Ref) Countries'!A:C,3,)</f>
        <v>- italy</v>
      </c>
      <c r="AW30" s="155" t="str">
        <f>IF(LEN(C30)&gt;1,"- "&amp;LOWER(SUBSTITUTE(C30," ","-")),"")</f>
        <v>- rome</v>
      </c>
      <c r="AX30" s="155" t="str">
        <f>IF(I30,"- churches","")</f>
        <v>- churches</v>
      </c>
      <c r="AY30" s="155" t="str">
        <f>IF(J30,"- marian-sites","")</f>
        <v>- marian-sites</v>
      </c>
      <c r="AZ30" s="155" t="str">
        <f>IF(K30,"- holy-persons","")</f>
        <v/>
      </c>
      <c r="BA30" s="155" t="str">
        <f>IF(LEN(Y30)&gt;0,"- "&amp;Y30,"")</f>
        <v>- marie-alphonse-ratisbonne</v>
      </c>
      <c r="BB30" s="155" t="str">
        <f>IF(LEN(Z30)&gt;0,"- "&amp;Z30,"")</f>
        <v/>
      </c>
      <c r="BC30" s="155" t="str">
        <f>IF(LEN(AA30)&gt;0,"- "&amp;AA30,"")</f>
        <v/>
      </c>
      <c r="BD30" s="155" t="str">
        <f>IF(LEN(AB30)&gt;0,"- "&amp;AB30,"")</f>
        <v/>
      </c>
      <c r="BE30" s="155" t="str">
        <f>IF(LEN(AC30)&gt;0,"- "&amp;AC30,"")</f>
        <v/>
      </c>
      <c r="BF30" s="155" t="str">
        <f>IF(LEN(AD30)&gt;0,"- "&amp;AD30,"")</f>
        <v/>
      </c>
      <c r="BG30" s="155" t="str">
        <f>IF(LEN(AE30)&gt;0,"- "&amp;AE30,"")</f>
        <v/>
      </c>
      <c r="BH30" s="155" t="str">
        <f>IF(LEN(AF30)&gt;0,"- "&amp;AF30,"")</f>
        <v/>
      </c>
      <c r="BI30" s="155" t="str">
        <f>IF(LEN(AG30)&gt;0,"- "&amp;AG30,"")</f>
        <v/>
      </c>
      <c r="BJ30" s="155" t="str">
        <f>IF(LEN(AH30)&gt;0,"- "&amp;AH30,"")</f>
        <v/>
      </c>
      <c r="BK30" s="155" t="str">
        <f>"tags:"&amp;CHAR(10)&amp;concatl(AV30:BJ30)</f>
        <v xml:space="preserve">tags:
- italy_x000D_
- rome_x000D_
- churches_x000D_
- marian-sites_x000D_
- marie-alphonse-ratisbonne_x000D_
</v>
      </c>
      <c r="BL30" s="158" t="str">
        <f>IF(LEN(N30)&gt;0,TRIM(CONCATENATE("[Official site](",N30,") ",O30)),"")</f>
        <v>[Official site](https://www.madonnadelmiracolo.it/)</v>
      </c>
      <c r="BM30" s="158" t="str">
        <f>IF(LEN(Q30)&gt;0,TRIM(CONCATENATE("["&amp;P30&amp;"](",Q30,") ",R30)),"")</f>
        <v/>
      </c>
      <c r="BN30" s="158" t="str">
        <f>IF(LEN(T30)&gt;0,TRIM(CONCATENATE("["&amp;S30&amp;"](",T30,") ",U30)),"")</f>
        <v/>
      </c>
      <c r="BO30" s="158" t="str">
        <f>IF(LEN(W30)&gt;0,TRIM(CONCATENATE("["&amp;V30&amp;"](",W30,") ",X30)),"")</f>
        <v/>
      </c>
      <c r="BP30" s="158" t="str">
        <f>IF(LEN(BL30)&gt;0,"* "&amp;BL30&amp;CHAR(10),"")&amp;
IF(LEN(BM30)&gt;0,"* "&amp;BM30&amp;CHAR(10),"")&amp;
IF(LEN(BN30)&gt;0,"* "&amp;BN30&amp;CHAR(10),"")&amp;
IF(LEN(BO30)&gt;0,"* "&amp;BO30&amp;CHAR(10),"")</f>
        <v xml:space="preserve">* [Official site](https://www.madonnadelmiracolo.it/)
</v>
      </c>
      <c r="BQ30" s="158" t="str">
        <f>IF(LEN(AK30)&gt;0,TRIM(CONCATENATE("[Link](",AK30,") ",AL30)),"")</f>
        <v>[Link](http://www.therealpresence.org/eucharst/misc/BVM/23_ROMA_60x96.pdf)</v>
      </c>
      <c r="BR30" s="158" t="str">
        <f>IF(LEN(AM30)&gt;0,TRIM(CONCATENATE("[Link](",AM30,") ",AN30)),"")</f>
        <v>[Link](https://www.miraclehunter.com/marian_apparitions/approved_apparitions/rome1842/index.html)</v>
      </c>
      <c r="BS30" s="158" t="str">
        <f>IF(LEN(AO30)&gt;0,TRIM(CONCATENATE("[Link](",AO30,") ",AP30)),"")</f>
        <v>[Link](https://www.marypages.com/rome-(itali%C3%AB).html)</v>
      </c>
      <c r="BT30" s="158" t="str">
        <f>IF(LEN(concat(BQ30:BS30))&gt;0,concat("| ",BQ30," | ",BR30," | ",BS30," |"),"")</f>
        <v>| [Link](http://www.therealpresence.org/eucharst/misc/BVM/23_ROMA_60x96.pdf) | [Link](https://www.miraclehunter.com/marian_apparitions/approved_apparitions/rome1842/index.html) | [Link](https://www.marypages.com/rome-(itali%C3%AB).html) |</v>
      </c>
      <c r="BU30" s="155" t="str">
        <f>IF(J30,concatl("| The Real Presence | Miracle Hunter | MaryPages |","| --- | --- | --- |",BT30),"")</f>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30" s="155" t="str">
        <f>IF(LEN(BP30&amp;BU30)&gt;0,concatll("#### More Information",BP30,BU30),"")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30" s="155" t="str">
        <f>IF(LEN(M30)&gt;1,concatll("#### Author's Note",M30),"")</f>
        <v/>
      </c>
      <c r="BX30" s="23" t="str">
        <f>IF(AR30,concatll(concatl("---",AS30:AU30,BK30,"---"),L30,BV30:BW30),"")</f>
        <v xml:space="preserve">---_x000D_
title: "Sant'Andrea delle Fratte (Shrine of Our Lady of the Miracle, Our Lady of Zion)"_x000D_
location: {lat: 41.9035637, lng: 12.4836739}_x000D_
interest: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30" s="23" t="str">
        <f>IF(AR30,VLOOKUP(B30,'(Ref) Countries'!A:B,2,)&amp;IF(LEN(C30)&gt;1,"-"&amp;LOWER(SUBSTITUTE(C30," ","-")),"")&amp;"-"&amp;LOWER(SUBSTITUTE(SUBSTITUTE(G30," ","-"),".",""))&amp;".md","")</f>
        <v>it-rome-sant-andrea-delle-fratte.md</v>
      </c>
      <c r="BZ30" s="38" t="str">
        <f>IF(LEN(Y30)&gt;1,VLOOKUP(Y30,'Tag List'!$A:$B,2,),"")</f>
        <v>Fr. Marie-Alphonse Ratisbonne, NDS</v>
      </c>
      <c r="CA30" s="38" t="str">
        <f>IF(LEN(Z30)&gt;1,VLOOKUP(Z30,'Tag List'!$A:$B,2,),"")</f>
        <v/>
      </c>
      <c r="CB30" s="38" t="str">
        <f>IF(LEN(AA30)&gt;1,VLOOKUP(AA30,'Tag List'!$A:$B,2,),"")</f>
        <v/>
      </c>
      <c r="CC30" s="30" t="str">
        <f>IF(LEN(Y30)&gt;1,GetTagPage(BZ30,Y30),"")</f>
        <v>[Fr. Marie-Alphonse Ratisbonne, NDS](/tags/marie-alphonse-ratisbonne)</v>
      </c>
      <c r="CD30" s="30" t="str">
        <f>IF(LEN(Z30)&gt;1,GetTagPage(CA30,Z30),"")</f>
        <v/>
      </c>
      <c r="CE30" s="30" t="str">
        <f>IF(LEN(AA30)&gt;1,GetTagPage(CB30,AA30),"")</f>
        <v/>
      </c>
      <c r="CF30" s="30" t="str">
        <f>"|"&amp;IF(LEN(CC30)&gt;1," "&amp;CC30,"")&amp;IF(LEN(CD30)&gt;1,", "&amp;CD30,"")&amp;IF(LEN(CE30)&gt;1,", "&amp;CE30,"")&amp;" "</f>
        <v xml:space="preserve">| [Fr. Marie-Alphonse Ratisbonne, NDS](/tags/marie-alphonse-ratisbonne) </v>
      </c>
      <c r="CG30" s="30" t="str">
        <f>"| "&amp;IF(AR30,"["&amp;AI30&amp;"](/places/"&amp;SUBSTITUTE(BY30,".md","")&amp;")",AI30)&amp;" "</f>
        <v xml:space="preserve">| [Rome](/places/it-rome-sant-andrea-delle-fratte) </v>
      </c>
      <c r="CH30" s="30" t="str">
        <f>"| "&amp;IF(AR30,GetTagPage(B30,VLOOKUP(B30,'(Ref) Countries'!A:C,3,)),B30)&amp; " "</f>
        <v xml:space="preserve">| [Italy](/tags/italy) </v>
      </c>
      <c r="CI30" s="30" t="str">
        <f>"| "&amp;AJ30&amp;" "</f>
        <v xml:space="preserve">| 1842 </v>
      </c>
      <c r="CJ30" s="30" t="str">
        <f>"|"&amp;IF(AR30," [Link](/places/"&amp;SUBSTITUTE(BY30,".md","")&amp;")","")&amp;" "</f>
        <v xml:space="preserve">| [Link](/places/it-rome-sant-andrea-delle-fratte) </v>
      </c>
      <c r="CK30" s="29" t="str">
        <f>"
"&amp;CG30&amp;CH30&amp;CI30&amp;CJ30&amp;BL30&amp;BQ30&amp;BR30&amp;BS30&amp;CF30&amp;"|"</f>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 NDS](/tags/marie-alphonse-ratisbonne) |</v>
      </c>
    </row>
    <row r="31" spans="1:89" ht="178.5" x14ac:dyDescent="0.25">
      <c r="A31" s="168" t="s">
        <v>1320</v>
      </c>
      <c r="B31" s="24" t="s">
        <v>11</v>
      </c>
      <c r="C31" s="83" t="s">
        <v>1877</v>
      </c>
      <c r="D31" s="15">
        <v>41.457154000000003</v>
      </c>
      <c r="E31" s="49">
        <v>12.668148</v>
      </c>
      <c r="F31" s="83" t="s">
        <v>1879</v>
      </c>
      <c r="G31" s="90" t="s">
        <v>1880</v>
      </c>
      <c r="H31" s="45" t="s">
        <v>1759</v>
      </c>
      <c r="I31" s="40" t="b">
        <v>1</v>
      </c>
      <c r="J31" s="24" t="b">
        <v>1</v>
      </c>
      <c r="K31" s="24" t="b">
        <v>1</v>
      </c>
      <c r="L31" s="45" t="s">
        <v>1748</v>
      </c>
      <c r="M31" s="58" t="s">
        <v>1751</v>
      </c>
      <c r="N31" s="35" t="s">
        <v>1750</v>
      </c>
      <c r="O31" s="48" t="s">
        <v>1817</v>
      </c>
      <c r="P31" s="82" t="s">
        <v>1818</v>
      </c>
      <c r="Q31" s="35" t="s">
        <v>1816</v>
      </c>
      <c r="R31" s="93" t="s">
        <v>336</v>
      </c>
      <c r="S31" s="62"/>
      <c r="T31" s="35"/>
      <c r="U31" s="66"/>
      <c r="V31" s="35"/>
      <c r="W31" s="35"/>
      <c r="X31" s="99"/>
      <c r="Y31" s="35" t="s">
        <v>1752</v>
      </c>
      <c r="Z31" s="35" t="s">
        <v>1756</v>
      </c>
      <c r="AA31" s="35" t="s">
        <v>1755</v>
      </c>
      <c r="AB31" s="35"/>
      <c r="AC31" s="35"/>
      <c r="AD31" s="35"/>
      <c r="AE31" s="35"/>
      <c r="AF31" s="35"/>
      <c r="AG31" s="35"/>
      <c r="AH31" s="35"/>
      <c r="AI31" s="89" t="s">
        <v>1408</v>
      </c>
      <c r="AK31" s="15" t="s">
        <v>336</v>
      </c>
      <c r="AL31" s="15" t="s">
        <v>336</v>
      </c>
      <c r="AM31" s="15" t="s">
        <v>1384</v>
      </c>
      <c r="AN31" s="35" t="s">
        <v>1749</v>
      </c>
      <c r="AO31" s="15" t="s">
        <v>336</v>
      </c>
      <c r="AR31" s="154" t="b">
        <f>IF(OR(A31="Done",A31="In Progress"),TRUE)</f>
        <v>1</v>
      </c>
      <c r="AS31" s="155" t="str">
        <f>"title: """&amp;F31&amp;""""</f>
        <v>title: "Basilica of Our Lady of Graces and St. Maria Goretti"</v>
      </c>
      <c r="AT31" s="155" t="str">
        <f>"location: {lat: "&amp;D31&amp;", lng: "&amp;E31&amp;"}"</f>
        <v>location: {lat: 41.457154, lng: 12.668148}</v>
      </c>
      <c r="AU31" s="155" t="str">
        <f>"interest: "&amp;H31</f>
        <v>interest: regional</v>
      </c>
      <c r="AV31" s="155" t="str">
        <f>"- "&amp;VLOOKUP(B31,'(Ref) Countries'!A:C,3,)</f>
        <v>- italy</v>
      </c>
      <c r="AW31" s="155" t="str">
        <f>IF(LEN(C31)&gt;1,"- "&amp;LOWER(SUBSTITUTE(C31," ","-")),"")</f>
        <v>- nettuno</v>
      </c>
      <c r="AX31" s="155" t="str">
        <f>IF(I31,"- churches","")</f>
        <v>- churches</v>
      </c>
      <c r="AY31" s="155" t="str">
        <f>IF(J31,"- marian-sites","")</f>
        <v>- marian-sites</v>
      </c>
      <c r="AZ31" s="155" t="str">
        <f>IF(K31,"- holy-persons","")</f>
        <v>- holy-persons</v>
      </c>
      <c r="BA31" s="155" t="str">
        <f>IF(LEN(Y31)&gt;0,"- "&amp;Y31,"")</f>
        <v>- maria-goretti</v>
      </c>
      <c r="BB31" s="155" t="str">
        <f>IF(LEN(Z31)&gt;0,"- "&amp;Z31,"")</f>
        <v>- our-lady-of-grace</v>
      </c>
      <c r="BC31" s="155" t="str">
        <f>IF(LEN(AA31)&gt;0,"- "&amp;AA31,"")</f>
        <v>- our-lady-of-ipswich</v>
      </c>
      <c r="BD31" s="155" t="str">
        <f>IF(LEN(AB31)&gt;0,"- "&amp;AB31,"")</f>
        <v/>
      </c>
      <c r="BE31" s="155" t="str">
        <f>IF(LEN(AC31)&gt;0,"- "&amp;AC31,"")</f>
        <v/>
      </c>
      <c r="BF31" s="155" t="str">
        <f>IF(LEN(AD31)&gt;0,"- "&amp;AD31,"")</f>
        <v/>
      </c>
      <c r="BG31" s="155" t="str">
        <f>IF(LEN(AE31)&gt;0,"- "&amp;AE31,"")</f>
        <v/>
      </c>
      <c r="BH31" s="155" t="str">
        <f>IF(LEN(AF31)&gt;0,"- "&amp;AF31,"")</f>
        <v/>
      </c>
      <c r="BI31" s="155" t="str">
        <f>IF(LEN(AG31)&gt;0,"- "&amp;AG31,"")</f>
        <v/>
      </c>
      <c r="BJ31" s="155" t="str">
        <f>IF(LEN(AH31)&gt;0,"- "&amp;AH31,"")</f>
        <v/>
      </c>
      <c r="BK31" s="155" t="str">
        <f>"tags:"&amp;CHAR(10)&amp;concatl(AV31:BJ31)</f>
        <v xml:space="preserve">tags:
- italy_x000D_
- nettuno_x000D_
- churches_x000D_
- marian-sites_x000D_
- holy-persons_x000D_
- maria-goretti_x000D_
- our-lady-of-grace_x000D_
- our-lady-of-ipswich_x000D_
</v>
      </c>
      <c r="BL31" s="158" t="str">
        <f>IF(LEN(N31)&gt;0,TRIM(CONCATENATE("[Official site](",N31,") ",O31)),"")</f>
        <v>[Official site](http://www.santuarionettuno.it/) (note: website not active at time of writing)</v>
      </c>
      <c r="BM31" s="158" t="str">
        <f>IF(LEN(Q31)&gt;0,TRIM(CONCATENATE("["&amp;P31&amp;"](",Q31,") ",R31)),"")</f>
        <v>[Official Facebook page](https://www.facebook.com/profile.php?id=100069705631532)</v>
      </c>
      <c r="BN31" s="158" t="str">
        <f>IF(LEN(T31)&gt;0,TRIM(CONCATENATE("["&amp;S31&amp;"](",T31,") ",U31)),"")</f>
        <v/>
      </c>
      <c r="BO31" s="158" t="str">
        <f>IF(LEN(W31)&gt;0,TRIM(CONCATENATE("["&amp;V31&amp;"](",W31,") ",X31)),"")</f>
        <v/>
      </c>
      <c r="BP31" s="158" t="str">
        <f>IF(LEN(BL31)&gt;0,"* "&amp;BL31&amp;CHAR(10),"")&amp;
IF(LEN(BM31)&gt;0,"* "&amp;BM31&amp;CHAR(10),"")&amp;
IF(LEN(BN31)&gt;0,"* "&amp;BN31&amp;CHAR(10),"")&amp;
IF(LEN(BO31)&gt;0,"* "&amp;BO31&amp;CHAR(10),"")</f>
        <v xml:space="preserve">* [Official site](http://www.santuarionettuno.it/) (note: website not active at time of writing)
* [Official Facebook page](https://www.facebook.com/profile.php?id=100069705631532)
</v>
      </c>
      <c r="BQ31" s="158" t="str">
        <f>IF(LEN(AK31)&gt;0,TRIM(CONCATENATE("[Link](",AK31,") ",AL31)),"")</f>
        <v/>
      </c>
      <c r="BR31" s="158" t="str">
        <f>IF(LEN(AM31)&gt;0,TRIM(CONCATENATE("[Link](",AM31,") ",AN31)),"")</f>
        <v>[Link](https://www.miraclehunter.com/marian_apparitions/approved_apparitions/apparitions_1500-1599.html) (Search "Ipswich")</v>
      </c>
      <c r="BS31" s="158" t="str">
        <f>IF(LEN(AO31)&gt;0,TRIM(CONCATENATE("[Link](",AO31,") ",AP31)),"")</f>
        <v/>
      </c>
      <c r="BT31" s="158" t="str">
        <f>IF(LEN(concat(BQ31:BS31))&gt;0,concat("| ",BQ31," | ",BR31," | ",BS31," |"),"")</f>
        <v>|  | [Link](https://www.miraclehunter.com/marian_apparitions/approved_apparitions/apparitions_1500-1599.html) (Search "Ipswich") |  |</v>
      </c>
      <c r="BU31" s="155" t="str">
        <f>IF(J31,concatl("| The Real Presence | Miracle Hunter | MaryPages |","| --- | --- | --- |",BT31),"")</f>
        <v xml:space="preserve">| The Real Presence | Miracle Hunter | MaryPages |_x000D_
| --- | --- | --- |_x000D_
|  | [Link](https://www.miraclehunter.com/marian_apparitions/approved_apparitions/apparitions_1500-1599.html) (Search "Ipswich") |  |_x000D_
</v>
      </c>
      <c r="BV31" s="155" t="str">
        <f>IF(LEN(BP31&amp;BU31)&gt;0,concatll("#### More Information",BP31,BU31),"")</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31" s="155" t="str">
        <f>IF(LEN(M31)&gt;1,concatll("#### Author's Note",M31),"")</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31" s="23" t="str">
        <f>IF(AR31,concatll(concatl("---",AS31:AU31,BK31,"---"),L31,BV31:BW31),"")</f>
        <v xml:space="preserve">---_x000D_
title: "Basilica of Our Lady of Graces and St. Maria Goretti"_x000D_
location: {lat: 41.457154, lng: 12.668148}_x000D_
interest: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31" s="23" t="str">
        <f>IF(AR31,VLOOKUP(B31,'(Ref) Countries'!A:B,2,)&amp;IF(LEN(C31)&gt;1,"-"&amp;LOWER(SUBSTITUTE(C31," ","-")),"")&amp;"-"&amp;LOWER(SUBSTITUTE(SUBSTITUTE(G31," ","-"),".",""))&amp;".md","")</f>
        <v>it-nettuno-basilica-of-our-lady-of-graces.md</v>
      </c>
      <c r="BZ31" s="29" t="str">
        <f>IF(LEN(Y31)&gt;1,VLOOKUP(Y31,'Tag List'!$A:$B,2,),"")</f>
        <v>St. Maria Goretti</v>
      </c>
      <c r="CA31" s="29" t="str">
        <f>IF(LEN(Z31)&gt;1,VLOOKUP(Z31,'Tag List'!$A:$B,2,),"")</f>
        <v>Our Lady of Grace</v>
      </c>
      <c r="CB31" s="29" t="str">
        <f>IF(LEN(AA31)&gt;1,VLOOKUP(AA31,'Tag List'!$A:$B,2,),"")</f>
        <v>Our Lady of Ipswich</v>
      </c>
      <c r="CC31" s="30" t="str">
        <f>IF(LEN(Y31)&gt;1,GetTagPage(BZ31,Y31),"")</f>
        <v>[St. Maria Goretti](/tags/maria-goretti)</v>
      </c>
      <c r="CD31" s="30" t="str">
        <f>IF(LEN(Z31)&gt;1,GetTagPage(CA31,Z31),"")</f>
        <v>[Our Lady of Grace](/tags/our-lady-of-grace)</v>
      </c>
      <c r="CE31" s="30" t="str">
        <f>IF(LEN(AA31)&gt;1,GetTagPage(CB31,AA31),"")</f>
        <v>[Our Lady of Ipswich](/tags/our-lady-of-ipswich)</v>
      </c>
      <c r="CF31" s="30" t="str">
        <f>"|"&amp;IF(LEN(CC31)&gt;1," "&amp;CC31,"")&amp;IF(LEN(CD31)&gt;1,", "&amp;CD31,"")&amp;IF(LEN(CE31)&gt;1,", "&amp;CE31,"")&amp;" "</f>
        <v xml:space="preserve">| [St. Maria Goretti](/tags/maria-goretti), [Our Lady of Grace](/tags/our-lady-of-grace), [Our Lady of Ipswich](/tags/our-lady-of-ipswich) </v>
      </c>
      <c r="CG31" s="30" t="str">
        <f>"| "&amp;IF(AR31,"["&amp;AI31&amp;"](/places/"&amp;SUBSTITUTE(BY31,".md","")&amp;")",AI31)&amp;" "</f>
        <v xml:space="preserve">| [Our Lady of Grace and St. Maria Goretti](/places/it-nettuno-basilica-of-our-lady-of-graces) </v>
      </c>
      <c r="CH31" s="30" t="str">
        <f>"| "&amp;IF(AR31,GetTagPage(B31,VLOOKUP(B31,'(Ref) Countries'!A:C,3,)),B31)&amp; " "</f>
        <v xml:space="preserve">| [Italy](/tags/italy) </v>
      </c>
      <c r="CI31" s="30" t="str">
        <f>"| "&amp;AJ31&amp;" "</f>
        <v xml:space="preserve">|  </v>
      </c>
      <c r="CJ31" s="30" t="str">
        <f>"|"&amp;IF(AR31," [Link](/places/"&amp;SUBSTITUTE(BY31,".md","")&amp;")","")&amp;" "</f>
        <v xml:space="preserve">| [Link](/places/it-nettuno-basilica-of-our-lady-of-graces) </v>
      </c>
      <c r="CK31" s="29" t="str">
        <f>"
"&amp;CG31&amp;CH31&amp;CI31&amp;CJ31&amp;BL31&amp;BQ31&amp;BR31&amp;BS31&amp;CF31&amp;"|"</f>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32" spans="1:89" ht="102" x14ac:dyDescent="0.25">
      <c r="A32" s="168" t="s">
        <v>1320</v>
      </c>
      <c r="B32" s="45" t="s">
        <v>11</v>
      </c>
      <c r="D32" s="15">
        <v>45.6258893442062</v>
      </c>
      <c r="E32" s="49">
        <v>7.9823763846553701</v>
      </c>
      <c r="F32" s="45" t="s">
        <v>1762</v>
      </c>
      <c r="G32" s="58" t="s">
        <v>1761</v>
      </c>
      <c r="H32" s="45" t="s">
        <v>1759</v>
      </c>
      <c r="I32" s="40" t="b">
        <v>1</v>
      </c>
      <c r="J32" s="24" t="b">
        <v>1</v>
      </c>
      <c r="L32" s="45" t="s">
        <v>1765</v>
      </c>
      <c r="N32" s="15" t="s">
        <v>1763</v>
      </c>
      <c r="O32" s="15" t="s">
        <v>336</v>
      </c>
      <c r="Y32" s="15" t="s">
        <v>1764</v>
      </c>
      <c r="AI32" s="89" t="s">
        <v>1761</v>
      </c>
      <c r="AK32" s="15" t="s">
        <v>336</v>
      </c>
      <c r="AL32" s="15" t="s">
        <v>336</v>
      </c>
      <c r="AM32" s="15" t="s">
        <v>336</v>
      </c>
      <c r="AN32" s="15" t="s">
        <v>336</v>
      </c>
      <c r="AO32" s="15" t="s">
        <v>336</v>
      </c>
      <c r="AR32" s="154" t="b">
        <f>IF(OR(A32="Done",A32="In Progress"),TRUE)</f>
        <v>1</v>
      </c>
      <c r="AS32" s="155" t="str">
        <f>"title: """&amp;F32&amp;""""</f>
        <v>title: "Sanctuary of Oropa (Black Madonna of Oropa)"</v>
      </c>
      <c r="AT32" s="155" t="str">
        <f>"location: {lat: "&amp;D32&amp;", lng: "&amp;E32&amp;"}"</f>
        <v>location: {lat: 45.6258893442062, lng: 7.98237638465537}</v>
      </c>
      <c r="AU32" s="155" t="str">
        <f>"interest: "&amp;H32</f>
        <v>interest: regional</v>
      </c>
      <c r="AV32" s="155" t="str">
        <f>"- "&amp;VLOOKUP(B32,'(Ref) Countries'!A:C,3,)</f>
        <v>- italy</v>
      </c>
      <c r="AW32" s="155" t="str">
        <f>IF(LEN(C32)&gt;1,"- "&amp;LOWER(SUBSTITUTE(C32," ","-")),"")</f>
        <v/>
      </c>
      <c r="AX32" s="155" t="str">
        <f>IF(I32,"- churches","")</f>
        <v>- churches</v>
      </c>
      <c r="AY32" s="155" t="str">
        <f>IF(J32,"- marian-sites","")</f>
        <v>- marian-sites</v>
      </c>
      <c r="AZ32" s="155" t="str">
        <f>IF(K32,"- holy-persons","")</f>
        <v/>
      </c>
      <c r="BA32" s="155" t="str">
        <f>IF(LEN(Y32)&gt;0,"- "&amp;Y32,"")</f>
        <v>- pier-giorgio-frassati</v>
      </c>
      <c r="BB32" s="155" t="str">
        <f>IF(LEN(Z32)&gt;0,"- "&amp;Z32,"")</f>
        <v/>
      </c>
      <c r="BC32" s="155" t="str">
        <f>IF(LEN(AA32)&gt;0,"- "&amp;AA32,"")</f>
        <v/>
      </c>
      <c r="BD32" s="155" t="str">
        <f>IF(LEN(AB32)&gt;0,"- "&amp;AB32,"")</f>
        <v/>
      </c>
      <c r="BE32" s="155" t="str">
        <f>IF(LEN(AC32)&gt;0,"- "&amp;AC32,"")</f>
        <v/>
      </c>
      <c r="BF32" s="155" t="str">
        <f>IF(LEN(AD32)&gt;0,"- "&amp;AD32,"")</f>
        <v/>
      </c>
      <c r="BG32" s="155" t="str">
        <f>IF(LEN(AE32)&gt;0,"- "&amp;AE32,"")</f>
        <v/>
      </c>
      <c r="BH32" s="155" t="str">
        <f>IF(LEN(AF32)&gt;0,"- "&amp;AF32,"")</f>
        <v/>
      </c>
      <c r="BI32" s="155" t="str">
        <f>IF(LEN(AG32)&gt;0,"- "&amp;AG32,"")</f>
        <v/>
      </c>
      <c r="BJ32" s="155" t="str">
        <f>IF(LEN(AH32)&gt;0,"- "&amp;AH32,"")</f>
        <v/>
      </c>
      <c r="BK32" s="155" t="str">
        <f>"tags:"&amp;CHAR(10)&amp;concatl(AV32:BJ32)</f>
        <v xml:space="preserve">tags:
- italy_x000D_
- churches_x000D_
- marian-sites_x000D_
- pier-giorgio-frassati_x000D_
</v>
      </c>
      <c r="BL32" s="158" t="str">
        <f>IF(LEN(N32)&gt;0,TRIM(CONCATENATE("[Official site](",N32,") ",O32)),"")</f>
        <v>[Official site](https://www.santuariodioropa.it/en/)</v>
      </c>
      <c r="BM32" s="158" t="str">
        <f>IF(LEN(Q32)&gt;0,TRIM(CONCATENATE("["&amp;P32&amp;"](",Q32,") ",R32)),"")</f>
        <v/>
      </c>
      <c r="BN32" s="158" t="str">
        <f>IF(LEN(T32)&gt;0,TRIM(CONCATENATE("["&amp;S32&amp;"](",T32,") ",U32)),"")</f>
        <v/>
      </c>
      <c r="BO32" s="158" t="str">
        <f>IF(LEN(W32)&gt;0,TRIM(CONCATENATE("["&amp;V32&amp;"](",W32,") ",X32)),"")</f>
        <v/>
      </c>
      <c r="BP32" s="158" t="str">
        <f>IF(LEN(BL32)&gt;0,"* "&amp;BL32&amp;CHAR(10),"")&amp;
IF(LEN(BM32)&gt;0,"* "&amp;BM32&amp;CHAR(10),"")&amp;
IF(LEN(BN32)&gt;0,"* "&amp;BN32&amp;CHAR(10),"")&amp;
IF(LEN(BO32)&gt;0,"* "&amp;BO32&amp;CHAR(10),"")</f>
        <v xml:space="preserve">* [Official site](https://www.santuariodioropa.it/en/)
</v>
      </c>
      <c r="BQ32" s="158" t="str">
        <f>IF(LEN(AK32)&gt;0,TRIM(CONCATENATE("[Link](",AK32,") ",AL32)),"")</f>
        <v/>
      </c>
      <c r="BR32" s="158" t="str">
        <f>IF(LEN(AM32)&gt;0,TRIM(CONCATENATE("[Link](",AM32,") ",AN32)),"")</f>
        <v/>
      </c>
      <c r="BS32" s="158" t="str">
        <f>IF(LEN(AO32)&gt;0,TRIM(CONCATENATE("[Link](",AO32,") ",AP32)),"")</f>
        <v/>
      </c>
      <c r="BT32" s="158" t="str">
        <f>IF(LEN(concat(BQ32:BS32))&gt;0,concat("| ",BQ32," | ",BR32," | ",BS32," |"),"")</f>
        <v/>
      </c>
      <c r="BU32" s="155" t="str">
        <f>IF(J32,concatl("| The Real Presence | Miracle Hunter | MaryPages |","| --- | --- | --- |",BT32),"")</f>
        <v xml:space="preserve">| The Real Presence | Miracle Hunter | MaryPages |_x000D_
| --- | --- | --- |_x000D_
</v>
      </c>
      <c r="BV32" s="155" t="str">
        <f>IF(LEN(BP32&amp;BU32)&gt;0,concatll("#### More Information",BP32,BU32),"")</f>
        <v xml:space="preserve">#### More Information_x000D_
_x000D_
* [Official site](https://www.santuariodioropa.it/en/)
_x000D_
_x000D_
| The Real Presence | Miracle Hunter | MaryPages |_x000D_
| --- | --- | --- |_x000D_
_x000D_
_x000D_
</v>
      </c>
      <c r="BW32" s="155" t="str">
        <f>IF(LEN(M32)&gt;1,concatll("#### Author's Note",M32),"")</f>
        <v/>
      </c>
      <c r="BX32" s="23" t="str">
        <f>IF(AR32,concatll(concatl("---",AS32:AU32,BK32,"---"),L32,BV32:BW32),"")</f>
        <v xml:space="preserve">---_x000D_
title: "Sanctuary of Oropa (Black Madonna of Oropa)"_x000D_
location: {lat: 45.6258893442062, lng: 7.98237638465537}_x000D_
interest: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32" s="23" t="str">
        <f>IF(AR32,VLOOKUP(B32,'(Ref) Countries'!A:B,2,)&amp;IF(LEN(C32)&gt;1,"-"&amp;LOWER(SUBSTITUTE(C32," ","-")),"")&amp;"-"&amp;LOWER(SUBSTITUTE(SUBSTITUTE(G32," ","-"),".",""))&amp;".md","")</f>
        <v>it-sanctuary-of-oropa.md</v>
      </c>
      <c r="BZ32" s="29" t="str">
        <f>IF(LEN(Y32)&gt;1,VLOOKUP(Y32,'Tag List'!$A:$B,2,),"")</f>
        <v>Bl. Pier Giorgio Frassati, TOSD</v>
      </c>
      <c r="CA32" s="29" t="str">
        <f>IF(LEN(Z32)&gt;1,VLOOKUP(Z32,'Tag List'!$A:$B,2,),"")</f>
        <v/>
      </c>
      <c r="CB32" s="29" t="str">
        <f>IF(LEN(AA32)&gt;1,VLOOKUP(AA32,'Tag List'!$A:$B,2,),"")</f>
        <v/>
      </c>
      <c r="CC32" s="30" t="str">
        <f>IF(LEN(Y32)&gt;1,GetTagPage(BZ32,Y32),"")</f>
        <v>[Bl. Pier Giorgio Frassati, TOSD](/tags/pier-giorgio-frassati)</v>
      </c>
      <c r="CD32" s="30" t="str">
        <f>IF(LEN(Z32)&gt;1,GetTagPage(CA32,Z32),"")</f>
        <v/>
      </c>
      <c r="CE32" s="30" t="str">
        <f>IF(LEN(AA32)&gt;1,GetTagPage(CB32,AA32),"")</f>
        <v/>
      </c>
      <c r="CF32" s="30" t="str">
        <f>"|"&amp;IF(LEN(CC32)&gt;1," "&amp;CC32,"")&amp;IF(LEN(CD32)&gt;1,", "&amp;CD32,"")&amp;IF(LEN(CE32)&gt;1,", "&amp;CE32,"")&amp;" "</f>
        <v xml:space="preserve">| [Bl. Pier Giorgio Frassati, TOSD](/tags/pier-giorgio-frassati) </v>
      </c>
      <c r="CG32" s="30" t="str">
        <f>"| "&amp;IF(AR32,"["&amp;AI32&amp;"](/places/"&amp;SUBSTITUTE(BY32,".md","")&amp;")",AI32)&amp;" "</f>
        <v xml:space="preserve">| [Sanctuary of Oropa](/places/it-sanctuary-of-oropa) </v>
      </c>
      <c r="CH32" s="30" t="str">
        <f>"| "&amp;IF(AR32,GetTagPage(B32,VLOOKUP(B32,'(Ref) Countries'!A:C,3,)),B32)&amp; " "</f>
        <v xml:space="preserve">| [Italy](/tags/italy) </v>
      </c>
      <c r="CI32" s="30" t="str">
        <f>"| "&amp;AJ32&amp;" "</f>
        <v xml:space="preserve">|  </v>
      </c>
      <c r="CJ32" s="30" t="str">
        <f>"|"&amp;IF(AR32," [Link](/places/"&amp;SUBSTITUTE(BY32,".md","")&amp;")","")&amp;" "</f>
        <v xml:space="preserve">| [Link](/places/it-sanctuary-of-oropa) </v>
      </c>
      <c r="CK32" s="29" t="str">
        <f>"
"&amp;CG32&amp;CH32&amp;CI32&amp;CJ32&amp;BL32&amp;BQ32&amp;BR32&amp;BS32&amp;CF32&amp;"|"</f>
        <v xml:space="preserve">
| [Sanctuary of Oropa](/places/it-sanctuary-of-oropa) | [Italy](/tags/italy) |  | [Link](/places/it-sanctuary-of-oropa) [Official site](https://www.santuariodioropa.it/en/)| [Bl. Pier Giorgio Frassati, TOSD](/tags/pier-giorgio-frassati) |</v>
      </c>
    </row>
    <row r="33" spans="1:89" ht="38.25" x14ac:dyDescent="0.25">
      <c r="A33" s="168" t="s">
        <v>1320</v>
      </c>
      <c r="B33" s="83" t="s">
        <v>11</v>
      </c>
      <c r="C33" s="83" t="s">
        <v>1866</v>
      </c>
      <c r="D33" s="15">
        <v>43.650784999999999</v>
      </c>
      <c r="E33" s="49">
        <v>13.047758</v>
      </c>
      <c r="F33" s="83" t="s">
        <v>1867</v>
      </c>
      <c r="G33" s="90" t="s">
        <v>2489</v>
      </c>
      <c r="H33" s="83" t="s">
        <v>1825</v>
      </c>
      <c r="I33" s="24" t="b">
        <v>1</v>
      </c>
      <c r="K33" s="24" t="b">
        <v>1</v>
      </c>
      <c r="L33" s="83" t="s">
        <v>1868</v>
      </c>
      <c r="M33" s="90"/>
      <c r="O33" s="15" t="s">
        <v>336</v>
      </c>
      <c r="Y33" s="91" t="s">
        <v>1752</v>
      </c>
      <c r="Z33" s="91"/>
      <c r="AR33" s="154" t="b">
        <f>IF(OR(A33="Done",A33="In Progress"),TRUE)</f>
        <v>1</v>
      </c>
      <c r="AS33" s="155" t="str">
        <f>"title: """&amp;F33&amp;""""</f>
        <v>title: "Church of St. Francis, Corinaldo"</v>
      </c>
      <c r="AT33" s="155" t="str">
        <f>"location: {lat: "&amp;D33&amp;", lng: "&amp;E33&amp;"}"</f>
        <v>location: {lat: 43.650785, lng: 13.047758}</v>
      </c>
      <c r="AU33" s="155" t="str">
        <f>"interest: "&amp;H33</f>
        <v>interest: local</v>
      </c>
      <c r="AV33" s="155" t="str">
        <f>"- "&amp;VLOOKUP(B33,'(Ref) Countries'!A:C,3,)</f>
        <v>- italy</v>
      </c>
      <c r="AW33" s="155" t="str">
        <f>IF(LEN(C33)&gt;1,"- "&amp;LOWER(SUBSTITUTE(C33," ","-")),"")</f>
        <v>- corinaldo</v>
      </c>
      <c r="AX33" s="155" t="str">
        <f>IF(I33,"- churches","")</f>
        <v>- churches</v>
      </c>
      <c r="AY33" s="155" t="str">
        <f>IF(J33,"- marian-sites","")</f>
        <v/>
      </c>
      <c r="AZ33" s="155" t="str">
        <f>IF(K33,"- holy-persons","")</f>
        <v>- holy-persons</v>
      </c>
      <c r="BA33" s="155" t="str">
        <f>IF(LEN(Y33)&gt;0,"- "&amp;Y33,"")</f>
        <v>- maria-goretti</v>
      </c>
      <c r="BB33" s="155" t="str">
        <f>IF(LEN(Z33)&gt;0,"- "&amp;Z33,"")</f>
        <v/>
      </c>
      <c r="BC33" s="155" t="str">
        <f>IF(LEN(AA33)&gt;0,"- "&amp;AA33,"")</f>
        <v/>
      </c>
      <c r="BD33" s="155" t="str">
        <f>IF(LEN(AB33)&gt;0,"- "&amp;AB33,"")</f>
        <v/>
      </c>
      <c r="BE33" s="155" t="str">
        <f>IF(LEN(AC33)&gt;0,"- "&amp;AC33,"")</f>
        <v/>
      </c>
      <c r="BF33" s="155" t="str">
        <f>IF(LEN(AD33)&gt;0,"- "&amp;AD33,"")</f>
        <v/>
      </c>
      <c r="BG33" s="155" t="str">
        <f>IF(LEN(AE33)&gt;0,"- "&amp;AE33,"")</f>
        <v/>
      </c>
      <c r="BH33" s="155" t="str">
        <f>IF(LEN(AF33)&gt;0,"- "&amp;AF33,"")</f>
        <v/>
      </c>
      <c r="BI33" s="155" t="str">
        <f>IF(LEN(AG33)&gt;0,"- "&amp;AG33,"")</f>
        <v/>
      </c>
      <c r="BJ33" s="155" t="str">
        <f>IF(LEN(AH33)&gt;0,"- "&amp;AH33,"")</f>
        <v/>
      </c>
      <c r="BK33" s="155" t="str">
        <f>"tags:"&amp;CHAR(10)&amp;concatl(AV33:BJ33)</f>
        <v xml:space="preserve">tags:
- italy_x000D_
- corinaldo_x000D_
- churches_x000D_
- holy-persons_x000D_
- maria-goretti_x000D_
</v>
      </c>
      <c r="BL33" s="155" t="str">
        <f>IF(LEN(N33)&gt;0,TRIM(CONCATENATE("[Official site](",N33,") ",O33)),"")</f>
        <v/>
      </c>
      <c r="BM33" s="155" t="str">
        <f>IF(LEN(Q33)&gt;0,TRIM(CONCATENATE("["&amp;P33&amp;"](",Q33,") ",R33)),"")</f>
        <v/>
      </c>
      <c r="BN33" s="155" t="str">
        <f>IF(LEN(T33)&gt;0,TRIM(CONCATENATE("["&amp;S33&amp;"](",T33,") ",U33)),"")</f>
        <v/>
      </c>
      <c r="BO33" s="155" t="str">
        <f>IF(LEN(W33)&gt;0,TRIM(CONCATENATE("["&amp;V33&amp;"](",W33,") ",X33)),"")</f>
        <v/>
      </c>
      <c r="BP33" s="155" t="str">
        <f>IF(LEN(BL33)&gt;0,"* "&amp;BL33&amp;CHAR(10),"")&amp;
IF(LEN(BM33)&gt;0,"* "&amp;BM33&amp;CHAR(10),"")&amp;
IF(LEN(BN33)&gt;0,"* "&amp;BN33&amp;CHAR(10),"")&amp;
IF(LEN(BO33)&gt;0,"* "&amp;BO33&amp;CHAR(10),"")</f>
        <v/>
      </c>
      <c r="BQ33" s="155" t="str">
        <f>IF(LEN(AK33)&gt;0,TRIM(CONCATENATE("[Link](",AK33,") ",AL33)),"")</f>
        <v/>
      </c>
      <c r="BR33" s="155" t="str">
        <f>IF(LEN(AM33)&gt;0,TRIM(CONCATENATE("[Link](",AM33,") ",AN33)),"")</f>
        <v/>
      </c>
      <c r="BS33" s="155" t="str">
        <f>IF(LEN(AO33)&gt;0,TRIM(CONCATENATE("[Link](",AO33,") ",AP33)),"")</f>
        <v/>
      </c>
      <c r="BT33" s="155" t="str">
        <f>IF(LEN(concat(BQ33:BS33))&gt;0,concat("| ",BQ33," | ",BR33," | ",BS33," |"),"")</f>
        <v/>
      </c>
      <c r="BU33" s="155" t="str">
        <f>IF(J33,concatl("| The Real Presence | Miracle Hunter | MaryPages |","| --- | --- | --- |",BT33),"")</f>
        <v/>
      </c>
      <c r="BV33" s="155" t="str">
        <f>IF(LEN(BP33&amp;BU33)&gt;0,concatll("#### More Information",BP33,BU33),"")</f>
        <v/>
      </c>
      <c r="BW33" s="155" t="str">
        <f>IF(LEN(M33)&gt;1,concatll("#### Author's Note",M33),"")</f>
        <v/>
      </c>
      <c r="BX33" s="23" t="str">
        <f>IF(AR33,concatll(concatl("---",AS33:AU33,BK33,"---"),L33,BV33:BW33),"")</f>
        <v xml:space="preserve">---_x000D_
title: "Church of St. Francis, Corinaldo"_x000D_
location: {lat: 43.650785, lng: 13.047758}_x000D_
interest: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33" s="23" t="str">
        <f>IF(AR33,VLOOKUP(B33,'(Ref) Countries'!A:B,2,)&amp;IF(LEN(C33)&gt;1,"-"&amp;LOWER(SUBSTITUTE(C33," ","-")),"")&amp;"-"&amp;LOWER(SUBSTITUTE(SUBSTITUTE(G33," ","-"),".",""))&amp;".md","")</f>
        <v>it-corinaldo-church-of-st-francis.md</v>
      </c>
      <c r="BZ33" s="29" t="str">
        <f>IF(LEN(Y33)&gt;1,VLOOKUP(Y33,'Tag List'!$A:$B,2,),"")</f>
        <v>St. Maria Goretti</v>
      </c>
      <c r="CA33" s="29" t="str">
        <f>IF(LEN(Z33)&gt;1,VLOOKUP(Z33,'Tag List'!$A:$B,2,),"")</f>
        <v/>
      </c>
      <c r="CB33" s="29" t="str">
        <f>IF(LEN(AA33)&gt;1,VLOOKUP(AA33,'Tag List'!$A:$B,2,),"")</f>
        <v/>
      </c>
      <c r="CC33" s="29" t="str">
        <f>IF(LEN(Y33)&gt;1,GetTagPage(BZ33,Y33),"")</f>
        <v>[St. Maria Goretti](/tags/maria-goretti)</v>
      </c>
      <c r="CD33" s="29" t="str">
        <f>IF(LEN(Z33)&gt;1,GetTagPage(CA33,Z33),"")</f>
        <v/>
      </c>
      <c r="CE33" s="29" t="str">
        <f>IF(LEN(AA33)&gt;1,GetTagPage(CB33,AA33),"")</f>
        <v/>
      </c>
      <c r="CF33" s="29" t="str">
        <f>"|"&amp;IF(LEN(CC33)&gt;1," "&amp;CC33,"")&amp;IF(LEN(CD33)&gt;1,", "&amp;CD33,"")&amp;IF(LEN(CE33)&gt;1,", "&amp;CE33,"")&amp;" "</f>
        <v xml:space="preserve">| [St. Maria Goretti](/tags/maria-goretti) </v>
      </c>
      <c r="CG33" s="29" t="str">
        <f>"| "&amp;IF(AR33,"["&amp;AI33&amp;"](/places/"&amp;SUBSTITUTE(BY33,".md","")&amp;")",AI33)&amp;" "</f>
        <v xml:space="preserve">| [](/places/it-corinaldo-church-of-st-francis) </v>
      </c>
      <c r="CH33" s="29" t="str">
        <f>"| "&amp;IF(AR33,GetTagPage(B33,VLOOKUP(B33,'(Ref) Countries'!A:C,3,)),B33)&amp; " "</f>
        <v xml:space="preserve">| [Italy](/tags/italy) </v>
      </c>
      <c r="CI33" s="29" t="str">
        <f>"| "&amp;AJ33&amp;" "</f>
        <v xml:space="preserve">|  </v>
      </c>
      <c r="CJ33" s="29" t="str">
        <f>"|"&amp;IF(AR33," [Link](/places/"&amp;SUBSTITUTE(BY33,".md","")&amp;")","")&amp;" "</f>
        <v xml:space="preserve">| [Link](/places/it-corinaldo-church-of-st-francis) </v>
      </c>
      <c r="CK33" s="29" t="str">
        <f>"
"&amp;CG33&amp;CH33&amp;CI33&amp;CJ33&amp;BL33&amp;BQ33&amp;BR33&amp;BS33&amp;CF33&amp;"|"</f>
        <v xml:space="preserve">
| [](/places/it-corinaldo-church-of-st-francis) | [Italy](/tags/italy) |  | [Link](/places/it-corinaldo-church-of-st-francis) | [St. Maria Goretti](/tags/maria-goretti) |</v>
      </c>
    </row>
    <row r="34" spans="1:89" x14ac:dyDescent="0.25">
      <c r="A34" s="168" t="s">
        <v>1320</v>
      </c>
      <c r="B34" s="24" t="s">
        <v>11</v>
      </c>
      <c r="C34" s="24" t="s">
        <v>1866</v>
      </c>
      <c r="D34" s="15">
        <v>43.659849000000001</v>
      </c>
      <c r="E34" s="49">
        <v>13.051119999999999</v>
      </c>
      <c r="F34" s="24" t="s">
        <v>1869</v>
      </c>
      <c r="G34" s="90" t="s">
        <v>1869</v>
      </c>
      <c r="H34" s="83" t="s">
        <v>1825</v>
      </c>
      <c r="K34" s="24" t="b">
        <v>1</v>
      </c>
      <c r="L34" s="83" t="s">
        <v>1870</v>
      </c>
      <c r="O34" s="15" t="s">
        <v>336</v>
      </c>
      <c r="Y34" s="15" t="s">
        <v>1752</v>
      </c>
      <c r="AR34" s="154" t="b">
        <f>IF(OR(A34="Done",A34="In Progress"),TRUE)</f>
        <v>1</v>
      </c>
      <c r="AS34" s="155" t="str">
        <f>"title: """&amp;F34&amp;""""</f>
        <v>title: "Birthplace of St. Maria Goretti"</v>
      </c>
      <c r="AT34" s="155" t="str">
        <f>"location: {lat: "&amp;D34&amp;", lng: "&amp;E34&amp;"}"</f>
        <v>location: {lat: 43.659849, lng: 13.05112}</v>
      </c>
      <c r="AU34" s="155" t="str">
        <f>"interest: "&amp;H34</f>
        <v>interest: local</v>
      </c>
      <c r="AV34" s="155" t="str">
        <f>"- "&amp;VLOOKUP(B34,'(Ref) Countries'!A:C,3,)</f>
        <v>- italy</v>
      </c>
      <c r="AW34" s="155" t="str">
        <f>IF(LEN(C34)&gt;1,"- "&amp;LOWER(SUBSTITUTE(C34," ","-")),"")</f>
        <v>- corinaldo</v>
      </c>
      <c r="AX34" s="155" t="str">
        <f>IF(I34,"- churches","")</f>
        <v/>
      </c>
      <c r="AY34" s="155" t="str">
        <f>IF(J34,"- marian-sites","")</f>
        <v/>
      </c>
      <c r="AZ34" s="155" t="str">
        <f>IF(K34,"- holy-persons","")</f>
        <v>- holy-persons</v>
      </c>
      <c r="BA34" s="155" t="str">
        <f>IF(LEN(Y34)&gt;0,"- "&amp;Y34,"")</f>
        <v>- maria-goretti</v>
      </c>
      <c r="BB34" s="155" t="str">
        <f>IF(LEN(Z34)&gt;0,"- "&amp;Z34,"")</f>
        <v/>
      </c>
      <c r="BC34" s="155" t="str">
        <f>IF(LEN(AA34)&gt;0,"- "&amp;AA34,"")</f>
        <v/>
      </c>
      <c r="BD34" s="155" t="str">
        <f>IF(LEN(AB34)&gt;0,"- "&amp;AB34,"")</f>
        <v/>
      </c>
      <c r="BE34" s="155" t="str">
        <f>IF(LEN(AC34)&gt;0,"- "&amp;AC34,"")</f>
        <v/>
      </c>
      <c r="BF34" s="155" t="str">
        <f>IF(LEN(AD34)&gt;0,"- "&amp;AD34,"")</f>
        <v/>
      </c>
      <c r="BG34" s="155" t="str">
        <f>IF(LEN(AE34)&gt;0,"- "&amp;AE34,"")</f>
        <v/>
      </c>
      <c r="BH34" s="155" t="str">
        <f>IF(LEN(AF34)&gt;0,"- "&amp;AF34,"")</f>
        <v/>
      </c>
      <c r="BI34" s="155" t="str">
        <f>IF(LEN(AG34)&gt;0,"- "&amp;AG34,"")</f>
        <v/>
      </c>
      <c r="BJ34" s="155" t="str">
        <f>IF(LEN(AH34)&gt;0,"- "&amp;AH34,"")</f>
        <v/>
      </c>
      <c r="BK34" s="155" t="str">
        <f>"tags:"&amp;CHAR(10)&amp;concatl(AV34:BJ34)</f>
        <v xml:space="preserve">tags:
- italy_x000D_
- corinaldo_x000D_
- holy-persons_x000D_
- maria-goretti_x000D_
</v>
      </c>
      <c r="BL34" s="155" t="str">
        <f>IF(LEN(N34)&gt;0,TRIM(CONCATENATE("[Official site](",N34,") ",O34)),"")</f>
        <v/>
      </c>
      <c r="BM34" s="155" t="str">
        <f>IF(LEN(Q34)&gt;0,TRIM(CONCATENATE("["&amp;P34&amp;"](",Q34,") ",R34)),"")</f>
        <v/>
      </c>
      <c r="BN34" s="155" t="str">
        <f>IF(LEN(T34)&gt;0,TRIM(CONCATENATE("["&amp;S34&amp;"](",T34,") ",U34)),"")</f>
        <v/>
      </c>
      <c r="BO34" s="155" t="str">
        <f>IF(LEN(W34)&gt;0,TRIM(CONCATENATE("["&amp;V34&amp;"](",W34,") ",X34)),"")</f>
        <v/>
      </c>
      <c r="BP34" s="155" t="str">
        <f>IF(LEN(BL34)&gt;0,"* "&amp;BL34&amp;CHAR(10),"")&amp;
IF(LEN(BM34)&gt;0,"* "&amp;BM34&amp;CHAR(10),"")&amp;
IF(LEN(BN34)&gt;0,"* "&amp;BN34&amp;CHAR(10),"")&amp;
IF(LEN(BO34)&gt;0,"* "&amp;BO34&amp;CHAR(10),"")</f>
        <v/>
      </c>
      <c r="BQ34" s="155" t="str">
        <f>IF(LEN(AK34)&gt;0,TRIM(CONCATENATE("[Link](",AK34,") ",AL34)),"")</f>
        <v/>
      </c>
      <c r="BR34" s="155" t="str">
        <f>IF(LEN(AM34)&gt;0,TRIM(CONCATENATE("[Link](",AM34,") ",AN34)),"")</f>
        <v/>
      </c>
      <c r="BS34" s="155" t="str">
        <f>IF(LEN(AO34)&gt;0,TRIM(CONCATENATE("[Link](",AO34,") ",AP34)),"")</f>
        <v/>
      </c>
      <c r="BT34" s="155" t="str">
        <f>IF(LEN(concat(BQ34:BS34))&gt;0,concat("| ",BQ34," | ",BR34," | ",BS34," |"),"")</f>
        <v/>
      </c>
      <c r="BU34" s="155" t="str">
        <f>IF(J34,concatl("| The Real Presence | Miracle Hunter | MaryPages |","| --- | --- | --- |",BT34),"")</f>
        <v/>
      </c>
      <c r="BV34" s="155" t="str">
        <f>IF(LEN(BP34&amp;BU34)&gt;0,concatll("#### More Information",BP34,BU34),"")</f>
        <v/>
      </c>
      <c r="BW34" s="155" t="str">
        <f>IF(LEN(M34)&gt;1,concatll("#### Author's Note",M34),"")</f>
        <v/>
      </c>
      <c r="BX34" s="23" t="str">
        <f>IF(AR34,concatll(concatl("---",AS34:AU34,BK34,"---"),L34,BV34:BW34),"")</f>
        <v xml:space="preserve">---_x000D_
title: "Birthplace of St. Maria Goretti"_x000D_
location: {lat: 43.659849, lng: 13.05112}_x000D_
interest: local_x000D_
tags:
- italy_x000D_
- corinaldo_x000D_
- holy-persons_x000D_
- maria-goretti_x000D_
_x000D_
---_x000D_
_x000D_
_x000D_
Here St. Maria Goretti was born on October 16, 1890._x000D_
_x000D_
</v>
      </c>
      <c r="BY34" s="23" t="str">
        <f>IF(AR34,VLOOKUP(B34,'(Ref) Countries'!A:B,2,)&amp;IF(LEN(C34)&gt;1,"-"&amp;LOWER(SUBSTITUTE(C34," ","-")),"")&amp;"-"&amp;LOWER(SUBSTITUTE(SUBSTITUTE(G34," ","-"),".",""))&amp;".md","")</f>
        <v>it-corinaldo-birthplace-of-st-maria-goretti.md</v>
      </c>
      <c r="BZ34" s="29" t="str">
        <f>IF(LEN(Y34)&gt;1,VLOOKUP(Y34,'Tag List'!$A:$B,2,),"")</f>
        <v>St. Maria Goretti</v>
      </c>
      <c r="CA34" s="29" t="str">
        <f>IF(LEN(Z34)&gt;1,VLOOKUP(Z34,'Tag List'!$A:$B,2,),"")</f>
        <v/>
      </c>
      <c r="CB34" s="29" t="str">
        <f>IF(LEN(AA34)&gt;1,VLOOKUP(AA34,'Tag List'!$A:$B,2,),"")</f>
        <v/>
      </c>
      <c r="CC34" s="29" t="str">
        <f>IF(LEN(Y34)&gt;1,GetTagPage(BZ34,Y34),"")</f>
        <v>[St. Maria Goretti](/tags/maria-goretti)</v>
      </c>
      <c r="CD34" s="29" t="str">
        <f>IF(LEN(Z34)&gt;1,GetTagPage(CA34,Z34),"")</f>
        <v/>
      </c>
      <c r="CE34" s="29" t="str">
        <f>IF(LEN(AA34)&gt;1,GetTagPage(CB34,AA34),"")</f>
        <v/>
      </c>
      <c r="CF34" s="29" t="str">
        <f>"|"&amp;IF(LEN(CC34)&gt;1," "&amp;CC34,"")&amp;IF(LEN(CD34)&gt;1,", "&amp;CD34,"")&amp;IF(LEN(CE34)&gt;1,", "&amp;CE34,"")&amp;" "</f>
        <v xml:space="preserve">| [St. Maria Goretti](/tags/maria-goretti) </v>
      </c>
      <c r="CG34" s="29" t="str">
        <f>"| "&amp;IF(AR34,"["&amp;AI34&amp;"](/places/"&amp;SUBSTITUTE(BY34,".md","")&amp;")",AI34)&amp;" "</f>
        <v xml:space="preserve">| [](/places/it-corinaldo-birthplace-of-st-maria-goretti) </v>
      </c>
      <c r="CH34" s="29" t="str">
        <f>"| "&amp;IF(AR34,GetTagPage(B34,VLOOKUP(B34,'(Ref) Countries'!A:C,3,)),B34)&amp; " "</f>
        <v xml:space="preserve">| [Italy](/tags/italy) </v>
      </c>
      <c r="CI34" s="29" t="str">
        <f>"| "&amp;AJ34&amp;" "</f>
        <v xml:space="preserve">|  </v>
      </c>
      <c r="CJ34" s="29" t="str">
        <f>"|"&amp;IF(AR34," [Link](/places/"&amp;SUBSTITUTE(BY34,".md","")&amp;")","")&amp;" "</f>
        <v xml:space="preserve">| [Link](/places/it-corinaldo-birthplace-of-st-maria-goretti) </v>
      </c>
      <c r="CK34" s="29" t="str">
        <f>"
"&amp;CG34&amp;CH34&amp;CI34&amp;CJ34&amp;BL34&amp;BQ34&amp;BR34&amp;BS34&amp;CF34&amp;"|"</f>
        <v xml:space="preserve">
| [](/places/it-corinaldo-birthplace-of-st-maria-goretti) | [Italy](/tags/italy) |  | [Link](/places/it-corinaldo-birthplace-of-st-maria-goretti) | [St. Maria Goretti](/tags/maria-goretti) |</v>
      </c>
    </row>
    <row r="35" spans="1:89" ht="38.25" x14ac:dyDescent="0.25">
      <c r="A35" s="168" t="s">
        <v>1320</v>
      </c>
      <c r="B35" s="24" t="s">
        <v>11</v>
      </c>
      <c r="C35" s="24" t="s">
        <v>1866</v>
      </c>
      <c r="D35" s="15">
        <v>43.649306500000002</v>
      </c>
      <c r="E35" s="49">
        <v>13.0472097</v>
      </c>
      <c r="F35" s="83" t="s">
        <v>1872</v>
      </c>
      <c r="G35" s="90" t="s">
        <v>2490</v>
      </c>
      <c r="H35" s="83" t="s">
        <v>1759</v>
      </c>
      <c r="I35" s="24" t="b">
        <v>1</v>
      </c>
      <c r="K35" s="24" t="b">
        <v>1</v>
      </c>
      <c r="L35" s="83" t="s">
        <v>1873</v>
      </c>
      <c r="N35" s="15" t="s">
        <v>1871</v>
      </c>
      <c r="O35" s="15" t="s">
        <v>336</v>
      </c>
      <c r="Y35" s="15" t="s">
        <v>1752</v>
      </c>
      <c r="AR35" s="154" t="b">
        <f>IF(OR(A35="Done",A35="In Progress"),TRUE)</f>
        <v>1</v>
      </c>
      <c r="AS35" s="155" t="str">
        <f>"title: """&amp;F35&amp;""""</f>
        <v>title: "Diocesan Sanctuary of St. Maria Goretti"</v>
      </c>
      <c r="AT35" s="155" t="str">
        <f>"location: {lat: "&amp;D35&amp;", lng: "&amp;E35&amp;"}"</f>
        <v>location: {lat: 43.6493065, lng: 13.0472097}</v>
      </c>
      <c r="AU35" s="155" t="str">
        <f>"interest: "&amp;H35</f>
        <v>interest: regional</v>
      </c>
      <c r="AV35" s="155" t="str">
        <f>"- "&amp;VLOOKUP(B35,'(Ref) Countries'!A:C,3,)</f>
        <v>- italy</v>
      </c>
      <c r="AW35" s="155" t="str">
        <f>IF(LEN(C35)&gt;1,"- "&amp;LOWER(SUBSTITUTE(C35," ","-")),"")</f>
        <v>- corinaldo</v>
      </c>
      <c r="AX35" s="155" t="str">
        <f>IF(I35,"- churches","")</f>
        <v>- churches</v>
      </c>
      <c r="AY35" s="155" t="str">
        <f>IF(J35,"- marian-sites","")</f>
        <v/>
      </c>
      <c r="AZ35" s="155" t="str">
        <f>IF(K35,"- holy-persons","")</f>
        <v>- holy-persons</v>
      </c>
      <c r="BA35" s="155" t="str">
        <f>IF(LEN(Y35)&gt;0,"- "&amp;Y35,"")</f>
        <v>- maria-goretti</v>
      </c>
      <c r="BB35" s="155" t="str">
        <f>IF(LEN(Z35)&gt;0,"- "&amp;Z35,"")</f>
        <v/>
      </c>
      <c r="BC35" s="155" t="str">
        <f>IF(LEN(AA35)&gt;0,"- "&amp;AA35,"")</f>
        <v/>
      </c>
      <c r="BD35" s="155" t="str">
        <f>IF(LEN(AB35)&gt;0,"- "&amp;AB35,"")</f>
        <v/>
      </c>
      <c r="BE35" s="155" t="str">
        <f>IF(LEN(AC35)&gt;0,"- "&amp;AC35,"")</f>
        <v/>
      </c>
      <c r="BF35" s="155" t="str">
        <f>IF(LEN(AD35)&gt;0,"- "&amp;AD35,"")</f>
        <v/>
      </c>
      <c r="BG35" s="155" t="str">
        <f>IF(LEN(AE35)&gt;0,"- "&amp;AE35,"")</f>
        <v/>
      </c>
      <c r="BH35" s="155" t="str">
        <f>IF(LEN(AF35)&gt;0,"- "&amp;AF35,"")</f>
        <v/>
      </c>
      <c r="BI35" s="155" t="str">
        <f>IF(LEN(AG35)&gt;0,"- "&amp;AG35,"")</f>
        <v/>
      </c>
      <c r="BJ35" s="155" t="str">
        <f>IF(LEN(AH35)&gt;0,"- "&amp;AH35,"")</f>
        <v/>
      </c>
      <c r="BK35" s="155" t="str">
        <f>"tags:"&amp;CHAR(10)&amp;concatl(AV35:BJ35)</f>
        <v xml:space="preserve">tags:
- italy_x000D_
- corinaldo_x000D_
- churches_x000D_
- holy-persons_x000D_
- maria-goretti_x000D_
</v>
      </c>
      <c r="BL35" s="155" t="str">
        <f>IF(LEN(N35)&gt;0,TRIM(CONCATENATE("[Official site](",N35,") ",O35)),"")</f>
        <v>[Official site](https://www.santamariagoretti.it/home/)</v>
      </c>
      <c r="BM35" s="155" t="str">
        <f>IF(LEN(Q35)&gt;0,TRIM(CONCATENATE("["&amp;P35&amp;"](",Q35,") ",R35)),"")</f>
        <v/>
      </c>
      <c r="BN35" s="155" t="str">
        <f>IF(LEN(T35)&gt;0,TRIM(CONCATENATE("["&amp;S35&amp;"](",T35,") ",U35)),"")</f>
        <v/>
      </c>
      <c r="BO35" s="155" t="str">
        <f>IF(LEN(W35)&gt;0,TRIM(CONCATENATE("["&amp;V35&amp;"](",W35,") ",X35)),"")</f>
        <v/>
      </c>
      <c r="BP35" s="155" t="str">
        <f>IF(LEN(BL35)&gt;0,"* "&amp;BL35&amp;CHAR(10),"")&amp;
IF(LEN(BM35)&gt;0,"* "&amp;BM35&amp;CHAR(10),"")&amp;
IF(LEN(BN35)&gt;0,"* "&amp;BN35&amp;CHAR(10),"")&amp;
IF(LEN(BO35)&gt;0,"* "&amp;BO35&amp;CHAR(10),"")</f>
        <v xml:space="preserve">* [Official site](https://www.santamariagoretti.it/home/)
</v>
      </c>
      <c r="BQ35" s="155" t="str">
        <f>IF(LEN(AK35)&gt;0,TRIM(CONCATENATE("[Link](",AK35,") ",AL35)),"")</f>
        <v/>
      </c>
      <c r="BR35" s="155" t="str">
        <f>IF(LEN(AM35)&gt;0,TRIM(CONCATENATE("[Link](",AM35,") ",AN35)),"")</f>
        <v/>
      </c>
      <c r="BS35" s="155" t="str">
        <f>IF(LEN(AO35)&gt;0,TRIM(CONCATENATE("[Link](",AO35,") ",AP35)),"")</f>
        <v/>
      </c>
      <c r="BT35" s="155" t="str">
        <f>IF(LEN(concat(BQ35:BS35))&gt;0,concat("| ",BQ35," | ",BR35," | ",BS35," |"),"")</f>
        <v/>
      </c>
      <c r="BU35" s="155" t="str">
        <f>IF(J35,concatl("| The Real Presence | Miracle Hunter | MaryPages |","| --- | --- | --- |",BT35),"")</f>
        <v/>
      </c>
      <c r="BV35" s="155" t="str">
        <f>IF(LEN(BP35&amp;BU35)&gt;0,concatll("#### More Information",BP35,BU35),"")</f>
        <v xml:space="preserve">#### More Information_x000D_
_x000D_
* [Official site](https://www.santamariagoretti.it/home/)
_x000D_
_x000D_
</v>
      </c>
      <c r="BW35" s="155" t="str">
        <f>IF(LEN(M35)&gt;1,concatll("#### Author's Note",M35),"")</f>
        <v/>
      </c>
      <c r="BX35" s="23" t="str">
        <f>IF(AR35,concatll(concatl("---",AS35:AU35,BK35,"---"),L35,BV35:BW35),"")</f>
        <v xml:space="preserve">---_x000D_
title: "Diocesan Sanctuary of St. Maria Goretti"_x000D_
location: {lat: 43.6493065, lng: 13.0472097}_x000D_
interest: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35" s="23" t="str">
        <f>IF(AR35,VLOOKUP(B35,'(Ref) Countries'!A:B,2,)&amp;IF(LEN(C35)&gt;1,"-"&amp;LOWER(SUBSTITUTE(C35," ","-")),"")&amp;"-"&amp;LOWER(SUBSTITUTE(SUBSTITUTE(G35," ","-"),".",""))&amp;".md","")</f>
        <v>it-corinaldo-sanctuary-of-st-maria-goretti.md</v>
      </c>
      <c r="BZ35" s="29" t="str">
        <f>IF(LEN(Y35)&gt;1,VLOOKUP(Y35,'Tag List'!$A:$B,2,),"")</f>
        <v>St. Maria Goretti</v>
      </c>
      <c r="CA35" s="29" t="str">
        <f>IF(LEN(Z35)&gt;1,VLOOKUP(Z35,'Tag List'!$A:$B,2,),"")</f>
        <v/>
      </c>
      <c r="CB35" s="29" t="str">
        <f>IF(LEN(AA35)&gt;1,VLOOKUP(AA35,'Tag List'!$A:$B,2,),"")</f>
        <v/>
      </c>
      <c r="CC35" s="29" t="str">
        <f>IF(LEN(Y35)&gt;1,GetTagPage(BZ35,Y35),"")</f>
        <v>[St. Maria Goretti](/tags/maria-goretti)</v>
      </c>
      <c r="CD35" s="29" t="str">
        <f>IF(LEN(Z35)&gt;1,GetTagPage(CA35,Z35),"")</f>
        <v/>
      </c>
      <c r="CE35" s="29" t="str">
        <f>IF(LEN(AA35)&gt;1,GetTagPage(CB35,AA35),"")</f>
        <v/>
      </c>
      <c r="CF35" s="29" t="str">
        <f>"|"&amp;IF(LEN(CC35)&gt;1," "&amp;CC35,"")&amp;IF(LEN(CD35)&gt;1,", "&amp;CD35,"")&amp;IF(LEN(CE35)&gt;1,", "&amp;CE35,"")&amp;" "</f>
        <v xml:space="preserve">| [St. Maria Goretti](/tags/maria-goretti) </v>
      </c>
      <c r="CG35" s="29" t="str">
        <f>"| "&amp;IF(AR35,"["&amp;AI35&amp;"](/places/"&amp;SUBSTITUTE(BY35,".md","")&amp;")",AI35)&amp;" "</f>
        <v xml:space="preserve">| [](/places/it-corinaldo-sanctuary-of-st-maria-goretti) </v>
      </c>
      <c r="CH35" s="29" t="str">
        <f>"| "&amp;IF(AR35,GetTagPage(B35,VLOOKUP(B35,'(Ref) Countries'!A:C,3,)),B35)&amp; " "</f>
        <v xml:space="preserve">| [Italy](/tags/italy) </v>
      </c>
      <c r="CI35" s="29" t="str">
        <f>"| "&amp;AJ35&amp;" "</f>
        <v xml:space="preserve">|  </v>
      </c>
      <c r="CJ35" s="29" t="str">
        <f>"|"&amp;IF(AR35," [Link](/places/"&amp;SUBSTITUTE(BY35,".md","")&amp;")","")&amp;" "</f>
        <v xml:space="preserve">| [Link](/places/it-corinaldo-sanctuary-of-st-maria-goretti) </v>
      </c>
      <c r="CK35" s="29" t="str">
        <f>"
"&amp;CG35&amp;CH35&amp;CI35&amp;CJ35&amp;BL35&amp;BQ35&amp;BR35&amp;BS35&amp;CF35&amp;"|"</f>
        <v xml:space="preserve">
| [](/places/it-corinaldo-sanctuary-of-st-maria-goretti) | [Italy](/tags/italy) |  | [Link](/places/it-corinaldo-sanctuary-of-st-maria-goretti) [Official site](https://www.santamariagoretti.it/home/)| [St. Maria Goretti](/tags/maria-goretti) |</v>
      </c>
    </row>
    <row r="36" spans="1:89" ht="38.25" x14ac:dyDescent="0.25">
      <c r="A36" s="168" t="s">
        <v>1320</v>
      </c>
      <c r="B36" s="83" t="s">
        <v>11</v>
      </c>
      <c r="C36" s="83" t="s">
        <v>1874</v>
      </c>
      <c r="D36" s="15">
        <v>41.516100799999997</v>
      </c>
      <c r="E36" s="49">
        <v>12.7567</v>
      </c>
      <c r="F36" s="83" t="s">
        <v>1875</v>
      </c>
      <c r="G36" s="53" t="s">
        <v>1875</v>
      </c>
      <c r="H36" s="83" t="s">
        <v>1759</v>
      </c>
      <c r="K36" s="24" t="b">
        <v>1</v>
      </c>
      <c r="L36" s="83" t="s">
        <v>1876</v>
      </c>
      <c r="O36" s="15" t="s">
        <v>336</v>
      </c>
      <c r="Y36" s="15" t="s">
        <v>1752</v>
      </c>
      <c r="AR36" s="154" t="b">
        <f>IF(OR(A36="Done",A36="In Progress"),TRUE)</f>
        <v>1</v>
      </c>
      <c r="AS36" s="155" t="str">
        <f>"title: """&amp;F36&amp;""""</f>
        <v>title: "Goretti House"</v>
      </c>
      <c r="AT36" s="155" t="str">
        <f>"location: {lat: "&amp;D36&amp;", lng: "&amp;E36&amp;"}"</f>
        <v>location: {lat: 41.5161008, lng: 12.7567}</v>
      </c>
      <c r="AU36" s="155" t="str">
        <f>"interest: "&amp;H36</f>
        <v>interest: regional</v>
      </c>
      <c r="AV36" s="155" t="str">
        <f>"- "&amp;VLOOKUP(B36,'(Ref) Countries'!A:C,3,)</f>
        <v>- italy</v>
      </c>
      <c r="AW36" s="155" t="str">
        <f>IF(LEN(C36)&gt;1,"- "&amp;LOWER(SUBSTITUTE(C36," ","-")),"")</f>
        <v>- la-ferriere</v>
      </c>
      <c r="AX36" s="155" t="str">
        <f>IF(I36,"- churches","")</f>
        <v/>
      </c>
      <c r="AY36" s="155" t="str">
        <f>IF(J36,"- marian-sites","")</f>
        <v/>
      </c>
      <c r="AZ36" s="155" t="str">
        <f>IF(K36,"- holy-persons","")</f>
        <v>- holy-persons</v>
      </c>
      <c r="BA36" s="155" t="str">
        <f>IF(LEN(Y36)&gt;0,"- "&amp;Y36,"")</f>
        <v>- maria-goretti</v>
      </c>
      <c r="BB36" s="155" t="str">
        <f>IF(LEN(Z36)&gt;0,"- "&amp;Z36,"")</f>
        <v/>
      </c>
      <c r="BC36" s="155" t="str">
        <f>IF(LEN(AA36)&gt;0,"- "&amp;AA36,"")</f>
        <v/>
      </c>
      <c r="BD36" s="155" t="str">
        <f>IF(LEN(AB36)&gt;0,"- "&amp;AB36,"")</f>
        <v/>
      </c>
      <c r="BE36" s="155" t="str">
        <f>IF(LEN(AC36)&gt;0,"- "&amp;AC36,"")</f>
        <v/>
      </c>
      <c r="BF36" s="155" t="str">
        <f>IF(LEN(AD36)&gt;0,"- "&amp;AD36,"")</f>
        <v/>
      </c>
      <c r="BG36" s="155" t="str">
        <f>IF(LEN(AE36)&gt;0,"- "&amp;AE36,"")</f>
        <v/>
      </c>
      <c r="BH36" s="155" t="str">
        <f>IF(LEN(AF36)&gt;0,"- "&amp;AF36,"")</f>
        <v/>
      </c>
      <c r="BI36" s="155" t="str">
        <f>IF(LEN(AG36)&gt;0,"- "&amp;AG36,"")</f>
        <v/>
      </c>
      <c r="BJ36" s="155" t="str">
        <f>IF(LEN(AH36)&gt;0,"- "&amp;AH36,"")</f>
        <v/>
      </c>
      <c r="BK36" s="155" t="str">
        <f>"tags:"&amp;CHAR(10)&amp;concatl(AV36:BJ36)</f>
        <v xml:space="preserve">tags:
- italy_x000D_
- la-ferriere_x000D_
- holy-persons_x000D_
- maria-goretti_x000D_
</v>
      </c>
      <c r="BL36" s="155" t="str">
        <f>IF(LEN(N36)&gt;0,TRIM(CONCATENATE("[Official site](",N36,") ",O36)),"")</f>
        <v/>
      </c>
      <c r="BM36" s="155" t="str">
        <f>IF(LEN(Q36)&gt;0,TRIM(CONCATENATE("["&amp;P36&amp;"](",Q36,") ",R36)),"")</f>
        <v/>
      </c>
      <c r="BN36" s="155" t="str">
        <f>IF(LEN(T36)&gt;0,TRIM(CONCATENATE("["&amp;S36&amp;"](",T36,") ",U36)),"")</f>
        <v/>
      </c>
      <c r="BO36" s="155" t="str">
        <f>IF(LEN(W36)&gt;0,TRIM(CONCATENATE("["&amp;V36&amp;"](",W36,") ",X36)),"")</f>
        <v/>
      </c>
      <c r="BP36" s="155" t="str">
        <f>IF(LEN(BL36)&gt;0,"* "&amp;BL36&amp;CHAR(10),"")&amp;
IF(LEN(BM36)&gt;0,"* "&amp;BM36&amp;CHAR(10),"")&amp;
IF(LEN(BN36)&gt;0,"* "&amp;BN36&amp;CHAR(10),"")&amp;
IF(LEN(BO36)&gt;0,"* "&amp;BO36&amp;CHAR(10),"")</f>
        <v/>
      </c>
      <c r="BQ36" s="155" t="str">
        <f>IF(LEN(AK36)&gt;0,TRIM(CONCATENATE("[Link](",AK36,") ",AL36)),"")</f>
        <v/>
      </c>
      <c r="BR36" s="155" t="str">
        <f>IF(LEN(AM36)&gt;0,TRIM(CONCATENATE("[Link](",AM36,") ",AN36)),"")</f>
        <v/>
      </c>
      <c r="BS36" s="155" t="str">
        <f>IF(LEN(AO36)&gt;0,TRIM(CONCATENATE("[Link](",AO36,") ",AP36)),"")</f>
        <v/>
      </c>
      <c r="BT36" s="155" t="str">
        <f>IF(LEN(concat(BQ36:BS36))&gt;0,concat("| ",BQ36," | ",BR36," | ",BS36," |"),"")</f>
        <v/>
      </c>
      <c r="BU36" s="155" t="str">
        <f>IF(J36,concatl("| The Real Presence | Miracle Hunter | MaryPages |","| --- | --- | --- |",BT36),"")</f>
        <v/>
      </c>
      <c r="BV36" s="155" t="str">
        <f>IF(LEN(BP36&amp;BU36)&gt;0,concatll("#### More Information",BP36,BU36),"")</f>
        <v/>
      </c>
      <c r="BW36" s="155" t="str">
        <f>IF(LEN(M36)&gt;1,concatll("#### Author's Note",M36),"")</f>
        <v/>
      </c>
      <c r="BX36" s="23" t="str">
        <f>IF(AR36,concatll(concatl("---",AS36:AU36,BK36,"---"),L36,BV36:BW36),"")</f>
        <v xml:space="preserve">---_x000D_
title: "Goretti House"_x000D_
location: {lat: 41.5161008, lng: 12.7567}_x000D_
interest: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36" s="23" t="str">
        <f>IF(AR36,VLOOKUP(B36,'(Ref) Countries'!A:B,2,)&amp;IF(LEN(C36)&gt;1,"-"&amp;LOWER(SUBSTITUTE(C36," ","-")),"")&amp;"-"&amp;LOWER(SUBSTITUTE(SUBSTITUTE(G36," ","-"),".",""))&amp;".md","")</f>
        <v>it-la-ferriere-goretti-house.md</v>
      </c>
      <c r="BZ36" s="29" t="str">
        <f>IF(LEN(Y36)&gt;1,VLOOKUP(Y36,'Tag List'!$A:$B,2,),"")</f>
        <v>St. Maria Goretti</v>
      </c>
      <c r="CA36" s="29" t="str">
        <f>IF(LEN(Z36)&gt;1,VLOOKUP(Z36,'Tag List'!$A:$B,2,),"")</f>
        <v/>
      </c>
      <c r="CB36" s="29" t="str">
        <f>IF(LEN(AA36)&gt;1,VLOOKUP(AA36,'Tag List'!$A:$B,2,),"")</f>
        <v/>
      </c>
      <c r="CC36" s="29" t="str">
        <f>IF(LEN(Y36)&gt;1,GetTagPage(BZ36,Y36),"")</f>
        <v>[St. Maria Goretti](/tags/maria-goretti)</v>
      </c>
      <c r="CD36" s="29" t="str">
        <f>IF(LEN(Z36)&gt;1,GetTagPage(CA36,Z36),"")</f>
        <v/>
      </c>
      <c r="CE36" s="29" t="str">
        <f>IF(LEN(AA36)&gt;1,GetTagPage(CB36,AA36),"")</f>
        <v/>
      </c>
      <c r="CF36" s="29" t="str">
        <f>"|"&amp;IF(LEN(CC36)&gt;1," "&amp;CC36,"")&amp;IF(LEN(CD36)&gt;1,", "&amp;CD36,"")&amp;IF(LEN(CE36)&gt;1,", "&amp;CE36,"")&amp;" "</f>
        <v xml:space="preserve">| [St. Maria Goretti](/tags/maria-goretti) </v>
      </c>
      <c r="CG36" s="29" t="str">
        <f>"| "&amp;IF(AR36,"["&amp;AI36&amp;"](/places/"&amp;SUBSTITUTE(BY36,".md","")&amp;")",AI36)&amp;" "</f>
        <v xml:space="preserve">| [](/places/it-la-ferriere-goretti-house) </v>
      </c>
      <c r="CH36" s="29" t="str">
        <f>"| "&amp;IF(AR36,GetTagPage(B36,VLOOKUP(B36,'(Ref) Countries'!A:C,3,)),B36)&amp; " "</f>
        <v xml:space="preserve">| [Italy](/tags/italy) </v>
      </c>
      <c r="CI36" s="29" t="str">
        <f>"| "&amp;AJ36&amp;" "</f>
        <v xml:space="preserve">|  </v>
      </c>
      <c r="CJ36" s="29" t="str">
        <f>"|"&amp;IF(AR36," [Link](/places/"&amp;SUBSTITUTE(BY36,".md","")&amp;")","")&amp;" "</f>
        <v xml:space="preserve">| [Link](/places/it-la-ferriere-goretti-house) </v>
      </c>
      <c r="CK36" s="29" t="str">
        <f>"
"&amp;CG36&amp;CH36&amp;CI36&amp;CJ36&amp;BL36&amp;BQ36&amp;BR36&amp;BS36&amp;CF36&amp;"|"</f>
        <v xml:space="preserve">
| [](/places/it-la-ferriere-goretti-house) | [Italy](/tags/italy) |  | [Link](/places/it-la-ferriere-goretti-house) | [St. Maria Goretti](/tags/maria-goretti) |</v>
      </c>
    </row>
    <row r="37" spans="1:89" x14ac:dyDescent="0.25">
      <c r="A37" s="168" t="s">
        <v>1320</v>
      </c>
      <c r="B37" s="83" t="s">
        <v>11</v>
      </c>
      <c r="C37" s="83" t="s">
        <v>1877</v>
      </c>
      <c r="D37" s="15">
        <v>41.457250000000002</v>
      </c>
      <c r="E37" s="49">
        <v>12.655849999999999</v>
      </c>
      <c r="F37" s="83" t="s">
        <v>1878</v>
      </c>
      <c r="G37" s="90" t="s">
        <v>1878</v>
      </c>
      <c r="H37" s="83" t="s">
        <v>1825</v>
      </c>
      <c r="K37" s="24" t="b">
        <v>1</v>
      </c>
      <c r="L37" s="24" t="s">
        <v>1881</v>
      </c>
      <c r="O37" s="15" t="s">
        <v>336</v>
      </c>
      <c r="Y37" s="15" t="s">
        <v>1752</v>
      </c>
      <c r="AR37" s="154" t="b">
        <f>IF(OR(A37="Done",A37="In Progress"),TRUE)</f>
        <v>1</v>
      </c>
      <c r="AS37" s="155" t="str">
        <f>"title: """&amp;F37&amp;""""</f>
        <v>title: "Statue of St. Maria Goretti"</v>
      </c>
      <c r="AT37" s="155" t="str">
        <f>"location: {lat: "&amp;D37&amp;", lng: "&amp;E37&amp;"}"</f>
        <v>location: {lat: 41.45725, lng: 12.65585}</v>
      </c>
      <c r="AU37" s="155" t="str">
        <f>"interest: "&amp;H37</f>
        <v>interest: local</v>
      </c>
      <c r="AV37" s="155" t="str">
        <f>"- "&amp;VLOOKUP(B37,'(Ref) Countries'!A:C,3,)</f>
        <v>- italy</v>
      </c>
      <c r="AW37" s="155" t="str">
        <f>IF(LEN(C37)&gt;1,"- "&amp;LOWER(SUBSTITUTE(C37," ","-")),"")</f>
        <v>- nettuno</v>
      </c>
      <c r="AX37" s="155" t="str">
        <f>IF(I37,"- churches","")</f>
        <v/>
      </c>
      <c r="AY37" s="155" t="str">
        <f>IF(J37,"- marian-sites","")</f>
        <v/>
      </c>
      <c r="AZ37" s="155" t="str">
        <f>IF(K37,"- holy-persons","")</f>
        <v>- holy-persons</v>
      </c>
      <c r="BA37" s="155" t="str">
        <f>IF(LEN(Y37)&gt;0,"- "&amp;Y37,"")</f>
        <v>- maria-goretti</v>
      </c>
      <c r="BB37" s="155" t="str">
        <f>IF(LEN(Z37)&gt;0,"- "&amp;Z37,"")</f>
        <v/>
      </c>
      <c r="BC37" s="155" t="str">
        <f>IF(LEN(AA37)&gt;0,"- "&amp;AA37,"")</f>
        <v/>
      </c>
      <c r="BD37" s="155" t="str">
        <f>IF(LEN(AB37)&gt;0,"- "&amp;AB37,"")</f>
        <v/>
      </c>
      <c r="BE37" s="155" t="str">
        <f>IF(LEN(AC37)&gt;0,"- "&amp;AC37,"")</f>
        <v/>
      </c>
      <c r="BF37" s="155" t="str">
        <f>IF(LEN(AD37)&gt;0,"- "&amp;AD37,"")</f>
        <v/>
      </c>
      <c r="BG37" s="155" t="str">
        <f>IF(LEN(AE37)&gt;0,"- "&amp;AE37,"")</f>
        <v/>
      </c>
      <c r="BH37" s="155" t="str">
        <f>IF(LEN(AF37)&gt;0,"- "&amp;AF37,"")</f>
        <v/>
      </c>
      <c r="BI37" s="155" t="str">
        <f>IF(LEN(AG37)&gt;0,"- "&amp;AG37,"")</f>
        <v/>
      </c>
      <c r="BJ37" s="155" t="str">
        <f>IF(LEN(AH37)&gt;0,"- "&amp;AH37,"")</f>
        <v/>
      </c>
      <c r="BK37" s="155" t="str">
        <f>"tags:"&amp;CHAR(10)&amp;concatl(AV37:BJ37)</f>
        <v xml:space="preserve">tags:
- italy_x000D_
- nettuno_x000D_
- holy-persons_x000D_
- maria-goretti_x000D_
</v>
      </c>
      <c r="BL37" s="155" t="str">
        <f>IF(LEN(N37)&gt;0,TRIM(CONCATENATE("[Official site](",N37,") ",O37)),"")</f>
        <v/>
      </c>
      <c r="BM37" s="155" t="str">
        <f>IF(LEN(Q37)&gt;0,TRIM(CONCATENATE("["&amp;P37&amp;"](",Q37,") ",R37)),"")</f>
        <v/>
      </c>
      <c r="BN37" s="155" t="str">
        <f>IF(LEN(T37)&gt;0,TRIM(CONCATENATE("["&amp;S37&amp;"](",T37,") ",U37)),"")</f>
        <v/>
      </c>
      <c r="BO37" s="155" t="str">
        <f>IF(LEN(W37)&gt;0,TRIM(CONCATENATE("["&amp;V37&amp;"](",W37,") ",X37)),"")</f>
        <v/>
      </c>
      <c r="BP37" s="155" t="str">
        <f>IF(LEN(BL37)&gt;0,"* "&amp;BL37&amp;CHAR(10),"")&amp;
IF(LEN(BM37)&gt;0,"* "&amp;BM37&amp;CHAR(10),"")&amp;
IF(LEN(BN37)&gt;0,"* "&amp;BN37&amp;CHAR(10),"")&amp;
IF(LEN(BO37)&gt;0,"* "&amp;BO37&amp;CHAR(10),"")</f>
        <v/>
      </c>
      <c r="BQ37" s="155" t="str">
        <f>IF(LEN(AK37)&gt;0,TRIM(CONCATENATE("[Link](",AK37,") ",AL37)),"")</f>
        <v/>
      </c>
      <c r="BR37" s="155" t="str">
        <f>IF(LEN(AM37)&gt;0,TRIM(CONCATENATE("[Link](",AM37,") ",AN37)),"")</f>
        <v/>
      </c>
      <c r="BS37" s="155" t="str">
        <f>IF(LEN(AO37)&gt;0,TRIM(CONCATENATE("[Link](",AO37,") ",AP37)),"")</f>
        <v/>
      </c>
      <c r="BT37" s="155" t="str">
        <f>IF(LEN(concat(BQ37:BS37))&gt;0,concat("| ",BQ37," | ",BR37," | ",BS37," |"),"")</f>
        <v/>
      </c>
      <c r="BU37" s="155" t="str">
        <f>IF(J37,concatl("| The Real Presence | Miracle Hunter | MaryPages |","| --- | --- | --- |",BT37),"")</f>
        <v/>
      </c>
      <c r="BV37" s="155" t="str">
        <f>IF(LEN(BP37&amp;BU37)&gt;0,concatll("#### More Information",BP37,BU37),"")</f>
        <v/>
      </c>
      <c r="BW37" s="155" t="str">
        <f>IF(LEN(M37)&gt;1,concatll("#### Author's Note",M37),"")</f>
        <v/>
      </c>
      <c r="BX37" s="23" t="str">
        <f>IF(AR37,concatll(concatl("---",AS37:AU37,BK37,"---"),L37,BV37:BW37),"")</f>
        <v xml:space="preserve">---_x000D_
title: "Statue of St. Maria Goretti"_x000D_
location: {lat: 41.45725, lng: 12.65585}_x000D_
interest: local_x000D_
tags:
- italy_x000D_
- nettuno_x000D_
- holy-persons_x000D_
- maria-goretti_x000D_
_x000D_
---_x000D_
_x000D_
_x000D_
A statue of St. Maria Goretti in Nettuno, the town where she died._x000D_
_x000D_
</v>
      </c>
      <c r="BY37" s="23" t="str">
        <f>IF(AR37,VLOOKUP(B37,'(Ref) Countries'!A:B,2,)&amp;IF(LEN(C37)&gt;1,"-"&amp;LOWER(SUBSTITUTE(C37," ","-")),"")&amp;"-"&amp;LOWER(SUBSTITUTE(SUBSTITUTE(G37," ","-"),".",""))&amp;".md","")</f>
        <v>it-nettuno-statue-of-st-maria-goretti.md</v>
      </c>
      <c r="BZ37" s="29" t="str">
        <f>IF(LEN(Y37)&gt;1,VLOOKUP(Y37,'Tag List'!$A:$B,2,),"")</f>
        <v>St. Maria Goretti</v>
      </c>
      <c r="CA37" s="29" t="str">
        <f>IF(LEN(Z37)&gt;1,VLOOKUP(Z37,'Tag List'!$A:$B,2,),"")</f>
        <v/>
      </c>
      <c r="CB37" s="29" t="str">
        <f>IF(LEN(AA37)&gt;1,VLOOKUP(AA37,'Tag List'!$A:$B,2,),"")</f>
        <v/>
      </c>
      <c r="CC37" s="29" t="str">
        <f>IF(LEN(Y37)&gt;1,GetTagPage(BZ37,Y37),"")</f>
        <v>[St. Maria Goretti](/tags/maria-goretti)</v>
      </c>
      <c r="CD37" s="29" t="str">
        <f>IF(LEN(Z37)&gt;1,GetTagPage(CA37,Z37),"")</f>
        <v/>
      </c>
      <c r="CE37" s="29" t="str">
        <f>IF(LEN(AA37)&gt;1,GetTagPage(CB37,AA37),"")</f>
        <v/>
      </c>
      <c r="CF37" s="29" t="str">
        <f>"|"&amp;IF(LEN(CC37)&gt;1," "&amp;CC37,"")&amp;IF(LEN(CD37)&gt;1,", "&amp;CD37,"")&amp;IF(LEN(CE37)&gt;1,", "&amp;CE37,"")&amp;" "</f>
        <v xml:space="preserve">| [St. Maria Goretti](/tags/maria-goretti) </v>
      </c>
      <c r="CG37" s="29" t="str">
        <f>"| "&amp;IF(AR37,"["&amp;AI37&amp;"](/places/"&amp;SUBSTITUTE(BY37,".md","")&amp;")",AI37)&amp;" "</f>
        <v xml:space="preserve">| [](/places/it-nettuno-statue-of-st-maria-goretti) </v>
      </c>
      <c r="CH37" s="29" t="str">
        <f>"| "&amp;IF(AR37,GetTagPage(B37,VLOOKUP(B37,'(Ref) Countries'!A:C,3,)),B37)&amp; " "</f>
        <v xml:space="preserve">| [Italy](/tags/italy) </v>
      </c>
      <c r="CI37" s="29" t="str">
        <f>"| "&amp;AJ37&amp;" "</f>
        <v xml:space="preserve">|  </v>
      </c>
      <c r="CJ37" s="29" t="str">
        <f>"|"&amp;IF(AR37," [Link](/places/"&amp;SUBSTITUTE(BY37,".md","")&amp;")","")&amp;" "</f>
        <v xml:space="preserve">| [Link](/places/it-nettuno-statue-of-st-maria-goretti) </v>
      </c>
      <c r="CK37" s="29" t="str">
        <f>"
"&amp;CG37&amp;CH37&amp;CI37&amp;CJ37&amp;BL37&amp;BQ37&amp;BR37&amp;BS37&amp;CF37&amp;"|"</f>
        <v xml:space="preserve">
| [](/places/it-nettuno-statue-of-st-maria-goretti) | [Italy](/tags/italy) |  | [Link](/places/it-nettuno-statue-of-st-maria-goretti) | [St. Maria Goretti](/tags/maria-goretti) |</v>
      </c>
    </row>
    <row r="38" spans="1:89" ht="51" x14ac:dyDescent="0.25">
      <c r="A38" s="168" t="s">
        <v>1320</v>
      </c>
      <c r="B38" s="83" t="s">
        <v>11</v>
      </c>
      <c r="C38" s="83" t="s">
        <v>1877</v>
      </c>
      <c r="D38" s="15">
        <v>41.456946000000002</v>
      </c>
      <c r="E38" s="49">
        <v>12.649850000000001</v>
      </c>
      <c r="F38" s="83" t="s">
        <v>1897</v>
      </c>
      <c r="G38" s="90" t="s">
        <v>2491</v>
      </c>
      <c r="H38" s="24" t="s">
        <v>1825</v>
      </c>
      <c r="K38" s="24" t="b">
        <v>1</v>
      </c>
      <c r="L38" s="83" t="s">
        <v>1882</v>
      </c>
      <c r="O38" s="15" t="s">
        <v>336</v>
      </c>
      <c r="Y38" s="15" t="s">
        <v>1752</v>
      </c>
      <c r="AR38" s="154" t="b">
        <f>IF(OR(A38="Done",A38="In Progress"),TRUE)</f>
        <v>1</v>
      </c>
      <c r="AS38" s="155" t="str">
        <f>"title: """&amp;F38&amp;""""</f>
        <v>title: "St. Maria Goretti Tent of Pardon (Tenda del Perdono)"</v>
      </c>
      <c r="AT38" s="155" t="str">
        <f>"location: {lat: "&amp;D38&amp;", lng: "&amp;E38&amp;"}"</f>
        <v>location: {lat: 41.456946, lng: 12.64985}</v>
      </c>
      <c r="AU38" s="155" t="str">
        <f>"interest: "&amp;H38</f>
        <v>interest: local</v>
      </c>
      <c r="AV38" s="155" t="str">
        <f>"- "&amp;VLOOKUP(B38,'(Ref) Countries'!A:C,3,)</f>
        <v>- italy</v>
      </c>
      <c r="AW38" s="155" t="str">
        <f>IF(LEN(C38)&gt;1,"- "&amp;LOWER(SUBSTITUTE(C38," ","-")),"")</f>
        <v>- nettuno</v>
      </c>
      <c r="AX38" s="155" t="str">
        <f>IF(I38,"- churches","")</f>
        <v/>
      </c>
      <c r="AY38" s="155" t="str">
        <f>IF(J38,"- marian-sites","")</f>
        <v/>
      </c>
      <c r="AZ38" s="155" t="str">
        <f>IF(K38,"- holy-persons","")</f>
        <v>- holy-persons</v>
      </c>
      <c r="BA38" s="155" t="str">
        <f>IF(LEN(Y38)&gt;0,"- "&amp;Y38,"")</f>
        <v>- maria-goretti</v>
      </c>
      <c r="BB38" s="155" t="str">
        <f>IF(LEN(Z38)&gt;0,"- "&amp;Z38,"")</f>
        <v/>
      </c>
      <c r="BC38" s="155" t="str">
        <f>IF(LEN(AA38)&gt;0,"- "&amp;AA38,"")</f>
        <v/>
      </c>
      <c r="BD38" s="155" t="str">
        <f>IF(LEN(AB38)&gt;0,"- "&amp;AB38,"")</f>
        <v/>
      </c>
      <c r="BE38" s="155" t="str">
        <f>IF(LEN(AC38)&gt;0,"- "&amp;AC38,"")</f>
        <v/>
      </c>
      <c r="BF38" s="155" t="str">
        <f>IF(LEN(AD38)&gt;0,"- "&amp;AD38,"")</f>
        <v/>
      </c>
      <c r="BG38" s="155" t="str">
        <f>IF(LEN(AE38)&gt;0,"- "&amp;AE38,"")</f>
        <v/>
      </c>
      <c r="BH38" s="155" t="str">
        <f>IF(LEN(AF38)&gt;0,"- "&amp;AF38,"")</f>
        <v/>
      </c>
      <c r="BI38" s="155" t="str">
        <f>IF(LEN(AG38)&gt;0,"- "&amp;AG38,"")</f>
        <v/>
      </c>
      <c r="BJ38" s="155" t="str">
        <f>IF(LEN(AH38)&gt;0,"- "&amp;AH38,"")</f>
        <v/>
      </c>
      <c r="BK38" s="155" t="str">
        <f>"tags:"&amp;CHAR(10)&amp;concatl(AV38:BJ38)</f>
        <v xml:space="preserve">tags:
- italy_x000D_
- nettuno_x000D_
- holy-persons_x000D_
- maria-goretti_x000D_
</v>
      </c>
      <c r="BL38" s="155" t="str">
        <f>IF(LEN(N38)&gt;0,TRIM(CONCATENATE("[Official site](",N38,") ",O38)),"")</f>
        <v/>
      </c>
      <c r="BM38" s="155" t="str">
        <f>IF(LEN(Q38)&gt;0,TRIM(CONCATENATE("["&amp;P38&amp;"](",Q38,") ",R38)),"")</f>
        <v/>
      </c>
      <c r="BN38" s="155" t="str">
        <f>IF(LEN(T38)&gt;0,TRIM(CONCATENATE("["&amp;S38&amp;"](",T38,") ",U38)),"")</f>
        <v/>
      </c>
      <c r="BO38" s="155" t="str">
        <f>IF(LEN(W38)&gt;0,TRIM(CONCATENATE("["&amp;V38&amp;"](",W38,") ",X38)),"")</f>
        <v/>
      </c>
      <c r="BP38" s="155" t="str">
        <f>IF(LEN(BL38)&gt;0,"* "&amp;BL38&amp;CHAR(10),"")&amp;
IF(LEN(BM38)&gt;0,"* "&amp;BM38&amp;CHAR(10),"")&amp;
IF(LEN(BN38)&gt;0,"* "&amp;BN38&amp;CHAR(10),"")&amp;
IF(LEN(BO38)&gt;0,"* "&amp;BO38&amp;CHAR(10),"")</f>
        <v/>
      </c>
      <c r="BQ38" s="155" t="str">
        <f>IF(LEN(AK38)&gt;0,TRIM(CONCATENATE("[Link](",AK38,") ",AL38)),"")</f>
        <v/>
      </c>
      <c r="BR38" s="155" t="str">
        <f>IF(LEN(AM38)&gt;0,TRIM(CONCATENATE("[Link](",AM38,") ",AN38)),"")</f>
        <v/>
      </c>
      <c r="BS38" s="155" t="str">
        <f>IF(LEN(AO38)&gt;0,TRIM(CONCATENATE("[Link](",AO38,") ",AP38)),"")</f>
        <v/>
      </c>
      <c r="BT38" s="155" t="str">
        <f>IF(LEN(concat(BQ38:BS38))&gt;0,concat("| ",BQ38," | ",BR38," | ",BS38," |"),"")</f>
        <v/>
      </c>
      <c r="BU38" s="155" t="str">
        <f>IF(J38,concatl("| The Real Presence | Miracle Hunter | MaryPages |","| --- | --- | --- |",BT38),"")</f>
        <v/>
      </c>
      <c r="BV38" s="155" t="str">
        <f>IF(LEN(BP38&amp;BU38)&gt;0,concatll("#### More Information",BP38,BU38),"")</f>
        <v/>
      </c>
      <c r="BW38" s="155" t="str">
        <f>IF(LEN(M38)&gt;1,concatll("#### Author's Note",M38),"")</f>
        <v/>
      </c>
      <c r="BX38" s="23" t="str">
        <f>IF(AR38,concatll(concatl("---",AS38:AU38,BK38,"---"),L38,BV38:BW38),"")</f>
        <v xml:space="preserve">---_x000D_
title: "St. Maria Goretti Tent of Pardon (Tenda del Perdono)"_x000D_
location: {lat: 41.456946, lng: 12.64985}_x000D_
interest: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38" s="23" t="str">
        <f>IF(AR38,VLOOKUP(B38,'(Ref) Countries'!A:B,2,)&amp;IF(LEN(C38)&gt;1,"-"&amp;LOWER(SUBSTITUTE(C38," ","-")),"")&amp;"-"&amp;LOWER(SUBSTITUTE(SUBSTITUTE(G38," ","-"),".",""))&amp;".md","")</f>
        <v>it-nettuno-st-maria-goretti-tent-of-pardon.md</v>
      </c>
      <c r="BZ38" s="29" t="str">
        <f>IF(LEN(Y38)&gt;1,VLOOKUP(Y38,'Tag List'!$A:$B,2,),"")</f>
        <v>St. Maria Goretti</v>
      </c>
      <c r="CA38" s="29" t="str">
        <f>IF(LEN(Z38)&gt;1,VLOOKUP(Z38,'Tag List'!$A:$B,2,),"")</f>
        <v/>
      </c>
      <c r="CB38" s="29" t="str">
        <f>IF(LEN(AA38)&gt;1,VLOOKUP(AA38,'Tag List'!$A:$B,2,),"")</f>
        <v/>
      </c>
      <c r="CC38" s="29" t="str">
        <f>IF(LEN(Y38)&gt;1,GetTagPage(BZ38,Y38),"")</f>
        <v>[St. Maria Goretti](/tags/maria-goretti)</v>
      </c>
      <c r="CD38" s="29" t="str">
        <f>IF(LEN(Z38)&gt;1,GetTagPage(CA38,Z38),"")</f>
        <v/>
      </c>
      <c r="CE38" s="29" t="str">
        <f>IF(LEN(AA38)&gt;1,GetTagPage(CB38,AA38),"")</f>
        <v/>
      </c>
      <c r="CF38" s="29" t="str">
        <f>"|"&amp;IF(LEN(CC38)&gt;1," "&amp;CC38,"")&amp;IF(LEN(CD38)&gt;1,", "&amp;CD38,"")&amp;IF(LEN(CE38)&gt;1,", "&amp;CE38,"")&amp;" "</f>
        <v xml:space="preserve">| [St. Maria Goretti](/tags/maria-goretti) </v>
      </c>
      <c r="CG38" s="29" t="str">
        <f>"| "&amp;IF(AR38,"["&amp;AI38&amp;"](/places/"&amp;SUBSTITUTE(BY38,".md","")&amp;")",AI38)&amp;" "</f>
        <v xml:space="preserve">| [](/places/it-nettuno-st-maria-goretti-tent-of-pardon) </v>
      </c>
      <c r="CH38" s="29" t="str">
        <f>"| "&amp;IF(AR38,GetTagPage(B38,VLOOKUP(B38,'(Ref) Countries'!A:C,3,)),B38)&amp; " "</f>
        <v xml:space="preserve">| [Italy](/tags/italy) </v>
      </c>
      <c r="CI38" s="29" t="str">
        <f>"| "&amp;AJ38&amp;" "</f>
        <v xml:space="preserve">|  </v>
      </c>
      <c r="CJ38" s="29" t="str">
        <f>"|"&amp;IF(AR38," [Link](/places/"&amp;SUBSTITUTE(BY38,".md","")&amp;")","")&amp;" "</f>
        <v xml:space="preserve">| [Link](/places/it-nettuno-st-maria-goretti-tent-of-pardon) </v>
      </c>
      <c r="CK38" s="29" t="str">
        <f>"
"&amp;CG38&amp;CH38&amp;CI38&amp;CJ38&amp;BL38&amp;BQ38&amp;BR38&amp;BS38&amp;CF38&amp;"|"</f>
        <v xml:space="preserve">
| [](/places/it-nettuno-st-maria-goretti-tent-of-pardon) | [Italy](/tags/italy) |  | [Link](/places/it-nettuno-st-maria-goretti-tent-of-pardon) | [St. Maria Goretti](/tags/maria-goretti) |</v>
      </c>
    </row>
    <row r="39" spans="1:89" ht="51" x14ac:dyDescent="0.25">
      <c r="A39" s="168" t="s">
        <v>1320</v>
      </c>
      <c r="B39" s="24" t="s">
        <v>592</v>
      </c>
      <c r="D39" s="15">
        <v>39.759224404162097</v>
      </c>
      <c r="E39" s="49">
        <v>140.14975314135</v>
      </c>
      <c r="F39" s="24" t="s">
        <v>1355</v>
      </c>
      <c r="G39" s="53" t="s">
        <v>1356</v>
      </c>
      <c r="H39" s="24" t="s">
        <v>1715</v>
      </c>
      <c r="I39" s="40" t="b">
        <v>1</v>
      </c>
      <c r="J39" s="24" t="b">
        <v>1</v>
      </c>
      <c r="L39" s="24" t="s">
        <v>1371</v>
      </c>
      <c r="N39" s="15" t="s">
        <v>1357</v>
      </c>
      <c r="O39" s="15" t="s">
        <v>336</v>
      </c>
      <c r="Y39" s="15" t="s">
        <v>336</v>
      </c>
      <c r="AI39" s="85" t="s">
        <v>1305</v>
      </c>
      <c r="AJ39" s="86">
        <v>1973</v>
      </c>
      <c r="AK39" s="15" t="s">
        <v>327</v>
      </c>
      <c r="AL39" s="15" t="s">
        <v>336</v>
      </c>
      <c r="AM39" s="15" t="s">
        <v>1349</v>
      </c>
      <c r="AN39" s="15" t="s">
        <v>336</v>
      </c>
      <c r="AO39" s="15" t="s">
        <v>1348</v>
      </c>
      <c r="AP39" s="49" t="s">
        <v>336</v>
      </c>
      <c r="AR39" s="154" t="b">
        <f>IF(OR(A39="Done",A39="In Progress"),TRUE)</f>
        <v>1</v>
      </c>
      <c r="AS39" s="155" t="str">
        <f>"title: """&amp;F39&amp;""""</f>
        <v>title: "Seitai Hoshikai (Our Lady of Akita)"</v>
      </c>
      <c r="AT39" s="155" t="str">
        <f>"location: {lat: "&amp;D39&amp;", lng: "&amp;E39&amp;"}"</f>
        <v>location: {lat: 39.7592244041621, lng: 140.14975314135}</v>
      </c>
      <c r="AU39" s="155" t="str">
        <f>"interest: "&amp;H39</f>
        <v>interest: global</v>
      </c>
      <c r="AV39" s="155" t="str">
        <f>"- "&amp;VLOOKUP(B39,'(Ref) Countries'!A:C,3,)</f>
        <v>- japan</v>
      </c>
      <c r="AW39" s="155" t="str">
        <f>IF(LEN(C39)&gt;1,"- "&amp;LOWER(SUBSTITUTE(C39," ","-")),"")</f>
        <v/>
      </c>
      <c r="AX39" s="155" t="str">
        <f>IF(I39,"- churches","")</f>
        <v>- churches</v>
      </c>
      <c r="AY39" s="155" t="str">
        <f>IF(J39,"- marian-sites","")</f>
        <v>- marian-sites</v>
      </c>
      <c r="AZ39" s="155" t="str">
        <f>IF(K39,"- holy-persons","")</f>
        <v/>
      </c>
      <c r="BA39" s="155" t="str">
        <f>IF(LEN(Y39)&gt;0,"- "&amp;Y39,"")</f>
        <v/>
      </c>
      <c r="BB39" s="155" t="str">
        <f>IF(LEN(Z39)&gt;0,"- "&amp;Z39,"")</f>
        <v/>
      </c>
      <c r="BC39" s="155" t="str">
        <f>IF(LEN(AA39)&gt;0,"- "&amp;AA39,"")</f>
        <v/>
      </c>
      <c r="BD39" s="155" t="str">
        <f>IF(LEN(AB39)&gt;0,"- "&amp;AB39,"")</f>
        <v/>
      </c>
      <c r="BE39" s="155" t="str">
        <f>IF(LEN(AC39)&gt;0,"- "&amp;AC39,"")</f>
        <v/>
      </c>
      <c r="BF39" s="155" t="str">
        <f>IF(LEN(AD39)&gt;0,"- "&amp;AD39,"")</f>
        <v/>
      </c>
      <c r="BG39" s="155" t="str">
        <f>IF(LEN(AE39)&gt;0,"- "&amp;AE39,"")</f>
        <v/>
      </c>
      <c r="BH39" s="155" t="str">
        <f>IF(LEN(AF39)&gt;0,"- "&amp;AF39,"")</f>
        <v/>
      </c>
      <c r="BI39" s="155" t="str">
        <f>IF(LEN(AG39)&gt;0,"- "&amp;AG39,"")</f>
        <v/>
      </c>
      <c r="BJ39" s="155" t="str">
        <f>IF(LEN(AH39)&gt;0,"- "&amp;AH39,"")</f>
        <v/>
      </c>
      <c r="BK39" s="155" t="str">
        <f>"tags:"&amp;CHAR(10)&amp;concatl(AV39:BJ39)</f>
        <v xml:space="preserve">tags:
- japan_x000D_
- churches_x000D_
- marian-sites_x000D_
</v>
      </c>
      <c r="BL39" s="158" t="str">
        <f>IF(LEN(N39)&gt;0,TRIM(CONCATENATE("[Official site](",N39,") ",O39)),"")</f>
        <v>[Official site](https://www.seitaihoshikai.com/)</v>
      </c>
      <c r="BM39" s="158" t="str">
        <f>IF(LEN(Q39)&gt;0,TRIM(CONCATENATE("["&amp;P39&amp;"](",Q39,") ",R39)),"")</f>
        <v/>
      </c>
      <c r="BN39" s="158" t="str">
        <f>IF(LEN(T39)&gt;0,TRIM(CONCATENATE("["&amp;S39&amp;"](",T39,") ",U39)),"")</f>
        <v/>
      </c>
      <c r="BO39" s="158" t="str">
        <f>IF(LEN(W39)&gt;0,TRIM(CONCATENATE("["&amp;V39&amp;"](",W39,") ",X39)),"")</f>
        <v/>
      </c>
      <c r="BP39" s="158" t="str">
        <f>IF(LEN(BL39)&gt;0,"* "&amp;BL39&amp;CHAR(10),"")&amp;
IF(LEN(BM39)&gt;0,"* "&amp;BM39&amp;CHAR(10),"")&amp;
IF(LEN(BN39)&gt;0,"* "&amp;BN39&amp;CHAR(10),"")&amp;
IF(LEN(BO39)&gt;0,"* "&amp;BO39&amp;CHAR(10),"")</f>
        <v xml:space="preserve">* [Official site](https://www.seitaihoshikai.com/)
</v>
      </c>
      <c r="BQ39" s="158" t="str">
        <f>IF(LEN(AK39)&gt;0,TRIM(CONCATENATE("[Link](",AK39,") ",AL39)),"")</f>
        <v>[Link](http://www.therealpresence.org/eucharst/misc/BVM/01_AKITA_60x96.pdf)</v>
      </c>
      <c r="BR39" s="158" t="str">
        <f>IF(LEN(AM39)&gt;0,TRIM(CONCATENATE("[Link](",AM39,") ",AN39)),"")</f>
        <v>[Link](https://www.miraclehunter.com/marian_apparitions/approved_apparitions/akita/index.html)</v>
      </c>
      <c r="BS39" s="158" t="str">
        <f>IF(LEN(AO39)&gt;0,TRIM(CONCATENATE("[Link](",AO39,") ",AP39)),"")</f>
        <v>[Link](https://www.marypages.com/akita-(japan)-en.html)</v>
      </c>
      <c r="BT39" s="158" t="str">
        <f>IF(LEN(concat(BQ39:BS39))&gt;0,concat("| ",BQ39," | ",BR39," | ",BS39," |"),"")</f>
        <v>| [Link](http://www.therealpresence.org/eucharst/misc/BVM/01_AKITA_60x96.pdf) | [Link](https://www.miraclehunter.com/marian_apparitions/approved_apparitions/akita/index.html) | [Link](https://www.marypages.com/akita-(japan)-en.html) |</v>
      </c>
      <c r="BU39" s="155" t="str">
        <f>IF(J39,concatl("| The Real Presence | Miracle Hunter | MaryPages |","| --- | --- | --- |",BT39),"")</f>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155"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155" t="str">
        <f>IF(LEN(M39)&gt;1,concatll("#### Author's Note",M39),"")</f>
        <v/>
      </c>
      <c r="BX39" s="23" t="str">
        <f>IF(AR39,concatll(concatl("---",AS39:AU39,BK39,"---"),L39,BV39:BW39),"")</f>
        <v xml:space="preserve">---_x000D_
title: "Seitai Hoshikai (Our Lady of Akita)"_x000D_
location: {lat: 39.7592244041621, lng: 140.14975314135}_x000D_
interest: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"|"&amp;IF(LEN(CC39)&gt;1," "&amp;CC39,"")&amp;IF(LEN(CD39)&gt;1,", "&amp;CD39,"")&amp;IF(LEN(CE39)&gt;1,", "&amp;CE39,"")&amp;" "</f>
        <v xml:space="preserve">| </v>
      </c>
      <c r="CG39" s="30" t="str">
        <f>"| "&amp;IF(AR39,"["&amp;AI39&amp;"](/places/"&amp;SUBSTITUTE(BY39,".md","")&amp;")",AI39)&amp;" "</f>
        <v xml:space="preserve">| [Akita](/places/jp-seitai-hoshikai) </v>
      </c>
      <c r="CH39" s="30" t="str">
        <f>"| "&amp;IF(AR39,GetTagPage(B39,VLOOKUP(B39,'(Ref) Countries'!A:C,3,)),B39)&amp; " "</f>
        <v xml:space="preserve">| [Japan](/tags/japan) </v>
      </c>
      <c r="CI39" s="30" t="str">
        <f>"| "&amp;AJ39&amp;" "</f>
        <v xml:space="preserve">| 1973 </v>
      </c>
      <c r="CJ39" s="30" t="str">
        <f>"|"&amp;IF(AR39," [Link](/places/"&amp;SUBSTITUTE(BY39,".md","")&amp;")","")&amp;" "</f>
        <v xml:space="preserve">| [Link](/places/jp-seitai-hoshikai) </v>
      </c>
      <c r="CK39" s="29" t="str">
        <f>"
"&amp;CG39&amp;CH39&amp;CI39&amp;CJ39&amp;BL39&amp;BQ39&amp;BR39&amp;BS39&amp;CF39&amp;"|"</f>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63.75" x14ac:dyDescent="0.25">
      <c r="A40" s="168" t="s">
        <v>1320</v>
      </c>
      <c r="B40" s="24" t="s">
        <v>607</v>
      </c>
      <c r="D40" s="15">
        <v>55.530612599999998</v>
      </c>
      <c r="E40" s="49">
        <v>23.219925199999999</v>
      </c>
      <c r="F40" s="24" t="s">
        <v>1029</v>
      </c>
      <c r="G40" s="53" t="s">
        <v>1005</v>
      </c>
      <c r="H40" s="24" t="s">
        <v>1715</v>
      </c>
      <c r="I40" s="40" t="b">
        <v>1</v>
      </c>
      <c r="J40" s="24" t="b">
        <v>1</v>
      </c>
      <c r="L40" s="24" t="s">
        <v>462</v>
      </c>
      <c r="M40" s="55" t="s">
        <v>1735</v>
      </c>
      <c r="N40" s="15" t="s">
        <v>1006</v>
      </c>
      <c r="O40" s="15" t="s">
        <v>336</v>
      </c>
      <c r="Y40" s="16" t="s">
        <v>336</v>
      </c>
      <c r="Z40" s="16"/>
      <c r="AA40" s="16"/>
      <c r="AB40" s="16"/>
      <c r="AC40" s="16"/>
      <c r="AD40" s="16"/>
      <c r="AE40" s="16"/>
      <c r="AF40" s="16"/>
      <c r="AG40" s="16"/>
      <c r="AH40" s="16"/>
      <c r="AI40" s="85" t="s">
        <v>1004</v>
      </c>
      <c r="AJ40" s="86">
        <v>1608</v>
      </c>
      <c r="AK40" s="15" t="s">
        <v>261</v>
      </c>
      <c r="AL40" s="15" t="s">
        <v>336</v>
      </c>
      <c r="AM40" s="15" t="s">
        <v>464</v>
      </c>
      <c r="AN40" s="15" t="s">
        <v>336</v>
      </c>
      <c r="AO40" s="15" t="s">
        <v>463</v>
      </c>
      <c r="AP40" s="49" t="s">
        <v>336</v>
      </c>
      <c r="AR40" s="154" t="b">
        <f>IF(OR(A40="Done",A40="In Progress"),TRUE)</f>
        <v>1</v>
      </c>
      <c r="AS40" s="155" t="str">
        <f>"title: """&amp;F40&amp;""""</f>
        <v>title: "Basilica of the Nativity of the Blessed Virgin Mary (Our Lady of Siluva)"</v>
      </c>
      <c r="AT40" s="155" t="str">
        <f>"location: {lat: "&amp;D40&amp;", lng: "&amp;E40&amp;"}"</f>
        <v>location: {lat: 55.5306126, lng: 23.2199252}</v>
      </c>
      <c r="AU40" s="155" t="str">
        <f>"interest: "&amp;H40</f>
        <v>interest: global</v>
      </c>
      <c r="AV40" s="155" t="str">
        <f>"- "&amp;VLOOKUP(B40,'(Ref) Countries'!A:C,3,)</f>
        <v>- lithuania</v>
      </c>
      <c r="AW40" s="155" t="str">
        <f>IF(LEN(C40)&gt;1,"- "&amp;LOWER(SUBSTITUTE(C40," ","-")),"")</f>
        <v/>
      </c>
      <c r="AX40" s="155" t="str">
        <f>IF(I40,"- churches","")</f>
        <v>- churches</v>
      </c>
      <c r="AY40" s="155" t="str">
        <f>IF(J40,"- marian-sites","")</f>
        <v>- marian-sites</v>
      </c>
      <c r="AZ40" s="155" t="str">
        <f>IF(K40,"- holy-persons","")</f>
        <v/>
      </c>
      <c r="BA40" s="155" t="str">
        <f>IF(LEN(Y40)&gt;0,"- "&amp;Y40,"")</f>
        <v/>
      </c>
      <c r="BB40" s="155" t="str">
        <f>IF(LEN(Z40)&gt;0,"- "&amp;Z40,"")</f>
        <v/>
      </c>
      <c r="BC40" s="155" t="str">
        <f>IF(LEN(AA40)&gt;0,"- "&amp;AA40,"")</f>
        <v/>
      </c>
      <c r="BD40" s="155" t="str">
        <f>IF(LEN(AB40)&gt;0,"- "&amp;AB40,"")</f>
        <v/>
      </c>
      <c r="BE40" s="155" t="str">
        <f>IF(LEN(AC40)&gt;0,"- "&amp;AC40,"")</f>
        <v/>
      </c>
      <c r="BF40" s="155" t="str">
        <f>IF(LEN(AD40)&gt;0,"- "&amp;AD40,"")</f>
        <v/>
      </c>
      <c r="BG40" s="155" t="str">
        <f>IF(LEN(AE40)&gt;0,"- "&amp;AE40,"")</f>
        <v/>
      </c>
      <c r="BH40" s="155" t="str">
        <f>IF(LEN(AF40)&gt;0,"- "&amp;AF40,"")</f>
        <v/>
      </c>
      <c r="BI40" s="155" t="str">
        <f>IF(LEN(AG40)&gt;0,"- "&amp;AG40,"")</f>
        <v/>
      </c>
      <c r="BJ40" s="155" t="str">
        <f>IF(LEN(AH40)&gt;0,"- "&amp;AH40,"")</f>
        <v/>
      </c>
      <c r="BK40" s="155" t="str">
        <f>"tags:"&amp;CHAR(10)&amp;concatl(AV40:BJ40)</f>
        <v xml:space="preserve">tags:
- lithuania_x000D_
- churches_x000D_
- marian-sites_x000D_
</v>
      </c>
      <c r="BL40" s="158" t="str">
        <f>IF(LEN(N40)&gt;0,TRIM(CONCATENATE("[Official site](",N40,") ",O40)),"")</f>
        <v>[Official site](https://siluva.lt/)</v>
      </c>
      <c r="BM40" s="158" t="str">
        <f>IF(LEN(Q40)&gt;0,TRIM(CONCATENATE("["&amp;P40&amp;"](",Q40,") ",R40)),"")</f>
        <v/>
      </c>
      <c r="BN40" s="158" t="str">
        <f>IF(LEN(T40)&gt;0,TRIM(CONCATENATE("["&amp;S40&amp;"](",T40,") ",U40)),"")</f>
        <v/>
      </c>
      <c r="BO40" s="158" t="str">
        <f>IF(LEN(W40)&gt;0,TRIM(CONCATENATE("["&amp;V40&amp;"](",W40,") ",X40)),"")</f>
        <v/>
      </c>
      <c r="BP40" s="158" t="str">
        <f>IF(LEN(BL40)&gt;0,"* "&amp;BL40&amp;CHAR(10),"")&amp;
IF(LEN(BM40)&gt;0,"* "&amp;BM40&amp;CHAR(10),"")&amp;
IF(LEN(BN40)&gt;0,"* "&amp;BN40&amp;CHAR(10),"")&amp;
IF(LEN(BO40)&gt;0,"* "&amp;BO40&amp;CHAR(10),"")</f>
        <v xml:space="preserve">* [Official site](https://siluva.lt/)
</v>
      </c>
      <c r="BQ40" s="158" t="str">
        <f>IF(LEN(AK40)&gt;0,TRIM(CONCATENATE("[Link](",AK40,") ",AL40)),"")</f>
        <v>[Link](http://www.therealpresence.org/eucharst/misc/BVM/57_SILUVA_96x96.pdf)</v>
      </c>
      <c r="BR40" s="158" t="str">
        <f>IF(LEN(AM40)&gt;0,TRIM(CONCATENATE("[Link](",AM40,") ",AN40)),"")</f>
        <v>[Link](https://www.miraclehunter.com/marian_apparitions/approved_apparitions/siluva/index.html)</v>
      </c>
      <c r="BS40" s="158" t="str">
        <f>IF(LEN(AO40)&gt;0,TRIM(CONCATENATE("[Link](",AO40,") ",AP40)),"")</f>
        <v>[Link](https://www.marypages.com/our-lady-of-siluva-en.html)</v>
      </c>
      <c r="BT40" s="158" t="str">
        <f>IF(LEN(concat(BQ40:BS40))&gt;0,concat("| ",BQ40," | ",BR40," | ",BS40," |"),"")</f>
        <v>| [Link](http://www.therealpresence.org/eucharst/misc/BVM/57_SILUVA_96x96.pdf) | [Link](https://www.miraclehunter.com/marian_apparitions/approved_apparitions/siluva/index.html) | [Link](https://www.marypages.com/our-lady-of-siluva-en.html) |</v>
      </c>
      <c r="BU40" s="155" t="str">
        <f>IF(J40,concatl("| The Real Presence | Miracle Hunter | MaryPages |","| --- | --- | --- |",BT40),"")</f>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40" s="155" t="str">
        <f>IF(LEN(BP40&amp;BU40)&gt;0,concatll("#### More Information",BP40,BU40),"")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40" s="155" t="str">
        <f>IF(LEN(M40)&gt;1,concatll("#### Author's Note",M40),"")</f>
        <v xml:space="preserve">#### Author's Note_x000D_
_x000D_
Additional info and a good history [here](https://www.ourladyofsiluva.org/our_lady/).
-JMM_x000D_
_x000D_
</v>
      </c>
      <c r="BX40" s="23" t="str">
        <f>IF(AR40,concatll(concatl("---",AS40:AU40,BK40,"---"),L40,BV40:BW40),"")</f>
        <v xml:space="preserve">---_x000D_
title: "Basilica of the Nativity of the Blessed Virgin Mary (Our Lady of Siluva)"_x000D_
location: {lat: 55.5306126, lng: 23.2199252}_x000D_
interest: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40" s="23" t="str">
        <f>IF(AR40,VLOOKUP(B40,'(Ref) Countries'!A:B,2,)&amp;IF(LEN(C40)&gt;1,"-"&amp;LOWER(SUBSTITUTE(C40," ","-")),"")&amp;"-"&amp;LOWER(SUBSTITUTE(SUBSTITUTE(G40," ","-"),".",""))&amp;".md","")</f>
        <v>lt-basilica-of-the-nativity-of-the-blessed-virgin-mary.md</v>
      </c>
      <c r="BZ40" s="30" t="str">
        <f>IF(LEN(Y40)&gt;1,VLOOKUP(Y40,'Tag List'!$A:$B,2,),"")</f>
        <v/>
      </c>
      <c r="CA40" s="30" t="str">
        <f>IF(LEN(Z40)&gt;1,VLOOKUP(Z40,'Tag List'!$A:$B,2,),"")</f>
        <v/>
      </c>
      <c r="CB40" s="30" t="str">
        <f>IF(LEN(AA40)&gt;1,VLOOKUP(AA40,'Tag List'!$A:$B,2,),"")</f>
        <v/>
      </c>
      <c r="CC40" s="30" t="str">
        <f>IF(LEN(Y40)&gt;1,GetTagPage(BZ40,Y40),"")</f>
        <v/>
      </c>
      <c r="CD40" s="30" t="str">
        <f>IF(LEN(Z40)&gt;1,GetTagPage(CA40,Z40),"")</f>
        <v/>
      </c>
      <c r="CE40" s="30" t="str">
        <f>IF(LEN(AA40)&gt;1,GetTagPage(CB40,AA40),"")</f>
        <v/>
      </c>
      <c r="CF40" s="30" t="str">
        <f>"|"&amp;IF(LEN(CC40)&gt;1," "&amp;CC40,"")&amp;IF(LEN(CD40)&gt;1,", "&amp;CD40,"")&amp;IF(LEN(CE40)&gt;1,", "&amp;CE40,"")&amp;" "</f>
        <v xml:space="preserve">| </v>
      </c>
      <c r="CG40" s="30" t="str">
        <f>"| "&amp;IF(AR40,"["&amp;AI40&amp;"](/places/"&amp;SUBSTITUTE(BY40,".md","")&amp;")",AI40)&amp;" "</f>
        <v xml:space="preserve">| [Šiluva](/places/lt-basilica-of-the-nativity-of-the-blessed-virgin-mary) </v>
      </c>
      <c r="CH40" s="30" t="str">
        <f>"| "&amp;IF(AR40,GetTagPage(B40,VLOOKUP(B40,'(Ref) Countries'!A:C,3,)),B40)&amp; " "</f>
        <v xml:space="preserve">| [Lithuania](/tags/lithuania) </v>
      </c>
      <c r="CI40" s="30" t="str">
        <f>"| "&amp;AJ40&amp;" "</f>
        <v xml:space="preserve">| 1608 </v>
      </c>
      <c r="CJ40" s="30" t="str">
        <f>"|"&amp;IF(AR40," [Link](/places/"&amp;SUBSTITUTE(BY40,".md","")&amp;")","")&amp;" "</f>
        <v xml:space="preserve">| [Link](/places/lt-basilica-of-the-nativity-of-the-blessed-virgin-mary) </v>
      </c>
      <c r="CK40" s="29" t="str">
        <f>"
"&amp;CG40&amp;CH40&amp;CI40&amp;CJ40&amp;BL40&amp;BQ40&amp;BR40&amp;BS40&amp;CF40&amp;"|"</f>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89" ht="51" x14ac:dyDescent="0.25">
      <c r="A41" s="168" t="s">
        <v>1320</v>
      </c>
      <c r="B41" s="24" t="s">
        <v>630</v>
      </c>
      <c r="C41" s="45" t="s">
        <v>1760</v>
      </c>
      <c r="D41" s="15">
        <v>19.483432799999999</v>
      </c>
      <c r="E41" s="49">
        <v>-99.117410300000003</v>
      </c>
      <c r="F41" s="24" t="s">
        <v>432</v>
      </c>
      <c r="G41" s="53" t="s">
        <v>432</v>
      </c>
      <c r="H41" s="24" t="s">
        <v>1715</v>
      </c>
      <c r="I41" s="40" t="b">
        <v>1</v>
      </c>
      <c r="J41" s="24" t="b">
        <v>1</v>
      </c>
      <c r="K41" s="24" t="b">
        <v>1</v>
      </c>
      <c r="L41" s="24" t="s">
        <v>453</v>
      </c>
      <c r="N41" s="15" t="s">
        <v>431</v>
      </c>
      <c r="O41" s="15" t="s">
        <v>336</v>
      </c>
      <c r="Y41" s="36" t="s">
        <v>486</v>
      </c>
      <c r="Z41" s="36"/>
      <c r="AA41" s="36"/>
      <c r="AB41" s="36"/>
      <c r="AC41" s="36"/>
      <c r="AD41" s="36"/>
      <c r="AE41" s="36"/>
      <c r="AF41" s="36"/>
      <c r="AG41" s="36"/>
      <c r="AH41" s="36"/>
      <c r="AI41" s="85" t="s">
        <v>1003</v>
      </c>
      <c r="AJ41" s="86">
        <v>1531</v>
      </c>
      <c r="AK41" s="15" t="s">
        <v>237</v>
      </c>
      <c r="AL41" s="15" t="s">
        <v>336</v>
      </c>
      <c r="AM41" s="15" t="s">
        <v>454</v>
      </c>
      <c r="AN41" s="15" t="s">
        <v>336</v>
      </c>
      <c r="AO41" s="15" t="s">
        <v>455</v>
      </c>
      <c r="AP41" s="49" t="s">
        <v>336</v>
      </c>
      <c r="AR41" s="154" t="b">
        <f>IF(OR(A41="Done",A41="In Progress"),TRUE)</f>
        <v>1</v>
      </c>
      <c r="AS41" s="155" t="str">
        <f>"title: """&amp;F41&amp;""""</f>
        <v>title: "Basilica of Our Lady of Guadalupe"</v>
      </c>
      <c r="AT41" s="155" t="str">
        <f>"location: {lat: "&amp;D41&amp;", lng: "&amp;E41&amp;"}"</f>
        <v>location: {lat: 19.4834328, lng: -99.1174103}</v>
      </c>
      <c r="AU41" s="155" t="str">
        <f>"interest: "&amp;H41</f>
        <v>interest: global</v>
      </c>
      <c r="AV41" s="155" t="str">
        <f>"- "&amp;VLOOKUP(B41,'(Ref) Countries'!A:C,3,)</f>
        <v>- mexico</v>
      </c>
      <c r="AW41" s="155" t="str">
        <f>IF(LEN(C41)&gt;1,"- "&amp;LOWER(SUBSTITUTE(C41," ","-")),"")</f>
        <v>- mexico-city</v>
      </c>
      <c r="AX41" s="155" t="str">
        <f>IF(I41,"- churches","")</f>
        <v>- churches</v>
      </c>
      <c r="AY41" s="155" t="str">
        <f>IF(J41,"- marian-sites","")</f>
        <v>- marian-sites</v>
      </c>
      <c r="AZ41" s="155" t="str">
        <f>IF(K41,"- holy-persons","")</f>
        <v>- holy-persons</v>
      </c>
      <c r="BA41" s="155" t="str">
        <f>IF(LEN(Y41)&gt;0,"- "&amp;Y41,"")</f>
        <v>- juan-diego</v>
      </c>
      <c r="BB41" s="155" t="str">
        <f>IF(LEN(Z41)&gt;0,"- "&amp;Z41,"")</f>
        <v/>
      </c>
      <c r="BC41" s="155" t="str">
        <f>IF(LEN(AA41)&gt;0,"- "&amp;AA41,"")</f>
        <v/>
      </c>
      <c r="BD41" s="155" t="str">
        <f>IF(LEN(AB41)&gt;0,"- "&amp;AB41,"")</f>
        <v/>
      </c>
      <c r="BE41" s="155" t="str">
        <f>IF(LEN(AC41)&gt;0,"- "&amp;AC41,"")</f>
        <v/>
      </c>
      <c r="BF41" s="155" t="str">
        <f>IF(LEN(AD41)&gt;0,"- "&amp;AD41,"")</f>
        <v/>
      </c>
      <c r="BG41" s="155" t="str">
        <f>IF(LEN(AE41)&gt;0,"- "&amp;AE41,"")</f>
        <v/>
      </c>
      <c r="BH41" s="155" t="str">
        <f>IF(LEN(AF41)&gt;0,"- "&amp;AF41,"")</f>
        <v/>
      </c>
      <c r="BI41" s="155" t="str">
        <f>IF(LEN(AG41)&gt;0,"- "&amp;AG41,"")</f>
        <v/>
      </c>
      <c r="BJ41" s="155" t="str">
        <f>IF(LEN(AH41)&gt;0,"- "&amp;AH41,"")</f>
        <v/>
      </c>
      <c r="BK41" s="155" t="str">
        <f>"tags:"&amp;CHAR(10)&amp;concatl(AV41:BJ41)</f>
        <v xml:space="preserve">tags:
- mexico_x000D_
- mexico-city_x000D_
- churches_x000D_
- marian-sites_x000D_
- holy-persons_x000D_
- juan-diego_x000D_
</v>
      </c>
      <c r="BL41" s="158" t="str">
        <f>IF(LEN(N41)&gt;0,TRIM(CONCATENATE("[Official site](",N41,") ",O41)),"")</f>
        <v>[Official site](https://virgendeguadalupe.org.mx/)</v>
      </c>
      <c r="BM41" s="158" t="str">
        <f>IF(LEN(Q41)&gt;0,TRIM(CONCATENATE("["&amp;P41&amp;"](",Q41,") ",R41)),"")</f>
        <v/>
      </c>
      <c r="BN41" s="158" t="str">
        <f>IF(LEN(T41)&gt;0,TRIM(CONCATENATE("["&amp;S41&amp;"](",T41,") ",U41)),"")</f>
        <v/>
      </c>
      <c r="BO41" s="158" t="str">
        <f>IF(LEN(W41)&gt;0,TRIM(CONCATENATE("["&amp;V41&amp;"](",W41,") ",X41)),"")</f>
        <v/>
      </c>
      <c r="BP41" s="158" t="str">
        <f>IF(LEN(BL41)&gt;0,"* "&amp;BL41&amp;CHAR(10),"")&amp;
IF(LEN(BM41)&gt;0,"* "&amp;BM41&amp;CHAR(10),"")&amp;
IF(LEN(BN41)&gt;0,"* "&amp;BN41&amp;CHAR(10),"")&amp;
IF(LEN(BO41)&gt;0,"* "&amp;BO41&amp;CHAR(10),"")</f>
        <v xml:space="preserve">* [Official site](https://virgendeguadalupe.org.mx/)
</v>
      </c>
      <c r="BQ41" s="158" t="str">
        <f>IF(LEN(AK41)&gt;0,TRIM(CONCATENATE("[Link](",AK41,") ",AL41)),"")</f>
        <v>[Link](http://www.therealpresence.org/eucharst/misc/BVM/70_GUADALUPE_96x96.pdf)</v>
      </c>
      <c r="BR41" s="158" t="str">
        <f>IF(LEN(AM41)&gt;0,TRIM(CONCATENATE("[Link](",AM41,") ",AN41)),"")</f>
        <v>[Link](https://www.miraclehunter.com/marian_apparitions/approved_apparitions/guadalupe/index.html)</v>
      </c>
      <c r="BS41" s="158" t="str">
        <f>IF(LEN(AO41)&gt;0,TRIM(CONCATENATE("[Link](",AO41,") ",AP41)),"")</f>
        <v>[Link](https://www.marypages.com/guadalupe-(mexico).html)</v>
      </c>
      <c r="BT41" s="158" t="str">
        <f>IF(LEN(concat(BQ41:BS41))&gt;0,concat("| ",BQ41," | ",BR41," | ",BS41," |"),"")</f>
        <v>| [Link](http://www.therealpresence.org/eucharst/misc/BVM/70_GUADALUPE_96x96.pdf) | [Link](https://www.miraclehunter.com/marian_apparitions/approved_apparitions/guadalupe/index.html) | [Link](https://www.marypages.com/guadalupe-(mexico).html) |</v>
      </c>
      <c r="BU41" s="155" t="str">
        <f>IF(J41,concatl("| The Real Presence | Miracle Hunter | MaryPages |","| --- | --- | --- |",BT41),"")</f>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41" s="155" t="str">
        <f>IF(LEN(BP41&amp;BU41)&gt;0,concatll("#### More Information",BP41,BU41),"")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41" s="155" t="str">
        <f>IF(LEN(M41)&gt;1,concatll("#### Author's Note",M41),"")</f>
        <v/>
      </c>
      <c r="BX41" s="23" t="str">
        <f>IF(AR41,concatll(concatl("---",AS41:AU41,BK41,"---"),L41,BV41:BW41),"")</f>
        <v xml:space="preserve">---_x000D_
title: "Basilica of Our Lady of Guadalupe"_x000D_
location: {lat: 19.4834328, lng: -99.1174103}_x000D_
interest: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41" s="23" t="str">
        <f>IF(AR41,VLOOKUP(B41,'(Ref) Countries'!A:B,2,)&amp;IF(LEN(C41)&gt;1,"-"&amp;LOWER(SUBSTITUTE(C41," ","-")),"")&amp;"-"&amp;LOWER(SUBSTITUTE(SUBSTITUTE(G41," ","-"),".",""))&amp;".md","")</f>
        <v>mx-mexico-city-basilica-of-our-lady-of-guadalupe.md</v>
      </c>
      <c r="BZ41" s="38" t="str">
        <f>IF(LEN(Y41)&gt;1,VLOOKUP(Y41,'Tag List'!$A:$B,2,),"")</f>
        <v>St. Juan Diego</v>
      </c>
      <c r="CA41" s="38" t="str">
        <f>IF(LEN(Z41)&gt;1,VLOOKUP(Z41,'Tag List'!$A:$B,2,),"")</f>
        <v/>
      </c>
      <c r="CB41" s="38" t="str">
        <f>IF(LEN(AA41)&gt;1,VLOOKUP(AA41,'Tag List'!$A:$B,2,),"")</f>
        <v/>
      </c>
      <c r="CC41" s="30" t="str">
        <f>IF(LEN(Y41)&gt;1,GetTagPage(BZ41,Y41),"")</f>
        <v>[St. Juan Diego](/tags/juan-diego)</v>
      </c>
      <c r="CD41" s="30" t="str">
        <f>IF(LEN(Z41)&gt;1,GetTagPage(CA41,Z41),"")</f>
        <v/>
      </c>
      <c r="CE41" s="30" t="str">
        <f>IF(LEN(AA41)&gt;1,GetTagPage(CB41,AA41),"")</f>
        <v/>
      </c>
      <c r="CF41" s="30" t="str">
        <f>"|"&amp;IF(LEN(CC41)&gt;1," "&amp;CC41,"")&amp;IF(LEN(CD41)&gt;1,", "&amp;CD41,"")&amp;IF(LEN(CE41)&gt;1,", "&amp;CE41,"")&amp;" "</f>
        <v xml:space="preserve">| [St. Juan Diego](/tags/juan-diego) </v>
      </c>
      <c r="CG41" s="30" t="str">
        <f>"| "&amp;IF(AR41,"["&amp;AI41&amp;"](/places/"&amp;SUBSTITUTE(BY41,".md","")&amp;")",AI41)&amp;" "</f>
        <v xml:space="preserve">| [Guadalupe](/places/mx-mexico-city-basilica-of-our-lady-of-guadalupe) </v>
      </c>
      <c r="CH41" s="30" t="str">
        <f>"| "&amp;IF(AR41,GetTagPage(B41,VLOOKUP(B41,'(Ref) Countries'!A:C,3,)),B41)&amp; " "</f>
        <v xml:space="preserve">| [Mexico](/tags/mexico) </v>
      </c>
      <c r="CI41" s="30" t="str">
        <f>"| "&amp;AJ41&amp;" "</f>
        <v xml:space="preserve">| 1531 </v>
      </c>
      <c r="CJ41" s="30" t="str">
        <f>"|"&amp;IF(AR41," [Link](/places/"&amp;SUBSTITUTE(BY41,".md","")&amp;")","")&amp;" "</f>
        <v xml:space="preserve">| [Link](/places/mx-mexico-city-basilica-of-our-lady-of-guadalupe) </v>
      </c>
      <c r="CK41" s="29" t="str">
        <f>"
"&amp;CG41&amp;CH41&amp;CI41&amp;CJ41&amp;BL41&amp;BQ41&amp;BR41&amp;BS41&amp;CF41&amp;"|"</f>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42" spans="1:89" ht="38.25" x14ac:dyDescent="0.25">
      <c r="A42" s="168" t="s">
        <v>1320</v>
      </c>
      <c r="B42" s="24" t="s">
        <v>630</v>
      </c>
      <c r="C42" s="24" t="s">
        <v>1760</v>
      </c>
      <c r="D42" s="15">
        <v>19.422522000000001</v>
      </c>
      <c r="E42" s="49">
        <v>-99.160942700000007</v>
      </c>
      <c r="F42" s="24" t="s">
        <v>1884</v>
      </c>
      <c r="G42" s="90" t="s">
        <v>1885</v>
      </c>
      <c r="H42" s="83" t="s">
        <v>1759</v>
      </c>
      <c r="I42" s="24" t="b">
        <v>1</v>
      </c>
      <c r="K42" s="24" t="b">
        <v>1</v>
      </c>
      <c r="L42" s="83" t="s">
        <v>1886</v>
      </c>
      <c r="O42" s="15" t="s">
        <v>336</v>
      </c>
      <c r="Y42" s="91" t="s">
        <v>1887</v>
      </c>
      <c r="Z42" s="91" t="s">
        <v>2063</v>
      </c>
      <c r="AR42" s="154" t="b">
        <f>IF(OR(A42="Done",A42="In Progress"),TRUE)</f>
        <v>1</v>
      </c>
      <c r="AS42" s="155" t="str">
        <f>"title: """&amp;F42&amp;""""</f>
        <v>title: "Church of the Holy Family (La Sagrada Familia), Mexico City"</v>
      </c>
      <c r="AT42" s="155" t="str">
        <f>"location: {lat: "&amp;D42&amp;", lng: "&amp;E42&amp;"}"</f>
        <v>location: {lat: 19.422522, lng: -99.1609427}</v>
      </c>
      <c r="AU42" s="155" t="str">
        <f>"interest: "&amp;H42</f>
        <v>interest: regional</v>
      </c>
      <c r="AV42" s="155" t="str">
        <f>"- "&amp;VLOOKUP(B42,'(Ref) Countries'!A:C,3,)</f>
        <v>- mexico</v>
      </c>
      <c r="AW42" s="155" t="str">
        <f>IF(LEN(C42)&gt;1,"- "&amp;LOWER(SUBSTITUTE(C42," ","-")),"")</f>
        <v>- mexico-city</v>
      </c>
      <c r="AX42" s="155" t="str">
        <f>IF(I42,"- churches","")</f>
        <v>- churches</v>
      </c>
      <c r="AY42" s="155" t="str">
        <f>IF(J42,"- marian-sites","")</f>
        <v/>
      </c>
      <c r="AZ42" s="155" t="str">
        <f>IF(K42,"- holy-persons","")</f>
        <v>- holy-persons</v>
      </c>
      <c r="BA42" s="155" t="str">
        <f>IF(LEN(Y42)&gt;0,"- "&amp;Y42,"")</f>
        <v>- miguel-pro</v>
      </c>
      <c r="BB42" s="155" t="str">
        <f>IF(LEN(Z42)&gt;0,"- "&amp;Z42,"")</f>
        <v>- jesuits</v>
      </c>
      <c r="BC42" s="155" t="str">
        <f>IF(LEN(AA42)&gt;0,"- "&amp;AA42,"")</f>
        <v/>
      </c>
      <c r="BD42" s="155" t="str">
        <f>IF(LEN(AB42)&gt;0,"- "&amp;AB42,"")</f>
        <v/>
      </c>
      <c r="BE42" s="155" t="str">
        <f>IF(LEN(AC42)&gt;0,"- "&amp;AC42,"")</f>
        <v/>
      </c>
      <c r="BF42" s="155" t="str">
        <f>IF(LEN(AD42)&gt;0,"- "&amp;AD42,"")</f>
        <v/>
      </c>
      <c r="BG42" s="155" t="str">
        <f>IF(LEN(AE42)&gt;0,"- "&amp;AE42,"")</f>
        <v/>
      </c>
      <c r="BH42" s="155" t="str">
        <f>IF(LEN(AF42)&gt;0,"- "&amp;AF42,"")</f>
        <v/>
      </c>
      <c r="BI42" s="155" t="str">
        <f>IF(LEN(AG42)&gt;0,"- "&amp;AG42,"")</f>
        <v/>
      </c>
      <c r="BJ42" s="155" t="str">
        <f>IF(LEN(AH42)&gt;0,"- "&amp;AH42,"")</f>
        <v/>
      </c>
      <c r="BK42" s="155" t="str">
        <f>"tags:"&amp;CHAR(10)&amp;concatl(AV42:BJ42)</f>
        <v xml:space="preserve">tags:
- mexico_x000D_
- mexico-city_x000D_
- churches_x000D_
- holy-persons_x000D_
- miguel-pro_x000D_
- jesuits_x000D_
</v>
      </c>
      <c r="BL42" s="155" t="str">
        <f>IF(LEN(N42)&gt;0,TRIM(CONCATENATE("[Official site](",N42,") ",O42)),"")</f>
        <v/>
      </c>
      <c r="BM42" s="155" t="str">
        <f>IF(LEN(Q42)&gt;0,TRIM(CONCATENATE("["&amp;P42&amp;"](",Q42,") ",R42)),"")</f>
        <v/>
      </c>
      <c r="BN42" s="155" t="str">
        <f>IF(LEN(T42)&gt;0,TRIM(CONCATENATE("["&amp;S42&amp;"](",T42,") ",U42)),"")</f>
        <v/>
      </c>
      <c r="BO42" s="155" t="str">
        <f>IF(LEN(W42)&gt;0,TRIM(CONCATENATE("["&amp;V42&amp;"](",W42,") ",X42)),"")</f>
        <v/>
      </c>
      <c r="BP42" s="155" t="str">
        <f>IF(LEN(BL42)&gt;0,"* "&amp;BL42&amp;CHAR(10),"")&amp;
IF(LEN(BM42)&gt;0,"* "&amp;BM42&amp;CHAR(10),"")&amp;
IF(LEN(BN42)&gt;0,"* "&amp;BN42&amp;CHAR(10),"")&amp;
IF(LEN(BO42)&gt;0,"* "&amp;BO42&amp;CHAR(10),"")</f>
        <v/>
      </c>
      <c r="BQ42" s="155" t="str">
        <f>IF(LEN(AK42)&gt;0,TRIM(CONCATENATE("[Link](",AK42,") ",AL42)),"")</f>
        <v/>
      </c>
      <c r="BR42" s="155" t="str">
        <f>IF(LEN(AM42)&gt;0,TRIM(CONCATENATE("[Link](",AM42,") ",AN42)),"")</f>
        <v/>
      </c>
      <c r="BS42" s="155" t="str">
        <f>IF(LEN(AO42)&gt;0,TRIM(CONCATENATE("[Link](",AO42,") ",AP42)),"")</f>
        <v/>
      </c>
      <c r="BT42" s="155" t="str">
        <f>IF(LEN(concat(BQ42:BS42))&gt;0,concat("| ",BQ42," | ",BR42," | ",BS42," |"),"")</f>
        <v/>
      </c>
      <c r="BU42" s="155" t="str">
        <f>IF(J42,concatl("| The Real Presence | Miracle Hunter | MaryPages |","| --- | --- | --- |",BT42),"")</f>
        <v/>
      </c>
      <c r="BV42" s="155" t="str">
        <f>IF(LEN(BP42&amp;BU42)&gt;0,concatll("#### More Information",BP42,BU42),"")</f>
        <v/>
      </c>
      <c r="BW42" s="155" t="str">
        <f>IF(LEN(M42)&gt;1,concatll("#### Author's Note",M42),"")</f>
        <v/>
      </c>
      <c r="BX42" s="23" t="str">
        <f>IF(AR42,concatll(concatl("---",AS42:AU42,BK42,"---"),L42,BV42:BW42),"")</f>
        <v xml:space="preserve">---_x000D_
title: "Church of the Holy Family (La Sagrada Familia), Mexico City"_x000D_
location: {lat: 19.422522, lng: -99.1609427}_x000D_
interest: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42" s="23" t="str">
        <f>IF(AR42,VLOOKUP(B42,'(Ref) Countries'!A:B,2,)&amp;IF(LEN(C42)&gt;1,"-"&amp;LOWER(SUBSTITUTE(C42," ","-")),"")&amp;"-"&amp;LOWER(SUBSTITUTE(SUBSTITUTE(G42," ","-"),".",""))&amp;".md","")</f>
        <v>mx-mexico-city-la-sagrada-familia.md</v>
      </c>
      <c r="BZ42" s="29" t="str">
        <f>IF(LEN(Y42)&gt;1,VLOOKUP(Y42,'Tag List'!$A:$B,2,),"")</f>
        <v>Bl. Miguel Pro, SJ</v>
      </c>
      <c r="CA42" s="29" t="str">
        <f>IF(LEN(Z42)&gt;1,VLOOKUP(Z42,'Tag List'!$A:$B,2,),"")</f>
        <v>Society of Jesus (Jesuits)</v>
      </c>
      <c r="CB42" s="29" t="str">
        <f>IF(LEN(AA42)&gt;1,VLOOKUP(AA42,'Tag List'!$A:$B,2,),"")</f>
        <v/>
      </c>
      <c r="CC42" s="29" t="str">
        <f>IF(LEN(Y42)&gt;1,GetTagPage(BZ42,Y42),"")</f>
        <v>[Bl. Miguel Pro, SJ](/tags/miguel-pro)</v>
      </c>
      <c r="CD42" s="29" t="str">
        <f>IF(LEN(Z42)&gt;1,GetTagPage(CA42,Z42),"")</f>
        <v>[Society of Jesus (Jesuits)](/tags/jesuits)</v>
      </c>
      <c r="CE42" s="29" t="str">
        <f>IF(LEN(AA42)&gt;1,GetTagPage(CB42,AA42),"")</f>
        <v/>
      </c>
      <c r="CF42" s="29" t="str">
        <f>"|"&amp;IF(LEN(CC42)&gt;1," "&amp;CC42,"")&amp;IF(LEN(CD42)&gt;1,", "&amp;CD42,"")&amp;IF(LEN(CE42)&gt;1,", "&amp;CE42,"")&amp;" "</f>
        <v xml:space="preserve">| [Bl. Miguel Pro, SJ](/tags/miguel-pro), [Society of Jesus (Jesuits)](/tags/jesuits) </v>
      </c>
      <c r="CG42" s="29" t="str">
        <f>"| "&amp;IF(AR42,"["&amp;AI42&amp;"](/places/"&amp;SUBSTITUTE(BY42,".md","")&amp;")",AI42)&amp;" "</f>
        <v xml:space="preserve">| [](/places/mx-mexico-city-la-sagrada-familia) </v>
      </c>
      <c r="CH42" s="29" t="str">
        <f>"| "&amp;IF(AR42,GetTagPage(B42,VLOOKUP(B42,'(Ref) Countries'!A:C,3,)),B42)&amp; " "</f>
        <v xml:space="preserve">| [Mexico](/tags/mexico) </v>
      </c>
      <c r="CI42" s="29" t="str">
        <f>"| "&amp;AJ42&amp;" "</f>
        <v xml:space="preserve">|  </v>
      </c>
      <c r="CJ42" s="29" t="str">
        <f>"|"&amp;IF(AR42," [Link](/places/"&amp;SUBSTITUTE(BY42,".md","")&amp;")","")&amp;" "</f>
        <v xml:space="preserve">| [Link](/places/mx-mexico-city-la-sagrada-familia) </v>
      </c>
      <c r="CK42" s="29" t="str">
        <f>"
"&amp;CG42&amp;CH42&amp;CI42&amp;CJ42&amp;BL42&amp;BQ42&amp;BR42&amp;BS42&amp;CF42&amp;"|"</f>
        <v xml:space="preserve">
| [](/places/mx-mexico-city-la-sagrada-familia) | [Mexico](/tags/mexico) |  | [Link](/places/mx-mexico-city-la-sagrada-familia) | [Bl. Miguel Pro, SJ](/tags/miguel-pro), [Society of Jesus (Jesuits)](/tags/jesuits) |</v>
      </c>
    </row>
    <row r="43" spans="1:89" ht="76.5" x14ac:dyDescent="0.25">
      <c r="A43" s="168" t="s">
        <v>1320</v>
      </c>
      <c r="B43" s="24" t="s">
        <v>630</v>
      </c>
      <c r="C43" s="24" t="s">
        <v>1760</v>
      </c>
      <c r="D43" s="15">
        <v>19.436178000000002</v>
      </c>
      <c r="E43" s="49">
        <v>-99.150290999999996</v>
      </c>
      <c r="F43" s="83" t="s">
        <v>1892</v>
      </c>
      <c r="G43" s="90" t="s">
        <v>1889</v>
      </c>
      <c r="H43" s="83" t="s">
        <v>1759</v>
      </c>
      <c r="K43" s="24" t="b">
        <v>1</v>
      </c>
      <c r="L43" s="83" t="s">
        <v>1890</v>
      </c>
      <c r="M43" s="90" t="s">
        <v>1891</v>
      </c>
      <c r="O43" s="15" t="s">
        <v>336</v>
      </c>
      <c r="Y43" s="15" t="s">
        <v>1887</v>
      </c>
      <c r="Z43" s="15" t="s">
        <v>2063</v>
      </c>
      <c r="AR43" s="154" t="b">
        <f>IF(OR(A43="Done",A43="In Progress"),TRUE)</f>
        <v>1</v>
      </c>
      <c r="AS43" s="155" t="str">
        <f>"title: """&amp;F43&amp;""""</f>
        <v>title: "Site of Bl. Miguel Pro's Martyrdom"</v>
      </c>
      <c r="AT43" s="155" t="str">
        <f>"location: {lat: "&amp;D43&amp;", lng: "&amp;E43&amp;"}"</f>
        <v>location: {lat: 19.436178, lng: -99.150291}</v>
      </c>
      <c r="AU43" s="155" t="str">
        <f>"interest: "&amp;H43</f>
        <v>interest: regional</v>
      </c>
      <c r="AV43" s="155" t="str">
        <f>"- "&amp;VLOOKUP(B43,'(Ref) Countries'!A:C,3,)</f>
        <v>- mexico</v>
      </c>
      <c r="AW43" s="155" t="str">
        <f>IF(LEN(C43)&gt;1,"- "&amp;LOWER(SUBSTITUTE(C43," ","-")),"")</f>
        <v>- mexico-city</v>
      </c>
      <c r="AX43" s="155" t="str">
        <f>IF(I43,"- churches","")</f>
        <v/>
      </c>
      <c r="AY43" s="155" t="str">
        <f>IF(J43,"- marian-sites","")</f>
        <v/>
      </c>
      <c r="AZ43" s="155" t="str">
        <f>IF(K43,"- holy-persons","")</f>
        <v>- holy-persons</v>
      </c>
      <c r="BA43" s="155" t="str">
        <f>IF(LEN(Y43)&gt;0,"- "&amp;Y43,"")</f>
        <v>- miguel-pro</v>
      </c>
      <c r="BB43" s="155" t="str">
        <f>IF(LEN(Z43)&gt;0,"- "&amp;Z43,"")</f>
        <v>- jesuits</v>
      </c>
      <c r="BC43" s="155" t="str">
        <f>IF(LEN(AA43)&gt;0,"- "&amp;AA43,"")</f>
        <v/>
      </c>
      <c r="BD43" s="155" t="str">
        <f>IF(LEN(AB43)&gt;0,"- "&amp;AB43,"")</f>
        <v/>
      </c>
      <c r="BE43" s="155" t="str">
        <f>IF(LEN(AC43)&gt;0,"- "&amp;AC43,"")</f>
        <v/>
      </c>
      <c r="BF43" s="155" t="str">
        <f>IF(LEN(AD43)&gt;0,"- "&amp;AD43,"")</f>
        <v/>
      </c>
      <c r="BG43" s="155" t="str">
        <f>IF(LEN(AE43)&gt;0,"- "&amp;AE43,"")</f>
        <v/>
      </c>
      <c r="BH43" s="155" t="str">
        <f>IF(LEN(AF43)&gt;0,"- "&amp;AF43,"")</f>
        <v/>
      </c>
      <c r="BI43" s="155" t="str">
        <f>IF(LEN(AG43)&gt;0,"- "&amp;AG43,"")</f>
        <v/>
      </c>
      <c r="BJ43" s="155" t="str">
        <f>IF(LEN(AH43)&gt;0,"- "&amp;AH43,"")</f>
        <v/>
      </c>
      <c r="BK43" s="155" t="str">
        <f>"tags:"&amp;CHAR(10)&amp;concatl(AV43:BJ43)</f>
        <v xml:space="preserve">tags:
- mexico_x000D_
- mexico-city_x000D_
- holy-persons_x000D_
- miguel-pro_x000D_
- jesuits_x000D_
</v>
      </c>
      <c r="BL43" s="155" t="str">
        <f>IF(LEN(N43)&gt;0,TRIM(CONCATENATE("[Official site](",N43,") ",O43)),"")</f>
        <v/>
      </c>
      <c r="BM43" s="155" t="str">
        <f>IF(LEN(Q43)&gt;0,TRIM(CONCATENATE("["&amp;P43&amp;"](",Q43,") ",R43)),"")</f>
        <v/>
      </c>
      <c r="BN43" s="155" t="str">
        <f>IF(LEN(T43)&gt;0,TRIM(CONCATENATE("["&amp;S43&amp;"](",T43,") ",U43)),"")</f>
        <v/>
      </c>
      <c r="BO43" s="155" t="str">
        <f>IF(LEN(W43)&gt;0,TRIM(CONCATENATE("["&amp;V43&amp;"](",W43,") ",X43)),"")</f>
        <v/>
      </c>
      <c r="BP43" s="155" t="str">
        <f>IF(LEN(BL43)&gt;0,"* "&amp;BL43&amp;CHAR(10),"")&amp;
IF(LEN(BM43)&gt;0,"* "&amp;BM43&amp;CHAR(10),"")&amp;
IF(LEN(BN43)&gt;0,"* "&amp;BN43&amp;CHAR(10),"")&amp;
IF(LEN(BO43)&gt;0,"* "&amp;BO43&amp;CHAR(10),"")</f>
        <v/>
      </c>
      <c r="BQ43" s="155" t="str">
        <f>IF(LEN(AK43)&gt;0,TRIM(CONCATENATE("[Link](",AK43,") ",AL43)),"")</f>
        <v/>
      </c>
      <c r="BR43" s="155" t="str">
        <f>IF(LEN(AM43)&gt;0,TRIM(CONCATENATE("[Link](",AM43,") ",AN43)),"")</f>
        <v/>
      </c>
      <c r="BS43" s="155" t="str">
        <f>IF(LEN(AO43)&gt;0,TRIM(CONCATENATE("[Link](",AO43,") ",AP43)),"")</f>
        <v/>
      </c>
      <c r="BT43" s="155" t="str">
        <f>IF(LEN(concat(BQ43:BS43))&gt;0,concat("| ",BQ43," | ",BR43," | ",BS43," |"),"")</f>
        <v/>
      </c>
      <c r="BU43" s="155" t="str">
        <f>IF(J43,concatl("| The Real Presence | Miracle Hunter | MaryPages |","| --- | --- | --- |",BT43),"")</f>
        <v/>
      </c>
      <c r="BV43" s="155" t="str">
        <f>IF(LEN(BP43&amp;BU43)&gt;0,concatll("#### More Information",BP43,BU43),"")</f>
        <v/>
      </c>
      <c r="BW43" s="155" t="str">
        <f>IF(LEN(M43)&gt;1,concatll("#### Author's Note",M43),"")</f>
        <v xml:space="preserve">#### Author's Note_x000D_
_x000D_
Across the street, a bit above head level, is a commemerative plaque on the restaurant.  The restaurant is owned by a Catholic family who provide information on Bl. Miguel Pro.
-JPY_x000D_
_x000D_
</v>
      </c>
      <c r="BX43" s="23" t="str">
        <f>IF(AR43,concatll(concatl("---",AS43:AU43,BK43,"---"),L43,BV43:BW43),"")</f>
        <v xml:space="preserve">---_x000D_
title: "Site of Bl. Miguel Pro's Martyrdom"_x000D_
location: {lat: 19.436178, lng: -99.150291}_x000D_
interest: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43" s="23" t="str">
        <f>IF(AR43,VLOOKUP(B43,'(Ref) Countries'!A:B,2,)&amp;IF(LEN(C43)&gt;1,"-"&amp;LOWER(SUBSTITUTE(C43," ","-")),"")&amp;"-"&amp;LOWER(SUBSTITUTE(SUBSTITUTE(G43," ","-"),".",""))&amp;".md","")</f>
        <v>mx-mexico-city-miguel-pro-martyrdom-site.md</v>
      </c>
      <c r="BZ43" s="29" t="str">
        <f>IF(LEN(Y43)&gt;1,VLOOKUP(Y43,'Tag List'!$A:$B,2,),"")</f>
        <v>Bl. Miguel Pro, SJ</v>
      </c>
      <c r="CA43" s="29" t="str">
        <f>IF(LEN(Z43)&gt;1,VLOOKUP(Z43,'Tag List'!$A:$B,2,),"")</f>
        <v>Society of Jesus (Jesuits)</v>
      </c>
      <c r="CB43" s="29" t="str">
        <f>IF(LEN(AA43)&gt;1,VLOOKUP(AA43,'Tag List'!$A:$B,2,),"")</f>
        <v/>
      </c>
      <c r="CC43" s="29" t="str">
        <f>IF(LEN(Y43)&gt;1,GetTagPage(BZ43,Y43),"")</f>
        <v>[Bl. Miguel Pro, SJ](/tags/miguel-pro)</v>
      </c>
      <c r="CD43" s="29" t="str">
        <f>IF(LEN(Z43)&gt;1,GetTagPage(CA43,Z43),"")</f>
        <v>[Society of Jesus (Jesuits)](/tags/jesuits)</v>
      </c>
      <c r="CE43" s="29" t="str">
        <f>IF(LEN(AA43)&gt;1,GetTagPage(CB43,AA43),"")</f>
        <v/>
      </c>
      <c r="CF43" s="29" t="str">
        <f>"|"&amp;IF(LEN(CC43)&gt;1," "&amp;CC43,"")&amp;IF(LEN(CD43)&gt;1,", "&amp;CD43,"")&amp;IF(LEN(CE43)&gt;1,", "&amp;CE43,"")&amp;" "</f>
        <v xml:space="preserve">| [Bl. Miguel Pro, SJ](/tags/miguel-pro), [Society of Jesus (Jesuits)](/tags/jesuits) </v>
      </c>
      <c r="CG43" s="29" t="str">
        <f>"| "&amp;IF(AR43,"["&amp;AI43&amp;"](/places/"&amp;SUBSTITUTE(BY43,".md","")&amp;")",AI43)&amp;" "</f>
        <v xml:space="preserve">| [](/places/mx-mexico-city-miguel-pro-martyrdom-site) </v>
      </c>
      <c r="CH43" s="29" t="str">
        <f>"| "&amp;IF(AR43,GetTagPage(B43,VLOOKUP(B43,'(Ref) Countries'!A:C,3,)),B43)&amp; " "</f>
        <v xml:space="preserve">| [Mexico](/tags/mexico) </v>
      </c>
      <c r="CI43" s="29" t="str">
        <f>"| "&amp;AJ43&amp;" "</f>
        <v xml:space="preserve">|  </v>
      </c>
      <c r="CJ43" s="29" t="str">
        <f>"|"&amp;IF(AR43," [Link](/places/"&amp;SUBSTITUTE(BY43,".md","")&amp;")","")&amp;" "</f>
        <v xml:space="preserve">| [Link](/places/mx-mexico-city-miguel-pro-martyrdom-site) </v>
      </c>
      <c r="CK43" s="29" t="str">
        <f>"
"&amp;CG43&amp;CH43&amp;CI43&amp;CJ43&amp;BL43&amp;BQ43&amp;BR43&amp;BS43&amp;CF43&amp;"|"</f>
        <v xml:space="preserve">
| [](/places/mx-mexico-city-miguel-pro-martyrdom-site) | [Mexico](/tags/mexico) |  | [Link](/places/mx-mexico-city-miguel-pro-martyrdom-site) | [Bl. Miguel Pro, SJ](/tags/miguel-pro), [Society of Jesus (Jesuits)](/tags/jesuits) |</v>
      </c>
    </row>
    <row r="44" spans="1:89" ht="76.5" x14ac:dyDescent="0.25">
      <c r="A44" s="168" t="s">
        <v>1320</v>
      </c>
      <c r="B44" s="24" t="s">
        <v>630</v>
      </c>
      <c r="C44" s="24" t="s">
        <v>1760</v>
      </c>
      <c r="D44" s="15">
        <v>19.4224</v>
      </c>
      <c r="E44" s="49">
        <v>-99.16095</v>
      </c>
      <c r="F44" s="83" t="s">
        <v>1893</v>
      </c>
      <c r="G44" s="90" t="s">
        <v>1894</v>
      </c>
      <c r="H44" s="24" t="s">
        <v>1759</v>
      </c>
      <c r="K44" s="24" t="b">
        <v>1</v>
      </c>
      <c r="L44" s="83" t="s">
        <v>1895</v>
      </c>
      <c r="M44" s="90" t="s">
        <v>1896</v>
      </c>
      <c r="O44" s="15" t="s">
        <v>336</v>
      </c>
      <c r="Y44" s="15" t="s">
        <v>1887</v>
      </c>
      <c r="Z44" s="15" t="s">
        <v>2063</v>
      </c>
      <c r="AR44" s="154" t="b">
        <f>IF(OR(A44="Done",A44="In Progress"),TRUE)</f>
        <v>1</v>
      </c>
      <c r="AS44" s="155" t="str">
        <f>"title: """&amp;F44&amp;""""</f>
        <v>title: "Museum of Bl. Miguel Agustin Pro"</v>
      </c>
      <c r="AT44" s="155" t="str">
        <f>"location: {lat: "&amp;D44&amp;", lng: "&amp;E44&amp;"}"</f>
        <v>location: {lat: 19.4224, lng: -99.16095}</v>
      </c>
      <c r="AU44" s="155" t="str">
        <f>"interest: "&amp;H44</f>
        <v>interest: regional</v>
      </c>
      <c r="AV44" s="155" t="str">
        <f>"- "&amp;VLOOKUP(B44,'(Ref) Countries'!A:C,3,)</f>
        <v>- mexico</v>
      </c>
      <c r="AW44" s="155" t="str">
        <f>IF(LEN(C44)&gt;1,"- "&amp;LOWER(SUBSTITUTE(C44," ","-")),"")</f>
        <v>- mexico-city</v>
      </c>
      <c r="AX44" s="155" t="str">
        <f>IF(I44,"- churches","")</f>
        <v/>
      </c>
      <c r="AY44" s="155" t="str">
        <f>IF(J44,"- marian-sites","")</f>
        <v/>
      </c>
      <c r="AZ44" s="155" t="str">
        <f>IF(K44,"- holy-persons","")</f>
        <v>- holy-persons</v>
      </c>
      <c r="BA44" s="155" t="str">
        <f>IF(LEN(Y44)&gt;0,"- "&amp;Y44,"")</f>
        <v>- miguel-pro</v>
      </c>
      <c r="BB44" s="155" t="str">
        <f>IF(LEN(Z44)&gt;0,"- "&amp;Z44,"")</f>
        <v>- jesuits</v>
      </c>
      <c r="BC44" s="155" t="str">
        <f>IF(LEN(AA44)&gt;0,"- "&amp;AA44,"")</f>
        <v/>
      </c>
      <c r="BD44" s="155" t="str">
        <f>IF(LEN(AB44)&gt;0,"- "&amp;AB44,"")</f>
        <v/>
      </c>
      <c r="BE44" s="155" t="str">
        <f>IF(LEN(AC44)&gt;0,"- "&amp;AC44,"")</f>
        <v/>
      </c>
      <c r="BF44" s="155" t="str">
        <f>IF(LEN(AD44)&gt;0,"- "&amp;AD44,"")</f>
        <v/>
      </c>
      <c r="BG44" s="155" t="str">
        <f>IF(LEN(AE44)&gt;0,"- "&amp;AE44,"")</f>
        <v/>
      </c>
      <c r="BH44" s="155" t="str">
        <f>IF(LEN(AF44)&gt;0,"- "&amp;AF44,"")</f>
        <v/>
      </c>
      <c r="BI44" s="155" t="str">
        <f>IF(LEN(AG44)&gt;0,"- "&amp;AG44,"")</f>
        <v/>
      </c>
      <c r="BJ44" s="155" t="str">
        <f>IF(LEN(AH44)&gt;0,"- "&amp;AH44,"")</f>
        <v/>
      </c>
      <c r="BK44" s="155" t="str">
        <f>"tags:"&amp;CHAR(10)&amp;concatl(AV44:BJ44)</f>
        <v xml:space="preserve">tags:
- mexico_x000D_
- mexico-city_x000D_
- holy-persons_x000D_
- miguel-pro_x000D_
- jesuits_x000D_
</v>
      </c>
      <c r="BL44" s="155" t="str">
        <f>IF(LEN(N44)&gt;0,TRIM(CONCATENATE("[Official site](",N44,") ",O44)),"")</f>
        <v/>
      </c>
      <c r="BM44" s="155" t="str">
        <f>IF(LEN(Q44)&gt;0,TRIM(CONCATENATE("["&amp;P44&amp;"](",Q44,") ",R44)),"")</f>
        <v/>
      </c>
      <c r="BN44" s="155" t="str">
        <f>IF(LEN(T44)&gt;0,TRIM(CONCATENATE("["&amp;S44&amp;"](",T44,") ",U44)),"")</f>
        <v/>
      </c>
      <c r="BO44" s="155" t="str">
        <f>IF(LEN(W44)&gt;0,TRIM(CONCATENATE("["&amp;V44&amp;"](",W44,") ",X44)),"")</f>
        <v/>
      </c>
      <c r="BP44" s="155" t="str">
        <f>IF(LEN(BL44)&gt;0,"* "&amp;BL44&amp;CHAR(10),"")&amp;
IF(LEN(BM44)&gt;0,"* "&amp;BM44&amp;CHAR(10),"")&amp;
IF(LEN(BN44)&gt;0,"* "&amp;BN44&amp;CHAR(10),"")&amp;
IF(LEN(BO44)&gt;0,"* "&amp;BO44&amp;CHAR(10),"")</f>
        <v/>
      </c>
      <c r="BQ44" s="155" t="str">
        <f>IF(LEN(AK44)&gt;0,TRIM(CONCATENATE("[Link](",AK44,") ",AL44)),"")</f>
        <v/>
      </c>
      <c r="BR44" s="155" t="str">
        <f>IF(LEN(AM44)&gt;0,TRIM(CONCATENATE("[Link](",AM44,") ",AN44)),"")</f>
        <v/>
      </c>
      <c r="BS44" s="155" t="str">
        <f>IF(LEN(AO44)&gt;0,TRIM(CONCATENATE("[Link](",AO44,") ",AP44)),"")</f>
        <v/>
      </c>
      <c r="BT44" s="155" t="str">
        <f>IF(LEN(concat(BQ44:BS44))&gt;0,concat("| ",BQ44," | ",BR44," | ",BS44," |"),"")</f>
        <v/>
      </c>
      <c r="BU44" s="155" t="str">
        <f>IF(J44,concatl("| The Real Presence | Miracle Hunter | MaryPages |","| --- | --- | --- |",BT44),"")</f>
        <v/>
      </c>
      <c r="BV44" s="155" t="str">
        <f>IF(LEN(BP44&amp;BU44)&gt;0,concatll("#### More Information",BP44,BU44),"")</f>
        <v/>
      </c>
      <c r="BW44" s="155" t="str">
        <f>IF(LEN(M44)&gt;1,concatll("#### Author's Note",M44),"")</f>
        <v xml:space="preserve">#### Author's Note_x000D_
_x000D_
The hours are rather strange: certain days of the week in the middle of the day.  The entrance is to the left of the entrance to La Sagrada Familia.  The gift shop is also excellent.
-JPY_x000D_
_x000D_
</v>
      </c>
      <c r="BX44" s="23" t="str">
        <f>IF(AR44,concatll(concatl("---",AS44:AU44,BK44,"---"),L44,BV44:BW44),"")</f>
        <v xml:space="preserve">---_x000D_
title: "Museum of Bl. Miguel Agustin Pro"_x000D_
location: {lat: 19.4224, lng: -99.16095}_x000D_
interest: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44" s="23" t="str">
        <f>IF(AR44,VLOOKUP(B44,'(Ref) Countries'!A:B,2,)&amp;IF(LEN(C44)&gt;1,"-"&amp;LOWER(SUBSTITUTE(C44," ","-")),"")&amp;"-"&amp;LOWER(SUBSTITUTE(SUBSTITUTE(G44," ","-"),".",""))&amp;".md","")</f>
        <v>mx-mexico-city-miguel-pro-museum.md</v>
      </c>
      <c r="BZ44" s="29" t="str">
        <f>IF(LEN(Y44)&gt;1,VLOOKUP(Y44,'Tag List'!$A:$B,2,),"")</f>
        <v>Bl. Miguel Pro, SJ</v>
      </c>
      <c r="CA44" s="29" t="str">
        <f>IF(LEN(Z44)&gt;1,VLOOKUP(Z44,'Tag List'!$A:$B,2,),"")</f>
        <v>Society of Jesus (Jesuits)</v>
      </c>
      <c r="CB44" s="29" t="str">
        <f>IF(LEN(AA44)&gt;1,VLOOKUP(AA44,'Tag List'!$A:$B,2,),"")</f>
        <v/>
      </c>
      <c r="CC44" s="29" t="str">
        <f>IF(LEN(Y44)&gt;1,GetTagPage(BZ44,Y44),"")</f>
        <v>[Bl. Miguel Pro, SJ](/tags/miguel-pro)</v>
      </c>
      <c r="CD44" s="29" t="str">
        <f>IF(LEN(Z44)&gt;1,GetTagPage(CA44,Z44),"")</f>
        <v>[Society of Jesus (Jesuits)](/tags/jesuits)</v>
      </c>
      <c r="CE44" s="29" t="str">
        <f>IF(LEN(AA44)&gt;1,GetTagPage(CB44,AA44),"")</f>
        <v/>
      </c>
      <c r="CF44" s="29" t="str">
        <f>"|"&amp;IF(LEN(CC44)&gt;1," "&amp;CC44,"")&amp;IF(LEN(CD44)&gt;1,", "&amp;CD44,"")&amp;IF(LEN(CE44)&gt;1,", "&amp;CE44,"")&amp;" "</f>
        <v xml:space="preserve">| [Bl. Miguel Pro, SJ](/tags/miguel-pro), [Society of Jesus (Jesuits)](/tags/jesuits) </v>
      </c>
      <c r="CG44" s="29" t="str">
        <f>"| "&amp;IF(AR44,"["&amp;AI44&amp;"](/places/"&amp;SUBSTITUTE(BY44,".md","")&amp;")",AI44)&amp;" "</f>
        <v xml:space="preserve">| [](/places/mx-mexico-city-miguel-pro-museum) </v>
      </c>
      <c r="CH44" s="29" t="str">
        <f>"| "&amp;IF(AR44,GetTagPage(B44,VLOOKUP(B44,'(Ref) Countries'!A:C,3,)),B44)&amp; " "</f>
        <v xml:space="preserve">| [Mexico](/tags/mexico) </v>
      </c>
      <c r="CI44" s="29" t="str">
        <f>"| "&amp;AJ44&amp;" "</f>
        <v xml:space="preserve">|  </v>
      </c>
      <c r="CJ44" s="29" t="str">
        <f>"|"&amp;IF(AR44," [Link](/places/"&amp;SUBSTITUTE(BY44,".md","")&amp;")","")&amp;" "</f>
        <v xml:space="preserve">| [Link](/places/mx-mexico-city-miguel-pro-museum) </v>
      </c>
      <c r="CK44" s="29" t="str">
        <f>"
"&amp;CG44&amp;CH44&amp;CI44&amp;CJ44&amp;BL44&amp;BQ44&amp;BR44&amp;BS44&amp;CF44&amp;"|"</f>
        <v xml:space="preserve">
| [](/places/mx-mexico-city-miguel-pro-museum) | [Mexico](/tags/mexico) |  | [Link](/places/mx-mexico-city-miguel-pro-museum) | [Bl. Miguel Pro, SJ](/tags/miguel-pro), [Society of Jesus (Jesuits)](/tags/jesuits) |</v>
      </c>
    </row>
    <row r="45" spans="1:89" ht="63.75" x14ac:dyDescent="0.25">
      <c r="A45" s="168" t="s">
        <v>1320</v>
      </c>
      <c r="B45" s="24" t="s">
        <v>649</v>
      </c>
      <c r="D45" s="15">
        <v>16.0440593284094</v>
      </c>
      <c r="E45" s="49">
        <v>120.488325579597</v>
      </c>
      <c r="F45" s="24" t="s">
        <v>1376</v>
      </c>
      <c r="G45" s="53" t="s">
        <v>1378</v>
      </c>
      <c r="H45" s="24" t="s">
        <v>1715</v>
      </c>
      <c r="I45" s="40" t="b">
        <v>1</v>
      </c>
      <c r="J45" s="24" t="b">
        <v>1</v>
      </c>
      <c r="L45" s="24" t="s">
        <v>1377</v>
      </c>
      <c r="N45" s="15" t="s">
        <v>1379</v>
      </c>
      <c r="O45" s="15" t="s">
        <v>336</v>
      </c>
      <c r="Y45" s="15" t="s">
        <v>336</v>
      </c>
      <c r="AI45" s="85" t="s">
        <v>1256</v>
      </c>
      <c r="AJ45" s="86">
        <v>1610</v>
      </c>
      <c r="AK45" s="15" t="s">
        <v>262</v>
      </c>
      <c r="AL45" s="15" t="s">
        <v>336</v>
      </c>
      <c r="AM45" s="15" t="s">
        <v>1380</v>
      </c>
      <c r="AN45" s="15" t="s">
        <v>336</v>
      </c>
      <c r="AO45" s="15" t="s">
        <v>336</v>
      </c>
      <c r="AP45" s="49" t="s">
        <v>336</v>
      </c>
      <c r="AR45" s="154" t="b">
        <f>IF(OR(A45="Done",A45="In Progress"),TRUE)</f>
        <v>1</v>
      </c>
      <c r="AS45" s="155" t="str">
        <f>"title: """&amp;F45&amp;""""</f>
        <v>title: "Minor Basilica of Our Lady of the Rosary of Manaoag"</v>
      </c>
      <c r="AT45" s="155" t="str">
        <f>"location: {lat: "&amp;D45&amp;", lng: "&amp;E45&amp;"}"</f>
        <v>location: {lat: 16.0440593284094, lng: 120.488325579597}</v>
      </c>
      <c r="AU45" s="155" t="str">
        <f>"interest: "&amp;H45</f>
        <v>interest: global</v>
      </c>
      <c r="AV45" s="155" t="str">
        <f>"- "&amp;VLOOKUP(B45,'(Ref) Countries'!A:C,3,)</f>
        <v>- philippines</v>
      </c>
      <c r="AW45" s="155" t="str">
        <f>IF(LEN(C45)&gt;1,"- "&amp;LOWER(SUBSTITUTE(C45," ","-")),"")</f>
        <v/>
      </c>
      <c r="AX45" s="155" t="str">
        <f>IF(I45,"- churches","")</f>
        <v>- churches</v>
      </c>
      <c r="AY45" s="155" t="str">
        <f>IF(J45,"- marian-sites","")</f>
        <v>- marian-sites</v>
      </c>
      <c r="AZ45" s="155" t="str">
        <f>IF(K45,"- holy-persons","")</f>
        <v/>
      </c>
      <c r="BA45" s="155" t="str">
        <f>IF(LEN(Y45)&gt;0,"- "&amp;Y45,"")</f>
        <v/>
      </c>
      <c r="BB45" s="155" t="str">
        <f>IF(LEN(Z45)&gt;0,"- "&amp;Z45,"")</f>
        <v/>
      </c>
      <c r="BC45" s="155" t="str">
        <f>IF(LEN(AA45)&gt;0,"- "&amp;AA45,"")</f>
        <v/>
      </c>
      <c r="BD45" s="155" t="str">
        <f>IF(LEN(AB45)&gt;0,"- "&amp;AB45,"")</f>
        <v/>
      </c>
      <c r="BE45" s="155" t="str">
        <f>IF(LEN(AC45)&gt;0,"- "&amp;AC45,"")</f>
        <v/>
      </c>
      <c r="BF45" s="155" t="str">
        <f>IF(LEN(AD45)&gt;0,"- "&amp;AD45,"")</f>
        <v/>
      </c>
      <c r="BG45" s="155" t="str">
        <f>IF(LEN(AE45)&gt;0,"- "&amp;AE45,"")</f>
        <v/>
      </c>
      <c r="BH45" s="155" t="str">
        <f>IF(LEN(AF45)&gt;0,"- "&amp;AF45,"")</f>
        <v/>
      </c>
      <c r="BI45" s="155" t="str">
        <f>IF(LEN(AG45)&gt;0,"- "&amp;AG45,"")</f>
        <v/>
      </c>
      <c r="BJ45" s="155" t="str">
        <f>IF(LEN(AH45)&gt;0,"- "&amp;AH45,"")</f>
        <v/>
      </c>
      <c r="BK45" s="155" t="str">
        <f>"tags:"&amp;CHAR(10)&amp;concatl(AV45:BJ45)</f>
        <v xml:space="preserve">tags:
- philippines_x000D_
- churches_x000D_
- marian-sites_x000D_
</v>
      </c>
      <c r="BL45" s="158" t="str">
        <f>IF(LEN(N45)&gt;0,TRIM(CONCATENATE("[Official site](",N45,") ",O45)),"")</f>
        <v>[Official site](https://www.manaoagminorbasilica.org/)</v>
      </c>
      <c r="BM45" s="158" t="str">
        <f>IF(LEN(Q45)&gt;0,TRIM(CONCATENATE("["&amp;P45&amp;"](",Q45,") ",R45)),"")</f>
        <v/>
      </c>
      <c r="BN45" s="158" t="str">
        <f>IF(LEN(T45)&gt;0,TRIM(CONCATENATE("["&amp;S45&amp;"](",T45,") ",U45)),"")</f>
        <v/>
      </c>
      <c r="BO45" s="158" t="str">
        <f>IF(LEN(W45)&gt;0,TRIM(CONCATENATE("["&amp;V45&amp;"](",W45,") ",X45)),"")</f>
        <v/>
      </c>
      <c r="BP45" s="158" t="str">
        <f>IF(LEN(BL45)&gt;0,"* "&amp;BL45&amp;CHAR(10),"")&amp;
IF(LEN(BM45)&gt;0,"* "&amp;BM45&amp;CHAR(10),"")&amp;
IF(LEN(BN45)&gt;0,"* "&amp;BN45&amp;CHAR(10),"")&amp;
IF(LEN(BO45)&gt;0,"* "&amp;BO45&amp;CHAR(10),"")</f>
        <v xml:space="preserve">* [Official site](https://www.manaoagminorbasilica.org/)
</v>
      </c>
      <c r="BQ45" s="158" t="str">
        <f>IF(LEN(AK45)&gt;0,TRIM(CONCATENATE("[Link](",AK45,") ",AL45)),"")</f>
        <v>[Link](http://www.therealpresence.org/eucharst/misc/BVM/88_MANAOAG_60x96.pdf)</v>
      </c>
      <c r="BR45" s="158" t="str">
        <f>IF(LEN(AM45)&gt;0,TRIM(CONCATENATE("[Link](",AM45,") ",AN45)),"")</f>
        <v>[Link](https://www.miraclehunter.com/marian_apparitions/approved_apparitions/manaoag/index.html)</v>
      </c>
      <c r="BS45" s="158" t="str">
        <f>IF(LEN(AO45)&gt;0,TRIM(CONCATENATE("[Link](",AO45,") ",AP45)),"")</f>
        <v/>
      </c>
      <c r="BT45" s="158" t="str">
        <f>IF(LEN(concat(BQ45:BS45))&gt;0,concat("| ",BQ45," | ",BR45," | ",BS45," |"),"")</f>
        <v>| [Link](http://www.therealpresence.org/eucharst/misc/BVM/88_MANAOAG_60x96.pdf) | [Link](https://www.miraclehunter.com/marian_apparitions/approved_apparitions/manaoag/index.html) |  |</v>
      </c>
      <c r="BU45" s="155" t="str">
        <f>IF(J45,concatl("| The Real Presence | Miracle Hunter | MaryPages |","| --- | --- | --- |",BT45),"")</f>
        <v xml:space="preserve">| The Real Presence | Miracle Hunter | MaryPages |_x000D_
| --- | --- | --- |_x000D_
| [Link](http://www.therealpresence.org/eucharst/misc/BVM/88_MANAOAG_60x96.pdf) | [Link](https://www.miraclehunter.com/marian_apparitions/approved_apparitions/manaoag/index.html) |  |_x000D_
</v>
      </c>
      <c r="BV45" s="155" t="str">
        <f>IF(LEN(BP45&amp;BU45)&gt;0,concatll("#### More Information",BP45,BU45),"")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45" s="155" t="str">
        <f>IF(LEN(M45)&gt;1,concatll("#### Author's Note",M45),"")</f>
        <v/>
      </c>
      <c r="BX45" s="23" t="str">
        <f>IF(AR45,concatll(concatl("---",AS45:AU45,BK45,"---"),L45,BV45:BW45),"")</f>
        <v xml:space="preserve">---_x000D_
title: "Minor Basilica of Our Lady of the Rosary of Manaoag"_x000D_
location: {lat: 16.0440593284094, lng: 120.488325579597}_x000D_
interest: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45" s="23" t="str">
        <f>IF(AR45,VLOOKUP(B45,'(Ref) Countries'!A:B,2,)&amp;IF(LEN(C45)&gt;1,"-"&amp;LOWER(SUBSTITUTE(C45," ","-")),"")&amp;"-"&amp;LOWER(SUBSTITUTE(SUBSTITUTE(G45," ","-"),".",""))&amp;".md","")</f>
        <v>ph-basilica-of-our-lady-of-the-rosary-of-manaoag.md</v>
      </c>
      <c r="BZ45" s="29" t="str">
        <f>IF(LEN(Y45)&gt;1,VLOOKUP(Y45,'Tag List'!$A:$B,2,),"")</f>
        <v/>
      </c>
      <c r="CA45" s="29" t="str">
        <f>IF(LEN(Z45)&gt;1,VLOOKUP(Z45,'Tag List'!$A:$B,2,),"")</f>
        <v/>
      </c>
      <c r="CB45" s="29" t="str">
        <f>IF(LEN(AA45)&gt;1,VLOOKUP(AA45,'Tag List'!$A:$B,2,),"")</f>
        <v/>
      </c>
      <c r="CC45" s="30" t="str">
        <f>IF(LEN(Y45)&gt;1,GetTagPage(BZ45,Y45),"")</f>
        <v/>
      </c>
      <c r="CD45" s="30" t="str">
        <f>IF(LEN(Z45)&gt;1,GetTagPage(CA45,Z45),"")</f>
        <v/>
      </c>
      <c r="CE45" s="30" t="str">
        <f>IF(LEN(AA45)&gt;1,GetTagPage(CB45,AA45),"")</f>
        <v/>
      </c>
      <c r="CF45" s="30" t="str">
        <f>"|"&amp;IF(LEN(CC45)&gt;1," "&amp;CC45,"")&amp;IF(LEN(CD45)&gt;1,", "&amp;CD45,"")&amp;IF(LEN(CE45)&gt;1,", "&amp;CE45,"")&amp;" "</f>
        <v xml:space="preserve">| </v>
      </c>
      <c r="CG45" s="30" t="str">
        <f>"| "&amp;IF(AR45,"["&amp;AI45&amp;"](/places/"&amp;SUBSTITUTE(BY45,".md","")&amp;")",AI45)&amp;" "</f>
        <v xml:space="preserve">| [Manaoag](/places/ph-basilica-of-our-lady-of-the-rosary-of-manaoag) </v>
      </c>
      <c r="CH45" s="30" t="str">
        <f>"| "&amp;IF(AR45,GetTagPage(B45,VLOOKUP(B45,'(Ref) Countries'!A:C,3,)),B45)&amp; " "</f>
        <v xml:space="preserve">| [Philippines](/tags/philippines) </v>
      </c>
      <c r="CI45" s="30" t="str">
        <f>"| "&amp;AJ45&amp;" "</f>
        <v xml:space="preserve">| 1610 </v>
      </c>
      <c r="CJ45" s="30" t="str">
        <f>"|"&amp;IF(AR45," [Link](/places/"&amp;SUBSTITUTE(BY45,".md","")&amp;")","")&amp;" "</f>
        <v xml:space="preserve">| [Link](/places/ph-basilica-of-our-lady-of-the-rosary-of-manaoag) </v>
      </c>
      <c r="CK45" s="29" t="str">
        <f>"
"&amp;CG45&amp;CH45&amp;CI45&amp;CJ45&amp;BL45&amp;BQ45&amp;BR45&amp;BS45&amp;CF45&amp;"|"</f>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46" spans="1:89" ht="153" x14ac:dyDescent="0.25">
      <c r="A46" s="168" t="s">
        <v>1320</v>
      </c>
      <c r="B46" s="24" t="s">
        <v>651</v>
      </c>
      <c r="D46" s="15">
        <v>54.024675490094602</v>
      </c>
      <c r="E46" s="49">
        <v>21.217746272668698</v>
      </c>
      <c r="F46" s="24" t="s">
        <v>1315</v>
      </c>
      <c r="G46" s="53" t="s">
        <v>1315</v>
      </c>
      <c r="H46" s="24" t="s">
        <v>1715</v>
      </c>
      <c r="I46" s="40" t="b">
        <v>1</v>
      </c>
      <c r="J46" s="24" t="b">
        <v>1</v>
      </c>
      <c r="L46" s="40" t="s">
        <v>1712</v>
      </c>
      <c r="M46" s="54" t="s">
        <v>1730</v>
      </c>
      <c r="N46" s="15" t="s">
        <v>1323</v>
      </c>
      <c r="O46" s="15" t="s">
        <v>336</v>
      </c>
      <c r="Y46" s="15" t="s">
        <v>336</v>
      </c>
      <c r="AI46" s="85" t="s">
        <v>1187</v>
      </c>
      <c r="AJ46" s="86" t="s">
        <v>1068</v>
      </c>
      <c r="AK46" s="15" t="s">
        <v>189</v>
      </c>
      <c r="AL46" s="15" t="s">
        <v>336</v>
      </c>
      <c r="AM46" s="15" t="s">
        <v>1324</v>
      </c>
      <c r="AN46" s="15" t="s">
        <v>1336</v>
      </c>
      <c r="AO46" s="15" t="s">
        <v>336</v>
      </c>
      <c r="AP46" s="49" t="s">
        <v>336</v>
      </c>
      <c r="AR46" s="154" t="b">
        <f>IF(OR(A46="Done",A46="In Progress"),TRUE)</f>
        <v>1</v>
      </c>
      <c r="AS46" s="155" t="str">
        <f>"title: """&amp;F46&amp;""""</f>
        <v>title: "Swieta Lipka Sanctuary"</v>
      </c>
      <c r="AT46" s="155" t="str">
        <f>"location: {lat: "&amp;D46&amp;", lng: "&amp;E46&amp;"}"</f>
        <v>location: {lat: 54.0246754900946, lng: 21.2177462726687}</v>
      </c>
      <c r="AU46" s="155" t="str">
        <f>"interest: "&amp;H46</f>
        <v>interest: global</v>
      </c>
      <c r="AV46" s="155" t="str">
        <f>"- "&amp;VLOOKUP(B46,'(Ref) Countries'!A:C,3,)</f>
        <v>- poland</v>
      </c>
      <c r="AW46" s="155" t="str">
        <f>IF(LEN(C46)&gt;1,"- "&amp;LOWER(SUBSTITUTE(C46," ","-")),"")</f>
        <v/>
      </c>
      <c r="AX46" s="155" t="str">
        <f>IF(I46,"- churches","")</f>
        <v>- churches</v>
      </c>
      <c r="AY46" s="155" t="str">
        <f>IF(J46,"- marian-sites","")</f>
        <v>- marian-sites</v>
      </c>
      <c r="AZ46" s="155" t="str">
        <f>IF(K46,"- holy-persons","")</f>
        <v/>
      </c>
      <c r="BA46" s="155" t="str">
        <f>IF(LEN(Y46)&gt;0,"- "&amp;Y46,"")</f>
        <v/>
      </c>
      <c r="BB46" s="155" t="str">
        <f>IF(LEN(Z46)&gt;0,"- "&amp;Z46,"")</f>
        <v/>
      </c>
      <c r="BC46" s="155" t="str">
        <f>IF(LEN(AA46)&gt;0,"- "&amp;AA46,"")</f>
        <v/>
      </c>
      <c r="BD46" s="155" t="str">
        <f>IF(LEN(AB46)&gt;0,"- "&amp;AB46,"")</f>
        <v/>
      </c>
      <c r="BE46" s="155" t="str">
        <f>IF(LEN(AC46)&gt;0,"- "&amp;AC46,"")</f>
        <v/>
      </c>
      <c r="BF46" s="155" t="str">
        <f>IF(LEN(AD46)&gt;0,"- "&amp;AD46,"")</f>
        <v/>
      </c>
      <c r="BG46" s="155" t="str">
        <f>IF(LEN(AE46)&gt;0,"- "&amp;AE46,"")</f>
        <v/>
      </c>
      <c r="BH46" s="155" t="str">
        <f>IF(LEN(AF46)&gt;0,"- "&amp;AF46,"")</f>
        <v/>
      </c>
      <c r="BI46" s="155" t="str">
        <f>IF(LEN(AG46)&gt;0,"- "&amp;AG46,"")</f>
        <v/>
      </c>
      <c r="BJ46" s="155" t="str">
        <f>IF(LEN(AH46)&gt;0,"- "&amp;AH46,"")</f>
        <v/>
      </c>
      <c r="BK46" s="155" t="str">
        <f>"tags:"&amp;CHAR(10)&amp;concatl(AV46:BJ46)</f>
        <v xml:space="preserve">tags:
- poland_x000D_
- churches_x000D_
- marian-sites_x000D_
</v>
      </c>
      <c r="BL46" s="158" t="str">
        <f>IF(LEN(N46)&gt;0,TRIM(CONCATENATE("[Official site](",N46,") ",O46)),"")</f>
        <v>[Official site](https://www.swlipka.pl/)</v>
      </c>
      <c r="BM46" s="158" t="str">
        <f>IF(LEN(Q46)&gt;0,TRIM(CONCATENATE("["&amp;P46&amp;"](",Q46,") ",R46)),"")</f>
        <v/>
      </c>
      <c r="BN46" s="158" t="str">
        <f>IF(LEN(T46)&gt;0,TRIM(CONCATENATE("["&amp;S46&amp;"](",T46,") ",U46)),"")</f>
        <v/>
      </c>
      <c r="BO46" s="158" t="str">
        <f>IF(LEN(W46)&gt;0,TRIM(CONCATENATE("["&amp;V46&amp;"](",W46,") ",X46)),"")</f>
        <v/>
      </c>
      <c r="BP46" s="158" t="str">
        <f>IF(LEN(BL46)&gt;0,"* "&amp;BL46&amp;CHAR(10),"")&amp;
IF(LEN(BM46)&gt;0,"* "&amp;BM46&amp;CHAR(10),"")&amp;
IF(LEN(BN46)&gt;0,"* "&amp;BN46&amp;CHAR(10),"")&amp;
IF(LEN(BO46)&gt;0,"* "&amp;BO46&amp;CHAR(10),"")</f>
        <v xml:space="preserve">* [Official site](https://www.swlipka.pl/)
</v>
      </c>
      <c r="BQ46" s="158" t="str">
        <f>IF(LEN(AK46)&gt;0,TRIM(CONCATENATE("[Link](",AK46,") ",AL46)),"")</f>
        <v>[Link](http://www.therealpresence.org/eucharst/misc/BVM/138_SWIETA_LIPKA_60x96.pdf)</v>
      </c>
      <c r="BR46" s="158" t="str">
        <f>IF(LEN(AM46)&gt;0,TRIM(CONCATENATE("[Link](",AM46,") ",AN46)),"")</f>
        <v>[Link](http://www.miraclehunter.com/marian_apparitions/approved_apparitions/apparitions_1200-1299.html) (Search for "Swieta Lipka")</v>
      </c>
      <c r="BS46" s="158" t="str">
        <f>IF(LEN(AO46)&gt;0,TRIM(CONCATENATE("[Link](",AO46,") ",AP46)),"")</f>
        <v/>
      </c>
      <c r="BT46" s="158" t="str">
        <f>IF(LEN(concat(BQ46:BS46))&gt;0,concat("| ",BQ46," | ",BR46," | ",BS46," |"),"")</f>
        <v>| [Link](http://www.therealpresence.org/eucharst/misc/BVM/138_SWIETA_LIPKA_60x96.pdf) | [Link](http://www.miraclehunter.com/marian_apparitions/approved_apparitions/apparitions_1200-1299.html) (Search for "Swieta Lipka") |  |</v>
      </c>
      <c r="BU46" s="155" t="str">
        <f>IF(J46,concatl("| The Real Presence | Miracle Hunter | MaryPages |","| --- | --- | --- |",BT46),"")</f>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46" s="155" t="str">
        <f>IF(LEN(BP46&amp;BU46)&gt;0,concatll("#### More Information",BP46,BU46),"")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46" s="155" t="str">
        <f>IF(LEN(M46)&gt;1,concatll("#### Author's Note",M46),"")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46" s="23" t="str">
        <f>IF(AR46,concatll(concatl("---",AS46:AU46,BK46,"---"),L46,BV46:BW46),"")</f>
        <v xml:space="preserve">---_x000D_
title: "Swieta Lipka Sanctuary"_x000D_
location: {lat: 54.0246754900946, lng: 21.2177462726687}_x000D_
interest: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46" s="23" t="str">
        <f>IF(AR46,VLOOKUP(B46,'(Ref) Countries'!A:B,2,)&amp;IF(LEN(C46)&gt;1,"-"&amp;LOWER(SUBSTITUTE(C46," ","-")),"")&amp;"-"&amp;LOWER(SUBSTITUTE(SUBSTITUTE(G46," ","-"),".",""))&amp;".md","")</f>
        <v>pl-swieta-lipka-sanctuary.md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"|"&amp;IF(LEN(CC46)&gt;1," "&amp;CC46,"")&amp;IF(LEN(CD46)&gt;1,", "&amp;CD46,"")&amp;IF(LEN(CE46)&gt;1,", "&amp;CE46,"")&amp;" "</f>
        <v xml:space="preserve">| </v>
      </c>
      <c r="CG46" s="30" t="str">
        <f>"| "&amp;IF(AR46,"["&amp;AI46&amp;"](/places/"&amp;SUBSTITUTE(BY46,".md","")&amp;")",AI46)&amp;" "</f>
        <v xml:space="preserve">| [Swieta Lipka](/places/pl-swieta-lipka-sanctuary) </v>
      </c>
      <c r="CH46" s="30" t="str">
        <f>"| "&amp;IF(AR46,GetTagPage(B46,VLOOKUP(B46,'(Ref) Countries'!A:C,3,)),B46)&amp; " "</f>
        <v xml:space="preserve">| [Poland](/tags/poland) </v>
      </c>
      <c r="CI46" s="30" t="str">
        <f>"| "&amp;AJ46&amp;" "</f>
        <v xml:space="preserve">| 13th Century </v>
      </c>
      <c r="CJ46" s="30" t="str">
        <f>"|"&amp;IF(AR46," [Link](/places/"&amp;SUBSTITUTE(BY46,".md","")&amp;")","")&amp;" "</f>
        <v xml:space="preserve">| [Link](/places/pl-swieta-lipka-sanctuary) </v>
      </c>
      <c r="CK46" s="29" t="str">
        <f>"
"&amp;CG46&amp;CH46&amp;CI46&amp;CJ46&amp;BL46&amp;BQ46&amp;BR46&amp;BS46&amp;CF46&amp;"|"</f>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47" spans="1:89" ht="140.25" x14ac:dyDescent="0.25">
      <c r="A47" s="168" t="s">
        <v>1320</v>
      </c>
      <c r="B47" s="27" t="s">
        <v>651</v>
      </c>
      <c r="D47" s="15">
        <v>49.465129655108299</v>
      </c>
      <c r="E47" s="49">
        <v>19.982843057005098</v>
      </c>
      <c r="F47" s="27" t="s">
        <v>1414</v>
      </c>
      <c r="G47" s="53" t="s">
        <v>1414</v>
      </c>
      <c r="H47" s="24" t="s">
        <v>1715</v>
      </c>
      <c r="I47" s="40" t="b">
        <v>1</v>
      </c>
      <c r="J47" s="24" t="b">
        <v>1</v>
      </c>
      <c r="L47" s="27" t="s">
        <v>1415</v>
      </c>
      <c r="M47" s="55" t="s">
        <v>1731</v>
      </c>
      <c r="N47" s="15" t="s">
        <v>1416</v>
      </c>
      <c r="O47" s="15" t="s">
        <v>336</v>
      </c>
      <c r="Y47" s="39" t="s">
        <v>1417</v>
      </c>
      <c r="Z47" s="39"/>
      <c r="AA47" s="39"/>
      <c r="AB47" s="39"/>
      <c r="AC47" s="39"/>
      <c r="AD47" s="39"/>
      <c r="AE47" s="39"/>
      <c r="AF47" s="39"/>
      <c r="AG47" s="39"/>
      <c r="AH47" s="39"/>
      <c r="AI47" s="85" t="s">
        <v>1412</v>
      </c>
      <c r="AJ47" s="87" t="s">
        <v>1413</v>
      </c>
      <c r="AK47" s="15" t="s">
        <v>336</v>
      </c>
      <c r="AL47" s="15" t="s">
        <v>336</v>
      </c>
      <c r="AM47" s="15" t="s">
        <v>336</v>
      </c>
      <c r="AN47" s="15" t="s">
        <v>336</v>
      </c>
      <c r="AO47" s="15" t="s">
        <v>336</v>
      </c>
      <c r="AP47" s="49" t="s">
        <v>336</v>
      </c>
      <c r="AR47" s="154" t="b">
        <f>IF(OR(A47="Done",A47="In Progress"),TRUE)</f>
        <v>1</v>
      </c>
      <c r="AS47" s="155" t="str">
        <f>"title: """&amp;F47&amp;""""</f>
        <v>title: "Sanctuary of Our Lady Queen of Podhale"</v>
      </c>
      <c r="AT47" s="155" t="str">
        <f>"location: {lat: "&amp;D47&amp;", lng: "&amp;E47&amp;"}"</f>
        <v>location: {lat: 49.4651296551083, lng: 19.9828430570051}</v>
      </c>
      <c r="AU47" s="155" t="str">
        <f>"interest: "&amp;H47</f>
        <v>interest: global</v>
      </c>
      <c r="AV47" s="155" t="str">
        <f>"- "&amp;VLOOKUP(B47,'(Ref) Countries'!A:C,3,)</f>
        <v>- poland</v>
      </c>
      <c r="AW47" s="155" t="str">
        <f>IF(LEN(C47)&gt;1,"- "&amp;LOWER(SUBSTITUTE(C47," ","-")),"")</f>
        <v/>
      </c>
      <c r="AX47" s="155" t="str">
        <f>IF(I47,"- churches","")</f>
        <v>- churches</v>
      </c>
      <c r="AY47" s="155" t="str">
        <f>IF(J47,"- marian-sites","")</f>
        <v>- marian-sites</v>
      </c>
      <c r="AZ47" s="155" t="str">
        <f>IF(K47,"- holy-persons","")</f>
        <v/>
      </c>
      <c r="BA47" s="155" t="str">
        <f>IF(LEN(Y47)&gt;0,"- "&amp;Y47,"")</f>
        <v>- john-paul-ii</v>
      </c>
      <c r="BB47" s="155" t="str">
        <f>IF(LEN(Z47)&gt;0,"- "&amp;Z47,"")</f>
        <v/>
      </c>
      <c r="BC47" s="155" t="str">
        <f>IF(LEN(AA47)&gt;0,"- "&amp;AA47,"")</f>
        <v/>
      </c>
      <c r="BD47" s="155" t="str">
        <f>IF(LEN(AB47)&gt;0,"- "&amp;AB47,"")</f>
        <v/>
      </c>
      <c r="BE47" s="155" t="str">
        <f>IF(LEN(AC47)&gt;0,"- "&amp;AC47,"")</f>
        <v/>
      </c>
      <c r="BF47" s="155" t="str">
        <f>IF(LEN(AD47)&gt;0,"- "&amp;AD47,"")</f>
        <v/>
      </c>
      <c r="BG47" s="155" t="str">
        <f>IF(LEN(AE47)&gt;0,"- "&amp;AE47,"")</f>
        <v/>
      </c>
      <c r="BH47" s="155" t="str">
        <f>IF(LEN(AF47)&gt;0,"- "&amp;AF47,"")</f>
        <v/>
      </c>
      <c r="BI47" s="155" t="str">
        <f>IF(LEN(AG47)&gt;0,"- "&amp;AG47,"")</f>
        <v/>
      </c>
      <c r="BJ47" s="155" t="str">
        <f>IF(LEN(AH47)&gt;0,"- "&amp;AH47,"")</f>
        <v/>
      </c>
      <c r="BK47" s="155" t="str">
        <f>"tags:"&amp;CHAR(10)&amp;concatl(AV47:BJ47)</f>
        <v xml:space="preserve">tags:
- poland_x000D_
- churches_x000D_
- marian-sites_x000D_
- john-paul-ii_x000D_
</v>
      </c>
      <c r="BL47" s="158" t="str">
        <f>IF(LEN(N47)&gt;0,TRIM(CONCATENATE("[Official site](",N47,") ",O47)),"")</f>
        <v>[Official site](ps://www.mbludzm.pl/)</v>
      </c>
      <c r="BM47" s="158" t="str">
        <f>IF(LEN(Q47)&gt;0,TRIM(CONCATENATE("["&amp;P47&amp;"](",Q47,") ",R47)),"")</f>
        <v/>
      </c>
      <c r="BN47" s="158" t="str">
        <f>IF(LEN(T47)&gt;0,TRIM(CONCATENATE("["&amp;S47&amp;"](",T47,") ",U47)),"")</f>
        <v/>
      </c>
      <c r="BO47" s="158" t="str">
        <f>IF(LEN(W47)&gt;0,TRIM(CONCATENATE("["&amp;V47&amp;"](",W47,") ",X47)),"")</f>
        <v/>
      </c>
      <c r="BP47" s="158" t="str">
        <f>IF(LEN(BL47)&gt;0,"* "&amp;BL47&amp;CHAR(10),"")&amp;
IF(LEN(BM47)&gt;0,"* "&amp;BM47&amp;CHAR(10),"")&amp;
IF(LEN(BN47)&gt;0,"* "&amp;BN47&amp;CHAR(10),"")&amp;
IF(LEN(BO47)&gt;0,"* "&amp;BO47&amp;CHAR(10),"")</f>
        <v xml:space="preserve">* [Official site](ps://www.mbludzm.pl/)
</v>
      </c>
      <c r="BQ47" s="158" t="str">
        <f>IF(LEN(AK47)&gt;0,TRIM(CONCATENATE("[Link](",AK47,") ",AL47)),"")</f>
        <v/>
      </c>
      <c r="BR47" s="158" t="str">
        <f>IF(LEN(AM47)&gt;0,TRIM(CONCATENATE("[Link](",AM47,") ",AN47)),"")</f>
        <v/>
      </c>
      <c r="BS47" s="158" t="str">
        <f>IF(LEN(AO47)&gt;0,TRIM(CONCATENATE("[Link](",AO47,") ",AP47)),"")</f>
        <v/>
      </c>
      <c r="BT47" s="158" t="str">
        <f>IF(LEN(concat(BQ47:BS47))&gt;0,concat("| ",BQ47," | ",BR47," | ",BS47," |"),"")</f>
        <v/>
      </c>
      <c r="BU47" s="155" t="str">
        <f>IF(J47,concatl("| The Real Presence | Miracle Hunter | MaryPages |","| --- | --- | --- |",BT47),"")</f>
        <v xml:space="preserve">| The Real Presence | Miracle Hunter | MaryPages |_x000D_
| --- | --- | --- |_x000D_
</v>
      </c>
      <c r="BV47" s="155" t="str">
        <f>IF(LEN(BP47&amp;BU47)&gt;0,concatll("#### More Information",BP47,BU47),"")</f>
        <v xml:space="preserve">#### More Information_x000D_
_x000D_
* [Official site](ps://www.mbludzm.pl/)
_x000D_
_x000D_
| The Real Presence | Miracle Hunter | MaryPages |_x000D_
| --- | --- | --- |_x000D_
_x000D_
_x000D_
</v>
      </c>
      <c r="BW47" s="155" t="str">
        <f>IF(LEN(M47)&gt;1,concatll("#### Author's Note",M47),"")</f>
        <v xml:space="preserve">#### Author's Note_x000D_
_x000D_
Some good information on [Catholic Shrine Basilica](https://catholicshrinebasilica.com/sanctuary-of-our-lady-of-ludzmierz-poland/).
-JMM_x000D_
_x000D_
</v>
      </c>
      <c r="BX47" s="23" t="str">
        <f>IF(AR47,concatll(concatl("---",AS47:AU47,BK47,"---"),L47,BV47:BW47),"")</f>
        <v xml:space="preserve">---_x000D_
title: "Sanctuary of Our Lady Queen of Podhale"_x000D_
location: {lat: 49.4651296551083, lng: 19.9828430570051}_x000D_
interest: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47" s="23" t="str">
        <f>IF(AR47,VLOOKUP(B47,'(Ref) Countries'!A:B,2,)&amp;IF(LEN(C47)&gt;1,"-"&amp;LOWER(SUBSTITUTE(C47," ","-")),"")&amp;"-"&amp;LOWER(SUBSTITUTE(SUBSTITUTE(G47," ","-"),".",""))&amp;".md","")</f>
        <v>pl-sanctuary-of-our-lady-queen-of-podhale.md</v>
      </c>
      <c r="BZ47" s="29" t="str">
        <f>IF(LEN(Y47)&gt;1,VLOOKUP(Y47,'Tag List'!$A:$B,2,),"")</f>
        <v>Pope St. John Paul II</v>
      </c>
      <c r="CA47" s="29" t="str">
        <f>IF(LEN(Z47)&gt;1,VLOOKUP(Z47,'Tag List'!$A:$B,2,),"")</f>
        <v/>
      </c>
      <c r="CB47" s="29" t="str">
        <f>IF(LEN(AA47)&gt;1,VLOOKUP(AA47,'Tag List'!$A:$B,2,),"")</f>
        <v/>
      </c>
      <c r="CC47" s="30" t="str">
        <f>IF(LEN(Y47)&gt;1,GetTagPage(BZ47,Y47),"")</f>
        <v>[Pope St. John Paul II](/tags/john-paul-ii)</v>
      </c>
      <c r="CD47" s="30" t="str">
        <f>IF(LEN(Z47)&gt;1,GetTagPage(CA47,Z47),"")</f>
        <v/>
      </c>
      <c r="CE47" s="30" t="str">
        <f>IF(LEN(AA47)&gt;1,GetTagPage(CB47,AA47),"")</f>
        <v/>
      </c>
      <c r="CF47" s="30" t="str">
        <f>"|"&amp;IF(LEN(CC47)&gt;1," "&amp;CC47,"")&amp;IF(LEN(CD47)&gt;1,", "&amp;CD47,"")&amp;IF(LEN(CE47)&gt;1,", "&amp;CE47,"")&amp;" "</f>
        <v xml:space="preserve">| [Pope St. John Paul II](/tags/john-paul-ii) </v>
      </c>
      <c r="CG47" s="30" t="str">
        <f>"| "&amp;IF(AR47,"["&amp;AI47&amp;"](/places/"&amp;SUBSTITUTE(BY47,".md","")&amp;")",AI47)&amp;" "</f>
        <v xml:space="preserve">| [Ludzmierz](/places/pl-sanctuary-of-our-lady-queen-of-podhale) </v>
      </c>
      <c r="CH47" s="30" t="str">
        <f>"| "&amp;IF(AR47,GetTagPage(B47,VLOOKUP(B47,'(Ref) Countries'!A:C,3,)),B47)&amp; " "</f>
        <v xml:space="preserve">| [Poland](/tags/poland) </v>
      </c>
      <c r="CI47" s="30" t="str">
        <f>"| "&amp;AJ47&amp;" "</f>
        <v xml:space="preserve">| c. 1400 </v>
      </c>
      <c r="CJ47" s="30" t="str">
        <f>"|"&amp;IF(AR47," [Link](/places/"&amp;SUBSTITUTE(BY47,".md","")&amp;")","")&amp;" "</f>
        <v xml:space="preserve">| [Link](/places/pl-sanctuary-of-our-lady-queen-of-podhale) </v>
      </c>
      <c r="CK47" s="29" t="str">
        <f>"
"&amp;CG47&amp;CH47&amp;CI47&amp;CJ47&amp;BL47&amp;BQ47&amp;BR47&amp;BS47&amp;CF47&amp;"|"</f>
        <v xml:space="preserve">
| [Ludzmierz](/places/pl-sanctuary-of-our-lady-queen-of-podhale) | [Poland](/tags/poland) | c. 1400 | [Link](/places/pl-sanctuary-of-our-lady-queen-of-podhale) [Official site](ps://www.mbludzm.pl/)| [Pope St. John Paul II](/tags/john-paul-ii) |</v>
      </c>
    </row>
    <row r="48" spans="1:89" ht="89.25" x14ac:dyDescent="0.25">
      <c r="A48" s="168" t="s">
        <v>1320</v>
      </c>
      <c r="B48" s="24" t="s">
        <v>651</v>
      </c>
      <c r="D48" s="15">
        <v>50.270467699999998</v>
      </c>
      <c r="E48" s="49">
        <v>22.408031600000001</v>
      </c>
      <c r="F48" s="83" t="s">
        <v>1819</v>
      </c>
      <c r="G48" s="53" t="s">
        <v>1051</v>
      </c>
      <c r="H48" s="24" t="s">
        <v>1715</v>
      </c>
      <c r="I48" s="40" t="b">
        <v>1</v>
      </c>
      <c r="J48" s="24" t="b">
        <v>1</v>
      </c>
      <c r="L48" s="24" t="s">
        <v>1052</v>
      </c>
      <c r="M48" s="55" t="s">
        <v>1732</v>
      </c>
      <c r="N48" s="15" t="s">
        <v>423</v>
      </c>
      <c r="O48" s="15" t="s">
        <v>336</v>
      </c>
      <c r="Y48" s="24" t="s">
        <v>1424</v>
      </c>
      <c r="Z48" s="24"/>
      <c r="AA48" s="24"/>
      <c r="AB48" s="24"/>
      <c r="AC48" s="24"/>
      <c r="AD48" s="24"/>
      <c r="AE48" s="24"/>
      <c r="AF48" s="24"/>
      <c r="AG48" s="24"/>
      <c r="AH48" s="24"/>
      <c r="AI48" s="85" t="s">
        <v>1050</v>
      </c>
      <c r="AJ48" s="86">
        <v>1578</v>
      </c>
      <c r="AK48" s="16" t="s">
        <v>336</v>
      </c>
      <c r="AL48" s="16" t="s">
        <v>336</v>
      </c>
      <c r="AM48" s="15" t="s">
        <v>456</v>
      </c>
      <c r="AN48" s="15" t="s">
        <v>336</v>
      </c>
      <c r="AO48" s="15" t="s">
        <v>336</v>
      </c>
      <c r="AP48" s="49" t="s">
        <v>336</v>
      </c>
      <c r="AR48" s="154" t="b">
        <f>IF(OR(A48="Done",A48="In Progress"),TRUE)</f>
        <v>1</v>
      </c>
      <c r="AS48" s="155" t="str">
        <f>"title: """&amp;F48&amp;""""</f>
        <v>title: "Basilica of the Annunciation of the Blessed Virgin Mary (Our Lady of Lezajsk, Lady of Consolation)"</v>
      </c>
      <c r="AT48" s="155" t="str">
        <f>"location: {lat: "&amp;D48&amp;", lng: "&amp;E48&amp;"}"</f>
        <v>location: {lat: 50.2704677, lng: 22.4080316}</v>
      </c>
      <c r="AU48" s="155" t="str">
        <f>"interest: "&amp;H48</f>
        <v>interest: global</v>
      </c>
      <c r="AV48" s="155" t="str">
        <f>"- "&amp;VLOOKUP(B48,'(Ref) Countries'!A:C,3,)</f>
        <v>- poland</v>
      </c>
      <c r="AW48" s="155" t="str">
        <f>IF(LEN(C48)&gt;1,"- "&amp;LOWER(SUBSTITUTE(C48," ","-")),"")</f>
        <v/>
      </c>
      <c r="AX48" s="155" t="str">
        <f>IF(I48,"- churches","")</f>
        <v>- churches</v>
      </c>
      <c r="AY48" s="155" t="str">
        <f>IF(J48,"- marian-sites","")</f>
        <v>- marian-sites</v>
      </c>
      <c r="AZ48" s="155" t="str">
        <f>IF(K48,"- holy-persons","")</f>
        <v/>
      </c>
      <c r="BA48" s="155" t="str">
        <f>IF(LEN(Y48)&gt;0,"- "&amp;Y48,"")</f>
        <v>- communities</v>
      </c>
      <c r="BB48" s="155" t="str">
        <f>IF(LEN(Z48)&gt;0,"- "&amp;Z48,"")</f>
        <v/>
      </c>
      <c r="BC48" s="155" t="str">
        <f>IF(LEN(AA48)&gt;0,"- "&amp;AA48,"")</f>
        <v/>
      </c>
      <c r="BD48" s="155" t="str">
        <f>IF(LEN(AB48)&gt;0,"- "&amp;AB48,"")</f>
        <v/>
      </c>
      <c r="BE48" s="155" t="str">
        <f>IF(LEN(AC48)&gt;0,"- "&amp;AC48,"")</f>
        <v/>
      </c>
      <c r="BF48" s="155" t="str">
        <f>IF(LEN(AD48)&gt;0,"- "&amp;AD48,"")</f>
        <v/>
      </c>
      <c r="BG48" s="155" t="str">
        <f>IF(LEN(AE48)&gt;0,"- "&amp;AE48,"")</f>
        <v/>
      </c>
      <c r="BH48" s="155" t="str">
        <f>IF(LEN(AF48)&gt;0,"- "&amp;AF48,"")</f>
        <v/>
      </c>
      <c r="BI48" s="155" t="str">
        <f>IF(LEN(AG48)&gt;0,"- "&amp;AG48,"")</f>
        <v/>
      </c>
      <c r="BJ48" s="155" t="str">
        <f>IF(LEN(AH48)&gt;0,"- "&amp;AH48,"")</f>
        <v/>
      </c>
      <c r="BK48" s="155" t="str">
        <f>"tags:"&amp;CHAR(10)&amp;concatl(AV48:BJ48)</f>
        <v xml:space="preserve">tags:
- poland_x000D_
- churches_x000D_
- marian-sites_x000D_
- communities_x000D_
</v>
      </c>
      <c r="BL48" s="158" t="str">
        <f>IF(LEN(N48)&gt;0,TRIM(CONCATENATE("[Official site](",N48,") ",O48)),"")</f>
        <v>[Official site](https://lezajsk.bernardyni.pl/)</v>
      </c>
      <c r="BM48" s="158" t="str">
        <f>IF(LEN(Q48)&gt;0,TRIM(CONCATENATE("["&amp;P48&amp;"](",Q48,") ",R48)),"")</f>
        <v/>
      </c>
      <c r="BN48" s="158" t="str">
        <f>IF(LEN(T48)&gt;0,TRIM(CONCATENATE("["&amp;S48&amp;"](",T48,") ",U48)),"")</f>
        <v/>
      </c>
      <c r="BO48" s="158" t="str">
        <f>IF(LEN(W48)&gt;0,TRIM(CONCATENATE("["&amp;V48&amp;"](",W48,") ",X48)),"")</f>
        <v/>
      </c>
      <c r="BP48" s="158" t="str">
        <f>IF(LEN(BL48)&gt;0,"* "&amp;BL48&amp;CHAR(10),"")&amp;
IF(LEN(BM48)&gt;0,"* "&amp;BM48&amp;CHAR(10),"")&amp;
IF(LEN(BN48)&gt;0,"* "&amp;BN48&amp;CHAR(10),"")&amp;
IF(LEN(BO48)&gt;0,"* "&amp;BO48&amp;CHAR(10),"")</f>
        <v xml:space="preserve">* [Official site](https://lezajsk.bernardyni.pl/)
</v>
      </c>
      <c r="BQ48" s="158" t="str">
        <f>IF(LEN(AK48)&gt;0,TRIM(CONCATENATE("[Link](",AK48,") ",AL48)),"")</f>
        <v/>
      </c>
      <c r="BR48" s="158" t="str">
        <f>IF(LEN(AM48)&gt;0,TRIM(CONCATENATE("[Link](",AM48,") ",AN48)),"")</f>
        <v>[Link](https://www.miraclehunter.com/marian_apparitions/approved_apparitions/lejask/index.html)</v>
      </c>
      <c r="BS48" s="158" t="str">
        <f>IF(LEN(AO48)&gt;0,TRIM(CONCATENATE("[Link](",AO48,") ",AP48)),"")</f>
        <v/>
      </c>
      <c r="BT48" s="158" t="str">
        <f>IF(LEN(concat(BQ48:BS48))&gt;0,concat("| ",BQ48," | ",BR48," | ",BS48," |"),"")</f>
        <v>|  | [Link](https://www.miraclehunter.com/marian_apparitions/approved_apparitions/lejask/index.html) |  |</v>
      </c>
      <c r="BU48" s="155" t="str">
        <f>IF(J48,concatl("| The Real Presence | Miracle Hunter | MaryPages |","| --- | --- | --- |",BT48),"")</f>
        <v xml:space="preserve">| The Real Presence | Miracle Hunter | MaryPages |_x000D_
| --- | --- | --- |_x000D_
|  | [Link](https://www.miraclehunter.com/marian_apparitions/approved_apparitions/lejask/index.html) |  |_x000D_
</v>
      </c>
      <c r="BV48" s="155" t="str">
        <f>IF(LEN(BP48&amp;BU48)&gt;0,concatll("#### More Information",BP48,BU48),"")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48" s="155" t="str">
        <f>IF(LEN(M48)&gt;1,concatll("#### Author's Note",M48),"")</f>
        <v xml:space="preserve">#### Author's Note_x000D_
_x000D_
The monastery has published an excellent history of the shrine [here](https://lezajsk.bernardyni.pl/historia/) (in Polish).
-JMM_x000D_
_x000D_
</v>
      </c>
      <c r="BX48" s="23" t="str">
        <f>IF(AR48,concatll(concatl("---",AS48:AU48,BK48,"---"),L48,BV48:BW48),"")</f>
        <v xml:space="preserve">---_x000D_
title: "Basilica of the Annunciation of the Blessed Virgin Mary (Our Lady of Lezajsk, Lady of Consolation)"_x000D_
location: {lat: 50.2704677, lng: 22.4080316}_x000D_
interest: global_x000D_
tags:
- poland_x000D_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48" s="23" t="str">
        <f>IF(AR48,VLOOKUP(B48,'(Ref) Countries'!A:B,2,)&amp;IF(LEN(C48)&gt;1,"-"&amp;LOWER(SUBSTITUTE(C48," ","-")),"")&amp;"-"&amp;LOWER(SUBSTITUTE(SUBSTITUTE(G48," ","-"),".",""))&amp;".md","")</f>
        <v>pl-basilica-of-the-annunciation-of-the-blessed-virgin-mary.md</v>
      </c>
      <c r="BZ48" s="28" t="str">
        <f>IF(LEN(Y48)&gt;1,VLOOKUP(Y48,'Tag List'!$A:$B,2,),"")</f>
        <v>Religious Communities</v>
      </c>
      <c r="CA48" s="28" t="str">
        <f>IF(LEN(Z48)&gt;1,VLOOKUP(Z48,'Tag List'!$A:$B,2,),"")</f>
        <v/>
      </c>
      <c r="CB48" s="28" t="str">
        <f>IF(LEN(AA48)&gt;1,VLOOKUP(AA48,'Tag List'!$A:$B,2,),"")</f>
        <v/>
      </c>
      <c r="CC48" s="30" t="str">
        <f>IF(LEN(Y48)&gt;1,GetTagPage(BZ48,Y48),"")</f>
        <v>[Religious Communities](/tags/communities)</v>
      </c>
      <c r="CD48" s="30" t="str">
        <f>IF(LEN(Z48)&gt;1,GetTagPage(CA48,Z48),"")</f>
        <v/>
      </c>
      <c r="CE48" s="30" t="str">
        <f>IF(LEN(AA48)&gt;1,GetTagPage(CB48,AA48),"")</f>
        <v/>
      </c>
      <c r="CF48" s="30" t="str">
        <f>"|"&amp;IF(LEN(CC48)&gt;1," "&amp;CC48,"")&amp;IF(LEN(CD48)&gt;1,", "&amp;CD48,"")&amp;IF(LEN(CE48)&gt;1,", "&amp;CE48,"")&amp;" "</f>
        <v xml:space="preserve">| [Religious Communities](/tags/communities) </v>
      </c>
      <c r="CG48" s="30" t="str">
        <f>"| "&amp;IF(AR48,"["&amp;AI48&amp;"](/places/"&amp;SUBSTITUTE(BY48,".md","")&amp;")",AI48)&amp;" "</f>
        <v xml:space="preserve">| [Leżajsk](/places/pl-basilica-of-the-annunciation-of-the-blessed-virgin-mary) </v>
      </c>
      <c r="CH48" s="30" t="str">
        <f>"| "&amp;IF(AR48,GetTagPage(B48,VLOOKUP(B48,'(Ref) Countries'!A:C,3,)),B48)&amp; " "</f>
        <v xml:space="preserve">| [Poland](/tags/poland) </v>
      </c>
      <c r="CI48" s="30" t="str">
        <f>"| "&amp;AJ48&amp;" "</f>
        <v xml:space="preserve">| 1578 </v>
      </c>
      <c r="CJ48" s="30" t="str">
        <f>"|"&amp;IF(AR48," [Link](/places/"&amp;SUBSTITUTE(BY48,".md","")&amp;")","")&amp;" "</f>
        <v xml:space="preserve">| [Link](/places/pl-basilica-of-the-annunciation-of-the-blessed-virgin-mary) </v>
      </c>
      <c r="CK48" s="29" t="str">
        <f>"
"&amp;CG48&amp;CH48&amp;CI48&amp;CJ48&amp;BL48&amp;BQ48&amp;BR48&amp;BS48&amp;CF48&amp;"|"</f>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v>
      </c>
    </row>
    <row r="49" spans="1:90" ht="63.75" x14ac:dyDescent="0.25">
      <c r="A49" s="168" t="s">
        <v>1320</v>
      </c>
      <c r="B49" s="24" t="s">
        <v>651</v>
      </c>
      <c r="D49" s="15">
        <v>52.323705849375003</v>
      </c>
      <c r="E49" s="49">
        <v>18.358432557028099</v>
      </c>
      <c r="F49" s="24" t="s">
        <v>1021</v>
      </c>
      <c r="G49" s="53" t="s">
        <v>1022</v>
      </c>
      <c r="H49" s="24" t="s">
        <v>1715</v>
      </c>
      <c r="I49" s="40" t="b">
        <v>1</v>
      </c>
      <c r="J49" s="24" t="b">
        <v>1</v>
      </c>
      <c r="L49" s="24" t="s">
        <v>479</v>
      </c>
      <c r="N49" s="15" t="s">
        <v>377</v>
      </c>
      <c r="O49" s="15" t="s">
        <v>336</v>
      </c>
      <c r="Y49" s="16" t="s">
        <v>336</v>
      </c>
      <c r="Z49" s="16"/>
      <c r="AA49" s="16"/>
      <c r="AB49" s="16"/>
      <c r="AC49" s="16"/>
      <c r="AD49" s="16"/>
      <c r="AE49" s="16"/>
      <c r="AF49" s="16"/>
      <c r="AG49" s="16"/>
      <c r="AH49" s="16"/>
      <c r="AI49" s="85" t="s">
        <v>1019</v>
      </c>
      <c r="AJ49" s="86" t="s">
        <v>1020</v>
      </c>
      <c r="AK49" s="15" t="s">
        <v>286</v>
      </c>
      <c r="AL49" s="15" t="s">
        <v>336</v>
      </c>
      <c r="AM49" s="15" t="s">
        <v>356</v>
      </c>
      <c r="AN49" s="15" t="s">
        <v>336</v>
      </c>
      <c r="AO49" s="15" t="s">
        <v>480</v>
      </c>
      <c r="AP49" s="49" t="s">
        <v>336</v>
      </c>
      <c r="AR49" s="154" t="b">
        <f>IF(OR(A49="Done",A49="In Progress"),TRUE)</f>
        <v>1</v>
      </c>
      <c r="AS49" s="155" t="str">
        <f>"title: """&amp;F49&amp;""""</f>
        <v>title: "Basilica of Our Lady of Licheń (Holy Mother of Sorrows, Queen of Poland)"</v>
      </c>
      <c r="AT49" s="155" t="str">
        <f>"location: {lat: "&amp;D49&amp;", lng: "&amp;E49&amp;"}"</f>
        <v>location: {lat: 52.323705849375, lng: 18.3584325570281}</v>
      </c>
      <c r="AU49" s="155" t="str">
        <f>"interest: "&amp;H49</f>
        <v>interest: global</v>
      </c>
      <c r="AV49" s="155" t="str">
        <f>"- "&amp;VLOOKUP(B49,'(Ref) Countries'!A:C,3,)</f>
        <v>- poland</v>
      </c>
      <c r="AW49" s="155" t="str">
        <f>IF(LEN(C49)&gt;1,"- "&amp;LOWER(SUBSTITUTE(C49," ","-")),"")</f>
        <v/>
      </c>
      <c r="AX49" s="155" t="str">
        <f>IF(I49,"- churches","")</f>
        <v>- churches</v>
      </c>
      <c r="AY49" s="155" t="str">
        <f>IF(J49,"- marian-sites","")</f>
        <v>- marian-sites</v>
      </c>
      <c r="AZ49" s="155" t="str">
        <f>IF(K49,"- holy-persons","")</f>
        <v/>
      </c>
      <c r="BA49" s="155" t="str">
        <f>IF(LEN(Y49)&gt;0,"- "&amp;Y49,"")</f>
        <v/>
      </c>
      <c r="BB49" s="155" t="str">
        <f>IF(LEN(Z49)&gt;0,"- "&amp;Z49,"")</f>
        <v/>
      </c>
      <c r="BC49" s="155" t="str">
        <f>IF(LEN(AA49)&gt;0,"- "&amp;AA49,"")</f>
        <v/>
      </c>
      <c r="BD49" s="155" t="str">
        <f>IF(LEN(AB49)&gt;0,"- "&amp;AB49,"")</f>
        <v/>
      </c>
      <c r="BE49" s="155" t="str">
        <f>IF(LEN(AC49)&gt;0,"- "&amp;AC49,"")</f>
        <v/>
      </c>
      <c r="BF49" s="155" t="str">
        <f>IF(LEN(AD49)&gt;0,"- "&amp;AD49,"")</f>
        <v/>
      </c>
      <c r="BG49" s="155" t="str">
        <f>IF(LEN(AE49)&gt;0,"- "&amp;AE49,"")</f>
        <v/>
      </c>
      <c r="BH49" s="155" t="str">
        <f>IF(LEN(AF49)&gt;0,"- "&amp;AF49,"")</f>
        <v/>
      </c>
      <c r="BI49" s="155" t="str">
        <f>IF(LEN(AG49)&gt;0,"- "&amp;AG49,"")</f>
        <v/>
      </c>
      <c r="BJ49" s="155" t="str">
        <f>IF(LEN(AH49)&gt;0,"- "&amp;AH49,"")</f>
        <v/>
      </c>
      <c r="BK49" s="155" t="str">
        <f>"tags:"&amp;CHAR(10)&amp;concatl(AV49:BJ49)</f>
        <v xml:space="preserve">tags:
- poland_x000D_
- churches_x000D_
- marian-sites_x000D_
</v>
      </c>
      <c r="BL49" s="158" t="str">
        <f>IF(LEN(N49)&gt;0,TRIM(CONCATENATE("[Official site](",N49,") ",O49)),"")</f>
        <v>[Official site](https://www.lichen.pl/)</v>
      </c>
      <c r="BM49" s="158" t="str">
        <f>IF(LEN(Q49)&gt;0,TRIM(CONCATENATE("["&amp;P49&amp;"](",Q49,") ",R49)),"")</f>
        <v/>
      </c>
      <c r="BN49" s="158" t="str">
        <f>IF(LEN(T49)&gt;0,TRIM(CONCATENATE("["&amp;S49&amp;"](",T49,") ",U49)),"")</f>
        <v/>
      </c>
      <c r="BO49" s="158" t="str">
        <f>IF(LEN(W49)&gt;0,TRIM(CONCATENATE("["&amp;V49&amp;"](",W49,") ",X49)),"")</f>
        <v/>
      </c>
      <c r="BP49" s="158" t="str">
        <f>IF(LEN(BL49)&gt;0,"* "&amp;BL49&amp;CHAR(10),"")&amp;
IF(LEN(BM49)&gt;0,"* "&amp;BM49&amp;CHAR(10),"")&amp;
IF(LEN(BN49)&gt;0,"* "&amp;BN49&amp;CHAR(10),"")&amp;
IF(LEN(BO49)&gt;0,"* "&amp;BO49&amp;CHAR(10),"")</f>
        <v xml:space="preserve">* [Official site](https://www.lichen.pl/)
</v>
      </c>
      <c r="BQ49" s="158" t="str">
        <f>IF(LEN(AK49)&gt;0,TRIM(CONCATENATE("[Link](",AK49,") ",AL49)),"")</f>
        <v>[Link](http://www.therealpresence.org/eucharst/misc/BVM/110_LICHEN_96x96.pdf)</v>
      </c>
      <c r="BR49" s="158" t="str">
        <f>IF(LEN(AM49)&gt;0,TRIM(CONCATENATE("[Link](",AM49,") ",AN49)),"")</f>
        <v>[Link](http://www.miraclehunter.com/marian_apparitions/approved_apparitions/gietrzwald/index.html)</v>
      </c>
      <c r="BS49" s="158" t="str">
        <f>IF(LEN(AO49)&gt;0,TRIM(CONCATENATE("[Link](",AO49,") ",AP49)),"")</f>
        <v>[Link](https://www.marypages.com/lichen-(poland)-holy-mother-of-sorrow-en.html)</v>
      </c>
      <c r="BT49" s="158" t="str">
        <f>IF(LEN(concat(BQ49:BS49))&gt;0,concat("| ",BQ49," | ",BR49," | ",BS49," |"),"")</f>
        <v>| [Link](http://www.therealpresence.org/eucharst/misc/BVM/110_LICHEN_96x96.pdf) | [Link](http://www.miraclehunter.com/marian_apparitions/approved_apparitions/gietrzwald/index.html) | [Link](https://www.marypages.com/lichen-(poland)-holy-mother-of-sorrow-en.html) |</v>
      </c>
      <c r="BU49" s="155" t="str">
        <f>IF(J49,concatl("| The Real Presence | Miracle Hunter | MaryPages |","| --- | --- | --- |",BT49),"")</f>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49" s="155" t="str">
        <f>IF(LEN(BP49&amp;BU49)&gt;0,concatll("#### More Information",BP49,BU49),"")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49" s="155" t="str">
        <f>IF(LEN(M49)&gt;1,concatll("#### Author's Note",M49),"")</f>
        <v/>
      </c>
      <c r="BX49" s="23" t="str">
        <f>IF(AR49,concatll(concatl("---",AS49:AU49,BK49,"---"),L49,BV49:BW49),"")</f>
        <v xml:space="preserve">---_x000D_
title: "Basilica of Our Lady of Licheń (Holy Mother of Sorrows, Queen of Poland)"_x000D_
location: {lat: 52.323705849375, lng: 18.3584325570281}_x000D_
interest: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49" s="23" t="str">
        <f>IF(AR49,VLOOKUP(B49,'(Ref) Countries'!A:B,2,)&amp;IF(LEN(C49)&gt;1,"-"&amp;LOWER(SUBSTITUTE(C49," ","-")),"")&amp;"-"&amp;LOWER(SUBSTITUTE(SUBSTITUTE(G49," ","-"),".",""))&amp;".md","")</f>
        <v>pl-basilica-of-our-lady-of-lichen.md</v>
      </c>
      <c r="BZ49" s="30" t="str">
        <f>IF(LEN(Y49)&gt;1,VLOOKUP(Y49,'Tag List'!$A:$B,2,),"")</f>
        <v/>
      </c>
      <c r="CA49" s="30" t="str">
        <f>IF(LEN(Z49)&gt;1,VLOOKUP(Z49,'Tag List'!$A:$B,2,),"")</f>
        <v/>
      </c>
      <c r="CB49" s="30" t="str">
        <f>IF(LEN(AA49)&gt;1,VLOOKUP(AA49,'Tag List'!$A:$B,2,),"")</f>
        <v/>
      </c>
      <c r="CC49" s="30" t="str">
        <f>IF(LEN(Y49)&gt;1,GetTagPage(BZ49,Y49),"")</f>
        <v/>
      </c>
      <c r="CD49" s="30" t="str">
        <f>IF(LEN(Z49)&gt;1,GetTagPage(CA49,Z49),"")</f>
        <v/>
      </c>
      <c r="CE49" s="30" t="str">
        <f>IF(LEN(AA49)&gt;1,GetTagPage(CB49,AA49),"")</f>
        <v/>
      </c>
      <c r="CF49" s="30" t="str">
        <f>"|"&amp;IF(LEN(CC49)&gt;1," "&amp;CC49,"")&amp;IF(LEN(CD49)&gt;1,", "&amp;CD49,"")&amp;IF(LEN(CE49)&gt;1,", "&amp;CE49,"")&amp;" "</f>
        <v xml:space="preserve">| </v>
      </c>
      <c r="CG49" s="30" t="str">
        <f>"| "&amp;IF(AR49,"["&amp;AI49&amp;"](/places/"&amp;SUBSTITUTE(BY49,".md","")&amp;")",AI49)&amp;" "</f>
        <v xml:space="preserve">| [Licheń](/places/pl-basilica-of-our-lady-of-lichen) </v>
      </c>
      <c r="CH49" s="30" t="str">
        <f>"| "&amp;IF(AR49,GetTagPage(B49,VLOOKUP(B49,'(Ref) Countries'!A:C,3,)),B49)&amp; " "</f>
        <v xml:space="preserve">| [Poland](/tags/poland) </v>
      </c>
      <c r="CI49" s="30" t="str">
        <f>"| "&amp;AJ49&amp;" "</f>
        <v xml:space="preserve">| 1813-1850 </v>
      </c>
      <c r="CJ49" s="30" t="str">
        <f>"|"&amp;IF(AR49," [Link](/places/"&amp;SUBSTITUTE(BY49,".md","")&amp;")","")&amp;" "</f>
        <v xml:space="preserve">| [Link](/places/pl-basilica-of-our-lady-of-lichen) </v>
      </c>
      <c r="CK49" s="29" t="str">
        <f>"
"&amp;CG49&amp;CH49&amp;CI49&amp;CJ49&amp;BL49&amp;BQ49&amp;BR49&amp;BS49&amp;CF49&amp;"|"</f>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0" ht="51" x14ac:dyDescent="0.25">
      <c r="A50" s="168" t="s">
        <v>1320</v>
      </c>
      <c r="B50" s="24" t="s">
        <v>651</v>
      </c>
      <c r="D50" s="15">
        <v>53.7480853</v>
      </c>
      <c r="E50" s="49">
        <v>20.235602400000001</v>
      </c>
      <c r="F50" s="24" t="s">
        <v>474</v>
      </c>
      <c r="G50" s="53" t="s">
        <v>474</v>
      </c>
      <c r="H50" s="24" t="s">
        <v>1715</v>
      </c>
      <c r="I50" s="40" t="b">
        <v>1</v>
      </c>
      <c r="J50" s="24" t="b">
        <v>1</v>
      </c>
      <c r="L50" s="24" t="s">
        <v>354</v>
      </c>
      <c r="N50" s="15" t="s">
        <v>357</v>
      </c>
      <c r="O50" s="15" t="s">
        <v>336</v>
      </c>
      <c r="Y50" s="36" t="s">
        <v>336</v>
      </c>
      <c r="Z50" s="36"/>
      <c r="AA50" s="36"/>
      <c r="AB50" s="36"/>
      <c r="AC50" s="36"/>
      <c r="AD50" s="36"/>
      <c r="AE50" s="36"/>
      <c r="AF50" s="36"/>
      <c r="AG50" s="36"/>
      <c r="AH50" s="36"/>
      <c r="AI50" s="85" t="s">
        <v>994</v>
      </c>
      <c r="AJ50" s="86">
        <v>1877</v>
      </c>
      <c r="AK50" s="15" t="s">
        <v>300</v>
      </c>
      <c r="AL50" s="15" t="s">
        <v>336</v>
      </c>
      <c r="AM50" s="15" t="s">
        <v>356</v>
      </c>
      <c r="AN50" s="15" t="s">
        <v>336</v>
      </c>
      <c r="AO50" s="15" t="s">
        <v>355</v>
      </c>
      <c r="AP50" s="49" t="s">
        <v>336</v>
      </c>
      <c r="AR50" s="154" t="b">
        <f>IF(OR(A50="Done",A50="In Progress"),TRUE)</f>
        <v>1</v>
      </c>
      <c r="AS50" s="155" t="str">
        <f>"title: """&amp;F50&amp;""""</f>
        <v>title: "Sanctuary of Our Lady of Gietrzwałd"</v>
      </c>
      <c r="AT50" s="155" t="str">
        <f>"location: {lat: "&amp;D50&amp;", lng: "&amp;E50&amp;"}"</f>
        <v>location: {lat: 53.7480853, lng: 20.2356024}</v>
      </c>
      <c r="AU50" s="155" t="str">
        <f>"interest: "&amp;H50</f>
        <v>interest: global</v>
      </c>
      <c r="AV50" s="155" t="str">
        <f>"- "&amp;VLOOKUP(B50,'(Ref) Countries'!A:C,3,)</f>
        <v>- poland</v>
      </c>
      <c r="AW50" s="155" t="str">
        <f>IF(LEN(C50)&gt;1,"- "&amp;LOWER(SUBSTITUTE(C50," ","-")),"")</f>
        <v/>
      </c>
      <c r="AX50" s="155" t="str">
        <f>IF(I50,"- churches","")</f>
        <v>- churches</v>
      </c>
      <c r="AY50" s="155" t="str">
        <f>IF(J50,"- marian-sites","")</f>
        <v>- marian-sites</v>
      </c>
      <c r="AZ50" s="155" t="str">
        <f>IF(K50,"- holy-persons","")</f>
        <v/>
      </c>
      <c r="BA50" s="155" t="str">
        <f>IF(LEN(Y50)&gt;0,"- "&amp;Y50,"")</f>
        <v/>
      </c>
      <c r="BB50" s="155" t="str">
        <f>IF(LEN(Z50)&gt;0,"- "&amp;Z50,"")</f>
        <v/>
      </c>
      <c r="BC50" s="155" t="str">
        <f>IF(LEN(AA50)&gt;0,"- "&amp;AA50,"")</f>
        <v/>
      </c>
      <c r="BD50" s="155" t="str">
        <f>IF(LEN(AB50)&gt;0,"- "&amp;AB50,"")</f>
        <v/>
      </c>
      <c r="BE50" s="155" t="str">
        <f>IF(LEN(AC50)&gt;0,"- "&amp;AC50,"")</f>
        <v/>
      </c>
      <c r="BF50" s="155" t="str">
        <f>IF(LEN(AD50)&gt;0,"- "&amp;AD50,"")</f>
        <v/>
      </c>
      <c r="BG50" s="155" t="str">
        <f>IF(LEN(AE50)&gt;0,"- "&amp;AE50,"")</f>
        <v/>
      </c>
      <c r="BH50" s="155" t="str">
        <f>IF(LEN(AF50)&gt;0,"- "&amp;AF50,"")</f>
        <v/>
      </c>
      <c r="BI50" s="155" t="str">
        <f>IF(LEN(AG50)&gt;0,"- "&amp;AG50,"")</f>
        <v/>
      </c>
      <c r="BJ50" s="155" t="str">
        <f>IF(LEN(AH50)&gt;0,"- "&amp;AH50,"")</f>
        <v/>
      </c>
      <c r="BK50" s="155" t="str">
        <f>"tags:"&amp;CHAR(10)&amp;concatl(AV50:BJ50)</f>
        <v xml:space="preserve">tags:
- poland_x000D_
- churches_x000D_
- marian-sites_x000D_
</v>
      </c>
      <c r="BL50" s="158" t="str">
        <f>IF(LEN(N50)&gt;0,TRIM(CONCATENATE("[Official site](",N50,") ",O50)),"")</f>
        <v>[Official site](https://sanktuariummaryjne.pl/)</v>
      </c>
      <c r="BM50" s="158" t="str">
        <f>IF(LEN(Q50)&gt;0,TRIM(CONCATENATE("["&amp;P50&amp;"](",Q50,") ",R50)),"")</f>
        <v/>
      </c>
      <c r="BN50" s="158" t="str">
        <f>IF(LEN(T50)&gt;0,TRIM(CONCATENATE("["&amp;S50&amp;"](",T50,") ",U50)),"")</f>
        <v/>
      </c>
      <c r="BO50" s="158" t="str">
        <f>IF(LEN(W50)&gt;0,TRIM(CONCATENATE("["&amp;V50&amp;"](",W50,") ",X50)),"")</f>
        <v/>
      </c>
      <c r="BP50" s="158" t="str">
        <f>IF(LEN(BL50)&gt;0,"* "&amp;BL50&amp;CHAR(10),"")&amp;
IF(LEN(BM50)&gt;0,"* "&amp;BM50&amp;CHAR(10),"")&amp;
IF(LEN(BN50)&gt;0,"* "&amp;BN50&amp;CHAR(10),"")&amp;
IF(LEN(BO50)&gt;0,"* "&amp;BO50&amp;CHAR(10),"")</f>
        <v xml:space="preserve">* [Official site](https://sanktuariummaryjne.pl/)
</v>
      </c>
      <c r="BQ50" s="158" t="str">
        <f>IF(LEN(AK50)&gt;0,TRIM(CONCATENATE("[Link](",AK50,") ",AL50)),"")</f>
        <v>[Link](http://www.therealpresence.org/eucharst/misc/BVM/85_GIETRZALD_96x96.pdf)</v>
      </c>
      <c r="BR50" s="158" t="str">
        <f>IF(LEN(AM50)&gt;0,TRIM(CONCATENATE("[Link](",AM50,") ",AN50)),"")</f>
        <v>[Link](http://www.miraclehunter.com/marian_apparitions/approved_apparitions/gietrzwald/index.html)</v>
      </c>
      <c r="BS50" s="158" t="str">
        <f>IF(LEN(AO50)&gt;0,TRIM(CONCATENATE("[Link](",AO50,") ",AP50)),"")</f>
        <v>[Link](https://www.marypages.com/giertzwald-(poland)-en.html)</v>
      </c>
      <c r="BT50" s="158" t="str">
        <f>IF(LEN(concat(BQ50:BS50))&gt;0,concat("| ",BQ50," | ",BR50," | ",BS50," |"),"")</f>
        <v>| [Link](http://www.therealpresence.org/eucharst/misc/BVM/85_GIETRZALD_96x96.pdf) | [Link](http://www.miraclehunter.com/marian_apparitions/approved_apparitions/gietrzwald/index.html) | [Link](https://www.marypages.com/giertzwald-(poland)-en.html) |</v>
      </c>
      <c r="BU50" s="155" t="str">
        <f>IF(J50,concatl("| The Real Presence | Miracle Hunter | MaryPages |","| --- | --- | --- |",BT50),"")</f>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50" s="155" t="str">
        <f>IF(LEN(BP50&amp;BU50)&gt;0,concatll("#### More Information",BP50,BU50),"")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50" s="155" t="str">
        <f>IF(LEN(M50)&gt;1,concatll("#### Author's Note",M50),"")</f>
        <v/>
      </c>
      <c r="BX50" s="23" t="str">
        <f>IF(AR50,concatll(concatl("---",AS50:AU50,BK50,"---"),L50,BV50:BW50),"")</f>
        <v xml:space="preserve">---_x000D_
title: "Sanctuary of Our Lady of Gietrzwałd"_x000D_
location: {lat: 53.7480853, lng: 20.2356024}_x000D_
interest: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50" s="23" t="str">
        <f>IF(AR50,VLOOKUP(B50,'(Ref) Countries'!A:B,2,)&amp;IF(LEN(C50)&gt;1,"-"&amp;LOWER(SUBSTITUTE(C50," ","-")),"")&amp;"-"&amp;LOWER(SUBSTITUTE(SUBSTITUTE(G50," ","-"),".",""))&amp;".md","")</f>
        <v>pl-sanctuary-of-our-lady-of-gietrzwałd.md</v>
      </c>
      <c r="BZ50" s="38" t="str">
        <f>IF(LEN(Y50)&gt;1,VLOOKUP(Y50,'Tag List'!$A:$B,2,),"")</f>
        <v/>
      </c>
      <c r="CA50" s="38" t="str">
        <f>IF(LEN(Z50)&gt;1,VLOOKUP(Z50,'Tag List'!$A:$B,2,),"")</f>
        <v/>
      </c>
      <c r="CB50" s="38" t="str">
        <f>IF(LEN(AA50)&gt;1,VLOOKUP(AA50,'Tag List'!$A:$B,2,),"")</f>
        <v/>
      </c>
      <c r="CC50" s="30" t="str">
        <f>IF(LEN(Y50)&gt;1,GetTagPage(BZ50,Y50),"")</f>
        <v/>
      </c>
      <c r="CD50" s="30" t="str">
        <f>IF(LEN(Z50)&gt;1,GetTagPage(CA50,Z50),"")</f>
        <v/>
      </c>
      <c r="CE50" s="30" t="str">
        <f>IF(LEN(AA50)&gt;1,GetTagPage(CB50,AA50),"")</f>
        <v/>
      </c>
      <c r="CF50" s="30" t="str">
        <f>"|"&amp;IF(LEN(CC50)&gt;1," "&amp;CC50,"")&amp;IF(LEN(CD50)&gt;1,", "&amp;CD50,"")&amp;IF(LEN(CE50)&gt;1,", "&amp;CE50,"")&amp;" "</f>
        <v xml:space="preserve">| </v>
      </c>
      <c r="CG50" s="30" t="str">
        <f>"| "&amp;IF(AR50,"["&amp;AI50&amp;"](/places/"&amp;SUBSTITUTE(BY50,".md","")&amp;")",AI50)&amp;" "</f>
        <v xml:space="preserve">| [Gietrzwald](/places/pl-sanctuary-of-our-lady-of-gietrzwałd) </v>
      </c>
      <c r="CH50" s="30" t="str">
        <f>"| "&amp;IF(AR50,GetTagPage(B50,VLOOKUP(B50,'(Ref) Countries'!A:C,3,)),B50)&amp; " "</f>
        <v xml:space="preserve">| [Poland](/tags/poland) </v>
      </c>
      <c r="CI50" s="30" t="str">
        <f>"| "&amp;AJ50&amp;" "</f>
        <v xml:space="preserve">| 1877 </v>
      </c>
      <c r="CJ50" s="30" t="str">
        <f>"|"&amp;IF(AR50," [Link](/places/"&amp;SUBSTITUTE(BY50,".md","")&amp;")","")&amp;" "</f>
        <v xml:space="preserve">| [Link](/places/pl-sanctuary-of-our-lady-of-gietrzwałd) </v>
      </c>
      <c r="CK50" s="29" t="str">
        <f>"
"&amp;CG50&amp;CH50&amp;CI50&amp;CJ50&amp;BL50&amp;BQ50&amp;BR50&amp;BS50&amp;CF50&amp;"|"</f>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0" ht="51" x14ac:dyDescent="0.25">
      <c r="A51" s="168" t="s">
        <v>1320</v>
      </c>
      <c r="B51" s="24" t="s">
        <v>651</v>
      </c>
      <c r="D51" s="15">
        <v>50.812751619291099</v>
      </c>
      <c r="E51" s="49">
        <v>19.096651748272901</v>
      </c>
      <c r="F51" s="27" t="s">
        <v>1055</v>
      </c>
      <c r="G51" s="53" t="s">
        <v>1056</v>
      </c>
      <c r="H51" s="24" t="s">
        <v>1715</v>
      </c>
      <c r="I51" s="40" t="b">
        <v>1</v>
      </c>
      <c r="J51" s="24" t="b">
        <v>1</v>
      </c>
      <c r="L51" s="27" t="s">
        <v>1060</v>
      </c>
      <c r="N51" s="15" t="s">
        <v>1057</v>
      </c>
      <c r="O51" s="15" t="s">
        <v>336</v>
      </c>
      <c r="Y51" s="24" t="s">
        <v>1424</v>
      </c>
      <c r="Z51" s="24"/>
      <c r="AA51" s="24"/>
      <c r="AB51" s="24"/>
      <c r="AC51" s="24"/>
      <c r="AD51" s="24"/>
      <c r="AE51" s="24"/>
      <c r="AF51" s="24"/>
      <c r="AG51" s="24"/>
      <c r="AH51" s="24"/>
      <c r="AI51" s="85" t="s">
        <v>1053</v>
      </c>
      <c r="AJ51" s="86" t="s">
        <v>1054</v>
      </c>
      <c r="AK51" s="15" t="s">
        <v>336</v>
      </c>
      <c r="AL51" s="15" t="s">
        <v>336</v>
      </c>
      <c r="AM51" s="15" t="s">
        <v>1058</v>
      </c>
      <c r="AN51" s="15" t="s">
        <v>336</v>
      </c>
      <c r="AO51" s="15" t="s">
        <v>1059</v>
      </c>
      <c r="AP51" s="49" t="s">
        <v>336</v>
      </c>
      <c r="AR51" s="154" t="b">
        <f>IF(OR(A51="Done",A51="In Progress"),TRUE)</f>
        <v>1</v>
      </c>
      <c r="AS51" s="155" t="str">
        <f>"title: """&amp;F51&amp;""""</f>
        <v>title: "Jasna Gora Monastery (Our Lady of Czestochowa)"</v>
      </c>
      <c r="AT51" s="155" t="str">
        <f>"location: {lat: "&amp;D51&amp;", lng: "&amp;E51&amp;"}"</f>
        <v>location: {lat: 50.8127516192911, lng: 19.0966517482729}</v>
      </c>
      <c r="AU51" s="155" t="str">
        <f>"interest: "&amp;H51</f>
        <v>interest: global</v>
      </c>
      <c r="AV51" s="155" t="str">
        <f>"- "&amp;VLOOKUP(B51,'(Ref) Countries'!A:C,3,)</f>
        <v>- poland</v>
      </c>
      <c r="AW51" s="155" t="str">
        <f>IF(LEN(C51)&gt;1,"- "&amp;LOWER(SUBSTITUTE(C51," ","-")),"")</f>
        <v/>
      </c>
      <c r="AX51" s="155" t="str">
        <f>IF(I51,"- churches","")</f>
        <v>- churches</v>
      </c>
      <c r="AY51" s="155" t="str">
        <f>IF(J51,"- marian-sites","")</f>
        <v>- marian-sites</v>
      </c>
      <c r="AZ51" s="155" t="str">
        <f>IF(K51,"- holy-persons","")</f>
        <v/>
      </c>
      <c r="BA51" s="155" t="str">
        <f>IF(LEN(Y51)&gt;0,"- "&amp;Y51,"")</f>
        <v>- communities</v>
      </c>
      <c r="BB51" s="155" t="str">
        <f>IF(LEN(Z51)&gt;0,"- "&amp;Z51,"")</f>
        <v/>
      </c>
      <c r="BC51" s="155" t="str">
        <f>IF(LEN(AA51)&gt;0,"- "&amp;AA51,"")</f>
        <v/>
      </c>
      <c r="BD51" s="155" t="str">
        <f>IF(LEN(AB51)&gt;0,"- "&amp;AB51,"")</f>
        <v/>
      </c>
      <c r="BE51" s="155" t="str">
        <f>IF(LEN(AC51)&gt;0,"- "&amp;AC51,"")</f>
        <v/>
      </c>
      <c r="BF51" s="155" t="str">
        <f>IF(LEN(AD51)&gt;0,"- "&amp;AD51,"")</f>
        <v/>
      </c>
      <c r="BG51" s="155" t="str">
        <f>IF(LEN(AE51)&gt;0,"- "&amp;AE51,"")</f>
        <v/>
      </c>
      <c r="BH51" s="155" t="str">
        <f>IF(LEN(AF51)&gt;0,"- "&amp;AF51,"")</f>
        <v/>
      </c>
      <c r="BI51" s="155" t="str">
        <f>IF(LEN(AG51)&gt;0,"- "&amp;AG51,"")</f>
        <v/>
      </c>
      <c r="BJ51" s="155" t="str">
        <f>IF(LEN(AH51)&gt;0,"- "&amp;AH51,"")</f>
        <v/>
      </c>
      <c r="BK51" s="155" t="str">
        <f>"tags:"&amp;CHAR(10)&amp;concatl(AV51:BJ51)</f>
        <v xml:space="preserve">tags:
- poland_x000D_
- churches_x000D_
- marian-sites_x000D_
- communities_x000D_
</v>
      </c>
      <c r="BL51" s="158" t="str">
        <f>IF(LEN(N51)&gt;0,TRIM(CONCATENATE("[Official site](",N51,") ",O51)),"")</f>
        <v>[Official site](https://jasnagora.pl/)</v>
      </c>
      <c r="BM51" s="158" t="str">
        <f>IF(LEN(Q51)&gt;0,TRIM(CONCATENATE("["&amp;P51&amp;"](",Q51,") ",R51)),"")</f>
        <v/>
      </c>
      <c r="BN51" s="158" t="str">
        <f>IF(LEN(T51)&gt;0,TRIM(CONCATENATE("["&amp;S51&amp;"](",T51,") ",U51)),"")</f>
        <v/>
      </c>
      <c r="BO51" s="158" t="str">
        <f>IF(LEN(W51)&gt;0,TRIM(CONCATENATE("["&amp;V51&amp;"](",W51,") ",X51)),"")</f>
        <v/>
      </c>
      <c r="BP51" s="158" t="str">
        <f>IF(LEN(BL51)&gt;0,"* "&amp;BL51&amp;CHAR(10),"")&amp;
IF(LEN(BM51)&gt;0,"* "&amp;BM51&amp;CHAR(10),"")&amp;
IF(LEN(BN51)&gt;0,"* "&amp;BN51&amp;CHAR(10),"")&amp;
IF(LEN(BO51)&gt;0,"* "&amp;BO51&amp;CHAR(10),"")</f>
        <v xml:space="preserve">* [Official site](https://jasnagora.pl/)
</v>
      </c>
      <c r="BQ51" s="158" t="str">
        <f>IF(LEN(AK51)&gt;0,TRIM(CONCATENATE("[Link](",AK51,") ",AL51)),"")</f>
        <v/>
      </c>
      <c r="BR51" s="158" t="str">
        <f>IF(LEN(AM51)&gt;0,TRIM(CONCATENATE("[Link](",AM51,") ",AN51)),"")</f>
        <v>[Link](https://www.miraclehunter.com/marian_apparitions/approved_apparitions/czestochowa/)</v>
      </c>
      <c r="BS51" s="158" t="str">
        <f>IF(LEN(AO51)&gt;0,TRIM(CONCATENATE("[Link](",AO51,") ",AP51)),"")</f>
        <v>[Link](https://www.marypages.com/czestochowa-(poland)-en.html)</v>
      </c>
      <c r="BT51" s="158" t="str">
        <f>IF(LEN(concat(BQ51:BS51))&gt;0,concat("| ",BQ51," | ",BR51," | ",BS51," |"),"")</f>
        <v>|  | [Link](https://www.miraclehunter.com/marian_apparitions/approved_apparitions/czestochowa/) | [Link](https://www.marypages.com/czestochowa-(poland)-en.html) |</v>
      </c>
      <c r="BU51" s="155" t="str">
        <f>IF(J51,concatl("| The Real Presence | Miracle Hunter | MaryPages |","| --- | --- | --- |",BT51),"")</f>
        <v xml:space="preserve">| The Real Presence | Miracle Hunter | MaryPages |_x000D_
| --- | --- | --- |_x000D_
|  | [Link](https://www.miraclehunter.com/marian_apparitions/approved_apparitions/czestochowa/) | [Link](https://www.marypages.com/czestochowa-(poland)-en.html) |_x000D_
</v>
      </c>
      <c r="BV51" s="155" t="str">
        <f>IF(LEN(BP51&amp;BU51)&gt;0,concatll("#### More Information",BP51,BU51),"")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51" s="155" t="str">
        <f>IF(LEN(M51)&gt;1,concatll("#### Author's Note",M51),"")</f>
        <v/>
      </c>
      <c r="BX51" s="23" t="str">
        <f>IF(AR51,concatll(concatl("---",AS51:AU51,BK51,"---"),L51,BV51:BW51),"")</f>
        <v xml:space="preserve">---_x000D_
title: "Jasna Gora Monastery (Our Lady of Czestochowa)"_x000D_
location: {lat: 50.8127516192911, lng: 19.0966517482729}_x000D_
interest: global_x000D_
tags:
- poland_x000D_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51" s="23" t="str">
        <f>IF(AR51,VLOOKUP(B51,'(Ref) Countries'!A:B,2,)&amp;IF(LEN(C51)&gt;1,"-"&amp;LOWER(SUBSTITUTE(C51," ","-")),"")&amp;"-"&amp;LOWER(SUBSTITUTE(SUBSTITUTE(G51," ","-"),".",""))&amp;".md","")</f>
        <v>pl-jasna-gora-monastery.md</v>
      </c>
      <c r="BZ51" s="28" t="str">
        <f>IF(LEN(Y51)&gt;1,VLOOKUP(Y51,'Tag List'!$A:$B,2,),"")</f>
        <v>Religious Communities</v>
      </c>
      <c r="CA51" s="28" t="str">
        <f>IF(LEN(Z51)&gt;1,VLOOKUP(Z51,'Tag List'!$A:$B,2,),"")</f>
        <v/>
      </c>
      <c r="CB51" s="28" t="str">
        <f>IF(LEN(AA51)&gt;1,VLOOKUP(AA51,'Tag List'!$A:$B,2,),"")</f>
        <v/>
      </c>
      <c r="CC51" s="30" t="str">
        <f>IF(LEN(Y51)&gt;1,GetTagPage(BZ51,Y51),"")</f>
        <v>[Religious Communities](/tags/communities)</v>
      </c>
      <c r="CD51" s="30" t="str">
        <f>IF(LEN(Z51)&gt;1,GetTagPage(CA51,Z51),"")</f>
        <v/>
      </c>
      <c r="CE51" s="30" t="str">
        <f>IF(LEN(AA51)&gt;1,GetTagPage(CB51,AA51),"")</f>
        <v/>
      </c>
      <c r="CF51" s="30" t="str">
        <f>"|"&amp;IF(LEN(CC51)&gt;1," "&amp;CC51,"")&amp;IF(LEN(CD51)&gt;1,", "&amp;CD51,"")&amp;IF(LEN(CE51)&gt;1,", "&amp;CE51,"")&amp;" "</f>
        <v xml:space="preserve">| [Religious Communities](/tags/communities) </v>
      </c>
      <c r="CG51" s="30" t="str">
        <f>"| "&amp;IF(AR51,"["&amp;AI51&amp;"](/places/"&amp;SUBSTITUTE(BY51,".md","")&amp;")",AI51)&amp;" "</f>
        <v xml:space="preserve">| [Czestochowa](/places/pl-jasna-gora-monastery) </v>
      </c>
      <c r="CH51" s="30" t="str">
        <f>"| "&amp;IF(AR51,GetTagPage(B51,VLOOKUP(B51,'(Ref) Countries'!A:C,3,)),B51)&amp; " "</f>
        <v xml:space="preserve">| [Poland](/tags/poland) </v>
      </c>
      <c r="CI51" s="30" t="str">
        <f>"| "&amp;AJ51&amp;" "</f>
        <v xml:space="preserve">| Unknown </v>
      </c>
      <c r="CJ51" s="30" t="str">
        <f>"|"&amp;IF(AR51," [Link](/places/"&amp;SUBSTITUTE(BY51,".md","")&amp;")","")&amp;" "</f>
        <v xml:space="preserve">| [Link](/places/pl-jasna-gora-monastery) </v>
      </c>
      <c r="CK51" s="29" t="str">
        <f>"
"&amp;CG51&amp;CH51&amp;CI51&amp;CJ51&amp;BL51&amp;BQ51&amp;BR51&amp;BS51&amp;CF51&amp;"|"</f>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v>
      </c>
    </row>
    <row r="52" spans="1:90" ht="63.75" x14ac:dyDescent="0.25">
      <c r="A52" s="168" t="s">
        <v>1320</v>
      </c>
      <c r="B52" s="24" t="s">
        <v>655</v>
      </c>
      <c r="D52" s="15">
        <v>39.631263799999999</v>
      </c>
      <c r="E52" s="49">
        <v>-8.6731570999999992</v>
      </c>
      <c r="F52" s="24" t="s">
        <v>1030</v>
      </c>
      <c r="G52" s="53" t="s">
        <v>726</v>
      </c>
      <c r="H52" s="24" t="s">
        <v>1715</v>
      </c>
      <c r="I52" s="40" t="b">
        <v>1</v>
      </c>
      <c r="J52" s="24" t="b">
        <v>1</v>
      </c>
      <c r="K52" s="24" t="b">
        <v>1</v>
      </c>
      <c r="L52" s="24" t="s">
        <v>471</v>
      </c>
      <c r="N52" s="15" t="s">
        <v>426</v>
      </c>
      <c r="O52" s="15" t="s">
        <v>336</v>
      </c>
      <c r="Y52" s="36" t="s">
        <v>1425</v>
      </c>
      <c r="Z52" s="36" t="s">
        <v>1426</v>
      </c>
      <c r="AA52" s="36"/>
      <c r="AB52" s="36"/>
      <c r="AC52" s="36"/>
      <c r="AD52" s="36"/>
      <c r="AE52" s="36"/>
      <c r="AF52" s="36"/>
      <c r="AG52" s="36"/>
      <c r="AH52" s="36"/>
      <c r="AI52" s="85" t="s">
        <v>725</v>
      </c>
      <c r="AJ52" s="86">
        <v>1916</v>
      </c>
      <c r="AK52" s="15" t="s">
        <v>306</v>
      </c>
      <c r="AL52" s="15" t="s">
        <v>1328</v>
      </c>
      <c r="AM52" s="15" t="s">
        <v>472</v>
      </c>
      <c r="AN52" s="15" t="s">
        <v>336</v>
      </c>
      <c r="AO52" s="15" t="s">
        <v>473</v>
      </c>
      <c r="AP52" s="49" t="s">
        <v>336</v>
      </c>
      <c r="AR52" s="154" t="b">
        <f>IF(OR(A52="Done",A52="In Progress"),TRUE)</f>
        <v>1</v>
      </c>
      <c r="AS52" s="155" t="str">
        <f>"title: """&amp;F52&amp;""""</f>
        <v>title: "Sanctuary of Our Lady of the Rosary of Fatima"</v>
      </c>
      <c r="AT52" s="155" t="str">
        <f>"location: {lat: "&amp;D52&amp;", lng: "&amp;E52&amp;"}"</f>
        <v>location: {lat: 39.6312638, lng: -8.6731571}</v>
      </c>
      <c r="AU52" s="155" t="str">
        <f>"interest: "&amp;H52</f>
        <v>interest: global</v>
      </c>
      <c r="AV52" s="155" t="str">
        <f>"- "&amp;VLOOKUP(B52,'(Ref) Countries'!A:C,3,)</f>
        <v>- portugal</v>
      </c>
      <c r="AW52" s="155" t="str">
        <f>IF(LEN(C52)&gt;1,"- "&amp;LOWER(SUBSTITUTE(C52," ","-")),"")</f>
        <v/>
      </c>
      <c r="AX52" s="155" t="str">
        <f>IF(I52,"- churches","")</f>
        <v>- churches</v>
      </c>
      <c r="AY52" s="155" t="str">
        <f>IF(J52,"- marian-sites","")</f>
        <v>- marian-sites</v>
      </c>
      <c r="AZ52" s="155" t="str">
        <f>IF(K52,"- holy-persons","")</f>
        <v>- holy-persons</v>
      </c>
      <c r="BA52" s="155" t="str">
        <f>IF(LEN(Y52)&gt;0,"- "&amp;Y52,"")</f>
        <v>- lucia-dos-santos</v>
      </c>
      <c r="BB52" s="155" t="str">
        <f>IF(LEN(Z52)&gt;0,"- "&amp;Z52,"")</f>
        <v>- francisco-and-jacinta-marto</v>
      </c>
      <c r="BC52" s="155" t="str">
        <f>IF(LEN(AA52)&gt;0,"- "&amp;AA52,"")</f>
        <v/>
      </c>
      <c r="BD52" s="155" t="str">
        <f>IF(LEN(AB52)&gt;0,"- "&amp;AB52,"")</f>
        <v/>
      </c>
      <c r="BE52" s="155" t="str">
        <f>IF(LEN(AC52)&gt;0,"- "&amp;AC52,"")</f>
        <v/>
      </c>
      <c r="BF52" s="155" t="str">
        <f>IF(LEN(AD52)&gt;0,"- "&amp;AD52,"")</f>
        <v/>
      </c>
      <c r="BG52" s="155" t="str">
        <f>IF(LEN(AE52)&gt;0,"- "&amp;AE52,"")</f>
        <v/>
      </c>
      <c r="BH52" s="155" t="str">
        <f>IF(LEN(AF52)&gt;0,"- "&amp;AF52,"")</f>
        <v/>
      </c>
      <c r="BI52" s="155" t="str">
        <f>IF(LEN(AG52)&gt;0,"- "&amp;AG52,"")</f>
        <v/>
      </c>
      <c r="BJ52" s="155" t="str">
        <f>IF(LEN(AH52)&gt;0,"- "&amp;AH52,"")</f>
        <v/>
      </c>
      <c r="BK52" s="155" t="str">
        <f>"tags:"&amp;CHAR(10)&amp;concatl(AV52:BJ52)</f>
        <v xml:space="preserve">tags:
- portugal_x000D_
- churches_x000D_
- marian-sites_x000D_
- holy-persons_x000D_
- lucia-dos-santos_x000D_
- francisco-and-jacinta-marto_x000D_
</v>
      </c>
      <c r="BL52" s="158" t="str">
        <f>IF(LEN(N52)&gt;0,TRIM(CONCATENATE("[Official site](",N52,") ",O52)),"")</f>
        <v>[Official site](https://www.fatima.pt/)</v>
      </c>
      <c r="BM52" s="158" t="str">
        <f>IF(LEN(Q52)&gt;0,TRIM(CONCATENATE("["&amp;P52&amp;"](",Q52,") ",R52)),"")</f>
        <v/>
      </c>
      <c r="BN52" s="158" t="str">
        <f>IF(LEN(T52)&gt;0,TRIM(CONCATENATE("["&amp;S52&amp;"](",T52,") ",U52)),"")</f>
        <v/>
      </c>
      <c r="BO52" s="158" t="str">
        <f>IF(LEN(W52)&gt;0,TRIM(CONCATENATE("["&amp;V52&amp;"](",W52,") ",X52)),"")</f>
        <v/>
      </c>
      <c r="BP52" s="158" t="str">
        <f>IF(LEN(BL52)&gt;0,"* "&amp;BL52&amp;CHAR(10),"")&amp;
IF(LEN(BM52)&gt;0,"* "&amp;BM52&amp;CHAR(10),"")&amp;
IF(LEN(BN52)&gt;0,"* "&amp;BN52&amp;CHAR(10),"")&amp;
IF(LEN(BO52)&gt;0,"* "&amp;BO52&amp;CHAR(10),"")</f>
        <v xml:space="preserve">* [Official site](https://www.fatima.pt/)
</v>
      </c>
      <c r="BQ52" s="158" t="str">
        <f>IF(LEN(AK52)&gt;0,TRIM(CONCATENATE("[Link](",AK52,") ",AL52)),"")</f>
        <v>[Link](http://www.therealpresence.org/eucharst/misc/BVM/154_FATIMA_96x96_1.pdf) , [Link](http://www.therealpresence.org/eucharst/misc/BVM/154_FATIMA_140x96_2.pdf), [Link](http://www.therealpresence.org/eucharst/misc/BVM/154_FATIMA_96x96_3.pdf)</v>
      </c>
      <c r="BR52" s="158" t="str">
        <f>IF(LEN(AM52)&gt;0,TRIM(CONCATENATE("[Link](",AM52,") ",AN52)),"")</f>
        <v>[Link](https://www.miraclehunter.com/marian_apparitions/approved_apparitions/fatima/index.html)</v>
      </c>
      <c r="BS52" s="158" t="str">
        <f>IF(LEN(AO52)&gt;0,TRIM(CONCATENATE("[Link](",AO52,") ",AP52)),"")</f>
        <v>[Link](https://www.marypages.com/fatima-(portugal)-1917.html)</v>
      </c>
      <c r="BT52" s="158" t="str">
        <f>IF(LEN(concat(BQ52:BS52))&gt;0,concat("| ",BQ52," | ",BR52," | ",BS52,"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52" s="155" t="str">
        <f>IF(J52,concatl("| The Real Presence | Miracle Hunter | MaryPages |","| --- | --- | --- |",BT52),"")</f>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52" s="155" t="str">
        <f>IF(LEN(BP52&amp;BU52)&gt;0,concatll("#### More Information",BP52,BU52),"")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52" s="155" t="str">
        <f>IF(LEN(M52)&gt;1,concatll("#### Author's Note",M52),"")</f>
        <v/>
      </c>
      <c r="BX52" s="23" t="str">
        <f>IF(AR52,concatll(concatl("---",AS52:AU52,BK52,"---"),L52,BV52:BW52),"")</f>
        <v xml:space="preserve">---_x000D_
title: "Sanctuary of Our Lady of the Rosary of Fatima"_x000D_
location: {lat: 39.6312638, lng: -8.6731571}_x000D_
interest: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52" s="23" t="str">
        <f>IF(AR52,VLOOKUP(B52,'(Ref) Countries'!A:B,2,)&amp;IF(LEN(C52)&gt;1,"-"&amp;LOWER(SUBSTITUTE(C52," ","-")),"")&amp;"-"&amp;LOWER(SUBSTITUTE(SUBSTITUTE(G52," ","-"),".",""))&amp;".md","")</f>
        <v>pt-shrine-of-fatima.md</v>
      </c>
      <c r="BZ52" s="38" t="str">
        <f>IF(LEN(Y52)&gt;1,VLOOKUP(Y52,'Tag List'!$A:$B,2,),"")</f>
        <v>Bl. Lucia dos Santos</v>
      </c>
      <c r="CA52" s="38" t="str">
        <f>IF(LEN(Z52)&gt;1,VLOOKUP(Z52,'Tag List'!$A:$B,2,),"")</f>
        <v>Sts. Francisco and Jacinta Marto</v>
      </c>
      <c r="CB52" s="38" t="str">
        <f>IF(LEN(AA52)&gt;1,VLOOKUP(AA52,'Tag List'!$A:$B,2,),"")</f>
        <v/>
      </c>
      <c r="CC52" s="30" t="str">
        <f>IF(LEN(Y52)&gt;1,GetTagPage(BZ52,Y52),"")</f>
        <v>[Bl. Lucia dos Santos](/tags/lucia-dos-santos)</v>
      </c>
      <c r="CD52" s="30" t="str">
        <f>IF(LEN(Z52)&gt;1,GetTagPage(CA52,Z52),"")</f>
        <v>[Sts. Francisco and Jacinta Marto](/tags/francisco-and-jacinta-marto)</v>
      </c>
      <c r="CE52" s="30" t="str">
        <f>IF(LEN(AA52)&gt;1,GetTagPage(CB52,AA52),"")</f>
        <v/>
      </c>
      <c r="CF52" s="30" t="str">
        <f>"|"&amp;IF(LEN(CC52)&gt;1," "&amp;CC52,"")&amp;IF(LEN(CD52)&gt;1,", "&amp;CD52,"")&amp;IF(LEN(CE52)&gt;1,", "&amp;CE52,"")&amp;" "</f>
        <v xml:space="preserve">| [Bl. Lucia dos Santos](/tags/lucia-dos-santos), [Sts. Francisco and Jacinta Marto](/tags/francisco-and-jacinta-marto) </v>
      </c>
      <c r="CG52" s="30" t="str">
        <f>"| "&amp;IF(AR52,"["&amp;AI52&amp;"](/places/"&amp;SUBSTITUTE(BY52,".md","")&amp;")",AI52)&amp;" "</f>
        <v xml:space="preserve">| [Fatima](/places/pt-shrine-of-fatima) </v>
      </c>
      <c r="CH52" s="30" t="str">
        <f>"| "&amp;IF(AR52,GetTagPage(B52,VLOOKUP(B52,'(Ref) Countries'!A:C,3,)),B52)&amp; " "</f>
        <v xml:space="preserve">| [Portugal](/tags/portugal) </v>
      </c>
      <c r="CI52" s="30" t="str">
        <f>"| "&amp;AJ52&amp;" "</f>
        <v xml:space="preserve">| 1916 </v>
      </c>
      <c r="CJ52" s="30" t="str">
        <f>"|"&amp;IF(AR52," [Link](/places/"&amp;SUBSTITUTE(BY52,".md","")&amp;")","")&amp;" "</f>
        <v xml:space="preserve">| [Link](/places/pt-shrine-of-fatima) </v>
      </c>
      <c r="CK52" s="29" t="str">
        <f>"
"&amp;CG52&amp;CH52&amp;CI52&amp;CJ52&amp;BL52&amp;BQ52&amp;BR52&amp;BS52&amp;CF52&amp;"|"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53" spans="1:90" ht="76.5" x14ac:dyDescent="0.25">
      <c r="A53" s="168" t="s">
        <v>1320</v>
      </c>
      <c r="B53" s="24" t="s">
        <v>482</v>
      </c>
      <c r="D53" s="15">
        <v>-2.6496097000000001</v>
      </c>
      <c r="E53" s="49">
        <v>29.553281200000001</v>
      </c>
      <c r="F53" s="24" t="s">
        <v>481</v>
      </c>
      <c r="G53" s="53" t="s">
        <v>400</v>
      </c>
      <c r="H53" s="24" t="s">
        <v>1715</v>
      </c>
      <c r="I53" s="40" t="b">
        <v>1</v>
      </c>
      <c r="J53" s="24" t="b">
        <v>1</v>
      </c>
      <c r="L53" s="24" t="s">
        <v>358</v>
      </c>
      <c r="N53" s="15" t="s">
        <v>340</v>
      </c>
      <c r="O53" s="15" t="s">
        <v>336</v>
      </c>
      <c r="Y53" s="36" t="s">
        <v>336</v>
      </c>
      <c r="Z53" s="36"/>
      <c r="AA53" s="36"/>
      <c r="AB53" s="36"/>
      <c r="AC53" s="36"/>
      <c r="AD53" s="36"/>
      <c r="AE53" s="36"/>
      <c r="AF53" s="36"/>
      <c r="AG53" s="36"/>
      <c r="AH53" s="36"/>
      <c r="AI53" s="85" t="s">
        <v>484</v>
      </c>
      <c r="AJ53" s="86">
        <v>1981</v>
      </c>
      <c r="AK53" s="15" t="s">
        <v>329</v>
      </c>
      <c r="AL53" s="15" t="s">
        <v>336</v>
      </c>
      <c r="AM53" s="15" t="s">
        <v>359</v>
      </c>
      <c r="AN53" s="15" t="s">
        <v>336</v>
      </c>
      <c r="AO53" s="15" t="s">
        <v>360</v>
      </c>
      <c r="AP53" s="49" t="s">
        <v>336</v>
      </c>
      <c r="AR53" s="154" t="b">
        <f>IF(OR(A53="Done",A53="In Progress"),TRUE)</f>
        <v>1</v>
      </c>
      <c r="AS53" s="155" t="str">
        <f>"title: """&amp;F53&amp;""""</f>
        <v>title: "Shrine of Our Lady of Kibeho (Mother of the Word)"</v>
      </c>
      <c r="AT53" s="155" t="str">
        <f>"location: {lat: "&amp;D53&amp;", lng: "&amp;E53&amp;"}"</f>
        <v>location: {lat: -2.6496097, lng: 29.5532812}</v>
      </c>
      <c r="AU53" s="155" t="str">
        <f>"interest: "&amp;H53</f>
        <v>interest: global</v>
      </c>
      <c r="AV53" s="155" t="str">
        <f>"- "&amp;VLOOKUP(B53,'(Ref) Countries'!A:C,3,)</f>
        <v>- rwanda</v>
      </c>
      <c r="AW53" s="155" t="str">
        <f>IF(LEN(C53)&gt;1,"- "&amp;LOWER(SUBSTITUTE(C53," ","-")),"")</f>
        <v/>
      </c>
      <c r="AX53" s="155" t="str">
        <f>IF(I53,"- churches","")</f>
        <v>- churches</v>
      </c>
      <c r="AY53" s="155" t="str">
        <f>IF(J53,"- marian-sites","")</f>
        <v>- marian-sites</v>
      </c>
      <c r="AZ53" s="155" t="str">
        <f>IF(K53,"- holy-persons","")</f>
        <v/>
      </c>
      <c r="BA53" s="155" t="str">
        <f>IF(LEN(Y53)&gt;0,"- "&amp;Y53,"")</f>
        <v/>
      </c>
      <c r="BB53" s="155" t="str">
        <f>IF(LEN(Z53)&gt;0,"- "&amp;Z53,"")</f>
        <v/>
      </c>
      <c r="BC53" s="155" t="str">
        <f>IF(LEN(AA53)&gt;0,"- "&amp;AA53,"")</f>
        <v/>
      </c>
      <c r="BD53" s="155" t="str">
        <f>IF(LEN(AB53)&gt;0,"- "&amp;AB53,"")</f>
        <v/>
      </c>
      <c r="BE53" s="155" t="str">
        <f>IF(LEN(AC53)&gt;0,"- "&amp;AC53,"")</f>
        <v/>
      </c>
      <c r="BF53" s="155" t="str">
        <f>IF(LEN(AD53)&gt;0,"- "&amp;AD53,"")</f>
        <v/>
      </c>
      <c r="BG53" s="155" t="str">
        <f>IF(LEN(AE53)&gt;0,"- "&amp;AE53,"")</f>
        <v/>
      </c>
      <c r="BH53" s="155" t="str">
        <f>IF(LEN(AF53)&gt;0,"- "&amp;AF53,"")</f>
        <v/>
      </c>
      <c r="BI53" s="155" t="str">
        <f>IF(LEN(AG53)&gt;0,"- "&amp;AG53,"")</f>
        <v/>
      </c>
      <c r="BJ53" s="155" t="str">
        <f>IF(LEN(AH53)&gt;0,"- "&amp;AH53,"")</f>
        <v/>
      </c>
      <c r="BK53" s="155" t="str">
        <f>"tags:"&amp;CHAR(10)&amp;concatl(AV53:BJ53)</f>
        <v xml:space="preserve">tags:
- rwanda_x000D_
- churches_x000D_
- marian-sites_x000D_
</v>
      </c>
      <c r="BL53" s="158" t="str">
        <f>IF(LEN(N53)&gt;0,TRIM(CONCATENATE("[Official site](",N53,") ",O53)),"")</f>
        <v>[Official site](https://kibeho-sanctuary.com/)</v>
      </c>
      <c r="BM53" s="158" t="str">
        <f>IF(LEN(Q53)&gt;0,TRIM(CONCATENATE("["&amp;P53&amp;"](",Q53,") ",R53)),"")</f>
        <v/>
      </c>
      <c r="BN53" s="158" t="str">
        <f>IF(LEN(T53)&gt;0,TRIM(CONCATENATE("["&amp;S53&amp;"](",T53,") ",U53)),"")</f>
        <v/>
      </c>
      <c r="BO53" s="158" t="str">
        <f>IF(LEN(W53)&gt;0,TRIM(CONCATENATE("["&amp;V53&amp;"](",W53,") ",X53)),"")</f>
        <v/>
      </c>
      <c r="BP53" s="158" t="str">
        <f>IF(LEN(BL53)&gt;0,"* "&amp;BL53&amp;CHAR(10),"")&amp;
IF(LEN(BM53)&gt;0,"* "&amp;BM53&amp;CHAR(10),"")&amp;
IF(LEN(BN53)&gt;0,"* "&amp;BN53&amp;CHAR(10),"")&amp;
IF(LEN(BO53)&gt;0,"* "&amp;BO53&amp;CHAR(10),"")</f>
        <v xml:space="preserve">* [Official site](https://kibeho-sanctuary.com/)
</v>
      </c>
      <c r="BQ53" s="158" t="str">
        <f>IF(LEN(AK53)&gt;0,TRIM(CONCATENATE("[Link](",AK53,") ",AL53)),"")</f>
        <v>[Link](http://www.therealpresence.org/eucharst/misc/BVM/20_KIBEHO_96x96.pdf)</v>
      </c>
      <c r="BR53" s="158" t="str">
        <f>IF(LEN(AM53)&gt;0,TRIM(CONCATENATE("[Link](",AM53,") ",AN53)),"")</f>
        <v>[Link](https://www.miraclehunter.com/marian_apparitions/approved_apparitions/kibeho_rwanda/index.html)</v>
      </c>
      <c r="BS53" s="158" t="str">
        <f>IF(LEN(AO53)&gt;0,TRIM(CONCATENATE("[Link](",AO53,") ",AP53)),"")</f>
        <v>[Link](https://www.marypages.com/kibeho-(rwanda)-en.html)</v>
      </c>
      <c r="BT53" s="158" t="str">
        <f>IF(LEN(concat(BQ53:BS53))&gt;0,concat("| ",BQ53," | ",BR53," | ",BS53," |"),"")</f>
        <v>| [Link](http://www.therealpresence.org/eucharst/misc/BVM/20_KIBEHO_96x96.pdf) | [Link](https://www.miraclehunter.com/marian_apparitions/approved_apparitions/kibeho_rwanda/index.html) | [Link](https://www.marypages.com/kibeho-(rwanda)-en.html) |</v>
      </c>
      <c r="BU53" s="155" t="str">
        <f>IF(J53,concatl("| The Real Presence | Miracle Hunter | MaryPages |","| --- | --- | --- |",BT53),"")</f>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53" s="155" t="str">
        <f>IF(LEN(BP53&amp;BU53)&gt;0,concatll("#### More Information",BP53,BU53),"")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53" s="155" t="str">
        <f>IF(LEN(M53)&gt;1,concatll("#### Author's Note",M53),"")</f>
        <v/>
      </c>
      <c r="BX53" s="23" t="str">
        <f>IF(AR53,concatll(concatl("---",AS53:AU53,BK53,"---"),L53,BV53:BW53),"")</f>
        <v xml:space="preserve">---_x000D_
title: "Shrine of Our Lady of Kibeho (Mother of the Word)"_x000D_
location: {lat: -2.6496097, lng: 29.5532812}_x000D_
interest: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53" s="23" t="str">
        <f>IF(AR53,VLOOKUP(B53,'(Ref) Countries'!A:B,2,)&amp;IF(LEN(C53)&gt;1,"-"&amp;LOWER(SUBSTITUTE(C53," ","-")),"")&amp;"-"&amp;LOWER(SUBSTITUTE(SUBSTITUTE(G53," ","-"),".",""))&amp;".md","")</f>
        <v>rw-shrine-of-our-lady-of-kibeho.md</v>
      </c>
      <c r="BZ53" s="38" t="str">
        <f>IF(LEN(Y53)&gt;1,VLOOKUP(Y53,'Tag List'!$A:$B,2,),"")</f>
        <v/>
      </c>
      <c r="CA53" s="38" t="str">
        <f>IF(LEN(Z53)&gt;1,VLOOKUP(Z53,'Tag List'!$A:$B,2,),"")</f>
        <v/>
      </c>
      <c r="CB53" s="38" t="str">
        <f>IF(LEN(AA53)&gt;1,VLOOKUP(AA53,'Tag List'!$A:$B,2,),"")</f>
        <v/>
      </c>
      <c r="CC53" s="30" t="str">
        <f>IF(LEN(Y53)&gt;1,GetTagPage(BZ53,Y53),"")</f>
        <v/>
      </c>
      <c r="CD53" s="30" t="str">
        <f>IF(LEN(Z53)&gt;1,GetTagPage(CA53,Z53),"")</f>
        <v/>
      </c>
      <c r="CE53" s="30" t="str">
        <f>IF(LEN(AA53)&gt;1,GetTagPage(CB53,AA53),"")</f>
        <v/>
      </c>
      <c r="CF53" s="30" t="str">
        <f>"|"&amp;IF(LEN(CC53)&gt;1," "&amp;CC53,"")&amp;IF(LEN(CD53)&gt;1,", "&amp;CD53,"")&amp;IF(LEN(CE53)&gt;1,", "&amp;CE53,"")&amp;" "</f>
        <v xml:space="preserve">| </v>
      </c>
      <c r="CG53" s="30" t="str">
        <f>"| "&amp;IF(AR53,"["&amp;AI53&amp;"](/places/"&amp;SUBSTITUTE(BY53,".md","")&amp;")",AI53)&amp;" "</f>
        <v xml:space="preserve">| [Kibeho](/places/rw-shrine-of-our-lady-of-kibeho) </v>
      </c>
      <c r="CH53" s="30" t="str">
        <f>"| "&amp;IF(AR53,GetTagPage(B53,VLOOKUP(B53,'(Ref) Countries'!A:C,3,)),B53)&amp; " "</f>
        <v xml:space="preserve">| [Rwanda](/tags/rwanda) </v>
      </c>
      <c r="CI53" s="30" t="str">
        <f>"| "&amp;AJ53&amp;" "</f>
        <v xml:space="preserve">| 1981 </v>
      </c>
      <c r="CJ53" s="30" t="str">
        <f>"|"&amp;IF(AR53," [Link](/places/"&amp;SUBSTITUTE(BY53,".md","")&amp;")","")&amp;" "</f>
        <v xml:space="preserve">| [Link](/places/rw-shrine-of-our-lady-of-kibeho) </v>
      </c>
      <c r="CK53" s="29" t="str">
        <f>"
"&amp;CG53&amp;CH53&amp;CI53&amp;CJ53&amp;BL53&amp;BQ53&amp;BR53&amp;BS53&amp;CF53&amp;"|"</f>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0" ht="89.25" x14ac:dyDescent="0.25">
      <c r="A54" s="168" t="s">
        <v>1320</v>
      </c>
      <c r="B54" s="24" t="s">
        <v>661</v>
      </c>
      <c r="D54" s="15">
        <v>45.592976471079801</v>
      </c>
      <c r="E54" s="49">
        <v>19.1905119128275</v>
      </c>
      <c r="F54" s="41" t="s">
        <v>1387</v>
      </c>
      <c r="G54" s="56" t="s">
        <v>1388</v>
      </c>
      <c r="H54" s="41" t="s">
        <v>1715</v>
      </c>
      <c r="I54" s="40" t="b">
        <v>1</v>
      </c>
      <c r="J54" s="24" t="b">
        <v>1</v>
      </c>
      <c r="L54" s="24" t="s">
        <v>1389</v>
      </c>
      <c r="M54" s="55" t="s">
        <v>1734</v>
      </c>
      <c r="N54" s="15" t="s">
        <v>1390</v>
      </c>
      <c r="O54" s="114" t="s">
        <v>336</v>
      </c>
      <c r="P54" s="82" t="s">
        <v>1813</v>
      </c>
      <c r="Q54" s="34" t="s">
        <v>1812</v>
      </c>
      <c r="R54" s="115" t="s">
        <v>336</v>
      </c>
      <c r="S54" s="61"/>
      <c r="T54" s="34"/>
      <c r="U54" s="65"/>
      <c r="V54" s="34"/>
      <c r="W54" s="34"/>
      <c r="X54" s="98"/>
      <c r="Y54" s="15" t="s">
        <v>336</v>
      </c>
      <c r="AI54" s="85" t="s">
        <v>1254</v>
      </c>
      <c r="AJ54" s="86">
        <v>1603</v>
      </c>
      <c r="AK54" s="15" t="s">
        <v>259</v>
      </c>
      <c r="AL54" s="15" t="s">
        <v>336</v>
      </c>
      <c r="AM54" s="15" t="s">
        <v>1359</v>
      </c>
      <c r="AN54" s="42" t="s">
        <v>1386</v>
      </c>
      <c r="AO54" s="15" t="s">
        <v>336</v>
      </c>
      <c r="AP54" s="49" t="s">
        <v>336</v>
      </c>
      <c r="AR54" s="154" t="b">
        <f>IF(OR(A54="Done",A54="In Progress"),TRUE)</f>
        <v>1</v>
      </c>
      <c r="AS54" s="155" t="str">
        <f>"title: """&amp;F54&amp;""""</f>
        <v>title: "Diocesan Shrine of Mary, Help of Christians"</v>
      </c>
      <c r="AT54" s="155" t="str">
        <f>"location: {lat: "&amp;D54&amp;", lng: "&amp;E54&amp;"}"</f>
        <v>location: {lat: 45.5929764710798, lng: 19.1905119128275}</v>
      </c>
      <c r="AU54" s="155" t="str">
        <f>"interest: "&amp;H54</f>
        <v>interest: global</v>
      </c>
      <c r="AV54" s="155" t="str">
        <f>"- "&amp;VLOOKUP(B54,'(Ref) Countries'!A:C,3,)</f>
        <v>- serbia</v>
      </c>
      <c r="AW54" s="155" t="str">
        <f>IF(LEN(C54)&gt;1,"- "&amp;LOWER(SUBSTITUTE(C54," ","-")),"")</f>
        <v/>
      </c>
      <c r="AX54" s="155" t="str">
        <f>IF(I54,"- churches","")</f>
        <v>- churches</v>
      </c>
      <c r="AY54" s="155" t="str">
        <f>IF(J54,"- marian-sites","")</f>
        <v>- marian-sites</v>
      </c>
      <c r="AZ54" s="155" t="str">
        <f>IF(K54,"- holy-persons","")</f>
        <v/>
      </c>
      <c r="BA54" s="155" t="str">
        <f>IF(LEN(Y54)&gt;0,"- "&amp;Y54,"")</f>
        <v/>
      </c>
      <c r="BB54" s="155" t="str">
        <f>IF(LEN(Z54)&gt;0,"- "&amp;Z54,"")</f>
        <v/>
      </c>
      <c r="BC54" s="155" t="str">
        <f>IF(LEN(AA54)&gt;0,"- "&amp;AA54,"")</f>
        <v/>
      </c>
      <c r="BD54" s="155" t="str">
        <f>IF(LEN(AB54)&gt;0,"- "&amp;AB54,"")</f>
        <v/>
      </c>
      <c r="BE54" s="155" t="str">
        <f>IF(LEN(AC54)&gt;0,"- "&amp;AC54,"")</f>
        <v/>
      </c>
      <c r="BF54" s="155" t="str">
        <f>IF(LEN(AD54)&gt;0,"- "&amp;AD54,"")</f>
        <v/>
      </c>
      <c r="BG54" s="155" t="str">
        <f>IF(LEN(AE54)&gt;0,"- "&amp;AE54,"")</f>
        <v/>
      </c>
      <c r="BH54" s="155" t="str">
        <f>IF(LEN(AF54)&gt;0,"- "&amp;AF54,"")</f>
        <v/>
      </c>
      <c r="BI54" s="155" t="str">
        <f>IF(LEN(AG54)&gt;0,"- "&amp;AG54,"")</f>
        <v/>
      </c>
      <c r="BJ54" s="155" t="str">
        <f>IF(LEN(AH54)&gt;0,"- "&amp;AH54,"")</f>
        <v/>
      </c>
      <c r="BK54" s="155" t="str">
        <f>"tags:"&amp;CHAR(10)&amp;concatl(AV54:BJ54)</f>
        <v xml:space="preserve">tags:
- serbia_x000D_
- churches_x000D_
- marian-sites_x000D_
</v>
      </c>
      <c r="BL54" s="158" t="str">
        <f>IF(LEN(N54)&gt;0,TRIM(CONCATENATE("[Official site](",N54,") ",O54)),"")</f>
        <v>[Official site](https://szentkut.eu/)</v>
      </c>
      <c r="BM54" s="158" t="str">
        <f>IF(LEN(Q54)&gt;0,TRIM(CONCATENATE("["&amp;P54&amp;"](",Q54,") ",R54)),"")</f>
        <v>[Additional site](https://doroszlo.net/)</v>
      </c>
      <c r="BN54" s="158" t="str">
        <f>IF(LEN(T54)&gt;0,TRIM(CONCATENATE("["&amp;S54&amp;"](",T54,") ",U54)),"")</f>
        <v/>
      </c>
      <c r="BO54" s="158" t="str">
        <f>IF(LEN(W54)&gt;0,TRIM(CONCATENATE("["&amp;V54&amp;"](",W54,") ",X54)),"")</f>
        <v/>
      </c>
      <c r="BP54" s="158" t="str">
        <f>IF(LEN(BL54)&gt;0,"* "&amp;BL54&amp;CHAR(10),"")&amp;
IF(LEN(BM54)&gt;0,"* "&amp;BM54&amp;CHAR(10),"")&amp;
IF(LEN(BN54)&gt;0,"* "&amp;BN54&amp;CHAR(10),"")&amp;
IF(LEN(BO54)&gt;0,"* "&amp;BO54&amp;CHAR(10),"")</f>
        <v xml:space="preserve">* [Official site](https://szentkut.eu/)
* [Additional site](https://doroszlo.net/)
</v>
      </c>
      <c r="BQ54" s="158" t="str">
        <f>IF(LEN(AK54)&gt;0,TRIM(CONCATENATE("[Link](",AK54,") ",AL54)),"")</f>
        <v>[Link](http://www.therealpresence.org/eucharst/misc/BVM/104_DOROSZLO_60x96.pdf)</v>
      </c>
      <c r="BR54" s="158" t="str">
        <f>IF(LEN(AM54)&gt;0,TRIM(CONCATENATE("[Link](",AM54,") ",AN54)),"")</f>
        <v>[Link](https://www.miraclehunter.com/marian_apparitions/approved_apparitions/apparitions_1700-1799.html) (Search "Doroszlo")</v>
      </c>
      <c r="BS54" s="158" t="str">
        <f>IF(LEN(AO54)&gt;0,TRIM(CONCATENATE("[Link](",AO54,") ",AP54)),"")</f>
        <v/>
      </c>
      <c r="BT54" s="158" t="str">
        <f>IF(LEN(concat(BQ54:BS54))&gt;0,concat("| ",BQ54," | ",BR54," | ",BS54," |"),"")</f>
        <v>| [Link](http://www.therealpresence.org/eucharst/misc/BVM/104_DOROSZLO_60x96.pdf) | [Link](https://www.miraclehunter.com/marian_apparitions/approved_apparitions/apparitions_1700-1799.html) (Search "Doroszlo") |  |</v>
      </c>
      <c r="BU54" s="155" t="str">
        <f>IF(J54,concatl("| The Real Presence | Miracle Hunter | MaryPages |","| --- | --- | --- |",BT54),"")</f>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54" s="155" t="str">
        <f>IF(LEN(BP54&amp;BU54)&gt;0,concatll("#### More Information",BP54,BU54),"")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54" s="155" t="str">
        <f>IF(LEN(M54)&gt;1,concatll("#### Author's Note",M54),"")</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54" s="23" t="str">
        <f>IF(AR54,concatll(concatl("---",AS54:AU54,BK54,"---"),L54,BV54:BW54),"")</f>
        <v xml:space="preserve">---_x000D_
title: "Diocesan Shrine of Mary, Help of Christians"_x000D_
location: {lat: 45.5929764710798, lng: 19.1905119128275}_x000D_
interest: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54" s="23" t="str">
        <f>IF(AR54,VLOOKUP(B54,'(Ref) Countries'!A:B,2,)&amp;IF(LEN(C54)&gt;1,"-"&amp;LOWER(SUBSTITUTE(C54," ","-")),"")&amp;"-"&amp;LOWER(SUBSTITUTE(SUBSTITUTE(G54," ","-"),".",""))&amp;".md","")</f>
        <v>rs-shrine-of-mary-help-of-christians.md</v>
      </c>
      <c r="BZ54" s="29" t="str">
        <f>IF(LEN(Y54)&gt;1,VLOOKUP(Y54,'Tag List'!$A:$B,2,),"")</f>
        <v/>
      </c>
      <c r="CA54" s="29" t="str">
        <f>IF(LEN(Z54)&gt;1,VLOOKUP(Z54,'Tag List'!$A:$B,2,),"")</f>
        <v/>
      </c>
      <c r="CB54" s="29" t="str">
        <f>IF(LEN(AA54)&gt;1,VLOOKUP(AA54,'Tag List'!$A:$B,2,),"")</f>
        <v/>
      </c>
      <c r="CC54" s="30" t="str">
        <f>IF(LEN(Y54)&gt;1,GetTagPage(BZ54,Y54),"")</f>
        <v/>
      </c>
      <c r="CD54" s="30" t="str">
        <f>IF(LEN(Z54)&gt;1,GetTagPage(CA54,Z54),"")</f>
        <v/>
      </c>
      <c r="CE54" s="30" t="str">
        <f>IF(LEN(AA54)&gt;1,GetTagPage(CB54,AA54),"")</f>
        <v/>
      </c>
      <c r="CF54" s="30" t="str">
        <f>"|"&amp;IF(LEN(CC54)&gt;1," "&amp;CC54,"")&amp;IF(LEN(CD54)&gt;1,", "&amp;CD54,"")&amp;IF(LEN(CE54)&gt;1,", "&amp;CE54,"")&amp;" "</f>
        <v xml:space="preserve">| </v>
      </c>
      <c r="CG54" s="30" t="str">
        <f>"| "&amp;IF(AR54,"["&amp;AI54&amp;"](/places/"&amp;SUBSTITUTE(BY54,".md","")&amp;")",AI54)&amp;" "</f>
        <v xml:space="preserve">| [Doroszló](/places/rs-shrine-of-mary-help-of-christians) </v>
      </c>
      <c r="CH54" s="30" t="str">
        <f>"| "&amp;IF(AR54,GetTagPage(B54,VLOOKUP(B54,'(Ref) Countries'!A:C,3,)),B54)&amp; " "</f>
        <v xml:space="preserve">| [Serbia](/tags/serbia) </v>
      </c>
      <c r="CI54" s="30" t="str">
        <f>"| "&amp;AJ54&amp;" "</f>
        <v xml:space="preserve">| 1603 </v>
      </c>
      <c r="CJ54" s="30" t="str">
        <f>"|"&amp;IF(AR54," [Link](/places/"&amp;SUBSTITUTE(BY54,".md","")&amp;")","")&amp;" "</f>
        <v xml:space="preserve">| [Link](/places/rs-shrine-of-mary-help-of-christians) </v>
      </c>
      <c r="CK54" s="29" t="str">
        <f>"
"&amp;CG54&amp;CH54&amp;CI54&amp;CJ54&amp;BL54&amp;BQ54&amp;BR54&amp;BS54&amp;CF54&amp;"|"</f>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55" spans="1:90" ht="63.75" x14ac:dyDescent="0.25">
      <c r="A55" s="168" t="s">
        <v>1320</v>
      </c>
      <c r="B55" s="24" t="s">
        <v>669</v>
      </c>
      <c r="D55" s="15">
        <v>45.998943044455899</v>
      </c>
      <c r="E55" s="49">
        <v>13.6553373449013</v>
      </c>
      <c r="F55" s="41" t="s">
        <v>1381</v>
      </c>
      <c r="G55" s="53" t="s">
        <v>1381</v>
      </c>
      <c r="H55" s="24" t="s">
        <v>1715</v>
      </c>
      <c r="I55" s="40" t="b">
        <v>1</v>
      </c>
      <c r="J55" s="24" t="b">
        <v>1</v>
      </c>
      <c r="L55" s="41" t="s">
        <v>1383</v>
      </c>
      <c r="N55" s="15" t="s">
        <v>1382</v>
      </c>
      <c r="O55" s="15" t="s">
        <v>336</v>
      </c>
      <c r="Y55" s="15" t="s">
        <v>336</v>
      </c>
      <c r="AI55" s="85" t="s">
        <v>1234</v>
      </c>
      <c r="AJ55" s="86">
        <v>1539</v>
      </c>
      <c r="AK55" s="15" t="s">
        <v>239</v>
      </c>
      <c r="AL55" s="15" t="s">
        <v>336</v>
      </c>
      <c r="AM55" s="15" t="s">
        <v>1384</v>
      </c>
      <c r="AN55" s="42" t="s">
        <v>1385</v>
      </c>
      <c r="AO55" s="15" t="s">
        <v>336</v>
      </c>
      <c r="AP55" s="49" t="s">
        <v>336</v>
      </c>
      <c r="AR55" s="154" t="b">
        <f>IF(OR(A55="Done",A55="In Progress"),TRUE)</f>
        <v>1</v>
      </c>
      <c r="AS55" s="155" t="str">
        <f>"title: """&amp;F55&amp;""""</f>
        <v>title: "Basilica of the Holy Mother of God"</v>
      </c>
      <c r="AT55" s="155" t="str">
        <f>"location: {lat: "&amp;D55&amp;", lng: "&amp;E55&amp;"}"</f>
        <v>location: {lat: 45.9989430444559, lng: 13.6553373449013}</v>
      </c>
      <c r="AU55" s="155" t="str">
        <f>"interest: "&amp;H55</f>
        <v>interest: global</v>
      </c>
      <c r="AV55" s="155" t="str">
        <f>"- "&amp;VLOOKUP(B55,'(Ref) Countries'!A:C,3,)</f>
        <v>- slovenia</v>
      </c>
      <c r="AW55" s="155" t="str">
        <f>IF(LEN(C55)&gt;1,"- "&amp;LOWER(SUBSTITUTE(C55," ","-")),"")</f>
        <v/>
      </c>
      <c r="AX55" s="155" t="str">
        <f>IF(I55,"- churches","")</f>
        <v>- churches</v>
      </c>
      <c r="AY55" s="155" t="str">
        <f>IF(J55,"- marian-sites","")</f>
        <v>- marian-sites</v>
      </c>
      <c r="AZ55" s="155" t="str">
        <f>IF(K55,"- holy-persons","")</f>
        <v/>
      </c>
      <c r="BA55" s="155" t="str">
        <f>IF(LEN(Y55)&gt;0,"- "&amp;Y55,"")</f>
        <v/>
      </c>
      <c r="BB55" s="155" t="str">
        <f>IF(LEN(Z55)&gt;0,"- "&amp;Z55,"")</f>
        <v/>
      </c>
      <c r="BC55" s="155" t="str">
        <f>IF(LEN(AA55)&gt;0,"- "&amp;AA55,"")</f>
        <v/>
      </c>
      <c r="BD55" s="155" t="str">
        <f>IF(LEN(AB55)&gt;0,"- "&amp;AB55,"")</f>
        <v/>
      </c>
      <c r="BE55" s="155" t="str">
        <f>IF(LEN(AC55)&gt;0,"- "&amp;AC55,"")</f>
        <v/>
      </c>
      <c r="BF55" s="155" t="str">
        <f>IF(LEN(AD55)&gt;0,"- "&amp;AD55,"")</f>
        <v/>
      </c>
      <c r="BG55" s="155" t="str">
        <f>IF(LEN(AE55)&gt;0,"- "&amp;AE55,"")</f>
        <v/>
      </c>
      <c r="BH55" s="155" t="str">
        <f>IF(LEN(AF55)&gt;0,"- "&amp;AF55,"")</f>
        <v/>
      </c>
      <c r="BI55" s="155" t="str">
        <f>IF(LEN(AG55)&gt;0,"- "&amp;AG55,"")</f>
        <v/>
      </c>
      <c r="BJ55" s="155" t="str">
        <f>IF(LEN(AH55)&gt;0,"- "&amp;AH55,"")</f>
        <v/>
      </c>
      <c r="BK55" s="155" t="str">
        <f>"tags:"&amp;CHAR(10)&amp;concatl(AV55:BJ55)</f>
        <v xml:space="preserve">tags:
- slovenia_x000D_
- churches_x000D_
- marian-sites_x000D_
</v>
      </c>
      <c r="BL55" s="158" t="str">
        <f>IF(LEN(N55)&gt;0,TRIM(CONCATENATE("[Official site](",N55,") ",O55)),"")</f>
        <v>[Official site](https://svetagora.si/)</v>
      </c>
      <c r="BM55" s="158" t="str">
        <f>IF(LEN(Q55)&gt;0,TRIM(CONCATENATE("["&amp;P55&amp;"](",Q55,") ",R55)),"")</f>
        <v/>
      </c>
      <c r="BN55" s="158" t="str">
        <f>IF(LEN(T55)&gt;0,TRIM(CONCATENATE("["&amp;S55&amp;"](",T55,") ",U55)),"")</f>
        <v/>
      </c>
      <c r="BO55" s="158" t="str">
        <f>IF(LEN(W55)&gt;0,TRIM(CONCATENATE("["&amp;V55&amp;"](",W55,") ",X55)),"")</f>
        <v/>
      </c>
      <c r="BP55" s="158" t="str">
        <f>IF(LEN(BL55)&gt;0,"* "&amp;BL55&amp;CHAR(10),"")&amp;
IF(LEN(BM55)&gt;0,"* "&amp;BM55&amp;CHAR(10),"")&amp;
IF(LEN(BN55)&gt;0,"* "&amp;BN55&amp;CHAR(10),"")&amp;
IF(LEN(BO55)&gt;0,"* "&amp;BO55&amp;CHAR(10),"")</f>
        <v xml:space="preserve">* [Official site](https://svetagora.si/)
</v>
      </c>
      <c r="BQ55" s="158" t="str">
        <f>IF(LEN(AK55)&gt;0,TRIM(CONCATENATE("[Link](",AK55,") ",AL55)),"")</f>
        <v>[Link](http://www.therealpresence.org/eucharst/misc/BVM/137_SVETA_GORA_60x96.pdf)</v>
      </c>
      <c r="BR55" s="158" t="str">
        <f>IF(LEN(AM55)&gt;0,TRIM(CONCATENATE("[Link](",AM55,") ",AN55)),"")</f>
        <v>[Link](https://www.miraclehunter.com/marian_apparitions/approved_apparitions/apparitions_1500-1599.html) (Search "Sveta Gora")</v>
      </c>
      <c r="BS55" s="158" t="str">
        <f>IF(LEN(AO55)&gt;0,TRIM(CONCATENATE("[Link](",AO55,") ",AP55)),"")</f>
        <v/>
      </c>
      <c r="BT55" s="158" t="str">
        <f>IF(LEN(concat(BQ55:BS55))&gt;0,concat("| ",BQ55," | ",BR55," | ",BS55," |"),"")</f>
        <v>| [Link](http://www.therealpresence.org/eucharst/misc/BVM/137_SVETA_GORA_60x96.pdf) | [Link](https://www.miraclehunter.com/marian_apparitions/approved_apparitions/apparitions_1500-1599.html) (Search "Sveta Gora") |  |</v>
      </c>
      <c r="BU55" s="155" t="str">
        <f>IF(J55,concatl("| The Real Presence | Miracle Hunter | MaryPages |","| --- | --- | --- |",BT55),"")</f>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55" s="155" t="str">
        <f>IF(LEN(BP55&amp;BU55)&gt;0,concatll("#### More Information",BP55,BU55),"")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55" s="155" t="str">
        <f>IF(LEN(M55)&gt;1,concatll("#### Author's Note",M55),"")</f>
        <v/>
      </c>
      <c r="BX55" s="23" t="str">
        <f>IF(AR55,concatll(concatl("---",AS55:AU55,BK55,"---"),L55,BV55:BW55),"")</f>
        <v xml:space="preserve">---_x000D_
title: "Basilica of the Holy Mother of God"_x000D_
location: {lat: 45.9989430444559, lng: 13.6553373449013}_x000D_
interest: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55" s="23" t="str">
        <f>IF(AR55,VLOOKUP(B55,'(Ref) Countries'!A:B,2,)&amp;IF(LEN(C55)&gt;1,"-"&amp;LOWER(SUBSTITUTE(C55," ","-")),"")&amp;"-"&amp;LOWER(SUBSTITUTE(SUBSTITUTE(G55," ","-"),".",""))&amp;".md","")</f>
        <v>si-basilica-of-the-holy-mother-of-god.md</v>
      </c>
      <c r="BZ55" s="29" t="str">
        <f>IF(LEN(Y55)&gt;1,VLOOKUP(Y55,'Tag List'!$A:$B,2,),"")</f>
        <v/>
      </c>
      <c r="CA55" s="29" t="str">
        <f>IF(LEN(Z55)&gt;1,VLOOKUP(Z55,'Tag List'!$A:$B,2,),"")</f>
        <v/>
      </c>
      <c r="CB55" s="29" t="str">
        <f>IF(LEN(AA55)&gt;1,VLOOKUP(AA55,'Tag List'!$A:$B,2,),"")</f>
        <v/>
      </c>
      <c r="CC55" s="30" t="str">
        <f>IF(LEN(Y55)&gt;1,GetTagPage(BZ55,Y55),"")</f>
        <v/>
      </c>
      <c r="CD55" s="30" t="str">
        <f>IF(LEN(Z55)&gt;1,GetTagPage(CA55,Z55),"")</f>
        <v/>
      </c>
      <c r="CE55" s="30" t="str">
        <f>IF(LEN(AA55)&gt;1,GetTagPage(CB55,AA55),"")</f>
        <v/>
      </c>
      <c r="CF55" s="30" t="str">
        <f>"|"&amp;IF(LEN(CC55)&gt;1," "&amp;CC55,"")&amp;IF(LEN(CD55)&gt;1,", "&amp;CD55,"")&amp;IF(LEN(CE55)&gt;1,", "&amp;CE55,"")&amp;" "</f>
        <v xml:space="preserve">| </v>
      </c>
      <c r="CG55" s="30" t="str">
        <f>"| "&amp;IF(AR55,"["&amp;AI55&amp;"](/places/"&amp;SUBSTITUTE(BY55,".md","")&amp;")",AI55)&amp;" "</f>
        <v xml:space="preserve">| [Sveta Gora](/places/si-basilica-of-the-holy-mother-of-god) </v>
      </c>
      <c r="CH55" s="30" t="str">
        <f>"| "&amp;IF(AR55,GetTagPage(B55,VLOOKUP(B55,'(Ref) Countries'!A:C,3,)),B55)&amp; " "</f>
        <v xml:space="preserve">| [Slovenia](/tags/slovenia) </v>
      </c>
      <c r="CI55" s="30" t="str">
        <f>"| "&amp;AJ55&amp;" "</f>
        <v xml:space="preserve">| 1539 </v>
      </c>
      <c r="CJ55" s="30" t="str">
        <f>"|"&amp;IF(AR55," [Link](/places/"&amp;SUBSTITUTE(BY55,".md","")&amp;")","")&amp;" "</f>
        <v xml:space="preserve">| [Link](/places/si-basilica-of-the-holy-mother-of-god) </v>
      </c>
      <c r="CK55" s="29" t="str">
        <f>"
"&amp;CG55&amp;CH55&amp;CI55&amp;CJ55&amp;BL55&amp;BQ55&amp;BR55&amp;BS55&amp;CF55&amp;"|"</f>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56" spans="1:90" ht="102" x14ac:dyDescent="0.25">
      <c r="A56" s="168" t="s">
        <v>1320</v>
      </c>
      <c r="B56" s="24" t="s">
        <v>552</v>
      </c>
      <c r="C56" s="124" t="s">
        <v>1036</v>
      </c>
      <c r="D56" s="15">
        <v>41.656656769330702</v>
      </c>
      <c r="E56" s="49">
        <v>-0.87824062054636098</v>
      </c>
      <c r="F56" s="24" t="s">
        <v>1031</v>
      </c>
      <c r="G56" s="53" t="s">
        <v>1032</v>
      </c>
      <c r="H56" s="40" t="s">
        <v>1715</v>
      </c>
      <c r="I56" s="40" t="b">
        <v>1</v>
      </c>
      <c r="J56" s="24" t="b">
        <v>1</v>
      </c>
      <c r="K56" s="24" t="b">
        <v>1</v>
      </c>
      <c r="L56" s="47" t="s">
        <v>1809</v>
      </c>
      <c r="M56" s="55" t="s">
        <v>1729</v>
      </c>
      <c r="N56" s="16" t="s">
        <v>1033</v>
      </c>
      <c r="O56" s="16" t="s">
        <v>336</v>
      </c>
      <c r="P56" s="80"/>
      <c r="Q56" s="79"/>
      <c r="R56" s="81"/>
      <c r="S56" s="59"/>
      <c r="T56" s="16"/>
      <c r="U56" s="63"/>
      <c r="V56" s="16"/>
      <c r="W56" s="16"/>
      <c r="X56" s="50"/>
      <c r="Y56" s="16" t="s">
        <v>1035</v>
      </c>
      <c r="Z56" s="128" t="s">
        <v>2457</v>
      </c>
      <c r="AA56" s="26"/>
      <c r="AB56" s="26"/>
      <c r="AC56" s="26"/>
      <c r="AD56" s="26"/>
      <c r="AE56" s="26"/>
      <c r="AF56" s="26"/>
      <c r="AG56" s="26"/>
      <c r="AH56" s="26"/>
      <c r="AI56" s="85" t="s">
        <v>1036</v>
      </c>
      <c r="AJ56" s="86">
        <v>40</v>
      </c>
      <c r="AK56" s="15" t="s">
        <v>179</v>
      </c>
      <c r="AL56" s="15" t="s">
        <v>336</v>
      </c>
      <c r="AM56" s="15" t="s">
        <v>91</v>
      </c>
      <c r="AN56" s="15" t="s">
        <v>336</v>
      </c>
      <c r="AO56" s="15" t="s">
        <v>1034</v>
      </c>
      <c r="AP56" s="49" t="s">
        <v>336</v>
      </c>
      <c r="AQ56" s="161"/>
      <c r="AR56" s="154" t="b">
        <f>IF(OR(A56="Done",A56="In Progress"),TRUE)</f>
        <v>1</v>
      </c>
      <c r="AS56" s="155" t="str">
        <f>"title: """&amp;F56&amp;""""</f>
        <v>title: "Cathedral-Basilica of Our Lady of the Pillar"</v>
      </c>
      <c r="AT56" s="155" t="str">
        <f>"location: {lat: "&amp;D56&amp;", lng: "&amp;E56&amp;"}"</f>
        <v>location: {lat: 41.6566567693307, lng: -0.878240620546361}</v>
      </c>
      <c r="AU56" s="155" t="str">
        <f>"interest: "&amp;H56</f>
        <v>interest: global</v>
      </c>
      <c r="AV56" s="155" t="str">
        <f>"- "&amp;VLOOKUP(B56,'(Ref) Countries'!A:C,3,)</f>
        <v>- spain</v>
      </c>
      <c r="AW56" s="155" t="str">
        <f>IF(LEN(C56)&gt;1,"- "&amp;LOWER(SUBSTITUTE(C56," ","-")),"")</f>
        <v>- zaragoza</v>
      </c>
      <c r="AX56" s="155" t="str">
        <f>IF(I56,"- churches","")</f>
        <v>- churches</v>
      </c>
      <c r="AY56" s="155" t="str">
        <f>IF(J56,"- marian-sites","")</f>
        <v>- marian-sites</v>
      </c>
      <c r="AZ56" s="155" t="str">
        <f>IF(K56,"- holy-persons","")</f>
        <v>- holy-persons</v>
      </c>
      <c r="BA56" s="155" t="str">
        <f>IF(LEN(Y56)&gt;0,"- "&amp;Y56,"")</f>
        <v>- james-greater</v>
      </c>
      <c r="BB56" s="155" t="str">
        <f>IF(LEN(Z56)&gt;0,"- "&amp;Z56,"")</f>
        <v>- apostles</v>
      </c>
      <c r="BC56" s="155" t="str">
        <f>IF(LEN(AA56)&gt;0,"- "&amp;AA56,"")</f>
        <v/>
      </c>
      <c r="BD56" s="155" t="str">
        <f>IF(LEN(AB56)&gt;0,"- "&amp;AB56,"")</f>
        <v/>
      </c>
      <c r="BE56" s="155" t="str">
        <f>IF(LEN(AC56)&gt;0,"- "&amp;AC56,"")</f>
        <v/>
      </c>
      <c r="BF56" s="155" t="str">
        <f>IF(LEN(AD56)&gt;0,"- "&amp;AD56,"")</f>
        <v/>
      </c>
      <c r="BG56" s="155" t="str">
        <f>IF(LEN(AE56)&gt;0,"- "&amp;AE56,"")</f>
        <v/>
      </c>
      <c r="BH56" s="155" t="str">
        <f>IF(LEN(AF56)&gt;0,"- "&amp;AF56,"")</f>
        <v/>
      </c>
      <c r="BI56" s="155" t="str">
        <f>IF(LEN(AG56)&gt;0,"- "&amp;AG56,"")</f>
        <v/>
      </c>
      <c r="BJ56" s="155" t="str">
        <f>IF(LEN(AH56)&gt;0,"- "&amp;AH56,"")</f>
        <v/>
      </c>
      <c r="BK56" s="155" t="str">
        <f>"tags:"&amp;CHAR(10)&amp;concatl(AV56:BJ56)</f>
        <v xml:space="preserve">tags:
- spain_x000D_
- zaragoza_x000D_
- churches_x000D_
- marian-sites_x000D_
- holy-persons_x000D_
- james-greater_x000D_
- apostles_x000D_
</v>
      </c>
      <c r="BL56" s="158" t="str">
        <f>IF(LEN(N56)&gt;0,TRIM(CONCATENATE("[Official site](",N56,") ",O56)),"")</f>
        <v>[Official site](https://catedraldezaragoza.es/basilica/)</v>
      </c>
      <c r="BM56" s="158" t="str">
        <f>IF(LEN(Q56)&gt;0,TRIM(CONCATENATE("["&amp;P56&amp;"](",Q56,") ",R56)),"")</f>
        <v/>
      </c>
      <c r="BN56" s="158" t="str">
        <f>IF(LEN(T56)&gt;0,TRIM(CONCATENATE("["&amp;S56&amp;"](",T56,") ",U56)),"")</f>
        <v/>
      </c>
      <c r="BO56" s="158" t="str">
        <f>IF(LEN(W56)&gt;0,TRIM(CONCATENATE("["&amp;V56&amp;"](",W56,") ",X56)),"")</f>
        <v/>
      </c>
      <c r="BP56" s="158" t="str">
        <f>IF(LEN(BL56)&gt;0,"* "&amp;BL56&amp;CHAR(10),"")&amp;
IF(LEN(BM56)&gt;0,"* "&amp;BM56&amp;CHAR(10),"")&amp;
IF(LEN(BN56)&gt;0,"* "&amp;BN56&amp;CHAR(10),"")&amp;
IF(LEN(BO56)&gt;0,"* "&amp;BO56&amp;CHAR(10),"")</f>
        <v xml:space="preserve">* [Official site](https://catedraldezaragoza.es/basilica/)
</v>
      </c>
      <c r="BQ56" s="158" t="str">
        <f>IF(LEN(AK56)&gt;0,TRIM(CONCATENATE("[Link](",AK56,") ",AL56)),"")</f>
        <v>[Link](http://www.therealpresence.org/eucharst/misc/BVM/09_ZARAGOZA_60x96.pdf)</v>
      </c>
      <c r="BR56" s="158" t="str">
        <f>IF(LEN(AM56)&gt;0,TRIM(CONCATENATE("[Link](",AM56,") ",AN56)),"")</f>
        <v>[Link](https://www.miraclehunter.com/marian_apparitions/approved_apparitions/zaragoza/index.html)</v>
      </c>
      <c r="BS56" s="158" t="str">
        <f>IF(LEN(AO56)&gt;0,TRIM(CONCATENATE("[Link](",AO56,") ",AP56)),"")</f>
        <v>[Link](https://www.marypages.com/our-lady-of-the-pillar.html)</v>
      </c>
      <c r="BT56" s="158" t="str">
        <f>IF(LEN(concat(BQ56:BS56))&gt;0,concat("| ",BQ56," | ",BR56," | ",BS56," |"),"")</f>
        <v>| [Link](http://www.therealpresence.org/eucharst/misc/BVM/09_ZARAGOZA_60x96.pdf) | [Link](https://www.miraclehunter.com/marian_apparitions/approved_apparitions/zaragoza/index.html) | [Link](https://www.marypages.com/our-lady-of-the-pillar.html) |</v>
      </c>
      <c r="BU56" s="155" t="str">
        <f>IF(J56,concatl("| The Real Presence | Miracle Hunter | MaryPages |","| --- | --- | --- |",BT56),"")</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56" s="155" t="str">
        <f>IF(LEN(BP56&amp;BU56)&gt;0,concatll("#### More Information",BP56,BU56),"")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56" s="155" t="str">
        <f>IF(LEN(M56)&gt;1,concatll("#### Author's Note",M56),"")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56" s="23" t="str">
        <f>IF(AR56,concatll(concatl("---",AS56:AU56,BK56,"---"),L56,BV56:BW56),"")</f>
        <v xml:space="preserve">---_x000D_
title: "Cathedral-Basilica of Our Lady of the Pillar"_x000D_
location: {lat: 41.6566567693307, lng: -0.878240620546361}_x000D_
interest: global_x000D_
tags:
- spain_x000D_
- zaragoza_x000D_
- churches_x000D_
- marian-sites_x000D_
- holy-persons_x000D_
- james-greater_x000D_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56" s="23" t="str">
        <f>IF(AR56,VLOOKUP(B56,'(Ref) Countries'!A:B,2,)&amp;IF(LEN(C56)&gt;1,"-"&amp;LOWER(SUBSTITUTE(C56," ","-")),"")&amp;"-"&amp;LOWER(SUBSTITUTE(SUBSTITUTE(G56," ","-"),".",""))&amp;".md","")</f>
        <v>es-zaragoza-cathedral-basilica-of-our-lady-of-the-pillar.md</v>
      </c>
      <c r="BZ56" s="30" t="str">
        <f>IF(LEN(Y56)&gt;1,VLOOKUP(Y56,'Tag List'!$A:$B,2,),"")</f>
        <v>St. James the Greater</v>
      </c>
      <c r="CA56" s="30" t="str">
        <f>IF(LEN(Z56)&gt;1,VLOOKUP(Z56,'Tag List'!$A:$B,2,),"")</f>
        <v>Sites Related to the Twelve Apostles</v>
      </c>
      <c r="CB56" s="30" t="str">
        <f>IF(LEN(AA56)&gt;1,VLOOKUP(AA56,'Tag List'!$A:$B,2,),"")</f>
        <v/>
      </c>
      <c r="CC56" s="30" t="str">
        <f>IF(LEN(Y56)&gt;1,GetTagPage(BZ56,Y56),"")</f>
        <v>[St. James the Greater](/tags/james-greater)</v>
      </c>
      <c r="CD56" s="30" t="str">
        <f>IF(LEN(Z56)&gt;1,GetTagPage(CA56,Z56),"")</f>
        <v>[Sites Related to the Twelve Apostles](/tags/apostles)</v>
      </c>
      <c r="CE56" s="30" t="str">
        <f>IF(LEN(AA56)&gt;1,GetTagPage(CB56,AA56),"")</f>
        <v/>
      </c>
      <c r="CF56" s="30" t="str">
        <f>"|"&amp;IF(LEN(CC56)&gt;1," "&amp;CC56,"")&amp;IF(LEN(CD56)&gt;1,", "&amp;CD56,"")&amp;IF(LEN(CE56)&gt;1,", "&amp;CE56,"")&amp;" "</f>
        <v xml:space="preserve">| [St. James the Greater](/tags/james-greater), [Sites Related to the Twelve Apostles](/tags/apostles) </v>
      </c>
      <c r="CG56" s="30" t="str">
        <f>"| "&amp;IF(AR56,"["&amp;AI56&amp;"](/places/"&amp;SUBSTITUTE(BY56,".md","")&amp;")",AI56)&amp;" "</f>
        <v xml:space="preserve">| [Zaragoza](/places/es-zaragoza-cathedral-basilica-of-our-lady-of-the-pillar) </v>
      </c>
      <c r="CH56" s="30" t="str">
        <f>"| "&amp;IF(AR56,GetTagPage(B56,VLOOKUP(B56,'(Ref) Countries'!A:C,3,)),B56)&amp; " "</f>
        <v xml:space="preserve">| [Spain](/tags/spain) </v>
      </c>
      <c r="CI56" s="30" t="str">
        <f>"| "&amp;AJ56&amp;" "</f>
        <v xml:space="preserve">| 40 </v>
      </c>
      <c r="CJ56" s="30" t="str">
        <f>"|"&amp;IF(AR56," [Link](/places/"&amp;SUBSTITUTE(BY56,".md","")&amp;")","")&amp;" "</f>
        <v xml:space="preserve">| [Link](/places/es-zaragoza-cathedral-basilica-of-our-lady-of-the-pillar) </v>
      </c>
      <c r="CK56" s="29" t="str">
        <f>"
"&amp;CG56&amp;CH56&amp;CI56&amp;CJ56&amp;BL56&amp;BQ56&amp;BR56&amp;BS56&amp;CF56&amp;"|"</f>
        <v xml:space="preserve">
| [Zaragoza](/places/es-zaragoza-cathedral-basilica-of-our-lady-of-the-pillar) | [Spain](/tags/spain) | 40 | [Link](/places/es-zaragoza-cathedral-basilica-of-our-lady-of-the-pillar)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[Sites Related to the Twelve Apostles](/tags/apostles) |</v>
      </c>
      <c r="CL56" s="48"/>
    </row>
    <row r="57" spans="1:90" ht="38.25" x14ac:dyDescent="0.25">
      <c r="A57" s="168" t="s">
        <v>1320</v>
      </c>
      <c r="B57" s="101" t="s">
        <v>552</v>
      </c>
      <c r="C57" s="101" t="s">
        <v>2125</v>
      </c>
      <c r="D57" s="15">
        <v>40.655493983492804</v>
      </c>
      <c r="E57" s="49">
        <v>-4.7027560083925497</v>
      </c>
      <c r="F57" s="101" t="s">
        <v>2160</v>
      </c>
      <c r="G57" s="103" t="s">
        <v>2159</v>
      </c>
      <c r="H57" s="101" t="s">
        <v>1825</v>
      </c>
      <c r="I57" s="24" t="b">
        <v>1</v>
      </c>
      <c r="K57" s="24" t="b">
        <v>1</v>
      </c>
      <c r="L57" s="101" t="s">
        <v>2126</v>
      </c>
      <c r="N57" s="15" t="s">
        <v>2127</v>
      </c>
      <c r="O57" s="104" t="s">
        <v>336</v>
      </c>
      <c r="Y57" s="102" t="s">
        <v>2133</v>
      </c>
      <c r="Z57" s="15" t="s">
        <v>2129</v>
      </c>
      <c r="AA57" s="102" t="s">
        <v>1424</v>
      </c>
      <c r="AR57" s="154" t="b">
        <f>IF(OR(A57="Done",A57="In Progress"),TRUE)</f>
        <v>1</v>
      </c>
      <c r="AS57" s="155" t="str">
        <f>"title: """&amp;F57&amp;""""</f>
        <v>title: "Church and birthplace of St. Teresa of Jesus (Casa Natal Santa Teresa de Jesus)"</v>
      </c>
      <c r="AT57" s="155" t="str">
        <f>"location: {lat: "&amp;D57&amp;", lng: "&amp;E57&amp;"}"</f>
        <v>location: {lat: 40.6554939834928, lng: -4.70275600839255}</v>
      </c>
      <c r="AU57" s="155" t="str">
        <f>"interest: "&amp;H57</f>
        <v>interest: local</v>
      </c>
      <c r="AV57" s="155" t="str">
        <f>"- "&amp;VLOOKUP(B57,'(Ref) Countries'!A:C,3,)</f>
        <v>- spain</v>
      </c>
      <c r="AW57" s="155" t="str">
        <f>IF(LEN(C57)&gt;1,"- "&amp;LOWER(SUBSTITUTE(C57," ","-")),"")</f>
        <v>- avila</v>
      </c>
      <c r="AX57" s="155" t="str">
        <f>IF(I57,"- churches","")</f>
        <v>- churches</v>
      </c>
      <c r="AY57" s="155" t="str">
        <f>IF(J57,"- marian-sites","")</f>
        <v/>
      </c>
      <c r="AZ57" s="155" t="str">
        <f>IF(K57,"- holy-persons","")</f>
        <v>- holy-persons</v>
      </c>
      <c r="BA57" s="155" t="str">
        <f>IF(LEN(Y57)&gt;0,"- "&amp;Y57,"")</f>
        <v>- teresa-avila</v>
      </c>
      <c r="BB57" s="155" t="str">
        <f>IF(LEN(Z57)&gt;0,"- "&amp;Z57,"")</f>
        <v>- discalced-carmelites</v>
      </c>
      <c r="BC57" s="155" t="str">
        <f>IF(LEN(AA57)&gt;0,"- "&amp;AA57,"")</f>
        <v>- communities</v>
      </c>
      <c r="BD57" s="155" t="str">
        <f>IF(LEN(AB57)&gt;0,"- "&amp;AB57,"")</f>
        <v/>
      </c>
      <c r="BE57" s="155" t="str">
        <f>IF(LEN(AC57)&gt;0,"- "&amp;AC57,"")</f>
        <v/>
      </c>
      <c r="BF57" s="155" t="str">
        <f>IF(LEN(AD57)&gt;0,"- "&amp;AD57,"")</f>
        <v/>
      </c>
      <c r="BG57" s="155" t="str">
        <f>IF(LEN(AE57)&gt;0,"- "&amp;AE57,"")</f>
        <v/>
      </c>
      <c r="BH57" s="155" t="str">
        <f>IF(LEN(AF57)&gt;0,"- "&amp;AF57,"")</f>
        <v/>
      </c>
      <c r="BI57" s="155" t="str">
        <f>IF(LEN(AG57)&gt;0,"- "&amp;AG57,"")</f>
        <v/>
      </c>
      <c r="BJ57" s="155" t="str">
        <f>IF(LEN(AH57)&gt;0,"- "&amp;AH57,"")</f>
        <v/>
      </c>
      <c r="BK57" s="155" t="str">
        <f>"tags:"&amp;CHAR(10)&amp;concatl(AV57:BJ57)</f>
        <v xml:space="preserve">tags:
- spain_x000D_
- avila_x000D_
- churches_x000D_
- holy-persons_x000D_
- teresa-avila_x000D_
- discalced-carmelites_x000D_
- communities_x000D_
</v>
      </c>
      <c r="BL57" s="155" t="str">
        <f>IF(LEN(N57)&gt;0,TRIM(CONCATENATE("[Official site](",N57,") ",O57)),"")</f>
        <v>[Official site](https://www.teresadejesus.com/)</v>
      </c>
      <c r="BM57" s="155" t="str">
        <f>IF(LEN(Q57)&gt;0,TRIM(CONCATENATE("["&amp;P57&amp;"](",Q57,") ",R57)),"")</f>
        <v/>
      </c>
      <c r="BN57" s="155" t="str">
        <f>IF(LEN(T57)&gt;0,TRIM(CONCATENATE("["&amp;S57&amp;"](",T57,") ",U57)),"")</f>
        <v/>
      </c>
      <c r="BO57" s="155" t="str">
        <f>IF(LEN(W57)&gt;0,TRIM(CONCATENATE("["&amp;V57&amp;"](",W57,") ",X57)),"")</f>
        <v/>
      </c>
      <c r="BP57" s="155" t="str">
        <f>IF(LEN(BL57)&gt;0,"* "&amp;BL57&amp;CHAR(10),"")&amp;
IF(LEN(BM57)&gt;0,"* "&amp;BM57&amp;CHAR(10),"")&amp;
IF(LEN(BN57)&gt;0,"* "&amp;BN57&amp;CHAR(10),"")&amp;
IF(LEN(BO57)&gt;0,"* "&amp;BO57&amp;CHAR(10),"")</f>
        <v xml:space="preserve">* [Official site](https://www.teresadejesus.com/)
</v>
      </c>
      <c r="BQ57" s="155" t="str">
        <f>IF(LEN(AK57)&gt;0,TRIM(CONCATENATE("[Link](",AK57,") ",AL57)),"")</f>
        <v/>
      </c>
      <c r="BR57" s="155" t="str">
        <f>IF(LEN(AM57)&gt;0,TRIM(CONCATENATE("[Link](",AM57,") ",AN57)),"")</f>
        <v/>
      </c>
      <c r="BS57" s="155" t="str">
        <f>IF(LEN(AO57)&gt;0,TRIM(CONCATENATE("[Link](",AO57,") ",AP57)),"")</f>
        <v/>
      </c>
      <c r="BT57" s="155" t="str">
        <f>IF(LEN(concat(BQ57:BS57))&gt;0,concat("| ",BQ57," | ",BR57," | ",BS57," |"),"")</f>
        <v/>
      </c>
      <c r="BU57" s="155" t="str">
        <f>IF(J57,concatl("| The Real Presence | Miracle Hunter | MaryPages |","| --- | --- | --- |",BT57),"")</f>
        <v/>
      </c>
      <c r="BV57" s="155" t="str">
        <f>IF(LEN(BP57&amp;BU57)&gt;0,concatll("#### More Information",BP57,BU57),"")</f>
        <v xml:space="preserve">#### More Information_x000D_
_x000D_
* [Official site](https://www.teresadejesus.com/)
_x000D_
_x000D_
</v>
      </c>
      <c r="BW57" s="155" t="str">
        <f>IF(LEN(M57)&gt;1,concatll("#### Author's Note",M57),"")</f>
        <v/>
      </c>
      <c r="BX57" s="23" t="str">
        <f>IF(AR57,concatll(concatl("---",AS57:AU57,BK57,"---"),L57,BV57:BW57),"")</f>
        <v xml:space="preserve">---_x000D_
title: "Church and birthplace of St. Teresa of Jesus (Casa Natal Santa Teresa de Jesus)"_x000D_
location: {lat: 40.6554939834928, lng: -4.70275600839255}_x000D_
interest: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57" s="23" t="str">
        <f>IF(AR57,VLOOKUP(B57,'(Ref) Countries'!A:B,2,)&amp;IF(LEN(C57)&gt;1,"-"&amp;LOWER(SUBSTITUTE(C57," ","-")),"")&amp;"-"&amp;LOWER(SUBSTITUTE(SUBSTITUTE(G57," ","-"),".",""))&amp;".md","")</f>
        <v>es-avila-casa-natal-santa-teresa-de-jesus.md</v>
      </c>
      <c r="BZ57" s="29" t="str">
        <f>IF(LEN(Y57)&gt;1,VLOOKUP(Y57,'Tag List'!$A:$B,2,),"")</f>
        <v>St. Teresa of Avila, OCD</v>
      </c>
      <c r="CA57" s="29" t="str">
        <f>IF(LEN(Z57)&gt;1,VLOOKUP(Z57,'Tag List'!$A:$B,2,),"")</f>
        <v>Discalced Carmelites (Order of Discalced Carmelites)</v>
      </c>
      <c r="CB57" s="29" t="str">
        <f>IF(LEN(AA57)&gt;1,VLOOKUP(AA57,'Tag List'!$A:$B,2,),"")</f>
        <v>Religious Communities</v>
      </c>
      <c r="CC57" s="29" t="str">
        <f>IF(LEN(Y57)&gt;1,GetTagPage(BZ57,Y57),"")</f>
        <v>[St. Teresa of Avila, OCD](/tags/teresa-avila)</v>
      </c>
      <c r="CD57" s="29" t="str">
        <f>IF(LEN(Z57)&gt;1,GetTagPage(CA57,Z57),"")</f>
        <v>[Discalced Carmelites (Order of Discalced Carmelites)](/tags/discalced-carmelites)</v>
      </c>
      <c r="CE57" s="29" t="str">
        <f>IF(LEN(AA57)&gt;1,GetTagPage(CB57,AA57),"")</f>
        <v>[Religious Communities](/tags/communities)</v>
      </c>
      <c r="CF57" s="29" t="str">
        <f>"|"&amp;IF(LEN(CC57)&gt;1," "&amp;CC57,"")&amp;IF(LEN(CD57)&gt;1,", "&amp;CD57,"")&amp;IF(LEN(CE57)&gt;1,", "&amp;CE57,"")&amp;" "</f>
        <v xml:space="preserve">| [St. Teresa of Avila, OCD](/tags/teresa-avila), [Discalced Carmelites (Order of Discalced Carmelites)](/tags/discalced-carmelites), [Religious Communities](/tags/communities) </v>
      </c>
      <c r="CG57" s="29" t="str">
        <f>"| "&amp;IF(AR57,"["&amp;AI57&amp;"](/places/"&amp;SUBSTITUTE(BY57,".md","")&amp;")",AI57)&amp;" "</f>
        <v xml:space="preserve">| [](/places/es-avila-casa-natal-santa-teresa-de-jesus) </v>
      </c>
      <c r="CH57" s="29" t="str">
        <f>"| "&amp;IF(AR57,GetTagPage(B57,VLOOKUP(B57,'(Ref) Countries'!A:C,3,)),B57)&amp; " "</f>
        <v xml:space="preserve">| [Spain](/tags/spain) </v>
      </c>
      <c r="CI57" s="29" t="str">
        <f>"| "&amp;AJ57&amp;" "</f>
        <v xml:space="preserve">|  </v>
      </c>
      <c r="CJ57" s="29" t="str">
        <f>"|"&amp;IF(AR57," [Link](/places/"&amp;SUBSTITUTE(BY57,".md","")&amp;")","")&amp;" "</f>
        <v xml:space="preserve">| [Link](/places/es-avila-casa-natal-santa-teresa-de-jesus) </v>
      </c>
      <c r="CK57" s="29" t="str">
        <f>"
"&amp;CG57&amp;CH57&amp;CI57&amp;CJ57&amp;BL57&amp;BQ57&amp;BR57&amp;BS57&amp;CF57&amp;"|"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58" spans="1:90" ht="102" x14ac:dyDescent="0.25">
      <c r="A58" s="168" t="s">
        <v>1320</v>
      </c>
      <c r="B58" s="24" t="s">
        <v>552</v>
      </c>
      <c r="C58" s="24" t="s">
        <v>2125</v>
      </c>
      <c r="D58" s="15">
        <v>40.662828044541399</v>
      </c>
      <c r="E58" s="49">
        <v>-4.6997760138995996</v>
      </c>
      <c r="F58" s="101" t="s">
        <v>2140</v>
      </c>
      <c r="G58" s="103" t="s">
        <v>2139</v>
      </c>
      <c r="H58" s="24" t="s">
        <v>1825</v>
      </c>
      <c r="I58" s="24" t="b">
        <v>1</v>
      </c>
      <c r="K58" s="24" t="b">
        <v>1</v>
      </c>
      <c r="L58" s="101" t="s">
        <v>2266</v>
      </c>
      <c r="O58" s="15" t="s">
        <v>336</v>
      </c>
      <c r="P58" s="106" t="s">
        <v>2136</v>
      </c>
      <c r="Q58" s="15" t="s">
        <v>2137</v>
      </c>
      <c r="R58" s="107" t="s">
        <v>336</v>
      </c>
      <c r="Y58" s="15" t="s">
        <v>2133</v>
      </c>
      <c r="Z58" s="102" t="s">
        <v>2129</v>
      </c>
      <c r="AA58" s="102" t="s">
        <v>1424</v>
      </c>
      <c r="AB58" s="102" t="s">
        <v>2132</v>
      </c>
      <c r="AR58" s="154" t="b">
        <f>IF(OR(A58="Done",A58="In Progress"),TRUE)</f>
        <v>1</v>
      </c>
      <c r="AS58" s="155" t="str">
        <f>"title: """&amp;F58&amp;""""</f>
        <v>title: "Monastery of the Incarnation (Monasterio de La Encarnacion)"</v>
      </c>
      <c r="AT58" s="155" t="str">
        <f>"location: {lat: "&amp;D58&amp;", lng: "&amp;E58&amp;"}"</f>
        <v>location: {lat: 40.6628280445414, lng: -4.6997760138996}</v>
      </c>
      <c r="AU58" s="155" t="str">
        <f>"interest: "&amp;H58</f>
        <v>interest: local</v>
      </c>
      <c r="AV58" s="155" t="str">
        <f>"- "&amp;VLOOKUP(B58,'(Ref) Countries'!A:C,3,)</f>
        <v>- spain</v>
      </c>
      <c r="AW58" s="155" t="str">
        <f>IF(LEN(C58)&gt;1,"- "&amp;LOWER(SUBSTITUTE(C58," ","-")),"")</f>
        <v>- avila</v>
      </c>
      <c r="AX58" s="155" t="str">
        <f>IF(I58,"- churches","")</f>
        <v>- churches</v>
      </c>
      <c r="AY58" s="155" t="str">
        <f>IF(J58,"- marian-sites","")</f>
        <v/>
      </c>
      <c r="AZ58" s="155" t="str">
        <f>IF(K58,"- holy-persons","")</f>
        <v>- holy-persons</v>
      </c>
      <c r="BA58" s="155" t="str">
        <f>IF(LEN(Y58)&gt;0,"- "&amp;Y58,"")</f>
        <v>- teresa-avila</v>
      </c>
      <c r="BB58" s="155" t="str">
        <f>IF(LEN(Z58)&gt;0,"- "&amp;Z58,"")</f>
        <v>- discalced-carmelites</v>
      </c>
      <c r="BC58" s="155" t="str">
        <f>IF(LEN(AA58)&gt;0,"- "&amp;AA58,"")</f>
        <v>- communities</v>
      </c>
      <c r="BD58" s="155" t="str">
        <f>IF(LEN(AB58)&gt;0,"- "&amp;AB58,"")</f>
        <v>- john-cross</v>
      </c>
      <c r="BE58" s="155" t="str">
        <f>IF(LEN(AC58)&gt;0,"- "&amp;AC58,"")</f>
        <v/>
      </c>
      <c r="BF58" s="155" t="str">
        <f>IF(LEN(AD58)&gt;0,"- "&amp;AD58,"")</f>
        <v/>
      </c>
      <c r="BG58" s="155" t="str">
        <f>IF(LEN(AE58)&gt;0,"- "&amp;AE58,"")</f>
        <v/>
      </c>
      <c r="BH58" s="155" t="str">
        <f>IF(LEN(AF58)&gt;0,"- "&amp;AF58,"")</f>
        <v/>
      </c>
      <c r="BI58" s="155" t="str">
        <f>IF(LEN(AG58)&gt;0,"- "&amp;AG58,"")</f>
        <v/>
      </c>
      <c r="BJ58" s="155" t="str">
        <f>IF(LEN(AH58)&gt;0,"- "&amp;AH58,"")</f>
        <v/>
      </c>
      <c r="BK58" s="155" t="str">
        <f>"tags:"&amp;CHAR(10)&amp;concatl(AV58:BJ58)</f>
        <v xml:space="preserve">tags:
- spain_x000D_
- avila_x000D_
- churches_x000D_
- holy-persons_x000D_
- teresa-avila_x000D_
- discalced-carmelites_x000D_
- communities_x000D_
- john-cross_x000D_
</v>
      </c>
      <c r="BL58" s="155" t="str">
        <f>IF(LEN(N58)&gt;0,TRIM(CONCATENATE("[Official site](",N58,") ",O58)),"")</f>
        <v/>
      </c>
      <c r="BM58" s="155" t="str">
        <f>IF(LEN(Q58)&gt;0,TRIM(CONCATENATE("["&amp;P58&amp;"](",Q58,") ",R58)),"")</f>
        <v>[Avila tourism site](https://www.avilaturismo.com/en/monatery-of-la-encarnacion)</v>
      </c>
      <c r="BN58" s="155" t="str">
        <f>IF(LEN(T58)&gt;0,TRIM(CONCATENATE("["&amp;S58&amp;"](",T58,") ",U58)),"")</f>
        <v/>
      </c>
      <c r="BO58" s="155" t="str">
        <f>IF(LEN(W58)&gt;0,TRIM(CONCATENATE("["&amp;V58&amp;"](",W58,") ",X58)),"")</f>
        <v/>
      </c>
      <c r="BP58" s="155" t="str">
        <f>IF(LEN(BL58)&gt;0,"* "&amp;BL58&amp;CHAR(10),"")&amp;
IF(LEN(BM58)&gt;0,"* "&amp;BM58&amp;CHAR(10),"")&amp;
IF(LEN(BN58)&gt;0,"* "&amp;BN58&amp;CHAR(10),"")&amp;
IF(LEN(BO58)&gt;0,"* "&amp;BO58&amp;CHAR(10),"")</f>
        <v xml:space="preserve">* [Avila tourism site](https://www.avilaturismo.com/en/monatery-of-la-encarnacion)
</v>
      </c>
      <c r="BQ58" s="155" t="str">
        <f>IF(LEN(AK58)&gt;0,TRIM(CONCATENATE("[Link](",AK58,") ",AL58)),"")</f>
        <v/>
      </c>
      <c r="BR58" s="155" t="str">
        <f>IF(LEN(AM58)&gt;0,TRIM(CONCATENATE("[Link](",AM58,") ",AN58)),"")</f>
        <v/>
      </c>
      <c r="BS58" s="155" t="str">
        <f>IF(LEN(AO58)&gt;0,TRIM(CONCATENATE("[Link](",AO58,") ",AP58)),"")</f>
        <v/>
      </c>
      <c r="BT58" s="155" t="str">
        <f>IF(LEN(concat(BQ58:BS58))&gt;0,concat("| ",BQ58," | ",BR58," | ",BS58," |"),"")</f>
        <v/>
      </c>
      <c r="BU58" s="155" t="str">
        <f>IF(J58,concatl("| The Real Presence | Miracle Hunter | MaryPages |","| --- | --- | --- |",BT58),"")</f>
        <v/>
      </c>
      <c r="BV58" s="155" t="str">
        <f>IF(LEN(BP58&amp;BU58)&gt;0,concatll("#### More Information",BP58,BU58),"")</f>
        <v xml:space="preserve">#### More Information_x000D_
_x000D_
* [Avila tourism site](https://www.avilaturismo.com/en/monatery-of-la-encarnacion)
_x000D_
_x000D_
</v>
      </c>
      <c r="BW58" s="155" t="str">
        <f>IF(LEN(M58)&gt;1,concatll("#### Author's Note",M58),"")</f>
        <v/>
      </c>
      <c r="BX58" s="23" t="str">
        <f>IF(AR58,concatll(concatl("---",AS58:AU58,BK58,"---"),L58,BV58:BW58),"")</f>
        <v xml:space="preserve">---_x000D_
title: "Monastery of the Incarnation (Monasterio de La Encarnacion)"_x000D_
location: {lat: 40.6628280445414, lng: -4.6997760138996}_x000D_
interest: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58" s="23" t="str">
        <f>IF(AR58,VLOOKUP(B58,'(Ref) Countries'!A:B,2,)&amp;IF(LEN(C58)&gt;1,"-"&amp;LOWER(SUBSTITUTE(C58," ","-")),"")&amp;"-"&amp;LOWER(SUBSTITUTE(SUBSTITUTE(G58," ","-"),".",""))&amp;".md","")</f>
        <v>es-avila-monasterio-de-la-encarnacion.md</v>
      </c>
      <c r="BZ58" s="29" t="str">
        <f>IF(LEN(Y58)&gt;1,VLOOKUP(Y58,'Tag List'!$A:$B,2,),"")</f>
        <v>St. Teresa of Avila, OCD</v>
      </c>
      <c r="CA58" s="29" t="str">
        <f>IF(LEN(Z58)&gt;1,VLOOKUP(Z58,'Tag List'!$A:$B,2,),"")</f>
        <v>Discalced Carmelites (Order of Discalced Carmelites)</v>
      </c>
      <c r="CB58" s="29" t="str">
        <f>IF(LEN(AA58)&gt;1,VLOOKUP(AA58,'Tag List'!$A:$B,2,),"")</f>
        <v>Religious Communities</v>
      </c>
      <c r="CC58" s="29" t="str">
        <f>IF(LEN(Y58)&gt;1,GetTagPage(BZ58,Y58),"")</f>
        <v>[St. Teresa of Avila, OCD](/tags/teresa-avila)</v>
      </c>
      <c r="CD58" s="29" t="str">
        <f>IF(LEN(Z58)&gt;1,GetTagPage(CA58,Z58),"")</f>
        <v>[Discalced Carmelites (Order of Discalced Carmelites)](/tags/discalced-carmelites)</v>
      </c>
      <c r="CE58" s="29" t="str">
        <f>IF(LEN(AA58)&gt;1,GetTagPage(CB58,AA58),"")</f>
        <v>[Religious Communities](/tags/communities)</v>
      </c>
      <c r="CF58" s="29" t="str">
        <f>"|"&amp;IF(LEN(CC58)&gt;1," "&amp;CC58,"")&amp;IF(LEN(CD58)&gt;1,", "&amp;CD58,"")&amp;IF(LEN(CE58)&gt;1,", "&amp;CE58,"")&amp;" "</f>
        <v xml:space="preserve">| [St. Teresa of Avila, OCD](/tags/teresa-avila), [Discalced Carmelites (Order of Discalced Carmelites)](/tags/discalced-carmelites), [Religious Communities](/tags/communities) </v>
      </c>
      <c r="CG58" s="29" t="str">
        <f>"| "&amp;IF(AR58,"["&amp;AI58&amp;"](/places/"&amp;SUBSTITUTE(BY58,".md","")&amp;")",AI58)&amp;" "</f>
        <v xml:space="preserve">| [](/places/es-avila-monasterio-de-la-encarnacion) </v>
      </c>
      <c r="CH58" s="29" t="str">
        <f>"| "&amp;IF(AR58,GetTagPage(B58,VLOOKUP(B58,'(Ref) Countries'!A:C,3,)),B58)&amp; " "</f>
        <v xml:space="preserve">| [Spain](/tags/spain) </v>
      </c>
      <c r="CI58" s="29" t="str">
        <f>"| "&amp;AJ58&amp;" "</f>
        <v xml:space="preserve">|  </v>
      </c>
      <c r="CJ58" s="29" t="str">
        <f>"|"&amp;IF(AR58," [Link](/places/"&amp;SUBSTITUTE(BY58,".md","")&amp;")","")&amp;" "</f>
        <v xml:space="preserve">| [Link](/places/es-avila-monasterio-de-la-encarnacion) </v>
      </c>
      <c r="CK58" s="29" t="str">
        <f>"
"&amp;CG58&amp;CH58&amp;CI58&amp;CJ58&amp;BL58&amp;BQ58&amp;BR58&amp;BS58&amp;CF58&amp;"|"</f>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59" spans="1:90" ht="38.25" x14ac:dyDescent="0.25">
      <c r="A59" s="168" t="s">
        <v>1320</v>
      </c>
      <c r="B59" s="24" t="s">
        <v>552</v>
      </c>
      <c r="C59" s="24" t="s">
        <v>2125</v>
      </c>
      <c r="D59" s="15">
        <v>40.655097925791601</v>
      </c>
      <c r="E59" s="49">
        <v>-4.6919360712877101</v>
      </c>
      <c r="F59" s="101" t="s">
        <v>2152</v>
      </c>
      <c r="G59" s="53" t="s">
        <v>2138</v>
      </c>
      <c r="H59" s="24" t="s">
        <v>1825</v>
      </c>
      <c r="I59" s="24" t="b">
        <v>1</v>
      </c>
      <c r="K59" s="24" t="b">
        <v>1</v>
      </c>
      <c r="L59" s="101" t="s">
        <v>2171</v>
      </c>
      <c r="N59" s="15" t="s">
        <v>2142</v>
      </c>
      <c r="O59" s="15" t="s">
        <v>1817</v>
      </c>
      <c r="P59" s="60" t="s">
        <v>2136</v>
      </c>
      <c r="Q59" s="15" t="s">
        <v>2141</v>
      </c>
      <c r="R59" s="64" t="s">
        <v>336</v>
      </c>
      <c r="Y59" s="15" t="s">
        <v>2133</v>
      </c>
      <c r="Z59" s="15" t="s">
        <v>2129</v>
      </c>
      <c r="AA59" s="102" t="s">
        <v>1424</v>
      </c>
      <c r="AR59" s="154" t="b">
        <f>IF(OR(A59="Done",A59="In Progress"),TRUE)</f>
        <v>1</v>
      </c>
      <c r="AS59" s="155" t="str">
        <f>"title: """&amp;F59&amp;""""</f>
        <v>title: "Convento de San Jose, Avila"</v>
      </c>
      <c r="AT59" s="155" t="str">
        <f>"location: {lat: "&amp;D59&amp;", lng: "&amp;E59&amp;"}"</f>
        <v>location: {lat: 40.6550979257916, lng: -4.69193607128771}</v>
      </c>
      <c r="AU59" s="155" t="str">
        <f>"interest: "&amp;H59</f>
        <v>interest: local</v>
      </c>
      <c r="AV59" s="155" t="str">
        <f>"- "&amp;VLOOKUP(B59,'(Ref) Countries'!A:C,3,)</f>
        <v>- spain</v>
      </c>
      <c r="AW59" s="155" t="str">
        <f>IF(LEN(C59)&gt;1,"- "&amp;LOWER(SUBSTITUTE(C59," ","-")),"")</f>
        <v>- avila</v>
      </c>
      <c r="AX59" s="155" t="str">
        <f>IF(I59,"- churches","")</f>
        <v>- churches</v>
      </c>
      <c r="AY59" s="155" t="str">
        <f>IF(J59,"- marian-sites","")</f>
        <v/>
      </c>
      <c r="AZ59" s="155" t="str">
        <f>IF(K59,"- holy-persons","")</f>
        <v>- holy-persons</v>
      </c>
      <c r="BA59" s="155" t="str">
        <f>IF(LEN(Y59)&gt;0,"- "&amp;Y59,"")</f>
        <v>- teresa-avila</v>
      </c>
      <c r="BB59" s="155" t="str">
        <f>IF(LEN(Z59)&gt;0,"- "&amp;Z59,"")</f>
        <v>- discalced-carmelites</v>
      </c>
      <c r="BC59" s="155" t="str">
        <f>IF(LEN(AA59)&gt;0,"- "&amp;AA59,"")</f>
        <v>- communities</v>
      </c>
      <c r="BD59" s="155" t="str">
        <f>IF(LEN(AB59)&gt;0,"- "&amp;AB59,"")</f>
        <v/>
      </c>
      <c r="BE59" s="155" t="str">
        <f>IF(LEN(AC59)&gt;0,"- "&amp;AC59,"")</f>
        <v/>
      </c>
      <c r="BF59" s="155" t="str">
        <f>IF(LEN(AD59)&gt;0,"- "&amp;AD59,"")</f>
        <v/>
      </c>
      <c r="BG59" s="155" t="str">
        <f>IF(LEN(AE59)&gt;0,"- "&amp;AE59,"")</f>
        <v/>
      </c>
      <c r="BH59" s="155" t="str">
        <f>IF(LEN(AF59)&gt;0,"- "&amp;AF59,"")</f>
        <v/>
      </c>
      <c r="BI59" s="155" t="str">
        <f>IF(LEN(AG59)&gt;0,"- "&amp;AG59,"")</f>
        <v/>
      </c>
      <c r="BJ59" s="155" t="str">
        <f>IF(LEN(AH59)&gt;0,"- "&amp;AH59,"")</f>
        <v/>
      </c>
      <c r="BK59" s="155" t="str">
        <f>"tags:"&amp;CHAR(10)&amp;concatl(AV59:BJ59)</f>
        <v xml:space="preserve">tags:
- spain_x000D_
- avila_x000D_
- churches_x000D_
- holy-persons_x000D_
- teresa-avila_x000D_
- discalced-carmelites_x000D_
- communities_x000D_
</v>
      </c>
      <c r="BL59" s="155" t="str">
        <f>IF(LEN(N59)&gt;0,TRIM(CONCATENATE("[Official site](",N59,") ",O59)),"")</f>
        <v>[Official site](http://www.sanjosedeavila.es/) (note: website not active at time of writing)</v>
      </c>
      <c r="BM59" s="155" t="str">
        <f>IF(LEN(Q59)&gt;0,TRIM(CONCATENATE("["&amp;P59&amp;"](",Q59,") ",R59)),"")</f>
        <v>[Avila tourism site](https://www.avilaturismo.com/en/convent-and-church-of-san-jose)</v>
      </c>
      <c r="BN59" s="155" t="str">
        <f>IF(LEN(T59)&gt;0,TRIM(CONCATENATE("["&amp;S59&amp;"](",T59,") ",U59)),"")</f>
        <v/>
      </c>
      <c r="BO59" s="155" t="str">
        <f>IF(LEN(W59)&gt;0,TRIM(CONCATENATE("["&amp;V59&amp;"](",W59,") ",X59)),"")</f>
        <v/>
      </c>
      <c r="BP59" s="155" t="str">
        <f>IF(LEN(BL59)&gt;0,"* "&amp;BL59&amp;CHAR(10),"")&amp;
IF(LEN(BM59)&gt;0,"* "&amp;BM59&amp;CHAR(10),"")&amp;
IF(LEN(BN59)&gt;0,"* "&amp;BN59&amp;CHAR(10),"")&amp;
IF(LEN(BO59)&gt;0,"* "&amp;BO59&amp;CHAR(10),"")</f>
        <v xml:space="preserve">* [Official site](http://www.sanjosedeavila.es/) (note: website not active at time of writing)
* [Avila tourism site](https://www.avilaturismo.com/en/convent-and-church-of-san-jose)
</v>
      </c>
      <c r="BQ59" s="155" t="str">
        <f>IF(LEN(AK59)&gt;0,TRIM(CONCATENATE("[Link](",AK59,") ",AL59)),"")</f>
        <v/>
      </c>
      <c r="BR59" s="155" t="str">
        <f>IF(LEN(AM59)&gt;0,TRIM(CONCATENATE("[Link](",AM59,") ",AN59)),"")</f>
        <v/>
      </c>
      <c r="BS59" s="155" t="str">
        <f>IF(LEN(AO59)&gt;0,TRIM(CONCATENATE("[Link](",AO59,") ",AP59)),"")</f>
        <v/>
      </c>
      <c r="BT59" s="155" t="str">
        <f>IF(LEN(concat(BQ59:BS59))&gt;0,concat("| ",BQ59," | ",BR59," | ",BS59," |"),"")</f>
        <v/>
      </c>
      <c r="BU59" s="155" t="str">
        <f>IF(J59,concatl("| The Real Presence | Miracle Hunter | MaryPages |","| --- | --- | --- |",BT59),"")</f>
        <v/>
      </c>
      <c r="BV59" s="155" t="str">
        <f>IF(LEN(BP59&amp;BU59)&gt;0,concatll("#### More Information",BP59,BU59),"")</f>
        <v xml:space="preserve">#### More Information_x000D_
_x000D_
* [Official site](http://www.sanjosedeavila.es/) (note: website not active at time of writing)
* [Avila tourism site](https://www.avilaturismo.com/en/convent-and-church-of-san-jose)
_x000D_
_x000D_
</v>
      </c>
      <c r="BW59" s="155" t="str">
        <f>IF(LEN(M59)&gt;1,concatll("#### Author's Note",M59),"")</f>
        <v/>
      </c>
      <c r="BX59" s="23" t="str">
        <f>IF(AR59,concatll(concatl("---",AS59:AU59,BK59,"---"),L59,BV59:BW59),"")</f>
        <v xml:space="preserve">---_x000D_
title: "Convento de San Jose, Avila"_x000D_
location: {lat: 40.6550979257916, lng: -4.69193607128771}_x000D_
interest: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59" s="23" t="str">
        <f>IF(AR59,VLOOKUP(B59,'(Ref) Countries'!A:B,2,)&amp;IF(LEN(C59)&gt;1,"-"&amp;LOWER(SUBSTITUTE(C59," ","-")),"")&amp;"-"&amp;LOWER(SUBSTITUTE(SUBSTITUTE(G59," ","-"),".",""))&amp;".md","")</f>
        <v>es-avila-convento-de-san-jose.md</v>
      </c>
      <c r="BZ59" s="29" t="str">
        <f>IF(LEN(Y59)&gt;1,VLOOKUP(Y59,'Tag List'!$A:$B,2,),"")</f>
        <v>St. Teresa of Avila, OCD</v>
      </c>
      <c r="CA59" s="29" t="str">
        <f>IF(LEN(Z59)&gt;1,VLOOKUP(Z59,'Tag List'!$A:$B,2,),"")</f>
        <v>Discalced Carmelites (Order of Discalced Carmelites)</v>
      </c>
      <c r="CB59" s="29" t="str">
        <f>IF(LEN(AA59)&gt;1,VLOOKUP(AA59,'Tag List'!$A:$B,2,),"")</f>
        <v>Religious Communities</v>
      </c>
      <c r="CC59" s="29" t="str">
        <f>IF(LEN(Y59)&gt;1,GetTagPage(BZ59,Y59),"")</f>
        <v>[St. Teresa of Avila, OCD](/tags/teresa-avila)</v>
      </c>
      <c r="CD59" s="29" t="str">
        <f>IF(LEN(Z59)&gt;1,GetTagPage(CA59,Z59),"")</f>
        <v>[Discalced Carmelites (Order of Discalced Carmelites)](/tags/discalced-carmelites)</v>
      </c>
      <c r="CE59" s="29" t="str">
        <f>IF(LEN(AA59)&gt;1,GetTagPage(CB59,AA59),"")</f>
        <v>[Religious Communities](/tags/communities)</v>
      </c>
      <c r="CF59" s="29" t="str">
        <f>"|"&amp;IF(LEN(CC59)&gt;1," "&amp;CC59,"")&amp;IF(LEN(CD59)&gt;1,", "&amp;CD59,"")&amp;IF(LEN(CE59)&gt;1,", "&amp;CE59,"")&amp;" "</f>
        <v xml:space="preserve">| [St. Teresa of Avila, OCD](/tags/teresa-avila), [Discalced Carmelites (Order of Discalced Carmelites)](/tags/discalced-carmelites), [Religious Communities](/tags/communities) </v>
      </c>
      <c r="CG59" s="29" t="str">
        <f>"| "&amp;IF(AR59,"["&amp;AI59&amp;"](/places/"&amp;SUBSTITUTE(BY59,".md","")&amp;")",AI59)&amp;" "</f>
        <v xml:space="preserve">| [](/places/es-avila-convento-de-san-jose) </v>
      </c>
      <c r="CH59" s="29" t="str">
        <f>"| "&amp;IF(AR59,GetTagPage(B59,VLOOKUP(B59,'(Ref) Countries'!A:C,3,)),B59)&amp; " "</f>
        <v xml:space="preserve">| [Spain](/tags/spain) </v>
      </c>
      <c r="CI59" s="29" t="str">
        <f>"| "&amp;AJ59&amp;" "</f>
        <v xml:space="preserve">|  </v>
      </c>
      <c r="CJ59" s="29" t="str">
        <f>"|"&amp;IF(AR59," [Link](/places/"&amp;SUBSTITUTE(BY59,".md","")&amp;")","")&amp;" "</f>
        <v xml:space="preserve">| [Link](/places/es-avila-convento-de-san-jose) </v>
      </c>
      <c r="CK59" s="29" t="str">
        <f>"
"&amp;CG59&amp;CH59&amp;CI59&amp;CJ59&amp;BL59&amp;BQ59&amp;BR59&amp;BS59&amp;CF59&amp;"|"</f>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60" spans="1:90" ht="51" x14ac:dyDescent="0.25">
      <c r="A60" s="168" t="s">
        <v>1320</v>
      </c>
      <c r="B60" s="24" t="s">
        <v>552</v>
      </c>
      <c r="C60" s="101" t="s">
        <v>2153</v>
      </c>
      <c r="D60" s="15">
        <v>41.311399847334698</v>
      </c>
      <c r="E60" s="49">
        <v>-4.9193248846553699</v>
      </c>
      <c r="F60" s="101" t="s">
        <v>2154</v>
      </c>
      <c r="G60" s="53" t="s">
        <v>2138</v>
      </c>
      <c r="H60" s="24" t="s">
        <v>1825</v>
      </c>
      <c r="I60" s="24" t="b">
        <v>1</v>
      </c>
      <c r="K60" s="24" t="b">
        <v>1</v>
      </c>
      <c r="L60" s="101" t="s">
        <v>2246</v>
      </c>
      <c r="P60" s="106" t="s">
        <v>2242</v>
      </c>
      <c r="Q60" s="15" t="s">
        <v>2243</v>
      </c>
      <c r="R60" s="107" t="s">
        <v>336</v>
      </c>
      <c r="S60" s="106" t="s">
        <v>2244</v>
      </c>
      <c r="T60" s="15" t="s">
        <v>2245</v>
      </c>
      <c r="U60" s="64" t="s">
        <v>1817</v>
      </c>
      <c r="V60" s="104" t="s">
        <v>336</v>
      </c>
      <c r="Y60" s="15" t="s">
        <v>2133</v>
      </c>
      <c r="Z60" s="15" t="s">
        <v>2129</v>
      </c>
      <c r="AA60" s="15" t="s">
        <v>1424</v>
      </c>
      <c r="AB60" s="15" t="s">
        <v>2132</v>
      </c>
      <c r="AR60" s="154" t="b">
        <f>IF(OR(A60="Done",A60="In Progress"),TRUE)</f>
        <v>1</v>
      </c>
      <c r="AS60" s="155" t="str">
        <f>"title: """&amp;F60&amp;""""</f>
        <v>title: "Convento de San Jose, Medina del Campo"</v>
      </c>
      <c r="AT60" s="155" t="str">
        <f>"location: {lat: "&amp;D60&amp;", lng: "&amp;E60&amp;"}"</f>
        <v>location: {lat: 41.3113998473347, lng: -4.91932488465537}</v>
      </c>
      <c r="AU60" s="155" t="str">
        <f>"interest: "&amp;H60</f>
        <v>interest: local</v>
      </c>
      <c r="AV60" s="155" t="str">
        <f>"- "&amp;VLOOKUP(B60,'(Ref) Countries'!A:C,3,)</f>
        <v>- spain</v>
      </c>
      <c r="AW60" s="155" t="str">
        <f>IF(LEN(C60)&gt;1,"- "&amp;LOWER(SUBSTITUTE(C60," ","-")),"")</f>
        <v>- medina-del-campo</v>
      </c>
      <c r="AX60" s="155" t="str">
        <f>IF(I60,"- churches","")</f>
        <v>- churches</v>
      </c>
      <c r="AY60" s="155" t="str">
        <f>IF(J60,"- marian-sites","")</f>
        <v/>
      </c>
      <c r="AZ60" s="155" t="str">
        <f>IF(K60,"- holy-persons","")</f>
        <v>- holy-persons</v>
      </c>
      <c r="BA60" s="155" t="str">
        <f>IF(LEN(Y60)&gt;0,"- "&amp;Y60,"")</f>
        <v>- teresa-avila</v>
      </c>
      <c r="BB60" s="155" t="str">
        <f>IF(LEN(Z60)&gt;0,"- "&amp;Z60,"")</f>
        <v>- discalced-carmelites</v>
      </c>
      <c r="BC60" s="155" t="str">
        <f>IF(LEN(AA60)&gt;0,"- "&amp;AA60,"")</f>
        <v>- communities</v>
      </c>
      <c r="BD60" s="155" t="str">
        <f>IF(LEN(AB60)&gt;0,"- "&amp;AB60,"")</f>
        <v>- john-cross</v>
      </c>
      <c r="BE60" s="155" t="str">
        <f>IF(LEN(AC60)&gt;0,"- "&amp;AC60,"")</f>
        <v/>
      </c>
      <c r="BF60" s="155" t="str">
        <f>IF(LEN(AD60)&gt;0,"- "&amp;AD60,"")</f>
        <v/>
      </c>
      <c r="BG60" s="155" t="str">
        <f>IF(LEN(AE60)&gt;0,"- "&amp;AE60,"")</f>
        <v/>
      </c>
      <c r="BH60" s="155" t="str">
        <f>IF(LEN(AF60)&gt;0,"- "&amp;AF60,"")</f>
        <v/>
      </c>
      <c r="BI60" s="155" t="str">
        <f>IF(LEN(AG60)&gt;0,"- "&amp;AG60,"")</f>
        <v/>
      </c>
      <c r="BJ60" s="155" t="str">
        <f>IF(LEN(AH60)&gt;0,"- "&amp;AH60,"")</f>
        <v/>
      </c>
      <c r="BK60" s="155" t="str">
        <f>"tags:"&amp;CHAR(10)&amp;concatl(AV60:BJ60)</f>
        <v xml:space="preserve">tags:
- spain_x000D_
- medina-del-campo_x000D_
- churches_x000D_
- holy-persons_x000D_
- teresa-avila_x000D_
- discalced-carmelites_x000D_
- communities_x000D_
- john-cross_x000D_
</v>
      </c>
      <c r="BL60" s="155" t="str">
        <f>IF(LEN(N60)&gt;0,TRIM(CONCATENATE("[Official site](",N60,") ",O60)),"")</f>
        <v/>
      </c>
      <c r="BM60" s="155" t="str">
        <f>IF(LEN(Q60)&gt;0,TRIM(CONCATENATE("["&amp;P60&amp;"](",Q60,") ",R60)),"")</f>
        <v>[Castila y Leon tourism site](https://www.turismocastillayleon.com/en/art-culture-heritage/museums/teresian-museum-san-jose-medina-del-campo-m-m-carmelitas)</v>
      </c>
      <c r="BN60" s="155" t="str">
        <f>IF(LEN(T60)&gt;0,TRIM(CONCATENATE("["&amp;S60&amp;"](",T60,") ",U60)),"")</f>
        <v>[Medina del Campo tourism site](http://medinadelcampo.es/lo-indispensable/donde-la-historia-cobra-vida/23-lo-indispensable/donde-la-historia-cobra-vida/367-convento-san-juan-de-la-cruz-ruta-teresiana) (note: website not active at time of writing)</v>
      </c>
      <c r="BO60" s="155" t="str">
        <f>IF(LEN(W60)&gt;0,TRIM(CONCATENATE("["&amp;V60&amp;"](",W60,") ",X60)),"")</f>
        <v/>
      </c>
      <c r="BP60" s="155" t="str">
        <f>IF(LEN(BL60)&gt;0,"* "&amp;BL60&amp;CHAR(10),"")&amp;
IF(LEN(BM60)&gt;0,"* "&amp;BM60&amp;CHAR(10),"")&amp;
IF(LEN(BN60)&gt;0,"* "&amp;BN60&amp;CHAR(10),"")&amp;
IF(LEN(BO60)&gt;0,"* "&amp;BO60&amp;CHAR(10),"")</f>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60" s="155" t="str">
        <f>IF(LEN(AK60)&gt;0,TRIM(CONCATENATE("[Link](",AK60,") ",AL60)),"")</f>
        <v/>
      </c>
      <c r="BR60" s="155" t="str">
        <f>IF(LEN(AM60)&gt;0,TRIM(CONCATENATE("[Link](",AM60,") ",AN60)),"")</f>
        <v/>
      </c>
      <c r="BS60" s="155" t="str">
        <f>IF(LEN(AO60)&gt;0,TRIM(CONCATENATE("[Link](",AO60,") ",AP60)),"")</f>
        <v/>
      </c>
      <c r="BT60" s="155" t="str">
        <f>IF(LEN(concat(BQ60:BS60))&gt;0,concat("| ",BQ60," | ",BR60," | ",BS60," |"),"")</f>
        <v/>
      </c>
      <c r="BU60" s="155" t="str">
        <f>IF(J60,concatl("| The Real Presence | Miracle Hunter | MaryPages |","| --- | --- | --- |",BT60),"")</f>
        <v/>
      </c>
      <c r="BV60" s="155" t="str">
        <f>IF(LEN(BP60&amp;BU60)&gt;0,concatll("#### More Information",BP60,BU60),"")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60" s="155" t="str">
        <f>IF(LEN(M60)&gt;1,concatll("#### Author's Note",M60),"")</f>
        <v/>
      </c>
      <c r="BX60" s="23" t="str">
        <f>IF(AR60,concatll(concatl("---",AS60:AU60,BK60,"---"),L60,BV60:BW60),"")</f>
        <v xml:space="preserve">---_x000D_
title: "Convento de San Jose, Medina del Campo"_x000D_
location: {lat: 41.3113998473347, lng: -4.91932488465537}_x000D_
interest: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60" s="23" t="str">
        <f>IF(AR60,VLOOKUP(B60,'(Ref) Countries'!A:B,2,)&amp;IF(LEN(C60)&gt;1,"-"&amp;LOWER(SUBSTITUTE(C60," ","-")),"")&amp;"-"&amp;LOWER(SUBSTITUTE(SUBSTITUTE(G60," ","-"),".",""))&amp;".md","")</f>
        <v>es-medina-del-campo-convento-de-san-jose.md</v>
      </c>
      <c r="BZ60" s="29" t="str">
        <f>IF(LEN(Y60)&gt;1,VLOOKUP(Y60,'Tag List'!$A:$B,2,),"")</f>
        <v>St. Teresa of Avila, OCD</v>
      </c>
      <c r="CA60" s="29" t="str">
        <f>IF(LEN(Z60)&gt;1,VLOOKUP(Z60,'Tag List'!$A:$B,2,),"")</f>
        <v>Discalced Carmelites (Order of Discalced Carmelites)</v>
      </c>
      <c r="CB60" s="29" t="str">
        <f>IF(LEN(AA60)&gt;1,VLOOKUP(AA60,'Tag List'!$A:$B,2,),"")</f>
        <v>Religious Communities</v>
      </c>
      <c r="CC60" s="29" t="str">
        <f>IF(LEN(Y60)&gt;1,GetTagPage(BZ60,Y60),"")</f>
        <v>[St. Teresa of Avila, OCD](/tags/teresa-avila)</v>
      </c>
      <c r="CD60" s="29" t="str">
        <f>IF(LEN(Z60)&gt;1,GetTagPage(CA60,Z60),"")</f>
        <v>[Discalced Carmelites (Order of Discalced Carmelites)](/tags/discalced-carmelites)</v>
      </c>
      <c r="CE60" s="29" t="str">
        <f>IF(LEN(AA60)&gt;1,GetTagPage(CB60,AA60),"")</f>
        <v>[Religious Communities](/tags/communities)</v>
      </c>
      <c r="CF60" s="29" t="str">
        <f>"|"&amp;IF(LEN(CC60)&gt;1," "&amp;CC60,"")&amp;IF(LEN(CD60)&gt;1,", "&amp;CD60,"")&amp;IF(LEN(CE60)&gt;1,", "&amp;CE60,"")&amp;" "</f>
        <v xml:space="preserve">| [St. Teresa of Avila, OCD](/tags/teresa-avila), [Discalced Carmelites (Order of Discalced Carmelites)](/tags/discalced-carmelites), [Religious Communities](/tags/communities) </v>
      </c>
      <c r="CG60" s="29" t="str">
        <f>"| "&amp;IF(AR60,"["&amp;AI60&amp;"](/places/"&amp;SUBSTITUTE(BY60,".md","")&amp;")",AI60)&amp;" "</f>
        <v xml:space="preserve">| [](/places/es-medina-del-campo-convento-de-san-jose) </v>
      </c>
      <c r="CH60" s="29" t="str">
        <f>"| "&amp;IF(AR60,GetTagPage(B60,VLOOKUP(B60,'(Ref) Countries'!A:C,3,)),B60)&amp; " "</f>
        <v xml:space="preserve">| [Spain](/tags/spain) </v>
      </c>
      <c r="CI60" s="29" t="str">
        <f>"| "&amp;AJ60&amp;" "</f>
        <v xml:space="preserve">|  </v>
      </c>
      <c r="CJ60" s="29" t="str">
        <f>"|"&amp;IF(AR60," [Link](/places/"&amp;SUBSTITUTE(BY60,".md","")&amp;")","")&amp;" "</f>
        <v xml:space="preserve">| [Link](/places/es-medina-del-campo-convento-de-san-jose) </v>
      </c>
      <c r="CK60" s="29" t="str">
        <f>"
"&amp;CG60&amp;CH60&amp;CI60&amp;CJ60&amp;BL60&amp;BQ60&amp;BR60&amp;BS60&amp;CF60&amp;"|"</f>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61" spans="1:90" x14ac:dyDescent="0.25">
      <c r="A61" s="168" t="s">
        <v>1320</v>
      </c>
      <c r="B61" s="24" t="s">
        <v>552</v>
      </c>
      <c r="C61" s="101" t="s">
        <v>2155</v>
      </c>
      <c r="D61" s="15">
        <v>39.172836506337802</v>
      </c>
      <c r="E61" s="49">
        <v>-3.8518511711638399</v>
      </c>
      <c r="F61" s="101" t="s">
        <v>2156</v>
      </c>
      <c r="G61" s="53" t="s">
        <v>2138</v>
      </c>
      <c r="H61" s="24" t="s">
        <v>1825</v>
      </c>
      <c r="I61" s="24" t="b">
        <v>1</v>
      </c>
      <c r="K61" s="24" t="b">
        <v>1</v>
      </c>
      <c r="L61" s="101" t="s">
        <v>2170</v>
      </c>
      <c r="Y61" s="15" t="s">
        <v>2133</v>
      </c>
      <c r="Z61" s="15" t="s">
        <v>2129</v>
      </c>
      <c r="AA61" s="15" t="s">
        <v>1424</v>
      </c>
      <c r="AR61" s="154" t="b">
        <f>IF(OR(A61="Done",A61="In Progress"),TRUE)</f>
        <v>1</v>
      </c>
      <c r="AS61" s="155" t="str">
        <f>"title: """&amp;F61&amp;""""</f>
        <v>title: "Convento de San Jose, Malagon"</v>
      </c>
      <c r="AT61" s="155" t="str">
        <f>"location: {lat: "&amp;D61&amp;", lng: "&amp;E61&amp;"}"</f>
        <v>location: {lat: 39.1728365063378, lng: -3.85185117116384}</v>
      </c>
      <c r="AU61" s="155" t="str">
        <f>"interest: "&amp;H61</f>
        <v>interest: local</v>
      </c>
      <c r="AV61" s="155" t="str">
        <f>"- "&amp;VLOOKUP(B61,'(Ref) Countries'!A:C,3,)</f>
        <v>- spain</v>
      </c>
      <c r="AW61" s="155" t="str">
        <f>IF(LEN(C61)&gt;1,"- "&amp;LOWER(SUBSTITUTE(C61," ","-")),"")</f>
        <v>- malagon</v>
      </c>
      <c r="AX61" s="155" t="str">
        <f>IF(I61,"- churches","")</f>
        <v>- churches</v>
      </c>
      <c r="AY61" s="155" t="str">
        <f>IF(J61,"- marian-sites","")</f>
        <v/>
      </c>
      <c r="AZ61" s="155" t="str">
        <f>IF(K61,"- holy-persons","")</f>
        <v>- holy-persons</v>
      </c>
      <c r="BA61" s="155" t="str">
        <f>IF(LEN(Y61)&gt;0,"- "&amp;Y61,"")</f>
        <v>- teresa-avila</v>
      </c>
      <c r="BB61" s="155" t="str">
        <f>IF(LEN(Z61)&gt;0,"- "&amp;Z61,"")</f>
        <v>- discalced-carmelites</v>
      </c>
      <c r="BC61" s="155" t="str">
        <f>IF(LEN(AA61)&gt;0,"- "&amp;AA61,"")</f>
        <v>- communities</v>
      </c>
      <c r="BD61" s="155" t="str">
        <f>IF(LEN(AB61)&gt;0,"- "&amp;AB61,"")</f>
        <v/>
      </c>
      <c r="BE61" s="155" t="str">
        <f>IF(LEN(AC61)&gt;0,"- "&amp;AC61,"")</f>
        <v/>
      </c>
      <c r="BF61" s="155" t="str">
        <f>IF(LEN(AD61)&gt;0,"- "&amp;AD61,"")</f>
        <v/>
      </c>
      <c r="BG61" s="155" t="str">
        <f>IF(LEN(AE61)&gt;0,"- "&amp;AE61,"")</f>
        <v/>
      </c>
      <c r="BH61" s="155" t="str">
        <f>IF(LEN(AF61)&gt;0,"- "&amp;AF61,"")</f>
        <v/>
      </c>
      <c r="BI61" s="155" t="str">
        <f>IF(LEN(AG61)&gt;0,"- "&amp;AG61,"")</f>
        <v/>
      </c>
      <c r="BJ61" s="155" t="str">
        <f>IF(LEN(AH61)&gt;0,"- "&amp;AH61,"")</f>
        <v/>
      </c>
      <c r="BK61" s="155" t="str">
        <f>"tags:"&amp;CHAR(10)&amp;concatl(AV61:BJ61)</f>
        <v xml:space="preserve">tags:
- spain_x000D_
- malagon_x000D_
- churches_x000D_
- holy-persons_x000D_
- teresa-avila_x000D_
- discalced-carmelites_x000D_
- communities_x000D_
</v>
      </c>
      <c r="BL61" s="155" t="str">
        <f>IF(LEN(N61)&gt;0,TRIM(CONCATENATE("[Official site](",N61,") ",O61)),"")</f>
        <v/>
      </c>
      <c r="BM61" s="155" t="str">
        <f>IF(LEN(Q61)&gt;0,TRIM(CONCATENATE("["&amp;P61&amp;"](",Q61,") ",R61)),"")</f>
        <v/>
      </c>
      <c r="BN61" s="155" t="str">
        <f>IF(LEN(T61)&gt;0,TRIM(CONCATENATE("["&amp;S61&amp;"](",T61,") ",U61)),"")</f>
        <v/>
      </c>
      <c r="BO61" s="155" t="str">
        <f>IF(LEN(W61)&gt;0,TRIM(CONCATENATE("["&amp;V61&amp;"](",W61,") ",X61)),"")</f>
        <v/>
      </c>
      <c r="BP61" s="155" t="str">
        <f>IF(LEN(BL61)&gt;0,"* "&amp;BL61&amp;CHAR(10),"")&amp;
IF(LEN(BM61)&gt;0,"* "&amp;BM61&amp;CHAR(10),"")&amp;
IF(LEN(BN61)&gt;0,"* "&amp;BN61&amp;CHAR(10),"")&amp;
IF(LEN(BO61)&gt;0,"* "&amp;BO61&amp;CHAR(10),"")</f>
        <v/>
      </c>
      <c r="BQ61" s="155" t="str">
        <f>IF(LEN(AK61)&gt;0,TRIM(CONCATENATE("[Link](",AK61,") ",AL61)),"")</f>
        <v/>
      </c>
      <c r="BR61" s="155" t="str">
        <f>IF(LEN(AM61)&gt;0,TRIM(CONCATENATE("[Link](",AM61,") ",AN61)),"")</f>
        <v/>
      </c>
      <c r="BS61" s="155" t="str">
        <f>IF(LEN(AO61)&gt;0,TRIM(CONCATENATE("[Link](",AO61,") ",AP61)),"")</f>
        <v/>
      </c>
      <c r="BT61" s="155" t="str">
        <f>IF(LEN(concat(BQ61:BS61))&gt;0,concat("| ",BQ61," | ",BR61," | ",BS61," |"),"")</f>
        <v/>
      </c>
      <c r="BU61" s="155" t="str">
        <f>IF(J61,concatl("| The Real Presence | Miracle Hunter | MaryPages |","| --- | --- | --- |",BT61),"")</f>
        <v/>
      </c>
      <c r="BV61" s="155" t="str">
        <f>IF(LEN(BP61&amp;BU61)&gt;0,concatll("#### More Information",BP61,BU61),"")</f>
        <v/>
      </c>
      <c r="BW61" s="155" t="str">
        <f>IF(LEN(M61)&gt;1,concatll("#### Author's Note",M61),"")</f>
        <v/>
      </c>
      <c r="BX61" s="23" t="str">
        <f>IF(AR61,concatll(concatl("---",AS61:AU61,BK61,"---"),L61,BV61:BW61),"")</f>
        <v xml:space="preserve">---_x000D_
title: "Convento de San Jose, Malagon"_x000D_
location: {lat: 39.1728365063378, lng: -3.85185117116384}_x000D_
interest: local_x000D_
tags:
- spain_x000D_
- malagon_x000D_
- churches_x000D_
- holy-persons_x000D_
- teresa-avila_x000D_
- discalced-carmelites_x000D_
- communities_x000D_
_x000D_
---_x000D_
_x000D_
_x000D_
The third of 17 communities founded by St. Teresa of Avila, in 1568._x000D_
_x000D_
</v>
      </c>
      <c r="BY61" s="23" t="str">
        <f>IF(AR61,VLOOKUP(B61,'(Ref) Countries'!A:B,2,)&amp;IF(LEN(C61)&gt;1,"-"&amp;LOWER(SUBSTITUTE(C61," ","-")),"")&amp;"-"&amp;LOWER(SUBSTITUTE(SUBSTITUTE(G61," ","-"),".",""))&amp;".md","")</f>
        <v>es-malagon-convento-de-san-jose.md</v>
      </c>
      <c r="BZ61" s="29" t="str">
        <f>IF(LEN(Y61)&gt;1,VLOOKUP(Y61,'Tag List'!$A:$B,2,),"")</f>
        <v>St. Teresa of Avila, OCD</v>
      </c>
      <c r="CA61" s="29" t="str">
        <f>IF(LEN(Z61)&gt;1,VLOOKUP(Z61,'Tag List'!$A:$B,2,),"")</f>
        <v>Discalced Carmelites (Order of Discalced Carmelites)</v>
      </c>
      <c r="CB61" s="29" t="str">
        <f>IF(LEN(AA61)&gt;1,VLOOKUP(AA61,'Tag List'!$A:$B,2,),"")</f>
        <v>Religious Communities</v>
      </c>
      <c r="CC61" s="29" t="str">
        <f>IF(LEN(Y61)&gt;1,GetTagPage(BZ61,Y61),"")</f>
        <v>[St. Teresa of Avila, OCD](/tags/teresa-avila)</v>
      </c>
      <c r="CD61" s="29" t="str">
        <f>IF(LEN(Z61)&gt;1,GetTagPage(CA61,Z61),"")</f>
        <v>[Discalced Carmelites (Order of Discalced Carmelites)](/tags/discalced-carmelites)</v>
      </c>
      <c r="CE61" s="29" t="str">
        <f>IF(LEN(AA61)&gt;1,GetTagPage(CB61,AA61),"")</f>
        <v>[Religious Communities](/tags/communities)</v>
      </c>
      <c r="CF61" s="29" t="str">
        <f>"|"&amp;IF(LEN(CC61)&gt;1," "&amp;CC61,"")&amp;IF(LEN(CD61)&gt;1,", "&amp;CD61,"")&amp;IF(LEN(CE61)&gt;1,", "&amp;CE61,"")&amp;" "</f>
        <v xml:space="preserve">| [St. Teresa of Avila, OCD](/tags/teresa-avila), [Discalced Carmelites (Order of Discalced Carmelites)](/tags/discalced-carmelites), [Religious Communities](/tags/communities) </v>
      </c>
      <c r="CG61" s="29" t="str">
        <f>"| "&amp;IF(AR61,"["&amp;AI61&amp;"](/places/"&amp;SUBSTITUTE(BY61,".md","")&amp;")",AI61)&amp;" "</f>
        <v xml:space="preserve">| [](/places/es-malagon-convento-de-san-jose) </v>
      </c>
      <c r="CH61" s="29" t="str">
        <f>"| "&amp;IF(AR61,GetTagPage(B61,VLOOKUP(B61,'(Ref) Countries'!A:C,3,)),B61)&amp; " "</f>
        <v xml:space="preserve">| [Spain](/tags/spain) </v>
      </c>
      <c r="CI61" s="29" t="str">
        <f>"| "&amp;AJ61&amp;" "</f>
        <v xml:space="preserve">|  </v>
      </c>
      <c r="CJ61" s="29" t="str">
        <f>"|"&amp;IF(AR61," [Link](/places/"&amp;SUBSTITUTE(BY61,".md","")&amp;")","")&amp;" "</f>
        <v xml:space="preserve">| [Link](/places/es-malagon-convento-de-san-jose) </v>
      </c>
      <c r="CK61" s="29" t="str">
        <f>"
"&amp;CG61&amp;CH61&amp;CI61&amp;CJ61&amp;BL61&amp;BQ61&amp;BR61&amp;BS61&amp;CF61&amp;"|"</f>
        <v xml:space="preserve">
| [](/places/es-malagon-convento-de-san-jose) | [Spain](/tags/spain) |  | [Link](/places/es-malagon-convento-de-san-jose) | [St. Teresa of Avila, OCD](/tags/teresa-avila), [Discalced Carmelites (Order of Discalced Carmelites)](/tags/discalced-carmelites), [Religious Communities](/tags/communities) |</v>
      </c>
    </row>
    <row r="62" spans="1:90" x14ac:dyDescent="0.25">
      <c r="A62" s="168" t="s">
        <v>1320</v>
      </c>
      <c r="B62" s="24" t="s">
        <v>552</v>
      </c>
      <c r="C62" s="111" t="s">
        <v>2158</v>
      </c>
      <c r="D62" s="15">
        <v>41.659886377779202</v>
      </c>
      <c r="E62" s="49">
        <v>-4.72687771534462</v>
      </c>
      <c r="F62" s="111" t="s">
        <v>2275</v>
      </c>
      <c r="G62" s="53" t="s">
        <v>2157</v>
      </c>
      <c r="H62" s="24" t="s">
        <v>1825</v>
      </c>
      <c r="I62" s="24" t="b">
        <v>1</v>
      </c>
      <c r="K62" s="24" t="b">
        <v>1</v>
      </c>
      <c r="L62" s="101" t="s">
        <v>2172</v>
      </c>
      <c r="Y62" s="15" t="s">
        <v>2133</v>
      </c>
      <c r="Z62" s="15" t="s">
        <v>2129</v>
      </c>
      <c r="AA62" s="15" t="s">
        <v>1424</v>
      </c>
      <c r="AR62" s="154" t="b">
        <f>IF(OR(A62="Done",A62="In Progress"),TRUE)</f>
        <v>1</v>
      </c>
      <c r="AS62" s="155" t="str">
        <f>"title: """&amp;F62&amp;""""</f>
        <v>title: "Convento de Santa Teresa, Valladolid"</v>
      </c>
      <c r="AT62" s="155" t="str">
        <f>"location: {lat: "&amp;D62&amp;", lng: "&amp;E62&amp;"}"</f>
        <v>location: {lat: 41.6598863777792, lng: -4.72687771534462}</v>
      </c>
      <c r="AU62" s="155" t="str">
        <f>"interest: "&amp;H62</f>
        <v>interest: local</v>
      </c>
      <c r="AV62" s="155" t="str">
        <f>"- "&amp;VLOOKUP(B62,'(Ref) Countries'!A:C,3,)</f>
        <v>- spain</v>
      </c>
      <c r="AW62" s="155" t="str">
        <f>IF(LEN(C62)&gt;1,"- "&amp;LOWER(SUBSTITUTE(C62," ","-")),"")</f>
        <v>- valladolid</v>
      </c>
      <c r="AX62" s="155" t="str">
        <f>IF(I62,"- churches","")</f>
        <v>- churches</v>
      </c>
      <c r="AY62" s="155" t="str">
        <f>IF(J62,"- marian-sites","")</f>
        <v/>
      </c>
      <c r="AZ62" s="155" t="str">
        <f>IF(K62,"- holy-persons","")</f>
        <v>- holy-persons</v>
      </c>
      <c r="BA62" s="155" t="str">
        <f>IF(LEN(Y62)&gt;0,"- "&amp;Y62,"")</f>
        <v>- teresa-avila</v>
      </c>
      <c r="BB62" s="155" t="str">
        <f>IF(LEN(Z62)&gt;0,"- "&amp;Z62,"")</f>
        <v>- discalced-carmelites</v>
      </c>
      <c r="BC62" s="155" t="str">
        <f>IF(LEN(AA62)&gt;0,"- "&amp;AA62,"")</f>
        <v>- communities</v>
      </c>
      <c r="BD62" s="155" t="str">
        <f>IF(LEN(AB62)&gt;0,"- "&amp;AB62,"")</f>
        <v/>
      </c>
      <c r="BE62" s="155" t="str">
        <f>IF(LEN(AC62)&gt;0,"- "&amp;AC62,"")</f>
        <v/>
      </c>
      <c r="BF62" s="155" t="str">
        <f>IF(LEN(AD62)&gt;0,"- "&amp;AD62,"")</f>
        <v/>
      </c>
      <c r="BG62" s="155" t="str">
        <f>IF(LEN(AE62)&gt;0,"- "&amp;AE62,"")</f>
        <v/>
      </c>
      <c r="BH62" s="155" t="str">
        <f>IF(LEN(AF62)&gt;0,"- "&amp;AF62,"")</f>
        <v/>
      </c>
      <c r="BI62" s="155" t="str">
        <f>IF(LEN(AG62)&gt;0,"- "&amp;AG62,"")</f>
        <v/>
      </c>
      <c r="BJ62" s="155" t="str">
        <f>IF(LEN(AH62)&gt;0,"- "&amp;AH62,"")</f>
        <v/>
      </c>
      <c r="BK62" s="155" t="str">
        <f>"tags:"&amp;CHAR(10)&amp;concatl(AV62:BJ62)</f>
        <v xml:space="preserve">tags:
- spain_x000D_
- valladolid_x000D_
- churches_x000D_
- holy-persons_x000D_
- teresa-avila_x000D_
- discalced-carmelites_x000D_
- communities_x000D_
</v>
      </c>
      <c r="BL62" s="155" t="str">
        <f>IF(LEN(N62)&gt;0,TRIM(CONCATENATE("[Official site](",N62,") ",O62)),"")</f>
        <v/>
      </c>
      <c r="BM62" s="155" t="str">
        <f>IF(LEN(Q62)&gt;0,TRIM(CONCATENATE("["&amp;P62&amp;"](",Q62,") ",R62)),"")</f>
        <v/>
      </c>
      <c r="BN62" s="155" t="str">
        <f>IF(LEN(T62)&gt;0,TRIM(CONCATENATE("["&amp;S62&amp;"](",T62,") ",U62)),"")</f>
        <v/>
      </c>
      <c r="BO62" s="155" t="str">
        <f>IF(LEN(W62)&gt;0,TRIM(CONCATENATE("["&amp;V62&amp;"](",W62,") ",X62)),"")</f>
        <v/>
      </c>
      <c r="BP62" s="155" t="str">
        <f>IF(LEN(BL62)&gt;0,"* "&amp;BL62&amp;CHAR(10),"")&amp;
IF(LEN(BM62)&gt;0,"* "&amp;BM62&amp;CHAR(10),"")&amp;
IF(LEN(BN62)&gt;0,"* "&amp;BN62&amp;CHAR(10),"")&amp;
IF(LEN(BO62)&gt;0,"* "&amp;BO62&amp;CHAR(10),"")</f>
        <v/>
      </c>
      <c r="BQ62" s="155" t="str">
        <f>IF(LEN(AK62)&gt;0,TRIM(CONCATENATE("[Link](",AK62,") ",AL62)),"")</f>
        <v/>
      </c>
      <c r="BR62" s="155" t="str">
        <f>IF(LEN(AM62)&gt;0,TRIM(CONCATENATE("[Link](",AM62,") ",AN62)),"")</f>
        <v/>
      </c>
      <c r="BS62" s="155" t="str">
        <f>IF(LEN(AO62)&gt;0,TRIM(CONCATENATE("[Link](",AO62,") ",AP62)),"")</f>
        <v/>
      </c>
      <c r="BT62" s="155" t="str">
        <f>IF(LEN(concat(BQ62:BS62))&gt;0,concat("| ",BQ62," | ",BR62," | ",BS62," |"),"")</f>
        <v/>
      </c>
      <c r="BU62" s="155" t="str">
        <f>IF(J62,concatl("| The Real Presence | Miracle Hunter | MaryPages |","| --- | --- | --- |",BT62),"")</f>
        <v/>
      </c>
      <c r="BV62" s="155" t="str">
        <f>IF(LEN(BP62&amp;BU62)&gt;0,concatll("#### More Information",BP62,BU62),"")</f>
        <v/>
      </c>
      <c r="BW62" s="155" t="str">
        <f>IF(LEN(M62)&gt;1,concatll("#### Author's Note",M62),"")</f>
        <v/>
      </c>
      <c r="BX62" s="23" t="str">
        <f>IF(AR62,concatll(concatl("---",AS62:AU62,BK62,"---"),L62,BV62:BW62),"")</f>
        <v xml:space="preserve">---_x000D_
title: "Convento de Santa Teresa, Valladolid"_x000D_
location: {lat: 41.6598863777792, lng: -4.72687771534462}_x000D_
interest: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62" s="23" t="str">
        <f>IF(AR62,VLOOKUP(B62,'(Ref) Countries'!A:B,2,)&amp;IF(LEN(C62)&gt;1,"-"&amp;LOWER(SUBSTITUTE(C62," ","-")),"")&amp;"-"&amp;LOWER(SUBSTITUTE(SUBSTITUTE(G62," ","-"),".",""))&amp;".md","")</f>
        <v>es-valladolid-convento-de-santa-teresa.md</v>
      </c>
      <c r="BZ62" s="29" t="str">
        <f>IF(LEN(Y62)&gt;1,VLOOKUP(Y62,'Tag List'!$A:$B,2,),"")</f>
        <v>St. Teresa of Avila, OCD</v>
      </c>
      <c r="CA62" s="29" t="str">
        <f>IF(LEN(Z62)&gt;1,VLOOKUP(Z62,'Tag List'!$A:$B,2,),"")</f>
        <v>Discalced Carmelites (Order of Discalced Carmelites)</v>
      </c>
      <c r="CB62" s="29" t="str">
        <f>IF(LEN(AA62)&gt;1,VLOOKUP(AA62,'Tag List'!$A:$B,2,),"")</f>
        <v>Religious Communities</v>
      </c>
      <c r="CC62" s="29" t="str">
        <f>IF(LEN(Y62)&gt;1,GetTagPage(BZ62,Y62),"")</f>
        <v>[St. Teresa of Avila, OCD](/tags/teresa-avila)</v>
      </c>
      <c r="CD62" s="29" t="str">
        <f>IF(LEN(Z62)&gt;1,GetTagPage(CA62,Z62),"")</f>
        <v>[Discalced Carmelites (Order of Discalced Carmelites)](/tags/discalced-carmelites)</v>
      </c>
      <c r="CE62" s="29" t="str">
        <f>IF(LEN(AA62)&gt;1,GetTagPage(CB62,AA62),"")</f>
        <v>[Religious Communities](/tags/communities)</v>
      </c>
      <c r="CF62" s="29" t="str">
        <f>"|"&amp;IF(LEN(CC62)&gt;1," "&amp;CC62,"")&amp;IF(LEN(CD62)&gt;1,", "&amp;CD62,"")&amp;IF(LEN(CE62)&gt;1,", "&amp;CE62,"")&amp;" "</f>
        <v xml:space="preserve">| [St. Teresa of Avila, OCD](/tags/teresa-avila), [Discalced Carmelites (Order of Discalced Carmelites)](/tags/discalced-carmelites), [Religious Communities](/tags/communities) </v>
      </c>
      <c r="CG62" s="29" t="str">
        <f>"| "&amp;IF(AR62,"["&amp;AI62&amp;"](/places/"&amp;SUBSTITUTE(BY62,".md","")&amp;")",AI62)&amp;" "</f>
        <v xml:space="preserve">| [](/places/es-valladolid-convento-de-santa-teresa) </v>
      </c>
      <c r="CH62" s="29" t="str">
        <f>"| "&amp;IF(AR62,GetTagPage(B62,VLOOKUP(B62,'(Ref) Countries'!A:C,3,)),B62)&amp; " "</f>
        <v xml:space="preserve">| [Spain](/tags/spain) </v>
      </c>
      <c r="CI62" s="29" t="str">
        <f>"| "&amp;AJ62&amp;" "</f>
        <v xml:space="preserve">|  </v>
      </c>
      <c r="CJ62" s="29" t="str">
        <f>"|"&amp;IF(AR62," [Link](/places/"&amp;SUBSTITUTE(BY62,".md","")&amp;")","")&amp;" "</f>
        <v xml:space="preserve">| [Link](/places/es-valladolid-convento-de-santa-teresa) </v>
      </c>
      <c r="CK62" s="29" t="str">
        <f>"
"&amp;CG62&amp;CH62&amp;CI62&amp;CJ62&amp;BL62&amp;BQ62&amp;BR62&amp;BS62&amp;CF62&amp;"|"</f>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63" spans="1:90" x14ac:dyDescent="0.25">
      <c r="A63" s="168" t="s">
        <v>1320</v>
      </c>
      <c r="B63" s="24" t="s">
        <v>552</v>
      </c>
      <c r="C63" s="101" t="s">
        <v>2161</v>
      </c>
      <c r="D63" s="15">
        <v>39.860357499451801</v>
      </c>
      <c r="E63" s="49">
        <v>-4.0247343354961798</v>
      </c>
      <c r="F63" s="101" t="s">
        <v>2162</v>
      </c>
      <c r="G63" s="53" t="s">
        <v>2138</v>
      </c>
      <c r="H63" s="24" t="s">
        <v>1825</v>
      </c>
      <c r="I63" s="24" t="b">
        <v>1</v>
      </c>
      <c r="K63" s="24" t="b">
        <v>1</v>
      </c>
      <c r="L63" s="101" t="s">
        <v>2173</v>
      </c>
      <c r="Y63" s="15" t="s">
        <v>2133</v>
      </c>
      <c r="Z63" s="15" t="s">
        <v>2129</v>
      </c>
      <c r="AA63" s="15" t="s">
        <v>1424</v>
      </c>
      <c r="AR63" s="154" t="b">
        <f>IF(OR(A63="Done",A63="In Progress"),TRUE)</f>
        <v>1</v>
      </c>
      <c r="AS63" s="155" t="str">
        <f>"title: """&amp;F63&amp;""""</f>
        <v>title: "Convento de San Jose, Toledo"</v>
      </c>
      <c r="AT63" s="155" t="str">
        <f>"location: {lat: "&amp;D63&amp;", lng: "&amp;E63&amp;"}"</f>
        <v>location: {lat: 39.8603574994518, lng: -4.02473433549618}</v>
      </c>
      <c r="AU63" s="155" t="str">
        <f>"interest: "&amp;H63</f>
        <v>interest: local</v>
      </c>
      <c r="AV63" s="155" t="str">
        <f>"- "&amp;VLOOKUP(B63,'(Ref) Countries'!A:C,3,)</f>
        <v>- spain</v>
      </c>
      <c r="AW63" s="155" t="str">
        <f>IF(LEN(C63)&gt;1,"- "&amp;LOWER(SUBSTITUTE(C63," ","-")),"")</f>
        <v>- toledo</v>
      </c>
      <c r="AX63" s="155" t="str">
        <f>IF(I63,"- churches","")</f>
        <v>- churches</v>
      </c>
      <c r="AY63" s="155" t="str">
        <f>IF(J63,"- marian-sites","")</f>
        <v/>
      </c>
      <c r="AZ63" s="155" t="str">
        <f>IF(K63,"- holy-persons","")</f>
        <v>- holy-persons</v>
      </c>
      <c r="BA63" s="155" t="str">
        <f>IF(LEN(Y63)&gt;0,"- "&amp;Y63,"")</f>
        <v>- teresa-avila</v>
      </c>
      <c r="BB63" s="155" t="str">
        <f>IF(LEN(Z63)&gt;0,"- "&amp;Z63,"")</f>
        <v>- discalced-carmelites</v>
      </c>
      <c r="BC63" s="155" t="str">
        <f>IF(LEN(AA63)&gt;0,"- "&amp;AA63,"")</f>
        <v>- communities</v>
      </c>
      <c r="BD63" s="155" t="str">
        <f>IF(LEN(AB63)&gt;0,"- "&amp;AB63,"")</f>
        <v/>
      </c>
      <c r="BE63" s="155" t="str">
        <f>IF(LEN(AC63)&gt;0,"- "&amp;AC63,"")</f>
        <v/>
      </c>
      <c r="BF63" s="155" t="str">
        <f>IF(LEN(AD63)&gt;0,"- "&amp;AD63,"")</f>
        <v/>
      </c>
      <c r="BG63" s="155" t="str">
        <f>IF(LEN(AE63)&gt;0,"- "&amp;AE63,"")</f>
        <v/>
      </c>
      <c r="BH63" s="155" t="str">
        <f>IF(LEN(AF63)&gt;0,"- "&amp;AF63,"")</f>
        <v/>
      </c>
      <c r="BI63" s="155" t="str">
        <f>IF(LEN(AG63)&gt;0,"- "&amp;AG63,"")</f>
        <v/>
      </c>
      <c r="BJ63" s="155" t="str">
        <f>IF(LEN(AH63)&gt;0,"- "&amp;AH63,"")</f>
        <v/>
      </c>
      <c r="BK63" s="155" t="str">
        <f>"tags:"&amp;CHAR(10)&amp;concatl(AV63:BJ63)</f>
        <v xml:space="preserve">tags:
- spain_x000D_
- toledo_x000D_
- churches_x000D_
- holy-persons_x000D_
- teresa-avila_x000D_
- discalced-carmelites_x000D_
- communities_x000D_
</v>
      </c>
      <c r="BL63" s="155" t="str">
        <f>IF(LEN(N63)&gt;0,TRIM(CONCATENATE("[Official site](",N63,") ",O63)),"")</f>
        <v/>
      </c>
      <c r="BM63" s="155" t="str">
        <f>IF(LEN(Q63)&gt;0,TRIM(CONCATENATE("["&amp;P63&amp;"](",Q63,") ",R63)),"")</f>
        <v/>
      </c>
      <c r="BN63" s="155" t="str">
        <f>IF(LEN(T63)&gt;0,TRIM(CONCATENATE("["&amp;S63&amp;"](",T63,") ",U63)),"")</f>
        <v/>
      </c>
      <c r="BO63" s="155" t="str">
        <f>IF(LEN(W63)&gt;0,TRIM(CONCATENATE("["&amp;V63&amp;"](",W63,") ",X63)),"")</f>
        <v/>
      </c>
      <c r="BP63" s="155" t="str">
        <f>IF(LEN(BL63)&gt;0,"* "&amp;BL63&amp;CHAR(10),"")&amp;
IF(LEN(BM63)&gt;0,"* "&amp;BM63&amp;CHAR(10),"")&amp;
IF(LEN(BN63)&gt;0,"* "&amp;BN63&amp;CHAR(10),"")&amp;
IF(LEN(BO63)&gt;0,"* "&amp;BO63&amp;CHAR(10),"")</f>
        <v/>
      </c>
      <c r="BQ63" s="155" t="str">
        <f>IF(LEN(AK63)&gt;0,TRIM(CONCATENATE("[Link](",AK63,") ",AL63)),"")</f>
        <v/>
      </c>
      <c r="BR63" s="155" t="str">
        <f>IF(LEN(AM63)&gt;0,TRIM(CONCATENATE("[Link](",AM63,") ",AN63)),"")</f>
        <v/>
      </c>
      <c r="BS63" s="155" t="str">
        <f>IF(LEN(AO63)&gt;0,TRIM(CONCATENATE("[Link](",AO63,") ",AP63)),"")</f>
        <v/>
      </c>
      <c r="BT63" s="155" t="str">
        <f>IF(LEN(concat(BQ63:BS63))&gt;0,concat("| ",BQ63," | ",BR63," | ",BS63," |"),"")</f>
        <v/>
      </c>
      <c r="BU63" s="155" t="str">
        <f>IF(J63,concatl("| The Real Presence | Miracle Hunter | MaryPages |","| --- | --- | --- |",BT63),"")</f>
        <v/>
      </c>
      <c r="BV63" s="155" t="str">
        <f>IF(LEN(BP63&amp;BU63)&gt;0,concatll("#### More Information",BP63,BU63),"")</f>
        <v/>
      </c>
      <c r="BW63" s="155" t="str">
        <f>IF(LEN(M63)&gt;1,concatll("#### Author's Note",M63),"")</f>
        <v/>
      </c>
      <c r="BX63" s="23" t="str">
        <f>IF(AR63,concatll(concatl("---",AS63:AU63,BK63,"---"),L63,BV63:BW63),"")</f>
        <v xml:space="preserve">---_x000D_
title: "Convento de San Jose, Toledo"_x000D_
location: {lat: 39.8603574994518, lng: -4.02473433549618}_x000D_
interest: local_x000D_
tags:
- spain_x000D_
- toledo_x000D_
- churches_x000D_
- holy-persons_x000D_
- teresa-avila_x000D_
- discalced-carmelites_x000D_
- communities_x000D_
_x000D_
---_x000D_
_x000D_
_x000D_
The fifth of 17 communities founded by St. Teresa of Avila, in 1569._x000D_
_x000D_
</v>
      </c>
      <c r="BY63" s="23" t="str">
        <f>IF(AR63,VLOOKUP(B63,'(Ref) Countries'!A:B,2,)&amp;IF(LEN(C63)&gt;1,"-"&amp;LOWER(SUBSTITUTE(C63," ","-")),"")&amp;"-"&amp;LOWER(SUBSTITUTE(SUBSTITUTE(G63," ","-"),".",""))&amp;".md","")</f>
        <v>es-toledo-convento-de-san-jose.md</v>
      </c>
      <c r="BZ63" s="29" t="str">
        <f>IF(LEN(Y63)&gt;1,VLOOKUP(Y63,'Tag List'!$A:$B,2,),"")</f>
        <v>St. Teresa of Avila, OCD</v>
      </c>
      <c r="CA63" s="29" t="str">
        <f>IF(LEN(Z63)&gt;1,VLOOKUP(Z63,'Tag List'!$A:$B,2,),"")</f>
        <v>Discalced Carmelites (Order of Discalced Carmelites)</v>
      </c>
      <c r="CB63" s="29" t="str">
        <f>IF(LEN(AA63)&gt;1,VLOOKUP(AA63,'Tag List'!$A:$B,2,),"")</f>
        <v>Religious Communities</v>
      </c>
      <c r="CC63" s="29" t="str">
        <f>IF(LEN(Y63)&gt;1,GetTagPage(BZ63,Y63),"")</f>
        <v>[St. Teresa of Avila, OCD](/tags/teresa-avila)</v>
      </c>
      <c r="CD63" s="29" t="str">
        <f>IF(LEN(Z63)&gt;1,GetTagPage(CA63,Z63),"")</f>
        <v>[Discalced Carmelites (Order of Discalced Carmelites)](/tags/discalced-carmelites)</v>
      </c>
      <c r="CE63" s="29" t="str">
        <f>IF(LEN(AA63)&gt;1,GetTagPage(CB63,AA63),"")</f>
        <v>[Religious Communities](/tags/communities)</v>
      </c>
      <c r="CF63" s="29" t="str">
        <f>"|"&amp;IF(LEN(CC63)&gt;1," "&amp;CC63,"")&amp;IF(LEN(CD63)&gt;1,", "&amp;CD63,"")&amp;IF(LEN(CE63)&gt;1,", "&amp;CE63,"")&amp;" "</f>
        <v xml:space="preserve">| [St. Teresa of Avila, OCD](/tags/teresa-avila), [Discalced Carmelites (Order of Discalced Carmelites)](/tags/discalced-carmelites), [Religious Communities](/tags/communities) </v>
      </c>
      <c r="CG63" s="29" t="str">
        <f>"| "&amp;IF(AR63,"["&amp;AI63&amp;"](/places/"&amp;SUBSTITUTE(BY63,".md","")&amp;")",AI63)&amp;" "</f>
        <v xml:space="preserve">| [](/places/es-toledo-convento-de-san-jose) </v>
      </c>
      <c r="CH63" s="29" t="str">
        <f>"| "&amp;IF(AR63,GetTagPage(B63,VLOOKUP(B63,'(Ref) Countries'!A:C,3,)),B63)&amp; " "</f>
        <v xml:space="preserve">| [Spain](/tags/spain) </v>
      </c>
      <c r="CI63" s="29" t="str">
        <f>"| "&amp;AJ63&amp;" "</f>
        <v xml:space="preserve">|  </v>
      </c>
      <c r="CJ63" s="29" t="str">
        <f>"|"&amp;IF(AR63," [Link](/places/"&amp;SUBSTITUTE(BY63,".md","")&amp;")","")&amp;" "</f>
        <v xml:space="preserve">| [Link](/places/es-toledo-convento-de-san-jose) </v>
      </c>
      <c r="CK63" s="29" t="str">
        <f>"
"&amp;CG63&amp;CH63&amp;CI63&amp;CJ63&amp;BL63&amp;BQ63&amp;BR63&amp;BS63&amp;CF63&amp;"|"</f>
        <v xml:space="preserve">
| [](/places/es-toledo-convento-de-san-jose) | [Spain](/tags/spain) |  | [Link](/places/es-toledo-convento-de-san-jose) | [St. Teresa of Avila, OCD](/tags/teresa-avila), [Discalced Carmelites (Order of Discalced Carmelites)](/tags/discalced-carmelites), [Religious Communities](/tags/communities) |</v>
      </c>
    </row>
    <row r="64" spans="1:90" ht="89.25" x14ac:dyDescent="0.25">
      <c r="A64" s="168" t="s">
        <v>1320</v>
      </c>
      <c r="B64" s="24" t="s">
        <v>552</v>
      </c>
      <c r="C64" s="101" t="s">
        <v>2165</v>
      </c>
      <c r="D64" s="15">
        <v>40.405087686540597</v>
      </c>
      <c r="E64" s="49">
        <v>-2.9172532935268598</v>
      </c>
      <c r="F64" s="101" t="s">
        <v>2164</v>
      </c>
      <c r="G64" s="103" t="s">
        <v>2163</v>
      </c>
      <c r="H64" s="24" t="s">
        <v>1825</v>
      </c>
      <c r="I64" s="24" t="b">
        <v>1</v>
      </c>
      <c r="K64" s="24" t="b">
        <v>1</v>
      </c>
      <c r="L64" s="101" t="s">
        <v>2267</v>
      </c>
      <c r="P64" s="106" t="s">
        <v>2168</v>
      </c>
      <c r="Q64" s="15" t="s">
        <v>2169</v>
      </c>
      <c r="R64" s="107" t="s">
        <v>336</v>
      </c>
      <c r="Y64" s="15" t="s">
        <v>2133</v>
      </c>
      <c r="Z64" s="102" t="s">
        <v>2129</v>
      </c>
      <c r="AA64" s="15" t="s">
        <v>1424</v>
      </c>
      <c r="AB64" s="15" t="s">
        <v>2166</v>
      </c>
      <c r="AC64" s="102" t="s">
        <v>2132</v>
      </c>
      <c r="AR64" s="154" t="b">
        <f>IF(OR(A64="Done",A64="In Progress"),TRUE)</f>
        <v>1</v>
      </c>
      <c r="AS64" s="155" t="str">
        <f>"title: """&amp;F64&amp;""""</f>
        <v>title: "Convento del Carmen, Pastrana"</v>
      </c>
      <c r="AT64" s="155" t="str">
        <f>"location: {lat: "&amp;D64&amp;", lng: "&amp;E64&amp;"}"</f>
        <v>location: {lat: 40.4050876865406, lng: -2.91725329352686}</v>
      </c>
      <c r="AU64" s="155" t="str">
        <f>"interest: "&amp;H64</f>
        <v>interest: local</v>
      </c>
      <c r="AV64" s="155" t="str">
        <f>"- "&amp;VLOOKUP(B64,'(Ref) Countries'!A:C,3,)</f>
        <v>- spain</v>
      </c>
      <c r="AW64" s="155" t="str">
        <f>IF(LEN(C64)&gt;1,"- "&amp;LOWER(SUBSTITUTE(C64," ","-")),"")</f>
        <v>- pastrana</v>
      </c>
      <c r="AX64" s="155" t="str">
        <f>IF(I64,"- churches","")</f>
        <v>- churches</v>
      </c>
      <c r="AY64" s="155" t="str">
        <f>IF(J64,"- marian-sites","")</f>
        <v/>
      </c>
      <c r="AZ64" s="155" t="str">
        <f>IF(K64,"- holy-persons","")</f>
        <v>- holy-persons</v>
      </c>
      <c r="BA64" s="155" t="str">
        <f>IF(LEN(Y64)&gt;0,"- "&amp;Y64,"")</f>
        <v>- teresa-avila</v>
      </c>
      <c r="BB64" s="155" t="str">
        <f>IF(LEN(Z64)&gt;0,"- "&amp;Z64,"")</f>
        <v>- discalced-carmelites</v>
      </c>
      <c r="BC64" s="155" t="str">
        <f>IF(LEN(AA64)&gt;0,"- "&amp;AA64,"")</f>
        <v>- communities</v>
      </c>
      <c r="BD64" s="155" t="str">
        <f>IF(LEN(AB64)&gt;0,"- "&amp;AB64,"")</f>
        <v>- conceptionists</v>
      </c>
      <c r="BE64" s="155" t="str">
        <f>IF(LEN(AC64)&gt;0,"- "&amp;AC64,"")</f>
        <v>- john-cross</v>
      </c>
      <c r="BF64" s="155" t="str">
        <f>IF(LEN(AD64)&gt;0,"- "&amp;AD64,"")</f>
        <v/>
      </c>
      <c r="BG64" s="155" t="str">
        <f>IF(LEN(AE64)&gt;0,"- "&amp;AE64,"")</f>
        <v/>
      </c>
      <c r="BH64" s="155" t="str">
        <f>IF(LEN(AF64)&gt;0,"- "&amp;AF64,"")</f>
        <v/>
      </c>
      <c r="BI64" s="155" t="str">
        <f>IF(LEN(AG64)&gt;0,"- "&amp;AG64,"")</f>
        <v/>
      </c>
      <c r="BJ64" s="155" t="str">
        <f>IF(LEN(AH64)&gt;0,"- "&amp;AH64,"")</f>
        <v/>
      </c>
      <c r="BK64" s="155" t="str">
        <f>"tags:"&amp;CHAR(10)&amp;concatl(AV64:BJ64)</f>
        <v xml:space="preserve">tags:
- spain_x000D_
- pastrana_x000D_
- churches_x000D_
- holy-persons_x000D_
- teresa-avila_x000D_
- discalced-carmelites_x000D_
- communities_x000D_
- conceptionists_x000D_
- john-cross_x000D_
</v>
      </c>
      <c r="BL64" s="155" t="str">
        <f>IF(LEN(N64)&gt;0,TRIM(CONCATENATE("[Official site](",N64,") ",O64)),"")</f>
        <v/>
      </c>
      <c r="BM64" s="155" t="str">
        <f>IF(LEN(Q64)&gt;0,TRIM(CONCATENATE("["&amp;P64&amp;"](",Q64,") ",R64)),"")</f>
        <v>[Pastrana tourism site](https://turismo.pastrana.org/destino-pastrana/monumentos-pastrana-visitas-culturales/convento-del-carmen/)</v>
      </c>
      <c r="BN64" s="155" t="str">
        <f>IF(LEN(T64)&gt;0,TRIM(CONCATENATE("["&amp;S64&amp;"](",T64,") ",U64)),"")</f>
        <v/>
      </c>
      <c r="BO64" s="155" t="str">
        <f>IF(LEN(W64)&gt;0,TRIM(CONCATENATE("["&amp;V64&amp;"](",W64,") ",X64)),"")</f>
        <v/>
      </c>
      <c r="BP64" s="155" t="str">
        <f>IF(LEN(BL64)&gt;0,"* "&amp;BL64&amp;CHAR(10),"")&amp;
IF(LEN(BM64)&gt;0,"* "&amp;BM64&amp;CHAR(10),"")&amp;
IF(LEN(BN64)&gt;0,"* "&amp;BN64&amp;CHAR(10),"")&amp;
IF(LEN(BO64)&gt;0,"* "&amp;BO64&amp;CHAR(10),"")</f>
        <v xml:space="preserve">* [Pastrana tourism site](https://turismo.pastrana.org/destino-pastrana/monumentos-pastrana-visitas-culturales/convento-del-carmen/)
</v>
      </c>
      <c r="BQ64" s="155" t="str">
        <f>IF(LEN(AK64)&gt;0,TRIM(CONCATENATE("[Link](",AK64,") ",AL64)),"")</f>
        <v/>
      </c>
      <c r="BR64" s="155" t="str">
        <f>IF(LEN(AM64)&gt;0,TRIM(CONCATENATE("[Link](",AM64,") ",AN64)),"")</f>
        <v/>
      </c>
      <c r="BS64" s="155" t="str">
        <f>IF(LEN(AO64)&gt;0,TRIM(CONCATENATE("[Link](",AO64,") ",AP64)),"")</f>
        <v/>
      </c>
      <c r="BT64" s="155" t="str">
        <f>IF(LEN(concat(BQ64:BS64))&gt;0,concat("| ",BQ64," | ",BR64," | ",BS64," |"),"")</f>
        <v/>
      </c>
      <c r="BU64" s="155" t="str">
        <f>IF(J64,concatl("| The Real Presence | Miracle Hunter | MaryPages |","| --- | --- | --- |",BT64),"")</f>
        <v/>
      </c>
      <c r="BV64" s="155" t="str">
        <f>IF(LEN(BP64&amp;BU64)&gt;0,concatll("#### More Information",BP64,BU64),"")</f>
        <v xml:space="preserve">#### More Information_x000D_
_x000D_
* [Pastrana tourism site](https://turismo.pastrana.org/destino-pastrana/monumentos-pastrana-visitas-culturales/convento-del-carmen/)
_x000D_
_x000D_
</v>
      </c>
      <c r="BW64" s="155" t="str">
        <f>IF(LEN(M64)&gt;1,concatll("#### Author's Note",M64),"")</f>
        <v/>
      </c>
      <c r="BX64" s="23" t="str">
        <f>IF(AR64,concatll(concatl("---",AS64:AU64,BK64,"---"),L64,BV64:BW64),"")</f>
        <v xml:space="preserve">---_x000D_
title: "Convento del Carmen, Pastrana"_x000D_
location: {lat: 40.4050876865406, lng: -2.91725329352686}_x000D_
interest: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64" s="23" t="str">
        <f>IF(AR64,VLOOKUP(B64,'(Ref) Countries'!A:B,2,)&amp;IF(LEN(C64)&gt;1,"-"&amp;LOWER(SUBSTITUTE(C64," ","-")),"")&amp;"-"&amp;LOWER(SUBSTITUTE(SUBSTITUTE(G64," ","-"),".",""))&amp;".md","")</f>
        <v>es-pastrana-convento-del-carmen.md</v>
      </c>
      <c r="BZ64" s="29" t="str">
        <f>IF(LEN(Y64)&gt;1,VLOOKUP(Y64,'Tag List'!$A:$B,2,),"")</f>
        <v>St. Teresa of Avila, OCD</v>
      </c>
      <c r="CA64" s="29" t="str">
        <f>IF(LEN(Z64)&gt;1,VLOOKUP(Z64,'Tag List'!$A:$B,2,),"")</f>
        <v>Discalced Carmelites (Order of Discalced Carmelites)</v>
      </c>
      <c r="CB64" s="29" t="str">
        <f>IF(LEN(AA64)&gt;1,VLOOKUP(AA64,'Tag List'!$A:$B,2,),"")</f>
        <v>Religious Communities</v>
      </c>
      <c r="CC64" s="29" t="str">
        <f>IF(LEN(Y64)&gt;1,GetTagPage(BZ64,Y64),"")</f>
        <v>[St. Teresa of Avila, OCD](/tags/teresa-avila)</v>
      </c>
      <c r="CD64" s="29" t="str">
        <f>IF(LEN(Z64)&gt;1,GetTagPage(CA64,Z64),"")</f>
        <v>[Discalced Carmelites (Order of Discalced Carmelites)](/tags/discalced-carmelites)</v>
      </c>
      <c r="CE64" s="29" t="str">
        <f>IF(LEN(AA64)&gt;1,GetTagPage(CB64,AA64),"")</f>
        <v>[Religious Communities](/tags/communities)</v>
      </c>
      <c r="CF64" s="29" t="str">
        <f>"|"&amp;IF(LEN(CC64)&gt;1," "&amp;CC64,"")&amp;IF(LEN(CD64)&gt;1,", "&amp;CD64,"")&amp;IF(LEN(CE64)&gt;1,", "&amp;CE64,"")&amp;" "</f>
        <v xml:space="preserve">| [St. Teresa of Avila, OCD](/tags/teresa-avila), [Discalced Carmelites (Order of Discalced Carmelites)](/tags/discalced-carmelites), [Religious Communities](/tags/communities) </v>
      </c>
      <c r="CG64" s="29" t="str">
        <f>"| "&amp;IF(AR64,"["&amp;AI64&amp;"](/places/"&amp;SUBSTITUTE(BY64,".md","")&amp;")",AI64)&amp;" "</f>
        <v xml:space="preserve">| [](/places/es-pastrana-convento-del-carmen) </v>
      </c>
      <c r="CH64" s="29" t="str">
        <f>"| "&amp;IF(AR64,GetTagPage(B64,VLOOKUP(B64,'(Ref) Countries'!A:C,3,)),B64)&amp; " "</f>
        <v xml:space="preserve">| [Spain](/tags/spain) </v>
      </c>
      <c r="CI64" s="29" t="str">
        <f>"| "&amp;AJ64&amp;" "</f>
        <v xml:space="preserve">|  </v>
      </c>
      <c r="CJ64" s="29" t="str">
        <f>"|"&amp;IF(AR64," [Link](/places/"&amp;SUBSTITUTE(BY64,".md","")&amp;")","")&amp;" "</f>
        <v xml:space="preserve">| [Link](/places/es-pastrana-convento-del-carmen) </v>
      </c>
      <c r="CK64" s="29" t="str">
        <f>"
"&amp;CG64&amp;CH64&amp;CI64&amp;CJ64&amp;BL64&amp;BQ64&amp;BR64&amp;BS64&amp;CF64&amp;"|"</f>
        <v xml:space="preserve">
| [](/places/es-pastrana-convento-del-carmen) | [Spain](/tags/spain) |  | [Link](/places/es-pastrana-convento-del-carmen) | [St. Teresa of Avila, OCD](/tags/teresa-avila), [Discalced Carmelites (Order of Discalced Carmelites)](/tags/discalced-carmelites), [Religious Communities](/tags/communities) |</v>
      </c>
    </row>
    <row r="65" spans="1:89" ht="89.25" x14ac:dyDescent="0.25">
      <c r="A65" s="168" t="s">
        <v>1320</v>
      </c>
      <c r="B65" s="24" t="s">
        <v>552</v>
      </c>
      <c r="C65" s="101"/>
      <c r="D65" s="15">
        <v>40.461168474019402</v>
      </c>
      <c r="E65" s="49">
        <v>-6.1468564846553697</v>
      </c>
      <c r="F65" s="101" t="s">
        <v>2143</v>
      </c>
      <c r="G65" s="53" t="s">
        <v>2143</v>
      </c>
      <c r="H65" s="24" t="s">
        <v>1825</v>
      </c>
      <c r="I65" s="24" t="b">
        <v>1</v>
      </c>
      <c r="K65" s="24" t="b">
        <v>1</v>
      </c>
      <c r="L65" s="101" t="s">
        <v>2175</v>
      </c>
      <c r="N65" s="15" t="s">
        <v>2144</v>
      </c>
      <c r="O65" s="104" t="s">
        <v>336</v>
      </c>
      <c r="R65" s="64" t="s">
        <v>336</v>
      </c>
      <c r="Y65" s="15" t="s">
        <v>2133</v>
      </c>
      <c r="Z65" s="15" t="s">
        <v>2129</v>
      </c>
      <c r="AA65" s="15" t="s">
        <v>1424</v>
      </c>
      <c r="AR65" s="154" t="b">
        <f>IF(OR(A65="Done",A65="In Progress"),TRUE)</f>
        <v>1</v>
      </c>
      <c r="AS65" s="155" t="str">
        <f>"title: """&amp;F65&amp;""""</f>
        <v>title: "Monasterio de las Batuecas"</v>
      </c>
      <c r="AT65" s="155" t="str">
        <f>"location: {lat: "&amp;D65&amp;", lng: "&amp;E65&amp;"}"</f>
        <v>location: {lat: 40.4611684740194, lng: -6.14685648465537}</v>
      </c>
      <c r="AU65" s="155" t="str">
        <f>"interest: "&amp;H65</f>
        <v>interest: local</v>
      </c>
      <c r="AV65" s="155" t="str">
        <f>"- "&amp;VLOOKUP(B65,'(Ref) Countries'!A:C,3,)</f>
        <v>- spain</v>
      </c>
      <c r="AW65" s="155" t="str">
        <f>IF(LEN(C65)&gt;1,"- "&amp;LOWER(SUBSTITUTE(C65," ","-")),"")</f>
        <v/>
      </c>
      <c r="AX65" s="155" t="str">
        <f>IF(I65,"- churches","")</f>
        <v>- churches</v>
      </c>
      <c r="AY65" s="155" t="str">
        <f>IF(J65,"- marian-sites","")</f>
        <v/>
      </c>
      <c r="AZ65" s="155" t="str">
        <f>IF(K65,"- holy-persons","")</f>
        <v>- holy-persons</v>
      </c>
      <c r="BA65" s="155" t="str">
        <f>IF(LEN(Y65)&gt;0,"- "&amp;Y65,"")</f>
        <v>- teresa-avila</v>
      </c>
      <c r="BB65" s="155" t="str">
        <f>IF(LEN(Z65)&gt;0,"- "&amp;Z65,"")</f>
        <v>- discalced-carmelites</v>
      </c>
      <c r="BC65" s="155" t="str">
        <f>IF(LEN(AA65)&gt;0,"- "&amp;AA65,"")</f>
        <v>- communities</v>
      </c>
      <c r="BD65" s="155" t="str">
        <f>IF(LEN(AB65)&gt;0,"- "&amp;AB65,"")</f>
        <v/>
      </c>
      <c r="BE65" s="155" t="str">
        <f>IF(LEN(AC65)&gt;0,"- "&amp;AC65,"")</f>
        <v/>
      </c>
      <c r="BF65" s="155" t="str">
        <f>IF(LEN(AD65)&gt;0,"- "&amp;AD65,"")</f>
        <v/>
      </c>
      <c r="BG65" s="155" t="str">
        <f>IF(LEN(AE65)&gt;0,"- "&amp;AE65,"")</f>
        <v/>
      </c>
      <c r="BH65" s="155" t="str">
        <f>IF(LEN(AF65)&gt;0,"- "&amp;AF65,"")</f>
        <v/>
      </c>
      <c r="BI65" s="155" t="str">
        <f>IF(LEN(AG65)&gt;0,"- "&amp;AG65,"")</f>
        <v/>
      </c>
      <c r="BJ65" s="155" t="str">
        <f>IF(LEN(AH65)&gt;0,"- "&amp;AH65,"")</f>
        <v/>
      </c>
      <c r="BK65" s="155" t="str">
        <f>"tags:"&amp;CHAR(10)&amp;concatl(AV65:BJ65)</f>
        <v xml:space="preserve">tags:
- spain_x000D_
- churches_x000D_
- holy-persons_x000D_
- teresa-avila_x000D_
- discalced-carmelites_x000D_
- communities_x000D_
</v>
      </c>
      <c r="BL65" s="155" t="str">
        <f>IF(LEN(N65)&gt;0,TRIM(CONCATENATE("[Official site](",N65,") ",O65)),"")</f>
        <v>[Official site](https://monasteriodelasbatuecas.wordpress.com/)</v>
      </c>
      <c r="BM65" s="155" t="str">
        <f>IF(LEN(Q65)&gt;0,TRIM(CONCATENATE("["&amp;P65&amp;"](",Q65,") ",R65)),"")</f>
        <v/>
      </c>
      <c r="BN65" s="155" t="str">
        <f>IF(LEN(T65)&gt;0,TRIM(CONCATENATE("["&amp;S65&amp;"](",T65,") ",U65)),"")</f>
        <v/>
      </c>
      <c r="BO65" s="155" t="str">
        <f>IF(LEN(W65)&gt;0,TRIM(CONCATENATE("["&amp;V65&amp;"](",W65,") ",X65)),"")</f>
        <v/>
      </c>
      <c r="BP65" s="155" t="str">
        <f>IF(LEN(BL65)&gt;0,"* "&amp;BL65&amp;CHAR(10),"")&amp;
IF(LEN(BM65)&gt;0,"* "&amp;BM65&amp;CHAR(10),"")&amp;
IF(LEN(BN65)&gt;0,"* "&amp;BN65&amp;CHAR(10),"")&amp;
IF(LEN(BO65)&gt;0,"* "&amp;BO65&amp;CHAR(10),"")</f>
        <v xml:space="preserve">* [Official site](https://monasteriodelasbatuecas.wordpress.com/)
</v>
      </c>
      <c r="BQ65" s="155" t="str">
        <f>IF(LEN(AK65)&gt;0,TRIM(CONCATENATE("[Link](",AK65,") ",AL65)),"")</f>
        <v/>
      </c>
      <c r="BR65" s="155" t="str">
        <f>IF(LEN(AM65)&gt;0,TRIM(CONCATENATE("[Link](",AM65,") ",AN65)),"")</f>
        <v/>
      </c>
      <c r="BS65" s="155" t="str">
        <f>IF(LEN(AO65)&gt;0,TRIM(CONCATENATE("[Link](",AO65,") ",AP65)),"")</f>
        <v/>
      </c>
      <c r="BT65" s="155" t="str">
        <f>IF(LEN(concat(BQ65:BS65))&gt;0,concat("| ",BQ65," | ",BR65," | ",BS65," |"),"")</f>
        <v/>
      </c>
      <c r="BU65" s="155" t="str">
        <f>IF(J65,concatl("| The Real Presence | Miracle Hunter | MaryPages |","| --- | --- | --- |",BT65),"")</f>
        <v/>
      </c>
      <c r="BV65" s="155" t="str">
        <f>IF(LEN(BP65&amp;BU65)&gt;0,concatll("#### More Information",BP65,BU65),"")</f>
        <v xml:space="preserve">#### More Information_x000D_
_x000D_
* [Official site](https://monasteriodelasbatuecas.wordpress.com/)
_x000D_
_x000D_
</v>
      </c>
      <c r="BW65" s="155" t="str">
        <f>IF(LEN(M65)&gt;1,concatll("#### Author's Note",M65),"")</f>
        <v/>
      </c>
      <c r="BX65" s="23" t="str">
        <f>IF(AR65,concatll(concatl("---",AS65:AU65,BK65,"---"),L65,BV65:BW65),"")</f>
        <v xml:space="preserve">---_x000D_
title: "Monasterio de las Batuecas"_x000D_
location: {lat: 40.4611684740194, lng: -6.14685648465537}_x000D_
interest: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65" s="23" t="str">
        <f>IF(AR65,VLOOKUP(B65,'(Ref) Countries'!A:B,2,)&amp;IF(LEN(C65)&gt;1,"-"&amp;LOWER(SUBSTITUTE(C65," ","-")),"")&amp;"-"&amp;LOWER(SUBSTITUTE(SUBSTITUTE(G65," ","-"),".",""))&amp;".md","")</f>
        <v>es-monasterio-de-las-batuecas.md</v>
      </c>
      <c r="BZ65" s="29" t="str">
        <f>IF(LEN(Y65)&gt;1,VLOOKUP(Y65,'Tag List'!$A:$B,2,),"")</f>
        <v>St. Teresa of Avila, OCD</v>
      </c>
      <c r="CA65" s="29" t="str">
        <f>IF(LEN(Z65)&gt;1,VLOOKUP(Z65,'Tag List'!$A:$B,2,),"")</f>
        <v>Discalced Carmelites (Order of Discalced Carmelites)</v>
      </c>
      <c r="CB65" s="29" t="str">
        <f>IF(LEN(AA65)&gt;1,VLOOKUP(AA65,'Tag List'!$A:$B,2,),"")</f>
        <v>Religious Communities</v>
      </c>
      <c r="CC65" s="29" t="str">
        <f>IF(LEN(Y65)&gt;1,GetTagPage(BZ65,Y65),"")</f>
        <v>[St. Teresa of Avila, OCD](/tags/teresa-avila)</v>
      </c>
      <c r="CD65" s="29" t="str">
        <f>IF(LEN(Z65)&gt;1,GetTagPage(CA65,Z65),"")</f>
        <v>[Discalced Carmelites (Order of Discalced Carmelites)](/tags/discalced-carmelites)</v>
      </c>
      <c r="CE65" s="29" t="str">
        <f>IF(LEN(AA65)&gt;1,GetTagPage(CB65,AA65),"")</f>
        <v>[Religious Communities](/tags/communities)</v>
      </c>
      <c r="CF65" s="29" t="str">
        <f>"|"&amp;IF(LEN(CC65)&gt;1," "&amp;CC65,"")&amp;IF(LEN(CD65)&gt;1,", "&amp;CD65,"")&amp;IF(LEN(CE65)&gt;1,", "&amp;CE65,"")&amp;" "</f>
        <v xml:space="preserve">| [St. Teresa of Avila, OCD](/tags/teresa-avila), [Discalced Carmelites (Order of Discalced Carmelites)](/tags/discalced-carmelites), [Religious Communities](/tags/communities) </v>
      </c>
      <c r="CG65" s="29" t="str">
        <f>"| "&amp;IF(AR65,"["&amp;AI65&amp;"](/places/"&amp;SUBSTITUTE(BY65,".md","")&amp;")",AI65)&amp;" "</f>
        <v xml:space="preserve">| [](/places/es-monasterio-de-las-batuecas) </v>
      </c>
      <c r="CH65" s="29" t="str">
        <f>"| "&amp;IF(AR65,GetTagPage(B65,VLOOKUP(B65,'(Ref) Countries'!A:C,3,)),B65)&amp; " "</f>
        <v xml:space="preserve">| [Spain](/tags/spain) </v>
      </c>
      <c r="CI65" s="29" t="str">
        <f>"| "&amp;AJ65&amp;" "</f>
        <v xml:space="preserve">|  </v>
      </c>
      <c r="CJ65" s="29" t="str">
        <f>"|"&amp;IF(AR65," [Link](/places/"&amp;SUBSTITUTE(BY65,".md","")&amp;")","")&amp;" "</f>
        <v xml:space="preserve">| [Link](/places/es-monasterio-de-las-batuecas) </v>
      </c>
      <c r="CK65" s="29" t="str">
        <f>"
"&amp;CG65&amp;CH65&amp;CI65&amp;CJ65&amp;BL65&amp;BQ65&amp;BR65&amp;BS65&amp;CF65&amp;"|"</f>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66" spans="1:89" ht="38.25" x14ac:dyDescent="0.25">
      <c r="A66" s="168" t="s">
        <v>1320</v>
      </c>
      <c r="B66" s="24" t="s">
        <v>552</v>
      </c>
      <c r="C66" s="101" t="s">
        <v>2176</v>
      </c>
      <c r="D66" s="15">
        <v>40.826532835917298</v>
      </c>
      <c r="E66" s="49">
        <v>-5.5144056355381297</v>
      </c>
      <c r="F66" s="111" t="s">
        <v>2276</v>
      </c>
      <c r="G66" s="103" t="s">
        <v>2148</v>
      </c>
      <c r="H66" s="101" t="s">
        <v>1759</v>
      </c>
      <c r="I66" s="24" t="b">
        <v>1</v>
      </c>
      <c r="K66" s="24" t="b">
        <v>1</v>
      </c>
      <c r="L66" s="101" t="s">
        <v>2174</v>
      </c>
      <c r="N66" s="15" t="s">
        <v>2151</v>
      </c>
      <c r="O66" s="15" t="s">
        <v>336</v>
      </c>
      <c r="P66" s="106" t="s">
        <v>2149</v>
      </c>
      <c r="Q66" s="15" t="s">
        <v>2150</v>
      </c>
      <c r="R66" s="64" t="s">
        <v>336</v>
      </c>
      <c r="Y66" s="15" t="s">
        <v>2133</v>
      </c>
      <c r="Z66" s="15" t="s">
        <v>2129</v>
      </c>
      <c r="AA66" s="15" t="s">
        <v>1424</v>
      </c>
      <c r="AR66" s="154" t="b">
        <f>IF(OR(A66="Done",A66="In Progress"),TRUE)</f>
        <v>1</v>
      </c>
      <c r="AS66" s="155" t="str">
        <f>"title: """&amp;F66&amp;""""</f>
        <v>title: "Convent of the Anunciation (Convento de La Anunciacion), Alba de Tormes"</v>
      </c>
      <c r="AT66" s="155" t="str">
        <f>"location: {lat: "&amp;D66&amp;", lng: "&amp;E66&amp;"}"</f>
        <v>location: {lat: 40.8265328359173, lng: -5.51440563553813}</v>
      </c>
      <c r="AU66" s="155" t="str">
        <f>"interest: "&amp;H66</f>
        <v>interest: regional</v>
      </c>
      <c r="AV66" s="155" t="str">
        <f>"- "&amp;VLOOKUP(B66,'(Ref) Countries'!A:C,3,)</f>
        <v>- spain</v>
      </c>
      <c r="AW66" s="155" t="str">
        <f>IF(LEN(C66)&gt;1,"- "&amp;LOWER(SUBSTITUTE(C66," ","-")),"")</f>
        <v>- alba-de-tormes</v>
      </c>
      <c r="AX66" s="155" t="str">
        <f>IF(I66,"- churches","")</f>
        <v>- churches</v>
      </c>
      <c r="AY66" s="155" t="str">
        <f>IF(J66,"- marian-sites","")</f>
        <v/>
      </c>
      <c r="AZ66" s="155" t="str">
        <f>IF(K66,"- holy-persons","")</f>
        <v>- holy-persons</v>
      </c>
      <c r="BA66" s="155" t="str">
        <f>IF(LEN(Y66)&gt;0,"- "&amp;Y66,"")</f>
        <v>- teresa-avila</v>
      </c>
      <c r="BB66" s="155" t="str">
        <f>IF(LEN(Z66)&gt;0,"- "&amp;Z66,"")</f>
        <v>- discalced-carmelites</v>
      </c>
      <c r="BC66" s="155" t="str">
        <f>IF(LEN(AA66)&gt;0,"- "&amp;AA66,"")</f>
        <v>- communities</v>
      </c>
      <c r="BD66" s="155" t="str">
        <f>IF(LEN(AB66)&gt;0,"- "&amp;AB66,"")</f>
        <v/>
      </c>
      <c r="BE66" s="155" t="str">
        <f>IF(LEN(AC66)&gt;0,"- "&amp;AC66,"")</f>
        <v/>
      </c>
      <c r="BF66" s="155" t="str">
        <f>IF(LEN(AD66)&gt;0,"- "&amp;AD66,"")</f>
        <v/>
      </c>
      <c r="BG66" s="155" t="str">
        <f>IF(LEN(AE66)&gt;0,"- "&amp;AE66,"")</f>
        <v/>
      </c>
      <c r="BH66" s="155" t="str">
        <f>IF(LEN(AF66)&gt;0,"- "&amp;AF66,"")</f>
        <v/>
      </c>
      <c r="BI66" s="155" t="str">
        <f>IF(LEN(AG66)&gt;0,"- "&amp;AG66,"")</f>
        <v/>
      </c>
      <c r="BJ66" s="155" t="str">
        <f>IF(LEN(AH66)&gt;0,"- "&amp;AH66,"")</f>
        <v/>
      </c>
      <c r="BK66" s="155" t="str">
        <f>"tags:"&amp;CHAR(10)&amp;concatl(AV66:BJ66)</f>
        <v xml:space="preserve">tags:
- spain_x000D_
- alba-de-tormes_x000D_
- churches_x000D_
- holy-persons_x000D_
- teresa-avila_x000D_
- discalced-carmelites_x000D_
- communities_x000D_
</v>
      </c>
      <c r="BL66" s="155" t="str">
        <f>IF(LEN(N66)&gt;0,TRIM(CONCATENATE("[Official site](",N66,") ",O66)),"")</f>
        <v>[Official site](https://carmelitasalba.org/)</v>
      </c>
      <c r="BM66" s="155" t="str">
        <f>IF(LEN(Q66)&gt;0,TRIM(CONCATENATE("["&amp;P66&amp;"](",Q66,") ",R66)),"")</f>
        <v>[Information in English](https://www.carmelitasalba.org/wp-content/themes/Florida_child_theme/images/carmus-ingles-web.pdf)</v>
      </c>
      <c r="BN66" s="155" t="str">
        <f>IF(LEN(T66)&gt;0,TRIM(CONCATENATE("["&amp;S66&amp;"](",T66,") ",U66)),"")</f>
        <v/>
      </c>
      <c r="BO66" s="155" t="str">
        <f>IF(LEN(W66)&gt;0,TRIM(CONCATENATE("["&amp;V66&amp;"](",W66,") ",X66)),"")</f>
        <v/>
      </c>
      <c r="BP66" s="155" t="str">
        <f>IF(LEN(BL66)&gt;0,"* "&amp;BL66&amp;CHAR(10),"")&amp;
IF(LEN(BM66)&gt;0,"* "&amp;BM66&amp;CHAR(10),"")&amp;
IF(LEN(BN66)&gt;0,"* "&amp;BN66&amp;CHAR(10),"")&amp;
IF(LEN(BO66)&gt;0,"* "&amp;BO66&amp;CHAR(10),"")</f>
        <v xml:space="preserve">* [Official site](https://carmelitasalba.org/)
* [Information in English](https://www.carmelitasalba.org/wp-content/themes/Florida_child_theme/images/carmus-ingles-web.pdf)
</v>
      </c>
      <c r="BQ66" s="155" t="str">
        <f>IF(LEN(AK66)&gt;0,TRIM(CONCATENATE("[Link](",AK66,") ",AL66)),"")</f>
        <v/>
      </c>
      <c r="BR66" s="155" t="str">
        <f>IF(LEN(AM66)&gt;0,TRIM(CONCATENATE("[Link](",AM66,") ",AN66)),"")</f>
        <v/>
      </c>
      <c r="BS66" s="155" t="str">
        <f>IF(LEN(AO66)&gt;0,TRIM(CONCATENATE("[Link](",AO66,") ",AP66)),"")</f>
        <v/>
      </c>
      <c r="BT66" s="155" t="str">
        <f>IF(LEN(concat(BQ66:BS66))&gt;0,concat("| ",BQ66," | ",BR66," | ",BS66," |"),"")</f>
        <v/>
      </c>
      <c r="BU66" s="155" t="str">
        <f>IF(J66,concatl("| The Real Presence | Miracle Hunter | MaryPages |","| --- | --- | --- |",BT66),"")</f>
        <v/>
      </c>
      <c r="BV66" s="155" t="str">
        <f>IF(LEN(BP66&amp;BU66)&gt;0,concatll("#### More Information",BP66,BU66),"")</f>
        <v xml:space="preserve">#### More Information_x000D_
_x000D_
* [Official site](https://carmelitasalba.org/)
* [Information in English](https://www.carmelitasalba.org/wp-content/themes/Florida_child_theme/images/carmus-ingles-web.pdf)
_x000D_
_x000D_
</v>
      </c>
      <c r="BW66" s="155" t="str">
        <f>IF(LEN(M66)&gt;1,concatll("#### Author's Note",M66),"")</f>
        <v/>
      </c>
      <c r="BX66" s="23" t="str">
        <f>IF(AR66,concatll(concatl("---",AS66:AU66,BK66,"---"),L66,BV66:BW66),"")</f>
        <v xml:space="preserve">---_x000D_
title: "Convent of the Anunciation (Convento de La Anunciacion), Alba de Tormes"_x000D_
location: {lat: 40.8265328359173, lng: -5.51440563553813}_x000D_
interest: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66" s="23" t="str">
        <f>IF(AR66,VLOOKUP(B66,'(Ref) Countries'!A:B,2,)&amp;IF(LEN(C66)&gt;1,"-"&amp;LOWER(SUBSTITUTE(C66," ","-")),"")&amp;"-"&amp;LOWER(SUBSTITUTE(SUBSTITUTE(G66," ","-"),".",""))&amp;".md","")</f>
        <v>es-alba-de-tormes-convento-de-la-anunciacion.md</v>
      </c>
      <c r="BZ66" s="29" t="str">
        <f>IF(LEN(Y66)&gt;1,VLOOKUP(Y66,'Tag List'!$A:$B,2,),"")</f>
        <v>St. Teresa of Avila, OCD</v>
      </c>
      <c r="CA66" s="29" t="str">
        <f>IF(LEN(Z66)&gt;1,VLOOKUP(Z66,'Tag List'!$A:$B,2,),"")</f>
        <v>Discalced Carmelites (Order of Discalced Carmelites)</v>
      </c>
      <c r="CB66" s="29" t="str">
        <f>IF(LEN(AA66)&gt;1,VLOOKUP(AA66,'Tag List'!$A:$B,2,),"")</f>
        <v>Religious Communities</v>
      </c>
      <c r="CC66" s="29" t="str">
        <f>IF(LEN(Y66)&gt;1,GetTagPage(BZ66,Y66),"")</f>
        <v>[St. Teresa of Avila, OCD](/tags/teresa-avila)</v>
      </c>
      <c r="CD66" s="29" t="str">
        <f>IF(LEN(Z66)&gt;1,GetTagPage(CA66,Z66),"")</f>
        <v>[Discalced Carmelites (Order of Discalced Carmelites)](/tags/discalced-carmelites)</v>
      </c>
      <c r="CE66" s="29" t="str">
        <f>IF(LEN(AA66)&gt;1,GetTagPage(CB66,AA66),"")</f>
        <v>[Religious Communities](/tags/communities)</v>
      </c>
      <c r="CF66" s="29" t="str">
        <f>"|"&amp;IF(LEN(CC66)&gt;1," "&amp;CC66,"")&amp;IF(LEN(CD66)&gt;1,", "&amp;CD66,"")&amp;IF(LEN(CE66)&gt;1,", "&amp;CE66,"")&amp;" "</f>
        <v xml:space="preserve">| [St. Teresa of Avila, OCD](/tags/teresa-avila), [Discalced Carmelites (Order of Discalced Carmelites)](/tags/discalced-carmelites), [Religious Communities](/tags/communities) </v>
      </c>
      <c r="CG66" s="29" t="str">
        <f>"| "&amp;IF(AR66,"["&amp;AI66&amp;"](/places/"&amp;SUBSTITUTE(BY66,".md","")&amp;")",AI66)&amp;" "</f>
        <v xml:space="preserve">| [](/places/es-alba-de-tormes-convento-de-la-anunciacion) </v>
      </c>
      <c r="CH66" s="29" t="str">
        <f>"| "&amp;IF(AR66,GetTagPage(B66,VLOOKUP(B66,'(Ref) Countries'!A:C,3,)),B66)&amp; " "</f>
        <v xml:space="preserve">| [Spain](/tags/spain) </v>
      </c>
      <c r="CI66" s="29" t="str">
        <f>"| "&amp;AJ66&amp;" "</f>
        <v xml:space="preserve">|  </v>
      </c>
      <c r="CJ66" s="29" t="str">
        <f>"|"&amp;IF(AR66," [Link](/places/"&amp;SUBSTITUTE(BY66,".md","")&amp;")","")&amp;" "</f>
        <v xml:space="preserve">| [Link](/places/es-alba-de-tormes-convento-de-la-anunciacion) </v>
      </c>
      <c r="CK66" s="29" t="str">
        <f>"
"&amp;CG66&amp;CH66&amp;CI66&amp;CJ66&amp;BL66&amp;BQ66&amp;BR66&amp;BS66&amp;CF66&amp;"|"</f>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67" spans="1:89" x14ac:dyDescent="0.25">
      <c r="A67" s="168" t="s">
        <v>1320</v>
      </c>
      <c r="B67" s="24" t="s">
        <v>552</v>
      </c>
      <c r="C67" s="101" t="s">
        <v>2177</v>
      </c>
      <c r="D67" s="15">
        <v>40.951196907421703</v>
      </c>
      <c r="E67" s="49">
        <v>-4.1268227200102796</v>
      </c>
      <c r="F67" s="101" t="s">
        <v>2178</v>
      </c>
      <c r="G67" s="53" t="s">
        <v>2138</v>
      </c>
      <c r="H67" s="24" t="s">
        <v>1825</v>
      </c>
      <c r="I67" s="24" t="b">
        <v>1</v>
      </c>
      <c r="K67" s="24" t="b">
        <v>1</v>
      </c>
      <c r="L67" s="101" t="s">
        <v>2179</v>
      </c>
      <c r="Y67" s="15" t="s">
        <v>2133</v>
      </c>
      <c r="Z67" s="15" t="s">
        <v>2129</v>
      </c>
      <c r="AA67" s="15" t="s">
        <v>1424</v>
      </c>
      <c r="AR67" s="154" t="b">
        <f>IF(OR(A67="Done",A67="In Progress"),TRUE)</f>
        <v>1</v>
      </c>
      <c r="AS67" s="155" t="str">
        <f>"title: """&amp;F67&amp;""""</f>
        <v>title: "Convento de San Jose, Segovia"</v>
      </c>
      <c r="AT67" s="155" t="str">
        <f>"location: {lat: "&amp;D67&amp;", lng: "&amp;E67&amp;"}"</f>
        <v>location: {lat: 40.9511969074217, lng: -4.12682272001028}</v>
      </c>
      <c r="AU67" s="155" t="str">
        <f>"interest: "&amp;H67</f>
        <v>interest: local</v>
      </c>
      <c r="AV67" s="155" t="str">
        <f>"- "&amp;VLOOKUP(B67,'(Ref) Countries'!A:C,3,)</f>
        <v>- spain</v>
      </c>
      <c r="AW67" s="155" t="str">
        <f>IF(LEN(C67)&gt;1,"- "&amp;LOWER(SUBSTITUTE(C67," ","-")),"")</f>
        <v>- segovia</v>
      </c>
      <c r="AX67" s="155" t="str">
        <f>IF(I67,"- churches","")</f>
        <v>- churches</v>
      </c>
      <c r="AY67" s="155" t="str">
        <f>IF(J67,"- marian-sites","")</f>
        <v/>
      </c>
      <c r="AZ67" s="155" t="str">
        <f>IF(K67,"- holy-persons","")</f>
        <v>- holy-persons</v>
      </c>
      <c r="BA67" s="155" t="str">
        <f>IF(LEN(Y67)&gt;0,"- "&amp;Y67,"")</f>
        <v>- teresa-avila</v>
      </c>
      <c r="BB67" s="155" t="str">
        <f>IF(LEN(Z67)&gt;0,"- "&amp;Z67,"")</f>
        <v>- discalced-carmelites</v>
      </c>
      <c r="BC67" s="155" t="str">
        <f>IF(LEN(AA67)&gt;0,"- "&amp;AA67,"")</f>
        <v>- communities</v>
      </c>
      <c r="BD67" s="155" t="str">
        <f>IF(LEN(AB67)&gt;0,"- "&amp;AB67,"")</f>
        <v/>
      </c>
      <c r="BE67" s="155" t="str">
        <f>IF(LEN(AC67)&gt;0,"- "&amp;AC67,"")</f>
        <v/>
      </c>
      <c r="BF67" s="155" t="str">
        <f>IF(LEN(AD67)&gt;0,"- "&amp;AD67,"")</f>
        <v/>
      </c>
      <c r="BG67" s="155" t="str">
        <f>IF(LEN(AE67)&gt;0,"- "&amp;AE67,"")</f>
        <v/>
      </c>
      <c r="BH67" s="155" t="str">
        <f>IF(LEN(AF67)&gt;0,"- "&amp;AF67,"")</f>
        <v/>
      </c>
      <c r="BI67" s="155" t="str">
        <f>IF(LEN(AG67)&gt;0,"- "&amp;AG67,"")</f>
        <v/>
      </c>
      <c r="BJ67" s="155" t="str">
        <f>IF(LEN(AH67)&gt;0,"- "&amp;AH67,"")</f>
        <v/>
      </c>
      <c r="BK67" s="155" t="str">
        <f>"tags:"&amp;CHAR(10)&amp;concatl(AV67:BJ67)</f>
        <v xml:space="preserve">tags:
- spain_x000D_
- segovia_x000D_
- churches_x000D_
- holy-persons_x000D_
- teresa-avila_x000D_
- discalced-carmelites_x000D_
- communities_x000D_
</v>
      </c>
      <c r="BL67" s="155" t="str">
        <f>IF(LEN(N67)&gt;0,TRIM(CONCATENATE("[Official site](",N67,") ",O67)),"")</f>
        <v/>
      </c>
      <c r="BM67" s="155" t="str">
        <f>IF(LEN(Q67)&gt;0,TRIM(CONCATENATE("["&amp;P67&amp;"](",Q67,") ",R67)),"")</f>
        <v/>
      </c>
      <c r="BN67" s="155" t="str">
        <f>IF(LEN(T67)&gt;0,TRIM(CONCATENATE("["&amp;S67&amp;"](",T67,") ",U67)),"")</f>
        <v/>
      </c>
      <c r="BO67" s="155" t="str">
        <f>IF(LEN(W67)&gt;0,TRIM(CONCATENATE("["&amp;V67&amp;"](",W67,") ",X67)),"")</f>
        <v/>
      </c>
      <c r="BP67" s="155" t="str">
        <f>IF(LEN(BL67)&gt;0,"* "&amp;BL67&amp;CHAR(10),"")&amp;
IF(LEN(BM67)&gt;0,"* "&amp;BM67&amp;CHAR(10),"")&amp;
IF(LEN(BN67)&gt;0,"* "&amp;BN67&amp;CHAR(10),"")&amp;
IF(LEN(BO67)&gt;0,"* "&amp;BO67&amp;CHAR(10),"")</f>
        <v/>
      </c>
      <c r="BQ67" s="155" t="str">
        <f>IF(LEN(AK67)&gt;0,TRIM(CONCATENATE("[Link](",AK67,") ",AL67)),"")</f>
        <v/>
      </c>
      <c r="BR67" s="155" t="str">
        <f>IF(LEN(AM67)&gt;0,TRIM(CONCATENATE("[Link](",AM67,") ",AN67)),"")</f>
        <v/>
      </c>
      <c r="BS67" s="155" t="str">
        <f>IF(LEN(AO67)&gt;0,TRIM(CONCATENATE("[Link](",AO67,") ",AP67)),"")</f>
        <v/>
      </c>
      <c r="BT67" s="155" t="str">
        <f>IF(LEN(concat(BQ67:BS67))&gt;0,concat("| ",BQ67," | ",BR67," | ",BS67," |"),"")</f>
        <v/>
      </c>
      <c r="BU67" s="155" t="str">
        <f>IF(J67,concatl("| The Real Presence | Miracle Hunter | MaryPages |","| --- | --- | --- |",BT67),"")</f>
        <v/>
      </c>
      <c r="BV67" s="155" t="str">
        <f>IF(LEN(BP67&amp;BU67)&gt;0,concatll("#### More Information",BP67,BU67),"")</f>
        <v/>
      </c>
      <c r="BW67" s="155" t="str">
        <f>IF(LEN(M67)&gt;1,concatll("#### Author's Note",M67),"")</f>
        <v/>
      </c>
      <c r="BX67" s="23" t="str">
        <f>IF(AR67,concatll(concatl("---",AS67:AU67,BK67,"---"),L67,BV67:BW67),"")</f>
        <v xml:space="preserve">---_x000D_
title: "Convento de San Jose, Segovia"_x000D_
location: {lat: 40.9511969074217, lng: -4.12682272001028}_x000D_
interest: local_x000D_
tags:
- spain_x000D_
- segovia_x000D_
- churches_x000D_
- holy-persons_x000D_
- teresa-avila_x000D_
- discalced-carmelites_x000D_
- communities_x000D_
_x000D_
---_x000D_
_x000D_
_x000D_
The ninth of 17 communities founded by St. Teresa of Avila, in 1574._x000D_
_x000D_
</v>
      </c>
      <c r="BY67" s="23" t="str">
        <f>IF(AR67,VLOOKUP(B67,'(Ref) Countries'!A:B,2,)&amp;IF(LEN(C67)&gt;1,"-"&amp;LOWER(SUBSTITUTE(C67," ","-")),"")&amp;"-"&amp;LOWER(SUBSTITUTE(SUBSTITUTE(G67," ","-"),".",""))&amp;".md","")</f>
        <v>es-segovia-convento-de-san-jose.md</v>
      </c>
      <c r="BZ67" s="29" t="str">
        <f>IF(LEN(Y67)&gt;1,VLOOKUP(Y67,'Tag List'!$A:$B,2,),"")</f>
        <v>St. Teresa of Avila, OCD</v>
      </c>
      <c r="CA67" s="29" t="str">
        <f>IF(LEN(Z67)&gt;1,VLOOKUP(Z67,'Tag List'!$A:$B,2,),"")</f>
        <v>Discalced Carmelites (Order of Discalced Carmelites)</v>
      </c>
      <c r="CB67" s="29" t="str">
        <f>IF(LEN(AA67)&gt;1,VLOOKUP(AA67,'Tag List'!$A:$B,2,),"")</f>
        <v>Religious Communities</v>
      </c>
      <c r="CC67" s="29" t="str">
        <f>IF(LEN(Y67)&gt;1,GetTagPage(BZ67,Y67),"")</f>
        <v>[St. Teresa of Avila, OCD](/tags/teresa-avila)</v>
      </c>
      <c r="CD67" s="29" t="str">
        <f>IF(LEN(Z67)&gt;1,GetTagPage(CA67,Z67),"")</f>
        <v>[Discalced Carmelites (Order of Discalced Carmelites)](/tags/discalced-carmelites)</v>
      </c>
      <c r="CE67" s="29" t="str">
        <f>IF(LEN(AA67)&gt;1,GetTagPage(CB67,AA67),"")</f>
        <v>[Religious Communities](/tags/communities)</v>
      </c>
      <c r="CF67" s="29" t="str">
        <f>"|"&amp;IF(LEN(CC67)&gt;1," "&amp;CC67,"")&amp;IF(LEN(CD67)&gt;1,", "&amp;CD67,"")&amp;IF(LEN(CE67)&gt;1,", "&amp;CE67,"")&amp;" "</f>
        <v xml:space="preserve">| [St. Teresa of Avila, OCD](/tags/teresa-avila), [Discalced Carmelites (Order of Discalced Carmelites)](/tags/discalced-carmelites), [Religious Communities](/tags/communities) </v>
      </c>
      <c r="CG67" s="29" t="str">
        <f>"| "&amp;IF(AR67,"["&amp;AI67&amp;"](/places/"&amp;SUBSTITUTE(BY67,".md","")&amp;")",AI67)&amp;" "</f>
        <v xml:space="preserve">| [](/places/es-segovia-convento-de-san-jose) </v>
      </c>
      <c r="CH67" s="29" t="str">
        <f>"| "&amp;IF(AR67,GetTagPage(B67,VLOOKUP(B67,'(Ref) Countries'!A:C,3,)),B67)&amp; " "</f>
        <v xml:space="preserve">| [Spain](/tags/spain) </v>
      </c>
      <c r="CI67" s="29" t="str">
        <f>"| "&amp;AJ67&amp;" "</f>
        <v xml:space="preserve">|  </v>
      </c>
      <c r="CJ67" s="29" t="str">
        <f>"|"&amp;IF(AR67," [Link](/places/"&amp;SUBSTITUTE(BY67,".md","")&amp;")","")&amp;" "</f>
        <v xml:space="preserve">| [Link](/places/es-segovia-convento-de-san-jose) </v>
      </c>
      <c r="CK67" s="29" t="str">
        <f>"
"&amp;CG67&amp;CH67&amp;CI67&amp;CJ67&amp;BL67&amp;BQ67&amp;BR67&amp;BS67&amp;CF67&amp;"|"</f>
        <v xml:space="preserve">
| [](/places/es-segovia-convento-de-san-jose) | [Spain](/tags/spain) |  | [Link](/places/es-segovia-convento-de-san-jose) | [St. Teresa of Avila, OCD](/tags/teresa-avila), [Discalced Carmelites (Order of Discalced Carmelites)](/tags/discalced-carmelites), [Religious Communities](/tags/communities) |</v>
      </c>
    </row>
    <row r="68" spans="1:89" x14ac:dyDescent="0.25">
      <c r="A68" s="168" t="s">
        <v>1320</v>
      </c>
      <c r="B68" s="24" t="s">
        <v>552</v>
      </c>
      <c r="C68" s="101" t="s">
        <v>2180</v>
      </c>
      <c r="D68" s="15">
        <v>38.251042949170802</v>
      </c>
      <c r="E68" s="49">
        <v>-2.88706618465537</v>
      </c>
      <c r="F68" s="111" t="s">
        <v>2277</v>
      </c>
      <c r="G68" s="53" t="s">
        <v>2181</v>
      </c>
      <c r="H68" s="24" t="s">
        <v>1825</v>
      </c>
      <c r="I68" s="24" t="b">
        <v>1</v>
      </c>
      <c r="K68" s="24" t="b">
        <v>1</v>
      </c>
      <c r="L68" s="101" t="s">
        <v>2187</v>
      </c>
      <c r="P68" s="106" t="s">
        <v>2182</v>
      </c>
      <c r="Q68" s="15" t="s">
        <v>2183</v>
      </c>
      <c r="R68" s="107" t="s">
        <v>336</v>
      </c>
      <c r="S68" s="106" t="s">
        <v>2184</v>
      </c>
      <c r="T68" s="15" t="s">
        <v>2185</v>
      </c>
      <c r="U68" s="108" t="s">
        <v>2186</v>
      </c>
      <c r="V68" s="104" t="s">
        <v>336</v>
      </c>
      <c r="Y68" s="15" t="s">
        <v>2133</v>
      </c>
      <c r="Z68" s="15" t="s">
        <v>2129</v>
      </c>
      <c r="AA68" s="15" t="s">
        <v>1424</v>
      </c>
      <c r="AR68" s="154" t="b">
        <f>IF(OR(A68="Done",A68="In Progress"),TRUE)</f>
        <v>1</v>
      </c>
      <c r="AS68" s="155" t="str">
        <f>"title: """&amp;F68&amp;""""</f>
        <v>title: "Monasterio de San Jose del Salvador, Beas"</v>
      </c>
      <c r="AT68" s="155" t="str">
        <f>"location: {lat: "&amp;D68&amp;", lng: "&amp;E68&amp;"}"</f>
        <v>location: {lat: 38.2510429491708, lng: -2.88706618465537}</v>
      </c>
      <c r="AU68" s="155" t="str">
        <f>"interest: "&amp;H68</f>
        <v>interest: local</v>
      </c>
      <c r="AV68" s="155" t="str">
        <f>"- "&amp;VLOOKUP(B68,'(Ref) Countries'!A:C,3,)</f>
        <v>- spain</v>
      </c>
      <c r="AW68" s="155" t="str">
        <f>IF(LEN(C68)&gt;1,"- "&amp;LOWER(SUBSTITUTE(C68," ","-")),"")</f>
        <v>- beas-de-segura</v>
      </c>
      <c r="AX68" s="155" t="str">
        <f>IF(I68,"- churches","")</f>
        <v>- churches</v>
      </c>
      <c r="AY68" s="155" t="str">
        <f>IF(J68,"- marian-sites","")</f>
        <v/>
      </c>
      <c r="AZ68" s="155" t="str">
        <f>IF(K68,"- holy-persons","")</f>
        <v>- holy-persons</v>
      </c>
      <c r="BA68" s="155" t="str">
        <f>IF(LEN(Y68)&gt;0,"- "&amp;Y68,"")</f>
        <v>- teresa-avila</v>
      </c>
      <c r="BB68" s="155" t="str">
        <f>IF(LEN(Z68)&gt;0,"- "&amp;Z68,"")</f>
        <v>- discalced-carmelites</v>
      </c>
      <c r="BC68" s="155" t="str">
        <f>IF(LEN(AA68)&gt;0,"- "&amp;AA68,"")</f>
        <v>- communities</v>
      </c>
      <c r="BD68" s="155" t="str">
        <f>IF(LEN(AB68)&gt;0,"- "&amp;AB68,"")</f>
        <v/>
      </c>
      <c r="BE68" s="155" t="str">
        <f>IF(LEN(AC68)&gt;0,"- "&amp;AC68,"")</f>
        <v/>
      </c>
      <c r="BF68" s="155" t="str">
        <f>IF(LEN(AD68)&gt;0,"- "&amp;AD68,"")</f>
        <v/>
      </c>
      <c r="BG68" s="155" t="str">
        <f>IF(LEN(AE68)&gt;0,"- "&amp;AE68,"")</f>
        <v/>
      </c>
      <c r="BH68" s="155" t="str">
        <f>IF(LEN(AF68)&gt;0,"- "&amp;AF68,"")</f>
        <v/>
      </c>
      <c r="BI68" s="155" t="str">
        <f>IF(LEN(AG68)&gt;0,"- "&amp;AG68,"")</f>
        <v/>
      </c>
      <c r="BJ68" s="155" t="str">
        <f>IF(LEN(AH68)&gt;0,"- "&amp;AH68,"")</f>
        <v/>
      </c>
      <c r="BK68" s="155" t="str">
        <f>"tags:"&amp;CHAR(10)&amp;concatl(AV68:BJ68)</f>
        <v xml:space="preserve">tags:
- spain_x000D_
- beas-de-segura_x000D_
- churches_x000D_
- holy-persons_x000D_
- teresa-avila_x000D_
- discalced-carmelites_x000D_
- communities_x000D_
</v>
      </c>
      <c r="BL68" s="155" t="str">
        <f>IF(LEN(N68)&gt;0,TRIM(CONCATENATE("[Official site](",N68,") ",O68)),"")</f>
        <v/>
      </c>
      <c r="BM68" s="155" t="str">
        <f>IF(LEN(Q68)&gt;0,TRIM(CONCATENATE("["&amp;P68&amp;"](",Q68,") ",R68)),"")</f>
        <v>[Sierra de Segura tourism site](https://lasierradesegura.org/parajes-naturales/convento-de-las-carmelitas-descalzas-de-san-jose-del-salvador/)</v>
      </c>
      <c r="BN68" s="155" t="str">
        <f>IF(LEN(T68)&gt;0,TRIM(CONCATENATE("["&amp;S68&amp;"](",T68,") ",U68)),"")</f>
        <v>[Wikipedia](https://es.wikipedia.org/wiki/Convento_de_Carmelitas_Descalzas_(Beas_de_Segura)) Significant amounts of information of the associated Wikipedia page</v>
      </c>
      <c r="BO68" s="155" t="str">
        <f>IF(LEN(W68)&gt;0,TRIM(CONCATENATE("["&amp;V68&amp;"](",W68,") ",X68)),"")</f>
        <v/>
      </c>
      <c r="BP68" s="155" t="str">
        <f>IF(LEN(BL68)&gt;0,"* "&amp;BL68&amp;CHAR(10),"")&amp;
IF(LEN(BM68)&gt;0,"* "&amp;BM68&amp;CHAR(10),"")&amp;
IF(LEN(BN68)&gt;0,"* "&amp;BN68&amp;CHAR(10),"")&amp;
IF(LEN(BO68)&gt;0,"* "&amp;BO68&amp;CHAR(10),"")</f>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68" s="155" t="str">
        <f>IF(LEN(AK68)&gt;0,TRIM(CONCATENATE("[Link](",AK68,") ",AL68)),"")</f>
        <v/>
      </c>
      <c r="BR68" s="155" t="str">
        <f>IF(LEN(AM68)&gt;0,TRIM(CONCATENATE("[Link](",AM68,") ",AN68)),"")</f>
        <v/>
      </c>
      <c r="BS68" s="155" t="str">
        <f>IF(LEN(AO68)&gt;0,TRIM(CONCATENATE("[Link](",AO68,") ",AP68)),"")</f>
        <v/>
      </c>
      <c r="BT68" s="155" t="str">
        <f>IF(LEN(concat(BQ68:BS68))&gt;0,concat("| ",BQ68," | ",BR68," | ",BS68," |"),"")</f>
        <v/>
      </c>
      <c r="BU68" s="155" t="str">
        <f>IF(J68,concatl("| The Real Presence | Miracle Hunter | MaryPages |","| --- | --- | --- |",BT68),"")</f>
        <v/>
      </c>
      <c r="BV68" s="155" t="str">
        <f>IF(LEN(BP68&amp;BU68)&gt;0,concatll("#### More Information",BP68,BU68),"")</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68" s="155" t="str">
        <f>IF(LEN(M68)&gt;1,concatll("#### Author's Note",M68),"")</f>
        <v/>
      </c>
      <c r="BX68" s="23" t="str">
        <f>IF(AR68,concatll(concatl("---",AS68:AU68,BK68,"---"),L68,BV68:BW68),"")</f>
        <v xml:space="preserve">---_x000D_
title: "Monasterio de San Jose del Salvador, Beas"_x000D_
location: {lat: 38.2510429491708, lng: -2.88706618465537}_x000D_
interest: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68" s="23" t="str">
        <f>IF(AR68,VLOOKUP(B68,'(Ref) Countries'!A:B,2,)&amp;IF(LEN(C68)&gt;1,"-"&amp;LOWER(SUBSTITUTE(C68," ","-")),"")&amp;"-"&amp;LOWER(SUBSTITUTE(SUBSTITUTE(G68," ","-"),".",""))&amp;".md","")</f>
        <v>es-beas-de-segura-monasterio-de-san-jose-del-salvador.md</v>
      </c>
      <c r="BZ68" s="29" t="str">
        <f>IF(LEN(Y68)&gt;1,VLOOKUP(Y68,'Tag List'!$A:$B,2,),"")</f>
        <v>St. Teresa of Avila, OCD</v>
      </c>
      <c r="CA68" s="29" t="str">
        <f>IF(LEN(Z68)&gt;1,VLOOKUP(Z68,'Tag List'!$A:$B,2,),"")</f>
        <v>Discalced Carmelites (Order of Discalced Carmelites)</v>
      </c>
      <c r="CB68" s="29" t="str">
        <f>IF(LEN(AA68)&gt;1,VLOOKUP(AA68,'Tag List'!$A:$B,2,),"")</f>
        <v>Religious Communities</v>
      </c>
      <c r="CC68" s="29" t="str">
        <f>IF(LEN(Y68)&gt;1,GetTagPage(BZ68,Y68),"")</f>
        <v>[St. Teresa of Avila, OCD](/tags/teresa-avila)</v>
      </c>
      <c r="CD68" s="29" t="str">
        <f>IF(LEN(Z68)&gt;1,GetTagPage(CA68,Z68),"")</f>
        <v>[Discalced Carmelites (Order of Discalced Carmelites)](/tags/discalced-carmelites)</v>
      </c>
      <c r="CE68" s="29" t="str">
        <f>IF(LEN(AA68)&gt;1,GetTagPage(CB68,AA68),"")</f>
        <v>[Religious Communities](/tags/communities)</v>
      </c>
      <c r="CF68" s="29" t="str">
        <f>"|"&amp;IF(LEN(CC68)&gt;1," "&amp;CC68,"")&amp;IF(LEN(CD68)&gt;1,", "&amp;CD68,"")&amp;IF(LEN(CE68)&gt;1,", "&amp;CE68,"")&amp;" "</f>
        <v xml:space="preserve">| [St. Teresa of Avila, OCD](/tags/teresa-avila), [Discalced Carmelites (Order of Discalced Carmelites)](/tags/discalced-carmelites), [Religious Communities](/tags/communities) </v>
      </c>
      <c r="CG68" s="29" t="str">
        <f>"| "&amp;IF(AR68,"["&amp;AI68&amp;"](/places/"&amp;SUBSTITUTE(BY68,".md","")&amp;")",AI68)&amp;" "</f>
        <v xml:space="preserve">| [](/places/es-beas-de-segura-monasterio-de-san-jose-del-salvador) </v>
      </c>
      <c r="CH68" s="29" t="str">
        <f>"| "&amp;IF(AR68,GetTagPage(B68,VLOOKUP(B68,'(Ref) Countries'!A:C,3,)),B68)&amp; " "</f>
        <v xml:space="preserve">| [Spain](/tags/spain) </v>
      </c>
      <c r="CI68" s="29" t="str">
        <f>"| "&amp;AJ68&amp;" "</f>
        <v xml:space="preserve">|  </v>
      </c>
      <c r="CJ68" s="29" t="str">
        <f>"|"&amp;IF(AR68," [Link](/places/"&amp;SUBSTITUTE(BY68,".md","")&amp;")","")&amp;" "</f>
        <v xml:space="preserve">| [Link](/places/es-beas-de-segura-monasterio-de-san-jose-del-salvador) </v>
      </c>
      <c r="CK68" s="29" t="str">
        <f>"
"&amp;CG68&amp;CH68&amp;CI68&amp;CJ68&amp;BL68&amp;BQ68&amp;BR68&amp;BS68&amp;CF68&amp;"|"</f>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69" spans="1:89" ht="25.5" x14ac:dyDescent="0.25">
      <c r="A69" s="168" t="s">
        <v>1320</v>
      </c>
      <c r="B69" s="24" t="s">
        <v>552</v>
      </c>
      <c r="C69" s="101" t="s">
        <v>2188</v>
      </c>
      <c r="D69" s="15">
        <v>37.385800751465098</v>
      </c>
      <c r="E69" s="49">
        <v>-5.9889938846553701</v>
      </c>
      <c r="F69" s="111" t="s">
        <v>2278</v>
      </c>
      <c r="G69" s="53" t="s">
        <v>2189</v>
      </c>
      <c r="H69" s="24" t="s">
        <v>1825</v>
      </c>
      <c r="I69" s="24" t="b">
        <v>1</v>
      </c>
      <c r="K69" s="24" t="b">
        <v>1</v>
      </c>
      <c r="L69" s="101" t="s">
        <v>2190</v>
      </c>
      <c r="P69" s="106" t="s">
        <v>2191</v>
      </c>
      <c r="Q69" s="15" t="s">
        <v>2192</v>
      </c>
      <c r="R69" s="107" t="s">
        <v>336</v>
      </c>
      <c r="Y69" s="15" t="s">
        <v>2133</v>
      </c>
      <c r="Z69" s="15" t="s">
        <v>2129</v>
      </c>
      <c r="AA69" s="15" t="s">
        <v>1424</v>
      </c>
      <c r="AR69" s="154" t="b">
        <f>IF(OR(A69="Done",A69="In Progress"),TRUE)</f>
        <v>1</v>
      </c>
      <c r="AS69" s="155" t="str">
        <f>"title: """&amp;F69&amp;""""</f>
        <v>title: "Convento de San Jose del Carmen (Las Teresas), Seville"</v>
      </c>
      <c r="AT69" s="155" t="str">
        <f>"location: {lat: "&amp;D69&amp;", lng: "&amp;E69&amp;"}"</f>
        <v>location: {lat: 37.3858007514651, lng: -5.98899388465537}</v>
      </c>
      <c r="AU69" s="155" t="str">
        <f>"interest: "&amp;H69</f>
        <v>interest: local</v>
      </c>
      <c r="AV69" s="155" t="str">
        <f>"- "&amp;VLOOKUP(B69,'(Ref) Countries'!A:C,3,)</f>
        <v>- spain</v>
      </c>
      <c r="AW69" s="155" t="str">
        <f>IF(LEN(C69)&gt;1,"- "&amp;LOWER(SUBSTITUTE(C69," ","-")),"")</f>
        <v>- seville</v>
      </c>
      <c r="AX69" s="155" t="str">
        <f>IF(I69,"- churches","")</f>
        <v>- churches</v>
      </c>
      <c r="AY69" s="155" t="str">
        <f>IF(J69,"- marian-sites","")</f>
        <v/>
      </c>
      <c r="AZ69" s="155" t="str">
        <f>IF(K69,"- holy-persons","")</f>
        <v>- holy-persons</v>
      </c>
      <c r="BA69" s="155" t="str">
        <f>IF(LEN(Y69)&gt;0,"- "&amp;Y69,"")</f>
        <v>- teresa-avila</v>
      </c>
      <c r="BB69" s="155" t="str">
        <f>IF(LEN(Z69)&gt;0,"- "&amp;Z69,"")</f>
        <v>- discalced-carmelites</v>
      </c>
      <c r="BC69" s="155" t="str">
        <f>IF(LEN(AA69)&gt;0,"- "&amp;AA69,"")</f>
        <v>- communities</v>
      </c>
      <c r="BD69" s="155" t="str">
        <f>IF(LEN(AB69)&gt;0,"- "&amp;AB69,"")</f>
        <v/>
      </c>
      <c r="BE69" s="155" t="str">
        <f>IF(LEN(AC69)&gt;0,"- "&amp;AC69,"")</f>
        <v/>
      </c>
      <c r="BF69" s="155" t="str">
        <f>IF(LEN(AD69)&gt;0,"- "&amp;AD69,"")</f>
        <v/>
      </c>
      <c r="BG69" s="155" t="str">
        <f>IF(LEN(AE69)&gt;0,"- "&amp;AE69,"")</f>
        <v/>
      </c>
      <c r="BH69" s="155" t="str">
        <f>IF(LEN(AF69)&gt;0,"- "&amp;AF69,"")</f>
        <v/>
      </c>
      <c r="BI69" s="155" t="str">
        <f>IF(LEN(AG69)&gt;0,"- "&amp;AG69,"")</f>
        <v/>
      </c>
      <c r="BJ69" s="155" t="str">
        <f>IF(LEN(AH69)&gt;0,"- "&amp;AH69,"")</f>
        <v/>
      </c>
      <c r="BK69" s="155" t="str">
        <f>"tags:"&amp;CHAR(10)&amp;concatl(AV69:BJ69)</f>
        <v xml:space="preserve">tags:
- spain_x000D_
- seville_x000D_
- churches_x000D_
- holy-persons_x000D_
- teresa-avila_x000D_
- discalced-carmelites_x000D_
- communities_x000D_
</v>
      </c>
      <c r="BL69" s="155" t="str">
        <f>IF(LEN(N69)&gt;0,TRIM(CONCATENATE("[Official site](",N69,") ",O69)),"")</f>
        <v/>
      </c>
      <c r="BM69" s="155" t="str">
        <f>IF(LEN(Q69)&gt;0,TRIM(CONCATENATE("["&amp;P69&amp;"](",Q69,") ",R69)),"")</f>
        <v>[Seville tourism site](https://www.turismosevilla.org/en/what-see-and-do/heritage/monuments/san-jose-conventual-church-las-teresas)</v>
      </c>
      <c r="BN69" s="155" t="str">
        <f>IF(LEN(T69)&gt;0,TRIM(CONCATENATE("["&amp;S69&amp;"](",T69,") ",U69)),"")</f>
        <v/>
      </c>
      <c r="BO69" s="155" t="str">
        <f>IF(LEN(W69)&gt;0,TRIM(CONCATENATE("["&amp;V69&amp;"](",W69,") ",X69)),"")</f>
        <v/>
      </c>
      <c r="BP69" s="155" t="str">
        <f>IF(LEN(BL69)&gt;0,"* "&amp;BL69&amp;CHAR(10),"")&amp;
IF(LEN(BM69)&gt;0,"* "&amp;BM69&amp;CHAR(10),"")&amp;
IF(LEN(BN69)&gt;0,"* "&amp;BN69&amp;CHAR(10),"")&amp;
IF(LEN(BO69)&gt;0,"* "&amp;BO69&amp;CHAR(10),"")</f>
        <v xml:space="preserve">* [Seville tourism site](https://www.turismosevilla.org/en/what-see-and-do/heritage/monuments/san-jose-conventual-church-las-teresas)
</v>
      </c>
      <c r="BQ69" s="155" t="str">
        <f>IF(LEN(AK69)&gt;0,TRIM(CONCATENATE("[Link](",AK69,") ",AL69)),"")</f>
        <v/>
      </c>
      <c r="BR69" s="155" t="str">
        <f>IF(LEN(AM69)&gt;0,TRIM(CONCATENATE("[Link](",AM69,") ",AN69)),"")</f>
        <v/>
      </c>
      <c r="BS69" s="155" t="str">
        <f>IF(LEN(AO69)&gt;0,TRIM(CONCATENATE("[Link](",AO69,") ",AP69)),"")</f>
        <v/>
      </c>
      <c r="BT69" s="155" t="str">
        <f>IF(LEN(concat(BQ69:BS69))&gt;0,concat("| ",BQ69," | ",BR69," | ",BS69," |"),"")</f>
        <v/>
      </c>
      <c r="BU69" s="155" t="str">
        <f>IF(J69,concatl("| The Real Presence | Miracle Hunter | MaryPages |","| --- | --- | --- |",BT69),"")</f>
        <v/>
      </c>
      <c r="BV69" s="155" t="str">
        <f>IF(LEN(BP69&amp;BU69)&gt;0,concatll("#### More Information",BP69,BU69),"")</f>
        <v xml:space="preserve">#### More Information_x000D_
_x000D_
* [Seville tourism site](https://www.turismosevilla.org/en/what-see-and-do/heritage/monuments/san-jose-conventual-church-las-teresas)
_x000D_
_x000D_
</v>
      </c>
      <c r="BW69" s="155" t="str">
        <f>IF(LEN(M69)&gt;1,concatll("#### Author's Note",M69),"")</f>
        <v/>
      </c>
      <c r="BX69" s="23" t="str">
        <f>IF(AR69,concatll(concatl("---",AS69:AU69,BK69,"---"),L69,BV69:BW69),"")</f>
        <v xml:space="preserve">---_x000D_
title: "Convento de San Jose del Carmen (Las Teresas), Seville"_x000D_
location: {lat: 37.3858007514651, lng: -5.98899388465537}_x000D_
interest: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69" s="23" t="str">
        <f>IF(AR69,VLOOKUP(B69,'(Ref) Countries'!A:B,2,)&amp;IF(LEN(C69)&gt;1,"-"&amp;LOWER(SUBSTITUTE(C69," ","-")),"")&amp;"-"&amp;LOWER(SUBSTITUTE(SUBSTITUTE(G69," ","-"),".",""))&amp;".md","")</f>
        <v>es-seville-convento-de-san-jose-del-carmen.md</v>
      </c>
      <c r="BZ69" s="29" t="str">
        <f>IF(LEN(Y69)&gt;1,VLOOKUP(Y69,'Tag List'!$A:$B,2,),"")</f>
        <v>St. Teresa of Avila, OCD</v>
      </c>
      <c r="CA69" s="29" t="str">
        <f>IF(LEN(Z69)&gt;1,VLOOKUP(Z69,'Tag List'!$A:$B,2,),"")</f>
        <v>Discalced Carmelites (Order of Discalced Carmelites)</v>
      </c>
      <c r="CB69" s="29" t="str">
        <f>IF(LEN(AA69)&gt;1,VLOOKUP(AA69,'Tag List'!$A:$B,2,),"")</f>
        <v>Religious Communities</v>
      </c>
      <c r="CC69" s="29" t="str">
        <f>IF(LEN(Y69)&gt;1,GetTagPage(BZ69,Y69),"")</f>
        <v>[St. Teresa of Avila, OCD](/tags/teresa-avila)</v>
      </c>
      <c r="CD69" s="29" t="str">
        <f>IF(LEN(Z69)&gt;1,GetTagPage(CA69,Z69),"")</f>
        <v>[Discalced Carmelites (Order of Discalced Carmelites)](/tags/discalced-carmelites)</v>
      </c>
      <c r="CE69" s="29" t="str">
        <f>IF(LEN(AA69)&gt;1,GetTagPage(CB69,AA69),"")</f>
        <v>[Religious Communities](/tags/communities)</v>
      </c>
      <c r="CF69" s="29" t="str">
        <f>"|"&amp;IF(LEN(CC69)&gt;1," "&amp;CC69,"")&amp;IF(LEN(CD69)&gt;1,", "&amp;CD69,"")&amp;IF(LEN(CE69)&gt;1,", "&amp;CE69,"")&amp;" "</f>
        <v xml:space="preserve">| [St. Teresa of Avila, OCD](/tags/teresa-avila), [Discalced Carmelites (Order of Discalced Carmelites)](/tags/discalced-carmelites), [Religious Communities](/tags/communities) </v>
      </c>
      <c r="CG69" s="29" t="str">
        <f>"| "&amp;IF(AR69,"["&amp;AI69&amp;"](/places/"&amp;SUBSTITUTE(BY69,".md","")&amp;")",AI69)&amp;" "</f>
        <v xml:space="preserve">| [](/places/es-seville-convento-de-san-jose-del-carmen) </v>
      </c>
      <c r="CH69" s="29" t="str">
        <f>"| "&amp;IF(AR69,GetTagPage(B69,VLOOKUP(B69,'(Ref) Countries'!A:C,3,)),B69)&amp; " "</f>
        <v xml:space="preserve">| [Spain](/tags/spain) </v>
      </c>
      <c r="CI69" s="29" t="str">
        <f>"| "&amp;AJ69&amp;" "</f>
        <v xml:space="preserve">|  </v>
      </c>
      <c r="CJ69" s="29" t="str">
        <f>"|"&amp;IF(AR69," [Link](/places/"&amp;SUBSTITUTE(BY69,".md","")&amp;")","")&amp;" "</f>
        <v xml:space="preserve">| [Link](/places/es-seville-convento-de-san-jose-del-carmen) </v>
      </c>
      <c r="CK69" s="29" t="str">
        <f>"
"&amp;CG69&amp;CH69&amp;CI69&amp;CJ69&amp;BL69&amp;BQ69&amp;BR69&amp;BS69&amp;CF69&amp;"|"</f>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70" spans="1:89" ht="25.5" x14ac:dyDescent="0.25">
      <c r="A70" s="168" t="s">
        <v>1320</v>
      </c>
      <c r="B70" s="24" t="s">
        <v>552</v>
      </c>
      <c r="C70" s="101" t="s">
        <v>2194</v>
      </c>
      <c r="D70" s="15">
        <v>38.106719284242402</v>
      </c>
      <c r="E70" s="49">
        <v>-1.8610296</v>
      </c>
      <c r="F70" s="101" t="s">
        <v>2195</v>
      </c>
      <c r="G70" s="53" t="s">
        <v>2138</v>
      </c>
      <c r="H70" s="24" t="s">
        <v>1825</v>
      </c>
      <c r="I70" s="24" t="b">
        <v>1</v>
      </c>
      <c r="K70" s="24" t="b">
        <v>1</v>
      </c>
      <c r="L70" s="101" t="s">
        <v>2200</v>
      </c>
      <c r="P70" s="106" t="s">
        <v>2198</v>
      </c>
      <c r="Q70" s="15" t="s">
        <v>2199</v>
      </c>
      <c r="R70" s="107" t="s">
        <v>336</v>
      </c>
      <c r="S70" s="106" t="s">
        <v>2196</v>
      </c>
      <c r="T70" s="15" t="s">
        <v>2197</v>
      </c>
      <c r="U70" s="107" t="s">
        <v>336</v>
      </c>
      <c r="Y70" s="15" t="s">
        <v>2133</v>
      </c>
      <c r="Z70" s="15" t="s">
        <v>2129</v>
      </c>
      <c r="AA70" s="15" t="s">
        <v>1424</v>
      </c>
      <c r="AR70" s="154" t="b">
        <f>IF(OR(A70="Done",A70="In Progress"),TRUE)</f>
        <v>1</v>
      </c>
      <c r="AS70" s="155" t="str">
        <f>"title: """&amp;F70&amp;""""</f>
        <v>title: "Convento de San Jose, Caravaca de la Cruz"</v>
      </c>
      <c r="AT70" s="155" t="str">
        <f>"location: {lat: "&amp;D70&amp;", lng: "&amp;E70&amp;"}"</f>
        <v>location: {lat: 38.1067192842424, lng: -1.8610296}</v>
      </c>
      <c r="AU70" s="155" t="str">
        <f>"interest: "&amp;H70</f>
        <v>interest: local</v>
      </c>
      <c r="AV70" s="155" t="str">
        <f>"- "&amp;VLOOKUP(B70,'(Ref) Countries'!A:C,3,)</f>
        <v>- spain</v>
      </c>
      <c r="AW70" s="155" t="str">
        <f>IF(LEN(C70)&gt;1,"- "&amp;LOWER(SUBSTITUTE(C70," ","-")),"")</f>
        <v>- caravaca</v>
      </c>
      <c r="AX70" s="155" t="str">
        <f>IF(I70,"- churches","")</f>
        <v>- churches</v>
      </c>
      <c r="AY70" s="155" t="str">
        <f>IF(J70,"- marian-sites","")</f>
        <v/>
      </c>
      <c r="AZ70" s="155" t="str">
        <f>IF(K70,"- holy-persons","")</f>
        <v>- holy-persons</v>
      </c>
      <c r="BA70" s="155" t="str">
        <f>IF(LEN(Y70)&gt;0,"- "&amp;Y70,"")</f>
        <v>- teresa-avila</v>
      </c>
      <c r="BB70" s="155" t="str">
        <f>IF(LEN(Z70)&gt;0,"- "&amp;Z70,"")</f>
        <v>- discalced-carmelites</v>
      </c>
      <c r="BC70" s="155" t="str">
        <f>IF(LEN(AA70)&gt;0,"- "&amp;AA70,"")</f>
        <v>- communities</v>
      </c>
      <c r="BD70" s="155" t="str">
        <f>IF(LEN(AB70)&gt;0,"- "&amp;AB70,"")</f>
        <v/>
      </c>
      <c r="BE70" s="155" t="str">
        <f>IF(LEN(AC70)&gt;0,"- "&amp;AC70,"")</f>
        <v/>
      </c>
      <c r="BF70" s="155" t="str">
        <f>IF(LEN(AD70)&gt;0,"- "&amp;AD70,"")</f>
        <v/>
      </c>
      <c r="BG70" s="155" t="str">
        <f>IF(LEN(AE70)&gt;0,"- "&amp;AE70,"")</f>
        <v/>
      </c>
      <c r="BH70" s="155" t="str">
        <f>IF(LEN(AF70)&gt;0,"- "&amp;AF70,"")</f>
        <v/>
      </c>
      <c r="BI70" s="155" t="str">
        <f>IF(LEN(AG70)&gt;0,"- "&amp;AG70,"")</f>
        <v/>
      </c>
      <c r="BJ70" s="155" t="str">
        <f>IF(LEN(AH70)&gt;0,"- "&amp;AH70,"")</f>
        <v/>
      </c>
      <c r="BK70" s="155" t="str">
        <f>"tags:"&amp;CHAR(10)&amp;concatl(AV70:BJ70)</f>
        <v xml:space="preserve">tags:
- spain_x000D_
- caravaca_x000D_
- churches_x000D_
- holy-persons_x000D_
- teresa-avila_x000D_
- discalced-carmelites_x000D_
- communities_x000D_
</v>
      </c>
      <c r="BL70" s="155" t="str">
        <f>IF(LEN(N70)&gt;0,TRIM(CONCATENATE("[Official site](",N70,") ",O70)),"")</f>
        <v/>
      </c>
      <c r="BM70" s="155" t="str">
        <f>IF(LEN(Q70)&gt;0,TRIM(CONCATENATE("["&amp;P70&amp;"](",Q70,") ",R70)),"")</f>
        <v>[Caravaca tourism site](https://www.turismocaravaca.com/blog/church-and-convent-san-jose-of-madres-carmelitas/)</v>
      </c>
      <c r="BN70" s="155" t="str">
        <f>IF(LEN(T70)&gt;0,TRIM(CONCATENATE("["&amp;S70&amp;"](",T70,") ",U70)),"")</f>
        <v>[Article from Murcia Today](https://murciatoday.com/the-convent_church-of-san-jose-in-caravaca-de-la-cruz_34175-a.html)</v>
      </c>
      <c r="BO70" s="155" t="str">
        <f>IF(LEN(W70)&gt;0,TRIM(CONCATENATE("["&amp;V70&amp;"](",W70,") ",X70)),"")</f>
        <v/>
      </c>
      <c r="BP70" s="155" t="str">
        <f>IF(LEN(BL70)&gt;0,"* "&amp;BL70&amp;CHAR(10),"")&amp;
IF(LEN(BM70)&gt;0,"* "&amp;BM70&amp;CHAR(10),"")&amp;
IF(LEN(BN70)&gt;0,"* "&amp;BN70&amp;CHAR(10),"")&amp;
IF(LEN(BO70)&gt;0,"* "&amp;BO70&amp;CHAR(10),"")</f>
        <v xml:space="preserve">* [Caravaca tourism site](https://www.turismocaravaca.com/blog/church-and-convent-san-jose-of-madres-carmelitas/)
* [Article from Murcia Today](https://murciatoday.com/the-convent_church-of-san-jose-in-caravaca-de-la-cruz_34175-a.html)
</v>
      </c>
      <c r="BQ70" s="155" t="str">
        <f>IF(LEN(AK70)&gt;0,TRIM(CONCATENATE("[Link](",AK70,") ",AL70)),"")</f>
        <v/>
      </c>
      <c r="BR70" s="155" t="str">
        <f>IF(LEN(AM70)&gt;0,TRIM(CONCATENATE("[Link](",AM70,") ",AN70)),"")</f>
        <v/>
      </c>
      <c r="BS70" s="155" t="str">
        <f>IF(LEN(AO70)&gt;0,TRIM(CONCATENATE("[Link](",AO70,") ",AP70)),"")</f>
        <v/>
      </c>
      <c r="BT70" s="155" t="str">
        <f>IF(LEN(concat(BQ70:BS70))&gt;0,concat("| ",BQ70," | ",BR70," | ",BS70," |"),"")</f>
        <v/>
      </c>
      <c r="BU70" s="155" t="str">
        <f>IF(J70,concatl("| The Real Presence | Miracle Hunter | MaryPages |","| --- | --- | --- |",BT70),"")</f>
        <v/>
      </c>
      <c r="BV70" s="155" t="str">
        <f>IF(LEN(BP70&amp;BU70)&gt;0,concatll("#### More Information",BP70,BU70),"")</f>
        <v xml:space="preserve">#### More Information_x000D_
_x000D_
* [Caravaca tourism site](https://www.turismocaravaca.com/blog/church-and-convent-san-jose-of-madres-carmelitas/)
* [Article from Murcia Today](https://murciatoday.com/the-convent_church-of-san-jose-in-caravaca-de-la-cruz_34175-a.html)
_x000D_
_x000D_
</v>
      </c>
      <c r="BW70" s="155" t="str">
        <f>IF(LEN(M70)&gt;1,concatll("#### Author's Note",M70),"")</f>
        <v/>
      </c>
      <c r="BX70" s="23" t="str">
        <f>IF(AR70,concatll(concatl("---",AS70:AU70,BK70,"---"),L70,BV70:BW70),"")</f>
        <v xml:space="preserve">---_x000D_
title: "Convento de San Jose, Caravaca de la Cruz"_x000D_
location: {lat: 38.1067192842424, lng: -1.8610296}_x000D_
interest: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70" s="23" t="str">
        <f>IF(AR70,VLOOKUP(B70,'(Ref) Countries'!A:B,2,)&amp;IF(LEN(C70)&gt;1,"-"&amp;LOWER(SUBSTITUTE(C70," ","-")),"")&amp;"-"&amp;LOWER(SUBSTITUTE(SUBSTITUTE(G70," ","-"),".",""))&amp;".md","")</f>
        <v>es-caravaca-convento-de-san-jose.md</v>
      </c>
      <c r="BZ70" s="29" t="str">
        <f>IF(LEN(Y70)&gt;1,VLOOKUP(Y70,'Tag List'!$A:$B,2,),"")</f>
        <v>St. Teresa of Avila, OCD</v>
      </c>
      <c r="CA70" s="29" t="str">
        <f>IF(LEN(Z70)&gt;1,VLOOKUP(Z70,'Tag List'!$A:$B,2,),"")</f>
        <v>Discalced Carmelites (Order of Discalced Carmelites)</v>
      </c>
      <c r="CB70" s="29" t="str">
        <f>IF(LEN(AA70)&gt;1,VLOOKUP(AA70,'Tag List'!$A:$B,2,),"")</f>
        <v>Religious Communities</v>
      </c>
      <c r="CC70" s="29" t="str">
        <f>IF(LEN(Y70)&gt;1,GetTagPage(BZ70,Y70),"")</f>
        <v>[St. Teresa of Avila, OCD](/tags/teresa-avila)</v>
      </c>
      <c r="CD70" s="29" t="str">
        <f>IF(LEN(Z70)&gt;1,GetTagPage(CA70,Z70),"")</f>
        <v>[Discalced Carmelites (Order of Discalced Carmelites)](/tags/discalced-carmelites)</v>
      </c>
      <c r="CE70" s="29" t="str">
        <f>IF(LEN(AA70)&gt;1,GetTagPage(CB70,AA70),"")</f>
        <v>[Religious Communities](/tags/communities)</v>
      </c>
      <c r="CF70" s="29" t="str">
        <f>"|"&amp;IF(LEN(CC70)&gt;1," "&amp;CC70,"")&amp;IF(LEN(CD70)&gt;1,", "&amp;CD70,"")&amp;IF(LEN(CE70)&gt;1,", "&amp;CE70,"")&amp;" "</f>
        <v xml:space="preserve">| [St. Teresa of Avila, OCD](/tags/teresa-avila), [Discalced Carmelites (Order of Discalced Carmelites)](/tags/discalced-carmelites), [Religious Communities](/tags/communities) </v>
      </c>
      <c r="CG70" s="29" t="str">
        <f>"| "&amp;IF(AR70,"["&amp;AI70&amp;"](/places/"&amp;SUBSTITUTE(BY70,".md","")&amp;")",AI70)&amp;" "</f>
        <v xml:space="preserve">| [](/places/es-caravaca-convento-de-san-jose) </v>
      </c>
      <c r="CH70" s="29" t="str">
        <f>"| "&amp;IF(AR70,GetTagPage(B70,VLOOKUP(B70,'(Ref) Countries'!A:C,3,)),B70)&amp; " "</f>
        <v xml:space="preserve">| [Spain](/tags/spain) </v>
      </c>
      <c r="CI70" s="29" t="str">
        <f>"| "&amp;AJ70&amp;" "</f>
        <v xml:space="preserve">|  </v>
      </c>
      <c r="CJ70" s="29" t="str">
        <f>"|"&amp;IF(AR70," [Link](/places/"&amp;SUBSTITUTE(BY70,".md","")&amp;")","")&amp;" "</f>
        <v xml:space="preserve">| [Link](/places/es-caravaca-convento-de-san-jose) </v>
      </c>
      <c r="CK70" s="29" t="str">
        <f>"
"&amp;CG70&amp;CH70&amp;CI70&amp;CJ70&amp;BL70&amp;BQ70&amp;BR70&amp;BS70&amp;CF70&amp;"|"</f>
        <v xml:space="preserve">
| [](/places/es-caravaca-convento-de-san-jose) | [Spain](/tags/spain) |  | [Link](/places/es-caravaca-convento-de-san-jose) | [St. Teresa of Avila, OCD](/tags/teresa-avila), [Discalced Carmelites (Order of Discalced Carmelites)](/tags/discalced-carmelites), [Religious Communities](/tags/communities) |</v>
      </c>
    </row>
    <row r="71" spans="1:89" ht="25.5" x14ac:dyDescent="0.25">
      <c r="A71" s="168" t="s">
        <v>1320</v>
      </c>
      <c r="B71" s="24" t="s">
        <v>552</v>
      </c>
      <c r="C71" s="111" t="s">
        <v>2202</v>
      </c>
      <c r="D71" s="15">
        <v>39.439610215366898</v>
      </c>
      <c r="E71" s="49">
        <v>-1.95650919993269</v>
      </c>
      <c r="F71" s="111" t="s">
        <v>2279</v>
      </c>
      <c r="G71" s="53" t="s">
        <v>2201</v>
      </c>
      <c r="H71" s="24" t="s">
        <v>1825</v>
      </c>
      <c r="I71" s="24" t="b">
        <v>1</v>
      </c>
      <c r="K71" s="24" t="b">
        <v>1</v>
      </c>
      <c r="L71" s="101" t="s">
        <v>2203</v>
      </c>
      <c r="P71" s="106" t="s">
        <v>2204</v>
      </c>
      <c r="Q71" s="15" t="s">
        <v>2205</v>
      </c>
      <c r="R71" s="107" t="s">
        <v>336</v>
      </c>
      <c r="Y71" s="15" t="s">
        <v>2133</v>
      </c>
      <c r="Z71" s="15" t="s">
        <v>2129</v>
      </c>
      <c r="AA71" s="15" t="s">
        <v>1424</v>
      </c>
      <c r="AR71" s="154" t="b">
        <f>IF(OR(A71="Done",A71="In Progress"),TRUE)</f>
        <v>1</v>
      </c>
      <c r="AS71" s="155" t="str">
        <f>"title: """&amp;F71&amp;""""</f>
        <v>title: "Convento de Santa Ana, Villanueva de la Jara"</v>
      </c>
      <c r="AT71" s="155" t="str">
        <f>"location: {lat: "&amp;D71&amp;", lng: "&amp;E71&amp;"}"</f>
        <v>location: {lat: 39.4396102153669, lng: -1.95650919993269}</v>
      </c>
      <c r="AU71" s="155" t="str">
        <f>"interest: "&amp;H71</f>
        <v>interest: local</v>
      </c>
      <c r="AV71" s="155" t="str">
        <f>"- "&amp;VLOOKUP(B71,'(Ref) Countries'!A:C,3,)</f>
        <v>- spain</v>
      </c>
      <c r="AW71" s="155" t="str">
        <f>IF(LEN(C71)&gt;1,"- "&amp;LOWER(SUBSTITUTE(C71," ","-")),"")</f>
        <v>- villanueva-de-la-jara</v>
      </c>
      <c r="AX71" s="155" t="str">
        <f>IF(I71,"- churches","")</f>
        <v>- churches</v>
      </c>
      <c r="AY71" s="155" t="str">
        <f>IF(J71,"- marian-sites","")</f>
        <v/>
      </c>
      <c r="AZ71" s="155" t="str">
        <f>IF(K71,"- holy-persons","")</f>
        <v>- holy-persons</v>
      </c>
      <c r="BA71" s="155" t="str">
        <f>IF(LEN(Y71)&gt;0,"- "&amp;Y71,"")</f>
        <v>- teresa-avila</v>
      </c>
      <c r="BB71" s="155" t="str">
        <f>IF(LEN(Z71)&gt;0,"- "&amp;Z71,"")</f>
        <v>- discalced-carmelites</v>
      </c>
      <c r="BC71" s="155" t="str">
        <f>IF(LEN(AA71)&gt;0,"- "&amp;AA71,"")</f>
        <v>- communities</v>
      </c>
      <c r="BD71" s="155" t="str">
        <f>IF(LEN(AB71)&gt;0,"- "&amp;AB71,"")</f>
        <v/>
      </c>
      <c r="BE71" s="155" t="str">
        <f>IF(LEN(AC71)&gt;0,"- "&amp;AC71,"")</f>
        <v/>
      </c>
      <c r="BF71" s="155" t="str">
        <f>IF(LEN(AD71)&gt;0,"- "&amp;AD71,"")</f>
        <v/>
      </c>
      <c r="BG71" s="155" t="str">
        <f>IF(LEN(AE71)&gt;0,"- "&amp;AE71,"")</f>
        <v/>
      </c>
      <c r="BH71" s="155" t="str">
        <f>IF(LEN(AF71)&gt;0,"- "&amp;AF71,"")</f>
        <v/>
      </c>
      <c r="BI71" s="155" t="str">
        <f>IF(LEN(AG71)&gt;0,"- "&amp;AG71,"")</f>
        <v/>
      </c>
      <c r="BJ71" s="155" t="str">
        <f>IF(LEN(AH71)&gt;0,"- "&amp;AH71,"")</f>
        <v/>
      </c>
      <c r="BK71" s="155" t="str">
        <f>"tags:"&amp;CHAR(10)&amp;concatl(AV71:BJ71)</f>
        <v xml:space="preserve">tags:
- spain_x000D_
- villanueva-de-la-jara_x000D_
- churches_x000D_
- holy-persons_x000D_
- teresa-avila_x000D_
- discalced-carmelites_x000D_
- communities_x000D_
</v>
      </c>
      <c r="BL71" s="155" t="str">
        <f>IF(LEN(N71)&gt;0,TRIM(CONCATENATE("[Official site](",N71,") ",O71)),"")</f>
        <v/>
      </c>
      <c r="BM71" s="155" t="str">
        <f>IF(LEN(Q71)&gt;0,TRIM(CONCATENATE("["&amp;P71&amp;"](",Q71,") ",R71)),"")</f>
        <v>[Villanueva de la Jara offical site](https://www.villanuevadelajara.eu/english/the-footprints-of-st-teresa-of-jesus-in-villanueva-de-la-jara/)</v>
      </c>
      <c r="BN71" s="155" t="str">
        <f>IF(LEN(T71)&gt;0,TRIM(CONCATENATE("["&amp;S71&amp;"](",T71,") ",U71)),"")</f>
        <v/>
      </c>
      <c r="BO71" s="155" t="str">
        <f>IF(LEN(W71)&gt;0,TRIM(CONCATENATE("["&amp;V71&amp;"](",W71,") ",X71)),"")</f>
        <v/>
      </c>
      <c r="BP71" s="155" t="str">
        <f>IF(LEN(BL71)&gt;0,"* "&amp;BL71&amp;CHAR(10),"")&amp;
IF(LEN(BM71)&gt;0,"* "&amp;BM71&amp;CHAR(10),"")&amp;
IF(LEN(BN71)&gt;0,"* "&amp;BN71&amp;CHAR(10),"")&amp;
IF(LEN(BO71)&gt;0,"* "&amp;BO71&amp;CHAR(10),"")</f>
        <v xml:space="preserve">* [Villanueva de la Jara offical site](https://www.villanuevadelajara.eu/english/the-footprints-of-st-teresa-of-jesus-in-villanueva-de-la-jara/)
</v>
      </c>
      <c r="BQ71" s="155" t="str">
        <f>IF(LEN(AK71)&gt;0,TRIM(CONCATENATE("[Link](",AK71,") ",AL71)),"")</f>
        <v/>
      </c>
      <c r="BR71" s="155" t="str">
        <f>IF(LEN(AM71)&gt;0,TRIM(CONCATENATE("[Link](",AM71,") ",AN71)),"")</f>
        <v/>
      </c>
      <c r="BS71" s="155" t="str">
        <f>IF(LEN(AO71)&gt;0,TRIM(CONCATENATE("[Link](",AO71,") ",AP71)),"")</f>
        <v/>
      </c>
      <c r="BT71" s="155" t="str">
        <f>IF(LEN(concat(BQ71:BS71))&gt;0,concat("| ",BQ71," | ",BR71," | ",BS71," |"),"")</f>
        <v/>
      </c>
      <c r="BU71" s="155" t="str">
        <f>IF(J71,concatl("| The Real Presence | Miracle Hunter | MaryPages |","| --- | --- | --- |",BT71),"")</f>
        <v/>
      </c>
      <c r="BV71" s="155" t="str">
        <f>IF(LEN(BP71&amp;BU71)&gt;0,concatll("#### More Information",BP71,BU71),"")</f>
        <v xml:space="preserve">#### More Information_x000D_
_x000D_
* [Villanueva de la Jara offical site](https://www.villanuevadelajara.eu/english/the-footprints-of-st-teresa-of-jesus-in-villanueva-de-la-jara/)
_x000D_
_x000D_
</v>
      </c>
      <c r="BW71" s="155" t="str">
        <f>IF(LEN(M71)&gt;1,concatll("#### Author's Note",M71),"")</f>
        <v/>
      </c>
      <c r="BX71" s="23" t="str">
        <f>IF(AR71,concatll(concatl("---",AS71:AU71,BK71,"---"),L71,BV71:BW71),"")</f>
        <v xml:space="preserve">---_x000D_
title: "Convento de Santa Ana, Villanueva de la Jara"_x000D_
location: {lat: 39.4396102153669, lng: -1.95650919993269}_x000D_
interest: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71" s="23" t="str">
        <f>IF(AR71,VLOOKUP(B71,'(Ref) Countries'!A:B,2,)&amp;IF(LEN(C71)&gt;1,"-"&amp;LOWER(SUBSTITUTE(C71," ","-")),"")&amp;"-"&amp;LOWER(SUBSTITUTE(SUBSTITUTE(G71," ","-"),".",""))&amp;".md","")</f>
        <v>es-villanueva-de-la-jara-convento-de-santa-ana.md</v>
      </c>
      <c r="BZ71" s="29" t="str">
        <f>IF(LEN(Y71)&gt;1,VLOOKUP(Y71,'Tag List'!$A:$B,2,),"")</f>
        <v>St. Teresa of Avila, OCD</v>
      </c>
      <c r="CA71" s="29" t="str">
        <f>IF(LEN(Z71)&gt;1,VLOOKUP(Z71,'Tag List'!$A:$B,2,),"")</f>
        <v>Discalced Carmelites (Order of Discalced Carmelites)</v>
      </c>
      <c r="CB71" s="29" t="str">
        <f>IF(LEN(AA71)&gt;1,VLOOKUP(AA71,'Tag List'!$A:$B,2,),"")</f>
        <v>Religious Communities</v>
      </c>
      <c r="CC71" s="29" t="str">
        <f>IF(LEN(Y71)&gt;1,GetTagPage(BZ71,Y71),"")</f>
        <v>[St. Teresa of Avila, OCD](/tags/teresa-avila)</v>
      </c>
      <c r="CD71" s="29" t="str">
        <f>IF(LEN(Z71)&gt;1,GetTagPage(CA71,Z71),"")</f>
        <v>[Discalced Carmelites (Order of Discalced Carmelites)](/tags/discalced-carmelites)</v>
      </c>
      <c r="CE71" s="29" t="str">
        <f>IF(LEN(AA71)&gt;1,GetTagPage(CB71,AA71),"")</f>
        <v>[Religious Communities](/tags/communities)</v>
      </c>
      <c r="CF71" s="29" t="str">
        <f>"|"&amp;IF(LEN(CC71)&gt;1," "&amp;CC71,"")&amp;IF(LEN(CD71)&gt;1,", "&amp;CD71,"")&amp;IF(LEN(CE71)&gt;1,", "&amp;CE71,"")&amp;" "</f>
        <v xml:space="preserve">| [St. Teresa of Avila, OCD](/tags/teresa-avila), [Discalced Carmelites (Order of Discalced Carmelites)](/tags/discalced-carmelites), [Religious Communities](/tags/communities) </v>
      </c>
      <c r="CG71" s="29" t="str">
        <f>"| "&amp;IF(AR71,"["&amp;AI71&amp;"](/places/"&amp;SUBSTITUTE(BY71,".md","")&amp;")",AI71)&amp;" "</f>
        <v xml:space="preserve">| [](/places/es-villanueva-de-la-jara-convento-de-santa-ana) </v>
      </c>
      <c r="CH71" s="29" t="str">
        <f>"| "&amp;IF(AR71,GetTagPage(B71,VLOOKUP(B71,'(Ref) Countries'!A:C,3,)),B71)&amp; " "</f>
        <v xml:space="preserve">| [Spain](/tags/spain) </v>
      </c>
      <c r="CI71" s="29" t="str">
        <f>"| "&amp;AJ71&amp;" "</f>
        <v xml:space="preserve">|  </v>
      </c>
      <c r="CJ71" s="29" t="str">
        <f>"|"&amp;IF(AR71," [Link](/places/"&amp;SUBSTITUTE(BY71,".md","")&amp;")","")&amp;" "</f>
        <v xml:space="preserve">| [Link](/places/es-villanueva-de-la-jara-convento-de-santa-ana) </v>
      </c>
      <c r="CK71" s="29" t="str">
        <f>"
"&amp;CG71&amp;CH71&amp;CI71&amp;CJ71&amp;BL71&amp;BQ71&amp;BR71&amp;BS71&amp;CF71&amp;"|"</f>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72" spans="1:89" ht="25.5" x14ac:dyDescent="0.25">
      <c r="A72" s="168" t="s">
        <v>1320</v>
      </c>
      <c r="B72" s="24" t="s">
        <v>552</v>
      </c>
      <c r="C72" s="101" t="s">
        <v>2206</v>
      </c>
      <c r="D72" s="15">
        <v>42.007672479991903</v>
      </c>
      <c r="E72" s="49">
        <v>-4.5314706466260501</v>
      </c>
      <c r="F72" s="111" t="s">
        <v>2280</v>
      </c>
      <c r="G72" s="103" t="s">
        <v>2211</v>
      </c>
      <c r="H72" s="24" t="s">
        <v>1825</v>
      </c>
      <c r="I72" s="24" t="b">
        <v>1</v>
      </c>
      <c r="K72" s="24" t="b">
        <v>1</v>
      </c>
      <c r="L72" s="101" t="s">
        <v>2207</v>
      </c>
      <c r="P72" s="106" t="s">
        <v>2208</v>
      </c>
      <c r="Q72" s="15" t="s">
        <v>2209</v>
      </c>
      <c r="R72" s="64" t="s">
        <v>336</v>
      </c>
      <c r="Y72" s="15" t="s">
        <v>2133</v>
      </c>
      <c r="Z72" s="15" t="s">
        <v>2129</v>
      </c>
      <c r="AR72" s="154" t="b">
        <f>IF(OR(A72="Done",A72="In Progress"),TRUE)</f>
        <v>1</v>
      </c>
      <c r="AS72" s="155" t="str">
        <f>"title: """&amp;F72&amp;""""</f>
        <v>title: "St. Bernard Church (Iglesia de San Bernardo), Palencia"</v>
      </c>
      <c r="AT72" s="155" t="str">
        <f>"location: {lat: "&amp;D72&amp;", lng: "&amp;E72&amp;"}"</f>
        <v>location: {lat: 42.0076724799919, lng: -4.53147064662605}</v>
      </c>
      <c r="AU72" s="155" t="str">
        <f>"interest: "&amp;H72</f>
        <v>interest: local</v>
      </c>
      <c r="AV72" s="155" t="str">
        <f>"- "&amp;VLOOKUP(B72,'(Ref) Countries'!A:C,3,)</f>
        <v>- spain</v>
      </c>
      <c r="AW72" s="155" t="str">
        <f>IF(LEN(C72)&gt;1,"- "&amp;LOWER(SUBSTITUTE(C72," ","-")),"")</f>
        <v>- palencia</v>
      </c>
      <c r="AX72" s="155" t="str">
        <f>IF(I72,"- churches","")</f>
        <v>- churches</v>
      </c>
      <c r="AY72" s="155" t="str">
        <f>IF(J72,"- marian-sites","")</f>
        <v/>
      </c>
      <c r="AZ72" s="155" t="str">
        <f>IF(K72,"- holy-persons","")</f>
        <v>- holy-persons</v>
      </c>
      <c r="BA72" s="155" t="str">
        <f>IF(LEN(Y72)&gt;0,"- "&amp;Y72,"")</f>
        <v>- teresa-avila</v>
      </c>
      <c r="BB72" s="155" t="str">
        <f>IF(LEN(Z72)&gt;0,"- "&amp;Z72,"")</f>
        <v>- discalced-carmelites</v>
      </c>
      <c r="BC72" s="155" t="str">
        <f>IF(LEN(AA72)&gt;0,"- "&amp;AA72,"")</f>
        <v/>
      </c>
      <c r="BD72" s="155" t="str">
        <f>IF(LEN(AB72)&gt;0,"- "&amp;AB72,"")</f>
        <v/>
      </c>
      <c r="BE72" s="155" t="str">
        <f>IF(LEN(AC72)&gt;0,"- "&amp;AC72,"")</f>
        <v/>
      </c>
      <c r="BF72" s="155" t="str">
        <f>IF(LEN(AD72)&gt;0,"- "&amp;AD72,"")</f>
        <v/>
      </c>
      <c r="BG72" s="155" t="str">
        <f>IF(LEN(AE72)&gt;0,"- "&amp;AE72,"")</f>
        <v/>
      </c>
      <c r="BH72" s="155" t="str">
        <f>IF(LEN(AF72)&gt;0,"- "&amp;AF72,"")</f>
        <v/>
      </c>
      <c r="BI72" s="155" t="str">
        <f>IF(LEN(AG72)&gt;0,"- "&amp;AG72,"")</f>
        <v/>
      </c>
      <c r="BJ72" s="155" t="str">
        <f>IF(LEN(AH72)&gt;0,"- "&amp;AH72,"")</f>
        <v/>
      </c>
      <c r="BK72" s="155" t="str">
        <f>"tags:"&amp;CHAR(10)&amp;concatl(AV72:BJ72)</f>
        <v xml:space="preserve">tags:
- spain_x000D_
- palencia_x000D_
- churches_x000D_
- holy-persons_x000D_
- teresa-avila_x000D_
- discalced-carmelites_x000D_
</v>
      </c>
      <c r="BL72" s="155" t="str">
        <f>IF(LEN(N72)&gt;0,TRIM(CONCATENATE("[Official site](",N72,") ",O72)),"")</f>
        <v/>
      </c>
      <c r="BM72" s="155" t="str">
        <f>IF(LEN(Q72)&gt;0,TRIM(CONCATENATE("["&amp;P72&amp;"](",Q72,") ",R72)),"")</f>
        <v>[Palencia tourism site](https://turismo.aytopalencia.es/en/poi/church-san-bernardo)</v>
      </c>
      <c r="BN72" s="155" t="str">
        <f>IF(LEN(T72)&gt;0,TRIM(CONCATENATE("["&amp;S72&amp;"](",T72,") ",U72)),"")</f>
        <v/>
      </c>
      <c r="BO72" s="155" t="str">
        <f>IF(LEN(W72)&gt;0,TRIM(CONCATENATE("["&amp;V72&amp;"](",W72,") ",X72)),"")</f>
        <v/>
      </c>
      <c r="BP72" s="155" t="str">
        <f>IF(LEN(BL72)&gt;0,"* "&amp;BL72&amp;CHAR(10),"")&amp;
IF(LEN(BM72)&gt;0,"* "&amp;BM72&amp;CHAR(10),"")&amp;
IF(LEN(BN72)&gt;0,"* "&amp;BN72&amp;CHAR(10),"")&amp;
IF(LEN(BO72)&gt;0,"* "&amp;BO72&amp;CHAR(10),"")</f>
        <v xml:space="preserve">* [Palencia tourism site](https://turismo.aytopalencia.es/en/poi/church-san-bernardo)
</v>
      </c>
      <c r="BQ72" s="155" t="str">
        <f>IF(LEN(AK72)&gt;0,TRIM(CONCATENATE("[Link](",AK72,") ",AL72)),"")</f>
        <v/>
      </c>
      <c r="BR72" s="155" t="str">
        <f>IF(LEN(AM72)&gt;0,TRIM(CONCATENATE("[Link](",AM72,") ",AN72)),"")</f>
        <v/>
      </c>
      <c r="BS72" s="155" t="str">
        <f>IF(LEN(AO72)&gt;0,TRIM(CONCATENATE("[Link](",AO72,") ",AP72)),"")</f>
        <v/>
      </c>
      <c r="BT72" s="155" t="str">
        <f>IF(LEN(concat(BQ72:BS72))&gt;0,concat("| ",BQ72," | ",BR72," | ",BS72," |"),"")</f>
        <v/>
      </c>
      <c r="BU72" s="155" t="str">
        <f>IF(J72,concatl("| The Real Presence | Miracle Hunter | MaryPages |","| --- | --- | --- |",BT72),"")</f>
        <v/>
      </c>
      <c r="BV72" s="155" t="str">
        <f>IF(LEN(BP72&amp;BU72)&gt;0,concatll("#### More Information",BP72,BU72),"")</f>
        <v xml:space="preserve">#### More Information_x000D_
_x000D_
* [Palencia tourism site](https://turismo.aytopalencia.es/en/poi/church-san-bernardo)
_x000D_
_x000D_
</v>
      </c>
      <c r="BW72" s="155" t="str">
        <f>IF(LEN(M72)&gt;1,concatll("#### Author's Note",M72),"")</f>
        <v/>
      </c>
      <c r="BX72" s="23" t="str">
        <f>IF(AR72,concatll(concatl("---",AS72:AU72,BK72,"---"),L72,BV72:BW72),"")</f>
        <v xml:space="preserve">---_x000D_
title: "St. Bernard Church (Iglesia de San Bernardo), Palencia"_x000D_
location: {lat: 42.0076724799919, lng: -4.53147064662605}_x000D_
interest: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72" s="23" t="str">
        <f>IF(AR72,VLOOKUP(B72,'(Ref) Countries'!A:B,2,)&amp;IF(LEN(C72)&gt;1,"-"&amp;LOWER(SUBSTITUTE(C72," ","-")),"")&amp;"-"&amp;LOWER(SUBSTITUTE(SUBSTITUTE(G72," ","-"),".",""))&amp;".md","")</f>
        <v>es-palencia-iglesia-de-san-bernardo.md</v>
      </c>
      <c r="BZ72" s="29" t="str">
        <f>IF(LEN(Y72)&gt;1,VLOOKUP(Y72,'Tag List'!$A:$B,2,),"")</f>
        <v>St. Teresa of Avila, OCD</v>
      </c>
      <c r="CA72" s="29" t="str">
        <f>IF(LEN(Z72)&gt;1,VLOOKUP(Z72,'Tag List'!$A:$B,2,),"")</f>
        <v>Discalced Carmelites (Order of Discalced Carmelites)</v>
      </c>
      <c r="CB72" s="29" t="str">
        <f>IF(LEN(AA72)&gt;1,VLOOKUP(AA72,'Tag List'!$A:$B,2,),"")</f>
        <v/>
      </c>
      <c r="CC72" s="29" t="str">
        <f>IF(LEN(Y72)&gt;1,GetTagPage(BZ72,Y72),"")</f>
        <v>[St. Teresa of Avila, OCD](/tags/teresa-avila)</v>
      </c>
      <c r="CD72" s="29" t="str">
        <f>IF(LEN(Z72)&gt;1,GetTagPage(CA72,Z72),"")</f>
        <v>[Discalced Carmelites (Order of Discalced Carmelites)](/tags/discalced-carmelites)</v>
      </c>
      <c r="CE72" s="29" t="str">
        <f>IF(LEN(AA72)&gt;1,GetTagPage(CB72,AA72),"")</f>
        <v/>
      </c>
      <c r="CF72" s="29" t="str">
        <f>"|"&amp;IF(LEN(CC72)&gt;1," "&amp;CC72,"")&amp;IF(LEN(CD72)&gt;1,", "&amp;CD72,"")&amp;IF(LEN(CE72)&gt;1,", "&amp;CE72,"")&amp;" "</f>
        <v xml:space="preserve">| [St. Teresa of Avila, OCD](/tags/teresa-avila), [Discalced Carmelites (Order of Discalced Carmelites)](/tags/discalced-carmelites) </v>
      </c>
      <c r="CG72" s="29" t="str">
        <f>"| "&amp;IF(AR72,"["&amp;AI72&amp;"](/places/"&amp;SUBSTITUTE(BY72,".md","")&amp;")",AI72)&amp;" "</f>
        <v xml:space="preserve">| [](/places/es-palencia-iglesia-de-san-bernardo) </v>
      </c>
      <c r="CH72" s="29" t="str">
        <f>"| "&amp;IF(AR72,GetTagPage(B72,VLOOKUP(B72,'(Ref) Countries'!A:C,3,)),B72)&amp; " "</f>
        <v xml:space="preserve">| [Spain](/tags/spain) </v>
      </c>
      <c r="CI72" s="29" t="str">
        <f>"| "&amp;AJ72&amp;" "</f>
        <v xml:space="preserve">|  </v>
      </c>
      <c r="CJ72" s="29" t="str">
        <f>"|"&amp;IF(AR72," [Link](/places/"&amp;SUBSTITUTE(BY72,".md","")&amp;")","")&amp;" "</f>
        <v xml:space="preserve">| [Link](/places/es-palencia-iglesia-de-san-bernardo) </v>
      </c>
      <c r="CK72" s="29" t="str">
        <f>"
"&amp;CG72&amp;CH72&amp;CI72&amp;CJ72&amp;BL72&amp;BQ72&amp;BR72&amp;BS72&amp;CF72&amp;"|"</f>
        <v xml:space="preserve">
| [](/places/es-palencia-iglesia-de-san-bernardo) | [Spain](/tags/spain) |  | [Link](/places/es-palencia-iglesia-de-san-bernardo) | [St. Teresa of Avila, OCD](/tags/teresa-avila), [Discalced Carmelites (Order of Discalced Carmelites)](/tags/discalced-carmelites) |</v>
      </c>
    </row>
    <row r="73" spans="1:89" ht="89.25" x14ac:dyDescent="0.25">
      <c r="A73" s="168" t="s">
        <v>1320</v>
      </c>
      <c r="B73" s="24" t="s">
        <v>552</v>
      </c>
      <c r="C73" s="101" t="s">
        <v>2210</v>
      </c>
      <c r="D73" s="15">
        <v>41.764625448349499</v>
      </c>
      <c r="E73" s="49">
        <v>-2.46296793728833</v>
      </c>
      <c r="F73" s="111" t="s">
        <v>2281</v>
      </c>
      <c r="G73" s="53" t="s">
        <v>2212</v>
      </c>
      <c r="H73" s="24" t="s">
        <v>1825</v>
      </c>
      <c r="I73" s="24" t="b">
        <v>1</v>
      </c>
      <c r="K73" s="24" t="b">
        <v>1</v>
      </c>
      <c r="L73" s="101" t="s">
        <v>2216</v>
      </c>
      <c r="M73" s="103" t="s">
        <v>2215</v>
      </c>
      <c r="P73" s="106" t="s">
        <v>2213</v>
      </c>
      <c r="Q73" s="15" t="s">
        <v>2214</v>
      </c>
      <c r="R73" s="64" t="s">
        <v>336</v>
      </c>
      <c r="Y73" s="15" t="s">
        <v>2133</v>
      </c>
      <c r="Z73" s="15" t="s">
        <v>2129</v>
      </c>
      <c r="AA73" s="15" t="s">
        <v>1424</v>
      </c>
      <c r="AR73" s="154" t="b">
        <f>IF(OR(A73="Done",A73="In Progress"),TRUE)</f>
        <v>1</v>
      </c>
      <c r="AS73" s="155" t="str">
        <f>"title: """&amp;F73&amp;""""</f>
        <v>title: "Convent of our Lady of Carmen (Convento de Nuestra Senora del Carmen), Soria"</v>
      </c>
      <c r="AT73" s="155" t="str">
        <f>"location: {lat: "&amp;D73&amp;", lng: "&amp;E73&amp;"}"</f>
        <v>location: {lat: 41.7646254483495, lng: -2.46296793728833}</v>
      </c>
      <c r="AU73" s="155" t="str">
        <f>"interest: "&amp;H73</f>
        <v>interest: local</v>
      </c>
      <c r="AV73" s="155" t="str">
        <f>"- "&amp;VLOOKUP(B73,'(Ref) Countries'!A:C,3,)</f>
        <v>- spain</v>
      </c>
      <c r="AW73" s="155" t="str">
        <f>IF(LEN(C73)&gt;1,"- "&amp;LOWER(SUBSTITUTE(C73," ","-")),"")</f>
        <v>- soria</v>
      </c>
      <c r="AX73" s="155" t="str">
        <f>IF(I73,"- churches","")</f>
        <v>- churches</v>
      </c>
      <c r="AY73" s="155" t="str">
        <f>IF(J73,"- marian-sites","")</f>
        <v/>
      </c>
      <c r="AZ73" s="155" t="str">
        <f>IF(K73,"- holy-persons","")</f>
        <v>- holy-persons</v>
      </c>
      <c r="BA73" s="155" t="str">
        <f>IF(LEN(Y73)&gt;0,"- "&amp;Y73,"")</f>
        <v>- teresa-avila</v>
      </c>
      <c r="BB73" s="155" t="str">
        <f>IF(LEN(Z73)&gt;0,"- "&amp;Z73,"")</f>
        <v>- discalced-carmelites</v>
      </c>
      <c r="BC73" s="155" t="str">
        <f>IF(LEN(AA73)&gt;0,"- "&amp;AA73,"")</f>
        <v>- communities</v>
      </c>
      <c r="BD73" s="155" t="str">
        <f>IF(LEN(AB73)&gt;0,"- "&amp;AB73,"")</f>
        <v/>
      </c>
      <c r="BE73" s="155" t="str">
        <f>IF(LEN(AC73)&gt;0,"- "&amp;AC73,"")</f>
        <v/>
      </c>
      <c r="BF73" s="155" t="str">
        <f>IF(LEN(AD73)&gt;0,"- "&amp;AD73,"")</f>
        <v/>
      </c>
      <c r="BG73" s="155" t="str">
        <f>IF(LEN(AE73)&gt;0,"- "&amp;AE73,"")</f>
        <v/>
      </c>
      <c r="BH73" s="155" t="str">
        <f>IF(LEN(AF73)&gt;0,"- "&amp;AF73,"")</f>
        <v/>
      </c>
      <c r="BI73" s="155" t="str">
        <f>IF(LEN(AG73)&gt;0,"- "&amp;AG73,"")</f>
        <v/>
      </c>
      <c r="BJ73" s="155" t="str">
        <f>IF(LEN(AH73)&gt;0,"- "&amp;AH73,"")</f>
        <v/>
      </c>
      <c r="BK73" s="155" t="str">
        <f>"tags:"&amp;CHAR(10)&amp;concatl(AV73:BJ73)</f>
        <v xml:space="preserve">tags:
- spain_x000D_
- soria_x000D_
- churches_x000D_
- holy-persons_x000D_
- teresa-avila_x000D_
- discalced-carmelites_x000D_
- communities_x000D_
</v>
      </c>
      <c r="BL73" s="155" t="str">
        <f>IF(LEN(N73)&gt;0,TRIM(CONCATENATE("[Official site](",N73,") ",O73)),"")</f>
        <v/>
      </c>
      <c r="BM73" s="155" t="str">
        <f>IF(LEN(Q73)&gt;0,TRIM(CONCATENATE("["&amp;P73&amp;"](",Q73,") ",R73)),"")</f>
        <v>[Soria tourism site](https://www.turismosoria.es/en/what-to-see/monuments/convent-of-el-carmen/)</v>
      </c>
      <c r="BN73" s="155" t="str">
        <f>IF(LEN(T73)&gt;0,TRIM(CONCATENATE("["&amp;S73&amp;"](",T73,") ",U73)),"")</f>
        <v/>
      </c>
      <c r="BO73" s="155" t="str">
        <f>IF(LEN(W73)&gt;0,TRIM(CONCATENATE("["&amp;V73&amp;"](",W73,") ",X73)),"")</f>
        <v/>
      </c>
      <c r="BP73" s="155" t="str">
        <f>IF(LEN(BL73)&gt;0,"* "&amp;BL73&amp;CHAR(10),"")&amp;
IF(LEN(BM73)&gt;0,"* "&amp;BM73&amp;CHAR(10),"")&amp;
IF(LEN(BN73)&gt;0,"* "&amp;BN73&amp;CHAR(10),"")&amp;
IF(LEN(BO73)&gt;0,"* "&amp;BO73&amp;CHAR(10),"")</f>
        <v xml:space="preserve">* [Soria tourism site](https://www.turismosoria.es/en/what-to-see/monuments/convent-of-el-carmen/)
</v>
      </c>
      <c r="BQ73" s="155" t="str">
        <f>IF(LEN(AK73)&gt;0,TRIM(CONCATENATE("[Link](",AK73,") ",AL73)),"")</f>
        <v/>
      </c>
      <c r="BR73" s="155" t="str">
        <f>IF(LEN(AM73)&gt;0,TRIM(CONCATENATE("[Link](",AM73,") ",AN73)),"")</f>
        <v/>
      </c>
      <c r="BS73" s="155" t="str">
        <f>IF(LEN(AO73)&gt;0,TRIM(CONCATENATE("[Link](",AO73,") ",AP73)),"")</f>
        <v/>
      </c>
      <c r="BT73" s="155" t="str">
        <f>IF(LEN(concat(BQ73:BS73))&gt;0,concat("| ",BQ73," | ",BR73," | ",BS73," |"),"")</f>
        <v/>
      </c>
      <c r="BU73" s="155" t="str">
        <f>IF(J73,concatl("| The Real Presence | Miracle Hunter | MaryPages |","| --- | --- | --- |",BT73),"")</f>
        <v/>
      </c>
      <c r="BV73" s="155" t="str">
        <f>IF(LEN(BP73&amp;BU73)&gt;0,concatll("#### More Information",BP73,BU73),"")</f>
        <v xml:space="preserve">#### More Information_x000D_
_x000D_
* [Soria tourism site](https://www.turismosoria.es/en/what-to-see/monuments/convent-of-el-carmen/)
_x000D_
_x000D_
</v>
      </c>
      <c r="BW73" s="155" t="str">
        <f>IF(LEN(M73)&gt;1,concatll("#### Author's Note",M73),"")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73" s="23" t="str">
        <f>IF(AR73,concatll(concatl("---",AS73:AU73,BK73,"---"),L73,BV73:BW73),"")</f>
        <v xml:space="preserve">---_x000D_
title: "Convent of our Lady of Carmen (Convento de Nuestra Senora del Carmen), Soria"_x000D_
location: {lat: 41.7646254483495, lng: -2.46296793728833}_x000D_
interest: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73" s="23" t="str">
        <f>IF(AR73,VLOOKUP(B73,'(Ref) Countries'!A:B,2,)&amp;IF(LEN(C73)&gt;1,"-"&amp;LOWER(SUBSTITUTE(C73," ","-")),"")&amp;"-"&amp;LOWER(SUBSTITUTE(SUBSTITUTE(G73," ","-"),".",""))&amp;".md","")</f>
        <v>es-soria-convento-de-nuestra-senora-del-carmen.md</v>
      </c>
      <c r="BZ73" s="29" t="str">
        <f>IF(LEN(Y73)&gt;1,VLOOKUP(Y73,'Tag List'!$A:$B,2,),"")</f>
        <v>St. Teresa of Avila, OCD</v>
      </c>
      <c r="CA73" s="29" t="str">
        <f>IF(LEN(Z73)&gt;1,VLOOKUP(Z73,'Tag List'!$A:$B,2,),"")</f>
        <v>Discalced Carmelites (Order of Discalced Carmelites)</v>
      </c>
      <c r="CB73" s="29" t="str">
        <f>IF(LEN(AA73)&gt;1,VLOOKUP(AA73,'Tag List'!$A:$B,2,),"")</f>
        <v>Religious Communities</v>
      </c>
      <c r="CC73" s="29" t="str">
        <f>IF(LEN(Y73)&gt;1,GetTagPage(BZ73,Y73),"")</f>
        <v>[St. Teresa of Avila, OCD](/tags/teresa-avila)</v>
      </c>
      <c r="CD73" s="29" t="str">
        <f>IF(LEN(Z73)&gt;1,GetTagPage(CA73,Z73),"")</f>
        <v>[Discalced Carmelites (Order of Discalced Carmelites)](/tags/discalced-carmelites)</v>
      </c>
      <c r="CE73" s="29" t="str">
        <f>IF(LEN(AA73)&gt;1,GetTagPage(CB73,AA73),"")</f>
        <v>[Religious Communities](/tags/communities)</v>
      </c>
      <c r="CF73" s="29" t="str">
        <f>"|"&amp;IF(LEN(CC73)&gt;1," "&amp;CC73,"")&amp;IF(LEN(CD73)&gt;1,", "&amp;CD73,"")&amp;IF(LEN(CE73)&gt;1,", "&amp;CE73,"")&amp;" "</f>
        <v xml:space="preserve">| [St. Teresa of Avila, OCD](/tags/teresa-avila), [Discalced Carmelites (Order of Discalced Carmelites)](/tags/discalced-carmelites), [Religious Communities](/tags/communities) </v>
      </c>
      <c r="CG73" s="29" t="str">
        <f>"| "&amp;IF(AR73,"["&amp;AI73&amp;"](/places/"&amp;SUBSTITUTE(BY73,".md","")&amp;")",AI73)&amp;" "</f>
        <v xml:space="preserve">| [](/places/es-soria-convento-de-nuestra-senora-del-carmen) </v>
      </c>
      <c r="CH73" s="29" t="str">
        <f>"| "&amp;IF(AR73,GetTagPage(B73,VLOOKUP(B73,'(Ref) Countries'!A:C,3,)),B73)&amp; " "</f>
        <v xml:space="preserve">| [Spain](/tags/spain) </v>
      </c>
      <c r="CI73" s="29" t="str">
        <f>"| "&amp;AJ73&amp;" "</f>
        <v xml:space="preserve">|  </v>
      </c>
      <c r="CJ73" s="29" t="str">
        <f>"|"&amp;IF(AR73," [Link](/places/"&amp;SUBSTITUTE(BY73,".md","")&amp;")","")&amp;" "</f>
        <v xml:space="preserve">| [Link](/places/es-soria-convento-de-nuestra-senora-del-carmen) </v>
      </c>
      <c r="CK73" s="29" t="str">
        <f>"
"&amp;CG73&amp;CH73&amp;CI73&amp;CJ73&amp;BL73&amp;BQ73&amp;BR73&amp;BS73&amp;CF73&amp;"|"</f>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74" spans="1:89" ht="25.5" x14ac:dyDescent="0.25">
      <c r="A74" s="168" t="s">
        <v>1320</v>
      </c>
      <c r="B74" s="24" t="s">
        <v>552</v>
      </c>
      <c r="C74" s="101" t="s">
        <v>2217</v>
      </c>
      <c r="D74" s="15">
        <v>37.175062581351298</v>
      </c>
      <c r="E74" s="49">
        <v>-3.5968724999999999</v>
      </c>
      <c r="F74" s="101" t="s">
        <v>2218</v>
      </c>
      <c r="G74" s="53" t="s">
        <v>2138</v>
      </c>
      <c r="H74" s="24" t="s">
        <v>1825</v>
      </c>
      <c r="I74" s="24" t="b">
        <v>1</v>
      </c>
      <c r="K74" s="24" t="b">
        <v>1</v>
      </c>
      <c r="L74" s="101" t="s">
        <v>2222</v>
      </c>
      <c r="N74" s="15" t="s">
        <v>2219</v>
      </c>
      <c r="O74" s="102" t="s">
        <v>1817</v>
      </c>
      <c r="P74" s="106" t="s">
        <v>2221</v>
      </c>
      <c r="Q74" s="15" t="s">
        <v>2220</v>
      </c>
      <c r="R74" s="64" t="s">
        <v>336</v>
      </c>
      <c r="Y74" s="15" t="s">
        <v>2133</v>
      </c>
      <c r="Z74" s="102" t="s">
        <v>2129</v>
      </c>
      <c r="AA74" s="15" t="s">
        <v>1424</v>
      </c>
      <c r="AB74" s="15" t="s">
        <v>2132</v>
      </c>
      <c r="AR74" s="154" t="b">
        <f>IF(OR(A74="Done",A74="In Progress"),TRUE)</f>
        <v>1</v>
      </c>
      <c r="AS74" s="155" t="str">
        <f>"title: """&amp;F74&amp;""""</f>
        <v>title: "Convento de San Jose, Granada"</v>
      </c>
      <c r="AT74" s="155" t="str">
        <f>"location: {lat: "&amp;D74&amp;", lng: "&amp;E74&amp;"}"</f>
        <v>location: {lat: 37.1750625813513, lng: -3.5968725}</v>
      </c>
      <c r="AU74" s="155" t="str">
        <f>"interest: "&amp;H74</f>
        <v>interest: local</v>
      </c>
      <c r="AV74" s="155" t="str">
        <f>"- "&amp;VLOOKUP(B74,'(Ref) Countries'!A:C,3,)</f>
        <v>- spain</v>
      </c>
      <c r="AW74" s="155" t="str">
        <f>IF(LEN(C74)&gt;1,"- "&amp;LOWER(SUBSTITUTE(C74," ","-")),"")</f>
        <v>- granada</v>
      </c>
      <c r="AX74" s="155" t="str">
        <f>IF(I74,"- churches","")</f>
        <v>- churches</v>
      </c>
      <c r="AY74" s="155" t="str">
        <f>IF(J74,"- marian-sites","")</f>
        <v/>
      </c>
      <c r="AZ74" s="155" t="str">
        <f>IF(K74,"- holy-persons","")</f>
        <v>- holy-persons</v>
      </c>
      <c r="BA74" s="155" t="str">
        <f>IF(LEN(Y74)&gt;0,"- "&amp;Y74,"")</f>
        <v>- teresa-avila</v>
      </c>
      <c r="BB74" s="155" t="str">
        <f>IF(LEN(Z74)&gt;0,"- "&amp;Z74,"")</f>
        <v>- discalced-carmelites</v>
      </c>
      <c r="BC74" s="155" t="str">
        <f>IF(LEN(AA74)&gt;0,"- "&amp;AA74,"")</f>
        <v>- communities</v>
      </c>
      <c r="BD74" s="155" t="str">
        <f>IF(LEN(AB74)&gt;0,"- "&amp;AB74,"")</f>
        <v>- john-cross</v>
      </c>
      <c r="BE74" s="155" t="str">
        <f>IF(LEN(AC74)&gt;0,"- "&amp;AC74,"")</f>
        <v/>
      </c>
      <c r="BF74" s="155" t="str">
        <f>IF(LEN(AD74)&gt;0,"- "&amp;AD74,"")</f>
        <v/>
      </c>
      <c r="BG74" s="155" t="str">
        <f>IF(LEN(AE74)&gt;0,"- "&amp;AE74,"")</f>
        <v/>
      </c>
      <c r="BH74" s="155" t="str">
        <f>IF(LEN(AF74)&gt;0,"- "&amp;AF74,"")</f>
        <v/>
      </c>
      <c r="BI74" s="155" t="str">
        <f>IF(LEN(AG74)&gt;0,"- "&amp;AG74,"")</f>
        <v/>
      </c>
      <c r="BJ74" s="155" t="str">
        <f>IF(LEN(AH74)&gt;0,"- "&amp;AH74,"")</f>
        <v/>
      </c>
      <c r="BK74" s="155" t="str">
        <f>"tags:"&amp;CHAR(10)&amp;concatl(AV74:BJ74)</f>
        <v xml:space="preserve">tags:
- spain_x000D_
- granada_x000D_
- churches_x000D_
- holy-persons_x000D_
- teresa-avila_x000D_
- discalced-carmelites_x000D_
- communities_x000D_
- john-cross_x000D_
</v>
      </c>
      <c r="BL74" s="155" t="str">
        <f>IF(LEN(N74)&gt;0,TRIM(CONCATENATE("[Official site](",N74,") ",O74)),"")</f>
        <v>[Official site](http://www.carmelitasdescalzasgranada.es/) (note: website not active at time of writing)</v>
      </c>
      <c r="BM74" s="155" t="str">
        <f>IF(LEN(Q74)&gt;0,TRIM(CONCATENATE("["&amp;P74&amp;"](",Q74,") ",R74)),"")</f>
        <v>[Information from the Federacion Virgen del Carmen](https://federacionvirgendelcarmen.wordpress.com/conventos/convento-de-san-jose-granada/)</v>
      </c>
      <c r="BN74" s="155" t="str">
        <f>IF(LEN(T74)&gt;0,TRIM(CONCATENATE("["&amp;S74&amp;"](",T74,") ",U74)),"")</f>
        <v/>
      </c>
      <c r="BO74" s="155" t="str">
        <f>IF(LEN(W74)&gt;0,TRIM(CONCATENATE("["&amp;V74&amp;"](",W74,") ",X74)),"")</f>
        <v/>
      </c>
      <c r="BP74" s="155" t="str">
        <f>IF(LEN(BL74)&gt;0,"* "&amp;BL74&amp;CHAR(10),"")&amp;
IF(LEN(BM74)&gt;0,"* "&amp;BM74&amp;CHAR(10),"")&amp;
IF(LEN(BN74)&gt;0,"* "&amp;BN74&amp;CHAR(10),"")&amp;
IF(LEN(BO74)&gt;0,"* "&amp;BO74&amp;CHAR(10),"")</f>
        <v xml:space="preserve">* [Official site](http://www.carmelitasdescalzasgranada.es/) (note: website not active at time of writing)
* [Information from the Federacion Virgen del Carmen](https://federacionvirgendelcarmen.wordpress.com/conventos/convento-de-san-jose-granada/)
</v>
      </c>
      <c r="BQ74" s="155" t="str">
        <f>IF(LEN(AK74)&gt;0,TRIM(CONCATENATE("[Link](",AK74,") ",AL74)),"")</f>
        <v/>
      </c>
      <c r="BR74" s="155" t="str">
        <f>IF(LEN(AM74)&gt;0,TRIM(CONCATENATE("[Link](",AM74,") ",AN74)),"")</f>
        <v/>
      </c>
      <c r="BS74" s="155" t="str">
        <f>IF(LEN(AO74)&gt;0,TRIM(CONCATENATE("[Link](",AO74,") ",AP74)),"")</f>
        <v/>
      </c>
      <c r="BT74" s="155" t="str">
        <f>IF(LEN(concat(BQ74:BS74))&gt;0,concat("| ",BQ74," | ",BR74," | ",BS74," |"),"")</f>
        <v/>
      </c>
      <c r="BU74" s="155" t="str">
        <f>IF(J74,concatl("| The Real Presence | Miracle Hunter | MaryPages |","| --- | --- | --- |",BT74),"")</f>
        <v/>
      </c>
      <c r="BV74" s="155" t="str">
        <f>IF(LEN(BP74&amp;BU74)&gt;0,concatll("#### More Information",BP74,BU74),"")</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74" s="155" t="str">
        <f>IF(LEN(M74)&gt;1,concatll("#### Author's Note",M74),"")</f>
        <v/>
      </c>
      <c r="BX74" s="23" t="str">
        <f>IF(AR74,concatll(concatl("---",AS74:AU74,BK74,"---"),L74,BV74:BW74),"")</f>
        <v xml:space="preserve">---_x000D_
title: "Convento de San Jose, Granada"_x000D_
location: {lat: 37.1750625813513, lng: -3.5968725}_x000D_
interest: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74" s="23" t="str">
        <f>IF(AR74,VLOOKUP(B74,'(Ref) Countries'!A:B,2,)&amp;IF(LEN(C74)&gt;1,"-"&amp;LOWER(SUBSTITUTE(C74," ","-")),"")&amp;"-"&amp;LOWER(SUBSTITUTE(SUBSTITUTE(G74," ","-"),".",""))&amp;".md","")</f>
        <v>es-granada-convento-de-san-jose.md</v>
      </c>
      <c r="BZ74" s="29" t="str">
        <f>IF(LEN(Y74)&gt;1,VLOOKUP(Y74,'Tag List'!$A:$B,2,),"")</f>
        <v>St. Teresa of Avila, OCD</v>
      </c>
      <c r="CA74" s="29" t="str">
        <f>IF(LEN(Z74)&gt;1,VLOOKUP(Z74,'Tag List'!$A:$B,2,),"")</f>
        <v>Discalced Carmelites (Order of Discalced Carmelites)</v>
      </c>
      <c r="CB74" s="29" t="str">
        <f>IF(LEN(AA74)&gt;1,VLOOKUP(AA74,'Tag List'!$A:$B,2,),"")</f>
        <v>Religious Communities</v>
      </c>
      <c r="CC74" s="29" t="str">
        <f>IF(LEN(Y74)&gt;1,GetTagPage(BZ74,Y74),"")</f>
        <v>[St. Teresa of Avila, OCD](/tags/teresa-avila)</v>
      </c>
      <c r="CD74" s="29" t="str">
        <f>IF(LEN(Z74)&gt;1,GetTagPage(CA74,Z74),"")</f>
        <v>[Discalced Carmelites (Order of Discalced Carmelites)](/tags/discalced-carmelites)</v>
      </c>
      <c r="CE74" s="29" t="str">
        <f>IF(LEN(AA74)&gt;1,GetTagPage(CB74,AA74),"")</f>
        <v>[Religious Communities](/tags/communities)</v>
      </c>
      <c r="CF74" s="29" t="str">
        <f>"|"&amp;IF(LEN(CC74)&gt;1," "&amp;CC74,"")&amp;IF(LEN(CD74)&gt;1,", "&amp;CD74,"")&amp;IF(LEN(CE74)&gt;1,", "&amp;CE74,"")&amp;" "</f>
        <v xml:space="preserve">| [St. Teresa of Avila, OCD](/tags/teresa-avila), [Discalced Carmelites (Order of Discalced Carmelites)](/tags/discalced-carmelites), [Religious Communities](/tags/communities) </v>
      </c>
      <c r="CG74" s="29" t="str">
        <f>"| "&amp;IF(AR74,"["&amp;AI74&amp;"](/places/"&amp;SUBSTITUTE(BY74,".md","")&amp;")",AI74)&amp;" "</f>
        <v xml:space="preserve">| [](/places/es-granada-convento-de-san-jose) </v>
      </c>
      <c r="CH74" s="29" t="str">
        <f>"| "&amp;IF(AR74,GetTagPage(B74,VLOOKUP(B74,'(Ref) Countries'!A:C,3,)),B74)&amp; " "</f>
        <v xml:space="preserve">| [Spain](/tags/spain) </v>
      </c>
      <c r="CI74" s="29" t="str">
        <f>"| "&amp;AJ74&amp;" "</f>
        <v xml:space="preserve">|  </v>
      </c>
      <c r="CJ74" s="29" t="str">
        <f>"|"&amp;IF(AR74," [Link](/places/"&amp;SUBSTITUTE(BY74,".md","")&amp;")","")&amp;" "</f>
        <v xml:space="preserve">| [Link](/places/es-granada-convento-de-san-jose) </v>
      </c>
      <c r="CK74" s="29" t="str">
        <f>"
"&amp;CG74&amp;CH74&amp;CI74&amp;CJ74&amp;BL74&amp;BQ74&amp;BR74&amp;BS74&amp;CF74&amp;"|"</f>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75" spans="1:89" ht="51" x14ac:dyDescent="0.25">
      <c r="A75" s="168" t="s">
        <v>1320</v>
      </c>
      <c r="B75" s="24" t="s">
        <v>552</v>
      </c>
      <c r="C75" s="101" t="s">
        <v>2223</v>
      </c>
      <c r="D75" s="15">
        <v>42.340120675583002</v>
      </c>
      <c r="E75" s="49">
        <v>-3.6942737000000001</v>
      </c>
      <c r="F75" s="111" t="s">
        <v>2282</v>
      </c>
      <c r="G75" s="53" t="s">
        <v>2224</v>
      </c>
      <c r="H75" s="24" t="s">
        <v>1825</v>
      </c>
      <c r="I75" s="24" t="b">
        <v>1</v>
      </c>
      <c r="K75" s="24" t="b">
        <v>1</v>
      </c>
      <c r="L75" s="101" t="s">
        <v>2225</v>
      </c>
      <c r="M75" s="103" t="s">
        <v>2226</v>
      </c>
      <c r="P75" s="106" t="s">
        <v>2228</v>
      </c>
      <c r="Q75" s="15" t="s">
        <v>2227</v>
      </c>
      <c r="R75" s="64" t="s">
        <v>1817</v>
      </c>
      <c r="S75" s="109" t="s">
        <v>336</v>
      </c>
      <c r="Y75" s="15" t="s">
        <v>2133</v>
      </c>
      <c r="Z75" s="15" t="s">
        <v>2129</v>
      </c>
      <c r="AA75" s="15" t="s">
        <v>1424</v>
      </c>
      <c r="AR75" s="154" t="b">
        <f>IF(OR(A75="Done",A75="In Progress"),TRUE)</f>
        <v>1</v>
      </c>
      <c r="AS75" s="155" t="str">
        <f>"title: """&amp;F75&amp;""""</f>
        <v>title: "Convento de San Jose y Santa Ana, Burgos"</v>
      </c>
      <c r="AT75" s="155" t="str">
        <f>"location: {lat: "&amp;D75&amp;", lng: "&amp;E75&amp;"}"</f>
        <v>location: {lat: 42.340120675583, lng: -3.6942737}</v>
      </c>
      <c r="AU75" s="155" t="str">
        <f>"interest: "&amp;H75</f>
        <v>interest: local</v>
      </c>
      <c r="AV75" s="155" t="str">
        <f>"- "&amp;VLOOKUP(B75,'(Ref) Countries'!A:C,3,)</f>
        <v>- spain</v>
      </c>
      <c r="AW75" s="155" t="str">
        <f>IF(LEN(C75)&gt;1,"- "&amp;LOWER(SUBSTITUTE(C75," ","-")),"")</f>
        <v>- burgos</v>
      </c>
      <c r="AX75" s="155" t="str">
        <f>IF(I75,"- churches","")</f>
        <v>- churches</v>
      </c>
      <c r="AY75" s="155" t="str">
        <f>IF(J75,"- marian-sites","")</f>
        <v/>
      </c>
      <c r="AZ75" s="155" t="str">
        <f>IF(K75,"- holy-persons","")</f>
        <v>- holy-persons</v>
      </c>
      <c r="BA75" s="155" t="str">
        <f>IF(LEN(Y75)&gt;0,"- "&amp;Y75,"")</f>
        <v>- teresa-avila</v>
      </c>
      <c r="BB75" s="155" t="str">
        <f>IF(LEN(Z75)&gt;0,"- "&amp;Z75,"")</f>
        <v>- discalced-carmelites</v>
      </c>
      <c r="BC75" s="155" t="str">
        <f>IF(LEN(AA75)&gt;0,"- "&amp;AA75,"")</f>
        <v>- communities</v>
      </c>
      <c r="BD75" s="155" t="str">
        <f>IF(LEN(AB75)&gt;0,"- "&amp;AB75,"")</f>
        <v/>
      </c>
      <c r="BE75" s="155" t="str">
        <f>IF(LEN(AC75)&gt;0,"- "&amp;AC75,"")</f>
        <v/>
      </c>
      <c r="BF75" s="155" t="str">
        <f>IF(LEN(AD75)&gt;0,"- "&amp;AD75,"")</f>
        <v/>
      </c>
      <c r="BG75" s="155" t="str">
        <f>IF(LEN(AE75)&gt;0,"- "&amp;AE75,"")</f>
        <v/>
      </c>
      <c r="BH75" s="155" t="str">
        <f>IF(LEN(AF75)&gt;0,"- "&amp;AF75,"")</f>
        <v/>
      </c>
      <c r="BI75" s="155" t="str">
        <f>IF(LEN(AG75)&gt;0,"- "&amp;AG75,"")</f>
        <v/>
      </c>
      <c r="BJ75" s="155" t="str">
        <f>IF(LEN(AH75)&gt;0,"- "&amp;AH75,"")</f>
        <v/>
      </c>
      <c r="BK75" s="155" t="str">
        <f>"tags:"&amp;CHAR(10)&amp;concatl(AV75:BJ75)</f>
        <v xml:space="preserve">tags:
- spain_x000D_
- burgos_x000D_
- churches_x000D_
- holy-persons_x000D_
- teresa-avila_x000D_
- discalced-carmelites_x000D_
- communities_x000D_
</v>
      </c>
      <c r="BL75" s="155" t="str">
        <f>IF(LEN(N75)&gt;0,TRIM(CONCATENATE("[Official site](",N75,") ",O75)),"")</f>
        <v/>
      </c>
      <c r="BM75" s="155" t="str">
        <f>IF(LEN(Q75)&gt;0,TRIM(CONCATENATE("["&amp;P75&amp;"](",Q75,") ",R75)),"")</f>
        <v>[Burgos tourism site](https://turismo.aytoburgos.es/cultura-y-patrimonio1/-/asset_publisher/PMC541iCzJ73/content/convento-de-san-jos%25C3%25A9-y-santa-ana) (note: website not active at time of writing)</v>
      </c>
      <c r="BN75" s="155" t="str">
        <f>IF(LEN(T75)&gt;0,TRIM(CONCATENATE("["&amp;S75&amp;"](",T75,") ",U75)),"")</f>
        <v/>
      </c>
      <c r="BO75" s="155" t="str">
        <f>IF(LEN(W75)&gt;0,TRIM(CONCATENATE("["&amp;V75&amp;"](",W75,") ",X75)),"")</f>
        <v/>
      </c>
      <c r="BP75" s="155" t="str">
        <f>IF(LEN(BL75)&gt;0,"* "&amp;BL75&amp;CHAR(10),"")&amp;
IF(LEN(BM75)&gt;0,"* "&amp;BM75&amp;CHAR(10),"")&amp;
IF(LEN(BN75)&gt;0,"* "&amp;BN75&amp;CHAR(10),"")&amp;
IF(LEN(BO75)&gt;0,"* "&amp;BO75&amp;CHAR(10),"")</f>
        <v xml:space="preserve">* [Burgos tourism site](https://turismo.aytoburgos.es/cultura-y-patrimonio1/-/asset_publisher/PMC541iCzJ73/content/convento-de-san-jos%25C3%25A9-y-santa-ana) (note: website not active at time of writing)
</v>
      </c>
      <c r="BQ75" s="155" t="str">
        <f>IF(LEN(AK75)&gt;0,TRIM(CONCATENATE("[Link](",AK75,") ",AL75)),"")</f>
        <v/>
      </c>
      <c r="BR75" s="155" t="str">
        <f>IF(LEN(AM75)&gt;0,TRIM(CONCATENATE("[Link](",AM75,") ",AN75)),"")</f>
        <v/>
      </c>
      <c r="BS75" s="155" t="str">
        <f>IF(LEN(AO75)&gt;0,TRIM(CONCATENATE("[Link](",AO75,") ",AP75)),"")</f>
        <v/>
      </c>
      <c r="BT75" s="155" t="str">
        <f>IF(LEN(concat(BQ75:BS75))&gt;0,concat("| ",BQ75," | ",BR75," | ",BS75," |"),"")</f>
        <v/>
      </c>
      <c r="BU75" s="155" t="str">
        <f>IF(J75,concatl("| The Real Presence | Miracle Hunter | MaryPages |","| --- | --- | --- |",BT75),"")</f>
        <v/>
      </c>
      <c r="BV75" s="155" t="str">
        <f>IF(LEN(BP75&amp;BU75)&gt;0,concatll("#### More Information",BP75,BU75),"")</f>
        <v xml:space="preserve">#### More Information_x000D_
_x000D_
* [Burgos tourism site](https://turismo.aytoburgos.es/cultura-y-patrimonio1/-/asset_publisher/PMC541iCzJ73/content/convento-de-san-jos%25C3%25A9-y-santa-ana) (note: website not active at time of writing)
_x000D_
_x000D_
</v>
      </c>
      <c r="BW75" s="155" t="str">
        <f>IF(LEN(M75)&gt;1,concatll("#### Author's Note",M75),"")</f>
        <v xml:space="preserve">#### Author's Note_x000D_
_x000D_
Many of the websites associated with this site were not working at time of writing.
-JMM_x000D_
_x000D_
</v>
      </c>
      <c r="BX75" s="23" t="str">
        <f>IF(AR75,concatll(concatl("---",AS75:AU75,BK75,"---"),L75,BV75:BW75),"")</f>
        <v xml:space="preserve">---_x000D_
title: "Convento de San Jose y Santa Ana, Burgos"_x000D_
location: {lat: 42.340120675583, lng: -3.6942737}_x000D_
interest: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75" s="23" t="str">
        <f>IF(AR75,VLOOKUP(B75,'(Ref) Countries'!A:B,2,)&amp;IF(LEN(C75)&gt;1,"-"&amp;LOWER(SUBSTITUTE(C75," ","-")),"")&amp;"-"&amp;LOWER(SUBSTITUTE(SUBSTITUTE(G75," ","-"),".",""))&amp;".md","")</f>
        <v>es-burgos-convento-de-san-jose-y-santa-ana.md</v>
      </c>
      <c r="BZ75" s="29" t="str">
        <f>IF(LEN(Y75)&gt;1,VLOOKUP(Y75,'Tag List'!$A:$B,2,),"")</f>
        <v>St. Teresa of Avila, OCD</v>
      </c>
      <c r="CA75" s="29" t="str">
        <f>IF(LEN(Z75)&gt;1,VLOOKUP(Z75,'Tag List'!$A:$B,2,),"")</f>
        <v>Discalced Carmelites (Order of Discalced Carmelites)</v>
      </c>
      <c r="CB75" s="29" t="str">
        <f>IF(LEN(AA75)&gt;1,VLOOKUP(AA75,'Tag List'!$A:$B,2,),"")</f>
        <v>Religious Communities</v>
      </c>
      <c r="CC75" s="29" t="str">
        <f>IF(LEN(Y75)&gt;1,GetTagPage(BZ75,Y75),"")</f>
        <v>[St. Teresa of Avila, OCD](/tags/teresa-avila)</v>
      </c>
      <c r="CD75" s="29" t="str">
        <f>IF(LEN(Z75)&gt;1,GetTagPage(CA75,Z75),"")</f>
        <v>[Discalced Carmelites (Order of Discalced Carmelites)](/tags/discalced-carmelites)</v>
      </c>
      <c r="CE75" s="29" t="str">
        <f>IF(LEN(AA75)&gt;1,GetTagPage(CB75,AA75),"")</f>
        <v>[Religious Communities](/tags/communities)</v>
      </c>
      <c r="CF75" s="29" t="str">
        <f>"|"&amp;IF(LEN(CC75)&gt;1," "&amp;CC75,"")&amp;IF(LEN(CD75)&gt;1,", "&amp;CD75,"")&amp;IF(LEN(CE75)&gt;1,", "&amp;CE75,"")&amp;" "</f>
        <v xml:space="preserve">| [St. Teresa of Avila, OCD](/tags/teresa-avila), [Discalced Carmelites (Order of Discalced Carmelites)](/tags/discalced-carmelites), [Religious Communities](/tags/communities) </v>
      </c>
      <c r="CG75" s="29" t="str">
        <f>"| "&amp;IF(AR75,"["&amp;AI75&amp;"](/places/"&amp;SUBSTITUTE(BY75,".md","")&amp;")",AI75)&amp;" "</f>
        <v xml:space="preserve">| [](/places/es-burgos-convento-de-san-jose-y-santa-ana) </v>
      </c>
      <c r="CH75" s="29" t="str">
        <f>"| "&amp;IF(AR75,GetTagPage(B75,VLOOKUP(B75,'(Ref) Countries'!A:C,3,)),B75)&amp; " "</f>
        <v xml:space="preserve">| [Spain](/tags/spain) </v>
      </c>
      <c r="CI75" s="29" t="str">
        <f>"| "&amp;AJ75&amp;" "</f>
        <v xml:space="preserve">|  </v>
      </c>
      <c r="CJ75" s="29" t="str">
        <f>"|"&amp;IF(AR75," [Link](/places/"&amp;SUBSTITUTE(BY75,".md","")&amp;")","")&amp;" "</f>
        <v xml:space="preserve">| [Link](/places/es-burgos-convento-de-san-jose-y-santa-ana) </v>
      </c>
      <c r="CK75" s="29" t="str">
        <f>"
"&amp;CG75&amp;CH75&amp;CI75&amp;CJ75&amp;BL75&amp;BQ75&amp;BR75&amp;BS75&amp;CF75&amp;"|"</f>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76" spans="1:89" ht="38.25" x14ac:dyDescent="0.25">
      <c r="A76" s="168" t="s">
        <v>1320</v>
      </c>
      <c r="B76" s="24" t="s">
        <v>552</v>
      </c>
      <c r="C76" s="101" t="s">
        <v>2125</v>
      </c>
      <c r="D76" s="15">
        <v>40.655737633857697</v>
      </c>
      <c r="E76" s="49">
        <v>-4.69703687109845</v>
      </c>
      <c r="F76" s="101" t="s">
        <v>2231</v>
      </c>
      <c r="G76" s="103" t="s">
        <v>1828</v>
      </c>
      <c r="H76" s="24" t="s">
        <v>1759</v>
      </c>
      <c r="I76" s="24" t="b">
        <v>1</v>
      </c>
      <c r="L76" s="101" t="s">
        <v>2230</v>
      </c>
      <c r="N76" s="15" t="s">
        <v>2229</v>
      </c>
      <c r="O76" s="104" t="s">
        <v>336</v>
      </c>
      <c r="R76" s="64" t="s">
        <v>336</v>
      </c>
      <c r="AR76" s="154" t="b">
        <f>IF(OR(A76="Done",A76="In Progress"),TRUE)</f>
        <v>1</v>
      </c>
      <c r="AS76" s="155" t="str">
        <f>"title: """&amp;F76&amp;""""</f>
        <v>title: "Avila Cathedral (Catedral del Salvador)"</v>
      </c>
      <c r="AT76" s="155" t="str">
        <f>"location: {lat: "&amp;D76&amp;", lng: "&amp;E76&amp;"}"</f>
        <v>location: {lat: 40.6557376338577, lng: -4.69703687109845}</v>
      </c>
      <c r="AU76" s="155" t="str">
        <f>"interest: "&amp;H76</f>
        <v>interest: regional</v>
      </c>
      <c r="AV76" s="155" t="str">
        <f>"- "&amp;VLOOKUP(B76,'(Ref) Countries'!A:C,3,)</f>
        <v>- spain</v>
      </c>
      <c r="AW76" s="155" t="str">
        <f>IF(LEN(C76)&gt;1,"- "&amp;LOWER(SUBSTITUTE(C76," ","-")),"")</f>
        <v>- avila</v>
      </c>
      <c r="AX76" s="155" t="str">
        <f>IF(I76,"- churches","")</f>
        <v>- churches</v>
      </c>
      <c r="AY76" s="155" t="str">
        <f>IF(J76,"- marian-sites","")</f>
        <v/>
      </c>
      <c r="AZ76" s="155" t="str">
        <f>IF(K76,"- holy-persons","")</f>
        <v/>
      </c>
      <c r="BA76" s="155" t="str">
        <f>IF(LEN(Y76)&gt;0,"- "&amp;Y76,"")</f>
        <v/>
      </c>
      <c r="BB76" s="155" t="str">
        <f>IF(LEN(Z76)&gt;0,"- "&amp;Z76,"")</f>
        <v/>
      </c>
      <c r="BC76" s="155" t="str">
        <f>IF(LEN(AA76)&gt;0,"- "&amp;AA76,"")</f>
        <v/>
      </c>
      <c r="BD76" s="155" t="str">
        <f>IF(LEN(AB76)&gt;0,"- "&amp;AB76,"")</f>
        <v/>
      </c>
      <c r="BE76" s="155" t="str">
        <f>IF(LEN(AC76)&gt;0,"- "&amp;AC76,"")</f>
        <v/>
      </c>
      <c r="BF76" s="155" t="str">
        <f>IF(LEN(AD76)&gt;0,"- "&amp;AD76,"")</f>
        <v/>
      </c>
      <c r="BG76" s="155" t="str">
        <f>IF(LEN(AE76)&gt;0,"- "&amp;AE76,"")</f>
        <v/>
      </c>
      <c r="BH76" s="155" t="str">
        <f>IF(LEN(AF76)&gt;0,"- "&amp;AF76,"")</f>
        <v/>
      </c>
      <c r="BI76" s="155" t="str">
        <f>IF(LEN(AG76)&gt;0,"- "&amp;AG76,"")</f>
        <v/>
      </c>
      <c r="BJ76" s="155" t="str">
        <f>IF(LEN(AH76)&gt;0,"- "&amp;AH76,"")</f>
        <v/>
      </c>
      <c r="BK76" s="155" t="str">
        <f>"tags:"&amp;CHAR(10)&amp;concatl(AV76:BJ76)</f>
        <v xml:space="preserve">tags:
- spain_x000D_
- avila_x000D_
- churches_x000D_
</v>
      </c>
      <c r="BL76" s="155" t="str">
        <f>IF(LEN(N76)&gt;0,TRIM(CONCATENATE("[Official site](",N76,") ",O76)),"")</f>
        <v>[Official site](https://catedralavila.es/)</v>
      </c>
      <c r="BM76" s="155" t="str">
        <f>IF(LEN(Q76)&gt;0,TRIM(CONCATENATE("["&amp;P76&amp;"](",Q76,") ",R76)),"")</f>
        <v/>
      </c>
      <c r="BN76" s="155" t="str">
        <f>IF(LEN(T76)&gt;0,TRIM(CONCATENATE("["&amp;S76&amp;"](",T76,") ",U76)),"")</f>
        <v/>
      </c>
      <c r="BO76" s="155" t="str">
        <f>IF(LEN(W76)&gt;0,TRIM(CONCATENATE("["&amp;V76&amp;"](",W76,") ",X76)),"")</f>
        <v/>
      </c>
      <c r="BP76" s="155" t="str">
        <f>IF(LEN(BL76)&gt;0,"* "&amp;BL76&amp;CHAR(10),"")&amp;
IF(LEN(BM76)&gt;0,"* "&amp;BM76&amp;CHAR(10),"")&amp;
IF(LEN(BN76)&gt;0,"* "&amp;BN76&amp;CHAR(10),"")&amp;
IF(LEN(BO76)&gt;0,"* "&amp;BO76&amp;CHAR(10),"")</f>
        <v xml:space="preserve">* [Official site](https://catedralavila.es/)
</v>
      </c>
      <c r="BQ76" s="155" t="str">
        <f>IF(LEN(AK76)&gt;0,TRIM(CONCATENATE("[Link](",AK76,") ",AL76)),"")</f>
        <v/>
      </c>
      <c r="BR76" s="155" t="str">
        <f>IF(LEN(AM76)&gt;0,TRIM(CONCATENATE("[Link](",AM76,") ",AN76)),"")</f>
        <v/>
      </c>
      <c r="BS76" s="155" t="str">
        <f>IF(LEN(AO76)&gt;0,TRIM(CONCATENATE("[Link](",AO76,") ",AP76)),"")</f>
        <v/>
      </c>
      <c r="BT76" s="155" t="str">
        <f>IF(LEN(concat(BQ76:BS76))&gt;0,concat("| ",BQ76," | ",BR76," | ",BS76," |"),"")</f>
        <v/>
      </c>
      <c r="BU76" s="155" t="str">
        <f>IF(J76,concatl("| The Real Presence | Miracle Hunter | MaryPages |","| --- | --- | --- |",BT76),"")</f>
        <v/>
      </c>
      <c r="BV76" s="155" t="str">
        <f>IF(LEN(BP76&amp;BU76)&gt;0,concatll("#### More Information",BP76,BU76),"")</f>
        <v xml:space="preserve">#### More Information_x000D_
_x000D_
* [Official site](https://catedralavila.es/)
_x000D_
_x000D_
</v>
      </c>
      <c r="BW76" s="155" t="str">
        <f>IF(LEN(M76)&gt;1,concatll("#### Author's Note",M76),"")</f>
        <v/>
      </c>
      <c r="BX76" s="23" t="str">
        <f>IF(AR76,concatll(concatl("---",AS76:AU76,BK76,"---"),L76,BV76:BW76),"")</f>
        <v xml:space="preserve">---_x000D_
title: "Avila Cathedral (Catedral del Salvador)"_x000D_
location: {lat: 40.6557376338577, lng: -4.69703687109845}_x000D_
interest: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76" s="23" t="str">
        <f>IF(AR76,VLOOKUP(B76,'(Ref) Countries'!A:B,2,)&amp;IF(LEN(C76)&gt;1,"-"&amp;LOWER(SUBSTITUTE(C76," ","-")),"")&amp;"-"&amp;LOWER(SUBSTITUTE(SUBSTITUTE(G76," ","-"),".",""))&amp;".md","")</f>
        <v>es-avila-cathedral.md</v>
      </c>
      <c r="BZ76" s="29" t="str">
        <f>IF(LEN(Y76)&gt;1,VLOOKUP(Y76,'Tag List'!$A:$B,2,),"")</f>
        <v/>
      </c>
      <c r="CA76" s="29" t="str">
        <f>IF(LEN(Z76)&gt;1,VLOOKUP(Z76,'Tag List'!$A:$B,2,),"")</f>
        <v/>
      </c>
      <c r="CB76" s="29" t="str">
        <f>IF(LEN(AA76)&gt;1,VLOOKUP(AA76,'Tag List'!$A:$B,2,),"")</f>
        <v/>
      </c>
      <c r="CC76" s="29" t="str">
        <f>IF(LEN(Y76)&gt;1,GetTagPage(BZ76,Y76),"")</f>
        <v/>
      </c>
      <c r="CD76" s="29" t="str">
        <f>IF(LEN(Z76)&gt;1,GetTagPage(CA76,Z76),"")</f>
        <v/>
      </c>
      <c r="CE76" s="29" t="str">
        <f>IF(LEN(AA76)&gt;1,GetTagPage(CB76,AA76),"")</f>
        <v/>
      </c>
      <c r="CF76" s="29" t="str">
        <f>"|"&amp;IF(LEN(CC76)&gt;1," "&amp;CC76,"")&amp;IF(LEN(CD76)&gt;1,", "&amp;CD76,"")&amp;IF(LEN(CE76)&gt;1,", "&amp;CE76,"")&amp;" "</f>
        <v xml:space="preserve">| </v>
      </c>
      <c r="CG76" s="29" t="str">
        <f>"| "&amp;IF(AR76,"["&amp;AI76&amp;"](/places/"&amp;SUBSTITUTE(BY76,".md","")&amp;")",AI76)&amp;" "</f>
        <v xml:space="preserve">| [](/places/es-avila-cathedral) </v>
      </c>
      <c r="CH76" s="29" t="str">
        <f>"| "&amp;IF(AR76,GetTagPage(B76,VLOOKUP(B76,'(Ref) Countries'!A:C,3,)),B76)&amp; " "</f>
        <v xml:space="preserve">| [Spain](/tags/spain) </v>
      </c>
      <c r="CI76" s="29" t="str">
        <f>"| "&amp;AJ76&amp;" "</f>
        <v xml:space="preserve">|  </v>
      </c>
      <c r="CJ76" s="29" t="str">
        <f>"|"&amp;IF(AR76," [Link](/places/"&amp;SUBSTITUTE(BY76,".md","")&amp;")","")&amp;" "</f>
        <v xml:space="preserve">| [Link](/places/es-avila-cathedral) </v>
      </c>
      <c r="CK76" s="29" t="str">
        <f>"
"&amp;CG76&amp;CH76&amp;CI76&amp;CJ76&amp;BL76&amp;BQ76&amp;BR76&amp;BS76&amp;CF76&amp;"|"</f>
        <v xml:space="preserve">
| [](/places/es-avila-cathedral) | [Spain](/tags/spain) |  | [Link](/places/es-avila-cathedral) [Official site](https://catedralavila.es/)| |</v>
      </c>
    </row>
    <row r="77" spans="1:89" ht="38.25" x14ac:dyDescent="0.25">
      <c r="A77" s="168" t="s">
        <v>1320</v>
      </c>
      <c r="B77" s="24" t="s">
        <v>552</v>
      </c>
      <c r="C77" s="24" t="s">
        <v>2125</v>
      </c>
      <c r="D77" s="15">
        <v>40.657935208986103</v>
      </c>
      <c r="E77" s="49">
        <v>-4.6960390893359802</v>
      </c>
      <c r="F77" s="101" t="s">
        <v>2232</v>
      </c>
      <c r="G77" s="103" t="s">
        <v>2233</v>
      </c>
      <c r="H77" s="101" t="s">
        <v>1759</v>
      </c>
      <c r="I77" s="24" t="b">
        <v>1</v>
      </c>
      <c r="K77" s="24" t="b">
        <v>1</v>
      </c>
      <c r="L77" s="101" t="s">
        <v>2234</v>
      </c>
      <c r="N77" s="15" t="s">
        <v>2235</v>
      </c>
      <c r="O77" s="15" t="s">
        <v>336</v>
      </c>
      <c r="R77" s="64" t="s">
        <v>336</v>
      </c>
      <c r="Y77" s="102" t="s">
        <v>2236</v>
      </c>
      <c r="Z77" s="102" t="s">
        <v>2238</v>
      </c>
      <c r="AA77" s="102" t="s">
        <v>2240</v>
      </c>
      <c r="AR77" s="154" t="b">
        <f>IF(OR(A77="Done",A77="In Progress"),TRUE)</f>
        <v>1</v>
      </c>
      <c r="AS77" s="155" t="str">
        <f>"title: """&amp;F77&amp;""""</f>
        <v>title: "Basilica of Sts. Vincent, Sabina and Cristeta (San Vicente de Avila)"</v>
      </c>
      <c r="AT77" s="155" t="str">
        <f>"location: {lat: "&amp;D77&amp;", lng: "&amp;E77&amp;"}"</f>
        <v>location: {lat: 40.6579352089861, lng: -4.69603908933598}</v>
      </c>
      <c r="AU77" s="155" t="str">
        <f>"interest: "&amp;H77</f>
        <v>interest: regional</v>
      </c>
      <c r="AV77" s="155" t="str">
        <f>"- "&amp;VLOOKUP(B77,'(Ref) Countries'!A:C,3,)</f>
        <v>- spain</v>
      </c>
      <c r="AW77" s="155" t="str">
        <f>IF(LEN(C77)&gt;1,"- "&amp;LOWER(SUBSTITUTE(C77," ","-")),"")</f>
        <v>- avila</v>
      </c>
      <c r="AX77" s="155" t="str">
        <f>IF(I77,"- churches","")</f>
        <v>- churches</v>
      </c>
      <c r="AY77" s="155" t="str">
        <f>IF(J77,"- marian-sites","")</f>
        <v/>
      </c>
      <c r="AZ77" s="155" t="str">
        <f>IF(K77,"- holy-persons","")</f>
        <v>- holy-persons</v>
      </c>
      <c r="BA77" s="155" t="str">
        <f>IF(LEN(Y77)&gt;0,"- "&amp;Y77,"")</f>
        <v>- vincent</v>
      </c>
      <c r="BB77" s="155" t="str">
        <f>IF(LEN(Z77)&gt;0,"- "&amp;Z77,"")</f>
        <v>- sabina</v>
      </c>
      <c r="BC77" s="155" t="str">
        <f>IF(LEN(AA77)&gt;0,"- "&amp;AA77,"")</f>
        <v>- cristeta</v>
      </c>
      <c r="BD77" s="155" t="str">
        <f>IF(LEN(AB77)&gt;0,"- "&amp;AB77,"")</f>
        <v/>
      </c>
      <c r="BE77" s="155" t="str">
        <f>IF(LEN(AC77)&gt;0,"- "&amp;AC77,"")</f>
        <v/>
      </c>
      <c r="BF77" s="155" t="str">
        <f>IF(LEN(AD77)&gt;0,"- "&amp;AD77,"")</f>
        <v/>
      </c>
      <c r="BG77" s="155" t="str">
        <f>IF(LEN(AE77)&gt;0,"- "&amp;AE77,"")</f>
        <v/>
      </c>
      <c r="BH77" s="155" t="str">
        <f>IF(LEN(AF77)&gt;0,"- "&amp;AF77,"")</f>
        <v/>
      </c>
      <c r="BI77" s="155" t="str">
        <f>IF(LEN(AG77)&gt;0,"- "&amp;AG77,"")</f>
        <v/>
      </c>
      <c r="BJ77" s="155" t="str">
        <f>IF(LEN(AH77)&gt;0,"- "&amp;AH77,"")</f>
        <v/>
      </c>
      <c r="BK77" s="155" t="str">
        <f>"tags:"&amp;CHAR(10)&amp;concatl(AV77:BJ77)</f>
        <v xml:space="preserve">tags:
- spain_x000D_
- avila_x000D_
- churches_x000D_
- holy-persons_x000D_
- vincent_x000D_
- sabina_x000D_
- cristeta_x000D_
</v>
      </c>
      <c r="BL77" s="155" t="str">
        <f>IF(LEN(N77)&gt;0,TRIM(CONCATENATE("[Official site](",N77,") ",O77)),"")</f>
        <v>[Official site](https://basilicasanvicente.es/)</v>
      </c>
      <c r="BM77" s="155" t="str">
        <f>IF(LEN(Q77)&gt;0,TRIM(CONCATENATE("["&amp;P77&amp;"](",Q77,") ",R77)),"")</f>
        <v/>
      </c>
      <c r="BN77" s="155" t="str">
        <f>IF(LEN(T77)&gt;0,TRIM(CONCATENATE("["&amp;S77&amp;"](",T77,") ",U77)),"")</f>
        <v/>
      </c>
      <c r="BO77" s="155" t="str">
        <f>IF(LEN(W77)&gt;0,TRIM(CONCATENATE("["&amp;V77&amp;"](",W77,") ",X77)),"")</f>
        <v/>
      </c>
      <c r="BP77" s="155" t="str">
        <f>IF(LEN(BL77)&gt;0,"* "&amp;BL77&amp;CHAR(10),"")&amp;
IF(LEN(BM77)&gt;0,"* "&amp;BM77&amp;CHAR(10),"")&amp;
IF(LEN(BN77)&gt;0,"* "&amp;BN77&amp;CHAR(10),"")&amp;
IF(LEN(BO77)&gt;0,"* "&amp;BO77&amp;CHAR(10),"")</f>
        <v xml:space="preserve">* [Official site](https://basilicasanvicente.es/)
</v>
      </c>
      <c r="BQ77" s="155" t="str">
        <f>IF(LEN(AK77)&gt;0,TRIM(CONCATENATE("[Link](",AK77,") ",AL77)),"")</f>
        <v/>
      </c>
      <c r="BR77" s="155" t="str">
        <f>IF(LEN(AM77)&gt;0,TRIM(CONCATENATE("[Link](",AM77,") ",AN77)),"")</f>
        <v/>
      </c>
      <c r="BS77" s="155" t="str">
        <f>IF(LEN(AO77)&gt;0,TRIM(CONCATENATE("[Link](",AO77,") ",AP77)),"")</f>
        <v/>
      </c>
      <c r="BT77" s="155" t="str">
        <f>IF(LEN(concat(BQ77:BS77))&gt;0,concat("| ",BQ77," | ",BR77," | ",BS77," |"),"")</f>
        <v/>
      </c>
      <c r="BU77" s="155" t="str">
        <f>IF(J77,concatl("| The Real Presence | Miracle Hunter | MaryPages |","| --- | --- | --- |",BT77),"")</f>
        <v/>
      </c>
      <c r="BV77" s="155" t="str">
        <f>IF(LEN(BP77&amp;BU77)&gt;0,concatll("#### More Information",BP77,BU77),"")</f>
        <v xml:space="preserve">#### More Information_x000D_
_x000D_
* [Official site](https://basilicasanvicente.es/)
_x000D_
_x000D_
</v>
      </c>
      <c r="BW77" s="155" t="str">
        <f>IF(LEN(M77)&gt;1,concatll("#### Author's Note",M77),"")</f>
        <v/>
      </c>
      <c r="BX77" s="23" t="str">
        <f>IF(AR77,concatll(concatl("---",AS77:AU77,BK77,"---"),L77,BV77:BW77),"")</f>
        <v xml:space="preserve">---_x000D_
title: "Basilica of Sts. Vincent, Sabina and Cristeta (San Vicente de Avila)"_x000D_
location: {lat: 40.6579352089861, lng: -4.69603908933598}_x000D_
interest: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77" s="23" t="str">
        <f>IF(AR77,VLOOKUP(B77,'(Ref) Countries'!A:B,2,)&amp;IF(LEN(C77)&gt;1,"-"&amp;LOWER(SUBSTITUTE(C77," ","-")),"")&amp;"-"&amp;LOWER(SUBSTITUTE(SUBSTITUTE(G77," ","-"),".",""))&amp;".md","")</f>
        <v>es-avila-san-vincente.md</v>
      </c>
      <c r="BZ77" s="29" t="str">
        <f>IF(LEN(Y77)&gt;1,VLOOKUP(Y77,'Tag List'!$A:$B,2,),"")</f>
        <v>St. Vincent</v>
      </c>
      <c r="CA77" s="29" t="str">
        <f>IF(LEN(Z77)&gt;1,VLOOKUP(Z77,'Tag List'!$A:$B,2,),"")</f>
        <v>St. Sabina</v>
      </c>
      <c r="CB77" s="29" t="str">
        <f>IF(LEN(AA77)&gt;1,VLOOKUP(AA77,'Tag List'!$A:$B,2,),"")</f>
        <v>St. Cristeta</v>
      </c>
      <c r="CC77" s="29" t="str">
        <f>IF(LEN(Y77)&gt;1,GetTagPage(BZ77,Y77),"")</f>
        <v>[St. Vincent](/tags/vincent)</v>
      </c>
      <c r="CD77" s="29" t="str">
        <f>IF(LEN(Z77)&gt;1,GetTagPage(CA77,Z77),"")</f>
        <v>[St. Sabina](/tags/sabina)</v>
      </c>
      <c r="CE77" s="29" t="str">
        <f>IF(LEN(AA77)&gt;1,GetTagPage(CB77,AA77),"")</f>
        <v>[St. Cristeta](/tags/cristeta)</v>
      </c>
      <c r="CF77" s="29" t="str">
        <f>"|"&amp;IF(LEN(CC77)&gt;1," "&amp;CC77,"")&amp;IF(LEN(CD77)&gt;1,", "&amp;CD77,"")&amp;IF(LEN(CE77)&gt;1,", "&amp;CE77,"")&amp;" "</f>
        <v xml:space="preserve">| [St. Vincent](/tags/vincent), [St. Sabina](/tags/sabina), [St. Cristeta](/tags/cristeta) </v>
      </c>
      <c r="CG77" s="29" t="str">
        <f>"| "&amp;IF(AR77,"["&amp;AI77&amp;"](/places/"&amp;SUBSTITUTE(BY77,".md","")&amp;")",AI77)&amp;" "</f>
        <v xml:space="preserve">| [](/places/es-avila-san-vincente) </v>
      </c>
      <c r="CH77" s="29" t="str">
        <f>"| "&amp;IF(AR77,GetTagPage(B77,VLOOKUP(B77,'(Ref) Countries'!A:C,3,)),B77)&amp; " "</f>
        <v xml:space="preserve">| [Spain](/tags/spain) </v>
      </c>
      <c r="CI77" s="29" t="str">
        <f>"| "&amp;AJ77&amp;" "</f>
        <v xml:space="preserve">|  </v>
      </c>
      <c r="CJ77" s="29" t="str">
        <f>"|"&amp;IF(AR77," [Link](/places/"&amp;SUBSTITUTE(BY77,".md","")&amp;")","")&amp;" "</f>
        <v xml:space="preserve">| [Link](/places/es-avila-san-vincente) </v>
      </c>
      <c r="CK77" s="29" t="str">
        <f>"
"&amp;CG77&amp;CH77&amp;CI77&amp;CJ77&amp;BL77&amp;BQ77&amp;BR77&amp;BS77&amp;CF77&amp;"|"</f>
        <v xml:space="preserve">
| [](/places/es-avila-san-vincente) | [Spain](/tags/spain) |  | [Link](/places/es-avila-san-vincente) [Official site](https://basilicasanvicente.es/)| [St. Vincent](/tags/vincent), [St. Sabina](/tags/sabina), [St. Cristeta](/tags/cristeta) |</v>
      </c>
    </row>
    <row r="78" spans="1:89" ht="127.5" x14ac:dyDescent="0.25">
      <c r="A78" s="168" t="s">
        <v>1320</v>
      </c>
      <c r="B78" s="24" t="s">
        <v>552</v>
      </c>
      <c r="C78" s="24" t="s">
        <v>2247</v>
      </c>
      <c r="D78" s="15">
        <v>40.834106372070302</v>
      </c>
      <c r="E78" s="49">
        <v>-5.1301381279179701</v>
      </c>
      <c r="F78" s="24" t="s">
        <v>2248</v>
      </c>
      <c r="G78" s="53" t="s">
        <v>2249</v>
      </c>
      <c r="H78" s="24" t="s">
        <v>1825</v>
      </c>
      <c r="I78" s="24" t="b">
        <v>1</v>
      </c>
      <c r="K78" s="24" t="b">
        <v>1</v>
      </c>
      <c r="L78" s="101" t="s">
        <v>2250</v>
      </c>
      <c r="M78" s="103" t="s">
        <v>2251</v>
      </c>
      <c r="O78" s="15" t="s">
        <v>336</v>
      </c>
      <c r="R78" s="64" t="s">
        <v>336</v>
      </c>
      <c r="Y78" s="15" t="s">
        <v>2133</v>
      </c>
      <c r="Z78" s="15" t="s">
        <v>2129</v>
      </c>
      <c r="AA78" s="15" t="s">
        <v>2132</v>
      </c>
      <c r="AR78" s="154" t="b">
        <f>IF(OR(A78="Done",A78="In Progress"),TRUE)</f>
        <v>1</v>
      </c>
      <c r="AS78" s="155" t="str">
        <f>"title: """&amp;F78&amp;""""</f>
        <v>title: "Monastery of Duruelo"</v>
      </c>
      <c r="AT78" s="155" t="str">
        <f>"location: {lat: "&amp;D78&amp;", lng: "&amp;E78&amp;"}"</f>
        <v>location: {lat: 40.8341063720703, lng: -5.13013812791797}</v>
      </c>
      <c r="AU78" s="155" t="str">
        <f>"interest: "&amp;H78</f>
        <v>interest: local</v>
      </c>
      <c r="AV78" s="155" t="str">
        <f>"- "&amp;VLOOKUP(B78,'(Ref) Countries'!A:C,3,)</f>
        <v>- spain</v>
      </c>
      <c r="AW78" s="155" t="str">
        <f>IF(LEN(C78)&gt;1,"- "&amp;LOWER(SUBSTITUTE(C78," ","-")),"")</f>
        <v>- duruelo</v>
      </c>
      <c r="AX78" s="155" t="str">
        <f>IF(I78,"- churches","")</f>
        <v>- churches</v>
      </c>
      <c r="AY78" s="155" t="str">
        <f>IF(J78,"- marian-sites","")</f>
        <v/>
      </c>
      <c r="AZ78" s="155" t="str">
        <f>IF(K78,"- holy-persons","")</f>
        <v>- holy-persons</v>
      </c>
      <c r="BA78" s="155" t="str">
        <f>IF(LEN(Y78)&gt;0,"- "&amp;Y78,"")</f>
        <v>- teresa-avila</v>
      </c>
      <c r="BB78" s="155" t="str">
        <f>IF(LEN(Z78)&gt;0,"- "&amp;Z78,"")</f>
        <v>- discalced-carmelites</v>
      </c>
      <c r="BC78" s="155" t="str">
        <f>IF(LEN(AA78)&gt;0,"- "&amp;AA78,"")</f>
        <v>- john-cross</v>
      </c>
      <c r="BD78" s="155" t="str">
        <f>IF(LEN(AB78)&gt;0,"- "&amp;AB78,"")</f>
        <v/>
      </c>
      <c r="BE78" s="155" t="str">
        <f>IF(LEN(AC78)&gt;0,"- "&amp;AC78,"")</f>
        <v/>
      </c>
      <c r="BF78" s="155" t="str">
        <f>IF(LEN(AD78)&gt;0,"- "&amp;AD78,"")</f>
        <v/>
      </c>
      <c r="BG78" s="155" t="str">
        <f>IF(LEN(AE78)&gt;0,"- "&amp;AE78,"")</f>
        <v/>
      </c>
      <c r="BH78" s="155" t="str">
        <f>IF(LEN(AF78)&gt;0,"- "&amp;AF78,"")</f>
        <v/>
      </c>
      <c r="BI78" s="155" t="str">
        <f>IF(LEN(AG78)&gt;0,"- "&amp;AG78,"")</f>
        <v/>
      </c>
      <c r="BJ78" s="155" t="str">
        <f>IF(LEN(AH78)&gt;0,"- "&amp;AH78,"")</f>
        <v/>
      </c>
      <c r="BK78" s="155" t="str">
        <f>"tags:"&amp;CHAR(10)&amp;concatl(AV78:BJ78)</f>
        <v xml:space="preserve">tags:
- spain_x000D_
- duruelo_x000D_
- churches_x000D_
- holy-persons_x000D_
- teresa-avila_x000D_
- discalced-carmelites_x000D_
- john-cross_x000D_
</v>
      </c>
      <c r="BL78" s="155" t="str">
        <f>IF(LEN(N78)&gt;0,TRIM(CONCATENATE("[Official site](",N78,") ",O78)),"")</f>
        <v/>
      </c>
      <c r="BM78" s="155" t="str">
        <f>IF(LEN(Q78)&gt;0,TRIM(CONCATENATE("["&amp;P78&amp;"](",Q78,") ",R78)),"")</f>
        <v/>
      </c>
      <c r="BN78" s="155" t="str">
        <f>IF(LEN(T78)&gt;0,TRIM(CONCATENATE("["&amp;S78&amp;"](",T78,") ",U78)),"")</f>
        <v/>
      </c>
      <c r="BO78" s="155" t="str">
        <f>IF(LEN(W78)&gt;0,TRIM(CONCATENATE("["&amp;V78&amp;"](",W78,") ",X78)),"")</f>
        <v/>
      </c>
      <c r="BP78" s="155" t="str">
        <f>IF(LEN(BL78)&gt;0,"* "&amp;BL78&amp;CHAR(10),"")&amp;
IF(LEN(BM78)&gt;0,"* "&amp;BM78&amp;CHAR(10),"")&amp;
IF(LEN(BN78)&gt;0,"* "&amp;BN78&amp;CHAR(10),"")&amp;
IF(LEN(BO78)&gt;0,"* "&amp;BO78&amp;CHAR(10),"")</f>
        <v/>
      </c>
      <c r="BQ78" s="155" t="str">
        <f>IF(LEN(AK78)&gt;0,TRIM(CONCATENATE("[Link](",AK78,") ",AL78)),"")</f>
        <v/>
      </c>
      <c r="BR78" s="155" t="str">
        <f>IF(LEN(AM78)&gt;0,TRIM(CONCATENATE("[Link](",AM78,") ",AN78)),"")</f>
        <v/>
      </c>
      <c r="BS78" s="155" t="str">
        <f>IF(LEN(AO78)&gt;0,TRIM(CONCATENATE("[Link](",AO78,") ",AP78)),"")</f>
        <v/>
      </c>
      <c r="BT78" s="155" t="str">
        <f>IF(LEN(concat(BQ78:BS78))&gt;0,concat("| ",BQ78," | ",BR78," | ",BS78," |"),"")</f>
        <v/>
      </c>
      <c r="BU78" s="155" t="str">
        <f>IF(J78,concatl("| The Real Presence | Miracle Hunter | MaryPages |","| --- | --- | --- |",BT78),"")</f>
        <v/>
      </c>
      <c r="BV78" s="155" t="str">
        <f>IF(LEN(BP78&amp;BU78)&gt;0,concatll("#### More Information",BP78,BU78),"")</f>
        <v/>
      </c>
      <c r="BW78" s="155" t="str">
        <f>IF(LEN(M78)&gt;1,concatll("#### Author's Note",M78),"")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78" s="23" t="str">
        <f>IF(AR78,concatll(concatl("---",AS78:AU78,BK78,"---"),L78,BV78:BW78),"")</f>
        <v xml:space="preserve">---_x000D_
title: "Monastery of Duruelo"_x000D_
location: {lat: 40.8341063720703, lng: -5.13013812791797}_x000D_
interest: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78" s="23" t="str">
        <f>IF(AR78,VLOOKUP(B78,'(Ref) Countries'!A:B,2,)&amp;IF(LEN(C78)&gt;1,"-"&amp;LOWER(SUBSTITUTE(C78," ","-")),"")&amp;"-"&amp;LOWER(SUBSTITUTE(SUBSTITUTE(G78," ","-"),".",""))&amp;".md","")</f>
        <v>es-duruelo-monastery.md</v>
      </c>
      <c r="BZ78" s="29" t="str">
        <f>IF(LEN(Y78)&gt;1,VLOOKUP(Y78,'Tag List'!$A:$B,2,),"")</f>
        <v>St. Teresa of Avila, OCD</v>
      </c>
      <c r="CA78" s="29" t="str">
        <f>IF(LEN(Z78)&gt;1,VLOOKUP(Z78,'Tag List'!$A:$B,2,),"")</f>
        <v>Discalced Carmelites (Order of Discalced Carmelites)</v>
      </c>
      <c r="CB78" s="29" t="str">
        <f>IF(LEN(AA78)&gt;1,VLOOKUP(AA78,'Tag List'!$A:$B,2,),"")</f>
        <v>St. John of the Cross, OCD</v>
      </c>
      <c r="CC78" s="29" t="str">
        <f>IF(LEN(Y78)&gt;1,GetTagPage(BZ78,Y78),"")</f>
        <v>[St. Teresa of Avila, OCD](/tags/teresa-avila)</v>
      </c>
      <c r="CD78" s="29" t="str">
        <f>IF(LEN(Z78)&gt;1,GetTagPage(CA78,Z78),"")</f>
        <v>[Discalced Carmelites (Order of Discalced Carmelites)](/tags/discalced-carmelites)</v>
      </c>
      <c r="CE78" s="29" t="str">
        <f>IF(LEN(AA78)&gt;1,GetTagPage(CB78,AA78),"")</f>
        <v>[St. John of the Cross, OCD](/tags/john-cross)</v>
      </c>
      <c r="CF78" s="29" t="str">
        <f>"|"&amp;IF(LEN(CC78)&gt;1," "&amp;CC78,"")&amp;IF(LEN(CD78)&gt;1,", "&amp;CD78,"")&amp;IF(LEN(CE78)&gt;1,", "&amp;CE78,"")&amp;" "</f>
        <v xml:space="preserve">| [St. Teresa of Avila, OCD](/tags/teresa-avila), [Discalced Carmelites (Order of Discalced Carmelites)](/tags/discalced-carmelites), [St. John of the Cross, OCD](/tags/john-cross) </v>
      </c>
      <c r="CG78" s="29" t="str">
        <f>"| "&amp;IF(AR78,"["&amp;AI78&amp;"](/places/"&amp;SUBSTITUTE(BY78,".md","")&amp;")",AI78)&amp;" "</f>
        <v xml:space="preserve">| [](/places/es-duruelo-monastery) </v>
      </c>
      <c r="CH78" s="29" t="str">
        <f>"| "&amp;IF(AR78,GetTagPage(B78,VLOOKUP(B78,'(Ref) Countries'!A:C,3,)),B78)&amp; " "</f>
        <v xml:space="preserve">| [Spain](/tags/spain) </v>
      </c>
      <c r="CI78" s="29" t="str">
        <f>"| "&amp;AJ78&amp;" "</f>
        <v xml:space="preserve">|  </v>
      </c>
      <c r="CJ78" s="29" t="str">
        <f>"|"&amp;IF(AR78," [Link](/places/"&amp;SUBSTITUTE(BY78,".md","")&amp;")","")&amp;" "</f>
        <v xml:space="preserve">| [Link](/places/es-duruelo-monastery) </v>
      </c>
      <c r="CK78" s="29" t="str">
        <f>"
"&amp;CG78&amp;CH78&amp;CI78&amp;CJ78&amp;BL78&amp;BQ78&amp;BR78&amp;BS78&amp;CF78&amp;"|"</f>
        <v xml:space="preserve">
| [](/places/es-duruelo-monastery) | [Spain](/tags/spain) |  | [Link](/places/es-duruelo-monastery) | [St. Teresa of Avila, OCD](/tags/teresa-avila), [Discalced Carmelites (Order of Discalced Carmelites)](/tags/discalced-carmelites), [St. John of the Cross, OCD](/tags/john-cross) |</v>
      </c>
    </row>
    <row r="79" spans="1:89" ht="63.75" x14ac:dyDescent="0.25">
      <c r="A79" s="168" t="s">
        <v>1320</v>
      </c>
      <c r="B79" s="24" t="s">
        <v>552</v>
      </c>
      <c r="C79" s="101" t="s">
        <v>2177</v>
      </c>
      <c r="D79" s="15">
        <v>40.955391357159002</v>
      </c>
      <c r="E79" s="49">
        <v>-4.1334718632315699</v>
      </c>
      <c r="F79" s="101" t="s">
        <v>2252</v>
      </c>
      <c r="G79" s="103" t="s">
        <v>2253</v>
      </c>
      <c r="H79" s="101" t="s">
        <v>1759</v>
      </c>
      <c r="I79" s="24" t="b">
        <v>1</v>
      </c>
      <c r="K79" s="24" t="b">
        <v>1</v>
      </c>
      <c r="L79" s="101" t="s">
        <v>2254</v>
      </c>
      <c r="N79" s="15" t="s">
        <v>2255</v>
      </c>
      <c r="O79" s="15" t="s">
        <v>336</v>
      </c>
      <c r="R79" s="64" t="s">
        <v>336</v>
      </c>
      <c r="Y79" s="15" t="s">
        <v>2133</v>
      </c>
      <c r="Z79" s="15" t="s">
        <v>2129</v>
      </c>
      <c r="AA79" s="15" t="s">
        <v>2132</v>
      </c>
      <c r="AR79" s="154" t="b">
        <f>IF(OR(A79="Done",A79="In Progress"),TRUE)</f>
        <v>1</v>
      </c>
      <c r="AS79" s="155" t="str">
        <f>"title: """&amp;F79&amp;""""</f>
        <v>title: "Convent of St. John of the Cross (Convento de San Juan de la Cruz)"</v>
      </c>
      <c r="AT79" s="155" t="str">
        <f>"location: {lat: "&amp;D79&amp;", lng: "&amp;E79&amp;"}"</f>
        <v>location: {lat: 40.955391357159, lng: -4.13347186323157}</v>
      </c>
      <c r="AU79" s="155" t="str">
        <f>"interest: "&amp;H79</f>
        <v>interest: regional</v>
      </c>
      <c r="AV79" s="155" t="str">
        <f>"- "&amp;VLOOKUP(B79,'(Ref) Countries'!A:C,3,)</f>
        <v>- spain</v>
      </c>
      <c r="AW79" s="155" t="str">
        <f>IF(LEN(C79)&gt;1,"- "&amp;LOWER(SUBSTITUTE(C79," ","-")),"")</f>
        <v>- segovia</v>
      </c>
      <c r="AX79" s="155" t="str">
        <f>IF(I79,"- churches","")</f>
        <v>- churches</v>
      </c>
      <c r="AY79" s="155" t="str">
        <f>IF(J79,"- marian-sites","")</f>
        <v/>
      </c>
      <c r="AZ79" s="155" t="str">
        <f>IF(K79,"- holy-persons","")</f>
        <v>- holy-persons</v>
      </c>
      <c r="BA79" s="155" t="str">
        <f>IF(LEN(Y79)&gt;0,"- "&amp;Y79,"")</f>
        <v>- teresa-avila</v>
      </c>
      <c r="BB79" s="155" t="str">
        <f>IF(LEN(Z79)&gt;0,"- "&amp;Z79,"")</f>
        <v>- discalced-carmelites</v>
      </c>
      <c r="BC79" s="155" t="str">
        <f>IF(LEN(AA79)&gt;0,"- "&amp;AA79,"")</f>
        <v>- john-cross</v>
      </c>
      <c r="BD79" s="155" t="str">
        <f>IF(LEN(AB79)&gt;0,"- "&amp;AB79,"")</f>
        <v/>
      </c>
      <c r="BE79" s="155" t="str">
        <f>IF(LEN(AC79)&gt;0,"- "&amp;AC79,"")</f>
        <v/>
      </c>
      <c r="BF79" s="155" t="str">
        <f>IF(LEN(AD79)&gt;0,"- "&amp;AD79,"")</f>
        <v/>
      </c>
      <c r="BG79" s="155" t="str">
        <f>IF(LEN(AE79)&gt;0,"- "&amp;AE79,"")</f>
        <v/>
      </c>
      <c r="BH79" s="155" t="str">
        <f>IF(LEN(AF79)&gt;0,"- "&amp;AF79,"")</f>
        <v/>
      </c>
      <c r="BI79" s="155" t="str">
        <f>IF(LEN(AG79)&gt;0,"- "&amp;AG79,"")</f>
        <v/>
      </c>
      <c r="BJ79" s="155" t="str">
        <f>IF(LEN(AH79)&gt;0,"- "&amp;AH79,"")</f>
        <v/>
      </c>
      <c r="BK79" s="155" t="str">
        <f>"tags:"&amp;CHAR(10)&amp;concatl(AV79:BJ79)</f>
        <v xml:space="preserve">tags:
- spain_x000D_
- segovia_x000D_
- churches_x000D_
- holy-persons_x000D_
- teresa-avila_x000D_
- discalced-carmelites_x000D_
- john-cross_x000D_
</v>
      </c>
      <c r="BL79" s="155" t="str">
        <f>IF(LEN(N79)&gt;0,TRIM(CONCATENATE("[Official site](",N79,") ",O79)),"")</f>
        <v>[Official site](https://sanjuandelacruzsegovia.com/)</v>
      </c>
      <c r="BM79" s="155" t="str">
        <f>IF(LEN(Q79)&gt;0,TRIM(CONCATENATE("["&amp;P79&amp;"](",Q79,") ",R79)),"")</f>
        <v/>
      </c>
      <c r="BN79" s="155" t="str">
        <f>IF(LEN(T79)&gt;0,TRIM(CONCATENATE("["&amp;S79&amp;"](",T79,") ",U79)),"")</f>
        <v/>
      </c>
      <c r="BO79" s="155" t="str">
        <f>IF(LEN(W79)&gt;0,TRIM(CONCATENATE("["&amp;V79&amp;"](",W79,") ",X79)),"")</f>
        <v/>
      </c>
      <c r="BP79" s="155" t="str">
        <f>IF(LEN(BL79)&gt;0,"* "&amp;BL79&amp;CHAR(10),"")&amp;
IF(LEN(BM79)&gt;0,"* "&amp;BM79&amp;CHAR(10),"")&amp;
IF(LEN(BN79)&gt;0,"* "&amp;BN79&amp;CHAR(10),"")&amp;
IF(LEN(BO79)&gt;0,"* "&amp;BO79&amp;CHAR(10),"")</f>
        <v xml:space="preserve">* [Official site](https://sanjuandelacruzsegovia.com/)
</v>
      </c>
      <c r="BQ79" s="155" t="str">
        <f>IF(LEN(AK79)&gt;0,TRIM(CONCATENATE("[Link](",AK79,") ",AL79)),"")</f>
        <v/>
      </c>
      <c r="BR79" s="155" t="str">
        <f>IF(LEN(AM79)&gt;0,TRIM(CONCATENATE("[Link](",AM79,") ",AN79)),"")</f>
        <v/>
      </c>
      <c r="BS79" s="155" t="str">
        <f>IF(LEN(AO79)&gt;0,TRIM(CONCATENATE("[Link](",AO79,") ",AP79)),"")</f>
        <v/>
      </c>
      <c r="BT79" s="155" t="str">
        <f>IF(LEN(concat(BQ79:BS79))&gt;0,concat("| ",BQ79," | ",BR79," | ",BS79," |"),"")</f>
        <v/>
      </c>
      <c r="BU79" s="155" t="str">
        <f>IF(J79,concatl("| The Real Presence | Miracle Hunter | MaryPages |","| --- | --- | --- |",BT79),"")</f>
        <v/>
      </c>
      <c r="BV79" s="155" t="str">
        <f>IF(LEN(BP79&amp;BU79)&gt;0,concatll("#### More Information",BP79,BU79),"")</f>
        <v xml:space="preserve">#### More Information_x000D_
_x000D_
* [Official site](https://sanjuandelacruzsegovia.com/)
_x000D_
_x000D_
</v>
      </c>
      <c r="BW79" s="155" t="str">
        <f>IF(LEN(M79)&gt;1,concatll("#### Author's Note",M79),"")</f>
        <v/>
      </c>
      <c r="BX79" s="23" t="str">
        <f>IF(AR79,concatll(concatl("---",AS79:AU79,BK79,"---"),L79,BV79:BW79),"")</f>
        <v xml:space="preserve">---_x000D_
title: "Convent of St. John of the Cross (Convento de San Juan de la Cruz)"_x000D_
location: {lat: 40.955391357159, lng: -4.13347186323157}_x000D_
interest: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79" s="23" t="str">
        <f>IF(AR79,VLOOKUP(B79,'(Ref) Countries'!A:B,2,)&amp;IF(LEN(C79)&gt;1,"-"&amp;LOWER(SUBSTITUTE(C79," ","-")),"")&amp;"-"&amp;LOWER(SUBSTITUTE(SUBSTITUTE(G79," ","-"),".",""))&amp;".md","")</f>
        <v>es-segovia-convento-de-san-juan-de-la-cruz.md</v>
      </c>
      <c r="BZ79" s="29" t="str">
        <f>IF(LEN(Y79)&gt;1,VLOOKUP(Y79,'Tag List'!$A:$B,2,),"")</f>
        <v>St. Teresa of Avila, OCD</v>
      </c>
      <c r="CA79" s="29" t="str">
        <f>IF(LEN(Z79)&gt;1,VLOOKUP(Z79,'Tag List'!$A:$B,2,),"")</f>
        <v>Discalced Carmelites (Order of Discalced Carmelites)</v>
      </c>
      <c r="CB79" s="29" t="str">
        <f>IF(LEN(AA79)&gt;1,VLOOKUP(AA79,'Tag List'!$A:$B,2,),"")</f>
        <v>St. John of the Cross, OCD</v>
      </c>
      <c r="CC79" s="29" t="str">
        <f>IF(LEN(Y79)&gt;1,GetTagPage(BZ79,Y79),"")</f>
        <v>[St. Teresa of Avila, OCD](/tags/teresa-avila)</v>
      </c>
      <c r="CD79" s="29" t="str">
        <f>IF(LEN(Z79)&gt;1,GetTagPage(CA79,Z79),"")</f>
        <v>[Discalced Carmelites (Order of Discalced Carmelites)](/tags/discalced-carmelites)</v>
      </c>
      <c r="CE79" s="29" t="str">
        <f>IF(LEN(AA79)&gt;1,GetTagPage(CB79,AA79),"")</f>
        <v>[St. John of the Cross, OCD](/tags/john-cross)</v>
      </c>
      <c r="CF79" s="29" t="str">
        <f>"|"&amp;IF(LEN(CC79)&gt;1," "&amp;CC79,"")&amp;IF(LEN(CD79)&gt;1,", "&amp;CD79,"")&amp;IF(LEN(CE79)&gt;1,", "&amp;CE79,"")&amp;" "</f>
        <v xml:space="preserve">| [St. Teresa of Avila, OCD](/tags/teresa-avila), [Discalced Carmelites (Order of Discalced Carmelites)](/tags/discalced-carmelites), [St. John of the Cross, OCD](/tags/john-cross) </v>
      </c>
      <c r="CG79" s="29" t="str">
        <f>"| "&amp;IF(AR79,"["&amp;AI79&amp;"](/places/"&amp;SUBSTITUTE(BY79,".md","")&amp;")",AI79)&amp;" "</f>
        <v xml:space="preserve">| [](/places/es-segovia-convento-de-san-juan-de-la-cruz) </v>
      </c>
      <c r="CH79" s="29" t="str">
        <f>"| "&amp;IF(AR79,GetTagPage(B79,VLOOKUP(B79,'(Ref) Countries'!A:C,3,)),B79)&amp; " "</f>
        <v xml:space="preserve">| [Spain](/tags/spain) </v>
      </c>
      <c r="CI79" s="29" t="str">
        <f>"| "&amp;AJ79&amp;" "</f>
        <v xml:space="preserve">|  </v>
      </c>
      <c r="CJ79" s="29" t="str">
        <f>"|"&amp;IF(AR79," [Link](/places/"&amp;SUBSTITUTE(BY79,".md","")&amp;")","")&amp;" "</f>
        <v xml:space="preserve">| [Link](/places/es-segovia-convento-de-san-juan-de-la-cruz) </v>
      </c>
      <c r="CK79" s="29" t="str">
        <f>"
"&amp;CG79&amp;CH79&amp;CI79&amp;CJ79&amp;BL79&amp;BQ79&amp;BR79&amp;BS79&amp;CF79&amp;"|"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80" spans="1:89" ht="38.25" x14ac:dyDescent="0.25">
      <c r="A80" s="168" t="s">
        <v>1320</v>
      </c>
      <c r="B80" s="24" t="s">
        <v>552</v>
      </c>
      <c r="C80" s="101" t="s">
        <v>2256</v>
      </c>
      <c r="D80" s="15">
        <v>38.009716453448398</v>
      </c>
      <c r="E80" s="49">
        <v>-3.36573704226182</v>
      </c>
      <c r="F80" s="101" t="s">
        <v>2257</v>
      </c>
      <c r="G80" s="103" t="s">
        <v>2258</v>
      </c>
      <c r="H80" s="24" t="s">
        <v>1759</v>
      </c>
      <c r="I80" s="24" t="b">
        <v>1</v>
      </c>
      <c r="K80" s="24" t="b">
        <v>1</v>
      </c>
      <c r="L80" s="101" t="s">
        <v>2259</v>
      </c>
      <c r="N80" s="15" t="s">
        <v>2260</v>
      </c>
      <c r="O80" s="15" t="s">
        <v>336</v>
      </c>
      <c r="R80" s="64" t="s">
        <v>336</v>
      </c>
      <c r="Y80" s="15" t="s">
        <v>2132</v>
      </c>
      <c r="Z80" s="15" t="s">
        <v>2129</v>
      </c>
      <c r="AR80" s="154" t="b">
        <f>IF(OR(A80="Done",A80="In Progress"),TRUE)</f>
        <v>1</v>
      </c>
      <c r="AS80" s="155" t="str">
        <f>"title: """&amp;F80&amp;""""</f>
        <v>title: "Oratory of St. John of the Cross (Oratorio de San Juan de la Cruz)"</v>
      </c>
      <c r="AT80" s="155" t="str">
        <f>"location: {lat: "&amp;D80&amp;", lng: "&amp;E80&amp;"}"</f>
        <v>location: {lat: 38.0097164534484, lng: -3.36573704226182}</v>
      </c>
      <c r="AU80" s="155" t="str">
        <f>"interest: "&amp;H80</f>
        <v>interest: regional</v>
      </c>
      <c r="AV80" s="155" t="str">
        <f>"- "&amp;VLOOKUP(B80,'(Ref) Countries'!A:C,3,)</f>
        <v>- spain</v>
      </c>
      <c r="AW80" s="155" t="str">
        <f>IF(LEN(C80)&gt;1,"- "&amp;LOWER(SUBSTITUTE(C80," ","-")),"")</f>
        <v>- ubeda</v>
      </c>
      <c r="AX80" s="155" t="str">
        <f>IF(I80,"- churches","")</f>
        <v>- churches</v>
      </c>
      <c r="AY80" s="155" t="str">
        <f>IF(J80,"- marian-sites","")</f>
        <v/>
      </c>
      <c r="AZ80" s="155" t="str">
        <f>IF(K80,"- holy-persons","")</f>
        <v>- holy-persons</v>
      </c>
      <c r="BA80" s="155" t="str">
        <f>IF(LEN(Y80)&gt;0,"- "&amp;Y80,"")</f>
        <v>- john-cross</v>
      </c>
      <c r="BB80" s="155" t="str">
        <f>IF(LEN(Z80)&gt;0,"- "&amp;Z80,"")</f>
        <v>- discalced-carmelites</v>
      </c>
      <c r="BC80" s="155" t="str">
        <f>IF(LEN(AA80)&gt;0,"- "&amp;AA80,"")</f>
        <v/>
      </c>
      <c r="BD80" s="155" t="str">
        <f>IF(LEN(AB80)&gt;0,"- "&amp;AB80,"")</f>
        <v/>
      </c>
      <c r="BE80" s="155" t="str">
        <f>IF(LEN(AC80)&gt;0,"- "&amp;AC80,"")</f>
        <v/>
      </c>
      <c r="BF80" s="155" t="str">
        <f>IF(LEN(AD80)&gt;0,"- "&amp;AD80,"")</f>
        <v/>
      </c>
      <c r="BG80" s="155" t="str">
        <f>IF(LEN(AE80)&gt;0,"- "&amp;AE80,"")</f>
        <v/>
      </c>
      <c r="BH80" s="155" t="str">
        <f>IF(LEN(AF80)&gt;0,"- "&amp;AF80,"")</f>
        <v/>
      </c>
      <c r="BI80" s="155" t="str">
        <f>IF(LEN(AG80)&gt;0,"- "&amp;AG80,"")</f>
        <v/>
      </c>
      <c r="BJ80" s="155" t="str">
        <f>IF(LEN(AH80)&gt;0,"- "&amp;AH80,"")</f>
        <v/>
      </c>
      <c r="BK80" s="155" t="str">
        <f>"tags:"&amp;CHAR(10)&amp;concatl(AV80:BJ80)</f>
        <v xml:space="preserve">tags:
- spain_x000D_
- ubeda_x000D_
- churches_x000D_
- holy-persons_x000D_
- john-cross_x000D_
- discalced-carmelites_x000D_
</v>
      </c>
      <c r="BL80" s="155" t="str">
        <f>IF(LEN(N80)&gt;0,TRIM(CONCATENATE("[Official site](",N80,") ",O80)),"")</f>
        <v>[Official site](https://www.sanjuandelacruzubeda.com/)</v>
      </c>
      <c r="BM80" s="155" t="str">
        <f>IF(LEN(Q80)&gt;0,TRIM(CONCATENATE("["&amp;P80&amp;"](",Q80,") ",R80)),"")</f>
        <v/>
      </c>
      <c r="BN80" s="155" t="str">
        <f>IF(LEN(T80)&gt;0,TRIM(CONCATENATE("["&amp;S80&amp;"](",T80,") ",U80)),"")</f>
        <v/>
      </c>
      <c r="BO80" s="155" t="str">
        <f>IF(LEN(W80)&gt;0,TRIM(CONCATENATE("["&amp;V80&amp;"](",W80,") ",X80)),"")</f>
        <v/>
      </c>
      <c r="BP80" s="155" t="str">
        <f>IF(LEN(BL80)&gt;0,"* "&amp;BL80&amp;CHAR(10),"")&amp;
IF(LEN(BM80)&gt;0,"* "&amp;BM80&amp;CHAR(10),"")&amp;
IF(LEN(BN80)&gt;0,"* "&amp;BN80&amp;CHAR(10),"")&amp;
IF(LEN(BO80)&gt;0,"* "&amp;BO80&amp;CHAR(10),"")</f>
        <v xml:space="preserve">* [Official site](https://www.sanjuandelacruzubeda.com/)
</v>
      </c>
      <c r="BQ80" s="155" t="str">
        <f>IF(LEN(AK80)&gt;0,TRIM(CONCATENATE("[Link](",AK80,") ",AL80)),"")</f>
        <v/>
      </c>
      <c r="BR80" s="155" t="str">
        <f>IF(LEN(AM80)&gt;0,TRIM(CONCATENATE("[Link](",AM80,") ",AN80)),"")</f>
        <v/>
      </c>
      <c r="BS80" s="155" t="str">
        <f>IF(LEN(AO80)&gt;0,TRIM(CONCATENATE("[Link](",AO80,") ",AP80)),"")</f>
        <v/>
      </c>
      <c r="BT80" s="155" t="str">
        <f>IF(LEN(concat(BQ80:BS80))&gt;0,concat("| ",BQ80," | ",BR80," | ",BS80," |"),"")</f>
        <v/>
      </c>
      <c r="BU80" s="155" t="str">
        <f>IF(J80,concatl("| The Real Presence | Miracle Hunter | MaryPages |","| --- | --- | --- |",BT80),"")</f>
        <v/>
      </c>
      <c r="BV80" s="155" t="str">
        <f>IF(LEN(BP80&amp;BU80)&gt;0,concatll("#### More Information",BP80,BU80),"")</f>
        <v xml:space="preserve">#### More Information_x000D_
_x000D_
* [Official site](https://www.sanjuandelacruzubeda.com/)
_x000D_
_x000D_
</v>
      </c>
      <c r="BW80" s="155" t="str">
        <f>IF(LEN(M80)&gt;1,concatll("#### Author's Note",M80),"")</f>
        <v/>
      </c>
      <c r="BX80" s="23" t="str">
        <f>IF(AR80,concatll(concatl("---",AS80:AU80,BK80,"---"),L80,BV80:BW80),"")</f>
        <v xml:space="preserve">---_x000D_
title: "Oratory of St. John of the Cross (Oratorio de San Juan de la Cruz)"_x000D_
location: {lat: 38.0097164534484, lng: -3.36573704226182}_x000D_
interest: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80" s="23" t="str">
        <f>IF(AR80,VLOOKUP(B80,'(Ref) Countries'!A:B,2,)&amp;IF(LEN(C80)&gt;1,"-"&amp;LOWER(SUBSTITUTE(C80," ","-")),"")&amp;"-"&amp;LOWER(SUBSTITUTE(SUBSTITUTE(G80," ","-"),".",""))&amp;".md","")</f>
        <v>es-ubeda-oratorio-de-san-juan-de-la-cruz.md</v>
      </c>
      <c r="BZ80" s="29" t="str">
        <f>IF(LEN(Y80)&gt;1,VLOOKUP(Y80,'Tag List'!$A:$B,2,),"")</f>
        <v>St. John of the Cross, OCD</v>
      </c>
      <c r="CA80" s="29" t="str">
        <f>IF(LEN(Z80)&gt;1,VLOOKUP(Z80,'Tag List'!$A:$B,2,),"")</f>
        <v>Discalced Carmelites (Order of Discalced Carmelites)</v>
      </c>
      <c r="CB80" s="29" t="str">
        <f>IF(LEN(AA80)&gt;1,VLOOKUP(AA80,'Tag List'!$A:$B,2,),"")</f>
        <v/>
      </c>
      <c r="CC80" s="29" t="str">
        <f>IF(LEN(Y80)&gt;1,GetTagPage(BZ80,Y80),"")</f>
        <v>[St. John of the Cross, OCD](/tags/john-cross)</v>
      </c>
      <c r="CD80" s="29" t="str">
        <f>IF(LEN(Z80)&gt;1,GetTagPage(CA80,Z80),"")</f>
        <v>[Discalced Carmelites (Order of Discalced Carmelites)](/tags/discalced-carmelites)</v>
      </c>
      <c r="CE80" s="29" t="str">
        <f>IF(LEN(AA80)&gt;1,GetTagPage(CB80,AA80),"")</f>
        <v/>
      </c>
      <c r="CF80" s="29" t="str">
        <f>"|"&amp;IF(LEN(CC80)&gt;1," "&amp;CC80,"")&amp;IF(LEN(CD80)&gt;1,", "&amp;CD80,"")&amp;IF(LEN(CE80)&gt;1,", "&amp;CE80,"")&amp;" "</f>
        <v xml:space="preserve">| [St. John of the Cross, OCD](/tags/john-cross), [Discalced Carmelites (Order of Discalced Carmelites)](/tags/discalced-carmelites) </v>
      </c>
      <c r="CG80" s="29" t="str">
        <f>"| "&amp;IF(AR80,"["&amp;AI80&amp;"](/places/"&amp;SUBSTITUTE(BY80,".md","")&amp;")",AI80)&amp;" "</f>
        <v xml:space="preserve">| [](/places/es-ubeda-oratorio-de-san-juan-de-la-cruz) </v>
      </c>
      <c r="CH80" s="29" t="str">
        <f>"| "&amp;IF(AR80,GetTagPage(B80,VLOOKUP(B80,'(Ref) Countries'!A:C,3,)),B80)&amp; " "</f>
        <v xml:space="preserve">| [Spain](/tags/spain) </v>
      </c>
      <c r="CI80" s="29" t="str">
        <f>"| "&amp;AJ80&amp;" "</f>
        <v xml:space="preserve">|  </v>
      </c>
      <c r="CJ80" s="29" t="str">
        <f>"|"&amp;IF(AR80," [Link](/places/"&amp;SUBSTITUTE(BY80,".md","")&amp;")","")&amp;" "</f>
        <v xml:space="preserve">| [Link](/places/es-ubeda-oratorio-de-san-juan-de-la-cruz) </v>
      </c>
      <c r="CK80" s="29" t="str">
        <f>"
"&amp;CG80&amp;CH80&amp;CI80&amp;CJ80&amp;BL80&amp;BQ80&amp;BR80&amp;BS80&amp;CF80&amp;"|"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81" spans="1:89" ht="38.25" x14ac:dyDescent="0.25">
      <c r="A81" s="168" t="s">
        <v>1320</v>
      </c>
      <c r="B81" s="24" t="s">
        <v>552</v>
      </c>
      <c r="C81" s="101" t="s">
        <v>2261</v>
      </c>
      <c r="D81" s="15">
        <v>40.931787066841601</v>
      </c>
      <c r="E81" s="49">
        <v>-4.9646371</v>
      </c>
      <c r="F81" s="101" t="s">
        <v>2262</v>
      </c>
      <c r="G81" s="103" t="s">
        <v>2263</v>
      </c>
      <c r="H81" s="101" t="s">
        <v>1825</v>
      </c>
      <c r="I81" s="24" t="b">
        <v>1</v>
      </c>
      <c r="K81" s="24" t="b">
        <v>1</v>
      </c>
      <c r="L81" s="101" t="s">
        <v>2264</v>
      </c>
      <c r="O81" s="15" t="s">
        <v>336</v>
      </c>
      <c r="P81" s="106" t="s">
        <v>2242</v>
      </c>
      <c r="Q81" s="15" t="s">
        <v>2265</v>
      </c>
      <c r="R81" s="64" t="s">
        <v>336</v>
      </c>
      <c r="Y81" s="15" t="s">
        <v>2132</v>
      </c>
      <c r="Z81" s="15" t="s">
        <v>2129</v>
      </c>
      <c r="AR81" s="154" t="b">
        <f>IF(OR(A81="Done",A81="In Progress"),TRUE)</f>
        <v>1</v>
      </c>
      <c r="AS81" s="155" t="str">
        <f>"title: """&amp;F81&amp;""""</f>
        <v>title: "Church of the Birthplace of St. John of the Cross (Iglesia Casa Natal de San Juan de la Cruz)"</v>
      </c>
      <c r="AT81" s="155" t="str">
        <f>"location: {lat: "&amp;D81&amp;", lng: "&amp;E81&amp;"}"</f>
        <v>location: {lat: 40.9317870668416, lng: -4.9646371}</v>
      </c>
      <c r="AU81" s="155" t="str">
        <f>"interest: "&amp;H81</f>
        <v>interest: local</v>
      </c>
      <c r="AV81" s="155" t="str">
        <f>"- "&amp;VLOOKUP(B81,'(Ref) Countries'!A:C,3,)</f>
        <v>- spain</v>
      </c>
      <c r="AW81" s="155" t="str">
        <f>IF(LEN(C81)&gt;1,"- "&amp;LOWER(SUBSTITUTE(C81," ","-")),"")</f>
        <v>- fontiveros</v>
      </c>
      <c r="AX81" s="155" t="str">
        <f>IF(I81,"- churches","")</f>
        <v>- churches</v>
      </c>
      <c r="AY81" s="155" t="str">
        <f>IF(J81,"- marian-sites","")</f>
        <v/>
      </c>
      <c r="AZ81" s="155" t="str">
        <f>IF(K81,"- holy-persons","")</f>
        <v>- holy-persons</v>
      </c>
      <c r="BA81" s="155" t="str">
        <f>IF(LEN(Y81)&gt;0,"- "&amp;Y81,"")</f>
        <v>- john-cross</v>
      </c>
      <c r="BB81" s="155" t="str">
        <f>IF(LEN(Z81)&gt;0,"- "&amp;Z81,"")</f>
        <v>- discalced-carmelites</v>
      </c>
      <c r="BC81" s="155" t="str">
        <f>IF(LEN(AA81)&gt;0,"- "&amp;AA81,"")</f>
        <v/>
      </c>
      <c r="BD81" s="155" t="str">
        <f>IF(LEN(AB81)&gt;0,"- "&amp;AB81,"")</f>
        <v/>
      </c>
      <c r="BE81" s="155" t="str">
        <f>IF(LEN(AC81)&gt;0,"- "&amp;AC81,"")</f>
        <v/>
      </c>
      <c r="BF81" s="155" t="str">
        <f>IF(LEN(AD81)&gt;0,"- "&amp;AD81,"")</f>
        <v/>
      </c>
      <c r="BG81" s="155" t="str">
        <f>IF(LEN(AE81)&gt;0,"- "&amp;AE81,"")</f>
        <v/>
      </c>
      <c r="BH81" s="155" t="str">
        <f>IF(LEN(AF81)&gt;0,"- "&amp;AF81,"")</f>
        <v/>
      </c>
      <c r="BI81" s="155" t="str">
        <f>IF(LEN(AG81)&gt;0,"- "&amp;AG81,"")</f>
        <v/>
      </c>
      <c r="BJ81" s="155" t="str">
        <f>IF(LEN(AH81)&gt;0,"- "&amp;AH81,"")</f>
        <v/>
      </c>
      <c r="BK81" s="155" t="str">
        <f>"tags:"&amp;CHAR(10)&amp;concatl(AV81:BJ81)</f>
        <v xml:space="preserve">tags:
- spain_x000D_
- fontiveros_x000D_
- churches_x000D_
- holy-persons_x000D_
- john-cross_x000D_
- discalced-carmelites_x000D_
</v>
      </c>
      <c r="BL81" s="155" t="str">
        <f>IF(LEN(N81)&gt;0,TRIM(CONCATENATE("[Official site](",N81,") ",O81)),"")</f>
        <v/>
      </c>
      <c r="BM81" s="155" t="str">
        <f>IF(LEN(Q81)&gt;0,TRIM(CONCATENATE("["&amp;P81&amp;"](",Q81,") ",R81)),"")</f>
        <v>[Castila y Leon tourism site](https://www.turismocastillayleon.com/en/art-culture-heritage/monuments/churches-chapels/church-san-juan-de-la-cruz-house-natal)</v>
      </c>
      <c r="BN81" s="155" t="str">
        <f>IF(LEN(T81)&gt;0,TRIM(CONCATENATE("["&amp;S81&amp;"](",T81,") ",U81)),"")</f>
        <v/>
      </c>
      <c r="BO81" s="155" t="str">
        <f>IF(LEN(W81)&gt;0,TRIM(CONCATENATE("["&amp;V81&amp;"](",W81,") ",X81)),"")</f>
        <v/>
      </c>
      <c r="BP81" s="155" t="str">
        <f>IF(LEN(BL81)&gt;0,"* "&amp;BL81&amp;CHAR(10),"")&amp;
IF(LEN(BM81)&gt;0,"* "&amp;BM81&amp;CHAR(10),"")&amp;
IF(LEN(BN81)&gt;0,"* "&amp;BN81&amp;CHAR(10),"")&amp;
IF(LEN(BO81)&gt;0,"* "&amp;BO81&amp;CHAR(10),"")</f>
        <v xml:space="preserve">* [Castila y Leon tourism site](https://www.turismocastillayleon.com/en/art-culture-heritage/monuments/churches-chapels/church-san-juan-de-la-cruz-house-natal)
</v>
      </c>
      <c r="BQ81" s="155" t="str">
        <f>IF(LEN(AK81)&gt;0,TRIM(CONCATENATE("[Link](",AK81,") ",AL81)),"")</f>
        <v/>
      </c>
      <c r="BR81" s="155" t="str">
        <f>IF(LEN(AM81)&gt;0,TRIM(CONCATENATE("[Link](",AM81,") ",AN81)),"")</f>
        <v/>
      </c>
      <c r="BS81" s="155" t="str">
        <f>IF(LEN(AO81)&gt;0,TRIM(CONCATENATE("[Link](",AO81,") ",AP81)),"")</f>
        <v/>
      </c>
      <c r="BT81" s="155" t="str">
        <f>IF(LEN(concat(BQ81:BS81))&gt;0,concat("| ",BQ81," | ",BR81," | ",BS81," |"),"")</f>
        <v/>
      </c>
      <c r="BU81" s="155" t="str">
        <f>IF(J81,concatl("| The Real Presence | Miracle Hunter | MaryPages |","| --- | --- | --- |",BT81),"")</f>
        <v/>
      </c>
      <c r="BV81" s="155" t="str">
        <f>IF(LEN(BP81&amp;BU81)&gt;0,concatll("#### More Information",BP81,BU81),"")</f>
        <v xml:space="preserve">#### More Information_x000D_
_x000D_
* [Castila y Leon tourism site](https://www.turismocastillayleon.com/en/art-culture-heritage/monuments/churches-chapels/church-san-juan-de-la-cruz-house-natal)
_x000D_
_x000D_
</v>
      </c>
      <c r="BW81" s="155" t="str">
        <f>IF(LEN(M81)&gt;1,concatll("#### Author's Note",M81),"")</f>
        <v/>
      </c>
      <c r="BX81" s="23" t="str">
        <f>IF(AR81,concatll(concatl("---",AS81:AU81,BK81,"---"),L81,BV81:BW81),"")</f>
        <v xml:space="preserve">---_x000D_
title: "Church of the Birthplace of St. John of the Cross (Iglesia Casa Natal de San Juan de la Cruz)"_x000D_
location: {lat: 40.9317870668416, lng: -4.9646371}_x000D_
interest: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81" s="23" t="str">
        <f>IF(AR81,VLOOKUP(B81,'(Ref) Countries'!A:B,2,)&amp;IF(LEN(C81)&gt;1,"-"&amp;LOWER(SUBSTITUTE(C81," ","-")),"")&amp;"-"&amp;LOWER(SUBSTITUTE(SUBSTITUTE(G81," ","-"),".",""))&amp;".md","")</f>
        <v>es-fontiveros-iglesia-casa-natal-de-san-juan-de-la-cruz.md</v>
      </c>
      <c r="BZ81" s="29" t="str">
        <f>IF(LEN(Y81)&gt;1,VLOOKUP(Y81,'Tag List'!$A:$B,2,),"")</f>
        <v>St. John of the Cross, OCD</v>
      </c>
      <c r="CA81" s="29" t="str">
        <f>IF(LEN(Z81)&gt;1,VLOOKUP(Z81,'Tag List'!$A:$B,2,),"")</f>
        <v>Discalced Carmelites (Order of Discalced Carmelites)</v>
      </c>
      <c r="CB81" s="29" t="str">
        <f>IF(LEN(AA81)&gt;1,VLOOKUP(AA81,'Tag List'!$A:$B,2,),"")</f>
        <v/>
      </c>
      <c r="CC81" s="29" t="str">
        <f>IF(LEN(Y81)&gt;1,GetTagPage(BZ81,Y81),"")</f>
        <v>[St. John of the Cross, OCD](/tags/john-cross)</v>
      </c>
      <c r="CD81" s="29" t="str">
        <f>IF(LEN(Z81)&gt;1,GetTagPage(CA81,Z81),"")</f>
        <v>[Discalced Carmelites (Order of Discalced Carmelites)](/tags/discalced-carmelites)</v>
      </c>
      <c r="CE81" s="29" t="str">
        <f>IF(LEN(AA81)&gt;1,GetTagPage(CB81,AA81),"")</f>
        <v/>
      </c>
      <c r="CF81" s="29" t="str">
        <f>"|"&amp;IF(LEN(CC81)&gt;1," "&amp;CC81,"")&amp;IF(LEN(CD81)&gt;1,", "&amp;CD81,"")&amp;IF(LEN(CE81)&gt;1,", "&amp;CE81,"")&amp;" "</f>
        <v xml:space="preserve">| [St. John of the Cross, OCD](/tags/john-cross), [Discalced Carmelites (Order of Discalced Carmelites)](/tags/discalced-carmelites) </v>
      </c>
      <c r="CG81" s="29" t="str">
        <f>"| "&amp;IF(AR81,"["&amp;AI81&amp;"](/places/"&amp;SUBSTITUTE(BY81,".md","")&amp;")",AI81)&amp;" "</f>
        <v xml:space="preserve">| [](/places/es-fontiveros-iglesia-casa-natal-de-san-juan-de-la-cruz) </v>
      </c>
      <c r="CH81" s="29" t="str">
        <f>"| "&amp;IF(AR81,GetTagPage(B81,VLOOKUP(B81,'(Ref) Countries'!A:C,3,)),B81)&amp; " "</f>
        <v xml:space="preserve">| [Spain](/tags/spain) </v>
      </c>
      <c r="CI81" s="29" t="str">
        <f>"| "&amp;AJ81&amp;" "</f>
        <v xml:space="preserve">|  </v>
      </c>
      <c r="CJ81" s="29" t="str">
        <f>"|"&amp;IF(AR81," [Link](/places/"&amp;SUBSTITUTE(BY81,".md","")&amp;")","")&amp;" "</f>
        <v xml:space="preserve">| [Link](/places/es-fontiveros-iglesia-casa-natal-de-san-juan-de-la-cruz) </v>
      </c>
      <c r="CK81" s="29" t="str">
        <f>"
"&amp;CG81&amp;CH81&amp;CI81&amp;CJ81&amp;BL81&amp;BQ81&amp;BR81&amp;BS81&amp;CF81&amp;"|"</f>
        <v xml:space="preserve">
| [](/places/es-fontiveros-iglesia-casa-natal-de-san-juan-de-la-cruz) | [Spain](/tags/spain) |  | [Link](/places/es-fontiveros-iglesia-casa-natal-de-san-juan-de-la-cruz) | [St. John of the Cross, OCD](/tags/john-cross), [Discalced Carmelites (Order of Discalced Carmelites)](/tags/discalced-carmelites) |</v>
      </c>
    </row>
    <row r="82" spans="1:89" ht="102" x14ac:dyDescent="0.25">
      <c r="A82" s="168" t="s">
        <v>1320</v>
      </c>
      <c r="B82" s="24" t="s">
        <v>552</v>
      </c>
      <c r="C82" s="111" t="s">
        <v>2269</v>
      </c>
      <c r="D82" s="15">
        <v>42.8806093820127</v>
      </c>
      <c r="E82" s="49">
        <v>-8.5443954000000009</v>
      </c>
      <c r="F82" s="111" t="s">
        <v>2271</v>
      </c>
      <c r="G82" s="112" t="s">
        <v>2272</v>
      </c>
      <c r="H82" s="111" t="s">
        <v>1715</v>
      </c>
      <c r="I82" s="24" t="b">
        <v>1</v>
      </c>
      <c r="K82" s="24" t="b">
        <v>1</v>
      </c>
      <c r="L82" s="153" t="s">
        <v>2499</v>
      </c>
      <c r="N82" s="15" t="s">
        <v>2270</v>
      </c>
      <c r="O82" s="15" t="s">
        <v>336</v>
      </c>
      <c r="R82" s="64" t="s">
        <v>336</v>
      </c>
      <c r="Y82" s="110" t="s">
        <v>1035</v>
      </c>
      <c r="Z82" s="110" t="s">
        <v>2118</v>
      </c>
      <c r="AA82" s="110" t="s">
        <v>2273</v>
      </c>
      <c r="AB82" s="125" t="s">
        <v>2457</v>
      </c>
      <c r="AR82" s="154" t="b">
        <f>IF(OR(A82="Done",A82="In Progress"),TRUE)</f>
        <v>1</v>
      </c>
      <c r="AS82" s="155" t="str">
        <f>"title: """&amp;F82&amp;""""</f>
        <v>title: "Metropolitan Archcathedral Basilica of Santiago de Compostela (Catedral de Santiago)"</v>
      </c>
      <c r="AT82" s="155" t="str">
        <f>"location: {lat: "&amp;D82&amp;", lng: "&amp;E82&amp;"}"</f>
        <v>location: {lat: 42.8806093820127, lng: -8.5443954}</v>
      </c>
      <c r="AU82" s="155" t="str">
        <f>"interest: "&amp;H82</f>
        <v>interest: global</v>
      </c>
      <c r="AV82" s="155" t="str">
        <f>"- "&amp;VLOOKUP(B82,'(Ref) Countries'!A:C,3,)</f>
        <v>- spain</v>
      </c>
      <c r="AW82" s="155" t="str">
        <f>IF(LEN(C82)&gt;1,"- "&amp;LOWER(SUBSTITUTE(C82," ","-")),"")</f>
        <v>- santiago-de-compostela</v>
      </c>
      <c r="AX82" s="155" t="str">
        <f>IF(I82,"- churches","")</f>
        <v>- churches</v>
      </c>
      <c r="AY82" s="155" t="str">
        <f>IF(J82,"- marian-sites","")</f>
        <v/>
      </c>
      <c r="AZ82" s="155" t="str">
        <f>IF(K82,"- holy-persons","")</f>
        <v>- holy-persons</v>
      </c>
      <c r="BA82" s="155" t="str">
        <f>IF(LEN(Y82)&gt;0,"- "&amp;Y82,"")</f>
        <v>- james-greater</v>
      </c>
      <c r="BB82" s="155" t="str">
        <f>IF(LEN(Z82)&gt;0,"- "&amp;Z82,"")</f>
        <v>- camino</v>
      </c>
      <c r="BC82" s="155" t="str">
        <f>IF(LEN(AA82)&gt;0,"- "&amp;AA82,"")</f>
        <v>- pelagius</v>
      </c>
      <c r="BD82" s="155" t="str">
        <f>IF(LEN(AB82)&gt;0,"- "&amp;AB82,"")</f>
        <v>- apostles</v>
      </c>
      <c r="BE82" s="155" t="str">
        <f>IF(LEN(AC82)&gt;0,"- "&amp;AC82,"")</f>
        <v/>
      </c>
      <c r="BF82" s="155" t="str">
        <f>IF(LEN(AD82)&gt;0,"- "&amp;AD82,"")</f>
        <v/>
      </c>
      <c r="BG82" s="155" t="str">
        <f>IF(LEN(AE82)&gt;0,"- "&amp;AE82,"")</f>
        <v/>
      </c>
      <c r="BH82" s="155" t="str">
        <f>IF(LEN(AF82)&gt;0,"- "&amp;AF82,"")</f>
        <v/>
      </c>
      <c r="BI82" s="155" t="str">
        <f>IF(LEN(AG82)&gt;0,"- "&amp;AG82,"")</f>
        <v/>
      </c>
      <c r="BJ82" s="155" t="str">
        <f>IF(LEN(AH82)&gt;0,"- "&amp;AH82,"")</f>
        <v/>
      </c>
      <c r="BK82" s="155" t="str">
        <f>"tags:"&amp;CHAR(10)&amp;concatl(AV82:BJ82)</f>
        <v xml:space="preserve">tags:
- spain_x000D_
- santiago-de-compostela_x000D_
- churches_x000D_
- holy-persons_x000D_
- james-greater_x000D_
- camino_x000D_
- pelagius_x000D_
- apostles_x000D_
</v>
      </c>
      <c r="BL82" s="155" t="str">
        <f>IF(LEN(N82)&gt;0,TRIM(CONCATENATE("[Official site](",N82,") ",O82)),"")</f>
        <v>[Official site](http://catedraldesantiago.es/)</v>
      </c>
      <c r="BM82" s="155" t="str">
        <f>IF(LEN(Q82)&gt;0,TRIM(CONCATENATE("["&amp;P82&amp;"](",Q82,") ",R82)),"")</f>
        <v/>
      </c>
      <c r="BN82" s="155" t="str">
        <f>IF(LEN(T82)&gt;0,TRIM(CONCATENATE("["&amp;S82&amp;"](",T82,") ",U82)),"")</f>
        <v/>
      </c>
      <c r="BO82" s="155" t="str">
        <f>IF(LEN(W82)&gt;0,TRIM(CONCATENATE("["&amp;V82&amp;"](",W82,") ",X82)),"")</f>
        <v/>
      </c>
      <c r="BP82" s="155" t="str">
        <f>IF(LEN(BL82)&gt;0,"* "&amp;BL82&amp;CHAR(10),"")&amp;
IF(LEN(BM82)&gt;0,"* "&amp;BM82&amp;CHAR(10),"")&amp;
IF(LEN(BN82)&gt;0,"* "&amp;BN82&amp;CHAR(10),"")&amp;
IF(LEN(BO82)&gt;0,"* "&amp;BO82&amp;CHAR(10),"")</f>
        <v xml:space="preserve">* [Official site](http://catedraldesantiago.es/)
</v>
      </c>
      <c r="BQ82" s="155" t="str">
        <f>IF(LEN(AK82)&gt;0,TRIM(CONCATENATE("[Link](",AK82,") ",AL82)),"")</f>
        <v/>
      </c>
      <c r="BR82" s="155" t="str">
        <f>IF(LEN(AM82)&gt;0,TRIM(CONCATENATE("[Link](",AM82,") ",AN82)),"")</f>
        <v/>
      </c>
      <c r="BS82" s="155" t="str">
        <f>IF(LEN(AO82)&gt;0,TRIM(CONCATENATE("[Link](",AO82,") ",AP82)),"")</f>
        <v/>
      </c>
      <c r="BT82" s="155" t="str">
        <f>IF(LEN(concat(BQ82:BS82))&gt;0,concat("| ",BQ82," | ",BR82," | ",BS82," |"),"")</f>
        <v/>
      </c>
      <c r="BU82" s="155" t="str">
        <f>IF(J82,concatl("| The Real Presence | Miracle Hunter | MaryPages |","| --- | --- | --- |",BT82),"")</f>
        <v/>
      </c>
      <c r="BV82" s="155" t="str">
        <f>IF(LEN(BP82&amp;BU82)&gt;0,concatll("#### More Information",BP82,BU82),"")</f>
        <v xml:space="preserve">#### More Information_x000D_
_x000D_
* [Official site](http://catedraldesantiago.es/)
_x000D_
_x000D_
</v>
      </c>
      <c r="BW82" s="155" t="str">
        <f>IF(LEN(M82)&gt;1,concatll("#### Author's Note",M82),"")</f>
        <v/>
      </c>
      <c r="BX82" s="23" t="str">
        <f>IF(AR82,concatll(concatl("---",AS82:AU82,BK82,"---"),L82,BV82:BW82),"")</f>
        <v xml:space="preserve">---_x000D_
title: "Metropolitan Archcathedral Basilica of Santiago de Compostela (Catedral de Santiago)"_x000D_
location: {lat: 42.8806093820127, lng: -8.5443954}_x000D_
interest: global_x000D_
tags:
- spain_x000D_
- santiago-de-compostela_x000D_
- churches_x000D_
- holy-persons_x000D_
- james-greater_x000D_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82" s="23" t="str">
        <f>IF(AR82,VLOOKUP(B82,'(Ref) Countries'!A:B,2,)&amp;IF(LEN(C82)&gt;1,"-"&amp;LOWER(SUBSTITUTE(C82," ","-")),"")&amp;"-"&amp;LOWER(SUBSTITUTE(SUBSTITUTE(G82," ","-"),".",""))&amp;".md","")</f>
        <v>es-santiago-de-compostela-catedral-de-santiago.md</v>
      </c>
      <c r="BZ82" s="29" t="str">
        <f>IF(LEN(Y82)&gt;1,VLOOKUP(Y82,'Tag List'!$A:$B,2,),"")</f>
        <v>St. James the Greater</v>
      </c>
      <c r="CA82" s="29" t="str">
        <f>IF(LEN(Z82)&gt;1,VLOOKUP(Z82,'Tag List'!$A:$B,2,),"")</f>
        <v>Camino de Santiago</v>
      </c>
      <c r="CB82" s="29" t="str">
        <f>IF(LEN(AA82)&gt;1,VLOOKUP(AA82,'Tag List'!$A:$B,2,),"")</f>
        <v>St. Pelagius the Hermit</v>
      </c>
      <c r="CC82" s="29" t="str">
        <f>IF(LEN(Y82)&gt;1,GetTagPage(BZ82,Y82),"")</f>
        <v>[St. James the Greater](/tags/james-greater)</v>
      </c>
      <c r="CD82" s="29" t="str">
        <f>IF(LEN(Z82)&gt;1,GetTagPage(CA82,Z82),"")</f>
        <v>[Camino de Santiago](/tags/camino)</v>
      </c>
      <c r="CE82" s="29" t="str">
        <f>IF(LEN(AA82)&gt;1,GetTagPage(CB82,AA82),"")</f>
        <v>[St. Pelagius the Hermit](/tags/pelagius)</v>
      </c>
      <c r="CF82" s="29" t="str">
        <f>"|"&amp;IF(LEN(CC82)&gt;1," "&amp;CC82,"")&amp;IF(LEN(CD82)&gt;1,", "&amp;CD82,"")&amp;IF(LEN(CE82)&gt;1,", "&amp;CE82,"")&amp;" "</f>
        <v xml:space="preserve">| [St. James the Greater](/tags/james-greater), [Camino de Santiago](/tags/camino), [St. Pelagius the Hermit](/tags/pelagius) </v>
      </c>
      <c r="CG82" s="29" t="str">
        <f>"| "&amp;IF(AR82,"["&amp;AI82&amp;"](/places/"&amp;SUBSTITUTE(BY82,".md","")&amp;")",AI82)&amp;" "</f>
        <v xml:space="preserve">| [](/places/es-santiago-de-compostela-catedral-de-santiago) </v>
      </c>
      <c r="CH82" s="29" t="str">
        <f>"| "&amp;IF(AR82,GetTagPage(B82,VLOOKUP(B82,'(Ref) Countries'!A:C,3,)),B82)&amp; " "</f>
        <v xml:space="preserve">| [Spain](/tags/spain) </v>
      </c>
      <c r="CI82" s="29" t="str">
        <f>"| "&amp;AJ82&amp;" "</f>
        <v xml:space="preserve">|  </v>
      </c>
      <c r="CJ82" s="29" t="str">
        <f>"|"&amp;IF(AR82," [Link](/places/"&amp;SUBSTITUTE(BY82,".md","")&amp;")","")&amp;" "</f>
        <v xml:space="preserve">| [Link](/places/es-santiago-de-compostela-catedral-de-santiago) </v>
      </c>
      <c r="CK82" s="29" t="str">
        <f>"
"&amp;CG82&amp;CH82&amp;CI82&amp;CJ82&amp;BL82&amp;BQ82&amp;BR82&amp;BS82&amp;CF82&amp;"|"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83" spans="1:89" ht="114.75" x14ac:dyDescent="0.25">
      <c r="A83" s="168" t="s">
        <v>1320</v>
      </c>
      <c r="B83" s="24" t="s">
        <v>2453</v>
      </c>
      <c r="C83" s="24" t="s">
        <v>2455</v>
      </c>
      <c r="D83" s="15">
        <v>37.911596002771098</v>
      </c>
      <c r="E83" s="49">
        <v>27.334141839748199</v>
      </c>
      <c r="F83" s="124" t="s">
        <v>2461</v>
      </c>
      <c r="G83" s="53" t="s">
        <v>2461</v>
      </c>
      <c r="H83" s="24" t="s">
        <v>1715</v>
      </c>
      <c r="J83" s="24" t="b">
        <v>1</v>
      </c>
      <c r="L83" s="124" t="s">
        <v>2464</v>
      </c>
      <c r="M83" s="126" t="s">
        <v>2465</v>
      </c>
      <c r="Y83" s="15" t="s">
        <v>2462</v>
      </c>
      <c r="AR83" s="154" t="b">
        <f>IF(OR(A83="Done",A83="In Progress"),TRUE)</f>
        <v>1</v>
      </c>
      <c r="AS83" s="155" t="str">
        <f>"title: """&amp;F83&amp;""""</f>
        <v>title: "House of the Virgin Mary"</v>
      </c>
      <c r="AT83" s="155" t="str">
        <f>"location: {lat: "&amp;D83&amp;", lng: "&amp;E83&amp;"}"</f>
        <v>location: {lat: 37.9115960027711, lng: 27.3341418397482}</v>
      </c>
      <c r="AU83" s="155" t="str">
        <f>"interest: "&amp;H83</f>
        <v>interest: global</v>
      </c>
      <c r="AV83" s="155" t="str">
        <f>"- "&amp;VLOOKUP(B83,'(Ref) Countries'!A:C,3,)</f>
        <v>- turkey</v>
      </c>
      <c r="AW83" s="155" t="str">
        <f>IF(LEN(C83)&gt;1,"- "&amp;LOWER(SUBSTITUTE(C83," ","-")),"")</f>
        <v>- ephesus</v>
      </c>
      <c r="AX83" s="155" t="str">
        <f>IF(I83,"- churches","")</f>
        <v/>
      </c>
      <c r="AY83" s="155" t="str">
        <f>IF(J83,"- marian-sites","")</f>
        <v>- marian-sites</v>
      </c>
      <c r="AZ83" s="155" t="str">
        <f>IF(K83,"- holy-persons","")</f>
        <v/>
      </c>
      <c r="BA83" s="155" t="str">
        <f>IF(LEN(Y83)&gt;0,"- "&amp;Y83,"")</f>
        <v>- anne-catherine-emmerich</v>
      </c>
      <c r="BB83" s="155" t="str">
        <f>IF(LEN(Z83)&gt;0,"- "&amp;Z83,"")</f>
        <v/>
      </c>
      <c r="BC83" s="155" t="str">
        <f>IF(LEN(AA83)&gt;0,"- "&amp;AA83,"")</f>
        <v/>
      </c>
      <c r="BD83" s="155" t="str">
        <f>IF(LEN(AB83)&gt;0,"- "&amp;AB83,"")</f>
        <v/>
      </c>
      <c r="BE83" s="155" t="str">
        <f>IF(LEN(AC83)&gt;0,"- "&amp;AC83,"")</f>
        <v/>
      </c>
      <c r="BF83" s="155" t="str">
        <f>IF(LEN(AD83)&gt;0,"- "&amp;AD83,"")</f>
        <v/>
      </c>
      <c r="BG83" s="155" t="str">
        <f>IF(LEN(AE83)&gt;0,"- "&amp;AE83,"")</f>
        <v/>
      </c>
      <c r="BH83" s="155" t="str">
        <f>IF(LEN(AF83)&gt;0,"- "&amp;AF83,"")</f>
        <v/>
      </c>
      <c r="BI83" s="155" t="str">
        <f>IF(LEN(AG83)&gt;0,"- "&amp;AG83,"")</f>
        <v/>
      </c>
      <c r="BJ83" s="155" t="str">
        <f>IF(LEN(AH83)&gt;0,"- "&amp;AH83,"")</f>
        <v/>
      </c>
      <c r="BK83" s="155" t="str">
        <f>"tags:"&amp;CHAR(10)&amp;concatl(AV83:BJ83)</f>
        <v xml:space="preserve">tags:
- turkey_x000D_
- ephesus_x000D_
- marian-sites_x000D_
- anne-catherine-emmerich_x000D_
</v>
      </c>
      <c r="BL83" s="155" t="str">
        <f>IF(LEN(N83)&gt;0,TRIM(CONCATENATE("[Official site](",N83,") ",O83)),"")</f>
        <v/>
      </c>
      <c r="BM83" s="155" t="str">
        <f>IF(LEN(Q83)&gt;0,TRIM(CONCATENATE("["&amp;P83&amp;"](",Q83,") ",R83)),"")</f>
        <v/>
      </c>
      <c r="BN83" s="155" t="str">
        <f>IF(LEN(T83)&gt;0,TRIM(CONCATENATE("["&amp;S83&amp;"](",T83,") ",U83)),"")</f>
        <v/>
      </c>
      <c r="BO83" s="155" t="str">
        <f>IF(LEN(W83)&gt;0,TRIM(CONCATENATE("["&amp;V83&amp;"](",W83,") ",X83)),"")</f>
        <v/>
      </c>
      <c r="BP83" s="155" t="str">
        <f>IF(LEN(BL83)&gt;0,"* "&amp;BL83&amp;CHAR(10),"")&amp;
IF(LEN(BM83)&gt;0,"* "&amp;BM83&amp;CHAR(10),"")&amp;
IF(LEN(BN83)&gt;0,"* "&amp;BN83&amp;CHAR(10),"")&amp;
IF(LEN(BO83)&gt;0,"* "&amp;BO83&amp;CHAR(10),"")</f>
        <v/>
      </c>
      <c r="BQ83" s="155" t="str">
        <f>IF(LEN(AK83)&gt;0,TRIM(CONCATENATE("[Link](",AK83,") ",AL83)),"")</f>
        <v/>
      </c>
      <c r="BR83" s="155" t="str">
        <f>IF(LEN(AM83)&gt;0,TRIM(CONCATENATE("[Link](",AM83,") ",AN83)),"")</f>
        <v/>
      </c>
      <c r="BS83" s="155" t="str">
        <f>IF(LEN(AO83)&gt;0,TRIM(CONCATENATE("[Link](",AO83,") ",AP83)),"")</f>
        <v/>
      </c>
      <c r="BT83" s="155" t="str">
        <f>IF(LEN(concat(BQ83:BS83))&gt;0,concat("| ",BQ83," | ",BR83," | ",BS83," |"),"")</f>
        <v/>
      </c>
      <c r="BU83" s="155" t="str">
        <f>IF(J83,concatl("| The Real Presence | Miracle Hunter | MaryPages |","| --- | --- | --- |",BT83),"")</f>
        <v xml:space="preserve">| The Real Presence | Miracle Hunter | MaryPages |_x000D_
| --- | --- | --- |_x000D_
</v>
      </c>
      <c r="BV83" s="155" t="str">
        <f>IF(LEN(BP83&amp;BU83)&gt;0,concatll("#### More Information",BP83,BU83),"")</f>
        <v xml:space="preserve">#### More Information_x000D_
_x000D_
| The Real Presence | Miracle Hunter | MaryPages |_x000D_
| --- | --- | --- |_x000D_
_x000D_
_x000D_
</v>
      </c>
      <c r="BW83" s="155" t="str">
        <f>IF(LEN(M83)&gt;1,concatll("#### Author's Note",M83),"")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v>
      </c>
      <c r="BX83" s="23" t="str">
        <f>IF(AR83,concatll(concatl("---",AS83:AU83,BK83,"---"),L83,BV83:BW83),"")</f>
        <v xml:space="preserve">---_x000D_
title: "House of the Virgin Mary"_x000D_
location: {lat: 37.9115960027711, lng: 27.3341418397482}_x000D_
interest: global_x000D_
tags:
- turkey_x000D_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_x000D_
_x000D_
</v>
      </c>
      <c r="BY83" s="23" t="str">
        <f>IF(AR83,VLOOKUP(B83,'(Ref) Countries'!A:B,2,)&amp;IF(LEN(C83)&gt;1,"-"&amp;LOWER(SUBSTITUTE(C83," ","-")),"")&amp;"-"&amp;LOWER(SUBSTITUTE(SUBSTITUTE(G83," ","-"),".",""))&amp;".md","")</f>
        <v>tr-ephesus-house-of-the-virgin-mary.md</v>
      </c>
      <c r="BZ83" s="29" t="str">
        <f>IF(LEN(Y83)&gt;1,VLOOKUP(Y83,'Tag List'!$A:$B,2,),"")</f>
        <v>Bl. Anne Catherine Emmerich</v>
      </c>
      <c r="CA83" s="29" t="str">
        <f>IF(LEN(Z83)&gt;1,VLOOKUP(Z83,'Tag List'!$A:$B,2,),"")</f>
        <v/>
      </c>
      <c r="CB83" s="29" t="str">
        <f>IF(LEN(AA83)&gt;1,VLOOKUP(AA83,'Tag List'!$A:$B,2,),"")</f>
        <v/>
      </c>
      <c r="CC83" s="29" t="str">
        <f>IF(LEN(Y83)&gt;1,GetTagPage(BZ83,Y83),"")</f>
        <v>[Bl. Anne Catherine Emmerich](/tags/anne-catherine-emmerich)</v>
      </c>
      <c r="CD83" s="29" t="str">
        <f>IF(LEN(Z83)&gt;1,GetTagPage(CA83,Z83),"")</f>
        <v/>
      </c>
      <c r="CE83" s="29" t="str">
        <f>IF(LEN(AA83)&gt;1,GetTagPage(CB83,AA83),"")</f>
        <v/>
      </c>
      <c r="CF83" s="29" t="str">
        <f>"|"&amp;IF(LEN(CC83)&gt;1," "&amp;CC83,"")&amp;IF(LEN(CD83)&gt;1,", "&amp;CD83,"")&amp;IF(LEN(CE83)&gt;1,", "&amp;CE83,"")&amp;" "</f>
        <v xml:space="preserve">| [Bl. Anne Catherine Emmerich](/tags/anne-catherine-emmerich) </v>
      </c>
      <c r="CG83" s="29" t="str">
        <f>"| "&amp;IF(AR83,"["&amp;AI83&amp;"](/places/"&amp;SUBSTITUTE(BY83,".md","")&amp;")",AI83)&amp;" "</f>
        <v xml:space="preserve">| [](/places/tr-ephesus-house-of-the-virgin-mary) </v>
      </c>
      <c r="CH83" s="29" t="str">
        <f>"| "&amp;IF(AR83,GetTagPage(B83,VLOOKUP(B83,'(Ref) Countries'!A:C,3,)),B83)&amp; " "</f>
        <v xml:space="preserve">| [Turkey](/tags/turkey) </v>
      </c>
      <c r="CI83" s="29" t="str">
        <f>"| "&amp;AJ83&amp;" "</f>
        <v xml:space="preserve">|  </v>
      </c>
      <c r="CJ83" s="29" t="str">
        <f>"|"&amp;IF(AR83," [Link](/places/"&amp;SUBSTITUTE(BY83,".md","")&amp;")","")&amp;" "</f>
        <v xml:space="preserve">| [Link](/places/tr-ephesus-house-of-the-virgin-mary) </v>
      </c>
      <c r="CK83" s="29" t="str">
        <f>"
"&amp;CG83&amp;CH83&amp;CI83&amp;CJ83&amp;BL83&amp;BQ83&amp;BR83&amp;BS83&amp;CF83&amp;"|"</f>
        <v xml:space="preserve">
| [](/places/tr-ephesus-house-of-the-virgin-mary) | [Turkey](/tags/turkey) |  | [Link](/places/tr-ephesus-house-of-the-virgin-mary) | [Bl. Anne Catherine Emmerich](/tags/anne-catherine-emmerich) |</v>
      </c>
    </row>
    <row r="84" spans="1:89" ht="38.25" x14ac:dyDescent="0.25">
      <c r="A84" s="168" t="s">
        <v>1320</v>
      </c>
      <c r="B84" s="24" t="s">
        <v>2453</v>
      </c>
      <c r="C84" s="24" t="s">
        <v>2455</v>
      </c>
      <c r="D84" s="15">
        <v>37.944605964085902</v>
      </c>
      <c r="E84" s="49">
        <v>27.339194715340302</v>
      </c>
      <c r="F84" s="124" t="s">
        <v>2466</v>
      </c>
      <c r="G84" s="53" t="s">
        <v>2466</v>
      </c>
      <c r="H84" s="124" t="s">
        <v>1825</v>
      </c>
      <c r="L84" s="124" t="s">
        <v>2467</v>
      </c>
      <c r="Y84" s="135" t="s">
        <v>2115</v>
      </c>
      <c r="AA84" s="135"/>
      <c r="AR84" s="154" t="b">
        <f>IF(OR(A84="Done",A84="In Progress"),TRUE)</f>
        <v>1</v>
      </c>
      <c r="AS84" s="155" t="str">
        <f>"title: """&amp;F84&amp;""""</f>
        <v>title: "Church of Mary"</v>
      </c>
      <c r="AT84" s="155" t="str">
        <f>"location: {lat: "&amp;D84&amp;", lng: "&amp;E84&amp;"}"</f>
        <v>location: {lat: 37.9446059640859, lng: 27.3391947153403}</v>
      </c>
      <c r="AU84" s="155" t="str">
        <f>"interest: "&amp;H84</f>
        <v>interest: local</v>
      </c>
      <c r="AV84" s="155" t="str">
        <f>"- "&amp;VLOOKUP(B84,'(Ref) Countries'!A:C,3,)</f>
        <v>- turkey</v>
      </c>
      <c r="AW84" s="155" t="str">
        <f>IF(LEN(C84)&gt;1,"- "&amp;LOWER(SUBSTITUTE(C84," ","-")),"")</f>
        <v>- ephesus</v>
      </c>
      <c r="AX84" s="155" t="str">
        <f>IF(I84,"- churches","")</f>
        <v/>
      </c>
      <c r="AY84" s="155" t="str">
        <f>IF(J84,"- marian-sites","")</f>
        <v/>
      </c>
      <c r="AZ84" s="155" t="str">
        <f>IF(K84,"- holy-persons","")</f>
        <v/>
      </c>
      <c r="BA84" s="155" t="str">
        <f>IF(LEN(Y84)&gt;0,"- "&amp;Y84,"")</f>
        <v>- closed</v>
      </c>
      <c r="BB84" s="155" t="str">
        <f>IF(LEN(Z84)&gt;0,"- "&amp;Z84,"")</f>
        <v/>
      </c>
      <c r="BC84" s="155" t="str">
        <f>IF(LEN(AA84)&gt;0,"- "&amp;AA84,"")</f>
        <v/>
      </c>
      <c r="BD84" s="155" t="str">
        <f>IF(LEN(AB84)&gt;0,"- "&amp;AB84,"")</f>
        <v/>
      </c>
      <c r="BE84" s="155" t="str">
        <f>IF(LEN(AC84)&gt;0,"- "&amp;AC84,"")</f>
        <v/>
      </c>
      <c r="BF84" s="155" t="str">
        <f>IF(LEN(AD84)&gt;0,"- "&amp;AD84,"")</f>
        <v/>
      </c>
      <c r="BG84" s="155" t="str">
        <f>IF(LEN(AE84)&gt;0,"- "&amp;AE84,"")</f>
        <v/>
      </c>
      <c r="BH84" s="155" t="str">
        <f>IF(LEN(AF84)&gt;0,"- "&amp;AF84,"")</f>
        <v/>
      </c>
      <c r="BI84" s="155" t="str">
        <f>IF(LEN(AG84)&gt;0,"- "&amp;AG84,"")</f>
        <v/>
      </c>
      <c r="BJ84" s="155" t="str">
        <f>IF(LEN(AH84)&gt;0,"- "&amp;AH84,"")</f>
        <v/>
      </c>
      <c r="BK84" s="155" t="str">
        <f>"tags:"&amp;CHAR(10)&amp;concatl(AV84:BJ84)</f>
        <v xml:space="preserve">tags:
- turkey_x000D_
- ephesus_x000D_
- closed_x000D_
</v>
      </c>
      <c r="BL84" s="155" t="str">
        <f>IF(LEN(N84)&gt;0,TRIM(CONCATENATE("[Official site](",N84,") ",O84)),"")</f>
        <v/>
      </c>
      <c r="BM84" s="155" t="str">
        <f>IF(LEN(Q84)&gt;0,TRIM(CONCATENATE("["&amp;P84&amp;"](",Q84,") ",R84)),"")</f>
        <v/>
      </c>
      <c r="BN84" s="155" t="str">
        <f>IF(LEN(T84)&gt;0,TRIM(CONCATENATE("["&amp;S84&amp;"](",T84,") ",U84)),"")</f>
        <v/>
      </c>
      <c r="BO84" s="155" t="str">
        <f>IF(LEN(W84)&gt;0,TRIM(CONCATENATE("["&amp;V84&amp;"](",W84,") ",X84)),"")</f>
        <v/>
      </c>
      <c r="BP84" s="155" t="str">
        <f>IF(LEN(BL84)&gt;0,"* "&amp;BL84&amp;CHAR(10),"")&amp;
IF(LEN(BM84)&gt;0,"* "&amp;BM84&amp;CHAR(10),"")&amp;
IF(LEN(BN84)&gt;0,"* "&amp;BN84&amp;CHAR(10),"")&amp;
IF(LEN(BO84)&gt;0,"* "&amp;BO84&amp;CHAR(10),"")</f>
        <v/>
      </c>
      <c r="BQ84" s="155" t="str">
        <f>IF(LEN(AK84)&gt;0,TRIM(CONCATENATE("[Link](",AK84,") ",AL84)),"")</f>
        <v/>
      </c>
      <c r="BR84" s="155" t="str">
        <f>IF(LEN(AM84)&gt;0,TRIM(CONCATENATE("[Link](",AM84,") ",AN84)),"")</f>
        <v/>
      </c>
      <c r="BS84" s="155" t="str">
        <f>IF(LEN(AO84)&gt;0,TRIM(CONCATENATE("[Link](",AO84,") ",AP84)),"")</f>
        <v/>
      </c>
      <c r="BT84" s="155" t="str">
        <f>IF(LEN(concat(BQ84:BS84))&gt;0,concat("| ",BQ84," | ",BR84," | ",BS84," |"),"")</f>
        <v/>
      </c>
      <c r="BU84" s="155" t="str">
        <f>IF(J84,concatl("| The Real Presence | Miracle Hunter | MaryPages |","| --- | --- | --- |",BT84),"")</f>
        <v/>
      </c>
      <c r="BV84" s="155" t="str">
        <f>IF(LEN(BP84&amp;BU84)&gt;0,concatll("#### More Information",BP84,BU84),"")</f>
        <v/>
      </c>
      <c r="BW84" s="155" t="str">
        <f>IF(LEN(M84)&gt;1,concatll("#### Author's Note",M84),"")</f>
        <v/>
      </c>
      <c r="BX84" s="23" t="str">
        <f>IF(AR84,concatll(concatl("---",AS84:AU84,BK84,"---"),L84,BV84:BW84),"")</f>
        <v xml:space="preserve">---_x000D_
title: "Church of Mary"_x000D_
location: {lat: 37.9446059640859, lng: 27.3391947153403}_x000D_
interest: local_x000D_
tags:
- turkey_x000D_
- ephesus_x000D_
- closed_x000D_
_x000D_
---_x000D_
_x000D_
_x000D_
Built in the 5th centry, possibly for the First Council of Ephesus (the third ecumenical council of the early church).  The Second Council of Ephesus may also have been held here._x000D_
_x000D_
</v>
      </c>
      <c r="BY84" s="23" t="str">
        <f>IF(AR84,VLOOKUP(B84,'(Ref) Countries'!A:B,2,)&amp;IF(LEN(C84)&gt;1,"-"&amp;LOWER(SUBSTITUTE(C84," ","-")),"")&amp;"-"&amp;LOWER(SUBSTITUTE(SUBSTITUTE(G84," ","-"),".",""))&amp;".md","")</f>
        <v>tr-ephesus-church-of-mary.md</v>
      </c>
      <c r="BZ84" s="29" t="str">
        <f>IF(LEN(Y84)&gt;1,VLOOKUP(Y84,'Tag List'!$A:$B,2,),"")</f>
        <v>Closed or Deconsecrated Sites</v>
      </c>
      <c r="CA84" s="29" t="str">
        <f>IF(LEN(Z84)&gt;1,VLOOKUP(Z84,'Tag List'!$A:$B,2,),"")</f>
        <v/>
      </c>
      <c r="CB84" s="29" t="str">
        <f>IF(LEN(AA84)&gt;1,VLOOKUP(AA84,'Tag List'!$A:$B,2,),"")</f>
        <v/>
      </c>
      <c r="CC84" s="29" t="str">
        <f>IF(LEN(Y84)&gt;1,GetTagPage(BZ84,Y84),"")</f>
        <v>[Closed or Deconsecrated Sites](/tags/closed)</v>
      </c>
      <c r="CD84" s="29" t="str">
        <f>IF(LEN(Z84)&gt;1,GetTagPage(CA84,Z84),"")</f>
        <v/>
      </c>
      <c r="CE84" s="29" t="str">
        <f>IF(LEN(AA84)&gt;1,GetTagPage(CB84,AA84),"")</f>
        <v/>
      </c>
      <c r="CF84" s="29" t="str">
        <f>"|"&amp;IF(LEN(CC84)&gt;1," "&amp;CC84,"")&amp;IF(LEN(CD84)&gt;1,", "&amp;CD84,"")&amp;IF(LEN(CE84)&gt;1,", "&amp;CE84,"")&amp;" "</f>
        <v xml:space="preserve">| [Closed or Deconsecrated Sites](/tags/closed) </v>
      </c>
      <c r="CG84" s="29" t="str">
        <f>"| "&amp;IF(AR84,"["&amp;AI84&amp;"](/places/"&amp;SUBSTITUTE(BY84,".md","")&amp;")",AI84)&amp;" "</f>
        <v xml:space="preserve">| [](/places/tr-ephesus-church-of-mary) </v>
      </c>
      <c r="CH84" s="29" t="str">
        <f>"| "&amp;IF(AR84,GetTagPage(B84,VLOOKUP(B84,'(Ref) Countries'!A:C,3,)),B84)&amp; " "</f>
        <v xml:space="preserve">| [Turkey](/tags/turkey) </v>
      </c>
      <c r="CI84" s="29" t="str">
        <f>"| "&amp;AJ84&amp;" "</f>
        <v xml:space="preserve">|  </v>
      </c>
      <c r="CJ84" s="29" t="str">
        <f>"|"&amp;IF(AR84," [Link](/places/"&amp;SUBSTITUTE(BY84,".md","")&amp;")","")&amp;" "</f>
        <v xml:space="preserve">| [Link](/places/tr-ephesus-church-of-mary) </v>
      </c>
      <c r="CK84" s="29" t="str">
        <f>"
"&amp;CG84&amp;CH84&amp;CI84&amp;CJ84&amp;BL84&amp;BQ84&amp;BR84&amp;BS84&amp;CF84&amp;"|"</f>
        <v xml:space="preserve">
| [](/places/tr-ephesus-church-of-mary) | [Turkey](/tags/turkey) |  | [Link](/places/tr-ephesus-church-of-mary) | [Closed or Deconsecrated Sites](/tags/closed) |</v>
      </c>
    </row>
    <row r="85" spans="1:89" ht="89.25" x14ac:dyDescent="0.25">
      <c r="A85" s="168" t="s">
        <v>1320</v>
      </c>
      <c r="B85" s="124" t="s">
        <v>2453</v>
      </c>
      <c r="C85" s="124" t="s">
        <v>2455</v>
      </c>
      <c r="D85" s="15">
        <v>37.9524398007025</v>
      </c>
      <c r="E85" s="49">
        <v>27.367911346038099</v>
      </c>
      <c r="F85" s="124" t="s">
        <v>2456</v>
      </c>
      <c r="G85" s="126" t="s">
        <v>2456</v>
      </c>
      <c r="H85" s="124" t="s">
        <v>1715</v>
      </c>
      <c r="K85" s="24" t="b">
        <v>1</v>
      </c>
      <c r="L85" s="153" t="s">
        <v>2500</v>
      </c>
      <c r="Y85" s="125" t="s">
        <v>2459</v>
      </c>
      <c r="Z85" s="125" t="s">
        <v>2457</v>
      </c>
      <c r="AA85" s="135" t="s">
        <v>2115</v>
      </c>
      <c r="AR85" s="154" t="b">
        <f>IF(OR(A85="Done",A85="In Progress"),TRUE)</f>
        <v>1</v>
      </c>
      <c r="AS85" s="155" t="str">
        <f>"title: """&amp;F85&amp;""""</f>
        <v>title: "Basilica of St. John"</v>
      </c>
      <c r="AT85" s="155" t="str">
        <f>"location: {lat: "&amp;D85&amp;", lng: "&amp;E85&amp;"}"</f>
        <v>location: {lat: 37.9524398007025, lng: 27.3679113460381}</v>
      </c>
      <c r="AU85" s="155" t="str">
        <f>"interest: "&amp;H85</f>
        <v>interest: global</v>
      </c>
      <c r="AV85" s="155" t="str">
        <f>"- "&amp;VLOOKUP(B85,'(Ref) Countries'!A:C,3,)</f>
        <v>- turkey</v>
      </c>
      <c r="AW85" s="155" t="str">
        <f>IF(LEN(C85)&gt;1,"- "&amp;LOWER(SUBSTITUTE(C85," ","-")),"")</f>
        <v>- ephesus</v>
      </c>
      <c r="AX85" s="155" t="str">
        <f>IF(I85,"- churches","")</f>
        <v/>
      </c>
      <c r="AY85" s="155" t="str">
        <f>IF(J85,"- marian-sites","")</f>
        <v/>
      </c>
      <c r="AZ85" s="155" t="str">
        <f>IF(K85,"- holy-persons","")</f>
        <v>- holy-persons</v>
      </c>
      <c r="BA85" s="155" t="str">
        <f>IF(LEN(Y85)&gt;0,"- "&amp;Y85,"")</f>
        <v>- john-apostle</v>
      </c>
      <c r="BB85" s="155" t="str">
        <f>IF(LEN(Z85)&gt;0,"- "&amp;Z85,"")</f>
        <v>- apostles</v>
      </c>
      <c r="BC85" s="155" t="str">
        <f>IF(LEN(AA85)&gt;0,"- "&amp;AA85,"")</f>
        <v>- closed</v>
      </c>
      <c r="BD85" s="155" t="str">
        <f>IF(LEN(AB85)&gt;0,"- "&amp;AB85,"")</f>
        <v/>
      </c>
      <c r="BE85" s="155" t="str">
        <f>IF(LEN(AC85)&gt;0,"- "&amp;AC85,"")</f>
        <v/>
      </c>
      <c r="BF85" s="155" t="str">
        <f>IF(LEN(AD85)&gt;0,"- "&amp;AD85,"")</f>
        <v/>
      </c>
      <c r="BG85" s="155" t="str">
        <f>IF(LEN(AE85)&gt;0,"- "&amp;AE85,"")</f>
        <v/>
      </c>
      <c r="BH85" s="155" t="str">
        <f>IF(LEN(AF85)&gt;0,"- "&amp;AF85,"")</f>
        <v/>
      </c>
      <c r="BI85" s="155" t="str">
        <f>IF(LEN(AG85)&gt;0,"- "&amp;AG85,"")</f>
        <v/>
      </c>
      <c r="BJ85" s="155" t="str">
        <f>IF(LEN(AH85)&gt;0,"- "&amp;AH85,"")</f>
        <v/>
      </c>
      <c r="BK85" s="155" t="str">
        <f>"tags:"&amp;CHAR(10)&amp;concatl(AV85:BJ85)</f>
        <v xml:space="preserve">tags:
- turkey_x000D_
- ephesus_x000D_
- holy-persons_x000D_
- john-apostle_x000D_
- apostles_x000D_
- closed_x000D_
</v>
      </c>
      <c r="BL85" s="155" t="str">
        <f>IF(LEN(N85)&gt;0,TRIM(CONCATENATE("[Official site](",N85,") ",O85)),"")</f>
        <v/>
      </c>
      <c r="BM85" s="155" t="str">
        <f>IF(LEN(Q85)&gt;0,TRIM(CONCATENATE("["&amp;P85&amp;"](",Q85,") ",R85)),"")</f>
        <v/>
      </c>
      <c r="BN85" s="155" t="str">
        <f>IF(LEN(T85)&gt;0,TRIM(CONCATENATE("["&amp;S85&amp;"](",T85,") ",U85)),"")</f>
        <v/>
      </c>
      <c r="BO85" s="155" t="str">
        <f>IF(LEN(W85)&gt;0,TRIM(CONCATENATE("["&amp;V85&amp;"](",W85,") ",X85)),"")</f>
        <v/>
      </c>
      <c r="BP85" s="155" t="str">
        <f>IF(LEN(BL85)&gt;0,"* "&amp;BL85&amp;CHAR(10),"")&amp;
IF(LEN(BM85)&gt;0,"* "&amp;BM85&amp;CHAR(10),"")&amp;
IF(LEN(BN85)&gt;0,"* "&amp;BN85&amp;CHAR(10),"")&amp;
IF(LEN(BO85)&gt;0,"* "&amp;BO85&amp;CHAR(10),"")</f>
        <v/>
      </c>
      <c r="BQ85" s="155" t="str">
        <f>IF(LEN(AK85)&gt;0,TRIM(CONCATENATE("[Link](",AK85,") ",AL85)),"")</f>
        <v/>
      </c>
      <c r="BR85" s="155" t="str">
        <f>IF(LEN(AM85)&gt;0,TRIM(CONCATENATE("[Link](",AM85,") ",AN85)),"")</f>
        <v/>
      </c>
      <c r="BS85" s="155" t="str">
        <f>IF(LEN(AO85)&gt;0,TRIM(CONCATENATE("[Link](",AO85,") ",AP85)),"")</f>
        <v/>
      </c>
      <c r="BT85" s="155" t="str">
        <f>IF(LEN(concat(BQ85:BS85))&gt;0,concat("| ",BQ85," | ",BR85," | ",BS85," |"),"")</f>
        <v/>
      </c>
      <c r="BU85" s="155" t="str">
        <f>IF(J85,concatl("| The Real Presence | Miracle Hunter | MaryPages |","| --- | --- | --- |",BT85),"")</f>
        <v/>
      </c>
      <c r="BV85" s="155" t="str">
        <f>IF(LEN(BP85&amp;BU85)&gt;0,concatll("#### More Information",BP85,BU85),"")</f>
        <v/>
      </c>
      <c r="BW85" s="155" t="str">
        <f>IF(LEN(M85)&gt;1,concatll("#### Author's Note",M85),"")</f>
        <v/>
      </c>
      <c r="BX85" s="23" t="str">
        <f>IF(AR85,concatll(concatl("---",AS85:AU85,BK85,"---"),L85,BV85:BW85),"")</f>
        <v xml:space="preserve">---_x000D_
title: "Basilica of St. John"_x000D_
location: {lat: 37.9524398007025, lng: 27.3679113460381}_x000D_
interest: global_x000D_
tags:
- turkey_x000D_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BY85" s="23" t="str">
        <f>IF(AR85,VLOOKUP(B85,'(Ref) Countries'!A:B,2,)&amp;IF(LEN(C85)&gt;1,"-"&amp;LOWER(SUBSTITUTE(C85," ","-")),"")&amp;"-"&amp;LOWER(SUBSTITUTE(SUBSTITUTE(G85," ","-"),".",""))&amp;".md","")</f>
        <v>tr-ephesus-basilica-of-st-john.md</v>
      </c>
      <c r="BZ85" s="29" t="str">
        <f>IF(LEN(Y85)&gt;1,VLOOKUP(Y85,'Tag List'!$A:$B,2,),"")</f>
        <v>St. John the Apostle</v>
      </c>
      <c r="CA85" s="29" t="str">
        <f>IF(LEN(Z85)&gt;1,VLOOKUP(Z85,'Tag List'!$A:$B,2,),"")</f>
        <v>Sites Related to the Twelve Apostles</v>
      </c>
      <c r="CB85" s="29" t="str">
        <f>IF(LEN(AA85)&gt;1,VLOOKUP(AA85,'Tag List'!$A:$B,2,),"")</f>
        <v>Closed or Deconsecrated Sites</v>
      </c>
      <c r="CC85" s="29" t="str">
        <f>IF(LEN(Y85)&gt;1,GetTagPage(BZ85,Y85),"")</f>
        <v>[St. John the Apostle](/tags/john-apostle)</v>
      </c>
      <c r="CD85" s="29" t="str">
        <f>IF(LEN(Z85)&gt;1,GetTagPage(CA85,Z85),"")</f>
        <v>[Sites Related to the Twelve Apostles](/tags/apostles)</v>
      </c>
      <c r="CE85" s="29" t="str">
        <f>IF(LEN(AA85)&gt;1,GetTagPage(CB85,AA85),"")</f>
        <v>[Closed or Deconsecrated Sites](/tags/closed)</v>
      </c>
      <c r="CF85" s="29" t="str">
        <f>"|"&amp;IF(LEN(CC85)&gt;1," "&amp;CC85,"")&amp;IF(LEN(CD85)&gt;1,", "&amp;CD85,"")&amp;IF(LEN(CE85)&gt;1,", "&amp;CE85,"")&amp;" "</f>
        <v xml:space="preserve">| [St. John the Apostle](/tags/john-apostle), [Sites Related to the Twelve Apostles](/tags/apostles), [Closed or Deconsecrated Sites](/tags/closed) </v>
      </c>
      <c r="CG85" s="29" t="str">
        <f>"| "&amp;IF(AR85,"["&amp;AI85&amp;"](/places/"&amp;SUBSTITUTE(BY85,".md","")&amp;")",AI85)&amp;" "</f>
        <v xml:space="preserve">| [](/places/tr-ephesus-basilica-of-st-john) </v>
      </c>
      <c r="CH85" s="29" t="str">
        <f>"| "&amp;IF(AR85,GetTagPage(B85,VLOOKUP(B85,'(Ref) Countries'!A:C,3,)),B85)&amp; " "</f>
        <v xml:space="preserve">| [Turkey](/tags/turkey) </v>
      </c>
      <c r="CI85" s="29" t="str">
        <f>"| "&amp;AJ85&amp;" "</f>
        <v xml:space="preserve">|  </v>
      </c>
      <c r="CJ85" s="29" t="str">
        <f>"|"&amp;IF(AR85," [Link](/places/"&amp;SUBSTITUTE(BY85,".md","")&amp;")","")&amp;" "</f>
        <v xml:space="preserve">| [Link](/places/tr-ephesus-basilica-of-st-john) </v>
      </c>
      <c r="CK85" s="29" t="str">
        <f>"
"&amp;CG85&amp;CH85&amp;CI85&amp;CJ85&amp;BL85&amp;BQ85&amp;BR85&amp;BS85&amp;CF85&amp;"|"</f>
        <v xml:space="preserve">
| [](/places/tr-ephesus-basilica-of-st-john) | [Turkey](/tags/turkey) |  | [Link](/places/tr-ephesus-basilica-of-st-john) | [St. John the Apostle](/tags/john-apostle), [Sites Related to the Twelve Apostles](/tags/apostles), [Closed or Deconsecrated Sites](/tags/closed) |</v>
      </c>
    </row>
    <row r="86" spans="1:89" ht="178.5" x14ac:dyDescent="0.25">
      <c r="A86" s="168" t="s">
        <v>1320</v>
      </c>
      <c r="B86" s="116" t="s">
        <v>735</v>
      </c>
      <c r="C86" s="116" t="s">
        <v>2284</v>
      </c>
      <c r="D86" s="15">
        <v>51.5133260560522</v>
      </c>
      <c r="E86" s="49">
        <v>-0.16038145235162099</v>
      </c>
      <c r="F86" s="116" t="s">
        <v>2283</v>
      </c>
      <c r="G86" s="53" t="s">
        <v>2283</v>
      </c>
      <c r="H86" s="116" t="s">
        <v>1759</v>
      </c>
      <c r="K86" s="24" t="b">
        <v>1</v>
      </c>
      <c r="L86" s="116" t="s">
        <v>2287</v>
      </c>
      <c r="O86" s="15" t="s">
        <v>336</v>
      </c>
      <c r="R86" s="64" t="s">
        <v>336</v>
      </c>
      <c r="Y86" s="117" t="s">
        <v>2285</v>
      </c>
      <c r="AR86" s="154" t="b">
        <f>IF(OR(A86="Done",A86="In Progress"),TRUE)</f>
        <v>1</v>
      </c>
      <c r="AS86" s="155" t="str">
        <f>"title: """&amp;F86&amp;""""</f>
        <v>title: "Site of Tyburn Tree"</v>
      </c>
      <c r="AT86" s="155" t="str">
        <f>"location: {lat: "&amp;D86&amp;", lng: "&amp;E86&amp;"}"</f>
        <v>location: {lat: 51.5133260560522, lng: -0.160381452351621}</v>
      </c>
      <c r="AU86" s="155" t="str">
        <f>"interest: "&amp;H86</f>
        <v>interest: regional</v>
      </c>
      <c r="AV86" s="155" t="str">
        <f>"- "&amp;VLOOKUP(B86,'(Ref) Countries'!A:C,3,)</f>
        <v>- uk</v>
      </c>
      <c r="AW86" s="155" t="str">
        <f>IF(LEN(C86)&gt;1,"- "&amp;LOWER(SUBSTITUTE(C86," ","-")),"")</f>
        <v>- westminster</v>
      </c>
      <c r="AX86" s="155" t="str">
        <f>IF(I86,"- churches","")</f>
        <v/>
      </c>
      <c r="AY86" s="155" t="str">
        <f>IF(J86,"- marian-sites","")</f>
        <v/>
      </c>
      <c r="AZ86" s="155" t="str">
        <f>IF(K86,"- holy-persons","")</f>
        <v>- holy-persons</v>
      </c>
      <c r="BA86" s="155" t="str">
        <f>IF(LEN(Y86)&gt;0,"- "&amp;Y86,"")</f>
        <v>- english-martyrs</v>
      </c>
      <c r="BB86" s="155" t="str">
        <f>IF(LEN(Z86)&gt;0,"- "&amp;Z86,"")</f>
        <v/>
      </c>
      <c r="BC86" s="155" t="str">
        <f>IF(LEN(AA86)&gt;0,"- "&amp;AA86,"")</f>
        <v/>
      </c>
      <c r="BD86" s="155" t="str">
        <f>IF(LEN(AB86)&gt;0,"- "&amp;AB86,"")</f>
        <v/>
      </c>
      <c r="BE86" s="155" t="str">
        <f>IF(LEN(AC86)&gt;0,"- "&amp;AC86,"")</f>
        <v/>
      </c>
      <c r="BF86" s="155" t="str">
        <f>IF(LEN(AD86)&gt;0,"- "&amp;AD86,"")</f>
        <v/>
      </c>
      <c r="BG86" s="155" t="str">
        <f>IF(LEN(AE86)&gt;0,"- "&amp;AE86,"")</f>
        <v/>
      </c>
      <c r="BH86" s="155" t="str">
        <f>IF(LEN(AF86)&gt;0,"- "&amp;AF86,"")</f>
        <v/>
      </c>
      <c r="BI86" s="155" t="str">
        <f>IF(LEN(AG86)&gt;0,"- "&amp;AG86,"")</f>
        <v/>
      </c>
      <c r="BJ86" s="155" t="str">
        <f>IF(LEN(AH86)&gt;0,"- "&amp;AH86,"")</f>
        <v/>
      </c>
      <c r="BK86" s="155" t="str">
        <f>"tags:"&amp;CHAR(10)&amp;concatl(AV86:BJ86)</f>
        <v xml:space="preserve">tags:
- uk_x000D_
- westminster_x000D_
- holy-persons_x000D_
- english-martyrs_x000D_
</v>
      </c>
      <c r="BL86" s="155" t="str">
        <f>IF(LEN(N86)&gt;0,TRIM(CONCATENATE("[Official site](",N86,") ",O86)),"")</f>
        <v/>
      </c>
      <c r="BM86" s="155" t="str">
        <f>IF(LEN(Q86)&gt;0,TRIM(CONCATENATE("["&amp;P86&amp;"](",Q86,") ",R86)),"")</f>
        <v/>
      </c>
      <c r="BN86" s="155" t="str">
        <f>IF(LEN(T86)&gt;0,TRIM(CONCATENATE("["&amp;S86&amp;"](",T86,") ",U86)),"")</f>
        <v/>
      </c>
      <c r="BO86" s="155" t="str">
        <f>IF(LEN(W86)&gt;0,TRIM(CONCATENATE("["&amp;V86&amp;"](",W86,") ",X86)),"")</f>
        <v/>
      </c>
      <c r="BP86" s="155" t="str">
        <f>IF(LEN(BL86)&gt;0,"* "&amp;BL86&amp;CHAR(10),"")&amp;
IF(LEN(BM86)&gt;0,"* "&amp;BM86&amp;CHAR(10),"")&amp;
IF(LEN(BN86)&gt;0,"* "&amp;BN86&amp;CHAR(10),"")&amp;
IF(LEN(BO86)&gt;0,"* "&amp;BO86&amp;CHAR(10),"")</f>
        <v/>
      </c>
      <c r="BQ86" s="155" t="str">
        <f>IF(LEN(AK86)&gt;0,TRIM(CONCATENATE("[Link](",AK86,") ",AL86)),"")</f>
        <v/>
      </c>
      <c r="BR86" s="155" t="str">
        <f>IF(LEN(AM86)&gt;0,TRIM(CONCATENATE("[Link](",AM86,") ",AN86)),"")</f>
        <v/>
      </c>
      <c r="BS86" s="155" t="str">
        <f>IF(LEN(AO86)&gt;0,TRIM(CONCATENATE("[Link](",AO86,") ",AP86)),"")</f>
        <v/>
      </c>
      <c r="BT86" s="155" t="str">
        <f>IF(LEN(concat(BQ86:BS86))&gt;0,concat("| ",BQ86," | ",BR86," | ",BS86," |"),"")</f>
        <v/>
      </c>
      <c r="BU86" s="155" t="str">
        <f>IF(J86,concatl("| The Real Presence | Miracle Hunter | MaryPages |","| --- | --- | --- |",BT86),"")</f>
        <v/>
      </c>
      <c r="BV86" s="155" t="str">
        <f>IF(LEN(BP86&amp;BU86)&gt;0,concatll("#### More Information",BP86,BU86),"")</f>
        <v/>
      </c>
      <c r="BW86" s="155" t="str">
        <f>IF(LEN(M86)&gt;1,concatll("#### Author's Note",M86),"")</f>
        <v/>
      </c>
      <c r="BX86" s="23" t="str">
        <f>IF(AR86,concatll(concatl("---",AS86:AU86,BK86,"---"),L86,BV86:BW86),"")</f>
        <v xml:space="preserve">---_x000D_
title: "Site of Tyburn Tree"_x000D_
location: {lat: 51.5133260560522, lng: -0.160381452351621}_x000D_
interest: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86" s="23" t="str">
        <f>IF(AR86,VLOOKUP(B86,'(Ref) Countries'!A:B,2,)&amp;IF(LEN(C86)&gt;1,"-"&amp;LOWER(SUBSTITUTE(C86," ","-")),"")&amp;"-"&amp;LOWER(SUBSTITUTE(SUBSTITUTE(G86," ","-"),".",""))&amp;".md","")</f>
        <v>gb-westminster-site-of-tyburn-tree.md</v>
      </c>
      <c r="BZ86" s="29" t="str">
        <f>IF(LEN(Y86)&gt;1,VLOOKUP(Y86,'Tag List'!$A:$B,2,),"")</f>
        <v>English Martyrs</v>
      </c>
      <c r="CA86" s="29" t="str">
        <f>IF(LEN(Z86)&gt;1,VLOOKUP(Z86,'Tag List'!$A:$B,2,),"")</f>
        <v/>
      </c>
      <c r="CB86" s="29" t="str">
        <f>IF(LEN(AA86)&gt;1,VLOOKUP(AA86,'Tag List'!$A:$B,2,),"")</f>
        <v/>
      </c>
      <c r="CC86" s="29" t="str">
        <f>IF(LEN(Y86)&gt;1,GetTagPage(BZ86,Y86),"")</f>
        <v>[English Martyrs](/tags/english-martyrs)</v>
      </c>
      <c r="CD86" s="29" t="str">
        <f>IF(LEN(Z86)&gt;1,GetTagPage(CA86,Z86),"")</f>
        <v/>
      </c>
      <c r="CE86" s="29" t="str">
        <f>IF(LEN(AA86)&gt;1,GetTagPage(CB86,AA86),"")</f>
        <v/>
      </c>
      <c r="CF86" s="29" t="str">
        <f>"|"&amp;IF(LEN(CC86)&gt;1," "&amp;CC86,"")&amp;IF(LEN(CD86)&gt;1,", "&amp;CD86,"")&amp;IF(LEN(CE86)&gt;1,", "&amp;CE86,"")&amp;" "</f>
        <v xml:space="preserve">| [English Martyrs](/tags/english-martyrs) </v>
      </c>
      <c r="CG86" s="29" t="str">
        <f>"| "&amp;IF(AR86,"["&amp;AI86&amp;"](/places/"&amp;SUBSTITUTE(BY86,".md","")&amp;")",AI86)&amp;" "</f>
        <v xml:space="preserve">| [](/places/gb-westminster-site-of-tyburn-tree) </v>
      </c>
      <c r="CH86" s="29" t="str">
        <f>"| "&amp;IF(AR86,GetTagPage(B86,VLOOKUP(B86,'(Ref) Countries'!A:C,3,)),B86)&amp; " "</f>
        <v xml:space="preserve">| [United Kingdom](/tags/uk) </v>
      </c>
      <c r="CI86" s="29" t="str">
        <f>"| "&amp;AJ86&amp;" "</f>
        <v xml:space="preserve">|  </v>
      </c>
      <c r="CJ86" s="29" t="str">
        <f>"|"&amp;IF(AR86," [Link](/places/"&amp;SUBSTITUTE(BY86,".md","")&amp;")","")&amp;" "</f>
        <v xml:space="preserve">| [Link](/places/gb-westminster-site-of-tyburn-tree) </v>
      </c>
      <c r="CK86" s="29" t="str">
        <f>"
"&amp;CG86&amp;CH86&amp;CI86&amp;CJ86&amp;BL86&amp;BQ86&amp;BR86&amp;BS86&amp;CF86&amp;"|"</f>
        <v xml:space="preserve">
| [](/places/gb-westminster-site-of-tyburn-tree) | [United Kingdom](/tags/uk) |  | [Link](/places/gb-westminster-site-of-tyburn-tree) | [English Martyrs](/tags/english-martyrs) |</v>
      </c>
    </row>
    <row r="87" spans="1:89" ht="51" x14ac:dyDescent="0.25">
      <c r="A87" s="168" t="s">
        <v>1320</v>
      </c>
      <c r="B87" s="83" t="s">
        <v>1899</v>
      </c>
      <c r="C87" s="83" t="s">
        <v>2001</v>
      </c>
      <c r="D87" s="15">
        <v>34.324656099999999</v>
      </c>
      <c r="E87" s="49">
        <v>-91.942694700000004</v>
      </c>
      <c r="F87" s="24" t="s">
        <v>1898</v>
      </c>
      <c r="G87" s="90" t="s">
        <v>2492</v>
      </c>
      <c r="H87" s="83" t="s">
        <v>1759</v>
      </c>
      <c r="I87" s="24" t="b">
        <v>1</v>
      </c>
      <c r="K87" s="24" t="b">
        <v>1</v>
      </c>
      <c r="L87" s="83" t="s">
        <v>2002</v>
      </c>
      <c r="N87" s="15" t="s">
        <v>2003</v>
      </c>
      <c r="O87" s="91" t="s">
        <v>2004</v>
      </c>
      <c r="P87" s="106" t="s">
        <v>2147</v>
      </c>
      <c r="Q87" s="15" t="s">
        <v>2005</v>
      </c>
      <c r="R87" s="93" t="s">
        <v>336</v>
      </c>
      <c r="Y87" s="91" t="s">
        <v>2006</v>
      </c>
      <c r="AR87" s="154" t="b">
        <f>IF(OR(A87="Done",A87="In Progress"),TRUE)</f>
        <v>1</v>
      </c>
      <c r="AS87" s="155" t="str">
        <f>"title: """&amp;F87&amp;""""</f>
        <v>title: "St. Mary Catholic Church, Pine Bluff, AR"</v>
      </c>
      <c r="AT87" s="155" t="str">
        <f>"location: {lat: "&amp;D87&amp;", lng: "&amp;E87&amp;"}"</f>
        <v>location: {lat: 34.3246561, lng: -91.9426947}</v>
      </c>
      <c r="AU87" s="155" t="str">
        <f>"interest: "&amp;H87</f>
        <v>interest: regional</v>
      </c>
      <c r="AV87" s="155" t="str">
        <f>"- "&amp;VLOOKUP(B87,'(Ref) Countries'!A:C,3,)</f>
        <v>- usa
- arkansas</v>
      </c>
      <c r="AW87" s="155" t="str">
        <f>IF(LEN(C87)&gt;1,"- "&amp;LOWER(SUBSTITUTE(C87," ","-")),"")</f>
        <v>- pine-bluff</v>
      </c>
      <c r="AX87" s="155" t="str">
        <f>IF(I87,"- churches","")</f>
        <v>- churches</v>
      </c>
      <c r="AY87" s="155" t="str">
        <f>IF(J87,"- marian-sites","")</f>
        <v/>
      </c>
      <c r="AZ87" s="155" t="str">
        <f>IF(K87,"- holy-persons","")</f>
        <v>- holy-persons</v>
      </c>
      <c r="BA87" s="155" t="str">
        <f>IF(LEN(Y87)&gt;0,"- "&amp;Y87,"")</f>
        <v>- agnes-hart</v>
      </c>
      <c r="BB87" s="155" t="str">
        <f>IF(LEN(Z87)&gt;0,"- "&amp;Z87,"")</f>
        <v/>
      </c>
      <c r="BC87" s="155" t="str">
        <f>IF(LEN(AA87)&gt;0,"- "&amp;AA87,"")</f>
        <v/>
      </c>
      <c r="BD87" s="155" t="str">
        <f>IF(LEN(AB87)&gt;0,"- "&amp;AB87,"")</f>
        <v/>
      </c>
      <c r="BE87" s="155" t="str">
        <f>IF(LEN(AC87)&gt;0,"- "&amp;AC87,"")</f>
        <v/>
      </c>
      <c r="BF87" s="155" t="str">
        <f>IF(LEN(AD87)&gt;0,"- "&amp;AD87,"")</f>
        <v/>
      </c>
      <c r="BG87" s="155" t="str">
        <f>IF(LEN(AE87)&gt;0,"- "&amp;AE87,"")</f>
        <v/>
      </c>
      <c r="BH87" s="155" t="str">
        <f>IF(LEN(AF87)&gt;0,"- "&amp;AF87,"")</f>
        <v/>
      </c>
      <c r="BI87" s="155" t="str">
        <f>IF(LEN(AG87)&gt;0,"- "&amp;AG87,"")</f>
        <v/>
      </c>
      <c r="BJ87" s="155" t="str">
        <f>IF(LEN(AH87)&gt;0,"- "&amp;AH87,"")</f>
        <v/>
      </c>
      <c r="BK87" s="155" t="str">
        <f>"tags:"&amp;CHAR(10)&amp;concatl(AV87:BJ87)</f>
        <v xml:space="preserve">tags:
- usa
- arkansas_x000D_
- pine-bluff_x000D_
- churches_x000D_
- holy-persons_x000D_
- agnes-hart_x000D_
</v>
      </c>
      <c r="BL87" s="155" t="str">
        <f>IF(LEN(N87)&gt;0,TRIM(CONCATENATE("[Official site](",N87,") ",O87)),"")</f>
        <v>[Official site](https://www.stjosephpinebluff.org/st-mary-catholic-church.html) (now under the care of nearby St. Joseph Parish)</v>
      </c>
      <c r="BM87" s="155" t="str">
        <f>IF(LEN(Q87)&gt;0,TRIM(CONCATENATE("["&amp;P87&amp;"](",Q87,") ",R87)),"")</f>
        <v>[*American Catholic History* podcast episode on St. Mary](https://americancatholichistory.org/old-st-mary-pine-bluff-arkansas/)</v>
      </c>
      <c r="BN87" s="155" t="str">
        <f>IF(LEN(T87)&gt;0,TRIM(CONCATENATE("["&amp;S87&amp;"](",T87,") ",U87)),"")</f>
        <v/>
      </c>
      <c r="BO87" s="155" t="str">
        <f>IF(LEN(W87)&gt;0,TRIM(CONCATENATE("["&amp;V87&amp;"](",W87,") ",X87)),"")</f>
        <v/>
      </c>
      <c r="BP87" s="155" t="str">
        <f>IF(LEN(BL87)&gt;0,"* "&amp;BL87&amp;CHAR(10),"")&amp;
IF(LEN(BM87)&gt;0,"* "&amp;BM87&amp;CHAR(10),"")&amp;
IF(LEN(BN87)&gt;0,"* "&amp;BN87&amp;CHAR(10),"")&amp;
IF(LEN(BO87)&gt;0,"* "&amp;BO87&amp;CHAR(10),"")</f>
        <v xml:space="preserve">* [Official site](https://www.stjosephpinebluff.org/st-mary-catholic-church.html) (now under the care of nearby St. Joseph Parish)
* [*American Catholic History* podcast episode on St. Mary](https://americancatholichistory.org/old-st-mary-pine-bluff-arkansas/)
</v>
      </c>
      <c r="BQ87" s="155" t="str">
        <f>IF(LEN(AK87)&gt;0,TRIM(CONCATENATE("[Link](",AK87,") ",AL87)),"")</f>
        <v/>
      </c>
      <c r="BR87" s="155" t="str">
        <f>IF(LEN(AM87)&gt;0,TRIM(CONCATENATE("[Link](",AM87,") ",AN87)),"")</f>
        <v/>
      </c>
      <c r="BS87" s="155" t="str">
        <f>IF(LEN(AO87)&gt;0,TRIM(CONCATENATE("[Link](",AO87,") ",AP87)),"")</f>
        <v/>
      </c>
      <c r="BT87" s="155" t="str">
        <f>IF(LEN(concat(BQ87:BS87))&gt;0,concat("| ",BQ87," | ",BR87," | ",BS87," |"),"")</f>
        <v/>
      </c>
      <c r="BU87" s="155" t="str">
        <f>IF(J87,concatl("| The Real Presence | Miracle Hunter | MaryPages |","| --- | --- | --- |",BT87),"")</f>
        <v/>
      </c>
      <c r="BV87" s="155" t="str">
        <f>IF(LEN(BP87&amp;BU87)&gt;0,concatll("#### More Information",BP87,BU87),"")</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87" s="155" t="str">
        <f>IF(LEN(M87)&gt;1,concatll("#### Author's Note",M87),"")</f>
        <v/>
      </c>
      <c r="BX87" s="23" t="str">
        <f>IF(AR87,concatll(concatl("---",AS87:AU87,BK87,"---"),L87,BV87:BW87),"")</f>
        <v xml:space="preserve">---_x000D_
title: "St. Mary Catholic Church, Pine Bluff, AR"_x000D_
location: {lat: 34.3246561, lng: -91.9426947}_x000D_
interest: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87" s="23" t="str">
        <f>IF(AR87,VLOOKUP(B87,'(Ref) Countries'!A:B,2,)&amp;IF(LEN(C87)&gt;1,"-"&amp;LOWER(SUBSTITUTE(C87," ","-")),"")&amp;"-"&amp;LOWER(SUBSTITUTE(SUBSTITUTE(G87," ","-"),".",""))&amp;".md","")</f>
        <v>us_ar-pine-bluff-st-mary.md</v>
      </c>
      <c r="BZ87" s="29" t="str">
        <f>IF(LEN(Y87)&gt;1,VLOOKUP(Y87,'Tag List'!$A:$B,2,),"")</f>
        <v>Mother Agnes Hart</v>
      </c>
      <c r="CA87" s="29" t="str">
        <f>IF(LEN(Z87)&gt;1,VLOOKUP(Z87,'Tag List'!$A:$B,2,),"")</f>
        <v/>
      </c>
      <c r="CB87" s="29" t="str">
        <f>IF(LEN(AA87)&gt;1,VLOOKUP(AA87,'Tag List'!$A:$B,2,),"")</f>
        <v/>
      </c>
      <c r="CC87" s="29" t="str">
        <f>IF(LEN(Y87)&gt;1,GetTagPage(BZ87,Y87),"")</f>
        <v>[Mother Agnes Hart](/tags/agnes-hart)</v>
      </c>
      <c r="CD87" s="29" t="str">
        <f>IF(LEN(Z87)&gt;1,GetTagPage(CA87,Z87),"")</f>
        <v/>
      </c>
      <c r="CE87" s="29" t="str">
        <f>IF(LEN(AA87)&gt;1,GetTagPage(CB87,AA87),"")</f>
        <v/>
      </c>
      <c r="CF87" s="29" t="str">
        <f>"|"&amp;IF(LEN(CC87)&gt;1," "&amp;CC87,"")&amp;IF(LEN(CD87)&gt;1,", "&amp;CD87,"")&amp;IF(LEN(CE87)&gt;1,", "&amp;CE87,"")&amp;" "</f>
        <v xml:space="preserve">| [Mother Agnes Hart](/tags/agnes-hart) </v>
      </c>
      <c r="CG87" s="29" t="str">
        <f>"| "&amp;IF(AR87,"["&amp;AI87&amp;"](/places/"&amp;SUBSTITUTE(BY87,".md","")&amp;")",AI87)&amp;" "</f>
        <v xml:space="preserve">| [](/places/us_ar-pine-bluff-st-mary) </v>
      </c>
      <c r="CH87" s="29" t="str">
        <f>"| "&amp;IF(AR87,GetTagPage(B87,VLOOKUP(B87,'(Ref) Countries'!A:C,3,)),B87)&amp; " "</f>
        <v xml:space="preserve">| [US Arkansas](/tags/usa
- arkansas) </v>
      </c>
      <c r="CI87" s="29" t="str">
        <f>"| "&amp;AJ87&amp;" "</f>
        <v xml:space="preserve">|  </v>
      </c>
      <c r="CJ87" s="29" t="str">
        <f>"|"&amp;IF(AR87," [Link](/places/"&amp;SUBSTITUTE(BY87,".md","")&amp;")","")&amp;" "</f>
        <v xml:space="preserve">| [Link](/places/us_ar-pine-bluff-st-mary) </v>
      </c>
      <c r="CK87" s="29" t="str">
        <f>"
"&amp;CG87&amp;CH87&amp;CI87&amp;CJ87&amp;BL87&amp;BQ87&amp;BR87&amp;BS87&amp;CF87&amp;"|"</f>
        <v xml:space="preserve">
| [](/places/us_ar-pine-bluff-st-mary) | [US Arkansas](/tags/usa
- arkansas) |  | [Link](/places/us_ar-pine-bluff-st-mary) [Official site](https://www.stjosephpinebluff.org/st-mary-catholic-church.html) (now under the care of nearby St. Joseph Parish)| [Mother Agnes Hart](/tags/agnes-hart) |</v>
      </c>
    </row>
    <row r="88" spans="1:89" ht="25.5" x14ac:dyDescent="0.25">
      <c r="A88" s="168" t="s">
        <v>1320</v>
      </c>
      <c r="B88" s="116" t="s">
        <v>1903</v>
      </c>
      <c r="C88" s="24" t="s">
        <v>2308</v>
      </c>
      <c r="D88" s="15">
        <v>32.784454414036396</v>
      </c>
      <c r="E88" s="49">
        <v>-117.106379960395</v>
      </c>
      <c r="F88" s="24" t="s">
        <v>2288</v>
      </c>
      <c r="G88" s="119" t="s">
        <v>2329</v>
      </c>
      <c r="H88" s="116" t="s">
        <v>1825</v>
      </c>
      <c r="I88" s="24" t="b">
        <v>1</v>
      </c>
      <c r="K88" s="24" t="b">
        <v>1</v>
      </c>
      <c r="L88" s="24" t="s">
        <v>2343</v>
      </c>
      <c r="N88" s="15" t="s">
        <v>2360</v>
      </c>
      <c r="O88" s="15" t="s">
        <v>336</v>
      </c>
      <c r="P88" s="120" t="s">
        <v>2380</v>
      </c>
      <c r="Q88" s="15" t="s">
        <v>2381</v>
      </c>
      <c r="R88" s="64" t="s">
        <v>336</v>
      </c>
      <c r="S88" s="120" t="s">
        <v>2402</v>
      </c>
      <c r="T88" s="15" t="s">
        <v>2403</v>
      </c>
      <c r="U88" s="121" t="s">
        <v>336</v>
      </c>
      <c r="Y88" s="117" t="s">
        <v>2433</v>
      </c>
      <c r="Z88" s="117" t="s">
        <v>2427</v>
      </c>
      <c r="AA88" s="15" t="s">
        <v>2426</v>
      </c>
      <c r="AR88" s="154" t="b">
        <f>IF(OR(A88="Done",A88="In Progress"),TRUE)</f>
        <v>1</v>
      </c>
      <c r="AS88" s="155" t="str">
        <f>"title: """&amp;F88&amp;""""</f>
        <v>title: "Mission San Diego de Alcala"</v>
      </c>
      <c r="AT88" s="155" t="str">
        <f>"location: {lat: "&amp;D88&amp;", lng: "&amp;E88&amp;"}"</f>
        <v>location: {lat: 32.7844544140364, lng: -117.106379960395}</v>
      </c>
      <c r="AU88" s="155" t="str">
        <f>"interest: "&amp;H88</f>
        <v>interest: local</v>
      </c>
      <c r="AV88" s="155" t="str">
        <f>"- "&amp;VLOOKUP(B88,'(Ref) Countries'!A:C,3,)</f>
        <v>- usa
- california</v>
      </c>
      <c r="AW88" s="155" t="str">
        <f>IF(LEN(C88)&gt;1,"- "&amp;LOWER(SUBSTITUTE(C88," ","-")),"")</f>
        <v>- san-diego</v>
      </c>
      <c r="AX88" s="155" t="str">
        <f>IF(I88,"- churches","")</f>
        <v>- churches</v>
      </c>
      <c r="AY88" s="155" t="str">
        <f>IF(J88,"- marian-sites","")</f>
        <v/>
      </c>
      <c r="AZ88" s="155" t="str">
        <f>IF(K88,"- holy-persons","")</f>
        <v>- holy-persons</v>
      </c>
      <c r="BA88" s="155" t="str">
        <f>IF(LEN(Y88)&gt;0,"- "&amp;Y88,"")</f>
        <v>- california-missions</v>
      </c>
      <c r="BB88" s="155" t="str">
        <f>IF(LEN(Z88)&gt;0,"- "&amp;Z88,"")</f>
        <v>- franciscans</v>
      </c>
      <c r="BC88" s="155" t="str">
        <f>IF(LEN(AA88)&gt;0,"- "&amp;AA88,"")</f>
        <v>- junipero-serra</v>
      </c>
      <c r="BD88" s="155" t="str">
        <f>IF(LEN(AB88)&gt;0,"- "&amp;AB88,"")</f>
        <v/>
      </c>
      <c r="BE88" s="155" t="str">
        <f>IF(LEN(AC88)&gt;0,"- "&amp;AC88,"")</f>
        <v/>
      </c>
      <c r="BF88" s="155" t="str">
        <f>IF(LEN(AD88)&gt;0,"- "&amp;AD88,"")</f>
        <v/>
      </c>
      <c r="BG88" s="155" t="str">
        <f>IF(LEN(AE88)&gt;0,"- "&amp;AE88,"")</f>
        <v/>
      </c>
      <c r="BH88" s="155" t="str">
        <f>IF(LEN(AF88)&gt;0,"- "&amp;AF88,"")</f>
        <v/>
      </c>
      <c r="BI88" s="155" t="str">
        <f>IF(LEN(AG88)&gt;0,"- "&amp;AG88,"")</f>
        <v/>
      </c>
      <c r="BJ88" s="155" t="str">
        <f>IF(LEN(AH88)&gt;0,"- "&amp;AH88,"")</f>
        <v/>
      </c>
      <c r="BK88" s="155" t="str">
        <f>"tags:"&amp;CHAR(10)&amp;concatl(AV88:BJ88)</f>
        <v xml:space="preserve">tags:
- usa
- california_x000D_
- san-diego_x000D_
- churches_x000D_
- holy-persons_x000D_
- california-missions_x000D_
- franciscans_x000D_
- junipero-serra_x000D_
</v>
      </c>
      <c r="BL88" s="155" t="str">
        <f>IF(LEN(N88)&gt;0,TRIM(CONCATENATE("[Official site](",N88,") ",O88)),"")</f>
        <v>[Official site](https://www.missionsandiego.org/)</v>
      </c>
      <c r="BM88" s="155" t="str">
        <f>IF(LEN(Q88)&gt;0,TRIM(CONCATENATE("["&amp;P88&amp;"](",Q88,") ",R88)),"")</f>
        <v>[California Missions Foundation page](https://californiamissionsfoundation.org/mission-san-diego-de-alcala/)</v>
      </c>
      <c r="BN88" s="155" t="str">
        <f>IF(LEN(T88)&gt;0,TRIM(CONCATENATE("["&amp;S88&amp;"](",T88,") ",U88)),"")</f>
        <v>[Missions California page](https://www.missionscalifornia.com/missions/san-diego-de-alcala/)</v>
      </c>
      <c r="BO88" s="155" t="str">
        <f>IF(LEN(W88)&gt;0,TRIM(CONCATENATE("["&amp;V88&amp;"](",W88,") ",X88)),"")</f>
        <v/>
      </c>
      <c r="BP88" s="155" t="str">
        <f>IF(LEN(BL88)&gt;0,"* "&amp;BL88&amp;CHAR(10),"")&amp;
IF(LEN(BM88)&gt;0,"* "&amp;BM88&amp;CHAR(10),"")&amp;
IF(LEN(BN88)&gt;0,"* "&amp;BN88&amp;CHAR(10),"")&amp;
IF(LEN(BO88)&gt;0,"* "&amp;BO88&amp;CHAR(10),"")</f>
        <v xml:space="preserve">* [Official site](https://www.missionsandiego.org/)
* [California Missions Foundation page](https://californiamissionsfoundation.org/mission-san-diego-de-alcala/)
* [Missions California page](https://www.missionscalifornia.com/missions/san-diego-de-alcala/)
</v>
      </c>
      <c r="BQ88" s="155" t="str">
        <f>IF(LEN(AK88)&gt;0,TRIM(CONCATENATE("[Link](",AK88,") ",AL88)),"")</f>
        <v/>
      </c>
      <c r="BR88" s="155" t="str">
        <f>IF(LEN(AM88)&gt;0,TRIM(CONCATENATE("[Link](",AM88,") ",AN88)),"")</f>
        <v/>
      </c>
      <c r="BS88" s="155" t="str">
        <f>IF(LEN(AO88)&gt;0,TRIM(CONCATENATE("[Link](",AO88,") ",AP88)),"")</f>
        <v/>
      </c>
      <c r="BT88" s="155" t="str">
        <f>IF(LEN(concat(BQ88:BS88))&gt;0,concat("| ",BQ88," | ",BR88," | ",BS88," |"),"")</f>
        <v/>
      </c>
      <c r="BU88" s="155" t="str">
        <f>IF(J88,concatl("| The Real Presence | Miracle Hunter | MaryPages |","| --- | --- | --- |",BT88),"")</f>
        <v/>
      </c>
      <c r="BV88" s="155" t="str">
        <f>IF(LEN(BP88&amp;BU88)&gt;0,concatll("#### More Information",BP88,BU88),"")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88" s="155" t="str">
        <f>IF(LEN(M88)&gt;1,concatll("#### Author's Note",M88),"")</f>
        <v/>
      </c>
      <c r="BX88" s="23" t="str">
        <f>IF(AR88,concatll(concatl("---",AS88:AU88,BK88,"---"),L88,BV88:BW88),"")</f>
        <v xml:space="preserve">---_x000D_
title: "Mission San Diego de Alcala"_x000D_
location: {lat: 32.7844544140364, lng: -117.106379960395}_x000D_
interest: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88" s="23" t="str">
        <f>IF(AR88,VLOOKUP(B88,'(Ref) Countries'!A:B,2,)&amp;IF(LEN(C88)&gt;1,"-"&amp;LOWER(SUBSTITUTE(C88," ","-")),"")&amp;"-"&amp;LOWER(SUBSTITUTE(SUBSTITUTE(G88," ","-"),".",""))&amp;".md","")</f>
        <v>us_ca-san-diego-mission-san-diego.md</v>
      </c>
      <c r="BZ88" s="29" t="str">
        <f>IF(LEN(Y88)&gt;1,VLOOKUP(Y88,'Tag List'!$A:$B,2,),"")</f>
        <v>Franciscian Missions in California</v>
      </c>
      <c r="CA88" s="29" t="str">
        <f>IF(LEN(Z88)&gt;1,VLOOKUP(Z88,'Tag List'!$A:$B,2,),"")</f>
        <v>Order of Friars Minor (Fransiscans)</v>
      </c>
      <c r="CB88" s="29" t="str">
        <f>IF(LEN(AA88)&gt;1,VLOOKUP(AA88,'Tag List'!$A:$B,2,),"")</f>
        <v>St. Junipero Serra, OFM</v>
      </c>
      <c r="CC88" s="29" t="str">
        <f>IF(LEN(Y88)&gt;1,GetTagPage(BZ88,Y88),"")</f>
        <v>[Franciscian Missions in California](/tags/california-missions)</v>
      </c>
      <c r="CD88" s="29" t="str">
        <f>IF(LEN(Z88)&gt;1,GetTagPage(CA88,Z88),"")</f>
        <v>[Order of Friars Minor (Fransiscans)](/tags/franciscans)</v>
      </c>
      <c r="CE88" s="29" t="str">
        <f>IF(LEN(AA88)&gt;1,GetTagPage(CB88,AA88),"")</f>
        <v>[St. Junipero Serra, OFM](/tags/junipero-serra)</v>
      </c>
      <c r="CF88" s="29" t="str">
        <f>"|"&amp;IF(LEN(CC88)&gt;1," "&amp;CC88,"")&amp;IF(LEN(CD88)&gt;1,", "&amp;CD88,"")&amp;IF(LEN(CE88)&gt;1,", "&amp;CE88,"")&amp;" "</f>
        <v xml:space="preserve">| [Franciscian Missions in California](/tags/california-missions), [Order of Friars Minor (Fransiscans)](/tags/franciscans), [St. Junipero Serra, OFM](/tags/junipero-serra) </v>
      </c>
      <c r="CG88" s="29" t="str">
        <f>"| "&amp;IF(AR88,"["&amp;AI88&amp;"](/places/"&amp;SUBSTITUTE(BY88,".md","")&amp;")",AI88)&amp;" "</f>
        <v xml:space="preserve">| [](/places/us_ca-san-diego-mission-san-diego) </v>
      </c>
      <c r="CH88" s="29" t="str">
        <f>"| "&amp;IF(AR88,GetTagPage(B88,VLOOKUP(B88,'(Ref) Countries'!A:C,3,)),B88)&amp; " "</f>
        <v xml:space="preserve">| [US California](/tags/usa
- california) </v>
      </c>
      <c r="CI88" s="29" t="str">
        <f>"| "&amp;AJ88&amp;" "</f>
        <v xml:space="preserve">|  </v>
      </c>
      <c r="CJ88" s="29" t="str">
        <f>"|"&amp;IF(AR88," [Link](/places/"&amp;SUBSTITUTE(BY88,".md","")&amp;")","")&amp;" "</f>
        <v xml:space="preserve">| [Link](/places/us_ca-san-diego-mission-san-diego) </v>
      </c>
      <c r="CK88" s="29" t="str">
        <f>"
"&amp;CG88&amp;CH88&amp;CI88&amp;CJ88&amp;BL88&amp;BQ88&amp;BR88&amp;BS88&amp;CF88&amp;"|"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89" spans="1:89" ht="25.5" x14ac:dyDescent="0.25">
      <c r="A89" s="168" t="s">
        <v>1320</v>
      </c>
      <c r="B89" s="24" t="s">
        <v>1903</v>
      </c>
      <c r="C89" s="24" t="s">
        <v>2309</v>
      </c>
      <c r="D89" s="15">
        <v>36.542542305904099</v>
      </c>
      <c r="E89" s="49">
        <v>-121.91985692948499</v>
      </c>
      <c r="F89" s="24" t="s">
        <v>2289</v>
      </c>
      <c r="G89" s="119" t="s">
        <v>2331</v>
      </c>
      <c r="H89" s="116" t="s">
        <v>1759</v>
      </c>
      <c r="I89" s="24" t="b">
        <v>1</v>
      </c>
      <c r="K89" s="24" t="b">
        <v>1</v>
      </c>
      <c r="L89" s="116" t="s">
        <v>2429</v>
      </c>
      <c r="N89" s="15" t="s">
        <v>2361</v>
      </c>
      <c r="O89" s="15" t="s">
        <v>336</v>
      </c>
      <c r="P89" s="60" t="s">
        <v>2380</v>
      </c>
      <c r="Q89" s="15" t="s">
        <v>2382</v>
      </c>
      <c r="R89" s="64" t="s">
        <v>336</v>
      </c>
      <c r="S89" s="60" t="s">
        <v>2402</v>
      </c>
      <c r="T89" s="15" t="s">
        <v>2404</v>
      </c>
      <c r="U89" s="64" t="s">
        <v>336</v>
      </c>
      <c r="Y89" s="15" t="s">
        <v>2433</v>
      </c>
      <c r="Z89" s="15" t="s">
        <v>2427</v>
      </c>
      <c r="AA89" s="15" t="s">
        <v>2426</v>
      </c>
      <c r="AR89" s="154" t="b">
        <f>IF(OR(A89="Done",A89="In Progress"),TRUE)</f>
        <v>1</v>
      </c>
      <c r="AS89" s="155" t="str">
        <f>"title: """&amp;F89&amp;""""</f>
        <v>title: "Mission San Carlos Borromeo de Carmelo"</v>
      </c>
      <c r="AT89" s="155" t="str">
        <f>"location: {lat: "&amp;D89&amp;", lng: "&amp;E89&amp;"}"</f>
        <v>location: {lat: 36.5425423059041, lng: -121.919856929485}</v>
      </c>
      <c r="AU89" s="155" t="str">
        <f>"interest: "&amp;H89</f>
        <v>interest: regional</v>
      </c>
      <c r="AV89" s="155" t="str">
        <f>"- "&amp;VLOOKUP(B89,'(Ref) Countries'!A:C,3,)</f>
        <v>- usa
- california</v>
      </c>
      <c r="AW89" s="155" t="str">
        <f>IF(LEN(C89)&gt;1,"- "&amp;LOWER(SUBSTITUTE(C89," ","-")),"")</f>
        <v>- carmel-by-the-sea</v>
      </c>
      <c r="AX89" s="155" t="str">
        <f>IF(I89,"- churches","")</f>
        <v>- churches</v>
      </c>
      <c r="AY89" s="155" t="str">
        <f>IF(J89,"- marian-sites","")</f>
        <v/>
      </c>
      <c r="AZ89" s="155" t="str">
        <f>IF(K89,"- holy-persons","")</f>
        <v>- holy-persons</v>
      </c>
      <c r="BA89" s="155" t="str">
        <f>IF(LEN(Y89)&gt;0,"- "&amp;Y89,"")</f>
        <v>- california-missions</v>
      </c>
      <c r="BB89" s="155" t="str">
        <f>IF(LEN(Z89)&gt;0,"- "&amp;Z89,"")</f>
        <v>- franciscans</v>
      </c>
      <c r="BC89" s="155" t="str">
        <f>IF(LEN(AA89)&gt;0,"- "&amp;AA89,"")</f>
        <v>- junipero-serra</v>
      </c>
      <c r="BD89" s="155" t="str">
        <f>IF(LEN(AB89)&gt;0,"- "&amp;AB89,"")</f>
        <v/>
      </c>
      <c r="BE89" s="155" t="str">
        <f>IF(LEN(AC89)&gt;0,"- "&amp;AC89,"")</f>
        <v/>
      </c>
      <c r="BF89" s="155" t="str">
        <f>IF(LEN(AD89)&gt;0,"- "&amp;AD89,"")</f>
        <v/>
      </c>
      <c r="BG89" s="155" t="str">
        <f>IF(LEN(AE89)&gt;0,"- "&amp;AE89,"")</f>
        <v/>
      </c>
      <c r="BH89" s="155" t="str">
        <f>IF(LEN(AF89)&gt;0,"- "&amp;AF89,"")</f>
        <v/>
      </c>
      <c r="BI89" s="155" t="str">
        <f>IF(LEN(AG89)&gt;0,"- "&amp;AG89,"")</f>
        <v/>
      </c>
      <c r="BJ89" s="155" t="str">
        <f>IF(LEN(AH89)&gt;0,"- "&amp;AH89,"")</f>
        <v/>
      </c>
      <c r="BK89" s="155" t="str">
        <f>"tags:"&amp;CHAR(10)&amp;concatl(AV89:BJ89)</f>
        <v xml:space="preserve">tags:
- usa
- california_x000D_
- carmel-by-the-sea_x000D_
- churches_x000D_
- holy-persons_x000D_
- california-missions_x000D_
- franciscans_x000D_
- junipero-serra_x000D_
</v>
      </c>
      <c r="BL89" s="155" t="str">
        <f>IF(LEN(N89)&gt;0,TRIM(CONCATENATE("[Official site](",N89,") ",O89)),"")</f>
        <v>[Official site](http://www.carmelmission.org/)</v>
      </c>
      <c r="BM89" s="155" t="str">
        <f>IF(LEN(Q89)&gt;0,TRIM(CONCATENATE("["&amp;P89&amp;"](",Q89,") ",R89)),"")</f>
        <v>[California Missions Foundation page](https://californiamissionsfoundation.org/mission-san-carlos-borromeo/)</v>
      </c>
      <c r="BN89" s="155" t="str">
        <f>IF(LEN(T89)&gt;0,TRIM(CONCATENATE("["&amp;S89&amp;"](",T89,") ",U89)),"")</f>
        <v>[Missions California page](https://www.missionscalifornia.com/missions/san-carlos-borromeo-de-carmelo/)</v>
      </c>
      <c r="BO89" s="155" t="str">
        <f>IF(LEN(W89)&gt;0,TRIM(CONCATENATE("["&amp;V89&amp;"](",W89,") ",X89)),"")</f>
        <v/>
      </c>
      <c r="BP89" s="155" t="str">
        <f>IF(LEN(BL89)&gt;0,"* "&amp;BL89&amp;CHAR(10),"")&amp;
IF(LEN(BM89)&gt;0,"* "&amp;BM89&amp;CHAR(10),"")&amp;
IF(LEN(BN89)&gt;0,"* "&amp;BN89&amp;CHAR(10),"")&amp;
IF(LEN(BO89)&gt;0,"* "&amp;BO89&amp;CHAR(10),"")</f>
        <v xml:space="preserve">* [Official site](http://www.carmelmission.org/)
* [California Missions Foundation page](https://californiamissionsfoundation.org/mission-san-carlos-borromeo/)
* [Missions California page](https://www.missionscalifornia.com/missions/san-carlos-borromeo-de-carmelo/)
</v>
      </c>
      <c r="BQ89" s="155" t="str">
        <f>IF(LEN(AK89)&gt;0,TRIM(CONCATENATE("[Link](",AK89,") ",AL89)),"")</f>
        <v/>
      </c>
      <c r="BR89" s="155" t="str">
        <f>IF(LEN(AM89)&gt;0,TRIM(CONCATENATE("[Link](",AM89,") ",AN89)),"")</f>
        <v/>
      </c>
      <c r="BS89" s="155" t="str">
        <f>IF(LEN(AO89)&gt;0,TRIM(CONCATENATE("[Link](",AO89,") ",AP89)),"")</f>
        <v/>
      </c>
      <c r="BT89" s="155" t="str">
        <f>IF(LEN(concat(BQ89:BS89))&gt;0,concat("| ",BQ89," | ",BR89," | ",BS89," |"),"")</f>
        <v/>
      </c>
      <c r="BU89" s="155" t="str">
        <f>IF(J89,concatl("| The Real Presence | Miracle Hunter | MaryPages |","| --- | --- | --- |",BT89),"")</f>
        <v/>
      </c>
      <c r="BV89" s="155" t="str">
        <f>IF(LEN(BP89&amp;BU89)&gt;0,concatll("#### More Information",BP89,BU89),"")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89" s="155" t="str">
        <f>IF(LEN(M89)&gt;1,concatll("#### Author's Note",M89),"")</f>
        <v/>
      </c>
      <c r="BX89" s="23" t="str">
        <f>IF(AR89,concatll(concatl("---",AS89:AU89,BK89,"---"),L89,BV89:BW89),"")</f>
        <v xml:space="preserve">---_x000D_
title: "Mission San Carlos Borromeo de Carmelo"_x000D_
location: {lat: 36.5425423059041, lng: -121.919856929485}_x000D_
interest: regional_x000D_
tags:
- usa
- california_x000D_
- carmel-by-the-sea_x000D_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89" s="23" t="str">
        <f>IF(AR89,VLOOKUP(B89,'(Ref) Countries'!A:B,2,)&amp;IF(LEN(C89)&gt;1,"-"&amp;LOWER(SUBSTITUTE(C89," ","-")),"")&amp;"-"&amp;LOWER(SUBSTITUTE(SUBSTITUTE(G89," ","-"),".",""))&amp;".md","")</f>
        <v>us_ca-carmel-by-the-sea-mission-san-carlos.md</v>
      </c>
      <c r="BZ89" s="29" t="str">
        <f>IF(LEN(Y89)&gt;1,VLOOKUP(Y89,'Tag List'!$A:$B,2,),"")</f>
        <v>Franciscian Missions in California</v>
      </c>
      <c r="CA89" s="29" t="str">
        <f>IF(LEN(Z89)&gt;1,VLOOKUP(Z89,'Tag List'!$A:$B,2,),"")</f>
        <v>Order of Friars Minor (Fransiscans)</v>
      </c>
      <c r="CB89" s="29" t="str">
        <f>IF(LEN(AA89)&gt;1,VLOOKUP(AA89,'Tag List'!$A:$B,2,),"")</f>
        <v>St. Junipero Serra, OFM</v>
      </c>
      <c r="CC89" s="29" t="str">
        <f>IF(LEN(Y89)&gt;1,GetTagPage(BZ89,Y89),"")</f>
        <v>[Franciscian Missions in California](/tags/california-missions)</v>
      </c>
      <c r="CD89" s="29" t="str">
        <f>IF(LEN(Z89)&gt;1,GetTagPage(CA89,Z89),"")</f>
        <v>[Order of Friars Minor (Fransiscans)](/tags/franciscans)</v>
      </c>
      <c r="CE89" s="29" t="str">
        <f>IF(LEN(AA89)&gt;1,GetTagPage(CB89,AA89),"")</f>
        <v>[St. Junipero Serra, OFM](/tags/junipero-serra)</v>
      </c>
      <c r="CF89" s="29" t="str">
        <f>"|"&amp;IF(LEN(CC89)&gt;1," "&amp;CC89,"")&amp;IF(LEN(CD89)&gt;1,", "&amp;CD89,"")&amp;IF(LEN(CE89)&gt;1,", "&amp;CE89,"")&amp;" "</f>
        <v xml:space="preserve">| [Franciscian Missions in California](/tags/california-missions), [Order of Friars Minor (Fransiscans)](/tags/franciscans), [St. Junipero Serra, OFM](/tags/junipero-serra) </v>
      </c>
      <c r="CG89" s="29" t="str">
        <f>"| "&amp;IF(AR89,"["&amp;AI89&amp;"](/places/"&amp;SUBSTITUTE(BY89,".md","")&amp;")",AI89)&amp;" "</f>
        <v xml:space="preserve">| [](/places/us_ca-carmel-by-the-sea-mission-san-carlos) </v>
      </c>
      <c r="CH89" s="29" t="str">
        <f>"| "&amp;IF(AR89,GetTagPage(B89,VLOOKUP(B89,'(Ref) Countries'!A:C,3,)),B89)&amp; " "</f>
        <v xml:space="preserve">| [US California](/tags/usa
- california) </v>
      </c>
      <c r="CI89" s="29" t="str">
        <f>"| "&amp;AJ89&amp;" "</f>
        <v xml:space="preserve">|  </v>
      </c>
      <c r="CJ89" s="29" t="str">
        <f>"|"&amp;IF(AR89," [Link](/places/"&amp;SUBSTITUTE(BY89,".md","")&amp;")","")&amp;" "</f>
        <v xml:space="preserve">| [Link](/places/us_ca-carmel-by-the-sea-mission-san-carlos) </v>
      </c>
      <c r="CK89" s="29" t="str">
        <f>"
"&amp;CG89&amp;CH89&amp;CI89&amp;CJ89&amp;BL89&amp;BQ89&amp;BR89&amp;BS89&amp;CF89&amp;"|"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90" spans="1:89" ht="25.5" x14ac:dyDescent="0.25">
      <c r="A90" s="168" t="s">
        <v>1320</v>
      </c>
      <c r="B90" s="24" t="s">
        <v>1903</v>
      </c>
      <c r="C90" s="24" t="s">
        <v>2310</v>
      </c>
      <c r="D90" s="15">
        <v>36.015380016252898</v>
      </c>
      <c r="E90" s="49">
        <v>-121.250314673798</v>
      </c>
      <c r="F90" s="24" t="s">
        <v>2290</v>
      </c>
      <c r="G90" s="119" t="s">
        <v>2332</v>
      </c>
      <c r="H90" s="24" t="s">
        <v>1825</v>
      </c>
      <c r="I90" s="24" t="b">
        <v>1</v>
      </c>
      <c r="K90" s="24" t="b">
        <v>1</v>
      </c>
      <c r="L90" s="24" t="s">
        <v>2344</v>
      </c>
      <c r="N90" s="15" t="s">
        <v>2362</v>
      </c>
      <c r="O90" s="15" t="s">
        <v>336</v>
      </c>
      <c r="P90" s="60" t="s">
        <v>2380</v>
      </c>
      <c r="Q90" s="15" t="s">
        <v>2383</v>
      </c>
      <c r="R90" s="64" t="s">
        <v>336</v>
      </c>
      <c r="S90" s="60" t="s">
        <v>2402</v>
      </c>
      <c r="T90" s="15" t="s">
        <v>2405</v>
      </c>
      <c r="U90" s="64" t="s">
        <v>336</v>
      </c>
      <c r="Y90" s="15" t="s">
        <v>2433</v>
      </c>
      <c r="Z90" s="15" t="s">
        <v>2427</v>
      </c>
      <c r="AA90" s="15" t="s">
        <v>2426</v>
      </c>
      <c r="AR90" s="154" t="b">
        <f>IF(OR(A90="Done",A90="In Progress"),TRUE)</f>
        <v>1</v>
      </c>
      <c r="AS90" s="155" t="str">
        <f>"title: """&amp;F90&amp;""""</f>
        <v>title: "Mission San Antonio de Padua"</v>
      </c>
      <c r="AT90" s="155" t="str">
        <f>"location: {lat: "&amp;D90&amp;", lng: "&amp;E90&amp;"}"</f>
        <v>location: {lat: 36.0153800162529, lng: -121.250314673798}</v>
      </c>
      <c r="AU90" s="155" t="str">
        <f>"interest: "&amp;H90</f>
        <v>interest: local</v>
      </c>
      <c r="AV90" s="155" t="str">
        <f>"- "&amp;VLOOKUP(B90,'(Ref) Countries'!A:C,3,)</f>
        <v>- usa
- california</v>
      </c>
      <c r="AW90" s="155" t="str">
        <f>IF(LEN(C90)&gt;1,"- "&amp;LOWER(SUBSTITUTE(C90," ","-")),"")</f>
        <v>- jolon</v>
      </c>
      <c r="AX90" s="155" t="str">
        <f>IF(I90,"- churches","")</f>
        <v>- churches</v>
      </c>
      <c r="AY90" s="155" t="str">
        <f>IF(J90,"- marian-sites","")</f>
        <v/>
      </c>
      <c r="AZ90" s="155" t="str">
        <f>IF(K90,"- holy-persons","")</f>
        <v>- holy-persons</v>
      </c>
      <c r="BA90" s="155" t="str">
        <f>IF(LEN(Y90)&gt;0,"- "&amp;Y90,"")</f>
        <v>- california-missions</v>
      </c>
      <c r="BB90" s="155" t="str">
        <f>IF(LEN(Z90)&gt;0,"- "&amp;Z90,"")</f>
        <v>- franciscans</v>
      </c>
      <c r="BC90" s="155" t="str">
        <f>IF(LEN(AA90)&gt;0,"- "&amp;AA90,"")</f>
        <v>- junipero-serra</v>
      </c>
      <c r="BD90" s="155" t="str">
        <f>IF(LEN(AB90)&gt;0,"- "&amp;AB90,"")</f>
        <v/>
      </c>
      <c r="BE90" s="155" t="str">
        <f>IF(LEN(AC90)&gt;0,"- "&amp;AC90,"")</f>
        <v/>
      </c>
      <c r="BF90" s="155" t="str">
        <f>IF(LEN(AD90)&gt;0,"- "&amp;AD90,"")</f>
        <v/>
      </c>
      <c r="BG90" s="155" t="str">
        <f>IF(LEN(AE90)&gt;0,"- "&amp;AE90,"")</f>
        <v/>
      </c>
      <c r="BH90" s="155" t="str">
        <f>IF(LEN(AF90)&gt;0,"- "&amp;AF90,"")</f>
        <v/>
      </c>
      <c r="BI90" s="155" t="str">
        <f>IF(LEN(AG90)&gt;0,"- "&amp;AG90,"")</f>
        <v/>
      </c>
      <c r="BJ90" s="155" t="str">
        <f>IF(LEN(AH90)&gt;0,"- "&amp;AH90,"")</f>
        <v/>
      </c>
      <c r="BK90" s="155" t="str">
        <f>"tags:"&amp;CHAR(10)&amp;concatl(AV90:BJ90)</f>
        <v xml:space="preserve">tags:
- usa
- california_x000D_
- jolon_x000D_
- churches_x000D_
- holy-persons_x000D_
- california-missions_x000D_
- franciscans_x000D_
- junipero-serra_x000D_
</v>
      </c>
      <c r="BL90" s="155" t="str">
        <f>IF(LEN(N90)&gt;0,TRIM(CONCATENATE("[Official site](",N90,") ",O90)),"")</f>
        <v>[Official site](http://www.missionsanantonio.net/)</v>
      </c>
      <c r="BM90" s="155" t="str">
        <f>IF(LEN(Q90)&gt;0,TRIM(CONCATENATE("["&amp;P90&amp;"](",Q90,") ",R90)),"")</f>
        <v>[California Missions Foundation page](https://californiamissionsfoundation.org/mission-san-antonio/)</v>
      </c>
      <c r="BN90" s="155" t="str">
        <f>IF(LEN(T90)&gt;0,TRIM(CONCATENATE("["&amp;S90&amp;"](",T90,") ",U90)),"")</f>
        <v>[Missions California page](https://www.missionscalifornia.com/missions/san-antonio-de-padua/)</v>
      </c>
      <c r="BO90" s="155" t="str">
        <f>IF(LEN(W90)&gt;0,TRIM(CONCATENATE("["&amp;V90&amp;"](",W90,") ",X90)),"")</f>
        <v/>
      </c>
      <c r="BP90" s="155" t="str">
        <f>IF(LEN(BL90)&gt;0,"* "&amp;BL90&amp;CHAR(10),"")&amp;
IF(LEN(BM90)&gt;0,"* "&amp;BM90&amp;CHAR(10),"")&amp;
IF(LEN(BN90)&gt;0,"* "&amp;BN90&amp;CHAR(10),"")&amp;
IF(LEN(BO90)&gt;0,"* "&amp;BO90&amp;CHAR(10),"")</f>
        <v xml:space="preserve">* [Official site](http://www.missionsanantonio.net/)
* [California Missions Foundation page](https://californiamissionsfoundation.org/mission-san-antonio/)
* [Missions California page](https://www.missionscalifornia.com/missions/san-antonio-de-padua/)
</v>
      </c>
      <c r="BQ90" s="155" t="str">
        <f>IF(LEN(AK90)&gt;0,TRIM(CONCATENATE("[Link](",AK90,") ",AL90)),"")</f>
        <v/>
      </c>
      <c r="BR90" s="155" t="str">
        <f>IF(LEN(AM90)&gt;0,TRIM(CONCATENATE("[Link](",AM90,") ",AN90)),"")</f>
        <v/>
      </c>
      <c r="BS90" s="155" t="str">
        <f>IF(LEN(AO90)&gt;0,TRIM(CONCATENATE("[Link](",AO90,") ",AP90)),"")</f>
        <v/>
      </c>
      <c r="BT90" s="155" t="str">
        <f>IF(LEN(concat(BQ90:BS90))&gt;0,concat("| ",BQ90," | ",BR90," | ",BS90," |"),"")</f>
        <v/>
      </c>
      <c r="BU90" s="155" t="str">
        <f>IF(J90,concatl("| The Real Presence | Miracle Hunter | MaryPages |","| --- | --- | --- |",BT90),"")</f>
        <v/>
      </c>
      <c r="BV90" s="155" t="str">
        <f>IF(LEN(BP90&amp;BU90)&gt;0,concatll("#### More Information",BP90,BU90),"")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90" s="155" t="str">
        <f>IF(LEN(M90)&gt;1,concatll("#### Author's Note",M90),"")</f>
        <v/>
      </c>
      <c r="BX90" s="23" t="str">
        <f>IF(AR90,concatll(concatl("---",AS90:AU90,BK90,"---"),L90,BV90:BW90),"")</f>
        <v xml:space="preserve">---_x000D_
title: "Mission San Antonio de Padua"_x000D_
location: {lat: 36.0153800162529, lng: -121.250314673798}_x000D_
interest: local_x000D_
tags:
- usa
- california_x000D_
- jolon_x000D_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90" s="23" t="str">
        <f>IF(AR90,VLOOKUP(B90,'(Ref) Countries'!A:B,2,)&amp;IF(LEN(C90)&gt;1,"-"&amp;LOWER(SUBSTITUTE(C90," ","-")),"")&amp;"-"&amp;LOWER(SUBSTITUTE(SUBSTITUTE(G90," ","-"),".",""))&amp;".md","")</f>
        <v>us_ca-jolon-mission-san-antonio.md</v>
      </c>
      <c r="BZ90" s="29" t="str">
        <f>IF(LEN(Y90)&gt;1,VLOOKUP(Y90,'Tag List'!$A:$B,2,),"")</f>
        <v>Franciscian Missions in California</v>
      </c>
      <c r="CA90" s="29" t="str">
        <f>IF(LEN(Z90)&gt;1,VLOOKUP(Z90,'Tag List'!$A:$B,2,),"")</f>
        <v>Order of Friars Minor (Fransiscans)</v>
      </c>
      <c r="CB90" s="29" t="str">
        <f>IF(LEN(AA90)&gt;1,VLOOKUP(AA90,'Tag List'!$A:$B,2,),"")</f>
        <v>St. Junipero Serra, OFM</v>
      </c>
      <c r="CC90" s="29" t="str">
        <f>IF(LEN(Y90)&gt;1,GetTagPage(BZ90,Y90),"")</f>
        <v>[Franciscian Missions in California](/tags/california-missions)</v>
      </c>
      <c r="CD90" s="29" t="str">
        <f>IF(LEN(Z90)&gt;1,GetTagPage(CA90,Z90),"")</f>
        <v>[Order of Friars Minor (Fransiscans)](/tags/franciscans)</v>
      </c>
      <c r="CE90" s="29" t="str">
        <f>IF(LEN(AA90)&gt;1,GetTagPage(CB90,AA90),"")</f>
        <v>[St. Junipero Serra, OFM](/tags/junipero-serra)</v>
      </c>
      <c r="CF90" s="29" t="str">
        <f>"|"&amp;IF(LEN(CC90)&gt;1," "&amp;CC90,"")&amp;IF(LEN(CD90)&gt;1,", "&amp;CD90,"")&amp;IF(LEN(CE90)&gt;1,", "&amp;CE90,"")&amp;" "</f>
        <v xml:space="preserve">| [Franciscian Missions in California](/tags/california-missions), [Order of Friars Minor (Fransiscans)](/tags/franciscans), [St. Junipero Serra, OFM](/tags/junipero-serra) </v>
      </c>
      <c r="CG90" s="29" t="str">
        <f>"| "&amp;IF(AR90,"["&amp;AI90&amp;"](/places/"&amp;SUBSTITUTE(BY90,".md","")&amp;")",AI90)&amp;" "</f>
        <v xml:space="preserve">| [](/places/us_ca-jolon-mission-san-antonio) </v>
      </c>
      <c r="CH90" s="29" t="str">
        <f>"| "&amp;IF(AR90,GetTagPage(B90,VLOOKUP(B90,'(Ref) Countries'!A:C,3,)),B90)&amp; " "</f>
        <v xml:space="preserve">| [US California](/tags/usa
- california) </v>
      </c>
      <c r="CI90" s="29" t="str">
        <f>"| "&amp;AJ90&amp;" "</f>
        <v xml:space="preserve">|  </v>
      </c>
      <c r="CJ90" s="29" t="str">
        <f>"|"&amp;IF(AR90," [Link](/places/"&amp;SUBSTITUTE(BY90,".md","")&amp;")","")&amp;" "</f>
        <v xml:space="preserve">| [Link](/places/us_ca-jolon-mission-san-antonio) </v>
      </c>
      <c r="CK90" s="29" t="str">
        <f>"
"&amp;CG90&amp;CH90&amp;CI90&amp;CJ90&amp;BL90&amp;BQ90&amp;BR90&amp;BS90&amp;CF90&amp;"|"</f>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91" spans="1:89" ht="25.5" x14ac:dyDescent="0.25">
      <c r="A91" s="168" t="s">
        <v>1320</v>
      </c>
      <c r="B91" s="24" t="s">
        <v>1903</v>
      </c>
      <c r="C91" s="24" t="s">
        <v>2311</v>
      </c>
      <c r="D91" s="15">
        <v>34.096659673144899</v>
      </c>
      <c r="E91" s="49">
        <v>-118.10684110268799</v>
      </c>
      <c r="F91" s="24" t="s">
        <v>2291</v>
      </c>
      <c r="G91" s="119" t="s">
        <v>2333</v>
      </c>
      <c r="H91" s="24" t="s">
        <v>1825</v>
      </c>
      <c r="I91" s="24" t="b">
        <v>1</v>
      </c>
      <c r="K91" s="24" t="b">
        <v>1</v>
      </c>
      <c r="L91" s="24" t="s">
        <v>2345</v>
      </c>
      <c r="N91" s="15" t="s">
        <v>2363</v>
      </c>
      <c r="O91" s="15" t="s">
        <v>336</v>
      </c>
      <c r="P91" s="60" t="s">
        <v>2380</v>
      </c>
      <c r="Q91" s="15" t="s">
        <v>2384</v>
      </c>
      <c r="R91" s="64" t="s">
        <v>336</v>
      </c>
      <c r="S91" s="60" t="s">
        <v>2402</v>
      </c>
      <c r="T91" s="15" t="s">
        <v>2406</v>
      </c>
      <c r="U91" s="64" t="s">
        <v>336</v>
      </c>
      <c r="Y91" s="15" t="s">
        <v>2433</v>
      </c>
      <c r="Z91" s="15" t="s">
        <v>2427</v>
      </c>
      <c r="AA91" s="15" t="s">
        <v>2426</v>
      </c>
      <c r="AR91" s="154" t="b">
        <f>IF(OR(A91="Done",A91="In Progress"),TRUE)</f>
        <v>1</v>
      </c>
      <c r="AS91" s="155" t="str">
        <f>"title: """&amp;F91&amp;""""</f>
        <v>title: "Mission San Gabriel Arcangel"</v>
      </c>
      <c r="AT91" s="155" t="str">
        <f>"location: {lat: "&amp;D91&amp;", lng: "&amp;E91&amp;"}"</f>
        <v>location: {lat: 34.0966596731449, lng: -118.106841102688}</v>
      </c>
      <c r="AU91" s="155" t="str">
        <f>"interest: "&amp;H91</f>
        <v>interest: local</v>
      </c>
      <c r="AV91" s="155" t="str">
        <f>"- "&amp;VLOOKUP(B91,'(Ref) Countries'!A:C,3,)</f>
        <v>- usa
- california</v>
      </c>
      <c r="AW91" s="155" t="str">
        <f>IF(LEN(C91)&gt;1,"- "&amp;LOWER(SUBSTITUTE(C91," ","-")),"")</f>
        <v>- san-gabriel</v>
      </c>
      <c r="AX91" s="155" t="str">
        <f>IF(I91,"- churches","")</f>
        <v>- churches</v>
      </c>
      <c r="AY91" s="155" t="str">
        <f>IF(J91,"- marian-sites","")</f>
        <v/>
      </c>
      <c r="AZ91" s="155" t="str">
        <f>IF(K91,"- holy-persons","")</f>
        <v>- holy-persons</v>
      </c>
      <c r="BA91" s="155" t="str">
        <f>IF(LEN(Y91)&gt;0,"- "&amp;Y91,"")</f>
        <v>- california-missions</v>
      </c>
      <c r="BB91" s="155" t="str">
        <f>IF(LEN(Z91)&gt;0,"- "&amp;Z91,"")</f>
        <v>- franciscans</v>
      </c>
      <c r="BC91" s="155" t="str">
        <f>IF(LEN(AA91)&gt;0,"- "&amp;AA91,"")</f>
        <v>- junipero-serra</v>
      </c>
      <c r="BD91" s="155" t="str">
        <f>IF(LEN(AB91)&gt;0,"- "&amp;AB91,"")</f>
        <v/>
      </c>
      <c r="BE91" s="155" t="str">
        <f>IF(LEN(AC91)&gt;0,"- "&amp;AC91,"")</f>
        <v/>
      </c>
      <c r="BF91" s="155" t="str">
        <f>IF(LEN(AD91)&gt;0,"- "&amp;AD91,"")</f>
        <v/>
      </c>
      <c r="BG91" s="155" t="str">
        <f>IF(LEN(AE91)&gt;0,"- "&amp;AE91,"")</f>
        <v/>
      </c>
      <c r="BH91" s="155" t="str">
        <f>IF(LEN(AF91)&gt;0,"- "&amp;AF91,"")</f>
        <v/>
      </c>
      <c r="BI91" s="155" t="str">
        <f>IF(LEN(AG91)&gt;0,"- "&amp;AG91,"")</f>
        <v/>
      </c>
      <c r="BJ91" s="155" t="str">
        <f>IF(LEN(AH91)&gt;0,"- "&amp;AH91,"")</f>
        <v/>
      </c>
      <c r="BK91" s="155" t="str">
        <f>"tags:"&amp;CHAR(10)&amp;concatl(AV91:BJ91)</f>
        <v xml:space="preserve">tags:
- usa
- california_x000D_
- san-gabriel_x000D_
- churches_x000D_
- holy-persons_x000D_
- california-missions_x000D_
- franciscans_x000D_
- junipero-serra_x000D_
</v>
      </c>
      <c r="BL91" s="155" t="str">
        <f>IF(LEN(N91)&gt;0,TRIM(CONCATENATE("[Official site](",N91,") ",O91)),"")</f>
        <v>[Official site](http://www.missionsangabriel.org/)</v>
      </c>
      <c r="BM91" s="155" t="str">
        <f>IF(LEN(Q91)&gt;0,TRIM(CONCATENATE("["&amp;P91&amp;"](",Q91,") ",R91)),"")</f>
        <v>[California Missions Foundation page](https://californiamissionsfoundation.org/mission-san-gabriel/)</v>
      </c>
      <c r="BN91" s="155" t="str">
        <f>IF(LEN(T91)&gt;0,TRIM(CONCATENATE("["&amp;S91&amp;"](",T91,") ",U91)),"")</f>
        <v>[Missions California page](https://www.missionscalifornia.com/missions/san-gabriel-arcangel/)</v>
      </c>
      <c r="BO91" s="155" t="str">
        <f>IF(LEN(W91)&gt;0,TRIM(CONCATENATE("["&amp;V91&amp;"](",W91,") ",X91)),"")</f>
        <v/>
      </c>
      <c r="BP91" s="155" t="str">
        <f>IF(LEN(BL91)&gt;0,"* "&amp;BL91&amp;CHAR(10),"")&amp;
IF(LEN(BM91)&gt;0,"* "&amp;BM91&amp;CHAR(10),"")&amp;
IF(LEN(BN91)&gt;0,"* "&amp;BN91&amp;CHAR(10),"")&amp;
IF(LEN(BO91)&gt;0,"* "&amp;BO91&amp;CHAR(10),"")</f>
        <v xml:space="preserve">* [Official site](http://www.missionsangabriel.org/)
* [California Missions Foundation page](https://californiamissionsfoundation.org/mission-san-gabriel/)
* [Missions California page](https://www.missionscalifornia.com/missions/san-gabriel-arcangel/)
</v>
      </c>
      <c r="BQ91" s="155" t="str">
        <f>IF(LEN(AK91)&gt;0,TRIM(CONCATENATE("[Link](",AK91,") ",AL91)),"")</f>
        <v/>
      </c>
      <c r="BR91" s="155" t="str">
        <f>IF(LEN(AM91)&gt;0,TRIM(CONCATENATE("[Link](",AM91,") ",AN91)),"")</f>
        <v/>
      </c>
      <c r="BS91" s="155" t="str">
        <f>IF(LEN(AO91)&gt;0,TRIM(CONCATENATE("[Link](",AO91,") ",AP91)),"")</f>
        <v/>
      </c>
      <c r="BT91" s="155" t="str">
        <f>IF(LEN(concat(BQ91:BS91))&gt;0,concat("| ",BQ91," | ",BR91," | ",BS91," |"),"")</f>
        <v/>
      </c>
      <c r="BU91" s="155" t="str">
        <f>IF(J91,concatl("| The Real Presence | Miracle Hunter | MaryPages |","| --- | --- | --- |",BT91),"")</f>
        <v/>
      </c>
      <c r="BV91" s="155" t="str">
        <f>IF(LEN(BP91&amp;BU91)&gt;0,concatll("#### More Information",BP91,BU91),"")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91" s="155" t="str">
        <f>IF(LEN(M91)&gt;1,concatll("#### Author's Note",M91),"")</f>
        <v/>
      </c>
      <c r="BX91" s="23" t="str">
        <f>IF(AR91,concatll(concatl("---",AS91:AU91,BK91,"---"),L91,BV91:BW91),"")</f>
        <v xml:space="preserve">---_x000D_
title: "Mission San Gabriel Arcangel"_x000D_
location: {lat: 34.0966596731449, lng: -118.106841102688}_x000D_
interest: local_x000D_
tags:
- usa
- california_x000D_
- san-gabriel_x000D_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91" s="23" t="str">
        <f>IF(AR91,VLOOKUP(B91,'(Ref) Countries'!A:B,2,)&amp;IF(LEN(C91)&gt;1,"-"&amp;LOWER(SUBSTITUTE(C91," ","-")),"")&amp;"-"&amp;LOWER(SUBSTITUTE(SUBSTITUTE(G91," ","-"),".",""))&amp;".md","")</f>
        <v>us_ca-san-gabriel-mission-san-gabriel.md</v>
      </c>
      <c r="BZ91" s="29" t="str">
        <f>IF(LEN(Y91)&gt;1,VLOOKUP(Y91,'Tag List'!$A:$B,2,),"")</f>
        <v>Franciscian Missions in California</v>
      </c>
      <c r="CA91" s="29" t="str">
        <f>IF(LEN(Z91)&gt;1,VLOOKUP(Z91,'Tag List'!$A:$B,2,),"")</f>
        <v>Order of Friars Minor (Fransiscans)</v>
      </c>
      <c r="CB91" s="29" t="str">
        <f>IF(LEN(AA91)&gt;1,VLOOKUP(AA91,'Tag List'!$A:$B,2,),"")</f>
        <v>St. Junipero Serra, OFM</v>
      </c>
      <c r="CC91" s="29" t="str">
        <f>IF(LEN(Y91)&gt;1,GetTagPage(BZ91,Y91),"")</f>
        <v>[Franciscian Missions in California](/tags/california-missions)</v>
      </c>
      <c r="CD91" s="29" t="str">
        <f>IF(LEN(Z91)&gt;1,GetTagPage(CA91,Z91),"")</f>
        <v>[Order of Friars Minor (Fransiscans)](/tags/franciscans)</v>
      </c>
      <c r="CE91" s="29" t="str">
        <f>IF(LEN(AA91)&gt;1,GetTagPage(CB91,AA91),"")</f>
        <v>[St. Junipero Serra, OFM](/tags/junipero-serra)</v>
      </c>
      <c r="CF91" s="29" t="str">
        <f>"|"&amp;IF(LEN(CC91)&gt;1," "&amp;CC91,"")&amp;IF(LEN(CD91)&gt;1,", "&amp;CD91,"")&amp;IF(LEN(CE91)&gt;1,", "&amp;CE91,"")&amp;" "</f>
        <v xml:space="preserve">| [Franciscian Missions in California](/tags/california-missions), [Order of Friars Minor (Fransiscans)](/tags/franciscans), [St. Junipero Serra, OFM](/tags/junipero-serra) </v>
      </c>
      <c r="CG91" s="29" t="str">
        <f>"| "&amp;IF(AR91,"["&amp;AI91&amp;"](/places/"&amp;SUBSTITUTE(BY91,".md","")&amp;")",AI91)&amp;" "</f>
        <v xml:space="preserve">| [](/places/us_ca-san-gabriel-mission-san-gabriel) </v>
      </c>
      <c r="CH91" s="29" t="str">
        <f>"| "&amp;IF(AR91,GetTagPage(B91,VLOOKUP(B91,'(Ref) Countries'!A:C,3,)),B91)&amp; " "</f>
        <v xml:space="preserve">| [US California](/tags/usa
- california) </v>
      </c>
      <c r="CI91" s="29" t="str">
        <f>"| "&amp;AJ91&amp;" "</f>
        <v xml:space="preserve">|  </v>
      </c>
      <c r="CJ91" s="29" t="str">
        <f>"|"&amp;IF(AR91," [Link](/places/"&amp;SUBSTITUTE(BY91,".md","")&amp;")","")&amp;" "</f>
        <v xml:space="preserve">| [Link](/places/us_ca-san-gabriel-mission-san-gabriel) </v>
      </c>
      <c r="CK91" s="29" t="str">
        <f>"
"&amp;CG91&amp;CH91&amp;CI91&amp;CJ91&amp;BL91&amp;BQ91&amp;BR91&amp;BS91&amp;CF91&amp;"|"</f>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92" spans="1:89" ht="25.5" x14ac:dyDescent="0.25">
      <c r="A92" s="168" t="s">
        <v>1320</v>
      </c>
      <c r="B92" s="24" t="s">
        <v>1903</v>
      </c>
      <c r="C92" s="24" t="s">
        <v>2312</v>
      </c>
      <c r="D92" s="15">
        <v>35.2809991057781</v>
      </c>
      <c r="E92" s="49">
        <v>-120.664704058475</v>
      </c>
      <c r="F92" s="24" t="s">
        <v>2292</v>
      </c>
      <c r="G92" s="119" t="s">
        <v>2330</v>
      </c>
      <c r="H92" s="24" t="s">
        <v>1825</v>
      </c>
      <c r="I92" s="24" t="b">
        <v>1</v>
      </c>
      <c r="K92" s="24" t="b">
        <v>1</v>
      </c>
      <c r="L92" s="24" t="s">
        <v>2346</v>
      </c>
      <c r="N92" s="15" t="s">
        <v>2364</v>
      </c>
      <c r="O92" s="15" t="s">
        <v>336</v>
      </c>
      <c r="P92" s="60" t="s">
        <v>2380</v>
      </c>
      <c r="Q92" s="15" t="s">
        <v>2385</v>
      </c>
      <c r="R92" s="64" t="s">
        <v>336</v>
      </c>
      <c r="S92" s="60" t="s">
        <v>2402</v>
      </c>
      <c r="T92" s="15" t="s">
        <v>2407</v>
      </c>
      <c r="U92" s="64" t="s">
        <v>336</v>
      </c>
      <c r="Y92" s="15" t="s">
        <v>2433</v>
      </c>
      <c r="Z92" s="15" t="s">
        <v>2427</v>
      </c>
      <c r="AA92" s="15" t="s">
        <v>2426</v>
      </c>
      <c r="AR92" s="154" t="b">
        <f>IF(OR(A92="Done",A92="In Progress"),TRUE)</f>
        <v>1</v>
      </c>
      <c r="AS92" s="155" t="str">
        <f>"title: """&amp;F92&amp;""""</f>
        <v>title: "Mission San Luis Obispo de Tolosa"</v>
      </c>
      <c r="AT92" s="155" t="str">
        <f>"location: {lat: "&amp;D92&amp;", lng: "&amp;E92&amp;"}"</f>
        <v>location: {lat: 35.2809991057781, lng: -120.664704058475}</v>
      </c>
      <c r="AU92" s="155" t="str">
        <f>"interest: "&amp;H92</f>
        <v>interest: local</v>
      </c>
      <c r="AV92" s="155" t="str">
        <f>"- "&amp;VLOOKUP(B92,'(Ref) Countries'!A:C,3,)</f>
        <v>- usa
- california</v>
      </c>
      <c r="AW92" s="155" t="str">
        <f>IF(LEN(C92)&gt;1,"- "&amp;LOWER(SUBSTITUTE(C92," ","-")),"")</f>
        <v>- san-luis-obispo</v>
      </c>
      <c r="AX92" s="155" t="str">
        <f>IF(I92,"- churches","")</f>
        <v>- churches</v>
      </c>
      <c r="AY92" s="155" t="str">
        <f>IF(J92,"- marian-sites","")</f>
        <v/>
      </c>
      <c r="AZ92" s="155" t="str">
        <f>IF(K92,"- holy-persons","")</f>
        <v>- holy-persons</v>
      </c>
      <c r="BA92" s="155" t="str">
        <f>IF(LEN(Y92)&gt;0,"- "&amp;Y92,"")</f>
        <v>- california-missions</v>
      </c>
      <c r="BB92" s="155" t="str">
        <f>IF(LEN(Z92)&gt;0,"- "&amp;Z92,"")</f>
        <v>- franciscans</v>
      </c>
      <c r="BC92" s="155" t="str">
        <f>IF(LEN(AA92)&gt;0,"- "&amp;AA92,"")</f>
        <v>- junipero-serra</v>
      </c>
      <c r="BD92" s="155" t="str">
        <f>IF(LEN(AB92)&gt;0,"- "&amp;AB92,"")</f>
        <v/>
      </c>
      <c r="BE92" s="155" t="str">
        <f>IF(LEN(AC92)&gt;0,"- "&amp;AC92,"")</f>
        <v/>
      </c>
      <c r="BF92" s="155" t="str">
        <f>IF(LEN(AD92)&gt;0,"- "&amp;AD92,"")</f>
        <v/>
      </c>
      <c r="BG92" s="155" t="str">
        <f>IF(LEN(AE92)&gt;0,"- "&amp;AE92,"")</f>
        <v/>
      </c>
      <c r="BH92" s="155" t="str">
        <f>IF(LEN(AF92)&gt;0,"- "&amp;AF92,"")</f>
        <v/>
      </c>
      <c r="BI92" s="155" t="str">
        <f>IF(LEN(AG92)&gt;0,"- "&amp;AG92,"")</f>
        <v/>
      </c>
      <c r="BJ92" s="155" t="str">
        <f>IF(LEN(AH92)&gt;0,"- "&amp;AH92,"")</f>
        <v/>
      </c>
      <c r="BK92" s="155" t="str">
        <f>"tags:"&amp;CHAR(10)&amp;concatl(AV92:BJ92)</f>
        <v xml:space="preserve">tags:
- usa
- california_x000D_
- san-luis-obispo_x000D_
- churches_x000D_
- holy-persons_x000D_
- california-missions_x000D_
- franciscans_x000D_
- junipero-serra_x000D_
</v>
      </c>
      <c r="BL92" s="155" t="str">
        <f>IF(LEN(N92)&gt;0,TRIM(CONCATENATE("[Official site](",N92,") ",O92)),"")</f>
        <v>[Official site](https://www.missionsanluisobispo.org/)</v>
      </c>
      <c r="BM92" s="155" t="str">
        <f>IF(LEN(Q92)&gt;0,TRIM(CONCATENATE("["&amp;P92&amp;"](",Q92,") ",R92)),"")</f>
        <v>[California Missions Foundation page](https://californiamissionsfoundation.org/mission-san-luis-obispo/)</v>
      </c>
      <c r="BN92" s="155" t="str">
        <f>IF(LEN(T92)&gt;0,TRIM(CONCATENATE("["&amp;S92&amp;"](",T92,") ",U92)),"")</f>
        <v>[Missions California page](https://www.missionscalifornia.com/missions/san-luis-obispo-de-tolosa/)</v>
      </c>
      <c r="BO92" s="155" t="str">
        <f>IF(LEN(W92)&gt;0,TRIM(CONCATENATE("["&amp;V92&amp;"](",W92,") ",X92)),"")</f>
        <v/>
      </c>
      <c r="BP92" s="155" t="str">
        <f>IF(LEN(BL92)&gt;0,"* "&amp;BL92&amp;CHAR(10),"")&amp;
IF(LEN(BM92)&gt;0,"* "&amp;BM92&amp;CHAR(10),"")&amp;
IF(LEN(BN92)&gt;0,"* "&amp;BN92&amp;CHAR(10),"")&amp;
IF(LEN(BO92)&gt;0,"* "&amp;BO92&amp;CHAR(10),"")</f>
        <v xml:space="preserve">* [Official site](https://www.missionsanluisobispo.org/)
* [California Missions Foundation page](https://californiamissionsfoundation.org/mission-san-luis-obispo/)
* [Missions California page](https://www.missionscalifornia.com/missions/san-luis-obispo-de-tolosa/)
</v>
      </c>
      <c r="BQ92" s="155" t="str">
        <f>IF(LEN(AK92)&gt;0,TRIM(CONCATENATE("[Link](",AK92,") ",AL92)),"")</f>
        <v/>
      </c>
      <c r="BR92" s="155" t="str">
        <f>IF(LEN(AM92)&gt;0,TRIM(CONCATENATE("[Link](",AM92,") ",AN92)),"")</f>
        <v/>
      </c>
      <c r="BS92" s="155" t="str">
        <f>IF(LEN(AO92)&gt;0,TRIM(CONCATENATE("[Link](",AO92,") ",AP92)),"")</f>
        <v/>
      </c>
      <c r="BT92" s="155" t="str">
        <f>IF(LEN(concat(BQ92:BS92))&gt;0,concat("| ",BQ92," | ",BR92," | ",BS92," |"),"")</f>
        <v/>
      </c>
      <c r="BU92" s="155" t="str">
        <f>IF(J92,concatl("| The Real Presence | Miracle Hunter | MaryPages |","| --- | --- | --- |",BT92),"")</f>
        <v/>
      </c>
      <c r="BV92" s="155" t="str">
        <f>IF(LEN(BP92&amp;BU92)&gt;0,concatll("#### More Information",BP92,BU92),"")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92" s="155" t="str">
        <f>IF(LEN(M92)&gt;1,concatll("#### Author's Note",M92),"")</f>
        <v/>
      </c>
      <c r="BX92" s="23" t="str">
        <f>IF(AR92,concatll(concatl("---",AS92:AU92,BK92,"---"),L92,BV92:BW92),"")</f>
        <v xml:space="preserve">---_x000D_
title: "Mission San Luis Obispo de Tolosa"_x000D_
location: {lat: 35.2809991057781, lng: -120.664704058475}_x000D_
interest: local_x000D_
tags:
- usa
- california_x000D_
- san-luis-obispo_x000D_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92" s="23" t="str">
        <f>IF(AR92,VLOOKUP(B92,'(Ref) Countries'!A:B,2,)&amp;IF(LEN(C92)&gt;1,"-"&amp;LOWER(SUBSTITUTE(C92," ","-")),"")&amp;"-"&amp;LOWER(SUBSTITUTE(SUBSTITUTE(G92," ","-"),".",""))&amp;".md","")</f>
        <v>us_ca-san-luis-obispo-mission-san-luis-obispo.md</v>
      </c>
      <c r="BZ92" s="29" t="str">
        <f>IF(LEN(Y92)&gt;1,VLOOKUP(Y92,'Tag List'!$A:$B,2,),"")</f>
        <v>Franciscian Missions in California</v>
      </c>
      <c r="CA92" s="29" t="str">
        <f>IF(LEN(Z92)&gt;1,VLOOKUP(Z92,'Tag List'!$A:$B,2,),"")</f>
        <v>Order of Friars Minor (Fransiscans)</v>
      </c>
      <c r="CB92" s="29" t="str">
        <f>IF(LEN(AA92)&gt;1,VLOOKUP(AA92,'Tag List'!$A:$B,2,),"")</f>
        <v>St. Junipero Serra, OFM</v>
      </c>
      <c r="CC92" s="29" t="str">
        <f>IF(LEN(Y92)&gt;1,GetTagPage(BZ92,Y92),"")</f>
        <v>[Franciscian Missions in California](/tags/california-missions)</v>
      </c>
      <c r="CD92" s="29" t="str">
        <f>IF(LEN(Z92)&gt;1,GetTagPage(CA92,Z92),"")</f>
        <v>[Order of Friars Minor (Fransiscans)](/tags/franciscans)</v>
      </c>
      <c r="CE92" s="29" t="str">
        <f>IF(LEN(AA92)&gt;1,GetTagPage(CB92,AA92),"")</f>
        <v>[St. Junipero Serra, OFM](/tags/junipero-serra)</v>
      </c>
      <c r="CF92" s="29" t="str">
        <f>"|"&amp;IF(LEN(CC92)&gt;1," "&amp;CC92,"")&amp;IF(LEN(CD92)&gt;1,", "&amp;CD92,"")&amp;IF(LEN(CE92)&gt;1,", "&amp;CE92,"")&amp;" "</f>
        <v xml:space="preserve">| [Franciscian Missions in California](/tags/california-missions), [Order of Friars Minor (Fransiscans)](/tags/franciscans), [St. Junipero Serra, OFM](/tags/junipero-serra) </v>
      </c>
      <c r="CG92" s="29" t="str">
        <f>"| "&amp;IF(AR92,"["&amp;AI92&amp;"](/places/"&amp;SUBSTITUTE(BY92,".md","")&amp;")",AI92)&amp;" "</f>
        <v xml:space="preserve">| [](/places/us_ca-san-luis-obispo-mission-san-luis-obispo) </v>
      </c>
      <c r="CH92" s="29" t="str">
        <f>"| "&amp;IF(AR92,GetTagPage(B92,VLOOKUP(B92,'(Ref) Countries'!A:C,3,)),B92)&amp; " "</f>
        <v xml:space="preserve">| [US California](/tags/usa
- california) </v>
      </c>
      <c r="CI92" s="29" t="str">
        <f>"| "&amp;AJ92&amp;" "</f>
        <v xml:space="preserve">|  </v>
      </c>
      <c r="CJ92" s="29" t="str">
        <f>"|"&amp;IF(AR92," [Link](/places/"&amp;SUBSTITUTE(BY92,".md","")&amp;")","")&amp;" "</f>
        <v xml:space="preserve">| [Link](/places/us_ca-san-luis-obispo-mission-san-luis-obispo) </v>
      </c>
      <c r="CK92" s="29" t="str">
        <f>"
"&amp;CG92&amp;CH92&amp;CI92&amp;CJ92&amp;BL92&amp;BQ92&amp;BR92&amp;BS92&amp;CF92&amp;"|"</f>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93" spans="1:89" ht="25.5" x14ac:dyDescent="0.25">
      <c r="A93" s="168" t="s">
        <v>1320</v>
      </c>
      <c r="B93" s="24" t="s">
        <v>1903</v>
      </c>
      <c r="C93" s="24" t="s">
        <v>2313</v>
      </c>
      <c r="D93" s="15">
        <v>37.7643787904628</v>
      </c>
      <c r="E93" s="49">
        <v>-122.426918360256</v>
      </c>
      <c r="F93" s="24" t="s">
        <v>2293</v>
      </c>
      <c r="G93" s="119" t="s">
        <v>2340</v>
      </c>
      <c r="H93" s="24" t="s">
        <v>1825</v>
      </c>
      <c r="I93" s="24" t="b">
        <v>1</v>
      </c>
      <c r="K93" s="24" t="b">
        <v>1</v>
      </c>
      <c r="L93" s="24" t="s">
        <v>2347</v>
      </c>
      <c r="N93" s="15" t="s">
        <v>2365</v>
      </c>
      <c r="O93" s="15" t="s">
        <v>336</v>
      </c>
      <c r="P93" s="60" t="s">
        <v>2380</v>
      </c>
      <c r="Q93" s="15" t="s">
        <v>2386</v>
      </c>
      <c r="R93" s="64" t="s">
        <v>336</v>
      </c>
      <c r="S93" s="60" t="s">
        <v>2402</v>
      </c>
      <c r="T93" s="15" t="s">
        <v>2408</v>
      </c>
      <c r="U93" s="64" t="s">
        <v>336</v>
      </c>
      <c r="Y93" s="15" t="s">
        <v>2433</v>
      </c>
      <c r="Z93" s="15" t="s">
        <v>2427</v>
      </c>
      <c r="AA93" s="15" t="s">
        <v>2426</v>
      </c>
      <c r="AR93" s="154" t="b">
        <f>IF(OR(A93="Done",A93="In Progress"),TRUE)</f>
        <v>1</v>
      </c>
      <c r="AS93" s="155" t="str">
        <f>"title: """&amp;F93&amp;""""</f>
        <v>title: "Mission San Francisco de Asis (Mission Dolores)"</v>
      </c>
      <c r="AT93" s="155" t="str">
        <f>"location: {lat: "&amp;D93&amp;", lng: "&amp;E93&amp;"}"</f>
        <v>location: {lat: 37.7643787904628, lng: -122.426918360256}</v>
      </c>
      <c r="AU93" s="155" t="str">
        <f>"interest: "&amp;H93</f>
        <v>interest: local</v>
      </c>
      <c r="AV93" s="155" t="str">
        <f>"- "&amp;VLOOKUP(B93,'(Ref) Countries'!A:C,3,)</f>
        <v>- usa
- california</v>
      </c>
      <c r="AW93" s="155" t="str">
        <f>IF(LEN(C93)&gt;1,"- "&amp;LOWER(SUBSTITUTE(C93," ","-")),"")</f>
        <v>- san-francisco</v>
      </c>
      <c r="AX93" s="155" t="str">
        <f>IF(I93,"- churches","")</f>
        <v>- churches</v>
      </c>
      <c r="AY93" s="155" t="str">
        <f>IF(J93,"- marian-sites","")</f>
        <v/>
      </c>
      <c r="AZ93" s="155" t="str">
        <f>IF(K93,"- holy-persons","")</f>
        <v>- holy-persons</v>
      </c>
      <c r="BA93" s="155" t="str">
        <f>IF(LEN(Y93)&gt;0,"- "&amp;Y93,"")</f>
        <v>- california-missions</v>
      </c>
      <c r="BB93" s="155" t="str">
        <f>IF(LEN(Z93)&gt;0,"- "&amp;Z93,"")</f>
        <v>- franciscans</v>
      </c>
      <c r="BC93" s="155" t="str">
        <f>IF(LEN(AA93)&gt;0,"- "&amp;AA93,"")</f>
        <v>- junipero-serra</v>
      </c>
      <c r="BD93" s="155" t="str">
        <f>IF(LEN(AB93)&gt;0,"- "&amp;AB93,"")</f>
        <v/>
      </c>
      <c r="BE93" s="155" t="str">
        <f>IF(LEN(AC93)&gt;0,"- "&amp;AC93,"")</f>
        <v/>
      </c>
      <c r="BF93" s="155" t="str">
        <f>IF(LEN(AD93)&gt;0,"- "&amp;AD93,"")</f>
        <v/>
      </c>
      <c r="BG93" s="155" t="str">
        <f>IF(LEN(AE93)&gt;0,"- "&amp;AE93,"")</f>
        <v/>
      </c>
      <c r="BH93" s="155" t="str">
        <f>IF(LEN(AF93)&gt;0,"- "&amp;AF93,"")</f>
        <v/>
      </c>
      <c r="BI93" s="155" t="str">
        <f>IF(LEN(AG93)&gt;0,"- "&amp;AG93,"")</f>
        <v/>
      </c>
      <c r="BJ93" s="155" t="str">
        <f>IF(LEN(AH93)&gt;0,"- "&amp;AH93,"")</f>
        <v/>
      </c>
      <c r="BK93" s="155" t="str">
        <f>"tags:"&amp;CHAR(10)&amp;concatl(AV93:BJ93)</f>
        <v xml:space="preserve">tags:
- usa
- california_x000D_
- san-francisco_x000D_
- churches_x000D_
- holy-persons_x000D_
- california-missions_x000D_
- franciscans_x000D_
- junipero-serra_x000D_
</v>
      </c>
      <c r="BL93" s="155" t="str">
        <f>IF(LEN(N93)&gt;0,TRIM(CONCATENATE("[Official site](",N93,") ",O93)),"")</f>
        <v>[Official site](https://www.missiondolores.org/old-mission)</v>
      </c>
      <c r="BM93" s="155" t="str">
        <f>IF(LEN(Q93)&gt;0,TRIM(CONCATENATE("["&amp;P93&amp;"](",Q93,") ",R93)),"")</f>
        <v>[California Missions Foundation page](https://californiamissionsfoundation.org/mission-san-francisco-de-asis/)</v>
      </c>
      <c r="BN93" s="155" t="str">
        <f>IF(LEN(T93)&gt;0,TRIM(CONCATENATE("["&amp;S93&amp;"](",T93,") ",U93)),"")</f>
        <v>[Missions California page](https://www.missionscalifornia.com/missions/san-francisco-de-asis/)</v>
      </c>
      <c r="BO93" s="155" t="str">
        <f>IF(LEN(W93)&gt;0,TRIM(CONCATENATE("["&amp;V93&amp;"](",W93,") ",X93)),"")</f>
        <v/>
      </c>
      <c r="BP93" s="155" t="str">
        <f>IF(LEN(BL93)&gt;0,"* "&amp;BL93&amp;CHAR(10),"")&amp;
IF(LEN(BM93)&gt;0,"* "&amp;BM93&amp;CHAR(10),"")&amp;
IF(LEN(BN93)&gt;0,"* "&amp;BN93&amp;CHAR(10),"")&amp;
IF(LEN(BO93)&gt;0,"* "&amp;BO93&amp;CHAR(10),"")</f>
        <v xml:space="preserve">* [Official site](https://www.missiondolores.org/old-mission)
* [California Missions Foundation page](https://californiamissionsfoundation.org/mission-san-francisco-de-asis/)
* [Missions California page](https://www.missionscalifornia.com/missions/san-francisco-de-asis/)
</v>
      </c>
      <c r="BQ93" s="155" t="str">
        <f>IF(LEN(AK93)&gt;0,TRIM(CONCATENATE("[Link](",AK93,") ",AL93)),"")</f>
        <v/>
      </c>
      <c r="BR93" s="155" t="str">
        <f>IF(LEN(AM93)&gt;0,TRIM(CONCATENATE("[Link](",AM93,") ",AN93)),"")</f>
        <v/>
      </c>
      <c r="BS93" s="155" t="str">
        <f>IF(LEN(AO93)&gt;0,TRIM(CONCATENATE("[Link](",AO93,") ",AP93)),"")</f>
        <v/>
      </c>
      <c r="BT93" s="155" t="str">
        <f>IF(LEN(concat(BQ93:BS93))&gt;0,concat("| ",BQ93," | ",BR93," | ",BS93," |"),"")</f>
        <v/>
      </c>
      <c r="BU93" s="155" t="str">
        <f>IF(J93,concatl("| The Real Presence | Miracle Hunter | MaryPages |","| --- | --- | --- |",BT93),"")</f>
        <v/>
      </c>
      <c r="BV93" s="155" t="str">
        <f>IF(LEN(BP93&amp;BU93)&gt;0,concatll("#### More Information",BP93,BU93),"")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93" s="155" t="str">
        <f>IF(LEN(M93)&gt;1,concatll("#### Author's Note",M93),"")</f>
        <v/>
      </c>
      <c r="BX93" s="23" t="str">
        <f>IF(AR93,concatll(concatl("---",AS93:AU93,BK93,"---"),L93,BV93:BW93),"")</f>
        <v xml:space="preserve">---_x000D_
title: "Mission San Francisco de Asis (Mission Dolores)"_x000D_
location: {lat: 37.7643787904628, lng: -122.426918360256}_x000D_
interest: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93" s="23" t="str">
        <f>IF(AR93,VLOOKUP(B93,'(Ref) Countries'!A:B,2,)&amp;IF(LEN(C93)&gt;1,"-"&amp;LOWER(SUBSTITUTE(C93," ","-")),"")&amp;"-"&amp;LOWER(SUBSTITUTE(SUBSTITUTE(G93," ","-"),".",""))&amp;".md","")</f>
        <v>us_ca-san-francisco-mission-dolores.md</v>
      </c>
      <c r="BZ93" s="29" t="str">
        <f>IF(LEN(Y93)&gt;1,VLOOKUP(Y93,'Tag List'!$A:$B,2,),"")</f>
        <v>Franciscian Missions in California</v>
      </c>
      <c r="CA93" s="29" t="str">
        <f>IF(LEN(Z93)&gt;1,VLOOKUP(Z93,'Tag List'!$A:$B,2,),"")</f>
        <v>Order of Friars Minor (Fransiscans)</v>
      </c>
      <c r="CB93" s="29" t="str">
        <f>IF(LEN(AA93)&gt;1,VLOOKUP(AA93,'Tag List'!$A:$B,2,),"")</f>
        <v>St. Junipero Serra, OFM</v>
      </c>
      <c r="CC93" s="29" t="str">
        <f>IF(LEN(Y93)&gt;1,GetTagPage(BZ93,Y93),"")</f>
        <v>[Franciscian Missions in California](/tags/california-missions)</v>
      </c>
      <c r="CD93" s="29" t="str">
        <f>IF(LEN(Z93)&gt;1,GetTagPage(CA93,Z93),"")</f>
        <v>[Order of Friars Minor (Fransiscans)](/tags/franciscans)</v>
      </c>
      <c r="CE93" s="29" t="str">
        <f>IF(LEN(AA93)&gt;1,GetTagPage(CB93,AA93),"")</f>
        <v>[St. Junipero Serra, OFM](/tags/junipero-serra)</v>
      </c>
      <c r="CF93" s="29" t="str">
        <f>"|"&amp;IF(LEN(CC93)&gt;1," "&amp;CC93,"")&amp;IF(LEN(CD93)&gt;1,", "&amp;CD93,"")&amp;IF(LEN(CE93)&gt;1,", "&amp;CE93,"")&amp;" "</f>
        <v xml:space="preserve">| [Franciscian Missions in California](/tags/california-missions), [Order of Friars Minor (Fransiscans)](/tags/franciscans), [St. Junipero Serra, OFM](/tags/junipero-serra) </v>
      </c>
      <c r="CG93" s="29" t="str">
        <f>"| "&amp;IF(AR93,"["&amp;AI93&amp;"](/places/"&amp;SUBSTITUTE(BY93,".md","")&amp;")",AI93)&amp;" "</f>
        <v xml:space="preserve">| [](/places/us_ca-san-francisco-mission-dolores) </v>
      </c>
      <c r="CH93" s="29" t="str">
        <f>"| "&amp;IF(AR93,GetTagPage(B93,VLOOKUP(B93,'(Ref) Countries'!A:C,3,)),B93)&amp; " "</f>
        <v xml:space="preserve">| [US California](/tags/usa
- california) </v>
      </c>
      <c r="CI93" s="29" t="str">
        <f>"| "&amp;AJ93&amp;" "</f>
        <v xml:space="preserve">|  </v>
      </c>
      <c r="CJ93" s="29" t="str">
        <f>"|"&amp;IF(AR93," [Link](/places/"&amp;SUBSTITUTE(BY93,".md","")&amp;")","")&amp;" "</f>
        <v xml:space="preserve">| [Link](/places/us_ca-san-francisco-mission-dolores) </v>
      </c>
      <c r="CK93" s="29" t="str">
        <f>"
"&amp;CG93&amp;CH93&amp;CI93&amp;CJ93&amp;BL93&amp;BQ93&amp;BR93&amp;BS93&amp;CF93&amp;"|"</f>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94" spans="1:89" ht="25.5" x14ac:dyDescent="0.25">
      <c r="A94" s="168" t="s">
        <v>1320</v>
      </c>
      <c r="B94" s="24" t="s">
        <v>1903</v>
      </c>
      <c r="C94" s="24" t="s">
        <v>2314</v>
      </c>
      <c r="D94" s="15">
        <v>33.502028266204697</v>
      </c>
      <c r="E94" s="49">
        <v>-117.662690902704</v>
      </c>
      <c r="F94" s="24" t="s">
        <v>2294</v>
      </c>
      <c r="G94" s="53" t="s">
        <v>2294</v>
      </c>
      <c r="H94" s="24" t="s">
        <v>1825</v>
      </c>
      <c r="I94" s="24" t="b">
        <v>1</v>
      </c>
      <c r="K94" s="24" t="b">
        <v>1</v>
      </c>
      <c r="L94" s="24" t="s">
        <v>2348</v>
      </c>
      <c r="N94" s="15" t="s">
        <v>2366</v>
      </c>
      <c r="O94" s="15" t="s">
        <v>336</v>
      </c>
      <c r="P94" s="60" t="s">
        <v>2380</v>
      </c>
      <c r="Q94" s="15" t="s">
        <v>2387</v>
      </c>
      <c r="R94" s="64" t="s">
        <v>336</v>
      </c>
      <c r="S94" s="60" t="s">
        <v>2402</v>
      </c>
      <c r="T94" s="15" t="s">
        <v>2409</v>
      </c>
      <c r="U94" s="64" t="s">
        <v>336</v>
      </c>
      <c r="Y94" s="15" t="s">
        <v>2433</v>
      </c>
      <c r="Z94" s="15" t="s">
        <v>2427</v>
      </c>
      <c r="AA94" s="15" t="s">
        <v>2426</v>
      </c>
      <c r="AR94" s="154" t="b">
        <f>IF(OR(A94="Done",A94="In Progress"),TRUE)</f>
        <v>1</v>
      </c>
      <c r="AS94" s="155" t="str">
        <f>"title: """&amp;F94&amp;""""</f>
        <v>title: "Mission San Juan Capistrano"</v>
      </c>
      <c r="AT94" s="155" t="str">
        <f>"location: {lat: "&amp;D94&amp;", lng: "&amp;E94&amp;"}"</f>
        <v>location: {lat: 33.5020282662047, lng: -117.662690902704}</v>
      </c>
      <c r="AU94" s="155" t="str">
        <f>"interest: "&amp;H94</f>
        <v>interest: local</v>
      </c>
      <c r="AV94" s="155" t="str">
        <f>"- "&amp;VLOOKUP(B94,'(Ref) Countries'!A:C,3,)</f>
        <v>- usa
- california</v>
      </c>
      <c r="AW94" s="155" t="str">
        <f>IF(LEN(C94)&gt;1,"- "&amp;LOWER(SUBSTITUTE(C94," ","-")),"")</f>
        <v>- san-juan-capistrano</v>
      </c>
      <c r="AX94" s="155" t="str">
        <f>IF(I94,"- churches","")</f>
        <v>- churches</v>
      </c>
      <c r="AY94" s="155" t="str">
        <f>IF(J94,"- marian-sites","")</f>
        <v/>
      </c>
      <c r="AZ94" s="155" t="str">
        <f>IF(K94,"- holy-persons","")</f>
        <v>- holy-persons</v>
      </c>
      <c r="BA94" s="155" t="str">
        <f>IF(LEN(Y94)&gt;0,"- "&amp;Y94,"")</f>
        <v>- california-missions</v>
      </c>
      <c r="BB94" s="155" t="str">
        <f>IF(LEN(Z94)&gt;0,"- "&amp;Z94,"")</f>
        <v>- franciscans</v>
      </c>
      <c r="BC94" s="155" t="str">
        <f>IF(LEN(AA94)&gt;0,"- "&amp;AA94,"")</f>
        <v>- junipero-serra</v>
      </c>
      <c r="BD94" s="155" t="str">
        <f>IF(LEN(AB94)&gt;0,"- "&amp;AB94,"")</f>
        <v/>
      </c>
      <c r="BE94" s="155" t="str">
        <f>IF(LEN(AC94)&gt;0,"- "&amp;AC94,"")</f>
        <v/>
      </c>
      <c r="BF94" s="155" t="str">
        <f>IF(LEN(AD94)&gt;0,"- "&amp;AD94,"")</f>
        <v/>
      </c>
      <c r="BG94" s="155" t="str">
        <f>IF(LEN(AE94)&gt;0,"- "&amp;AE94,"")</f>
        <v/>
      </c>
      <c r="BH94" s="155" t="str">
        <f>IF(LEN(AF94)&gt;0,"- "&amp;AF94,"")</f>
        <v/>
      </c>
      <c r="BI94" s="155" t="str">
        <f>IF(LEN(AG94)&gt;0,"- "&amp;AG94,"")</f>
        <v/>
      </c>
      <c r="BJ94" s="155" t="str">
        <f>IF(LEN(AH94)&gt;0,"- "&amp;AH94,"")</f>
        <v/>
      </c>
      <c r="BK94" s="155" t="str">
        <f>"tags:"&amp;CHAR(10)&amp;concatl(AV94:BJ94)</f>
        <v xml:space="preserve">tags:
- usa
- california_x000D_
- san-juan-capistrano_x000D_
- churches_x000D_
- holy-persons_x000D_
- california-missions_x000D_
- franciscans_x000D_
- junipero-serra_x000D_
</v>
      </c>
      <c r="BL94" s="155" t="str">
        <f>IF(LEN(N94)&gt;0,TRIM(CONCATENATE("[Official site](",N94,") ",O94)),"")</f>
        <v>[Official site](http://www.missionsjc.com/)</v>
      </c>
      <c r="BM94" s="155" t="str">
        <f>IF(LEN(Q94)&gt;0,TRIM(CONCATENATE("["&amp;P94&amp;"](",Q94,") ",R94)),"")</f>
        <v>[California Missions Foundation page](https://californiamissionsfoundation.org/mission-san-juan-capistrano/)</v>
      </c>
      <c r="BN94" s="155" t="str">
        <f>IF(LEN(T94)&gt;0,TRIM(CONCATENATE("["&amp;S94&amp;"](",T94,") ",U94)),"")</f>
        <v>[Missions California page](https://www.missionscalifornia.com/missions/san-juan-capistrano/)</v>
      </c>
      <c r="BO94" s="155" t="str">
        <f>IF(LEN(W94)&gt;0,TRIM(CONCATENATE("["&amp;V94&amp;"](",W94,") ",X94)),"")</f>
        <v/>
      </c>
      <c r="BP94" s="155" t="str">
        <f>IF(LEN(BL94)&gt;0,"* "&amp;BL94&amp;CHAR(10),"")&amp;
IF(LEN(BM94)&gt;0,"* "&amp;BM94&amp;CHAR(10),"")&amp;
IF(LEN(BN94)&gt;0,"* "&amp;BN94&amp;CHAR(10),"")&amp;
IF(LEN(BO94)&gt;0,"* "&amp;BO94&amp;CHAR(10),"")</f>
        <v xml:space="preserve">* [Official site](http://www.missionsjc.com/)
* [California Missions Foundation page](https://californiamissionsfoundation.org/mission-san-juan-capistrano/)
* [Missions California page](https://www.missionscalifornia.com/missions/san-juan-capistrano/)
</v>
      </c>
      <c r="BQ94" s="155" t="str">
        <f>IF(LEN(AK94)&gt;0,TRIM(CONCATENATE("[Link](",AK94,") ",AL94)),"")</f>
        <v/>
      </c>
      <c r="BR94" s="155" t="str">
        <f>IF(LEN(AM94)&gt;0,TRIM(CONCATENATE("[Link](",AM94,") ",AN94)),"")</f>
        <v/>
      </c>
      <c r="BS94" s="155" t="str">
        <f>IF(LEN(AO94)&gt;0,TRIM(CONCATENATE("[Link](",AO94,") ",AP94)),"")</f>
        <v/>
      </c>
      <c r="BT94" s="155" t="str">
        <f>IF(LEN(concat(BQ94:BS94))&gt;0,concat("| ",BQ94," | ",BR94," | ",BS94," |"),"")</f>
        <v/>
      </c>
      <c r="BU94" s="155" t="str">
        <f>IF(J94,concatl("| The Real Presence | Miracle Hunter | MaryPages |","| --- | --- | --- |",BT94),"")</f>
        <v/>
      </c>
      <c r="BV94" s="155" t="str">
        <f>IF(LEN(BP94&amp;BU94)&gt;0,concatll("#### More Information",BP94,BU94),"")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94" s="155" t="str">
        <f>IF(LEN(M94)&gt;1,concatll("#### Author's Note",M94),"")</f>
        <v/>
      </c>
      <c r="BX94" s="23" t="str">
        <f>IF(AR94,concatll(concatl("---",AS94:AU94,BK94,"---"),L94,BV94:BW94),"")</f>
        <v xml:space="preserve">---_x000D_
title: "Mission San Juan Capistrano"_x000D_
location: {lat: 33.5020282662047, lng: -117.662690902704}_x000D_
interest: local_x000D_
tags:
- usa
- california_x000D_
- san-juan-capistrano_x000D_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94" s="23" t="str">
        <f>IF(AR94,VLOOKUP(B94,'(Ref) Countries'!A:B,2,)&amp;IF(LEN(C94)&gt;1,"-"&amp;LOWER(SUBSTITUTE(C94," ","-")),"")&amp;"-"&amp;LOWER(SUBSTITUTE(SUBSTITUTE(G94," ","-"),".",""))&amp;".md","")</f>
        <v>us_ca-san-juan-capistrano-mission-san-juan-capistrano.md</v>
      </c>
      <c r="BZ94" s="29" t="str">
        <f>IF(LEN(Y94)&gt;1,VLOOKUP(Y94,'Tag List'!$A:$B,2,),"")</f>
        <v>Franciscian Missions in California</v>
      </c>
      <c r="CA94" s="29" t="str">
        <f>IF(LEN(Z94)&gt;1,VLOOKUP(Z94,'Tag List'!$A:$B,2,),"")</f>
        <v>Order of Friars Minor (Fransiscans)</v>
      </c>
      <c r="CB94" s="29" t="str">
        <f>IF(LEN(AA94)&gt;1,VLOOKUP(AA94,'Tag List'!$A:$B,2,),"")</f>
        <v>St. Junipero Serra, OFM</v>
      </c>
      <c r="CC94" s="29" t="str">
        <f>IF(LEN(Y94)&gt;1,GetTagPage(BZ94,Y94),"")</f>
        <v>[Franciscian Missions in California](/tags/california-missions)</v>
      </c>
      <c r="CD94" s="29" t="str">
        <f>IF(LEN(Z94)&gt;1,GetTagPage(CA94,Z94),"")</f>
        <v>[Order of Friars Minor (Fransiscans)](/tags/franciscans)</v>
      </c>
      <c r="CE94" s="29" t="str">
        <f>IF(LEN(AA94)&gt;1,GetTagPage(CB94,AA94),"")</f>
        <v>[St. Junipero Serra, OFM](/tags/junipero-serra)</v>
      </c>
      <c r="CF94" s="29" t="str">
        <f>"|"&amp;IF(LEN(CC94)&gt;1," "&amp;CC94,"")&amp;IF(LEN(CD94)&gt;1,", "&amp;CD94,"")&amp;IF(LEN(CE94)&gt;1,", "&amp;CE94,"")&amp;" "</f>
        <v xml:space="preserve">| [Franciscian Missions in California](/tags/california-missions), [Order of Friars Minor (Fransiscans)](/tags/franciscans), [St. Junipero Serra, OFM](/tags/junipero-serra) </v>
      </c>
      <c r="CG94" s="29" t="str">
        <f>"| "&amp;IF(AR94,"["&amp;AI94&amp;"](/places/"&amp;SUBSTITUTE(BY94,".md","")&amp;")",AI94)&amp;" "</f>
        <v xml:space="preserve">| [](/places/us_ca-san-juan-capistrano-mission-san-juan-capistrano) </v>
      </c>
      <c r="CH94" s="29" t="str">
        <f>"| "&amp;IF(AR94,GetTagPage(B94,VLOOKUP(B94,'(Ref) Countries'!A:C,3,)),B94)&amp; " "</f>
        <v xml:space="preserve">| [US California](/tags/usa
- california) </v>
      </c>
      <c r="CI94" s="29" t="str">
        <f>"| "&amp;AJ94&amp;" "</f>
        <v xml:space="preserve">|  </v>
      </c>
      <c r="CJ94" s="29" t="str">
        <f>"|"&amp;IF(AR94," [Link](/places/"&amp;SUBSTITUTE(BY94,".md","")&amp;")","")&amp;" "</f>
        <v xml:space="preserve">| [Link](/places/us_ca-san-juan-capistrano-mission-san-juan-capistrano) </v>
      </c>
      <c r="CK94" s="29" t="str">
        <f>"
"&amp;CG94&amp;CH94&amp;CI94&amp;CJ94&amp;BL94&amp;BQ94&amp;BR94&amp;BS94&amp;CF94&amp;"|"</f>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95" spans="1:89" ht="25.5" x14ac:dyDescent="0.25">
      <c r="A95" s="168" t="s">
        <v>1320</v>
      </c>
      <c r="B95" s="24" t="s">
        <v>1903</v>
      </c>
      <c r="C95" s="24" t="s">
        <v>2315</v>
      </c>
      <c r="D95" s="15">
        <v>37.349189285345602</v>
      </c>
      <c r="E95" s="49">
        <v>-121.941511544924</v>
      </c>
      <c r="F95" s="24" t="s">
        <v>2295</v>
      </c>
      <c r="G95" s="119" t="s">
        <v>2335</v>
      </c>
      <c r="H95" s="24" t="s">
        <v>1825</v>
      </c>
      <c r="I95" s="24" t="b">
        <v>1</v>
      </c>
      <c r="K95" s="24" t="b">
        <v>1</v>
      </c>
      <c r="L95" s="24" t="s">
        <v>2349</v>
      </c>
      <c r="N95" s="15" t="s">
        <v>2367</v>
      </c>
      <c r="O95" s="15" t="s">
        <v>336</v>
      </c>
      <c r="P95" s="60" t="s">
        <v>2380</v>
      </c>
      <c r="Q95" s="15" t="s">
        <v>2388</v>
      </c>
      <c r="R95" s="64" t="s">
        <v>336</v>
      </c>
      <c r="S95" s="60" t="s">
        <v>2402</v>
      </c>
      <c r="T95" s="15" t="s">
        <v>2410</v>
      </c>
      <c r="U95" s="64" t="s">
        <v>336</v>
      </c>
      <c r="Y95" s="15" t="s">
        <v>2433</v>
      </c>
      <c r="Z95" s="15" t="s">
        <v>2427</v>
      </c>
      <c r="AA95" s="117" t="s">
        <v>2426</v>
      </c>
      <c r="AB95" s="15" t="s">
        <v>2424</v>
      </c>
      <c r="AR95" s="154" t="b">
        <f>IF(OR(A95="Done",A95="In Progress"),TRUE)</f>
        <v>1</v>
      </c>
      <c r="AS95" s="155" t="str">
        <f>"title: """&amp;F95&amp;""""</f>
        <v>title: "Mission Santa Clara de Asis"</v>
      </c>
      <c r="AT95" s="155" t="str">
        <f>"location: {lat: "&amp;D95&amp;", lng: "&amp;E95&amp;"}"</f>
        <v>location: {lat: 37.3491892853456, lng: -121.941511544924}</v>
      </c>
      <c r="AU95" s="155" t="str">
        <f>"interest: "&amp;H95</f>
        <v>interest: local</v>
      </c>
      <c r="AV95" s="155" t="str">
        <f>"- "&amp;VLOOKUP(B95,'(Ref) Countries'!A:C,3,)</f>
        <v>- usa
- california</v>
      </c>
      <c r="AW95" s="155" t="str">
        <f>IF(LEN(C95)&gt;1,"- "&amp;LOWER(SUBSTITUTE(C95," ","-")),"")</f>
        <v>- santa-clara</v>
      </c>
      <c r="AX95" s="155" t="str">
        <f>IF(I95,"- churches","")</f>
        <v>- churches</v>
      </c>
      <c r="AY95" s="155" t="str">
        <f>IF(J95,"- marian-sites","")</f>
        <v/>
      </c>
      <c r="AZ95" s="155" t="str">
        <f>IF(K95,"- holy-persons","")</f>
        <v>- holy-persons</v>
      </c>
      <c r="BA95" s="155" t="str">
        <f>IF(LEN(Y95)&gt;0,"- "&amp;Y95,"")</f>
        <v>- california-missions</v>
      </c>
      <c r="BB95" s="155" t="str">
        <f>IF(LEN(Z95)&gt;0,"- "&amp;Z95,"")</f>
        <v>- franciscans</v>
      </c>
      <c r="BC95" s="155" t="str">
        <f>IF(LEN(AA95)&gt;0,"- "&amp;AA95,"")</f>
        <v>- junipero-serra</v>
      </c>
      <c r="BD95" s="155" t="str">
        <f>IF(LEN(AB95)&gt;0,"- "&amp;AB95,"")</f>
        <v>- schools</v>
      </c>
      <c r="BE95" s="155" t="str">
        <f>IF(LEN(AC95)&gt;0,"- "&amp;AC95,"")</f>
        <v/>
      </c>
      <c r="BF95" s="155" t="str">
        <f>IF(LEN(AD95)&gt;0,"- "&amp;AD95,"")</f>
        <v/>
      </c>
      <c r="BG95" s="155" t="str">
        <f>IF(LEN(AE95)&gt;0,"- "&amp;AE95,"")</f>
        <v/>
      </c>
      <c r="BH95" s="155" t="str">
        <f>IF(LEN(AF95)&gt;0,"- "&amp;AF95,"")</f>
        <v/>
      </c>
      <c r="BI95" s="155" t="str">
        <f>IF(LEN(AG95)&gt;0,"- "&amp;AG95,"")</f>
        <v/>
      </c>
      <c r="BJ95" s="155" t="str">
        <f>IF(LEN(AH95)&gt;0,"- "&amp;AH95,"")</f>
        <v/>
      </c>
      <c r="BK95" s="155" t="str">
        <f>"tags:"&amp;CHAR(10)&amp;concatl(AV95:BJ95)</f>
        <v xml:space="preserve">tags:
- usa
- california_x000D_
- santa-clara_x000D_
- churches_x000D_
- holy-persons_x000D_
- california-missions_x000D_
- franciscans_x000D_
- junipero-serra_x000D_
- schools_x000D_
</v>
      </c>
      <c r="BL95" s="155" t="str">
        <f>IF(LEN(N95)&gt;0,TRIM(CONCATENATE("[Official site](",N95,") ",O95)),"")</f>
        <v>[Official site](https://www.scu.edu/missionchurch/)</v>
      </c>
      <c r="BM95" s="155" t="str">
        <f>IF(LEN(Q95)&gt;0,TRIM(CONCATENATE("["&amp;P95&amp;"](",Q95,") ",R95)),"")</f>
        <v>[California Missions Foundation page](https://californiamissionsfoundation.org/mission-santa-clara/)</v>
      </c>
      <c r="BN95" s="155" t="str">
        <f>IF(LEN(T95)&gt;0,TRIM(CONCATENATE("["&amp;S95&amp;"](",T95,") ",U95)),"")</f>
        <v>[Missions California page](https://www.missionscalifornia.com/missions/santa-clara-de-asis/)</v>
      </c>
      <c r="BO95" s="155" t="str">
        <f>IF(LEN(W95)&gt;0,TRIM(CONCATENATE("["&amp;V95&amp;"](",W95,") ",X95)),"")</f>
        <v/>
      </c>
      <c r="BP95" s="155" t="str">
        <f>IF(LEN(BL95)&gt;0,"* "&amp;BL95&amp;CHAR(10),"")&amp;
IF(LEN(BM95)&gt;0,"* "&amp;BM95&amp;CHAR(10),"")&amp;
IF(LEN(BN95)&gt;0,"* "&amp;BN95&amp;CHAR(10),"")&amp;
IF(LEN(BO95)&gt;0,"* "&amp;BO95&amp;CHAR(10),"")</f>
        <v xml:space="preserve">* [Official site](https://www.scu.edu/missionchurch/)
* [California Missions Foundation page](https://californiamissionsfoundation.org/mission-santa-clara/)
* [Missions California page](https://www.missionscalifornia.com/missions/santa-clara-de-asis/)
</v>
      </c>
      <c r="BQ95" s="155" t="str">
        <f>IF(LEN(AK95)&gt;0,TRIM(CONCATENATE("[Link](",AK95,") ",AL95)),"")</f>
        <v/>
      </c>
      <c r="BR95" s="155" t="str">
        <f>IF(LEN(AM95)&gt;0,TRIM(CONCATENATE("[Link](",AM95,") ",AN95)),"")</f>
        <v/>
      </c>
      <c r="BS95" s="155" t="str">
        <f>IF(LEN(AO95)&gt;0,TRIM(CONCATENATE("[Link](",AO95,") ",AP95)),"")</f>
        <v/>
      </c>
      <c r="BT95" s="155" t="str">
        <f>IF(LEN(concat(BQ95:BS95))&gt;0,concat("| ",BQ95," | ",BR95," | ",BS95," |"),"")</f>
        <v/>
      </c>
      <c r="BU95" s="155" t="str">
        <f>IF(J95,concatl("| The Real Presence | Miracle Hunter | MaryPages |","| --- | --- | --- |",BT95),"")</f>
        <v/>
      </c>
      <c r="BV95" s="155" t="str">
        <f>IF(LEN(BP95&amp;BU95)&gt;0,concatll("#### More Information",BP95,BU95),"")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95" s="155" t="str">
        <f>IF(LEN(M95)&gt;1,concatll("#### Author's Note",M95),"")</f>
        <v/>
      </c>
      <c r="BX95" s="23" t="str">
        <f>IF(AR95,concatll(concatl("---",AS95:AU95,BK95,"---"),L95,BV95:BW95),"")</f>
        <v xml:space="preserve">---_x000D_
title: "Mission Santa Clara de Asis"_x000D_
location: {lat: 37.3491892853456, lng: -121.941511544924}_x000D_
interest: local_x000D_
tags:
- usa
- california_x000D_
- santa-clara_x000D_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95" s="23" t="str">
        <f>IF(AR95,VLOOKUP(B95,'(Ref) Countries'!A:B,2,)&amp;IF(LEN(C95)&gt;1,"-"&amp;LOWER(SUBSTITUTE(C95," ","-")),"")&amp;"-"&amp;LOWER(SUBSTITUTE(SUBSTITUTE(G95," ","-"),".",""))&amp;".md","")</f>
        <v>us_ca-santa-clara-mission-santa-clara.md</v>
      </c>
      <c r="BZ95" s="29" t="str">
        <f>IF(LEN(Y95)&gt;1,VLOOKUP(Y95,'Tag List'!$A:$B,2,),"")</f>
        <v>Franciscian Missions in California</v>
      </c>
      <c r="CA95" s="29" t="str">
        <f>IF(LEN(Z95)&gt;1,VLOOKUP(Z95,'Tag List'!$A:$B,2,),"")</f>
        <v>Order of Friars Minor (Fransiscans)</v>
      </c>
      <c r="CB95" s="29" t="str">
        <f>IF(LEN(AA95)&gt;1,VLOOKUP(AA95,'Tag List'!$A:$B,2,),"")</f>
        <v>St. Junipero Serra, OFM</v>
      </c>
      <c r="CC95" s="29" t="str">
        <f>IF(LEN(Y95)&gt;1,GetTagPage(BZ95,Y95),"")</f>
        <v>[Franciscian Missions in California](/tags/california-missions)</v>
      </c>
      <c r="CD95" s="29" t="str">
        <f>IF(LEN(Z95)&gt;1,GetTagPage(CA95,Z95),"")</f>
        <v>[Order of Friars Minor (Fransiscans)](/tags/franciscans)</v>
      </c>
      <c r="CE95" s="29" t="str">
        <f>IF(LEN(AA95)&gt;1,GetTagPage(CB95,AA95),"")</f>
        <v>[St. Junipero Serra, OFM](/tags/junipero-serra)</v>
      </c>
      <c r="CF95" s="29" t="str">
        <f>"|"&amp;IF(LEN(CC95)&gt;1," "&amp;CC95,"")&amp;IF(LEN(CD95)&gt;1,", "&amp;CD95,"")&amp;IF(LEN(CE95)&gt;1,", "&amp;CE95,"")&amp;" "</f>
        <v xml:space="preserve">| [Franciscian Missions in California](/tags/california-missions), [Order of Friars Minor (Fransiscans)](/tags/franciscans), [St. Junipero Serra, OFM](/tags/junipero-serra) </v>
      </c>
      <c r="CG95" s="29" t="str">
        <f>"| "&amp;IF(AR95,"["&amp;AI95&amp;"](/places/"&amp;SUBSTITUTE(BY95,".md","")&amp;")",AI95)&amp;" "</f>
        <v xml:space="preserve">| [](/places/us_ca-santa-clara-mission-santa-clara) </v>
      </c>
      <c r="CH95" s="29" t="str">
        <f>"| "&amp;IF(AR95,GetTagPage(B95,VLOOKUP(B95,'(Ref) Countries'!A:C,3,)),B95)&amp; " "</f>
        <v xml:space="preserve">| [US California](/tags/usa
- california) </v>
      </c>
      <c r="CI95" s="29" t="str">
        <f>"| "&amp;AJ95&amp;" "</f>
        <v xml:space="preserve">|  </v>
      </c>
      <c r="CJ95" s="29" t="str">
        <f>"|"&amp;IF(AR95," [Link](/places/"&amp;SUBSTITUTE(BY95,".md","")&amp;")","")&amp;" "</f>
        <v xml:space="preserve">| [Link](/places/us_ca-santa-clara-mission-santa-clara) </v>
      </c>
      <c r="CK95" s="29" t="str">
        <f>"
"&amp;CG95&amp;CH95&amp;CI95&amp;CJ95&amp;BL95&amp;BQ95&amp;BR95&amp;BS95&amp;CF95&amp;"|"</f>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96" spans="1:89" ht="25.5" x14ac:dyDescent="0.25">
      <c r="A96" s="168" t="s">
        <v>1320</v>
      </c>
      <c r="B96" s="24" t="s">
        <v>1903</v>
      </c>
      <c r="C96" s="24" t="s">
        <v>2316</v>
      </c>
      <c r="D96" s="15">
        <v>34.281052108004999</v>
      </c>
      <c r="E96" s="49">
        <v>-119.298020331519</v>
      </c>
      <c r="F96" s="24" t="s">
        <v>2296</v>
      </c>
      <c r="G96" s="53" t="s">
        <v>2296</v>
      </c>
      <c r="H96" s="24" t="s">
        <v>1825</v>
      </c>
      <c r="I96" s="24" t="b">
        <v>1</v>
      </c>
      <c r="K96" s="24" t="b">
        <v>1</v>
      </c>
      <c r="L96" s="24" t="s">
        <v>2350</v>
      </c>
      <c r="N96" s="15" t="s">
        <v>2368</v>
      </c>
      <c r="O96" s="15" t="s">
        <v>336</v>
      </c>
      <c r="P96" s="60" t="s">
        <v>2380</v>
      </c>
      <c r="Q96" s="15" t="s">
        <v>2389</v>
      </c>
      <c r="R96" s="64" t="s">
        <v>336</v>
      </c>
      <c r="S96" s="60" t="s">
        <v>2402</v>
      </c>
      <c r="T96" s="15" t="s">
        <v>2411</v>
      </c>
      <c r="U96" s="64" t="s">
        <v>336</v>
      </c>
      <c r="Y96" s="15" t="s">
        <v>2433</v>
      </c>
      <c r="Z96" s="15" t="s">
        <v>2427</v>
      </c>
      <c r="AA96" s="15" t="s">
        <v>2426</v>
      </c>
      <c r="AR96" s="154" t="b">
        <f>IF(OR(A96="Done",A96="In Progress"),TRUE)</f>
        <v>1</v>
      </c>
      <c r="AS96" s="155" t="str">
        <f>"title: """&amp;F96&amp;""""</f>
        <v>title: "Mission San Buenaventura"</v>
      </c>
      <c r="AT96" s="155" t="str">
        <f>"location: {lat: "&amp;D96&amp;", lng: "&amp;E96&amp;"}"</f>
        <v>location: {lat: 34.281052108005, lng: -119.298020331519}</v>
      </c>
      <c r="AU96" s="155" t="str">
        <f>"interest: "&amp;H96</f>
        <v>interest: local</v>
      </c>
      <c r="AV96" s="155" t="str">
        <f>"- "&amp;VLOOKUP(B96,'(Ref) Countries'!A:C,3,)</f>
        <v>- usa
- california</v>
      </c>
      <c r="AW96" s="155" t="str">
        <f>IF(LEN(C96)&gt;1,"- "&amp;LOWER(SUBSTITUTE(C96," ","-")),"")</f>
        <v>- ventura</v>
      </c>
      <c r="AX96" s="155" t="str">
        <f>IF(I96,"- churches","")</f>
        <v>- churches</v>
      </c>
      <c r="AY96" s="155" t="str">
        <f>IF(J96,"- marian-sites","")</f>
        <v/>
      </c>
      <c r="AZ96" s="155" t="str">
        <f>IF(K96,"- holy-persons","")</f>
        <v>- holy-persons</v>
      </c>
      <c r="BA96" s="155" t="str">
        <f>IF(LEN(Y96)&gt;0,"- "&amp;Y96,"")</f>
        <v>- california-missions</v>
      </c>
      <c r="BB96" s="155" t="str">
        <f>IF(LEN(Z96)&gt;0,"- "&amp;Z96,"")</f>
        <v>- franciscans</v>
      </c>
      <c r="BC96" s="155" t="str">
        <f>IF(LEN(AA96)&gt;0,"- "&amp;AA96,"")</f>
        <v>- junipero-serra</v>
      </c>
      <c r="BD96" s="155" t="str">
        <f>IF(LEN(AB96)&gt;0,"- "&amp;AB96,"")</f>
        <v/>
      </c>
      <c r="BE96" s="155" t="str">
        <f>IF(LEN(AC96)&gt;0,"- "&amp;AC96,"")</f>
        <v/>
      </c>
      <c r="BF96" s="155" t="str">
        <f>IF(LEN(AD96)&gt;0,"- "&amp;AD96,"")</f>
        <v/>
      </c>
      <c r="BG96" s="155" t="str">
        <f>IF(LEN(AE96)&gt;0,"- "&amp;AE96,"")</f>
        <v/>
      </c>
      <c r="BH96" s="155" t="str">
        <f>IF(LEN(AF96)&gt;0,"- "&amp;AF96,"")</f>
        <v/>
      </c>
      <c r="BI96" s="155" t="str">
        <f>IF(LEN(AG96)&gt;0,"- "&amp;AG96,"")</f>
        <v/>
      </c>
      <c r="BJ96" s="155" t="str">
        <f>IF(LEN(AH96)&gt;0,"- "&amp;AH96,"")</f>
        <v/>
      </c>
      <c r="BK96" s="155" t="str">
        <f>"tags:"&amp;CHAR(10)&amp;concatl(AV96:BJ96)</f>
        <v xml:space="preserve">tags:
- usa
- california_x000D_
- ventura_x000D_
- churches_x000D_
- holy-persons_x000D_
- california-missions_x000D_
- franciscans_x000D_
- junipero-serra_x000D_
</v>
      </c>
      <c r="BL96" s="155" t="str">
        <f>IF(LEN(N96)&gt;0,TRIM(CONCATENATE("[Official site](",N96,") ",O96)),"")</f>
        <v>[Official site](http://www.sanbuenaventuramission.org/)</v>
      </c>
      <c r="BM96" s="155" t="str">
        <f>IF(LEN(Q96)&gt;0,TRIM(CONCATENATE("["&amp;P96&amp;"](",Q96,") ",R96)),"")</f>
        <v>[California Missions Foundation page](https://californiamissionsfoundation.org/mission-san-buenaventura/)</v>
      </c>
      <c r="BN96" s="155" t="str">
        <f>IF(LEN(T96)&gt;0,TRIM(CONCATENATE("["&amp;S96&amp;"](",T96,") ",U96)),"")</f>
        <v>[Missions California page](https://www.missionscalifornia.com/missions/san-buenaventura/)</v>
      </c>
      <c r="BO96" s="155" t="str">
        <f>IF(LEN(W96)&gt;0,TRIM(CONCATENATE("["&amp;V96&amp;"](",W96,") ",X96)),"")</f>
        <v/>
      </c>
      <c r="BP96" s="155" t="str">
        <f>IF(LEN(BL96)&gt;0,"* "&amp;BL96&amp;CHAR(10),"")&amp;
IF(LEN(BM96)&gt;0,"* "&amp;BM96&amp;CHAR(10),"")&amp;
IF(LEN(BN96)&gt;0,"* "&amp;BN96&amp;CHAR(10),"")&amp;
IF(LEN(BO96)&gt;0,"* "&amp;BO96&amp;CHAR(10),"")</f>
        <v xml:space="preserve">* [Official site](http://www.sanbuenaventuramission.org/)
* [California Missions Foundation page](https://californiamissionsfoundation.org/mission-san-buenaventura/)
* [Missions California page](https://www.missionscalifornia.com/missions/san-buenaventura/)
</v>
      </c>
      <c r="BQ96" s="155" t="str">
        <f>IF(LEN(AK96)&gt;0,TRIM(CONCATENATE("[Link](",AK96,") ",AL96)),"")</f>
        <v/>
      </c>
      <c r="BR96" s="155" t="str">
        <f>IF(LEN(AM96)&gt;0,TRIM(CONCATENATE("[Link](",AM96,") ",AN96)),"")</f>
        <v/>
      </c>
      <c r="BS96" s="155" t="str">
        <f>IF(LEN(AO96)&gt;0,TRIM(CONCATENATE("[Link](",AO96,") ",AP96)),"")</f>
        <v/>
      </c>
      <c r="BT96" s="155" t="str">
        <f>IF(LEN(concat(BQ96:BS96))&gt;0,concat("| ",BQ96," | ",BR96," | ",BS96," |"),"")</f>
        <v/>
      </c>
      <c r="BU96" s="155" t="str">
        <f>IF(J96,concatl("| The Real Presence | Miracle Hunter | MaryPages |","| --- | --- | --- |",BT96),"")</f>
        <v/>
      </c>
      <c r="BV96" s="155" t="str">
        <f>IF(LEN(BP96&amp;BU96)&gt;0,concatll("#### More Information",BP96,BU96),"")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96" s="155" t="str">
        <f>IF(LEN(M96)&gt;1,concatll("#### Author's Note",M96),"")</f>
        <v/>
      </c>
      <c r="BX96" s="23" t="str">
        <f>IF(AR96,concatll(concatl("---",AS96:AU96,BK96,"---"),L96,BV96:BW96),"")</f>
        <v xml:space="preserve">---_x000D_
title: "Mission San Buenaventura"_x000D_
location: {lat: 34.281052108005, lng: -119.298020331519}_x000D_
interest: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96" s="23" t="str">
        <f>IF(AR96,VLOOKUP(B96,'(Ref) Countries'!A:B,2,)&amp;IF(LEN(C96)&gt;1,"-"&amp;LOWER(SUBSTITUTE(C96," ","-")),"")&amp;"-"&amp;LOWER(SUBSTITUTE(SUBSTITUTE(G96," ","-"),".",""))&amp;".md","")</f>
        <v>us_ca-ventura-mission-san-buenaventura.md</v>
      </c>
      <c r="BZ96" s="29" t="str">
        <f>IF(LEN(Y96)&gt;1,VLOOKUP(Y96,'Tag List'!$A:$B,2,),"")</f>
        <v>Franciscian Missions in California</v>
      </c>
      <c r="CA96" s="29" t="str">
        <f>IF(LEN(Z96)&gt;1,VLOOKUP(Z96,'Tag List'!$A:$B,2,),"")</f>
        <v>Order of Friars Minor (Fransiscans)</v>
      </c>
      <c r="CB96" s="29" t="str">
        <f>IF(LEN(AA96)&gt;1,VLOOKUP(AA96,'Tag List'!$A:$B,2,),"")</f>
        <v>St. Junipero Serra, OFM</v>
      </c>
      <c r="CC96" s="29" t="str">
        <f>IF(LEN(Y96)&gt;1,GetTagPage(BZ96,Y96),"")</f>
        <v>[Franciscian Missions in California](/tags/california-missions)</v>
      </c>
      <c r="CD96" s="29" t="str">
        <f>IF(LEN(Z96)&gt;1,GetTagPage(CA96,Z96),"")</f>
        <v>[Order of Friars Minor (Fransiscans)](/tags/franciscans)</v>
      </c>
      <c r="CE96" s="29" t="str">
        <f>IF(LEN(AA96)&gt;1,GetTagPage(CB96,AA96),"")</f>
        <v>[St. Junipero Serra, OFM](/tags/junipero-serra)</v>
      </c>
      <c r="CF96" s="29" t="str">
        <f>"|"&amp;IF(LEN(CC96)&gt;1," "&amp;CC96,"")&amp;IF(LEN(CD96)&gt;1,", "&amp;CD96,"")&amp;IF(LEN(CE96)&gt;1,", "&amp;CE96,"")&amp;" "</f>
        <v xml:space="preserve">| [Franciscian Missions in California](/tags/california-missions), [Order of Friars Minor (Fransiscans)](/tags/franciscans), [St. Junipero Serra, OFM](/tags/junipero-serra) </v>
      </c>
      <c r="CG96" s="29" t="str">
        <f>"| "&amp;IF(AR96,"["&amp;AI96&amp;"](/places/"&amp;SUBSTITUTE(BY96,".md","")&amp;")",AI96)&amp;" "</f>
        <v xml:space="preserve">| [](/places/us_ca-ventura-mission-san-buenaventura) </v>
      </c>
      <c r="CH96" s="29" t="str">
        <f>"| "&amp;IF(AR96,GetTagPage(B96,VLOOKUP(B96,'(Ref) Countries'!A:C,3,)),B96)&amp; " "</f>
        <v xml:space="preserve">| [US California](/tags/usa
- california) </v>
      </c>
      <c r="CI96" s="29" t="str">
        <f>"| "&amp;AJ96&amp;" "</f>
        <v xml:space="preserve">|  </v>
      </c>
      <c r="CJ96" s="29" t="str">
        <f>"|"&amp;IF(AR96," [Link](/places/"&amp;SUBSTITUTE(BY96,".md","")&amp;")","")&amp;" "</f>
        <v xml:space="preserve">| [Link](/places/us_ca-ventura-mission-san-buenaventura) </v>
      </c>
      <c r="CK96" s="29" t="str">
        <f>"
"&amp;CG96&amp;CH96&amp;CI96&amp;CJ96&amp;BL96&amp;BQ96&amp;BR96&amp;BS96&amp;CF96&amp;"|"</f>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97" spans="1:89" ht="25.5" x14ac:dyDescent="0.25">
      <c r="A97" s="168" t="s">
        <v>1320</v>
      </c>
      <c r="B97" s="24" t="s">
        <v>1903</v>
      </c>
      <c r="C97" s="24" t="s">
        <v>2317</v>
      </c>
      <c r="D97" s="15">
        <v>34.438290779208302</v>
      </c>
      <c r="E97" s="49">
        <v>-119.714078531515</v>
      </c>
      <c r="F97" s="24" t="s">
        <v>2297</v>
      </c>
      <c r="G97" s="53" t="s">
        <v>2297</v>
      </c>
      <c r="H97" s="24" t="s">
        <v>1825</v>
      </c>
      <c r="I97" s="24" t="b">
        <v>1</v>
      </c>
      <c r="K97" s="24" t="b">
        <v>1</v>
      </c>
      <c r="L97" s="24" t="s">
        <v>2351</v>
      </c>
      <c r="N97" s="15" t="s">
        <v>2369</v>
      </c>
      <c r="O97" s="15" t="s">
        <v>336</v>
      </c>
      <c r="P97" s="60" t="s">
        <v>2380</v>
      </c>
      <c r="Q97" s="15" t="s">
        <v>2390</v>
      </c>
      <c r="R97" s="64" t="s">
        <v>336</v>
      </c>
      <c r="S97" s="60" t="s">
        <v>2402</v>
      </c>
      <c r="T97" s="15" t="s">
        <v>2412</v>
      </c>
      <c r="U97" s="64" t="s">
        <v>336</v>
      </c>
      <c r="Y97" s="15" t="s">
        <v>2433</v>
      </c>
      <c r="Z97" s="15" t="s">
        <v>2427</v>
      </c>
      <c r="AA97" s="15" t="s">
        <v>1424</v>
      </c>
      <c r="AR97" s="154" t="b">
        <f>IF(OR(A97="Done",A97="In Progress"),TRUE)</f>
        <v>1</v>
      </c>
      <c r="AS97" s="155" t="str">
        <f>"title: """&amp;F97&amp;""""</f>
        <v>title: "Mission Santa Barbara"</v>
      </c>
      <c r="AT97" s="155" t="str">
        <f>"location: {lat: "&amp;D97&amp;", lng: "&amp;E97&amp;"}"</f>
        <v>location: {lat: 34.4382907792083, lng: -119.714078531515}</v>
      </c>
      <c r="AU97" s="155" t="str">
        <f>"interest: "&amp;H97</f>
        <v>interest: local</v>
      </c>
      <c r="AV97" s="155" t="str">
        <f>"- "&amp;VLOOKUP(B97,'(Ref) Countries'!A:C,3,)</f>
        <v>- usa
- california</v>
      </c>
      <c r="AW97" s="155" t="str">
        <f>IF(LEN(C97)&gt;1,"- "&amp;LOWER(SUBSTITUTE(C97," ","-")),"")</f>
        <v>- santa-barbara</v>
      </c>
      <c r="AX97" s="155" t="str">
        <f>IF(I97,"- churches","")</f>
        <v>- churches</v>
      </c>
      <c r="AY97" s="155" t="str">
        <f>IF(J97,"- marian-sites","")</f>
        <v/>
      </c>
      <c r="AZ97" s="155" t="str">
        <f>IF(K97,"- holy-persons","")</f>
        <v>- holy-persons</v>
      </c>
      <c r="BA97" s="155" t="str">
        <f>IF(LEN(Y97)&gt;0,"- "&amp;Y97,"")</f>
        <v>- california-missions</v>
      </c>
      <c r="BB97" s="155" t="str">
        <f>IF(LEN(Z97)&gt;0,"- "&amp;Z97,"")</f>
        <v>- franciscans</v>
      </c>
      <c r="BC97" s="155" t="str">
        <f>IF(LEN(AA97)&gt;0,"- "&amp;AA97,"")</f>
        <v>- communities</v>
      </c>
      <c r="BD97" s="155" t="str">
        <f>IF(LEN(AB97)&gt;0,"- "&amp;AB97,"")</f>
        <v/>
      </c>
      <c r="BE97" s="155" t="str">
        <f>IF(LEN(AC97)&gt;0,"- "&amp;AC97,"")</f>
        <v/>
      </c>
      <c r="BF97" s="155" t="str">
        <f>IF(LEN(AD97)&gt;0,"- "&amp;AD97,"")</f>
        <v/>
      </c>
      <c r="BG97" s="155" t="str">
        <f>IF(LEN(AE97)&gt;0,"- "&amp;AE97,"")</f>
        <v/>
      </c>
      <c r="BH97" s="155" t="str">
        <f>IF(LEN(AF97)&gt;0,"- "&amp;AF97,"")</f>
        <v/>
      </c>
      <c r="BI97" s="155" t="str">
        <f>IF(LEN(AG97)&gt;0,"- "&amp;AG97,"")</f>
        <v/>
      </c>
      <c r="BJ97" s="155" t="str">
        <f>IF(LEN(AH97)&gt;0,"- "&amp;AH97,"")</f>
        <v/>
      </c>
      <c r="BK97" s="155" t="str">
        <f>"tags:"&amp;CHAR(10)&amp;concatl(AV97:BJ97)</f>
        <v xml:space="preserve">tags:
- usa
- california_x000D_
- santa-barbara_x000D_
- churches_x000D_
- holy-persons_x000D_
- california-missions_x000D_
- franciscans_x000D_
- communities_x000D_
</v>
      </c>
      <c r="BL97" s="155" t="str">
        <f>IF(LEN(N97)&gt;0,TRIM(CONCATENATE("[Official site](",N97,") ",O97)),"")</f>
        <v>[Official site](http://www.santabarbaramission.org/)</v>
      </c>
      <c r="BM97" s="155" t="str">
        <f>IF(LEN(Q97)&gt;0,TRIM(CONCATENATE("["&amp;P97&amp;"](",Q97,") ",R97)),"")</f>
        <v>[California Missions Foundation page](https://californiamissionsfoundation.org/mission-santa-barbara/)</v>
      </c>
      <c r="BN97" s="155" t="str">
        <f>IF(LEN(T97)&gt;0,TRIM(CONCATENATE("["&amp;S97&amp;"](",T97,") ",U97)),"")</f>
        <v>[Missions California page](https://www.missionscalifornia.com/missions/santa-barbara/)</v>
      </c>
      <c r="BO97" s="155" t="str">
        <f>IF(LEN(W97)&gt;0,TRIM(CONCATENATE("["&amp;V97&amp;"](",W97,") ",X97)),"")</f>
        <v/>
      </c>
      <c r="BP97" s="155" t="str">
        <f>IF(LEN(BL97)&gt;0,"* "&amp;BL97&amp;CHAR(10),"")&amp;
IF(LEN(BM97)&gt;0,"* "&amp;BM97&amp;CHAR(10),"")&amp;
IF(LEN(BN97)&gt;0,"* "&amp;BN97&amp;CHAR(10),"")&amp;
IF(LEN(BO97)&gt;0,"* "&amp;BO97&amp;CHAR(10),"")</f>
        <v xml:space="preserve">* [Official site](http://www.santabarbaramission.org/)
* [California Missions Foundation page](https://californiamissionsfoundation.org/mission-santa-barbara/)
* [Missions California page](https://www.missionscalifornia.com/missions/santa-barbara/)
</v>
      </c>
      <c r="BQ97" s="155" t="str">
        <f>IF(LEN(AK97)&gt;0,TRIM(CONCATENATE("[Link](",AK97,") ",AL97)),"")</f>
        <v/>
      </c>
      <c r="BR97" s="155" t="str">
        <f>IF(LEN(AM97)&gt;0,TRIM(CONCATENATE("[Link](",AM97,") ",AN97)),"")</f>
        <v/>
      </c>
      <c r="BS97" s="155" t="str">
        <f>IF(LEN(AO97)&gt;0,TRIM(CONCATENATE("[Link](",AO97,") ",AP97)),"")</f>
        <v/>
      </c>
      <c r="BT97" s="155" t="str">
        <f>IF(LEN(concat(BQ97:BS97))&gt;0,concat("| ",BQ97," | ",BR97," | ",BS97," |"),"")</f>
        <v/>
      </c>
      <c r="BU97" s="155" t="str">
        <f>IF(J97,concatl("| The Real Presence | Miracle Hunter | MaryPages |","| --- | --- | --- |",BT97),"")</f>
        <v/>
      </c>
      <c r="BV97" s="155" t="str">
        <f>IF(LEN(BP97&amp;BU97)&gt;0,concatll("#### More Information",BP97,BU97),"")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97" s="155" t="str">
        <f>IF(LEN(M97)&gt;1,concatll("#### Author's Note",M97),"")</f>
        <v/>
      </c>
      <c r="BX97" s="23" t="str">
        <f>IF(AR97,concatll(concatl("---",AS97:AU97,BK97,"---"),L97,BV97:BW97),"")</f>
        <v xml:space="preserve">---_x000D_
title: "Mission Santa Barbara"_x000D_
location: {lat: 34.4382907792083, lng: -119.714078531515}_x000D_
interest: local_x000D_
tags:
- usa
- california_x000D_
- santa-barbara_x000D_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97" s="23" t="str">
        <f>IF(AR97,VLOOKUP(B97,'(Ref) Countries'!A:B,2,)&amp;IF(LEN(C97)&gt;1,"-"&amp;LOWER(SUBSTITUTE(C97," ","-")),"")&amp;"-"&amp;LOWER(SUBSTITUTE(SUBSTITUTE(G97," ","-"),".",""))&amp;".md","")</f>
        <v>us_ca-santa-barbara-mission-santa-barbara.md</v>
      </c>
      <c r="BZ97" s="29" t="str">
        <f>IF(LEN(Y97)&gt;1,VLOOKUP(Y97,'Tag List'!$A:$B,2,),"")</f>
        <v>Franciscian Missions in California</v>
      </c>
      <c r="CA97" s="29" t="str">
        <f>IF(LEN(Z97)&gt;1,VLOOKUP(Z97,'Tag List'!$A:$B,2,),"")</f>
        <v>Order of Friars Minor (Fransiscans)</v>
      </c>
      <c r="CB97" s="29" t="str">
        <f>IF(LEN(AA97)&gt;1,VLOOKUP(AA97,'Tag List'!$A:$B,2,),"")</f>
        <v>Religious Communities</v>
      </c>
      <c r="CC97" s="29" t="str">
        <f>IF(LEN(Y97)&gt;1,GetTagPage(BZ97,Y97),"")</f>
        <v>[Franciscian Missions in California](/tags/california-missions)</v>
      </c>
      <c r="CD97" s="29" t="str">
        <f>IF(LEN(Z97)&gt;1,GetTagPage(CA97,Z97),"")</f>
        <v>[Order of Friars Minor (Fransiscans)](/tags/franciscans)</v>
      </c>
      <c r="CE97" s="29" t="str">
        <f>IF(LEN(AA97)&gt;1,GetTagPage(CB97,AA97),"")</f>
        <v>[Religious Communities](/tags/communities)</v>
      </c>
      <c r="CF97" s="29" t="str">
        <f>"|"&amp;IF(LEN(CC97)&gt;1," "&amp;CC97,"")&amp;IF(LEN(CD97)&gt;1,", "&amp;CD97,"")&amp;IF(LEN(CE97)&gt;1,", "&amp;CE97,"")&amp;" "</f>
        <v xml:space="preserve">| [Franciscian Missions in California](/tags/california-missions), [Order of Friars Minor (Fransiscans)](/tags/franciscans), [Religious Communities](/tags/communities) </v>
      </c>
      <c r="CG97" s="29" t="str">
        <f>"| "&amp;IF(AR97,"["&amp;AI97&amp;"](/places/"&amp;SUBSTITUTE(BY97,".md","")&amp;")",AI97)&amp;" "</f>
        <v xml:space="preserve">| [](/places/us_ca-santa-barbara-mission-santa-barbara) </v>
      </c>
      <c r="CH97" s="29" t="str">
        <f>"| "&amp;IF(AR97,GetTagPage(B97,VLOOKUP(B97,'(Ref) Countries'!A:C,3,)),B97)&amp; " "</f>
        <v xml:space="preserve">| [US California](/tags/usa
- california) </v>
      </c>
      <c r="CI97" s="29" t="str">
        <f>"| "&amp;AJ97&amp;" "</f>
        <v xml:space="preserve">|  </v>
      </c>
      <c r="CJ97" s="29" t="str">
        <f>"|"&amp;IF(AR97," [Link](/places/"&amp;SUBSTITUTE(BY97,".md","")&amp;")","")&amp;" "</f>
        <v xml:space="preserve">| [Link](/places/us_ca-santa-barbara-mission-santa-barbara) </v>
      </c>
      <c r="CK97" s="29" t="str">
        <f>"
"&amp;CG97&amp;CH97&amp;CI97&amp;CJ97&amp;BL97&amp;BQ97&amp;BR97&amp;BS97&amp;CF97&amp;"|"</f>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98" spans="1:89" ht="38.25" x14ac:dyDescent="0.25">
      <c r="A98" s="168" t="s">
        <v>1320</v>
      </c>
      <c r="B98" s="24" t="s">
        <v>1903</v>
      </c>
      <c r="C98" s="24" t="s">
        <v>2318</v>
      </c>
      <c r="D98" s="15">
        <v>34.669743501321904</v>
      </c>
      <c r="E98" s="49">
        <v>-120.420619002672</v>
      </c>
      <c r="F98" s="24" t="s">
        <v>2298</v>
      </c>
      <c r="G98" s="119" t="s">
        <v>2336</v>
      </c>
      <c r="H98" s="24" t="s">
        <v>1825</v>
      </c>
      <c r="K98" s="24" t="b">
        <v>1</v>
      </c>
      <c r="L98" s="116" t="s">
        <v>2432</v>
      </c>
      <c r="N98" s="15" t="s">
        <v>2370</v>
      </c>
      <c r="O98" s="15" t="s">
        <v>336</v>
      </c>
      <c r="P98" s="60" t="s">
        <v>2380</v>
      </c>
      <c r="Q98" s="15" t="s">
        <v>2391</v>
      </c>
      <c r="R98" s="64" t="s">
        <v>336</v>
      </c>
      <c r="S98" s="60" t="s">
        <v>2402</v>
      </c>
      <c r="T98" s="15" t="s">
        <v>2413</v>
      </c>
      <c r="U98" s="64" t="s">
        <v>336</v>
      </c>
      <c r="Y98" s="15" t="s">
        <v>2433</v>
      </c>
      <c r="Z98" s="15" t="s">
        <v>2427</v>
      </c>
      <c r="AA98" s="117" t="s">
        <v>2115</v>
      </c>
      <c r="AR98" s="154" t="b">
        <f>IF(OR(A98="Done",A98="In Progress"),TRUE)</f>
        <v>1</v>
      </c>
      <c r="AS98" s="155" t="str">
        <f>"title: """&amp;F98&amp;""""</f>
        <v>title: "Mission La Purisima Concepcion"</v>
      </c>
      <c r="AT98" s="155" t="str">
        <f>"location: {lat: "&amp;D98&amp;", lng: "&amp;E98&amp;"}"</f>
        <v>location: {lat: 34.6697435013219, lng: -120.420619002672}</v>
      </c>
      <c r="AU98" s="155" t="str">
        <f>"interest: "&amp;H98</f>
        <v>interest: local</v>
      </c>
      <c r="AV98" s="155" t="str">
        <f>"- "&amp;VLOOKUP(B98,'(Ref) Countries'!A:C,3,)</f>
        <v>- usa
- california</v>
      </c>
      <c r="AW98" s="155" t="str">
        <f>IF(LEN(C98)&gt;1,"- "&amp;LOWER(SUBSTITUTE(C98," ","-")),"")</f>
        <v>- lompoc</v>
      </c>
      <c r="AX98" s="155" t="str">
        <f>IF(I98,"- churches","")</f>
        <v/>
      </c>
      <c r="AY98" s="155" t="str">
        <f>IF(J98,"- marian-sites","")</f>
        <v/>
      </c>
      <c r="AZ98" s="155" t="str">
        <f>IF(K98,"- holy-persons","")</f>
        <v>- holy-persons</v>
      </c>
      <c r="BA98" s="155" t="str">
        <f>IF(LEN(Y98)&gt;0,"- "&amp;Y98,"")</f>
        <v>- california-missions</v>
      </c>
      <c r="BB98" s="155" t="str">
        <f>IF(LEN(Z98)&gt;0,"- "&amp;Z98,"")</f>
        <v>- franciscans</v>
      </c>
      <c r="BC98" s="155" t="str">
        <f>IF(LEN(AA98)&gt;0,"- "&amp;AA98,"")</f>
        <v>- closed</v>
      </c>
      <c r="BD98" s="155" t="str">
        <f>IF(LEN(AB98)&gt;0,"- "&amp;AB98,"")</f>
        <v/>
      </c>
      <c r="BE98" s="155" t="str">
        <f>IF(LEN(AC98)&gt;0,"- "&amp;AC98,"")</f>
        <v/>
      </c>
      <c r="BF98" s="155" t="str">
        <f>IF(LEN(AD98)&gt;0,"- "&amp;AD98,"")</f>
        <v/>
      </c>
      <c r="BG98" s="155" t="str">
        <f>IF(LEN(AE98)&gt;0,"- "&amp;AE98,"")</f>
        <v/>
      </c>
      <c r="BH98" s="155" t="str">
        <f>IF(LEN(AF98)&gt;0,"- "&amp;AF98,"")</f>
        <v/>
      </c>
      <c r="BI98" s="155" t="str">
        <f>IF(LEN(AG98)&gt;0,"- "&amp;AG98,"")</f>
        <v/>
      </c>
      <c r="BJ98" s="155" t="str">
        <f>IF(LEN(AH98)&gt;0,"- "&amp;AH98,"")</f>
        <v/>
      </c>
      <c r="BK98" s="155" t="str">
        <f>"tags:"&amp;CHAR(10)&amp;concatl(AV98:BJ98)</f>
        <v xml:space="preserve">tags:
- usa
- california_x000D_
- lompoc_x000D_
- holy-persons_x000D_
- california-missions_x000D_
- franciscans_x000D_
- closed_x000D_
</v>
      </c>
      <c r="BL98" s="155" t="str">
        <f>IF(LEN(N98)&gt;0,TRIM(CONCATENATE("[Official site](",N98,") ",O98)),"")</f>
        <v>[Official site](http://www.lapurisimamission.org/)</v>
      </c>
      <c r="BM98" s="155" t="str">
        <f>IF(LEN(Q98)&gt;0,TRIM(CONCATENATE("["&amp;P98&amp;"](",Q98,") ",R98)),"")</f>
        <v>[California Missions Foundation page](https://californiamissionsfoundation.org/mission-la-purisima/)</v>
      </c>
      <c r="BN98" s="155" t="str">
        <f>IF(LEN(T98)&gt;0,TRIM(CONCATENATE("["&amp;S98&amp;"](",T98,") ",U98)),"")</f>
        <v>[Missions California page](https://www.missionscalifornia.com/missions/la-purisima-concepcion/)</v>
      </c>
      <c r="BO98" s="155" t="str">
        <f>IF(LEN(W98)&gt;0,TRIM(CONCATENATE("["&amp;V98&amp;"](",W98,") ",X98)),"")</f>
        <v/>
      </c>
      <c r="BP98" s="155" t="str">
        <f>IF(LEN(BL98)&gt;0,"* "&amp;BL98&amp;CHAR(10),"")&amp;
IF(LEN(BM98)&gt;0,"* "&amp;BM98&amp;CHAR(10),"")&amp;
IF(LEN(BN98)&gt;0,"* "&amp;BN98&amp;CHAR(10),"")&amp;
IF(LEN(BO98)&gt;0,"* "&amp;BO98&amp;CHAR(10),"")</f>
        <v xml:space="preserve">* [Official site](http://www.lapurisimamission.org/)
* [California Missions Foundation page](https://californiamissionsfoundation.org/mission-la-purisima/)
* [Missions California page](https://www.missionscalifornia.com/missions/la-purisima-concepcion/)
</v>
      </c>
      <c r="BQ98" s="155" t="str">
        <f>IF(LEN(AK98)&gt;0,TRIM(CONCATENATE("[Link](",AK98,") ",AL98)),"")</f>
        <v/>
      </c>
      <c r="BR98" s="155" t="str">
        <f>IF(LEN(AM98)&gt;0,TRIM(CONCATENATE("[Link](",AM98,") ",AN98)),"")</f>
        <v/>
      </c>
      <c r="BS98" s="155" t="str">
        <f>IF(LEN(AO98)&gt;0,TRIM(CONCATENATE("[Link](",AO98,") ",AP98)),"")</f>
        <v/>
      </c>
      <c r="BT98" s="155" t="str">
        <f>IF(LEN(concat(BQ98:BS98))&gt;0,concat("| ",BQ98," | ",BR98," | ",BS98," |"),"")</f>
        <v/>
      </c>
      <c r="BU98" s="155" t="str">
        <f>IF(J98,concatl("| The Real Presence | Miracle Hunter | MaryPages |","| --- | --- | --- |",BT98),"")</f>
        <v/>
      </c>
      <c r="BV98" s="155" t="str">
        <f>IF(LEN(BP98&amp;BU98)&gt;0,concatll("#### More Information",BP98,BU98),"")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98" s="155" t="str">
        <f>IF(LEN(M98)&gt;1,concatll("#### Author's Note",M98),"")</f>
        <v/>
      </c>
      <c r="BX98" s="23" t="str">
        <f>IF(AR98,concatll(concatl("---",AS98:AU98,BK98,"---"),L98,BV98:BW98),"")</f>
        <v xml:space="preserve">---_x000D_
title: "Mission La Purisima Concepcion"_x000D_
location: {lat: 34.6697435013219, lng: -120.420619002672}_x000D_
interest: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98" s="23" t="str">
        <f>IF(AR98,VLOOKUP(B98,'(Ref) Countries'!A:B,2,)&amp;IF(LEN(C98)&gt;1,"-"&amp;LOWER(SUBSTITUTE(C98," ","-")),"")&amp;"-"&amp;LOWER(SUBSTITUTE(SUBSTITUTE(G98," ","-"),".",""))&amp;".md","")</f>
        <v>us_ca-lompoc-mission-la-purisima.md</v>
      </c>
      <c r="BZ98" s="29" t="str">
        <f>IF(LEN(Y98)&gt;1,VLOOKUP(Y98,'Tag List'!$A:$B,2,),"")</f>
        <v>Franciscian Missions in California</v>
      </c>
      <c r="CA98" s="29" t="str">
        <f>IF(LEN(Z98)&gt;1,VLOOKUP(Z98,'Tag List'!$A:$B,2,),"")</f>
        <v>Order of Friars Minor (Fransiscans)</v>
      </c>
      <c r="CB98" s="29" t="str">
        <f>IF(LEN(AA98)&gt;1,VLOOKUP(AA98,'Tag List'!$A:$B,2,),"")</f>
        <v>Closed or Deconsecrated Sites</v>
      </c>
      <c r="CC98" s="29" t="str">
        <f>IF(LEN(Y98)&gt;1,GetTagPage(BZ98,Y98),"")</f>
        <v>[Franciscian Missions in California](/tags/california-missions)</v>
      </c>
      <c r="CD98" s="29" t="str">
        <f>IF(LEN(Z98)&gt;1,GetTagPage(CA98,Z98),"")</f>
        <v>[Order of Friars Minor (Fransiscans)](/tags/franciscans)</v>
      </c>
      <c r="CE98" s="29" t="str">
        <f>IF(LEN(AA98)&gt;1,GetTagPage(CB98,AA98),"")</f>
        <v>[Closed or Deconsecrated Sites](/tags/closed)</v>
      </c>
      <c r="CF98" s="29" t="str">
        <f>"|"&amp;IF(LEN(CC98)&gt;1," "&amp;CC98,"")&amp;IF(LEN(CD98)&gt;1,", "&amp;CD98,"")&amp;IF(LEN(CE98)&gt;1,", "&amp;CE98,"")&amp;" "</f>
        <v xml:space="preserve">| [Franciscian Missions in California](/tags/california-missions), [Order of Friars Minor (Fransiscans)](/tags/franciscans), [Closed or Deconsecrated Sites](/tags/closed) </v>
      </c>
      <c r="CG98" s="29" t="str">
        <f>"| "&amp;IF(AR98,"["&amp;AI98&amp;"](/places/"&amp;SUBSTITUTE(BY98,".md","")&amp;")",AI98)&amp;" "</f>
        <v xml:space="preserve">| [](/places/us_ca-lompoc-mission-la-purisima) </v>
      </c>
      <c r="CH98" s="29" t="str">
        <f>"| "&amp;IF(AR98,GetTagPage(B98,VLOOKUP(B98,'(Ref) Countries'!A:C,3,)),B98)&amp; " "</f>
        <v xml:space="preserve">| [US California](/tags/usa
- california) </v>
      </c>
      <c r="CI98" s="29" t="str">
        <f>"| "&amp;AJ98&amp;" "</f>
        <v xml:space="preserve">|  </v>
      </c>
      <c r="CJ98" s="29" t="str">
        <f>"|"&amp;IF(AR98," [Link](/places/"&amp;SUBSTITUTE(BY98,".md","")&amp;")","")&amp;" "</f>
        <v xml:space="preserve">| [Link](/places/us_ca-lompoc-mission-la-purisima) </v>
      </c>
      <c r="CK98" s="29" t="str">
        <f>"
"&amp;CG98&amp;CH98&amp;CI98&amp;CJ98&amp;BL98&amp;BQ98&amp;BR98&amp;BS98&amp;CF98&amp;"|"</f>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99" spans="1:89" ht="25.5" x14ac:dyDescent="0.25">
      <c r="A99" s="168" t="s">
        <v>1320</v>
      </c>
      <c r="B99" s="24" t="s">
        <v>1903</v>
      </c>
      <c r="C99" s="24" t="s">
        <v>2319</v>
      </c>
      <c r="D99" s="15">
        <v>36.9781412595296</v>
      </c>
      <c r="E99" s="49">
        <v>-122.029494075624</v>
      </c>
      <c r="F99" s="24" t="s">
        <v>2299</v>
      </c>
      <c r="G99" s="53" t="s">
        <v>2299</v>
      </c>
      <c r="H99" s="24" t="s">
        <v>1825</v>
      </c>
      <c r="I99" s="24" t="b">
        <v>1</v>
      </c>
      <c r="K99" s="24" t="b">
        <v>1</v>
      </c>
      <c r="L99" s="24" t="s">
        <v>2352</v>
      </c>
      <c r="N99" s="15" t="s">
        <v>2371</v>
      </c>
      <c r="O99" s="15" t="s">
        <v>336</v>
      </c>
      <c r="P99" s="60" t="s">
        <v>2380</v>
      </c>
      <c r="Q99" s="15" t="s">
        <v>2392</v>
      </c>
      <c r="R99" s="64" t="s">
        <v>336</v>
      </c>
      <c r="S99" s="60" t="s">
        <v>2402</v>
      </c>
      <c r="T99" s="15" t="s">
        <v>2414</v>
      </c>
      <c r="U99" s="64" t="s">
        <v>336</v>
      </c>
      <c r="Y99" s="15" t="s">
        <v>2433</v>
      </c>
      <c r="Z99" s="15" t="s">
        <v>2427</v>
      </c>
      <c r="AR99" s="154" t="b">
        <f>IF(OR(A99="Done",A99="In Progress"),TRUE)</f>
        <v>1</v>
      </c>
      <c r="AS99" s="155" t="str">
        <f>"title: """&amp;F99&amp;""""</f>
        <v>title: "Mission Santa Cruz"</v>
      </c>
      <c r="AT99" s="155" t="str">
        <f>"location: {lat: "&amp;D99&amp;", lng: "&amp;E99&amp;"}"</f>
        <v>location: {lat: 36.9781412595296, lng: -122.029494075624}</v>
      </c>
      <c r="AU99" s="155" t="str">
        <f>"interest: "&amp;H99</f>
        <v>interest: local</v>
      </c>
      <c r="AV99" s="155" t="str">
        <f>"- "&amp;VLOOKUP(B99,'(Ref) Countries'!A:C,3,)</f>
        <v>- usa
- california</v>
      </c>
      <c r="AW99" s="155" t="str">
        <f>IF(LEN(C99)&gt;1,"- "&amp;LOWER(SUBSTITUTE(C99," ","-")),"")</f>
        <v>- santa-cruz</v>
      </c>
      <c r="AX99" s="155" t="str">
        <f>IF(I99,"- churches","")</f>
        <v>- churches</v>
      </c>
      <c r="AY99" s="155" t="str">
        <f>IF(J99,"- marian-sites","")</f>
        <v/>
      </c>
      <c r="AZ99" s="155" t="str">
        <f>IF(K99,"- holy-persons","")</f>
        <v>- holy-persons</v>
      </c>
      <c r="BA99" s="155" t="str">
        <f>IF(LEN(Y99)&gt;0,"- "&amp;Y99,"")</f>
        <v>- california-missions</v>
      </c>
      <c r="BB99" s="155" t="str">
        <f>IF(LEN(Z99)&gt;0,"- "&amp;Z99,"")</f>
        <v>- franciscans</v>
      </c>
      <c r="BC99" s="155" t="str">
        <f>IF(LEN(AA99)&gt;0,"- "&amp;AA99,"")</f>
        <v/>
      </c>
      <c r="BD99" s="155" t="str">
        <f>IF(LEN(AB99)&gt;0,"- "&amp;AB99,"")</f>
        <v/>
      </c>
      <c r="BE99" s="155" t="str">
        <f>IF(LEN(AC99)&gt;0,"- "&amp;AC99,"")</f>
        <v/>
      </c>
      <c r="BF99" s="155" t="str">
        <f>IF(LEN(AD99)&gt;0,"- "&amp;AD99,"")</f>
        <v/>
      </c>
      <c r="BG99" s="155" t="str">
        <f>IF(LEN(AE99)&gt;0,"- "&amp;AE99,"")</f>
        <v/>
      </c>
      <c r="BH99" s="155" t="str">
        <f>IF(LEN(AF99)&gt;0,"- "&amp;AF99,"")</f>
        <v/>
      </c>
      <c r="BI99" s="155" t="str">
        <f>IF(LEN(AG99)&gt;0,"- "&amp;AG99,"")</f>
        <v/>
      </c>
      <c r="BJ99" s="155" t="str">
        <f>IF(LEN(AH99)&gt;0,"- "&amp;AH99,"")</f>
        <v/>
      </c>
      <c r="BK99" s="155" t="str">
        <f>"tags:"&amp;CHAR(10)&amp;concatl(AV99:BJ99)</f>
        <v xml:space="preserve">tags:
- usa
- california_x000D_
- santa-cruz_x000D_
- churches_x000D_
- holy-persons_x000D_
- california-missions_x000D_
- franciscans_x000D_
</v>
      </c>
      <c r="BL99" s="155" t="str">
        <f>IF(LEN(N99)&gt;0,TRIM(CONCATENATE("[Official site](",N99,") ",O99)),"")</f>
        <v>[Official site](http://www.holycrosssantacruz.com/mission-santa-cruz/)</v>
      </c>
      <c r="BM99" s="155" t="str">
        <f>IF(LEN(Q99)&gt;0,TRIM(CONCATENATE("["&amp;P99&amp;"](",Q99,") ",R99)),"")</f>
        <v>[California Missions Foundation page](https://californiamissionsfoundation.org/mission-santa-cruz/)</v>
      </c>
      <c r="BN99" s="155" t="str">
        <f>IF(LEN(T99)&gt;0,TRIM(CONCATENATE("["&amp;S99&amp;"](",T99,") ",U99)),"")</f>
        <v>[Missions California page](https://www.missionscalifornia.com/missions/santa-cruz/)</v>
      </c>
      <c r="BO99" s="155" t="str">
        <f>IF(LEN(W99)&gt;0,TRIM(CONCATENATE("["&amp;V99&amp;"](",W99,") ",X99)),"")</f>
        <v/>
      </c>
      <c r="BP99" s="155" t="str">
        <f>IF(LEN(BL99)&gt;0,"* "&amp;BL99&amp;CHAR(10),"")&amp;
IF(LEN(BM99)&gt;0,"* "&amp;BM99&amp;CHAR(10),"")&amp;
IF(LEN(BN99)&gt;0,"* "&amp;BN99&amp;CHAR(10),"")&amp;
IF(LEN(BO99)&gt;0,"* "&amp;BO99&amp;CHAR(10),"")</f>
        <v xml:space="preserve">* [Official site](http://www.holycrosssantacruz.com/mission-santa-cruz/)
* [California Missions Foundation page](https://californiamissionsfoundation.org/mission-santa-cruz/)
* [Missions California page](https://www.missionscalifornia.com/missions/santa-cruz/)
</v>
      </c>
      <c r="BQ99" s="155" t="str">
        <f>IF(LEN(AK99)&gt;0,TRIM(CONCATENATE("[Link](",AK99,") ",AL99)),"")</f>
        <v/>
      </c>
      <c r="BR99" s="155" t="str">
        <f>IF(LEN(AM99)&gt;0,TRIM(CONCATENATE("[Link](",AM99,") ",AN99)),"")</f>
        <v/>
      </c>
      <c r="BS99" s="155" t="str">
        <f>IF(LEN(AO99)&gt;0,TRIM(CONCATENATE("[Link](",AO99,") ",AP99)),"")</f>
        <v/>
      </c>
      <c r="BT99" s="155" t="str">
        <f>IF(LEN(concat(BQ99:BS99))&gt;0,concat("| ",BQ99," | ",BR99," | ",BS99," |"),"")</f>
        <v/>
      </c>
      <c r="BU99" s="155" t="str">
        <f>IF(J99,concatl("| The Real Presence | Miracle Hunter | MaryPages |","| --- | --- | --- |",BT99),"")</f>
        <v/>
      </c>
      <c r="BV99" s="155" t="str">
        <f>IF(LEN(BP99&amp;BU99)&gt;0,concatll("#### More Information",BP99,BU99),"")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99" s="155" t="str">
        <f>IF(LEN(M99)&gt;1,concatll("#### Author's Note",M99),"")</f>
        <v/>
      </c>
      <c r="BX99" s="23" t="str">
        <f>IF(AR99,concatll(concatl("---",AS99:AU99,BK99,"---"),L99,BV99:BW99),"")</f>
        <v xml:space="preserve">---_x000D_
title: "Mission Santa Cruz"_x000D_
location: {lat: 36.9781412595296, lng: -122.029494075624}_x000D_
interest: local_x000D_
tags:
- usa
- california_x000D_
- santa-cruz_x000D_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99" s="23" t="str">
        <f>IF(AR99,VLOOKUP(B99,'(Ref) Countries'!A:B,2,)&amp;IF(LEN(C99)&gt;1,"-"&amp;LOWER(SUBSTITUTE(C99," ","-")),"")&amp;"-"&amp;LOWER(SUBSTITUTE(SUBSTITUTE(G99," ","-"),".",""))&amp;".md","")</f>
        <v>us_ca-santa-cruz-mission-santa-cruz.md</v>
      </c>
      <c r="BZ99" s="29" t="str">
        <f>IF(LEN(Y99)&gt;1,VLOOKUP(Y99,'Tag List'!$A:$B,2,),"")</f>
        <v>Franciscian Missions in California</v>
      </c>
      <c r="CA99" s="29" t="str">
        <f>IF(LEN(Z99)&gt;1,VLOOKUP(Z99,'Tag List'!$A:$B,2,),"")</f>
        <v>Order of Friars Minor (Fransiscans)</v>
      </c>
      <c r="CB99" s="29" t="str">
        <f>IF(LEN(AA99)&gt;1,VLOOKUP(AA99,'Tag List'!$A:$B,2,),"")</f>
        <v/>
      </c>
      <c r="CC99" s="29" t="str">
        <f>IF(LEN(Y99)&gt;1,GetTagPage(BZ99,Y99),"")</f>
        <v>[Franciscian Missions in California](/tags/california-missions)</v>
      </c>
      <c r="CD99" s="29" t="str">
        <f>IF(LEN(Z99)&gt;1,GetTagPage(CA99,Z99),"")</f>
        <v>[Order of Friars Minor (Fransiscans)](/tags/franciscans)</v>
      </c>
      <c r="CE99" s="29" t="str">
        <f>IF(LEN(AA99)&gt;1,GetTagPage(CB99,AA99),"")</f>
        <v/>
      </c>
      <c r="CF99" s="29" t="str">
        <f>"|"&amp;IF(LEN(CC99)&gt;1," "&amp;CC99,"")&amp;IF(LEN(CD99)&gt;1,", "&amp;CD99,"")&amp;IF(LEN(CE99)&gt;1,", "&amp;CE99,"")&amp;" "</f>
        <v xml:space="preserve">| [Franciscian Missions in California](/tags/california-missions), [Order of Friars Minor (Fransiscans)](/tags/franciscans) </v>
      </c>
      <c r="CG99" s="29" t="str">
        <f>"| "&amp;IF(AR99,"["&amp;AI99&amp;"](/places/"&amp;SUBSTITUTE(BY99,".md","")&amp;")",AI99)&amp;" "</f>
        <v xml:space="preserve">| [](/places/us_ca-santa-cruz-mission-santa-cruz) </v>
      </c>
      <c r="CH99" s="29" t="str">
        <f>"| "&amp;IF(AR99,GetTagPage(B99,VLOOKUP(B99,'(Ref) Countries'!A:C,3,)),B99)&amp; " "</f>
        <v xml:space="preserve">| [US California](/tags/usa
- california) </v>
      </c>
      <c r="CI99" s="29" t="str">
        <f>"| "&amp;AJ99&amp;" "</f>
        <v xml:space="preserve">|  </v>
      </c>
      <c r="CJ99" s="29" t="str">
        <f>"|"&amp;IF(AR99," [Link](/places/"&amp;SUBSTITUTE(BY99,".md","")&amp;")","")&amp;" "</f>
        <v xml:space="preserve">| [Link](/places/us_ca-santa-cruz-mission-santa-cruz) </v>
      </c>
      <c r="CK99" s="29" t="str">
        <f>"
"&amp;CG99&amp;CH99&amp;CI99&amp;CJ99&amp;BL99&amp;BQ99&amp;BR99&amp;BS99&amp;CF99&amp;"|"</f>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00" spans="1:89" ht="25.5" x14ac:dyDescent="0.25">
      <c r="A100" s="168" t="s">
        <v>1320</v>
      </c>
      <c r="B100" s="24" t="s">
        <v>1903</v>
      </c>
      <c r="C100" s="24" t="s">
        <v>2320</v>
      </c>
      <c r="D100" s="15">
        <v>36.404839082598102</v>
      </c>
      <c r="E100" s="49">
        <v>-121.35576157378701</v>
      </c>
      <c r="F100" s="24" t="s">
        <v>2300</v>
      </c>
      <c r="G100" s="119" t="s">
        <v>2341</v>
      </c>
      <c r="H100" s="24" t="s">
        <v>1825</v>
      </c>
      <c r="I100" s="24" t="b">
        <v>1</v>
      </c>
      <c r="K100" s="24" t="b">
        <v>1</v>
      </c>
      <c r="L100" s="24" t="s">
        <v>2353</v>
      </c>
      <c r="N100" s="15" t="s">
        <v>2372</v>
      </c>
      <c r="O100" s="15" t="s">
        <v>336</v>
      </c>
      <c r="P100" s="60" t="s">
        <v>2380</v>
      </c>
      <c r="Q100" s="15" t="s">
        <v>2393</v>
      </c>
      <c r="R100" s="64" t="s">
        <v>336</v>
      </c>
      <c r="S100" s="60" t="s">
        <v>2402</v>
      </c>
      <c r="T100" s="15" t="s">
        <v>2415</v>
      </c>
      <c r="U100" s="64" t="s">
        <v>336</v>
      </c>
      <c r="Y100" s="15" t="s">
        <v>2433</v>
      </c>
      <c r="Z100" s="15" t="s">
        <v>2427</v>
      </c>
      <c r="AR100" s="154" t="b">
        <f>IF(OR(A100="Done",A100="In Progress"),TRUE)</f>
        <v>1</v>
      </c>
      <c r="AS100" s="155" t="str">
        <f>"title: """&amp;F100&amp;""""</f>
        <v>title: "Mission Nuestra Senora de la Soledad (Mission Soledad)"</v>
      </c>
      <c r="AT100" s="155" t="str">
        <f>"location: {lat: "&amp;D100&amp;", lng: "&amp;E100&amp;"}"</f>
        <v>location: {lat: 36.4048390825981, lng: -121.355761573787}</v>
      </c>
      <c r="AU100" s="155" t="str">
        <f>"interest: "&amp;H100</f>
        <v>interest: local</v>
      </c>
      <c r="AV100" s="155" t="str">
        <f>"- "&amp;VLOOKUP(B100,'(Ref) Countries'!A:C,3,)</f>
        <v>- usa
- california</v>
      </c>
      <c r="AW100" s="155" t="str">
        <f>IF(LEN(C100)&gt;1,"- "&amp;LOWER(SUBSTITUTE(C100," ","-")),"")</f>
        <v>- soledad</v>
      </c>
      <c r="AX100" s="155" t="str">
        <f>IF(I100,"- churches","")</f>
        <v>- churches</v>
      </c>
      <c r="AY100" s="155" t="str">
        <f>IF(J100,"- marian-sites","")</f>
        <v/>
      </c>
      <c r="AZ100" s="155" t="str">
        <f>IF(K100,"- holy-persons","")</f>
        <v>- holy-persons</v>
      </c>
      <c r="BA100" s="155" t="str">
        <f>IF(LEN(Y100)&gt;0,"- "&amp;Y100,"")</f>
        <v>- california-missions</v>
      </c>
      <c r="BB100" s="155" t="str">
        <f>IF(LEN(Z100)&gt;0,"- "&amp;Z100,"")</f>
        <v>- franciscans</v>
      </c>
      <c r="BC100" s="155" t="str">
        <f>IF(LEN(AA100)&gt;0,"- "&amp;AA100,"")</f>
        <v/>
      </c>
      <c r="BD100" s="155" t="str">
        <f>IF(LEN(AB100)&gt;0,"- "&amp;AB100,"")</f>
        <v/>
      </c>
      <c r="BE100" s="155" t="str">
        <f>IF(LEN(AC100)&gt;0,"- "&amp;AC100,"")</f>
        <v/>
      </c>
      <c r="BF100" s="155" t="str">
        <f>IF(LEN(AD100)&gt;0,"- "&amp;AD100,"")</f>
        <v/>
      </c>
      <c r="BG100" s="155" t="str">
        <f>IF(LEN(AE100)&gt;0,"- "&amp;AE100,"")</f>
        <v/>
      </c>
      <c r="BH100" s="155" t="str">
        <f>IF(LEN(AF100)&gt;0,"- "&amp;AF100,"")</f>
        <v/>
      </c>
      <c r="BI100" s="155" t="str">
        <f>IF(LEN(AG100)&gt;0,"- "&amp;AG100,"")</f>
        <v/>
      </c>
      <c r="BJ100" s="155" t="str">
        <f>IF(LEN(AH100)&gt;0,"- "&amp;AH100,"")</f>
        <v/>
      </c>
      <c r="BK100" s="155" t="str">
        <f>"tags:"&amp;CHAR(10)&amp;concatl(AV100:BJ100)</f>
        <v xml:space="preserve">tags:
- usa
- california_x000D_
- soledad_x000D_
- churches_x000D_
- holy-persons_x000D_
- california-missions_x000D_
- franciscans_x000D_
</v>
      </c>
      <c r="BL100" s="155" t="str">
        <f>IF(LEN(N100)&gt;0,TRIM(CONCATENATE("[Official site](",N100,") ",O100)),"")</f>
        <v>[Official site](http://missionsoledad.com/)</v>
      </c>
      <c r="BM100" s="155" t="str">
        <f>IF(LEN(Q100)&gt;0,TRIM(CONCATENATE("["&amp;P100&amp;"](",Q100,") ",R100)),"")</f>
        <v>[California Missions Foundation page](https://californiamissionsfoundation.org/mission-la-soledad/)</v>
      </c>
      <c r="BN100" s="155" t="str">
        <f>IF(LEN(T100)&gt;0,TRIM(CONCATENATE("["&amp;S100&amp;"](",T100,") ",U100)),"")</f>
        <v>[Missions California page](https://www.missionscalifornia.com/missions/nuestra-senora-de-la-soledad/)</v>
      </c>
      <c r="BO100" s="155" t="str">
        <f>IF(LEN(W100)&gt;0,TRIM(CONCATENATE("["&amp;V100&amp;"](",W100,") ",X100)),"")</f>
        <v/>
      </c>
      <c r="BP100" s="155" t="str">
        <f>IF(LEN(BL100)&gt;0,"* "&amp;BL100&amp;CHAR(10),"")&amp;
IF(LEN(BM100)&gt;0,"* "&amp;BM100&amp;CHAR(10),"")&amp;
IF(LEN(BN100)&gt;0,"* "&amp;BN100&amp;CHAR(10),"")&amp;
IF(LEN(BO100)&gt;0,"* "&amp;BO100&amp;CHAR(10),"")</f>
        <v xml:space="preserve">* [Official site](http://missionsoledad.com/)
* [California Missions Foundation page](https://californiamissionsfoundation.org/mission-la-soledad/)
* [Missions California page](https://www.missionscalifornia.com/missions/nuestra-senora-de-la-soledad/)
</v>
      </c>
      <c r="BQ100" s="155" t="str">
        <f>IF(LEN(AK100)&gt;0,TRIM(CONCATENATE("[Link](",AK100,") ",AL100)),"")</f>
        <v/>
      </c>
      <c r="BR100" s="155" t="str">
        <f>IF(LEN(AM100)&gt;0,TRIM(CONCATENATE("[Link](",AM100,") ",AN100)),"")</f>
        <v/>
      </c>
      <c r="BS100" s="155" t="str">
        <f>IF(LEN(AO100)&gt;0,TRIM(CONCATENATE("[Link](",AO100,") ",AP100)),"")</f>
        <v/>
      </c>
      <c r="BT100" s="155" t="str">
        <f>IF(LEN(concat(BQ100:BS100))&gt;0,concat("| ",BQ100," | ",BR100," | ",BS100," |"),"")</f>
        <v/>
      </c>
      <c r="BU100" s="155" t="str">
        <f>IF(J100,concatl("| The Real Presence | Miracle Hunter | MaryPages |","| --- | --- | --- |",BT100),"")</f>
        <v/>
      </c>
      <c r="BV100" s="155" t="str">
        <f>IF(LEN(BP100&amp;BU100)&gt;0,concatll("#### More Information",BP100,BU100),"")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00" s="155" t="str">
        <f>IF(LEN(M100)&gt;1,concatll("#### Author's Note",M100),"")</f>
        <v/>
      </c>
      <c r="BX100" s="23" t="str">
        <f>IF(AR100,concatll(concatl("---",AS100:AU100,BK100,"---"),L100,BV100:BW100),"")</f>
        <v xml:space="preserve">---_x000D_
title: "Mission Nuestra Senora de la Soledad (Mission Soledad)"_x000D_
location: {lat: 36.4048390825981, lng: -121.355761573787}_x000D_
interest: local_x000D_
tags:
- usa
- california_x000D_
- soledad_x000D_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00" s="23" t="str">
        <f>IF(AR100,VLOOKUP(B100,'(Ref) Countries'!A:B,2,)&amp;IF(LEN(C100)&gt;1,"-"&amp;LOWER(SUBSTITUTE(C100," ","-")),"")&amp;"-"&amp;LOWER(SUBSTITUTE(SUBSTITUTE(G100," ","-"),".",""))&amp;".md","")</f>
        <v>us_ca-soledad-mission-soledad.md</v>
      </c>
      <c r="BZ100" s="29" t="str">
        <f>IF(LEN(Y100)&gt;1,VLOOKUP(Y100,'Tag List'!$A:$B,2,),"")</f>
        <v>Franciscian Missions in California</v>
      </c>
      <c r="CA100" s="29" t="str">
        <f>IF(LEN(Z100)&gt;1,VLOOKUP(Z100,'Tag List'!$A:$B,2,),"")</f>
        <v>Order of Friars Minor (Fransiscans)</v>
      </c>
      <c r="CB100" s="29" t="str">
        <f>IF(LEN(AA100)&gt;1,VLOOKUP(AA100,'Tag List'!$A:$B,2,),"")</f>
        <v/>
      </c>
      <c r="CC100" s="29" t="str">
        <f>IF(LEN(Y100)&gt;1,GetTagPage(BZ100,Y100),"")</f>
        <v>[Franciscian Missions in California](/tags/california-missions)</v>
      </c>
      <c r="CD100" s="29" t="str">
        <f>IF(LEN(Z100)&gt;1,GetTagPage(CA100,Z100),"")</f>
        <v>[Order of Friars Minor (Fransiscans)](/tags/franciscans)</v>
      </c>
      <c r="CE100" s="29" t="str">
        <f>IF(LEN(AA100)&gt;1,GetTagPage(CB100,AA100),"")</f>
        <v/>
      </c>
      <c r="CF100" s="29" t="str">
        <f>"|"&amp;IF(LEN(CC100)&gt;1," "&amp;CC100,"")&amp;IF(LEN(CD100)&gt;1,", "&amp;CD100,"")&amp;IF(LEN(CE100)&gt;1,", "&amp;CE100,"")&amp;" "</f>
        <v xml:space="preserve">| [Franciscian Missions in California](/tags/california-missions), [Order of Friars Minor (Fransiscans)](/tags/franciscans) </v>
      </c>
      <c r="CG100" s="29" t="str">
        <f>"| "&amp;IF(AR100,"["&amp;AI100&amp;"](/places/"&amp;SUBSTITUTE(BY100,".md","")&amp;")",AI100)&amp;" "</f>
        <v xml:space="preserve">| [](/places/us_ca-soledad-mission-soledad) </v>
      </c>
      <c r="CH100" s="29" t="str">
        <f>"| "&amp;IF(AR100,GetTagPage(B100,VLOOKUP(B100,'(Ref) Countries'!A:C,3,)),B100)&amp; " "</f>
        <v xml:space="preserve">| [US California](/tags/usa
- california) </v>
      </c>
      <c r="CI100" s="29" t="str">
        <f>"| "&amp;AJ100&amp;" "</f>
        <v xml:space="preserve">|  </v>
      </c>
      <c r="CJ100" s="29" t="str">
        <f>"|"&amp;IF(AR100," [Link](/places/"&amp;SUBSTITUTE(BY100,".md","")&amp;")","")&amp;" "</f>
        <v xml:space="preserve">| [Link](/places/us_ca-soledad-mission-soledad) </v>
      </c>
      <c r="CK100" s="29" t="str">
        <f>"
"&amp;CG100&amp;CH100&amp;CI100&amp;CJ100&amp;BL100&amp;BQ100&amp;BR100&amp;BS100&amp;CF100&amp;"|"</f>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01" spans="1:89" ht="25.5" x14ac:dyDescent="0.25">
      <c r="A101" s="168" t="s">
        <v>1320</v>
      </c>
      <c r="B101" s="24" t="s">
        <v>1903</v>
      </c>
      <c r="C101" s="24" t="s">
        <v>2321</v>
      </c>
      <c r="D101" s="15">
        <v>37.533403637449297</v>
      </c>
      <c r="E101" s="49">
        <v>-121.919695300919</v>
      </c>
      <c r="F101" s="24" t="s">
        <v>2301</v>
      </c>
      <c r="G101" s="53" t="s">
        <v>2301</v>
      </c>
      <c r="H101" s="24" t="s">
        <v>1825</v>
      </c>
      <c r="I101" s="24" t="b">
        <v>1</v>
      </c>
      <c r="K101" s="24" t="b">
        <v>1</v>
      </c>
      <c r="L101" s="24" t="s">
        <v>2354</v>
      </c>
      <c r="N101" s="15" t="s">
        <v>2373</v>
      </c>
      <c r="O101" s="15" t="s">
        <v>336</v>
      </c>
      <c r="P101" s="60" t="s">
        <v>2380</v>
      </c>
      <c r="Q101" s="15" t="s">
        <v>2394</v>
      </c>
      <c r="R101" s="64" t="s">
        <v>336</v>
      </c>
      <c r="S101" s="60" t="s">
        <v>2402</v>
      </c>
      <c r="T101" s="15" t="s">
        <v>2416</v>
      </c>
      <c r="U101" s="64" t="s">
        <v>336</v>
      </c>
      <c r="Y101" s="15" t="s">
        <v>2433</v>
      </c>
      <c r="Z101" s="15" t="s">
        <v>2427</v>
      </c>
      <c r="AR101" s="154" t="b">
        <f>IF(OR(A101="Done",A101="In Progress"),TRUE)</f>
        <v>1</v>
      </c>
      <c r="AS101" s="155" t="str">
        <f>"title: """&amp;F101&amp;""""</f>
        <v>title: "Mission San Jose"</v>
      </c>
      <c r="AT101" s="155" t="str">
        <f>"location: {lat: "&amp;D101&amp;", lng: "&amp;E101&amp;"}"</f>
        <v>location: {lat: 37.5334036374493, lng: -121.919695300919}</v>
      </c>
      <c r="AU101" s="155" t="str">
        <f>"interest: "&amp;H101</f>
        <v>interest: local</v>
      </c>
      <c r="AV101" s="155" t="str">
        <f>"- "&amp;VLOOKUP(B101,'(Ref) Countries'!A:C,3,)</f>
        <v>- usa
- california</v>
      </c>
      <c r="AW101" s="155" t="str">
        <f>IF(LEN(C101)&gt;1,"- "&amp;LOWER(SUBSTITUTE(C101," ","-")),"")</f>
        <v>- fremont</v>
      </c>
      <c r="AX101" s="155" t="str">
        <f>IF(I101,"- churches","")</f>
        <v>- churches</v>
      </c>
      <c r="AY101" s="155" t="str">
        <f>IF(J101,"- marian-sites","")</f>
        <v/>
      </c>
      <c r="AZ101" s="155" t="str">
        <f>IF(K101,"- holy-persons","")</f>
        <v>- holy-persons</v>
      </c>
      <c r="BA101" s="155" t="str">
        <f>IF(LEN(Y101)&gt;0,"- "&amp;Y101,"")</f>
        <v>- california-missions</v>
      </c>
      <c r="BB101" s="155" t="str">
        <f>IF(LEN(Z101)&gt;0,"- "&amp;Z101,"")</f>
        <v>- franciscans</v>
      </c>
      <c r="BC101" s="155" t="str">
        <f>IF(LEN(AA101)&gt;0,"- "&amp;AA101,"")</f>
        <v/>
      </c>
      <c r="BD101" s="155" t="str">
        <f>IF(LEN(AB101)&gt;0,"- "&amp;AB101,"")</f>
        <v/>
      </c>
      <c r="BE101" s="155" t="str">
        <f>IF(LEN(AC101)&gt;0,"- "&amp;AC101,"")</f>
        <v/>
      </c>
      <c r="BF101" s="155" t="str">
        <f>IF(LEN(AD101)&gt;0,"- "&amp;AD101,"")</f>
        <v/>
      </c>
      <c r="BG101" s="155" t="str">
        <f>IF(LEN(AE101)&gt;0,"- "&amp;AE101,"")</f>
        <v/>
      </c>
      <c r="BH101" s="155" t="str">
        <f>IF(LEN(AF101)&gt;0,"- "&amp;AF101,"")</f>
        <v/>
      </c>
      <c r="BI101" s="155" t="str">
        <f>IF(LEN(AG101)&gt;0,"- "&amp;AG101,"")</f>
        <v/>
      </c>
      <c r="BJ101" s="155" t="str">
        <f>IF(LEN(AH101)&gt;0,"- "&amp;AH101,"")</f>
        <v/>
      </c>
      <c r="BK101" s="155" t="str">
        <f>"tags:"&amp;CHAR(10)&amp;concatl(AV101:BJ101)</f>
        <v xml:space="preserve">tags:
- usa
- california_x000D_
- fremont_x000D_
- churches_x000D_
- holy-persons_x000D_
- california-missions_x000D_
- franciscans_x000D_
</v>
      </c>
      <c r="BL101" s="155" t="str">
        <f>IF(LEN(N101)&gt;0,TRIM(CONCATENATE("[Official site](",N101,") ",O101)),"")</f>
        <v>[Official site](http://www.missionsanjose.org/)</v>
      </c>
      <c r="BM101" s="155" t="str">
        <f>IF(LEN(Q101)&gt;0,TRIM(CONCATENATE("["&amp;P101&amp;"](",Q101,") ",R101)),"")</f>
        <v>[California Missions Foundation page](https://californiamissionsfoundation.org/mission-san-jose/)</v>
      </c>
      <c r="BN101" s="155" t="str">
        <f>IF(LEN(T101)&gt;0,TRIM(CONCATENATE("["&amp;S101&amp;"](",T101,") ",U101)),"")</f>
        <v>[Missions California page](https://www.missionscalifornia.com/missions/san-jose/)</v>
      </c>
      <c r="BO101" s="155" t="str">
        <f>IF(LEN(W101)&gt;0,TRIM(CONCATENATE("["&amp;V101&amp;"](",W101,") ",X101)),"")</f>
        <v/>
      </c>
      <c r="BP101" s="155" t="str">
        <f>IF(LEN(BL101)&gt;0,"* "&amp;BL101&amp;CHAR(10),"")&amp;
IF(LEN(BM101)&gt;0,"* "&amp;BM101&amp;CHAR(10),"")&amp;
IF(LEN(BN101)&gt;0,"* "&amp;BN101&amp;CHAR(10),"")&amp;
IF(LEN(BO101)&gt;0,"* "&amp;BO101&amp;CHAR(10),"")</f>
        <v xml:space="preserve">* [Official site](http://www.missionsanjose.org/)
* [California Missions Foundation page](https://californiamissionsfoundation.org/mission-san-jose/)
* [Missions California page](https://www.missionscalifornia.com/missions/san-jose/)
</v>
      </c>
      <c r="BQ101" s="155" t="str">
        <f>IF(LEN(AK101)&gt;0,TRIM(CONCATENATE("[Link](",AK101,") ",AL101)),"")</f>
        <v/>
      </c>
      <c r="BR101" s="155" t="str">
        <f>IF(LEN(AM101)&gt;0,TRIM(CONCATENATE("[Link](",AM101,") ",AN101)),"")</f>
        <v/>
      </c>
      <c r="BS101" s="155" t="str">
        <f>IF(LEN(AO101)&gt;0,TRIM(CONCATENATE("[Link](",AO101,") ",AP101)),"")</f>
        <v/>
      </c>
      <c r="BT101" s="155" t="str">
        <f>IF(LEN(concat(BQ101:BS101))&gt;0,concat("| ",BQ101," | ",BR101," | ",BS101," |"),"")</f>
        <v/>
      </c>
      <c r="BU101" s="155" t="str">
        <f>IF(J101,concatl("| The Real Presence | Miracle Hunter | MaryPages |","| --- | --- | --- |",BT101),"")</f>
        <v/>
      </c>
      <c r="BV101" s="155" t="str">
        <f>IF(LEN(BP101&amp;BU101)&gt;0,concatll("#### More Information",BP101,BU101),"")</f>
        <v xml:space="preserve">#### More Information_x000D_
_x000D_
* [Official site](http://www.missionsanjose.org/)
* [California Missions Foundation page](https://californiamissionsfoundation.org/mission-san-jose/)
* [Missions California page](https://www.missionscalifornia.com/missions/san-jose/)
_x000D_
_x000D_
</v>
      </c>
      <c r="BW101" s="155" t="str">
        <f>IF(LEN(M101)&gt;1,concatll("#### Author's Note",M101),"")</f>
        <v/>
      </c>
      <c r="BX101" s="23" t="str">
        <f>IF(AR101,concatll(concatl("---",AS101:AU101,BK101,"---"),L101,BV101:BW101),"")</f>
        <v xml:space="preserve">---_x000D_
title: "Mission San Jose"_x000D_
location: {lat: 37.5334036374493, lng: -121.919695300919}_x000D_
interest: local_x000D_
tags:
- usa
- california_x000D_
- fremont_x000D_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01" s="23" t="str">
        <f>IF(AR101,VLOOKUP(B101,'(Ref) Countries'!A:B,2,)&amp;IF(LEN(C101)&gt;1,"-"&amp;LOWER(SUBSTITUTE(C101," ","-")),"")&amp;"-"&amp;LOWER(SUBSTITUTE(SUBSTITUTE(G101," ","-"),".",""))&amp;".md","")</f>
        <v>us_ca-fremont-mission-san-jose.md</v>
      </c>
      <c r="BZ101" s="29" t="str">
        <f>IF(LEN(Y101)&gt;1,VLOOKUP(Y101,'Tag List'!$A:$B,2,),"")</f>
        <v>Franciscian Missions in California</v>
      </c>
      <c r="CA101" s="29" t="str">
        <f>IF(LEN(Z101)&gt;1,VLOOKUP(Z101,'Tag List'!$A:$B,2,),"")</f>
        <v>Order of Friars Minor (Fransiscans)</v>
      </c>
      <c r="CB101" s="29" t="str">
        <f>IF(LEN(AA101)&gt;1,VLOOKUP(AA101,'Tag List'!$A:$B,2,),"")</f>
        <v/>
      </c>
      <c r="CC101" s="29" t="str">
        <f>IF(LEN(Y101)&gt;1,GetTagPage(BZ101,Y101),"")</f>
        <v>[Franciscian Missions in California](/tags/california-missions)</v>
      </c>
      <c r="CD101" s="29" t="str">
        <f>IF(LEN(Z101)&gt;1,GetTagPage(CA101,Z101),"")</f>
        <v>[Order of Friars Minor (Fransiscans)](/tags/franciscans)</v>
      </c>
      <c r="CE101" s="29" t="str">
        <f>IF(LEN(AA101)&gt;1,GetTagPage(CB101,AA101),"")</f>
        <v/>
      </c>
      <c r="CF101" s="29" t="str">
        <f>"|"&amp;IF(LEN(CC101)&gt;1," "&amp;CC101,"")&amp;IF(LEN(CD101)&gt;1,", "&amp;CD101,"")&amp;IF(LEN(CE101)&gt;1,", "&amp;CE101,"")&amp;" "</f>
        <v xml:space="preserve">| [Franciscian Missions in California](/tags/california-missions), [Order of Friars Minor (Fransiscans)](/tags/franciscans) </v>
      </c>
      <c r="CG101" s="29" t="str">
        <f>"| "&amp;IF(AR101,"["&amp;AI101&amp;"](/places/"&amp;SUBSTITUTE(BY101,".md","")&amp;")",AI101)&amp;" "</f>
        <v xml:space="preserve">| [](/places/us_ca-fremont-mission-san-jose) </v>
      </c>
      <c r="CH101" s="29" t="str">
        <f>"| "&amp;IF(AR101,GetTagPage(B101,VLOOKUP(B101,'(Ref) Countries'!A:C,3,)),B101)&amp; " "</f>
        <v xml:space="preserve">| [US California](/tags/usa
- california) </v>
      </c>
      <c r="CI101" s="29" t="str">
        <f>"| "&amp;AJ101&amp;" "</f>
        <v xml:space="preserve">|  </v>
      </c>
      <c r="CJ101" s="29" t="str">
        <f>"|"&amp;IF(AR101," [Link](/places/"&amp;SUBSTITUTE(BY101,".md","")&amp;")","")&amp;" "</f>
        <v xml:space="preserve">| [Link](/places/us_ca-fremont-mission-san-jose) </v>
      </c>
      <c r="CK101" s="29" t="str">
        <f>"
"&amp;CG101&amp;CH101&amp;CI101&amp;CJ101&amp;BL101&amp;BQ101&amp;BR101&amp;BS101&amp;CF101&amp;"|"</f>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02" spans="1:89" ht="25.5" x14ac:dyDescent="0.25">
      <c r="A102" s="168" t="s">
        <v>1320</v>
      </c>
      <c r="B102" s="24" t="s">
        <v>1903</v>
      </c>
      <c r="C102" s="24" t="s">
        <v>2322</v>
      </c>
      <c r="D102" s="15">
        <v>36.845891014947597</v>
      </c>
      <c r="E102" s="49">
        <v>-121.53575268911899</v>
      </c>
      <c r="F102" s="24" t="s">
        <v>2302</v>
      </c>
      <c r="G102" s="53" t="s">
        <v>2302</v>
      </c>
      <c r="H102" s="24" t="s">
        <v>1825</v>
      </c>
      <c r="I102" s="24" t="b">
        <v>1</v>
      </c>
      <c r="K102" s="24" t="b">
        <v>1</v>
      </c>
      <c r="L102" s="24" t="s">
        <v>2355</v>
      </c>
      <c r="N102" s="15" t="s">
        <v>2374</v>
      </c>
      <c r="O102" s="15" t="s">
        <v>336</v>
      </c>
      <c r="P102" s="60" t="s">
        <v>2380</v>
      </c>
      <c r="Q102" s="15" t="s">
        <v>2395</v>
      </c>
      <c r="R102" s="64" t="s">
        <v>336</v>
      </c>
      <c r="S102" s="60" t="s">
        <v>2402</v>
      </c>
      <c r="T102" s="15" t="s">
        <v>2417</v>
      </c>
      <c r="U102" s="64" t="s">
        <v>336</v>
      </c>
      <c r="Y102" s="15" t="s">
        <v>2433</v>
      </c>
      <c r="Z102" s="15" t="s">
        <v>2427</v>
      </c>
      <c r="AR102" s="154" t="b">
        <f>IF(OR(A102="Done",A102="In Progress"),TRUE)</f>
        <v>1</v>
      </c>
      <c r="AS102" s="155" t="str">
        <f>"title: """&amp;F102&amp;""""</f>
        <v>title: "Mission San Juan Bautista"</v>
      </c>
      <c r="AT102" s="155" t="str">
        <f>"location: {lat: "&amp;D102&amp;", lng: "&amp;E102&amp;"}"</f>
        <v>location: {lat: 36.8458910149476, lng: -121.535752689119}</v>
      </c>
      <c r="AU102" s="155" t="str">
        <f>"interest: "&amp;H102</f>
        <v>interest: local</v>
      </c>
      <c r="AV102" s="155" t="str">
        <f>"- "&amp;VLOOKUP(B102,'(Ref) Countries'!A:C,3,)</f>
        <v>- usa
- california</v>
      </c>
      <c r="AW102" s="155" t="str">
        <f>IF(LEN(C102)&gt;1,"- "&amp;LOWER(SUBSTITUTE(C102," ","-")),"")</f>
        <v>- san-juan-bautista</v>
      </c>
      <c r="AX102" s="155" t="str">
        <f>IF(I102,"- churches","")</f>
        <v>- churches</v>
      </c>
      <c r="AY102" s="155" t="str">
        <f>IF(J102,"- marian-sites","")</f>
        <v/>
      </c>
      <c r="AZ102" s="155" t="str">
        <f>IF(K102,"- holy-persons","")</f>
        <v>- holy-persons</v>
      </c>
      <c r="BA102" s="155" t="str">
        <f>IF(LEN(Y102)&gt;0,"- "&amp;Y102,"")</f>
        <v>- california-missions</v>
      </c>
      <c r="BB102" s="155" t="str">
        <f>IF(LEN(Z102)&gt;0,"- "&amp;Z102,"")</f>
        <v>- franciscans</v>
      </c>
      <c r="BC102" s="155" t="str">
        <f>IF(LEN(AA102)&gt;0,"- "&amp;AA102,"")</f>
        <v/>
      </c>
      <c r="BD102" s="155" t="str">
        <f>IF(LEN(AB102)&gt;0,"- "&amp;AB102,"")</f>
        <v/>
      </c>
      <c r="BE102" s="155" t="str">
        <f>IF(LEN(AC102)&gt;0,"- "&amp;AC102,"")</f>
        <v/>
      </c>
      <c r="BF102" s="155" t="str">
        <f>IF(LEN(AD102)&gt;0,"- "&amp;AD102,"")</f>
        <v/>
      </c>
      <c r="BG102" s="155" t="str">
        <f>IF(LEN(AE102)&gt;0,"- "&amp;AE102,"")</f>
        <v/>
      </c>
      <c r="BH102" s="155" t="str">
        <f>IF(LEN(AF102)&gt;0,"- "&amp;AF102,"")</f>
        <v/>
      </c>
      <c r="BI102" s="155" t="str">
        <f>IF(LEN(AG102)&gt;0,"- "&amp;AG102,"")</f>
        <v/>
      </c>
      <c r="BJ102" s="155" t="str">
        <f>IF(LEN(AH102)&gt;0,"- "&amp;AH102,"")</f>
        <v/>
      </c>
      <c r="BK102" s="155" t="str">
        <f>"tags:"&amp;CHAR(10)&amp;concatl(AV102:BJ102)</f>
        <v xml:space="preserve">tags:
- usa
- california_x000D_
- san-juan-bautista_x000D_
- churches_x000D_
- holy-persons_x000D_
- california-missions_x000D_
- franciscans_x000D_
</v>
      </c>
      <c r="BL102" s="155" t="str">
        <f>IF(LEN(N102)&gt;0,TRIM(CONCATENATE("[Official site](",N102,") ",O102)),"")</f>
        <v>[Official site](http://www.oldmissionsjb.org/)</v>
      </c>
      <c r="BM102" s="155" t="str">
        <f>IF(LEN(Q102)&gt;0,TRIM(CONCATENATE("["&amp;P102&amp;"](",Q102,") ",R102)),"")</f>
        <v>[California Missions Foundation page](https://californiamissionsfoundation.org/mission-san-juan-bautista/)</v>
      </c>
      <c r="BN102" s="155" t="str">
        <f>IF(LEN(T102)&gt;0,TRIM(CONCATENATE("["&amp;S102&amp;"](",T102,") ",U102)),"")</f>
        <v>[Missions California page](https://www.missionscalifornia.com/missions/san-juan-bautista/)</v>
      </c>
      <c r="BO102" s="155" t="str">
        <f>IF(LEN(W102)&gt;0,TRIM(CONCATENATE("["&amp;V102&amp;"](",W102,") ",X102)),"")</f>
        <v/>
      </c>
      <c r="BP102" s="155" t="str">
        <f>IF(LEN(BL102)&gt;0,"* "&amp;BL102&amp;CHAR(10),"")&amp;
IF(LEN(BM102)&gt;0,"* "&amp;BM102&amp;CHAR(10),"")&amp;
IF(LEN(BN102)&gt;0,"* "&amp;BN102&amp;CHAR(10),"")&amp;
IF(LEN(BO102)&gt;0,"* "&amp;BO102&amp;CHAR(10),"")</f>
        <v xml:space="preserve">* [Official site](http://www.oldmissionsjb.org/)
* [California Missions Foundation page](https://californiamissionsfoundation.org/mission-san-juan-bautista/)
* [Missions California page](https://www.missionscalifornia.com/missions/san-juan-bautista/)
</v>
      </c>
      <c r="BQ102" s="155" t="str">
        <f>IF(LEN(AK102)&gt;0,TRIM(CONCATENATE("[Link](",AK102,") ",AL102)),"")</f>
        <v/>
      </c>
      <c r="BR102" s="155" t="str">
        <f>IF(LEN(AM102)&gt;0,TRIM(CONCATENATE("[Link](",AM102,") ",AN102)),"")</f>
        <v/>
      </c>
      <c r="BS102" s="155" t="str">
        <f>IF(LEN(AO102)&gt;0,TRIM(CONCATENATE("[Link](",AO102,") ",AP102)),"")</f>
        <v/>
      </c>
      <c r="BT102" s="155" t="str">
        <f>IF(LEN(concat(BQ102:BS102))&gt;0,concat("| ",BQ102," | ",BR102," | ",BS102," |"),"")</f>
        <v/>
      </c>
      <c r="BU102" s="155" t="str">
        <f>IF(J102,concatl("| The Real Presence | Miracle Hunter | MaryPages |","| --- | --- | --- |",BT102),"")</f>
        <v/>
      </c>
      <c r="BV102" s="155" t="str">
        <f>IF(LEN(BP102&amp;BU102)&gt;0,concatll("#### More Information",BP102,BU102),"")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02" s="155" t="str">
        <f>IF(LEN(M102)&gt;1,concatll("#### Author's Note",M102),"")</f>
        <v/>
      </c>
      <c r="BX102" s="23" t="str">
        <f>IF(AR102,concatll(concatl("---",AS102:AU102,BK102,"---"),L102,BV102:BW102),"")</f>
        <v xml:space="preserve">---_x000D_
title: "Mission San Juan Bautista"_x000D_
location: {lat: 36.8458910149476, lng: -121.535752689119}_x000D_
interest: local_x000D_
tags:
- usa
- california_x000D_
- san-juan-bautista_x000D_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02" s="23" t="str">
        <f>IF(AR102,VLOOKUP(B102,'(Ref) Countries'!A:B,2,)&amp;IF(LEN(C102)&gt;1,"-"&amp;LOWER(SUBSTITUTE(C102," ","-")),"")&amp;"-"&amp;LOWER(SUBSTITUTE(SUBSTITUTE(G102," ","-"),".",""))&amp;".md","")</f>
        <v>us_ca-san-juan-bautista-mission-san-juan-bautista.md</v>
      </c>
      <c r="BZ102" s="29" t="str">
        <f>IF(LEN(Y102)&gt;1,VLOOKUP(Y102,'Tag List'!$A:$B,2,),"")</f>
        <v>Franciscian Missions in California</v>
      </c>
      <c r="CA102" s="29" t="str">
        <f>IF(LEN(Z102)&gt;1,VLOOKUP(Z102,'Tag List'!$A:$B,2,),"")</f>
        <v>Order of Friars Minor (Fransiscans)</v>
      </c>
      <c r="CB102" s="29" t="str">
        <f>IF(LEN(AA102)&gt;1,VLOOKUP(AA102,'Tag List'!$A:$B,2,),"")</f>
        <v/>
      </c>
      <c r="CC102" s="29" t="str">
        <f>IF(LEN(Y102)&gt;1,GetTagPage(BZ102,Y102),"")</f>
        <v>[Franciscian Missions in California](/tags/california-missions)</v>
      </c>
      <c r="CD102" s="29" t="str">
        <f>IF(LEN(Z102)&gt;1,GetTagPage(CA102,Z102),"")</f>
        <v>[Order of Friars Minor (Fransiscans)](/tags/franciscans)</v>
      </c>
      <c r="CE102" s="29" t="str">
        <f>IF(LEN(AA102)&gt;1,GetTagPage(CB102,AA102),"")</f>
        <v/>
      </c>
      <c r="CF102" s="29" t="str">
        <f>"|"&amp;IF(LEN(CC102)&gt;1," "&amp;CC102,"")&amp;IF(LEN(CD102)&gt;1,", "&amp;CD102,"")&amp;IF(LEN(CE102)&gt;1,", "&amp;CE102,"")&amp;" "</f>
        <v xml:space="preserve">| [Franciscian Missions in California](/tags/california-missions), [Order of Friars Minor (Fransiscans)](/tags/franciscans) </v>
      </c>
      <c r="CG102" s="29" t="str">
        <f>"| "&amp;IF(AR102,"["&amp;AI102&amp;"](/places/"&amp;SUBSTITUTE(BY102,".md","")&amp;")",AI102)&amp;" "</f>
        <v xml:space="preserve">| [](/places/us_ca-san-juan-bautista-mission-san-juan-bautista) </v>
      </c>
      <c r="CH102" s="29" t="str">
        <f>"| "&amp;IF(AR102,GetTagPage(B102,VLOOKUP(B102,'(Ref) Countries'!A:C,3,)),B102)&amp; " "</f>
        <v xml:space="preserve">| [US California](/tags/usa
- california) </v>
      </c>
      <c r="CI102" s="29" t="str">
        <f>"| "&amp;AJ102&amp;" "</f>
        <v xml:space="preserve">|  </v>
      </c>
      <c r="CJ102" s="29" t="str">
        <f>"|"&amp;IF(AR102," [Link](/places/"&amp;SUBSTITUTE(BY102,".md","")&amp;")","")&amp;" "</f>
        <v xml:space="preserve">| [Link](/places/us_ca-san-juan-bautista-mission-san-juan-bautista) </v>
      </c>
      <c r="CK102" s="29" t="str">
        <f>"
"&amp;CG102&amp;CH102&amp;CI102&amp;CJ102&amp;BL102&amp;BQ102&amp;BR102&amp;BS102&amp;CF102&amp;"|"</f>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03" spans="1:89" ht="25.5" x14ac:dyDescent="0.25">
      <c r="A103" s="168" t="s">
        <v>1320</v>
      </c>
      <c r="B103" s="24" t="s">
        <v>1903</v>
      </c>
      <c r="C103" s="24" t="s">
        <v>2323</v>
      </c>
      <c r="D103" s="15">
        <v>35.744934541386101</v>
      </c>
      <c r="E103" s="49">
        <v>-120.69716204497</v>
      </c>
      <c r="F103" s="24" t="s">
        <v>2303</v>
      </c>
      <c r="G103" s="119" t="s">
        <v>2337</v>
      </c>
      <c r="H103" s="24" t="s">
        <v>1825</v>
      </c>
      <c r="I103" s="24" t="b">
        <v>1</v>
      </c>
      <c r="K103" s="24" t="b">
        <v>1</v>
      </c>
      <c r="L103" s="24" t="s">
        <v>2356</v>
      </c>
      <c r="N103" s="15" t="s">
        <v>2375</v>
      </c>
      <c r="O103" s="15" t="s">
        <v>336</v>
      </c>
      <c r="P103" s="60" t="s">
        <v>2380</v>
      </c>
      <c r="Q103" s="15" t="s">
        <v>2396</v>
      </c>
      <c r="R103" s="64" t="s">
        <v>336</v>
      </c>
      <c r="S103" s="60" t="s">
        <v>2402</v>
      </c>
      <c r="T103" s="15" t="s">
        <v>2418</v>
      </c>
      <c r="U103" s="64" t="s">
        <v>336</v>
      </c>
      <c r="Y103" s="15" t="s">
        <v>2433</v>
      </c>
      <c r="Z103" s="15" t="s">
        <v>2427</v>
      </c>
      <c r="AR103" s="154" t="b">
        <f>IF(OR(A103="Done",A103="In Progress"),TRUE)</f>
        <v>1</v>
      </c>
      <c r="AS103" s="155" t="str">
        <f>"title: """&amp;F103&amp;""""</f>
        <v>title: "Mission San Miguel Arcangel"</v>
      </c>
      <c r="AT103" s="155" t="str">
        <f>"location: {lat: "&amp;D103&amp;", lng: "&amp;E103&amp;"}"</f>
        <v>location: {lat: 35.7449345413861, lng: -120.69716204497}</v>
      </c>
      <c r="AU103" s="155" t="str">
        <f>"interest: "&amp;H103</f>
        <v>interest: local</v>
      </c>
      <c r="AV103" s="155" t="str">
        <f>"- "&amp;VLOOKUP(B103,'(Ref) Countries'!A:C,3,)</f>
        <v>- usa
- california</v>
      </c>
      <c r="AW103" s="155" t="str">
        <f>IF(LEN(C103)&gt;1,"- "&amp;LOWER(SUBSTITUTE(C103," ","-")),"")</f>
        <v>- san-miguel</v>
      </c>
      <c r="AX103" s="155" t="str">
        <f>IF(I103,"- churches","")</f>
        <v>- churches</v>
      </c>
      <c r="AY103" s="155" t="str">
        <f>IF(J103,"- marian-sites","")</f>
        <v/>
      </c>
      <c r="AZ103" s="155" t="str">
        <f>IF(K103,"- holy-persons","")</f>
        <v>- holy-persons</v>
      </c>
      <c r="BA103" s="155" t="str">
        <f>IF(LEN(Y103)&gt;0,"- "&amp;Y103,"")</f>
        <v>- california-missions</v>
      </c>
      <c r="BB103" s="155" t="str">
        <f>IF(LEN(Z103)&gt;0,"- "&amp;Z103,"")</f>
        <v>- franciscans</v>
      </c>
      <c r="BC103" s="155" t="str">
        <f>IF(LEN(AA103)&gt;0,"- "&amp;AA103,"")</f>
        <v/>
      </c>
      <c r="BD103" s="155" t="str">
        <f>IF(LEN(AB103)&gt;0,"- "&amp;AB103,"")</f>
        <v/>
      </c>
      <c r="BE103" s="155" t="str">
        <f>IF(LEN(AC103)&gt;0,"- "&amp;AC103,"")</f>
        <v/>
      </c>
      <c r="BF103" s="155" t="str">
        <f>IF(LEN(AD103)&gt;0,"- "&amp;AD103,"")</f>
        <v/>
      </c>
      <c r="BG103" s="155" t="str">
        <f>IF(LEN(AE103)&gt;0,"- "&amp;AE103,"")</f>
        <v/>
      </c>
      <c r="BH103" s="155" t="str">
        <f>IF(LEN(AF103)&gt;0,"- "&amp;AF103,"")</f>
        <v/>
      </c>
      <c r="BI103" s="155" t="str">
        <f>IF(LEN(AG103)&gt;0,"- "&amp;AG103,"")</f>
        <v/>
      </c>
      <c r="BJ103" s="155" t="str">
        <f>IF(LEN(AH103)&gt;0,"- "&amp;AH103,"")</f>
        <v/>
      </c>
      <c r="BK103" s="155" t="str">
        <f>"tags:"&amp;CHAR(10)&amp;concatl(AV103:BJ103)</f>
        <v xml:space="preserve">tags:
- usa
- california_x000D_
- san-miguel_x000D_
- churches_x000D_
- holy-persons_x000D_
- california-missions_x000D_
- franciscans_x000D_
</v>
      </c>
      <c r="BL103" s="155" t="str">
        <f>IF(LEN(N103)&gt;0,TRIM(CONCATENATE("[Official site](",N103,") ",O103)),"")</f>
        <v>[Official site](http://www.missionsanmiguel.org/)</v>
      </c>
      <c r="BM103" s="155" t="str">
        <f>IF(LEN(Q103)&gt;0,TRIM(CONCATENATE("["&amp;P103&amp;"](",Q103,") ",R103)),"")</f>
        <v>[California Missions Foundation page](https://californiamissionsfoundation.org/mission-san-miguel/)</v>
      </c>
      <c r="BN103" s="155" t="str">
        <f>IF(LEN(T103)&gt;0,TRIM(CONCATENATE("["&amp;S103&amp;"](",T103,") ",U103)),"")</f>
        <v>[Missions California page](https://www.missionscalifornia.com/missions/san-miguel-arcangel/)</v>
      </c>
      <c r="BO103" s="155" t="str">
        <f>IF(LEN(W103)&gt;0,TRIM(CONCATENATE("["&amp;V103&amp;"](",W103,") ",X103)),"")</f>
        <v/>
      </c>
      <c r="BP103" s="155" t="str">
        <f>IF(LEN(BL103)&gt;0,"* "&amp;BL103&amp;CHAR(10),"")&amp;
IF(LEN(BM103)&gt;0,"* "&amp;BM103&amp;CHAR(10),"")&amp;
IF(LEN(BN103)&gt;0,"* "&amp;BN103&amp;CHAR(10),"")&amp;
IF(LEN(BO103)&gt;0,"* "&amp;BO103&amp;CHAR(10),"")</f>
        <v xml:space="preserve">* [Official site](http://www.missionsanmiguel.org/)
* [California Missions Foundation page](https://californiamissionsfoundation.org/mission-san-miguel/)
* [Missions California page](https://www.missionscalifornia.com/missions/san-miguel-arcangel/)
</v>
      </c>
      <c r="BQ103" s="155" t="str">
        <f>IF(LEN(AK103)&gt;0,TRIM(CONCATENATE("[Link](",AK103,") ",AL103)),"")</f>
        <v/>
      </c>
      <c r="BR103" s="155" t="str">
        <f>IF(LEN(AM103)&gt;0,TRIM(CONCATENATE("[Link](",AM103,") ",AN103)),"")</f>
        <v/>
      </c>
      <c r="BS103" s="155" t="str">
        <f>IF(LEN(AO103)&gt;0,TRIM(CONCATENATE("[Link](",AO103,") ",AP103)),"")</f>
        <v/>
      </c>
      <c r="BT103" s="155" t="str">
        <f>IF(LEN(concat(BQ103:BS103))&gt;0,concat("| ",BQ103," | ",BR103," | ",BS103," |"),"")</f>
        <v/>
      </c>
      <c r="BU103" s="155" t="str">
        <f>IF(J103,concatl("| The Real Presence | Miracle Hunter | MaryPages |","| --- | --- | --- |",BT103),"")</f>
        <v/>
      </c>
      <c r="BV103" s="155" t="str">
        <f>IF(LEN(BP103&amp;BU103)&gt;0,concatll("#### More Information",BP103,BU103),"")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03" s="155" t="str">
        <f>IF(LEN(M103)&gt;1,concatll("#### Author's Note",M103),"")</f>
        <v/>
      </c>
      <c r="BX103" s="23" t="str">
        <f>IF(AR103,concatll(concatl("---",AS103:AU103,BK103,"---"),L103,BV103:BW103),"")</f>
        <v xml:space="preserve">---_x000D_
title: "Mission San Miguel Arcangel"_x000D_
location: {lat: 35.7449345413861, lng: -120.69716204497}_x000D_
interest: local_x000D_
tags:
- usa
- california_x000D_
- san-miguel_x000D_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03" s="23" t="str">
        <f>IF(AR103,VLOOKUP(B103,'(Ref) Countries'!A:B,2,)&amp;IF(LEN(C103)&gt;1,"-"&amp;LOWER(SUBSTITUTE(C103," ","-")),"")&amp;"-"&amp;LOWER(SUBSTITUTE(SUBSTITUTE(G103," ","-"),".",""))&amp;".md","")</f>
        <v>us_ca-san-miguel-mission-san-miguel.md</v>
      </c>
      <c r="BZ103" s="29" t="str">
        <f>IF(LEN(Y103)&gt;1,VLOOKUP(Y103,'Tag List'!$A:$B,2,),"")</f>
        <v>Franciscian Missions in California</v>
      </c>
      <c r="CA103" s="29" t="str">
        <f>IF(LEN(Z103)&gt;1,VLOOKUP(Z103,'Tag List'!$A:$B,2,),"")</f>
        <v>Order of Friars Minor (Fransiscans)</v>
      </c>
      <c r="CB103" s="29" t="str">
        <f>IF(LEN(AA103)&gt;1,VLOOKUP(AA103,'Tag List'!$A:$B,2,),"")</f>
        <v/>
      </c>
      <c r="CC103" s="29" t="str">
        <f>IF(LEN(Y103)&gt;1,GetTagPage(BZ103,Y103),"")</f>
        <v>[Franciscian Missions in California](/tags/california-missions)</v>
      </c>
      <c r="CD103" s="29" t="str">
        <f>IF(LEN(Z103)&gt;1,GetTagPage(CA103,Z103),"")</f>
        <v>[Order of Friars Minor (Fransiscans)](/tags/franciscans)</v>
      </c>
      <c r="CE103" s="29" t="str">
        <f>IF(LEN(AA103)&gt;1,GetTagPage(CB103,AA103),"")</f>
        <v/>
      </c>
      <c r="CF103" s="29" t="str">
        <f>"|"&amp;IF(LEN(CC103)&gt;1," "&amp;CC103,"")&amp;IF(LEN(CD103)&gt;1,", "&amp;CD103,"")&amp;IF(LEN(CE103)&gt;1,", "&amp;CE103,"")&amp;" "</f>
        <v xml:space="preserve">| [Franciscian Missions in California](/tags/california-missions), [Order of Friars Minor (Fransiscans)](/tags/franciscans) </v>
      </c>
      <c r="CG103" s="29" t="str">
        <f>"| "&amp;IF(AR103,"["&amp;AI103&amp;"](/places/"&amp;SUBSTITUTE(BY103,".md","")&amp;")",AI103)&amp;" "</f>
        <v xml:space="preserve">| [](/places/us_ca-san-miguel-mission-san-miguel) </v>
      </c>
      <c r="CH103" s="29" t="str">
        <f>"| "&amp;IF(AR103,GetTagPage(B103,VLOOKUP(B103,'(Ref) Countries'!A:C,3,)),B103)&amp; " "</f>
        <v xml:space="preserve">| [US California](/tags/usa
- california) </v>
      </c>
      <c r="CI103" s="29" t="str">
        <f>"| "&amp;AJ103&amp;" "</f>
        <v xml:space="preserve">|  </v>
      </c>
      <c r="CJ103" s="29" t="str">
        <f>"|"&amp;IF(AR103," [Link](/places/"&amp;SUBSTITUTE(BY103,".md","")&amp;")","")&amp;" "</f>
        <v xml:space="preserve">| [Link](/places/us_ca-san-miguel-mission-san-miguel) </v>
      </c>
      <c r="CK103" s="29" t="str">
        <f>"
"&amp;CG103&amp;CH103&amp;CI103&amp;CJ103&amp;BL103&amp;BQ103&amp;BR103&amp;BS103&amp;CF103&amp;"|"</f>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04" spans="1:89" ht="25.5" x14ac:dyDescent="0.25">
      <c r="A104" s="168" t="s">
        <v>1320</v>
      </c>
      <c r="B104" s="24" t="s">
        <v>1903</v>
      </c>
      <c r="C104" s="24" t="s">
        <v>2324</v>
      </c>
      <c r="D104" s="15">
        <v>34.272871781930903</v>
      </c>
      <c r="E104" s="49">
        <v>-118.461632373847</v>
      </c>
      <c r="F104" s="24" t="s">
        <v>2304</v>
      </c>
      <c r="G104" s="119" t="s">
        <v>2338</v>
      </c>
      <c r="H104" s="24" t="s">
        <v>1825</v>
      </c>
      <c r="I104" s="24" t="b">
        <v>1</v>
      </c>
      <c r="K104" s="24" t="b">
        <v>1</v>
      </c>
      <c r="L104" s="24" t="s">
        <v>2357</v>
      </c>
      <c r="O104" s="15" t="s">
        <v>336</v>
      </c>
      <c r="P104" s="60" t="s">
        <v>2380</v>
      </c>
      <c r="Q104" s="15" t="s">
        <v>2397</v>
      </c>
      <c r="R104" s="64" t="s">
        <v>336</v>
      </c>
      <c r="S104" s="60" t="s">
        <v>2402</v>
      </c>
      <c r="T104" s="15" t="s">
        <v>2419</v>
      </c>
      <c r="U104" s="64" t="s">
        <v>336</v>
      </c>
      <c r="Y104" s="15" t="s">
        <v>2433</v>
      </c>
      <c r="Z104" s="15" t="s">
        <v>2427</v>
      </c>
      <c r="AR104" s="154" t="b">
        <f>IF(OR(A104="Done",A104="In Progress"),TRUE)</f>
        <v>1</v>
      </c>
      <c r="AS104" s="155" t="str">
        <f>"title: """&amp;F104&amp;""""</f>
        <v>title: "Mission San Fernando Rey de Espana"</v>
      </c>
      <c r="AT104" s="155" t="str">
        <f>"location: {lat: "&amp;D104&amp;", lng: "&amp;E104&amp;"}"</f>
        <v>location: {lat: 34.2728717819309, lng: -118.461632373847}</v>
      </c>
      <c r="AU104" s="155" t="str">
        <f>"interest: "&amp;H104</f>
        <v>interest: local</v>
      </c>
      <c r="AV104" s="155" t="str">
        <f>"- "&amp;VLOOKUP(B104,'(Ref) Countries'!A:C,3,)</f>
        <v>- usa
- california</v>
      </c>
      <c r="AW104" s="155" t="str">
        <f>IF(LEN(C104)&gt;1,"- "&amp;LOWER(SUBSTITUTE(C104," ","-")),"")</f>
        <v>- mission-hills</v>
      </c>
      <c r="AX104" s="155" t="str">
        <f>IF(I104,"- churches","")</f>
        <v>- churches</v>
      </c>
      <c r="AY104" s="155" t="str">
        <f>IF(J104,"- marian-sites","")</f>
        <v/>
      </c>
      <c r="AZ104" s="155" t="str">
        <f>IF(K104,"- holy-persons","")</f>
        <v>- holy-persons</v>
      </c>
      <c r="BA104" s="155" t="str">
        <f>IF(LEN(Y104)&gt;0,"- "&amp;Y104,"")</f>
        <v>- california-missions</v>
      </c>
      <c r="BB104" s="155" t="str">
        <f>IF(LEN(Z104)&gt;0,"- "&amp;Z104,"")</f>
        <v>- franciscans</v>
      </c>
      <c r="BC104" s="155" t="str">
        <f>IF(LEN(AA104)&gt;0,"- "&amp;AA104,"")</f>
        <v/>
      </c>
      <c r="BD104" s="155" t="str">
        <f>IF(LEN(AB104)&gt;0,"- "&amp;AB104,"")</f>
        <v/>
      </c>
      <c r="BE104" s="155" t="str">
        <f>IF(LEN(AC104)&gt;0,"- "&amp;AC104,"")</f>
        <v/>
      </c>
      <c r="BF104" s="155" t="str">
        <f>IF(LEN(AD104)&gt;0,"- "&amp;AD104,"")</f>
        <v/>
      </c>
      <c r="BG104" s="155" t="str">
        <f>IF(LEN(AE104)&gt;0,"- "&amp;AE104,"")</f>
        <v/>
      </c>
      <c r="BH104" s="155" t="str">
        <f>IF(LEN(AF104)&gt;0,"- "&amp;AF104,"")</f>
        <v/>
      </c>
      <c r="BI104" s="155" t="str">
        <f>IF(LEN(AG104)&gt;0,"- "&amp;AG104,"")</f>
        <v/>
      </c>
      <c r="BJ104" s="155" t="str">
        <f>IF(LEN(AH104)&gt;0,"- "&amp;AH104,"")</f>
        <v/>
      </c>
      <c r="BK104" s="155" t="str">
        <f>"tags:"&amp;CHAR(10)&amp;concatl(AV104:BJ104)</f>
        <v xml:space="preserve">tags:
- usa
- california_x000D_
- mission-hills_x000D_
- churches_x000D_
- holy-persons_x000D_
- california-missions_x000D_
- franciscans_x000D_
</v>
      </c>
      <c r="BL104" s="155" t="str">
        <f>IF(LEN(N104)&gt;0,TRIM(CONCATENATE("[Official site](",N104,") ",O104)),"")</f>
        <v/>
      </c>
      <c r="BM104" s="155" t="str">
        <f>IF(LEN(Q104)&gt;0,TRIM(CONCATENATE("["&amp;P104&amp;"](",Q104,") ",R104)),"")</f>
        <v>[California Missions Foundation page](https://californiamissionsfoundation.org/mission-san-fernando/)</v>
      </c>
      <c r="BN104" s="155" t="str">
        <f>IF(LEN(T104)&gt;0,TRIM(CONCATENATE("["&amp;S104&amp;"](",T104,") ",U104)),"")</f>
        <v>[Missions California page](https://www.missionscalifornia.com/missions/san-fernando-rey-de-espana/)</v>
      </c>
      <c r="BO104" s="155" t="str">
        <f>IF(LEN(W104)&gt;0,TRIM(CONCATENATE("["&amp;V104&amp;"](",W104,") ",X104)),"")</f>
        <v/>
      </c>
      <c r="BP104" s="155" t="str">
        <f>IF(LEN(BL104)&gt;0,"* "&amp;BL104&amp;CHAR(10),"")&amp;
IF(LEN(BM104)&gt;0,"* "&amp;BM104&amp;CHAR(10),"")&amp;
IF(LEN(BN104)&gt;0,"* "&amp;BN104&amp;CHAR(10),"")&amp;
IF(LEN(BO104)&gt;0,"* "&amp;BO104&amp;CHAR(10),"")</f>
        <v xml:space="preserve">* [California Missions Foundation page](https://californiamissionsfoundation.org/mission-san-fernando/)
* [Missions California page](https://www.missionscalifornia.com/missions/san-fernando-rey-de-espana/)
</v>
      </c>
      <c r="BQ104" s="155" t="str">
        <f>IF(LEN(AK104)&gt;0,TRIM(CONCATENATE("[Link](",AK104,") ",AL104)),"")</f>
        <v/>
      </c>
      <c r="BR104" s="155" t="str">
        <f>IF(LEN(AM104)&gt;0,TRIM(CONCATENATE("[Link](",AM104,") ",AN104)),"")</f>
        <v/>
      </c>
      <c r="BS104" s="155" t="str">
        <f>IF(LEN(AO104)&gt;0,TRIM(CONCATENATE("[Link](",AO104,") ",AP104)),"")</f>
        <v/>
      </c>
      <c r="BT104" s="155" t="str">
        <f>IF(LEN(concat(BQ104:BS104))&gt;0,concat("| ",BQ104," | ",BR104," | ",BS104," |"),"")</f>
        <v/>
      </c>
      <c r="BU104" s="155" t="str">
        <f>IF(J104,concatl("| The Real Presence | Miracle Hunter | MaryPages |","| --- | --- | --- |",BT104),"")</f>
        <v/>
      </c>
      <c r="BV104" s="155" t="str">
        <f>IF(LEN(BP104&amp;BU104)&gt;0,concatll("#### More Information",BP104,BU104),"")</f>
        <v xml:space="preserve">#### More Information_x000D_
_x000D_
* [California Missions Foundation page](https://californiamissionsfoundation.org/mission-san-fernando/)
* [Missions California page](https://www.missionscalifornia.com/missions/san-fernando-rey-de-espana/)
_x000D_
_x000D_
</v>
      </c>
      <c r="BW104" s="155" t="str">
        <f>IF(LEN(M104)&gt;1,concatll("#### Author's Note",M104),"")</f>
        <v/>
      </c>
      <c r="BX104" s="23" t="str">
        <f>IF(AR104,concatll(concatl("---",AS104:AU104,BK104,"---"),L104,BV104:BW104),"")</f>
        <v xml:space="preserve">---_x000D_
title: "Mission San Fernando Rey de Espana"_x000D_
location: {lat: 34.2728717819309, lng: -118.461632373847}_x000D_
interest: local_x000D_
tags:
- usa
- california_x000D_
- mission-hills_x000D_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04" s="23" t="str">
        <f>IF(AR104,VLOOKUP(B104,'(Ref) Countries'!A:B,2,)&amp;IF(LEN(C104)&gt;1,"-"&amp;LOWER(SUBSTITUTE(C104," ","-")),"")&amp;"-"&amp;LOWER(SUBSTITUTE(SUBSTITUTE(G104," ","-"),".",""))&amp;".md","")</f>
        <v>us_ca-mission-hills-mission-san-fernando.md</v>
      </c>
      <c r="BZ104" s="29" t="str">
        <f>IF(LEN(Y104)&gt;1,VLOOKUP(Y104,'Tag List'!$A:$B,2,),"")</f>
        <v>Franciscian Missions in California</v>
      </c>
      <c r="CA104" s="29" t="str">
        <f>IF(LEN(Z104)&gt;1,VLOOKUP(Z104,'Tag List'!$A:$B,2,),"")</f>
        <v>Order of Friars Minor (Fransiscans)</v>
      </c>
      <c r="CB104" s="29" t="str">
        <f>IF(LEN(AA104)&gt;1,VLOOKUP(AA104,'Tag List'!$A:$B,2,),"")</f>
        <v/>
      </c>
      <c r="CC104" s="29" t="str">
        <f>IF(LEN(Y104)&gt;1,GetTagPage(BZ104,Y104),"")</f>
        <v>[Franciscian Missions in California](/tags/california-missions)</v>
      </c>
      <c r="CD104" s="29" t="str">
        <f>IF(LEN(Z104)&gt;1,GetTagPage(CA104,Z104),"")</f>
        <v>[Order of Friars Minor (Fransiscans)](/tags/franciscans)</v>
      </c>
      <c r="CE104" s="29" t="str">
        <f>IF(LEN(AA104)&gt;1,GetTagPage(CB104,AA104),"")</f>
        <v/>
      </c>
      <c r="CF104" s="29" t="str">
        <f>"|"&amp;IF(LEN(CC104)&gt;1," "&amp;CC104,"")&amp;IF(LEN(CD104)&gt;1,", "&amp;CD104,"")&amp;IF(LEN(CE104)&gt;1,", "&amp;CE104,"")&amp;" "</f>
        <v xml:space="preserve">| [Franciscian Missions in California](/tags/california-missions), [Order of Friars Minor (Fransiscans)](/tags/franciscans) </v>
      </c>
      <c r="CG104" s="29" t="str">
        <f>"| "&amp;IF(AR104,"["&amp;AI104&amp;"](/places/"&amp;SUBSTITUTE(BY104,".md","")&amp;")",AI104)&amp;" "</f>
        <v xml:space="preserve">| [](/places/us_ca-mission-hills-mission-san-fernando) </v>
      </c>
      <c r="CH104" s="29" t="str">
        <f>"| "&amp;IF(AR104,GetTagPage(B104,VLOOKUP(B104,'(Ref) Countries'!A:C,3,)),B104)&amp; " "</f>
        <v xml:space="preserve">| [US California](/tags/usa
- california) </v>
      </c>
      <c r="CI104" s="29" t="str">
        <f>"| "&amp;AJ104&amp;" "</f>
        <v xml:space="preserve">|  </v>
      </c>
      <c r="CJ104" s="29" t="str">
        <f>"|"&amp;IF(AR104," [Link](/places/"&amp;SUBSTITUTE(BY104,".md","")&amp;")","")&amp;" "</f>
        <v xml:space="preserve">| [Link](/places/us_ca-mission-hills-mission-san-fernando) </v>
      </c>
      <c r="CK104" s="29" t="str">
        <f>"
"&amp;CG104&amp;CH104&amp;CI104&amp;CJ104&amp;BL104&amp;BQ104&amp;BR104&amp;BS104&amp;CF104&amp;"|"</f>
        <v xml:space="preserve">
| [](/places/us_ca-mission-hills-mission-san-fernando) | [US California](/tags/usa
- california) |  | [Link](/places/us_ca-mission-hills-mission-san-fernando) | [Franciscian Missions in California](/tags/california-missions), [Order of Friars Minor (Fransiscans)](/tags/franciscans) |</v>
      </c>
    </row>
    <row r="105" spans="1:89" ht="25.5" x14ac:dyDescent="0.25">
      <c r="A105" s="168" t="s">
        <v>1320</v>
      </c>
      <c r="B105" s="24" t="s">
        <v>1903</v>
      </c>
      <c r="C105" s="24" t="s">
        <v>2325</v>
      </c>
      <c r="D105" s="15">
        <v>33.232169550864199</v>
      </c>
      <c r="E105" s="49">
        <v>-117.31975640271099</v>
      </c>
      <c r="F105" s="24" t="s">
        <v>2305</v>
      </c>
      <c r="G105" s="119" t="s">
        <v>2334</v>
      </c>
      <c r="H105" s="24" t="s">
        <v>1825</v>
      </c>
      <c r="I105" s="24" t="b">
        <v>1</v>
      </c>
      <c r="K105" s="24" t="b">
        <v>1</v>
      </c>
      <c r="L105" s="116" t="s">
        <v>2431</v>
      </c>
      <c r="N105" s="15" t="s">
        <v>2376</v>
      </c>
      <c r="O105" s="15" t="s">
        <v>336</v>
      </c>
      <c r="P105" s="60" t="s">
        <v>2380</v>
      </c>
      <c r="Q105" s="15" t="s">
        <v>2398</v>
      </c>
      <c r="R105" s="64" t="s">
        <v>336</v>
      </c>
      <c r="S105" s="60" t="s">
        <v>2402</v>
      </c>
      <c r="T105" s="15" t="s">
        <v>2420</v>
      </c>
      <c r="U105" s="64" t="s">
        <v>336</v>
      </c>
      <c r="Y105" s="15" t="s">
        <v>2433</v>
      </c>
      <c r="Z105" s="15" t="s">
        <v>2427</v>
      </c>
      <c r="AA105" s="15" t="s">
        <v>1424</v>
      </c>
      <c r="AR105" s="154" t="b">
        <f>IF(OR(A105="Done",A105="In Progress"),TRUE)</f>
        <v>1</v>
      </c>
      <c r="AS105" s="155" t="str">
        <f>"title: """&amp;F105&amp;""""</f>
        <v>title: "Mission San Luis Rey de Francia"</v>
      </c>
      <c r="AT105" s="155" t="str">
        <f>"location: {lat: "&amp;D105&amp;", lng: "&amp;E105&amp;"}"</f>
        <v>location: {lat: 33.2321695508642, lng: -117.319756402711}</v>
      </c>
      <c r="AU105" s="155" t="str">
        <f>"interest: "&amp;H105</f>
        <v>interest: local</v>
      </c>
      <c r="AV105" s="155" t="str">
        <f>"- "&amp;VLOOKUP(B105,'(Ref) Countries'!A:C,3,)</f>
        <v>- usa
- california</v>
      </c>
      <c r="AW105" s="155" t="str">
        <f>IF(LEN(C105)&gt;1,"- "&amp;LOWER(SUBSTITUTE(C105," ","-")),"")</f>
        <v>- oceanside</v>
      </c>
      <c r="AX105" s="155" t="str">
        <f>IF(I105,"- churches","")</f>
        <v>- churches</v>
      </c>
      <c r="AY105" s="155" t="str">
        <f>IF(J105,"- marian-sites","")</f>
        <v/>
      </c>
      <c r="AZ105" s="155" t="str">
        <f>IF(K105,"- holy-persons","")</f>
        <v>- holy-persons</v>
      </c>
      <c r="BA105" s="155" t="str">
        <f>IF(LEN(Y105)&gt;0,"- "&amp;Y105,"")</f>
        <v>- california-missions</v>
      </c>
      <c r="BB105" s="155" t="str">
        <f>IF(LEN(Z105)&gt;0,"- "&amp;Z105,"")</f>
        <v>- franciscans</v>
      </c>
      <c r="BC105" s="155" t="str">
        <f>IF(LEN(AA105)&gt;0,"- "&amp;AA105,"")</f>
        <v>- communities</v>
      </c>
      <c r="BD105" s="155" t="str">
        <f>IF(LEN(AB105)&gt;0,"- "&amp;AB105,"")</f>
        <v/>
      </c>
      <c r="BE105" s="155" t="str">
        <f>IF(LEN(AC105)&gt;0,"- "&amp;AC105,"")</f>
        <v/>
      </c>
      <c r="BF105" s="155" t="str">
        <f>IF(LEN(AD105)&gt;0,"- "&amp;AD105,"")</f>
        <v/>
      </c>
      <c r="BG105" s="155" t="str">
        <f>IF(LEN(AE105)&gt;0,"- "&amp;AE105,"")</f>
        <v/>
      </c>
      <c r="BH105" s="155" t="str">
        <f>IF(LEN(AF105)&gt;0,"- "&amp;AF105,"")</f>
        <v/>
      </c>
      <c r="BI105" s="155" t="str">
        <f>IF(LEN(AG105)&gt;0,"- "&amp;AG105,"")</f>
        <v/>
      </c>
      <c r="BJ105" s="155" t="str">
        <f>IF(LEN(AH105)&gt;0,"- "&amp;AH105,"")</f>
        <v/>
      </c>
      <c r="BK105" s="155" t="str">
        <f>"tags:"&amp;CHAR(10)&amp;concatl(AV105:BJ105)</f>
        <v xml:space="preserve">tags:
- usa
- california_x000D_
- oceanside_x000D_
- churches_x000D_
- holy-persons_x000D_
- california-missions_x000D_
- franciscans_x000D_
- communities_x000D_
</v>
      </c>
      <c r="BL105" s="155" t="str">
        <f>IF(LEN(N105)&gt;0,TRIM(CONCATENATE("[Official site](",N105,") ",O105)),"")</f>
        <v>[Official site](https://www.sanluisrey.org/)</v>
      </c>
      <c r="BM105" s="155" t="str">
        <f>IF(LEN(Q105)&gt;0,TRIM(CONCATENATE("["&amp;P105&amp;"](",Q105,") ",R105)),"")</f>
        <v>[California Missions Foundation page](https://californiamissionsfoundation.org/mission-san-luis-rey/)</v>
      </c>
      <c r="BN105" s="155" t="str">
        <f>IF(LEN(T105)&gt;0,TRIM(CONCATENATE("["&amp;S105&amp;"](",T105,") ",U105)),"")</f>
        <v>[Missions California page](https://www.missionscalifornia.com/missions/san-luis-rey-francia/)</v>
      </c>
      <c r="BO105" s="155" t="str">
        <f>IF(LEN(W105)&gt;0,TRIM(CONCATENATE("["&amp;V105&amp;"](",W105,") ",X105)),"")</f>
        <v/>
      </c>
      <c r="BP105" s="155" t="str">
        <f>IF(LEN(BL105)&gt;0,"* "&amp;BL105&amp;CHAR(10),"")&amp;
IF(LEN(BM105)&gt;0,"* "&amp;BM105&amp;CHAR(10),"")&amp;
IF(LEN(BN105)&gt;0,"* "&amp;BN105&amp;CHAR(10),"")&amp;
IF(LEN(BO105)&gt;0,"* "&amp;BO105&amp;CHAR(10),"")</f>
        <v xml:space="preserve">* [Official site](https://www.sanluisrey.org/)
* [California Missions Foundation page](https://californiamissionsfoundation.org/mission-san-luis-rey/)
* [Missions California page](https://www.missionscalifornia.com/missions/san-luis-rey-francia/)
</v>
      </c>
      <c r="BQ105" s="155" t="str">
        <f>IF(LEN(AK105)&gt;0,TRIM(CONCATENATE("[Link](",AK105,") ",AL105)),"")</f>
        <v/>
      </c>
      <c r="BR105" s="155" t="str">
        <f>IF(LEN(AM105)&gt;0,TRIM(CONCATENATE("[Link](",AM105,") ",AN105)),"")</f>
        <v/>
      </c>
      <c r="BS105" s="155" t="str">
        <f>IF(LEN(AO105)&gt;0,TRIM(CONCATENATE("[Link](",AO105,") ",AP105)),"")</f>
        <v/>
      </c>
      <c r="BT105" s="155" t="str">
        <f>IF(LEN(concat(BQ105:BS105))&gt;0,concat("| ",BQ105," | ",BR105," | ",BS105," |"),"")</f>
        <v/>
      </c>
      <c r="BU105" s="155" t="str">
        <f>IF(J105,concatl("| The Real Presence | Miracle Hunter | MaryPages |","| --- | --- | --- |",BT105),"")</f>
        <v/>
      </c>
      <c r="BV105" s="155" t="str">
        <f>IF(LEN(BP105&amp;BU105)&gt;0,concatll("#### More Information",BP105,BU105),"")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05" s="155" t="str">
        <f>IF(LEN(M105)&gt;1,concatll("#### Author's Note",M105),"")</f>
        <v/>
      </c>
      <c r="BX105" s="23" t="str">
        <f>IF(AR105,concatll(concatl("---",AS105:AU105,BK105,"---"),L105,BV105:BW105),"")</f>
        <v xml:space="preserve">---_x000D_
title: "Mission San Luis Rey de Francia"_x000D_
location: {lat: 33.2321695508642, lng: -117.319756402711}_x000D_
interest: local_x000D_
tags:
- usa
- california_x000D_
- oceanside_x000D_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05" s="23" t="str">
        <f>IF(AR105,VLOOKUP(B105,'(Ref) Countries'!A:B,2,)&amp;IF(LEN(C105)&gt;1,"-"&amp;LOWER(SUBSTITUTE(C105," ","-")),"")&amp;"-"&amp;LOWER(SUBSTITUTE(SUBSTITUTE(G105," ","-"),".",""))&amp;".md","")</f>
        <v>us_ca-oceanside-mission-san-luis.md</v>
      </c>
      <c r="BZ105" s="29" t="str">
        <f>IF(LEN(Y105)&gt;1,VLOOKUP(Y105,'Tag List'!$A:$B,2,),"")</f>
        <v>Franciscian Missions in California</v>
      </c>
      <c r="CA105" s="29" t="str">
        <f>IF(LEN(Z105)&gt;1,VLOOKUP(Z105,'Tag List'!$A:$B,2,),"")</f>
        <v>Order of Friars Minor (Fransiscans)</v>
      </c>
      <c r="CB105" s="29" t="str">
        <f>IF(LEN(AA105)&gt;1,VLOOKUP(AA105,'Tag List'!$A:$B,2,),"")</f>
        <v>Religious Communities</v>
      </c>
      <c r="CC105" s="29" t="str">
        <f>IF(LEN(Y105)&gt;1,GetTagPage(BZ105,Y105),"")</f>
        <v>[Franciscian Missions in California](/tags/california-missions)</v>
      </c>
      <c r="CD105" s="29" t="str">
        <f>IF(LEN(Z105)&gt;1,GetTagPage(CA105,Z105),"")</f>
        <v>[Order of Friars Minor (Fransiscans)](/tags/franciscans)</v>
      </c>
      <c r="CE105" s="29" t="str">
        <f>IF(LEN(AA105)&gt;1,GetTagPage(CB105,AA105),"")</f>
        <v>[Religious Communities](/tags/communities)</v>
      </c>
      <c r="CF105" s="29" t="str">
        <f>"|"&amp;IF(LEN(CC105)&gt;1," "&amp;CC105,"")&amp;IF(LEN(CD105)&gt;1,", "&amp;CD105,"")&amp;IF(LEN(CE105)&gt;1,", "&amp;CE105,"")&amp;" "</f>
        <v xml:space="preserve">| [Franciscian Missions in California](/tags/california-missions), [Order of Friars Minor (Fransiscans)](/tags/franciscans), [Religious Communities](/tags/communities) </v>
      </c>
      <c r="CG105" s="29" t="str">
        <f>"| "&amp;IF(AR105,"["&amp;AI105&amp;"](/places/"&amp;SUBSTITUTE(BY105,".md","")&amp;")",AI105)&amp;" "</f>
        <v xml:space="preserve">| [](/places/us_ca-oceanside-mission-san-luis) </v>
      </c>
      <c r="CH105" s="29" t="str">
        <f>"| "&amp;IF(AR105,GetTagPage(B105,VLOOKUP(B105,'(Ref) Countries'!A:C,3,)),B105)&amp; " "</f>
        <v xml:space="preserve">| [US California](/tags/usa
- california) </v>
      </c>
      <c r="CI105" s="29" t="str">
        <f>"| "&amp;AJ105&amp;" "</f>
        <v xml:space="preserve">|  </v>
      </c>
      <c r="CJ105" s="29" t="str">
        <f>"|"&amp;IF(AR105," [Link](/places/"&amp;SUBSTITUTE(BY105,".md","")&amp;")","")&amp;" "</f>
        <v xml:space="preserve">| [Link](/places/us_ca-oceanside-mission-san-luis) </v>
      </c>
      <c r="CK105" s="29" t="str">
        <f>"
"&amp;CG105&amp;CH105&amp;CI105&amp;CJ105&amp;BL105&amp;BQ105&amp;BR105&amp;BS105&amp;CF105&amp;"|"</f>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06" spans="1:89" ht="25.5" x14ac:dyDescent="0.25">
      <c r="A106" s="168" t="s">
        <v>1320</v>
      </c>
      <c r="B106" s="24" t="s">
        <v>1903</v>
      </c>
      <c r="C106" s="24" t="s">
        <v>2326</v>
      </c>
      <c r="D106" s="15">
        <v>34.594730577400298</v>
      </c>
      <c r="E106" s="49">
        <v>-120.13640525849399</v>
      </c>
      <c r="F106" s="24" t="s">
        <v>2306</v>
      </c>
      <c r="G106" s="53" t="s">
        <v>2306</v>
      </c>
      <c r="H106" s="24" t="s">
        <v>1825</v>
      </c>
      <c r="I106" s="24" t="b">
        <v>1</v>
      </c>
      <c r="K106" s="24" t="b">
        <v>1</v>
      </c>
      <c r="L106" s="24" t="s">
        <v>2358</v>
      </c>
      <c r="N106" s="15" t="s">
        <v>2377</v>
      </c>
      <c r="O106" s="15" t="s">
        <v>336</v>
      </c>
      <c r="P106" s="60" t="s">
        <v>2380</v>
      </c>
      <c r="Q106" s="15" t="s">
        <v>2399</v>
      </c>
      <c r="R106" s="64" t="s">
        <v>336</v>
      </c>
      <c r="S106" s="60" t="s">
        <v>2402</v>
      </c>
      <c r="T106" s="15" t="s">
        <v>2421</v>
      </c>
      <c r="U106" s="64" t="s">
        <v>336</v>
      </c>
      <c r="Y106" s="15" t="s">
        <v>2433</v>
      </c>
      <c r="Z106" s="15" t="s">
        <v>2427</v>
      </c>
      <c r="AR106" s="154" t="b">
        <f>IF(OR(A106="Done",A106="In Progress"),TRUE)</f>
        <v>1</v>
      </c>
      <c r="AS106" s="155" t="str">
        <f>"title: """&amp;F106&amp;""""</f>
        <v>title: "Mission Santa Ines"</v>
      </c>
      <c r="AT106" s="155" t="str">
        <f>"location: {lat: "&amp;D106&amp;", lng: "&amp;E106&amp;"}"</f>
        <v>location: {lat: 34.5947305774003, lng: -120.136405258494}</v>
      </c>
      <c r="AU106" s="155" t="str">
        <f>"interest: "&amp;H106</f>
        <v>interest: local</v>
      </c>
      <c r="AV106" s="155" t="str">
        <f>"- "&amp;VLOOKUP(B106,'(Ref) Countries'!A:C,3,)</f>
        <v>- usa
- california</v>
      </c>
      <c r="AW106" s="155" t="str">
        <f>IF(LEN(C106)&gt;1,"- "&amp;LOWER(SUBSTITUTE(C106," ","-")),"")</f>
        <v>- solvang</v>
      </c>
      <c r="AX106" s="155" t="str">
        <f>IF(I106,"- churches","")</f>
        <v>- churches</v>
      </c>
      <c r="AY106" s="155" t="str">
        <f>IF(J106,"- marian-sites","")</f>
        <v/>
      </c>
      <c r="AZ106" s="155" t="str">
        <f>IF(K106,"- holy-persons","")</f>
        <v>- holy-persons</v>
      </c>
      <c r="BA106" s="155" t="str">
        <f>IF(LEN(Y106)&gt;0,"- "&amp;Y106,"")</f>
        <v>- california-missions</v>
      </c>
      <c r="BB106" s="155" t="str">
        <f>IF(LEN(Z106)&gt;0,"- "&amp;Z106,"")</f>
        <v>- franciscans</v>
      </c>
      <c r="BC106" s="155" t="str">
        <f>IF(LEN(AA106)&gt;0,"- "&amp;AA106,"")</f>
        <v/>
      </c>
      <c r="BD106" s="155" t="str">
        <f>IF(LEN(AB106)&gt;0,"- "&amp;AB106,"")</f>
        <v/>
      </c>
      <c r="BE106" s="155" t="str">
        <f>IF(LEN(AC106)&gt;0,"- "&amp;AC106,"")</f>
        <v/>
      </c>
      <c r="BF106" s="155" t="str">
        <f>IF(LEN(AD106)&gt;0,"- "&amp;AD106,"")</f>
        <v/>
      </c>
      <c r="BG106" s="155" t="str">
        <f>IF(LEN(AE106)&gt;0,"- "&amp;AE106,"")</f>
        <v/>
      </c>
      <c r="BH106" s="155" t="str">
        <f>IF(LEN(AF106)&gt;0,"- "&amp;AF106,"")</f>
        <v/>
      </c>
      <c r="BI106" s="155" t="str">
        <f>IF(LEN(AG106)&gt;0,"- "&amp;AG106,"")</f>
        <v/>
      </c>
      <c r="BJ106" s="155" t="str">
        <f>IF(LEN(AH106)&gt;0,"- "&amp;AH106,"")</f>
        <v/>
      </c>
      <c r="BK106" s="155" t="str">
        <f>"tags:"&amp;CHAR(10)&amp;concatl(AV106:BJ106)</f>
        <v xml:space="preserve">tags:
- usa
- california_x000D_
- solvang_x000D_
- churches_x000D_
- holy-persons_x000D_
- california-missions_x000D_
- franciscans_x000D_
</v>
      </c>
      <c r="BL106" s="155" t="str">
        <f>IF(LEN(N106)&gt;0,TRIM(CONCATENATE("[Official site](",N106,") ",O106)),"")</f>
        <v>[Official site](https://missionsantaines.org/)</v>
      </c>
      <c r="BM106" s="155" t="str">
        <f>IF(LEN(Q106)&gt;0,TRIM(CONCATENATE("["&amp;P106&amp;"](",Q106,") ",R106)),"")</f>
        <v>[California Missions Foundation page](https://californiamissionsfoundation.org/mission-santa-ines/)</v>
      </c>
      <c r="BN106" s="155" t="str">
        <f>IF(LEN(T106)&gt;0,TRIM(CONCATENATE("["&amp;S106&amp;"](",T106,") ",U106)),"")</f>
        <v>[Missions California page](https://www.missionscalifornia.com/missions/santa-ines-virgen-y-martir/)</v>
      </c>
      <c r="BO106" s="155" t="str">
        <f>IF(LEN(W106)&gt;0,TRIM(CONCATENATE("["&amp;V106&amp;"](",W106,") ",X106)),"")</f>
        <v/>
      </c>
      <c r="BP106" s="155" t="str">
        <f>IF(LEN(BL106)&gt;0,"* "&amp;BL106&amp;CHAR(10),"")&amp;
IF(LEN(BM106)&gt;0,"* "&amp;BM106&amp;CHAR(10),"")&amp;
IF(LEN(BN106)&gt;0,"* "&amp;BN106&amp;CHAR(10),"")&amp;
IF(LEN(BO106)&gt;0,"* "&amp;BO106&amp;CHAR(10),"")</f>
        <v xml:space="preserve">* [Official site](https://missionsantaines.org/)
* [California Missions Foundation page](https://californiamissionsfoundation.org/mission-santa-ines/)
* [Missions California page](https://www.missionscalifornia.com/missions/santa-ines-virgen-y-martir/)
</v>
      </c>
      <c r="BQ106" s="155" t="str">
        <f>IF(LEN(AK106)&gt;0,TRIM(CONCATENATE("[Link](",AK106,") ",AL106)),"")</f>
        <v/>
      </c>
      <c r="BR106" s="155" t="str">
        <f>IF(LEN(AM106)&gt;0,TRIM(CONCATENATE("[Link](",AM106,") ",AN106)),"")</f>
        <v/>
      </c>
      <c r="BS106" s="155" t="str">
        <f>IF(LEN(AO106)&gt;0,TRIM(CONCATENATE("[Link](",AO106,") ",AP106)),"")</f>
        <v/>
      </c>
      <c r="BT106" s="155" t="str">
        <f>IF(LEN(concat(BQ106:BS106))&gt;0,concat("| ",BQ106," | ",BR106," | ",BS106," |"),"")</f>
        <v/>
      </c>
      <c r="BU106" s="155" t="str">
        <f>IF(J106,concatl("| The Real Presence | Miracle Hunter | MaryPages |","| --- | --- | --- |",BT106),"")</f>
        <v/>
      </c>
      <c r="BV106" s="155" t="str">
        <f>IF(LEN(BP106&amp;BU106)&gt;0,concatll("#### More Information",BP106,BU106),"")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06" s="155" t="str">
        <f>IF(LEN(M106)&gt;1,concatll("#### Author's Note",M106),"")</f>
        <v/>
      </c>
      <c r="BX106" s="23" t="str">
        <f>IF(AR106,concatll(concatl("---",AS106:AU106,BK106,"---"),L106,BV106:BW106),"")</f>
        <v xml:space="preserve">---_x000D_
title: "Mission Santa Ines"_x000D_
location: {lat: 34.5947305774003, lng: -120.136405258494}_x000D_
interest: local_x000D_
tags:
- usa
- california_x000D_
- solvang_x000D_
- churches_x000D_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06" s="23" t="str">
        <f>IF(AR106,VLOOKUP(B106,'(Ref) Countries'!A:B,2,)&amp;IF(LEN(C106)&gt;1,"-"&amp;LOWER(SUBSTITUTE(C106," ","-")),"")&amp;"-"&amp;LOWER(SUBSTITUTE(SUBSTITUTE(G106," ","-"),".",""))&amp;".md","")</f>
        <v>us_ca-solvang-mission-santa-ines.md</v>
      </c>
      <c r="BZ106" s="29" t="str">
        <f>IF(LEN(Y106)&gt;1,VLOOKUP(Y106,'Tag List'!$A:$B,2,),"")</f>
        <v>Franciscian Missions in California</v>
      </c>
      <c r="CA106" s="29" t="str">
        <f>IF(LEN(Z106)&gt;1,VLOOKUP(Z106,'Tag List'!$A:$B,2,),"")</f>
        <v>Order of Friars Minor (Fransiscans)</v>
      </c>
      <c r="CB106" s="29" t="str">
        <f>IF(LEN(AA106)&gt;1,VLOOKUP(AA106,'Tag List'!$A:$B,2,),"")</f>
        <v/>
      </c>
      <c r="CC106" s="29" t="str">
        <f>IF(LEN(Y106)&gt;1,GetTagPage(BZ106,Y106),"")</f>
        <v>[Franciscian Missions in California](/tags/california-missions)</v>
      </c>
      <c r="CD106" s="29" t="str">
        <f>IF(LEN(Z106)&gt;1,GetTagPage(CA106,Z106),"")</f>
        <v>[Order of Friars Minor (Fransiscans)](/tags/franciscans)</v>
      </c>
      <c r="CE106" s="29" t="str">
        <f>IF(LEN(AA106)&gt;1,GetTagPage(CB106,AA106),"")</f>
        <v/>
      </c>
      <c r="CF106" s="29" t="str">
        <f>"|"&amp;IF(LEN(CC106)&gt;1," "&amp;CC106,"")&amp;IF(LEN(CD106)&gt;1,", "&amp;CD106,"")&amp;IF(LEN(CE106)&gt;1,", "&amp;CE106,"")&amp;" "</f>
        <v xml:space="preserve">| [Franciscian Missions in California](/tags/california-missions), [Order of Friars Minor (Fransiscans)](/tags/franciscans) </v>
      </c>
      <c r="CG106" s="29" t="str">
        <f>"| "&amp;IF(AR106,"["&amp;AI106&amp;"](/places/"&amp;SUBSTITUTE(BY106,".md","")&amp;")",AI106)&amp;" "</f>
        <v xml:space="preserve">| [](/places/us_ca-solvang-mission-santa-ines) </v>
      </c>
      <c r="CH106" s="29" t="str">
        <f>"| "&amp;IF(AR106,GetTagPage(B106,VLOOKUP(B106,'(Ref) Countries'!A:C,3,)),B106)&amp; " "</f>
        <v xml:space="preserve">| [US California](/tags/usa
- california) </v>
      </c>
      <c r="CI106" s="29" t="str">
        <f>"| "&amp;AJ106&amp;" "</f>
        <v xml:space="preserve">|  </v>
      </c>
      <c r="CJ106" s="29" t="str">
        <f>"|"&amp;IF(AR106," [Link](/places/"&amp;SUBSTITUTE(BY106,".md","")&amp;")","")&amp;" "</f>
        <v xml:space="preserve">| [Link](/places/us_ca-solvang-mission-santa-ines) </v>
      </c>
      <c r="CK106" s="29" t="str">
        <f>"
"&amp;CG106&amp;CH106&amp;CI106&amp;CJ106&amp;BL106&amp;BQ106&amp;BR106&amp;BS106&amp;CF106&amp;"|"</f>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07" spans="1:89" ht="25.5" x14ac:dyDescent="0.25">
      <c r="A107" s="168" t="s">
        <v>1320</v>
      </c>
      <c r="B107" s="24" t="s">
        <v>1903</v>
      </c>
      <c r="C107" s="24" t="s">
        <v>2327</v>
      </c>
      <c r="D107" s="15">
        <v>37.974237142318998</v>
      </c>
      <c r="E107" s="49">
        <v>-122.52797457374101</v>
      </c>
      <c r="F107" s="116" t="s">
        <v>2342</v>
      </c>
      <c r="G107" s="119" t="s">
        <v>2339</v>
      </c>
      <c r="H107" s="24" t="s">
        <v>1825</v>
      </c>
      <c r="I107" s="24" t="b">
        <v>1</v>
      </c>
      <c r="K107" s="24" t="b">
        <v>1</v>
      </c>
      <c r="L107" s="24" t="s">
        <v>2359</v>
      </c>
      <c r="N107" s="15" t="s">
        <v>2378</v>
      </c>
      <c r="O107" s="15" t="s">
        <v>336</v>
      </c>
      <c r="P107" s="60" t="s">
        <v>2380</v>
      </c>
      <c r="Q107" s="15" t="s">
        <v>2400</v>
      </c>
      <c r="R107" s="64" t="s">
        <v>336</v>
      </c>
      <c r="S107" s="60" t="s">
        <v>2402</v>
      </c>
      <c r="T107" s="15" t="s">
        <v>2422</v>
      </c>
      <c r="U107" s="64" t="s">
        <v>336</v>
      </c>
      <c r="Y107" s="15" t="s">
        <v>2433</v>
      </c>
      <c r="Z107" s="15" t="s">
        <v>2427</v>
      </c>
      <c r="AR107" s="154" t="b">
        <f>IF(OR(A107="Done",A107="In Progress"),TRUE)</f>
        <v>1</v>
      </c>
      <c r="AS107" s="155" t="str">
        <f>"title: """&amp;F107&amp;""""</f>
        <v>title: "Mission San Rafael Arcangel"</v>
      </c>
      <c r="AT107" s="155" t="str">
        <f>"location: {lat: "&amp;D107&amp;", lng: "&amp;E107&amp;"}"</f>
        <v>location: {lat: 37.974237142319, lng: -122.527974573741}</v>
      </c>
      <c r="AU107" s="155" t="str">
        <f>"interest: "&amp;H107</f>
        <v>interest: local</v>
      </c>
      <c r="AV107" s="155" t="str">
        <f>"- "&amp;VLOOKUP(B107,'(Ref) Countries'!A:C,3,)</f>
        <v>- usa
- california</v>
      </c>
      <c r="AW107" s="155" t="str">
        <f>IF(LEN(C107)&gt;1,"- "&amp;LOWER(SUBSTITUTE(C107," ","-")),"")</f>
        <v>- san-rafael</v>
      </c>
      <c r="AX107" s="155" t="str">
        <f>IF(I107,"- churches","")</f>
        <v>- churches</v>
      </c>
      <c r="AY107" s="155" t="str">
        <f>IF(J107,"- marian-sites","")</f>
        <v/>
      </c>
      <c r="AZ107" s="155" t="str">
        <f>IF(K107,"- holy-persons","")</f>
        <v>- holy-persons</v>
      </c>
      <c r="BA107" s="155" t="str">
        <f>IF(LEN(Y107)&gt;0,"- "&amp;Y107,"")</f>
        <v>- california-missions</v>
      </c>
      <c r="BB107" s="155" t="str">
        <f>IF(LEN(Z107)&gt;0,"- "&amp;Z107,"")</f>
        <v>- franciscans</v>
      </c>
      <c r="BC107" s="155" t="str">
        <f>IF(LEN(AA107)&gt;0,"- "&amp;AA107,"")</f>
        <v/>
      </c>
      <c r="BD107" s="155" t="str">
        <f>IF(LEN(AB107)&gt;0,"- "&amp;AB107,"")</f>
        <v/>
      </c>
      <c r="BE107" s="155" t="str">
        <f>IF(LEN(AC107)&gt;0,"- "&amp;AC107,"")</f>
        <v/>
      </c>
      <c r="BF107" s="155" t="str">
        <f>IF(LEN(AD107)&gt;0,"- "&amp;AD107,"")</f>
        <v/>
      </c>
      <c r="BG107" s="155" t="str">
        <f>IF(LEN(AE107)&gt;0,"- "&amp;AE107,"")</f>
        <v/>
      </c>
      <c r="BH107" s="155" t="str">
        <f>IF(LEN(AF107)&gt;0,"- "&amp;AF107,"")</f>
        <v/>
      </c>
      <c r="BI107" s="155" t="str">
        <f>IF(LEN(AG107)&gt;0,"- "&amp;AG107,"")</f>
        <v/>
      </c>
      <c r="BJ107" s="155" t="str">
        <f>IF(LEN(AH107)&gt;0,"- "&amp;AH107,"")</f>
        <v/>
      </c>
      <c r="BK107" s="155" t="str">
        <f>"tags:"&amp;CHAR(10)&amp;concatl(AV107:BJ107)</f>
        <v xml:space="preserve">tags:
- usa
- california_x000D_
- san-rafael_x000D_
- churches_x000D_
- holy-persons_x000D_
- california-missions_x000D_
- franciscans_x000D_
</v>
      </c>
      <c r="BL107" s="155" t="str">
        <f>IF(LEN(N107)&gt;0,TRIM(CONCATENATE("[Official site](",N107,") ",O107)),"")</f>
        <v>[Official site](http://saintraphael.com/)</v>
      </c>
      <c r="BM107" s="155" t="str">
        <f>IF(LEN(Q107)&gt;0,TRIM(CONCATENATE("["&amp;P107&amp;"](",Q107,") ",R107)),"")</f>
        <v>[California Missions Foundation page](https://californiamissionsfoundation.org/mission-san-rafael/)</v>
      </c>
      <c r="BN107" s="155" t="str">
        <f>IF(LEN(T107)&gt;0,TRIM(CONCATENATE("["&amp;S107&amp;"](",T107,") ",U107)),"")</f>
        <v>[Missions California page](https://www.missionscalifornia.com/missions/san-rafael-arcangel/)</v>
      </c>
      <c r="BO107" s="155" t="str">
        <f>IF(LEN(W107)&gt;0,TRIM(CONCATENATE("["&amp;V107&amp;"](",W107,") ",X107)),"")</f>
        <v/>
      </c>
      <c r="BP107" s="155" t="str">
        <f>IF(LEN(BL107)&gt;0,"* "&amp;BL107&amp;CHAR(10),"")&amp;
IF(LEN(BM107)&gt;0,"* "&amp;BM107&amp;CHAR(10),"")&amp;
IF(LEN(BN107)&gt;0,"* "&amp;BN107&amp;CHAR(10),"")&amp;
IF(LEN(BO107)&gt;0,"* "&amp;BO107&amp;CHAR(10),"")</f>
        <v xml:space="preserve">* [Official site](http://saintraphael.com/)
* [California Missions Foundation page](https://californiamissionsfoundation.org/mission-san-rafael/)
* [Missions California page](https://www.missionscalifornia.com/missions/san-rafael-arcangel/)
</v>
      </c>
      <c r="BQ107" s="155" t="str">
        <f>IF(LEN(AK107)&gt;0,TRIM(CONCATENATE("[Link](",AK107,") ",AL107)),"")</f>
        <v/>
      </c>
      <c r="BR107" s="155" t="str">
        <f>IF(LEN(AM107)&gt;0,TRIM(CONCATENATE("[Link](",AM107,") ",AN107)),"")</f>
        <v/>
      </c>
      <c r="BS107" s="155" t="str">
        <f>IF(LEN(AO107)&gt;0,TRIM(CONCATENATE("[Link](",AO107,") ",AP107)),"")</f>
        <v/>
      </c>
      <c r="BT107" s="155" t="str">
        <f>IF(LEN(concat(BQ107:BS107))&gt;0,concat("| ",BQ107," | ",BR107," | ",BS107," |"),"")</f>
        <v/>
      </c>
      <c r="BU107" s="155" t="str">
        <f>IF(J107,concatl("| The Real Presence | Miracle Hunter | MaryPages |","| --- | --- | --- |",BT107),"")</f>
        <v/>
      </c>
      <c r="BV107" s="155" t="str">
        <f>IF(LEN(BP107&amp;BU107)&gt;0,concatll("#### More Information",BP107,BU107),"")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07" s="155" t="str">
        <f>IF(LEN(M107)&gt;1,concatll("#### Author's Note",M107),"")</f>
        <v/>
      </c>
      <c r="BX107" s="23" t="str">
        <f>IF(AR107,concatll(concatl("---",AS107:AU107,BK107,"---"),L107,BV107:BW107),"")</f>
        <v xml:space="preserve">---_x000D_
title: "Mission San Rafael Arcangel"_x000D_
location: {lat: 37.974237142319, lng: -122.527974573741}_x000D_
interest: local_x000D_
tags:
- usa
- california_x000D_
- san-rafael_x000D_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07" s="23" t="str">
        <f>IF(AR107,VLOOKUP(B107,'(Ref) Countries'!A:B,2,)&amp;IF(LEN(C107)&gt;1,"-"&amp;LOWER(SUBSTITUTE(C107," ","-")),"")&amp;"-"&amp;LOWER(SUBSTITUTE(SUBSTITUTE(G107," ","-"),".",""))&amp;".md","")</f>
        <v>us_ca-san-rafael-mission-san-rafael.md</v>
      </c>
      <c r="BZ107" s="29" t="str">
        <f>IF(LEN(Y107)&gt;1,VLOOKUP(Y107,'Tag List'!$A:$B,2,),"")</f>
        <v>Franciscian Missions in California</v>
      </c>
      <c r="CA107" s="29" t="str">
        <f>IF(LEN(Z107)&gt;1,VLOOKUP(Z107,'Tag List'!$A:$B,2,),"")</f>
        <v>Order of Friars Minor (Fransiscans)</v>
      </c>
      <c r="CB107" s="29" t="str">
        <f>IF(LEN(AA107)&gt;1,VLOOKUP(AA107,'Tag List'!$A:$B,2,),"")</f>
        <v/>
      </c>
      <c r="CC107" s="29" t="str">
        <f>IF(LEN(Y107)&gt;1,GetTagPage(BZ107,Y107),"")</f>
        <v>[Franciscian Missions in California](/tags/california-missions)</v>
      </c>
      <c r="CD107" s="29" t="str">
        <f>IF(LEN(Z107)&gt;1,GetTagPage(CA107,Z107),"")</f>
        <v>[Order of Friars Minor (Fransiscans)](/tags/franciscans)</v>
      </c>
      <c r="CE107" s="29" t="str">
        <f>IF(LEN(AA107)&gt;1,GetTagPage(CB107,AA107),"")</f>
        <v/>
      </c>
      <c r="CF107" s="29" t="str">
        <f>"|"&amp;IF(LEN(CC107)&gt;1," "&amp;CC107,"")&amp;IF(LEN(CD107)&gt;1,", "&amp;CD107,"")&amp;IF(LEN(CE107)&gt;1,", "&amp;CE107,"")&amp;" "</f>
        <v xml:space="preserve">| [Franciscian Missions in California](/tags/california-missions), [Order of Friars Minor (Fransiscans)](/tags/franciscans) </v>
      </c>
      <c r="CG107" s="29" t="str">
        <f>"| "&amp;IF(AR107,"["&amp;AI107&amp;"](/places/"&amp;SUBSTITUTE(BY107,".md","")&amp;")",AI107)&amp;" "</f>
        <v xml:space="preserve">| [](/places/us_ca-san-rafael-mission-san-rafael) </v>
      </c>
      <c r="CH107" s="29" t="str">
        <f>"| "&amp;IF(AR107,GetTagPage(B107,VLOOKUP(B107,'(Ref) Countries'!A:C,3,)),B107)&amp; " "</f>
        <v xml:space="preserve">| [US California](/tags/usa
- california) </v>
      </c>
      <c r="CI107" s="29" t="str">
        <f>"| "&amp;AJ107&amp;" "</f>
        <v xml:space="preserve">|  </v>
      </c>
      <c r="CJ107" s="29" t="str">
        <f>"|"&amp;IF(AR107," [Link](/places/"&amp;SUBSTITUTE(BY107,".md","")&amp;")","")&amp;" "</f>
        <v xml:space="preserve">| [Link](/places/us_ca-san-rafael-mission-san-rafael) </v>
      </c>
      <c r="CK107" s="29" t="str">
        <f>"
"&amp;CG107&amp;CH107&amp;CI107&amp;CJ107&amp;BL107&amp;BQ107&amp;BR107&amp;BS107&amp;CF107&amp;"|"</f>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08" spans="1:89" ht="51" x14ac:dyDescent="0.25">
      <c r="A108" s="168" t="s">
        <v>1320</v>
      </c>
      <c r="B108" s="24" t="s">
        <v>1903</v>
      </c>
      <c r="C108" s="24" t="s">
        <v>2328</v>
      </c>
      <c r="D108" s="15">
        <v>38.293693030927699</v>
      </c>
      <c r="E108" s="49">
        <v>-122.45588850256701</v>
      </c>
      <c r="F108" s="24" t="s">
        <v>2307</v>
      </c>
      <c r="G108" s="53" t="s">
        <v>2307</v>
      </c>
      <c r="H108" s="24" t="s">
        <v>1825</v>
      </c>
      <c r="K108" s="24" t="b">
        <v>1</v>
      </c>
      <c r="L108" s="116" t="s">
        <v>2430</v>
      </c>
      <c r="N108" s="15" t="s">
        <v>2379</v>
      </c>
      <c r="O108" s="15" t="s">
        <v>336</v>
      </c>
      <c r="P108" s="60" t="s">
        <v>2380</v>
      </c>
      <c r="Q108" s="15" t="s">
        <v>2401</v>
      </c>
      <c r="R108" s="64" t="s">
        <v>336</v>
      </c>
      <c r="S108" s="60" t="s">
        <v>2402</v>
      </c>
      <c r="T108" s="15" t="s">
        <v>2423</v>
      </c>
      <c r="U108" s="64" t="s">
        <v>336</v>
      </c>
      <c r="Y108" s="15" t="s">
        <v>2433</v>
      </c>
      <c r="Z108" s="15" t="s">
        <v>2427</v>
      </c>
      <c r="AA108" s="15" t="s">
        <v>2115</v>
      </c>
      <c r="AR108" s="154" t="b">
        <f>IF(OR(A108="Done",A108="In Progress"),TRUE)</f>
        <v>1</v>
      </c>
      <c r="AS108" s="155" t="str">
        <f>"title: """&amp;F108&amp;""""</f>
        <v>title: "Mission San Francisco Solano"</v>
      </c>
      <c r="AT108" s="155" t="str">
        <f>"location: {lat: "&amp;D108&amp;", lng: "&amp;E108&amp;"}"</f>
        <v>location: {lat: 38.2936930309277, lng: -122.455888502567}</v>
      </c>
      <c r="AU108" s="155" t="str">
        <f>"interest: "&amp;H108</f>
        <v>interest: local</v>
      </c>
      <c r="AV108" s="155" t="str">
        <f>"- "&amp;VLOOKUP(B108,'(Ref) Countries'!A:C,3,)</f>
        <v>- usa
- california</v>
      </c>
      <c r="AW108" s="155" t="str">
        <f>IF(LEN(C108)&gt;1,"- "&amp;LOWER(SUBSTITUTE(C108," ","-")),"")</f>
        <v>- sonoma</v>
      </c>
      <c r="AX108" s="155" t="str">
        <f>IF(I108,"- churches","")</f>
        <v/>
      </c>
      <c r="AY108" s="155" t="str">
        <f>IF(J108,"- marian-sites","")</f>
        <v/>
      </c>
      <c r="AZ108" s="155" t="str">
        <f>IF(K108,"- holy-persons","")</f>
        <v>- holy-persons</v>
      </c>
      <c r="BA108" s="155" t="str">
        <f>IF(LEN(Y108)&gt;0,"- "&amp;Y108,"")</f>
        <v>- california-missions</v>
      </c>
      <c r="BB108" s="155" t="str">
        <f>IF(LEN(Z108)&gt;0,"- "&amp;Z108,"")</f>
        <v>- franciscans</v>
      </c>
      <c r="BC108" s="155" t="str">
        <f>IF(LEN(AA108)&gt;0,"- "&amp;AA108,"")</f>
        <v>- closed</v>
      </c>
      <c r="BD108" s="155" t="str">
        <f>IF(LEN(AB108)&gt;0,"- "&amp;AB108,"")</f>
        <v/>
      </c>
      <c r="BE108" s="155" t="str">
        <f>IF(LEN(AC108)&gt;0,"- "&amp;AC108,"")</f>
        <v/>
      </c>
      <c r="BF108" s="155" t="str">
        <f>IF(LEN(AD108)&gt;0,"- "&amp;AD108,"")</f>
        <v/>
      </c>
      <c r="BG108" s="155" t="str">
        <f>IF(LEN(AE108)&gt;0,"- "&amp;AE108,"")</f>
        <v/>
      </c>
      <c r="BH108" s="155" t="str">
        <f>IF(LEN(AF108)&gt;0,"- "&amp;AF108,"")</f>
        <v/>
      </c>
      <c r="BI108" s="155" t="str">
        <f>IF(LEN(AG108)&gt;0,"- "&amp;AG108,"")</f>
        <v/>
      </c>
      <c r="BJ108" s="155" t="str">
        <f>IF(LEN(AH108)&gt;0,"- "&amp;AH108,"")</f>
        <v/>
      </c>
      <c r="BK108" s="155" t="str">
        <f>"tags:"&amp;CHAR(10)&amp;concatl(AV108:BJ108)</f>
        <v xml:space="preserve">tags:
- usa
- california_x000D_
- sonoma_x000D_
- holy-persons_x000D_
- california-missions_x000D_
- franciscans_x000D_
- closed_x000D_
</v>
      </c>
      <c r="BL108" s="155" t="str">
        <f>IF(LEN(N108)&gt;0,TRIM(CONCATENATE("[Official site](",N108,") ",O108)),"")</f>
        <v>[Official site](https://www.parks.ca.gov/?page_id=479)</v>
      </c>
      <c r="BM108" s="155" t="str">
        <f>IF(LEN(Q108)&gt;0,TRIM(CONCATENATE("["&amp;P108&amp;"](",Q108,") ",R108)),"")</f>
        <v>[California Missions Foundation page](https://californiamissionsfoundation.org/mission-san-francisco-solano/)</v>
      </c>
      <c r="BN108" s="155" t="str">
        <f>IF(LEN(T108)&gt;0,TRIM(CONCATENATE("["&amp;S108&amp;"](",T108,") ",U108)),"")</f>
        <v>[Missions California page](https://www.missionscalifornia.com/missions/san-francisco-solano/)</v>
      </c>
      <c r="BO108" s="155" t="str">
        <f>IF(LEN(W108)&gt;0,TRIM(CONCATENATE("["&amp;V108&amp;"](",W108,") ",X108)),"")</f>
        <v/>
      </c>
      <c r="BP108" s="155" t="str">
        <f>IF(LEN(BL108)&gt;0,"* "&amp;BL108&amp;CHAR(10),"")&amp;
IF(LEN(BM108)&gt;0,"* "&amp;BM108&amp;CHAR(10),"")&amp;
IF(LEN(BN108)&gt;0,"* "&amp;BN108&amp;CHAR(10),"")&amp;
IF(LEN(BO108)&gt;0,"* "&amp;BO108&amp;CHAR(10),"")</f>
        <v xml:space="preserve">* [Official site](https://www.parks.ca.gov/?page_id=479)
* [California Missions Foundation page](https://californiamissionsfoundation.org/mission-san-francisco-solano/)
* [Missions California page](https://www.missionscalifornia.com/missions/san-francisco-solano/)
</v>
      </c>
      <c r="BQ108" s="155" t="str">
        <f>IF(LEN(AK108)&gt;0,TRIM(CONCATENATE("[Link](",AK108,") ",AL108)),"")</f>
        <v/>
      </c>
      <c r="BR108" s="155" t="str">
        <f>IF(LEN(AM108)&gt;0,TRIM(CONCATENATE("[Link](",AM108,") ",AN108)),"")</f>
        <v/>
      </c>
      <c r="BS108" s="155" t="str">
        <f>IF(LEN(AO108)&gt;0,TRIM(CONCATENATE("[Link](",AO108,") ",AP108)),"")</f>
        <v/>
      </c>
      <c r="BT108" s="155" t="str">
        <f>IF(LEN(concat(BQ108:BS108))&gt;0,concat("| ",BQ108," | ",BR108," | ",BS108," |"),"")</f>
        <v/>
      </c>
      <c r="BU108" s="155" t="str">
        <f>IF(J108,concatl("| The Real Presence | Miracle Hunter | MaryPages |","| --- | --- | --- |",BT108),"")</f>
        <v/>
      </c>
      <c r="BV108" s="155" t="str">
        <f>IF(LEN(BP108&amp;BU108)&gt;0,concatll("#### More Information",BP108,BU108),"")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08" s="155" t="str">
        <f>IF(LEN(M108)&gt;1,concatll("#### Author's Note",M108),"")</f>
        <v/>
      </c>
      <c r="BX108" s="23" t="str">
        <f>IF(AR108,concatll(concatl("---",AS108:AU108,BK108,"---"),L108,BV108:BW108),"")</f>
        <v xml:space="preserve">---_x000D_
title: "Mission San Francisco Solano"_x000D_
location: {lat: 38.2936930309277, lng: -122.455888502567}_x000D_
interest: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08" s="23" t="str">
        <f>IF(AR108,VLOOKUP(B108,'(Ref) Countries'!A:B,2,)&amp;IF(LEN(C108)&gt;1,"-"&amp;LOWER(SUBSTITUTE(C108," ","-")),"")&amp;"-"&amp;LOWER(SUBSTITUTE(SUBSTITUTE(G108," ","-"),".",""))&amp;".md","")</f>
        <v>us_ca-sonoma-mission-san-francisco-solano.md</v>
      </c>
      <c r="BZ108" s="29" t="str">
        <f>IF(LEN(Y108)&gt;1,VLOOKUP(Y108,'Tag List'!$A:$B,2,),"")</f>
        <v>Franciscian Missions in California</v>
      </c>
      <c r="CA108" s="29" t="str">
        <f>IF(LEN(Z108)&gt;1,VLOOKUP(Z108,'Tag List'!$A:$B,2,),"")</f>
        <v>Order of Friars Minor (Fransiscans)</v>
      </c>
      <c r="CB108" s="29" t="str">
        <f>IF(LEN(AA108)&gt;1,VLOOKUP(AA108,'Tag List'!$A:$B,2,),"")</f>
        <v>Closed or Deconsecrated Sites</v>
      </c>
      <c r="CC108" s="29" t="str">
        <f>IF(LEN(Y108)&gt;1,GetTagPage(BZ108,Y108),"")</f>
        <v>[Franciscian Missions in California](/tags/california-missions)</v>
      </c>
      <c r="CD108" s="29" t="str">
        <f>IF(LEN(Z108)&gt;1,GetTagPage(CA108,Z108),"")</f>
        <v>[Order of Friars Minor (Fransiscans)](/tags/franciscans)</v>
      </c>
      <c r="CE108" s="29" t="str">
        <f>IF(LEN(AA108)&gt;1,GetTagPage(CB108,AA108),"")</f>
        <v>[Closed or Deconsecrated Sites](/tags/closed)</v>
      </c>
      <c r="CF108" s="29" t="str">
        <f>"|"&amp;IF(LEN(CC108)&gt;1," "&amp;CC108,"")&amp;IF(LEN(CD108)&gt;1,", "&amp;CD108,"")&amp;IF(LEN(CE108)&gt;1,", "&amp;CE108,"")&amp;" "</f>
        <v xml:space="preserve">| [Franciscian Missions in California](/tags/california-missions), [Order of Friars Minor (Fransiscans)](/tags/franciscans), [Closed or Deconsecrated Sites](/tags/closed) </v>
      </c>
      <c r="CG108" s="29" t="str">
        <f>"| "&amp;IF(AR108,"["&amp;AI108&amp;"](/places/"&amp;SUBSTITUTE(BY108,".md","")&amp;")",AI108)&amp;" "</f>
        <v xml:space="preserve">| [](/places/us_ca-sonoma-mission-san-francisco-solano) </v>
      </c>
      <c r="CH108" s="29" t="str">
        <f>"| "&amp;IF(AR108,GetTagPage(B108,VLOOKUP(B108,'(Ref) Countries'!A:C,3,)),B108)&amp; " "</f>
        <v xml:space="preserve">| [US California](/tags/usa
- california) </v>
      </c>
      <c r="CI108" s="29" t="str">
        <f>"| "&amp;AJ108&amp;" "</f>
        <v xml:space="preserve">|  </v>
      </c>
      <c r="CJ108" s="29" t="str">
        <f>"|"&amp;IF(AR108," [Link](/places/"&amp;SUBSTITUTE(BY108,".md","")&amp;")","")&amp;" "</f>
        <v xml:space="preserve">| [Link](/places/us_ca-sonoma-mission-san-francisco-solano) </v>
      </c>
      <c r="CK108" s="29" t="str">
        <f>"
"&amp;CG108&amp;CH108&amp;CI108&amp;CJ108&amp;BL108&amp;BQ108&amp;BR108&amp;BS108&amp;CF108&amp;"|"</f>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row r="109" spans="1:89" ht="25.5" x14ac:dyDescent="0.25">
      <c r="A109" s="168" t="s">
        <v>1320</v>
      </c>
      <c r="B109" s="83" t="s">
        <v>1919</v>
      </c>
      <c r="C109" s="83" t="s">
        <v>2008</v>
      </c>
      <c r="D109" s="15">
        <v>39.679924</v>
      </c>
      <c r="E109" s="49">
        <v>-77.356055999999995</v>
      </c>
      <c r="F109" s="24" t="s">
        <v>387</v>
      </c>
      <c r="G109" s="90" t="s">
        <v>2493</v>
      </c>
      <c r="H109" s="83" t="s">
        <v>1825</v>
      </c>
      <c r="I109" s="24" t="b">
        <v>1</v>
      </c>
      <c r="K109" s="24" t="b">
        <v>1</v>
      </c>
      <c r="L109" s="83" t="s">
        <v>2016</v>
      </c>
      <c r="N109" s="15" t="s">
        <v>388</v>
      </c>
      <c r="O109" s="94" t="s">
        <v>336</v>
      </c>
      <c r="Y109" s="91" t="s">
        <v>1863</v>
      </c>
      <c r="AR109" s="154" t="b">
        <f>IF(OR(A109="Done",A109="In Progress"),TRUE)</f>
        <v>1</v>
      </c>
      <c r="AS109" s="155" t="str">
        <f>"title: """&amp;F109&amp;""""</f>
        <v>title: "Mount St. Mary's Seminary"</v>
      </c>
      <c r="AT109" s="155" t="str">
        <f>"location: {lat: "&amp;D109&amp;", lng: "&amp;E109&amp;"}"</f>
        <v>location: {lat: 39.679924, lng: -77.356056}</v>
      </c>
      <c r="AU109" s="155" t="str">
        <f>"interest: "&amp;H109</f>
        <v>interest: local</v>
      </c>
      <c r="AV109" s="155" t="str">
        <f>"- "&amp;VLOOKUP(B109,'(Ref) Countries'!A:C,3,)</f>
        <v>- usa
- maryland</v>
      </c>
      <c r="AW109" s="155" t="str">
        <f>IF(LEN(C109)&gt;1,"- "&amp;LOWER(SUBSTITUTE(C109," ","-")),"")</f>
        <v>- emmitsburg</v>
      </c>
      <c r="AX109" s="155" t="str">
        <f>IF(I109,"- churches","")</f>
        <v>- churches</v>
      </c>
      <c r="AY109" s="155" t="str">
        <f>IF(J109,"- marian-sites","")</f>
        <v/>
      </c>
      <c r="AZ109" s="155" t="str">
        <f>IF(K109,"- holy-persons","")</f>
        <v>- holy-persons</v>
      </c>
      <c r="BA109" s="155" t="str">
        <f>IF(LEN(Y109)&gt;0,"- "&amp;Y109,"")</f>
        <v>- stanley-rother</v>
      </c>
      <c r="BB109" s="155" t="str">
        <f>IF(LEN(Z109)&gt;0,"- "&amp;Z109,"")</f>
        <v/>
      </c>
      <c r="BC109" s="155" t="str">
        <f>IF(LEN(AA109)&gt;0,"- "&amp;AA109,"")</f>
        <v/>
      </c>
      <c r="BD109" s="155" t="str">
        <f>IF(LEN(AB109)&gt;0,"- "&amp;AB109,"")</f>
        <v/>
      </c>
      <c r="BE109" s="155" t="str">
        <f>IF(LEN(AC109)&gt;0,"- "&amp;AC109,"")</f>
        <v/>
      </c>
      <c r="BF109" s="155" t="str">
        <f>IF(LEN(AD109)&gt;0,"- "&amp;AD109,"")</f>
        <v/>
      </c>
      <c r="BG109" s="155" t="str">
        <f>IF(LEN(AE109)&gt;0,"- "&amp;AE109,"")</f>
        <v/>
      </c>
      <c r="BH109" s="155" t="str">
        <f>IF(LEN(AF109)&gt;0,"- "&amp;AF109,"")</f>
        <v/>
      </c>
      <c r="BI109" s="155" t="str">
        <f>IF(LEN(AG109)&gt;0,"- "&amp;AG109,"")</f>
        <v/>
      </c>
      <c r="BJ109" s="155" t="str">
        <f>IF(LEN(AH109)&gt;0,"- "&amp;AH109,"")</f>
        <v/>
      </c>
      <c r="BK109" s="155" t="str">
        <f>"tags:"&amp;CHAR(10)&amp;concatl(AV109:BJ109)</f>
        <v xml:space="preserve">tags:
- usa
- maryland_x000D_
- emmitsburg_x000D_
- churches_x000D_
- holy-persons_x000D_
- stanley-rother_x000D_
</v>
      </c>
      <c r="BL109" s="155" t="str">
        <f>IF(LEN(N109)&gt;0,TRIM(CONCATENATE("[Official site](",N109,") ",O109)),"")</f>
        <v>[Official site](https://seminary.msmary.edu/)</v>
      </c>
      <c r="BM109" s="155" t="str">
        <f>IF(LEN(Q109)&gt;0,TRIM(CONCATENATE("["&amp;P109&amp;"](",Q109,") ",R109)),"")</f>
        <v/>
      </c>
      <c r="BN109" s="155" t="str">
        <f>IF(LEN(T109)&gt;0,TRIM(CONCATENATE("["&amp;S109&amp;"](",T109,") ",U109)),"")</f>
        <v/>
      </c>
      <c r="BO109" s="155" t="str">
        <f>IF(LEN(W109)&gt;0,TRIM(CONCATENATE("["&amp;V109&amp;"](",W109,") ",X109)),"")</f>
        <v/>
      </c>
      <c r="BP109" s="155" t="str">
        <f>IF(LEN(BL109)&gt;0,"* "&amp;BL109&amp;CHAR(10),"")&amp;
IF(LEN(BM109)&gt;0,"* "&amp;BM109&amp;CHAR(10),"")&amp;
IF(LEN(BN109)&gt;0,"* "&amp;BN109&amp;CHAR(10),"")&amp;
IF(LEN(BO109)&gt;0,"* "&amp;BO109&amp;CHAR(10),"")</f>
        <v xml:space="preserve">* [Official site](https://seminary.msmary.edu/)
</v>
      </c>
      <c r="BQ109" s="155" t="str">
        <f>IF(LEN(AK109)&gt;0,TRIM(CONCATENATE("[Link](",AK109,") ",AL109)),"")</f>
        <v/>
      </c>
      <c r="BR109" s="155" t="str">
        <f>IF(LEN(AM109)&gt;0,TRIM(CONCATENATE("[Link](",AM109,") ",AN109)),"")</f>
        <v/>
      </c>
      <c r="BS109" s="155" t="str">
        <f>IF(LEN(AO109)&gt;0,TRIM(CONCATENATE("[Link](",AO109,") ",AP109)),"")</f>
        <v/>
      </c>
      <c r="BT109" s="155" t="str">
        <f>IF(LEN(concat(BQ109:BS109))&gt;0,concat("| ",BQ109," | ",BR109," | ",BS109," |"),"")</f>
        <v/>
      </c>
      <c r="BU109" s="155" t="str">
        <f>IF(J109,concatl("| The Real Presence | Miracle Hunter | MaryPages |","| --- | --- | --- |",BT109),"")</f>
        <v/>
      </c>
      <c r="BV109" s="155" t="str">
        <f>IF(LEN(BP109&amp;BU109)&gt;0,concatll("#### More Information",BP109,BU109),"")</f>
        <v xml:space="preserve">#### More Information_x000D_
_x000D_
* [Official site](https://seminary.msmary.edu/)
_x000D_
_x000D_
</v>
      </c>
      <c r="BW109" s="155" t="str">
        <f>IF(LEN(M109)&gt;1,concatll("#### Author's Note",M109),"")</f>
        <v/>
      </c>
      <c r="BX109" s="23" t="str">
        <f>IF(AR109,concatll(concatl("---",AS109:AU109,BK109,"---"),L109,BV109:BW109),"")</f>
        <v xml:space="preserve">---_x000D_
title: "Mount St. Mary's Seminary"_x000D_
location: {lat: 39.679924, lng: -77.356056}_x000D_
interest: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109" s="23" t="str">
        <f>IF(AR109,VLOOKUP(B109,'(Ref) Countries'!A:B,2,)&amp;IF(LEN(C109)&gt;1,"-"&amp;LOWER(SUBSTITUTE(C109," ","-")),"")&amp;"-"&amp;LOWER(SUBSTITUTE(SUBSTITUTE(G109," ","-"),".",""))&amp;".md","")</f>
        <v>us_md-emmitsburg-mount-st-marys-seminary.md</v>
      </c>
      <c r="BZ109" s="29" t="str">
        <f>IF(LEN(Y109)&gt;1,VLOOKUP(Y109,'Tag List'!$A:$B,2,),"")</f>
        <v>Bl. Stanley Rother</v>
      </c>
      <c r="CA109" s="29" t="str">
        <f>IF(LEN(Z109)&gt;1,VLOOKUP(Z109,'Tag List'!$A:$B,2,),"")</f>
        <v/>
      </c>
      <c r="CB109" s="29" t="str">
        <f>IF(LEN(AA109)&gt;1,VLOOKUP(AA109,'Tag List'!$A:$B,2,),"")</f>
        <v/>
      </c>
      <c r="CC109" s="29" t="str">
        <f>IF(LEN(Y109)&gt;1,GetTagPage(BZ109,Y109),"")</f>
        <v>[Bl. Stanley Rother](/tags/stanley-rother)</v>
      </c>
      <c r="CD109" s="29" t="str">
        <f>IF(LEN(Z109)&gt;1,GetTagPage(CA109,Z109),"")</f>
        <v/>
      </c>
      <c r="CE109" s="29" t="str">
        <f>IF(LEN(AA109)&gt;1,GetTagPage(CB109,AA109),"")</f>
        <v/>
      </c>
      <c r="CF109" s="29" t="str">
        <f>"|"&amp;IF(LEN(CC109)&gt;1," "&amp;CC109,"")&amp;IF(LEN(CD109)&gt;1,", "&amp;CD109,"")&amp;IF(LEN(CE109)&gt;1,", "&amp;CE109,"")&amp;" "</f>
        <v xml:space="preserve">| [Bl. Stanley Rother](/tags/stanley-rother) </v>
      </c>
      <c r="CG109" s="29" t="str">
        <f>"| "&amp;IF(AR109,"["&amp;AI109&amp;"](/places/"&amp;SUBSTITUTE(BY109,".md","")&amp;")",AI109)&amp;" "</f>
        <v xml:space="preserve">| [](/places/us_md-emmitsburg-mount-st-marys-seminary) </v>
      </c>
      <c r="CH109" s="29" t="str">
        <f>"| "&amp;IF(AR109,GetTagPage(B109,VLOOKUP(B109,'(Ref) Countries'!A:C,3,)),B109)&amp; " "</f>
        <v xml:space="preserve">| [US Maryland](/tags/usa
- maryland) </v>
      </c>
      <c r="CI109" s="29" t="str">
        <f>"| "&amp;AJ109&amp;" "</f>
        <v xml:space="preserve">|  </v>
      </c>
      <c r="CJ109" s="29" t="str">
        <f>"|"&amp;IF(AR109," [Link](/places/"&amp;SUBSTITUTE(BY109,".md","")&amp;")","")&amp;" "</f>
        <v xml:space="preserve">| [Link](/places/us_md-emmitsburg-mount-st-marys-seminary) </v>
      </c>
      <c r="CK109" s="29" t="str">
        <f>"
"&amp;CG109&amp;CH109&amp;CI109&amp;CJ109&amp;BL109&amp;BQ109&amp;BR109&amp;BS109&amp;CF109&amp;"|"</f>
        <v xml:space="preserve">
| [](/places/us_md-emmitsburg-mount-st-marys-seminary) | [US Maryland](/tags/usa
- maryland) |  | [Link](/places/us_md-emmitsburg-mount-st-marys-seminary) [Official site](https://seminary.msmary.edu/)| [Bl. Stanley Rother](/tags/stanley-rother) |</v>
      </c>
    </row>
    <row r="110" spans="1:89" ht="38.25" x14ac:dyDescent="0.25">
      <c r="A110" s="168" t="s">
        <v>1320</v>
      </c>
      <c r="B110" s="83" t="s">
        <v>1930</v>
      </c>
      <c r="C110" s="83" t="s">
        <v>2017</v>
      </c>
      <c r="D110" s="15">
        <v>35.6856315</v>
      </c>
      <c r="E110" s="49">
        <v>-105.93765930000001</v>
      </c>
      <c r="F110" s="24" t="s">
        <v>2018</v>
      </c>
      <c r="G110" s="90" t="s">
        <v>2019</v>
      </c>
      <c r="H110" s="83" t="s">
        <v>1759</v>
      </c>
      <c r="I110" s="24" t="b">
        <v>1</v>
      </c>
      <c r="K110" s="24" t="b">
        <v>1</v>
      </c>
      <c r="L110" s="83" t="s">
        <v>2020</v>
      </c>
      <c r="N110" s="15" t="s">
        <v>2021</v>
      </c>
      <c r="O110" s="15" t="s">
        <v>336</v>
      </c>
      <c r="P110" s="106" t="s">
        <v>2145</v>
      </c>
      <c r="Q110" s="15" t="s">
        <v>2022</v>
      </c>
      <c r="R110" s="93" t="s">
        <v>336</v>
      </c>
      <c r="Y110" s="91" t="s">
        <v>2023</v>
      </c>
      <c r="AR110" s="154" t="b">
        <f>IF(OR(A110="Done",A110="In Progress"),TRUE)</f>
        <v>1</v>
      </c>
      <c r="AS110" s="155" t="str">
        <f>"title: """&amp;F110&amp;""""</f>
        <v>title: "Loretto Chapel, Santa Fe, NM"</v>
      </c>
      <c r="AT110" s="155" t="str">
        <f>"location: {lat: "&amp;D110&amp;", lng: "&amp;E110&amp;"}"</f>
        <v>location: {lat: 35.6856315, lng: -105.9376593}</v>
      </c>
      <c r="AU110" s="155" t="str">
        <f>"interest: "&amp;H110</f>
        <v>interest: regional</v>
      </c>
      <c r="AV110" s="155" t="str">
        <f>"- "&amp;VLOOKUP(B110,'(Ref) Countries'!A:C,3,)</f>
        <v>- usa
- new-mexico</v>
      </c>
      <c r="AW110" s="155" t="str">
        <f>IF(LEN(C110)&gt;1,"- "&amp;LOWER(SUBSTITUTE(C110," ","-")),"")</f>
        <v>- santa-fe</v>
      </c>
      <c r="AX110" s="155" t="str">
        <f>IF(I110,"- churches","")</f>
        <v>- churches</v>
      </c>
      <c r="AY110" s="155" t="str">
        <f>IF(J110,"- marian-sites","")</f>
        <v/>
      </c>
      <c r="AZ110" s="155" t="str">
        <f>IF(K110,"- holy-persons","")</f>
        <v>- holy-persons</v>
      </c>
      <c r="BA110" s="155" t="str">
        <f>IF(LEN(Y110)&gt;0,"- "&amp;Y110,"")</f>
        <v>- joseph</v>
      </c>
      <c r="BB110" s="155" t="str">
        <f>IF(LEN(Z110)&gt;0,"- "&amp;Z110,"")</f>
        <v/>
      </c>
      <c r="BC110" s="155" t="str">
        <f>IF(LEN(AA110)&gt;0,"- "&amp;AA110,"")</f>
        <v/>
      </c>
      <c r="BD110" s="155" t="str">
        <f>IF(LEN(AB110)&gt;0,"- "&amp;AB110,"")</f>
        <v/>
      </c>
      <c r="BE110" s="155" t="str">
        <f>IF(LEN(AC110)&gt;0,"- "&amp;AC110,"")</f>
        <v/>
      </c>
      <c r="BF110" s="155" t="str">
        <f>IF(LEN(AD110)&gt;0,"- "&amp;AD110,"")</f>
        <v/>
      </c>
      <c r="BG110" s="155" t="str">
        <f>IF(LEN(AE110)&gt;0,"- "&amp;AE110,"")</f>
        <v/>
      </c>
      <c r="BH110" s="155" t="str">
        <f>IF(LEN(AF110)&gt;0,"- "&amp;AF110,"")</f>
        <v/>
      </c>
      <c r="BI110" s="155" t="str">
        <f>IF(LEN(AG110)&gt;0,"- "&amp;AG110,"")</f>
        <v/>
      </c>
      <c r="BJ110" s="155" t="str">
        <f>IF(LEN(AH110)&gt;0,"- "&amp;AH110,"")</f>
        <v/>
      </c>
      <c r="BK110" s="155" t="str">
        <f>"tags:"&amp;CHAR(10)&amp;concatl(AV110:BJ110)</f>
        <v xml:space="preserve">tags:
- usa
- new-mexico_x000D_
- santa-fe_x000D_
- churches_x000D_
- holy-persons_x000D_
- joseph_x000D_
</v>
      </c>
      <c r="BL110" s="155" t="str">
        <f>IF(LEN(N110)&gt;0,TRIM(CONCATENATE("[Official site](",N110,") ",O110)),"")</f>
        <v>[Official site](https://www.lorettochapel.com)</v>
      </c>
      <c r="BM110" s="155" t="str">
        <f>IF(LEN(Q110)&gt;0,TRIM(CONCATENATE("["&amp;P110&amp;"](",Q110,") ",R110)),"")</f>
        <v>[Story of the staircase on the podcast *That's the Word*](https://thunderrock.org/story-extras/the-spiral-architect)</v>
      </c>
      <c r="BN110" s="155" t="str">
        <f>IF(LEN(T110)&gt;0,TRIM(CONCATENATE("["&amp;S110&amp;"](",T110,") ",U110)),"")</f>
        <v/>
      </c>
      <c r="BO110" s="155" t="str">
        <f>IF(LEN(W110)&gt;0,TRIM(CONCATENATE("["&amp;V110&amp;"](",W110,") ",X110)),"")</f>
        <v/>
      </c>
      <c r="BP110" s="155" t="str">
        <f>IF(LEN(BL110)&gt;0,"* "&amp;BL110&amp;CHAR(10),"")&amp;
IF(LEN(BM110)&gt;0,"* "&amp;BM110&amp;CHAR(10),"")&amp;
IF(LEN(BN110)&gt;0,"* "&amp;BN110&amp;CHAR(10),"")&amp;
IF(LEN(BO110)&gt;0,"* "&amp;BO110&amp;CHAR(10),"")</f>
        <v xml:space="preserve">* [Official site](https://www.lorettochapel.com)
* [Story of the staircase on the podcast *That's the Word*](https://thunderrock.org/story-extras/the-spiral-architect)
</v>
      </c>
      <c r="BQ110" s="155" t="str">
        <f>IF(LEN(AK110)&gt;0,TRIM(CONCATENATE("[Link](",AK110,") ",AL110)),"")</f>
        <v/>
      </c>
      <c r="BR110" s="155" t="str">
        <f>IF(LEN(AM110)&gt;0,TRIM(CONCATENATE("[Link](",AM110,") ",AN110)),"")</f>
        <v/>
      </c>
      <c r="BS110" s="155" t="str">
        <f>IF(LEN(AO110)&gt;0,TRIM(CONCATENATE("[Link](",AO110,") ",AP110)),"")</f>
        <v/>
      </c>
      <c r="BT110" s="155" t="str">
        <f>IF(LEN(concat(BQ110:BS110))&gt;0,concat("| ",BQ110," | ",BR110," | ",BS110," |"),"")</f>
        <v/>
      </c>
      <c r="BU110" s="155" t="str">
        <f>IF(J110,concatl("| The Real Presence | Miracle Hunter | MaryPages |","| --- | --- | --- |",BT110),"")</f>
        <v/>
      </c>
      <c r="BV110" s="155" t="str">
        <f>IF(LEN(BP110&amp;BU110)&gt;0,concatll("#### More Information",BP110,BU110),"")</f>
        <v xml:space="preserve">#### More Information_x000D_
_x000D_
* [Official site](https://www.lorettochapel.com)
* [Story of the staircase on the podcast *That's the Word*](https://thunderrock.org/story-extras/the-spiral-architect)
_x000D_
_x000D_
</v>
      </c>
      <c r="BW110" s="155" t="str">
        <f>IF(LEN(M110)&gt;1,concatll("#### Author's Note",M110),"")</f>
        <v/>
      </c>
      <c r="BX110" s="23" t="str">
        <f>IF(AR110,concatll(concatl("---",AS110:AU110,BK110,"---"),L110,BV110:BW110),"")</f>
        <v xml:space="preserve">---_x000D_
title: "Loretto Chapel, Santa Fe, NM"_x000D_
location: {lat: 35.6856315, lng: -105.9376593}_x000D_
interest: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110" s="23" t="str">
        <f>IF(AR110,VLOOKUP(B110,'(Ref) Countries'!A:B,2,)&amp;IF(LEN(C110)&gt;1,"-"&amp;LOWER(SUBSTITUTE(C110," ","-")),"")&amp;"-"&amp;LOWER(SUBSTITUTE(SUBSTITUTE(G110," ","-"),".",""))&amp;".md","")</f>
        <v>us_nm-santa-fe-loretto-chapel.md</v>
      </c>
      <c r="BZ110" s="29" t="str">
        <f>IF(LEN(Y110)&gt;1,VLOOKUP(Y110,'Tag List'!$A:$B,2,),"")</f>
        <v>St. Joseph</v>
      </c>
      <c r="CA110" s="29" t="str">
        <f>IF(LEN(Z110)&gt;1,VLOOKUP(Z110,'Tag List'!$A:$B,2,),"")</f>
        <v/>
      </c>
      <c r="CB110" s="29" t="str">
        <f>IF(LEN(AA110)&gt;1,VLOOKUP(AA110,'Tag List'!$A:$B,2,),"")</f>
        <v/>
      </c>
      <c r="CC110" s="29" t="str">
        <f>IF(LEN(Y110)&gt;1,GetTagPage(BZ110,Y110),"")</f>
        <v>[St. Joseph](/tags/joseph)</v>
      </c>
      <c r="CD110" s="29" t="str">
        <f>IF(LEN(Z110)&gt;1,GetTagPage(CA110,Z110),"")</f>
        <v/>
      </c>
      <c r="CE110" s="29" t="str">
        <f>IF(LEN(AA110)&gt;1,GetTagPage(CB110,AA110),"")</f>
        <v/>
      </c>
      <c r="CF110" s="29" t="str">
        <f>"|"&amp;IF(LEN(CC110)&gt;1," "&amp;CC110,"")&amp;IF(LEN(CD110)&gt;1,", "&amp;CD110,"")&amp;IF(LEN(CE110)&gt;1,", "&amp;CE110,"")&amp;" "</f>
        <v xml:space="preserve">| [St. Joseph](/tags/joseph) </v>
      </c>
      <c r="CG110" s="29" t="str">
        <f>"| "&amp;IF(AR110,"["&amp;AI110&amp;"](/places/"&amp;SUBSTITUTE(BY110,".md","")&amp;")",AI110)&amp;" "</f>
        <v xml:space="preserve">| [](/places/us_nm-santa-fe-loretto-chapel) </v>
      </c>
      <c r="CH110" s="29" t="str">
        <f>"| "&amp;IF(AR110,GetTagPage(B110,VLOOKUP(B110,'(Ref) Countries'!A:C,3,)),B110)&amp; " "</f>
        <v xml:space="preserve">| [US New Mexico](/tags/usa
- new-mexico) </v>
      </c>
      <c r="CI110" s="29" t="str">
        <f>"| "&amp;AJ110&amp;" "</f>
        <v xml:space="preserve">|  </v>
      </c>
      <c r="CJ110" s="29" t="str">
        <f>"|"&amp;IF(AR110," [Link](/places/"&amp;SUBSTITUTE(BY110,".md","")&amp;")","")&amp;" "</f>
        <v xml:space="preserve">| [Link](/places/us_nm-santa-fe-loretto-chapel) </v>
      </c>
      <c r="CK110" s="29" t="str">
        <f>"
"&amp;CG110&amp;CH110&amp;CI110&amp;CJ110&amp;BL110&amp;BQ110&amp;BR110&amp;BS110&amp;CF110&amp;"|"</f>
        <v xml:space="preserve">
| [](/places/us_nm-santa-fe-loretto-chapel) | [US New Mexico](/tags/usa
- new-mexico) |  | [Link](/places/us_nm-santa-fe-loretto-chapel) [Official site](https://www.lorettochapel.com)| [St. Joseph](/tags/joseph) |</v>
      </c>
    </row>
    <row r="111" spans="1:89" ht="63.75" x14ac:dyDescent="0.25">
      <c r="A111" s="168" t="s">
        <v>1320</v>
      </c>
      <c r="B111" s="83" t="s">
        <v>1930</v>
      </c>
      <c r="C111" s="83" t="s">
        <v>2017</v>
      </c>
      <c r="D111" s="15">
        <v>35.989201000000001</v>
      </c>
      <c r="E111" s="49">
        <v>-105.93180220000001</v>
      </c>
      <c r="F111" s="24" t="s">
        <v>2029</v>
      </c>
      <c r="G111" s="90" t="s">
        <v>2030</v>
      </c>
      <c r="H111" s="83" t="s">
        <v>1759</v>
      </c>
      <c r="I111" s="24" t="b">
        <v>1</v>
      </c>
      <c r="L111" s="83" t="s">
        <v>2025</v>
      </c>
      <c r="O111" s="15" t="s">
        <v>336</v>
      </c>
      <c r="P111" s="95" t="s">
        <v>2027</v>
      </c>
      <c r="Q111" s="15" t="s">
        <v>2026</v>
      </c>
      <c r="R111" s="93" t="s">
        <v>336</v>
      </c>
      <c r="S111" s="106" t="s">
        <v>2146</v>
      </c>
      <c r="T111" s="15" t="s">
        <v>2028</v>
      </c>
      <c r="U111" s="93" t="s">
        <v>336</v>
      </c>
      <c r="Y111" s="91"/>
      <c r="AR111" s="154" t="b">
        <f>IF(OR(A111="Done",A111="In Progress"),TRUE)</f>
        <v>1</v>
      </c>
      <c r="AS111" s="155" t="str">
        <f>"title: """&amp;F111&amp;""""</f>
        <v>title: "Sanctuary of Chimayo (Santuario de Chimayo)"</v>
      </c>
      <c r="AT111" s="155" t="str">
        <f>"location: {lat: "&amp;D111&amp;", lng: "&amp;E111&amp;"}"</f>
        <v>location: {lat: 35.989201, lng: -105.9318022}</v>
      </c>
      <c r="AU111" s="155" t="str">
        <f>"interest: "&amp;H111</f>
        <v>interest: regional</v>
      </c>
      <c r="AV111" s="155" t="str">
        <f>"- "&amp;VLOOKUP(B111,'(Ref) Countries'!A:C,3,)</f>
        <v>- usa
- new-mexico</v>
      </c>
      <c r="AW111" s="155" t="str">
        <f>IF(LEN(C111)&gt;1,"- "&amp;LOWER(SUBSTITUTE(C111," ","-")),"")</f>
        <v>- santa-fe</v>
      </c>
      <c r="AX111" s="155" t="str">
        <f>IF(I111,"- churches","")</f>
        <v>- churches</v>
      </c>
      <c r="AY111" s="155" t="str">
        <f>IF(J111,"- marian-sites","")</f>
        <v/>
      </c>
      <c r="AZ111" s="155" t="str">
        <f>IF(K111,"- holy-persons","")</f>
        <v/>
      </c>
      <c r="BA111" s="155" t="str">
        <f>IF(LEN(Y111)&gt;0,"- "&amp;Y111,"")</f>
        <v/>
      </c>
      <c r="BB111" s="155" t="str">
        <f>IF(LEN(Z111)&gt;0,"- "&amp;Z111,"")</f>
        <v/>
      </c>
      <c r="BC111" s="155" t="str">
        <f>IF(LEN(AA111)&gt;0,"- "&amp;AA111,"")</f>
        <v/>
      </c>
      <c r="BD111" s="155" t="str">
        <f>IF(LEN(AB111)&gt;0,"- "&amp;AB111,"")</f>
        <v/>
      </c>
      <c r="BE111" s="155" t="str">
        <f>IF(LEN(AC111)&gt;0,"- "&amp;AC111,"")</f>
        <v/>
      </c>
      <c r="BF111" s="155" t="str">
        <f>IF(LEN(AD111)&gt;0,"- "&amp;AD111,"")</f>
        <v/>
      </c>
      <c r="BG111" s="155" t="str">
        <f>IF(LEN(AE111)&gt;0,"- "&amp;AE111,"")</f>
        <v/>
      </c>
      <c r="BH111" s="155" t="str">
        <f>IF(LEN(AF111)&gt;0,"- "&amp;AF111,"")</f>
        <v/>
      </c>
      <c r="BI111" s="155" t="str">
        <f>IF(LEN(AG111)&gt;0,"- "&amp;AG111,"")</f>
        <v/>
      </c>
      <c r="BJ111" s="155" t="str">
        <f>IF(LEN(AH111)&gt;0,"- "&amp;AH111,"")</f>
        <v/>
      </c>
      <c r="BK111" s="155" t="str">
        <f>"tags:"&amp;CHAR(10)&amp;concatl(AV111:BJ111)</f>
        <v xml:space="preserve">tags:
- usa
- new-mexico_x000D_
- santa-fe_x000D_
- churches_x000D_
</v>
      </c>
      <c r="BL111" s="155" t="str">
        <f>IF(LEN(N111)&gt;0,TRIM(CONCATENATE("[Official site](",N111,") ",O111)),"")</f>
        <v/>
      </c>
      <c r="BM111" s="155" t="str">
        <f>IF(LEN(Q111)&gt;0,TRIM(CONCATENATE("["&amp;P111&amp;"](",Q111,") ",R111)),"")</f>
        <v>[Article from Catholic World Report](https://www.catholicworldreport.com/2023/04/07/visiting-el-santuario-de-chimayo-the-most-popular-pilgrimage-site-in-america/)</v>
      </c>
      <c r="BN111" s="155" t="str">
        <f>IF(LEN(T111)&gt;0,TRIM(CONCATENATE("["&amp;S111&amp;"](",T111,") ",U111)),"")</f>
        <v>[Story of the shrine on the podcast *That's the Word*](https://thunderrock.org/story-extras/take-the-hint)</v>
      </c>
      <c r="BO111" s="155" t="str">
        <f>IF(LEN(W111)&gt;0,TRIM(CONCATENATE("["&amp;V111&amp;"](",W111,") ",X111)),"")</f>
        <v/>
      </c>
      <c r="BP111" s="155" t="str">
        <f>IF(LEN(BL111)&gt;0,"* "&amp;BL111&amp;CHAR(10),"")&amp;
IF(LEN(BM111)&gt;0,"* "&amp;BM111&amp;CHAR(10),"")&amp;
IF(LEN(BN111)&gt;0,"* "&amp;BN111&amp;CHAR(10),"")&amp;
IF(LEN(BO111)&gt;0,"* "&amp;BO111&amp;CHAR(10),"")</f>
        <v xml:space="preserve">* [Article from Catholic World Report](https://www.catholicworldreport.com/2023/04/07/visiting-el-santuario-de-chimayo-the-most-popular-pilgrimage-site-in-america/)
* [Story of the shrine on the podcast *That's the Word*](https://thunderrock.org/story-extras/take-the-hint)
</v>
      </c>
      <c r="BQ111" s="155" t="str">
        <f>IF(LEN(AK111)&gt;0,TRIM(CONCATENATE("[Link](",AK111,") ",AL111)),"")</f>
        <v/>
      </c>
      <c r="BR111" s="155" t="str">
        <f>IF(LEN(AM111)&gt;0,TRIM(CONCATENATE("[Link](",AM111,") ",AN111)),"")</f>
        <v/>
      </c>
      <c r="BS111" s="155" t="str">
        <f>IF(LEN(AO111)&gt;0,TRIM(CONCATENATE("[Link](",AO111,") ",AP111)),"")</f>
        <v/>
      </c>
      <c r="BT111" s="155" t="str">
        <f>IF(LEN(concat(BQ111:BS111))&gt;0,concat("| ",BQ111," | ",BR111," | ",BS111," |"),"")</f>
        <v/>
      </c>
      <c r="BU111" s="155" t="str">
        <f>IF(J111,concatl("| The Real Presence | Miracle Hunter | MaryPages |","| --- | --- | --- |",BT111),"")</f>
        <v/>
      </c>
      <c r="BV111" s="155" t="str">
        <f>IF(LEN(BP111&amp;BU111)&gt;0,concatll("#### More Information",BP111,BU111),"")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111" s="155" t="str">
        <f>IF(LEN(M111)&gt;1,concatll("#### Author's Note",M111),"")</f>
        <v/>
      </c>
      <c r="BX111" s="23" t="str">
        <f>IF(AR111,concatll(concatl("---",AS111:AU111,BK111,"---"),L111,BV111:BW111),"")</f>
        <v xml:space="preserve">---_x000D_
title: "Sanctuary of Chimayo (Santuario de Chimayo)"_x000D_
location: {lat: 35.989201, lng: -105.9318022}_x000D_
interest: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111" s="23" t="str">
        <f>IF(AR111,VLOOKUP(B111,'(Ref) Countries'!A:B,2,)&amp;IF(LEN(C111)&gt;1,"-"&amp;LOWER(SUBSTITUTE(C111," ","-")),"")&amp;"-"&amp;LOWER(SUBSTITUTE(SUBSTITUTE(G111," ","-"),".",""))&amp;".md","")</f>
        <v>us_nm-santa-fe-santuario-de-chimayo.md</v>
      </c>
      <c r="BZ111" s="29" t="str">
        <f>IF(LEN(Y111)&gt;1,VLOOKUP(Y111,'Tag List'!$A:$B,2,),"")</f>
        <v/>
      </c>
      <c r="CA111" s="29" t="str">
        <f>IF(LEN(Z111)&gt;1,VLOOKUP(Z111,'Tag List'!$A:$B,2,),"")</f>
        <v/>
      </c>
      <c r="CB111" s="29" t="str">
        <f>IF(LEN(AA111)&gt;1,VLOOKUP(AA111,'Tag List'!$A:$B,2,),"")</f>
        <v/>
      </c>
      <c r="CC111" s="29" t="str">
        <f>IF(LEN(Y111)&gt;1,GetTagPage(BZ111,Y111),"")</f>
        <v/>
      </c>
      <c r="CD111" s="29" t="str">
        <f>IF(LEN(Z111)&gt;1,GetTagPage(CA111,Z111),"")</f>
        <v/>
      </c>
      <c r="CE111" s="29" t="str">
        <f>IF(LEN(AA111)&gt;1,GetTagPage(CB111,AA111),"")</f>
        <v/>
      </c>
      <c r="CF111" s="29" t="str">
        <f>"|"&amp;IF(LEN(CC111)&gt;1," "&amp;CC111,"")&amp;IF(LEN(CD111)&gt;1,", "&amp;CD111,"")&amp;IF(LEN(CE111)&gt;1,", "&amp;CE111,"")&amp;" "</f>
        <v xml:space="preserve">| </v>
      </c>
      <c r="CG111" s="29" t="str">
        <f>"| "&amp;IF(AR111,"["&amp;AI111&amp;"](/places/"&amp;SUBSTITUTE(BY111,".md","")&amp;")",AI111)&amp;" "</f>
        <v xml:space="preserve">| [](/places/us_nm-santa-fe-santuario-de-chimayo) </v>
      </c>
      <c r="CH111" s="29" t="str">
        <f>"| "&amp;IF(AR111,GetTagPage(B111,VLOOKUP(B111,'(Ref) Countries'!A:C,3,)),B111)&amp; " "</f>
        <v xml:space="preserve">| [US New Mexico](/tags/usa
- new-mexico) </v>
      </c>
      <c r="CI111" s="29" t="str">
        <f>"| "&amp;AJ111&amp;" "</f>
        <v xml:space="preserve">|  </v>
      </c>
      <c r="CJ111" s="29" t="str">
        <f>"|"&amp;IF(AR111," [Link](/places/"&amp;SUBSTITUTE(BY111,".md","")&amp;")","")&amp;" "</f>
        <v xml:space="preserve">| [Link](/places/us_nm-santa-fe-santuario-de-chimayo) </v>
      </c>
      <c r="CK111" s="29" t="str">
        <f>"
"&amp;CG111&amp;CH111&amp;CI111&amp;CJ111&amp;BL111&amp;BQ111&amp;BR111&amp;BS111&amp;CF111&amp;"|"</f>
        <v xml:space="preserve">
| [](/places/us_nm-santa-fe-santuario-de-chimayo) | [US New Mexico](/tags/usa
- new-mexico) |  | [Link](/places/us_nm-santa-fe-santuario-de-chimayo) | |</v>
      </c>
    </row>
    <row r="112" spans="1:89" ht="38.25" x14ac:dyDescent="0.25">
      <c r="A112" s="168" t="s">
        <v>1320</v>
      </c>
      <c r="B112" s="83" t="s">
        <v>1931</v>
      </c>
      <c r="D112" s="15">
        <v>42.9249911</v>
      </c>
      <c r="E112" s="49">
        <v>-74.302249200000006</v>
      </c>
      <c r="F112" s="83" t="s">
        <v>2043</v>
      </c>
      <c r="G112" s="53" t="s">
        <v>2031</v>
      </c>
      <c r="H112" s="24" t="s">
        <v>1759</v>
      </c>
      <c r="I112" s="24" t="b">
        <v>1</v>
      </c>
      <c r="K112" s="24" t="b">
        <v>1</v>
      </c>
      <c r="L112" s="83" t="s">
        <v>2041</v>
      </c>
      <c r="N112" s="15" t="s">
        <v>2044</v>
      </c>
      <c r="O112" s="15" t="s">
        <v>336</v>
      </c>
      <c r="P112" s="60" t="s">
        <v>2027</v>
      </c>
      <c r="Q112" s="15" t="s">
        <v>2026</v>
      </c>
      <c r="R112" s="64" t="s">
        <v>336</v>
      </c>
      <c r="S112" s="106" t="s">
        <v>2146</v>
      </c>
      <c r="T112" s="15" t="s">
        <v>2028</v>
      </c>
      <c r="U112" s="64" t="s">
        <v>336</v>
      </c>
      <c r="Y112" s="91" t="s">
        <v>2037</v>
      </c>
      <c r="Z112" s="15" t="s">
        <v>2032</v>
      </c>
      <c r="AA112" s="15" t="s">
        <v>2033</v>
      </c>
      <c r="AB112" s="15" t="s">
        <v>2034</v>
      </c>
      <c r="AC112" s="91" t="s">
        <v>2042</v>
      </c>
      <c r="AD112" s="91" t="s">
        <v>2063</v>
      </c>
      <c r="AR112" s="154" t="b">
        <f>IF(OR(A112="Done",A112="In Progress"),TRUE)</f>
        <v>1</v>
      </c>
      <c r="AS112" s="155" t="str">
        <f>"title: """&amp;F112&amp;""""</f>
        <v>title: "Shrine of Our Lady of Martyrs (National Shrine of the North American Martyrs)"</v>
      </c>
      <c r="AT112" s="155" t="str">
        <f>"location: {lat: "&amp;D112&amp;", lng: "&amp;E112&amp;"}"</f>
        <v>location: {lat: 42.9249911, lng: -74.3022492}</v>
      </c>
      <c r="AU112" s="155" t="str">
        <f>"interest: "&amp;H112</f>
        <v>interest: regional</v>
      </c>
      <c r="AV112" s="155" t="str">
        <f>"- "&amp;VLOOKUP(B112,'(Ref) Countries'!A:C,3,)</f>
        <v>- usa
- new-york</v>
      </c>
      <c r="AW112" s="155" t="str">
        <f>IF(LEN(C112)&gt;1,"- "&amp;LOWER(SUBSTITUTE(C112," ","-")),"")</f>
        <v/>
      </c>
      <c r="AX112" s="155" t="str">
        <f>IF(I112,"- churches","")</f>
        <v>- churches</v>
      </c>
      <c r="AY112" s="155" t="str">
        <f>IF(J112,"- marian-sites","")</f>
        <v/>
      </c>
      <c r="AZ112" s="155" t="str">
        <f>IF(K112,"- holy-persons","")</f>
        <v>- holy-persons</v>
      </c>
      <c r="BA112" s="155" t="str">
        <f>IF(LEN(Y112)&gt;0,"- "&amp;Y112,"")</f>
        <v>- canadian-martyrs</v>
      </c>
      <c r="BB112" s="155" t="str">
        <f>IF(LEN(Z112)&gt;0,"- "&amp;Z112,"")</f>
        <v>- kateri-tekakwitha</v>
      </c>
      <c r="BC112" s="155" t="str">
        <f>IF(LEN(AA112)&gt;0,"- "&amp;AA112,"")</f>
        <v>- isaac-jogues</v>
      </c>
      <c r="BD112" s="155" t="str">
        <f>IF(LEN(AB112)&gt;0,"- "&amp;AB112,"")</f>
        <v>- rene-goupil</v>
      </c>
      <c r="BE112" s="155" t="str">
        <f>IF(LEN(AC112)&gt;0,"- "&amp;AC112,"")</f>
        <v>- jean-de-lalande</v>
      </c>
      <c r="BF112" s="155" t="str">
        <f>IF(LEN(AD112)&gt;0,"- "&amp;AD112,"")</f>
        <v>- jesuits</v>
      </c>
      <c r="BG112" s="155" t="str">
        <f>IF(LEN(AE112)&gt;0,"- "&amp;AE112,"")</f>
        <v/>
      </c>
      <c r="BH112" s="155" t="str">
        <f>IF(LEN(AF112)&gt;0,"- "&amp;AF112,"")</f>
        <v/>
      </c>
      <c r="BI112" s="155" t="str">
        <f>IF(LEN(AG112)&gt;0,"- "&amp;AG112,"")</f>
        <v/>
      </c>
      <c r="BJ112" s="155" t="str">
        <f>IF(LEN(AH112)&gt;0,"- "&amp;AH112,"")</f>
        <v/>
      </c>
      <c r="BK112" s="155" t="str">
        <f>"tags:"&amp;CHAR(10)&amp;concatl(AV112:BJ112)</f>
        <v xml:space="preserve">tags:
- usa
- new-york_x000D_
- churches_x000D_
- holy-persons_x000D_
- canadian-martyrs_x000D_
- kateri-tekakwitha_x000D_
- isaac-jogues_x000D_
- rene-goupil_x000D_
- jean-de-lalande_x000D_
- jesuits_x000D_
</v>
      </c>
      <c r="BL112" s="155" t="str">
        <f>IF(LEN(N112)&gt;0,TRIM(CONCATENATE("[Official site](",N112,") ",O112)),"")</f>
        <v>[Official site](https://www.ourladyofmartyrsshrine.org/)</v>
      </c>
      <c r="BM112" s="155" t="str">
        <f>IF(LEN(Q112)&gt;0,TRIM(CONCATENATE("["&amp;P112&amp;"](",Q112,") ",R112)),"")</f>
        <v>[Article from Catholic World Report](https://www.catholicworldreport.com/2023/04/07/visiting-el-santuario-de-chimayo-the-most-popular-pilgrimage-site-in-america/)</v>
      </c>
      <c r="BN112" s="155" t="str">
        <f>IF(LEN(T112)&gt;0,TRIM(CONCATENATE("["&amp;S112&amp;"](",T112,") ",U112)),"")</f>
        <v>[Story of the shrine on the podcast *That's the Word*](https://thunderrock.org/story-extras/take-the-hint)</v>
      </c>
      <c r="BO112" s="155" t="str">
        <f>IF(LEN(W112)&gt;0,TRIM(CONCATENATE("["&amp;V112&amp;"](",W112,") ",X112)),"")</f>
        <v/>
      </c>
      <c r="BP112" s="155" t="str">
        <f>IF(LEN(BL112)&gt;0,"* "&amp;BL112&amp;CHAR(10),"")&amp;
IF(LEN(BM112)&gt;0,"* "&amp;BM112&amp;CHAR(10),"")&amp;
IF(LEN(BN112)&gt;0,"* "&amp;BN112&amp;CHAR(10),"")&amp;
IF(LEN(BO112)&gt;0,"* "&amp;BO112&amp;CHAR(10),"")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112" s="155" t="str">
        <f>IF(LEN(AK112)&gt;0,TRIM(CONCATENATE("[Link](",AK112,") ",AL112)),"")</f>
        <v/>
      </c>
      <c r="BR112" s="155" t="str">
        <f>IF(LEN(AM112)&gt;0,TRIM(CONCATENATE("[Link](",AM112,") ",AN112)),"")</f>
        <v/>
      </c>
      <c r="BS112" s="155" t="str">
        <f>IF(LEN(AO112)&gt;0,TRIM(CONCATENATE("[Link](",AO112,") ",AP112)),"")</f>
        <v/>
      </c>
      <c r="BT112" s="155" t="str">
        <f>IF(LEN(concat(BQ112:BS112))&gt;0,concat("| ",BQ112," | ",BR112," | ",BS112," |"),"")</f>
        <v/>
      </c>
      <c r="BU112" s="155" t="str">
        <f>IF(J112,concatl("| The Real Presence | Miracle Hunter | MaryPages |","| --- | --- | --- |",BT112),"")</f>
        <v/>
      </c>
      <c r="BV112" s="155" t="str">
        <f>IF(LEN(BP112&amp;BU112)&gt;0,concatll("#### More Information",BP112,BU112),"")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112" s="155" t="str">
        <f>IF(LEN(M112)&gt;1,concatll("#### Author's Note",M112),"")</f>
        <v/>
      </c>
      <c r="BX112" s="23" t="str">
        <f>IF(AR112,concatll(concatl("---",AS112:AU112,BK112,"---"),L112,BV112:BW112),"")</f>
        <v xml:space="preserve">---_x000D_
title: "Shrine of Our Lady of Martyrs (National Shrine of the North American Martyrs)"_x000D_
location: {lat: 42.9249911, lng: -74.3022492}_x000D_
interest: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112" s="23" t="str">
        <f>IF(AR112,VLOOKUP(B112,'(Ref) Countries'!A:B,2,)&amp;IF(LEN(C112)&gt;1,"-"&amp;LOWER(SUBSTITUTE(C112," ","-")),"")&amp;"-"&amp;LOWER(SUBSTITUTE(SUBSTITUTE(G112," ","-"),".",""))&amp;".md","")</f>
        <v>us_ny-shrine-of-our-lady-of-martyrs.md</v>
      </c>
      <c r="BZ112" s="29" t="str">
        <f>IF(LEN(Y112)&gt;1,VLOOKUP(Y112,'Tag List'!$A:$B,2,),"")</f>
        <v>Canadian Martyrs</v>
      </c>
      <c r="CA112" s="29" t="str">
        <f>IF(LEN(Z112)&gt;1,VLOOKUP(Z112,'Tag List'!$A:$B,2,),"")</f>
        <v>St. Kateri Tekakwitha</v>
      </c>
      <c r="CB112" s="29" t="str">
        <f>IF(LEN(AA112)&gt;1,VLOOKUP(AA112,'Tag List'!$A:$B,2,),"")</f>
        <v>St. Isaac Jogues, SJ</v>
      </c>
      <c r="CC112" s="29" t="str">
        <f>IF(LEN(Y112)&gt;1,GetTagPage(BZ112,Y112),"")</f>
        <v>[Canadian Martyrs](/tags/canadian-martyrs)</v>
      </c>
      <c r="CD112" s="29" t="str">
        <f>IF(LEN(Z112)&gt;1,GetTagPage(CA112,Z112),"")</f>
        <v>[St. Kateri Tekakwitha](/tags/kateri-tekakwitha)</v>
      </c>
      <c r="CE112" s="29" t="str">
        <f>IF(LEN(AA112)&gt;1,GetTagPage(CB112,AA112),"")</f>
        <v>[St. Isaac Jogues, SJ](/tags/isaac-jogues)</v>
      </c>
      <c r="CF112" s="29" t="str">
        <f>"|"&amp;IF(LEN(CC112)&gt;1," "&amp;CC112,"")&amp;IF(LEN(CD112)&gt;1,", "&amp;CD112,"")&amp;IF(LEN(CE112)&gt;1,", "&amp;CE112,"")&amp;" "</f>
        <v xml:space="preserve">| [Canadian Martyrs](/tags/canadian-martyrs), [St. Kateri Tekakwitha](/tags/kateri-tekakwitha), [St. Isaac Jogues, SJ](/tags/isaac-jogues) </v>
      </c>
      <c r="CG112" s="29" t="str">
        <f>"| "&amp;IF(AR112,"["&amp;AI112&amp;"](/places/"&amp;SUBSTITUTE(BY112,".md","")&amp;")",AI112)&amp;" "</f>
        <v xml:space="preserve">| [](/places/us_ny-shrine-of-our-lady-of-martyrs) </v>
      </c>
      <c r="CH112" s="29" t="str">
        <f>"| "&amp;IF(AR112,GetTagPage(B112,VLOOKUP(B112,'(Ref) Countries'!A:C,3,)),B112)&amp; " "</f>
        <v xml:space="preserve">| [US New York](/tags/usa
- new-york) </v>
      </c>
      <c r="CI112" s="29" t="str">
        <f>"| "&amp;AJ112&amp;" "</f>
        <v xml:space="preserve">|  </v>
      </c>
      <c r="CJ112" s="29" t="str">
        <f>"|"&amp;IF(AR112," [Link](/places/"&amp;SUBSTITUTE(BY112,".md","")&amp;")","")&amp;" "</f>
        <v xml:space="preserve">| [Link](/places/us_ny-shrine-of-our-lady-of-martyrs) </v>
      </c>
      <c r="CK112" s="29" t="str">
        <f>"
"&amp;CG112&amp;CH112&amp;CI112&amp;CJ112&amp;BL112&amp;BQ112&amp;BR112&amp;BS112&amp;CF112&amp;"|"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113" spans="1:89" ht="25.5" x14ac:dyDescent="0.25">
      <c r="A113" s="168" t="s">
        <v>1320</v>
      </c>
      <c r="B113" s="83" t="s">
        <v>1935</v>
      </c>
      <c r="C113" s="83" t="s">
        <v>2011</v>
      </c>
      <c r="D113" s="15">
        <v>35.728490299999997</v>
      </c>
      <c r="E113" s="49">
        <v>-97.975802000000002</v>
      </c>
      <c r="F113" s="83" t="s">
        <v>2009</v>
      </c>
      <c r="G113" s="90" t="s">
        <v>2010</v>
      </c>
      <c r="H113" s="83" t="s">
        <v>1825</v>
      </c>
      <c r="I113" s="24" t="b">
        <v>1</v>
      </c>
      <c r="K113" s="24" t="b">
        <v>1</v>
      </c>
      <c r="L113" s="24" t="s">
        <v>397</v>
      </c>
      <c r="N113" s="15" t="s">
        <v>396</v>
      </c>
      <c r="O113" s="15" t="s">
        <v>336</v>
      </c>
      <c r="Y113" s="15" t="s">
        <v>1863</v>
      </c>
      <c r="AR113" s="154" t="b">
        <f>IF(OR(A113="Done",A113="In Progress"),TRUE)</f>
        <v>1</v>
      </c>
      <c r="AS113" s="155" t="str">
        <f>"title: """&amp;F113&amp;""""</f>
        <v>title: "Holy Trinity Catholic Church, Okarche, OK"</v>
      </c>
      <c r="AT113" s="155" t="str">
        <f>"location: {lat: "&amp;D113&amp;", lng: "&amp;E113&amp;"}"</f>
        <v>location: {lat: 35.7284903, lng: -97.975802}</v>
      </c>
      <c r="AU113" s="155" t="str">
        <f>"interest: "&amp;H113</f>
        <v>interest: local</v>
      </c>
      <c r="AV113" s="155" t="str">
        <f>"- "&amp;VLOOKUP(B113,'(Ref) Countries'!A:C,3,)</f>
        <v>- usa
- oklahoma</v>
      </c>
      <c r="AW113" s="155" t="str">
        <f>IF(LEN(C113)&gt;1,"- "&amp;LOWER(SUBSTITUTE(C113," ","-")),"")</f>
        <v>- okarche</v>
      </c>
      <c r="AX113" s="155" t="str">
        <f>IF(I113,"- churches","")</f>
        <v>- churches</v>
      </c>
      <c r="AY113" s="155" t="str">
        <f>IF(J113,"- marian-sites","")</f>
        <v/>
      </c>
      <c r="AZ113" s="155" t="str">
        <f>IF(K113,"- holy-persons","")</f>
        <v>- holy-persons</v>
      </c>
      <c r="BA113" s="155" t="str">
        <f>IF(LEN(Y113)&gt;0,"- "&amp;Y113,"")</f>
        <v>- stanley-rother</v>
      </c>
      <c r="BB113" s="155" t="str">
        <f>IF(LEN(Z113)&gt;0,"- "&amp;Z113,"")</f>
        <v/>
      </c>
      <c r="BC113" s="155" t="str">
        <f>IF(LEN(AA113)&gt;0,"- "&amp;AA113,"")</f>
        <v/>
      </c>
      <c r="BD113" s="155" t="str">
        <f>IF(LEN(AB113)&gt;0,"- "&amp;AB113,"")</f>
        <v/>
      </c>
      <c r="BE113" s="155" t="str">
        <f>IF(LEN(AC113)&gt;0,"- "&amp;AC113,"")</f>
        <v/>
      </c>
      <c r="BF113" s="155" t="str">
        <f>IF(LEN(AD113)&gt;0,"- "&amp;AD113,"")</f>
        <v/>
      </c>
      <c r="BG113" s="155" t="str">
        <f>IF(LEN(AE113)&gt;0,"- "&amp;AE113,"")</f>
        <v/>
      </c>
      <c r="BH113" s="155" t="str">
        <f>IF(LEN(AF113)&gt;0,"- "&amp;AF113,"")</f>
        <v/>
      </c>
      <c r="BI113" s="155" t="str">
        <f>IF(LEN(AG113)&gt;0,"- "&amp;AG113,"")</f>
        <v/>
      </c>
      <c r="BJ113" s="155" t="str">
        <f>IF(LEN(AH113)&gt;0,"- "&amp;AH113,"")</f>
        <v/>
      </c>
      <c r="BK113" s="155" t="str">
        <f>"tags:"&amp;CHAR(10)&amp;concatl(AV113:BJ113)</f>
        <v xml:space="preserve">tags:
- usa
- oklahoma_x000D_
- okarche_x000D_
- churches_x000D_
- holy-persons_x000D_
- stanley-rother_x000D_
</v>
      </c>
      <c r="BL113" s="155" t="str">
        <f>IF(LEN(N113)&gt;0,TRIM(CONCATENATE("[Official site](",N113,") ",O113)),"")</f>
        <v>[Official site](https://www.holytrinityok.org/)</v>
      </c>
      <c r="BM113" s="155" t="str">
        <f>IF(LEN(Q113)&gt;0,TRIM(CONCATENATE("["&amp;P113&amp;"](",Q113,") ",R113)),"")</f>
        <v/>
      </c>
      <c r="BN113" s="155" t="str">
        <f>IF(LEN(T113)&gt;0,TRIM(CONCATENATE("["&amp;S113&amp;"](",T113,") ",U113)),"")</f>
        <v/>
      </c>
      <c r="BO113" s="155" t="str">
        <f>IF(LEN(W113)&gt;0,TRIM(CONCATENATE("["&amp;V113&amp;"](",W113,") ",X113)),"")</f>
        <v/>
      </c>
      <c r="BP113" s="155" t="str">
        <f>IF(LEN(BL113)&gt;0,"* "&amp;BL113&amp;CHAR(10),"")&amp;
IF(LEN(BM113)&gt;0,"* "&amp;BM113&amp;CHAR(10),"")&amp;
IF(LEN(BN113)&gt;0,"* "&amp;BN113&amp;CHAR(10),"")&amp;
IF(LEN(BO113)&gt;0,"* "&amp;BO113&amp;CHAR(10),"")</f>
        <v xml:space="preserve">* [Official site](https://www.holytrinityok.org/)
</v>
      </c>
      <c r="BQ113" s="155" t="str">
        <f>IF(LEN(AK113)&gt;0,TRIM(CONCATENATE("[Link](",AK113,") ",AL113)),"")</f>
        <v/>
      </c>
      <c r="BR113" s="155" t="str">
        <f>IF(LEN(AM113)&gt;0,TRIM(CONCATENATE("[Link](",AM113,") ",AN113)),"")</f>
        <v/>
      </c>
      <c r="BS113" s="155" t="str">
        <f>IF(LEN(AO113)&gt;0,TRIM(CONCATENATE("[Link](",AO113,") ",AP113)),"")</f>
        <v/>
      </c>
      <c r="BT113" s="155" t="str">
        <f>IF(LEN(concat(BQ113:BS113))&gt;0,concat("| ",BQ113," | ",BR113," | ",BS113," |"),"")</f>
        <v/>
      </c>
      <c r="BU113" s="155" t="str">
        <f>IF(J113,concatl("| The Real Presence | Miracle Hunter | MaryPages |","| --- | --- | --- |",BT113),"")</f>
        <v/>
      </c>
      <c r="BV113" s="155" t="str">
        <f>IF(LEN(BP113&amp;BU113)&gt;0,concatll("#### More Information",BP113,BU113),"")</f>
        <v xml:space="preserve">#### More Information_x000D_
_x000D_
* [Official site](https://www.holytrinityok.org/)
_x000D_
_x000D_
</v>
      </c>
      <c r="BW113" s="155" t="str">
        <f>IF(LEN(M113)&gt;1,concatll("#### Author's Note",M113),"")</f>
        <v/>
      </c>
      <c r="BX113" s="23" t="str">
        <f>IF(AR113,concatll(concatl("---",AS113:AU113,BK113,"---"),L113,BV113:BW113),"")</f>
        <v xml:space="preserve">---_x000D_
title: "Holy Trinity Catholic Church, Okarche, OK"_x000D_
location: {lat: 35.7284903, lng: -97.975802}_x000D_
interest: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113" s="23" t="str">
        <f>IF(AR113,VLOOKUP(B113,'(Ref) Countries'!A:B,2,)&amp;IF(LEN(C113)&gt;1,"-"&amp;LOWER(SUBSTITUTE(C113," ","-")),"")&amp;"-"&amp;LOWER(SUBSTITUTE(SUBSTITUTE(G113," ","-"),".",""))&amp;".md","")</f>
        <v>us_ok-okarche-holy-trinity.md</v>
      </c>
      <c r="BZ113" s="29" t="str">
        <f>IF(LEN(Y113)&gt;1,VLOOKUP(Y113,'Tag List'!$A:$B,2,),"")</f>
        <v>Bl. Stanley Rother</v>
      </c>
      <c r="CA113" s="29" t="str">
        <f>IF(LEN(Z113)&gt;1,VLOOKUP(Z113,'Tag List'!$A:$B,2,),"")</f>
        <v/>
      </c>
      <c r="CB113" s="29" t="str">
        <f>IF(LEN(AA113)&gt;1,VLOOKUP(AA113,'Tag List'!$A:$B,2,),"")</f>
        <v/>
      </c>
      <c r="CC113" s="29" t="str">
        <f>IF(LEN(Y113)&gt;1,GetTagPage(BZ113,Y113),"")</f>
        <v>[Bl. Stanley Rother](/tags/stanley-rother)</v>
      </c>
      <c r="CD113" s="29" t="str">
        <f>IF(LEN(Z113)&gt;1,GetTagPage(CA113,Z113),"")</f>
        <v/>
      </c>
      <c r="CE113" s="29" t="str">
        <f>IF(LEN(AA113)&gt;1,GetTagPage(CB113,AA113),"")</f>
        <v/>
      </c>
      <c r="CF113" s="29" t="str">
        <f>"|"&amp;IF(LEN(CC113)&gt;1," "&amp;CC113,"")&amp;IF(LEN(CD113)&gt;1,", "&amp;CD113,"")&amp;IF(LEN(CE113)&gt;1,", "&amp;CE113,"")&amp;" "</f>
        <v xml:space="preserve">| [Bl. Stanley Rother](/tags/stanley-rother) </v>
      </c>
      <c r="CG113" s="29" t="str">
        <f>"| "&amp;IF(AR113,"["&amp;AI113&amp;"](/places/"&amp;SUBSTITUTE(BY113,".md","")&amp;")",AI113)&amp;" "</f>
        <v xml:space="preserve">| [](/places/us_ok-okarche-holy-trinity) </v>
      </c>
      <c r="CH113" s="29" t="str">
        <f>"| "&amp;IF(AR113,GetTagPage(B113,VLOOKUP(B113,'(Ref) Countries'!A:C,3,)),B113)&amp; " "</f>
        <v xml:space="preserve">| [US Oklahoma](/tags/usa
- oklahoma) </v>
      </c>
      <c r="CI113" s="29" t="str">
        <f>"| "&amp;AJ113&amp;" "</f>
        <v xml:space="preserve">|  </v>
      </c>
      <c r="CJ113" s="29" t="str">
        <f>"|"&amp;IF(AR113," [Link](/places/"&amp;SUBSTITUTE(BY113,".md","")&amp;")","")&amp;" "</f>
        <v xml:space="preserve">| [Link](/places/us_ok-okarche-holy-trinity) </v>
      </c>
      <c r="CK113" s="29" t="str">
        <f>"
"&amp;CG113&amp;CH113&amp;CI113&amp;CJ113&amp;BL113&amp;BQ113&amp;BR113&amp;BS113&amp;CF113&amp;"|"</f>
        <v xml:space="preserve">
| [](/places/us_ok-okarche-holy-trinity) | [US Oklahoma](/tags/usa
- oklahoma) |  | [Link](/places/us_ok-okarche-holy-trinity) [Official site](https://www.holytrinityok.org/)| [Bl. Stanley Rother](/tags/stanley-rother) |</v>
      </c>
    </row>
    <row r="114" spans="1:89" ht="38.25" x14ac:dyDescent="0.25">
      <c r="A114" s="168" t="s">
        <v>1320</v>
      </c>
      <c r="B114" s="24" t="s">
        <v>1935</v>
      </c>
      <c r="C114" s="83" t="s">
        <v>2013</v>
      </c>
      <c r="D114" s="15">
        <v>35.375799999999998</v>
      </c>
      <c r="E114" s="49">
        <v>-97.497500000000002</v>
      </c>
      <c r="F114" s="24" t="s">
        <v>380</v>
      </c>
      <c r="G114" s="90" t="s">
        <v>2012</v>
      </c>
      <c r="H114" s="24" t="s">
        <v>1825</v>
      </c>
      <c r="I114" s="24" t="b">
        <v>1</v>
      </c>
      <c r="K114" s="24" t="b">
        <v>1</v>
      </c>
      <c r="L114" s="24" t="s">
        <v>2014</v>
      </c>
      <c r="N114" s="15" t="s">
        <v>381</v>
      </c>
      <c r="O114" s="15" t="s">
        <v>336</v>
      </c>
      <c r="Y114" s="15" t="s">
        <v>1863</v>
      </c>
      <c r="AR114" s="154" t="b">
        <f>IF(OR(A114="Done",A114="In Progress"),TRUE)</f>
        <v>1</v>
      </c>
      <c r="AS114" s="155" t="str">
        <f>"title: """&amp;F114&amp;""""</f>
        <v>title: "Blessed Stanley Rother Shrine"</v>
      </c>
      <c r="AT114" s="155" t="str">
        <f>"location: {lat: "&amp;D114&amp;", lng: "&amp;E114&amp;"}"</f>
        <v>location: {lat: 35.3758, lng: -97.4975}</v>
      </c>
      <c r="AU114" s="155" t="str">
        <f>"interest: "&amp;H114</f>
        <v>interest: local</v>
      </c>
      <c r="AV114" s="155" t="str">
        <f>"- "&amp;VLOOKUP(B114,'(Ref) Countries'!A:C,3,)</f>
        <v>- usa
- oklahoma</v>
      </c>
      <c r="AW114" s="155" t="str">
        <f>IF(LEN(C114)&gt;1,"- "&amp;LOWER(SUBSTITUTE(C114," ","-")),"")</f>
        <v>- oklahoma-city</v>
      </c>
      <c r="AX114" s="155" t="str">
        <f>IF(I114,"- churches","")</f>
        <v>- churches</v>
      </c>
      <c r="AY114" s="155" t="str">
        <f>IF(J114,"- marian-sites","")</f>
        <v/>
      </c>
      <c r="AZ114" s="155" t="str">
        <f>IF(K114,"- holy-persons","")</f>
        <v>- holy-persons</v>
      </c>
      <c r="BA114" s="155" t="str">
        <f>IF(LEN(Y114)&gt;0,"- "&amp;Y114,"")</f>
        <v>- stanley-rother</v>
      </c>
      <c r="BB114" s="155" t="str">
        <f>IF(LEN(Z114)&gt;0,"- "&amp;Z114,"")</f>
        <v/>
      </c>
      <c r="BC114" s="155" t="str">
        <f>IF(LEN(AA114)&gt;0,"- "&amp;AA114,"")</f>
        <v/>
      </c>
      <c r="BD114" s="155" t="str">
        <f>IF(LEN(AB114)&gt;0,"- "&amp;AB114,"")</f>
        <v/>
      </c>
      <c r="BE114" s="155" t="str">
        <f>IF(LEN(AC114)&gt;0,"- "&amp;AC114,"")</f>
        <v/>
      </c>
      <c r="BF114" s="155" t="str">
        <f>IF(LEN(AD114)&gt;0,"- "&amp;AD114,"")</f>
        <v/>
      </c>
      <c r="BG114" s="155" t="str">
        <f>IF(LEN(AE114)&gt;0,"- "&amp;AE114,"")</f>
        <v/>
      </c>
      <c r="BH114" s="155" t="str">
        <f>IF(LEN(AF114)&gt;0,"- "&amp;AF114,"")</f>
        <v/>
      </c>
      <c r="BI114" s="155" t="str">
        <f>IF(LEN(AG114)&gt;0,"- "&amp;AG114,"")</f>
        <v/>
      </c>
      <c r="BJ114" s="155" t="str">
        <f>IF(LEN(AH114)&gt;0,"- "&amp;AH114,"")</f>
        <v/>
      </c>
      <c r="BK114" s="155" t="str">
        <f>"tags:"&amp;CHAR(10)&amp;concatl(AV114:BJ114)</f>
        <v xml:space="preserve">tags:
- usa
- oklahoma_x000D_
- oklahoma-city_x000D_
- churches_x000D_
- holy-persons_x000D_
- stanley-rother_x000D_
</v>
      </c>
      <c r="BL114" s="155" t="str">
        <f>IF(LEN(N114)&gt;0,TRIM(CONCATENATE("[Official site](",N114,") ",O114)),"")</f>
        <v>[Official site](https://www.rothershrine.org/)</v>
      </c>
      <c r="BM114" s="155" t="str">
        <f>IF(LEN(Q114)&gt;0,TRIM(CONCATENATE("["&amp;P114&amp;"](",Q114,") ",R114)),"")</f>
        <v/>
      </c>
      <c r="BN114" s="155" t="str">
        <f>IF(LEN(T114)&gt;0,TRIM(CONCATENATE("["&amp;S114&amp;"](",T114,") ",U114)),"")</f>
        <v/>
      </c>
      <c r="BO114" s="155" t="str">
        <f>IF(LEN(W114)&gt;0,TRIM(CONCATENATE("["&amp;V114&amp;"](",W114,") ",X114)),"")</f>
        <v/>
      </c>
      <c r="BP114" s="155" t="str">
        <f>IF(LEN(BL114)&gt;0,"* "&amp;BL114&amp;CHAR(10),"")&amp;
IF(LEN(BM114)&gt;0,"* "&amp;BM114&amp;CHAR(10),"")&amp;
IF(LEN(BN114)&gt;0,"* "&amp;BN114&amp;CHAR(10),"")&amp;
IF(LEN(BO114)&gt;0,"* "&amp;BO114&amp;CHAR(10),"")</f>
        <v xml:space="preserve">* [Official site](https://www.rothershrine.org/)
</v>
      </c>
      <c r="BQ114" s="155" t="str">
        <f>IF(LEN(AK114)&gt;0,TRIM(CONCATENATE("[Link](",AK114,") ",AL114)),"")</f>
        <v/>
      </c>
      <c r="BR114" s="155" t="str">
        <f>IF(LEN(AM114)&gt;0,TRIM(CONCATENATE("[Link](",AM114,") ",AN114)),"")</f>
        <v/>
      </c>
      <c r="BS114" s="155" t="str">
        <f>IF(LEN(AO114)&gt;0,TRIM(CONCATENATE("[Link](",AO114,") ",AP114)),"")</f>
        <v/>
      </c>
      <c r="BT114" s="155" t="str">
        <f>IF(LEN(concat(BQ114:BS114))&gt;0,concat("| ",BQ114," | ",BR114," | ",BS114," |"),"")</f>
        <v/>
      </c>
      <c r="BU114" s="155" t="str">
        <f>IF(J114,concatl("| The Real Presence | Miracle Hunter | MaryPages |","| --- | --- | --- |",BT114),"")</f>
        <v/>
      </c>
      <c r="BV114" s="155" t="str">
        <f>IF(LEN(BP114&amp;BU114)&gt;0,concatll("#### More Information",BP114,BU114),"")</f>
        <v xml:space="preserve">#### More Information_x000D_
_x000D_
* [Official site](https://www.rothershrine.org/)
_x000D_
_x000D_
</v>
      </c>
      <c r="BW114" s="155" t="str">
        <f>IF(LEN(M114)&gt;1,concatll("#### Author's Note",M114),"")</f>
        <v/>
      </c>
      <c r="BX114" s="23" t="str">
        <f>IF(AR114,concatll(concatl("---",AS114:AU114,BK114,"---"),L114,BV114:BW114),"")</f>
        <v xml:space="preserve">---_x000D_
title: "Blessed Stanley Rother Shrine"_x000D_
location: {lat: 35.3758, lng: -97.4975}_x000D_
interest: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114" s="23" t="str">
        <f>IF(AR114,VLOOKUP(B114,'(Ref) Countries'!A:B,2,)&amp;IF(LEN(C114)&gt;1,"-"&amp;LOWER(SUBSTITUTE(C114," ","-")),"")&amp;"-"&amp;LOWER(SUBSTITUTE(SUBSTITUTE(G114," ","-"),".",""))&amp;".md","")</f>
        <v>us_ok-oklahoma-city-stanley-rother-shrine.md</v>
      </c>
      <c r="BZ114" s="29" t="str">
        <f>IF(LEN(Y114)&gt;1,VLOOKUP(Y114,'Tag List'!$A:$B,2,),"")</f>
        <v>Bl. Stanley Rother</v>
      </c>
      <c r="CA114" s="29" t="str">
        <f>IF(LEN(Z114)&gt;1,VLOOKUP(Z114,'Tag List'!$A:$B,2,),"")</f>
        <v/>
      </c>
      <c r="CB114" s="29" t="str">
        <f>IF(LEN(AA114)&gt;1,VLOOKUP(AA114,'Tag List'!$A:$B,2,),"")</f>
        <v/>
      </c>
      <c r="CC114" s="29" t="str">
        <f>IF(LEN(Y114)&gt;1,GetTagPage(BZ114,Y114),"")</f>
        <v>[Bl. Stanley Rother](/tags/stanley-rother)</v>
      </c>
      <c r="CD114" s="29" t="str">
        <f>IF(LEN(Z114)&gt;1,GetTagPage(CA114,Z114),"")</f>
        <v/>
      </c>
      <c r="CE114" s="29" t="str">
        <f>IF(LEN(AA114)&gt;1,GetTagPage(CB114,AA114),"")</f>
        <v/>
      </c>
      <c r="CF114" s="29" t="str">
        <f>"|"&amp;IF(LEN(CC114)&gt;1," "&amp;CC114,"")&amp;IF(LEN(CD114)&gt;1,", "&amp;CD114,"")&amp;IF(LEN(CE114)&gt;1,", "&amp;CE114,"")&amp;" "</f>
        <v xml:space="preserve">| [Bl. Stanley Rother](/tags/stanley-rother) </v>
      </c>
      <c r="CG114" s="29" t="str">
        <f>"| "&amp;IF(AR114,"["&amp;AI114&amp;"](/places/"&amp;SUBSTITUTE(BY114,".md","")&amp;")",AI114)&amp;" "</f>
        <v xml:space="preserve">| [](/places/us_ok-oklahoma-city-stanley-rother-shrine) </v>
      </c>
      <c r="CH114" s="29" t="str">
        <f>"| "&amp;IF(AR114,GetTagPage(B114,VLOOKUP(B114,'(Ref) Countries'!A:C,3,)),B114)&amp; " "</f>
        <v xml:space="preserve">| [US Oklahoma](/tags/usa
- oklahoma) </v>
      </c>
      <c r="CI114" s="29" t="str">
        <f>"| "&amp;AJ114&amp;" "</f>
        <v xml:space="preserve">|  </v>
      </c>
      <c r="CJ114" s="29" t="str">
        <f>"|"&amp;IF(AR114," [Link](/places/"&amp;SUBSTITUTE(BY114,".md","")&amp;")","")&amp;" "</f>
        <v xml:space="preserve">| [Link](/places/us_ok-oklahoma-city-stanley-rother-shrine) </v>
      </c>
      <c r="CK114" s="29" t="str">
        <f>"
"&amp;CG114&amp;CH114&amp;CI114&amp;CJ114&amp;BL114&amp;BQ114&amp;BR114&amp;BS114&amp;CF114&amp;"|"</f>
        <v xml:space="preserve">
| [](/places/us_ok-oklahoma-city-stanley-rother-shrine) | [US Oklahoma](/tags/usa
- oklahoma) |  | [Link](/places/us_ok-oklahoma-city-stanley-rother-shrine) [Official site](https://www.rothershrine.org/)| [Bl. Stanley Rother](/tags/stanley-rother) |</v>
      </c>
    </row>
    <row r="115" spans="1:89" ht="25.5" x14ac:dyDescent="0.25">
      <c r="A115" s="168" t="s">
        <v>1320</v>
      </c>
      <c r="B115" s="83" t="s">
        <v>1942</v>
      </c>
      <c r="C115" s="83" t="s">
        <v>2015</v>
      </c>
      <c r="D115" s="15">
        <v>29.454204000000001</v>
      </c>
      <c r="E115" s="49">
        <v>-98.545190000000005</v>
      </c>
      <c r="F115" s="83" t="s">
        <v>391</v>
      </c>
      <c r="G115" s="53" t="s">
        <v>391</v>
      </c>
      <c r="H115" s="24" t="s">
        <v>1825</v>
      </c>
      <c r="I115" s="24" t="b">
        <v>1</v>
      </c>
      <c r="K115" s="24" t="b">
        <v>1</v>
      </c>
      <c r="L115" s="83" t="s">
        <v>393</v>
      </c>
      <c r="N115" s="15" t="s">
        <v>392</v>
      </c>
      <c r="O115" s="15" t="s">
        <v>336</v>
      </c>
      <c r="Y115" s="15" t="s">
        <v>1863</v>
      </c>
      <c r="AR115" s="154" t="b">
        <f>IF(OR(A115="Done",A115="In Progress"),TRUE)</f>
        <v>1</v>
      </c>
      <c r="AS115" s="155" t="str">
        <f>"title: """&amp;F115&amp;""""</f>
        <v>title: "Assumption Seminary"</v>
      </c>
      <c r="AT115" s="155" t="str">
        <f>"location: {lat: "&amp;D115&amp;", lng: "&amp;E115&amp;"}"</f>
        <v>location: {lat: 29.454204, lng: -98.54519}</v>
      </c>
      <c r="AU115" s="155" t="str">
        <f>"interest: "&amp;H115</f>
        <v>interest: local</v>
      </c>
      <c r="AV115" s="155" t="str">
        <f>"- "&amp;VLOOKUP(B115,'(Ref) Countries'!A:C,3,)</f>
        <v>- usa
- texas</v>
      </c>
      <c r="AW115" s="155" t="str">
        <f>IF(LEN(C115)&gt;1,"- "&amp;LOWER(SUBSTITUTE(C115," ","-")),"")</f>
        <v>- san-antonio</v>
      </c>
      <c r="AX115" s="155" t="str">
        <f>IF(I115,"- churches","")</f>
        <v>- churches</v>
      </c>
      <c r="AY115" s="155" t="str">
        <f>IF(J115,"- marian-sites","")</f>
        <v/>
      </c>
      <c r="AZ115" s="155" t="str">
        <f>IF(K115,"- holy-persons","")</f>
        <v>- holy-persons</v>
      </c>
      <c r="BA115" s="155" t="str">
        <f>IF(LEN(Y115)&gt;0,"- "&amp;Y115,"")</f>
        <v>- stanley-rother</v>
      </c>
      <c r="BB115" s="155" t="str">
        <f>IF(LEN(Z115)&gt;0,"- "&amp;Z115,"")</f>
        <v/>
      </c>
      <c r="BC115" s="155" t="str">
        <f>IF(LEN(AA115)&gt;0,"- "&amp;AA115,"")</f>
        <v/>
      </c>
      <c r="BD115" s="155" t="str">
        <f>IF(LEN(AB115)&gt;0,"- "&amp;AB115,"")</f>
        <v/>
      </c>
      <c r="BE115" s="155" t="str">
        <f>IF(LEN(AC115)&gt;0,"- "&amp;AC115,"")</f>
        <v/>
      </c>
      <c r="BF115" s="155" t="str">
        <f>IF(LEN(AD115)&gt;0,"- "&amp;AD115,"")</f>
        <v/>
      </c>
      <c r="BG115" s="155" t="str">
        <f>IF(LEN(AE115)&gt;0,"- "&amp;AE115,"")</f>
        <v/>
      </c>
      <c r="BH115" s="155" t="str">
        <f>IF(LEN(AF115)&gt;0,"- "&amp;AF115,"")</f>
        <v/>
      </c>
      <c r="BI115" s="155" t="str">
        <f>IF(LEN(AG115)&gt;0,"- "&amp;AG115,"")</f>
        <v/>
      </c>
      <c r="BJ115" s="155" t="str">
        <f>IF(LEN(AH115)&gt;0,"- "&amp;AH115,"")</f>
        <v/>
      </c>
      <c r="BK115" s="155" t="str">
        <f>"tags:"&amp;CHAR(10)&amp;concatl(AV115:BJ115)</f>
        <v xml:space="preserve">tags:
- usa
- texas_x000D_
- san-antonio_x000D_
- churches_x000D_
- holy-persons_x000D_
- stanley-rother_x000D_
</v>
      </c>
      <c r="BL115" s="155" t="str">
        <f>IF(LEN(N115)&gt;0,TRIM(CONCATENATE("[Official site](",N115,") ",O115)),"")</f>
        <v>[Official site](https://assumptionseminary.org/)</v>
      </c>
      <c r="BM115" s="155" t="str">
        <f>IF(LEN(Q115)&gt;0,TRIM(CONCATENATE("["&amp;P115&amp;"](",Q115,") ",R115)),"")</f>
        <v/>
      </c>
      <c r="BN115" s="155" t="str">
        <f>IF(LEN(T115)&gt;0,TRIM(CONCATENATE("["&amp;S115&amp;"](",T115,") ",U115)),"")</f>
        <v/>
      </c>
      <c r="BO115" s="155" t="str">
        <f>IF(LEN(W115)&gt;0,TRIM(CONCATENATE("["&amp;V115&amp;"](",W115,") ",X115)),"")</f>
        <v/>
      </c>
      <c r="BP115" s="155" t="str">
        <f>IF(LEN(BL115)&gt;0,"* "&amp;BL115&amp;CHAR(10),"")&amp;
IF(LEN(BM115)&gt;0,"* "&amp;BM115&amp;CHAR(10),"")&amp;
IF(LEN(BN115)&gt;0,"* "&amp;BN115&amp;CHAR(10),"")&amp;
IF(LEN(BO115)&gt;0,"* "&amp;BO115&amp;CHAR(10),"")</f>
        <v xml:space="preserve">* [Official site](https://assumptionseminary.org/)
</v>
      </c>
      <c r="BQ115" s="155" t="str">
        <f>IF(LEN(AK115)&gt;0,TRIM(CONCATENATE("[Link](",AK115,") ",AL115)),"")</f>
        <v/>
      </c>
      <c r="BR115" s="155" t="str">
        <f>IF(LEN(AM115)&gt;0,TRIM(CONCATENATE("[Link](",AM115,") ",AN115)),"")</f>
        <v/>
      </c>
      <c r="BS115" s="155" t="str">
        <f>IF(LEN(AO115)&gt;0,TRIM(CONCATENATE("[Link](",AO115,") ",AP115)),"")</f>
        <v/>
      </c>
      <c r="BT115" s="155" t="str">
        <f>IF(LEN(concat(BQ115:BS115))&gt;0,concat("| ",BQ115," | ",BR115," | ",BS115," |"),"")</f>
        <v/>
      </c>
      <c r="BU115" s="155" t="str">
        <f>IF(J115,concatl("| The Real Presence | Miracle Hunter | MaryPages |","| --- | --- | --- |",BT115),"")</f>
        <v/>
      </c>
      <c r="BV115" s="155" t="str">
        <f>IF(LEN(BP115&amp;BU115)&gt;0,concatll("#### More Information",BP115,BU115),"")</f>
        <v xml:space="preserve">#### More Information_x000D_
_x000D_
* [Official site](https://assumptionseminary.org/)
_x000D_
_x000D_
</v>
      </c>
      <c r="BW115" s="155" t="str">
        <f>IF(LEN(M115)&gt;1,concatll("#### Author's Note",M115),"")</f>
        <v/>
      </c>
      <c r="BX115" s="23" t="str">
        <f>IF(AR115,concatll(concatl("---",AS115:AU115,BK115,"---"),L115,BV115:BW115),"")</f>
        <v xml:space="preserve">---_x000D_
title: "Assumption Seminary"_x000D_
location: {lat: 29.454204, lng: -98.54519}_x000D_
interest: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115" s="23" t="str">
        <f>IF(AR115,VLOOKUP(B115,'(Ref) Countries'!A:B,2,)&amp;IF(LEN(C115)&gt;1,"-"&amp;LOWER(SUBSTITUTE(C115," ","-")),"")&amp;"-"&amp;LOWER(SUBSTITUTE(SUBSTITUTE(G115," ","-"),".",""))&amp;".md","")</f>
        <v>us_tx-san-antonio-assumption-seminary.md</v>
      </c>
      <c r="BZ115" s="29" t="str">
        <f>IF(LEN(Y115)&gt;1,VLOOKUP(Y115,'Tag List'!$A:$B,2,),"")</f>
        <v>Bl. Stanley Rother</v>
      </c>
      <c r="CA115" s="29" t="str">
        <f>IF(LEN(Z115)&gt;1,VLOOKUP(Z115,'Tag List'!$A:$B,2,),"")</f>
        <v/>
      </c>
      <c r="CB115" s="29" t="str">
        <f>IF(LEN(AA115)&gt;1,VLOOKUP(AA115,'Tag List'!$A:$B,2,),"")</f>
        <v/>
      </c>
      <c r="CC115" s="29" t="str">
        <f>IF(LEN(Y115)&gt;1,GetTagPage(BZ115,Y115),"")</f>
        <v>[Bl. Stanley Rother](/tags/stanley-rother)</v>
      </c>
      <c r="CD115" s="29" t="str">
        <f>IF(LEN(Z115)&gt;1,GetTagPage(CA115,Z115),"")</f>
        <v/>
      </c>
      <c r="CE115" s="29" t="str">
        <f>IF(LEN(AA115)&gt;1,GetTagPage(CB115,AA115),"")</f>
        <v/>
      </c>
      <c r="CF115" s="29" t="str">
        <f>"|"&amp;IF(LEN(CC115)&gt;1," "&amp;CC115,"")&amp;IF(LEN(CD115)&gt;1,", "&amp;CD115,"")&amp;IF(LEN(CE115)&gt;1,", "&amp;CE115,"")&amp;" "</f>
        <v xml:space="preserve">| [Bl. Stanley Rother](/tags/stanley-rother) </v>
      </c>
      <c r="CG115" s="29" t="str">
        <f>"| "&amp;IF(AR115,"["&amp;AI115&amp;"](/places/"&amp;SUBSTITUTE(BY115,".md","")&amp;")",AI115)&amp;" "</f>
        <v xml:space="preserve">| [](/places/us_tx-san-antonio-assumption-seminary) </v>
      </c>
      <c r="CH115" s="29" t="str">
        <f>"| "&amp;IF(AR115,GetTagPage(B115,VLOOKUP(B115,'(Ref) Countries'!A:C,3,)),B115)&amp; " "</f>
        <v xml:space="preserve">| [US Texas](/tags/usa
- texas) </v>
      </c>
      <c r="CI115" s="29" t="str">
        <f>"| "&amp;AJ115&amp;" "</f>
        <v xml:space="preserve">|  </v>
      </c>
      <c r="CJ115" s="29" t="str">
        <f>"|"&amp;IF(AR115," [Link](/places/"&amp;SUBSTITUTE(BY115,".md","")&amp;")","")&amp;" "</f>
        <v xml:space="preserve">| [Link](/places/us_tx-san-antonio-assumption-seminary) </v>
      </c>
      <c r="CK115" s="29" t="str">
        <f>"
"&amp;CG115&amp;CH115&amp;CI115&amp;CJ115&amp;BL115&amp;BQ115&amp;BR115&amp;BS115&amp;CF115&amp;"|"</f>
        <v xml:space="preserve">
| [](/places/us_tx-san-antonio-assumption-seminary) | [US Texas](/tags/usa
- texas) |  | [Link](/places/us_tx-san-antonio-assumption-seminary) [Official site](https://assumptionseminary.org/)| [Bl. Stanley Rother](/tags/stanley-rother) |</v>
      </c>
    </row>
    <row r="116" spans="1:89" ht="25.5" x14ac:dyDescent="0.25">
      <c r="A116" s="168" t="s">
        <v>1320</v>
      </c>
      <c r="B116" s="83" t="s">
        <v>1942</v>
      </c>
      <c r="C116" s="83" t="s">
        <v>2045</v>
      </c>
      <c r="D116" s="15">
        <v>32.750999999999998</v>
      </c>
      <c r="E116" s="49">
        <v>-96.8159986</v>
      </c>
      <c r="F116" s="83" t="s">
        <v>2046</v>
      </c>
      <c r="G116" s="90" t="s">
        <v>2047</v>
      </c>
      <c r="H116" s="83" t="s">
        <v>1825</v>
      </c>
      <c r="I116" s="24" t="b">
        <v>1</v>
      </c>
      <c r="L116" s="24" t="s">
        <v>2048</v>
      </c>
      <c r="N116" s="91" t="s">
        <v>2060</v>
      </c>
      <c r="O116" s="94" t="s">
        <v>336</v>
      </c>
      <c r="P116" s="95" t="s">
        <v>2059</v>
      </c>
      <c r="Q116" s="15" t="s">
        <v>2049</v>
      </c>
      <c r="R116" s="93" t="s">
        <v>336</v>
      </c>
      <c r="AR116" s="154" t="b">
        <f>IF(OR(A116="Done",A116="In Progress"),TRUE)</f>
        <v>1</v>
      </c>
      <c r="AS116" s="155" t="str">
        <f>"title: """&amp;F116&amp;""""</f>
        <v>title: "Blessed Sacrament Catholic Church, Dallas, TX"</v>
      </c>
      <c r="AT116" s="155" t="str">
        <f>"location: {lat: "&amp;D116&amp;", lng: "&amp;E116&amp;"}"</f>
        <v>location: {lat: 32.751, lng: -96.8159986}</v>
      </c>
      <c r="AU116" s="155" t="str">
        <f>"interest: "&amp;H116</f>
        <v>interest: local</v>
      </c>
      <c r="AV116" s="155" t="str">
        <f>"- "&amp;VLOOKUP(B116,'(Ref) Countries'!A:C,3,)</f>
        <v>- usa
- texas</v>
      </c>
      <c r="AW116" s="155" t="str">
        <f>IF(LEN(C116)&gt;1,"- "&amp;LOWER(SUBSTITUTE(C116," ","-")),"")</f>
        <v>- dallas</v>
      </c>
      <c r="AX116" s="155" t="str">
        <f>IF(I116,"- churches","")</f>
        <v>- churches</v>
      </c>
      <c r="AY116" s="155" t="str">
        <f>IF(J116,"- marian-sites","")</f>
        <v/>
      </c>
      <c r="AZ116" s="155" t="str">
        <f>IF(K116,"- holy-persons","")</f>
        <v/>
      </c>
      <c r="BA116" s="155" t="str">
        <f>IF(LEN(Y116)&gt;0,"- "&amp;Y116,"")</f>
        <v/>
      </c>
      <c r="BB116" s="155" t="str">
        <f>IF(LEN(Z116)&gt;0,"- "&amp;Z116,"")</f>
        <v/>
      </c>
      <c r="BC116" s="155" t="str">
        <f>IF(LEN(AA116)&gt;0,"- "&amp;AA116,"")</f>
        <v/>
      </c>
      <c r="BD116" s="155" t="str">
        <f>IF(LEN(AB116)&gt;0,"- "&amp;AB116,"")</f>
        <v/>
      </c>
      <c r="BE116" s="155" t="str">
        <f>IF(LEN(AC116)&gt;0,"- "&amp;AC116,"")</f>
        <v/>
      </c>
      <c r="BF116" s="155" t="str">
        <f>IF(LEN(AD116)&gt;0,"- "&amp;AD116,"")</f>
        <v/>
      </c>
      <c r="BG116" s="155" t="str">
        <f>IF(LEN(AE116)&gt;0,"- "&amp;AE116,"")</f>
        <v/>
      </c>
      <c r="BH116" s="155" t="str">
        <f>IF(LEN(AF116)&gt;0,"- "&amp;AF116,"")</f>
        <v/>
      </c>
      <c r="BI116" s="155" t="str">
        <f>IF(LEN(AG116)&gt;0,"- "&amp;AG116,"")</f>
        <v/>
      </c>
      <c r="BJ116" s="155" t="str">
        <f>IF(LEN(AH116)&gt;0,"- "&amp;AH116,"")</f>
        <v/>
      </c>
      <c r="BK116" s="155" t="str">
        <f>"tags:"&amp;CHAR(10)&amp;concatl(AV116:BJ116)</f>
        <v xml:space="preserve">tags:
- usa
- texas_x000D_
- dallas_x000D_
- churches_x000D_
</v>
      </c>
      <c r="BL116" s="155" t="str">
        <f>IF(LEN(N116)&gt;0,TRIM(CONCATENATE("[Official site](",N116,") ",O116)),"")</f>
        <v>[Official site](https://www.bsdallas.org/)</v>
      </c>
      <c r="BM116" s="155" t="str">
        <f>IF(LEN(Q116)&gt;0,TRIM(CONCATENATE("["&amp;P116&amp;"](",Q116,") ",R116)),"")</f>
        <v>[Parish history](https://www.bsdallas.org/about-our-parish)</v>
      </c>
      <c r="BN116" s="155" t="str">
        <f>IF(LEN(T116)&gt;0,TRIM(CONCATENATE("["&amp;S116&amp;"](",T116,") ",U116)),"")</f>
        <v/>
      </c>
      <c r="BO116" s="155" t="str">
        <f>IF(LEN(W116)&gt;0,TRIM(CONCATENATE("["&amp;V116&amp;"](",W116,") ",X116)),"")</f>
        <v/>
      </c>
      <c r="BP116" s="155" t="str">
        <f>IF(LEN(BL116)&gt;0,"* "&amp;BL116&amp;CHAR(10),"")&amp;
IF(LEN(BM116)&gt;0,"* "&amp;BM116&amp;CHAR(10),"")&amp;
IF(LEN(BN116)&gt;0,"* "&amp;BN116&amp;CHAR(10),"")&amp;
IF(LEN(BO116)&gt;0,"* "&amp;BO116&amp;CHAR(10),"")</f>
        <v xml:space="preserve">* [Official site](https://www.bsdallas.org/)
* [Parish history](https://www.bsdallas.org/about-our-parish)
</v>
      </c>
      <c r="BQ116" s="155" t="str">
        <f>IF(LEN(AK116)&gt;0,TRIM(CONCATENATE("[Link](",AK116,") ",AL116)),"")</f>
        <v/>
      </c>
      <c r="BR116" s="155" t="str">
        <f>IF(LEN(AM116)&gt;0,TRIM(CONCATENATE("[Link](",AM116,") ",AN116)),"")</f>
        <v/>
      </c>
      <c r="BS116" s="155" t="str">
        <f>IF(LEN(AO116)&gt;0,TRIM(CONCATENATE("[Link](",AO116,") ",AP116)),"")</f>
        <v/>
      </c>
      <c r="BT116" s="155" t="str">
        <f>IF(LEN(concat(BQ116:BS116))&gt;0,concat("| ",BQ116," | ",BR116," | ",BS116," |"),"")</f>
        <v/>
      </c>
      <c r="BU116" s="155" t="str">
        <f>IF(J116,concatl("| The Real Presence | Miracle Hunter | MaryPages |","| --- | --- | --- |",BT116),"")</f>
        <v/>
      </c>
      <c r="BV116" s="155" t="str">
        <f>IF(LEN(BP116&amp;BU116)&gt;0,concatll("#### More Information",BP116,BU116),"")</f>
        <v xml:space="preserve">#### More Information_x000D_
_x000D_
* [Official site](https://www.bsdallas.org/)
* [Parish history](https://www.bsdallas.org/about-our-parish)
_x000D_
_x000D_
</v>
      </c>
      <c r="BW116" s="155" t="str">
        <f>IF(LEN(M116)&gt;1,concatll("#### Author's Note",M116),"")</f>
        <v/>
      </c>
      <c r="BX116" s="23" t="str">
        <f>IF(AR116,concatll(concatl("---",AS116:AU116,BK116,"---"),L116,BV116:BW116),"")</f>
        <v xml:space="preserve">---_x000D_
title: "Blessed Sacrament Catholic Church, Dallas, TX"_x000D_
location: {lat: 32.751, lng: -96.8159986}_x000D_
interest: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116" s="23" t="str">
        <f>IF(AR116,VLOOKUP(B116,'(Ref) Countries'!A:B,2,)&amp;IF(LEN(C116)&gt;1,"-"&amp;LOWER(SUBSTITUTE(C116," ","-")),"")&amp;"-"&amp;LOWER(SUBSTITUTE(SUBSTITUTE(G116," ","-"),".",""))&amp;".md","")</f>
        <v>us_tx-dallas-blessed-sacrament.md</v>
      </c>
      <c r="BZ116" s="29" t="str">
        <f>IF(LEN(Y116)&gt;1,VLOOKUP(Y116,'Tag List'!$A:$B,2,),"")</f>
        <v/>
      </c>
      <c r="CA116" s="29" t="str">
        <f>IF(LEN(Z116)&gt;1,VLOOKUP(Z116,'Tag List'!$A:$B,2,),"")</f>
        <v/>
      </c>
      <c r="CB116" s="29" t="str">
        <f>IF(LEN(AA116)&gt;1,VLOOKUP(AA116,'Tag List'!$A:$B,2,),"")</f>
        <v/>
      </c>
      <c r="CC116" s="29" t="str">
        <f>IF(LEN(Y116)&gt;1,GetTagPage(BZ116,Y116),"")</f>
        <v/>
      </c>
      <c r="CD116" s="29" t="str">
        <f>IF(LEN(Z116)&gt;1,GetTagPage(CA116,Z116),"")</f>
        <v/>
      </c>
      <c r="CE116" s="29" t="str">
        <f>IF(LEN(AA116)&gt;1,GetTagPage(CB116,AA116),"")</f>
        <v/>
      </c>
      <c r="CF116" s="29" t="str">
        <f>"|"&amp;IF(LEN(CC116)&gt;1," "&amp;CC116,"")&amp;IF(LEN(CD116)&gt;1,", "&amp;CD116,"")&amp;IF(LEN(CE116)&gt;1,", "&amp;CE116,"")&amp;" "</f>
        <v xml:space="preserve">| </v>
      </c>
      <c r="CG116" s="29" t="str">
        <f>"| "&amp;IF(AR116,"["&amp;AI116&amp;"](/places/"&amp;SUBSTITUTE(BY116,".md","")&amp;")",AI116)&amp;" "</f>
        <v xml:space="preserve">| [](/places/us_tx-dallas-blessed-sacrament) </v>
      </c>
      <c r="CH116" s="29" t="str">
        <f>"| "&amp;IF(AR116,GetTagPage(B116,VLOOKUP(B116,'(Ref) Countries'!A:C,3,)),B116)&amp; " "</f>
        <v xml:space="preserve">| [US Texas](/tags/usa
- texas) </v>
      </c>
      <c r="CI116" s="29" t="str">
        <f>"| "&amp;AJ116&amp;" "</f>
        <v xml:space="preserve">|  </v>
      </c>
      <c r="CJ116" s="29" t="str">
        <f>"|"&amp;IF(AR116," [Link](/places/"&amp;SUBSTITUTE(BY116,".md","")&amp;")","")&amp;" "</f>
        <v xml:space="preserve">| [Link](/places/us_tx-dallas-blessed-sacrament) </v>
      </c>
      <c r="CK116" s="29" t="str">
        <f>"
"&amp;CG116&amp;CH116&amp;CI116&amp;CJ116&amp;BL116&amp;BQ116&amp;BR116&amp;BS116&amp;CF116&amp;"|"</f>
        <v xml:space="preserve">
| [](/places/us_tx-dallas-blessed-sacrament) | [US Texas](/tags/usa
- texas) |  | [Link](/places/us_tx-dallas-blessed-sacrament) [Official site](https://www.bsdallas.org/)| |</v>
      </c>
    </row>
    <row r="117" spans="1:89" ht="102" x14ac:dyDescent="0.25">
      <c r="A117" s="168" t="s">
        <v>1320</v>
      </c>
      <c r="B117" s="24" t="s">
        <v>1942</v>
      </c>
      <c r="C117" s="24" t="s">
        <v>2045</v>
      </c>
      <c r="D117" s="15">
        <v>32.788515199999999</v>
      </c>
      <c r="E117" s="49">
        <v>-96.797780700000004</v>
      </c>
      <c r="F117" s="83" t="s">
        <v>2051</v>
      </c>
      <c r="G117" s="90" t="s">
        <v>2052</v>
      </c>
      <c r="H117" s="24" t="s">
        <v>1825</v>
      </c>
      <c r="I117" s="24" t="b">
        <v>1</v>
      </c>
      <c r="L117" s="83" t="s">
        <v>2050</v>
      </c>
      <c r="M117" s="90" t="s">
        <v>2053</v>
      </c>
      <c r="N117" s="15" t="s">
        <v>2054</v>
      </c>
      <c r="O117" s="94" t="s">
        <v>336</v>
      </c>
      <c r="AR117" s="154" t="b">
        <f>IF(OR(A117="Done",A117="In Progress"),TRUE)</f>
        <v>1</v>
      </c>
      <c r="AS117" s="155" t="str">
        <f>"title: """&amp;F117&amp;""""</f>
        <v>title: "National Shrine Cathedral of Our Lady of Guadalupe, Dallas, TX"</v>
      </c>
      <c r="AT117" s="155" t="str">
        <f>"location: {lat: "&amp;D117&amp;", lng: "&amp;E117&amp;"}"</f>
        <v>location: {lat: 32.7885152, lng: -96.7977807}</v>
      </c>
      <c r="AU117" s="155" t="str">
        <f>"interest: "&amp;H117</f>
        <v>interest: local</v>
      </c>
      <c r="AV117" s="155" t="str">
        <f>"- "&amp;VLOOKUP(B117,'(Ref) Countries'!A:C,3,)</f>
        <v>- usa
- texas</v>
      </c>
      <c r="AW117" s="155" t="str">
        <f>IF(LEN(C117)&gt;1,"- "&amp;LOWER(SUBSTITUTE(C117," ","-")),"")</f>
        <v>- dallas</v>
      </c>
      <c r="AX117" s="155" t="str">
        <f>IF(I117,"- churches","")</f>
        <v>- churches</v>
      </c>
      <c r="AY117" s="155" t="str">
        <f>IF(J117,"- marian-sites","")</f>
        <v/>
      </c>
      <c r="AZ117" s="155" t="str">
        <f>IF(K117,"- holy-persons","")</f>
        <v/>
      </c>
      <c r="BA117" s="155" t="str">
        <f>IF(LEN(Y117)&gt;0,"- "&amp;Y117,"")</f>
        <v/>
      </c>
      <c r="BB117" s="155" t="str">
        <f>IF(LEN(Z117)&gt;0,"- "&amp;Z117,"")</f>
        <v/>
      </c>
      <c r="BC117" s="155" t="str">
        <f>IF(LEN(AA117)&gt;0,"- "&amp;AA117,"")</f>
        <v/>
      </c>
      <c r="BD117" s="155" t="str">
        <f>IF(LEN(AB117)&gt;0,"- "&amp;AB117,"")</f>
        <v/>
      </c>
      <c r="BE117" s="155" t="str">
        <f>IF(LEN(AC117)&gt;0,"- "&amp;AC117,"")</f>
        <v/>
      </c>
      <c r="BF117" s="155" t="str">
        <f>IF(LEN(AD117)&gt;0,"- "&amp;AD117,"")</f>
        <v/>
      </c>
      <c r="BG117" s="155" t="str">
        <f>IF(LEN(AE117)&gt;0,"- "&amp;AE117,"")</f>
        <v/>
      </c>
      <c r="BH117" s="155" t="str">
        <f>IF(LEN(AF117)&gt;0,"- "&amp;AF117,"")</f>
        <v/>
      </c>
      <c r="BI117" s="155" t="str">
        <f>IF(LEN(AG117)&gt;0,"- "&amp;AG117,"")</f>
        <v/>
      </c>
      <c r="BJ117" s="155" t="str">
        <f>IF(LEN(AH117)&gt;0,"- "&amp;AH117,"")</f>
        <v/>
      </c>
      <c r="BK117" s="155" t="str">
        <f>"tags:"&amp;CHAR(10)&amp;concatl(AV117:BJ117)</f>
        <v xml:space="preserve">tags:
- usa
- texas_x000D_
- dallas_x000D_
- churches_x000D_
</v>
      </c>
      <c r="BL117" s="155" t="str">
        <f>IF(LEN(N117)&gt;0,TRIM(CONCATENATE("[Official site](",N117,") ",O117)),"")</f>
        <v>[Official site](https://www.cathdal.org/cathedral)</v>
      </c>
      <c r="BM117" s="155" t="str">
        <f>IF(LEN(Q117)&gt;0,TRIM(CONCATENATE("["&amp;P117&amp;"](",Q117,") ",R117)),"")</f>
        <v/>
      </c>
      <c r="BN117" s="155" t="str">
        <f>IF(LEN(T117)&gt;0,TRIM(CONCATENATE("["&amp;S117&amp;"](",T117,") ",U117)),"")</f>
        <v/>
      </c>
      <c r="BO117" s="155" t="str">
        <f>IF(LEN(W117)&gt;0,TRIM(CONCATENATE("["&amp;V117&amp;"](",W117,") ",X117)),"")</f>
        <v/>
      </c>
      <c r="BP117" s="155" t="str">
        <f>IF(LEN(BL117)&gt;0,"* "&amp;BL117&amp;CHAR(10),"")&amp;
IF(LEN(BM117)&gt;0,"* "&amp;BM117&amp;CHAR(10),"")&amp;
IF(LEN(BN117)&gt;0,"* "&amp;BN117&amp;CHAR(10),"")&amp;
IF(LEN(BO117)&gt;0,"* "&amp;BO117&amp;CHAR(10),"")</f>
        <v xml:space="preserve">* [Official site](https://www.cathdal.org/cathedral)
</v>
      </c>
      <c r="BQ117" s="155" t="str">
        <f>IF(LEN(AK117)&gt;0,TRIM(CONCATENATE("[Link](",AK117,") ",AL117)),"")</f>
        <v/>
      </c>
      <c r="BR117" s="155" t="str">
        <f>IF(LEN(AM117)&gt;0,TRIM(CONCATENATE("[Link](",AM117,") ",AN117)),"")</f>
        <v/>
      </c>
      <c r="BS117" s="155" t="str">
        <f>IF(LEN(AO117)&gt;0,TRIM(CONCATENATE("[Link](",AO117,") ",AP117)),"")</f>
        <v/>
      </c>
      <c r="BT117" s="155" t="str">
        <f>IF(LEN(concat(BQ117:BS117))&gt;0,concat("| ",BQ117," | ",BR117," | ",BS117," |"),"")</f>
        <v/>
      </c>
      <c r="BU117" s="155" t="str">
        <f>IF(J117,concatl("| The Real Presence | Miracle Hunter | MaryPages |","| --- | --- | --- |",BT117),"")</f>
        <v/>
      </c>
      <c r="BV117" s="155" t="str">
        <f>IF(LEN(BP117&amp;BU117)&gt;0,concatll("#### More Information",BP117,BU117),"")</f>
        <v xml:space="preserve">#### More Information_x000D_
_x000D_
* [Official site](https://www.cathdal.org/cathedral)
_x000D_
_x000D_
</v>
      </c>
      <c r="BW117" s="155" t="str">
        <f>IF(LEN(M117)&gt;1,concatll("#### Author's Note",M117),"")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117" s="23" t="str">
        <f>IF(AR117,concatll(concatl("---",AS117:AU117,BK117,"---"),L117,BV117:BW117),"")</f>
        <v xml:space="preserve">---_x000D_
title: "National Shrine Cathedral of Our Lady of Guadalupe, Dallas, TX"_x000D_
location: {lat: 32.7885152, lng: -96.7977807}_x000D_
interest: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117" s="23" t="str">
        <f>IF(AR117,VLOOKUP(B117,'(Ref) Countries'!A:B,2,)&amp;IF(LEN(C117)&gt;1,"-"&amp;LOWER(SUBSTITUTE(C117," ","-")),"")&amp;"-"&amp;LOWER(SUBSTITUTE(SUBSTITUTE(G117," ","-"),".",""))&amp;".md","")</f>
        <v>us_tx-dallas-guadalupe-cathedral.md</v>
      </c>
      <c r="BZ117" s="29" t="str">
        <f>IF(LEN(Y117)&gt;1,VLOOKUP(Y117,'Tag List'!$A:$B,2,),"")</f>
        <v/>
      </c>
      <c r="CA117" s="29" t="str">
        <f>IF(LEN(Z117)&gt;1,VLOOKUP(Z117,'Tag List'!$A:$B,2,),"")</f>
        <v/>
      </c>
      <c r="CB117" s="29" t="str">
        <f>IF(LEN(AA117)&gt;1,VLOOKUP(AA117,'Tag List'!$A:$B,2,),"")</f>
        <v/>
      </c>
      <c r="CC117" s="29" t="str">
        <f>IF(LEN(Y117)&gt;1,GetTagPage(BZ117,Y117),"")</f>
        <v/>
      </c>
      <c r="CD117" s="29" t="str">
        <f>IF(LEN(Z117)&gt;1,GetTagPage(CA117,Z117),"")</f>
        <v/>
      </c>
      <c r="CE117" s="29" t="str">
        <f>IF(LEN(AA117)&gt;1,GetTagPage(CB117,AA117),"")</f>
        <v/>
      </c>
      <c r="CF117" s="29" t="str">
        <f>"|"&amp;IF(LEN(CC117)&gt;1," "&amp;CC117,"")&amp;IF(LEN(CD117)&gt;1,", "&amp;CD117,"")&amp;IF(LEN(CE117)&gt;1,", "&amp;CE117,"")&amp;" "</f>
        <v xml:space="preserve">| </v>
      </c>
      <c r="CG117" s="29" t="str">
        <f>"| "&amp;IF(AR117,"["&amp;AI117&amp;"](/places/"&amp;SUBSTITUTE(BY117,".md","")&amp;")",AI117)&amp;" "</f>
        <v xml:space="preserve">| [](/places/us_tx-dallas-guadalupe-cathedral) </v>
      </c>
      <c r="CH117" s="29" t="str">
        <f>"| "&amp;IF(AR117,GetTagPage(B117,VLOOKUP(B117,'(Ref) Countries'!A:C,3,)),B117)&amp; " "</f>
        <v xml:space="preserve">| [US Texas](/tags/usa
- texas) </v>
      </c>
      <c r="CI117" s="29" t="str">
        <f>"| "&amp;AJ117&amp;" "</f>
        <v xml:space="preserve">|  </v>
      </c>
      <c r="CJ117" s="29" t="str">
        <f>"|"&amp;IF(AR117," [Link](/places/"&amp;SUBSTITUTE(BY117,".md","")&amp;")","")&amp;" "</f>
        <v xml:space="preserve">| [Link](/places/us_tx-dallas-guadalupe-cathedral) </v>
      </c>
      <c r="CK117" s="29" t="str">
        <f>"
"&amp;CG117&amp;CH117&amp;CI117&amp;CJ117&amp;BL117&amp;BQ117&amp;BR117&amp;BS117&amp;CF117&amp;"|"</f>
        <v xml:space="preserve">
| [](/places/us_tx-dallas-guadalupe-cathedral) | [US Texas](/tags/usa
- texas) |  | [Link](/places/us_tx-dallas-guadalupe-cathedral) [Official site](https://www.cathdal.org/cathedral)| |</v>
      </c>
    </row>
    <row r="118" spans="1:89" ht="25.5" x14ac:dyDescent="0.25">
      <c r="A118" s="168" t="s">
        <v>1320</v>
      </c>
      <c r="B118" s="24" t="s">
        <v>1942</v>
      </c>
      <c r="C118" s="24" t="s">
        <v>2045</v>
      </c>
      <c r="D118" s="15">
        <v>32.814570799999998</v>
      </c>
      <c r="E118" s="49">
        <v>-96.802842799999993</v>
      </c>
      <c r="F118" s="24" t="s">
        <v>2055</v>
      </c>
      <c r="G118" s="90" t="s">
        <v>2010</v>
      </c>
      <c r="H118" s="24" t="s">
        <v>1825</v>
      </c>
      <c r="I118" s="24" t="b">
        <v>1</v>
      </c>
      <c r="L118" s="83" t="s">
        <v>2056</v>
      </c>
      <c r="N118" s="91" t="s">
        <v>2057</v>
      </c>
      <c r="O118" s="94" t="s">
        <v>336</v>
      </c>
      <c r="P118" s="95" t="s">
        <v>2059</v>
      </c>
      <c r="Q118" s="15" t="s">
        <v>2058</v>
      </c>
      <c r="R118" s="93" t="s">
        <v>336</v>
      </c>
      <c r="Y118" s="91" t="s">
        <v>2061</v>
      </c>
      <c r="AR118" s="154" t="b">
        <f>IF(OR(A118="Done",A118="In Progress"),TRUE)</f>
        <v>1</v>
      </c>
      <c r="AS118" s="155" t="str">
        <f>"title: """&amp;F118&amp;""""</f>
        <v>title: "Holy Trinity Catholic Church, Dallas, TX"</v>
      </c>
      <c r="AT118" s="155" t="str">
        <f>"location: {lat: "&amp;D118&amp;", lng: "&amp;E118&amp;"}"</f>
        <v>location: {lat: 32.8145708, lng: -96.8028428}</v>
      </c>
      <c r="AU118" s="155" t="str">
        <f>"interest: "&amp;H118</f>
        <v>interest: local</v>
      </c>
      <c r="AV118" s="155" t="str">
        <f>"- "&amp;VLOOKUP(B118,'(Ref) Countries'!A:C,3,)</f>
        <v>- usa
- texas</v>
      </c>
      <c r="AW118" s="155" t="str">
        <f>IF(LEN(C118)&gt;1,"- "&amp;LOWER(SUBSTITUTE(C118," ","-")),"")</f>
        <v>- dallas</v>
      </c>
      <c r="AX118" s="155" t="str">
        <f>IF(I118,"- churches","")</f>
        <v>- churches</v>
      </c>
      <c r="AY118" s="155" t="str">
        <f>IF(J118,"- marian-sites","")</f>
        <v/>
      </c>
      <c r="AZ118" s="155" t="str">
        <f>IF(K118,"- holy-persons","")</f>
        <v/>
      </c>
      <c r="BA118" s="155" t="str">
        <f>IF(LEN(Y118)&gt;0,"- "&amp;Y118,"")</f>
        <v>- vincentians</v>
      </c>
      <c r="BB118" s="155" t="str">
        <f>IF(LEN(Z118)&gt;0,"- "&amp;Z118,"")</f>
        <v/>
      </c>
      <c r="BC118" s="155" t="str">
        <f>IF(LEN(AA118)&gt;0,"- "&amp;AA118,"")</f>
        <v/>
      </c>
      <c r="BD118" s="155" t="str">
        <f>IF(LEN(AB118)&gt;0,"- "&amp;AB118,"")</f>
        <v/>
      </c>
      <c r="BE118" s="155" t="str">
        <f>IF(LEN(AC118)&gt;0,"- "&amp;AC118,"")</f>
        <v/>
      </c>
      <c r="BF118" s="155" t="str">
        <f>IF(LEN(AD118)&gt;0,"- "&amp;AD118,"")</f>
        <v/>
      </c>
      <c r="BG118" s="155" t="str">
        <f>IF(LEN(AE118)&gt;0,"- "&amp;AE118,"")</f>
        <v/>
      </c>
      <c r="BH118" s="155" t="str">
        <f>IF(LEN(AF118)&gt;0,"- "&amp;AF118,"")</f>
        <v/>
      </c>
      <c r="BI118" s="155" t="str">
        <f>IF(LEN(AG118)&gt;0,"- "&amp;AG118,"")</f>
        <v/>
      </c>
      <c r="BJ118" s="155" t="str">
        <f>IF(LEN(AH118)&gt;0,"- "&amp;AH118,"")</f>
        <v/>
      </c>
      <c r="BK118" s="155" t="str">
        <f>"tags:"&amp;CHAR(10)&amp;concatl(AV118:BJ118)</f>
        <v xml:space="preserve">tags:
- usa
- texas_x000D_
- dallas_x000D_
- churches_x000D_
- vincentians_x000D_
</v>
      </c>
      <c r="BL118" s="155" t="str">
        <f>IF(LEN(N118)&gt;0,TRIM(CONCATENATE("[Official site](",N118,") ",O118)),"")</f>
        <v>[Official site](https://htccd.org/)</v>
      </c>
      <c r="BM118" s="155" t="str">
        <f>IF(LEN(Q118)&gt;0,TRIM(CONCATENATE("["&amp;P118&amp;"](",Q118,") ",R118)),"")</f>
        <v>[Parish history](https://htccd.org/history)</v>
      </c>
      <c r="BN118" s="155" t="str">
        <f>IF(LEN(T118)&gt;0,TRIM(CONCATENATE("["&amp;S118&amp;"](",T118,") ",U118)),"")</f>
        <v/>
      </c>
      <c r="BO118" s="155" t="str">
        <f>IF(LEN(W118)&gt;0,TRIM(CONCATENATE("["&amp;V118&amp;"](",W118,") ",X118)),"")</f>
        <v/>
      </c>
      <c r="BP118" s="155" t="str">
        <f>IF(LEN(BL118)&gt;0,"* "&amp;BL118&amp;CHAR(10),"")&amp;
IF(LEN(BM118)&gt;0,"* "&amp;BM118&amp;CHAR(10),"")&amp;
IF(LEN(BN118)&gt;0,"* "&amp;BN118&amp;CHAR(10),"")&amp;
IF(LEN(BO118)&gt;0,"* "&amp;BO118&amp;CHAR(10),"")</f>
        <v xml:space="preserve">* [Official site](https://htccd.org/)
* [Parish history](https://htccd.org/history)
</v>
      </c>
      <c r="BQ118" s="155" t="str">
        <f>IF(LEN(AK118)&gt;0,TRIM(CONCATENATE("[Link](",AK118,") ",AL118)),"")</f>
        <v/>
      </c>
      <c r="BR118" s="155" t="str">
        <f>IF(LEN(AM118)&gt;0,TRIM(CONCATENATE("[Link](",AM118,") ",AN118)),"")</f>
        <v/>
      </c>
      <c r="BS118" s="155" t="str">
        <f>IF(LEN(AO118)&gt;0,TRIM(CONCATENATE("[Link](",AO118,") ",AP118)),"")</f>
        <v/>
      </c>
      <c r="BT118" s="155" t="str">
        <f>IF(LEN(concat(BQ118:BS118))&gt;0,concat("| ",BQ118," | ",BR118," | ",BS118," |"),"")</f>
        <v/>
      </c>
      <c r="BU118" s="155" t="str">
        <f>IF(J118,concatl("| The Real Presence | Miracle Hunter | MaryPages |","| --- | --- | --- |",BT118),"")</f>
        <v/>
      </c>
      <c r="BV118" s="155" t="str">
        <f>IF(LEN(BP118&amp;BU118)&gt;0,concatll("#### More Information",BP118,BU118),"")</f>
        <v xml:space="preserve">#### More Information_x000D_
_x000D_
* [Official site](https://htccd.org/)
* [Parish history](https://htccd.org/history)
_x000D_
_x000D_
</v>
      </c>
      <c r="BW118" s="155" t="str">
        <f>IF(LEN(M118)&gt;1,concatll("#### Author's Note",M118),"")</f>
        <v/>
      </c>
      <c r="BX118" s="23" t="str">
        <f>IF(AR118,concatll(concatl("---",AS118:AU118,BK118,"---"),L118,BV118:BW118),"")</f>
        <v xml:space="preserve">---_x000D_
title: "Holy Trinity Catholic Church, Dallas, TX"_x000D_
location: {lat: 32.8145708, lng: -96.8028428}_x000D_
interest: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118" s="23" t="str">
        <f>IF(AR118,VLOOKUP(B118,'(Ref) Countries'!A:B,2,)&amp;IF(LEN(C118)&gt;1,"-"&amp;LOWER(SUBSTITUTE(C118," ","-")),"")&amp;"-"&amp;LOWER(SUBSTITUTE(SUBSTITUTE(G118," ","-"),".",""))&amp;".md","")</f>
        <v>us_tx-dallas-holy-trinity.md</v>
      </c>
      <c r="BZ118" s="29" t="str">
        <f>IF(LEN(Y118)&gt;1,VLOOKUP(Y118,'Tag List'!$A:$B,2,),"")</f>
        <v>Congregation of the Mission (Vincentians)</v>
      </c>
      <c r="CA118" s="29" t="str">
        <f>IF(LEN(Z118)&gt;1,VLOOKUP(Z118,'Tag List'!$A:$B,2,),"")</f>
        <v/>
      </c>
      <c r="CB118" s="29" t="str">
        <f>IF(LEN(AA118)&gt;1,VLOOKUP(AA118,'Tag List'!$A:$B,2,),"")</f>
        <v/>
      </c>
      <c r="CC118" s="29" t="str">
        <f>IF(LEN(Y118)&gt;1,GetTagPage(BZ118,Y118),"")</f>
        <v>[Congregation of the Mission (Vincentians)](/tags/vincentians)</v>
      </c>
      <c r="CD118" s="29" t="str">
        <f>IF(LEN(Z118)&gt;1,GetTagPage(CA118,Z118),"")</f>
        <v/>
      </c>
      <c r="CE118" s="29" t="str">
        <f>IF(LEN(AA118)&gt;1,GetTagPage(CB118,AA118),"")</f>
        <v/>
      </c>
      <c r="CF118" s="29" t="str">
        <f>"|"&amp;IF(LEN(CC118)&gt;1," "&amp;CC118,"")&amp;IF(LEN(CD118)&gt;1,", "&amp;CD118,"")&amp;IF(LEN(CE118)&gt;1,", "&amp;CE118,"")&amp;" "</f>
        <v xml:space="preserve">| [Congregation of the Mission (Vincentians)](/tags/vincentians) </v>
      </c>
      <c r="CG118" s="29" t="str">
        <f>"| "&amp;IF(AR118,"["&amp;AI118&amp;"](/places/"&amp;SUBSTITUTE(BY118,".md","")&amp;")",AI118)&amp;" "</f>
        <v xml:space="preserve">| [](/places/us_tx-dallas-holy-trinity) </v>
      </c>
      <c r="CH118" s="29" t="str">
        <f>"| "&amp;IF(AR118,GetTagPage(B118,VLOOKUP(B118,'(Ref) Countries'!A:C,3,)),B118)&amp; " "</f>
        <v xml:space="preserve">| [US Texas](/tags/usa
- texas) </v>
      </c>
      <c r="CI118" s="29" t="str">
        <f>"| "&amp;AJ118&amp;" "</f>
        <v xml:space="preserve">|  </v>
      </c>
      <c r="CJ118" s="29" t="str">
        <f>"|"&amp;IF(AR118," [Link](/places/"&amp;SUBSTITUTE(BY118,".md","")&amp;")","")&amp;" "</f>
        <v xml:space="preserve">| [Link](/places/us_tx-dallas-holy-trinity) </v>
      </c>
      <c r="CK118" s="29" t="str">
        <f>"
"&amp;CG118&amp;CH118&amp;CI118&amp;CJ118&amp;BL118&amp;BQ118&amp;BR118&amp;BS118&amp;CF118&amp;"|"</f>
        <v xml:space="preserve">
| [](/places/us_tx-dallas-holy-trinity) | [US Texas](/tags/usa
- texas) |  | [Link](/places/us_tx-dallas-holy-trinity) [Official site](https://htccd.org/)| [Congregation of the Mission (Vincentians)](/tags/vincentians) |</v>
      </c>
    </row>
    <row r="119" spans="1:89" ht="127.5" x14ac:dyDescent="0.25">
      <c r="A119" s="168" t="s">
        <v>1320</v>
      </c>
      <c r="B119" s="24" t="s">
        <v>1942</v>
      </c>
      <c r="C119" s="24" t="s">
        <v>2045</v>
      </c>
      <c r="D119" s="15">
        <v>32.792158999999998</v>
      </c>
      <c r="E119" s="49">
        <v>-96.806457199999997</v>
      </c>
      <c r="F119" s="83" t="s">
        <v>2065</v>
      </c>
      <c r="G119" s="90" t="s">
        <v>2066</v>
      </c>
      <c r="H119" s="24" t="s">
        <v>1825</v>
      </c>
      <c r="L119" s="83" t="s">
        <v>2067</v>
      </c>
      <c r="P119" s="95" t="s">
        <v>2080</v>
      </c>
      <c r="Q119" s="91" t="s">
        <v>2068</v>
      </c>
      <c r="R119" s="93" t="s">
        <v>2081</v>
      </c>
      <c r="S119" s="95" t="s">
        <v>2070</v>
      </c>
      <c r="T119" s="15" t="s">
        <v>2069</v>
      </c>
      <c r="U119" s="93" t="s">
        <v>336</v>
      </c>
      <c r="Y119" s="15" t="s">
        <v>2115</v>
      </c>
      <c r="AR119" s="154" t="b">
        <f>IF(OR(A119="Done",A119="In Progress"),TRUE)</f>
        <v>1</v>
      </c>
      <c r="AS119" s="155" t="str">
        <f>"title: """&amp;F119&amp;""""</f>
        <v>title: "Old Our Lady of Guadalupe Catholic Church, Dallas, TX"</v>
      </c>
      <c r="AT119" s="155" t="str">
        <f>"location: {lat: "&amp;D119&amp;", lng: "&amp;E119&amp;"}"</f>
        <v>location: {lat: 32.792159, lng: -96.8064572}</v>
      </c>
      <c r="AU119" s="155" t="str">
        <f>"interest: "&amp;H119</f>
        <v>interest: local</v>
      </c>
      <c r="AV119" s="155" t="str">
        <f>"- "&amp;VLOOKUP(B119,'(Ref) Countries'!A:C,3,)</f>
        <v>- usa
- texas</v>
      </c>
      <c r="AW119" s="155" t="str">
        <f>IF(LEN(C119)&gt;1,"- "&amp;LOWER(SUBSTITUTE(C119," ","-")),"")</f>
        <v>- dallas</v>
      </c>
      <c r="AX119" s="155" t="str">
        <f>IF(I119,"- churches","")</f>
        <v/>
      </c>
      <c r="AY119" s="155" t="str">
        <f>IF(J119,"- marian-sites","")</f>
        <v/>
      </c>
      <c r="AZ119" s="155" t="str">
        <f>IF(K119,"- holy-persons","")</f>
        <v/>
      </c>
      <c r="BA119" s="155" t="str">
        <f>IF(LEN(Y119)&gt;0,"- "&amp;Y119,"")</f>
        <v>- closed</v>
      </c>
      <c r="BB119" s="155" t="str">
        <f>IF(LEN(Z119)&gt;0,"- "&amp;Z119,"")</f>
        <v/>
      </c>
      <c r="BC119" s="155" t="str">
        <f>IF(LEN(AA119)&gt;0,"- "&amp;AA119,"")</f>
        <v/>
      </c>
      <c r="BD119" s="155" t="str">
        <f>IF(LEN(AB119)&gt;0,"- "&amp;AB119,"")</f>
        <v/>
      </c>
      <c r="BE119" s="155" t="str">
        <f>IF(LEN(AC119)&gt;0,"- "&amp;AC119,"")</f>
        <v/>
      </c>
      <c r="BF119" s="155" t="str">
        <f>IF(LEN(AD119)&gt;0,"- "&amp;AD119,"")</f>
        <v/>
      </c>
      <c r="BG119" s="155" t="str">
        <f>IF(LEN(AE119)&gt;0,"- "&amp;AE119,"")</f>
        <v/>
      </c>
      <c r="BH119" s="155" t="str">
        <f>IF(LEN(AF119)&gt;0,"- "&amp;AF119,"")</f>
        <v/>
      </c>
      <c r="BI119" s="155" t="str">
        <f>IF(LEN(AG119)&gt;0,"- "&amp;AG119,"")</f>
        <v/>
      </c>
      <c r="BJ119" s="155" t="str">
        <f>IF(LEN(AH119)&gt;0,"- "&amp;AH119,"")</f>
        <v/>
      </c>
      <c r="BK119" s="155" t="str">
        <f>"tags:"&amp;CHAR(10)&amp;concatl(AV119:BJ119)</f>
        <v xml:space="preserve">tags:
- usa
- texas_x000D_
- dallas_x000D_
- closed_x000D_
</v>
      </c>
      <c r="BL119" s="155" t="str">
        <f>IF(LEN(N119)&gt;0,TRIM(CONCATENATE("[Official site](",N119,") ",O119)),"")</f>
        <v/>
      </c>
      <c r="BM119" s="155" t="str">
        <f>IF(LEN(Q119)&gt;0,TRIM(CONCATENATE("["&amp;P119&amp;"](",Q119,") ",R119)),"")</f>
        <v>[St. Ann preservation application](https://dallascityhall.com/departments/sustainabledevelopment/historicpreservation/HP%20Documents/Landmark%20Structures/St.%20Anns%20School%20Landmark%20Nomination.pdf) (including section on the church's history)</v>
      </c>
      <c r="BN119" s="155" t="str">
        <f>IF(LEN(T119)&gt;0,TRIM(CONCATENATE("["&amp;S119&amp;"](",T119,") ",U119)),"")</f>
        <v>[About St. Ann restauraunt](https://www.saintanndallas.com/restaurant)</v>
      </c>
      <c r="BO119" s="155" t="str">
        <f>IF(LEN(W119)&gt;0,TRIM(CONCATENATE("["&amp;V119&amp;"](",W119,") ",X119)),"")</f>
        <v/>
      </c>
      <c r="BP119" s="155" t="str">
        <f>IF(LEN(BL119)&gt;0,"* "&amp;BL119&amp;CHAR(10),"")&amp;
IF(LEN(BM119)&gt;0,"* "&amp;BM119&amp;CHAR(10),"")&amp;
IF(LEN(BN119)&gt;0,"* "&amp;BN119&amp;CHAR(10),"")&amp;
IF(LEN(BO119)&gt;0,"* "&amp;BO119&amp;CHAR(10),"")</f>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119" s="155" t="str">
        <f>IF(LEN(AK119)&gt;0,TRIM(CONCATENATE("[Link](",AK119,") ",AL119)),"")</f>
        <v/>
      </c>
      <c r="BR119" s="155" t="str">
        <f>IF(LEN(AM119)&gt;0,TRIM(CONCATENATE("[Link](",AM119,") ",AN119)),"")</f>
        <v/>
      </c>
      <c r="BS119" s="155" t="str">
        <f>IF(LEN(AO119)&gt;0,TRIM(CONCATENATE("[Link](",AO119,") ",AP119)),"")</f>
        <v/>
      </c>
      <c r="BT119" s="155" t="str">
        <f>IF(LEN(concat(BQ119:BS119))&gt;0,concat("| ",BQ119," | ",BR119," | ",BS119," |"),"")</f>
        <v/>
      </c>
      <c r="BU119" s="155" t="str">
        <f>IF(J119,concatl("| The Real Presence | Miracle Hunter | MaryPages |","| --- | --- | --- |",BT119),"")</f>
        <v/>
      </c>
      <c r="BV119" s="155" t="str">
        <f>IF(LEN(BP119&amp;BU119)&gt;0,concatll("#### More Information",BP119,BU119),"")</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119" s="155" t="str">
        <f>IF(LEN(M119)&gt;1,concatll("#### Author's Note",M119),"")</f>
        <v/>
      </c>
      <c r="BX119" s="23" t="str">
        <f>IF(AR119,concatll(concatl("---",AS119:AU119,BK119,"---"),L119,BV119:BW119),"")</f>
        <v xml:space="preserve">---_x000D_
title: "Old Our Lady of Guadalupe Catholic Church, Dallas, TX"_x000D_
location: {lat: 32.792159, lng: -96.8064572}_x000D_
interest: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119" s="23" t="str">
        <f>IF(AR119,VLOOKUP(B119,'(Ref) Countries'!A:B,2,)&amp;IF(LEN(C119)&gt;1,"-"&amp;LOWER(SUBSTITUTE(C119," ","-")),"")&amp;"-"&amp;LOWER(SUBSTITUTE(SUBSTITUTE(G119," ","-"),".",""))&amp;".md","")</f>
        <v>us_tx-dallas-old-guadalupe.md</v>
      </c>
      <c r="BZ119" s="29" t="str">
        <f>IF(LEN(Y119)&gt;1,VLOOKUP(Y119,'Tag List'!$A:$B,2,),"")</f>
        <v>Closed or Deconsecrated Sites</v>
      </c>
      <c r="CA119" s="29" t="str">
        <f>IF(LEN(Z119)&gt;1,VLOOKUP(Z119,'Tag List'!$A:$B,2,),"")</f>
        <v/>
      </c>
      <c r="CB119" s="29" t="str">
        <f>IF(LEN(AA119)&gt;1,VLOOKUP(AA119,'Tag List'!$A:$B,2,),"")</f>
        <v/>
      </c>
      <c r="CC119" s="29" t="str">
        <f>IF(LEN(Y119)&gt;1,GetTagPage(BZ119,Y119),"")</f>
        <v>[Closed or Deconsecrated Sites](/tags/closed)</v>
      </c>
      <c r="CD119" s="29" t="str">
        <f>IF(LEN(Z119)&gt;1,GetTagPage(CA119,Z119),"")</f>
        <v/>
      </c>
      <c r="CE119" s="29" t="str">
        <f>IF(LEN(AA119)&gt;1,GetTagPage(CB119,AA119),"")</f>
        <v/>
      </c>
      <c r="CF119" s="29" t="str">
        <f>"|"&amp;IF(LEN(CC119)&gt;1," "&amp;CC119,"")&amp;IF(LEN(CD119)&gt;1,", "&amp;CD119,"")&amp;IF(LEN(CE119)&gt;1,", "&amp;CE119,"")&amp;" "</f>
        <v xml:space="preserve">| [Closed or Deconsecrated Sites](/tags/closed) </v>
      </c>
      <c r="CG119" s="29" t="str">
        <f>"| "&amp;IF(AR119,"["&amp;AI119&amp;"](/places/"&amp;SUBSTITUTE(BY119,".md","")&amp;")",AI119)&amp;" "</f>
        <v xml:space="preserve">| [](/places/us_tx-dallas-old-guadalupe) </v>
      </c>
      <c r="CH119" s="29" t="str">
        <f>"| "&amp;IF(AR119,GetTagPage(B119,VLOOKUP(B119,'(Ref) Countries'!A:C,3,)),B119)&amp; " "</f>
        <v xml:space="preserve">| [US Texas](/tags/usa
- texas) </v>
      </c>
      <c r="CI119" s="29" t="str">
        <f>"| "&amp;AJ119&amp;" "</f>
        <v xml:space="preserve">|  </v>
      </c>
      <c r="CJ119" s="29" t="str">
        <f>"|"&amp;IF(AR119," [Link](/places/"&amp;SUBSTITUTE(BY119,".md","")&amp;")","")&amp;" "</f>
        <v xml:space="preserve">| [Link](/places/us_tx-dallas-old-guadalupe) </v>
      </c>
      <c r="CK119" s="29" t="str">
        <f>"
"&amp;CG119&amp;CH119&amp;CI119&amp;CJ119&amp;BL119&amp;BQ119&amp;BR119&amp;BS119&amp;CF119&amp;"|"</f>
        <v xml:space="preserve">
| [](/places/us_tx-dallas-old-guadalupe) | [US Texas](/tags/usa
- texas) |  | [Link](/places/us_tx-dallas-old-guadalupe) | [Closed or Deconsecrated Sites](/tags/closed) |</v>
      </c>
    </row>
    <row r="120" spans="1:89" ht="63.75" x14ac:dyDescent="0.25">
      <c r="A120" s="168" t="s">
        <v>1320</v>
      </c>
      <c r="B120" s="24" t="s">
        <v>1942</v>
      </c>
      <c r="C120" s="24" t="s">
        <v>2045</v>
      </c>
      <c r="D120" s="15">
        <v>32.775131000000002</v>
      </c>
      <c r="E120" s="49">
        <v>-96.787789000000004</v>
      </c>
      <c r="F120" s="24" t="s">
        <v>2071</v>
      </c>
      <c r="G120" s="90" t="s">
        <v>2494</v>
      </c>
      <c r="H120" s="24" t="s">
        <v>1825</v>
      </c>
      <c r="L120" s="83" t="s">
        <v>2072</v>
      </c>
      <c r="P120" s="95" t="s">
        <v>2073</v>
      </c>
      <c r="Q120" s="15" t="s">
        <v>2074</v>
      </c>
      <c r="R120" s="93" t="s">
        <v>336</v>
      </c>
      <c r="Y120" s="15" t="s">
        <v>2115</v>
      </c>
      <c r="AR120" s="154" t="b">
        <f>IF(OR(A120="Done",A120="In Progress"),TRUE)</f>
        <v>1</v>
      </c>
      <c r="AS120" s="155" t="str">
        <f>"title: """&amp;F120&amp;""""</f>
        <v>title: "Old St. Patrick Catholic Church, Dallas, TX"</v>
      </c>
      <c r="AT120" s="155" t="str">
        <f>"location: {lat: "&amp;D120&amp;", lng: "&amp;E120&amp;"}"</f>
        <v>location: {lat: 32.775131, lng: -96.787789}</v>
      </c>
      <c r="AU120" s="155" t="str">
        <f>"interest: "&amp;H120</f>
        <v>interest: local</v>
      </c>
      <c r="AV120" s="155" t="str">
        <f>"- "&amp;VLOOKUP(B120,'(Ref) Countries'!A:C,3,)</f>
        <v>- usa
- texas</v>
      </c>
      <c r="AW120" s="155" t="str">
        <f>IF(LEN(C120)&gt;1,"- "&amp;LOWER(SUBSTITUTE(C120," ","-")),"")</f>
        <v>- dallas</v>
      </c>
      <c r="AX120" s="155" t="str">
        <f>IF(I120,"- churches","")</f>
        <v/>
      </c>
      <c r="AY120" s="155" t="str">
        <f>IF(J120,"- marian-sites","")</f>
        <v/>
      </c>
      <c r="AZ120" s="155" t="str">
        <f>IF(K120,"- holy-persons","")</f>
        <v/>
      </c>
      <c r="BA120" s="155" t="str">
        <f>IF(LEN(Y120)&gt;0,"- "&amp;Y120,"")</f>
        <v>- closed</v>
      </c>
      <c r="BB120" s="155" t="str">
        <f>IF(LEN(Z120)&gt;0,"- "&amp;Z120,"")</f>
        <v/>
      </c>
      <c r="BC120" s="155" t="str">
        <f>IF(LEN(AA120)&gt;0,"- "&amp;AA120,"")</f>
        <v/>
      </c>
      <c r="BD120" s="155" t="str">
        <f>IF(LEN(AB120)&gt;0,"- "&amp;AB120,"")</f>
        <v/>
      </c>
      <c r="BE120" s="155" t="str">
        <f>IF(LEN(AC120)&gt;0,"- "&amp;AC120,"")</f>
        <v/>
      </c>
      <c r="BF120" s="155" t="str">
        <f>IF(LEN(AD120)&gt;0,"- "&amp;AD120,"")</f>
        <v/>
      </c>
      <c r="BG120" s="155" t="str">
        <f>IF(LEN(AE120)&gt;0,"- "&amp;AE120,"")</f>
        <v/>
      </c>
      <c r="BH120" s="155" t="str">
        <f>IF(LEN(AF120)&gt;0,"- "&amp;AF120,"")</f>
        <v/>
      </c>
      <c r="BI120" s="155" t="str">
        <f>IF(LEN(AG120)&gt;0,"- "&amp;AG120,"")</f>
        <v/>
      </c>
      <c r="BJ120" s="155" t="str">
        <f>IF(LEN(AH120)&gt;0,"- "&amp;AH120,"")</f>
        <v/>
      </c>
      <c r="BK120" s="155" t="str">
        <f>"tags:"&amp;CHAR(10)&amp;concatl(AV120:BJ120)</f>
        <v xml:space="preserve">tags:
- usa
- texas_x000D_
- dallas_x000D_
- closed_x000D_
</v>
      </c>
      <c r="BL120" s="155" t="str">
        <f>IF(LEN(N120)&gt;0,TRIM(CONCATENATE("[Official site](",N120,") ",O120)),"")</f>
        <v/>
      </c>
      <c r="BM120" s="155" t="str">
        <f>IF(LEN(Q120)&gt;0,TRIM(CONCATENATE("["&amp;P120&amp;"](",Q120,") ",R120)),"")</f>
        <v>[Article about St. Patrick](https://cityofdallaspreservation.wordpress.com/2018/03/16/the-old-st-patrick-roman-catholic-church-in-dallas-gone-but-not-forgotten)</v>
      </c>
      <c r="BN120" s="155" t="str">
        <f>IF(LEN(T120)&gt;0,TRIM(CONCATENATE("["&amp;S120&amp;"](",T120,") ",U120)),"")</f>
        <v/>
      </c>
      <c r="BO120" s="155" t="str">
        <f>IF(LEN(W120)&gt;0,TRIM(CONCATENATE("["&amp;V120&amp;"](",W120,") ",X120)),"")</f>
        <v/>
      </c>
      <c r="BP120" s="155" t="str">
        <f>IF(LEN(BL120)&gt;0,"* "&amp;BL120&amp;CHAR(10),"")&amp;
IF(LEN(BM120)&gt;0,"* "&amp;BM120&amp;CHAR(10),"")&amp;
IF(LEN(BN120)&gt;0,"* "&amp;BN120&amp;CHAR(10),"")&amp;
IF(LEN(BO120)&gt;0,"* "&amp;BO120&amp;CHAR(10),"")</f>
        <v xml:space="preserve">* [Article about St. Patrick](https://cityofdallaspreservation.wordpress.com/2018/03/16/the-old-st-patrick-roman-catholic-church-in-dallas-gone-but-not-forgotten)
</v>
      </c>
      <c r="BQ120" s="155" t="str">
        <f>IF(LEN(AK120)&gt;0,TRIM(CONCATENATE("[Link](",AK120,") ",AL120)),"")</f>
        <v/>
      </c>
      <c r="BR120" s="155" t="str">
        <f>IF(LEN(AM120)&gt;0,TRIM(CONCATENATE("[Link](",AM120,") ",AN120)),"")</f>
        <v/>
      </c>
      <c r="BS120" s="155" t="str">
        <f>IF(LEN(AO120)&gt;0,TRIM(CONCATENATE("[Link](",AO120,") ",AP120)),"")</f>
        <v/>
      </c>
      <c r="BT120" s="155" t="str">
        <f>IF(LEN(concat(BQ120:BS120))&gt;0,concat("| ",BQ120," | ",BR120," | ",BS120," |"),"")</f>
        <v/>
      </c>
      <c r="BU120" s="155" t="str">
        <f>IF(J120,concatl("| The Real Presence | Miracle Hunter | MaryPages |","| --- | --- | --- |",BT120),"")</f>
        <v/>
      </c>
      <c r="BV120" s="155" t="str">
        <f>IF(LEN(BP120&amp;BU120)&gt;0,concatll("#### More Information",BP120,BU120),"")</f>
        <v xml:space="preserve">#### More Information_x000D_
_x000D_
* [Article about St. Patrick](https://cityofdallaspreservation.wordpress.com/2018/03/16/the-old-st-patrick-roman-catholic-church-in-dallas-gone-but-not-forgotten)
_x000D_
_x000D_
</v>
      </c>
      <c r="BW120" s="155" t="str">
        <f>IF(LEN(M120)&gt;1,concatll("#### Author's Note",M120),"")</f>
        <v/>
      </c>
      <c r="BX120" s="23" t="str">
        <f>IF(AR120,concatll(concatl("---",AS120:AU120,BK120,"---"),L120,BV120:BW120),"")</f>
        <v xml:space="preserve">---_x000D_
title: "Old St. Patrick Catholic Church, Dallas, TX"_x000D_
location: {lat: 32.775131, lng: -96.787789}_x000D_
interest: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120" s="23" t="str">
        <f>IF(AR120,VLOOKUP(B120,'(Ref) Countries'!A:B,2,)&amp;IF(LEN(C120)&gt;1,"-"&amp;LOWER(SUBSTITUTE(C120," ","-")),"")&amp;"-"&amp;LOWER(SUBSTITUTE(SUBSTITUTE(G120," ","-"),".",""))&amp;".md","")</f>
        <v>us_tx-dallas-old-st-patrick.md</v>
      </c>
      <c r="BZ120" s="29" t="str">
        <f>IF(LEN(Y120)&gt;1,VLOOKUP(Y120,'Tag List'!$A:$B,2,),"")</f>
        <v>Closed or Deconsecrated Sites</v>
      </c>
      <c r="CA120" s="29" t="str">
        <f>IF(LEN(Z120)&gt;1,VLOOKUP(Z120,'Tag List'!$A:$B,2,),"")</f>
        <v/>
      </c>
      <c r="CB120" s="29" t="str">
        <f>IF(LEN(AA120)&gt;1,VLOOKUP(AA120,'Tag List'!$A:$B,2,),"")</f>
        <v/>
      </c>
      <c r="CC120" s="29" t="str">
        <f>IF(LEN(Y120)&gt;1,GetTagPage(BZ120,Y120),"")</f>
        <v>[Closed or Deconsecrated Sites](/tags/closed)</v>
      </c>
      <c r="CD120" s="29" t="str">
        <f>IF(LEN(Z120)&gt;1,GetTagPage(CA120,Z120),"")</f>
        <v/>
      </c>
      <c r="CE120" s="29" t="str">
        <f>IF(LEN(AA120)&gt;1,GetTagPage(CB120,AA120),"")</f>
        <v/>
      </c>
      <c r="CF120" s="29" t="str">
        <f>"|"&amp;IF(LEN(CC120)&gt;1," "&amp;CC120,"")&amp;IF(LEN(CD120)&gt;1,", "&amp;CD120,"")&amp;IF(LEN(CE120)&gt;1,", "&amp;CE120,"")&amp;" "</f>
        <v xml:space="preserve">| [Closed or Deconsecrated Sites](/tags/closed) </v>
      </c>
      <c r="CG120" s="29" t="str">
        <f>"| "&amp;IF(AR120,"["&amp;AI120&amp;"](/places/"&amp;SUBSTITUTE(BY120,".md","")&amp;")",AI120)&amp;" "</f>
        <v xml:space="preserve">| [](/places/us_tx-dallas-old-st-patrick) </v>
      </c>
      <c r="CH120" s="29" t="str">
        <f>"| "&amp;IF(AR120,GetTagPage(B120,VLOOKUP(B120,'(Ref) Countries'!A:C,3,)),B120)&amp; " "</f>
        <v xml:space="preserve">| [US Texas](/tags/usa
- texas) </v>
      </c>
      <c r="CI120" s="29" t="str">
        <f>"| "&amp;AJ120&amp;" "</f>
        <v xml:space="preserve">|  </v>
      </c>
      <c r="CJ120" s="29" t="str">
        <f>"|"&amp;IF(AR120," [Link](/places/"&amp;SUBSTITUTE(BY120,".md","")&amp;")","")&amp;" "</f>
        <v xml:space="preserve">| [Link](/places/us_tx-dallas-old-st-patrick) </v>
      </c>
      <c r="CK120" s="29" t="str">
        <f>"
"&amp;CG120&amp;CH120&amp;CI120&amp;CJ120&amp;BL120&amp;BQ120&amp;BR120&amp;BS120&amp;CF120&amp;"|"</f>
        <v xml:space="preserve">
| [](/places/us_tx-dallas-old-st-patrick) | [US Texas](/tags/usa
- texas) |  | [Link](/places/us_tx-dallas-old-st-patrick) | [Closed or Deconsecrated Sites](/tags/closed) |</v>
      </c>
    </row>
    <row r="121" spans="1:89" ht="127.5" x14ac:dyDescent="0.25">
      <c r="A121" s="168" t="s">
        <v>1320</v>
      </c>
      <c r="B121" s="24" t="s">
        <v>1942</v>
      </c>
      <c r="C121" s="24" t="s">
        <v>2045</v>
      </c>
      <c r="D121" s="15">
        <v>32.795627000000003</v>
      </c>
      <c r="E121" s="49">
        <v>-96.782279000000003</v>
      </c>
      <c r="F121" s="83" t="s">
        <v>2075</v>
      </c>
      <c r="G121" s="90" t="s">
        <v>2076</v>
      </c>
      <c r="H121" s="24" t="s">
        <v>1825</v>
      </c>
      <c r="L121" s="83" t="s">
        <v>2077</v>
      </c>
      <c r="P121" s="95" t="s">
        <v>2078</v>
      </c>
      <c r="Q121" s="15" t="s">
        <v>2082</v>
      </c>
      <c r="R121" s="96" t="s">
        <v>2079</v>
      </c>
      <c r="S121" s="97" t="s">
        <v>2083</v>
      </c>
      <c r="T121" s="91" t="s">
        <v>2084</v>
      </c>
      <c r="U121" s="96" t="s">
        <v>2085</v>
      </c>
      <c r="V121" s="15" t="s">
        <v>2086</v>
      </c>
      <c r="W121" s="91" t="s">
        <v>2087</v>
      </c>
      <c r="X121" s="100" t="s">
        <v>336</v>
      </c>
      <c r="Y121" s="15" t="s">
        <v>2115</v>
      </c>
      <c r="AR121" s="154" t="b">
        <f>IF(OR(A121="Done",A121="In Progress"),TRUE)</f>
        <v>1</v>
      </c>
      <c r="AS121" s="155" t="str">
        <f>"title: """&amp;F121&amp;""""</f>
        <v>title: "Old Ursuline Academy, Dallas, TX"</v>
      </c>
      <c r="AT121" s="155" t="str">
        <f>"location: {lat: "&amp;D121&amp;", lng: "&amp;E121&amp;"}"</f>
        <v>location: {lat: 32.795627, lng: -96.782279}</v>
      </c>
      <c r="AU121" s="155" t="str">
        <f>"interest: "&amp;H121</f>
        <v>interest: local</v>
      </c>
      <c r="AV121" s="155" t="str">
        <f>"- "&amp;VLOOKUP(B121,'(Ref) Countries'!A:C,3,)</f>
        <v>- usa
- texas</v>
      </c>
      <c r="AW121" s="155" t="str">
        <f>IF(LEN(C121)&gt;1,"- "&amp;LOWER(SUBSTITUTE(C121," ","-")),"")</f>
        <v>- dallas</v>
      </c>
      <c r="AX121" s="155" t="str">
        <f>IF(I121,"- churches","")</f>
        <v/>
      </c>
      <c r="AY121" s="155" t="str">
        <f>IF(J121,"- marian-sites","")</f>
        <v/>
      </c>
      <c r="AZ121" s="155" t="str">
        <f>IF(K121,"- holy-persons","")</f>
        <v/>
      </c>
      <c r="BA121" s="155" t="str">
        <f>IF(LEN(Y121)&gt;0,"- "&amp;Y121,"")</f>
        <v>- closed</v>
      </c>
      <c r="BB121" s="155" t="str">
        <f>IF(LEN(Z121)&gt;0,"- "&amp;Z121,"")</f>
        <v/>
      </c>
      <c r="BC121" s="155" t="str">
        <f>IF(LEN(AA121)&gt;0,"- "&amp;AA121,"")</f>
        <v/>
      </c>
      <c r="BD121" s="155" t="str">
        <f>IF(LEN(AB121)&gt;0,"- "&amp;AB121,"")</f>
        <v/>
      </c>
      <c r="BE121" s="155" t="str">
        <f>IF(LEN(AC121)&gt;0,"- "&amp;AC121,"")</f>
        <v/>
      </c>
      <c r="BF121" s="155" t="str">
        <f>IF(LEN(AD121)&gt;0,"- "&amp;AD121,"")</f>
        <v/>
      </c>
      <c r="BG121" s="155" t="str">
        <f>IF(LEN(AE121)&gt;0,"- "&amp;AE121,"")</f>
        <v/>
      </c>
      <c r="BH121" s="155" t="str">
        <f>IF(LEN(AF121)&gt;0,"- "&amp;AF121,"")</f>
        <v/>
      </c>
      <c r="BI121" s="155" t="str">
        <f>IF(LEN(AG121)&gt;0,"- "&amp;AG121,"")</f>
        <v/>
      </c>
      <c r="BJ121" s="155" t="str">
        <f>IF(LEN(AH121)&gt;0,"- "&amp;AH121,"")</f>
        <v/>
      </c>
      <c r="BK121" s="155" t="str">
        <f>"tags:"&amp;CHAR(10)&amp;concatl(AV121:BJ121)</f>
        <v xml:space="preserve">tags:
- usa
- texas_x000D_
- dallas_x000D_
- closed_x000D_
</v>
      </c>
      <c r="BL121" s="155" t="str">
        <f>IF(LEN(N121)&gt;0,TRIM(CONCATENATE("[Official site](",N121,") ",O121)),"")</f>
        <v/>
      </c>
      <c r="BM121" s="155" t="str">
        <f>IF(LEN(Q121)&gt;0,TRIM(CONCATENATE("["&amp;P121&amp;"](",Q121,") ",R121)),"")</f>
        <v>[Ursuline history article](https://www.ursulinedallas.org/mission/heritage) (includes pictures of this convent)</v>
      </c>
      <c r="BN121" s="155" t="str">
        <f>IF(LEN(T121)&gt;0,TRIM(CONCATENATE("["&amp;S121&amp;"](",T121,") ",U121)),"")</f>
        <v>[Additional Ursuline history article](https://www.tshaonline.org/handbook/entries/ursuline-academy-dallas) (includes pictures)</v>
      </c>
      <c r="BO121" s="155" t="str">
        <f>IF(LEN(W121)&gt;0,TRIM(CONCATENATE("["&amp;V121&amp;"](",W121,") ",X121)),"")</f>
        <v>[Convent in the 1922 Sanborn map](https://maps.lib.utexas.edu/maps/sanborn/d-f/txu-sanborn-dallas-1922-315.jpg)</v>
      </c>
      <c r="BP121" s="155" t="str">
        <f>IF(LEN(BL121)&gt;0,"* "&amp;BL121&amp;CHAR(10),"")&amp;
IF(LEN(BM121)&gt;0,"* "&amp;BM121&amp;CHAR(10),"")&amp;
IF(LEN(BN121)&gt;0,"* "&amp;BN121&amp;CHAR(10),"")&amp;
IF(LEN(BO121)&gt;0,"* "&amp;BO121&amp;CHAR(10),"")</f>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121" s="155" t="str">
        <f>IF(LEN(AK121)&gt;0,TRIM(CONCATENATE("[Link](",AK121,") ",AL121)),"")</f>
        <v/>
      </c>
      <c r="BR121" s="155" t="str">
        <f>IF(LEN(AM121)&gt;0,TRIM(CONCATENATE("[Link](",AM121,") ",AN121)),"")</f>
        <v/>
      </c>
      <c r="BS121" s="155" t="str">
        <f>IF(LEN(AO121)&gt;0,TRIM(CONCATENATE("[Link](",AO121,") ",AP121)),"")</f>
        <v/>
      </c>
      <c r="BT121" s="155" t="str">
        <f>IF(LEN(concat(BQ121:BS121))&gt;0,concat("| ",BQ121," | ",BR121," | ",BS121," |"),"")</f>
        <v/>
      </c>
      <c r="BU121" s="155" t="str">
        <f>IF(J121,concatl("| The Real Presence | Miracle Hunter | MaryPages |","| --- | --- | --- |",BT121),"")</f>
        <v/>
      </c>
      <c r="BV121" s="155" t="str">
        <f>IF(LEN(BP121&amp;BU121)&gt;0,concatll("#### More Information",BP121,BU121),"")</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121" s="155" t="str">
        <f>IF(LEN(M121)&gt;1,concatll("#### Author's Note",M121),"")</f>
        <v/>
      </c>
      <c r="BX121" s="23" t="str">
        <f>IF(AR121,concatll(concatl("---",AS121:AU121,BK121,"---"),L121,BV121:BW121),"")</f>
        <v xml:space="preserve">---_x000D_
title: "Old Ursuline Academy, Dallas, TX"_x000D_
location: {lat: 32.795627, lng: -96.782279}_x000D_
interest: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121" s="23" t="str">
        <f>IF(AR121,VLOOKUP(B121,'(Ref) Countries'!A:B,2,)&amp;IF(LEN(C121)&gt;1,"-"&amp;LOWER(SUBSTITUTE(C121," ","-")),"")&amp;"-"&amp;LOWER(SUBSTITUTE(SUBSTITUTE(G121," ","-"),".",""))&amp;".md","")</f>
        <v>us_tx-dallas-old-ursuline.md</v>
      </c>
      <c r="BZ121" s="29" t="str">
        <f>IF(LEN(Y121)&gt;1,VLOOKUP(Y121,'Tag List'!$A:$B,2,),"")</f>
        <v>Closed or Deconsecrated Sites</v>
      </c>
      <c r="CA121" s="29" t="str">
        <f>IF(LEN(Z121)&gt;1,VLOOKUP(Z121,'Tag List'!$A:$B,2,),"")</f>
        <v/>
      </c>
      <c r="CB121" s="29" t="str">
        <f>IF(LEN(AA121)&gt;1,VLOOKUP(AA121,'Tag List'!$A:$B,2,),"")</f>
        <v/>
      </c>
      <c r="CC121" s="29" t="str">
        <f>IF(LEN(Y121)&gt;1,GetTagPage(BZ121,Y121),"")</f>
        <v>[Closed or Deconsecrated Sites](/tags/closed)</v>
      </c>
      <c r="CD121" s="29" t="str">
        <f>IF(LEN(Z121)&gt;1,GetTagPage(CA121,Z121),"")</f>
        <v/>
      </c>
      <c r="CE121" s="29" t="str">
        <f>IF(LEN(AA121)&gt;1,GetTagPage(CB121,AA121),"")</f>
        <v/>
      </c>
      <c r="CF121" s="29" t="str">
        <f>"|"&amp;IF(LEN(CC121)&gt;1," "&amp;CC121,"")&amp;IF(LEN(CD121)&gt;1,", "&amp;CD121,"")&amp;IF(LEN(CE121)&gt;1,", "&amp;CE121,"")&amp;" "</f>
        <v xml:space="preserve">| [Closed or Deconsecrated Sites](/tags/closed) </v>
      </c>
      <c r="CG121" s="29" t="str">
        <f>"| "&amp;IF(AR121,"["&amp;AI121&amp;"](/places/"&amp;SUBSTITUTE(BY121,".md","")&amp;")",AI121)&amp;" "</f>
        <v xml:space="preserve">| [](/places/us_tx-dallas-old-ursuline) </v>
      </c>
      <c r="CH121" s="29" t="str">
        <f>"| "&amp;IF(AR121,GetTagPage(B121,VLOOKUP(B121,'(Ref) Countries'!A:C,3,)),B121)&amp; " "</f>
        <v xml:space="preserve">| [US Texas](/tags/usa
- texas) </v>
      </c>
      <c r="CI121" s="29" t="str">
        <f>"| "&amp;AJ121&amp;" "</f>
        <v xml:space="preserve">|  </v>
      </c>
      <c r="CJ121" s="29" t="str">
        <f>"|"&amp;IF(AR121," [Link](/places/"&amp;SUBSTITUTE(BY121,".md","")&amp;")","")&amp;" "</f>
        <v xml:space="preserve">| [Link](/places/us_tx-dallas-old-ursuline) </v>
      </c>
      <c r="CK121" s="29" t="str">
        <f>"
"&amp;CG121&amp;CH121&amp;CI121&amp;CJ121&amp;BL121&amp;BQ121&amp;BR121&amp;BS121&amp;CF121&amp;"|"</f>
        <v xml:space="preserve">
| [](/places/us_tx-dallas-old-ursuline) | [US Texas](/tags/usa
- texas) |  | [Link](/places/us_tx-dallas-old-ursuline) | [Closed or Deconsecrated Sites](/tags/closed) |</v>
      </c>
    </row>
    <row r="122" spans="1:89" ht="102" x14ac:dyDescent="0.25">
      <c r="A122" s="168" t="s">
        <v>1320</v>
      </c>
      <c r="B122" s="24" t="s">
        <v>1942</v>
      </c>
      <c r="C122" s="24" t="s">
        <v>2045</v>
      </c>
      <c r="D122" s="15">
        <v>32.794211099999998</v>
      </c>
      <c r="E122" s="49">
        <v>-96.788927799999996</v>
      </c>
      <c r="F122" s="83" t="s">
        <v>2088</v>
      </c>
      <c r="G122" s="90" t="s">
        <v>2495</v>
      </c>
      <c r="H122" s="24" t="s">
        <v>1825</v>
      </c>
      <c r="L122" s="83" t="s">
        <v>2089</v>
      </c>
      <c r="P122" s="95" t="s">
        <v>2090</v>
      </c>
      <c r="Q122" s="15" t="s">
        <v>2091</v>
      </c>
      <c r="R122" s="93" t="s">
        <v>336</v>
      </c>
      <c r="S122" s="95" t="s">
        <v>2093</v>
      </c>
      <c r="T122" s="15" t="s">
        <v>2092</v>
      </c>
      <c r="U122" s="93" t="s">
        <v>336</v>
      </c>
      <c r="V122" s="91" t="s">
        <v>2094</v>
      </c>
      <c r="W122" s="94" t="s">
        <v>2095</v>
      </c>
      <c r="X122" s="100" t="s">
        <v>336</v>
      </c>
      <c r="Y122" s="15" t="s">
        <v>2115</v>
      </c>
      <c r="AR122" s="154" t="b">
        <f>IF(OR(A122="Done",A122="In Progress"),TRUE)</f>
        <v>1</v>
      </c>
      <c r="AS122" s="155" t="str">
        <f>"title: """&amp;F122&amp;""""</f>
        <v>title: "Old St. Paul Sanitarium, Dallas, TX"</v>
      </c>
      <c r="AT122" s="155" t="str">
        <f>"location: {lat: "&amp;D122&amp;", lng: "&amp;E122&amp;"}"</f>
        <v>location: {lat: 32.7942111, lng: -96.7889278}</v>
      </c>
      <c r="AU122" s="155" t="str">
        <f>"interest: "&amp;H122</f>
        <v>interest: local</v>
      </c>
      <c r="AV122" s="155" t="str">
        <f>"- "&amp;VLOOKUP(B122,'(Ref) Countries'!A:C,3,)</f>
        <v>- usa
- texas</v>
      </c>
      <c r="AW122" s="155" t="str">
        <f>IF(LEN(C122)&gt;1,"- "&amp;LOWER(SUBSTITUTE(C122," ","-")),"")</f>
        <v>- dallas</v>
      </c>
      <c r="AX122" s="155" t="str">
        <f>IF(I122,"- churches","")</f>
        <v/>
      </c>
      <c r="AY122" s="155" t="str">
        <f>IF(J122,"- marian-sites","")</f>
        <v/>
      </c>
      <c r="AZ122" s="155" t="str">
        <f>IF(K122,"- holy-persons","")</f>
        <v/>
      </c>
      <c r="BA122" s="155" t="str">
        <f>IF(LEN(Y122)&gt;0,"- "&amp;Y122,"")</f>
        <v>- closed</v>
      </c>
      <c r="BB122" s="155" t="str">
        <f>IF(LEN(Z122)&gt;0,"- "&amp;Z122,"")</f>
        <v/>
      </c>
      <c r="BC122" s="155" t="str">
        <f>IF(LEN(AA122)&gt;0,"- "&amp;AA122,"")</f>
        <v/>
      </c>
      <c r="BD122" s="155" t="str">
        <f>IF(LEN(AB122)&gt;0,"- "&amp;AB122,"")</f>
        <v/>
      </c>
      <c r="BE122" s="155" t="str">
        <f>IF(LEN(AC122)&gt;0,"- "&amp;AC122,"")</f>
        <v/>
      </c>
      <c r="BF122" s="155" t="str">
        <f>IF(LEN(AD122)&gt;0,"- "&amp;AD122,"")</f>
        <v/>
      </c>
      <c r="BG122" s="155" t="str">
        <f>IF(LEN(AE122)&gt;0,"- "&amp;AE122,"")</f>
        <v/>
      </c>
      <c r="BH122" s="155" t="str">
        <f>IF(LEN(AF122)&gt;0,"- "&amp;AF122,"")</f>
        <v/>
      </c>
      <c r="BI122" s="155" t="str">
        <f>IF(LEN(AG122)&gt;0,"- "&amp;AG122,"")</f>
        <v/>
      </c>
      <c r="BJ122" s="155" t="str">
        <f>IF(LEN(AH122)&gt;0,"- "&amp;AH122,"")</f>
        <v/>
      </c>
      <c r="BK122" s="155" t="str">
        <f>"tags:"&amp;CHAR(10)&amp;concatl(AV122:BJ122)</f>
        <v xml:space="preserve">tags:
- usa
- texas_x000D_
- dallas_x000D_
- closed_x000D_
</v>
      </c>
      <c r="BL122" s="155" t="str">
        <f>IF(LEN(N122)&gt;0,TRIM(CONCATENATE("[Official site](",N122,") ",O122)),"")</f>
        <v/>
      </c>
      <c r="BM122" s="155" t="str">
        <f>IF(LEN(Q122)&gt;0,TRIM(CONCATENATE("["&amp;P122&amp;"](",Q122,") ",R122)),"")</f>
        <v>[History of St. Paul Sanitarium](https://cityofdallaspreservation.wordpress.com/2020/04/01/st-pauls-sanitarium-in-dallas-tx/)</v>
      </c>
      <c r="BN122" s="155" t="str">
        <f>IF(LEN(T122)&gt;0,TRIM(CONCATENATE("["&amp;S122&amp;"](",T122,") ",U122)),"")</f>
        <v>[UT Southwestern pamphlet on St. Paul's history](https://www.utsouthwestern.edu/edumedia/edufiles/about_us/Giving/st-paul-mag-2015.pdf)</v>
      </c>
      <c r="BO122" s="155" t="str">
        <f>IF(LEN(W122)&gt;0,TRIM(CONCATENATE("["&amp;V122&amp;"](",W122,") ",X122)),"")</f>
        <v>[Sanitarium in the 1921 Sanborn map](https://maps.lib.utexas.edu/maps/sanborn/d-f/txu-sanborn-dallas-1921-38.jpg)</v>
      </c>
      <c r="BP122" s="155" t="str">
        <f>IF(LEN(BL122)&gt;0,"* "&amp;BL122&amp;CHAR(10),"")&amp;
IF(LEN(BM122)&gt;0,"* "&amp;BM122&amp;CHAR(10),"")&amp;
IF(LEN(BN122)&gt;0,"* "&amp;BN122&amp;CHAR(10),"")&amp;
IF(LEN(BO122)&gt;0,"* "&amp;BO122&amp;CHAR(10),"")</f>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122" s="155" t="str">
        <f>IF(LEN(AK122)&gt;0,TRIM(CONCATENATE("[Link](",AK122,") ",AL122)),"")</f>
        <v/>
      </c>
      <c r="BR122" s="155" t="str">
        <f>IF(LEN(AM122)&gt;0,TRIM(CONCATENATE("[Link](",AM122,") ",AN122)),"")</f>
        <v/>
      </c>
      <c r="BS122" s="155" t="str">
        <f>IF(LEN(AO122)&gt;0,TRIM(CONCATENATE("[Link](",AO122,") ",AP122)),"")</f>
        <v/>
      </c>
      <c r="BT122" s="155" t="str">
        <f>IF(LEN(concat(BQ122:BS122))&gt;0,concat("| ",BQ122," | ",BR122," | ",BS122," |"),"")</f>
        <v/>
      </c>
      <c r="BU122" s="155" t="str">
        <f>IF(J122,concatl("| The Real Presence | Miracle Hunter | MaryPages |","| --- | --- | --- |",BT122),"")</f>
        <v/>
      </c>
      <c r="BV122" s="155" t="str">
        <f>IF(LEN(BP122&amp;BU122)&gt;0,concatll("#### More Information",BP122,BU122),"")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122" s="155" t="str">
        <f>IF(LEN(M122)&gt;1,concatll("#### Author's Note",M122),"")</f>
        <v/>
      </c>
      <c r="BX122" s="23" t="str">
        <f>IF(AR122,concatll(concatl("---",AS122:AU122,BK122,"---"),L122,BV122:BW122),"")</f>
        <v xml:space="preserve">---_x000D_
title: "Old St. Paul Sanitarium, Dallas, TX"_x000D_
location: {lat: 32.7942111, lng: -96.7889278}_x000D_
interest: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122" s="23" t="str">
        <f>IF(AR122,VLOOKUP(B122,'(Ref) Countries'!A:B,2,)&amp;IF(LEN(C122)&gt;1,"-"&amp;LOWER(SUBSTITUTE(C122," ","-")),"")&amp;"-"&amp;LOWER(SUBSTITUTE(SUBSTITUTE(G122," ","-"),".",""))&amp;".md","")</f>
        <v>us_tx-dallas-old-st-paul.md</v>
      </c>
      <c r="BZ122" s="29" t="str">
        <f>IF(LEN(Y122)&gt;1,VLOOKUP(Y122,'Tag List'!$A:$B,2,),"")</f>
        <v>Closed or Deconsecrated Sites</v>
      </c>
      <c r="CA122" s="29" t="str">
        <f>IF(LEN(Z122)&gt;1,VLOOKUP(Z122,'Tag List'!$A:$B,2,),"")</f>
        <v/>
      </c>
      <c r="CB122" s="29" t="str">
        <f>IF(LEN(AA122)&gt;1,VLOOKUP(AA122,'Tag List'!$A:$B,2,),"")</f>
        <v/>
      </c>
      <c r="CC122" s="29" t="str">
        <f>IF(LEN(Y122)&gt;1,GetTagPage(BZ122,Y122),"")</f>
        <v>[Closed or Deconsecrated Sites](/tags/closed)</v>
      </c>
      <c r="CD122" s="29" t="str">
        <f>IF(LEN(Z122)&gt;1,GetTagPage(CA122,Z122),"")</f>
        <v/>
      </c>
      <c r="CE122" s="29" t="str">
        <f>IF(LEN(AA122)&gt;1,GetTagPage(CB122,AA122),"")</f>
        <v/>
      </c>
      <c r="CF122" s="29" t="str">
        <f>"|"&amp;IF(LEN(CC122)&gt;1," "&amp;CC122,"")&amp;IF(LEN(CD122)&gt;1,", "&amp;CD122,"")&amp;IF(LEN(CE122)&gt;1,", "&amp;CE122,"")&amp;" "</f>
        <v xml:space="preserve">| [Closed or Deconsecrated Sites](/tags/closed) </v>
      </c>
      <c r="CG122" s="29" t="str">
        <f>"| "&amp;IF(AR122,"["&amp;AI122&amp;"](/places/"&amp;SUBSTITUTE(BY122,".md","")&amp;")",AI122)&amp;" "</f>
        <v xml:space="preserve">| [](/places/us_tx-dallas-old-st-paul) </v>
      </c>
      <c r="CH122" s="29" t="str">
        <f>"| "&amp;IF(AR122,GetTagPage(B122,VLOOKUP(B122,'(Ref) Countries'!A:C,3,)),B122)&amp; " "</f>
        <v xml:space="preserve">| [US Texas](/tags/usa
- texas) </v>
      </c>
      <c r="CI122" s="29" t="str">
        <f>"| "&amp;AJ122&amp;" "</f>
        <v xml:space="preserve">|  </v>
      </c>
      <c r="CJ122" s="29" t="str">
        <f>"|"&amp;IF(AR122," [Link](/places/"&amp;SUBSTITUTE(BY122,".md","")&amp;")","")&amp;" "</f>
        <v xml:space="preserve">| [Link](/places/us_tx-dallas-old-st-paul) </v>
      </c>
      <c r="CK122" s="29" t="str">
        <f>"
"&amp;CG122&amp;CH122&amp;CI122&amp;CJ122&amp;BL122&amp;BQ122&amp;BR122&amp;BS122&amp;CF122&amp;"|"</f>
        <v xml:space="preserve">
| [](/places/us_tx-dallas-old-st-paul) | [US Texas](/tags/usa
- texas) |  | [Link](/places/us_tx-dallas-old-st-paul) | [Closed or Deconsecrated Sites](/tags/closed) |</v>
      </c>
    </row>
    <row r="123" spans="1:89" ht="178.5" x14ac:dyDescent="0.25">
      <c r="A123" s="168" t="s">
        <v>1320</v>
      </c>
      <c r="B123" s="24" t="s">
        <v>1942</v>
      </c>
      <c r="C123" s="24" t="s">
        <v>2045</v>
      </c>
      <c r="D123" s="15">
        <v>32.814343000000001</v>
      </c>
      <c r="E123" s="49">
        <v>-96.801815099999999</v>
      </c>
      <c r="F123" s="83" t="s">
        <v>2096</v>
      </c>
      <c r="G123" s="90" t="s">
        <v>2097</v>
      </c>
      <c r="H123" s="24" t="s">
        <v>1825</v>
      </c>
      <c r="L123" s="83" t="s">
        <v>2098</v>
      </c>
      <c r="P123" s="60" t="s">
        <v>2099</v>
      </c>
      <c r="Q123" s="15" t="s">
        <v>2100</v>
      </c>
      <c r="R123" s="93" t="s">
        <v>336</v>
      </c>
      <c r="Y123" s="15" t="s">
        <v>2115</v>
      </c>
      <c r="AR123" s="154" t="b">
        <f>IF(OR(A123="Done",A123="In Progress"),TRUE)</f>
        <v>1</v>
      </c>
      <c r="AS123" s="155" t="str">
        <f>"title: """&amp;F123&amp;""""</f>
        <v>title: "Old Trinity College / Dallas University / Jesuit Dallas"</v>
      </c>
      <c r="AT123" s="155" t="str">
        <f>"location: {lat: "&amp;D123&amp;", lng: "&amp;E123&amp;"}"</f>
        <v>location: {lat: 32.814343, lng: -96.8018151}</v>
      </c>
      <c r="AU123" s="155" t="str">
        <f>"interest: "&amp;H123</f>
        <v>interest: local</v>
      </c>
      <c r="AV123" s="155" t="str">
        <f>"- "&amp;VLOOKUP(B123,'(Ref) Countries'!A:C,3,)</f>
        <v>- usa
- texas</v>
      </c>
      <c r="AW123" s="155" t="str">
        <f>IF(LEN(C123)&gt;1,"- "&amp;LOWER(SUBSTITUTE(C123," ","-")),"")</f>
        <v>- dallas</v>
      </c>
      <c r="AX123" s="155" t="str">
        <f>IF(I123,"- churches","")</f>
        <v/>
      </c>
      <c r="AY123" s="155" t="str">
        <f>IF(J123,"- marian-sites","")</f>
        <v/>
      </c>
      <c r="AZ123" s="155" t="str">
        <f>IF(K123,"- holy-persons","")</f>
        <v/>
      </c>
      <c r="BA123" s="155" t="str">
        <f>IF(LEN(Y123)&gt;0,"- "&amp;Y123,"")</f>
        <v>- closed</v>
      </c>
      <c r="BB123" s="155" t="str">
        <f>IF(LEN(Z123)&gt;0,"- "&amp;Z123,"")</f>
        <v/>
      </c>
      <c r="BC123" s="155" t="str">
        <f>IF(LEN(AA123)&gt;0,"- "&amp;AA123,"")</f>
        <v/>
      </c>
      <c r="BD123" s="155" t="str">
        <f>IF(LEN(AB123)&gt;0,"- "&amp;AB123,"")</f>
        <v/>
      </c>
      <c r="BE123" s="155" t="str">
        <f>IF(LEN(AC123)&gt;0,"- "&amp;AC123,"")</f>
        <v/>
      </c>
      <c r="BF123" s="155" t="str">
        <f>IF(LEN(AD123)&gt;0,"- "&amp;AD123,"")</f>
        <v/>
      </c>
      <c r="BG123" s="155" t="str">
        <f>IF(LEN(AE123)&gt;0,"- "&amp;AE123,"")</f>
        <v/>
      </c>
      <c r="BH123" s="155" t="str">
        <f>IF(LEN(AF123)&gt;0,"- "&amp;AF123,"")</f>
        <v/>
      </c>
      <c r="BI123" s="155" t="str">
        <f>IF(LEN(AG123)&gt;0,"- "&amp;AG123,"")</f>
        <v/>
      </c>
      <c r="BJ123" s="155" t="str">
        <f>IF(LEN(AH123)&gt;0,"- "&amp;AH123,"")</f>
        <v/>
      </c>
      <c r="BK123" s="155" t="str">
        <f>"tags:"&amp;CHAR(10)&amp;concatl(AV123:BJ123)</f>
        <v xml:space="preserve">tags:
- usa
- texas_x000D_
- dallas_x000D_
- closed_x000D_
</v>
      </c>
      <c r="BL123" s="155" t="str">
        <f>IF(LEN(N123)&gt;0,TRIM(CONCATENATE("[Official site](",N123,") ",O123)),"")</f>
        <v/>
      </c>
      <c r="BM123" s="155" t="str">
        <f>IF(LEN(Q123)&gt;0,TRIM(CONCATENATE("["&amp;P123&amp;"](",Q123,") ",R123)),"")</f>
        <v>[School in the 1922 Sanborn map](https://maps.lib.utexas.edu/maps/sanborn/d-f/txu-sanborn-dallas-1921-287.jpg)</v>
      </c>
      <c r="BN123" s="155" t="str">
        <f>IF(LEN(T123)&gt;0,TRIM(CONCATENATE("["&amp;S123&amp;"](",T123,") ",U123)),"")</f>
        <v/>
      </c>
      <c r="BO123" s="155" t="str">
        <f>IF(LEN(W123)&gt;0,TRIM(CONCATENATE("["&amp;V123&amp;"](",W123,") ",X123)),"")</f>
        <v/>
      </c>
      <c r="BP123" s="155" t="str">
        <f>IF(LEN(BL123)&gt;0,"* "&amp;BL123&amp;CHAR(10),"")&amp;
IF(LEN(BM123)&gt;0,"* "&amp;BM123&amp;CHAR(10),"")&amp;
IF(LEN(BN123)&gt;0,"* "&amp;BN123&amp;CHAR(10),"")&amp;
IF(LEN(BO123)&gt;0,"* "&amp;BO123&amp;CHAR(10),"")</f>
        <v xml:space="preserve">* [School in the 1922 Sanborn map](https://maps.lib.utexas.edu/maps/sanborn/d-f/txu-sanborn-dallas-1921-287.jpg)
</v>
      </c>
      <c r="BQ123" s="155" t="str">
        <f>IF(LEN(AK123)&gt;0,TRIM(CONCATENATE("[Link](",AK123,") ",AL123)),"")</f>
        <v/>
      </c>
      <c r="BR123" s="155" t="str">
        <f>IF(LEN(AM123)&gt;0,TRIM(CONCATENATE("[Link](",AM123,") ",AN123)),"")</f>
        <v/>
      </c>
      <c r="BS123" s="155" t="str">
        <f>IF(LEN(AO123)&gt;0,TRIM(CONCATENATE("[Link](",AO123,") ",AP123)),"")</f>
        <v/>
      </c>
      <c r="BT123" s="155" t="str">
        <f>IF(LEN(concat(BQ123:BS123))&gt;0,concat("| ",BQ123," | ",BR123," | ",BS123," |"),"")</f>
        <v/>
      </c>
      <c r="BU123" s="155" t="str">
        <f>IF(J123,concatl("| The Real Presence | Miracle Hunter | MaryPages |","| --- | --- | --- |",BT123),"")</f>
        <v/>
      </c>
      <c r="BV123" s="155" t="str">
        <f>IF(LEN(BP123&amp;BU123)&gt;0,concatll("#### More Information",BP123,BU123),"")</f>
        <v xml:space="preserve">#### More Information_x000D_
_x000D_
* [School in the 1922 Sanborn map](https://maps.lib.utexas.edu/maps/sanborn/d-f/txu-sanborn-dallas-1921-287.jpg)
_x000D_
_x000D_
</v>
      </c>
      <c r="BW123" s="155" t="str">
        <f>IF(LEN(M123)&gt;1,concatll("#### Author's Note",M123),"")</f>
        <v/>
      </c>
      <c r="BX123" s="23" t="str">
        <f>IF(AR123,concatll(concatl("---",AS123:AU123,BK123,"---"),L123,BV123:BW123),"")</f>
        <v xml:space="preserve">---_x000D_
title: "Old Trinity College / Dallas University / Jesuit Dallas"_x000D_
location: {lat: 32.814343, lng: -96.8018151}_x000D_
interest: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123" s="23" t="str">
        <f>IF(AR123,VLOOKUP(B123,'(Ref) Countries'!A:B,2,)&amp;IF(LEN(C123)&gt;1,"-"&amp;LOWER(SUBSTITUTE(C123," ","-")),"")&amp;"-"&amp;LOWER(SUBSTITUTE(SUBSTITUTE(G123," ","-"),".",""))&amp;".md","")</f>
        <v>us_tx-dallas-old-trinity-college.md</v>
      </c>
      <c r="BZ123" s="29" t="str">
        <f>IF(LEN(Y123)&gt;1,VLOOKUP(Y123,'Tag List'!$A:$B,2,),"")</f>
        <v>Closed or Deconsecrated Sites</v>
      </c>
      <c r="CA123" s="29" t="str">
        <f>IF(LEN(Z123)&gt;1,VLOOKUP(Z123,'Tag List'!$A:$B,2,),"")</f>
        <v/>
      </c>
      <c r="CB123" s="29" t="str">
        <f>IF(LEN(AA123)&gt;1,VLOOKUP(AA123,'Tag List'!$A:$B,2,),"")</f>
        <v/>
      </c>
      <c r="CC123" s="29" t="str">
        <f>IF(LEN(Y123)&gt;1,GetTagPage(BZ123,Y123),"")</f>
        <v>[Closed or Deconsecrated Sites](/tags/closed)</v>
      </c>
      <c r="CD123" s="29" t="str">
        <f>IF(LEN(Z123)&gt;1,GetTagPage(CA123,Z123),"")</f>
        <v/>
      </c>
      <c r="CE123" s="29" t="str">
        <f>IF(LEN(AA123)&gt;1,GetTagPage(CB123,AA123),"")</f>
        <v/>
      </c>
      <c r="CF123" s="29" t="str">
        <f>"|"&amp;IF(LEN(CC123)&gt;1," "&amp;CC123,"")&amp;IF(LEN(CD123)&gt;1,", "&amp;CD123,"")&amp;IF(LEN(CE123)&gt;1,", "&amp;CE123,"")&amp;" "</f>
        <v xml:space="preserve">| [Closed or Deconsecrated Sites](/tags/closed) </v>
      </c>
      <c r="CG123" s="29" t="str">
        <f>"| "&amp;IF(AR123,"["&amp;AI123&amp;"](/places/"&amp;SUBSTITUTE(BY123,".md","")&amp;")",AI123)&amp;" "</f>
        <v xml:space="preserve">| [](/places/us_tx-dallas-old-trinity-college) </v>
      </c>
      <c r="CH123" s="29" t="str">
        <f>"| "&amp;IF(AR123,GetTagPage(B123,VLOOKUP(B123,'(Ref) Countries'!A:C,3,)),B123)&amp; " "</f>
        <v xml:space="preserve">| [US Texas](/tags/usa
- texas) </v>
      </c>
      <c r="CI123" s="29" t="str">
        <f>"| "&amp;AJ123&amp;" "</f>
        <v xml:space="preserve">|  </v>
      </c>
      <c r="CJ123" s="29" t="str">
        <f>"|"&amp;IF(AR123," [Link](/places/"&amp;SUBSTITUTE(BY123,".md","")&amp;")","")&amp;" "</f>
        <v xml:space="preserve">| [Link](/places/us_tx-dallas-old-trinity-college) </v>
      </c>
      <c r="CK123" s="29" t="str">
        <f>"
"&amp;CG123&amp;CH123&amp;CI123&amp;CJ123&amp;BL123&amp;BQ123&amp;BR123&amp;BS123&amp;CF123&amp;"|"</f>
        <v xml:space="preserve">
| [](/places/us_tx-dallas-old-trinity-college) | [US Texas](/tags/usa
- texas) |  | [Link](/places/us_tx-dallas-old-trinity-college) | [Closed or Deconsecrated Sites](/tags/closed) |</v>
      </c>
    </row>
    <row r="124" spans="1:89" ht="127.5" x14ac:dyDescent="0.25">
      <c r="A124" s="168" t="s">
        <v>1320</v>
      </c>
      <c r="B124" s="24" t="s">
        <v>1942</v>
      </c>
      <c r="C124" s="24" t="s">
        <v>2045</v>
      </c>
      <c r="D124" s="15">
        <v>32.787603699999998</v>
      </c>
      <c r="E124" s="49">
        <v>-96.787011800000002</v>
      </c>
      <c r="F124" s="83" t="s">
        <v>2105</v>
      </c>
      <c r="G124" s="90" t="s">
        <v>2496</v>
      </c>
      <c r="H124" s="24" t="s">
        <v>1825</v>
      </c>
      <c r="L124" s="83" t="s">
        <v>2106</v>
      </c>
      <c r="P124" s="60" t="s">
        <v>2107</v>
      </c>
      <c r="Q124" s="15" t="s">
        <v>2108</v>
      </c>
      <c r="R124" s="93" t="s">
        <v>336</v>
      </c>
      <c r="S124" s="60" t="s">
        <v>2109</v>
      </c>
      <c r="T124" s="15" t="s">
        <v>2110</v>
      </c>
      <c r="U124" s="93" t="s">
        <v>336</v>
      </c>
      <c r="Y124" s="91" t="s">
        <v>2115</v>
      </c>
      <c r="AR124" s="154" t="b">
        <f>IF(OR(A124="Done",A124="In Progress"),TRUE)</f>
        <v>1</v>
      </c>
      <c r="AS124" s="155" t="str">
        <f>"title: """&amp;F124&amp;""""</f>
        <v>title: "Old St. Joseph Catholic Church, Dallas, TX"</v>
      </c>
      <c r="AT124" s="155" t="str">
        <f>"location: {lat: "&amp;D124&amp;", lng: "&amp;E124&amp;"}"</f>
        <v>location: {lat: 32.7876037, lng: -96.7870118}</v>
      </c>
      <c r="AU124" s="155" t="str">
        <f>"interest: "&amp;H124</f>
        <v>interest: local</v>
      </c>
      <c r="AV124" s="155" t="str">
        <f>"- "&amp;VLOOKUP(B124,'(Ref) Countries'!A:C,3,)</f>
        <v>- usa
- texas</v>
      </c>
      <c r="AW124" s="155" t="str">
        <f>IF(LEN(C124)&gt;1,"- "&amp;LOWER(SUBSTITUTE(C124," ","-")),"")</f>
        <v>- dallas</v>
      </c>
      <c r="AX124" s="155" t="str">
        <f>IF(I124,"- churches","")</f>
        <v/>
      </c>
      <c r="AY124" s="155" t="str">
        <f>IF(J124,"- marian-sites","")</f>
        <v/>
      </c>
      <c r="AZ124" s="155" t="str">
        <f>IF(K124,"- holy-persons","")</f>
        <v/>
      </c>
      <c r="BA124" s="155" t="str">
        <f>IF(LEN(Y124)&gt;0,"- "&amp;Y124,"")</f>
        <v>- closed</v>
      </c>
      <c r="BB124" s="155" t="str">
        <f>IF(LEN(Z124)&gt;0,"- "&amp;Z124,"")</f>
        <v/>
      </c>
      <c r="BC124" s="155" t="str">
        <f>IF(LEN(AA124)&gt;0,"- "&amp;AA124,"")</f>
        <v/>
      </c>
      <c r="BD124" s="155" t="str">
        <f>IF(LEN(AB124)&gt;0,"- "&amp;AB124,"")</f>
        <v/>
      </c>
      <c r="BE124" s="155" t="str">
        <f>IF(LEN(AC124)&gt;0,"- "&amp;AC124,"")</f>
        <v/>
      </c>
      <c r="BF124" s="155" t="str">
        <f>IF(LEN(AD124)&gt;0,"- "&amp;AD124,"")</f>
        <v/>
      </c>
      <c r="BG124" s="155" t="str">
        <f>IF(LEN(AE124)&gt;0,"- "&amp;AE124,"")</f>
        <v/>
      </c>
      <c r="BH124" s="155" t="str">
        <f>IF(LEN(AF124)&gt;0,"- "&amp;AF124,"")</f>
        <v/>
      </c>
      <c r="BI124" s="155" t="str">
        <f>IF(LEN(AG124)&gt;0,"- "&amp;AG124,"")</f>
        <v/>
      </c>
      <c r="BJ124" s="155" t="str">
        <f>IF(LEN(AH124)&gt;0,"- "&amp;AH124,"")</f>
        <v/>
      </c>
      <c r="BK124" s="155" t="str">
        <f>"tags:"&amp;CHAR(10)&amp;concatl(AV124:BJ124)</f>
        <v xml:space="preserve">tags:
- usa
- texas_x000D_
- dallas_x000D_
- closed_x000D_
</v>
      </c>
      <c r="BL124" s="155" t="str">
        <f>IF(LEN(N124)&gt;0,TRIM(CONCATENATE("[Official site](",N124,") ",O124)),"")</f>
        <v/>
      </c>
      <c r="BM124" s="155" t="str">
        <f>IF(LEN(Q124)&gt;0,TRIM(CONCATENATE("["&amp;P124&amp;"](",Q124,") ",R124)),"")</f>
        <v>[Historical site nomination form](https://dallascityhall.com/departments/sustainabledevelopment/historicpreservation/HP%20Documents/Landmark%20Structures/St%20Josephs%20Catholic%20Church%20Landmark%20Nomination.pdf)</v>
      </c>
      <c r="BN124" s="155" t="str">
        <f>IF(LEN(T124)&gt;0,TRIM(CONCATENATE("["&amp;S124&amp;"](",T124,") ",U124)),"")</f>
        <v>[Historical site page](https://dallascityhall.com/departments/sustainabledevelopment/historicpreservation/Pages/St-Josephs-Catholic-Church-.aspx)</v>
      </c>
      <c r="BO124" s="155" t="str">
        <f>IF(LEN(W124)&gt;0,TRIM(CONCATENATE("["&amp;V124&amp;"](",W124,") ",X124)),"")</f>
        <v/>
      </c>
      <c r="BP124" s="155" t="str">
        <f>IF(LEN(BL124)&gt;0,"* "&amp;BL124&amp;CHAR(10),"")&amp;
IF(LEN(BM124)&gt;0,"* "&amp;BM124&amp;CHAR(10),"")&amp;
IF(LEN(BN124)&gt;0,"* "&amp;BN124&amp;CHAR(10),"")&amp;
IF(LEN(BO124)&gt;0,"* "&amp;BO124&amp;CHAR(10),"")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124" s="155" t="str">
        <f>IF(LEN(AK124)&gt;0,TRIM(CONCATENATE("[Link](",AK124,") ",AL124)),"")</f>
        <v/>
      </c>
      <c r="BR124" s="155" t="str">
        <f>IF(LEN(AM124)&gt;0,TRIM(CONCATENATE("[Link](",AM124,") ",AN124)),"")</f>
        <v/>
      </c>
      <c r="BS124" s="155" t="str">
        <f>IF(LEN(AO124)&gt;0,TRIM(CONCATENATE("[Link](",AO124,") ",AP124)),"")</f>
        <v/>
      </c>
      <c r="BT124" s="155" t="str">
        <f>IF(LEN(concat(BQ124:BS124))&gt;0,concat("| ",BQ124," | ",BR124," | ",BS124," |"),"")</f>
        <v/>
      </c>
      <c r="BU124" s="155" t="str">
        <f>IF(J124,concatl("| The Real Presence | Miracle Hunter | MaryPages |","| --- | --- | --- |",BT124),"")</f>
        <v/>
      </c>
      <c r="BV124" s="155" t="str">
        <f>IF(LEN(BP124&amp;BU124)&gt;0,concatll("#### More Information",BP124,BU124),"")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124" s="155" t="str">
        <f>IF(LEN(M124)&gt;1,concatll("#### Author's Note",M124),"")</f>
        <v/>
      </c>
      <c r="BX124" s="23" t="str">
        <f>IF(AR124,concatll(concatl("---",AS124:AU124,BK124,"---"),L124,BV124:BW124),"")</f>
        <v xml:space="preserve">---_x000D_
title: "Old St. Joseph Catholic Church, Dallas, TX"_x000D_
location: {lat: 32.7876037, lng: -96.7870118}_x000D_
interest: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124" s="23" t="str">
        <f>IF(AR124,VLOOKUP(B124,'(Ref) Countries'!A:B,2,)&amp;IF(LEN(C124)&gt;1,"-"&amp;LOWER(SUBSTITUTE(C124," ","-")),"")&amp;"-"&amp;LOWER(SUBSTITUTE(SUBSTITUTE(G124," ","-"),".",""))&amp;".md","")</f>
        <v>us_tx-dallas-old-st-joseph.md</v>
      </c>
      <c r="BZ124" s="29" t="str">
        <f>IF(LEN(Y124)&gt;1,VLOOKUP(Y124,'Tag List'!$A:$B,2,),"")</f>
        <v>Closed or Deconsecrated Sites</v>
      </c>
      <c r="CA124" s="29" t="str">
        <f>IF(LEN(Z124)&gt;1,VLOOKUP(Z124,'Tag List'!$A:$B,2,),"")</f>
        <v/>
      </c>
      <c r="CB124" s="29" t="str">
        <f>IF(LEN(AA124)&gt;1,VLOOKUP(AA124,'Tag List'!$A:$B,2,),"")</f>
        <v/>
      </c>
      <c r="CC124" s="29" t="str">
        <f>IF(LEN(Y124)&gt;1,GetTagPage(BZ124,Y124),"")</f>
        <v>[Closed or Deconsecrated Sites](/tags/closed)</v>
      </c>
      <c r="CD124" s="29" t="str">
        <f>IF(LEN(Z124)&gt;1,GetTagPage(CA124,Z124),"")</f>
        <v/>
      </c>
      <c r="CE124" s="29" t="str">
        <f>IF(LEN(AA124)&gt;1,GetTagPage(CB124,AA124),"")</f>
        <v/>
      </c>
      <c r="CF124" s="29" t="str">
        <f>"|"&amp;IF(LEN(CC124)&gt;1," "&amp;CC124,"")&amp;IF(LEN(CD124)&gt;1,", "&amp;CD124,"")&amp;IF(LEN(CE124)&gt;1,", "&amp;CE124,"")&amp;" "</f>
        <v xml:space="preserve">| [Closed or Deconsecrated Sites](/tags/closed) </v>
      </c>
      <c r="CG124" s="29" t="str">
        <f>"| "&amp;IF(AR124,"["&amp;AI124&amp;"](/places/"&amp;SUBSTITUTE(BY124,".md","")&amp;")",AI124)&amp;" "</f>
        <v xml:space="preserve">| [](/places/us_tx-dallas-old-st-joseph) </v>
      </c>
      <c r="CH124" s="29" t="str">
        <f>"| "&amp;IF(AR124,GetTagPage(B124,VLOOKUP(B124,'(Ref) Countries'!A:C,3,)),B124)&amp; " "</f>
        <v xml:space="preserve">| [US Texas](/tags/usa
- texas) </v>
      </c>
      <c r="CI124" s="29" t="str">
        <f>"| "&amp;AJ124&amp;" "</f>
        <v xml:space="preserve">|  </v>
      </c>
      <c r="CJ124" s="29" t="str">
        <f>"|"&amp;IF(AR124," [Link](/places/"&amp;SUBSTITUTE(BY124,".md","")&amp;")","")&amp;" "</f>
        <v xml:space="preserve">| [Link](/places/us_tx-dallas-old-st-joseph) </v>
      </c>
      <c r="CK124" s="29" t="str">
        <f>"
"&amp;CG124&amp;CH124&amp;CI124&amp;CJ124&amp;BL124&amp;BQ124&amp;BR124&amp;BS124&amp;CF124&amp;"|"</f>
        <v xml:space="preserve">
| [](/places/us_tx-dallas-old-st-joseph) | [US Texas](/tags/usa
- texas) |  | [Link](/places/us_tx-dallas-old-st-joseph) | [Closed or Deconsecrated Sites](/tags/closed) |</v>
      </c>
    </row>
    <row r="125" spans="1:89" ht="89.25" x14ac:dyDescent="0.25">
      <c r="A125" s="168" t="s">
        <v>1320</v>
      </c>
      <c r="B125" s="24" t="s">
        <v>1942</v>
      </c>
      <c r="C125" s="24" t="s">
        <v>2045</v>
      </c>
      <c r="D125" s="15">
        <v>32.788721000000002</v>
      </c>
      <c r="E125" s="49">
        <v>-96.772652600000001</v>
      </c>
      <c r="F125" s="24" t="s">
        <v>2101</v>
      </c>
      <c r="G125" s="90" t="s">
        <v>2497</v>
      </c>
      <c r="H125" s="24" t="s">
        <v>1825</v>
      </c>
      <c r="I125" s="24" t="b">
        <v>1</v>
      </c>
      <c r="L125" s="83" t="s">
        <v>2102</v>
      </c>
      <c r="N125" s="91" t="s">
        <v>2104</v>
      </c>
      <c r="O125" s="94" t="s">
        <v>336</v>
      </c>
      <c r="P125" s="95" t="s">
        <v>2059</v>
      </c>
      <c r="Q125" s="15" t="s">
        <v>2103</v>
      </c>
      <c r="R125" s="93" t="s">
        <v>336</v>
      </c>
      <c r="Y125" s="91"/>
      <c r="AR125" s="154" t="b">
        <f>IF(OR(A125="Done",A125="In Progress"),TRUE)</f>
        <v>1</v>
      </c>
      <c r="AS125" s="155" t="str">
        <f>"title: """&amp;F125&amp;""""</f>
        <v>title: "St. Edward the Confessor Catholic Church, Dallas, TX"</v>
      </c>
      <c r="AT125" s="155" t="str">
        <f>"location: {lat: "&amp;D125&amp;", lng: "&amp;E125&amp;"}"</f>
        <v>location: {lat: 32.788721, lng: -96.7726526}</v>
      </c>
      <c r="AU125" s="155" t="str">
        <f>"interest: "&amp;H125</f>
        <v>interest: local</v>
      </c>
      <c r="AV125" s="155" t="str">
        <f>"- "&amp;VLOOKUP(B125,'(Ref) Countries'!A:C,3,)</f>
        <v>- usa
- texas</v>
      </c>
      <c r="AW125" s="155" t="str">
        <f>IF(LEN(C125)&gt;1,"- "&amp;LOWER(SUBSTITUTE(C125," ","-")),"")</f>
        <v>- dallas</v>
      </c>
      <c r="AX125" s="155" t="str">
        <f>IF(I125,"- churches","")</f>
        <v>- churches</v>
      </c>
      <c r="AY125" s="155" t="str">
        <f>IF(J125,"- marian-sites","")</f>
        <v/>
      </c>
      <c r="AZ125" s="155" t="str">
        <f>IF(K125,"- holy-persons","")</f>
        <v/>
      </c>
      <c r="BA125" s="155" t="str">
        <f>IF(LEN(Y125)&gt;0,"- "&amp;Y125,"")</f>
        <v/>
      </c>
      <c r="BB125" s="155" t="str">
        <f>IF(LEN(Z125)&gt;0,"- "&amp;Z125,"")</f>
        <v/>
      </c>
      <c r="BC125" s="155" t="str">
        <f>IF(LEN(AA125)&gt;0,"- "&amp;AA125,"")</f>
        <v/>
      </c>
      <c r="BD125" s="155" t="str">
        <f>IF(LEN(AB125)&gt;0,"- "&amp;AB125,"")</f>
        <v/>
      </c>
      <c r="BE125" s="155" t="str">
        <f>IF(LEN(AC125)&gt;0,"- "&amp;AC125,"")</f>
        <v/>
      </c>
      <c r="BF125" s="155" t="str">
        <f>IF(LEN(AD125)&gt;0,"- "&amp;AD125,"")</f>
        <v/>
      </c>
      <c r="BG125" s="155" t="str">
        <f>IF(LEN(AE125)&gt;0,"- "&amp;AE125,"")</f>
        <v/>
      </c>
      <c r="BH125" s="155" t="str">
        <f>IF(LEN(AF125)&gt;0,"- "&amp;AF125,"")</f>
        <v/>
      </c>
      <c r="BI125" s="155" t="str">
        <f>IF(LEN(AG125)&gt;0,"- "&amp;AG125,"")</f>
        <v/>
      </c>
      <c r="BJ125" s="155" t="str">
        <f>IF(LEN(AH125)&gt;0,"- "&amp;AH125,"")</f>
        <v/>
      </c>
      <c r="BK125" s="155" t="str">
        <f>"tags:"&amp;CHAR(10)&amp;concatl(AV125:BJ125)</f>
        <v xml:space="preserve">tags:
- usa
- texas_x000D_
- dallas_x000D_
- churches_x000D_
</v>
      </c>
      <c r="BL125" s="155" t="str">
        <f>IF(LEN(N125)&gt;0,TRIM(CONCATENATE("[Official site](",N125,") ",O125)),"")</f>
        <v>[Official site](https://stedwardparish.org/)</v>
      </c>
      <c r="BM125" s="155" t="str">
        <f>IF(LEN(Q125)&gt;0,TRIM(CONCATENATE("["&amp;P125&amp;"](",Q125,") ",R125)),"")</f>
        <v>[Parish history](https://stedwardparish.org/history-)</v>
      </c>
      <c r="BN125" s="155" t="str">
        <f>IF(LEN(T125)&gt;0,TRIM(CONCATENATE("["&amp;S125&amp;"](",T125,") ",U125)),"")</f>
        <v/>
      </c>
      <c r="BO125" s="155" t="str">
        <f>IF(LEN(W125)&gt;0,TRIM(CONCATENATE("["&amp;V125&amp;"](",W125,") ",X125)),"")</f>
        <v/>
      </c>
      <c r="BP125" s="155" t="str">
        <f>IF(LEN(BL125)&gt;0,"* "&amp;BL125&amp;CHAR(10),"")&amp;
IF(LEN(BM125)&gt;0,"* "&amp;BM125&amp;CHAR(10),"")&amp;
IF(LEN(BN125)&gt;0,"* "&amp;BN125&amp;CHAR(10),"")&amp;
IF(LEN(BO125)&gt;0,"* "&amp;BO125&amp;CHAR(10),"")</f>
        <v xml:space="preserve">* [Official site](https://stedwardparish.org/)
* [Parish history](https://stedwardparish.org/history-)
</v>
      </c>
      <c r="BQ125" s="155" t="str">
        <f>IF(LEN(AK125)&gt;0,TRIM(CONCATENATE("[Link](",AK125,") ",AL125)),"")</f>
        <v/>
      </c>
      <c r="BR125" s="155" t="str">
        <f>IF(LEN(AM125)&gt;0,TRIM(CONCATENATE("[Link](",AM125,") ",AN125)),"")</f>
        <v/>
      </c>
      <c r="BS125" s="155" t="str">
        <f>IF(LEN(AO125)&gt;0,TRIM(CONCATENATE("[Link](",AO125,") ",AP125)),"")</f>
        <v/>
      </c>
      <c r="BT125" s="155" t="str">
        <f>IF(LEN(concat(BQ125:BS125))&gt;0,concat("| ",BQ125," | ",BR125," | ",BS125," |"),"")</f>
        <v/>
      </c>
      <c r="BU125" s="155" t="str">
        <f>IF(J125,concatl("| The Real Presence | Miracle Hunter | MaryPages |","| --- | --- | --- |",BT125),"")</f>
        <v/>
      </c>
      <c r="BV125" s="155" t="str">
        <f>IF(LEN(BP125&amp;BU125)&gt;0,concatll("#### More Information",BP125,BU125),"")</f>
        <v xml:space="preserve">#### More Information_x000D_
_x000D_
* [Official site](https://stedwardparish.org/)
* [Parish history](https://stedwardparish.org/history-)
_x000D_
_x000D_
</v>
      </c>
      <c r="BW125" s="155" t="str">
        <f>IF(LEN(M125)&gt;1,concatll("#### Author's Note",M125),"")</f>
        <v/>
      </c>
      <c r="BX125" s="23" t="str">
        <f>IF(AR125,concatll(concatl("---",AS125:AU125,BK125,"---"),L125,BV125:BW125),"")</f>
        <v xml:space="preserve">---_x000D_
title: "St. Edward the Confessor Catholic Church, Dallas, TX"_x000D_
location: {lat: 32.788721, lng: -96.7726526}_x000D_
interest: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125" s="23" t="str">
        <f>IF(AR125,VLOOKUP(B125,'(Ref) Countries'!A:B,2,)&amp;IF(LEN(C125)&gt;1,"-"&amp;LOWER(SUBSTITUTE(C125," ","-")),"")&amp;"-"&amp;LOWER(SUBSTITUTE(SUBSTITUTE(G125," ","-"),".",""))&amp;".md","")</f>
        <v>us_tx-dallas-st-edward.md</v>
      </c>
      <c r="BZ125" s="29" t="str">
        <f>IF(LEN(Y125)&gt;1,VLOOKUP(Y125,'Tag List'!$A:$B,2,),"")</f>
        <v/>
      </c>
      <c r="CA125" s="29" t="str">
        <f>IF(LEN(Z125)&gt;1,VLOOKUP(Z125,'Tag List'!$A:$B,2,),"")</f>
        <v/>
      </c>
      <c r="CB125" s="29" t="str">
        <f>IF(LEN(AA125)&gt;1,VLOOKUP(AA125,'Tag List'!$A:$B,2,),"")</f>
        <v/>
      </c>
      <c r="CC125" s="29" t="str">
        <f>IF(LEN(Y125)&gt;1,GetTagPage(BZ125,Y125),"")</f>
        <v/>
      </c>
      <c r="CD125" s="29" t="str">
        <f>IF(LEN(Z125)&gt;1,GetTagPage(CA125,Z125),"")</f>
        <v/>
      </c>
      <c r="CE125" s="29" t="str">
        <f>IF(LEN(AA125)&gt;1,GetTagPage(CB125,AA125),"")</f>
        <v/>
      </c>
      <c r="CF125" s="29" t="str">
        <f>"|"&amp;IF(LEN(CC125)&gt;1," "&amp;CC125,"")&amp;IF(LEN(CD125)&gt;1,", "&amp;CD125,"")&amp;IF(LEN(CE125)&gt;1,", "&amp;CE125,"")&amp;" "</f>
        <v xml:space="preserve">| </v>
      </c>
      <c r="CG125" s="29" t="str">
        <f>"| "&amp;IF(AR125,"["&amp;AI125&amp;"](/places/"&amp;SUBSTITUTE(BY125,".md","")&amp;")",AI125)&amp;" "</f>
        <v xml:space="preserve">| [](/places/us_tx-dallas-st-edward) </v>
      </c>
      <c r="CH125" s="29" t="str">
        <f>"| "&amp;IF(AR125,GetTagPage(B125,VLOOKUP(B125,'(Ref) Countries'!A:C,3,)),B125)&amp; " "</f>
        <v xml:space="preserve">| [US Texas](/tags/usa
- texas) </v>
      </c>
      <c r="CI125" s="29" t="str">
        <f>"| "&amp;AJ125&amp;" "</f>
        <v xml:space="preserve">|  </v>
      </c>
      <c r="CJ125" s="29" t="str">
        <f>"|"&amp;IF(AR125," [Link](/places/"&amp;SUBSTITUTE(BY125,".md","")&amp;")","")&amp;" "</f>
        <v xml:space="preserve">| [Link](/places/us_tx-dallas-st-edward) </v>
      </c>
      <c r="CK125" s="29" t="str">
        <f>"
"&amp;CG125&amp;CH125&amp;CI125&amp;CJ125&amp;BL125&amp;BQ125&amp;BR125&amp;BS125&amp;CF125&amp;"|"</f>
        <v xml:space="preserve">
| [](/places/us_tx-dallas-st-edward) | [US Texas](/tags/usa
- texas) |  | [Link](/places/us_tx-dallas-st-edward) [Official site](https://stedwardparish.org/)| |</v>
      </c>
    </row>
    <row r="126" spans="1:89" ht="25.5" x14ac:dyDescent="0.25">
      <c r="A126" s="168" t="s">
        <v>1320</v>
      </c>
      <c r="B126" s="24" t="s">
        <v>1942</v>
      </c>
      <c r="C126" s="24" t="s">
        <v>2045</v>
      </c>
      <c r="D126" s="15">
        <v>32.795037200000003</v>
      </c>
      <c r="E126" s="49">
        <v>-96.795031699999996</v>
      </c>
      <c r="F126" s="83" t="s">
        <v>2111</v>
      </c>
      <c r="G126" s="90" t="s">
        <v>2472</v>
      </c>
      <c r="H126" s="24" t="s">
        <v>1825</v>
      </c>
      <c r="I126" s="24" t="b">
        <v>1</v>
      </c>
      <c r="L126" s="83" t="s">
        <v>2112</v>
      </c>
      <c r="N126" s="91" t="s">
        <v>2114</v>
      </c>
      <c r="O126" s="94" t="s">
        <v>336</v>
      </c>
      <c r="P126" s="60" t="s">
        <v>2059</v>
      </c>
      <c r="Q126" s="15" t="s">
        <v>2113</v>
      </c>
      <c r="R126" s="93" t="s">
        <v>336</v>
      </c>
      <c r="AR126" s="154" t="b">
        <f>IF(OR(A126="Done",A126="In Progress"),TRUE)</f>
        <v>1</v>
      </c>
      <c r="AS126" s="155" t="str">
        <f>"title: """&amp;F126&amp;""""</f>
        <v>title: "St. Peter Catholic Church, Dallas, TX"</v>
      </c>
      <c r="AT126" s="155" t="str">
        <f>"location: {lat: "&amp;D126&amp;", lng: "&amp;E126&amp;"}"</f>
        <v>location: {lat: 32.7950372, lng: -96.7950317}</v>
      </c>
      <c r="AU126" s="155" t="str">
        <f>"interest: "&amp;H126</f>
        <v>interest: local</v>
      </c>
      <c r="AV126" s="155" t="str">
        <f>"- "&amp;VLOOKUP(B126,'(Ref) Countries'!A:C,3,)</f>
        <v>- usa
- texas</v>
      </c>
      <c r="AW126" s="155" t="str">
        <f>IF(LEN(C126)&gt;1,"- "&amp;LOWER(SUBSTITUTE(C126," ","-")),"")</f>
        <v>- dallas</v>
      </c>
      <c r="AX126" s="155" t="str">
        <f>IF(I126,"- churches","")</f>
        <v>- churches</v>
      </c>
      <c r="AY126" s="155" t="str">
        <f>IF(J126,"- marian-sites","")</f>
        <v/>
      </c>
      <c r="AZ126" s="155" t="str">
        <f>IF(K126,"- holy-persons","")</f>
        <v/>
      </c>
      <c r="BA126" s="155" t="str">
        <f>IF(LEN(Y126)&gt;0,"- "&amp;Y126,"")</f>
        <v/>
      </c>
      <c r="BB126" s="155" t="str">
        <f>IF(LEN(Z126)&gt;0,"- "&amp;Z126,"")</f>
        <v/>
      </c>
      <c r="BC126" s="155" t="str">
        <f>IF(LEN(AA126)&gt;0,"- "&amp;AA126,"")</f>
        <v/>
      </c>
      <c r="BD126" s="155" t="str">
        <f>IF(LEN(AB126)&gt;0,"- "&amp;AB126,"")</f>
        <v/>
      </c>
      <c r="BE126" s="155" t="str">
        <f>IF(LEN(AC126)&gt;0,"- "&amp;AC126,"")</f>
        <v/>
      </c>
      <c r="BF126" s="155" t="str">
        <f>IF(LEN(AD126)&gt;0,"- "&amp;AD126,"")</f>
        <v/>
      </c>
      <c r="BG126" s="155" t="str">
        <f>IF(LEN(AE126)&gt;0,"- "&amp;AE126,"")</f>
        <v/>
      </c>
      <c r="BH126" s="155" t="str">
        <f>IF(LEN(AF126)&gt;0,"- "&amp;AF126,"")</f>
        <v/>
      </c>
      <c r="BI126" s="155" t="str">
        <f>IF(LEN(AG126)&gt;0,"- "&amp;AG126,"")</f>
        <v/>
      </c>
      <c r="BJ126" s="155" t="str">
        <f>IF(LEN(AH126)&gt;0,"- "&amp;AH126,"")</f>
        <v/>
      </c>
      <c r="BK126" s="155" t="str">
        <f>"tags:"&amp;CHAR(10)&amp;concatl(AV126:BJ126)</f>
        <v xml:space="preserve">tags:
- usa
- texas_x000D_
- dallas_x000D_
- churches_x000D_
</v>
      </c>
      <c r="BL126" s="155" t="str">
        <f>IF(LEN(N126)&gt;0,TRIM(CONCATENATE("[Official site](",N126,") ",O126)),"")</f>
        <v>[Official site](https://stpeterdal.com/)</v>
      </c>
      <c r="BM126" s="155" t="str">
        <f>IF(LEN(Q126)&gt;0,TRIM(CONCATENATE("["&amp;P126&amp;"](",Q126,") ",R126)),"")</f>
        <v>[Parish history](https://stpeterdal.com/about/#History)</v>
      </c>
      <c r="BN126" s="155" t="str">
        <f>IF(LEN(T126)&gt;0,TRIM(CONCATENATE("["&amp;S126&amp;"](",T126,") ",U126)),"")</f>
        <v/>
      </c>
      <c r="BO126" s="155" t="str">
        <f>IF(LEN(W126)&gt;0,TRIM(CONCATENATE("["&amp;V126&amp;"](",W126,") ",X126)),"")</f>
        <v/>
      </c>
      <c r="BP126" s="155" t="str">
        <f>IF(LEN(BL126)&gt;0,"* "&amp;BL126&amp;CHAR(10),"")&amp;
IF(LEN(BM126)&gt;0,"* "&amp;BM126&amp;CHAR(10),"")&amp;
IF(LEN(BN126)&gt;0,"* "&amp;BN126&amp;CHAR(10),"")&amp;
IF(LEN(BO126)&gt;0,"* "&amp;BO126&amp;CHAR(10),"")</f>
        <v xml:space="preserve">* [Official site](https://stpeterdal.com/)
* [Parish history](https://stpeterdal.com/about/#History)
</v>
      </c>
      <c r="BQ126" s="155" t="str">
        <f>IF(LEN(AK126)&gt;0,TRIM(CONCATENATE("[Link](",AK126,") ",AL126)),"")</f>
        <v/>
      </c>
      <c r="BR126" s="155" t="str">
        <f>IF(LEN(AM126)&gt;0,TRIM(CONCATENATE("[Link](",AM126,") ",AN126)),"")</f>
        <v/>
      </c>
      <c r="BS126" s="155" t="str">
        <f>IF(LEN(AO126)&gt;0,TRIM(CONCATENATE("[Link](",AO126,") ",AP126)),"")</f>
        <v/>
      </c>
      <c r="BT126" s="155" t="str">
        <f>IF(LEN(concat(BQ126:BS126))&gt;0,concat("| ",BQ126," | ",BR126," | ",BS126," |"),"")</f>
        <v/>
      </c>
      <c r="BU126" s="155" t="str">
        <f>IF(J126,concatl("| The Real Presence | Miracle Hunter | MaryPages |","| --- | --- | --- |",BT126),"")</f>
        <v/>
      </c>
      <c r="BV126" s="155" t="str">
        <f>IF(LEN(BP126&amp;BU126)&gt;0,concatll("#### More Information",BP126,BU126),"")</f>
        <v xml:space="preserve">#### More Information_x000D_
_x000D_
* [Official site](https://stpeterdal.com/)
* [Parish history](https://stpeterdal.com/about/#History)
_x000D_
_x000D_
</v>
      </c>
      <c r="BW126" s="155" t="str">
        <f>IF(LEN(M126)&gt;1,concatll("#### Author's Note",M126),"")</f>
        <v/>
      </c>
      <c r="BX126" s="23" t="str">
        <f>IF(AR126,concatll(concatl("---",AS126:AU126,BK126,"---"),L126,BV126:BW126),"")</f>
        <v xml:space="preserve">---_x000D_
title: "St. Peter Catholic Church, Dallas, TX"_x000D_
location: {lat: 32.7950372, lng: -96.7950317}_x000D_
interest: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126" s="23" t="str">
        <f>IF(AR126,VLOOKUP(B126,'(Ref) Countries'!A:B,2,)&amp;IF(LEN(C126)&gt;1,"-"&amp;LOWER(SUBSTITUTE(C126," ","-")),"")&amp;"-"&amp;LOWER(SUBSTITUTE(SUBSTITUTE(G126," ","-"),".",""))&amp;".md","")</f>
        <v>us_tx-dallas-st-peter.md</v>
      </c>
      <c r="BZ126" s="29" t="str">
        <f>IF(LEN(Y126)&gt;1,VLOOKUP(Y126,'Tag List'!$A:$B,2,),"")</f>
        <v/>
      </c>
      <c r="CA126" s="29" t="str">
        <f>IF(LEN(Z126)&gt;1,VLOOKUP(Z126,'Tag List'!$A:$B,2,),"")</f>
        <v/>
      </c>
      <c r="CB126" s="29" t="str">
        <f>IF(LEN(AA126)&gt;1,VLOOKUP(AA126,'Tag List'!$A:$B,2,),"")</f>
        <v/>
      </c>
      <c r="CC126" s="29" t="str">
        <f>IF(LEN(Y126)&gt;1,GetTagPage(BZ126,Y126),"")</f>
        <v/>
      </c>
      <c r="CD126" s="29" t="str">
        <f>IF(LEN(Z126)&gt;1,GetTagPage(CA126,Z126),"")</f>
        <v/>
      </c>
      <c r="CE126" s="29" t="str">
        <f>IF(LEN(AA126)&gt;1,GetTagPage(CB126,AA126),"")</f>
        <v/>
      </c>
      <c r="CF126" s="29" t="str">
        <f>"|"&amp;IF(LEN(CC126)&gt;1," "&amp;CC126,"")&amp;IF(LEN(CD126)&gt;1,", "&amp;CD126,"")&amp;IF(LEN(CE126)&gt;1,", "&amp;CE126,"")&amp;" "</f>
        <v xml:space="preserve">| </v>
      </c>
      <c r="CG126" s="29" t="str">
        <f>"| "&amp;IF(AR126,"["&amp;AI126&amp;"](/places/"&amp;SUBSTITUTE(BY126,".md","")&amp;")",AI126)&amp;" "</f>
        <v xml:space="preserve">| [](/places/us_tx-dallas-st-peter) </v>
      </c>
      <c r="CH126" s="29" t="str">
        <f>"| "&amp;IF(AR126,GetTagPage(B126,VLOOKUP(B126,'(Ref) Countries'!A:C,3,)),B126)&amp; " "</f>
        <v xml:space="preserve">| [US Texas](/tags/usa
- texas) </v>
      </c>
      <c r="CI126" s="29" t="str">
        <f>"| "&amp;AJ126&amp;" "</f>
        <v xml:space="preserve">|  </v>
      </c>
      <c r="CJ126" s="29" t="str">
        <f>"|"&amp;IF(AR126," [Link](/places/"&amp;SUBSTITUTE(BY126,".md","")&amp;")","")&amp;" "</f>
        <v xml:space="preserve">| [Link](/places/us_tx-dallas-st-peter) </v>
      </c>
      <c r="CK126" s="29" t="str">
        <f>"
"&amp;CG126&amp;CH126&amp;CI126&amp;CJ126&amp;BL126&amp;BQ126&amp;BR126&amp;BS126&amp;CF126&amp;"|"</f>
        <v xml:space="preserve">
| [](/places/us_tx-dallas-st-peter) | [US Texas](/tags/usa
- texas) |  | [Link](/places/us_tx-dallas-st-peter) [Official site](https://stpeterdal.com/)| |</v>
      </c>
    </row>
    <row r="127" spans="1:89" ht="76.5" x14ac:dyDescent="0.25">
      <c r="A127" s="168" t="s">
        <v>1320</v>
      </c>
      <c r="B127" s="129" t="s">
        <v>2468</v>
      </c>
      <c r="D127" s="15">
        <v>41.902118788029298</v>
      </c>
      <c r="E127" s="49">
        <v>12.4539366999999</v>
      </c>
      <c r="F127" s="129" t="s">
        <v>2469</v>
      </c>
      <c r="G127" s="131" t="s">
        <v>2472</v>
      </c>
      <c r="H127" s="129" t="s">
        <v>1715</v>
      </c>
      <c r="L127" s="134" t="s">
        <v>2474</v>
      </c>
      <c r="N127" s="15" t="s">
        <v>2470</v>
      </c>
      <c r="O127" s="132" t="s">
        <v>336</v>
      </c>
      <c r="Y127" s="130" t="s">
        <v>2471</v>
      </c>
      <c r="Z127" s="130" t="s">
        <v>998</v>
      </c>
      <c r="AR127" s="154" t="b">
        <f>IF(OR(A127="Done",A127="In Progress"),TRUE)</f>
        <v>1</v>
      </c>
      <c r="AS127" s="155" t="str">
        <f>"title: """&amp;F127&amp;""""</f>
        <v>title: "St. Peter's Basilica"</v>
      </c>
      <c r="AT127" s="155" t="str">
        <f>"location: {lat: "&amp;D127&amp;", lng: "&amp;E127&amp;"}"</f>
        <v>location: {lat: 41.9021187880293, lng: 12.4539366999999}</v>
      </c>
      <c r="AU127" s="155" t="str">
        <f>"interest: "&amp;H127</f>
        <v>interest: global</v>
      </c>
      <c r="AV127" s="155" t="str">
        <f>"- "&amp;VLOOKUP(B127,'(Ref) Countries'!A:C,3,)</f>
        <v>- vatican
- rome</v>
      </c>
      <c r="AW127" s="155" t="str">
        <f>IF(LEN(C127)&gt;1,"- "&amp;LOWER(SUBSTITUTE(C127," ","-")),"")</f>
        <v/>
      </c>
      <c r="AX127" s="155" t="str">
        <f>IF(I127,"- churches","")</f>
        <v/>
      </c>
      <c r="AY127" s="155" t="str">
        <f>IF(J127,"- marian-sites","")</f>
        <v/>
      </c>
      <c r="AZ127" s="155" t="str">
        <f>IF(K127,"- holy-persons","")</f>
        <v/>
      </c>
      <c r="BA127" s="155" t="str">
        <f>IF(LEN(Y127)&gt;0,"- "&amp;Y127,"")</f>
        <v>- peter</v>
      </c>
      <c r="BB127" s="155" t="str">
        <f>IF(LEN(Z127)&gt;0,"- "&amp;Z127,"")</f>
        <v>- papal-basilicas</v>
      </c>
      <c r="BC127" s="155" t="str">
        <f>IF(LEN(AA127)&gt;0,"- "&amp;AA127,"")</f>
        <v/>
      </c>
      <c r="BD127" s="155" t="str">
        <f>IF(LEN(AB127)&gt;0,"- "&amp;AB127,"")</f>
        <v/>
      </c>
      <c r="BE127" s="155" t="str">
        <f>IF(LEN(AC127)&gt;0,"- "&amp;AC127,"")</f>
        <v/>
      </c>
      <c r="BF127" s="155" t="str">
        <f>IF(LEN(AD127)&gt;0,"- "&amp;AD127,"")</f>
        <v/>
      </c>
      <c r="BG127" s="155" t="str">
        <f>IF(LEN(AE127)&gt;0,"- "&amp;AE127,"")</f>
        <v/>
      </c>
      <c r="BH127" s="155" t="str">
        <f>IF(LEN(AF127)&gt;0,"- "&amp;AF127,"")</f>
        <v/>
      </c>
      <c r="BI127" s="155" t="str">
        <f>IF(LEN(AG127)&gt;0,"- "&amp;AG127,"")</f>
        <v/>
      </c>
      <c r="BJ127" s="155" t="str">
        <f>IF(LEN(AH127)&gt;0,"- "&amp;AH127,"")</f>
        <v/>
      </c>
      <c r="BK127" s="155" t="str">
        <f>"tags:"&amp;CHAR(10)&amp;concatl(AV127:BJ127)</f>
        <v xml:space="preserve">tags:
- vatican
- rome_x000D_
- peter_x000D_
- papal-basilicas_x000D_
</v>
      </c>
      <c r="BL127" s="155" t="str">
        <f>IF(LEN(N127)&gt;0,TRIM(CONCATENATE("[Official site](",N127,") ",O127)),"")</f>
        <v>[Official site](https://www.basilicasanpietro.va/en.html)</v>
      </c>
      <c r="BM127" s="155" t="str">
        <f>IF(LEN(Q127)&gt;0,TRIM(CONCATENATE("["&amp;P127&amp;"](",Q127,") ",R127)),"")</f>
        <v/>
      </c>
      <c r="BN127" s="155" t="str">
        <f>IF(LEN(T127)&gt;0,TRIM(CONCATENATE("["&amp;S127&amp;"](",T127,") ",U127)),"")</f>
        <v/>
      </c>
      <c r="BO127" s="155" t="str">
        <f>IF(LEN(W127)&gt;0,TRIM(CONCATENATE("["&amp;V127&amp;"](",W127,") ",X127)),"")</f>
        <v/>
      </c>
      <c r="BP127" s="155" t="str">
        <f>IF(LEN(BL127)&gt;0,"* "&amp;BL127&amp;CHAR(10),"")&amp;
IF(LEN(BM127)&gt;0,"* "&amp;BM127&amp;CHAR(10),"")&amp;
IF(LEN(BN127)&gt;0,"* "&amp;BN127&amp;CHAR(10),"")&amp;
IF(LEN(BO127)&gt;0,"* "&amp;BO127&amp;CHAR(10),"")</f>
        <v xml:space="preserve">* [Official site](https://www.basilicasanpietro.va/en.html)
</v>
      </c>
      <c r="BQ127" s="155" t="str">
        <f>IF(LEN(AK127)&gt;0,TRIM(CONCATENATE("[Link](",AK127,") ",AL127)),"")</f>
        <v/>
      </c>
      <c r="BR127" s="155" t="str">
        <f>IF(LEN(AM127)&gt;0,TRIM(CONCATENATE("[Link](",AM127,") ",AN127)),"")</f>
        <v/>
      </c>
      <c r="BS127" s="155" t="str">
        <f>IF(LEN(AO127)&gt;0,TRIM(CONCATENATE("[Link](",AO127,") ",AP127)),"")</f>
        <v/>
      </c>
      <c r="BT127" s="155" t="str">
        <f>IF(LEN(concat(BQ127:BS127))&gt;0,concat("| ",BQ127," | ",BR127," | ",BS127," |"),"")</f>
        <v/>
      </c>
      <c r="BU127" s="155" t="str">
        <f>IF(J127,concatl("| The Real Presence | Miracle Hunter | MaryPages |","| --- | --- | --- |",BT127),"")</f>
        <v/>
      </c>
      <c r="BV127" s="155" t="str">
        <f>IF(LEN(BP127&amp;BU127)&gt;0,concatll("#### More Information",BP127,BU127),"")</f>
        <v xml:space="preserve">#### More Information_x000D_
_x000D_
* [Official site](https://www.basilicasanpietro.va/en.html)
_x000D_
_x000D_
</v>
      </c>
      <c r="BW127" s="155" t="str">
        <f>IF(LEN(M127)&gt;1,concatll("#### Author's Note",M127),"")</f>
        <v/>
      </c>
      <c r="BX127" s="23" t="str">
        <f>IF(AR127,concatll(concatl("---",AS127:AU127,BK127,"---"),L127,BV127:BW127),"")</f>
        <v xml:space="preserve">---_x000D_
title: "St. Peter's Basilica"_x000D_
location: {lat: 41.9021187880293, lng: 12.4539366999999}_x000D_
interest: global_x000D_
tags:
- vatican
- rome_x000D_
- peter_x000D_
- papal-basilicas_x000D_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BY127" s="23" t="str">
        <f>IF(AR127,VLOOKUP(B127,'(Ref) Countries'!A:B,2,)&amp;IF(LEN(C127)&gt;1,"-"&amp;LOWER(SUBSTITUTE(C127," ","-")),"")&amp;"-"&amp;LOWER(SUBSTITUTE(SUBSTITUTE(G127," ","-"),".",""))&amp;".md","")</f>
        <v>va-st-peter.md</v>
      </c>
      <c r="BZ127" s="29" t="str">
        <f>IF(LEN(Y127)&gt;1,VLOOKUP(Y127,'Tag List'!$A:$B,2,),"")</f>
        <v>St. Peter</v>
      </c>
      <c r="CA127" s="29" t="str">
        <f>IF(LEN(Z127)&gt;1,VLOOKUP(Z127,'Tag List'!$A:$B,2,),"")</f>
        <v>Papal Basilicas</v>
      </c>
      <c r="CB127" s="29" t="str">
        <f>IF(LEN(AA127)&gt;1,VLOOKUP(AA127,'Tag List'!$A:$B,2,),"")</f>
        <v/>
      </c>
      <c r="CC127" s="29" t="str">
        <f>IF(LEN(Y127)&gt;1,GetTagPage(BZ127,Y127),"")</f>
        <v>[St. Peter](/tags/peter)</v>
      </c>
      <c r="CD127" s="29" t="str">
        <f>IF(LEN(Z127)&gt;1,GetTagPage(CA127,Z127),"")</f>
        <v>[Papal Basilicas](/tags/papal-basilicas)</v>
      </c>
      <c r="CE127" s="29" t="str">
        <f>IF(LEN(AA127)&gt;1,GetTagPage(CB127,AA127),"")</f>
        <v/>
      </c>
      <c r="CF127" s="29" t="str">
        <f>"|"&amp;IF(LEN(CC127)&gt;1," "&amp;CC127,"")&amp;IF(LEN(CD127)&gt;1,", "&amp;CD127,"")&amp;IF(LEN(CE127)&gt;1,", "&amp;CE127,"")&amp;" "</f>
        <v xml:space="preserve">| [St. Peter](/tags/peter), [Papal Basilicas](/tags/papal-basilicas) </v>
      </c>
      <c r="CG127" s="29" t="str">
        <f>"| "&amp;IF(AR127,"["&amp;AI127&amp;"](/places/"&amp;SUBSTITUTE(BY127,".md","")&amp;")",AI127)&amp;" "</f>
        <v xml:space="preserve">| [](/places/va-st-peter) </v>
      </c>
      <c r="CH127" s="29" t="str">
        <f>"| "&amp;IF(AR127,GetTagPage(B127,VLOOKUP(B127,'(Ref) Countries'!A:C,3,)),B127)&amp; " "</f>
        <v xml:space="preserve">| [Vatican City](/tags/vatican
- rome) </v>
      </c>
      <c r="CI127" s="29" t="str">
        <f>"| "&amp;AJ127&amp;" "</f>
        <v xml:space="preserve">|  </v>
      </c>
      <c r="CJ127" s="29" t="str">
        <f>"|"&amp;IF(AR127," [Link](/places/"&amp;SUBSTITUTE(BY127,".md","")&amp;")","")&amp;" "</f>
        <v xml:space="preserve">| [Link](/places/va-st-peter) </v>
      </c>
      <c r="CK127" s="29" t="str">
        <f>"
"&amp;CG127&amp;CH127&amp;CI127&amp;CJ127&amp;BL127&amp;BQ127&amp;BR127&amp;BS127&amp;CF127&amp;"|"</f>
        <v xml:space="preserve">
| [](/places/va-st-peter) | [Vatican City](/tags/vatican
- rome) |  | [Link](/places/va-st-peter) [Official site](https://www.basilicasanpietro.va/en.html)| [St. Peter](/tags/peter), [Papal Basilicas](/tags/papal-basilicas) |</v>
      </c>
    </row>
    <row r="128" spans="1:89" ht="102" x14ac:dyDescent="0.25">
      <c r="A128" s="168" t="s">
        <v>1320</v>
      </c>
      <c r="B128" s="24" t="s">
        <v>740</v>
      </c>
      <c r="D128" s="15">
        <v>16.705491099922099</v>
      </c>
      <c r="E128" s="49">
        <v>107.19601082359701</v>
      </c>
      <c r="F128" s="24" t="s">
        <v>1369</v>
      </c>
      <c r="G128" s="53" t="s">
        <v>1369</v>
      </c>
      <c r="H128" s="24" t="s">
        <v>1715</v>
      </c>
      <c r="I128" s="40" t="b">
        <v>1</v>
      </c>
      <c r="J128" s="24" t="b">
        <v>1</v>
      </c>
      <c r="L128" s="24" t="s">
        <v>1368</v>
      </c>
      <c r="M128" s="55" t="s">
        <v>1737</v>
      </c>
      <c r="N128" s="15" t="s">
        <v>336</v>
      </c>
      <c r="O128" s="15" t="s">
        <v>336</v>
      </c>
      <c r="Y128" s="15" t="s">
        <v>336</v>
      </c>
      <c r="AI128" s="85" t="s">
        <v>1275</v>
      </c>
      <c r="AJ128" s="86">
        <v>1798</v>
      </c>
      <c r="AK128" s="15" t="s">
        <v>284</v>
      </c>
      <c r="AL128" s="15" t="s">
        <v>336</v>
      </c>
      <c r="AM128" s="15" t="s">
        <v>1367</v>
      </c>
      <c r="AN128" s="15" t="s">
        <v>336</v>
      </c>
      <c r="AO128" s="15" t="s">
        <v>1370</v>
      </c>
      <c r="AP128" s="49" t="s">
        <v>336</v>
      </c>
      <c r="AR128" s="154" t="b">
        <f>IF(OR(A128="Done",A128="In Progress"),TRUE)</f>
        <v>1</v>
      </c>
      <c r="AS128" s="155" t="str">
        <f>"title: """&amp;F128&amp;""""</f>
        <v>title: "Basilica of Our Lady of La Vang"</v>
      </c>
      <c r="AT128" s="155" t="str">
        <f>"location: {lat: "&amp;D128&amp;", lng: "&amp;E128&amp;"}"</f>
        <v>location: {lat: 16.7054910999221, lng: 107.196010823597}</v>
      </c>
      <c r="AU128" s="155" t="str">
        <f>"interest: "&amp;H128</f>
        <v>interest: global</v>
      </c>
      <c r="AV128" s="155" t="str">
        <f>"- "&amp;VLOOKUP(B128,'(Ref) Countries'!A:C,3,)</f>
        <v>- vietnam</v>
      </c>
      <c r="AW128" s="155" t="str">
        <f>IF(LEN(C128)&gt;1,"- "&amp;LOWER(SUBSTITUTE(C128," ","-")),"")</f>
        <v/>
      </c>
      <c r="AX128" s="155" t="str">
        <f>IF(I128,"- churches","")</f>
        <v>- churches</v>
      </c>
      <c r="AY128" s="155" t="str">
        <f>IF(J128,"- marian-sites","")</f>
        <v>- marian-sites</v>
      </c>
      <c r="AZ128" s="155" t="str">
        <f>IF(K128,"- holy-persons","")</f>
        <v/>
      </c>
      <c r="BA128" s="155" t="str">
        <f>IF(LEN(Y128)&gt;0,"- "&amp;Y128,"")</f>
        <v/>
      </c>
      <c r="BB128" s="155" t="str">
        <f>IF(LEN(Z128)&gt;0,"- "&amp;Z128,"")</f>
        <v/>
      </c>
      <c r="BC128" s="155" t="str">
        <f>IF(LEN(AA128)&gt;0,"- "&amp;AA128,"")</f>
        <v/>
      </c>
      <c r="BD128" s="155" t="str">
        <f>IF(LEN(AB128)&gt;0,"- "&amp;AB128,"")</f>
        <v/>
      </c>
      <c r="BE128" s="155" t="str">
        <f>IF(LEN(AC128)&gt;0,"- "&amp;AC128,"")</f>
        <v/>
      </c>
      <c r="BF128" s="155" t="str">
        <f>IF(LEN(AD128)&gt;0,"- "&amp;AD128,"")</f>
        <v/>
      </c>
      <c r="BG128" s="155" t="str">
        <f>IF(LEN(AE128)&gt;0,"- "&amp;AE128,"")</f>
        <v/>
      </c>
      <c r="BH128" s="155" t="str">
        <f>IF(LEN(AF128)&gt;0,"- "&amp;AF128,"")</f>
        <v/>
      </c>
      <c r="BI128" s="155" t="str">
        <f>IF(LEN(AG128)&gt;0,"- "&amp;AG128,"")</f>
        <v/>
      </c>
      <c r="BJ128" s="155" t="str">
        <f>IF(LEN(AH128)&gt;0,"- "&amp;AH128,"")</f>
        <v/>
      </c>
      <c r="BK128" s="155" t="str">
        <f>"tags:"&amp;CHAR(10)&amp;concatl(AV128:BJ128)</f>
        <v xml:space="preserve">tags:
- vietnam_x000D_
- churches_x000D_
- marian-sites_x000D_
</v>
      </c>
      <c r="BL128" s="158" t="str">
        <f>IF(LEN(N128)&gt;0,TRIM(CONCATENATE("[Official site](",N128,") ",O128)),"")</f>
        <v/>
      </c>
      <c r="BM128" s="158" t="str">
        <f>IF(LEN(Q128)&gt;0,TRIM(CONCATENATE("["&amp;P128&amp;"](",Q128,") ",R128)),"")</f>
        <v/>
      </c>
      <c r="BN128" s="158" t="str">
        <f>IF(LEN(T128)&gt;0,TRIM(CONCATENATE("["&amp;S128&amp;"](",T128,") ",U128)),"")</f>
        <v/>
      </c>
      <c r="BO128" s="158" t="str">
        <f>IF(LEN(W128)&gt;0,TRIM(CONCATENATE("["&amp;V128&amp;"](",W128,") ",X128)),"")</f>
        <v/>
      </c>
      <c r="BP128" s="158" t="str">
        <f>IF(LEN(BL128)&gt;0,"* "&amp;BL128&amp;CHAR(10),"")&amp;
IF(LEN(BM128)&gt;0,"* "&amp;BM128&amp;CHAR(10),"")&amp;
IF(LEN(BN128)&gt;0,"* "&amp;BN128&amp;CHAR(10),"")&amp;
IF(LEN(BO128)&gt;0,"* "&amp;BO128&amp;CHAR(10),"")</f>
        <v/>
      </c>
      <c r="BQ128" s="158" t="str">
        <f>IF(LEN(AK128)&gt;0,TRIM(CONCATENATE("[Link](",AK128,") ",AL128)),"")</f>
        <v>[Link](http://www.therealpresence.org/eucharst/misc/BVM/21_LAVANG_60x96.pdf)</v>
      </c>
      <c r="BR128" s="158" t="str">
        <f>IF(LEN(AM128)&gt;0,TRIM(CONCATENATE("[Link](",AM128,") ",AN128)),"")</f>
        <v>[Link](http://www.miraclehunter.com/marian_apparitions/approved_apparitions/lavang/index.html)</v>
      </c>
      <c r="BS128" s="158" t="str">
        <f>IF(LEN(AO128)&gt;0,TRIM(CONCATENATE("[Link](",AO128,") ",AP128)),"")</f>
        <v>[Link](https://www.marypages.com/la-vang-vietnam-en.html)</v>
      </c>
      <c r="BT128" s="158" t="str">
        <f>IF(LEN(concat(BQ128:BS128))&gt;0,concat("| ",BQ128," | ",BR128," | ",BS128," |"),"")</f>
        <v>| [Link](http://www.therealpresence.org/eucharst/misc/BVM/21_LAVANG_60x96.pdf) | [Link](http://www.miraclehunter.com/marian_apparitions/approved_apparitions/lavang/index.html) | [Link](https://www.marypages.com/la-vang-vietnam-en.html) |</v>
      </c>
      <c r="BU128" s="155" t="str">
        <f>IF(J128,concatl("| The Real Presence | Miracle Hunter | MaryPages |","| --- | --- | --- |",BT128),"")</f>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128" s="155" t="str">
        <f>IF(LEN(BP128&amp;BU128)&gt;0,concatll("#### More Information",BP128,BU128),"")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128" s="155" t="str">
        <f>IF(LEN(M128)&gt;1,concatll("#### Author's Note",M128),"")</f>
        <v xml:space="preserve">#### Author's Note_x000D_
_x000D_
We can't find an official website or other social media page for the basilica.  If you know of one, please [contact us](/contact).
-JMM_x000D_
_x000D_
</v>
      </c>
      <c r="BX128" s="23" t="str">
        <f>IF(AR128,concatll(concatl("---",AS128:AU128,BK128,"---"),L128,BV128:BW128),"")</f>
        <v xml:space="preserve">---_x000D_
title: "Basilica of Our Lady of La Vang"_x000D_
location: {lat: 16.7054910999221, lng: 107.196010823597}_x000D_
interest: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128" s="23" t="str">
        <f>IF(AR128,VLOOKUP(B128,'(Ref) Countries'!A:B,2,)&amp;IF(LEN(C128)&gt;1,"-"&amp;LOWER(SUBSTITUTE(C128," ","-")),"")&amp;"-"&amp;LOWER(SUBSTITUTE(SUBSTITUTE(G128," ","-"),".",""))&amp;".md","")</f>
        <v>vn-basilica-of-our-lady-of-la-vang.md</v>
      </c>
      <c r="BZ128" s="29" t="str">
        <f>IF(LEN(Y128)&gt;1,VLOOKUP(Y128,'Tag List'!$A:$B,2,),"")</f>
        <v/>
      </c>
      <c r="CA128" s="29" t="str">
        <f>IF(LEN(Z128)&gt;1,VLOOKUP(Z128,'Tag List'!$A:$B,2,),"")</f>
        <v/>
      </c>
      <c r="CB128" s="29" t="str">
        <f>IF(LEN(AA128)&gt;1,VLOOKUP(AA128,'Tag List'!$A:$B,2,),"")</f>
        <v/>
      </c>
      <c r="CC128" s="30" t="str">
        <f>IF(LEN(Y128)&gt;1,GetTagPage(BZ128,Y128),"")</f>
        <v/>
      </c>
      <c r="CD128" s="30" t="str">
        <f>IF(LEN(Z128)&gt;1,GetTagPage(CA128,Z128),"")</f>
        <v/>
      </c>
      <c r="CE128" s="30" t="str">
        <f>IF(LEN(AA128)&gt;1,GetTagPage(CB128,AA128),"")</f>
        <v/>
      </c>
      <c r="CF128" s="30" t="str">
        <f>"|"&amp;IF(LEN(CC128)&gt;1," "&amp;CC128,"")&amp;IF(LEN(CD128)&gt;1,", "&amp;CD128,"")&amp;IF(LEN(CE128)&gt;1,", "&amp;CE128,"")&amp;" "</f>
        <v xml:space="preserve">| </v>
      </c>
      <c r="CG128" s="30" t="str">
        <f>"| "&amp;IF(AR128,"["&amp;AI128&amp;"](/places/"&amp;SUBSTITUTE(BY128,".md","")&amp;")",AI128)&amp;" "</f>
        <v xml:space="preserve">| [La Vang](/places/vn-basilica-of-our-lady-of-la-vang) </v>
      </c>
      <c r="CH128" s="30" t="str">
        <f>"| "&amp;IF(AR128,GetTagPage(B128,VLOOKUP(B128,'(Ref) Countries'!A:C,3,)),B128)&amp; " "</f>
        <v xml:space="preserve">| [Vietnam](/tags/vietnam) </v>
      </c>
      <c r="CI128" s="30" t="str">
        <f>"| "&amp;AJ128&amp;" "</f>
        <v xml:space="preserve">| 1798 </v>
      </c>
      <c r="CJ128" s="30" t="str">
        <f>"|"&amp;IF(AR128," [Link](/places/"&amp;SUBSTITUTE(BY128,".md","")&amp;")","")&amp;" "</f>
        <v xml:space="preserve">| [Link](/places/vn-basilica-of-our-lady-of-la-vang) </v>
      </c>
      <c r="CK128" s="29" t="str">
        <f>"
"&amp;CG128&amp;CH128&amp;CI128&amp;CJ128&amp;BL128&amp;BQ128&amp;BR128&amp;BS128&amp;CF128&amp;"|"</f>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129" spans="1:89" ht="38.25" x14ac:dyDescent="0.25">
      <c r="A129" s="168" t="s">
        <v>1320</v>
      </c>
      <c r="B129" s="129" t="s">
        <v>740</v>
      </c>
      <c r="C129" s="24" t="s">
        <v>2482</v>
      </c>
      <c r="D129" s="15">
        <v>20.4247269</v>
      </c>
      <c r="E129" s="49">
        <v>106.1588304</v>
      </c>
      <c r="F129" s="129" t="s">
        <v>2475</v>
      </c>
      <c r="G129" s="139" t="s">
        <v>2485</v>
      </c>
      <c r="H129" s="140" t="s">
        <v>1825</v>
      </c>
      <c r="I129" s="24" t="b">
        <v>1</v>
      </c>
      <c r="K129" s="24" t="b">
        <v>1</v>
      </c>
      <c r="L129" s="140" t="s">
        <v>2484</v>
      </c>
      <c r="M129" s="139" t="s">
        <v>2483</v>
      </c>
      <c r="O129" s="132"/>
      <c r="P129" s="60" t="s">
        <v>2477</v>
      </c>
      <c r="Q129" s="15" t="s">
        <v>2476</v>
      </c>
      <c r="R129" s="137" t="s">
        <v>336</v>
      </c>
      <c r="Y129" s="130" t="s">
        <v>2478</v>
      </c>
      <c r="Z129" s="130" t="s">
        <v>2479</v>
      </c>
      <c r="AR129" s="154" t="b">
        <f>IF(OR(A129="Done",A129="In Progress"),TRUE)</f>
        <v>1</v>
      </c>
      <c r="AS129" s="155" t="str">
        <f>"title: """&amp;F129&amp;""""</f>
        <v>title: "Basilica of the Immaculate Conception at Ha Nam"</v>
      </c>
      <c r="AT129" s="155" t="str">
        <f>"location: {lat: "&amp;D129&amp;", lng: "&amp;E129&amp;"}"</f>
        <v>location: {lat: 20.4247269, lng: 106.1588304}</v>
      </c>
      <c r="AU129" s="155" t="str">
        <f>"interest: "&amp;H129</f>
        <v>interest: local</v>
      </c>
      <c r="AV129" s="155" t="str">
        <f>"- "&amp;VLOOKUP(B129,'(Ref) Countries'!A:C,3,)</f>
        <v>- vietnam</v>
      </c>
      <c r="AW129" s="155" t="str">
        <f>IF(LEN(C129)&gt;1,"- "&amp;LOWER(SUBSTITUTE(C129," ","-")),"")</f>
        <v>- ha-nam</v>
      </c>
      <c r="AX129" s="155" t="str">
        <f>IF(I129,"- churches","")</f>
        <v>- churches</v>
      </c>
      <c r="AY129" s="155" t="str">
        <f>IF(J129,"- marian-sites","")</f>
        <v/>
      </c>
      <c r="AZ129" s="155" t="str">
        <f>IF(K129,"- holy-persons","")</f>
        <v>- holy-persons</v>
      </c>
      <c r="BA129" s="155" t="str">
        <f>IF(LEN(Y129)&gt;0,"- "&amp;Y129,"")</f>
        <v>- vietnamese-martyrs</v>
      </c>
      <c r="BB129" s="155" t="str">
        <f>IF(LEN(Z129)&gt;0,"- "&amp;Z129,"")</f>
        <v>- andrew-dung-lac</v>
      </c>
      <c r="BC129" s="155" t="str">
        <f>IF(LEN(AA129)&gt;0,"- "&amp;AA129,"")</f>
        <v/>
      </c>
      <c r="BD129" s="155" t="str">
        <f>IF(LEN(AB129)&gt;0,"- "&amp;AB129,"")</f>
        <v/>
      </c>
      <c r="BE129" s="155" t="str">
        <f>IF(LEN(AC129)&gt;0,"- "&amp;AC129,"")</f>
        <v/>
      </c>
      <c r="BF129" s="155" t="str">
        <f>IF(LEN(AD129)&gt;0,"- "&amp;AD129,"")</f>
        <v/>
      </c>
      <c r="BG129" s="155" t="str">
        <f>IF(LEN(AE129)&gt;0,"- "&amp;AE129,"")</f>
        <v/>
      </c>
      <c r="BH129" s="155" t="str">
        <f>IF(LEN(AF129)&gt;0,"- "&amp;AF129,"")</f>
        <v/>
      </c>
      <c r="BI129" s="155" t="str">
        <f>IF(LEN(AG129)&gt;0,"- "&amp;AG129,"")</f>
        <v/>
      </c>
      <c r="BJ129" s="155" t="str">
        <f>IF(LEN(AH129)&gt;0,"- "&amp;AH129,"")</f>
        <v/>
      </c>
      <c r="BK129" s="155" t="str">
        <f>"tags:"&amp;CHAR(10)&amp;concatl(AV129:BJ129)</f>
        <v xml:space="preserve">tags:
- vietnam_x000D_
- ha-nam_x000D_
- churches_x000D_
- holy-persons_x000D_
- vietnamese-martyrs_x000D_
- andrew-dung-lac_x000D_
</v>
      </c>
      <c r="BL129" s="155" t="str">
        <f>IF(LEN(N129)&gt;0,TRIM(CONCATENATE("[Official site](",N129,") ",O129)),"")</f>
        <v/>
      </c>
      <c r="BM129" s="155" t="str">
        <f>IF(LEN(Q129)&gt;0,TRIM(CONCATENATE("["&amp;P129&amp;"](",Q129,") ",R129)),"")</f>
        <v>[Saint Andrew Dung and Companions](https://mycatholic.life/saints/saints-of-the-liturgical-year/november-24-saint-andrew-dung-lac-and-his-companions-martyrs-memorial/)</v>
      </c>
      <c r="BN129" s="155" t="str">
        <f>IF(LEN(T129)&gt;0,TRIM(CONCATENATE("["&amp;S129&amp;"](",T129,") ",U129)),"")</f>
        <v/>
      </c>
      <c r="BO129" s="155" t="str">
        <f>IF(LEN(W129)&gt;0,TRIM(CONCATENATE("["&amp;V129&amp;"](",W129,") ",X129)),"")</f>
        <v/>
      </c>
      <c r="BP129" s="155" t="str">
        <f>IF(LEN(BL129)&gt;0,"* "&amp;BL129&amp;CHAR(10),"")&amp;
IF(LEN(BM129)&gt;0,"* "&amp;BM129&amp;CHAR(10),"")&amp;
IF(LEN(BN129)&gt;0,"* "&amp;BN129&amp;CHAR(10),"")&amp;
IF(LEN(BO129)&gt;0,"* "&amp;BO129&amp;CHAR(10),"")</f>
        <v xml:space="preserve">* [Saint Andrew Dung and Companions](https://mycatholic.life/saints/saints-of-the-liturgical-year/november-24-saint-andrew-dung-lac-and-his-companions-martyrs-memorial/)
</v>
      </c>
      <c r="BQ129" s="155" t="str">
        <f>IF(LEN(AK129)&gt;0,TRIM(CONCATENATE("[Link](",AK129,") ",AL129)),"")</f>
        <v/>
      </c>
      <c r="BR129" s="155" t="str">
        <f>IF(LEN(AM129)&gt;0,TRIM(CONCATENATE("[Link](",AM129,") ",AN129)),"")</f>
        <v/>
      </c>
      <c r="BS129" s="155" t="str">
        <f>IF(LEN(AO129)&gt;0,TRIM(CONCATENATE("[Link](",AO129,") ",AP129)),"")</f>
        <v/>
      </c>
      <c r="BT129" s="155" t="str">
        <f>IF(LEN(concat(BQ129:BS129))&gt;0,concat("| ",BQ129," | ",BR129," | ",BS129," |"),"")</f>
        <v/>
      </c>
      <c r="BU129" s="155" t="str">
        <f>IF(J129,concatl("| The Real Presence | Miracle Hunter | MaryPages |","| --- | --- | --- |",BT129),"")</f>
        <v/>
      </c>
      <c r="BV129" s="155" t="str">
        <f>IF(LEN(BP129&amp;BU129)&gt;0,concatll("#### More Information",BP129,BU129),"")</f>
        <v xml:space="preserve">#### More Information_x000D_
_x000D_
* [Saint Andrew Dung and Companions](https://mycatholic.life/saints/saints-of-the-liturgical-year/november-24-saint-andrew-dung-lac-and-his-companions-martyrs-memorial/)
_x000D_
_x000D_
</v>
      </c>
      <c r="BW129" s="155" t="str">
        <f>IF(LEN(M129)&gt;1,concatll("#### Author's Note",M129),"")</f>
        <v xml:space="preserve">#### Author's Note_x000D_
_x000D_
_Research in progress_
-NDS_x000D_
_x000D_
</v>
      </c>
      <c r="BX129" s="23" t="str">
        <f>IF(AR129,concatll(concatl("---",AS129:AU129,BK129,"---"),L129,BV129:BW129),"")</f>
        <v xml:space="preserve">---_x000D_
title: "Basilica of the Immaculate Conception at Ha Nam"_x000D_
location: {lat: 20.4247269, lng: 106.1588304}_x000D_
interest: local_x000D_
tags:
- vietnam_x000D_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
-NDS_x000D_
_x000D_
_x000D_
_x000D_
</v>
      </c>
      <c r="BY129" s="23" t="str">
        <f>IF(AR129,VLOOKUP(B129,'(Ref) Countries'!A:B,2,)&amp;IF(LEN(C129)&gt;1,"-"&amp;LOWER(SUBSTITUTE(C129," ","-")),"")&amp;"-"&amp;LOWER(SUBSTITUTE(SUBSTITUTE(G129," ","-"),".",""))&amp;".md","")</f>
        <v>vn-ha-nam-basilica-of-the-immaculate-conception.md</v>
      </c>
      <c r="BZ129" s="29" t="str">
        <f>IF(LEN(Y129)&gt;1,VLOOKUP(Y129,'Tag List'!$A:$B,2,),"")</f>
        <v>Vietnamese Martyrs</v>
      </c>
      <c r="CA129" s="29" t="str">
        <f>IF(LEN(Z129)&gt;1,VLOOKUP(Z129,'Tag List'!$A:$B,2,),"")</f>
        <v>St. Andrew Dung-Lac and Companions</v>
      </c>
      <c r="CB129" s="29" t="str">
        <f>IF(LEN(AA129)&gt;1,VLOOKUP(AA129,'Tag List'!$A:$B,2,),"")</f>
        <v/>
      </c>
      <c r="CC129" s="29" t="str">
        <f>IF(LEN(Y129)&gt;1,GetTagPage(BZ129,Y129),"")</f>
        <v>[Vietnamese Martyrs](/tags/vietnamese-martyrs)</v>
      </c>
      <c r="CD129" s="29" t="str">
        <f>IF(LEN(Z129)&gt;1,GetTagPage(CA129,Z129),"")</f>
        <v>[St. Andrew Dung-Lac and Companions](/tags/andrew-dung-lac)</v>
      </c>
      <c r="CE129" s="29" t="str">
        <f>IF(LEN(AA129)&gt;1,GetTagPage(CB129,AA129),"")</f>
        <v/>
      </c>
      <c r="CF129" s="29" t="str">
        <f>"|"&amp;IF(LEN(CC129)&gt;1," "&amp;CC129,"")&amp;IF(LEN(CD129)&gt;1,", "&amp;CD129,"")&amp;IF(LEN(CE129)&gt;1,", "&amp;CE129,"")&amp;" "</f>
        <v xml:space="preserve">| [Vietnamese Martyrs](/tags/vietnamese-martyrs), [St. Andrew Dung-Lac and Companions](/tags/andrew-dung-lac) </v>
      </c>
      <c r="CG129" s="29" t="str">
        <f>"| "&amp;IF(AR129,"["&amp;AI129&amp;"](/places/"&amp;SUBSTITUTE(BY129,".md","")&amp;")",AI129)&amp;" "</f>
        <v xml:space="preserve">| [](/places/vn-ha-nam-basilica-of-the-immaculate-conception) </v>
      </c>
      <c r="CH129" s="29" t="str">
        <f>"| "&amp;IF(AR129,GetTagPage(B129,VLOOKUP(B129,'(Ref) Countries'!A:C,3,)),B129)&amp; " "</f>
        <v xml:space="preserve">| [Vietnam](/tags/vietnam) </v>
      </c>
      <c r="CI129" s="29" t="str">
        <f>"| "&amp;AJ129&amp;" "</f>
        <v xml:space="preserve">|  </v>
      </c>
      <c r="CJ129" s="29" t="str">
        <f>"|"&amp;IF(AR129," [Link](/places/"&amp;SUBSTITUTE(BY129,".md","")&amp;")","")&amp;" "</f>
        <v xml:space="preserve">| [Link](/places/vn-ha-nam-basilica-of-the-immaculate-conception) </v>
      </c>
      <c r="CK129" s="29" t="str">
        <f>"
"&amp;CG129&amp;CH129&amp;CI129&amp;CJ129&amp;BL129&amp;BQ129&amp;BR129&amp;BS129&amp;CF129&amp;"|"</f>
        <v xml:space="preserve">
| [](/places/vn-ha-nam-basilica-of-the-immaculate-conception) | [Vietnam](/tags/vietnam) |  | [Link](/places/vn-ha-nam-basilica-of-the-immaculate-conception) | [Vietnamese Martyrs](/tags/vietnamese-martyrs), [St. Andrew Dung-Lac and Companions](/tags/andrew-dung-lac) |</v>
      </c>
    </row>
    <row r="130" spans="1:89" x14ac:dyDescent="0.25">
      <c r="A130" s="168" t="s">
        <v>1049</v>
      </c>
      <c r="B130" s="24" t="s">
        <v>536</v>
      </c>
      <c r="D130" s="15">
        <v>20.050796521215599</v>
      </c>
      <c r="E130" s="49">
        <v>-75.948970548482805</v>
      </c>
      <c r="F130" s="24" t="s">
        <v>1316</v>
      </c>
      <c r="G130" s="53" t="s">
        <v>1317</v>
      </c>
      <c r="H130" s="24" t="s">
        <v>1715</v>
      </c>
      <c r="I130" s="40" t="b">
        <v>1</v>
      </c>
      <c r="J130" s="24" t="b">
        <v>1</v>
      </c>
      <c r="L130" s="24" t="s">
        <v>1333</v>
      </c>
      <c r="N130" s="15" t="s">
        <v>336</v>
      </c>
      <c r="O130" s="15" t="s">
        <v>336</v>
      </c>
      <c r="Y130" s="15" t="s">
        <v>336</v>
      </c>
      <c r="AI130" s="85" t="s">
        <v>1314</v>
      </c>
      <c r="AJ130" s="86">
        <v>1612</v>
      </c>
      <c r="AK130" s="15" t="s">
        <v>263</v>
      </c>
      <c r="AL130" s="15" t="s">
        <v>336</v>
      </c>
      <c r="AM130" s="15" t="s">
        <v>336</v>
      </c>
      <c r="AN130" s="15" t="s">
        <v>336</v>
      </c>
      <c r="AO130" s="15" t="s">
        <v>336</v>
      </c>
      <c r="AP130" s="49" t="s">
        <v>336</v>
      </c>
      <c r="AR130" s="154" t="b">
        <f>IF(OR(A130="Done",A130="In Progress"),TRUE)</f>
        <v>1</v>
      </c>
      <c r="AS130" s="155" t="str">
        <f>"title: """&amp;F130&amp;""""</f>
        <v>title: "Basilica of Our Lady of Charity of El Cobre"</v>
      </c>
      <c r="AT130" s="155" t="str">
        <f>"location: {lat: "&amp;D130&amp;", lng: "&amp;E130&amp;"}"</f>
        <v>location: {lat: 20.0507965212156, lng: -75.9489705484828}</v>
      </c>
      <c r="AU130" s="155" t="str">
        <f>"interest: "&amp;H130</f>
        <v>interest: global</v>
      </c>
      <c r="AV130" s="155" t="str">
        <f>"- "&amp;VLOOKUP(B130,'(Ref) Countries'!A:C,3,)</f>
        <v>- cuba</v>
      </c>
      <c r="AW130" s="155" t="str">
        <f>IF(LEN(C130)&gt;1,"- "&amp;LOWER(SUBSTITUTE(C130," ","-")),"")</f>
        <v/>
      </c>
      <c r="AX130" s="155" t="str">
        <f>IF(I130,"- churches","")</f>
        <v>- churches</v>
      </c>
      <c r="AY130" s="155" t="str">
        <f>IF(J130,"- marian-sites","")</f>
        <v>- marian-sites</v>
      </c>
      <c r="AZ130" s="155" t="str">
        <f>IF(K130,"- holy-persons","")</f>
        <v/>
      </c>
      <c r="BA130" s="155" t="str">
        <f>IF(LEN(Y130)&gt;0,"- "&amp;Y130,"")</f>
        <v/>
      </c>
      <c r="BB130" s="155" t="str">
        <f>IF(LEN(Z130)&gt;0,"- "&amp;Z130,"")</f>
        <v/>
      </c>
      <c r="BC130" s="155" t="str">
        <f>IF(LEN(AA130)&gt;0,"- "&amp;AA130,"")</f>
        <v/>
      </c>
      <c r="BD130" s="155" t="str">
        <f>IF(LEN(AB130)&gt;0,"- "&amp;AB130,"")</f>
        <v/>
      </c>
      <c r="BE130" s="155" t="str">
        <f>IF(LEN(AC130)&gt;0,"- "&amp;AC130,"")</f>
        <v/>
      </c>
      <c r="BF130" s="155" t="str">
        <f>IF(LEN(AD130)&gt;0,"- "&amp;AD130,"")</f>
        <v/>
      </c>
      <c r="BG130" s="155" t="str">
        <f>IF(LEN(AE130)&gt;0,"- "&amp;AE130,"")</f>
        <v/>
      </c>
      <c r="BH130" s="155" t="str">
        <f>IF(LEN(AF130)&gt;0,"- "&amp;AF130,"")</f>
        <v/>
      </c>
      <c r="BI130" s="155" t="str">
        <f>IF(LEN(AG130)&gt;0,"- "&amp;AG130,"")</f>
        <v/>
      </c>
      <c r="BJ130" s="155" t="str">
        <f>IF(LEN(AH130)&gt;0,"- "&amp;AH130,"")</f>
        <v/>
      </c>
      <c r="BK130" s="155" t="str">
        <f>"tags:"&amp;CHAR(10)&amp;concatl(AV130:BJ130)</f>
        <v xml:space="preserve">tags:
- cuba_x000D_
- churches_x000D_
- marian-sites_x000D_
</v>
      </c>
      <c r="BL130" s="158" t="str">
        <f>IF(LEN(N130)&gt;0,TRIM(CONCATENATE("[Official site](",N130,") ",O130)),"")</f>
        <v/>
      </c>
      <c r="BM130" s="158" t="str">
        <f>IF(LEN(Q130)&gt;0,TRIM(CONCATENATE("["&amp;P130&amp;"](",Q130,") ",R130)),"")</f>
        <v/>
      </c>
      <c r="BN130" s="158" t="str">
        <f>IF(LEN(T130)&gt;0,TRIM(CONCATENATE("["&amp;S130&amp;"](",T130,") ",U130)),"")</f>
        <v/>
      </c>
      <c r="BO130" s="158" t="str">
        <f>IF(LEN(W130)&gt;0,TRIM(CONCATENATE("["&amp;V130&amp;"](",W130,") ",X130)),"")</f>
        <v/>
      </c>
      <c r="BP130" s="158" t="str">
        <f>IF(LEN(BL130)&gt;0,"* "&amp;BL130&amp;CHAR(10),"")&amp;
IF(LEN(BM130)&gt;0,"* "&amp;BM130&amp;CHAR(10),"")&amp;
IF(LEN(BN130)&gt;0,"* "&amp;BN130&amp;CHAR(10),"")&amp;
IF(LEN(BO130)&gt;0,"* "&amp;BO130&amp;CHAR(10),"")</f>
        <v/>
      </c>
      <c r="BQ130" s="158" t="str">
        <f>IF(LEN(AK130)&gt;0,TRIM(CONCATENATE("[Link](",AK130,") ",AL130)),"")</f>
        <v>[Link](http://www.therealpresence.org/eucharst/misc/BVM/102_CUBA_96x96.pdf)</v>
      </c>
      <c r="BR130" s="158" t="str">
        <f>IF(LEN(AM130)&gt;0,TRIM(CONCATENATE("[Link](",AM130,") ",AN130)),"")</f>
        <v/>
      </c>
      <c r="BS130" s="158" t="str">
        <f>IF(LEN(AO130)&gt;0,TRIM(CONCATENATE("[Link](",AO130,") ",AP130)),"")</f>
        <v/>
      </c>
      <c r="BT130" s="158" t="str">
        <f>IF(LEN(concat(BQ130:BS130))&gt;0,concat("| ",BQ130," | ",BR130," | ",BS130," |"),"")</f>
        <v>| [Link](http://www.therealpresence.org/eucharst/misc/BVM/102_CUBA_96x96.pdf) |  |  |</v>
      </c>
      <c r="BU130" s="155" t="str">
        <f>IF(J130,concatl("| The Real Presence | Miracle Hunter | MaryPages |","| --- | --- | --- |",BT130),"")</f>
        <v xml:space="preserve">| The Real Presence | Miracle Hunter | MaryPages |_x000D_
| --- | --- | --- |_x000D_
| [Link](http://www.therealpresence.org/eucharst/misc/BVM/102_CUBA_96x96.pdf) |  |  |_x000D_
</v>
      </c>
      <c r="BV130" s="155" t="str">
        <f>IF(LEN(BP130&amp;BU130)&gt;0,concatll("#### More Information",BP130,BU130),"")</f>
        <v xml:space="preserve">#### More Information_x000D_
_x000D_
| The Real Presence | Miracle Hunter | MaryPages |_x000D_
| --- | --- | --- |_x000D_
| [Link](http://www.therealpresence.org/eucharst/misc/BVM/102_CUBA_96x96.pdf) |  |  |_x000D_
_x000D_
_x000D_
</v>
      </c>
      <c r="BW130" s="155" t="str">
        <f>IF(LEN(M130)&gt;1,concatll("#### Author's Note",M130),"")</f>
        <v/>
      </c>
      <c r="BX130" s="23" t="str">
        <f>IF(AR130,concatll(concatl("---",AS130:AU130,BK130,"---"),L130,BV130:BW130),"")</f>
        <v xml:space="preserve">---_x000D_
title: "Basilica of Our Lady of Charity of El Cobre"_x000D_
location: {lat: 20.0507965212156, lng: -75.9489705484828}_x000D_
interest: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130" s="23" t="str">
        <f>IF(AR130,VLOOKUP(B130,'(Ref) Countries'!A:B,2,)&amp;IF(LEN(C130)&gt;1,"-"&amp;LOWER(SUBSTITUTE(C130," ","-")),"")&amp;"-"&amp;LOWER(SUBSTITUTE(SUBSTITUTE(G130," ","-"),".",""))&amp;".md","")</f>
        <v>cu-basilica-of-el-cobre.md</v>
      </c>
      <c r="BZ130" s="29" t="str">
        <f>IF(LEN(Y130)&gt;1,VLOOKUP(Y130,'Tag List'!$A:$B,2,),"")</f>
        <v/>
      </c>
      <c r="CA130" s="29" t="str">
        <f>IF(LEN(Z130)&gt;1,VLOOKUP(Z130,'Tag List'!$A:$B,2,),"")</f>
        <v/>
      </c>
      <c r="CB130" s="29" t="str">
        <f>IF(LEN(AA130)&gt;1,VLOOKUP(AA130,'Tag List'!$A:$B,2,),"")</f>
        <v/>
      </c>
      <c r="CC130" s="30" t="str">
        <f>IF(LEN(Y130)&gt;1,GetTagPage(BZ130,Y130),"")</f>
        <v/>
      </c>
      <c r="CD130" s="30" t="str">
        <f>IF(LEN(Z130)&gt;1,GetTagPage(CA130,Z130),"")</f>
        <v/>
      </c>
      <c r="CE130" s="30" t="str">
        <f>IF(LEN(AA130)&gt;1,GetTagPage(CB130,AA130),"")</f>
        <v/>
      </c>
      <c r="CF130" s="30" t="str">
        <f>"|"&amp;IF(LEN(CC130)&gt;1," "&amp;CC130,"")&amp;IF(LEN(CD130)&gt;1,", "&amp;CD130,"")&amp;IF(LEN(CE130)&gt;1,", "&amp;CE130,"")&amp;" "</f>
        <v xml:space="preserve">| </v>
      </c>
      <c r="CG130" s="30" t="str">
        <f>"| "&amp;IF(AR130,"["&amp;AI130&amp;"](/places/"&amp;SUBSTITUTE(BY130,".md","")&amp;")",AI130)&amp;" "</f>
        <v xml:space="preserve">| [El Cobre](/places/cu-basilica-of-el-cobre) </v>
      </c>
      <c r="CH130" s="30" t="str">
        <f>"| "&amp;IF(AR130,GetTagPage(B130,VLOOKUP(B130,'(Ref) Countries'!A:C,3,)),B130)&amp; " "</f>
        <v xml:space="preserve">| [Cuba](/tags/cuba) </v>
      </c>
      <c r="CI130" s="30" t="str">
        <f>"| "&amp;AJ130&amp;" "</f>
        <v xml:space="preserve">| 1612 </v>
      </c>
      <c r="CJ130" s="30" t="str">
        <f>"|"&amp;IF(AR130," [Link](/places/"&amp;SUBSTITUTE(BY130,".md","")&amp;")","")&amp;" "</f>
        <v xml:space="preserve">| [Link](/places/cu-basilica-of-el-cobre) </v>
      </c>
      <c r="CK130" s="29" t="str">
        <f>"
"&amp;CG130&amp;CH130&amp;CI130&amp;CJ130&amp;BL130&amp;BQ130&amp;BR130&amp;BS130&amp;CF130&amp;"|"</f>
        <v xml:space="preserve">
| [El Cobre](/places/cu-basilica-of-el-cobre) | [Cuba](/tags/cuba) | 1612 | [Link](/places/cu-basilica-of-el-cobre) [Link](http://www.therealpresence.org/eucharst/misc/BVM/102_CUBA_96x96.pdf)| |</v>
      </c>
    </row>
    <row r="131" spans="1:89" x14ac:dyDescent="0.25">
      <c r="A131" s="168" t="s">
        <v>1049</v>
      </c>
      <c r="B131" s="24" t="s">
        <v>557</v>
      </c>
      <c r="D131" s="15">
        <v>46.982858987663199</v>
      </c>
      <c r="E131" s="49">
        <v>1.4171181142389</v>
      </c>
      <c r="F131" s="27" t="s">
        <v>1699</v>
      </c>
      <c r="G131" s="53" t="s">
        <v>1699</v>
      </c>
      <c r="H131" s="24" t="s">
        <v>1715</v>
      </c>
      <c r="I131" s="40" t="b">
        <v>1</v>
      </c>
      <c r="J131" s="24" t="b">
        <v>1</v>
      </c>
      <c r="L131" s="27" t="s">
        <v>1333</v>
      </c>
      <c r="N131" s="15" t="s">
        <v>1700</v>
      </c>
      <c r="O131" s="15" t="s">
        <v>336</v>
      </c>
      <c r="Y131" s="15" t="s">
        <v>336</v>
      </c>
      <c r="AI131" s="85" t="s">
        <v>1283</v>
      </c>
      <c r="AJ131" s="86">
        <v>1876</v>
      </c>
      <c r="AK131" s="15" t="s">
        <v>299</v>
      </c>
      <c r="AL131" s="15" t="s">
        <v>336</v>
      </c>
      <c r="AM131" s="15" t="s">
        <v>1701</v>
      </c>
      <c r="AN131" s="15" t="s">
        <v>336</v>
      </c>
      <c r="AO131" s="15" t="s">
        <v>1702</v>
      </c>
      <c r="AP131" s="49" t="s">
        <v>336</v>
      </c>
      <c r="AR131" s="154" t="b">
        <f>IF(OR(A131="Done",A131="In Progress"),TRUE)</f>
        <v>1</v>
      </c>
      <c r="AS131" s="155" t="str">
        <f>"title: """&amp;F131&amp;""""</f>
        <v>title: "Sanctuary of Pellevoisin"</v>
      </c>
      <c r="AT131" s="155" t="str">
        <f>"location: {lat: "&amp;D131&amp;", lng: "&amp;E131&amp;"}"</f>
        <v>location: {lat: 46.9828589876632, lng: 1.4171181142389}</v>
      </c>
      <c r="AU131" s="155" t="str">
        <f>"interest: "&amp;H131</f>
        <v>interest: global</v>
      </c>
      <c r="AV131" s="155" t="str">
        <f>"- "&amp;VLOOKUP(B131,'(Ref) Countries'!A:C,3,)</f>
        <v>- france</v>
      </c>
      <c r="AW131" s="155" t="str">
        <f>IF(LEN(C131)&gt;1,"- "&amp;LOWER(SUBSTITUTE(C131," ","-")),"")</f>
        <v/>
      </c>
      <c r="AX131" s="155" t="str">
        <f>IF(I131,"- churches","")</f>
        <v>- churches</v>
      </c>
      <c r="AY131" s="155" t="str">
        <f>IF(J131,"- marian-sites","")</f>
        <v>- marian-sites</v>
      </c>
      <c r="AZ131" s="155" t="str">
        <f>IF(K131,"- holy-persons","")</f>
        <v/>
      </c>
      <c r="BA131" s="155" t="str">
        <f>IF(LEN(Y131)&gt;0,"- "&amp;Y131,"")</f>
        <v/>
      </c>
      <c r="BB131" s="155" t="str">
        <f>IF(LEN(Z131)&gt;0,"- "&amp;Z131,"")</f>
        <v/>
      </c>
      <c r="BC131" s="155" t="str">
        <f>IF(LEN(AA131)&gt;0,"- "&amp;AA131,"")</f>
        <v/>
      </c>
      <c r="BD131" s="155" t="str">
        <f>IF(LEN(AB131)&gt;0,"- "&amp;AB131,"")</f>
        <v/>
      </c>
      <c r="BE131" s="155" t="str">
        <f>IF(LEN(AC131)&gt;0,"- "&amp;AC131,"")</f>
        <v/>
      </c>
      <c r="BF131" s="155" t="str">
        <f>IF(LEN(AD131)&gt;0,"- "&amp;AD131,"")</f>
        <v/>
      </c>
      <c r="BG131" s="155" t="str">
        <f>IF(LEN(AE131)&gt;0,"- "&amp;AE131,"")</f>
        <v/>
      </c>
      <c r="BH131" s="155" t="str">
        <f>IF(LEN(AF131)&gt;0,"- "&amp;AF131,"")</f>
        <v/>
      </c>
      <c r="BI131" s="155" t="str">
        <f>IF(LEN(AG131)&gt;0,"- "&amp;AG131,"")</f>
        <v/>
      </c>
      <c r="BJ131" s="155" t="str">
        <f>IF(LEN(AH131)&gt;0,"- "&amp;AH131,"")</f>
        <v/>
      </c>
      <c r="BK131" s="155" t="str">
        <f>"tags:"&amp;CHAR(10)&amp;concatl(AV131:BJ131)</f>
        <v xml:space="preserve">tags:
- france_x000D_
- churches_x000D_
- marian-sites_x000D_
</v>
      </c>
      <c r="BL131" s="158" t="str">
        <f>IF(LEN(N131)&gt;0,TRIM(CONCATENATE("[Official site](",N131,") ",O131)),"")</f>
        <v>[Official site](https://www.pellevoisin.net/)</v>
      </c>
      <c r="BM131" s="158" t="str">
        <f>IF(LEN(Q131)&gt;0,TRIM(CONCATENATE("["&amp;P131&amp;"](",Q131,") ",R131)),"")</f>
        <v/>
      </c>
      <c r="BN131" s="158" t="str">
        <f>IF(LEN(T131)&gt;0,TRIM(CONCATENATE("["&amp;S131&amp;"](",T131,") ",U131)),"")</f>
        <v/>
      </c>
      <c r="BO131" s="158" t="str">
        <f>IF(LEN(W131)&gt;0,TRIM(CONCATENATE("["&amp;V131&amp;"](",W131,") ",X131)),"")</f>
        <v/>
      </c>
      <c r="BP131" s="158" t="str">
        <f>IF(LEN(BL131)&gt;0,"* "&amp;BL131&amp;CHAR(10),"")&amp;
IF(LEN(BM131)&gt;0,"* "&amp;BM131&amp;CHAR(10),"")&amp;
IF(LEN(BN131)&gt;0,"* "&amp;BN131&amp;CHAR(10),"")&amp;
IF(LEN(BO131)&gt;0,"* "&amp;BO131&amp;CHAR(10),"")</f>
        <v xml:space="preserve">* [Official site](https://www.pellevoisin.net/)
</v>
      </c>
      <c r="BQ131" s="158" t="str">
        <f>IF(LEN(AK131)&gt;0,TRIM(CONCATENATE("[Link](",AK131,") ",AL131)),"")</f>
        <v>[Link](http://www.therealpresence.org/eucharst/misc/BVM/07_PELLEVOISIN_60x96.pdf)</v>
      </c>
      <c r="BR131" s="158" t="str">
        <f>IF(LEN(AM131)&gt;0,TRIM(CONCATENATE("[Link](",AM131,") ",AN131)),"")</f>
        <v>[Link](https://www.miraclehunter.com/marian_apparitions/approved_apparitions/pellevoisin/index.html)</v>
      </c>
      <c r="BS131" s="158" t="str">
        <f>IF(LEN(AO131)&gt;0,TRIM(CONCATENATE("[Link](",AO131,") ",AP131)),"")</f>
        <v>[Link](https://www.marypages.com/pellevoisin-france-en.html)</v>
      </c>
      <c r="BT131" s="158" t="str">
        <f>IF(LEN(concat(BQ131:BS131))&gt;0,concat("| ",BQ131," | ",BR131," | ",BS131," |"),"")</f>
        <v>| [Link](http://www.therealpresence.org/eucharst/misc/BVM/07_PELLEVOISIN_60x96.pdf) | [Link](https://www.miraclehunter.com/marian_apparitions/approved_apparitions/pellevoisin/index.html) | [Link](https://www.marypages.com/pellevoisin-france-en.html) |</v>
      </c>
      <c r="BU131" s="155" t="str">
        <f>IF(J131,concatl("| The Real Presence | Miracle Hunter | MaryPages |","| --- | --- | --- |",BT131),"")</f>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131" s="155" t="str">
        <f>IF(LEN(BP131&amp;BU131)&gt;0,concatll("#### More Information",BP131,BU131),"")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131" s="155" t="str">
        <f>IF(LEN(M131)&gt;1,concatll("#### Author's Note",M131),"")</f>
        <v/>
      </c>
      <c r="BX131" s="23" t="str">
        <f>IF(AR131,concatll(concatl("---",AS131:AU131,BK131,"---"),L131,BV131:BW131),"")</f>
        <v xml:space="preserve">---_x000D_
title: "Sanctuary of Pellevoisin"_x000D_
location: {lat: 46.9828589876632, lng: 1.4171181142389}_x000D_
interest: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131" s="23" t="str">
        <f>IF(AR131,VLOOKUP(B131,'(Ref) Countries'!A:B,2,)&amp;IF(LEN(C131)&gt;1,"-"&amp;LOWER(SUBSTITUTE(C131," ","-")),"")&amp;"-"&amp;LOWER(SUBSTITUTE(SUBSTITUTE(G131," ","-"),".",""))&amp;".md","")</f>
        <v>fr-sanctuary-of-pellevoisin.md</v>
      </c>
      <c r="BZ131" s="29" t="str">
        <f>IF(LEN(Y131)&gt;1,VLOOKUP(Y131,'Tag List'!$A:$B,2,),"")</f>
        <v/>
      </c>
      <c r="CA131" s="29" t="str">
        <f>IF(LEN(Z131)&gt;1,VLOOKUP(Z131,'Tag List'!$A:$B,2,),"")</f>
        <v/>
      </c>
      <c r="CB131" s="29" t="str">
        <f>IF(LEN(AA131)&gt;1,VLOOKUP(AA131,'Tag List'!$A:$B,2,),"")</f>
        <v/>
      </c>
      <c r="CC131" s="30" t="str">
        <f>IF(LEN(Y131)&gt;1,GetTagPage(BZ131,Y131),"")</f>
        <v/>
      </c>
      <c r="CD131" s="30" t="str">
        <f>IF(LEN(Z131)&gt;1,GetTagPage(CA131,Z131),"")</f>
        <v/>
      </c>
      <c r="CE131" s="30" t="str">
        <f>IF(LEN(AA131)&gt;1,GetTagPage(CB131,AA131),"")</f>
        <v/>
      </c>
      <c r="CF131" s="30" t="str">
        <f>"|"&amp;IF(LEN(CC131)&gt;1," "&amp;CC131,"")&amp;IF(LEN(CD131)&gt;1,", "&amp;CD131,"")&amp;IF(LEN(CE131)&gt;1,", "&amp;CE131,"")&amp;" "</f>
        <v xml:space="preserve">| </v>
      </c>
      <c r="CG131" s="30" t="str">
        <f>"| "&amp;IF(AR131,"["&amp;AI131&amp;"](/places/"&amp;SUBSTITUTE(BY131,".md","")&amp;")",AI131)&amp;" "</f>
        <v xml:space="preserve">| [Pellovoisin](/places/fr-sanctuary-of-pellevoisin) </v>
      </c>
      <c r="CH131" s="30" t="str">
        <f>"| "&amp;IF(AR131,GetTagPage(B131,VLOOKUP(B131,'(Ref) Countries'!A:C,3,)),B131)&amp; " "</f>
        <v xml:space="preserve">| [France](/tags/france) </v>
      </c>
      <c r="CI131" s="30" t="str">
        <f>"| "&amp;AJ131&amp;" "</f>
        <v xml:space="preserve">| 1876 </v>
      </c>
      <c r="CJ131" s="30" t="str">
        <f>"|"&amp;IF(AR131," [Link](/places/"&amp;SUBSTITUTE(BY131,".md","")&amp;")","")&amp;" "</f>
        <v xml:space="preserve">| [Link](/places/fr-sanctuary-of-pellevoisin) </v>
      </c>
      <c r="CK131" s="29" t="str">
        <f>"
"&amp;CG131&amp;CH131&amp;CI131&amp;CJ131&amp;BL131&amp;BQ131&amp;BR131&amp;BS131&amp;CF131&amp;"|"</f>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89" ht="51" x14ac:dyDescent="0.25">
      <c r="A132" s="168" t="s">
        <v>1049</v>
      </c>
      <c r="B132" s="45" t="s">
        <v>542</v>
      </c>
      <c r="C132" s="83" t="s">
        <v>1854</v>
      </c>
      <c r="D132" s="15">
        <v>48.369192631907303</v>
      </c>
      <c r="E132" s="49">
        <v>10.8982826487021</v>
      </c>
      <c r="F132" s="45" t="s">
        <v>1724</v>
      </c>
      <c r="G132" s="58" t="s">
        <v>2498</v>
      </c>
      <c r="H132" s="24" t="s">
        <v>1715</v>
      </c>
      <c r="I132" s="40" t="b">
        <v>1</v>
      </c>
      <c r="J132" s="24" t="b">
        <v>1</v>
      </c>
      <c r="L132" s="45" t="s">
        <v>1728</v>
      </c>
      <c r="M132" s="58" t="s">
        <v>1743</v>
      </c>
      <c r="N132" s="15" t="s">
        <v>1727</v>
      </c>
      <c r="O132" s="15" t="s">
        <v>336</v>
      </c>
      <c r="Y132" s="24"/>
      <c r="Z132" s="24"/>
      <c r="AA132" s="24"/>
      <c r="AB132" s="24"/>
      <c r="AC132" s="24"/>
      <c r="AD132" s="24"/>
      <c r="AE132" s="24"/>
      <c r="AF132" s="24"/>
      <c r="AG132" s="24"/>
      <c r="AH132" s="24"/>
      <c r="AI132" s="85" t="s">
        <v>1723</v>
      </c>
      <c r="AJ132" s="88" t="s">
        <v>1409</v>
      </c>
      <c r="AK132" s="15" t="s">
        <v>336</v>
      </c>
      <c r="AL132" s="15" t="s">
        <v>336</v>
      </c>
      <c r="AM132" s="15" t="s">
        <v>1726</v>
      </c>
      <c r="AN132" s="15" t="s">
        <v>336</v>
      </c>
      <c r="AO132" s="15" t="s">
        <v>1725</v>
      </c>
      <c r="AP132" s="49" t="s">
        <v>336</v>
      </c>
      <c r="AR132" s="154" t="b">
        <f>IF(OR(A132="Done",A132="In Progress"),TRUE)</f>
        <v>1</v>
      </c>
      <c r="AS132" s="155" t="str">
        <f>"title: """&amp;F132&amp;""""</f>
        <v>title: "St. Peter am Perlach (Mary Undoer of Knots)"</v>
      </c>
      <c r="AT132" s="155" t="str">
        <f>"location: {lat: "&amp;D132&amp;", lng: "&amp;E132&amp;"}"</f>
        <v>location: {lat: 48.3691926319073, lng: 10.8982826487021}</v>
      </c>
      <c r="AU132" s="155" t="str">
        <f>"interest: "&amp;H132</f>
        <v>interest: global</v>
      </c>
      <c r="AV132" s="155" t="str">
        <f>"- "&amp;VLOOKUP(B132,'(Ref) Countries'!A:C,3,)</f>
        <v>- germany</v>
      </c>
      <c r="AW132" s="155" t="str">
        <f>IF(LEN(C132)&gt;1,"- "&amp;LOWER(SUBSTITUTE(C132," ","-")),"")</f>
        <v>- augsburg</v>
      </c>
      <c r="AX132" s="155" t="str">
        <f>IF(I132,"- churches","")</f>
        <v>- churches</v>
      </c>
      <c r="AY132" s="155" t="str">
        <f>IF(J132,"- marian-sites","")</f>
        <v>- marian-sites</v>
      </c>
      <c r="AZ132" s="155" t="str">
        <f>IF(K132,"- holy-persons","")</f>
        <v/>
      </c>
      <c r="BA132" s="155" t="str">
        <f>IF(LEN(Y132)&gt;0,"- "&amp;Y132,"")</f>
        <v/>
      </c>
      <c r="BB132" s="155" t="str">
        <f>IF(LEN(Z132)&gt;0,"- "&amp;Z132,"")</f>
        <v/>
      </c>
      <c r="BC132" s="155" t="str">
        <f>IF(LEN(AA132)&gt;0,"- "&amp;AA132,"")</f>
        <v/>
      </c>
      <c r="BD132" s="155" t="str">
        <f>IF(LEN(AB132)&gt;0,"- "&amp;AB132,"")</f>
        <v/>
      </c>
      <c r="BE132" s="155" t="str">
        <f>IF(LEN(AC132)&gt;0,"- "&amp;AC132,"")</f>
        <v/>
      </c>
      <c r="BF132" s="155" t="str">
        <f>IF(LEN(AD132)&gt;0,"- "&amp;AD132,"")</f>
        <v/>
      </c>
      <c r="BG132" s="155" t="str">
        <f>IF(LEN(AE132)&gt;0,"- "&amp;AE132,"")</f>
        <v/>
      </c>
      <c r="BH132" s="155" t="str">
        <f>IF(LEN(AF132)&gt;0,"- "&amp;AF132,"")</f>
        <v/>
      </c>
      <c r="BI132" s="155" t="str">
        <f>IF(LEN(AG132)&gt;0,"- "&amp;AG132,"")</f>
        <v/>
      </c>
      <c r="BJ132" s="155" t="str">
        <f>IF(LEN(AH132)&gt;0,"- "&amp;AH132,"")</f>
        <v/>
      </c>
      <c r="BK132" s="155" t="str">
        <f>"tags:"&amp;CHAR(10)&amp;concatl(AV132:BJ132)</f>
        <v xml:space="preserve">tags:
- germany_x000D_
- augsburg_x000D_
- churches_x000D_
- marian-sites_x000D_
</v>
      </c>
      <c r="BL132" s="158" t="str">
        <f>IF(LEN(N132)&gt;0,TRIM(CONCATENATE("[Official site](",N132,") ",O132)),"")</f>
        <v>[Official site](https://sankt-peter-am-perlach.de)</v>
      </c>
      <c r="BM132" s="158" t="str">
        <f>IF(LEN(Q132)&gt;0,TRIM(CONCATENATE("["&amp;P132&amp;"](",Q132,") ",R132)),"")</f>
        <v/>
      </c>
      <c r="BN132" s="158" t="str">
        <f>IF(LEN(T132)&gt;0,TRIM(CONCATENATE("["&amp;S132&amp;"](",T132,") ",U132)),"")</f>
        <v/>
      </c>
      <c r="BO132" s="158" t="str">
        <f>IF(LEN(W132)&gt;0,TRIM(CONCATENATE("["&amp;V132&amp;"](",W132,") ",X132)),"")</f>
        <v/>
      </c>
      <c r="BP132" s="158" t="str">
        <f>IF(LEN(BL132)&gt;0,"* "&amp;BL132&amp;CHAR(10),"")&amp;
IF(LEN(BM132)&gt;0,"* "&amp;BM132&amp;CHAR(10),"")&amp;
IF(LEN(BN132)&gt;0,"* "&amp;BN132&amp;CHAR(10),"")&amp;
IF(LEN(BO132)&gt;0,"* "&amp;BO132&amp;CHAR(10),"")</f>
        <v xml:space="preserve">* [Official site](https://sankt-peter-am-perlach.de)
</v>
      </c>
      <c r="BQ132" s="158" t="str">
        <f>IF(LEN(AK132)&gt;0,TRIM(CONCATENATE("[Link](",AK132,") ",AL132)),"")</f>
        <v/>
      </c>
      <c r="BR132" s="158" t="str">
        <f>IF(LEN(AM132)&gt;0,TRIM(CONCATENATE("[Link](",AM132,") ",AN132)),"")</f>
        <v>[Link](https://www.miraclehunter.com/news/francis/francis-marian-devotion.html)</v>
      </c>
      <c r="BS132" s="158" t="str">
        <f>IF(LEN(AO132)&gt;0,TRIM(CONCATENATE("[Link](",AO132,") ",AP132)),"")</f>
        <v>[Link](https://www.marypages.com/mary-undoer-of-knots.html)</v>
      </c>
      <c r="BT132" s="158" t="str">
        <f>IF(LEN(concat(BQ132:BS132))&gt;0,concat("| ",BQ132," | ",BR132," | ",BS132," |"),"")</f>
        <v>|  | [Link](https://www.miraclehunter.com/news/francis/francis-marian-devotion.html) | [Link](https://www.marypages.com/mary-undoer-of-knots.html) |</v>
      </c>
      <c r="BU132" s="155" t="str">
        <f>IF(J132,concatl("| The Real Presence | Miracle Hunter | MaryPages |","| --- | --- | --- |",BT132),"")</f>
        <v xml:space="preserve">| The Real Presence | Miracle Hunter | MaryPages |_x000D_
| --- | --- | --- |_x000D_
|  | [Link](https://www.miraclehunter.com/news/francis/francis-marian-devotion.html) | [Link](https://www.marypages.com/mary-undoer-of-knots.html) |_x000D_
</v>
      </c>
      <c r="BV132" s="155" t="str">
        <f>IF(LEN(BP132&amp;BU132)&gt;0,concatll("#### More Information",BP132,BU132),"")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132" s="155" t="str">
        <f>IF(LEN(M132)&gt;1,concatll("#### Author's Note",M132),"")</f>
        <v xml:space="preserve">#### Author's Note_x000D_
_x000D_
Pope Francis has a special devotion to this image, explained in the Miracle Hunter link.
-JPY_x000D_
_x000D_
</v>
      </c>
      <c r="BX132" s="23" t="str">
        <f>IF(AR132,concatll(concatl("---",AS132:AU132,BK132,"---"),L132,BV132:BW132),"")</f>
        <v xml:space="preserve">---_x000D_
title: "St. Peter am Perlach (Mary Undoer of Knots)"_x000D_
location: {lat: 48.3691926319073, lng: 10.8982826487021}_x000D_
interest: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132" s="23" t="str">
        <f>IF(AR132,VLOOKUP(B132,'(Ref) Countries'!A:B,2,)&amp;IF(LEN(C132)&gt;1,"-"&amp;LOWER(SUBSTITUTE(C132," ","-")),"")&amp;"-"&amp;LOWER(SUBSTITUTE(SUBSTITUTE(G132," ","-"),".",""))&amp;".md","")</f>
        <v>de-augsburg-st-peter-am-perlach.md</v>
      </c>
      <c r="BZ132" s="28" t="str">
        <f>IF(LEN(Y132)&gt;1,VLOOKUP(Y132,'Tag List'!$A:$B,2,),"")</f>
        <v/>
      </c>
      <c r="CA132" s="28" t="str">
        <f>IF(LEN(Z132)&gt;1,VLOOKUP(Z132,'Tag List'!$A:$B,2,),"")</f>
        <v/>
      </c>
      <c r="CB132" s="28" t="str">
        <f>IF(LEN(AA132)&gt;1,VLOOKUP(AA132,'Tag List'!$A:$B,2,),"")</f>
        <v/>
      </c>
      <c r="CC132" s="30" t="str">
        <f>IF(LEN(Y132)&gt;1,GetTagPage(BZ132,Y132),"")</f>
        <v/>
      </c>
      <c r="CD132" s="30" t="str">
        <f>IF(LEN(Z132)&gt;1,GetTagPage(CA132,Z132),"")</f>
        <v/>
      </c>
      <c r="CE132" s="30" t="str">
        <f>IF(LEN(AA132)&gt;1,GetTagPage(CB132,AA132),"")</f>
        <v/>
      </c>
      <c r="CF132" s="30" t="str">
        <f>"|"&amp;IF(LEN(CC132)&gt;1," "&amp;CC132,"")&amp;IF(LEN(CD132)&gt;1,", "&amp;CD132,"")&amp;IF(LEN(CE132)&gt;1,", "&amp;CE132,"")&amp;" "</f>
        <v xml:space="preserve">| </v>
      </c>
      <c r="CG132" s="30" t="str">
        <f>"| "&amp;IF(AR132,"["&amp;AI132&amp;"](/places/"&amp;SUBSTITUTE(BY132,".md","")&amp;")",AI132)&amp;" "</f>
        <v xml:space="preserve">| [Augsberg](/places/de-augsburg-st-peter-am-perlach) </v>
      </c>
      <c r="CH132" s="30" t="str">
        <f>"| "&amp;IF(AR132,GetTagPage(B132,VLOOKUP(B132,'(Ref) Countries'!A:C,3,)),B132)&amp; " "</f>
        <v xml:space="preserve">| [Germany](/tags/germany) </v>
      </c>
      <c r="CI132" s="30" t="str">
        <f>"| "&amp;AJ132&amp;" "</f>
        <v xml:space="preserve">| c. 1700 </v>
      </c>
      <c r="CJ132" s="30" t="str">
        <f>"|"&amp;IF(AR132," [Link](/places/"&amp;SUBSTITUTE(BY132,".md","")&amp;")","")&amp;" "</f>
        <v xml:space="preserve">| [Link](/places/de-augsburg-st-peter-am-perlach) </v>
      </c>
      <c r="CK132" s="29" t="str">
        <f>"
"&amp;CG132&amp;CH132&amp;CI132&amp;CJ132&amp;BL132&amp;BQ132&amp;BR132&amp;BS132&amp;CF132&amp;"|"</f>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133" spans="1:89" ht="25.5" x14ac:dyDescent="0.25">
      <c r="A133" s="168" t="s">
        <v>1049</v>
      </c>
      <c r="B133" s="24" t="s">
        <v>2</v>
      </c>
      <c r="D133" s="15">
        <v>8.352427276057</v>
      </c>
      <c r="E133" s="49">
        <v>77.663576934286198</v>
      </c>
      <c r="F133" s="40" t="s">
        <v>1718</v>
      </c>
      <c r="G133" s="54" t="s">
        <v>1716</v>
      </c>
      <c r="H133" s="24" t="s">
        <v>1715</v>
      </c>
      <c r="I133" s="40" t="b">
        <v>1</v>
      </c>
      <c r="J133" s="24" t="b">
        <v>1</v>
      </c>
      <c r="L133" s="40" t="s">
        <v>1333</v>
      </c>
      <c r="N133" s="15" t="s">
        <v>1717</v>
      </c>
      <c r="O133" s="15" t="s">
        <v>336</v>
      </c>
      <c r="Y133" s="15" t="s">
        <v>336</v>
      </c>
      <c r="AI133" s="85" t="s">
        <v>1295</v>
      </c>
      <c r="AJ133" s="86">
        <v>1939</v>
      </c>
      <c r="AK133" s="15" t="s">
        <v>316</v>
      </c>
      <c r="AL133" s="15" t="s">
        <v>336</v>
      </c>
      <c r="AM133" s="15" t="s">
        <v>336</v>
      </c>
      <c r="AN133" s="15" t="s">
        <v>336</v>
      </c>
      <c r="AO133" s="15" t="s">
        <v>336</v>
      </c>
      <c r="AP133" s="49" t="s">
        <v>336</v>
      </c>
      <c r="AR133" s="154" t="b">
        <f>IF(OR(A133="Done",A133="In Progress"),TRUE)</f>
        <v>1</v>
      </c>
      <c r="AS133" s="155" t="str">
        <f>"title: """&amp;F133&amp;""""</f>
        <v>title: "Athisaya Panimatha (Our Lady of Snows) Shrine, Kallikulam"</v>
      </c>
      <c r="AT133" s="155" t="str">
        <f>"location: {lat: "&amp;D133&amp;", lng: "&amp;E133&amp;"}"</f>
        <v>location: {lat: 8.352427276057, lng: 77.6635769342862}</v>
      </c>
      <c r="AU133" s="155" t="str">
        <f>"interest: "&amp;H133</f>
        <v>interest: global</v>
      </c>
      <c r="AV133" s="155" t="str">
        <f>"- "&amp;VLOOKUP(B133,'(Ref) Countries'!A:C,3,)</f>
        <v>- india</v>
      </c>
      <c r="AW133" s="155" t="str">
        <f>IF(LEN(C133)&gt;1,"- "&amp;LOWER(SUBSTITUTE(C133," ","-")),"")</f>
        <v/>
      </c>
      <c r="AX133" s="155" t="str">
        <f>IF(I133,"- churches","")</f>
        <v>- churches</v>
      </c>
      <c r="AY133" s="155" t="str">
        <f>IF(J133,"- marian-sites","")</f>
        <v>- marian-sites</v>
      </c>
      <c r="AZ133" s="155" t="str">
        <f>IF(K133,"- holy-persons","")</f>
        <v/>
      </c>
      <c r="BA133" s="155" t="str">
        <f>IF(LEN(Y133)&gt;0,"- "&amp;Y133,"")</f>
        <v/>
      </c>
      <c r="BB133" s="155" t="str">
        <f>IF(LEN(Z133)&gt;0,"- "&amp;Z133,"")</f>
        <v/>
      </c>
      <c r="BC133" s="155" t="str">
        <f>IF(LEN(AA133)&gt;0,"- "&amp;AA133,"")</f>
        <v/>
      </c>
      <c r="BD133" s="155" t="str">
        <f>IF(LEN(AB133)&gt;0,"- "&amp;AB133,"")</f>
        <v/>
      </c>
      <c r="BE133" s="155" t="str">
        <f>IF(LEN(AC133)&gt;0,"- "&amp;AC133,"")</f>
        <v/>
      </c>
      <c r="BF133" s="155" t="str">
        <f>IF(LEN(AD133)&gt;0,"- "&amp;AD133,"")</f>
        <v/>
      </c>
      <c r="BG133" s="155" t="str">
        <f>IF(LEN(AE133)&gt;0,"- "&amp;AE133,"")</f>
        <v/>
      </c>
      <c r="BH133" s="155" t="str">
        <f>IF(LEN(AF133)&gt;0,"- "&amp;AF133,"")</f>
        <v/>
      </c>
      <c r="BI133" s="155" t="str">
        <f>IF(LEN(AG133)&gt;0,"- "&amp;AG133,"")</f>
        <v/>
      </c>
      <c r="BJ133" s="155" t="str">
        <f>IF(LEN(AH133)&gt;0,"- "&amp;AH133,"")</f>
        <v/>
      </c>
      <c r="BK133" s="155" t="str">
        <f>"tags:"&amp;CHAR(10)&amp;concatl(AV133:BJ133)</f>
        <v xml:space="preserve">tags:
- india_x000D_
- churches_x000D_
- marian-sites_x000D_
</v>
      </c>
      <c r="BL133" s="158" t="str">
        <f>IF(LEN(N133)&gt;0,TRIM(CONCATENATE("[Official site](",N133,") ",O133)),"")</f>
        <v>[Official site](https://www.athisayapanimatha.com/)</v>
      </c>
      <c r="BM133" s="158" t="str">
        <f>IF(LEN(Q133)&gt;0,TRIM(CONCATENATE("["&amp;P133&amp;"](",Q133,") ",R133)),"")</f>
        <v/>
      </c>
      <c r="BN133" s="158" t="str">
        <f>IF(LEN(T133)&gt;0,TRIM(CONCATENATE("["&amp;S133&amp;"](",T133,") ",U133)),"")</f>
        <v/>
      </c>
      <c r="BO133" s="158" t="str">
        <f>IF(LEN(W133)&gt;0,TRIM(CONCATENATE("["&amp;V133&amp;"](",W133,") ",X133)),"")</f>
        <v/>
      </c>
      <c r="BP133" s="158" t="str">
        <f>IF(LEN(BL133)&gt;0,"* "&amp;BL133&amp;CHAR(10),"")&amp;
IF(LEN(BM133)&gt;0,"* "&amp;BM133&amp;CHAR(10),"")&amp;
IF(LEN(BN133)&gt;0,"* "&amp;BN133&amp;CHAR(10),"")&amp;
IF(LEN(BO133)&gt;0,"* "&amp;BO133&amp;CHAR(10),"")</f>
        <v xml:space="preserve">* [Official site](https://www.athisayapanimatha.com/)
</v>
      </c>
      <c r="BQ133" s="158" t="str">
        <f>IF(LEN(AK133)&gt;0,TRIM(CONCATENATE("[Link](",AK133,") ",AL133)),"")</f>
        <v>[Link](http://www.therealpresence.org/eucharst/misc/BVM/128_KALLIKULAM_60x96.pdf)</v>
      </c>
      <c r="BR133" s="158" t="str">
        <f>IF(LEN(AM133)&gt;0,TRIM(CONCATENATE("[Link](",AM133,") ",AN133)),"")</f>
        <v/>
      </c>
      <c r="BS133" s="158" t="str">
        <f>IF(LEN(AO133)&gt;0,TRIM(CONCATENATE("[Link](",AO133,") ",AP133)),"")</f>
        <v/>
      </c>
      <c r="BT133" s="158" t="str">
        <f>IF(LEN(concat(BQ133:BS133))&gt;0,concat("| ",BQ133," | ",BR133," | ",BS133," |"),"")</f>
        <v>| [Link](http://www.therealpresence.org/eucharst/misc/BVM/128_KALLIKULAM_60x96.pdf) |  |  |</v>
      </c>
      <c r="BU133" s="155" t="str">
        <f>IF(J133,concatl("| The Real Presence | Miracle Hunter | MaryPages |","| --- | --- | --- |",BT133),"")</f>
        <v xml:space="preserve">| The Real Presence | Miracle Hunter | MaryPages |_x000D_
| --- | --- | --- |_x000D_
| [Link](http://www.therealpresence.org/eucharst/misc/BVM/128_KALLIKULAM_60x96.pdf) |  |  |_x000D_
</v>
      </c>
      <c r="BV133" s="155" t="str">
        <f>IF(LEN(BP133&amp;BU133)&gt;0,concatll("#### More Information",BP133,BU133),"")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133" s="155" t="str">
        <f>IF(LEN(M133)&gt;1,concatll("#### Author's Note",M133),"")</f>
        <v/>
      </c>
      <c r="BX133" s="23" t="str">
        <f>IF(AR133,concatll(concatl("---",AS133:AU133,BK133,"---"),L133,BV133:BW133),"")</f>
        <v xml:space="preserve">---_x000D_
title: "Athisaya Panimatha (Our Lady of Snows) Shrine, Kallikulam"_x000D_
location: {lat: 8.352427276057, lng: 77.6635769342862}_x000D_
interest: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133" s="23" t="str">
        <f>IF(AR133,VLOOKUP(B133,'(Ref) Countries'!A:B,2,)&amp;IF(LEN(C133)&gt;1,"-"&amp;LOWER(SUBSTITUTE(C133," ","-")),"")&amp;"-"&amp;LOWER(SUBSTITUTE(SUBSTITUTE(G133," ","-"),".",""))&amp;".md","")</f>
        <v>in-athisaya-panimatha-shrine.md</v>
      </c>
      <c r="BZ133" s="29" t="str">
        <f>IF(LEN(Y133)&gt;1,VLOOKUP(Y133,'Tag List'!$A:$B,2,),"")</f>
        <v/>
      </c>
      <c r="CA133" s="29" t="str">
        <f>IF(LEN(Z133)&gt;1,VLOOKUP(Z133,'Tag List'!$A:$B,2,),"")</f>
        <v/>
      </c>
      <c r="CB133" s="29" t="str">
        <f>IF(LEN(AA133)&gt;1,VLOOKUP(AA133,'Tag List'!$A:$B,2,),"")</f>
        <v/>
      </c>
      <c r="CC133" s="30" t="str">
        <f>IF(LEN(Y133)&gt;1,GetTagPage(BZ133,Y133),"")</f>
        <v/>
      </c>
      <c r="CD133" s="30" t="str">
        <f>IF(LEN(Z133)&gt;1,GetTagPage(CA133,Z133),"")</f>
        <v/>
      </c>
      <c r="CE133" s="30" t="str">
        <f>IF(LEN(AA133)&gt;1,GetTagPage(CB133,AA133),"")</f>
        <v/>
      </c>
      <c r="CF133" s="30" t="str">
        <f>"|"&amp;IF(LEN(CC133)&gt;1," "&amp;CC133,"")&amp;IF(LEN(CD133)&gt;1,", "&amp;CD133,"")&amp;IF(LEN(CE133)&gt;1,", "&amp;CE133,"")&amp;" "</f>
        <v xml:space="preserve">| </v>
      </c>
      <c r="CG133" s="30" t="str">
        <f>"| "&amp;IF(AR133,"["&amp;AI133&amp;"](/places/"&amp;SUBSTITUTE(BY133,".md","")&amp;")",AI133)&amp;" "</f>
        <v xml:space="preserve">| [Kallikulam](/places/in-athisaya-panimatha-shrine) </v>
      </c>
      <c r="CH133" s="30" t="str">
        <f>"| "&amp;IF(AR133,GetTagPage(B133,VLOOKUP(B133,'(Ref) Countries'!A:C,3,)),B133)&amp; " "</f>
        <v xml:space="preserve">| [India](/tags/india) </v>
      </c>
      <c r="CI133" s="30" t="str">
        <f>"| "&amp;AJ133&amp;" "</f>
        <v xml:space="preserve">| 1939 </v>
      </c>
      <c r="CJ133" s="30" t="str">
        <f>"|"&amp;IF(AR133," [Link](/places/"&amp;SUBSTITUTE(BY133,".md","")&amp;")","")&amp;" "</f>
        <v xml:space="preserve">| [Link](/places/in-athisaya-panimatha-shrine) </v>
      </c>
      <c r="CK133" s="29" t="str">
        <f>"
"&amp;CG133&amp;CH133&amp;CI133&amp;CJ133&amp;BL133&amp;BQ133&amp;BR133&amp;BS133&amp;CF133&amp;"|"</f>
        <v xml:space="preserve">
| [Kallikulam](/places/in-athisaya-panimatha-shrine) | [India](/tags/india) | 1939 | [Link](/places/in-athisaya-panimatha-shrine) [Official site](https://www.athisayapanimatha.com/)[Link](http://www.therealpresence.org/eucharst/misc/BVM/128_KALLIKULAM_60x96.pdf)| |</v>
      </c>
    </row>
    <row r="134" spans="1:89" x14ac:dyDescent="0.25">
      <c r="A134" s="168" t="s">
        <v>1049</v>
      </c>
      <c r="B134" s="24" t="s">
        <v>11</v>
      </c>
      <c r="C134" s="45" t="s">
        <v>1433</v>
      </c>
      <c r="D134" s="15">
        <v>38.141271460015901</v>
      </c>
      <c r="E134" s="49">
        <v>15.0456795824699</v>
      </c>
      <c r="F134" s="24" t="s">
        <v>1338</v>
      </c>
      <c r="G134" s="53" t="s">
        <v>1337</v>
      </c>
      <c r="H134" s="24" t="s">
        <v>1715</v>
      </c>
      <c r="I134" s="40" t="b">
        <v>1</v>
      </c>
      <c r="J134" s="24" t="b">
        <v>1</v>
      </c>
      <c r="L134" s="24" t="s">
        <v>1333</v>
      </c>
      <c r="N134" s="15" t="s">
        <v>1335</v>
      </c>
      <c r="O134" s="15" t="s">
        <v>336</v>
      </c>
      <c r="AI134" s="85" t="s">
        <v>1181</v>
      </c>
      <c r="AJ134" s="86" t="s">
        <v>1341</v>
      </c>
      <c r="AK134" s="15" t="s">
        <v>182</v>
      </c>
      <c r="AL134" s="15" t="s">
        <v>336</v>
      </c>
      <c r="AN134" s="15" t="s">
        <v>336</v>
      </c>
      <c r="AO134" s="15" t="s">
        <v>336</v>
      </c>
      <c r="AP134" s="49" t="s">
        <v>336</v>
      </c>
      <c r="AR134" s="154" t="b">
        <f>IF(OR(A134="Done",A134="In Progress"),TRUE)</f>
        <v>1</v>
      </c>
      <c r="AS134" s="155" t="str">
        <f>"title: """&amp;F134&amp;""""</f>
        <v>title: "Sanctuary of Holy Mary of Tindari"</v>
      </c>
      <c r="AT134" s="155" t="str">
        <f>"location: {lat: "&amp;D134&amp;", lng: "&amp;E134&amp;"}"</f>
        <v>location: {lat: 38.1412714600159, lng: 15.0456795824699}</v>
      </c>
      <c r="AU134" s="155" t="str">
        <f>"interest: "&amp;H134</f>
        <v>interest: global</v>
      </c>
      <c r="AV134" s="155" t="str">
        <f>"- "&amp;VLOOKUP(B134,'(Ref) Countries'!A:C,3,)</f>
        <v>- italy</v>
      </c>
      <c r="AW134" s="155" t="str">
        <f>IF(LEN(C134)&gt;1,"- "&amp;LOWER(SUBSTITUTE(C134," ","-")),"")</f>
        <v>- sicily</v>
      </c>
      <c r="AX134" s="155" t="str">
        <f>IF(I134,"- churches","")</f>
        <v>- churches</v>
      </c>
      <c r="AY134" s="155" t="str">
        <f>IF(J134,"- marian-sites","")</f>
        <v>- marian-sites</v>
      </c>
      <c r="AZ134" s="155" t="str">
        <f>IF(K134,"- holy-persons","")</f>
        <v/>
      </c>
      <c r="BA134" s="155" t="str">
        <f>IF(LEN(Y134)&gt;0,"- "&amp;Y134,"")</f>
        <v/>
      </c>
      <c r="BB134" s="155" t="str">
        <f>IF(LEN(Z134)&gt;0,"- "&amp;Z134,"")</f>
        <v/>
      </c>
      <c r="BC134" s="155" t="str">
        <f>IF(LEN(AA134)&gt;0,"- "&amp;AA134,"")</f>
        <v/>
      </c>
      <c r="BD134" s="155" t="str">
        <f>IF(LEN(AB134)&gt;0,"- "&amp;AB134,"")</f>
        <v/>
      </c>
      <c r="BE134" s="155" t="str">
        <f>IF(LEN(AC134)&gt;0,"- "&amp;AC134,"")</f>
        <v/>
      </c>
      <c r="BF134" s="155" t="str">
        <f>IF(LEN(AD134)&gt;0,"- "&amp;AD134,"")</f>
        <v/>
      </c>
      <c r="BG134" s="155" t="str">
        <f>IF(LEN(AE134)&gt;0,"- "&amp;AE134,"")</f>
        <v/>
      </c>
      <c r="BH134" s="155" t="str">
        <f>IF(LEN(AF134)&gt;0,"- "&amp;AF134,"")</f>
        <v/>
      </c>
      <c r="BI134" s="155" t="str">
        <f>IF(LEN(AG134)&gt;0,"- "&amp;AG134,"")</f>
        <v/>
      </c>
      <c r="BJ134" s="155" t="str">
        <f>IF(LEN(AH134)&gt;0,"- "&amp;AH134,"")</f>
        <v/>
      </c>
      <c r="BK134" s="155" t="str">
        <f>"tags:"&amp;CHAR(10)&amp;concatl(AV134:BJ134)</f>
        <v xml:space="preserve">tags:
- italy_x000D_
- sicily_x000D_
- churches_x000D_
- marian-sites_x000D_
</v>
      </c>
      <c r="BL134" s="158" t="str">
        <f>IF(LEN(N134)&gt;0,TRIM(CONCATENATE("[Official site](",N134,") ",O134)),"")</f>
        <v>[Official site](https://santuariotindari.it/)</v>
      </c>
      <c r="BM134" s="158" t="str">
        <f>IF(LEN(Q134)&gt;0,TRIM(CONCATENATE("["&amp;P134&amp;"](",Q134,") ",R134)),"")</f>
        <v/>
      </c>
      <c r="BN134" s="158" t="str">
        <f>IF(LEN(T134)&gt;0,TRIM(CONCATENATE("["&amp;S134&amp;"](",T134,") ",U134)),"")</f>
        <v/>
      </c>
      <c r="BO134" s="158" t="str">
        <f>IF(LEN(W134)&gt;0,TRIM(CONCATENATE("["&amp;V134&amp;"](",W134,") ",X134)),"")</f>
        <v/>
      </c>
      <c r="BP134" s="158" t="str">
        <f>IF(LEN(BL134)&gt;0,"* "&amp;BL134&amp;CHAR(10),"")&amp;
IF(LEN(BM134)&gt;0,"* "&amp;BM134&amp;CHAR(10),"")&amp;
IF(LEN(BN134)&gt;0,"* "&amp;BN134&amp;CHAR(10),"")&amp;
IF(LEN(BO134)&gt;0,"* "&amp;BO134&amp;CHAR(10),"")</f>
        <v xml:space="preserve">* [Official site](https://santuariotindari.it/)
</v>
      </c>
      <c r="BQ134" s="158" t="str">
        <f>IF(LEN(AK134)&gt;0,TRIM(CONCATENATE("[Link](",AK134,") ",AL134)),"")</f>
        <v>[Link](http://www.therealpresence.org/eucharst/misc/BVM/90_TINDARI_60x96.pdf)</v>
      </c>
      <c r="BR134" s="158" t="str">
        <f>IF(LEN(AM134)&gt;0,TRIM(CONCATENATE("[Link](",AM134,") ",AN134)),"")</f>
        <v/>
      </c>
      <c r="BS134" s="158" t="str">
        <f>IF(LEN(AO134)&gt;0,TRIM(CONCATENATE("[Link](",AO134,") ",AP134)),"")</f>
        <v/>
      </c>
      <c r="BT134" s="158" t="str">
        <f>IF(LEN(concat(BQ134:BS134))&gt;0,concat("| ",BQ134," | ",BR134," | ",BS134," |"),"")</f>
        <v>| [Link](http://www.therealpresence.org/eucharst/misc/BVM/90_TINDARI_60x96.pdf) |  |  |</v>
      </c>
      <c r="BU134" s="155" t="str">
        <f>IF(J134,concatl("| The Real Presence | Miracle Hunter | MaryPages |","| --- | --- | --- |",BT134),"")</f>
        <v xml:space="preserve">| The Real Presence | Miracle Hunter | MaryPages |_x000D_
| --- | --- | --- |_x000D_
| [Link](http://www.therealpresence.org/eucharst/misc/BVM/90_TINDARI_60x96.pdf) |  |  |_x000D_
</v>
      </c>
      <c r="BV134" s="155" t="str">
        <f>IF(LEN(BP134&amp;BU134)&gt;0,concatll("#### More Information",BP134,BU134),"")</f>
        <v xml:space="preserve">#### More Information_x000D_
_x000D_
* [Official site](https://santuariotindari.it/)
_x000D_
_x000D_
| The Real Presence | Miracle Hunter | MaryPages |_x000D_
| --- | --- | --- |_x000D_
| [Link](http://www.therealpresence.org/eucharst/misc/BVM/90_TINDARI_60x96.pdf) |  |  |_x000D_
_x000D_
_x000D_
</v>
      </c>
      <c r="BW134" s="155" t="str">
        <f>IF(LEN(M134)&gt;1,concatll("#### Author's Note",M134),"")</f>
        <v/>
      </c>
      <c r="BX134" s="23" t="str">
        <f>IF(AR134,concatll(concatl("---",AS134:AU134,BK134,"---"),L134,BV134:BW134),"")</f>
        <v xml:space="preserve">---_x000D_
title: "Sanctuary of Holy Mary of Tindari"_x000D_
location: {lat: 38.1412714600159, lng: 15.0456795824699}_x000D_
interest: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134" s="23" t="str">
        <f>IF(AR134,VLOOKUP(B134,'(Ref) Countries'!A:B,2,)&amp;IF(LEN(C134)&gt;1,"-"&amp;LOWER(SUBSTITUTE(C134," ","-")),"")&amp;"-"&amp;LOWER(SUBSTITUTE(SUBSTITUTE(G134," ","-"),".",""))&amp;".md","")</f>
        <v>it-sicily-sanctuary-of-tindari.md</v>
      </c>
      <c r="BZ134" s="29" t="str">
        <f>IF(LEN(Y134)&gt;1,VLOOKUP(Y134,'Tag List'!$A:$B,2,),"")</f>
        <v/>
      </c>
      <c r="CA134" s="29" t="str">
        <f>IF(LEN(Z134)&gt;1,VLOOKUP(Z134,'Tag List'!$A:$B,2,),"")</f>
        <v/>
      </c>
      <c r="CB134" s="29" t="str">
        <f>IF(LEN(AA134)&gt;1,VLOOKUP(AA134,'Tag List'!$A:$B,2,),"")</f>
        <v/>
      </c>
      <c r="CC134" s="30" t="str">
        <f>IF(LEN(Y134)&gt;1,GetTagPage(BZ134,Y134),"")</f>
        <v/>
      </c>
      <c r="CD134" s="30" t="str">
        <f>IF(LEN(Z134)&gt;1,GetTagPage(CA134,Z134),"")</f>
        <v/>
      </c>
      <c r="CE134" s="30" t="str">
        <f>IF(LEN(AA134)&gt;1,GetTagPage(CB134,AA134),"")</f>
        <v/>
      </c>
      <c r="CF134" s="30" t="str">
        <f>"|"&amp;IF(LEN(CC134)&gt;1," "&amp;CC134,"")&amp;IF(LEN(CD134)&gt;1,", "&amp;CD134,"")&amp;IF(LEN(CE134)&gt;1,", "&amp;CE134,"")&amp;" "</f>
        <v xml:space="preserve">| </v>
      </c>
      <c r="CG134" s="30" t="str">
        <f>"| "&amp;IF(AR134,"["&amp;AI134&amp;"](/places/"&amp;SUBSTITUTE(BY134,".md","")&amp;")",AI134)&amp;" "</f>
        <v xml:space="preserve">| [Tindari](/places/it-sicily-sanctuary-of-tindari) </v>
      </c>
      <c r="CH134" s="30" t="str">
        <f>"| "&amp;IF(AR134,GetTagPage(B134,VLOOKUP(B134,'(Ref) Countries'!A:C,3,)),B134)&amp; " "</f>
        <v xml:space="preserve">| [Italy](/tags/italy) </v>
      </c>
      <c r="CI134" s="30" t="str">
        <f>"| "&amp;AJ134&amp;" "</f>
        <v xml:space="preserve">| 5th or 6th Century </v>
      </c>
      <c r="CJ134" s="30" t="str">
        <f>"|"&amp;IF(AR134," [Link](/places/"&amp;SUBSTITUTE(BY134,".md","")&amp;")","")&amp;" "</f>
        <v xml:space="preserve">| [Link](/places/it-sicily-sanctuary-of-tindari) </v>
      </c>
      <c r="CK134" s="29" t="str">
        <f>"
"&amp;CG134&amp;CH134&amp;CI134&amp;CJ134&amp;BL134&amp;BQ134&amp;BR134&amp;BS134&amp;CF134&amp;"|"</f>
        <v xml:space="preserve">
| [Tindari](/places/it-sicily-sanctuary-of-tindari) | [Italy](/tags/italy) | 5th or 6th Century | [Link](/places/it-sicily-sanctuary-of-tindari) [Official site](https://santuariotindari.it/)[Link](http://www.therealpresence.org/eucharst/misc/BVM/90_TINDARI_60x96.pdf)| |</v>
      </c>
    </row>
    <row r="135" spans="1:89" x14ac:dyDescent="0.25">
      <c r="A135" s="168" t="s">
        <v>1049</v>
      </c>
      <c r="B135" s="24" t="s">
        <v>626</v>
      </c>
      <c r="D135" s="15">
        <v>36.0617520264557</v>
      </c>
      <c r="E135" s="49">
        <v>14.2153318855345</v>
      </c>
      <c r="F135" s="24" t="s">
        <v>1366</v>
      </c>
      <c r="G135" s="54" t="s">
        <v>1713</v>
      </c>
      <c r="H135" s="40" t="s">
        <v>1715</v>
      </c>
      <c r="I135" s="40" t="b">
        <v>1</v>
      </c>
      <c r="J135" s="24" t="b">
        <v>1</v>
      </c>
      <c r="L135" s="24" t="s">
        <v>1333</v>
      </c>
      <c r="N135" s="15" t="s">
        <v>1363</v>
      </c>
      <c r="O135" s="15" t="s">
        <v>336</v>
      </c>
      <c r="Y135" s="15" t="s">
        <v>336</v>
      </c>
      <c r="AI135" s="85" t="s">
        <v>1243</v>
      </c>
      <c r="AJ135" s="86">
        <v>1575</v>
      </c>
      <c r="AK135" s="15" t="s">
        <v>248</v>
      </c>
      <c r="AL135" s="15" t="s">
        <v>336</v>
      </c>
      <c r="AM135" s="15" t="s">
        <v>1364</v>
      </c>
      <c r="AN135" s="15" t="s">
        <v>336</v>
      </c>
      <c r="AO135" s="15" t="s">
        <v>1365</v>
      </c>
      <c r="AP135" s="49" t="s">
        <v>336</v>
      </c>
      <c r="AR135" s="154" t="b">
        <f>IF(OR(A135="Done",A135="In Progress"),TRUE)</f>
        <v>1</v>
      </c>
      <c r="AS135" s="155" t="str">
        <f>"title: """&amp;F135&amp;""""</f>
        <v>title: "Basilica of the Blessed Virgin of Ta' Pinu"</v>
      </c>
      <c r="AT135" s="155" t="str">
        <f>"location: {lat: "&amp;D135&amp;", lng: "&amp;E135&amp;"}"</f>
        <v>location: {lat: 36.0617520264557, lng: 14.2153318855345}</v>
      </c>
      <c r="AU135" s="155" t="str">
        <f>"interest: "&amp;H135</f>
        <v>interest: global</v>
      </c>
      <c r="AV135" s="155" t="str">
        <f>"- "&amp;VLOOKUP(B135,'(Ref) Countries'!A:C,3,)</f>
        <v>- malta</v>
      </c>
      <c r="AW135" s="155" t="str">
        <f>IF(LEN(C135)&gt;1,"- "&amp;LOWER(SUBSTITUTE(C135," ","-")),"")</f>
        <v/>
      </c>
      <c r="AX135" s="155" t="str">
        <f>IF(I135,"- churches","")</f>
        <v>- churches</v>
      </c>
      <c r="AY135" s="155" t="str">
        <f>IF(J135,"- marian-sites","")</f>
        <v>- marian-sites</v>
      </c>
      <c r="AZ135" s="155" t="str">
        <f>IF(K135,"- holy-persons","")</f>
        <v/>
      </c>
      <c r="BA135" s="155" t="str">
        <f>IF(LEN(Y135)&gt;0,"- "&amp;Y135,"")</f>
        <v/>
      </c>
      <c r="BB135" s="155" t="str">
        <f>IF(LEN(Z135)&gt;0,"- "&amp;Z135,"")</f>
        <v/>
      </c>
      <c r="BC135" s="155" t="str">
        <f>IF(LEN(AA135)&gt;0,"- "&amp;AA135,"")</f>
        <v/>
      </c>
      <c r="BD135" s="155" t="str">
        <f>IF(LEN(AB135)&gt;0,"- "&amp;AB135,"")</f>
        <v/>
      </c>
      <c r="BE135" s="155" t="str">
        <f>IF(LEN(AC135)&gt;0,"- "&amp;AC135,"")</f>
        <v/>
      </c>
      <c r="BF135" s="155" t="str">
        <f>IF(LEN(AD135)&gt;0,"- "&amp;AD135,"")</f>
        <v/>
      </c>
      <c r="BG135" s="155" t="str">
        <f>IF(LEN(AE135)&gt;0,"- "&amp;AE135,"")</f>
        <v/>
      </c>
      <c r="BH135" s="155" t="str">
        <f>IF(LEN(AF135)&gt;0,"- "&amp;AF135,"")</f>
        <v/>
      </c>
      <c r="BI135" s="155" t="str">
        <f>IF(LEN(AG135)&gt;0,"- "&amp;AG135,"")</f>
        <v/>
      </c>
      <c r="BJ135" s="155" t="str">
        <f>IF(LEN(AH135)&gt;0,"- "&amp;AH135,"")</f>
        <v/>
      </c>
      <c r="BK135" s="155" t="str">
        <f>"tags:"&amp;CHAR(10)&amp;concatl(AV135:BJ135)</f>
        <v xml:space="preserve">tags:
- malta_x000D_
- churches_x000D_
- marian-sites_x000D_
</v>
      </c>
      <c r="BL135" s="158" t="str">
        <f>IF(LEN(N135)&gt;0,TRIM(CONCATENATE("[Official site](",N135,") ",O135)),"")</f>
        <v>[Official site](http://www.tapinu.org/)</v>
      </c>
      <c r="BM135" s="158" t="str">
        <f>IF(LEN(Q135)&gt;0,TRIM(CONCATENATE("["&amp;P135&amp;"](",Q135,") ",R135)),"")</f>
        <v/>
      </c>
      <c r="BN135" s="158" t="str">
        <f>IF(LEN(T135)&gt;0,TRIM(CONCATENATE("["&amp;S135&amp;"](",T135,") ",U135)),"")</f>
        <v/>
      </c>
      <c r="BO135" s="158" t="str">
        <f>IF(LEN(W135)&gt;0,TRIM(CONCATENATE("["&amp;V135&amp;"](",W135,") ",X135)),"")</f>
        <v/>
      </c>
      <c r="BP135" s="158" t="str">
        <f>IF(LEN(BL135)&gt;0,"* "&amp;BL135&amp;CHAR(10),"")&amp;
IF(LEN(BM135)&gt;0,"* "&amp;BM135&amp;CHAR(10),"")&amp;
IF(LEN(BN135)&gt;0,"* "&amp;BN135&amp;CHAR(10),"")&amp;
IF(LEN(BO135)&gt;0,"* "&amp;BO135&amp;CHAR(10),"")</f>
        <v xml:space="preserve">* [Official site](http://www.tapinu.org/)
</v>
      </c>
      <c r="BQ135" s="158" t="str">
        <f>IF(LEN(AK135)&gt;0,TRIM(CONCATENATE("[Link](",AK135,") ",AL135)),"")</f>
        <v>[Link](http://www.therealpresence.org/eucharst/misc/BVM/140_GOZO_60x96.pdf)</v>
      </c>
      <c r="BR135" s="158" t="str">
        <f>IF(LEN(AM135)&gt;0,TRIM(CONCATENATE("[Link](",AM135,") ",AN135)),"")</f>
        <v>[Link](http://www.miraclehunter.com/marian_apparitions/approved_apparitions/tapinu/)</v>
      </c>
      <c r="BS135" s="158" t="str">
        <f>IF(LEN(AO135)&gt;0,TRIM(CONCATENATE("[Link](",AO135,") ",AP135)),"")</f>
        <v>[Link](https://www.marypages.com/ta-pinu-malta-en.html)</v>
      </c>
      <c r="BT135" s="158" t="str">
        <f>IF(LEN(concat(BQ135:BS135))&gt;0,concat("| ",BQ135," | ",BR135," | ",BS135," |"),"")</f>
        <v>| [Link](http://www.therealpresence.org/eucharst/misc/BVM/140_GOZO_60x96.pdf) | [Link](http://www.miraclehunter.com/marian_apparitions/approved_apparitions/tapinu/) | [Link](https://www.marypages.com/ta-pinu-malta-en.html) |</v>
      </c>
      <c r="BU135" s="155" t="str">
        <f>IF(J135,concatl("| The Real Presence | Miracle Hunter | MaryPages |","| --- | --- | --- |",BT135),"")</f>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35" s="155" t="str">
        <f>IF(LEN(BP135&amp;BU135)&gt;0,concatll("#### More Information",BP135,BU135),"")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35" s="155" t="str">
        <f>IF(LEN(M135)&gt;1,concatll("#### Author's Note",M135),"")</f>
        <v/>
      </c>
      <c r="BX135" s="23" t="str">
        <f>IF(AR135,concatll(concatl("---",AS135:AU135,BK135,"---"),L135,BV135:BW135),"")</f>
        <v xml:space="preserve">---_x000D_
title: "Basilica of the Blessed Virgin of Ta' Pinu"_x000D_
location: {lat: 36.0617520264557, lng: 14.2153318855345}_x000D_
interest: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35" s="23" t="str">
        <f>IF(AR135,VLOOKUP(B135,'(Ref) Countries'!A:B,2,)&amp;IF(LEN(C135)&gt;1,"-"&amp;LOWER(SUBSTITUTE(C135," ","-")),"")&amp;"-"&amp;LOWER(SUBSTITUTE(SUBSTITUTE(G135," ","-"),".",""))&amp;".md","")</f>
        <v>mt-basilica-of-ta-pinu.md</v>
      </c>
      <c r="BZ135" s="29" t="str">
        <f>IF(LEN(Y135)&gt;1,VLOOKUP(Y135,'Tag List'!$A:$B,2,),"")</f>
        <v/>
      </c>
      <c r="CA135" s="29" t="str">
        <f>IF(LEN(Z135)&gt;1,VLOOKUP(Z135,'Tag List'!$A:$B,2,),"")</f>
        <v/>
      </c>
      <c r="CB135" s="29" t="str">
        <f>IF(LEN(AA135)&gt;1,VLOOKUP(AA135,'Tag List'!$A:$B,2,),"")</f>
        <v/>
      </c>
      <c r="CC135" s="30" t="str">
        <f>IF(LEN(Y135)&gt;1,GetTagPage(BZ135,Y135),"")</f>
        <v/>
      </c>
      <c r="CD135" s="30" t="str">
        <f>IF(LEN(Z135)&gt;1,GetTagPage(CA135,Z135),"")</f>
        <v/>
      </c>
      <c r="CE135" s="30" t="str">
        <f>IF(LEN(AA135)&gt;1,GetTagPage(CB135,AA135),"")</f>
        <v/>
      </c>
      <c r="CF135" s="30" t="str">
        <f>"|"&amp;IF(LEN(CC135)&gt;1," "&amp;CC135,"")&amp;IF(LEN(CD135)&gt;1,", "&amp;CD135,"")&amp;IF(LEN(CE135)&gt;1,", "&amp;CE135,"")&amp;" "</f>
        <v xml:space="preserve">| </v>
      </c>
      <c r="CG135" s="30" t="str">
        <f>"| "&amp;IF(AR135,"["&amp;AI135&amp;"](/places/"&amp;SUBSTITUTE(BY135,".md","")&amp;")",AI135)&amp;" "</f>
        <v xml:space="preserve">| [Gozo](/places/mt-basilica-of-ta-pinu) </v>
      </c>
      <c r="CH135" s="30" t="str">
        <f>"| "&amp;IF(AR135,GetTagPage(B135,VLOOKUP(B135,'(Ref) Countries'!A:C,3,)),B135)&amp; " "</f>
        <v xml:space="preserve">| [Malta](/tags/malta) </v>
      </c>
      <c r="CI135" s="30" t="str">
        <f>"| "&amp;AJ135&amp;" "</f>
        <v xml:space="preserve">| 1575 </v>
      </c>
      <c r="CJ135" s="30" t="str">
        <f>"|"&amp;IF(AR135," [Link](/places/"&amp;SUBSTITUTE(BY135,".md","")&amp;")","")&amp;" "</f>
        <v xml:space="preserve">| [Link](/places/mt-basilica-of-ta-pinu) </v>
      </c>
      <c r="CK135" s="29" t="str">
        <f>"
"&amp;CG135&amp;CH135&amp;CI135&amp;CJ135&amp;BL135&amp;BQ135&amp;BR135&amp;BS135&amp;CF135&amp;"|"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36" spans="1:89" ht="51" x14ac:dyDescent="0.25">
      <c r="A136" s="168" t="s">
        <v>1049</v>
      </c>
      <c r="B136" s="24" t="s">
        <v>638</v>
      </c>
      <c r="D136" s="15">
        <v>12.250924807686999</v>
      </c>
      <c r="E136" s="49">
        <v>-85.378274608161107</v>
      </c>
      <c r="F136" s="24" t="s">
        <v>1346</v>
      </c>
      <c r="G136" s="53" t="s">
        <v>1345</v>
      </c>
      <c r="H136" s="24" t="s">
        <v>1715</v>
      </c>
      <c r="I136" s="40" t="b">
        <v>1</v>
      </c>
      <c r="J136" s="24" t="b">
        <v>1</v>
      </c>
      <c r="L136" s="24" t="s">
        <v>1333</v>
      </c>
      <c r="M136" s="55" t="s">
        <v>1741</v>
      </c>
      <c r="N136" s="15" t="s">
        <v>1347</v>
      </c>
      <c r="O136" s="15" t="s">
        <v>336</v>
      </c>
      <c r="Y136" s="15" t="s">
        <v>336</v>
      </c>
      <c r="AI136" s="85" t="s">
        <v>1306</v>
      </c>
      <c r="AJ136" s="86">
        <v>1980</v>
      </c>
      <c r="AK136" s="15" t="s">
        <v>328</v>
      </c>
      <c r="AL136" s="15" t="s">
        <v>336</v>
      </c>
      <c r="AM136" s="15" t="s">
        <v>1344</v>
      </c>
      <c r="AN136" s="15" t="s">
        <v>336</v>
      </c>
      <c r="AO136" s="15" t="s">
        <v>1343</v>
      </c>
      <c r="AP136" s="49" t="s">
        <v>336</v>
      </c>
      <c r="AR136" s="154" t="b">
        <f>IF(OR(A136="Done",A136="In Progress"),TRUE)</f>
        <v>1</v>
      </c>
      <c r="AS136" s="155" t="str">
        <f>"title: """&amp;F136&amp;""""</f>
        <v>title: "National Sanctuary of Our Lady of Cuapa"</v>
      </c>
      <c r="AT136" s="155" t="str">
        <f>"location: {lat: "&amp;D136&amp;", lng: "&amp;E136&amp;"}"</f>
        <v>location: {lat: 12.250924807687, lng: -85.3782746081611}</v>
      </c>
      <c r="AU136" s="155" t="str">
        <f>"interest: "&amp;H136</f>
        <v>interest: global</v>
      </c>
      <c r="AV136" s="155" t="str">
        <f>"- "&amp;VLOOKUP(B136,'(Ref) Countries'!A:C,3,)</f>
        <v>- nicaragua</v>
      </c>
      <c r="AW136" s="155" t="str">
        <f>IF(LEN(C136)&gt;1,"- "&amp;LOWER(SUBSTITUTE(C136," ","-")),"")</f>
        <v/>
      </c>
      <c r="AX136" s="155" t="str">
        <f>IF(I136,"- churches","")</f>
        <v>- churches</v>
      </c>
      <c r="AY136" s="155" t="str">
        <f>IF(J136,"- marian-sites","")</f>
        <v>- marian-sites</v>
      </c>
      <c r="AZ136" s="155" t="str">
        <f>IF(K136,"- holy-persons","")</f>
        <v/>
      </c>
      <c r="BA136" s="155" t="str">
        <f>IF(LEN(Y136)&gt;0,"- "&amp;Y136,"")</f>
        <v/>
      </c>
      <c r="BB136" s="155" t="str">
        <f>IF(LEN(Z136)&gt;0,"- "&amp;Z136,"")</f>
        <v/>
      </c>
      <c r="BC136" s="155" t="str">
        <f>IF(LEN(AA136)&gt;0,"- "&amp;AA136,"")</f>
        <v/>
      </c>
      <c r="BD136" s="155" t="str">
        <f>IF(LEN(AB136)&gt;0,"- "&amp;AB136,"")</f>
        <v/>
      </c>
      <c r="BE136" s="155" t="str">
        <f>IF(LEN(AC136)&gt;0,"- "&amp;AC136,"")</f>
        <v/>
      </c>
      <c r="BF136" s="155" t="str">
        <f>IF(LEN(AD136)&gt;0,"- "&amp;AD136,"")</f>
        <v/>
      </c>
      <c r="BG136" s="155" t="str">
        <f>IF(LEN(AE136)&gt;0,"- "&amp;AE136,"")</f>
        <v/>
      </c>
      <c r="BH136" s="155" t="str">
        <f>IF(LEN(AF136)&gt;0,"- "&amp;AF136,"")</f>
        <v/>
      </c>
      <c r="BI136" s="155" t="str">
        <f>IF(LEN(AG136)&gt;0,"- "&amp;AG136,"")</f>
        <v/>
      </c>
      <c r="BJ136" s="155" t="str">
        <f>IF(LEN(AH136)&gt;0,"- "&amp;AH136,"")</f>
        <v/>
      </c>
      <c r="BK136" s="155" t="str">
        <f>"tags:"&amp;CHAR(10)&amp;concatl(AV136:BJ136)</f>
        <v xml:space="preserve">tags:
- nicaragua_x000D_
- churches_x000D_
- marian-sites_x000D_
</v>
      </c>
      <c r="BL136" s="158" t="str">
        <f>IF(LEN(N136)&gt;0,TRIM(CONCATENATE("[Official site](",N136,") ",O136)),"")</f>
        <v>[Official site](https://www.facebook.com/SDVirgendeCuapa)</v>
      </c>
      <c r="BM136" s="158" t="str">
        <f>IF(LEN(Q136)&gt;0,TRIM(CONCATENATE("["&amp;P136&amp;"](",Q136,") ",R136)),"")</f>
        <v/>
      </c>
      <c r="BN136" s="158" t="str">
        <f>IF(LEN(T136)&gt;0,TRIM(CONCATENATE("["&amp;S136&amp;"](",T136,") ",U136)),"")</f>
        <v/>
      </c>
      <c r="BO136" s="158" t="str">
        <f>IF(LEN(W136)&gt;0,TRIM(CONCATENATE("["&amp;V136&amp;"](",W136,") ",X136)),"")</f>
        <v/>
      </c>
      <c r="BP136" s="158" t="str">
        <f>IF(LEN(BL136)&gt;0,"* "&amp;BL136&amp;CHAR(10),"")&amp;
IF(LEN(BM136)&gt;0,"* "&amp;BM136&amp;CHAR(10),"")&amp;
IF(LEN(BN136)&gt;0,"* "&amp;BN136&amp;CHAR(10),"")&amp;
IF(LEN(BO136)&gt;0,"* "&amp;BO136&amp;CHAR(10),"")</f>
        <v xml:space="preserve">* [Official site](https://www.facebook.com/SDVirgendeCuapa)
</v>
      </c>
      <c r="BQ136" s="158" t="str">
        <f>IF(LEN(AK136)&gt;0,TRIM(CONCATENATE("[Link](",AK136,") ",AL136)),"")</f>
        <v>[Link](http://www.therealpresence.org/eucharst/misc/BVM/16_CUAPA_60x96.pdf)</v>
      </c>
      <c r="BR136" s="158" t="str">
        <f>IF(LEN(AM136)&gt;0,TRIM(CONCATENATE("[Link](",AM136,") ",AN136)),"")</f>
        <v>[Link](http://www.miraclehunter.com/marian_apparitions/approved_apparitions/cuapa/index.html)</v>
      </c>
      <c r="BS136" s="158" t="str">
        <f>IF(LEN(AO136)&gt;0,TRIM(CONCATENATE("[Link](",AO136,") ",AP136)),"")</f>
        <v>[Link](https://www.marypages.com/our-lady-of-cuapa-also-known-as-our-lady-of-nicaragua-en.html)</v>
      </c>
      <c r="BT136" s="158" t="str">
        <f>IF(LEN(concat(BQ136:BS136))&gt;0,concat("| ",BQ136," | ",BR136," | ",BS136," |"),"")</f>
        <v>| [Link](http://www.therealpresence.org/eucharst/misc/BVM/16_CUAPA_60x96.pdf) | [Link](http://www.miraclehunter.com/marian_apparitions/approved_apparitions/cuapa/index.html) | [Link](https://www.marypages.com/our-lady-of-cuapa-also-known-as-our-lady-of-nicaragua-en.html) |</v>
      </c>
      <c r="BU136" s="155" t="str">
        <f>IF(J136,concatl("| The Real Presence | Miracle Hunter | MaryPages |","| --- | --- | --- |",BT136),"")</f>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136" s="155" t="str">
        <f>IF(LEN(BP136&amp;BU136)&gt;0,concatll("#### More Information",BP136,BU136),"")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136" s="155" t="str">
        <f>IF(LEN(M136)&gt;1,concatll("#### Author's Note",M136),"")</f>
        <v xml:space="preserve">#### Author's Note_x000D_
_x000D_
We can't find an official website for the parish; their Facebook page has been listed for now.
-JMM_x000D_
_x000D_
</v>
      </c>
      <c r="BX136" s="23" t="str">
        <f>IF(AR136,concatll(concatl("---",AS136:AU136,BK136,"---"),L136,BV136:BW136),"")</f>
        <v xml:space="preserve">---_x000D_
title: "National Sanctuary of Our Lady of Cuapa"_x000D_
location: {lat: 12.250924807687, lng: -85.3782746081611}_x000D_
interest: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136" s="23" t="str">
        <f>IF(AR136,VLOOKUP(B136,'(Ref) Countries'!A:B,2,)&amp;IF(LEN(C136)&gt;1,"-"&amp;LOWER(SUBSTITUTE(C136," ","-")),"")&amp;"-"&amp;LOWER(SUBSTITUTE(SUBSTITUTE(G136," ","-"),".",""))&amp;".md","")</f>
        <v>ni-sanctuary-of-our-lady-of-cuapa.md</v>
      </c>
      <c r="BZ136" s="29" t="str">
        <f>IF(LEN(Y136)&gt;1,VLOOKUP(Y136,'Tag List'!$A:$B,2,),"")</f>
        <v/>
      </c>
      <c r="CA136" s="29" t="str">
        <f>IF(LEN(Z136)&gt;1,VLOOKUP(Z136,'Tag List'!$A:$B,2,),"")</f>
        <v/>
      </c>
      <c r="CB136" s="29" t="str">
        <f>IF(LEN(AA136)&gt;1,VLOOKUP(AA136,'Tag List'!$A:$B,2,),"")</f>
        <v/>
      </c>
      <c r="CC136" s="30" t="str">
        <f>IF(LEN(Y136)&gt;1,GetTagPage(BZ136,Y136),"")</f>
        <v/>
      </c>
      <c r="CD136" s="30" t="str">
        <f>IF(LEN(Z136)&gt;1,GetTagPage(CA136,Z136),"")</f>
        <v/>
      </c>
      <c r="CE136" s="30" t="str">
        <f>IF(LEN(AA136)&gt;1,GetTagPage(CB136,AA136),"")</f>
        <v/>
      </c>
      <c r="CF136" s="30" t="str">
        <f>"|"&amp;IF(LEN(CC136)&gt;1," "&amp;CC136,"")&amp;IF(LEN(CD136)&gt;1,", "&amp;CD136,"")&amp;IF(LEN(CE136)&gt;1,", "&amp;CE136,"")&amp;" "</f>
        <v xml:space="preserve">| </v>
      </c>
      <c r="CG136" s="30" t="str">
        <f>"| "&amp;IF(AR136,"["&amp;AI136&amp;"](/places/"&amp;SUBSTITUTE(BY136,".md","")&amp;")",AI136)&amp;" "</f>
        <v xml:space="preserve">| [Cuapa](/places/ni-sanctuary-of-our-lady-of-cuapa) </v>
      </c>
      <c r="CH136" s="30" t="str">
        <f>"| "&amp;IF(AR136,GetTagPage(B136,VLOOKUP(B136,'(Ref) Countries'!A:C,3,)),B136)&amp; " "</f>
        <v xml:space="preserve">| [Nicaragua](/tags/nicaragua) </v>
      </c>
      <c r="CI136" s="30" t="str">
        <f>"| "&amp;AJ136&amp;" "</f>
        <v xml:space="preserve">| 1980 </v>
      </c>
      <c r="CJ136" s="30" t="str">
        <f>"|"&amp;IF(AR136," [Link](/places/"&amp;SUBSTITUTE(BY136,".md","")&amp;")","")&amp;" "</f>
        <v xml:space="preserve">| [Link](/places/ni-sanctuary-of-our-lady-of-cuapa) </v>
      </c>
      <c r="CK136" s="29" t="str">
        <f>"
"&amp;CG136&amp;CH136&amp;CI136&amp;CJ136&amp;BL136&amp;BQ136&amp;BR136&amp;BS136&amp;CF136&amp;"|"</f>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89" ht="38.25" x14ac:dyDescent="0.25">
      <c r="A137" s="168" t="s">
        <v>1049</v>
      </c>
      <c r="B137" s="24" t="s">
        <v>649</v>
      </c>
      <c r="D137" s="15">
        <v>13.882181522598099</v>
      </c>
      <c r="E137" s="49">
        <v>120.92027885535801</v>
      </c>
      <c r="F137" s="24" t="s">
        <v>1372</v>
      </c>
      <c r="G137" s="53" t="s">
        <v>1373</v>
      </c>
      <c r="H137" s="24" t="s">
        <v>1715</v>
      </c>
      <c r="I137" s="40" t="b">
        <v>1</v>
      </c>
      <c r="J137" s="24" t="b">
        <v>1</v>
      </c>
      <c r="L137" s="24" t="s">
        <v>1333</v>
      </c>
      <c r="M137" s="55" t="s">
        <v>1733</v>
      </c>
      <c r="N137" s="15" t="s">
        <v>1375</v>
      </c>
      <c r="O137" s="15" t="s">
        <v>336</v>
      </c>
      <c r="Y137" s="15" t="s">
        <v>336</v>
      </c>
      <c r="AI137" s="85" t="s">
        <v>1253</v>
      </c>
      <c r="AJ137" s="86">
        <v>1603</v>
      </c>
      <c r="AK137" s="15" t="s">
        <v>258</v>
      </c>
      <c r="AL137" s="15" t="s">
        <v>336</v>
      </c>
      <c r="AM137" s="15" t="s">
        <v>1374</v>
      </c>
      <c r="AN137" s="15" t="s">
        <v>336</v>
      </c>
      <c r="AO137" s="15" t="s">
        <v>336</v>
      </c>
      <c r="AP137" s="49" t="s">
        <v>336</v>
      </c>
      <c r="AR137" s="154" t="b">
        <f>IF(OR(A137="Done",A137="In Progress"),TRUE)</f>
        <v>1</v>
      </c>
      <c r="AS137" s="155" t="str">
        <f>"title: """&amp;F137&amp;""""</f>
        <v>title: "Archdiocesan Shrine of Our Lady of Caysasay"</v>
      </c>
      <c r="AT137" s="155" t="str">
        <f>"location: {lat: "&amp;D137&amp;", lng: "&amp;E137&amp;"}"</f>
        <v>location: {lat: 13.8821815225981, lng: 120.920278855358}</v>
      </c>
      <c r="AU137" s="155" t="str">
        <f>"interest: "&amp;H137</f>
        <v>interest: global</v>
      </c>
      <c r="AV137" s="155" t="str">
        <f>"- "&amp;VLOOKUP(B137,'(Ref) Countries'!A:C,3,)</f>
        <v>- philippines</v>
      </c>
      <c r="AW137" s="155" t="str">
        <f>IF(LEN(C137)&gt;1,"- "&amp;LOWER(SUBSTITUTE(C137," ","-")),"")</f>
        <v/>
      </c>
      <c r="AX137" s="155" t="str">
        <f>IF(I137,"- churches","")</f>
        <v>- churches</v>
      </c>
      <c r="AY137" s="155" t="str">
        <f>IF(J137,"- marian-sites","")</f>
        <v>- marian-sites</v>
      </c>
      <c r="AZ137" s="155" t="str">
        <f>IF(K137,"- holy-persons","")</f>
        <v/>
      </c>
      <c r="BA137" s="155" t="str">
        <f>IF(LEN(Y137)&gt;0,"- "&amp;Y137,"")</f>
        <v/>
      </c>
      <c r="BB137" s="155" t="str">
        <f>IF(LEN(Z137)&gt;0,"- "&amp;Z137,"")</f>
        <v/>
      </c>
      <c r="BC137" s="155" t="str">
        <f>IF(LEN(AA137)&gt;0,"- "&amp;AA137,"")</f>
        <v/>
      </c>
      <c r="BD137" s="155" t="str">
        <f>IF(LEN(AB137)&gt;0,"- "&amp;AB137,"")</f>
        <v/>
      </c>
      <c r="BE137" s="155" t="str">
        <f>IF(LEN(AC137)&gt;0,"- "&amp;AC137,"")</f>
        <v/>
      </c>
      <c r="BF137" s="155" t="str">
        <f>IF(LEN(AD137)&gt;0,"- "&amp;AD137,"")</f>
        <v/>
      </c>
      <c r="BG137" s="155" t="str">
        <f>IF(LEN(AE137)&gt;0,"- "&amp;AE137,"")</f>
        <v/>
      </c>
      <c r="BH137" s="155" t="str">
        <f>IF(LEN(AF137)&gt;0,"- "&amp;AF137,"")</f>
        <v/>
      </c>
      <c r="BI137" s="155" t="str">
        <f>IF(LEN(AG137)&gt;0,"- "&amp;AG137,"")</f>
        <v/>
      </c>
      <c r="BJ137" s="155" t="str">
        <f>IF(LEN(AH137)&gt;0,"- "&amp;AH137,"")</f>
        <v/>
      </c>
      <c r="BK137" s="155" t="str">
        <f>"tags:"&amp;CHAR(10)&amp;concatl(AV137:BJ137)</f>
        <v xml:space="preserve">tags:
- philippines_x000D_
- churches_x000D_
- marian-sites_x000D_
</v>
      </c>
      <c r="BL137" s="158" t="str">
        <f>IF(LEN(N137)&gt;0,TRIM(CONCATENATE("[Official site](",N137,") ",O137)),"")</f>
        <v>[Official site](https://www.facebook.com/CaysasayTaal)</v>
      </c>
      <c r="BM137" s="158" t="str">
        <f>IF(LEN(Q137)&gt;0,TRIM(CONCATENATE("["&amp;P137&amp;"](",Q137,") ",R137)),"")</f>
        <v/>
      </c>
      <c r="BN137" s="158" t="str">
        <f>IF(LEN(T137)&gt;0,TRIM(CONCATENATE("["&amp;S137&amp;"](",T137,") ",U137)),"")</f>
        <v/>
      </c>
      <c r="BO137" s="158" t="str">
        <f>IF(LEN(W137)&gt;0,TRIM(CONCATENATE("["&amp;V137&amp;"](",W137,") ",X137)),"")</f>
        <v/>
      </c>
      <c r="BP137" s="158" t="str">
        <f>IF(LEN(BL137)&gt;0,"* "&amp;BL137&amp;CHAR(10),"")&amp;
IF(LEN(BM137)&gt;0,"* "&amp;BM137&amp;CHAR(10),"")&amp;
IF(LEN(BN137)&gt;0,"* "&amp;BN137&amp;CHAR(10),"")&amp;
IF(LEN(BO137)&gt;0,"* "&amp;BO137&amp;CHAR(10),"")</f>
        <v xml:space="preserve">* [Official site](https://www.facebook.com/CaysasayTaal)
</v>
      </c>
      <c r="BQ137" s="158" t="str">
        <f>IF(LEN(AK137)&gt;0,TRIM(CONCATENATE("[Link](",AK137,") ",AL137)),"")</f>
        <v>[Link](http://www.therealpresence.org/eucharst/misc/BVM/94_CAYSASAY_60x96.pdf)</v>
      </c>
      <c r="BR137" s="158" t="str">
        <f>IF(LEN(AM137)&gt;0,TRIM(CONCATENATE("[Link](",AM137,") ",AN137)),"")</f>
        <v>[Link](http://www.miraclehunter.com/marian_apparitions/approved_apparitions/caysasay/index.html)</v>
      </c>
      <c r="BS137" s="158" t="str">
        <f>IF(LEN(AO137)&gt;0,TRIM(CONCATENATE("[Link](",AO137,") ",AP137)),"")</f>
        <v/>
      </c>
      <c r="BT137" s="158" t="str">
        <f>IF(LEN(concat(BQ137:BS137))&gt;0,concat("| ",BQ137," | ",BR137," | ",BS137," |"),"")</f>
        <v>| [Link](http://www.therealpresence.org/eucharst/misc/BVM/94_CAYSASAY_60x96.pdf) | [Link](http://www.miraclehunter.com/marian_apparitions/approved_apparitions/caysasay/index.html) |  |</v>
      </c>
      <c r="BU137" s="155" t="str">
        <f>IF(J137,concatl("| The Real Presence | Miracle Hunter | MaryPages |","| --- | --- | --- |",BT137),"")</f>
        <v xml:space="preserve">| The Real Presence | Miracle Hunter | MaryPages |_x000D_
| --- | --- | --- |_x000D_
| [Link](http://www.therealpresence.org/eucharst/misc/BVM/94_CAYSASAY_60x96.pdf) | [Link](http://www.miraclehunter.com/marian_apparitions/approved_apparitions/caysasay/index.html) |  |_x000D_
</v>
      </c>
      <c r="BV137" s="155" t="str">
        <f>IF(LEN(BP137&amp;BU137)&gt;0,concatll("#### More Information",BP137,BU137),"")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37" s="155" t="str">
        <f>IF(LEN(M137)&gt;1,concatll("#### Author's Note",M137),"")</f>
        <v xml:space="preserve">#### Author's Note_x000D_
_x000D_
The Facebook page appears to be the official site.
-JMM_x000D_
_x000D_
</v>
      </c>
      <c r="BX137" s="23" t="str">
        <f>IF(AR137,concatll(concatl("---",AS137:AU137,BK137,"---"),L137,BV137:BW137),"")</f>
        <v xml:space="preserve">---_x000D_
title: "Archdiocesan Shrine of Our Lady of Caysasay"_x000D_
location: {lat: 13.8821815225981, lng: 120.920278855358}_x000D_
interest: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37" s="23" t="str">
        <f>IF(AR137,VLOOKUP(B137,'(Ref) Countries'!A:B,2,)&amp;IF(LEN(C137)&gt;1,"-"&amp;LOWER(SUBSTITUTE(C137," ","-")),"")&amp;"-"&amp;LOWER(SUBSTITUTE(SUBSTITUTE(G137," ","-"),".",""))&amp;".md","")</f>
        <v>ph-shrine-of-our-lady-of-caysasay.md</v>
      </c>
      <c r="BZ137" s="29" t="str">
        <f>IF(LEN(Y137)&gt;1,VLOOKUP(Y137,'Tag List'!$A:$B,2,),"")</f>
        <v/>
      </c>
      <c r="CA137" s="29" t="str">
        <f>IF(LEN(Z137)&gt;1,VLOOKUP(Z137,'Tag List'!$A:$B,2,),"")</f>
        <v/>
      </c>
      <c r="CB137" s="29" t="str">
        <f>IF(LEN(AA137)&gt;1,VLOOKUP(AA137,'Tag List'!$A:$B,2,),"")</f>
        <v/>
      </c>
      <c r="CC137" s="30" t="str">
        <f>IF(LEN(Y137)&gt;1,GetTagPage(BZ137,Y137),"")</f>
        <v/>
      </c>
      <c r="CD137" s="30" t="str">
        <f>IF(LEN(Z137)&gt;1,GetTagPage(CA137,Z137),"")</f>
        <v/>
      </c>
      <c r="CE137" s="30" t="str">
        <f>IF(LEN(AA137)&gt;1,GetTagPage(CB137,AA137),"")</f>
        <v/>
      </c>
      <c r="CF137" s="30" t="str">
        <f>"|"&amp;IF(LEN(CC137)&gt;1," "&amp;CC137,"")&amp;IF(LEN(CD137)&gt;1,", "&amp;CD137,"")&amp;IF(LEN(CE137)&gt;1,", "&amp;CE137,"")&amp;" "</f>
        <v xml:space="preserve">| </v>
      </c>
      <c r="CG137" s="30" t="str">
        <f>"| "&amp;IF(AR137,"["&amp;AI137&amp;"](/places/"&amp;SUBSTITUTE(BY137,".md","")&amp;")",AI137)&amp;" "</f>
        <v xml:space="preserve">| [Caysasay](/places/ph-shrine-of-our-lady-of-caysasay) </v>
      </c>
      <c r="CH137" s="30" t="str">
        <f>"| "&amp;IF(AR137,GetTagPage(B137,VLOOKUP(B137,'(Ref) Countries'!A:C,3,)),B137)&amp; " "</f>
        <v xml:space="preserve">| [Philippines](/tags/philippines) </v>
      </c>
      <c r="CI137" s="30" t="str">
        <f>"| "&amp;AJ137&amp;" "</f>
        <v xml:space="preserve">| 1603 </v>
      </c>
      <c r="CJ137" s="30" t="str">
        <f>"|"&amp;IF(AR137," [Link](/places/"&amp;SUBSTITUTE(BY137,".md","")&amp;")","")&amp;" "</f>
        <v xml:space="preserve">| [Link](/places/ph-shrine-of-our-lady-of-caysasay) </v>
      </c>
      <c r="CK137" s="29" t="str">
        <f>"
"&amp;CG137&amp;CH137&amp;CI137&amp;CJ137&amp;BL137&amp;BQ137&amp;BR137&amp;BS137&amp;CF137&amp;"|"</f>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38" spans="1:89" ht="25.5" x14ac:dyDescent="0.25">
      <c r="A138" s="168" t="s">
        <v>1049</v>
      </c>
      <c r="B138" s="24" t="s">
        <v>705</v>
      </c>
      <c r="D138" s="15">
        <v>-27.855349035650701</v>
      </c>
      <c r="E138" s="49">
        <v>31.453787971164701</v>
      </c>
      <c r="F138" s="24" t="s">
        <v>1318</v>
      </c>
      <c r="G138" s="53" t="s">
        <v>1318</v>
      </c>
      <c r="H138" s="24" t="s">
        <v>1715</v>
      </c>
      <c r="I138" s="40" t="b">
        <v>1</v>
      </c>
      <c r="J138" s="24" t="b">
        <v>1</v>
      </c>
      <c r="L138" s="24" t="s">
        <v>1333</v>
      </c>
      <c r="M138" s="55"/>
      <c r="N138" s="15" t="s">
        <v>1334</v>
      </c>
      <c r="O138" s="48" t="s">
        <v>1817</v>
      </c>
      <c r="P138" s="60" t="s">
        <v>1818</v>
      </c>
      <c r="Q138" s="15" t="s">
        <v>1815</v>
      </c>
      <c r="Y138" s="15" t="s">
        <v>1319</v>
      </c>
      <c r="AI138" s="85" t="s">
        <v>1303</v>
      </c>
      <c r="AJ138" s="86" t="s">
        <v>1175</v>
      </c>
      <c r="AK138" s="15" t="s">
        <v>324</v>
      </c>
      <c r="AL138" s="15" t="s">
        <v>336</v>
      </c>
      <c r="AM138" s="15" t="s">
        <v>336</v>
      </c>
      <c r="AN138" s="15" t="s">
        <v>336</v>
      </c>
      <c r="AO138" s="15" t="s">
        <v>336</v>
      </c>
      <c r="AP138" s="49" t="s">
        <v>336</v>
      </c>
      <c r="AR138" s="154" t="b">
        <f>IF(OR(A138="Done",A138="In Progress"),TRUE)</f>
        <v>1</v>
      </c>
      <c r="AS138" s="155" t="str">
        <f>"title: """&amp;F138&amp;""""</f>
        <v>title: "Ngome Marian Shrine"</v>
      </c>
      <c r="AT138" s="155" t="str">
        <f>"location: {lat: "&amp;D138&amp;", lng: "&amp;E138&amp;"}"</f>
        <v>location: {lat: -27.8553490356507, lng: 31.4537879711647}</v>
      </c>
      <c r="AU138" s="155" t="str">
        <f>"interest: "&amp;H138</f>
        <v>interest: global</v>
      </c>
      <c r="AV138" s="155" t="str">
        <f>"- "&amp;VLOOKUP(B138,'(Ref) Countries'!A:C,3,)</f>
        <v>- south-africa</v>
      </c>
      <c r="AW138" s="155" t="str">
        <f>IF(LEN(C138)&gt;1,"- "&amp;LOWER(SUBSTITUTE(C138," ","-")),"")</f>
        <v/>
      </c>
      <c r="AX138" s="155" t="str">
        <f>IF(I138,"- churches","")</f>
        <v>- churches</v>
      </c>
      <c r="AY138" s="155" t="str">
        <f>IF(J138,"- marian-sites","")</f>
        <v>- marian-sites</v>
      </c>
      <c r="AZ138" s="155" t="str">
        <f>IF(K138,"- holy-persons","")</f>
        <v/>
      </c>
      <c r="BA138" s="155" t="str">
        <f>IF(LEN(Y138)&gt;0,"- "&amp;Y138,"")</f>
        <v>- reinolda-may</v>
      </c>
      <c r="BB138" s="155" t="str">
        <f>IF(LEN(Z138)&gt;0,"- "&amp;Z138,"")</f>
        <v/>
      </c>
      <c r="BC138" s="155" t="str">
        <f>IF(LEN(AA138)&gt;0,"- "&amp;AA138,"")</f>
        <v/>
      </c>
      <c r="BD138" s="155" t="str">
        <f>IF(LEN(AB138)&gt;0,"- "&amp;AB138,"")</f>
        <v/>
      </c>
      <c r="BE138" s="155" t="str">
        <f>IF(LEN(AC138)&gt;0,"- "&amp;AC138,"")</f>
        <v/>
      </c>
      <c r="BF138" s="155" t="str">
        <f>IF(LEN(AD138)&gt;0,"- "&amp;AD138,"")</f>
        <v/>
      </c>
      <c r="BG138" s="155" t="str">
        <f>IF(LEN(AE138)&gt;0,"- "&amp;AE138,"")</f>
        <v/>
      </c>
      <c r="BH138" s="155" t="str">
        <f>IF(LEN(AF138)&gt;0,"- "&amp;AF138,"")</f>
        <v/>
      </c>
      <c r="BI138" s="155" t="str">
        <f>IF(LEN(AG138)&gt;0,"- "&amp;AG138,"")</f>
        <v/>
      </c>
      <c r="BJ138" s="155" t="str">
        <f>IF(LEN(AH138)&gt;0,"- "&amp;AH138,"")</f>
        <v/>
      </c>
      <c r="BK138" s="155" t="str">
        <f>"tags:"&amp;CHAR(10)&amp;concatl(AV138:BJ138)</f>
        <v xml:space="preserve">tags:
- south-africa_x000D_
- churches_x000D_
- marian-sites_x000D_
- reinolda-may_x000D_
</v>
      </c>
      <c r="BL138" s="158" t="str">
        <f>IF(LEN(N138)&gt;0,TRIM(CONCATENATE("[Official site](",N138,") ",O138)),"")</f>
        <v>[Official site](http://www.ngome.co.za/) (note: website not active at time of writing)</v>
      </c>
      <c r="BM138" s="158" t="str">
        <f>IF(LEN(Q138)&gt;0,TRIM(CONCATENATE("["&amp;P138&amp;"](",Q138,") ",R138)),"")</f>
        <v>[Official Facebook page](https://www.facebook.com/ngomemarianshrine/)</v>
      </c>
      <c r="BN138" s="158" t="str">
        <f>IF(LEN(T138)&gt;0,TRIM(CONCATENATE("["&amp;S138&amp;"](",T138,") ",U138)),"")</f>
        <v/>
      </c>
      <c r="BO138" s="158" t="str">
        <f>IF(LEN(W138)&gt;0,TRIM(CONCATENATE("["&amp;V138&amp;"](",W138,") ",X138)),"")</f>
        <v/>
      </c>
      <c r="BP138" s="158" t="str">
        <f>IF(LEN(BL138)&gt;0,"* "&amp;BL138&amp;CHAR(10),"")&amp;
IF(LEN(BM138)&gt;0,"* "&amp;BM138&amp;CHAR(10),"")&amp;
IF(LEN(BN138)&gt;0,"* "&amp;BN138&amp;CHAR(10),"")&amp;
IF(LEN(BO138)&gt;0,"* "&amp;BO138&amp;CHAR(10),"")</f>
        <v xml:space="preserve">* [Official site](http://www.ngome.co.za/) (note: website not active at time of writing)
* [Official Facebook page](https://www.facebook.com/ngomemarianshrine/)
</v>
      </c>
      <c r="BQ138" s="158" t="str">
        <f>IF(LEN(AK138)&gt;0,TRIM(CONCATENATE("[Link](",AK138,") ",AL138)),"")</f>
        <v>[Link](http://www.therealpresence.org/eucharst/misc/BVM/124_NGOME_140x96.pdf)</v>
      </c>
      <c r="BR138" s="158" t="str">
        <f>IF(LEN(AM138)&gt;0,TRIM(CONCATENATE("[Link](",AM138,") ",AN138)),"")</f>
        <v/>
      </c>
      <c r="BS138" s="158" t="str">
        <f>IF(LEN(AO138)&gt;0,TRIM(CONCATENATE("[Link](",AO138,") ",AP138)),"")</f>
        <v/>
      </c>
      <c r="BT138" s="158" t="str">
        <f>IF(LEN(concat(BQ138:BS138))&gt;0,concat("| ",BQ138," | ",BR138," | ",BS138," |"),"")</f>
        <v>| [Link](http://www.therealpresence.org/eucharst/misc/BVM/124_NGOME_140x96.pdf) |  |  |</v>
      </c>
      <c r="BU138" s="155" t="str">
        <f>IF(J138,concatl("| The Real Presence | Miracle Hunter | MaryPages |","| --- | --- | --- |",BT138),"")</f>
        <v xml:space="preserve">| The Real Presence | Miracle Hunter | MaryPages |_x000D_
| --- | --- | --- |_x000D_
| [Link](http://www.therealpresence.org/eucharst/misc/BVM/124_NGOME_140x96.pdf) |  |  |_x000D_
</v>
      </c>
      <c r="BV138" s="155" t="str">
        <f>IF(LEN(BP138&amp;BU138)&gt;0,concatll("#### More Information",BP138,BU138),"")</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138" s="155" t="str">
        <f>IF(LEN(M138)&gt;1,concatll("#### Author's Note",M138),"")</f>
        <v/>
      </c>
      <c r="BX138" s="23" t="str">
        <f>IF(AR138,concatll(concatl("---",AS138:AU138,BK138,"---"),L138,BV138:BW138),"")</f>
        <v xml:space="preserve">---_x000D_
title: "Ngome Marian Shrine"_x000D_
location: {lat: -27.8553490356507, lng: 31.4537879711647}_x000D_
interest: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138" s="23" t="str">
        <f>IF(AR138,VLOOKUP(B138,'(Ref) Countries'!A:B,2,)&amp;IF(LEN(C138)&gt;1,"-"&amp;LOWER(SUBSTITUTE(C138," ","-")),"")&amp;"-"&amp;LOWER(SUBSTITUTE(SUBSTITUTE(G138," ","-"),".",""))&amp;".md","")</f>
        <v>za-ngome-marian-shrine.md</v>
      </c>
      <c r="BZ138" s="29" t="str">
        <f>IF(LEN(Y138)&gt;1,VLOOKUP(Y138,'Tag List'!$A:$B,2,),"")</f>
        <v>S.D. Reinolda May, OSB</v>
      </c>
      <c r="CA138" s="29" t="str">
        <f>IF(LEN(Z138)&gt;1,VLOOKUP(Z138,'Tag List'!$A:$B,2,),"")</f>
        <v/>
      </c>
      <c r="CB138" s="29" t="str">
        <f>IF(LEN(AA138)&gt;1,VLOOKUP(AA138,'Tag List'!$A:$B,2,),"")</f>
        <v/>
      </c>
      <c r="CC138" s="30" t="str">
        <f>IF(LEN(Y138)&gt;1,GetTagPage(BZ138,Y138),"")</f>
        <v>[S.D. Reinolda May, OSB](/tags/reinolda-may)</v>
      </c>
      <c r="CD138" s="30" t="str">
        <f>IF(LEN(Z138)&gt;1,GetTagPage(CA138,Z138),"")</f>
        <v/>
      </c>
      <c r="CE138" s="30" t="str">
        <f>IF(LEN(AA138)&gt;1,GetTagPage(CB138,AA138),"")</f>
        <v/>
      </c>
      <c r="CF138" s="30" t="str">
        <f>"|"&amp;IF(LEN(CC138)&gt;1," "&amp;CC138,"")&amp;IF(LEN(CD138)&gt;1,", "&amp;CD138,"")&amp;IF(LEN(CE138)&gt;1,", "&amp;CE138,"")&amp;" "</f>
        <v xml:space="preserve">| [S.D. Reinolda May, OSB](/tags/reinolda-may) </v>
      </c>
      <c r="CG138" s="30" t="str">
        <f>"| "&amp;IF(AR138,"["&amp;AI138&amp;"](/places/"&amp;SUBSTITUTE(BY138,".md","")&amp;")",AI138)&amp;" "</f>
        <v xml:space="preserve">| [Ngome](/places/za-ngome-marian-shrine) </v>
      </c>
      <c r="CH138" s="30" t="str">
        <f>"| "&amp;IF(AR138,GetTagPage(B138,VLOOKUP(B138,'(Ref) Countries'!A:C,3,)),B138)&amp; " "</f>
        <v xml:space="preserve">| [South Africa](/tags/south-africa) </v>
      </c>
      <c r="CI138" s="30" t="str">
        <f>"| "&amp;AJ138&amp;" "</f>
        <v xml:space="preserve">| 1955-1971 </v>
      </c>
      <c r="CJ138" s="30" t="str">
        <f>"|"&amp;IF(AR138," [Link](/places/"&amp;SUBSTITUTE(BY138,".md","")&amp;")","")&amp;" "</f>
        <v xml:space="preserve">| [Link](/places/za-ngome-marian-shrine) </v>
      </c>
      <c r="CK138" s="29" t="str">
        <f>"
"&amp;CG138&amp;CH138&amp;CI138&amp;CJ138&amp;BL138&amp;BQ138&amp;BR138&amp;BS138&amp;CF138&amp;"|"</f>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139" spans="1:89" ht="76.5" x14ac:dyDescent="0.25">
      <c r="A139" s="168" t="s">
        <v>1049</v>
      </c>
      <c r="B139" s="24" t="s">
        <v>735</v>
      </c>
      <c r="D139" s="15">
        <v>52.880559553822799</v>
      </c>
      <c r="E139" s="49">
        <v>0.85276071534114095</v>
      </c>
      <c r="F139" s="24" t="s">
        <v>1353</v>
      </c>
      <c r="G139" s="53" t="s">
        <v>334</v>
      </c>
      <c r="H139" s="24" t="s">
        <v>1715</v>
      </c>
      <c r="I139" s="40" t="b">
        <v>1</v>
      </c>
      <c r="J139" s="24" t="b">
        <v>1</v>
      </c>
      <c r="L139" s="24" t="s">
        <v>1351</v>
      </c>
      <c r="N139" s="15" t="s">
        <v>1352</v>
      </c>
      <c r="O139" s="15" t="s">
        <v>336</v>
      </c>
      <c r="Y139" s="15" t="s">
        <v>336</v>
      </c>
      <c r="AI139" s="85" t="s">
        <v>1182</v>
      </c>
      <c r="AJ139" s="86" t="s">
        <v>1063</v>
      </c>
      <c r="AK139" s="15" t="s">
        <v>184</v>
      </c>
      <c r="AL139" s="15" t="s">
        <v>336</v>
      </c>
      <c r="AM139" s="15" t="s">
        <v>1350</v>
      </c>
      <c r="AN139" s="15" t="s">
        <v>336</v>
      </c>
      <c r="AO139" s="15" t="s">
        <v>1354</v>
      </c>
      <c r="AP139" s="49" t="s">
        <v>336</v>
      </c>
      <c r="AR139" s="154" t="b">
        <f>IF(OR(A139="Done",A139="In Progress"),TRUE)</f>
        <v>1</v>
      </c>
      <c r="AS139" s="155" t="str">
        <f>"title: """&amp;F139&amp;""""</f>
        <v>title: "Catholic National Shrine and Basilica of Our Lady of Walsingham"</v>
      </c>
      <c r="AT139" s="155" t="str">
        <f>"location: {lat: "&amp;D139&amp;", lng: "&amp;E139&amp;"}"</f>
        <v>location: {lat: 52.8805595538228, lng: 0.852760715341141}</v>
      </c>
      <c r="AU139" s="155" t="str">
        <f>"interest: "&amp;H139</f>
        <v>interest: global</v>
      </c>
      <c r="AV139" s="155" t="str">
        <f>"- "&amp;VLOOKUP(B139,'(Ref) Countries'!A:C,3,)</f>
        <v>- uk</v>
      </c>
      <c r="AW139" s="155" t="str">
        <f>IF(LEN(C139)&gt;1,"- "&amp;LOWER(SUBSTITUTE(C139," ","-")),"")</f>
        <v/>
      </c>
      <c r="AX139" s="155" t="str">
        <f>IF(I139,"- churches","")</f>
        <v>- churches</v>
      </c>
      <c r="AY139" s="155" t="str">
        <f>IF(J139,"- marian-sites","")</f>
        <v>- marian-sites</v>
      </c>
      <c r="AZ139" s="155" t="str">
        <f>IF(K139,"- holy-persons","")</f>
        <v/>
      </c>
      <c r="BA139" s="155" t="str">
        <f>IF(LEN(Y139)&gt;0,"- "&amp;Y139,"")</f>
        <v/>
      </c>
      <c r="BB139" s="155" t="str">
        <f>IF(LEN(Z139)&gt;0,"- "&amp;Z139,"")</f>
        <v/>
      </c>
      <c r="BC139" s="155" t="str">
        <f>IF(LEN(AA139)&gt;0,"- "&amp;AA139,"")</f>
        <v/>
      </c>
      <c r="BD139" s="155" t="str">
        <f>IF(LEN(AB139)&gt;0,"- "&amp;AB139,"")</f>
        <v/>
      </c>
      <c r="BE139" s="155" t="str">
        <f>IF(LEN(AC139)&gt;0,"- "&amp;AC139,"")</f>
        <v/>
      </c>
      <c r="BF139" s="155" t="str">
        <f>IF(LEN(AD139)&gt;0,"- "&amp;AD139,"")</f>
        <v/>
      </c>
      <c r="BG139" s="155" t="str">
        <f>IF(LEN(AE139)&gt;0,"- "&amp;AE139,"")</f>
        <v/>
      </c>
      <c r="BH139" s="155" t="str">
        <f>IF(LEN(AF139)&gt;0,"- "&amp;AF139,"")</f>
        <v/>
      </c>
      <c r="BI139" s="155" t="str">
        <f>IF(LEN(AG139)&gt;0,"- "&amp;AG139,"")</f>
        <v/>
      </c>
      <c r="BJ139" s="155" t="str">
        <f>IF(LEN(AH139)&gt;0,"- "&amp;AH139,"")</f>
        <v/>
      </c>
      <c r="BK139" s="155" t="str">
        <f>"tags:"&amp;CHAR(10)&amp;concatl(AV139:BJ139)</f>
        <v xml:space="preserve">tags:
- uk_x000D_
- churches_x000D_
- marian-sites_x000D_
</v>
      </c>
      <c r="BL139" s="158" t="str">
        <f>IF(LEN(N139)&gt;0,TRIM(CONCATENATE("[Official site](",N139,") ",O139)),"")</f>
        <v>[Official site](https://www.walsingham.org.uk/)</v>
      </c>
      <c r="BM139" s="158" t="str">
        <f>IF(LEN(Q139)&gt;0,TRIM(CONCATENATE("["&amp;P139&amp;"](",Q139,") ",R139)),"")</f>
        <v/>
      </c>
      <c r="BN139" s="158" t="str">
        <f>IF(LEN(T139)&gt;0,TRIM(CONCATENATE("["&amp;S139&amp;"](",T139,") ",U139)),"")</f>
        <v/>
      </c>
      <c r="BO139" s="158" t="str">
        <f>IF(LEN(W139)&gt;0,TRIM(CONCATENATE("["&amp;V139&amp;"](",W139,") ",X139)),"")</f>
        <v/>
      </c>
      <c r="BP139" s="158" t="str">
        <f>IF(LEN(BL139)&gt;0,"* "&amp;BL139&amp;CHAR(10),"")&amp;
IF(LEN(BM139)&gt;0,"* "&amp;BM139&amp;CHAR(10),"")&amp;
IF(LEN(BN139)&gt;0,"* "&amp;BN139&amp;CHAR(10),"")&amp;
IF(LEN(BO139)&gt;0,"* "&amp;BO139&amp;CHAR(10),"")</f>
        <v xml:space="preserve">* [Official site](https://www.walsingham.org.uk/)
</v>
      </c>
      <c r="BQ139" s="158" t="str">
        <f>IF(LEN(AK139)&gt;0,TRIM(CONCATENATE("[Link](",AK139,") ",AL139)),"")</f>
        <v>[Link](http://www.therealpresence.org/eucharst/misc/BVM/153_WALSINGHAM_60x96.pdf)</v>
      </c>
      <c r="BR139" s="158" t="str">
        <f>IF(LEN(AM139)&gt;0,TRIM(CONCATENATE("[Link](",AM139,") ",AN139)),"")</f>
        <v>[Link](https://www.miraclehunter.com/marian_apparitions/approved_apparitions/walsingham/index.html)</v>
      </c>
      <c r="BS139" s="158" t="str">
        <f>IF(LEN(AO139)&gt;0,TRIM(CONCATENATE("[Link](",AO139,") ",AP139)),"")</f>
        <v>[Link](https://www.marypages.com/our-lady-of-walsingham-en.html)</v>
      </c>
      <c r="BT139" s="158" t="str">
        <f>IF(LEN(concat(BQ139:BS139))&gt;0,concat("| ",BQ139," | ",BR139," | ",BS139," |"),"")</f>
        <v>| [Link](http://www.therealpresence.org/eucharst/misc/BVM/153_WALSINGHAM_60x96.pdf) | [Link](https://www.miraclehunter.com/marian_apparitions/approved_apparitions/walsingham/index.html) | [Link](https://www.marypages.com/our-lady-of-walsingham-en.html) |</v>
      </c>
      <c r="BU139" s="155" t="str">
        <f>IF(J139,concatl("| The Real Presence | Miracle Hunter | MaryPages |","| --- | --- | --- |",BT139),"")</f>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139" s="155" t="str">
        <f>IF(LEN(BP139&amp;BU139)&gt;0,concatll("#### More Information",BP139,BU139),"")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139" s="155" t="str">
        <f>IF(LEN(M139)&gt;1,concatll("#### Author's Note",M139),"")</f>
        <v/>
      </c>
      <c r="BX139" s="23" t="str">
        <f>IF(AR139,concatll(concatl("---",AS139:AU139,BK139,"---"),L139,BV139:BW139),"")</f>
        <v xml:space="preserve">---_x000D_
title: "Catholic National Shrine and Basilica of Our Lady of Walsingham"_x000D_
location: {lat: 52.8805595538228, lng: 0.852760715341141}_x000D_
interest: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139" s="23" t="str">
        <f>IF(AR139,VLOOKUP(B139,'(Ref) Countries'!A:B,2,)&amp;IF(LEN(C139)&gt;1,"-"&amp;LOWER(SUBSTITUTE(C139," ","-")),"")&amp;"-"&amp;LOWER(SUBSTITUTE(SUBSTITUTE(G139," ","-"),".",""))&amp;".md","")</f>
        <v>gb-basilica-of-our-lady-of-walsingham.md</v>
      </c>
      <c r="BZ139" s="29" t="str">
        <f>IF(LEN(Y139)&gt;1,VLOOKUP(Y139,'Tag List'!$A:$B,2,),"")</f>
        <v/>
      </c>
      <c r="CA139" s="29" t="str">
        <f>IF(LEN(Z139)&gt;1,VLOOKUP(Z139,'Tag List'!$A:$B,2,),"")</f>
        <v/>
      </c>
      <c r="CB139" s="29" t="str">
        <f>IF(LEN(AA139)&gt;1,VLOOKUP(AA139,'Tag List'!$A:$B,2,),"")</f>
        <v/>
      </c>
      <c r="CC139" s="30" t="str">
        <f>IF(LEN(Y139)&gt;1,GetTagPage(BZ139,Y139),"")</f>
        <v/>
      </c>
      <c r="CD139" s="30" t="str">
        <f>IF(LEN(Z139)&gt;1,GetTagPage(CA139,Z139),"")</f>
        <v/>
      </c>
      <c r="CE139" s="30" t="str">
        <f>IF(LEN(AA139)&gt;1,GetTagPage(CB139,AA139),"")</f>
        <v/>
      </c>
      <c r="CF139" s="30" t="str">
        <f>"|"&amp;IF(LEN(CC139)&gt;1," "&amp;CC139,"")&amp;IF(LEN(CD139)&gt;1,", "&amp;CD139,"")&amp;IF(LEN(CE139)&gt;1,", "&amp;CE139,"")&amp;" "</f>
        <v xml:space="preserve">| </v>
      </c>
      <c r="CG139" s="30" t="str">
        <f>"| "&amp;IF(AR139,"["&amp;AI139&amp;"](/places/"&amp;SUBSTITUTE(BY139,".md","")&amp;")",AI139)&amp;" "</f>
        <v xml:space="preserve">| [Walsingham](/places/gb-basilica-of-our-lady-of-walsingham) </v>
      </c>
      <c r="CH139" s="30" t="str">
        <f>"| "&amp;IF(AR139,GetTagPage(B139,VLOOKUP(B139,'(Ref) Countries'!A:C,3,)),B139)&amp; " "</f>
        <v xml:space="preserve">| [United Kingdom](/tags/uk) </v>
      </c>
      <c r="CI139" s="30" t="str">
        <f>"| "&amp;AJ139&amp;" "</f>
        <v xml:space="preserve">| 11th Century </v>
      </c>
      <c r="CJ139" s="30" t="str">
        <f>"|"&amp;IF(AR139," [Link](/places/"&amp;SUBSTITUTE(BY139,".md","")&amp;")","")&amp;" "</f>
        <v xml:space="preserve">| [Link](/places/gb-basilica-of-our-lady-of-walsingham) </v>
      </c>
      <c r="CK139" s="29" t="str">
        <f>"
"&amp;CG139&amp;CH139&amp;CI139&amp;CJ139&amp;BL139&amp;BQ139&amp;BR139&amp;BS139&amp;CF139&amp;"|"</f>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89" ht="51" x14ac:dyDescent="0.25">
      <c r="A140" s="168" t="s">
        <v>2518</v>
      </c>
      <c r="B140" s="24" t="s">
        <v>2509</v>
      </c>
      <c r="C140" s="24" t="s">
        <v>2502</v>
      </c>
      <c r="D140" s="15" t="s">
        <v>341</v>
      </c>
      <c r="E140" s="49" t="s">
        <v>2501</v>
      </c>
      <c r="F140" s="32" t="s">
        <v>2503</v>
      </c>
      <c r="G140" s="57" t="s">
        <v>2504</v>
      </c>
      <c r="H140" s="32" t="s">
        <v>2505</v>
      </c>
      <c r="I140" s="40" t="s">
        <v>2506</v>
      </c>
      <c r="J140" s="24" t="s">
        <v>2507</v>
      </c>
      <c r="K140" s="24" t="s">
        <v>2508</v>
      </c>
      <c r="L140" s="47" t="s">
        <v>2510</v>
      </c>
      <c r="M140" s="53" t="s">
        <v>2511</v>
      </c>
      <c r="N140" s="141" t="s">
        <v>2512</v>
      </c>
      <c r="O140" s="15" t="s">
        <v>2513</v>
      </c>
      <c r="P140" s="60" t="s">
        <v>1775</v>
      </c>
      <c r="Q140" s="15" t="s">
        <v>1776</v>
      </c>
      <c r="R140" s="64" t="s">
        <v>2514</v>
      </c>
      <c r="S140" s="60" t="s">
        <v>1779</v>
      </c>
      <c r="T140" s="15" t="s">
        <v>1780</v>
      </c>
      <c r="U140" s="64" t="s">
        <v>2515</v>
      </c>
      <c r="V140" s="15" t="s">
        <v>1782</v>
      </c>
      <c r="W140" s="15" t="s">
        <v>1783</v>
      </c>
      <c r="X140" s="49" t="s">
        <v>2516</v>
      </c>
      <c r="Y140" s="15" t="s">
        <v>2517</v>
      </c>
      <c r="AI140" s="142" t="s">
        <v>336</v>
      </c>
      <c r="AJ140" s="143" t="s">
        <v>336</v>
      </c>
      <c r="AK140" s="141" t="s">
        <v>336</v>
      </c>
      <c r="AL140" s="141" t="s">
        <v>336</v>
      </c>
      <c r="AM140" s="141" t="s">
        <v>336</v>
      </c>
      <c r="AN140" s="141" t="s">
        <v>336</v>
      </c>
      <c r="AO140" s="141" t="s">
        <v>336</v>
      </c>
      <c r="AP140" s="144" t="s">
        <v>336</v>
      </c>
      <c r="AR140" s="154" t="b">
        <f>IF(OR(A140="Done",A140="In Progress"),TRUE)</f>
        <v>0</v>
      </c>
      <c r="AS140" s="155" t="str">
        <f>"title: """&amp;F140&amp;""""</f>
        <v>title: "Page Title (what will display on website)"</v>
      </c>
      <c r="AT140" s="155" t="str">
        <f>"location: {lat: "&amp;D140&amp;", lng: "&amp;E140&amp;"}"</f>
        <v>location: {lat: Lat, lng: Lon}</v>
      </c>
      <c r="AU140" s="155" t="str">
        <f>"level: "&amp;H140</f>
        <v>level: Interest Level</v>
      </c>
      <c r="AV140" s="155" t="e">
        <f>"- "&amp;VLOOKUP(B140,'(Ref) Countries'!A:C,3,)</f>
        <v>#N/A</v>
      </c>
      <c r="AW140" s="155" t="str">
        <f>IF(LEN(C140)&gt;1,"- "&amp;LOWER(SUBSTITUTE(C140," ","-")),"")</f>
        <v>- region/city-(optional---refer-to-existing-list)</v>
      </c>
      <c r="AX140" s="155" t="e">
        <f>IF(I140,"- churches","")</f>
        <v>#VALUE!</v>
      </c>
      <c r="AY140" s="155" t="e">
        <f>IF(J140,"- marian-sites","")</f>
        <v>#VALUE!</v>
      </c>
      <c r="AZ140" s="155" t="e">
        <f>IF(K140,"- holy-persons","")</f>
        <v>#VALUE!</v>
      </c>
      <c r="BA140" s="155" t="str">
        <f>IF(LEN(Y140)&gt;0,"- "&amp;Y140,"")</f>
        <v>- Additional Tags (must add to tag sheet)</v>
      </c>
      <c r="BB140" s="155" t="str">
        <f>IF(LEN(Z140)&gt;0,"- "&amp;Z140,"")</f>
        <v/>
      </c>
      <c r="BC140" s="155" t="str">
        <f>IF(LEN(AA140)&gt;0,"- "&amp;AA140,"")</f>
        <v/>
      </c>
      <c r="BD140" s="155" t="str">
        <f>IF(LEN(AB140)&gt;0,"- "&amp;AB140,"")</f>
        <v/>
      </c>
      <c r="BE140" s="155" t="str">
        <f>IF(LEN(AC140)&gt;0,"- "&amp;AC140,"")</f>
        <v/>
      </c>
      <c r="BF140" s="155" t="str">
        <f>IF(LEN(AD140)&gt;0,"- "&amp;AD140,"")</f>
        <v/>
      </c>
      <c r="BG140" s="155" t="str">
        <f>IF(LEN(AE140)&gt;0,"- "&amp;AE140,"")</f>
        <v/>
      </c>
      <c r="BH140" s="155" t="str">
        <f>IF(LEN(AF140)&gt;0,"- "&amp;AF140,"")</f>
        <v/>
      </c>
      <c r="BI140" s="155" t="str">
        <f>IF(LEN(AG140)&gt;0,"- "&amp;AG140,"")</f>
        <v/>
      </c>
      <c r="BJ140" s="155" t="str">
        <f>IF(LEN(AH140)&gt;0,"- "&amp;AH140,"")</f>
        <v/>
      </c>
      <c r="BK140" s="155" t="e">
        <f>"tags:"&amp;CHAR(10)&amp;concatl(AV140:BJ140)</f>
        <v>#VALUE!</v>
      </c>
      <c r="BL140" s="158" t="str">
        <f>IF(LEN(N140)&gt;0,TRIM(CONCATENATE("[Official site](",N140,") ",O140)),"")</f>
        <v>[Official site](Official URL) Comment</v>
      </c>
      <c r="BM140" s="158" t="str">
        <f>IF(LEN(Q140)&gt;0,TRIM(CONCATENATE("["&amp;P140&amp;"](",Q140,") ",R140)),"")</f>
        <v>[Link 1 Name](Link 1 URL) Link 1 Comment</v>
      </c>
      <c r="BN140" s="158" t="str">
        <f>IF(LEN(T140)&gt;0,TRIM(CONCATENATE("["&amp;S140&amp;"](",T140,") ",U140)),"")</f>
        <v>[Link 2 Name](Link 2 URL) Link 2 Comment</v>
      </c>
      <c r="BO140" s="158" t="str">
        <f>IF(LEN(W140)&gt;0,TRIM(CONCATENATE("["&amp;V140&amp;"](",W140,") ",X140)),"")</f>
        <v>[Link 3 Name](Link 3 URL) Link 3 Comment</v>
      </c>
      <c r="BP140" s="158" t="str">
        <f>IF(LEN(BL140)&gt;0,"* "&amp;BL140&amp;CHAR(10),"")&amp;
IF(LEN(BM140)&gt;0,"* "&amp;BM140&amp;CHAR(10),"")&amp;
IF(LEN(BN140)&gt;0,"* "&amp;BN140&amp;CHAR(10),"")&amp;
IF(LEN(BO140)&gt;0,"* "&amp;BO140&amp;CHAR(10),"")</f>
        <v xml:space="preserve">* [Official site](Official URL) Comment
* [Link 1 Name](Link 1 URL) Link 1 Comment
* [Link 2 Name](Link 2 URL) Link 2 Comment
* [Link 3 Name](Link 3 URL) Link 3 Comment
</v>
      </c>
      <c r="BQ140" s="158" t="str">
        <f>IF(LEN(AK140)&gt;0,TRIM(CONCATENATE("[Link](",AK140,") ",AL140)),"")</f>
        <v/>
      </c>
      <c r="BR140" s="158" t="str">
        <f>IF(LEN(AM140)&gt;0,TRIM(CONCATENATE("[Link](",AM140,") ",AN140)),"")</f>
        <v/>
      </c>
      <c r="BS140" s="158" t="str">
        <f>IF(LEN(AO140)&gt;0,TRIM(CONCATENATE("[Link](",AO140,") ",AP140)),"")</f>
        <v/>
      </c>
      <c r="BT140" s="158" t="str">
        <f>IF(LEN(concat(BQ140:BS140))&gt;0,concat("| ",BQ140," | ",BR140," | ",BS140," |"),"")</f>
        <v/>
      </c>
      <c r="BU140" s="155" t="e">
        <f>IF(J140,concatl("| The Real Presence | Miracle Hunter | MaryPages |","| --- | --- | --- |",BT140),"")</f>
        <v>#VALUE!</v>
      </c>
      <c r="BV140" s="155" t="e">
        <f>IF(LEN(BP140&amp;BU140)&gt;0,concatll("#### More Information",BP140,BU140),"")</f>
        <v>#VALUE!</v>
      </c>
      <c r="BW140" s="155" t="str">
        <f>IF(LEN(M140)&gt;1,concatll("#### Author's Note",M140),"")</f>
        <v xml:space="preserve">#### Author's Note_x000D_
_x000D_
Non-referenceable information which you've found, or any other opinions/preferences_x000D_
_x000D_
</v>
      </c>
      <c r="BX140" s="23" t="str">
        <f>IF(AR140,concatll(concatl("---",AS140:AU140,BK140,"---"),L140,BV140:BW140),"")</f>
        <v/>
      </c>
      <c r="BY140" s="23" t="str">
        <f>IF(AR140,VLOOKUP(B140,'(Ref) Countries'!A:B,2,)&amp;IF(LEN(C140)&gt;1,"-"&amp;LOWER(SUBSTITUTE(C140," ","-")),"")&amp;"-"&amp;LOWER(SUBSTITUTE(G140," ","-"))&amp;".md","")</f>
        <v/>
      </c>
      <c r="BZ140" s="29" t="e">
        <f>IF(LEN(Y140)&gt;1,VLOOKUP(Y140,'Tag List'!$A:$B,2,),"")</f>
        <v>#N/A</v>
      </c>
      <c r="CA140" s="29" t="str">
        <f>IF(LEN(Z140)&gt;1,VLOOKUP(Z140,'Tag List'!$A:$B,2,),"")</f>
        <v/>
      </c>
      <c r="CB140" s="29" t="str">
        <f>IF(LEN(AA140)&gt;1,VLOOKUP(AA140,'Tag List'!$A:$B,2,),"")</f>
        <v/>
      </c>
      <c r="CC140" s="30" t="e">
        <f>IF(LEN(Y140)&gt;1,GetTagPage(BZ140,Y140),"")</f>
        <v>#VALUE!</v>
      </c>
      <c r="CD140" s="30" t="str">
        <f>IF(LEN(Z140)&gt;1,GetTagPage(CA140,Z140),"")</f>
        <v/>
      </c>
      <c r="CE140" s="30" t="str">
        <f>IF(LEN(AA140)&gt;1,GetTagPage(CB140,AA140),"")</f>
        <v/>
      </c>
      <c r="CF140" s="30" t="e">
        <f>"|"&amp;IF(LEN(CC140)&gt;1," "&amp;CC140,"")&amp;IF(LEN(CD140)&gt;1,", "&amp;CD140,"")&amp;IF(LEN(CE140)&gt;1,", "&amp;CE140,"")&amp;" "</f>
        <v>#VALUE!</v>
      </c>
      <c r="CG140" s="30" t="str">
        <f>"| "&amp;IF(AR140,"["&amp;AI140&amp;"](/places/"&amp;SUBSTITUTE(BY140,".md","")&amp;")",AI140)&amp;" "</f>
        <v xml:space="preserve">|  </v>
      </c>
      <c r="CH140" s="30" t="str">
        <f>"| "&amp;IF(AR140,GetTagPage(B140,VLOOKUP(B140,'(Ref) Countries'!A:C,3,)),B140)&amp; " "</f>
        <v xml:space="preserve">| Country Name </v>
      </c>
      <c r="CI140" s="30" t="str">
        <f>"| "&amp;AJ140&amp;" "</f>
        <v xml:space="preserve">|  </v>
      </c>
      <c r="CJ140" s="30" t="str">
        <f>"|"&amp;IF(AR140," [Link](/places/"&amp;SUBSTITUTE(BY140,".md","")&amp;")","")&amp;" "</f>
        <v xml:space="preserve">| </v>
      </c>
      <c r="CK140" s="29" t="e">
        <f>"
"&amp;CG140&amp;CH140&amp;CI140&amp;CJ140&amp;BL140&amp;BQ140&amp;BR140&amp;BS140&amp;CF140&amp;"|"</f>
        <v>#VALUE!</v>
      </c>
    </row>
    <row r="141" spans="1:89" x14ac:dyDescent="0.25">
      <c r="BY141" s="23"/>
    </row>
  </sheetData>
  <autoFilter ref="A5:CQ135" xr:uid="{A598B8B3-DE60-41C5-96BA-7CC5FA9AD3BE}">
    <sortState xmlns:xlrd2="http://schemas.microsoft.com/office/spreadsheetml/2017/richdata2" ref="A6:CQ141">
      <sortCondition ref="A5:A135"/>
    </sortState>
  </autoFilter>
  <conditionalFormatting sqref="AI1:AP1048576">
    <cfRule type="expression" dxfId="11" priority="108">
      <formula>IF(AND($A1&lt;&gt;0,$J1=0),TRUE,FALSE)</formula>
    </cfRule>
  </conditionalFormatting>
  <conditionalFormatting sqref="A1:AP1048576">
    <cfRule type="expression" dxfId="10" priority="102" stopIfTrue="1">
      <formula>IF($A1="New (change to Done when complete)",TRUE,FALSE)</formula>
    </cfRule>
    <cfRule type="expression" dxfId="9" priority="103" stopIfTrue="1">
      <formula>IF($A1="Blocked",TRUE,FALSE)</formula>
    </cfRule>
    <cfRule type="expression" dxfId="8" priority="104">
      <formula>IF(AND(LEN($A1)&gt;0,$A1&lt;&gt;"Done",$A1&lt;&gt;"Status"),TRUE,FALSE)</formula>
    </cfRule>
  </conditionalFormatting>
  <conditionalFormatting sqref="B1:AP1048576">
    <cfRule type="expression" dxfId="7" priority="1">
      <formula>IF(B1=B$1,TRUE,FALSE)</formula>
    </cfRule>
  </conditionalFormatting>
  <hyperlinks>
    <hyperlink ref="AI56" r:id="rId1" display="http://www.therealpresence.org/eucharst/misc/BVM/09_ZARAGOZA_60x96.pdf" xr:uid="{C32278E4-7B7A-4954-906D-9C47B409BA2E}"/>
    <hyperlink ref="AI12" r:id="rId2" display="http://www.therealpresence.org/eucharst/misc/BVM/68_LE_PUY_60x96.pdf" xr:uid="{CA03B079-2CAD-492C-9E3F-618DC97F1315}"/>
    <hyperlink ref="AI28" r:id="rId3" display="http://www.therealpresence.org/eucharst/misc/BVM/117_ROMA_60x96.pdf" xr:uid="{19903BBD-2E0B-4FC0-B12B-17CA17D1BEAD}"/>
    <hyperlink ref="AI134" r:id="rId4" display="http://www.therealpresence.org/eucharst/misc/BVM/90_TINDARI_60x96.pdf" xr:uid="{5DEB3489-2F6D-49A0-874C-5F62C2659263}"/>
    <hyperlink ref="AI139" r:id="rId5" display="http://www.therealpresence.org/eucharst/misc/BVM/153_WALSINGHAM_60x96.pdf" xr:uid="{F08A0A36-1EB4-43EE-82AF-E0260EA92604}"/>
    <hyperlink ref="AI46" r:id="rId6" display="http://www.therealpresence.org/eucharst/misc/BVM/138_SWIETA_LIPKA_60x96.pdf" xr:uid="{A5DE945D-29BF-4310-B2D2-A673B5065271}"/>
    <hyperlink ref="AI29" r:id="rId7" display="http://www.therealpresence.org/eucharst/misc/BVM/13_VALVERDE_60x96.pdf" xr:uid="{7BCA5074-E5ED-4665-ABB7-0692B0D6A186}"/>
    <hyperlink ref="AI25" r:id="rId8" display="http://www.therealpresence.org/eucharst/misc/BVM/32_VAILANKANNI_60x96.pdf" xr:uid="{489E131A-8E14-46B5-BB24-7DDA799C38FB}"/>
    <hyperlink ref="AI41" r:id="rId9" display="http://www.therealpresence.org/eucharst/misc/BVM/70_GUADALUPE_96x96.pdf" xr:uid="{B1B8B53E-5BAF-460A-AABE-EF5672BC9ACC}"/>
    <hyperlink ref="AI55" r:id="rId10" display="http://www.therealpresence.org/eucharst/misc/BVM/137_SVETA_GORA_60x96.pdf" xr:uid="{DF9F5ACF-66C9-4DC5-971D-5E7894EEDBED}"/>
    <hyperlink ref="AI135" r:id="rId11" display="http://www.therealpresence.org/eucharst/misc/BVM/140_GOZO_60x96.pdf" xr:uid="{12021650-E5C0-4596-B9DA-B5910F446D73}"/>
    <hyperlink ref="AI137" r:id="rId12" display="http://www.therealpresence.org/eucharst/misc/BVM/94_CAYSASAY_60x96.pdf" xr:uid="{E30EF88F-2468-4403-A13B-FC90525FB784}"/>
    <hyperlink ref="AI54" r:id="rId13" display="http://www.therealpresence.org/eucharst/misc/BVM/104_DOROSZLO_60x96.pdf" xr:uid="{D355AD30-56C2-4752-AF84-7613A746082C}"/>
    <hyperlink ref="AI40" r:id="rId14" display="http://www.therealpresence.org/eucharst/misc/BVM/57_SILUVA_96x96.pdf" xr:uid="{57CA58CD-A9F6-41BA-9AFE-3EF68EFC1E97}"/>
    <hyperlink ref="AI45" r:id="rId15" display="http://www.therealpresence.org/eucharst/misc/BVM/88_MANAOAG_60x96.pdf" xr:uid="{9B5AE47B-71F0-4951-BA0C-73F35609D322}"/>
    <hyperlink ref="AI130" r:id="rId16" display="http://www.therealpresence.org/eucharst/misc/BVM/102_CUBA_96x96.pdf" xr:uid="{AE52E191-4C08-4325-AAC1-F431733684EE}"/>
    <hyperlink ref="AI13" r:id="rId17" display="http://www.therealpresence.org/eucharst/misc/BVM/69_LAUS_140x96.pdf" xr:uid="{47EBC17E-3022-4B54-8C06-F6E30985CF34}"/>
    <hyperlink ref="AI9" r:id="rId18" display="http://www.therealpresence.org/eucharst/misc/BVM/109_LAJAS_96x96.pdf" xr:uid="{5E55BC1B-CDB5-4035-B57A-F4F9C4615022}"/>
    <hyperlink ref="AI128" r:id="rId19" display="http://www.therealpresence.org/eucharst/misc/BVM/21_LAVANG_60x96.pdf" xr:uid="{E25E80BB-D05A-4AE7-A237-C4CE83C48226}"/>
    <hyperlink ref="AI49" r:id="rId20" display="http://www.therealpresence.org/eucharst/misc/BVM/110_LICHEN_96x96.pdf" xr:uid="{C3DA243D-69BB-40E7-B6C2-682AC414D5CF}"/>
    <hyperlink ref="AI14" r:id="rId21" display="http://www.therealpresence.org/eucharst/misc/BVM/06_PARIGI_60x96.pdf" xr:uid="{B55806A6-B198-4A9F-8B4E-C8B236010F2F}"/>
    <hyperlink ref="AI30" r:id="rId22" display="http://www.therealpresence.org/eucharst/misc/BVM/23_ROMA_60x96.pdf" xr:uid="{04873456-C162-4CCF-A15B-B99C615CE702}"/>
    <hyperlink ref="AI15" r:id="rId23" display="http://www.therealpresence.org/eucharst/misc/BVM/30_LA_SALETTE_96x96.pdf" xr:uid="{196A5320-6676-4EF1-8332-90C055C3F324}"/>
    <hyperlink ref="AI16" r:id="rId24" display="http://www.therealpresence.org/eucharst/misc/BVM/40_LOURDES_140x96.pdf" xr:uid="{0E442E49-F47F-4E39-B0F8-7BD5EE632E6A}"/>
    <hyperlink ref="AI10" r:id="rId25" display="http://www.therealpresence.org/eucharst/misc/BVM/89_FILIPOV_96x96.pdf" xr:uid="{487ABD3A-F8BB-4BE0-ACFC-033D0C037295}"/>
    <hyperlink ref="AI17" r:id="rId26" display="http://www.therealpresence.org/eucharst/misc/BVM/26_PONTMAIN_60x96.pdf" xr:uid="{1C4295E7-38F2-4746-9EA4-3167D315BC85}"/>
    <hyperlink ref="AI131" r:id="rId27" display="http://www.therealpresence.org/eucharst/misc/BVM/07_PELLEVOISIN_60x96.pdf" xr:uid="{D2B26C3B-937B-4D07-805A-79B71B01D389}"/>
    <hyperlink ref="AI50" r:id="rId28" display="http://www.therealpresence.org/eucharst/misc/BVM/85_GIETRZALD_96x96.pdf" xr:uid="{2E378F3D-BCCF-40CC-B461-739D7CE2DB36}"/>
    <hyperlink ref="AI27" r:id="rId29" display="http://www.therealpresence.org/eucharst/misc/BVM/63_KNOCK_60x96.pdf" xr:uid="{7AEA5702-3D74-45DC-BBA5-772B410C7ABB}"/>
    <hyperlink ref="AI52" r:id="rId30" display="http://www.therealpresence.org/eucharst/misc/BVM/154_FATIMA_96x96_1.pdf" xr:uid="{BBE3D2C4-1E15-438E-874E-7C013CE9F038}"/>
    <hyperlink ref="AI133" r:id="rId31" display="http://www.therealpresence.org/eucharst/misc/BVM/128_KALLIKULAM_60x96.pdf" xr:uid="{EC20155A-4D8F-4B9A-8BC9-AD53DDAA3B2D}"/>
    <hyperlink ref="AI138" r:id="rId32" display="http://www.therealpresence.org/eucharst/misc/BVM/124_NGOME_140x96.pdf" xr:uid="{4235EB2E-6994-48B8-B2B9-BD0AF0481CF3}"/>
    <hyperlink ref="AI11" r:id="rId33" display="http://www.therealpresence.org/eucharst/misc/BVM/144_ZEITUN_96x96.pdf" xr:uid="{0EDD73A9-5A3C-4483-A3C8-1A95818F3C4B}"/>
    <hyperlink ref="AI39" r:id="rId34" display="http://www.therealpresence.org/eucharst/misc/BVM/01_AKITA_60x96.pdf" xr:uid="{FA8314A8-A194-4DAE-9A7E-65EECB2DC573}"/>
    <hyperlink ref="AI136" r:id="rId35" display="http://www.therealpresence.org/eucharst/misc/BVM/16_CUAPA_60x96.pdf" xr:uid="{71244677-A467-4D01-B899-925B6A0E0158}"/>
    <hyperlink ref="AI53" r:id="rId36" display="http://www.therealpresence.org/eucharst/misc/BVM/20_KIBEHO_96x96.pdf" xr:uid="{FF0B29AE-9B16-4798-BF10-3705A44A3613}"/>
  </hyperlinks>
  <pageMargins left="0.7" right="0.7" top="0.75" bottom="0.75" header="0.3" footer="0.3"/>
  <pageSetup orientation="portrait" r:id="rId37"/>
  <drawing r:id="rId38"/>
  <legacyDrawing r:id="rId39"/>
  <mc:AlternateContent xmlns:mc="http://schemas.openxmlformats.org/markup-compatibility/2006">
    <mc:Choice Requires="x14">
      <controls>
        <mc:AlternateContent xmlns:mc="http://schemas.openxmlformats.org/markup-compatibility/2006">
          <mc:Choice Requires="x14">
            <control shapeId="1029" r:id="rId40" name="Button 5">
              <controlPr defaultSize="0" print="0" autoFill="0" autoPict="0" macro="[0]!CopyRowAfterLastRow">
                <anchor moveWithCells="1">
                  <from>
                    <xdr:col>0</xdr:col>
                    <xdr:colOff>47625</xdr:colOff>
                    <xdr:row>1</xdr:row>
                    <xdr:rowOff>28575</xdr:rowOff>
                  </from>
                  <to>
                    <xdr:col>1</xdr:col>
                    <xdr:colOff>600075</xdr:colOff>
                    <xdr:row>2</xdr:row>
                    <xdr:rowOff>123825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1BCE7D4C-278A-4156-90B9-020449CA49D6}">
            <xm:f>IF(AND(LEN(Y1)&lt;&gt;0,ROW(Y1)&gt;1,ISNA(VLOOKUP(Y1,'Tag List'!$A:$B,2,))),TRUE,FALSE)</xm:f>
            <x14:dxf>
              <font>
                <b val="0"/>
                <i/>
                <color rgb="FFFF0000"/>
              </font>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62"/>
  <sheetViews>
    <sheetView workbookViewId="0">
      <pane ySplit="1" topLeftCell="A14" activePane="bottomLeft" state="frozen"/>
      <selection pane="bottomLeft" activeCell="C62" sqref="C62"/>
    </sheetView>
  </sheetViews>
  <sheetFormatPr defaultColWidth="9.140625" defaultRowHeight="12.75" x14ac:dyDescent="0.2"/>
  <cols>
    <col min="1" max="1" width="23.7109375" style="21" bestFit="1" customWidth="1"/>
    <col min="2" max="2" width="46.28515625" style="21" bestFit="1" customWidth="1"/>
    <col min="3" max="3" width="12.140625" style="21" bestFit="1" customWidth="1"/>
    <col min="4" max="16384" width="9.140625" style="21"/>
  </cols>
  <sheetData>
    <row r="1" spans="1:5" s="20" customFormat="1" x14ac:dyDescent="0.2">
      <c r="A1" s="20" t="s">
        <v>1427</v>
      </c>
      <c r="B1" s="20" t="s">
        <v>1428</v>
      </c>
      <c r="C1" s="20" t="s">
        <v>2117</v>
      </c>
    </row>
    <row r="2" spans="1:5" x14ac:dyDescent="0.2">
      <c r="A2" s="21" t="s">
        <v>1035</v>
      </c>
      <c r="B2" s="21" t="s">
        <v>1429</v>
      </c>
      <c r="C2" s="92" t="s">
        <v>1754</v>
      </c>
    </row>
    <row r="3" spans="1:5" x14ac:dyDescent="0.2">
      <c r="A3" s="92" t="s">
        <v>2118</v>
      </c>
      <c r="B3" s="21" t="s">
        <v>1430</v>
      </c>
    </row>
    <row r="4" spans="1:5" x14ac:dyDescent="0.2">
      <c r="A4" s="21" t="s">
        <v>1403</v>
      </c>
      <c r="B4" s="21" t="s">
        <v>1431</v>
      </c>
      <c r="C4" s="21" t="s">
        <v>2123</v>
      </c>
    </row>
    <row r="5" spans="1:5" x14ac:dyDescent="0.2">
      <c r="A5" s="21" t="s">
        <v>998</v>
      </c>
      <c r="B5" s="21" t="s">
        <v>1432</v>
      </c>
      <c r="C5" s="21" t="s">
        <v>2119</v>
      </c>
    </row>
    <row r="6" spans="1:5" x14ac:dyDescent="0.2">
      <c r="A6" s="21" t="s">
        <v>1417</v>
      </c>
      <c r="B6" s="21" t="s">
        <v>1434</v>
      </c>
      <c r="C6" s="92" t="s">
        <v>1754</v>
      </c>
    </row>
    <row r="7" spans="1:5" x14ac:dyDescent="0.2">
      <c r="A7" s="21" t="s">
        <v>486</v>
      </c>
      <c r="B7" s="21" t="s">
        <v>1435</v>
      </c>
      <c r="C7" s="92" t="s">
        <v>1754</v>
      </c>
    </row>
    <row r="8" spans="1:5" x14ac:dyDescent="0.2">
      <c r="A8" s="21" t="s">
        <v>1424</v>
      </c>
      <c r="B8" s="21" t="s">
        <v>1437</v>
      </c>
      <c r="C8" s="92" t="s">
        <v>2119</v>
      </c>
    </row>
    <row r="9" spans="1:5" x14ac:dyDescent="0.2">
      <c r="A9" s="21" t="s">
        <v>487</v>
      </c>
      <c r="B9" s="92" t="s">
        <v>2120</v>
      </c>
      <c r="C9" s="92" t="s">
        <v>1754</v>
      </c>
    </row>
    <row r="10" spans="1:5" x14ac:dyDescent="0.2">
      <c r="A10" s="21" t="s">
        <v>488</v>
      </c>
      <c r="B10" s="21" t="s">
        <v>1436</v>
      </c>
      <c r="C10" s="92" t="s">
        <v>1754</v>
      </c>
    </row>
    <row r="11" spans="1:5" x14ac:dyDescent="0.2">
      <c r="A11" s="21" t="s">
        <v>489</v>
      </c>
      <c r="B11" s="123" t="s">
        <v>2447</v>
      </c>
      <c r="C11" s="92" t="s">
        <v>1754</v>
      </c>
      <c r="E11" s="21" t="s">
        <v>2435</v>
      </c>
    </row>
    <row r="12" spans="1:5" x14ac:dyDescent="0.2">
      <c r="A12" s="21" t="s">
        <v>490</v>
      </c>
      <c r="B12" s="21" t="s">
        <v>1438</v>
      </c>
      <c r="C12" s="92" t="s">
        <v>1754</v>
      </c>
    </row>
    <row r="13" spans="1:5" x14ac:dyDescent="0.2">
      <c r="A13" s="21" t="s">
        <v>1425</v>
      </c>
      <c r="B13" s="21" t="s">
        <v>1439</v>
      </c>
      <c r="C13" s="92" t="s">
        <v>1754</v>
      </c>
    </row>
    <row r="14" spans="1:5" x14ac:dyDescent="0.2">
      <c r="A14" s="21" t="s">
        <v>1319</v>
      </c>
      <c r="B14" s="92" t="s">
        <v>2121</v>
      </c>
      <c r="C14" s="92" t="s">
        <v>1754</v>
      </c>
    </row>
    <row r="15" spans="1:5" x14ac:dyDescent="0.2">
      <c r="A15" s="21" t="s">
        <v>1018</v>
      </c>
      <c r="B15" s="21" t="s">
        <v>1441</v>
      </c>
      <c r="C15" s="92" t="s">
        <v>2123</v>
      </c>
    </row>
    <row r="16" spans="1:5" x14ac:dyDescent="0.2">
      <c r="A16" s="21" t="s">
        <v>1426</v>
      </c>
      <c r="B16" s="21" t="s">
        <v>1440</v>
      </c>
      <c r="C16" s="92" t="s">
        <v>1754</v>
      </c>
    </row>
    <row r="17" spans="1:5" x14ac:dyDescent="0.2">
      <c r="A17" s="21" t="s">
        <v>1703</v>
      </c>
      <c r="B17" s="123" t="s">
        <v>2448</v>
      </c>
      <c r="C17" s="21" t="s">
        <v>1754</v>
      </c>
    </row>
    <row r="18" spans="1:5" x14ac:dyDescent="0.2">
      <c r="A18" s="21" t="s">
        <v>1720</v>
      </c>
      <c r="B18" s="123" t="s">
        <v>2449</v>
      </c>
      <c r="C18" s="21" t="s">
        <v>1754</v>
      </c>
    </row>
    <row r="19" spans="1:5" x14ac:dyDescent="0.2">
      <c r="A19" s="21" t="s">
        <v>1721</v>
      </c>
      <c r="B19" s="123" t="s">
        <v>2451</v>
      </c>
      <c r="C19" s="21" t="s">
        <v>1754</v>
      </c>
      <c r="E19" s="21" t="s">
        <v>2450</v>
      </c>
    </row>
    <row r="20" spans="1:5" x14ac:dyDescent="0.2">
      <c r="A20" s="21" t="s">
        <v>1752</v>
      </c>
      <c r="B20" s="22" t="s">
        <v>1753</v>
      </c>
      <c r="C20" s="21" t="s">
        <v>1754</v>
      </c>
    </row>
    <row r="21" spans="1:5" x14ac:dyDescent="0.2">
      <c r="A21" s="21" t="s">
        <v>1756</v>
      </c>
      <c r="B21" s="22" t="s">
        <v>1757</v>
      </c>
    </row>
    <row r="22" spans="1:5" x14ac:dyDescent="0.2">
      <c r="A22" s="22" t="s">
        <v>1755</v>
      </c>
      <c r="B22" s="22" t="s">
        <v>1758</v>
      </c>
    </row>
    <row r="23" spans="1:5" x14ac:dyDescent="0.2">
      <c r="A23" s="21" t="s">
        <v>1764</v>
      </c>
      <c r="B23" s="123" t="s">
        <v>2452</v>
      </c>
      <c r="C23" s="21" t="s">
        <v>1754</v>
      </c>
    </row>
    <row r="24" spans="1:5" x14ac:dyDescent="0.2">
      <c r="A24" s="92" t="s">
        <v>1833</v>
      </c>
      <c r="B24" s="92" t="s">
        <v>1835</v>
      </c>
      <c r="C24" s="21" t="s">
        <v>1754</v>
      </c>
    </row>
    <row r="25" spans="1:5" x14ac:dyDescent="0.2">
      <c r="A25" s="92" t="s">
        <v>1834</v>
      </c>
      <c r="B25" s="92" t="s">
        <v>1836</v>
      </c>
      <c r="C25" s="21" t="s">
        <v>1754</v>
      </c>
    </row>
    <row r="26" spans="1:5" x14ac:dyDescent="0.2">
      <c r="A26" s="92" t="s">
        <v>1837</v>
      </c>
      <c r="B26" s="92" t="s">
        <v>1838</v>
      </c>
      <c r="C26" s="21" t="s">
        <v>1754</v>
      </c>
    </row>
    <row r="27" spans="1:5" x14ac:dyDescent="0.2">
      <c r="A27" s="21" t="s">
        <v>1843</v>
      </c>
      <c r="B27" s="92" t="s">
        <v>1844</v>
      </c>
      <c r="C27" s="21" t="s">
        <v>1754</v>
      </c>
    </row>
    <row r="28" spans="1:5" x14ac:dyDescent="0.2">
      <c r="A28" s="92" t="s">
        <v>1855</v>
      </c>
      <c r="B28" s="92" t="s">
        <v>1856</v>
      </c>
      <c r="C28" s="92" t="s">
        <v>2119</v>
      </c>
    </row>
    <row r="29" spans="1:5" x14ac:dyDescent="0.2">
      <c r="A29" s="21" t="s">
        <v>1863</v>
      </c>
      <c r="B29" s="92" t="s">
        <v>1864</v>
      </c>
      <c r="C29" s="21" t="s">
        <v>1754</v>
      </c>
    </row>
    <row r="30" spans="1:5" x14ac:dyDescent="0.2">
      <c r="A30" s="92" t="s">
        <v>1887</v>
      </c>
      <c r="B30" s="92" t="s">
        <v>1888</v>
      </c>
      <c r="C30" s="21" t="s">
        <v>1754</v>
      </c>
    </row>
    <row r="31" spans="1:5" x14ac:dyDescent="0.2">
      <c r="A31" s="92" t="s">
        <v>2006</v>
      </c>
      <c r="B31" s="92" t="s">
        <v>2007</v>
      </c>
      <c r="C31" s="21" t="s">
        <v>1754</v>
      </c>
    </row>
    <row r="32" spans="1:5" x14ac:dyDescent="0.2">
      <c r="A32" s="92" t="s">
        <v>2023</v>
      </c>
      <c r="B32" s="92" t="s">
        <v>2024</v>
      </c>
      <c r="C32" s="21" t="s">
        <v>1754</v>
      </c>
    </row>
    <row r="33" spans="1:5" x14ac:dyDescent="0.2">
      <c r="A33" s="21" t="s">
        <v>2032</v>
      </c>
      <c r="B33" s="92" t="s">
        <v>2035</v>
      </c>
      <c r="C33" s="21" t="s">
        <v>1754</v>
      </c>
    </row>
    <row r="34" spans="1:5" x14ac:dyDescent="0.2">
      <c r="A34" s="21" t="s">
        <v>2033</v>
      </c>
      <c r="B34" s="92" t="s">
        <v>2036</v>
      </c>
      <c r="C34" s="21" t="s">
        <v>1754</v>
      </c>
    </row>
    <row r="35" spans="1:5" x14ac:dyDescent="0.2">
      <c r="A35" s="21" t="s">
        <v>2034</v>
      </c>
      <c r="B35" s="92" t="s">
        <v>2039</v>
      </c>
      <c r="C35" s="21" t="s">
        <v>1754</v>
      </c>
    </row>
    <row r="36" spans="1:5" x14ac:dyDescent="0.2">
      <c r="A36" s="92" t="s">
        <v>2042</v>
      </c>
      <c r="B36" s="92" t="s">
        <v>2040</v>
      </c>
      <c r="C36" s="21" t="s">
        <v>1754</v>
      </c>
    </row>
    <row r="37" spans="1:5" x14ac:dyDescent="0.2">
      <c r="A37" s="92" t="s">
        <v>2037</v>
      </c>
      <c r="B37" s="92" t="s">
        <v>2038</v>
      </c>
      <c r="C37" s="21" t="s">
        <v>2119</v>
      </c>
    </row>
    <row r="38" spans="1:5" x14ac:dyDescent="0.2">
      <c r="A38" s="92" t="s">
        <v>2061</v>
      </c>
      <c r="B38" s="92" t="s">
        <v>2062</v>
      </c>
      <c r="C38" s="92" t="s">
        <v>2122</v>
      </c>
    </row>
    <row r="39" spans="1:5" x14ac:dyDescent="0.2">
      <c r="A39" s="92" t="s">
        <v>2063</v>
      </c>
      <c r="B39" s="92" t="s">
        <v>2064</v>
      </c>
      <c r="C39" s="92" t="s">
        <v>2122</v>
      </c>
    </row>
    <row r="40" spans="1:5" x14ac:dyDescent="0.2">
      <c r="A40" s="92" t="s">
        <v>2115</v>
      </c>
      <c r="B40" s="92" t="s">
        <v>2116</v>
      </c>
      <c r="C40" s="92" t="s">
        <v>2119</v>
      </c>
    </row>
    <row r="41" spans="1:5" x14ac:dyDescent="0.2">
      <c r="A41" s="105" t="s">
        <v>2129</v>
      </c>
      <c r="B41" s="105" t="s">
        <v>2130</v>
      </c>
      <c r="C41" s="105" t="s">
        <v>2122</v>
      </c>
    </row>
    <row r="42" spans="1:5" x14ac:dyDescent="0.2">
      <c r="A42" s="105" t="s">
        <v>2128</v>
      </c>
      <c r="B42" s="105" t="s">
        <v>2131</v>
      </c>
      <c r="C42" s="105" t="s">
        <v>2122</v>
      </c>
    </row>
    <row r="43" spans="1:5" x14ac:dyDescent="0.2">
      <c r="A43" s="105" t="s">
        <v>2133</v>
      </c>
      <c r="B43" s="105" t="s">
        <v>2134</v>
      </c>
      <c r="C43" s="105" t="s">
        <v>1754</v>
      </c>
      <c r="E43" s="21" t="s">
        <v>2193</v>
      </c>
    </row>
    <row r="44" spans="1:5" x14ac:dyDescent="0.2">
      <c r="A44" s="105" t="s">
        <v>2132</v>
      </c>
      <c r="B44" s="105" t="s">
        <v>2135</v>
      </c>
      <c r="C44" s="21" t="s">
        <v>1754</v>
      </c>
    </row>
    <row r="45" spans="1:5" x14ac:dyDescent="0.2">
      <c r="A45" s="105" t="s">
        <v>2166</v>
      </c>
      <c r="B45" s="105" t="s">
        <v>2167</v>
      </c>
      <c r="C45" s="105" t="s">
        <v>2122</v>
      </c>
    </row>
    <row r="46" spans="1:5" x14ac:dyDescent="0.2">
      <c r="A46" s="105" t="s">
        <v>2236</v>
      </c>
      <c r="B46" s="105" t="s">
        <v>2237</v>
      </c>
      <c r="C46" s="105" t="s">
        <v>1754</v>
      </c>
    </row>
    <row r="47" spans="1:5" x14ac:dyDescent="0.2">
      <c r="A47" s="105" t="s">
        <v>2238</v>
      </c>
      <c r="B47" s="105" t="s">
        <v>2239</v>
      </c>
      <c r="C47" s="105" t="s">
        <v>1754</v>
      </c>
    </row>
    <row r="48" spans="1:5" x14ac:dyDescent="0.2">
      <c r="A48" s="105" t="s">
        <v>2240</v>
      </c>
      <c r="B48" s="105" t="s">
        <v>2241</v>
      </c>
      <c r="C48" s="105" t="s">
        <v>1754</v>
      </c>
    </row>
    <row r="49" spans="1:3" x14ac:dyDescent="0.2">
      <c r="A49" s="113" t="s">
        <v>2273</v>
      </c>
      <c r="B49" s="113" t="s">
        <v>2274</v>
      </c>
      <c r="C49" s="113" t="s">
        <v>1754</v>
      </c>
    </row>
    <row r="50" spans="1:3" x14ac:dyDescent="0.2">
      <c r="A50" s="118" t="s">
        <v>2285</v>
      </c>
      <c r="B50" s="118" t="s">
        <v>2286</v>
      </c>
      <c r="C50" s="118" t="s">
        <v>2119</v>
      </c>
    </row>
    <row r="51" spans="1:3" x14ac:dyDescent="0.2">
      <c r="A51" s="118" t="s">
        <v>2424</v>
      </c>
      <c r="B51" s="118" t="s">
        <v>2425</v>
      </c>
      <c r="C51" s="118" t="s">
        <v>2119</v>
      </c>
    </row>
    <row r="52" spans="1:3" x14ac:dyDescent="0.2">
      <c r="A52" s="118" t="s">
        <v>2426</v>
      </c>
      <c r="B52" s="123" t="s">
        <v>2446</v>
      </c>
      <c r="C52" s="118" t="s">
        <v>1754</v>
      </c>
    </row>
    <row r="53" spans="1:3" x14ac:dyDescent="0.2">
      <c r="A53" s="118" t="s">
        <v>2427</v>
      </c>
      <c r="B53" s="118" t="s">
        <v>2428</v>
      </c>
      <c r="C53" s="118" t="s">
        <v>2119</v>
      </c>
    </row>
    <row r="54" spans="1:3" x14ac:dyDescent="0.2">
      <c r="A54" s="118" t="s">
        <v>2433</v>
      </c>
      <c r="B54" s="118" t="s">
        <v>2434</v>
      </c>
      <c r="C54" s="118" t="s">
        <v>2119</v>
      </c>
    </row>
    <row r="55" spans="1:3" x14ac:dyDescent="0.2">
      <c r="A55" s="118" t="s">
        <v>2439</v>
      </c>
      <c r="B55" s="123" t="s">
        <v>2445</v>
      </c>
      <c r="C55" s="118" t="s">
        <v>1754</v>
      </c>
    </row>
    <row r="56" spans="1:3" x14ac:dyDescent="0.2">
      <c r="A56" s="123" t="s">
        <v>2443</v>
      </c>
      <c r="B56" s="123" t="s">
        <v>2444</v>
      </c>
      <c r="C56" s="123" t="s">
        <v>2122</v>
      </c>
    </row>
    <row r="57" spans="1:3" x14ac:dyDescent="0.2">
      <c r="A57" s="127" t="s">
        <v>2457</v>
      </c>
      <c r="B57" s="127" t="s">
        <v>2458</v>
      </c>
      <c r="C57" s="127" t="s">
        <v>2119</v>
      </c>
    </row>
    <row r="58" spans="1:3" x14ac:dyDescent="0.2">
      <c r="A58" s="127" t="s">
        <v>2459</v>
      </c>
      <c r="B58" s="127" t="s">
        <v>2460</v>
      </c>
      <c r="C58" s="127" t="s">
        <v>1754</v>
      </c>
    </row>
    <row r="59" spans="1:3" x14ac:dyDescent="0.2">
      <c r="A59" s="127" t="s">
        <v>2462</v>
      </c>
      <c r="B59" s="127" t="s">
        <v>2463</v>
      </c>
      <c r="C59" s="127" t="s">
        <v>1754</v>
      </c>
    </row>
    <row r="60" spans="1:3" x14ac:dyDescent="0.2">
      <c r="A60" s="133" t="s">
        <v>2471</v>
      </c>
      <c r="B60" s="133" t="s">
        <v>2472</v>
      </c>
      <c r="C60" s="133" t="s">
        <v>1754</v>
      </c>
    </row>
    <row r="61" spans="1:3" x14ac:dyDescent="0.2">
      <c r="A61" s="136" t="s">
        <v>2478</v>
      </c>
      <c r="B61" s="136" t="s">
        <v>2480</v>
      </c>
      <c r="C61" s="138" t="s">
        <v>2119</v>
      </c>
    </row>
    <row r="62" spans="1:3" x14ac:dyDescent="0.2">
      <c r="A62" s="136" t="s">
        <v>2479</v>
      </c>
      <c r="B62" s="136" t="s">
        <v>2481</v>
      </c>
      <c r="C62" s="136" t="s">
        <v>1754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2"/>
  <sheetViews>
    <sheetView workbookViewId="0">
      <pane ySplit="1" topLeftCell="A291" activePane="bottomLeft" state="frozen"/>
      <selection pane="bottomLeft" activeCell="A302" sqref="A302"/>
    </sheetView>
  </sheetViews>
  <sheetFormatPr defaultColWidth="9.140625"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2124</v>
      </c>
      <c r="C1" s="14" t="s">
        <v>339</v>
      </c>
    </row>
    <row r="2" spans="1:3" x14ac:dyDescent="0.25">
      <c r="A2" s="15" t="s">
        <v>491</v>
      </c>
      <c r="B2" s="15" t="s">
        <v>741</v>
      </c>
      <c r="C2" s="15" t="s">
        <v>1457</v>
      </c>
    </row>
    <row r="3" spans="1:3" x14ac:dyDescent="0.25">
      <c r="A3" s="15" t="s">
        <v>492</v>
      </c>
      <c r="B3" s="15" t="s">
        <v>742</v>
      </c>
      <c r="C3" s="16" t="s">
        <v>1458</v>
      </c>
    </row>
    <row r="4" spans="1:3" x14ac:dyDescent="0.25">
      <c r="A4" s="15" t="s">
        <v>493</v>
      </c>
      <c r="B4" s="15" t="s">
        <v>743</v>
      </c>
      <c r="C4" s="15" t="s">
        <v>1459</v>
      </c>
    </row>
    <row r="5" spans="1:3" x14ac:dyDescent="0.25">
      <c r="A5" s="15" t="s">
        <v>494</v>
      </c>
      <c r="B5" s="15" t="s">
        <v>744</v>
      </c>
      <c r="C5" s="16" t="s">
        <v>1460</v>
      </c>
    </row>
    <row r="6" spans="1:3" x14ac:dyDescent="0.25">
      <c r="A6" s="15" t="s">
        <v>495</v>
      </c>
      <c r="B6" s="15" t="s">
        <v>745</v>
      </c>
      <c r="C6" s="15" t="s">
        <v>1461</v>
      </c>
    </row>
    <row r="7" spans="1:3" x14ac:dyDescent="0.25">
      <c r="A7" s="15" t="s">
        <v>496</v>
      </c>
      <c r="B7" s="15" t="s">
        <v>746</v>
      </c>
      <c r="C7" s="15" t="s">
        <v>1462</v>
      </c>
    </row>
    <row r="8" spans="1:3" x14ac:dyDescent="0.25">
      <c r="A8" s="15" t="s">
        <v>497</v>
      </c>
      <c r="B8" s="15" t="s">
        <v>747</v>
      </c>
      <c r="C8" s="15" t="s">
        <v>1463</v>
      </c>
    </row>
    <row r="9" spans="1:3" x14ac:dyDescent="0.25">
      <c r="A9" s="15" t="s">
        <v>498</v>
      </c>
      <c r="B9" s="15" t="s">
        <v>748</v>
      </c>
      <c r="C9" s="15" t="s">
        <v>1464</v>
      </c>
    </row>
    <row r="10" spans="1:3" x14ac:dyDescent="0.25">
      <c r="A10" s="15" t="s">
        <v>499</v>
      </c>
      <c r="B10" s="15" t="s">
        <v>749</v>
      </c>
      <c r="C10" s="15" t="s">
        <v>1465</v>
      </c>
    </row>
    <row r="11" spans="1:3" x14ac:dyDescent="0.25">
      <c r="A11" s="15" t="s">
        <v>500</v>
      </c>
      <c r="B11" s="15" t="s">
        <v>750</v>
      </c>
      <c r="C11" s="15" t="s">
        <v>1466</v>
      </c>
    </row>
    <row r="12" spans="1:3" x14ac:dyDescent="0.25">
      <c r="A12" s="15" t="s">
        <v>501</v>
      </c>
      <c r="B12" s="15" t="s">
        <v>751</v>
      </c>
      <c r="C12" s="16" t="s">
        <v>1467</v>
      </c>
    </row>
    <row r="13" spans="1:3" x14ac:dyDescent="0.25">
      <c r="A13" s="15" t="s">
        <v>502</v>
      </c>
      <c r="B13" s="15" t="s">
        <v>752</v>
      </c>
      <c r="C13" s="15" t="s">
        <v>1468</v>
      </c>
    </row>
    <row r="14" spans="1:3" x14ac:dyDescent="0.25">
      <c r="A14" s="15" t="s">
        <v>503</v>
      </c>
      <c r="B14" s="15" t="s">
        <v>753</v>
      </c>
      <c r="C14" s="15" t="s">
        <v>1469</v>
      </c>
    </row>
    <row r="15" spans="1:3" x14ac:dyDescent="0.25">
      <c r="A15" s="15" t="s">
        <v>504</v>
      </c>
      <c r="B15" s="15" t="s">
        <v>754</v>
      </c>
      <c r="C15" s="15" t="s">
        <v>1470</v>
      </c>
    </row>
    <row r="16" spans="1:3" x14ac:dyDescent="0.25">
      <c r="A16" s="15" t="s">
        <v>734</v>
      </c>
      <c r="B16" s="15" t="s">
        <v>755</v>
      </c>
      <c r="C16" s="16" t="s">
        <v>1471</v>
      </c>
    </row>
    <row r="17" spans="1:3" x14ac:dyDescent="0.25">
      <c r="A17" s="15" t="s">
        <v>505</v>
      </c>
      <c r="B17" s="15" t="s">
        <v>756</v>
      </c>
      <c r="C17" s="15" t="s">
        <v>1472</v>
      </c>
    </row>
    <row r="18" spans="1:3" x14ac:dyDescent="0.25">
      <c r="A18" s="15" t="s">
        <v>506</v>
      </c>
      <c r="B18" s="15" t="s">
        <v>757</v>
      </c>
      <c r="C18" s="16" t="s">
        <v>1473</v>
      </c>
    </row>
    <row r="19" spans="1:3" x14ac:dyDescent="0.25">
      <c r="A19" s="15" t="s">
        <v>507</v>
      </c>
      <c r="B19" s="15" t="s">
        <v>758</v>
      </c>
      <c r="C19" s="15" t="s">
        <v>1474</v>
      </c>
    </row>
    <row r="20" spans="1:3" x14ac:dyDescent="0.25">
      <c r="A20" s="15" t="s">
        <v>508</v>
      </c>
      <c r="B20" s="15" t="s">
        <v>759</v>
      </c>
      <c r="C20" s="15" t="s">
        <v>1475</v>
      </c>
    </row>
    <row r="21" spans="1:3" x14ac:dyDescent="0.25">
      <c r="A21" s="15" t="s">
        <v>509</v>
      </c>
      <c r="B21" s="15" t="s">
        <v>760</v>
      </c>
      <c r="C21" s="15" t="s">
        <v>1476</v>
      </c>
    </row>
    <row r="22" spans="1:3" x14ac:dyDescent="0.25">
      <c r="A22" s="15" t="s">
        <v>510</v>
      </c>
      <c r="B22" s="15" t="s">
        <v>761</v>
      </c>
      <c r="C22" s="16" t="s">
        <v>1477</v>
      </c>
    </row>
    <row r="23" spans="1:3" x14ac:dyDescent="0.25">
      <c r="A23" s="15" t="s">
        <v>511</v>
      </c>
      <c r="B23" s="15" t="s">
        <v>762</v>
      </c>
      <c r="C23" s="15" t="s">
        <v>1478</v>
      </c>
    </row>
    <row r="24" spans="1:3" x14ac:dyDescent="0.25">
      <c r="A24" s="15" t="s">
        <v>512</v>
      </c>
      <c r="B24" s="15" t="s">
        <v>763</v>
      </c>
      <c r="C24" s="15" t="s">
        <v>1479</v>
      </c>
    </row>
    <row r="25" spans="1:3" x14ac:dyDescent="0.25">
      <c r="A25" s="15" t="s">
        <v>513</v>
      </c>
      <c r="B25" s="15" t="s">
        <v>764</v>
      </c>
      <c r="C25" s="15" t="s">
        <v>1480</v>
      </c>
    </row>
    <row r="26" spans="1:3" x14ac:dyDescent="0.25">
      <c r="A26" s="15" t="s">
        <v>514</v>
      </c>
      <c r="B26" s="15" t="s">
        <v>765</v>
      </c>
      <c r="C26" s="15" t="s">
        <v>1481</v>
      </c>
    </row>
    <row r="27" spans="1:3" x14ac:dyDescent="0.25">
      <c r="A27" s="15" t="s">
        <v>733</v>
      </c>
      <c r="B27" s="15" t="s">
        <v>766</v>
      </c>
      <c r="C27" s="16" t="s">
        <v>1482</v>
      </c>
    </row>
    <row r="28" spans="1:3" x14ac:dyDescent="0.25">
      <c r="A28" s="15" t="s">
        <v>515</v>
      </c>
      <c r="B28" s="15" t="s">
        <v>767</v>
      </c>
      <c r="C28" s="15" t="s">
        <v>1483</v>
      </c>
    </row>
    <row r="29" spans="1:3" x14ac:dyDescent="0.25">
      <c r="A29" s="15" t="s">
        <v>516</v>
      </c>
      <c r="B29" s="15" t="s">
        <v>768</v>
      </c>
      <c r="C29" s="16" t="s">
        <v>1484</v>
      </c>
    </row>
    <row r="30" spans="1:3" x14ac:dyDescent="0.25">
      <c r="A30" s="15" t="s">
        <v>708</v>
      </c>
      <c r="B30" s="15" t="s">
        <v>769</v>
      </c>
      <c r="C30" s="15" t="s">
        <v>1485</v>
      </c>
    </row>
    <row r="31" spans="1:3" x14ac:dyDescent="0.25">
      <c r="A31" s="15" t="s">
        <v>517</v>
      </c>
      <c r="B31" s="15" t="s">
        <v>770</v>
      </c>
      <c r="C31" s="16" t="s">
        <v>1486</v>
      </c>
    </row>
    <row r="32" spans="1:3" x14ac:dyDescent="0.25">
      <c r="A32" s="15" t="s">
        <v>518</v>
      </c>
      <c r="B32" s="15" t="s">
        <v>771</v>
      </c>
      <c r="C32" s="15" t="s">
        <v>1487</v>
      </c>
    </row>
    <row r="33" spans="1:3" x14ac:dyDescent="0.25">
      <c r="A33" s="15" t="s">
        <v>519</v>
      </c>
      <c r="B33" s="15" t="s">
        <v>772</v>
      </c>
      <c r="C33" s="15" t="s">
        <v>1488</v>
      </c>
    </row>
    <row r="34" spans="1:3" x14ac:dyDescent="0.25">
      <c r="A34" s="15" t="s">
        <v>520</v>
      </c>
      <c r="B34" s="15" t="s">
        <v>773</v>
      </c>
      <c r="C34" s="15" t="s">
        <v>1489</v>
      </c>
    </row>
    <row r="35" spans="1:3" x14ac:dyDescent="0.25">
      <c r="A35" s="15" t="s">
        <v>521</v>
      </c>
      <c r="B35" s="15" t="s">
        <v>774</v>
      </c>
      <c r="C35" s="16" t="s">
        <v>1490</v>
      </c>
    </row>
    <row r="36" spans="1:3" x14ac:dyDescent="0.25">
      <c r="A36" s="15" t="s">
        <v>522</v>
      </c>
      <c r="B36" s="15" t="s">
        <v>775</v>
      </c>
      <c r="C36" s="15" t="s">
        <v>1491</v>
      </c>
    </row>
    <row r="37" spans="1:3" x14ac:dyDescent="0.25">
      <c r="A37" s="15" t="s">
        <v>523</v>
      </c>
      <c r="B37" s="15" t="s">
        <v>776</v>
      </c>
      <c r="C37" s="15" t="s">
        <v>1492</v>
      </c>
    </row>
    <row r="38" spans="1:3" x14ac:dyDescent="0.25">
      <c r="A38" s="15" t="s">
        <v>524</v>
      </c>
      <c r="B38" s="15" t="s">
        <v>777</v>
      </c>
      <c r="C38" s="15" t="s">
        <v>1493</v>
      </c>
    </row>
    <row r="39" spans="1:3" x14ac:dyDescent="0.25">
      <c r="A39" s="15" t="s">
        <v>525</v>
      </c>
      <c r="B39" s="15" t="s">
        <v>778</v>
      </c>
      <c r="C39" s="15" t="s">
        <v>1494</v>
      </c>
    </row>
    <row r="40" spans="1:3" x14ac:dyDescent="0.25">
      <c r="A40" s="15" t="s">
        <v>526</v>
      </c>
      <c r="B40" s="15" t="s">
        <v>779</v>
      </c>
      <c r="C40" s="16" t="s">
        <v>1495</v>
      </c>
    </row>
    <row r="41" spans="1:3" x14ac:dyDescent="0.25">
      <c r="A41" s="15" t="s">
        <v>709</v>
      </c>
      <c r="B41" s="15" t="s">
        <v>780</v>
      </c>
      <c r="C41" s="16" t="s">
        <v>1496</v>
      </c>
    </row>
    <row r="42" spans="1:3" x14ac:dyDescent="0.25">
      <c r="A42" s="15" t="s">
        <v>527</v>
      </c>
      <c r="B42" s="15" t="s">
        <v>781</v>
      </c>
      <c r="C42" s="16" t="s">
        <v>1497</v>
      </c>
    </row>
    <row r="43" spans="1:3" x14ac:dyDescent="0.25">
      <c r="A43" s="15" t="s">
        <v>528</v>
      </c>
      <c r="B43" s="15" t="s">
        <v>782</v>
      </c>
      <c r="C43" s="15" t="s">
        <v>1498</v>
      </c>
    </row>
    <row r="44" spans="1:3" x14ac:dyDescent="0.25">
      <c r="A44" s="15" t="s">
        <v>529</v>
      </c>
      <c r="B44" s="15" t="s">
        <v>783</v>
      </c>
      <c r="C44" s="15" t="s">
        <v>1499</v>
      </c>
    </row>
    <row r="45" spans="1:3" x14ac:dyDescent="0.25">
      <c r="A45" s="15" t="s">
        <v>732</v>
      </c>
      <c r="B45" s="15" t="s">
        <v>784</v>
      </c>
      <c r="C45" s="16" t="s">
        <v>1500</v>
      </c>
    </row>
    <row r="46" spans="1:3" x14ac:dyDescent="0.25">
      <c r="A46" s="15" t="s">
        <v>530</v>
      </c>
      <c r="B46" s="15" t="s">
        <v>785</v>
      </c>
      <c r="C46" s="16" t="s">
        <v>1501</v>
      </c>
    </row>
    <row r="47" spans="1:3" x14ac:dyDescent="0.25">
      <c r="A47" s="15" t="s">
        <v>531</v>
      </c>
      <c r="B47" s="15" t="s">
        <v>786</v>
      </c>
      <c r="C47" s="15" t="s">
        <v>1502</v>
      </c>
    </row>
    <row r="48" spans="1:3" x14ac:dyDescent="0.25">
      <c r="A48" s="15" t="s">
        <v>532</v>
      </c>
      <c r="B48" s="15" t="s">
        <v>787</v>
      </c>
      <c r="C48" s="15" t="s">
        <v>1503</v>
      </c>
    </row>
    <row r="49" spans="1:3" x14ac:dyDescent="0.25">
      <c r="A49" s="15" t="s">
        <v>533</v>
      </c>
      <c r="B49" s="15" t="s">
        <v>788</v>
      </c>
      <c r="C49" s="15" t="s">
        <v>1504</v>
      </c>
    </row>
    <row r="50" spans="1:3" x14ac:dyDescent="0.25">
      <c r="A50" s="15" t="s">
        <v>534</v>
      </c>
      <c r="B50" s="15" t="s">
        <v>789</v>
      </c>
      <c r="C50" s="15" t="s">
        <v>1505</v>
      </c>
    </row>
    <row r="51" spans="1:3" x14ac:dyDescent="0.25">
      <c r="A51" s="15" t="s">
        <v>535</v>
      </c>
      <c r="B51" s="15" t="s">
        <v>790</v>
      </c>
      <c r="C51" s="16" t="s">
        <v>1506</v>
      </c>
    </row>
    <row r="52" spans="1:3" x14ac:dyDescent="0.25">
      <c r="A52" s="15" t="s">
        <v>536</v>
      </c>
      <c r="B52" s="15" t="s">
        <v>791</v>
      </c>
      <c r="C52" s="15" t="s">
        <v>1507</v>
      </c>
    </row>
    <row r="53" spans="1:3" x14ac:dyDescent="0.25">
      <c r="A53" s="15" t="s">
        <v>537</v>
      </c>
      <c r="B53" s="15" t="s">
        <v>792</v>
      </c>
      <c r="C53" s="16" t="s">
        <v>1508</v>
      </c>
    </row>
    <row r="54" spans="1:3" x14ac:dyDescent="0.25">
      <c r="A54" s="15" t="s">
        <v>538</v>
      </c>
      <c r="B54" s="15" t="s">
        <v>793</v>
      </c>
      <c r="C54" s="15" t="s">
        <v>1509</v>
      </c>
    </row>
    <row r="55" spans="1:3" x14ac:dyDescent="0.25">
      <c r="A55" s="15" t="s">
        <v>539</v>
      </c>
      <c r="B55" s="15" t="s">
        <v>794</v>
      </c>
      <c r="C55" s="16" t="s">
        <v>1510</v>
      </c>
    </row>
    <row r="56" spans="1:3" x14ac:dyDescent="0.25">
      <c r="A56" s="15" t="s">
        <v>540</v>
      </c>
      <c r="B56" s="15" t="s">
        <v>795</v>
      </c>
      <c r="C56" s="15" t="s">
        <v>1511</v>
      </c>
    </row>
    <row r="57" spans="1:3" x14ac:dyDescent="0.25">
      <c r="A57" s="15" t="s">
        <v>541</v>
      </c>
      <c r="B57" s="15" t="s">
        <v>796</v>
      </c>
      <c r="C57" s="15" t="s">
        <v>1512</v>
      </c>
    </row>
    <row r="58" spans="1:3" x14ac:dyDescent="0.25">
      <c r="A58" s="15" t="s">
        <v>542</v>
      </c>
      <c r="B58" s="15" t="s">
        <v>797</v>
      </c>
      <c r="C58" s="15" t="s">
        <v>1513</v>
      </c>
    </row>
    <row r="59" spans="1:3" x14ac:dyDescent="0.25">
      <c r="A59" s="15" t="s">
        <v>543</v>
      </c>
      <c r="B59" s="15" t="s">
        <v>798</v>
      </c>
      <c r="C59" s="15" t="s">
        <v>1514</v>
      </c>
    </row>
    <row r="60" spans="1:3" x14ac:dyDescent="0.25">
      <c r="A60" s="15" t="s">
        <v>544</v>
      </c>
      <c r="B60" s="15" t="s">
        <v>799</v>
      </c>
      <c r="C60" s="15" t="s">
        <v>1515</v>
      </c>
    </row>
    <row r="61" spans="1:3" x14ac:dyDescent="0.25">
      <c r="A61" s="15" t="s">
        <v>545</v>
      </c>
      <c r="B61" s="15" t="s">
        <v>800</v>
      </c>
      <c r="C61" s="15" t="s">
        <v>1516</v>
      </c>
    </row>
    <row r="62" spans="1:3" x14ac:dyDescent="0.25">
      <c r="A62" s="15" t="s">
        <v>546</v>
      </c>
      <c r="B62" s="15" t="s">
        <v>801</v>
      </c>
      <c r="C62" s="16" t="s">
        <v>1517</v>
      </c>
    </row>
    <row r="63" spans="1:3" x14ac:dyDescent="0.25">
      <c r="A63" s="15" t="s">
        <v>547</v>
      </c>
      <c r="B63" s="15" t="s">
        <v>802</v>
      </c>
      <c r="C63" s="15" t="s">
        <v>1518</v>
      </c>
    </row>
    <row r="64" spans="1:3" x14ac:dyDescent="0.25">
      <c r="A64" s="15" t="s">
        <v>548</v>
      </c>
      <c r="B64" s="15" t="s">
        <v>803</v>
      </c>
      <c r="C64" s="15" t="s">
        <v>1519</v>
      </c>
    </row>
    <row r="65" spans="1:3" x14ac:dyDescent="0.25">
      <c r="A65" s="15" t="s">
        <v>549</v>
      </c>
      <c r="B65" s="15" t="s">
        <v>804</v>
      </c>
      <c r="C65" s="15" t="s">
        <v>1520</v>
      </c>
    </row>
    <row r="66" spans="1:3" x14ac:dyDescent="0.25">
      <c r="A66" s="15" t="s">
        <v>21</v>
      </c>
      <c r="B66" s="15" t="s">
        <v>805</v>
      </c>
      <c r="C66" s="15" t="s">
        <v>1521</v>
      </c>
    </row>
    <row r="67" spans="1:3" x14ac:dyDescent="0.25">
      <c r="A67" s="15" t="s">
        <v>550</v>
      </c>
      <c r="B67" s="15" t="s">
        <v>806</v>
      </c>
      <c r="C67" s="16" t="s">
        <v>1522</v>
      </c>
    </row>
    <row r="68" spans="1:3" x14ac:dyDescent="0.25">
      <c r="A68" s="15" t="s">
        <v>551</v>
      </c>
      <c r="B68" s="15" t="s">
        <v>807</v>
      </c>
      <c r="C68" s="15" t="s">
        <v>1523</v>
      </c>
    </row>
    <row r="69" spans="1:3" x14ac:dyDescent="0.25">
      <c r="A69" s="15" t="s">
        <v>552</v>
      </c>
      <c r="B69" s="15" t="s">
        <v>808</v>
      </c>
      <c r="C69" s="15" t="s">
        <v>1524</v>
      </c>
    </row>
    <row r="70" spans="1:3" x14ac:dyDescent="0.25">
      <c r="A70" s="15" t="s">
        <v>553</v>
      </c>
      <c r="B70" s="15" t="s">
        <v>809</v>
      </c>
      <c r="C70" s="15" t="s">
        <v>1525</v>
      </c>
    </row>
    <row r="71" spans="1:3" x14ac:dyDescent="0.25">
      <c r="A71" s="15" t="s">
        <v>554</v>
      </c>
      <c r="B71" s="15" t="s">
        <v>810</v>
      </c>
      <c r="C71" s="15" t="s">
        <v>1526</v>
      </c>
    </row>
    <row r="72" spans="1:3" x14ac:dyDescent="0.25">
      <c r="A72" s="15" t="s">
        <v>555</v>
      </c>
      <c r="B72" s="15" t="s">
        <v>811</v>
      </c>
      <c r="C72" s="15" t="s">
        <v>1527</v>
      </c>
    </row>
    <row r="73" spans="1:3" x14ac:dyDescent="0.25">
      <c r="A73" s="15" t="s">
        <v>710</v>
      </c>
      <c r="B73" s="15" t="s">
        <v>812</v>
      </c>
      <c r="C73" s="16" t="s">
        <v>1528</v>
      </c>
    </row>
    <row r="74" spans="1:3" x14ac:dyDescent="0.25">
      <c r="A74" s="15" t="s">
        <v>711</v>
      </c>
      <c r="B74" s="15" t="s">
        <v>813</v>
      </c>
      <c r="C74" s="15" t="s">
        <v>1529</v>
      </c>
    </row>
    <row r="75" spans="1:3" x14ac:dyDescent="0.25">
      <c r="A75" s="15" t="s">
        <v>556</v>
      </c>
      <c r="B75" s="15" t="s">
        <v>814</v>
      </c>
      <c r="C75" s="16" t="s">
        <v>1530</v>
      </c>
    </row>
    <row r="76" spans="1:3" x14ac:dyDescent="0.25">
      <c r="A76" s="15" t="s">
        <v>557</v>
      </c>
      <c r="B76" s="15" t="s">
        <v>815</v>
      </c>
      <c r="C76" s="15" t="s">
        <v>1444</v>
      </c>
    </row>
    <row r="77" spans="1:3" x14ac:dyDescent="0.25">
      <c r="A77" s="15" t="s">
        <v>558</v>
      </c>
      <c r="B77" s="15" t="s">
        <v>816</v>
      </c>
      <c r="C77" s="15" t="s">
        <v>1531</v>
      </c>
    </row>
    <row r="78" spans="1:3" x14ac:dyDescent="0.25">
      <c r="A78" s="15" t="s">
        <v>735</v>
      </c>
      <c r="B78" s="15" t="s">
        <v>817</v>
      </c>
      <c r="C78" s="16" t="s">
        <v>1442</v>
      </c>
    </row>
    <row r="79" spans="1:3" x14ac:dyDescent="0.25">
      <c r="A79" s="15" t="s">
        <v>559</v>
      </c>
      <c r="B79" s="15" t="s">
        <v>818</v>
      </c>
      <c r="C79" s="15" t="s">
        <v>1532</v>
      </c>
    </row>
    <row r="80" spans="1:3" x14ac:dyDescent="0.25">
      <c r="A80" s="15" t="s">
        <v>560</v>
      </c>
      <c r="B80" s="15" t="s">
        <v>819</v>
      </c>
      <c r="C80" s="15" t="s">
        <v>1533</v>
      </c>
    </row>
    <row r="81" spans="1:3" x14ac:dyDescent="0.25">
      <c r="A81" s="15" t="s">
        <v>561</v>
      </c>
      <c r="B81" s="15" t="s">
        <v>820</v>
      </c>
      <c r="C81" s="16" t="s">
        <v>1534</v>
      </c>
    </row>
    <row r="82" spans="1:3" x14ac:dyDescent="0.25">
      <c r="A82" s="15" t="s">
        <v>562</v>
      </c>
      <c r="B82" s="15" t="s">
        <v>821</v>
      </c>
      <c r="C82" s="15" t="s">
        <v>1535</v>
      </c>
    </row>
    <row r="83" spans="1:3" x14ac:dyDescent="0.25">
      <c r="A83" s="15" t="s">
        <v>563</v>
      </c>
      <c r="B83" s="15" t="s">
        <v>822</v>
      </c>
      <c r="C83" s="15" t="s">
        <v>1536</v>
      </c>
    </row>
    <row r="84" spans="1:3" x14ac:dyDescent="0.25">
      <c r="A84" s="15" t="s">
        <v>564</v>
      </c>
      <c r="B84" s="15" t="s">
        <v>823</v>
      </c>
      <c r="C84" s="15" t="s">
        <v>1537</v>
      </c>
    </row>
    <row r="85" spans="1:3" x14ac:dyDescent="0.25">
      <c r="A85" s="15" t="s">
        <v>565</v>
      </c>
      <c r="B85" s="15" t="s">
        <v>824</v>
      </c>
      <c r="C85" s="15" t="s">
        <v>1538</v>
      </c>
    </row>
    <row r="86" spans="1:3" x14ac:dyDescent="0.25">
      <c r="A86" s="15" t="s">
        <v>566</v>
      </c>
      <c r="B86" s="15" t="s">
        <v>825</v>
      </c>
      <c r="C86" s="15" t="s">
        <v>1539</v>
      </c>
    </row>
    <row r="87" spans="1:3" x14ac:dyDescent="0.25">
      <c r="A87" s="15" t="s">
        <v>567</v>
      </c>
      <c r="B87" s="15" t="s">
        <v>826</v>
      </c>
      <c r="C87" s="15" t="s">
        <v>1540</v>
      </c>
    </row>
    <row r="88" spans="1:3" x14ac:dyDescent="0.25">
      <c r="A88" s="15" t="s">
        <v>568</v>
      </c>
      <c r="B88" s="15" t="s">
        <v>827</v>
      </c>
      <c r="C88" s="15" t="s">
        <v>1541</v>
      </c>
    </row>
    <row r="89" spans="1:3" x14ac:dyDescent="0.25">
      <c r="A89" s="15" t="s">
        <v>569</v>
      </c>
      <c r="B89" s="15" t="s">
        <v>828</v>
      </c>
      <c r="C89" s="16" t="s">
        <v>1542</v>
      </c>
    </row>
    <row r="90" spans="1:3" x14ac:dyDescent="0.25">
      <c r="A90" s="15" t="s">
        <v>570</v>
      </c>
      <c r="B90" s="15" t="s">
        <v>829</v>
      </c>
      <c r="C90" s="15" t="s">
        <v>1543</v>
      </c>
    </row>
    <row r="91" spans="1:3" x14ac:dyDescent="0.25">
      <c r="A91" s="15" t="s">
        <v>571</v>
      </c>
      <c r="B91" s="15" t="s">
        <v>830</v>
      </c>
      <c r="C91" s="16" t="s">
        <v>1544</v>
      </c>
    </row>
    <row r="92" spans="1:3" x14ac:dyDescent="0.25">
      <c r="A92" s="15" t="s">
        <v>572</v>
      </c>
      <c r="B92" s="15" t="s">
        <v>831</v>
      </c>
      <c r="C92" s="15" t="s">
        <v>1545</v>
      </c>
    </row>
    <row r="93" spans="1:3" x14ac:dyDescent="0.25">
      <c r="A93" s="15" t="s">
        <v>573</v>
      </c>
      <c r="B93" s="15" t="s">
        <v>832</v>
      </c>
      <c r="C93" s="15" t="s">
        <v>1546</v>
      </c>
    </row>
    <row r="94" spans="1:3" x14ac:dyDescent="0.25">
      <c r="A94" s="15" t="s">
        <v>574</v>
      </c>
      <c r="B94" s="15" t="s">
        <v>833</v>
      </c>
      <c r="C94" s="15" t="s">
        <v>1547</v>
      </c>
    </row>
    <row r="95" spans="1:3" x14ac:dyDescent="0.25">
      <c r="A95" s="15" t="s">
        <v>575</v>
      </c>
      <c r="B95" s="15" t="s">
        <v>834</v>
      </c>
      <c r="C95" s="15" t="s">
        <v>1548</v>
      </c>
    </row>
    <row r="96" spans="1:3" x14ac:dyDescent="0.25">
      <c r="A96" s="15" t="s">
        <v>576</v>
      </c>
      <c r="B96" s="15" t="s">
        <v>835</v>
      </c>
      <c r="C96" s="16" t="s">
        <v>1549</v>
      </c>
    </row>
    <row r="97" spans="1:3" x14ac:dyDescent="0.25">
      <c r="A97" s="15" t="s">
        <v>577</v>
      </c>
      <c r="B97" s="15" t="s">
        <v>836</v>
      </c>
      <c r="C97" s="16" t="s">
        <v>1550</v>
      </c>
    </row>
    <row r="98" spans="1:3" x14ac:dyDescent="0.25">
      <c r="A98" s="15" t="s">
        <v>578</v>
      </c>
      <c r="B98" s="15" t="s">
        <v>837</v>
      </c>
      <c r="C98" s="15" t="s">
        <v>1551</v>
      </c>
    </row>
    <row r="99" spans="1:3" x14ac:dyDescent="0.25">
      <c r="A99" s="15" t="s">
        <v>579</v>
      </c>
      <c r="B99" s="15" t="s">
        <v>838</v>
      </c>
      <c r="C99" s="15" t="s">
        <v>1552</v>
      </c>
    </row>
    <row r="100" spans="1:3" x14ac:dyDescent="0.25">
      <c r="A100" s="15" t="s">
        <v>580</v>
      </c>
      <c r="B100" s="15" t="s">
        <v>839</v>
      </c>
      <c r="C100" s="15" t="s">
        <v>1553</v>
      </c>
    </row>
    <row r="101" spans="1:3" x14ac:dyDescent="0.25">
      <c r="A101" s="15" t="s">
        <v>581</v>
      </c>
      <c r="B101" s="15" t="s">
        <v>840</v>
      </c>
      <c r="C101" s="15" t="s">
        <v>1554</v>
      </c>
    </row>
    <row r="102" spans="1:3" x14ac:dyDescent="0.25">
      <c r="A102" s="15" t="s">
        <v>582</v>
      </c>
      <c r="B102" s="15" t="s">
        <v>452</v>
      </c>
      <c r="C102" s="15" t="s">
        <v>1555</v>
      </c>
    </row>
    <row r="103" spans="1:3" x14ac:dyDescent="0.25">
      <c r="A103" s="15" t="s">
        <v>583</v>
      </c>
      <c r="B103" s="15" t="s">
        <v>841</v>
      </c>
      <c r="C103" s="15" t="s">
        <v>1556</v>
      </c>
    </row>
    <row r="104" spans="1:3" x14ac:dyDescent="0.25">
      <c r="A104" s="15" t="s">
        <v>584</v>
      </c>
      <c r="B104" s="15" t="s">
        <v>842</v>
      </c>
      <c r="C104" s="15" t="s">
        <v>1557</v>
      </c>
    </row>
    <row r="105" spans="1:3" x14ac:dyDescent="0.25">
      <c r="A105" s="15" t="s">
        <v>585</v>
      </c>
      <c r="B105" s="15" t="s">
        <v>843</v>
      </c>
      <c r="C105" s="16" t="s">
        <v>1558</v>
      </c>
    </row>
    <row r="106" spans="1:3" x14ac:dyDescent="0.25">
      <c r="A106" s="15" t="s">
        <v>2</v>
      </c>
      <c r="B106" s="15" t="s">
        <v>844</v>
      </c>
      <c r="C106" s="15" t="s">
        <v>1559</v>
      </c>
    </row>
    <row r="107" spans="1:3" x14ac:dyDescent="0.25">
      <c r="A107" s="15" t="s">
        <v>586</v>
      </c>
      <c r="B107" s="15" t="s">
        <v>845</v>
      </c>
      <c r="C107" s="16" t="s">
        <v>1560</v>
      </c>
    </row>
    <row r="108" spans="1:3" x14ac:dyDescent="0.25">
      <c r="A108" s="15" t="s">
        <v>587</v>
      </c>
      <c r="B108" s="15" t="s">
        <v>846</v>
      </c>
      <c r="C108" s="15" t="s">
        <v>1561</v>
      </c>
    </row>
    <row r="109" spans="1:3" x14ac:dyDescent="0.25">
      <c r="A109" s="15" t="s">
        <v>712</v>
      </c>
      <c r="B109" s="15" t="s">
        <v>847</v>
      </c>
      <c r="C109" s="15" t="s">
        <v>1562</v>
      </c>
    </row>
    <row r="110" spans="1:3" x14ac:dyDescent="0.25">
      <c r="A110" s="15" t="s">
        <v>588</v>
      </c>
      <c r="B110" s="15" t="s">
        <v>848</v>
      </c>
      <c r="C110" s="15" t="s">
        <v>1563</v>
      </c>
    </row>
    <row r="111" spans="1:3" x14ac:dyDescent="0.25">
      <c r="A111" s="15" t="s">
        <v>11</v>
      </c>
      <c r="B111" s="15" t="s">
        <v>849</v>
      </c>
      <c r="C111" s="15" t="s">
        <v>1443</v>
      </c>
    </row>
    <row r="112" spans="1:3" x14ac:dyDescent="0.25">
      <c r="A112" s="15" t="s">
        <v>589</v>
      </c>
      <c r="B112" s="15" t="s">
        <v>850</v>
      </c>
      <c r="C112" s="15" t="s">
        <v>1564</v>
      </c>
    </row>
    <row r="113" spans="1:3" x14ac:dyDescent="0.25">
      <c r="A113" s="15" t="s">
        <v>590</v>
      </c>
      <c r="B113" s="15" t="s">
        <v>851</v>
      </c>
      <c r="C113" s="15" t="s">
        <v>1565</v>
      </c>
    </row>
    <row r="114" spans="1:3" x14ac:dyDescent="0.25">
      <c r="A114" s="15" t="s">
        <v>591</v>
      </c>
      <c r="B114" s="15" t="s">
        <v>852</v>
      </c>
      <c r="C114" s="15" t="s">
        <v>1566</v>
      </c>
    </row>
    <row r="115" spans="1:3" x14ac:dyDescent="0.25">
      <c r="A115" s="15" t="s">
        <v>592</v>
      </c>
      <c r="B115" s="15" t="s">
        <v>853</v>
      </c>
      <c r="C115" s="15" t="s">
        <v>1567</v>
      </c>
    </row>
    <row r="116" spans="1:3" x14ac:dyDescent="0.25">
      <c r="A116" s="15" t="s">
        <v>593</v>
      </c>
      <c r="B116" s="15" t="s">
        <v>854</v>
      </c>
      <c r="C116" s="15" t="s">
        <v>1568</v>
      </c>
    </row>
    <row r="117" spans="1:3" x14ac:dyDescent="0.25">
      <c r="A117" s="15" t="s">
        <v>594</v>
      </c>
      <c r="B117" s="15" t="s">
        <v>855</v>
      </c>
      <c r="C117" s="15" t="s">
        <v>1569</v>
      </c>
    </row>
    <row r="118" spans="1:3" x14ac:dyDescent="0.25">
      <c r="A118" s="15" t="s">
        <v>595</v>
      </c>
      <c r="B118" s="15" t="s">
        <v>856</v>
      </c>
      <c r="C118" s="15" t="s">
        <v>1570</v>
      </c>
    </row>
    <row r="119" spans="1:3" x14ac:dyDescent="0.25">
      <c r="A119" s="15" t="s">
        <v>596</v>
      </c>
      <c r="B119" s="15" t="s">
        <v>857</v>
      </c>
      <c r="C119" s="15" t="s">
        <v>1571</v>
      </c>
    </row>
    <row r="120" spans="1:3" x14ac:dyDescent="0.25">
      <c r="A120" s="15" t="s">
        <v>597</v>
      </c>
      <c r="B120" s="15" t="s">
        <v>858</v>
      </c>
      <c r="C120" s="15" t="s">
        <v>1572</v>
      </c>
    </row>
    <row r="121" spans="1:3" x14ac:dyDescent="0.25">
      <c r="A121" s="15" t="s">
        <v>598</v>
      </c>
      <c r="B121" s="15" t="s">
        <v>859</v>
      </c>
      <c r="C121" s="16" t="s">
        <v>1573</v>
      </c>
    </row>
    <row r="122" spans="1:3" x14ac:dyDescent="0.25">
      <c r="A122" s="15" t="s">
        <v>713</v>
      </c>
      <c r="B122" s="15" t="s">
        <v>860</v>
      </c>
      <c r="C122" s="16" t="s">
        <v>1574</v>
      </c>
    </row>
    <row r="123" spans="1:3" x14ac:dyDescent="0.25">
      <c r="A123" s="15" t="s">
        <v>719</v>
      </c>
      <c r="B123" s="15" t="s">
        <v>861</v>
      </c>
      <c r="C123" s="16" t="s">
        <v>1575</v>
      </c>
    </row>
    <row r="124" spans="1:3" x14ac:dyDescent="0.25">
      <c r="A124" s="15" t="s">
        <v>599</v>
      </c>
      <c r="B124" s="15" t="s">
        <v>862</v>
      </c>
      <c r="C124" s="15" t="s">
        <v>1576</v>
      </c>
    </row>
    <row r="125" spans="1:3" x14ac:dyDescent="0.25">
      <c r="A125" s="15" t="s">
        <v>600</v>
      </c>
      <c r="B125" s="15" t="s">
        <v>863</v>
      </c>
      <c r="C125" s="16" t="s">
        <v>1577</v>
      </c>
    </row>
    <row r="126" spans="1:3" x14ac:dyDescent="0.25">
      <c r="A126" s="15" t="s">
        <v>601</v>
      </c>
      <c r="B126" s="15" t="s">
        <v>864</v>
      </c>
      <c r="C126" s="15" t="s">
        <v>1578</v>
      </c>
    </row>
    <row r="127" spans="1:3" x14ac:dyDescent="0.25">
      <c r="A127" s="15" t="s">
        <v>736</v>
      </c>
      <c r="B127" s="15" t="s">
        <v>865</v>
      </c>
      <c r="C127" s="15" t="s">
        <v>1579</v>
      </c>
    </row>
    <row r="128" spans="1:3" x14ac:dyDescent="0.25">
      <c r="A128" s="15" t="s">
        <v>483</v>
      </c>
      <c r="B128" s="15" t="s">
        <v>866</v>
      </c>
      <c r="C128" s="15" t="s">
        <v>1580</v>
      </c>
    </row>
    <row r="129" spans="1:3" x14ac:dyDescent="0.25">
      <c r="A129" s="15" t="s">
        <v>602</v>
      </c>
      <c r="B129" s="15" t="s">
        <v>867</v>
      </c>
      <c r="C129" s="16" t="s">
        <v>1581</v>
      </c>
    </row>
    <row r="130" spans="1:3" x14ac:dyDescent="0.25">
      <c r="A130" s="15" t="s">
        <v>603</v>
      </c>
      <c r="B130" s="15" t="s">
        <v>868</v>
      </c>
      <c r="C130" s="15" t="s">
        <v>1582</v>
      </c>
    </row>
    <row r="131" spans="1:3" x14ac:dyDescent="0.25">
      <c r="A131" s="15" t="s">
        <v>604</v>
      </c>
      <c r="B131" s="15" t="s">
        <v>869</v>
      </c>
      <c r="C131" s="16" t="s">
        <v>1583</v>
      </c>
    </row>
    <row r="132" spans="1:3" x14ac:dyDescent="0.25">
      <c r="A132" s="15" t="s">
        <v>605</v>
      </c>
      <c r="B132" s="15" t="s">
        <v>870</v>
      </c>
      <c r="C132" s="15" t="s">
        <v>1584</v>
      </c>
    </row>
    <row r="133" spans="1:3" x14ac:dyDescent="0.25">
      <c r="A133" s="15" t="s">
        <v>606</v>
      </c>
      <c r="B133" s="15" t="s">
        <v>871</v>
      </c>
      <c r="C133" s="15" t="s">
        <v>1585</v>
      </c>
    </row>
    <row r="134" spans="1:3" x14ac:dyDescent="0.25">
      <c r="A134" s="15" t="s">
        <v>607</v>
      </c>
      <c r="B134" s="15" t="s">
        <v>872</v>
      </c>
      <c r="C134" s="15" t="s">
        <v>1586</v>
      </c>
    </row>
    <row r="135" spans="1:3" x14ac:dyDescent="0.25">
      <c r="A135" s="15" t="s">
        <v>608</v>
      </c>
      <c r="B135" s="15" t="s">
        <v>873</v>
      </c>
      <c r="C135" s="15" t="s">
        <v>1587</v>
      </c>
    </row>
    <row r="136" spans="1:3" x14ac:dyDescent="0.25">
      <c r="A136" s="15" t="s">
        <v>609</v>
      </c>
      <c r="B136" s="15" t="s">
        <v>874</v>
      </c>
      <c r="C136" s="15" t="s">
        <v>1588</v>
      </c>
    </row>
    <row r="137" spans="1:3" x14ac:dyDescent="0.25">
      <c r="A137" s="15" t="s">
        <v>610</v>
      </c>
      <c r="B137" s="15" t="s">
        <v>875</v>
      </c>
      <c r="C137" s="15" t="s">
        <v>1589</v>
      </c>
    </row>
    <row r="138" spans="1:3" x14ac:dyDescent="0.25">
      <c r="A138" s="15" t="s">
        <v>611</v>
      </c>
      <c r="B138" s="15" t="s">
        <v>876</v>
      </c>
      <c r="C138" s="15" t="s">
        <v>1590</v>
      </c>
    </row>
    <row r="139" spans="1:3" x14ac:dyDescent="0.25">
      <c r="A139" s="15" t="s">
        <v>612</v>
      </c>
      <c r="B139" s="15" t="s">
        <v>877</v>
      </c>
      <c r="C139" s="15" t="s">
        <v>1591</v>
      </c>
    </row>
    <row r="140" spans="1:3" x14ac:dyDescent="0.25">
      <c r="A140" s="15" t="s">
        <v>720</v>
      </c>
      <c r="B140" s="15" t="s">
        <v>878</v>
      </c>
      <c r="C140" s="15" t="s">
        <v>1592</v>
      </c>
    </row>
    <row r="141" spans="1:3" x14ac:dyDescent="0.25">
      <c r="A141" s="15" t="s">
        <v>613</v>
      </c>
      <c r="B141" s="15" t="s">
        <v>879</v>
      </c>
      <c r="C141" s="15" t="s">
        <v>1593</v>
      </c>
    </row>
    <row r="142" spans="1:3" x14ac:dyDescent="0.25">
      <c r="A142" s="15" t="s">
        <v>714</v>
      </c>
      <c r="B142" s="15" t="s">
        <v>880</v>
      </c>
      <c r="C142" s="16" t="s">
        <v>1594</v>
      </c>
    </row>
    <row r="143" spans="1:3" x14ac:dyDescent="0.25">
      <c r="A143" s="15" t="s">
        <v>614</v>
      </c>
      <c r="B143" s="15" t="s">
        <v>881</v>
      </c>
      <c r="C143" s="15" t="s">
        <v>1595</v>
      </c>
    </row>
    <row r="144" spans="1:3" x14ac:dyDescent="0.25">
      <c r="A144" s="15" t="s">
        <v>615</v>
      </c>
      <c r="B144" s="15" t="s">
        <v>882</v>
      </c>
      <c r="C144" s="16" t="s">
        <v>1596</v>
      </c>
    </row>
    <row r="145" spans="1:3" x14ac:dyDescent="0.25">
      <c r="A145" s="15" t="s">
        <v>616</v>
      </c>
      <c r="B145" s="15" t="s">
        <v>883</v>
      </c>
      <c r="C145" s="16" t="s">
        <v>1597</v>
      </c>
    </row>
    <row r="146" spans="1:3" x14ac:dyDescent="0.25">
      <c r="A146" s="15" t="s">
        <v>617</v>
      </c>
      <c r="B146" s="15" t="s">
        <v>884</v>
      </c>
      <c r="C146" s="15" t="s">
        <v>1598</v>
      </c>
    </row>
    <row r="147" spans="1:3" x14ac:dyDescent="0.25">
      <c r="A147" s="15" t="s">
        <v>618</v>
      </c>
      <c r="B147" s="15" t="s">
        <v>885</v>
      </c>
      <c r="C147" s="15" t="s">
        <v>1599</v>
      </c>
    </row>
    <row r="148" spans="1:3" x14ac:dyDescent="0.25">
      <c r="A148" s="15" t="s">
        <v>619</v>
      </c>
      <c r="B148" s="15" t="s">
        <v>886</v>
      </c>
      <c r="C148" s="15" t="s">
        <v>1600</v>
      </c>
    </row>
    <row r="149" spans="1:3" x14ac:dyDescent="0.25">
      <c r="A149" s="15" t="s">
        <v>620</v>
      </c>
      <c r="B149" s="15" t="s">
        <v>887</v>
      </c>
      <c r="C149" s="15" t="s">
        <v>1601</v>
      </c>
    </row>
    <row r="150" spans="1:3" x14ac:dyDescent="0.25">
      <c r="A150" s="15" t="s">
        <v>622</v>
      </c>
      <c r="B150" s="15" t="s">
        <v>888</v>
      </c>
      <c r="C150" s="16" t="s">
        <v>1602</v>
      </c>
    </row>
    <row r="151" spans="1:3" x14ac:dyDescent="0.25">
      <c r="A151" s="15" t="s">
        <v>623</v>
      </c>
      <c r="B151" s="15" t="s">
        <v>889</v>
      </c>
      <c r="C151" s="15" t="s">
        <v>1603</v>
      </c>
    </row>
    <row r="152" spans="1:3" x14ac:dyDescent="0.25">
      <c r="A152" s="15" t="s">
        <v>624</v>
      </c>
      <c r="B152" s="15" t="s">
        <v>890</v>
      </c>
      <c r="C152" s="15" t="s">
        <v>1604</v>
      </c>
    </row>
    <row r="153" spans="1:3" x14ac:dyDescent="0.25">
      <c r="A153" s="15" t="s">
        <v>625</v>
      </c>
      <c r="B153" s="15" t="s">
        <v>891</v>
      </c>
      <c r="C153" s="15" t="s">
        <v>1605</v>
      </c>
    </row>
    <row r="154" spans="1:3" x14ac:dyDescent="0.25">
      <c r="A154" s="15" t="s">
        <v>626</v>
      </c>
      <c r="B154" s="15" t="s">
        <v>892</v>
      </c>
      <c r="C154" s="15" t="s">
        <v>1606</v>
      </c>
    </row>
    <row r="155" spans="1:3" x14ac:dyDescent="0.25">
      <c r="A155" s="15" t="s">
        <v>627</v>
      </c>
      <c r="B155" s="15" t="s">
        <v>893</v>
      </c>
      <c r="C155" s="15" t="s">
        <v>1607</v>
      </c>
    </row>
    <row r="156" spans="1:3" x14ac:dyDescent="0.25">
      <c r="A156" s="15" t="s">
        <v>628</v>
      </c>
      <c r="B156" s="15" t="s">
        <v>894</v>
      </c>
      <c r="C156" s="15" t="s">
        <v>1608</v>
      </c>
    </row>
    <row r="157" spans="1:3" x14ac:dyDescent="0.25">
      <c r="A157" s="15" t="s">
        <v>629</v>
      </c>
      <c r="B157" s="15" t="s">
        <v>895</v>
      </c>
      <c r="C157" s="15" t="s">
        <v>1609</v>
      </c>
    </row>
    <row r="158" spans="1:3" x14ac:dyDescent="0.25">
      <c r="A158" s="15" t="s">
        <v>630</v>
      </c>
      <c r="B158" s="15" t="s">
        <v>896</v>
      </c>
      <c r="C158" s="15" t="s">
        <v>1610</v>
      </c>
    </row>
    <row r="159" spans="1:3" x14ac:dyDescent="0.25">
      <c r="A159" s="15" t="s">
        <v>631</v>
      </c>
      <c r="B159" s="15" t="s">
        <v>897</v>
      </c>
      <c r="C159" s="15" t="s">
        <v>1611</v>
      </c>
    </row>
    <row r="160" spans="1:3" x14ac:dyDescent="0.25">
      <c r="A160" s="15" t="s">
        <v>632</v>
      </c>
      <c r="B160" s="15" t="s">
        <v>898</v>
      </c>
      <c r="C160" s="15" t="s">
        <v>1612</v>
      </c>
    </row>
    <row r="161" spans="1:3" x14ac:dyDescent="0.25">
      <c r="A161" s="15" t="s">
        <v>633</v>
      </c>
      <c r="B161" s="15" t="s">
        <v>899</v>
      </c>
      <c r="C161" s="15" t="s">
        <v>1613</v>
      </c>
    </row>
    <row r="162" spans="1:3" x14ac:dyDescent="0.25">
      <c r="A162" s="15" t="s">
        <v>634</v>
      </c>
      <c r="B162" s="15" t="s">
        <v>900</v>
      </c>
      <c r="C162" s="16" t="s">
        <v>1614</v>
      </c>
    </row>
    <row r="163" spans="1:3" x14ac:dyDescent="0.25">
      <c r="A163" s="15" t="s">
        <v>635</v>
      </c>
      <c r="B163" s="15" t="s">
        <v>901</v>
      </c>
      <c r="C163" s="15" t="s">
        <v>1615</v>
      </c>
    </row>
    <row r="164" spans="1:3" x14ac:dyDescent="0.25">
      <c r="A164" s="15" t="s">
        <v>636</v>
      </c>
      <c r="B164" s="15" t="s">
        <v>902</v>
      </c>
      <c r="C164" s="16" t="s">
        <v>1616</v>
      </c>
    </row>
    <row r="165" spans="1:3" x14ac:dyDescent="0.25">
      <c r="A165" s="15" t="s">
        <v>637</v>
      </c>
      <c r="B165" s="15" t="s">
        <v>903</v>
      </c>
      <c r="C165" s="15" t="s">
        <v>1617</v>
      </c>
    </row>
    <row r="166" spans="1:3" x14ac:dyDescent="0.25">
      <c r="A166" s="15" t="s">
        <v>638</v>
      </c>
      <c r="B166" s="15" t="s">
        <v>904</v>
      </c>
      <c r="C166" s="15" t="s">
        <v>1618</v>
      </c>
    </row>
    <row r="167" spans="1:3" x14ac:dyDescent="0.25">
      <c r="A167" s="15" t="s">
        <v>721</v>
      </c>
      <c r="B167" s="15" t="s">
        <v>905</v>
      </c>
      <c r="C167" s="15" t="s">
        <v>1619</v>
      </c>
    </row>
    <row r="168" spans="1:3" x14ac:dyDescent="0.25">
      <c r="A168" s="15" t="s">
        <v>639</v>
      </c>
      <c r="B168" s="15" t="s">
        <v>906</v>
      </c>
      <c r="C168" s="15" t="s">
        <v>1620</v>
      </c>
    </row>
    <row r="169" spans="1:3" x14ac:dyDescent="0.25">
      <c r="A169" s="15" t="s">
        <v>640</v>
      </c>
      <c r="B169" s="15" t="s">
        <v>907</v>
      </c>
      <c r="C169" s="15" t="s">
        <v>1621</v>
      </c>
    </row>
    <row r="170" spans="1:3" x14ac:dyDescent="0.25">
      <c r="A170" s="15" t="s">
        <v>641</v>
      </c>
      <c r="B170" s="15" t="s">
        <v>908</v>
      </c>
      <c r="C170" s="15" t="s">
        <v>1622</v>
      </c>
    </row>
    <row r="171" spans="1:3" x14ac:dyDescent="0.25">
      <c r="A171" s="15" t="s">
        <v>642</v>
      </c>
      <c r="B171" s="15" t="s">
        <v>909</v>
      </c>
      <c r="C171" s="15" t="s">
        <v>1623</v>
      </c>
    </row>
    <row r="172" spans="1:3" x14ac:dyDescent="0.25">
      <c r="A172" s="15" t="s">
        <v>643</v>
      </c>
      <c r="B172" s="15" t="s">
        <v>910</v>
      </c>
      <c r="C172" s="16" t="s">
        <v>1624</v>
      </c>
    </row>
    <row r="173" spans="1:3" x14ac:dyDescent="0.25">
      <c r="A173" s="15" t="s">
        <v>644</v>
      </c>
      <c r="B173" s="15" t="s">
        <v>911</v>
      </c>
      <c r="C173" s="15" t="s">
        <v>1625</v>
      </c>
    </row>
    <row r="174" spans="1:3" x14ac:dyDescent="0.25">
      <c r="A174" s="15" t="s">
        <v>645</v>
      </c>
      <c r="B174" s="15" t="s">
        <v>912</v>
      </c>
      <c r="C174" s="15" t="s">
        <v>1626</v>
      </c>
    </row>
    <row r="175" spans="1:3" x14ac:dyDescent="0.25">
      <c r="A175" s="15" t="s">
        <v>646</v>
      </c>
      <c r="B175" s="15" t="s">
        <v>913</v>
      </c>
      <c r="C175" s="15" t="s">
        <v>1627</v>
      </c>
    </row>
    <row r="176" spans="1:3" x14ac:dyDescent="0.25">
      <c r="A176" s="15" t="s">
        <v>647</v>
      </c>
      <c r="B176" s="15" t="s">
        <v>914</v>
      </c>
      <c r="C176" s="16" t="s">
        <v>1628</v>
      </c>
    </row>
    <row r="177" spans="1:3" x14ac:dyDescent="0.25">
      <c r="A177" s="15" t="s">
        <v>648</v>
      </c>
      <c r="B177" s="15" t="s">
        <v>915</v>
      </c>
      <c r="C177" s="16" t="s">
        <v>1629</v>
      </c>
    </row>
    <row r="178" spans="1:3" x14ac:dyDescent="0.25">
      <c r="A178" s="15" t="s">
        <v>649</v>
      </c>
      <c r="B178" s="15" t="s">
        <v>916</v>
      </c>
      <c r="C178" s="15" t="s">
        <v>1630</v>
      </c>
    </row>
    <row r="179" spans="1:3" x14ac:dyDescent="0.25">
      <c r="A179" s="15" t="s">
        <v>650</v>
      </c>
      <c r="B179" s="15" t="s">
        <v>917</v>
      </c>
      <c r="C179" s="15" t="s">
        <v>1631</v>
      </c>
    </row>
    <row r="180" spans="1:3" x14ac:dyDescent="0.25">
      <c r="A180" s="15" t="s">
        <v>651</v>
      </c>
      <c r="B180" s="15" t="s">
        <v>918</v>
      </c>
      <c r="C180" s="15" t="s">
        <v>1446</v>
      </c>
    </row>
    <row r="181" spans="1:3" x14ac:dyDescent="0.25">
      <c r="A181" s="15" t="s">
        <v>652</v>
      </c>
      <c r="B181" s="15" t="s">
        <v>919</v>
      </c>
      <c r="C181" s="16" t="s">
        <v>1632</v>
      </c>
    </row>
    <row r="182" spans="1:3" x14ac:dyDescent="0.25">
      <c r="A182" s="15" t="s">
        <v>653</v>
      </c>
      <c r="B182" s="15" t="s">
        <v>920</v>
      </c>
      <c r="C182" s="15" t="s">
        <v>1633</v>
      </c>
    </row>
    <row r="183" spans="1:3" x14ac:dyDescent="0.25">
      <c r="A183" s="15" t="s">
        <v>654</v>
      </c>
      <c r="B183" s="15" t="s">
        <v>921</v>
      </c>
      <c r="C183" s="16" t="s">
        <v>1634</v>
      </c>
    </row>
    <row r="184" spans="1:3" x14ac:dyDescent="0.25">
      <c r="A184" s="15" t="s">
        <v>722</v>
      </c>
      <c r="B184" s="15" t="s">
        <v>922</v>
      </c>
      <c r="C184" s="15" t="s">
        <v>1635</v>
      </c>
    </row>
    <row r="185" spans="1:3" x14ac:dyDescent="0.25">
      <c r="A185" s="15" t="s">
        <v>655</v>
      </c>
      <c r="B185" s="15" t="s">
        <v>923</v>
      </c>
      <c r="C185" s="15" t="s">
        <v>1445</v>
      </c>
    </row>
    <row r="186" spans="1:3" x14ac:dyDescent="0.25">
      <c r="A186" s="15" t="s">
        <v>656</v>
      </c>
      <c r="B186" s="15" t="s">
        <v>924</v>
      </c>
      <c r="C186" s="15" t="s">
        <v>1636</v>
      </c>
    </row>
    <row r="187" spans="1:3" x14ac:dyDescent="0.25">
      <c r="A187" s="15" t="s">
        <v>657</v>
      </c>
      <c r="B187" s="15" t="s">
        <v>925</v>
      </c>
      <c r="C187" s="15" t="s">
        <v>1637</v>
      </c>
    </row>
    <row r="188" spans="1:3" x14ac:dyDescent="0.25">
      <c r="A188" s="15" t="s">
        <v>658</v>
      </c>
      <c r="B188" s="15" t="s">
        <v>926</v>
      </c>
      <c r="C188" s="15" t="s">
        <v>1638</v>
      </c>
    </row>
    <row r="189" spans="1:3" x14ac:dyDescent="0.25">
      <c r="A189" s="15" t="s">
        <v>659</v>
      </c>
      <c r="B189" s="15" t="s">
        <v>927</v>
      </c>
      <c r="C189" s="15" t="s">
        <v>1639</v>
      </c>
    </row>
    <row r="190" spans="1:3" x14ac:dyDescent="0.25">
      <c r="A190" s="15" t="s">
        <v>660</v>
      </c>
      <c r="B190" s="15" t="s">
        <v>928</v>
      </c>
      <c r="C190" s="15" t="s">
        <v>1640</v>
      </c>
    </row>
    <row r="191" spans="1:3" x14ac:dyDescent="0.25">
      <c r="A191" s="15" t="s">
        <v>661</v>
      </c>
      <c r="B191" s="15" t="s">
        <v>929</v>
      </c>
      <c r="C191" s="15" t="s">
        <v>1641</v>
      </c>
    </row>
    <row r="192" spans="1:3" x14ac:dyDescent="0.25">
      <c r="A192" s="15" t="s">
        <v>737</v>
      </c>
      <c r="B192" s="15" t="s">
        <v>930</v>
      </c>
      <c r="C192" s="15" t="s">
        <v>1642</v>
      </c>
    </row>
    <row r="193" spans="1:3" x14ac:dyDescent="0.25">
      <c r="A193" s="15" t="s">
        <v>482</v>
      </c>
      <c r="B193" s="15" t="s">
        <v>931</v>
      </c>
      <c r="C193" s="15" t="s">
        <v>1643</v>
      </c>
    </row>
    <row r="194" spans="1:3" x14ac:dyDescent="0.25">
      <c r="A194" s="15" t="s">
        <v>662</v>
      </c>
      <c r="B194" s="15" t="s">
        <v>932</v>
      </c>
      <c r="C194" s="16" t="s">
        <v>1644</v>
      </c>
    </row>
    <row r="195" spans="1:3" x14ac:dyDescent="0.25">
      <c r="A195" s="15" t="s">
        <v>663</v>
      </c>
      <c r="B195" s="15" t="s">
        <v>933</v>
      </c>
      <c r="C195" s="16" t="s">
        <v>1645</v>
      </c>
    </row>
    <row r="196" spans="1:3" x14ac:dyDescent="0.25">
      <c r="A196" s="15" t="s">
        <v>664</v>
      </c>
      <c r="B196" s="15" t="s">
        <v>934</v>
      </c>
      <c r="C196" s="15" t="s">
        <v>1646</v>
      </c>
    </row>
    <row r="197" spans="1:3" x14ac:dyDescent="0.25">
      <c r="A197" s="15" t="s">
        <v>665</v>
      </c>
      <c r="B197" s="15" t="s">
        <v>935</v>
      </c>
      <c r="C197" s="15" t="s">
        <v>1647</v>
      </c>
    </row>
    <row r="198" spans="1:3" x14ac:dyDescent="0.25">
      <c r="A198" s="15" t="s">
        <v>666</v>
      </c>
      <c r="B198" s="15" t="s">
        <v>936</v>
      </c>
      <c r="C198" s="15" t="s">
        <v>1648</v>
      </c>
    </row>
    <row r="199" spans="1:3" x14ac:dyDescent="0.25">
      <c r="A199" s="15" t="s">
        <v>667</v>
      </c>
      <c r="B199" s="15" t="s">
        <v>937</v>
      </c>
      <c r="C199" s="15" t="s">
        <v>1649</v>
      </c>
    </row>
    <row r="200" spans="1:3" x14ac:dyDescent="0.25">
      <c r="A200" s="15" t="s">
        <v>668</v>
      </c>
      <c r="B200" s="15" t="s">
        <v>938</v>
      </c>
      <c r="C200" s="16" t="s">
        <v>1650</v>
      </c>
    </row>
    <row r="201" spans="1:3" x14ac:dyDescent="0.25">
      <c r="A201" s="15" t="s">
        <v>669</v>
      </c>
      <c r="B201" s="15" t="s">
        <v>939</v>
      </c>
      <c r="C201" s="15" t="s">
        <v>1651</v>
      </c>
    </row>
    <row r="202" spans="1:3" x14ac:dyDescent="0.25">
      <c r="A202" s="15" t="s">
        <v>670</v>
      </c>
      <c r="B202" s="15" t="s">
        <v>940</v>
      </c>
      <c r="C202" s="16" t="s">
        <v>1652</v>
      </c>
    </row>
    <row r="203" spans="1:3" x14ac:dyDescent="0.25">
      <c r="A203" s="15" t="s">
        <v>671</v>
      </c>
      <c r="B203" s="15" t="s">
        <v>941</v>
      </c>
      <c r="C203" s="15" t="s">
        <v>1653</v>
      </c>
    </row>
    <row r="204" spans="1:3" x14ac:dyDescent="0.25">
      <c r="A204" s="15" t="s">
        <v>672</v>
      </c>
      <c r="B204" s="15" t="s">
        <v>942</v>
      </c>
      <c r="C204" s="16" t="s">
        <v>1654</v>
      </c>
    </row>
    <row r="205" spans="1:3" x14ac:dyDescent="0.25">
      <c r="A205" s="15" t="s">
        <v>673</v>
      </c>
      <c r="B205" s="15" t="s">
        <v>943</v>
      </c>
      <c r="C205" s="16" t="s">
        <v>1655</v>
      </c>
    </row>
    <row r="206" spans="1:3" x14ac:dyDescent="0.25">
      <c r="A206" s="15" t="s">
        <v>674</v>
      </c>
      <c r="B206" s="15" t="s">
        <v>944</v>
      </c>
      <c r="C206" s="15" t="s">
        <v>1656</v>
      </c>
    </row>
    <row r="207" spans="1:3" x14ac:dyDescent="0.25">
      <c r="A207" s="15" t="s">
        <v>675</v>
      </c>
      <c r="B207" s="15" t="s">
        <v>945</v>
      </c>
      <c r="C207" s="15" t="s">
        <v>1657</v>
      </c>
    </row>
    <row r="208" spans="1:3" x14ac:dyDescent="0.25">
      <c r="A208" s="15" t="s">
        <v>676</v>
      </c>
      <c r="B208" s="15" t="s">
        <v>946</v>
      </c>
      <c r="C208" s="15" t="s">
        <v>1658</v>
      </c>
    </row>
    <row r="209" spans="1:3" x14ac:dyDescent="0.25">
      <c r="A209" s="15" t="s">
        <v>677</v>
      </c>
      <c r="B209" s="15" t="s">
        <v>947</v>
      </c>
      <c r="C209" s="16" t="s">
        <v>1659</v>
      </c>
    </row>
    <row r="210" spans="1:3" x14ac:dyDescent="0.25">
      <c r="A210" s="15" t="s">
        <v>678</v>
      </c>
      <c r="B210" s="15" t="s">
        <v>948</v>
      </c>
      <c r="C210" s="16" t="s">
        <v>1660</v>
      </c>
    </row>
    <row r="211" spans="1:3" x14ac:dyDescent="0.25">
      <c r="A211" s="15" t="s">
        <v>679</v>
      </c>
      <c r="B211" s="15" t="s">
        <v>949</v>
      </c>
      <c r="C211" s="16" t="s">
        <v>1661</v>
      </c>
    </row>
    <row r="212" spans="1:3" x14ac:dyDescent="0.25">
      <c r="A212" s="15" t="s">
        <v>715</v>
      </c>
      <c r="B212" s="15" t="s">
        <v>950</v>
      </c>
      <c r="C212" s="16" t="s">
        <v>1662</v>
      </c>
    </row>
    <row r="213" spans="1:3" x14ac:dyDescent="0.25">
      <c r="A213" s="15" t="s">
        <v>738</v>
      </c>
      <c r="B213" s="15" t="s">
        <v>951</v>
      </c>
      <c r="C213" s="15" t="s">
        <v>1663</v>
      </c>
    </row>
    <row r="214" spans="1:3" x14ac:dyDescent="0.25">
      <c r="A214" s="15" t="s">
        <v>680</v>
      </c>
      <c r="B214" s="15" t="s">
        <v>952</v>
      </c>
      <c r="C214" s="15" t="s">
        <v>1664</v>
      </c>
    </row>
    <row r="215" spans="1:3" x14ac:dyDescent="0.25">
      <c r="A215" s="15" t="s">
        <v>739</v>
      </c>
      <c r="B215" s="15" t="s">
        <v>953</v>
      </c>
      <c r="C215" s="16" t="s">
        <v>1665</v>
      </c>
    </row>
    <row r="216" spans="1:3" x14ac:dyDescent="0.25">
      <c r="A216" s="15" t="s">
        <v>681</v>
      </c>
      <c r="B216" s="15" t="s">
        <v>954</v>
      </c>
      <c r="C216" s="15" t="s">
        <v>1666</v>
      </c>
    </row>
    <row r="217" spans="1:3" x14ac:dyDescent="0.25">
      <c r="A217" s="15" t="s">
        <v>682</v>
      </c>
      <c r="B217" s="15" t="s">
        <v>955</v>
      </c>
      <c r="C217" s="16" t="s">
        <v>1667</v>
      </c>
    </row>
    <row r="218" spans="1:3" x14ac:dyDescent="0.25">
      <c r="A218" s="15" t="s">
        <v>683</v>
      </c>
      <c r="B218" s="15" t="s">
        <v>956</v>
      </c>
      <c r="C218" s="15" t="s">
        <v>1668</v>
      </c>
    </row>
    <row r="219" spans="1:3" x14ac:dyDescent="0.25">
      <c r="A219" s="15" t="s">
        <v>684</v>
      </c>
      <c r="B219" s="15" t="s">
        <v>957</v>
      </c>
      <c r="C219" s="15" t="s">
        <v>1669</v>
      </c>
    </row>
    <row r="220" spans="1:3" x14ac:dyDescent="0.25">
      <c r="A220" s="15" t="s">
        <v>685</v>
      </c>
      <c r="B220" s="15" t="s">
        <v>958</v>
      </c>
      <c r="C220" s="15" t="s">
        <v>1670</v>
      </c>
    </row>
    <row r="221" spans="1:3" x14ac:dyDescent="0.25">
      <c r="A221" s="15" t="s">
        <v>686</v>
      </c>
      <c r="B221" s="15" t="s">
        <v>959</v>
      </c>
      <c r="C221" s="15" t="s">
        <v>1671</v>
      </c>
    </row>
    <row r="222" spans="1:3" x14ac:dyDescent="0.25">
      <c r="A222" s="15" t="s">
        <v>687</v>
      </c>
      <c r="B222" s="15" t="s">
        <v>960</v>
      </c>
      <c r="C222" s="15" t="s">
        <v>1672</v>
      </c>
    </row>
    <row r="223" spans="1:3" x14ac:dyDescent="0.25">
      <c r="A223" s="15" t="s">
        <v>688</v>
      </c>
      <c r="B223" s="15" t="s">
        <v>961</v>
      </c>
      <c r="C223" s="15" t="s">
        <v>1673</v>
      </c>
    </row>
    <row r="224" spans="1:3" x14ac:dyDescent="0.25">
      <c r="A224" s="15" t="s">
        <v>689</v>
      </c>
      <c r="B224" s="15" t="s">
        <v>962</v>
      </c>
      <c r="C224" s="15" t="s">
        <v>1674</v>
      </c>
    </row>
    <row r="225" spans="1:3" x14ac:dyDescent="0.25">
      <c r="A225" s="15" t="s">
        <v>690</v>
      </c>
      <c r="B225" s="15" t="s">
        <v>963</v>
      </c>
      <c r="C225" s="15" t="s">
        <v>1675</v>
      </c>
    </row>
    <row r="226" spans="1:3" x14ac:dyDescent="0.25">
      <c r="A226" s="125" t="s">
        <v>2453</v>
      </c>
      <c r="B226" s="15" t="s">
        <v>964</v>
      </c>
      <c r="C226" s="125" t="s">
        <v>2454</v>
      </c>
    </row>
    <row r="227" spans="1:3" x14ac:dyDescent="0.25">
      <c r="A227" s="15" t="s">
        <v>691</v>
      </c>
      <c r="B227" s="15" t="s">
        <v>965</v>
      </c>
      <c r="C227" s="16" t="s">
        <v>1676</v>
      </c>
    </row>
    <row r="228" spans="1:3" x14ac:dyDescent="0.25">
      <c r="A228" s="15" t="s">
        <v>692</v>
      </c>
      <c r="B228" s="15" t="s">
        <v>966</v>
      </c>
      <c r="C228" s="15" t="s">
        <v>1677</v>
      </c>
    </row>
    <row r="229" spans="1:3" x14ac:dyDescent="0.25">
      <c r="A229" s="15" t="s">
        <v>723</v>
      </c>
      <c r="B229" s="15" t="s">
        <v>967</v>
      </c>
      <c r="C229" s="15" t="s">
        <v>1678</v>
      </c>
    </row>
    <row r="230" spans="1:3" x14ac:dyDescent="0.25">
      <c r="A230" s="15" t="s">
        <v>724</v>
      </c>
      <c r="B230" s="15" t="s">
        <v>968</v>
      </c>
      <c r="C230" s="15" t="s">
        <v>1679</v>
      </c>
    </row>
    <row r="231" spans="1:3" x14ac:dyDescent="0.25">
      <c r="A231" s="15" t="s">
        <v>693</v>
      </c>
      <c r="B231" s="15" t="s">
        <v>969</v>
      </c>
      <c r="C231" s="15" t="s">
        <v>1680</v>
      </c>
    </row>
    <row r="232" spans="1:3" x14ac:dyDescent="0.25">
      <c r="A232" s="15" t="s">
        <v>694</v>
      </c>
      <c r="B232" s="15" t="s">
        <v>970</v>
      </c>
      <c r="C232" s="15" t="s">
        <v>1681</v>
      </c>
    </row>
    <row r="233" spans="1:3" x14ac:dyDescent="0.25">
      <c r="A233" s="15" t="s">
        <v>695</v>
      </c>
      <c r="B233" s="15" t="s">
        <v>971</v>
      </c>
      <c r="C233" s="16" t="s">
        <v>1682</v>
      </c>
    </row>
    <row r="234" spans="1:3" x14ac:dyDescent="0.25">
      <c r="A234" s="15" t="s">
        <v>697</v>
      </c>
      <c r="B234" s="15" t="s">
        <v>973</v>
      </c>
      <c r="C234" s="15" t="s">
        <v>1684</v>
      </c>
    </row>
    <row r="235" spans="1:3" x14ac:dyDescent="0.25">
      <c r="A235" s="15" t="s">
        <v>698</v>
      </c>
      <c r="B235" s="15" t="s">
        <v>974</v>
      </c>
      <c r="C235" s="15" t="s">
        <v>1685</v>
      </c>
    </row>
    <row r="236" spans="1:3" x14ac:dyDescent="0.25">
      <c r="A236" s="130" t="s">
        <v>2468</v>
      </c>
      <c r="B236" s="15" t="s">
        <v>975</v>
      </c>
      <c r="C236" s="132" t="s">
        <v>2473</v>
      </c>
    </row>
    <row r="237" spans="1:3" x14ac:dyDescent="0.25">
      <c r="A237" s="15" t="s">
        <v>699</v>
      </c>
      <c r="B237" s="15" t="s">
        <v>976</v>
      </c>
      <c r="C237" s="16" t="s">
        <v>1686</v>
      </c>
    </row>
    <row r="238" spans="1:3" x14ac:dyDescent="0.25">
      <c r="A238" s="15" t="s">
        <v>716</v>
      </c>
      <c r="B238" s="15" t="s">
        <v>977</v>
      </c>
      <c r="C238" s="15" t="s">
        <v>1687</v>
      </c>
    </row>
    <row r="239" spans="1:3" x14ac:dyDescent="0.25">
      <c r="A239" s="15" t="s">
        <v>717</v>
      </c>
      <c r="B239" s="15" t="s">
        <v>978</v>
      </c>
      <c r="C239" s="16" t="s">
        <v>1688</v>
      </c>
    </row>
    <row r="240" spans="1:3" x14ac:dyDescent="0.25">
      <c r="A240" s="15" t="s">
        <v>718</v>
      </c>
      <c r="B240" s="15" t="s">
        <v>979</v>
      </c>
      <c r="C240" s="16" t="s">
        <v>1689</v>
      </c>
    </row>
    <row r="241" spans="1:3" x14ac:dyDescent="0.25">
      <c r="A241" s="15" t="s">
        <v>740</v>
      </c>
      <c r="B241" s="15" t="s">
        <v>980</v>
      </c>
      <c r="C241" s="15" t="s">
        <v>1690</v>
      </c>
    </row>
    <row r="242" spans="1:3" x14ac:dyDescent="0.25">
      <c r="A242" s="15" t="s">
        <v>700</v>
      </c>
      <c r="B242" s="15" t="s">
        <v>981</v>
      </c>
      <c r="C242" s="15" t="s">
        <v>1691</v>
      </c>
    </row>
    <row r="243" spans="1:3" x14ac:dyDescent="0.25">
      <c r="A243" s="15" t="s">
        <v>701</v>
      </c>
      <c r="B243" s="15" t="s">
        <v>982</v>
      </c>
      <c r="C243" s="16" t="s">
        <v>1692</v>
      </c>
    </row>
    <row r="244" spans="1:3" x14ac:dyDescent="0.25">
      <c r="A244" s="15" t="s">
        <v>702</v>
      </c>
      <c r="B244" s="15" t="s">
        <v>983</v>
      </c>
      <c r="C244" s="15" t="s">
        <v>1693</v>
      </c>
    </row>
    <row r="245" spans="1:3" x14ac:dyDescent="0.25">
      <c r="A245" s="15" t="s">
        <v>703</v>
      </c>
      <c r="B245" s="15" t="s">
        <v>984</v>
      </c>
      <c r="C245" s="15" t="s">
        <v>1694</v>
      </c>
    </row>
    <row r="246" spans="1:3" x14ac:dyDescent="0.25">
      <c r="A246" s="15" t="s">
        <v>704</v>
      </c>
      <c r="B246" s="15" t="s">
        <v>985</v>
      </c>
      <c r="C246" s="15" t="s">
        <v>1695</v>
      </c>
    </row>
    <row r="247" spans="1:3" x14ac:dyDescent="0.25">
      <c r="A247" s="15" t="s">
        <v>705</v>
      </c>
      <c r="B247" s="15" t="s">
        <v>986</v>
      </c>
      <c r="C247" s="16" t="s">
        <v>1696</v>
      </c>
    </row>
    <row r="248" spans="1:3" x14ac:dyDescent="0.25">
      <c r="A248" s="15" t="s">
        <v>706</v>
      </c>
      <c r="B248" s="15" t="s">
        <v>987</v>
      </c>
      <c r="C248" s="15" t="s">
        <v>1697</v>
      </c>
    </row>
    <row r="249" spans="1:3" x14ac:dyDescent="0.25">
      <c r="A249" s="15" t="s">
        <v>707</v>
      </c>
      <c r="B249" s="15" t="s">
        <v>988</v>
      </c>
      <c r="C249" s="15" t="s">
        <v>1698</v>
      </c>
    </row>
    <row r="250" spans="1:3" x14ac:dyDescent="0.25">
      <c r="A250" s="15" t="s">
        <v>696</v>
      </c>
      <c r="B250" s="15" t="s">
        <v>972</v>
      </c>
      <c r="C250" s="16" t="s">
        <v>1683</v>
      </c>
    </row>
    <row r="251" spans="1:3" x14ac:dyDescent="0.25">
      <c r="A251" s="15" t="s">
        <v>1900</v>
      </c>
      <c r="B251" s="15" t="s">
        <v>1950</v>
      </c>
      <c r="C251" s="23" t="str">
        <f>"usa"&amp;CHAR(10)&amp;"- "&amp;SUBSTITUTE(LOWER(MID(A251,4,LEN(A251)))," ","-")</f>
        <v>usa
- alabama</v>
      </c>
    </row>
    <row r="252" spans="1:3" x14ac:dyDescent="0.25">
      <c r="A252" s="15" t="s">
        <v>1901</v>
      </c>
      <c r="B252" s="15" t="s">
        <v>1951</v>
      </c>
      <c r="C252" s="23" t="str">
        <f t="shared" ref="C252:C301" si="0">"usa"&amp;CHAR(10)&amp;"- "&amp;SUBSTITUTE(LOWER(MID(A252,4,LEN(A252)))," ","-")</f>
        <v>usa
- alaska</v>
      </c>
    </row>
    <row r="253" spans="1:3" x14ac:dyDescent="0.25">
      <c r="A253" s="15" t="s">
        <v>1902</v>
      </c>
      <c r="B253" s="15" t="s">
        <v>1952</v>
      </c>
      <c r="C253" s="23" t="str">
        <f t="shared" si="0"/>
        <v>usa
- arizona</v>
      </c>
    </row>
    <row r="254" spans="1:3" x14ac:dyDescent="0.25">
      <c r="A254" s="15" t="s">
        <v>1899</v>
      </c>
      <c r="B254" s="15" t="s">
        <v>1953</v>
      </c>
      <c r="C254" s="23" t="str">
        <f t="shared" si="0"/>
        <v>usa
- arkansas</v>
      </c>
    </row>
    <row r="255" spans="1:3" x14ac:dyDescent="0.25">
      <c r="A255" s="15" t="s">
        <v>1903</v>
      </c>
      <c r="B255" s="15" t="s">
        <v>1954</v>
      </c>
      <c r="C255" s="23" t="str">
        <f t="shared" si="0"/>
        <v>usa
- california</v>
      </c>
    </row>
    <row r="256" spans="1:3" x14ac:dyDescent="0.25">
      <c r="A256" s="15" t="s">
        <v>1904</v>
      </c>
      <c r="B256" s="15" t="s">
        <v>1955</v>
      </c>
      <c r="C256" s="23" t="str">
        <f t="shared" si="0"/>
        <v>usa
- colorado</v>
      </c>
    </row>
    <row r="257" spans="1:3" x14ac:dyDescent="0.25">
      <c r="A257" s="15" t="s">
        <v>1905</v>
      </c>
      <c r="B257" s="15" t="s">
        <v>1956</v>
      </c>
      <c r="C257" s="23" t="str">
        <f t="shared" si="0"/>
        <v>usa
- connecticut</v>
      </c>
    </row>
    <row r="258" spans="1:3" x14ac:dyDescent="0.25">
      <c r="A258" s="15" t="s">
        <v>1906</v>
      </c>
      <c r="B258" s="15" t="s">
        <v>1957</v>
      </c>
      <c r="C258" s="23" t="str">
        <f t="shared" si="0"/>
        <v>usa
- delaware</v>
      </c>
    </row>
    <row r="259" spans="1:3" x14ac:dyDescent="0.25">
      <c r="A259" s="15" t="s">
        <v>1907</v>
      </c>
      <c r="B259" s="15" t="s">
        <v>1958</v>
      </c>
      <c r="C259" s="23" t="str">
        <f t="shared" si="0"/>
        <v>usa
- dc</v>
      </c>
    </row>
    <row r="260" spans="1:3" x14ac:dyDescent="0.25">
      <c r="A260" s="15" t="s">
        <v>1908</v>
      </c>
      <c r="B260" s="15" t="s">
        <v>1959</v>
      </c>
      <c r="C260" s="23" t="str">
        <f t="shared" si="0"/>
        <v>usa
- florida</v>
      </c>
    </row>
    <row r="261" spans="1:3" x14ac:dyDescent="0.25">
      <c r="A261" s="15" t="s">
        <v>1909</v>
      </c>
      <c r="B261" s="15" t="s">
        <v>1960</v>
      </c>
      <c r="C261" s="23" t="str">
        <f t="shared" si="0"/>
        <v>usa
- georgia</v>
      </c>
    </row>
    <row r="262" spans="1:3" x14ac:dyDescent="0.25">
      <c r="A262" s="15" t="s">
        <v>1910</v>
      </c>
      <c r="B262" s="15" t="s">
        <v>1961</v>
      </c>
      <c r="C262" s="23" t="str">
        <f t="shared" si="0"/>
        <v>usa
- hawaii</v>
      </c>
    </row>
    <row r="263" spans="1:3" x14ac:dyDescent="0.25">
      <c r="A263" s="15" t="s">
        <v>1911</v>
      </c>
      <c r="B263" s="15" t="s">
        <v>1962</v>
      </c>
      <c r="C263" s="23" t="str">
        <f t="shared" si="0"/>
        <v>usa
- idaho</v>
      </c>
    </row>
    <row r="264" spans="1:3" x14ac:dyDescent="0.25">
      <c r="A264" s="15" t="s">
        <v>1912</v>
      </c>
      <c r="B264" s="15" t="s">
        <v>1963</v>
      </c>
      <c r="C264" s="23" t="str">
        <f t="shared" si="0"/>
        <v>usa
- illinois</v>
      </c>
    </row>
    <row r="265" spans="1:3" x14ac:dyDescent="0.25">
      <c r="A265" s="15" t="s">
        <v>1913</v>
      </c>
      <c r="B265" s="15" t="s">
        <v>1964</v>
      </c>
      <c r="C265" s="23" t="str">
        <f t="shared" si="0"/>
        <v>usa
- indiana</v>
      </c>
    </row>
    <row r="266" spans="1:3" x14ac:dyDescent="0.25">
      <c r="A266" s="15" t="s">
        <v>1914</v>
      </c>
      <c r="B266" s="15" t="s">
        <v>1965</v>
      </c>
      <c r="C266" s="23" t="str">
        <f t="shared" si="0"/>
        <v>usa
- iowa</v>
      </c>
    </row>
    <row r="267" spans="1:3" x14ac:dyDescent="0.25">
      <c r="A267" s="15" t="s">
        <v>1915</v>
      </c>
      <c r="B267" s="15" t="s">
        <v>1966</v>
      </c>
      <c r="C267" s="23" t="str">
        <f t="shared" si="0"/>
        <v>usa
- kansas</v>
      </c>
    </row>
    <row r="268" spans="1:3" x14ac:dyDescent="0.25">
      <c r="A268" s="15" t="s">
        <v>1916</v>
      </c>
      <c r="B268" s="15" t="s">
        <v>1967</v>
      </c>
      <c r="C268" s="23" t="str">
        <f t="shared" si="0"/>
        <v>usa
- kentucky</v>
      </c>
    </row>
    <row r="269" spans="1:3" x14ac:dyDescent="0.25">
      <c r="A269" s="15" t="s">
        <v>1917</v>
      </c>
      <c r="B269" s="15" t="s">
        <v>1968</v>
      </c>
      <c r="C269" s="23" t="str">
        <f t="shared" si="0"/>
        <v>usa
- louisiana</v>
      </c>
    </row>
    <row r="270" spans="1:3" x14ac:dyDescent="0.25">
      <c r="A270" s="15" t="s">
        <v>1918</v>
      </c>
      <c r="B270" s="15" t="s">
        <v>1969</v>
      </c>
      <c r="C270" s="23" t="str">
        <f t="shared" si="0"/>
        <v>usa
- maine</v>
      </c>
    </row>
    <row r="271" spans="1:3" x14ac:dyDescent="0.25">
      <c r="A271" s="15" t="s">
        <v>1919</v>
      </c>
      <c r="B271" s="15" t="s">
        <v>1970</v>
      </c>
      <c r="C271" s="23" t="str">
        <f t="shared" si="0"/>
        <v>usa
- maryland</v>
      </c>
    </row>
    <row r="272" spans="1:3" x14ac:dyDescent="0.25">
      <c r="A272" s="15" t="s">
        <v>1920</v>
      </c>
      <c r="B272" s="15" t="s">
        <v>1971</v>
      </c>
      <c r="C272" s="23" t="str">
        <f t="shared" si="0"/>
        <v>usa
- massachusetts</v>
      </c>
    </row>
    <row r="273" spans="1:3" x14ac:dyDescent="0.25">
      <c r="A273" s="15" t="s">
        <v>1921</v>
      </c>
      <c r="B273" s="15" t="s">
        <v>1972</v>
      </c>
      <c r="C273" s="23" t="str">
        <f t="shared" si="0"/>
        <v>usa
- michigan</v>
      </c>
    </row>
    <row r="274" spans="1:3" x14ac:dyDescent="0.25">
      <c r="A274" s="15" t="s">
        <v>1922</v>
      </c>
      <c r="B274" s="15" t="s">
        <v>1973</v>
      </c>
      <c r="C274" s="23" t="str">
        <f t="shared" si="0"/>
        <v>usa
- minnesota</v>
      </c>
    </row>
    <row r="275" spans="1:3" x14ac:dyDescent="0.25">
      <c r="A275" s="15" t="s">
        <v>1923</v>
      </c>
      <c r="B275" s="15" t="s">
        <v>1974</v>
      </c>
      <c r="C275" s="23" t="str">
        <f t="shared" si="0"/>
        <v>usa
- mississippi</v>
      </c>
    </row>
    <row r="276" spans="1:3" x14ac:dyDescent="0.25">
      <c r="A276" s="15" t="s">
        <v>1924</v>
      </c>
      <c r="B276" s="15" t="s">
        <v>1975</v>
      </c>
      <c r="C276" s="23" t="str">
        <f t="shared" si="0"/>
        <v>usa
- missouri</v>
      </c>
    </row>
    <row r="277" spans="1:3" x14ac:dyDescent="0.25">
      <c r="A277" s="15" t="s">
        <v>1925</v>
      </c>
      <c r="B277" s="15" t="s">
        <v>1976</v>
      </c>
      <c r="C277" s="23" t="str">
        <f t="shared" si="0"/>
        <v>usa
- montana</v>
      </c>
    </row>
    <row r="278" spans="1:3" x14ac:dyDescent="0.25">
      <c r="A278" s="15" t="s">
        <v>1926</v>
      </c>
      <c r="B278" s="15" t="s">
        <v>1977</v>
      </c>
      <c r="C278" s="23" t="str">
        <f t="shared" si="0"/>
        <v>usa
- nebraska</v>
      </c>
    </row>
    <row r="279" spans="1:3" x14ac:dyDescent="0.25">
      <c r="A279" s="15" t="s">
        <v>1927</v>
      </c>
      <c r="B279" s="15" t="s">
        <v>1978</v>
      </c>
      <c r="C279" s="23" t="str">
        <f t="shared" si="0"/>
        <v>usa
- nevada</v>
      </c>
    </row>
    <row r="280" spans="1:3" x14ac:dyDescent="0.25">
      <c r="A280" s="15" t="s">
        <v>1928</v>
      </c>
      <c r="B280" s="15" t="s">
        <v>1979</v>
      </c>
      <c r="C280" s="23" t="str">
        <f t="shared" si="0"/>
        <v>usa
- new-hampshire</v>
      </c>
    </row>
    <row r="281" spans="1:3" x14ac:dyDescent="0.25">
      <c r="A281" s="15" t="s">
        <v>1929</v>
      </c>
      <c r="B281" s="15" t="s">
        <v>1980</v>
      </c>
      <c r="C281" s="23" t="str">
        <f t="shared" si="0"/>
        <v>usa
- new-jersey</v>
      </c>
    </row>
    <row r="282" spans="1:3" x14ac:dyDescent="0.25">
      <c r="A282" s="15" t="s">
        <v>1930</v>
      </c>
      <c r="B282" s="15" t="s">
        <v>1981</v>
      </c>
      <c r="C282" s="23" t="str">
        <f t="shared" si="0"/>
        <v>usa
- new-mexico</v>
      </c>
    </row>
    <row r="283" spans="1:3" x14ac:dyDescent="0.25">
      <c r="A283" s="15" t="s">
        <v>1931</v>
      </c>
      <c r="B283" s="15" t="s">
        <v>1982</v>
      </c>
      <c r="C283" s="23" t="str">
        <f t="shared" si="0"/>
        <v>usa
- new-york</v>
      </c>
    </row>
    <row r="284" spans="1:3" x14ac:dyDescent="0.25">
      <c r="A284" s="15" t="s">
        <v>1932</v>
      </c>
      <c r="B284" s="15" t="s">
        <v>1983</v>
      </c>
      <c r="C284" s="23" t="str">
        <f t="shared" si="0"/>
        <v>usa
- north-carolina</v>
      </c>
    </row>
    <row r="285" spans="1:3" x14ac:dyDescent="0.25">
      <c r="A285" s="15" t="s">
        <v>1933</v>
      </c>
      <c r="B285" s="15" t="s">
        <v>1984</v>
      </c>
      <c r="C285" s="23" t="str">
        <f t="shared" si="0"/>
        <v>usa
- north-dakota</v>
      </c>
    </row>
    <row r="286" spans="1:3" x14ac:dyDescent="0.25">
      <c r="A286" s="15" t="s">
        <v>1934</v>
      </c>
      <c r="B286" s="15" t="s">
        <v>1985</v>
      </c>
      <c r="C286" s="23" t="str">
        <f t="shared" si="0"/>
        <v>usa
- ohio</v>
      </c>
    </row>
    <row r="287" spans="1:3" x14ac:dyDescent="0.25">
      <c r="A287" s="15" t="s">
        <v>1935</v>
      </c>
      <c r="B287" s="15" t="s">
        <v>1986</v>
      </c>
      <c r="C287" s="23" t="str">
        <f t="shared" si="0"/>
        <v>usa
- oklahoma</v>
      </c>
    </row>
    <row r="288" spans="1:3" x14ac:dyDescent="0.25">
      <c r="A288" s="15" t="s">
        <v>1936</v>
      </c>
      <c r="B288" s="15" t="s">
        <v>1987</v>
      </c>
      <c r="C288" s="23" t="str">
        <f t="shared" si="0"/>
        <v>usa
- oregon</v>
      </c>
    </row>
    <row r="289" spans="1:3" x14ac:dyDescent="0.25">
      <c r="A289" s="15" t="s">
        <v>1937</v>
      </c>
      <c r="B289" s="15" t="s">
        <v>1988</v>
      </c>
      <c r="C289" s="23" t="str">
        <f t="shared" si="0"/>
        <v>usa
- pennsylvania</v>
      </c>
    </row>
    <row r="290" spans="1:3" x14ac:dyDescent="0.25">
      <c r="A290" s="15" t="s">
        <v>1938</v>
      </c>
      <c r="B290" s="15" t="s">
        <v>1989</v>
      </c>
      <c r="C290" s="23" t="str">
        <f t="shared" si="0"/>
        <v>usa
- rhode-island</v>
      </c>
    </row>
    <row r="291" spans="1:3" x14ac:dyDescent="0.25">
      <c r="A291" s="15" t="s">
        <v>1939</v>
      </c>
      <c r="B291" s="15" t="s">
        <v>1990</v>
      </c>
      <c r="C291" s="23" t="str">
        <f t="shared" si="0"/>
        <v>usa
- south-carolina</v>
      </c>
    </row>
    <row r="292" spans="1:3" x14ac:dyDescent="0.25">
      <c r="A292" s="15" t="s">
        <v>1940</v>
      </c>
      <c r="B292" s="15" t="s">
        <v>1991</v>
      </c>
      <c r="C292" s="23" t="str">
        <f t="shared" si="0"/>
        <v>usa
- south-dakota</v>
      </c>
    </row>
    <row r="293" spans="1:3" x14ac:dyDescent="0.25">
      <c r="A293" s="15" t="s">
        <v>1941</v>
      </c>
      <c r="B293" s="15" t="s">
        <v>1992</v>
      </c>
      <c r="C293" s="23" t="str">
        <f t="shared" si="0"/>
        <v>usa
- tennessee</v>
      </c>
    </row>
    <row r="294" spans="1:3" x14ac:dyDescent="0.25">
      <c r="A294" s="15" t="s">
        <v>1942</v>
      </c>
      <c r="B294" s="15" t="s">
        <v>1993</v>
      </c>
      <c r="C294" s="23" t="str">
        <f t="shared" si="0"/>
        <v>usa
- texas</v>
      </c>
    </row>
    <row r="295" spans="1:3" x14ac:dyDescent="0.25">
      <c r="A295" s="15" t="s">
        <v>1943</v>
      </c>
      <c r="B295" s="15" t="s">
        <v>1994</v>
      </c>
      <c r="C295" s="23" t="str">
        <f t="shared" si="0"/>
        <v>usa
- utah</v>
      </c>
    </row>
    <row r="296" spans="1:3" x14ac:dyDescent="0.25">
      <c r="A296" s="15" t="s">
        <v>1944</v>
      </c>
      <c r="B296" s="15" t="s">
        <v>1995</v>
      </c>
      <c r="C296" s="23" t="str">
        <f t="shared" si="0"/>
        <v>usa
- vermont</v>
      </c>
    </row>
    <row r="297" spans="1:3" x14ac:dyDescent="0.25">
      <c r="A297" s="15" t="s">
        <v>1945</v>
      </c>
      <c r="B297" s="15" t="s">
        <v>1996</v>
      </c>
      <c r="C297" s="23" t="str">
        <f t="shared" si="0"/>
        <v>usa
- virginia</v>
      </c>
    </row>
    <row r="298" spans="1:3" x14ac:dyDescent="0.25">
      <c r="A298" s="15" t="s">
        <v>1946</v>
      </c>
      <c r="B298" s="15" t="s">
        <v>1997</v>
      </c>
      <c r="C298" s="23" t="str">
        <f t="shared" si="0"/>
        <v>usa
- washington</v>
      </c>
    </row>
    <row r="299" spans="1:3" x14ac:dyDescent="0.25">
      <c r="A299" s="15" t="s">
        <v>1947</v>
      </c>
      <c r="B299" s="15" t="s">
        <v>1998</v>
      </c>
      <c r="C299" s="23" t="str">
        <f t="shared" si="0"/>
        <v>usa
- west-virginia</v>
      </c>
    </row>
    <row r="300" spans="1:3" x14ac:dyDescent="0.25">
      <c r="A300" s="15" t="s">
        <v>1948</v>
      </c>
      <c r="B300" s="15" t="s">
        <v>1999</v>
      </c>
      <c r="C300" s="23" t="str">
        <f t="shared" si="0"/>
        <v>usa
- wisconsin</v>
      </c>
    </row>
    <row r="301" spans="1:3" x14ac:dyDescent="0.25">
      <c r="A301" s="15" t="s">
        <v>1949</v>
      </c>
      <c r="B301" s="15" t="s">
        <v>2000</v>
      </c>
      <c r="C301" s="23" t="str">
        <f t="shared" si="0"/>
        <v>usa
- wyoming</v>
      </c>
    </row>
    <row r="302" spans="1:3" x14ac:dyDescent="0.25">
      <c r="A302" s="135"/>
      <c r="C302" s="135"/>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ColWidth="9.140625"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89" bestFit="1" customWidth="1"/>
    <col min="36" max="36" width="21" style="86"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1321</v>
      </c>
      <c r="B1" s="68" t="s">
        <v>485</v>
      </c>
      <c r="C1" s="67" t="s">
        <v>1722</v>
      </c>
      <c r="D1" s="73" t="s">
        <v>341</v>
      </c>
      <c r="E1" s="74" t="s">
        <v>342</v>
      </c>
      <c r="F1" s="68" t="s">
        <v>727</v>
      </c>
      <c r="G1" s="70" t="s">
        <v>728</v>
      </c>
      <c r="H1" s="67" t="s">
        <v>1714</v>
      </c>
      <c r="I1" s="67" t="s">
        <v>1795</v>
      </c>
      <c r="J1" s="67" t="s">
        <v>1766</v>
      </c>
      <c r="K1" s="67" t="s">
        <v>1754</v>
      </c>
      <c r="L1" s="68" t="s">
        <v>165</v>
      </c>
      <c r="M1" s="70" t="s">
        <v>369</v>
      </c>
      <c r="N1" s="67" t="s">
        <v>1777</v>
      </c>
      <c r="O1" s="67" t="s">
        <v>1774</v>
      </c>
      <c r="P1" s="71" t="s">
        <v>1775</v>
      </c>
      <c r="Q1" s="67" t="s">
        <v>1776</v>
      </c>
      <c r="R1" s="72" t="s">
        <v>1778</v>
      </c>
      <c r="S1" s="71" t="s">
        <v>1779</v>
      </c>
      <c r="T1" s="67" t="s">
        <v>1780</v>
      </c>
      <c r="U1" s="72" t="s">
        <v>1781</v>
      </c>
      <c r="V1" s="67" t="s">
        <v>1782</v>
      </c>
      <c r="W1" s="67" t="s">
        <v>1783</v>
      </c>
      <c r="X1" s="74" t="s">
        <v>1784</v>
      </c>
      <c r="Y1" s="67" t="s">
        <v>1418</v>
      </c>
      <c r="Z1" s="67" t="s">
        <v>1420</v>
      </c>
      <c r="AA1" s="67" t="s">
        <v>1422</v>
      </c>
      <c r="AB1" s="67" t="s">
        <v>1767</v>
      </c>
      <c r="AC1" s="67" t="s">
        <v>1768</v>
      </c>
      <c r="AD1" s="67" t="s">
        <v>1769</v>
      </c>
      <c r="AE1" s="67" t="s">
        <v>1770</v>
      </c>
      <c r="AF1" s="67" t="s">
        <v>1771</v>
      </c>
      <c r="AG1" s="67" t="s">
        <v>1772</v>
      </c>
      <c r="AH1" s="67" t="s">
        <v>1773</v>
      </c>
      <c r="AI1" s="84" t="s">
        <v>1766</v>
      </c>
      <c r="AJ1" s="69" t="s">
        <v>163</v>
      </c>
      <c r="AK1" s="67" t="s">
        <v>333</v>
      </c>
      <c r="AL1" s="67" t="s">
        <v>1325</v>
      </c>
      <c r="AM1" s="67" t="s">
        <v>335</v>
      </c>
      <c r="AN1" s="67" t="s">
        <v>1326</v>
      </c>
      <c r="AO1" s="67" t="s">
        <v>350</v>
      </c>
      <c r="AP1" s="74" t="s">
        <v>1327</v>
      </c>
    </row>
    <row r="2" spans="1:42" x14ac:dyDescent="0.25">
      <c r="B2" s="24" t="s">
        <v>552</v>
      </c>
      <c r="H2" s="15" t="s">
        <v>1715</v>
      </c>
      <c r="I2" s="25" t="b">
        <v>1</v>
      </c>
      <c r="J2" s="15" t="b">
        <v>1</v>
      </c>
      <c r="N2" s="15" t="s">
        <v>336</v>
      </c>
      <c r="O2" s="15" t="s">
        <v>336</v>
      </c>
      <c r="Y2" s="39"/>
      <c r="Z2" s="39"/>
      <c r="AA2" s="39"/>
      <c r="AB2" s="39"/>
      <c r="AC2" s="39"/>
      <c r="AD2" s="39"/>
      <c r="AE2" s="39"/>
      <c r="AF2" s="39"/>
      <c r="AG2" s="39"/>
      <c r="AH2" s="39"/>
      <c r="AI2" s="85" t="s">
        <v>625</v>
      </c>
      <c r="AJ2" s="86" t="s">
        <v>1062</v>
      </c>
      <c r="AK2" s="15" t="s">
        <v>183</v>
      </c>
      <c r="AL2" s="15" t="s">
        <v>336</v>
      </c>
      <c r="AM2" s="15" t="s">
        <v>336</v>
      </c>
      <c r="AN2" s="15" t="s">
        <v>336</v>
      </c>
      <c r="AO2" s="15" t="s">
        <v>336</v>
      </c>
      <c r="AP2" s="49" t="s">
        <v>336</v>
      </c>
    </row>
    <row r="3" spans="1:42" x14ac:dyDescent="0.25">
      <c r="B3" s="24" t="s">
        <v>11</v>
      </c>
      <c r="H3" s="15" t="s">
        <v>1715</v>
      </c>
      <c r="I3" s="25" t="b">
        <v>1</v>
      </c>
      <c r="J3" s="15" t="b">
        <v>1</v>
      </c>
      <c r="N3" s="15" t="s">
        <v>336</v>
      </c>
      <c r="O3" s="15" t="s">
        <v>336</v>
      </c>
      <c r="Y3" s="15" t="s">
        <v>336</v>
      </c>
      <c r="AI3" s="85" t="s">
        <v>1183</v>
      </c>
      <c r="AJ3" s="86">
        <v>1000</v>
      </c>
      <c r="AK3" s="15" t="s">
        <v>185</v>
      </c>
      <c r="AL3" s="15" t="s">
        <v>336</v>
      </c>
      <c r="AM3" s="15" t="s">
        <v>336</v>
      </c>
      <c r="AN3" s="15" t="s">
        <v>336</v>
      </c>
      <c r="AO3" s="15" t="s">
        <v>336</v>
      </c>
      <c r="AP3" s="49" t="s">
        <v>336</v>
      </c>
    </row>
    <row r="4" spans="1:42" x14ac:dyDescent="0.25">
      <c r="B4" s="24" t="s">
        <v>11</v>
      </c>
      <c r="H4" s="15" t="s">
        <v>1715</v>
      </c>
      <c r="I4" s="25" t="b">
        <v>1</v>
      </c>
      <c r="J4" s="15" t="b">
        <v>1</v>
      </c>
      <c r="N4" s="15" t="s">
        <v>336</v>
      </c>
      <c r="O4" s="15" t="s">
        <v>336</v>
      </c>
      <c r="Y4" s="15" t="s">
        <v>336</v>
      </c>
      <c r="AI4" s="85" t="s">
        <v>1184</v>
      </c>
      <c r="AJ4" s="86">
        <v>1001</v>
      </c>
      <c r="AK4" s="15" t="s">
        <v>186</v>
      </c>
      <c r="AL4" s="15" t="s">
        <v>336</v>
      </c>
      <c r="AM4" s="15" t="s">
        <v>336</v>
      </c>
      <c r="AN4" s="15" t="s">
        <v>336</v>
      </c>
      <c r="AO4" s="15" t="s">
        <v>336</v>
      </c>
      <c r="AP4" s="49" t="s">
        <v>336</v>
      </c>
    </row>
    <row r="5" spans="1:42" x14ac:dyDescent="0.25">
      <c r="B5" s="24" t="s">
        <v>557</v>
      </c>
      <c r="H5" s="15" t="s">
        <v>1715</v>
      </c>
      <c r="I5" s="25" t="b">
        <v>1</v>
      </c>
      <c r="J5" s="15" t="b">
        <v>1</v>
      </c>
      <c r="N5" s="15" t="s">
        <v>336</v>
      </c>
      <c r="O5" s="15" t="s">
        <v>336</v>
      </c>
      <c r="Y5" s="15" t="s">
        <v>336</v>
      </c>
      <c r="AI5" s="85" t="s">
        <v>1185</v>
      </c>
      <c r="AJ5" s="86">
        <v>1105</v>
      </c>
      <c r="AK5" s="15" t="s">
        <v>187</v>
      </c>
      <c r="AL5" s="15" t="s">
        <v>336</v>
      </c>
      <c r="AM5" s="15" t="s">
        <v>336</v>
      </c>
      <c r="AN5" s="15" t="s">
        <v>336</v>
      </c>
      <c r="AO5" s="15" t="s">
        <v>336</v>
      </c>
      <c r="AP5" s="49" t="s">
        <v>336</v>
      </c>
    </row>
    <row r="6" spans="1:42" x14ac:dyDescent="0.25">
      <c r="B6" s="24" t="s">
        <v>655</v>
      </c>
      <c r="H6" s="15" t="s">
        <v>1715</v>
      </c>
      <c r="I6" s="25" t="b">
        <v>1</v>
      </c>
      <c r="J6" s="15" t="b">
        <v>1</v>
      </c>
      <c r="N6" s="15" t="s">
        <v>336</v>
      </c>
      <c r="O6" s="15" t="s">
        <v>336</v>
      </c>
      <c r="Y6" s="15" t="s">
        <v>336</v>
      </c>
      <c r="AI6" s="85" t="s">
        <v>1186</v>
      </c>
      <c r="AJ6" s="86">
        <v>1182</v>
      </c>
      <c r="AK6" s="15" t="s">
        <v>188</v>
      </c>
      <c r="AL6" s="15" t="s">
        <v>336</v>
      </c>
      <c r="AM6" s="15" t="s">
        <v>336</v>
      </c>
      <c r="AN6" s="15" t="s">
        <v>336</v>
      </c>
      <c r="AO6" s="15" t="s">
        <v>336</v>
      </c>
      <c r="AP6" s="49" t="s">
        <v>336</v>
      </c>
    </row>
    <row r="7" spans="1:42" x14ac:dyDescent="0.25">
      <c r="B7" s="24" t="s">
        <v>11</v>
      </c>
      <c r="H7" s="15" t="s">
        <v>1715</v>
      </c>
      <c r="I7" s="25" t="b">
        <v>1</v>
      </c>
      <c r="J7" s="15" t="b">
        <v>1</v>
      </c>
      <c r="N7" s="15" t="s">
        <v>336</v>
      </c>
      <c r="O7" s="15" t="s">
        <v>336</v>
      </c>
      <c r="Y7" s="15" t="s">
        <v>336</v>
      </c>
      <c r="AI7" s="85" t="s">
        <v>1188</v>
      </c>
      <c r="AJ7" s="86">
        <v>1216</v>
      </c>
      <c r="AK7" s="15" t="s">
        <v>190</v>
      </c>
      <c r="AL7" s="15" t="s">
        <v>336</v>
      </c>
      <c r="AM7" s="15" t="s">
        <v>336</v>
      </c>
      <c r="AN7" s="15" t="s">
        <v>336</v>
      </c>
      <c r="AO7" s="15" t="s">
        <v>336</v>
      </c>
      <c r="AP7" s="49" t="s">
        <v>336</v>
      </c>
    </row>
    <row r="8" spans="1:42" x14ac:dyDescent="0.25">
      <c r="B8" s="24" t="s">
        <v>655</v>
      </c>
      <c r="H8" s="15" t="s">
        <v>1715</v>
      </c>
      <c r="I8" s="25" t="b">
        <v>1</v>
      </c>
      <c r="J8" s="15" t="b">
        <v>1</v>
      </c>
      <c r="N8" s="15" t="s">
        <v>336</v>
      </c>
      <c r="O8" s="15" t="s">
        <v>336</v>
      </c>
      <c r="Y8" s="15" t="s">
        <v>336</v>
      </c>
      <c r="AI8" s="85" t="s">
        <v>1189</v>
      </c>
      <c r="AJ8" s="86">
        <v>1220</v>
      </c>
      <c r="AK8" s="15" t="s">
        <v>191</v>
      </c>
      <c r="AL8" s="15" t="s">
        <v>336</v>
      </c>
      <c r="AM8" s="15" t="s">
        <v>336</v>
      </c>
      <c r="AN8" s="15" t="s">
        <v>336</v>
      </c>
      <c r="AO8" s="15" t="s">
        <v>336</v>
      </c>
      <c r="AP8" s="49" t="s">
        <v>336</v>
      </c>
    </row>
    <row r="9" spans="1:42" x14ac:dyDescent="0.25">
      <c r="B9" s="24" t="s">
        <v>552</v>
      </c>
      <c r="H9" s="15" t="s">
        <v>1715</v>
      </c>
      <c r="I9" s="25" t="b">
        <v>1</v>
      </c>
      <c r="J9" s="15" t="b">
        <v>1</v>
      </c>
      <c r="N9" s="15" t="s">
        <v>336</v>
      </c>
      <c r="O9" s="15" t="s">
        <v>336</v>
      </c>
      <c r="Y9" s="15" t="s">
        <v>336</v>
      </c>
      <c r="AI9" s="85" t="s">
        <v>1190</v>
      </c>
      <c r="AJ9" s="86">
        <v>1222</v>
      </c>
      <c r="AK9" s="15" t="s">
        <v>192</v>
      </c>
      <c r="AL9" s="15" t="s">
        <v>336</v>
      </c>
      <c r="AM9" s="15" t="s">
        <v>336</v>
      </c>
      <c r="AN9" s="15" t="s">
        <v>336</v>
      </c>
      <c r="AO9" s="15" t="s">
        <v>336</v>
      </c>
      <c r="AP9" s="49" t="s">
        <v>336</v>
      </c>
    </row>
    <row r="10" spans="1:42" x14ac:dyDescent="0.25">
      <c r="B10" s="24" t="s">
        <v>11</v>
      </c>
      <c r="H10" s="15" t="s">
        <v>1715</v>
      </c>
      <c r="I10" s="25" t="b">
        <v>1</v>
      </c>
      <c r="J10" s="15" t="b">
        <v>1</v>
      </c>
      <c r="N10" s="15" t="s">
        <v>336</v>
      </c>
      <c r="O10" s="15" t="s">
        <v>336</v>
      </c>
      <c r="Y10" s="15" t="s">
        <v>336</v>
      </c>
      <c r="AI10" s="85" t="s">
        <v>1191</v>
      </c>
      <c r="AJ10" s="86">
        <v>1233</v>
      </c>
      <c r="AK10" s="15" t="s">
        <v>193</v>
      </c>
      <c r="AL10" s="15" t="s">
        <v>336</v>
      </c>
      <c r="AM10" s="15" t="s">
        <v>336</v>
      </c>
      <c r="AN10" s="15" t="s">
        <v>336</v>
      </c>
      <c r="AO10" s="15" t="s">
        <v>336</v>
      </c>
      <c r="AP10" s="49" t="s">
        <v>336</v>
      </c>
    </row>
    <row r="11" spans="1:42" ht="25.5" x14ac:dyDescent="0.25">
      <c r="B11" s="24" t="s">
        <v>735</v>
      </c>
      <c r="H11" s="15" t="s">
        <v>1715</v>
      </c>
      <c r="I11" s="25" t="b">
        <v>1</v>
      </c>
      <c r="J11" s="15" t="b">
        <v>1</v>
      </c>
      <c r="N11" s="15" t="s">
        <v>336</v>
      </c>
      <c r="O11" s="15" t="s">
        <v>336</v>
      </c>
      <c r="Y11" s="15" t="s">
        <v>336</v>
      </c>
      <c r="AI11" s="85" t="s">
        <v>1192</v>
      </c>
      <c r="AJ11" s="86">
        <v>1251</v>
      </c>
      <c r="AK11" s="15" t="s">
        <v>194</v>
      </c>
      <c r="AL11" s="15" t="s">
        <v>336</v>
      </c>
      <c r="AM11" s="15" t="s">
        <v>336</v>
      </c>
      <c r="AN11" s="15" t="s">
        <v>336</v>
      </c>
      <c r="AO11" s="15" t="s">
        <v>336</v>
      </c>
      <c r="AP11" s="49" t="s">
        <v>336</v>
      </c>
    </row>
    <row r="12" spans="1:42" x14ac:dyDescent="0.25">
      <c r="B12" s="27" t="s">
        <v>11</v>
      </c>
      <c r="C12" s="35" t="s">
        <v>1002</v>
      </c>
      <c r="H12" s="15" t="s">
        <v>1715</v>
      </c>
      <c r="I12" s="25" t="b">
        <v>1</v>
      </c>
      <c r="J12" s="15" t="b">
        <v>1</v>
      </c>
      <c r="N12" s="15" t="s">
        <v>336</v>
      </c>
      <c r="O12" s="15" t="s">
        <v>336</v>
      </c>
      <c r="Y12" s="39"/>
      <c r="AI12" s="85" t="s">
        <v>1308</v>
      </c>
      <c r="AJ12" s="86">
        <v>1256</v>
      </c>
      <c r="AK12" s="15" t="s">
        <v>195</v>
      </c>
      <c r="AL12" s="15" t="s">
        <v>336</v>
      </c>
      <c r="AM12" s="15" t="s">
        <v>336</v>
      </c>
      <c r="AN12" s="15" t="s">
        <v>336</v>
      </c>
      <c r="AO12" s="15" t="s">
        <v>336</v>
      </c>
      <c r="AP12" s="49" t="s">
        <v>336</v>
      </c>
    </row>
    <row r="13" spans="1:42" x14ac:dyDescent="0.25">
      <c r="B13" s="24" t="s">
        <v>11</v>
      </c>
      <c r="H13" s="15" t="s">
        <v>1715</v>
      </c>
      <c r="I13" s="25" t="b">
        <v>1</v>
      </c>
      <c r="J13" s="15" t="b">
        <v>1</v>
      </c>
      <c r="N13" s="15" t="s">
        <v>336</v>
      </c>
      <c r="O13" s="15" t="s">
        <v>336</v>
      </c>
      <c r="Y13" s="15" t="s">
        <v>336</v>
      </c>
      <c r="AI13" s="85" t="s">
        <v>1193</v>
      </c>
      <c r="AJ13" s="86">
        <v>1310</v>
      </c>
      <c r="AK13" s="15" t="s">
        <v>196</v>
      </c>
      <c r="AL13" s="15" t="s">
        <v>336</v>
      </c>
      <c r="AM13" s="15" t="s">
        <v>336</v>
      </c>
      <c r="AN13" s="15" t="s">
        <v>336</v>
      </c>
      <c r="AO13" s="15" t="s">
        <v>336</v>
      </c>
      <c r="AP13" s="49" t="s">
        <v>336</v>
      </c>
    </row>
    <row r="14" spans="1:42" x14ac:dyDescent="0.25">
      <c r="B14" s="24" t="s">
        <v>11</v>
      </c>
      <c r="H14" s="15" t="s">
        <v>1715</v>
      </c>
      <c r="I14" s="25" t="b">
        <v>1</v>
      </c>
      <c r="J14" s="15" t="b">
        <v>1</v>
      </c>
      <c r="N14" s="15" t="s">
        <v>336</v>
      </c>
      <c r="O14" s="15" t="s">
        <v>336</v>
      </c>
      <c r="Y14" s="15" t="s">
        <v>336</v>
      </c>
      <c r="AI14" s="85" t="s">
        <v>1194</v>
      </c>
      <c r="AJ14" s="86">
        <v>1336</v>
      </c>
      <c r="AK14" s="15" t="s">
        <v>197</v>
      </c>
      <c r="AL14" s="15" t="s">
        <v>336</v>
      </c>
      <c r="AM14" s="15" t="s">
        <v>336</v>
      </c>
      <c r="AN14" s="15" t="s">
        <v>336</v>
      </c>
      <c r="AO14" s="15" t="s">
        <v>336</v>
      </c>
      <c r="AP14" s="49" t="s">
        <v>336</v>
      </c>
    </row>
    <row r="15" spans="1:42" x14ac:dyDescent="0.25">
      <c r="B15" s="24" t="s">
        <v>11</v>
      </c>
      <c r="H15" s="15" t="s">
        <v>1715</v>
      </c>
      <c r="I15" s="25" t="b">
        <v>1</v>
      </c>
      <c r="J15" s="15" t="b">
        <v>1</v>
      </c>
      <c r="N15" s="15" t="s">
        <v>336</v>
      </c>
      <c r="O15" s="15" t="s">
        <v>336</v>
      </c>
      <c r="Y15" s="15" t="s">
        <v>336</v>
      </c>
      <c r="AI15" s="85" t="s">
        <v>1195</v>
      </c>
      <c r="AJ15" s="86">
        <v>1350</v>
      </c>
      <c r="AK15" s="15" t="s">
        <v>198</v>
      </c>
      <c r="AL15" s="15" t="s">
        <v>336</v>
      </c>
      <c r="AM15" s="15" t="s">
        <v>336</v>
      </c>
      <c r="AN15" s="15" t="s">
        <v>336</v>
      </c>
      <c r="AO15" s="15" t="s">
        <v>336</v>
      </c>
      <c r="AP15" s="49" t="s">
        <v>336</v>
      </c>
    </row>
    <row r="16" spans="1:42" x14ac:dyDescent="0.25">
      <c r="B16" s="24" t="s">
        <v>11</v>
      </c>
      <c r="H16" s="15" t="s">
        <v>1715</v>
      </c>
      <c r="I16" s="25" t="b">
        <v>1</v>
      </c>
      <c r="J16" s="15" t="b">
        <v>1</v>
      </c>
      <c r="N16" s="15" t="s">
        <v>336</v>
      </c>
      <c r="O16" s="15" t="s">
        <v>336</v>
      </c>
      <c r="Y16" s="15" t="s">
        <v>336</v>
      </c>
      <c r="AI16" s="85" t="s">
        <v>1197</v>
      </c>
      <c r="AJ16" s="86">
        <v>1420</v>
      </c>
      <c r="AK16" s="15" t="s">
        <v>200</v>
      </c>
      <c r="AL16" s="15" t="s">
        <v>336</v>
      </c>
      <c r="AM16" s="15" t="s">
        <v>336</v>
      </c>
      <c r="AN16" s="15" t="s">
        <v>336</v>
      </c>
      <c r="AO16" s="15" t="s">
        <v>336</v>
      </c>
      <c r="AP16" s="49" t="s">
        <v>336</v>
      </c>
    </row>
    <row r="17" spans="2:42" x14ac:dyDescent="0.25">
      <c r="B17" s="24" t="s">
        <v>552</v>
      </c>
      <c r="H17" s="15" t="s">
        <v>1715</v>
      </c>
      <c r="I17" s="25" t="b">
        <v>1</v>
      </c>
      <c r="J17" s="15" t="b">
        <v>1</v>
      </c>
      <c r="N17" s="15" t="s">
        <v>336</v>
      </c>
      <c r="O17" s="15" t="s">
        <v>336</v>
      </c>
      <c r="Y17" s="15" t="s">
        <v>336</v>
      </c>
      <c r="AI17" s="85" t="s">
        <v>1198</v>
      </c>
      <c r="AJ17" s="86">
        <v>1420</v>
      </c>
      <c r="AK17" s="15" t="s">
        <v>201</v>
      </c>
      <c r="AL17" s="15" t="s">
        <v>336</v>
      </c>
      <c r="AM17" s="15" t="s">
        <v>336</v>
      </c>
      <c r="AN17" s="15" t="s">
        <v>336</v>
      </c>
      <c r="AO17" s="15" t="s">
        <v>336</v>
      </c>
      <c r="AP17" s="49" t="s">
        <v>336</v>
      </c>
    </row>
    <row r="18" spans="2:42" x14ac:dyDescent="0.25">
      <c r="B18" s="24" t="s">
        <v>11</v>
      </c>
      <c r="H18" s="15" t="s">
        <v>1715</v>
      </c>
      <c r="I18" s="25" t="b">
        <v>1</v>
      </c>
      <c r="J18" s="15" t="b">
        <v>1</v>
      </c>
      <c r="N18" s="15" t="s">
        <v>336</v>
      </c>
      <c r="O18" s="15" t="s">
        <v>336</v>
      </c>
      <c r="Y18" s="15" t="s">
        <v>336</v>
      </c>
      <c r="AI18" s="85" t="s">
        <v>1199</v>
      </c>
      <c r="AJ18" s="86" t="s">
        <v>1079</v>
      </c>
      <c r="AK18" s="15" t="s">
        <v>202</v>
      </c>
      <c r="AL18" s="15" t="s">
        <v>336</v>
      </c>
      <c r="AM18" s="15" t="s">
        <v>336</v>
      </c>
      <c r="AN18" s="15" t="s">
        <v>336</v>
      </c>
      <c r="AO18" s="15" t="s">
        <v>336</v>
      </c>
      <c r="AP18" s="49" t="s">
        <v>336</v>
      </c>
    </row>
    <row r="19" spans="2:42" x14ac:dyDescent="0.25">
      <c r="B19" s="24" t="s">
        <v>11</v>
      </c>
      <c r="H19" s="15" t="s">
        <v>1715</v>
      </c>
      <c r="I19" s="25" t="b">
        <v>1</v>
      </c>
      <c r="J19" s="15" t="b">
        <v>1</v>
      </c>
      <c r="N19" s="15" t="s">
        <v>336</v>
      </c>
      <c r="O19" s="15" t="s">
        <v>336</v>
      </c>
      <c r="Y19" s="15" t="s">
        <v>336</v>
      </c>
      <c r="AI19" s="85" t="s">
        <v>1200</v>
      </c>
      <c r="AJ19" s="86">
        <v>1432</v>
      </c>
      <c r="AK19" s="15" t="s">
        <v>203</v>
      </c>
      <c r="AL19" s="15" t="s">
        <v>336</v>
      </c>
      <c r="AM19" s="15" t="s">
        <v>336</v>
      </c>
      <c r="AN19" s="15" t="s">
        <v>336</v>
      </c>
      <c r="AO19" s="15" t="s">
        <v>336</v>
      </c>
      <c r="AP19" s="49" t="s">
        <v>336</v>
      </c>
    </row>
    <row r="20" spans="2:42" x14ac:dyDescent="0.25">
      <c r="B20" s="24" t="s">
        <v>11</v>
      </c>
      <c r="H20" s="15" t="s">
        <v>1715</v>
      </c>
      <c r="I20" s="25" t="b">
        <v>1</v>
      </c>
      <c r="J20" s="15" t="b">
        <v>1</v>
      </c>
      <c r="N20" s="15" t="s">
        <v>336</v>
      </c>
      <c r="O20" s="15" t="s">
        <v>336</v>
      </c>
      <c r="Y20" s="15" t="s">
        <v>336</v>
      </c>
      <c r="AI20" s="85" t="s">
        <v>1201</v>
      </c>
      <c r="AJ20" s="86">
        <v>1440</v>
      </c>
      <c r="AK20" s="15" t="s">
        <v>204</v>
      </c>
      <c r="AL20" s="15" t="s">
        <v>336</v>
      </c>
      <c r="AM20" s="15" t="s">
        <v>336</v>
      </c>
      <c r="AN20" s="15" t="s">
        <v>336</v>
      </c>
      <c r="AO20" s="15" t="s">
        <v>336</v>
      </c>
      <c r="AP20" s="49" t="s">
        <v>336</v>
      </c>
    </row>
    <row r="21" spans="2:42" x14ac:dyDescent="0.25">
      <c r="B21" s="24" t="s">
        <v>552</v>
      </c>
      <c r="H21" s="15" t="s">
        <v>1715</v>
      </c>
      <c r="I21" s="25" t="b">
        <v>1</v>
      </c>
      <c r="J21" s="15" t="b">
        <v>1</v>
      </c>
      <c r="N21" s="15" t="s">
        <v>336</v>
      </c>
      <c r="O21" s="15" t="s">
        <v>336</v>
      </c>
      <c r="Y21" s="15" t="s">
        <v>336</v>
      </c>
      <c r="AI21" s="85" t="s">
        <v>1202</v>
      </c>
      <c r="AJ21" s="86">
        <v>1443</v>
      </c>
      <c r="AK21" s="15" t="s">
        <v>205</v>
      </c>
      <c r="AL21" s="15" t="s">
        <v>336</v>
      </c>
      <c r="AM21" s="15" t="s">
        <v>336</v>
      </c>
      <c r="AN21" s="15" t="s">
        <v>336</v>
      </c>
      <c r="AO21" s="15" t="s">
        <v>336</v>
      </c>
      <c r="AP21" s="49" t="s">
        <v>336</v>
      </c>
    </row>
    <row r="22" spans="2:42" x14ac:dyDescent="0.25">
      <c r="B22" s="24" t="s">
        <v>11</v>
      </c>
      <c r="H22" s="15" t="s">
        <v>1715</v>
      </c>
      <c r="I22" s="25" t="b">
        <v>1</v>
      </c>
      <c r="J22" s="15" t="b">
        <v>1</v>
      </c>
      <c r="N22" s="15" t="s">
        <v>336</v>
      </c>
      <c r="O22" s="15" t="s">
        <v>336</v>
      </c>
      <c r="Y22" s="15" t="s">
        <v>336</v>
      </c>
      <c r="AI22" s="85" t="s">
        <v>1313</v>
      </c>
      <c r="AJ22" s="86" t="s">
        <v>1312</v>
      </c>
      <c r="AK22" s="15" t="s">
        <v>206</v>
      </c>
      <c r="AL22" s="15" t="s">
        <v>336</v>
      </c>
      <c r="AM22" s="15" t="s">
        <v>336</v>
      </c>
      <c r="AN22" s="15" t="s">
        <v>336</v>
      </c>
      <c r="AO22" s="15" t="s">
        <v>336</v>
      </c>
      <c r="AP22" s="49" t="s">
        <v>336</v>
      </c>
    </row>
    <row r="23" spans="2:42" x14ac:dyDescent="0.25">
      <c r="B23" s="24" t="s">
        <v>11</v>
      </c>
      <c r="H23" s="15" t="s">
        <v>1715</v>
      </c>
      <c r="I23" s="25" t="b">
        <v>1</v>
      </c>
      <c r="J23" s="15" t="b">
        <v>1</v>
      </c>
      <c r="N23" s="15" t="s">
        <v>336</v>
      </c>
      <c r="O23" s="15" t="s">
        <v>336</v>
      </c>
      <c r="Y23" s="15" t="s">
        <v>336</v>
      </c>
      <c r="AI23" s="85" t="s">
        <v>1203</v>
      </c>
      <c r="AJ23" s="86">
        <v>1453</v>
      </c>
      <c r="AK23" s="15" t="s">
        <v>207</v>
      </c>
      <c r="AL23" s="15" t="s">
        <v>336</v>
      </c>
      <c r="AM23" s="15" t="s">
        <v>336</v>
      </c>
      <c r="AN23" s="15" t="s">
        <v>336</v>
      </c>
      <c r="AO23" s="15" t="s">
        <v>336</v>
      </c>
      <c r="AP23" s="49" t="s">
        <v>336</v>
      </c>
    </row>
    <row r="24" spans="2:42" x14ac:dyDescent="0.25">
      <c r="B24" s="24" t="s">
        <v>11</v>
      </c>
      <c r="H24" s="15" t="s">
        <v>1715</v>
      </c>
      <c r="I24" s="25" t="b">
        <v>1</v>
      </c>
      <c r="J24" s="15" t="b">
        <v>1</v>
      </c>
      <c r="N24" s="15" t="s">
        <v>336</v>
      </c>
      <c r="O24" s="15" t="s">
        <v>336</v>
      </c>
      <c r="Y24" s="15" t="s">
        <v>336</v>
      </c>
      <c r="AI24" s="85" t="s">
        <v>1204</v>
      </c>
      <c r="AJ24" s="86">
        <v>1462</v>
      </c>
      <c r="AK24" s="15" t="s">
        <v>208</v>
      </c>
      <c r="AL24" s="15" t="s">
        <v>336</v>
      </c>
      <c r="AM24" s="15" t="s">
        <v>336</v>
      </c>
      <c r="AN24" s="15" t="s">
        <v>336</v>
      </c>
      <c r="AO24" s="15" t="s">
        <v>336</v>
      </c>
      <c r="AP24" s="49" t="s">
        <v>336</v>
      </c>
    </row>
    <row r="25" spans="2:42" x14ac:dyDescent="0.25">
      <c r="B25" s="24" t="s">
        <v>11</v>
      </c>
      <c r="H25" s="15" t="s">
        <v>1715</v>
      </c>
      <c r="I25" s="25" t="b">
        <v>1</v>
      </c>
      <c r="J25" s="15" t="b">
        <v>1</v>
      </c>
      <c r="N25" s="15" t="s">
        <v>336</v>
      </c>
      <c r="O25" s="15" t="s">
        <v>336</v>
      </c>
      <c r="Y25" s="15" t="s">
        <v>336</v>
      </c>
      <c r="AI25" s="85" t="s">
        <v>1205</v>
      </c>
      <c r="AJ25" s="86">
        <v>1467</v>
      </c>
      <c r="AK25" s="15" t="s">
        <v>209</v>
      </c>
      <c r="AL25" s="15" t="s">
        <v>336</v>
      </c>
      <c r="AM25" s="15" t="s">
        <v>336</v>
      </c>
      <c r="AN25" s="15" t="s">
        <v>336</v>
      </c>
      <c r="AO25" s="15" t="s">
        <v>336</v>
      </c>
      <c r="AP25" s="49" t="s">
        <v>336</v>
      </c>
    </row>
    <row r="26" spans="2:42" x14ac:dyDescent="0.25">
      <c r="B26" s="24" t="s">
        <v>11</v>
      </c>
      <c r="H26" s="15" t="s">
        <v>1715</v>
      </c>
      <c r="I26" s="25" t="b">
        <v>1</v>
      </c>
      <c r="J26" s="15" t="b">
        <v>1</v>
      </c>
      <c r="N26" s="15" t="s">
        <v>336</v>
      </c>
      <c r="O26" s="15" t="s">
        <v>336</v>
      </c>
      <c r="Y26" s="15" t="s">
        <v>336</v>
      </c>
      <c r="AI26" s="85" t="s">
        <v>1206</v>
      </c>
      <c r="AJ26" s="86">
        <v>1470</v>
      </c>
      <c r="AK26" s="15" t="s">
        <v>210</v>
      </c>
      <c r="AL26" s="15" t="s">
        <v>336</v>
      </c>
      <c r="AM26" s="15" t="s">
        <v>336</v>
      </c>
      <c r="AN26" s="15" t="s">
        <v>336</v>
      </c>
      <c r="AO26" s="15" t="s">
        <v>336</v>
      </c>
      <c r="AP26" s="49" t="s">
        <v>336</v>
      </c>
    </row>
    <row r="27" spans="2:42" x14ac:dyDescent="0.25">
      <c r="B27" s="24" t="s">
        <v>11</v>
      </c>
      <c r="H27" s="15" t="s">
        <v>1715</v>
      </c>
      <c r="I27" s="25" t="b">
        <v>1</v>
      </c>
      <c r="J27" s="15" t="b">
        <v>1</v>
      </c>
      <c r="N27" s="15" t="s">
        <v>336</v>
      </c>
      <c r="O27" s="15" t="s">
        <v>336</v>
      </c>
      <c r="Y27" s="15" t="s">
        <v>336</v>
      </c>
      <c r="AI27" s="85" t="s">
        <v>1207</v>
      </c>
      <c r="AJ27" s="86">
        <v>1480</v>
      </c>
      <c r="AK27" s="15" t="s">
        <v>211</v>
      </c>
      <c r="AL27" s="15" t="s">
        <v>336</v>
      </c>
      <c r="AM27" s="15" t="s">
        <v>336</v>
      </c>
      <c r="AN27" s="15" t="s">
        <v>336</v>
      </c>
      <c r="AO27" s="15" t="s">
        <v>336</v>
      </c>
      <c r="AP27" s="49" t="s">
        <v>336</v>
      </c>
    </row>
    <row r="28" spans="2:42" x14ac:dyDescent="0.25">
      <c r="B28" s="24" t="s">
        <v>552</v>
      </c>
      <c r="H28" s="15" t="s">
        <v>1715</v>
      </c>
      <c r="I28" s="25" t="b">
        <v>1</v>
      </c>
      <c r="J28" s="15" t="b">
        <v>1</v>
      </c>
      <c r="N28" s="15" t="s">
        <v>336</v>
      </c>
      <c r="O28" s="15" t="s">
        <v>336</v>
      </c>
      <c r="Y28" s="15" t="s">
        <v>336</v>
      </c>
      <c r="AI28" s="85" t="s">
        <v>1208</v>
      </c>
      <c r="AJ28" s="86">
        <v>1481</v>
      </c>
      <c r="AK28" s="15" t="s">
        <v>212</v>
      </c>
      <c r="AL28" s="15" t="s">
        <v>336</v>
      </c>
      <c r="AM28" s="15" t="s">
        <v>336</v>
      </c>
      <c r="AN28" s="15" t="s">
        <v>336</v>
      </c>
      <c r="AO28" s="15" t="s">
        <v>336</v>
      </c>
      <c r="AP28" s="49" t="s">
        <v>336</v>
      </c>
    </row>
    <row r="29" spans="2:42" x14ac:dyDescent="0.25">
      <c r="B29" s="24" t="s">
        <v>11</v>
      </c>
      <c r="H29" s="15" t="s">
        <v>1715</v>
      </c>
      <c r="I29" s="25" t="b">
        <v>1</v>
      </c>
      <c r="J29" s="15" t="b">
        <v>1</v>
      </c>
      <c r="N29" s="15" t="s">
        <v>336</v>
      </c>
      <c r="O29" s="15" t="s">
        <v>336</v>
      </c>
      <c r="Y29" s="15" t="s">
        <v>336</v>
      </c>
      <c r="AI29" s="85" t="s">
        <v>1209</v>
      </c>
      <c r="AJ29" s="86">
        <v>1483</v>
      </c>
      <c r="AK29" s="15" t="s">
        <v>213</v>
      </c>
      <c r="AL29" s="15" t="s">
        <v>336</v>
      </c>
      <c r="AM29" s="15" t="s">
        <v>336</v>
      </c>
      <c r="AN29" s="15" t="s">
        <v>336</v>
      </c>
      <c r="AO29" s="15" t="s">
        <v>336</v>
      </c>
      <c r="AP29" s="49" t="s">
        <v>336</v>
      </c>
    </row>
    <row r="30" spans="2:42" x14ac:dyDescent="0.25">
      <c r="B30" s="24" t="s">
        <v>552</v>
      </c>
      <c r="H30" s="15" t="s">
        <v>1715</v>
      </c>
      <c r="I30" s="25" t="b">
        <v>1</v>
      </c>
      <c r="J30" s="15" t="b">
        <v>1</v>
      </c>
      <c r="N30" s="15" t="s">
        <v>336</v>
      </c>
      <c r="O30" s="15" t="s">
        <v>336</v>
      </c>
      <c r="Y30" s="15" t="s">
        <v>336</v>
      </c>
      <c r="AI30" s="85" t="s">
        <v>1210</v>
      </c>
      <c r="AJ30" s="86">
        <v>1484</v>
      </c>
      <c r="AK30" s="15" t="s">
        <v>214</v>
      </c>
      <c r="AL30" s="15" t="s">
        <v>336</v>
      </c>
      <c r="AM30" s="15" t="s">
        <v>336</v>
      </c>
      <c r="AN30" s="15" t="s">
        <v>336</v>
      </c>
      <c r="AO30" s="15" t="s">
        <v>336</v>
      </c>
      <c r="AP30" s="49" t="s">
        <v>336</v>
      </c>
    </row>
    <row r="31" spans="2:42" x14ac:dyDescent="0.25">
      <c r="B31" s="24" t="s">
        <v>11</v>
      </c>
      <c r="H31" s="15" t="s">
        <v>1715</v>
      </c>
      <c r="I31" s="25" t="b">
        <v>1</v>
      </c>
      <c r="J31" s="15" t="b">
        <v>1</v>
      </c>
      <c r="N31" s="15" t="s">
        <v>336</v>
      </c>
      <c r="O31" s="15" t="s">
        <v>336</v>
      </c>
      <c r="Y31" s="15" t="s">
        <v>336</v>
      </c>
      <c r="AI31" s="85" t="s">
        <v>1211</v>
      </c>
      <c r="AJ31" s="86">
        <v>1484</v>
      </c>
      <c r="AK31" s="15" t="s">
        <v>215</v>
      </c>
      <c r="AL31" s="15" t="s">
        <v>336</v>
      </c>
      <c r="AM31" s="15" t="s">
        <v>336</v>
      </c>
      <c r="AN31" s="15" t="s">
        <v>336</v>
      </c>
      <c r="AO31" s="15" t="s">
        <v>336</v>
      </c>
      <c r="AP31" s="49" t="s">
        <v>336</v>
      </c>
    </row>
    <row r="32" spans="2:42" x14ac:dyDescent="0.25">
      <c r="B32" s="24" t="s">
        <v>11</v>
      </c>
      <c r="H32" s="15" t="s">
        <v>1715</v>
      </c>
      <c r="I32" s="25" t="b">
        <v>1</v>
      </c>
      <c r="J32" s="15" t="b">
        <v>1</v>
      </c>
      <c r="N32" s="15" t="s">
        <v>336</v>
      </c>
      <c r="O32" s="15" t="s">
        <v>336</v>
      </c>
      <c r="Y32" s="15" t="s">
        <v>336</v>
      </c>
      <c r="AI32" s="85" t="s">
        <v>1212</v>
      </c>
      <c r="AJ32" s="86">
        <v>1490</v>
      </c>
      <c r="AK32" s="15" t="s">
        <v>216</v>
      </c>
      <c r="AL32" s="15" t="s">
        <v>336</v>
      </c>
      <c r="AM32" s="15" t="s">
        <v>336</v>
      </c>
      <c r="AN32" s="15" t="s">
        <v>336</v>
      </c>
      <c r="AO32" s="15" t="s">
        <v>336</v>
      </c>
      <c r="AP32" s="49" t="s">
        <v>336</v>
      </c>
    </row>
    <row r="33" spans="2:42" x14ac:dyDescent="0.25">
      <c r="B33" s="24" t="s">
        <v>557</v>
      </c>
      <c r="H33" s="15" t="s">
        <v>1715</v>
      </c>
      <c r="I33" s="25" t="b">
        <v>1</v>
      </c>
      <c r="J33" s="15" t="b">
        <v>1</v>
      </c>
      <c r="N33" s="15" t="s">
        <v>336</v>
      </c>
      <c r="O33" s="15" t="s">
        <v>336</v>
      </c>
      <c r="Y33" s="15" t="s">
        <v>336</v>
      </c>
      <c r="AI33" s="85" t="s">
        <v>1213</v>
      </c>
      <c r="AJ33" s="86">
        <v>1491</v>
      </c>
      <c r="AK33" s="15" t="s">
        <v>217</v>
      </c>
      <c r="AL33" s="15" t="s">
        <v>336</v>
      </c>
      <c r="AM33" s="15" t="s">
        <v>336</v>
      </c>
      <c r="AN33" s="15" t="s">
        <v>336</v>
      </c>
      <c r="AO33" s="15" t="s">
        <v>336</v>
      </c>
      <c r="AP33" s="49" t="s">
        <v>336</v>
      </c>
    </row>
    <row r="34" spans="2:42" x14ac:dyDescent="0.25">
      <c r="B34" s="24" t="s">
        <v>11</v>
      </c>
      <c r="H34" s="15" t="s">
        <v>1715</v>
      </c>
      <c r="I34" s="25" t="b">
        <v>1</v>
      </c>
      <c r="J34" s="15" t="b">
        <v>1</v>
      </c>
      <c r="N34" s="15" t="s">
        <v>336</v>
      </c>
      <c r="O34" s="15" t="s">
        <v>336</v>
      </c>
      <c r="Y34" s="15" t="s">
        <v>336</v>
      </c>
      <c r="AI34" s="85" t="s">
        <v>1214</v>
      </c>
      <c r="AJ34" s="86">
        <v>1492</v>
      </c>
      <c r="AK34" s="15" t="s">
        <v>218</v>
      </c>
      <c r="AL34" s="15" t="s">
        <v>336</v>
      </c>
      <c r="AM34" s="15" t="s">
        <v>336</v>
      </c>
      <c r="AN34" s="15" t="s">
        <v>336</v>
      </c>
      <c r="AO34" s="15" t="s">
        <v>336</v>
      </c>
      <c r="AP34" s="49" t="s">
        <v>336</v>
      </c>
    </row>
    <row r="35" spans="2:42" x14ac:dyDescent="0.25">
      <c r="B35" s="24" t="s">
        <v>11</v>
      </c>
      <c r="H35" s="15" t="s">
        <v>1715</v>
      </c>
      <c r="I35" s="25" t="b">
        <v>1</v>
      </c>
      <c r="J35" s="15" t="b">
        <v>1</v>
      </c>
      <c r="N35" s="15" t="s">
        <v>336</v>
      </c>
      <c r="O35" s="15" t="s">
        <v>336</v>
      </c>
      <c r="Y35" s="15" t="s">
        <v>336</v>
      </c>
      <c r="AI35" s="85" t="s">
        <v>1215</v>
      </c>
      <c r="AJ35" s="86">
        <v>1494</v>
      </c>
      <c r="AK35" s="15" t="s">
        <v>219</v>
      </c>
      <c r="AL35" s="15" t="s">
        <v>336</v>
      </c>
      <c r="AM35" s="15" t="s">
        <v>336</v>
      </c>
      <c r="AN35" s="15" t="s">
        <v>336</v>
      </c>
      <c r="AO35" s="15" t="s">
        <v>336</v>
      </c>
      <c r="AP35" s="49" t="s">
        <v>336</v>
      </c>
    </row>
    <row r="36" spans="2:42" x14ac:dyDescent="0.25">
      <c r="B36" s="24" t="s">
        <v>11</v>
      </c>
      <c r="H36" s="15" t="s">
        <v>1715</v>
      </c>
      <c r="I36" s="25" t="b">
        <v>1</v>
      </c>
      <c r="J36" s="15" t="b">
        <v>1</v>
      </c>
      <c r="N36" s="15" t="s">
        <v>336</v>
      </c>
      <c r="O36" s="15" t="s">
        <v>336</v>
      </c>
      <c r="Y36" s="15" t="s">
        <v>336</v>
      </c>
      <c r="AI36" s="85" t="s">
        <v>1216</v>
      </c>
      <c r="AJ36" s="86">
        <v>1496</v>
      </c>
      <c r="AK36" s="15" t="s">
        <v>220</v>
      </c>
      <c r="AL36" s="15" t="s">
        <v>336</v>
      </c>
      <c r="AM36" s="15" t="s">
        <v>336</v>
      </c>
      <c r="AN36" s="15" t="s">
        <v>336</v>
      </c>
      <c r="AO36" s="15" t="s">
        <v>336</v>
      </c>
      <c r="AP36" s="49" t="s">
        <v>336</v>
      </c>
    </row>
    <row r="37" spans="2:42" x14ac:dyDescent="0.25">
      <c r="B37" s="24" t="s">
        <v>11</v>
      </c>
      <c r="H37" s="15" t="s">
        <v>1715</v>
      </c>
      <c r="I37" s="25" t="b">
        <v>1</v>
      </c>
      <c r="J37" s="15" t="b">
        <v>1</v>
      </c>
      <c r="N37" s="15" t="s">
        <v>336</v>
      </c>
      <c r="O37" s="15" t="s">
        <v>336</v>
      </c>
      <c r="Y37" s="15" t="s">
        <v>336</v>
      </c>
      <c r="AI37" s="85" t="s">
        <v>1217</v>
      </c>
      <c r="AJ37" s="86" t="s">
        <v>1096</v>
      </c>
      <c r="AK37" s="15" t="s">
        <v>221</v>
      </c>
      <c r="AL37" s="15" t="s">
        <v>336</v>
      </c>
      <c r="AM37" s="15" t="s">
        <v>336</v>
      </c>
      <c r="AN37" s="15" t="s">
        <v>336</v>
      </c>
      <c r="AO37" s="15" t="s">
        <v>336</v>
      </c>
      <c r="AP37" s="49" t="s">
        <v>336</v>
      </c>
    </row>
    <row r="38" spans="2:42" x14ac:dyDescent="0.25">
      <c r="B38" s="24" t="s">
        <v>531</v>
      </c>
      <c r="H38" s="15" t="s">
        <v>1715</v>
      </c>
      <c r="I38" s="25" t="b">
        <v>1</v>
      </c>
      <c r="J38" s="15" t="b">
        <v>1</v>
      </c>
      <c r="N38" s="15" t="s">
        <v>336</v>
      </c>
      <c r="O38" s="15" t="s">
        <v>336</v>
      </c>
      <c r="Y38" s="15" t="s">
        <v>336</v>
      </c>
      <c r="AI38" s="85" t="s">
        <v>1219</v>
      </c>
      <c r="AJ38" s="86" t="s">
        <v>1096</v>
      </c>
      <c r="AK38" s="15" t="s">
        <v>223</v>
      </c>
      <c r="AL38" s="15" t="s">
        <v>336</v>
      </c>
      <c r="AM38" s="15" t="s">
        <v>336</v>
      </c>
      <c r="AN38" s="15" t="s">
        <v>336</v>
      </c>
      <c r="AO38" s="15" t="s">
        <v>336</v>
      </c>
      <c r="AP38" s="49" t="s">
        <v>336</v>
      </c>
    </row>
    <row r="39" spans="2:42" x14ac:dyDescent="0.25">
      <c r="B39" s="24" t="s">
        <v>502</v>
      </c>
      <c r="H39" s="15" t="s">
        <v>1715</v>
      </c>
      <c r="I39" s="25" t="b">
        <v>1</v>
      </c>
      <c r="J39" s="15" t="b">
        <v>1</v>
      </c>
      <c r="N39" s="15" t="s">
        <v>336</v>
      </c>
      <c r="O39" s="15" t="s">
        <v>336</v>
      </c>
      <c r="Y39" s="15" t="s">
        <v>336</v>
      </c>
      <c r="AI39" s="85" t="s">
        <v>1220</v>
      </c>
      <c r="AJ39" s="86" t="s">
        <v>1096</v>
      </c>
      <c r="AK39" s="15" t="s">
        <v>224</v>
      </c>
      <c r="AL39" s="15" t="s">
        <v>336</v>
      </c>
      <c r="AM39" s="15" t="s">
        <v>336</v>
      </c>
      <c r="AN39" s="15" t="s">
        <v>336</v>
      </c>
      <c r="AO39" s="15" t="s">
        <v>336</v>
      </c>
      <c r="AP39" s="49" t="s">
        <v>336</v>
      </c>
    </row>
    <row r="40" spans="2:42" x14ac:dyDescent="0.25">
      <c r="B40" s="24" t="s">
        <v>11</v>
      </c>
      <c r="H40" s="15" t="s">
        <v>1715</v>
      </c>
      <c r="I40" s="25" t="b">
        <v>1</v>
      </c>
      <c r="J40" s="15" t="b">
        <v>1</v>
      </c>
      <c r="N40" s="15" t="s">
        <v>336</v>
      </c>
      <c r="O40" s="15" t="s">
        <v>336</v>
      </c>
      <c r="Y40" s="15" t="s">
        <v>336</v>
      </c>
      <c r="AI40" s="85" t="s">
        <v>1221</v>
      </c>
      <c r="AJ40" s="86">
        <v>1504</v>
      </c>
      <c r="AK40" s="15" t="s">
        <v>225</v>
      </c>
      <c r="AL40" s="15" t="s">
        <v>336</v>
      </c>
      <c r="AM40" s="15" t="s">
        <v>336</v>
      </c>
      <c r="AN40" s="15" t="s">
        <v>336</v>
      </c>
      <c r="AO40" s="15" t="s">
        <v>336</v>
      </c>
      <c r="AP40" s="49" t="s">
        <v>336</v>
      </c>
    </row>
    <row r="41" spans="2:42" x14ac:dyDescent="0.25">
      <c r="B41" s="24" t="s">
        <v>11</v>
      </c>
      <c r="H41" s="15" t="s">
        <v>1715</v>
      </c>
      <c r="I41" s="25" t="b">
        <v>1</v>
      </c>
      <c r="J41" s="15" t="b">
        <v>1</v>
      </c>
      <c r="N41" s="15" t="s">
        <v>336</v>
      </c>
      <c r="O41" s="15" t="s">
        <v>336</v>
      </c>
      <c r="Y41" s="15" t="s">
        <v>336</v>
      </c>
      <c r="AI41" s="85" t="s">
        <v>1222</v>
      </c>
      <c r="AJ41" s="86">
        <v>1510</v>
      </c>
      <c r="AK41" s="15" t="s">
        <v>226</v>
      </c>
      <c r="AL41" s="15" t="s">
        <v>336</v>
      </c>
      <c r="AM41" s="15" t="s">
        <v>336</v>
      </c>
      <c r="AN41" s="15" t="s">
        <v>336</v>
      </c>
      <c r="AO41" s="15" t="s">
        <v>336</v>
      </c>
      <c r="AP41" s="49" t="s">
        <v>336</v>
      </c>
    </row>
    <row r="42" spans="2:42" x14ac:dyDescent="0.25">
      <c r="B42" s="24" t="s">
        <v>11</v>
      </c>
      <c r="H42" s="15" t="s">
        <v>1715</v>
      </c>
      <c r="I42" s="25" t="b">
        <v>1</v>
      </c>
      <c r="J42" s="15" t="b">
        <v>1</v>
      </c>
      <c r="N42" s="15" t="s">
        <v>336</v>
      </c>
      <c r="O42" s="15" t="s">
        <v>336</v>
      </c>
      <c r="Y42" s="15" t="s">
        <v>336</v>
      </c>
      <c r="AI42" s="85" t="s">
        <v>1223</v>
      </c>
      <c r="AJ42" s="86">
        <v>1510</v>
      </c>
      <c r="AK42" s="15" t="s">
        <v>227</v>
      </c>
      <c r="AL42" s="15" t="s">
        <v>336</v>
      </c>
      <c r="AM42" s="15" t="s">
        <v>336</v>
      </c>
      <c r="AN42" s="15" t="s">
        <v>336</v>
      </c>
      <c r="AO42" s="15" t="s">
        <v>336</v>
      </c>
      <c r="AP42" s="49" t="s">
        <v>336</v>
      </c>
    </row>
    <row r="43" spans="2:42" x14ac:dyDescent="0.25">
      <c r="B43" s="24" t="s">
        <v>11</v>
      </c>
      <c r="H43" s="15" t="s">
        <v>1715</v>
      </c>
      <c r="I43" s="25" t="b">
        <v>1</v>
      </c>
      <c r="J43" s="15" t="b">
        <v>1</v>
      </c>
      <c r="N43" s="15" t="s">
        <v>336</v>
      </c>
      <c r="O43" s="15" t="s">
        <v>336</v>
      </c>
      <c r="Y43" s="15" t="s">
        <v>336</v>
      </c>
      <c r="AI43" s="85" t="s">
        <v>1224</v>
      </c>
      <c r="AJ43" s="86">
        <v>1510</v>
      </c>
      <c r="AK43" s="15" t="s">
        <v>228</v>
      </c>
      <c r="AL43" s="15" t="s">
        <v>336</v>
      </c>
      <c r="AM43" s="15" t="s">
        <v>336</v>
      </c>
      <c r="AN43" s="15" t="s">
        <v>336</v>
      </c>
      <c r="AO43" s="15" t="s">
        <v>336</v>
      </c>
      <c r="AP43" s="49" t="s">
        <v>336</v>
      </c>
    </row>
    <row r="44" spans="2:42" x14ac:dyDescent="0.25">
      <c r="B44" s="24" t="s">
        <v>651</v>
      </c>
      <c r="H44" s="15" t="s">
        <v>1715</v>
      </c>
      <c r="I44" s="25" t="b">
        <v>1</v>
      </c>
      <c r="J44" s="15" t="b">
        <v>1</v>
      </c>
      <c r="N44" s="15" t="s">
        <v>336</v>
      </c>
      <c r="O44" s="15" t="s">
        <v>336</v>
      </c>
      <c r="Y44" s="15" t="s">
        <v>336</v>
      </c>
      <c r="AI44" s="85" t="s">
        <v>1225</v>
      </c>
      <c r="AJ44" s="86">
        <v>1513</v>
      </c>
      <c r="AK44" s="15" t="s">
        <v>229</v>
      </c>
      <c r="AL44" s="15" t="s">
        <v>336</v>
      </c>
      <c r="AM44" s="15" t="s">
        <v>336</v>
      </c>
      <c r="AN44" s="15" t="s">
        <v>336</v>
      </c>
      <c r="AO44" s="15" t="s">
        <v>336</v>
      </c>
      <c r="AP44" s="49" t="s">
        <v>336</v>
      </c>
    </row>
    <row r="45" spans="2:42" x14ac:dyDescent="0.25">
      <c r="B45" s="24" t="s">
        <v>557</v>
      </c>
      <c r="H45" s="15" t="s">
        <v>1715</v>
      </c>
      <c r="I45" s="25" t="b">
        <v>1</v>
      </c>
      <c r="J45" s="15" t="b">
        <v>1</v>
      </c>
      <c r="N45" s="15" t="s">
        <v>336</v>
      </c>
      <c r="O45" s="15" t="s">
        <v>336</v>
      </c>
      <c r="Y45" s="15" t="s">
        <v>336</v>
      </c>
      <c r="AI45" s="85" t="s">
        <v>1226</v>
      </c>
      <c r="AJ45" s="86">
        <v>1515</v>
      </c>
      <c r="AK45" s="15" t="s">
        <v>230</v>
      </c>
      <c r="AL45" s="15" t="s">
        <v>336</v>
      </c>
      <c r="AM45" s="15" t="s">
        <v>336</v>
      </c>
      <c r="AN45" s="15" t="s">
        <v>336</v>
      </c>
      <c r="AO45" s="15" t="s">
        <v>336</v>
      </c>
      <c r="AP45" s="49" t="s">
        <v>336</v>
      </c>
    </row>
    <row r="46" spans="2:42" x14ac:dyDescent="0.25">
      <c r="B46" s="24" t="s">
        <v>11</v>
      </c>
      <c r="H46" s="15" t="s">
        <v>1715</v>
      </c>
      <c r="I46" s="25" t="b">
        <v>1</v>
      </c>
      <c r="J46" s="15" t="b">
        <v>1</v>
      </c>
      <c r="N46" s="15" t="s">
        <v>336</v>
      </c>
      <c r="O46" s="15" t="s">
        <v>336</v>
      </c>
      <c r="Y46" s="15" t="s">
        <v>336</v>
      </c>
      <c r="AI46" s="85" t="s">
        <v>1227</v>
      </c>
      <c r="AJ46" s="86">
        <v>1519</v>
      </c>
      <c r="AK46" s="15" t="s">
        <v>231</v>
      </c>
      <c r="AL46" s="15" t="s">
        <v>336</v>
      </c>
      <c r="AM46" s="15" t="s">
        <v>336</v>
      </c>
      <c r="AN46" s="15" t="s">
        <v>336</v>
      </c>
      <c r="AO46" s="15" t="s">
        <v>336</v>
      </c>
      <c r="AP46" s="49" t="s">
        <v>336</v>
      </c>
    </row>
    <row r="47" spans="2:42" x14ac:dyDescent="0.25">
      <c r="B47" s="24" t="s">
        <v>557</v>
      </c>
      <c r="H47" s="15" t="s">
        <v>1715</v>
      </c>
      <c r="I47" s="25" t="b">
        <v>1</v>
      </c>
      <c r="J47" s="15" t="b">
        <v>1</v>
      </c>
      <c r="N47" s="15" t="s">
        <v>336</v>
      </c>
      <c r="O47" s="15" t="s">
        <v>336</v>
      </c>
      <c r="Y47" s="15" t="s">
        <v>336</v>
      </c>
      <c r="AI47" s="85" t="s">
        <v>1228</v>
      </c>
      <c r="AJ47" s="86" t="s">
        <v>1102</v>
      </c>
      <c r="AK47" s="15" t="s">
        <v>232</v>
      </c>
      <c r="AL47" s="15" t="s">
        <v>336</v>
      </c>
      <c r="AM47" s="15" t="s">
        <v>336</v>
      </c>
      <c r="AN47" s="15" t="s">
        <v>336</v>
      </c>
      <c r="AO47" s="15" t="s">
        <v>336</v>
      </c>
      <c r="AP47" s="49" t="s">
        <v>336</v>
      </c>
    </row>
    <row r="48" spans="2:42" x14ac:dyDescent="0.25">
      <c r="B48" s="24" t="s">
        <v>11</v>
      </c>
      <c r="H48" s="15" t="s">
        <v>1715</v>
      </c>
      <c r="I48" s="25" t="b">
        <v>1</v>
      </c>
      <c r="J48" s="15" t="b">
        <v>1</v>
      </c>
      <c r="N48" s="15" t="s">
        <v>336</v>
      </c>
      <c r="O48" s="15" t="s">
        <v>336</v>
      </c>
      <c r="Y48" s="15" t="s">
        <v>336</v>
      </c>
      <c r="AI48" s="85" t="s">
        <v>1229</v>
      </c>
      <c r="AJ48" s="86">
        <v>1521</v>
      </c>
      <c r="AK48" s="15" t="s">
        <v>233</v>
      </c>
      <c r="AL48" s="15" t="s">
        <v>336</v>
      </c>
      <c r="AM48" s="15" t="s">
        <v>336</v>
      </c>
      <c r="AN48" s="15" t="s">
        <v>336</v>
      </c>
      <c r="AO48" s="15" t="s">
        <v>336</v>
      </c>
      <c r="AP48" s="49" t="s">
        <v>336</v>
      </c>
    </row>
    <row r="49" spans="2:42" x14ac:dyDescent="0.25">
      <c r="B49" s="24" t="s">
        <v>11</v>
      </c>
      <c r="H49" s="15" t="s">
        <v>1715</v>
      </c>
      <c r="I49" s="25" t="b">
        <v>1</v>
      </c>
      <c r="J49" s="15" t="b">
        <v>1</v>
      </c>
      <c r="N49" s="15" t="s">
        <v>336</v>
      </c>
      <c r="O49" s="15" t="s">
        <v>336</v>
      </c>
      <c r="Y49" s="15" t="s">
        <v>336</v>
      </c>
      <c r="AI49" s="85" t="s">
        <v>1230</v>
      </c>
      <c r="AJ49" s="86">
        <v>1521</v>
      </c>
      <c r="AK49" s="15" t="s">
        <v>234</v>
      </c>
      <c r="AL49" s="15" t="s">
        <v>336</v>
      </c>
      <c r="AM49" s="15" t="s">
        <v>336</v>
      </c>
      <c r="AN49" s="15" t="s">
        <v>336</v>
      </c>
      <c r="AO49" s="15" t="s">
        <v>336</v>
      </c>
      <c r="AP49" s="49" t="s">
        <v>336</v>
      </c>
    </row>
    <row r="50" spans="2:42" x14ac:dyDescent="0.25">
      <c r="B50" s="24" t="s">
        <v>11</v>
      </c>
      <c r="H50" s="15" t="s">
        <v>1715</v>
      </c>
      <c r="I50" s="25" t="b">
        <v>1</v>
      </c>
      <c r="J50" s="15" t="b">
        <v>1</v>
      </c>
      <c r="N50" s="15" t="s">
        <v>336</v>
      </c>
      <c r="O50" s="15" t="s">
        <v>336</v>
      </c>
      <c r="Y50" s="15" t="s">
        <v>336</v>
      </c>
      <c r="AI50" s="85" t="s">
        <v>1231</v>
      </c>
      <c r="AJ50" s="86">
        <v>1525</v>
      </c>
      <c r="AK50" s="15" t="s">
        <v>235</v>
      </c>
      <c r="AL50" s="15" t="s">
        <v>336</v>
      </c>
      <c r="AM50" s="15" t="s">
        <v>336</v>
      </c>
      <c r="AN50" s="15" t="s">
        <v>336</v>
      </c>
      <c r="AO50" s="15" t="s">
        <v>336</v>
      </c>
      <c r="AP50" s="49" t="s">
        <v>336</v>
      </c>
    </row>
    <row r="51" spans="2:42" x14ac:dyDescent="0.25">
      <c r="B51" s="24" t="s">
        <v>11</v>
      </c>
      <c r="H51" s="15" t="s">
        <v>1715</v>
      </c>
      <c r="I51" s="25" t="b">
        <v>1</v>
      </c>
      <c r="J51" s="15" t="b">
        <v>1</v>
      </c>
      <c r="N51" s="15" t="s">
        <v>336</v>
      </c>
      <c r="O51" s="15" t="s">
        <v>336</v>
      </c>
      <c r="Y51" s="15" t="s">
        <v>336</v>
      </c>
      <c r="AI51" s="85" t="s">
        <v>1232</v>
      </c>
      <c r="AJ51" s="86">
        <v>1528</v>
      </c>
      <c r="AK51" s="15" t="s">
        <v>236</v>
      </c>
      <c r="AL51" s="15" t="s">
        <v>336</v>
      </c>
      <c r="AM51" s="15" t="s">
        <v>336</v>
      </c>
      <c r="AN51" s="15" t="s">
        <v>336</v>
      </c>
      <c r="AO51" s="15" t="s">
        <v>336</v>
      </c>
      <c r="AP51" s="49" t="s">
        <v>336</v>
      </c>
    </row>
    <row r="52" spans="2:42" x14ac:dyDescent="0.25">
      <c r="B52" s="24" t="s">
        <v>11</v>
      </c>
      <c r="H52" s="15" t="s">
        <v>1715</v>
      </c>
      <c r="I52" s="25" t="b">
        <v>1</v>
      </c>
      <c r="J52" s="15" t="b">
        <v>1</v>
      </c>
      <c r="N52" s="15" t="s">
        <v>336</v>
      </c>
      <c r="O52" s="15" t="s">
        <v>336</v>
      </c>
      <c r="Y52" s="15" t="s">
        <v>336</v>
      </c>
      <c r="AI52" s="85" t="s">
        <v>1233</v>
      </c>
      <c r="AJ52" s="86">
        <v>1536</v>
      </c>
      <c r="AK52" s="15" t="s">
        <v>238</v>
      </c>
      <c r="AL52" s="15" t="s">
        <v>336</v>
      </c>
      <c r="AM52" s="15" t="s">
        <v>336</v>
      </c>
      <c r="AN52" s="15" t="s">
        <v>336</v>
      </c>
      <c r="AO52" s="15" t="s">
        <v>336</v>
      </c>
      <c r="AP52" s="49" t="s">
        <v>336</v>
      </c>
    </row>
    <row r="53" spans="2:42" x14ac:dyDescent="0.25">
      <c r="B53" s="24" t="s">
        <v>630</v>
      </c>
      <c r="H53" s="15" t="s">
        <v>1715</v>
      </c>
      <c r="I53" s="25" t="b">
        <v>1</v>
      </c>
      <c r="J53" s="15" t="b">
        <v>1</v>
      </c>
      <c r="N53" s="15" t="s">
        <v>336</v>
      </c>
      <c r="O53" s="15" t="s">
        <v>336</v>
      </c>
      <c r="Y53" s="15" t="s">
        <v>336</v>
      </c>
      <c r="AI53" s="85" t="s">
        <v>1235</v>
      </c>
      <c r="AJ53" s="86">
        <v>1541</v>
      </c>
      <c r="AK53" s="15" t="s">
        <v>240</v>
      </c>
      <c r="AL53" s="15" t="s">
        <v>336</v>
      </c>
      <c r="AM53" s="15" t="s">
        <v>336</v>
      </c>
      <c r="AN53" s="15" t="s">
        <v>336</v>
      </c>
      <c r="AO53" s="15" t="s">
        <v>336</v>
      </c>
      <c r="AP53" s="49" t="s">
        <v>336</v>
      </c>
    </row>
    <row r="54" spans="2:42" x14ac:dyDescent="0.25">
      <c r="B54" s="24" t="s">
        <v>11</v>
      </c>
      <c r="H54" s="15" t="s">
        <v>1715</v>
      </c>
      <c r="I54" s="25" t="b">
        <v>1</v>
      </c>
      <c r="J54" s="15" t="b">
        <v>1</v>
      </c>
      <c r="N54" s="15" t="s">
        <v>336</v>
      </c>
      <c r="O54" s="15" t="s">
        <v>336</v>
      </c>
      <c r="Y54" s="15" t="s">
        <v>336</v>
      </c>
      <c r="AI54" s="85" t="s">
        <v>1236</v>
      </c>
      <c r="AJ54" s="86">
        <v>1543</v>
      </c>
      <c r="AK54" s="15" t="s">
        <v>241</v>
      </c>
      <c r="AL54" s="15" t="s">
        <v>336</v>
      </c>
      <c r="AM54" s="15" t="s">
        <v>336</v>
      </c>
      <c r="AN54" s="15" t="s">
        <v>336</v>
      </c>
      <c r="AO54" s="15" t="s">
        <v>336</v>
      </c>
      <c r="AP54" s="49" t="s">
        <v>336</v>
      </c>
    </row>
    <row r="55" spans="2:42" x14ac:dyDescent="0.25">
      <c r="B55" s="24" t="s">
        <v>11</v>
      </c>
      <c r="H55" s="15" t="s">
        <v>1715</v>
      </c>
      <c r="I55" s="25" t="b">
        <v>1</v>
      </c>
      <c r="J55" s="15" t="b">
        <v>1</v>
      </c>
      <c r="N55" s="15" t="s">
        <v>336</v>
      </c>
      <c r="O55" s="15" t="s">
        <v>336</v>
      </c>
      <c r="Y55" s="15" t="s">
        <v>336</v>
      </c>
      <c r="AI55" s="85" t="s">
        <v>1237</v>
      </c>
      <c r="AJ55" s="86">
        <v>1553</v>
      </c>
      <c r="AK55" s="15" t="s">
        <v>242</v>
      </c>
      <c r="AL55" s="15" t="s">
        <v>336</v>
      </c>
      <c r="AM55" s="15" t="s">
        <v>336</v>
      </c>
      <c r="AN55" s="15" t="s">
        <v>336</v>
      </c>
      <c r="AO55" s="15" t="s">
        <v>336</v>
      </c>
      <c r="AP55" s="49" t="s">
        <v>336</v>
      </c>
    </row>
    <row r="56" spans="2:42" x14ac:dyDescent="0.25">
      <c r="B56" s="24" t="s">
        <v>11</v>
      </c>
      <c r="H56" s="15" t="s">
        <v>1715</v>
      </c>
      <c r="I56" s="25" t="b">
        <v>1</v>
      </c>
      <c r="J56" s="15" t="b">
        <v>1</v>
      </c>
      <c r="N56" s="15" t="s">
        <v>336</v>
      </c>
      <c r="O56" s="15" t="s">
        <v>336</v>
      </c>
      <c r="Y56" s="15" t="s">
        <v>336</v>
      </c>
      <c r="AI56" s="85" t="s">
        <v>1238</v>
      </c>
      <c r="AJ56" s="86">
        <v>1555</v>
      </c>
      <c r="AK56" s="15" t="s">
        <v>243</v>
      </c>
      <c r="AL56" s="15" t="s">
        <v>336</v>
      </c>
      <c r="AM56" s="15" t="s">
        <v>336</v>
      </c>
      <c r="AN56" s="15" t="s">
        <v>336</v>
      </c>
      <c r="AO56" s="15" t="s">
        <v>336</v>
      </c>
      <c r="AP56" s="49" t="s">
        <v>336</v>
      </c>
    </row>
    <row r="57" spans="2:42" x14ac:dyDescent="0.25">
      <c r="B57" s="24" t="s">
        <v>11</v>
      </c>
      <c r="H57" s="15" t="s">
        <v>1715</v>
      </c>
      <c r="I57" s="25" t="b">
        <v>1</v>
      </c>
      <c r="J57" s="15" t="b">
        <v>1</v>
      </c>
      <c r="N57" s="15" t="s">
        <v>336</v>
      </c>
      <c r="O57" s="15" t="s">
        <v>336</v>
      </c>
      <c r="Y57" s="15" t="s">
        <v>336</v>
      </c>
      <c r="AI57" s="85" t="s">
        <v>1239</v>
      </c>
      <c r="AJ57" s="86">
        <v>1556</v>
      </c>
      <c r="AK57" s="15" t="s">
        <v>244</v>
      </c>
      <c r="AL57" s="15" t="s">
        <v>336</v>
      </c>
      <c r="AM57" s="15" t="s">
        <v>336</v>
      </c>
      <c r="AN57" s="15" t="s">
        <v>336</v>
      </c>
      <c r="AO57" s="15" t="s">
        <v>336</v>
      </c>
      <c r="AP57" s="49" t="s">
        <v>336</v>
      </c>
    </row>
    <row r="58" spans="2:42" x14ac:dyDescent="0.25">
      <c r="B58" s="24" t="s">
        <v>11</v>
      </c>
      <c r="H58" s="15" t="s">
        <v>1715</v>
      </c>
      <c r="I58" s="25" t="b">
        <v>1</v>
      </c>
      <c r="J58" s="15" t="b">
        <v>1</v>
      </c>
      <c r="N58" s="15" t="s">
        <v>336</v>
      </c>
      <c r="O58" s="15" t="s">
        <v>336</v>
      </c>
      <c r="Y58" s="15" t="s">
        <v>336</v>
      </c>
      <c r="AI58" s="85" t="s">
        <v>1240</v>
      </c>
      <c r="AJ58" s="86">
        <v>1557</v>
      </c>
      <c r="AK58" s="15" t="s">
        <v>245</v>
      </c>
      <c r="AL58" s="15" t="s">
        <v>336</v>
      </c>
      <c r="AM58" s="15" t="s">
        <v>336</v>
      </c>
      <c r="AN58" s="15" t="s">
        <v>336</v>
      </c>
      <c r="AO58" s="15" t="s">
        <v>336</v>
      </c>
      <c r="AP58" s="49" t="s">
        <v>336</v>
      </c>
    </row>
    <row r="59" spans="2:42" x14ac:dyDescent="0.25">
      <c r="B59" s="24" t="s">
        <v>11</v>
      </c>
      <c r="H59" s="15" t="s">
        <v>1715</v>
      </c>
      <c r="I59" s="25" t="b">
        <v>1</v>
      </c>
      <c r="J59" s="15" t="b">
        <v>1</v>
      </c>
      <c r="N59" s="15" t="s">
        <v>336</v>
      </c>
      <c r="O59" s="15" t="s">
        <v>336</v>
      </c>
      <c r="Y59" s="15" t="s">
        <v>336</v>
      </c>
      <c r="AI59" s="85" t="s">
        <v>1241</v>
      </c>
      <c r="AJ59" s="86">
        <v>1558</v>
      </c>
      <c r="AK59" s="15" t="s">
        <v>246</v>
      </c>
      <c r="AL59" s="15" t="s">
        <v>336</v>
      </c>
      <c r="AM59" s="15" t="s">
        <v>336</v>
      </c>
      <c r="AN59" s="15" t="s">
        <v>336</v>
      </c>
      <c r="AO59" s="15" t="s">
        <v>336</v>
      </c>
      <c r="AP59" s="49" t="s">
        <v>336</v>
      </c>
    </row>
    <row r="60" spans="2:42" x14ac:dyDescent="0.25">
      <c r="B60" s="24" t="s">
        <v>11</v>
      </c>
      <c r="H60" s="15" t="s">
        <v>1715</v>
      </c>
      <c r="I60" s="25" t="b">
        <v>1</v>
      </c>
      <c r="J60" s="15" t="b">
        <v>1</v>
      </c>
      <c r="N60" s="15" t="s">
        <v>336</v>
      </c>
      <c r="O60" s="15" t="s">
        <v>336</v>
      </c>
      <c r="Y60" s="15" t="s">
        <v>336</v>
      </c>
      <c r="AI60" s="85" t="s">
        <v>1242</v>
      </c>
      <c r="AJ60" s="86">
        <v>1562</v>
      </c>
      <c r="AK60" s="15" t="s">
        <v>247</v>
      </c>
      <c r="AL60" s="15" t="s">
        <v>336</v>
      </c>
      <c r="AM60" s="15" t="s">
        <v>336</v>
      </c>
      <c r="AN60" s="15" t="s">
        <v>336</v>
      </c>
      <c r="AO60" s="15" t="s">
        <v>336</v>
      </c>
      <c r="AP60" s="49" t="s">
        <v>336</v>
      </c>
    </row>
    <row r="61" spans="2:42" x14ac:dyDescent="0.25">
      <c r="B61" s="24" t="s">
        <v>11</v>
      </c>
      <c r="H61" s="15" t="s">
        <v>1715</v>
      </c>
      <c r="I61" s="25" t="b">
        <v>1</v>
      </c>
      <c r="J61" s="15" t="b">
        <v>1</v>
      </c>
      <c r="N61" s="15" t="s">
        <v>336</v>
      </c>
      <c r="O61" s="15" t="s">
        <v>336</v>
      </c>
      <c r="Y61" s="15" t="s">
        <v>336</v>
      </c>
      <c r="AI61" s="85" t="s">
        <v>1244</v>
      </c>
      <c r="AJ61" s="86">
        <v>1576</v>
      </c>
      <c r="AK61" s="15" t="s">
        <v>249</v>
      </c>
      <c r="AL61" s="15" t="s">
        <v>336</v>
      </c>
      <c r="AM61" s="15" t="s">
        <v>336</v>
      </c>
      <c r="AN61" s="15" t="s">
        <v>336</v>
      </c>
      <c r="AO61" s="15" t="s">
        <v>336</v>
      </c>
      <c r="AP61" s="49" t="s">
        <v>336</v>
      </c>
    </row>
    <row r="62" spans="2:42" x14ac:dyDescent="0.25">
      <c r="B62" s="24" t="s">
        <v>11</v>
      </c>
      <c r="H62" s="15" t="s">
        <v>1715</v>
      </c>
      <c r="I62" s="25" t="b">
        <v>1</v>
      </c>
      <c r="J62" s="15" t="b">
        <v>1</v>
      </c>
      <c r="N62" s="15" t="s">
        <v>336</v>
      </c>
      <c r="O62" s="15" t="s">
        <v>336</v>
      </c>
      <c r="Y62" s="15" t="s">
        <v>336</v>
      </c>
      <c r="AI62" s="85" t="s">
        <v>1245</v>
      </c>
      <c r="AJ62" s="86">
        <v>1583</v>
      </c>
      <c r="AK62" s="15" t="s">
        <v>250</v>
      </c>
      <c r="AL62" s="15" t="s">
        <v>336</v>
      </c>
      <c r="AM62" s="15" t="s">
        <v>336</v>
      </c>
      <c r="AN62" s="15" t="s">
        <v>336</v>
      </c>
      <c r="AO62" s="15" t="s">
        <v>336</v>
      </c>
      <c r="AP62" s="49" t="s">
        <v>336</v>
      </c>
    </row>
    <row r="63" spans="2:42" x14ac:dyDescent="0.25">
      <c r="B63" s="24" t="s">
        <v>534</v>
      </c>
      <c r="H63" s="15" t="s">
        <v>1715</v>
      </c>
      <c r="I63" s="25" t="b">
        <v>1</v>
      </c>
      <c r="J63" s="15" t="b">
        <v>1</v>
      </c>
      <c r="N63" s="15" t="s">
        <v>336</v>
      </c>
      <c r="O63" s="15" t="s">
        <v>336</v>
      </c>
      <c r="Y63" s="15" t="s">
        <v>336</v>
      </c>
      <c r="AI63" s="85" t="s">
        <v>1246</v>
      </c>
      <c r="AJ63" s="86">
        <v>1586</v>
      </c>
      <c r="AK63" s="15" t="s">
        <v>251</v>
      </c>
      <c r="AL63" s="15" t="s">
        <v>336</v>
      </c>
      <c r="AM63" s="15" t="s">
        <v>336</v>
      </c>
      <c r="AN63" s="15" t="s">
        <v>336</v>
      </c>
      <c r="AO63" s="15" t="s">
        <v>336</v>
      </c>
      <c r="AP63" s="49" t="s">
        <v>336</v>
      </c>
    </row>
    <row r="64" spans="2:42" x14ac:dyDescent="0.25">
      <c r="B64" s="24" t="s">
        <v>548</v>
      </c>
      <c r="H64" s="15" t="s">
        <v>1715</v>
      </c>
      <c r="I64" s="25" t="b">
        <v>1</v>
      </c>
      <c r="J64" s="15" t="b">
        <v>1</v>
      </c>
      <c r="N64" s="15" t="s">
        <v>336</v>
      </c>
      <c r="O64" s="15" t="s">
        <v>336</v>
      </c>
      <c r="Y64" s="15" t="s">
        <v>336</v>
      </c>
      <c r="AI64" s="85" t="s">
        <v>1247</v>
      </c>
      <c r="AJ64" s="86">
        <v>1586</v>
      </c>
      <c r="AK64" s="15" t="s">
        <v>252</v>
      </c>
      <c r="AL64" s="15" t="s">
        <v>336</v>
      </c>
      <c r="AM64" s="15" t="s">
        <v>336</v>
      </c>
      <c r="AN64" s="15" t="s">
        <v>336</v>
      </c>
      <c r="AO64" s="15" t="s">
        <v>336</v>
      </c>
      <c r="AP64" s="49" t="s">
        <v>336</v>
      </c>
    </row>
    <row r="65" spans="2:42" x14ac:dyDescent="0.25">
      <c r="B65" s="24" t="s">
        <v>548</v>
      </c>
      <c r="H65" s="15" t="s">
        <v>1715</v>
      </c>
      <c r="I65" s="25" t="b">
        <v>1</v>
      </c>
      <c r="J65" s="15" t="b">
        <v>1</v>
      </c>
      <c r="N65" s="15" t="s">
        <v>336</v>
      </c>
      <c r="O65" s="15" t="s">
        <v>336</v>
      </c>
      <c r="Y65" s="15" t="s">
        <v>336</v>
      </c>
      <c r="AI65" s="85" t="s">
        <v>1248</v>
      </c>
      <c r="AJ65" s="86" t="s">
        <v>1120</v>
      </c>
      <c r="AK65" s="15" t="s">
        <v>253</v>
      </c>
      <c r="AL65" s="15" t="s">
        <v>336</v>
      </c>
      <c r="AM65" s="15" t="s">
        <v>336</v>
      </c>
      <c r="AN65" s="15" t="s">
        <v>336</v>
      </c>
      <c r="AO65" s="15" t="s">
        <v>336</v>
      </c>
      <c r="AP65" s="49" t="s">
        <v>336</v>
      </c>
    </row>
    <row r="66" spans="2:42" x14ac:dyDescent="0.25">
      <c r="B66" s="24" t="s">
        <v>11</v>
      </c>
      <c r="H66" s="15" t="s">
        <v>1715</v>
      </c>
      <c r="I66" s="25" t="b">
        <v>1</v>
      </c>
      <c r="J66" s="15" t="b">
        <v>1</v>
      </c>
      <c r="N66" s="15" t="s">
        <v>336</v>
      </c>
      <c r="O66" s="15" t="s">
        <v>336</v>
      </c>
      <c r="Y66" s="15" t="s">
        <v>336</v>
      </c>
      <c r="AI66" s="85" t="s">
        <v>1249</v>
      </c>
      <c r="AJ66" s="86">
        <v>1597</v>
      </c>
      <c r="AK66" s="15" t="s">
        <v>254</v>
      </c>
      <c r="AL66" s="15" t="s">
        <v>336</v>
      </c>
      <c r="AM66" s="15" t="s">
        <v>336</v>
      </c>
      <c r="AN66" s="15" t="s">
        <v>336</v>
      </c>
      <c r="AO66" s="15" t="s">
        <v>336</v>
      </c>
      <c r="AP66" s="49" t="s">
        <v>336</v>
      </c>
    </row>
    <row r="67" spans="2:42" x14ac:dyDescent="0.25">
      <c r="B67" s="24" t="s">
        <v>657</v>
      </c>
      <c r="H67" s="15" t="s">
        <v>1715</v>
      </c>
      <c r="I67" s="25" t="b">
        <v>1</v>
      </c>
      <c r="J67" s="15" t="b">
        <v>1</v>
      </c>
      <c r="N67" s="15" t="s">
        <v>336</v>
      </c>
      <c r="O67" s="15" t="s">
        <v>336</v>
      </c>
      <c r="Y67" s="15" t="s">
        <v>336</v>
      </c>
      <c r="AI67" s="85" t="s">
        <v>1252</v>
      </c>
      <c r="AJ67" s="86" t="s">
        <v>1123</v>
      </c>
      <c r="AK67" s="15" t="s">
        <v>257</v>
      </c>
      <c r="AL67" s="15" t="s">
        <v>336</v>
      </c>
      <c r="AM67" s="15" t="s">
        <v>336</v>
      </c>
      <c r="AN67" s="15" t="s">
        <v>336</v>
      </c>
      <c r="AO67" s="15" t="s">
        <v>336</v>
      </c>
      <c r="AP67" s="49" t="s">
        <v>336</v>
      </c>
    </row>
    <row r="68" spans="2:42" x14ac:dyDescent="0.25">
      <c r="B68" s="24" t="s">
        <v>557</v>
      </c>
      <c r="H68" s="15" t="s">
        <v>1715</v>
      </c>
      <c r="I68" s="25" t="b">
        <v>1</v>
      </c>
      <c r="J68" s="15" t="b">
        <v>1</v>
      </c>
      <c r="N68" s="15" t="s">
        <v>336</v>
      </c>
      <c r="O68" s="15" t="s">
        <v>336</v>
      </c>
      <c r="Y68" s="15" t="s">
        <v>336</v>
      </c>
      <c r="AI68" s="85" t="s">
        <v>1250</v>
      </c>
      <c r="AJ68" s="87" t="s">
        <v>1410</v>
      </c>
      <c r="AK68" s="15" t="s">
        <v>255</v>
      </c>
      <c r="AL68" s="15" t="s">
        <v>336</v>
      </c>
      <c r="AM68" s="15" t="s">
        <v>336</v>
      </c>
      <c r="AN68" s="15" t="s">
        <v>336</v>
      </c>
      <c r="AO68" s="15" t="s">
        <v>336</v>
      </c>
      <c r="AP68" s="49" t="s">
        <v>336</v>
      </c>
    </row>
    <row r="69" spans="2:42" x14ac:dyDescent="0.25">
      <c r="B69" s="24" t="s">
        <v>11</v>
      </c>
      <c r="H69" s="15" t="s">
        <v>1715</v>
      </c>
      <c r="I69" s="25" t="b">
        <v>1</v>
      </c>
      <c r="J69" s="15" t="b">
        <v>1</v>
      </c>
      <c r="N69" s="15" t="s">
        <v>336</v>
      </c>
      <c r="O69" s="15" t="s">
        <v>336</v>
      </c>
      <c r="Y69" s="15" t="s">
        <v>336</v>
      </c>
      <c r="AI69" s="85" t="s">
        <v>1255</v>
      </c>
      <c r="AJ69" s="86">
        <v>1607</v>
      </c>
      <c r="AK69" s="15" t="s">
        <v>260</v>
      </c>
      <c r="AL69" s="15" t="s">
        <v>336</v>
      </c>
      <c r="AM69" s="15" t="s">
        <v>336</v>
      </c>
      <c r="AN69" s="15" t="s">
        <v>336</v>
      </c>
      <c r="AO69" s="15" t="s">
        <v>336</v>
      </c>
      <c r="AP69" s="49" t="s">
        <v>336</v>
      </c>
    </row>
    <row r="70" spans="2:42" x14ac:dyDescent="0.25">
      <c r="B70" s="24" t="s">
        <v>11</v>
      </c>
      <c r="H70" s="15" t="s">
        <v>1715</v>
      </c>
      <c r="I70" s="25" t="b">
        <v>1</v>
      </c>
      <c r="J70" s="15" t="b">
        <v>1</v>
      </c>
      <c r="N70" s="15" t="s">
        <v>336</v>
      </c>
      <c r="O70" s="15" t="s">
        <v>336</v>
      </c>
      <c r="Y70" s="15" t="s">
        <v>336</v>
      </c>
      <c r="AI70" s="85" t="s">
        <v>1257</v>
      </c>
      <c r="AJ70" s="86">
        <v>1616</v>
      </c>
      <c r="AK70" s="15" t="s">
        <v>264</v>
      </c>
      <c r="AL70" s="15" t="s">
        <v>336</v>
      </c>
      <c r="AM70" s="15" t="s">
        <v>336</v>
      </c>
      <c r="AN70" s="15" t="s">
        <v>336</v>
      </c>
      <c r="AO70" s="15" t="s">
        <v>336</v>
      </c>
      <c r="AP70" s="49" t="s">
        <v>336</v>
      </c>
    </row>
    <row r="71" spans="2:42" x14ac:dyDescent="0.25">
      <c r="B71" s="24" t="s">
        <v>502</v>
      </c>
      <c r="H71" s="15" t="s">
        <v>1715</v>
      </c>
      <c r="I71" s="25" t="b">
        <v>1</v>
      </c>
      <c r="J71" s="15" t="b">
        <v>1</v>
      </c>
      <c r="N71" s="15" t="s">
        <v>336</v>
      </c>
      <c r="O71" s="15" t="s">
        <v>336</v>
      </c>
      <c r="Y71" s="15" t="s">
        <v>336</v>
      </c>
      <c r="AI71" s="85" t="s">
        <v>1258</v>
      </c>
      <c r="AJ71" s="86">
        <v>1633</v>
      </c>
      <c r="AK71" s="15" t="s">
        <v>265</v>
      </c>
      <c r="AL71" s="15" t="s">
        <v>336</v>
      </c>
      <c r="AM71" s="15" t="s">
        <v>336</v>
      </c>
      <c r="AN71" s="15" t="s">
        <v>336</v>
      </c>
      <c r="AO71" s="15" t="s">
        <v>336</v>
      </c>
      <c r="AP71" s="49" t="s">
        <v>336</v>
      </c>
    </row>
    <row r="72" spans="2:42" ht="25.5" x14ac:dyDescent="0.25">
      <c r="B72" s="24" t="s">
        <v>535</v>
      </c>
      <c r="H72" s="15" t="s">
        <v>1715</v>
      </c>
      <c r="I72" s="25" t="b">
        <v>1</v>
      </c>
      <c r="J72" s="15" t="b">
        <v>1</v>
      </c>
      <c r="N72" s="15" t="s">
        <v>336</v>
      </c>
      <c r="O72" s="15" t="s">
        <v>336</v>
      </c>
      <c r="Y72" s="15" t="s">
        <v>336</v>
      </c>
      <c r="AI72" s="85" t="s">
        <v>1259</v>
      </c>
      <c r="AJ72" s="86">
        <v>1635</v>
      </c>
      <c r="AK72" s="15" t="s">
        <v>266</v>
      </c>
      <c r="AL72" s="15" t="s">
        <v>336</v>
      </c>
      <c r="AM72" s="15" t="s">
        <v>336</v>
      </c>
      <c r="AN72" s="15" t="s">
        <v>336</v>
      </c>
      <c r="AO72" s="15" t="s">
        <v>336</v>
      </c>
      <c r="AP72" s="49" t="s">
        <v>336</v>
      </c>
    </row>
    <row r="73" spans="2:42" x14ac:dyDescent="0.25">
      <c r="B73" s="24" t="s">
        <v>542</v>
      </c>
      <c r="H73" s="15" t="s">
        <v>1715</v>
      </c>
      <c r="I73" s="25" t="b">
        <v>1</v>
      </c>
      <c r="J73" s="15" t="b">
        <v>1</v>
      </c>
      <c r="N73" s="15" t="s">
        <v>336</v>
      </c>
      <c r="O73" s="15" t="s">
        <v>336</v>
      </c>
      <c r="Y73" s="15" t="s">
        <v>336</v>
      </c>
      <c r="AI73" s="85" t="s">
        <v>1260</v>
      </c>
      <c r="AJ73" s="86">
        <v>1641</v>
      </c>
      <c r="AK73" s="15" t="s">
        <v>267</v>
      </c>
      <c r="AL73" s="15" t="s">
        <v>336</v>
      </c>
      <c r="AM73" s="15" t="s">
        <v>336</v>
      </c>
      <c r="AN73" s="15" t="s">
        <v>336</v>
      </c>
      <c r="AO73" s="15" t="s">
        <v>336</v>
      </c>
      <c r="AP73" s="49" t="s">
        <v>336</v>
      </c>
    </row>
    <row r="74" spans="2:42" x14ac:dyDescent="0.25">
      <c r="B74" s="24" t="s">
        <v>557</v>
      </c>
      <c r="H74" s="15" t="s">
        <v>1715</v>
      </c>
      <c r="I74" s="25" t="b">
        <v>1</v>
      </c>
      <c r="J74" s="15" t="b">
        <v>1</v>
      </c>
      <c r="N74" s="15" t="s">
        <v>336</v>
      </c>
      <c r="O74" s="15" t="s">
        <v>336</v>
      </c>
      <c r="Y74" s="15" t="s">
        <v>336</v>
      </c>
      <c r="AI74" s="85" t="s">
        <v>1261</v>
      </c>
      <c r="AJ74" s="86">
        <v>1649</v>
      </c>
      <c r="AK74" s="15" t="s">
        <v>268</v>
      </c>
      <c r="AL74" s="15" t="s">
        <v>336</v>
      </c>
      <c r="AM74" s="15" t="s">
        <v>336</v>
      </c>
      <c r="AN74" s="15" t="s">
        <v>336</v>
      </c>
      <c r="AO74" s="15" t="s">
        <v>336</v>
      </c>
      <c r="AP74" s="49" t="s">
        <v>336</v>
      </c>
    </row>
    <row r="75" spans="2:42" x14ac:dyDescent="0.25">
      <c r="B75" s="24" t="s">
        <v>716</v>
      </c>
      <c r="H75" s="15" t="s">
        <v>1715</v>
      </c>
      <c r="I75" s="25" t="b">
        <v>1</v>
      </c>
      <c r="J75" s="15" t="b">
        <v>1</v>
      </c>
      <c r="N75" s="15" t="s">
        <v>336</v>
      </c>
      <c r="O75" s="15" t="s">
        <v>336</v>
      </c>
      <c r="Y75" s="15" t="s">
        <v>336</v>
      </c>
      <c r="AI75" s="85" t="s">
        <v>1262</v>
      </c>
      <c r="AJ75" s="86">
        <v>1651</v>
      </c>
      <c r="AK75" s="15" t="s">
        <v>269</v>
      </c>
      <c r="AL75" s="15" t="s">
        <v>336</v>
      </c>
      <c r="AM75" s="15" t="s">
        <v>336</v>
      </c>
      <c r="AN75" s="15" t="s">
        <v>336</v>
      </c>
      <c r="AO75" s="15" t="s">
        <v>336</v>
      </c>
      <c r="AP75" s="49" t="s">
        <v>336</v>
      </c>
    </row>
    <row r="76" spans="2:42" x14ac:dyDescent="0.25">
      <c r="B76" s="24" t="s">
        <v>557</v>
      </c>
      <c r="H76" s="15" t="s">
        <v>1715</v>
      </c>
      <c r="I76" s="25" t="b">
        <v>1</v>
      </c>
      <c r="J76" s="15" t="b">
        <v>1</v>
      </c>
      <c r="N76" s="15" t="s">
        <v>336</v>
      </c>
      <c r="O76" s="15" t="s">
        <v>336</v>
      </c>
      <c r="Y76" s="15" t="s">
        <v>336</v>
      </c>
      <c r="AI76" s="85" t="s">
        <v>1263</v>
      </c>
      <c r="AJ76" s="86">
        <v>1652</v>
      </c>
      <c r="AK76" s="15" t="s">
        <v>270</v>
      </c>
      <c r="AL76" s="15" t="s">
        <v>336</v>
      </c>
      <c r="AM76" s="15" t="s">
        <v>336</v>
      </c>
      <c r="AN76" s="15" t="s">
        <v>336</v>
      </c>
      <c r="AO76" s="15" t="s">
        <v>336</v>
      </c>
      <c r="AP76" s="49" t="s">
        <v>336</v>
      </c>
    </row>
    <row r="77" spans="2:42" x14ac:dyDescent="0.25">
      <c r="B77" s="24" t="s">
        <v>11</v>
      </c>
      <c r="H77" s="15" t="s">
        <v>1715</v>
      </c>
      <c r="I77" s="25" t="b">
        <v>1</v>
      </c>
      <c r="J77" s="15" t="b">
        <v>1</v>
      </c>
      <c r="N77" s="15" t="s">
        <v>336</v>
      </c>
      <c r="O77" s="15" t="s">
        <v>336</v>
      </c>
      <c r="Y77" s="15" t="s">
        <v>336</v>
      </c>
      <c r="AI77" s="85" t="s">
        <v>1264</v>
      </c>
      <c r="AJ77" s="86">
        <v>1655</v>
      </c>
      <c r="AK77" s="15" t="s">
        <v>271</v>
      </c>
      <c r="AL77" s="15" t="s">
        <v>336</v>
      </c>
      <c r="AM77" s="15" t="s">
        <v>336</v>
      </c>
      <c r="AN77" s="15" t="s">
        <v>336</v>
      </c>
      <c r="AO77" s="15" t="s">
        <v>336</v>
      </c>
      <c r="AP77" s="49" t="s">
        <v>336</v>
      </c>
    </row>
    <row r="78" spans="2:42" x14ac:dyDescent="0.25">
      <c r="B78" s="24" t="s">
        <v>11</v>
      </c>
      <c r="H78" s="15" t="s">
        <v>1715</v>
      </c>
      <c r="I78" s="25" t="b">
        <v>1</v>
      </c>
      <c r="J78" s="15" t="b">
        <v>1</v>
      </c>
      <c r="N78" s="15" t="s">
        <v>336</v>
      </c>
      <c r="O78" s="15" t="s">
        <v>336</v>
      </c>
      <c r="Y78" s="15" t="s">
        <v>336</v>
      </c>
      <c r="AI78" s="85" t="s">
        <v>1265</v>
      </c>
      <c r="AJ78" s="86">
        <v>1671</v>
      </c>
      <c r="AK78" s="15" t="s">
        <v>273</v>
      </c>
      <c r="AL78" s="15" t="s">
        <v>336</v>
      </c>
      <c r="AM78" s="15" t="s">
        <v>336</v>
      </c>
      <c r="AN78" s="15" t="s">
        <v>336</v>
      </c>
      <c r="AO78" s="15" t="s">
        <v>336</v>
      </c>
      <c r="AP78" s="49" t="s">
        <v>336</v>
      </c>
    </row>
    <row r="79" spans="2:42" x14ac:dyDescent="0.25">
      <c r="B79" s="24" t="s">
        <v>581</v>
      </c>
      <c r="H79" s="15" t="s">
        <v>1715</v>
      </c>
      <c r="I79" s="25" t="b">
        <v>1</v>
      </c>
      <c r="J79" s="15" t="b">
        <v>1</v>
      </c>
      <c r="N79" s="15" t="s">
        <v>336</v>
      </c>
      <c r="O79" s="15" t="s">
        <v>336</v>
      </c>
      <c r="Y79" s="15" t="s">
        <v>336</v>
      </c>
      <c r="AI79" s="85" t="s">
        <v>1266</v>
      </c>
      <c r="AJ79" s="86" t="s">
        <v>1137</v>
      </c>
      <c r="AK79" s="15" t="s">
        <v>274</v>
      </c>
      <c r="AL79" s="15" t="s">
        <v>336</v>
      </c>
      <c r="AM79" s="15" t="s">
        <v>336</v>
      </c>
      <c r="AN79" s="15" t="s">
        <v>336</v>
      </c>
      <c r="AO79" s="15" t="s">
        <v>336</v>
      </c>
      <c r="AP79" s="49" t="s">
        <v>336</v>
      </c>
    </row>
    <row r="80" spans="2:42" x14ac:dyDescent="0.25">
      <c r="B80" s="24" t="s">
        <v>708</v>
      </c>
      <c r="H80" s="15" t="s">
        <v>1715</v>
      </c>
      <c r="I80" s="25" t="b">
        <v>1</v>
      </c>
      <c r="J80" s="15" t="b">
        <v>1</v>
      </c>
      <c r="N80" s="15" t="s">
        <v>336</v>
      </c>
      <c r="O80" s="15" t="s">
        <v>336</v>
      </c>
      <c r="Y80" s="15" t="s">
        <v>336</v>
      </c>
      <c r="AI80" s="85" t="s">
        <v>1267</v>
      </c>
      <c r="AJ80" s="86" t="s">
        <v>1138</v>
      </c>
      <c r="AK80" s="15" t="s">
        <v>275</v>
      </c>
      <c r="AL80" s="15" t="s">
        <v>336</v>
      </c>
      <c r="AM80" s="15" t="s">
        <v>336</v>
      </c>
      <c r="AN80" s="15" t="s">
        <v>336</v>
      </c>
      <c r="AO80" s="15" t="s">
        <v>336</v>
      </c>
      <c r="AP80" s="49" t="s">
        <v>336</v>
      </c>
    </row>
    <row r="81" spans="2:42" x14ac:dyDescent="0.25">
      <c r="B81" s="24" t="s">
        <v>708</v>
      </c>
      <c r="H81" s="15" t="s">
        <v>1715</v>
      </c>
      <c r="I81" s="25" t="b">
        <v>1</v>
      </c>
      <c r="J81" s="15" t="b">
        <v>1</v>
      </c>
      <c r="N81" s="15" t="s">
        <v>336</v>
      </c>
      <c r="O81" s="15" t="s">
        <v>336</v>
      </c>
      <c r="Y81" s="15" t="s">
        <v>336</v>
      </c>
      <c r="AI81" s="85" t="s">
        <v>1268</v>
      </c>
      <c r="AJ81" s="87" t="s">
        <v>1409</v>
      </c>
      <c r="AK81" s="15" t="s">
        <v>276</v>
      </c>
      <c r="AL81" s="15" t="s">
        <v>336</v>
      </c>
      <c r="AM81" s="15" t="s">
        <v>336</v>
      </c>
      <c r="AN81" s="15" t="s">
        <v>336</v>
      </c>
      <c r="AO81" s="15" t="s">
        <v>336</v>
      </c>
      <c r="AP81" s="49" t="s">
        <v>336</v>
      </c>
    </row>
    <row r="82" spans="2:42" x14ac:dyDescent="0.25">
      <c r="B82" s="24" t="s">
        <v>11</v>
      </c>
      <c r="H82" s="15" t="s">
        <v>1715</v>
      </c>
      <c r="I82" s="25" t="b">
        <v>1</v>
      </c>
      <c r="J82" s="15" t="b">
        <v>1</v>
      </c>
      <c r="N82" s="15" t="s">
        <v>336</v>
      </c>
      <c r="O82" s="15" t="s">
        <v>336</v>
      </c>
      <c r="Y82" s="15" t="s">
        <v>336</v>
      </c>
      <c r="AI82" s="85" t="s">
        <v>1269</v>
      </c>
      <c r="AJ82" s="86">
        <v>1716</v>
      </c>
      <c r="AK82" s="15" t="s">
        <v>277</v>
      </c>
      <c r="AL82" s="15" t="s">
        <v>336</v>
      </c>
      <c r="AM82" s="15" t="s">
        <v>336</v>
      </c>
      <c r="AN82" s="15" t="s">
        <v>336</v>
      </c>
      <c r="AO82" s="15" t="s">
        <v>336</v>
      </c>
      <c r="AP82" s="49" t="s">
        <v>336</v>
      </c>
    </row>
    <row r="83" spans="2:42" x14ac:dyDescent="0.25">
      <c r="B83" s="24" t="s">
        <v>518</v>
      </c>
      <c r="H83" s="15" t="s">
        <v>1715</v>
      </c>
      <c r="I83" s="25" t="b">
        <v>1</v>
      </c>
      <c r="J83" s="15" t="b">
        <v>1</v>
      </c>
      <c r="N83" s="15" t="s">
        <v>336</v>
      </c>
      <c r="O83" s="15" t="s">
        <v>336</v>
      </c>
      <c r="Y83" s="15" t="s">
        <v>336</v>
      </c>
      <c r="AI83" s="85" t="s">
        <v>1270</v>
      </c>
      <c r="AJ83" s="86">
        <v>1717</v>
      </c>
      <c r="AK83" s="15" t="s">
        <v>278</v>
      </c>
      <c r="AL83" s="15" t="s">
        <v>336</v>
      </c>
      <c r="AM83" s="15" t="s">
        <v>336</v>
      </c>
      <c r="AN83" s="15" t="s">
        <v>336</v>
      </c>
      <c r="AO83" s="15" t="s">
        <v>336</v>
      </c>
      <c r="AP83" s="49" t="s">
        <v>336</v>
      </c>
    </row>
    <row r="84" spans="2:42" x14ac:dyDescent="0.25">
      <c r="B84" s="24" t="s">
        <v>11</v>
      </c>
      <c r="H84" s="15" t="s">
        <v>1715</v>
      </c>
      <c r="I84" s="25" t="b">
        <v>1</v>
      </c>
      <c r="J84" s="15" t="b">
        <v>1</v>
      </c>
      <c r="N84" s="15" t="s">
        <v>336</v>
      </c>
      <c r="O84" s="15" t="s">
        <v>336</v>
      </c>
      <c r="Y84" s="15" t="s">
        <v>336</v>
      </c>
      <c r="AI84" s="85" t="s">
        <v>1271</v>
      </c>
      <c r="AJ84" s="86" t="s">
        <v>1142</v>
      </c>
      <c r="AK84" s="15" t="s">
        <v>279</v>
      </c>
      <c r="AL84" s="15" t="s">
        <v>336</v>
      </c>
      <c r="AM84" s="15" t="s">
        <v>336</v>
      </c>
      <c r="AN84" s="15" t="s">
        <v>336</v>
      </c>
      <c r="AO84" s="15" t="s">
        <v>336</v>
      </c>
      <c r="AP84" s="49" t="s">
        <v>336</v>
      </c>
    </row>
    <row r="85" spans="2:42" x14ac:dyDescent="0.25">
      <c r="B85" s="24" t="s">
        <v>11</v>
      </c>
      <c r="C85" s="35" t="s">
        <v>1002</v>
      </c>
      <c r="H85" s="15" t="s">
        <v>1715</v>
      </c>
      <c r="I85" s="25" t="b">
        <v>1</v>
      </c>
      <c r="J85" s="15" t="b">
        <v>1</v>
      </c>
      <c r="N85" s="15" t="s">
        <v>336</v>
      </c>
      <c r="O85" s="15" t="s">
        <v>336</v>
      </c>
      <c r="Y85" s="39"/>
      <c r="AI85" s="85" t="s">
        <v>1310</v>
      </c>
      <c r="AJ85" s="86">
        <v>1740</v>
      </c>
      <c r="AK85" s="15" t="s">
        <v>280</v>
      </c>
      <c r="AL85" s="15" t="s">
        <v>336</v>
      </c>
      <c r="AM85" s="15" t="s">
        <v>336</v>
      </c>
      <c r="AN85" s="15" t="s">
        <v>336</v>
      </c>
      <c r="AO85" s="15" t="s">
        <v>336</v>
      </c>
      <c r="AP85" s="49" t="s">
        <v>336</v>
      </c>
    </row>
    <row r="86" spans="2:42" x14ac:dyDescent="0.25">
      <c r="B86" s="24" t="s">
        <v>708</v>
      </c>
      <c r="H86" s="15" t="s">
        <v>1715</v>
      </c>
      <c r="I86" s="25" t="b">
        <v>1</v>
      </c>
      <c r="J86" s="15" t="b">
        <v>1</v>
      </c>
      <c r="N86" s="15" t="s">
        <v>336</v>
      </c>
      <c r="O86" s="15" t="s">
        <v>336</v>
      </c>
      <c r="Y86" s="15" t="s">
        <v>336</v>
      </c>
      <c r="AI86" s="85" t="s">
        <v>1272</v>
      </c>
      <c r="AJ86" s="86">
        <v>1750</v>
      </c>
      <c r="AK86" s="15" t="s">
        <v>281</v>
      </c>
      <c r="AL86" s="15" t="s">
        <v>336</v>
      </c>
      <c r="AM86" s="15" t="s">
        <v>336</v>
      </c>
      <c r="AN86" s="15" t="s">
        <v>336</v>
      </c>
      <c r="AO86" s="15" t="s">
        <v>336</v>
      </c>
      <c r="AP86" s="49" t="s">
        <v>336</v>
      </c>
    </row>
    <row r="87" spans="2:42" x14ac:dyDescent="0.25">
      <c r="B87" s="24" t="s">
        <v>502</v>
      </c>
      <c r="H87" s="15" t="s">
        <v>1715</v>
      </c>
      <c r="I87" s="25" t="b">
        <v>1</v>
      </c>
      <c r="J87" s="15" t="b">
        <v>1</v>
      </c>
      <c r="N87" s="15" t="s">
        <v>336</v>
      </c>
      <c r="O87" s="15" t="s">
        <v>336</v>
      </c>
      <c r="Y87" s="15" t="s">
        <v>336</v>
      </c>
      <c r="AI87" s="85" t="s">
        <v>1274</v>
      </c>
      <c r="AJ87" s="86">
        <v>1797</v>
      </c>
      <c r="AK87" s="15" t="s">
        <v>283</v>
      </c>
      <c r="AL87" s="15" t="s">
        <v>336</v>
      </c>
      <c r="AM87" s="15" t="s">
        <v>336</v>
      </c>
      <c r="AN87" s="15" t="s">
        <v>336</v>
      </c>
      <c r="AO87" s="15" t="s">
        <v>336</v>
      </c>
      <c r="AP87" s="49" t="s">
        <v>336</v>
      </c>
    </row>
    <row r="88" spans="2:42" x14ac:dyDescent="0.25">
      <c r="B88" s="24" t="s">
        <v>557</v>
      </c>
      <c r="H88" s="15" t="s">
        <v>1715</v>
      </c>
      <c r="I88" s="25" t="b">
        <v>1</v>
      </c>
      <c r="J88" s="15" t="b">
        <v>1</v>
      </c>
      <c r="N88" s="15" t="s">
        <v>336</v>
      </c>
      <c r="O88" s="15" t="s">
        <v>336</v>
      </c>
      <c r="Y88" s="15" t="s">
        <v>336</v>
      </c>
      <c r="AI88" s="85" t="s">
        <v>1276</v>
      </c>
      <c r="AJ88" s="86">
        <v>1803</v>
      </c>
      <c r="AK88" s="15" t="s">
        <v>285</v>
      </c>
      <c r="AL88" s="15" t="s">
        <v>336</v>
      </c>
      <c r="AM88" s="15" t="s">
        <v>336</v>
      </c>
      <c r="AN88" s="15" t="s">
        <v>336</v>
      </c>
      <c r="AO88" s="15" t="s">
        <v>336</v>
      </c>
      <c r="AP88" s="49" t="s">
        <v>336</v>
      </c>
    </row>
    <row r="89" spans="2:42" x14ac:dyDescent="0.25">
      <c r="B89" s="24" t="s">
        <v>11</v>
      </c>
      <c r="H89" s="15" t="s">
        <v>1715</v>
      </c>
      <c r="I89" s="25" t="b">
        <v>1</v>
      </c>
      <c r="J89" s="15" t="b">
        <v>1</v>
      </c>
      <c r="N89" s="15" t="s">
        <v>336</v>
      </c>
      <c r="O89" s="15" t="s">
        <v>336</v>
      </c>
      <c r="Y89" s="15" t="s">
        <v>336</v>
      </c>
      <c r="AI89" s="85" t="s">
        <v>1277</v>
      </c>
      <c r="AJ89" s="86">
        <v>1853</v>
      </c>
      <c r="AK89" s="15" t="s">
        <v>290</v>
      </c>
      <c r="AL89" s="15" t="s">
        <v>336</v>
      </c>
      <c r="AM89" s="15" t="s">
        <v>336</v>
      </c>
      <c r="AN89" s="15" t="s">
        <v>336</v>
      </c>
      <c r="AO89" s="15" t="s">
        <v>336</v>
      </c>
      <c r="AP89" s="49" t="s">
        <v>336</v>
      </c>
    </row>
    <row r="90" spans="2:42" x14ac:dyDescent="0.25">
      <c r="B90" s="24" t="s">
        <v>11</v>
      </c>
      <c r="H90" s="15" t="s">
        <v>1715</v>
      </c>
      <c r="I90" s="25" t="b">
        <v>1</v>
      </c>
      <c r="J90" s="15" t="b">
        <v>1</v>
      </c>
      <c r="N90" s="15" t="s">
        <v>336</v>
      </c>
      <c r="O90" s="15" t="s">
        <v>336</v>
      </c>
      <c r="Y90" s="15" t="s">
        <v>336</v>
      </c>
      <c r="AI90" s="85" t="s">
        <v>1278</v>
      </c>
      <c r="AJ90" s="86" t="s">
        <v>1150</v>
      </c>
      <c r="AK90" s="15" t="s">
        <v>291</v>
      </c>
      <c r="AL90" s="15" t="s">
        <v>336</v>
      </c>
      <c r="AM90" s="15" t="s">
        <v>336</v>
      </c>
      <c r="AN90" s="15" t="s">
        <v>336</v>
      </c>
      <c r="AO90" s="15" t="s">
        <v>336</v>
      </c>
      <c r="AP90" s="49" t="s">
        <v>336</v>
      </c>
    </row>
    <row r="91" spans="2:42" ht="38.25" x14ac:dyDescent="0.25">
      <c r="B91" s="24" t="s">
        <v>696</v>
      </c>
      <c r="H91" s="15" t="s">
        <v>1715</v>
      </c>
      <c r="I91" s="25" t="b">
        <v>1</v>
      </c>
      <c r="J91" s="15" t="b">
        <v>1</v>
      </c>
      <c r="N91" s="15" t="s">
        <v>336</v>
      </c>
      <c r="O91" s="15" t="s">
        <v>336</v>
      </c>
      <c r="Y91" s="15" t="s">
        <v>336</v>
      </c>
      <c r="AI91" s="85" t="s">
        <v>1279</v>
      </c>
      <c r="AJ91" s="86">
        <v>1859</v>
      </c>
      <c r="AK91" s="15" t="s">
        <v>293</v>
      </c>
      <c r="AL91" s="15" t="s">
        <v>336</v>
      </c>
      <c r="AM91" s="15" t="s">
        <v>336</v>
      </c>
      <c r="AN91" s="15" t="s">
        <v>336</v>
      </c>
      <c r="AO91" s="15" t="s">
        <v>336</v>
      </c>
      <c r="AP91" s="49" t="s">
        <v>336</v>
      </c>
    </row>
    <row r="92" spans="2:42" x14ac:dyDescent="0.25">
      <c r="B92" s="24" t="s">
        <v>11</v>
      </c>
      <c r="H92" s="15" t="s">
        <v>1715</v>
      </c>
      <c r="I92" s="25" t="b">
        <v>1</v>
      </c>
      <c r="J92" s="15" t="b">
        <v>1</v>
      </c>
      <c r="N92" s="15" t="s">
        <v>336</v>
      </c>
      <c r="O92" s="15" t="s">
        <v>336</v>
      </c>
      <c r="Y92" s="15" t="s">
        <v>336</v>
      </c>
      <c r="AI92" s="85" t="s">
        <v>1280</v>
      </c>
      <c r="AJ92" s="86">
        <v>1861</v>
      </c>
      <c r="AK92" s="15" t="s">
        <v>294</v>
      </c>
      <c r="AL92" s="15" t="s">
        <v>336</v>
      </c>
      <c r="AM92" s="15" t="s">
        <v>336</v>
      </c>
      <c r="AN92" s="15" t="s">
        <v>336</v>
      </c>
      <c r="AO92" s="15" t="s">
        <v>336</v>
      </c>
      <c r="AP92" s="49" t="s">
        <v>336</v>
      </c>
    </row>
    <row r="93" spans="2:42" x14ac:dyDescent="0.25">
      <c r="B93" s="24" t="s">
        <v>557</v>
      </c>
      <c r="H93" s="15" t="s">
        <v>1715</v>
      </c>
      <c r="I93" s="25" t="b">
        <v>1</v>
      </c>
      <c r="J93" s="15" t="b">
        <v>1</v>
      </c>
      <c r="N93" s="15" t="s">
        <v>336</v>
      </c>
      <c r="O93" s="15" t="s">
        <v>336</v>
      </c>
      <c r="Y93" s="15" t="s">
        <v>336</v>
      </c>
      <c r="AI93" s="85" t="s">
        <v>1281</v>
      </c>
      <c r="AJ93" s="86">
        <v>1873</v>
      </c>
      <c r="AK93" s="15" t="s">
        <v>297</v>
      </c>
      <c r="AL93" s="15" t="s">
        <v>336</v>
      </c>
      <c r="AM93" s="15" t="s">
        <v>336</v>
      </c>
      <c r="AN93" s="15" t="s">
        <v>336</v>
      </c>
      <c r="AO93" s="15" t="s">
        <v>336</v>
      </c>
      <c r="AP93" s="49" t="s">
        <v>336</v>
      </c>
    </row>
    <row r="94" spans="2:42" x14ac:dyDescent="0.25">
      <c r="B94" s="24" t="s">
        <v>11</v>
      </c>
      <c r="H94" s="15" t="s">
        <v>1715</v>
      </c>
      <c r="I94" s="25" t="b">
        <v>1</v>
      </c>
      <c r="J94" s="15" t="b">
        <v>1</v>
      </c>
      <c r="N94" s="15" t="s">
        <v>336</v>
      </c>
      <c r="O94" s="15" t="s">
        <v>336</v>
      </c>
      <c r="Y94" s="15" t="s">
        <v>336</v>
      </c>
      <c r="AI94" s="85" t="s">
        <v>1282</v>
      </c>
      <c r="AJ94" s="86">
        <v>1875</v>
      </c>
      <c r="AK94" s="15" t="s">
        <v>298</v>
      </c>
      <c r="AL94" s="15" t="s">
        <v>336</v>
      </c>
      <c r="AM94" s="15" t="s">
        <v>336</v>
      </c>
      <c r="AN94" s="15" t="s">
        <v>336</v>
      </c>
      <c r="AO94" s="15" t="s">
        <v>336</v>
      </c>
      <c r="AP94" s="49" t="s">
        <v>336</v>
      </c>
    </row>
    <row r="95" spans="2:42" x14ac:dyDescent="0.25">
      <c r="B95" s="24" t="s">
        <v>11</v>
      </c>
      <c r="H95" s="15" t="s">
        <v>1715</v>
      </c>
      <c r="I95" s="25" t="b">
        <v>1</v>
      </c>
      <c r="J95" s="15" t="b">
        <v>1</v>
      </c>
      <c r="N95" s="15" t="s">
        <v>336</v>
      </c>
      <c r="O95" s="15" t="s">
        <v>336</v>
      </c>
      <c r="Y95" s="15" t="s">
        <v>336</v>
      </c>
      <c r="AI95" s="85" t="s">
        <v>1284</v>
      </c>
      <c r="AJ95" s="86">
        <v>1888</v>
      </c>
      <c r="AK95" s="15" t="s">
        <v>302</v>
      </c>
      <c r="AL95" s="15" t="s">
        <v>336</v>
      </c>
      <c r="AM95" s="15" t="s">
        <v>336</v>
      </c>
      <c r="AN95" s="15" t="s">
        <v>336</v>
      </c>
      <c r="AO95" s="15" t="s">
        <v>336</v>
      </c>
      <c r="AP95" s="49" t="s">
        <v>336</v>
      </c>
    </row>
    <row r="96" spans="2:42" x14ac:dyDescent="0.25">
      <c r="B96" s="24" t="s">
        <v>651</v>
      </c>
      <c r="H96" s="15" t="s">
        <v>1715</v>
      </c>
      <c r="I96" s="25" t="b">
        <v>1</v>
      </c>
      <c r="J96" s="15" t="b">
        <v>1</v>
      </c>
      <c r="N96" s="15" t="s">
        <v>336</v>
      </c>
      <c r="O96" s="15" t="s">
        <v>336</v>
      </c>
      <c r="Y96" s="15" t="s">
        <v>336</v>
      </c>
      <c r="AI96" s="85" t="s">
        <v>1285</v>
      </c>
      <c r="AJ96" s="86">
        <v>1894</v>
      </c>
      <c r="AK96" s="15" t="s">
        <v>303</v>
      </c>
      <c r="AL96" s="15" t="s">
        <v>336</v>
      </c>
      <c r="AM96" s="15" t="s">
        <v>336</v>
      </c>
      <c r="AN96" s="15" t="s">
        <v>336</v>
      </c>
      <c r="AO96" s="15" t="s">
        <v>336</v>
      </c>
      <c r="AP96" s="49" t="s">
        <v>336</v>
      </c>
    </row>
    <row r="97" spans="2:42" x14ac:dyDescent="0.25">
      <c r="B97" s="24" t="s">
        <v>716</v>
      </c>
      <c r="H97" s="15" t="s">
        <v>1715</v>
      </c>
      <c r="I97" s="25" t="b">
        <v>1</v>
      </c>
      <c r="J97" s="15" t="b">
        <v>1</v>
      </c>
      <c r="N97" s="15" t="s">
        <v>336</v>
      </c>
      <c r="O97" s="15" t="s">
        <v>336</v>
      </c>
      <c r="Y97" s="15" t="s">
        <v>336</v>
      </c>
      <c r="AI97" s="85" t="s">
        <v>1286</v>
      </c>
      <c r="AJ97" s="87" t="s">
        <v>1411</v>
      </c>
      <c r="AK97" s="15" t="s">
        <v>304</v>
      </c>
      <c r="AL97" s="15" t="s">
        <v>336</v>
      </c>
      <c r="AM97" s="15" t="s">
        <v>336</v>
      </c>
      <c r="AN97" s="15" t="s">
        <v>336</v>
      </c>
      <c r="AO97" s="15" t="s">
        <v>336</v>
      </c>
      <c r="AP97" s="49" t="s">
        <v>336</v>
      </c>
    </row>
    <row r="98" spans="2:42" x14ac:dyDescent="0.25">
      <c r="B98" s="24" t="s">
        <v>533</v>
      </c>
      <c r="H98" s="15" t="s">
        <v>1715</v>
      </c>
      <c r="I98" s="25" t="b">
        <v>1</v>
      </c>
      <c r="J98" s="15" t="b">
        <v>1</v>
      </c>
      <c r="N98" s="15" t="s">
        <v>336</v>
      </c>
      <c r="O98" s="15" t="s">
        <v>336</v>
      </c>
      <c r="Y98" s="15" t="s">
        <v>336</v>
      </c>
      <c r="AI98" s="85" t="s">
        <v>1287</v>
      </c>
      <c r="AJ98" s="86" t="s">
        <v>1159</v>
      </c>
      <c r="AK98" s="15" t="s">
        <v>305</v>
      </c>
      <c r="AL98" s="15" t="s">
        <v>336</v>
      </c>
      <c r="AM98" s="15" t="s">
        <v>336</v>
      </c>
      <c r="AN98" s="15" t="s">
        <v>336</v>
      </c>
      <c r="AO98" s="15" t="s">
        <v>336</v>
      </c>
      <c r="AP98" s="49" t="s">
        <v>336</v>
      </c>
    </row>
    <row r="99" spans="2:42" x14ac:dyDescent="0.25">
      <c r="B99" s="24" t="s">
        <v>11</v>
      </c>
      <c r="H99" s="15" t="s">
        <v>1715</v>
      </c>
      <c r="I99" s="25" t="b">
        <v>1</v>
      </c>
      <c r="J99" s="15" t="b">
        <v>1</v>
      </c>
      <c r="N99" s="15" t="s">
        <v>336</v>
      </c>
      <c r="O99" s="15" t="s">
        <v>336</v>
      </c>
      <c r="Y99" s="15" t="s">
        <v>336</v>
      </c>
      <c r="AI99" s="85" t="s">
        <v>1288</v>
      </c>
      <c r="AJ99" s="86">
        <v>1918</v>
      </c>
      <c r="AK99" s="15" t="s">
        <v>307</v>
      </c>
      <c r="AL99" s="15" t="s">
        <v>336</v>
      </c>
      <c r="AM99" s="15" t="s">
        <v>336</v>
      </c>
      <c r="AN99" s="15" t="s">
        <v>336</v>
      </c>
      <c r="AO99" s="15" t="s">
        <v>336</v>
      </c>
      <c r="AP99" s="49" t="s">
        <v>336</v>
      </c>
    </row>
    <row r="100" spans="2:42" x14ac:dyDescent="0.25">
      <c r="B100" s="24" t="s">
        <v>11</v>
      </c>
      <c r="H100" s="15" t="s">
        <v>1715</v>
      </c>
      <c r="I100" s="25" t="b">
        <v>1</v>
      </c>
      <c r="J100" s="15" t="b">
        <v>1</v>
      </c>
      <c r="N100" s="15" t="s">
        <v>336</v>
      </c>
      <c r="O100" s="15" t="s">
        <v>336</v>
      </c>
      <c r="Y100" s="15" t="s">
        <v>336</v>
      </c>
      <c r="AI100" s="85" t="s">
        <v>1289</v>
      </c>
      <c r="AJ100" s="86">
        <v>1924</v>
      </c>
      <c r="AK100" s="15" t="s">
        <v>308</v>
      </c>
      <c r="AL100" s="15" t="s">
        <v>336</v>
      </c>
      <c r="AM100" s="15" t="s">
        <v>336</v>
      </c>
      <c r="AN100" s="15" t="s">
        <v>336</v>
      </c>
      <c r="AO100" s="15" t="s">
        <v>336</v>
      </c>
      <c r="AP100" s="49" t="s">
        <v>336</v>
      </c>
    </row>
    <row r="101" spans="2:42" x14ac:dyDescent="0.25">
      <c r="B101" s="24" t="s">
        <v>552</v>
      </c>
      <c r="H101" s="15" t="s">
        <v>1715</v>
      </c>
      <c r="I101" s="25" t="b">
        <v>1</v>
      </c>
      <c r="J101" s="15" t="b">
        <v>1</v>
      </c>
      <c r="N101" s="15" t="s">
        <v>336</v>
      </c>
      <c r="O101" s="15" t="s">
        <v>336</v>
      </c>
      <c r="Y101" s="15" t="s">
        <v>336</v>
      </c>
      <c r="AI101" s="85" t="s">
        <v>1290</v>
      </c>
      <c r="AJ101" s="87" t="s">
        <v>1162</v>
      </c>
      <c r="AK101" s="15" t="s">
        <v>309</v>
      </c>
      <c r="AL101" s="15" t="s">
        <v>336</v>
      </c>
      <c r="AM101" s="15" t="s">
        <v>336</v>
      </c>
      <c r="AN101" s="15" t="s">
        <v>336</v>
      </c>
      <c r="AO101" s="15" t="s">
        <v>336</v>
      </c>
      <c r="AP101" s="49" t="s">
        <v>336</v>
      </c>
    </row>
    <row r="102" spans="2:42" x14ac:dyDescent="0.25">
      <c r="B102" s="24" t="s">
        <v>518</v>
      </c>
      <c r="H102" s="15" t="s">
        <v>1715</v>
      </c>
      <c r="I102" s="25" t="b">
        <v>1</v>
      </c>
      <c r="J102" s="15" t="b">
        <v>1</v>
      </c>
      <c r="N102" s="15" t="s">
        <v>336</v>
      </c>
      <c r="O102" s="15" t="s">
        <v>336</v>
      </c>
      <c r="Y102" s="15" t="s">
        <v>336</v>
      </c>
      <c r="AI102" s="85" t="s">
        <v>1291</v>
      </c>
      <c r="AJ102" s="86">
        <v>1929</v>
      </c>
      <c r="AK102" s="15" t="s">
        <v>310</v>
      </c>
      <c r="AL102" s="15" t="s">
        <v>336</v>
      </c>
      <c r="AM102" s="15" t="s">
        <v>336</v>
      </c>
      <c r="AN102" s="15" t="s">
        <v>336</v>
      </c>
      <c r="AO102" s="15" t="s">
        <v>336</v>
      </c>
      <c r="AP102" s="49" t="s">
        <v>336</v>
      </c>
    </row>
    <row r="103" spans="2:42" x14ac:dyDescent="0.25">
      <c r="B103" s="24" t="s">
        <v>509</v>
      </c>
      <c r="D103" s="52">
        <v>50.108666599999999</v>
      </c>
      <c r="E103" s="49">
        <v>4.9609611999999998</v>
      </c>
      <c r="F103" s="43" t="s">
        <v>346</v>
      </c>
      <c r="G103" s="78"/>
      <c r="H103" s="44" t="s">
        <v>1715</v>
      </c>
      <c r="I103" s="25" t="b">
        <v>1</v>
      </c>
      <c r="J103" s="15" t="b">
        <v>1</v>
      </c>
      <c r="N103" s="15" t="s">
        <v>347</v>
      </c>
      <c r="O103" s="15" t="s">
        <v>336</v>
      </c>
      <c r="Y103" s="16" t="s">
        <v>336</v>
      </c>
      <c r="Z103" s="16"/>
      <c r="AA103" s="16"/>
      <c r="AB103" s="16"/>
      <c r="AC103" s="16"/>
      <c r="AD103" s="16"/>
      <c r="AE103" s="16"/>
      <c r="AF103" s="16"/>
      <c r="AG103" s="16"/>
      <c r="AH103" s="16"/>
      <c r="AI103" s="85" t="s">
        <v>992</v>
      </c>
      <c r="AJ103" s="86">
        <v>1932</v>
      </c>
      <c r="AK103" s="15" t="s">
        <v>311</v>
      </c>
      <c r="AL103" s="15" t="s">
        <v>336</v>
      </c>
      <c r="AM103" s="15" t="s">
        <v>336</v>
      </c>
      <c r="AN103" s="15" t="s">
        <v>336</v>
      </c>
      <c r="AO103" s="15" t="s">
        <v>336</v>
      </c>
      <c r="AP103" s="49" t="s">
        <v>336</v>
      </c>
    </row>
    <row r="104" spans="2:42" x14ac:dyDescent="0.25">
      <c r="B104" s="24" t="s">
        <v>509</v>
      </c>
      <c r="D104" s="52">
        <v>50.538244800000001</v>
      </c>
      <c r="E104" s="49">
        <v>5.7507225999999996</v>
      </c>
      <c r="F104" s="43" t="s">
        <v>343</v>
      </c>
      <c r="G104" s="78"/>
      <c r="H104" s="44" t="s">
        <v>1715</v>
      </c>
      <c r="I104" s="25" t="b">
        <v>1</v>
      </c>
      <c r="J104" s="15" t="b">
        <v>1</v>
      </c>
      <c r="N104" s="15" t="s">
        <v>344</v>
      </c>
      <c r="O104" s="15" t="s">
        <v>336</v>
      </c>
      <c r="Y104" s="16" t="s">
        <v>336</v>
      </c>
      <c r="Z104" s="16"/>
      <c r="AA104" s="16"/>
      <c r="AB104" s="16"/>
      <c r="AC104" s="16"/>
      <c r="AD104" s="16"/>
      <c r="AE104" s="16"/>
      <c r="AF104" s="16"/>
      <c r="AG104" s="16"/>
      <c r="AH104" s="16"/>
      <c r="AI104" s="85" t="s">
        <v>991</v>
      </c>
      <c r="AJ104" s="86">
        <v>1933</v>
      </c>
      <c r="AK104" s="15" t="s">
        <v>312</v>
      </c>
      <c r="AL104" s="15" t="s">
        <v>336</v>
      </c>
      <c r="AM104" s="15" t="s">
        <v>336</v>
      </c>
      <c r="AN104" s="15" t="s">
        <v>336</v>
      </c>
      <c r="AO104" s="15" t="s">
        <v>336</v>
      </c>
      <c r="AP104" s="49" t="s">
        <v>336</v>
      </c>
    </row>
    <row r="105" spans="2:42" x14ac:dyDescent="0.25">
      <c r="B105" s="24" t="s">
        <v>518</v>
      </c>
      <c r="H105" s="15" t="s">
        <v>1715</v>
      </c>
      <c r="I105" s="25" t="b">
        <v>1</v>
      </c>
      <c r="J105" s="15" t="b">
        <v>1</v>
      </c>
      <c r="N105" s="15" t="s">
        <v>336</v>
      </c>
      <c r="O105" s="15" t="s">
        <v>336</v>
      </c>
      <c r="Y105" s="15" t="s">
        <v>336</v>
      </c>
      <c r="AI105" s="85" t="s">
        <v>1292</v>
      </c>
      <c r="AJ105" s="86">
        <v>1936</v>
      </c>
      <c r="AK105" s="15" t="s">
        <v>313</v>
      </c>
      <c r="AL105" s="15" t="s">
        <v>336</v>
      </c>
      <c r="AM105" s="15" t="s">
        <v>336</v>
      </c>
      <c r="AN105" s="15" t="s">
        <v>336</v>
      </c>
      <c r="AO105" s="15" t="s">
        <v>336</v>
      </c>
      <c r="AP105" s="49" t="s">
        <v>336</v>
      </c>
    </row>
    <row r="106" spans="2:42" x14ac:dyDescent="0.25">
      <c r="B106" s="24" t="s">
        <v>542</v>
      </c>
      <c r="H106" s="15" t="s">
        <v>1715</v>
      </c>
      <c r="I106" s="25" t="b">
        <v>1</v>
      </c>
      <c r="J106" s="15" t="b">
        <v>1</v>
      </c>
      <c r="N106" s="15" t="s">
        <v>336</v>
      </c>
      <c r="O106" s="15" t="s">
        <v>336</v>
      </c>
      <c r="Y106" s="15" t="s">
        <v>336</v>
      </c>
      <c r="AI106" s="85" t="s">
        <v>1293</v>
      </c>
      <c r="AJ106" s="87" t="s">
        <v>1165</v>
      </c>
      <c r="AK106" s="15" t="s">
        <v>314</v>
      </c>
      <c r="AL106" s="15" t="s">
        <v>336</v>
      </c>
      <c r="AM106" s="15" t="s">
        <v>336</v>
      </c>
      <c r="AN106" s="15" t="s">
        <v>336</v>
      </c>
      <c r="AO106" s="15" t="s">
        <v>336</v>
      </c>
      <c r="AP106" s="49" t="s">
        <v>336</v>
      </c>
    </row>
    <row r="107" spans="2:42" x14ac:dyDescent="0.25">
      <c r="B107" s="24" t="s">
        <v>11</v>
      </c>
      <c r="H107" s="15" t="s">
        <v>1715</v>
      </c>
      <c r="I107" s="25" t="b">
        <v>1</v>
      </c>
      <c r="J107" s="15" t="b">
        <v>1</v>
      </c>
      <c r="N107" s="15" t="s">
        <v>336</v>
      </c>
      <c r="O107" s="15" t="s">
        <v>336</v>
      </c>
      <c r="Y107" s="15" t="s">
        <v>336</v>
      </c>
      <c r="AI107" s="85" t="s">
        <v>1294</v>
      </c>
      <c r="AJ107" s="87" t="s">
        <v>1166</v>
      </c>
      <c r="AK107" s="15" t="s">
        <v>315</v>
      </c>
      <c r="AL107" s="15" t="s">
        <v>336</v>
      </c>
      <c r="AM107" s="15" t="s">
        <v>336</v>
      </c>
      <c r="AN107" s="15" t="s">
        <v>336</v>
      </c>
      <c r="AO107" s="15" t="s">
        <v>336</v>
      </c>
      <c r="AP107" s="49" t="s">
        <v>336</v>
      </c>
    </row>
    <row r="108" spans="2:42" x14ac:dyDescent="0.25">
      <c r="B108" s="24" t="s">
        <v>542</v>
      </c>
      <c r="H108" s="15" t="s">
        <v>1715</v>
      </c>
      <c r="I108" s="25" t="b">
        <v>1</v>
      </c>
      <c r="J108" s="15" t="b">
        <v>1</v>
      </c>
      <c r="N108" s="15" t="s">
        <v>336</v>
      </c>
      <c r="O108" s="15" t="s">
        <v>336</v>
      </c>
      <c r="Y108" s="15" t="s">
        <v>336</v>
      </c>
      <c r="AI108" s="85" t="s">
        <v>1296</v>
      </c>
      <c r="AJ108" s="87" t="s">
        <v>1168</v>
      </c>
      <c r="AK108" s="15" t="s">
        <v>317</v>
      </c>
      <c r="AL108" s="15" t="s">
        <v>336</v>
      </c>
      <c r="AM108" s="15" t="s">
        <v>336</v>
      </c>
      <c r="AN108" s="15" t="s">
        <v>336</v>
      </c>
      <c r="AO108" s="15" t="s">
        <v>336</v>
      </c>
      <c r="AP108" s="49" t="s">
        <v>336</v>
      </c>
    </row>
    <row r="109" spans="2:42" x14ac:dyDescent="0.25">
      <c r="B109" s="24" t="s">
        <v>651</v>
      </c>
      <c r="H109" s="15" t="s">
        <v>1715</v>
      </c>
      <c r="I109" s="25" t="b">
        <v>1</v>
      </c>
      <c r="J109" s="15" t="b">
        <v>1</v>
      </c>
      <c r="N109" s="15" t="s">
        <v>336</v>
      </c>
      <c r="O109" s="15" t="s">
        <v>336</v>
      </c>
      <c r="Y109" s="15" t="s">
        <v>336</v>
      </c>
      <c r="AI109" s="85" t="s">
        <v>1297</v>
      </c>
      <c r="AJ109" s="86">
        <v>1943</v>
      </c>
      <c r="AK109" s="15" t="s">
        <v>318</v>
      </c>
      <c r="AL109" s="15" t="s">
        <v>336</v>
      </c>
      <c r="AM109" s="15" t="s">
        <v>336</v>
      </c>
      <c r="AN109" s="15" t="s">
        <v>336</v>
      </c>
      <c r="AO109" s="15" t="s">
        <v>336</v>
      </c>
      <c r="AP109" s="49" t="s">
        <v>336</v>
      </c>
    </row>
    <row r="110" spans="2:42" x14ac:dyDescent="0.25">
      <c r="B110" s="24" t="s">
        <v>552</v>
      </c>
      <c r="H110" s="15" t="s">
        <v>1715</v>
      </c>
      <c r="I110" s="25" t="b">
        <v>1</v>
      </c>
      <c r="J110" s="15" t="b">
        <v>1</v>
      </c>
      <c r="N110" s="15" t="s">
        <v>336</v>
      </c>
      <c r="O110" s="15" t="s">
        <v>336</v>
      </c>
      <c r="Y110" s="15" t="s">
        <v>336</v>
      </c>
      <c r="AI110" s="85" t="s">
        <v>1298</v>
      </c>
      <c r="AJ110" s="86">
        <v>1945</v>
      </c>
      <c r="AK110" s="15" t="s">
        <v>319</v>
      </c>
      <c r="AL110" s="15" t="s">
        <v>336</v>
      </c>
      <c r="AM110" s="15" t="s">
        <v>336</v>
      </c>
      <c r="AN110" s="15" t="s">
        <v>336</v>
      </c>
      <c r="AO110" s="15" t="s">
        <v>336</v>
      </c>
      <c r="AP110" s="49" t="s">
        <v>336</v>
      </c>
    </row>
    <row r="111" spans="2:42" x14ac:dyDescent="0.25">
      <c r="B111" s="24" t="s">
        <v>557</v>
      </c>
      <c r="H111" s="15" t="s">
        <v>1715</v>
      </c>
      <c r="I111" s="25" t="b">
        <v>1</v>
      </c>
      <c r="J111" s="15" t="b">
        <v>1</v>
      </c>
      <c r="N111" s="15" t="s">
        <v>336</v>
      </c>
      <c r="O111" s="15" t="s">
        <v>336</v>
      </c>
      <c r="Y111" s="15" t="s">
        <v>336</v>
      </c>
      <c r="AI111" s="85" t="s">
        <v>1299</v>
      </c>
      <c r="AJ111" s="86">
        <v>1947</v>
      </c>
      <c r="AK111" s="15" t="s">
        <v>320</v>
      </c>
      <c r="AL111" s="15" t="s">
        <v>336</v>
      </c>
      <c r="AM111" s="15" t="s">
        <v>336</v>
      </c>
      <c r="AN111" s="15" t="s">
        <v>336</v>
      </c>
      <c r="AO111" s="15" t="s">
        <v>336</v>
      </c>
      <c r="AP111" s="49" t="s">
        <v>336</v>
      </c>
    </row>
    <row r="112" spans="2:42" x14ac:dyDescent="0.25">
      <c r="B112" s="24" t="s">
        <v>542</v>
      </c>
      <c r="H112" s="15" t="s">
        <v>1715</v>
      </c>
      <c r="I112" s="25" t="b">
        <v>1</v>
      </c>
      <c r="J112" s="15" t="b">
        <v>1</v>
      </c>
      <c r="N112" s="15" t="s">
        <v>336</v>
      </c>
      <c r="O112" s="15" t="s">
        <v>336</v>
      </c>
      <c r="Y112" s="15" t="s">
        <v>336</v>
      </c>
      <c r="AI112" s="85" t="s">
        <v>1300</v>
      </c>
      <c r="AJ112" s="87" t="s">
        <v>1172</v>
      </c>
      <c r="AK112" s="15" t="s">
        <v>321</v>
      </c>
      <c r="AL112" s="15" t="s">
        <v>336</v>
      </c>
      <c r="AM112" s="15" t="s">
        <v>336</v>
      </c>
      <c r="AN112" s="15" t="s">
        <v>336</v>
      </c>
      <c r="AO112" s="15" t="s">
        <v>336</v>
      </c>
      <c r="AP112" s="49" t="s">
        <v>336</v>
      </c>
    </row>
    <row r="113" spans="1:42" x14ac:dyDescent="0.25">
      <c r="B113" s="24" t="s">
        <v>11</v>
      </c>
      <c r="H113" s="15" t="s">
        <v>1715</v>
      </c>
      <c r="I113" s="25" t="b">
        <v>1</v>
      </c>
      <c r="J113" s="15" t="b">
        <v>1</v>
      </c>
      <c r="N113" s="15" t="s">
        <v>336</v>
      </c>
      <c r="O113" s="15" t="s">
        <v>336</v>
      </c>
      <c r="Y113" s="15" t="s">
        <v>336</v>
      </c>
      <c r="AI113" s="85" t="s">
        <v>1301</v>
      </c>
      <c r="AJ113" s="86">
        <v>1951</v>
      </c>
      <c r="AK113" s="15" t="s">
        <v>322</v>
      </c>
      <c r="AL113" s="15" t="s">
        <v>336</v>
      </c>
      <c r="AM113" s="15" t="s">
        <v>336</v>
      </c>
      <c r="AN113" s="15" t="s">
        <v>336</v>
      </c>
      <c r="AO113" s="15" t="s">
        <v>336</v>
      </c>
      <c r="AP113" s="49" t="s">
        <v>336</v>
      </c>
    </row>
    <row r="114" spans="1:42" x14ac:dyDescent="0.25">
      <c r="B114" s="24" t="s">
        <v>11</v>
      </c>
      <c r="H114" s="15" t="s">
        <v>1715</v>
      </c>
      <c r="I114" s="25" t="b">
        <v>1</v>
      </c>
      <c r="J114" s="15" t="b">
        <v>1</v>
      </c>
      <c r="N114" s="15" t="s">
        <v>336</v>
      </c>
      <c r="O114" s="15" t="s">
        <v>336</v>
      </c>
      <c r="Y114" s="15" t="s">
        <v>336</v>
      </c>
      <c r="AI114" s="85" t="s">
        <v>1302</v>
      </c>
      <c r="AJ114" s="86">
        <v>1953</v>
      </c>
      <c r="AK114" s="15" t="s">
        <v>323</v>
      </c>
      <c r="AL114" s="15" t="s">
        <v>336</v>
      </c>
      <c r="AM114" s="15" t="s">
        <v>336</v>
      </c>
      <c r="AN114" s="15" t="s">
        <v>336</v>
      </c>
      <c r="AO114" s="15" t="s">
        <v>336</v>
      </c>
      <c r="AP114" s="49" t="s">
        <v>336</v>
      </c>
    </row>
    <row r="115" spans="1:42" ht="38.25" x14ac:dyDescent="0.25">
      <c r="B115" s="24" t="s">
        <v>696</v>
      </c>
      <c r="H115" s="15" t="s">
        <v>1715</v>
      </c>
      <c r="I115" s="25" t="b">
        <v>1</v>
      </c>
      <c r="J115" s="15" t="b">
        <v>1</v>
      </c>
      <c r="N115" s="15" t="s">
        <v>336</v>
      </c>
      <c r="O115" s="15" t="s">
        <v>336</v>
      </c>
      <c r="Y115" s="15" t="s">
        <v>336</v>
      </c>
      <c r="AI115" s="85" t="s">
        <v>1304</v>
      </c>
      <c r="AJ115" s="86" t="s">
        <v>1176</v>
      </c>
      <c r="AK115" s="15" t="s">
        <v>325</v>
      </c>
      <c r="AL115" s="15" t="s">
        <v>336</v>
      </c>
      <c r="AM115" s="15" t="s">
        <v>336</v>
      </c>
      <c r="AN115" s="15" t="s">
        <v>336</v>
      </c>
      <c r="AO115" s="15" t="s">
        <v>336</v>
      </c>
      <c r="AP115" s="49" t="s">
        <v>336</v>
      </c>
    </row>
    <row r="116" spans="1:42" ht="102" x14ac:dyDescent="0.25">
      <c r="A116" s="14" t="s">
        <v>1322</v>
      </c>
      <c r="B116" s="24" t="s">
        <v>719</v>
      </c>
      <c r="D116" s="52">
        <v>37.204861473063303</v>
      </c>
      <c r="E116" s="49">
        <v>126.81640992516</v>
      </c>
      <c r="F116" s="41" t="s">
        <v>1394</v>
      </c>
      <c r="G116" s="53" t="s">
        <v>1394</v>
      </c>
      <c r="H116" s="15" t="s">
        <v>1715</v>
      </c>
      <c r="I116" s="25" t="b">
        <v>1</v>
      </c>
      <c r="J116" s="15" t="b">
        <v>1</v>
      </c>
      <c r="L116" s="41" t="s">
        <v>1333</v>
      </c>
      <c r="M116" s="55" t="s">
        <v>1742</v>
      </c>
      <c r="N116" s="15" t="s">
        <v>336</v>
      </c>
      <c r="O116" s="15" t="s">
        <v>336</v>
      </c>
      <c r="Y116" s="15" t="s">
        <v>336</v>
      </c>
      <c r="AI116" s="85" t="s">
        <v>1307</v>
      </c>
      <c r="AJ116" s="86">
        <v>1984</v>
      </c>
      <c r="AK116" s="15" t="s">
        <v>330</v>
      </c>
      <c r="AL116" s="15" t="s">
        <v>336</v>
      </c>
      <c r="AM116" s="15" t="s">
        <v>336</v>
      </c>
      <c r="AN116" s="15" t="s">
        <v>336</v>
      </c>
      <c r="AO116" s="15" t="s">
        <v>336</v>
      </c>
      <c r="AP116" s="49" t="s">
        <v>336</v>
      </c>
    </row>
    <row r="117" spans="1:42" ht="51" x14ac:dyDescent="0.25">
      <c r="A117" s="14" t="s">
        <v>1322</v>
      </c>
      <c r="B117" s="24" t="s">
        <v>637</v>
      </c>
      <c r="D117" s="52">
        <v>7.2085798653578497</v>
      </c>
      <c r="E117" s="49">
        <v>7.8115900693840503</v>
      </c>
      <c r="F117" s="24" t="s">
        <v>1042</v>
      </c>
      <c r="G117" s="53" t="s">
        <v>1043</v>
      </c>
      <c r="H117" s="15" t="s">
        <v>1715</v>
      </c>
      <c r="I117" s="25" t="b">
        <v>1</v>
      </c>
      <c r="J117" s="15" t="b">
        <v>1</v>
      </c>
      <c r="L117" s="24" t="s">
        <v>1045</v>
      </c>
      <c r="N117" s="15" t="s">
        <v>1041</v>
      </c>
      <c r="O117" s="15" t="s">
        <v>336</v>
      </c>
      <c r="Y117" s="15" t="s">
        <v>336</v>
      </c>
      <c r="AI117" s="85" t="s">
        <v>1047</v>
      </c>
      <c r="AJ117" s="86" t="s">
        <v>1046</v>
      </c>
      <c r="AK117" s="15" t="s">
        <v>331</v>
      </c>
      <c r="AL117" s="15" t="s">
        <v>336</v>
      </c>
      <c r="AM117" s="15" t="s">
        <v>1044</v>
      </c>
      <c r="AN117" s="15" t="s">
        <v>336</v>
      </c>
      <c r="AO117" s="15" t="s">
        <v>336</v>
      </c>
      <c r="AP117" s="49" t="s">
        <v>336</v>
      </c>
    </row>
    <row r="118" spans="1:42" x14ac:dyDescent="0.25">
      <c r="A118" s="14" t="s">
        <v>1322</v>
      </c>
      <c r="B118" s="24" t="s">
        <v>483</v>
      </c>
      <c r="D118" s="52">
        <v>34.149450392589202</v>
      </c>
      <c r="E118" s="49">
        <v>36.1356779618907</v>
      </c>
      <c r="F118" s="24" t="s">
        <v>1040</v>
      </c>
      <c r="G118" s="53" t="s">
        <v>1040</v>
      </c>
      <c r="H118" s="15" t="s">
        <v>1715</v>
      </c>
      <c r="I118" s="25" t="b">
        <v>1</v>
      </c>
      <c r="J118" s="15" t="b">
        <v>1</v>
      </c>
      <c r="N118" s="15" t="s">
        <v>336</v>
      </c>
      <c r="O118" s="15" t="s">
        <v>336</v>
      </c>
      <c r="Y118" s="15" t="s">
        <v>336</v>
      </c>
      <c r="AI118" s="85" t="s">
        <v>1048</v>
      </c>
      <c r="AJ118" s="86">
        <v>2004</v>
      </c>
      <c r="AK118" s="15" t="s">
        <v>332</v>
      </c>
      <c r="AL118" s="15" t="s">
        <v>336</v>
      </c>
      <c r="AM118" s="15" t="s">
        <v>336</v>
      </c>
      <c r="AN118" s="15" t="s">
        <v>336</v>
      </c>
      <c r="AO118" s="15" t="s">
        <v>336</v>
      </c>
      <c r="AP118" s="49" t="s">
        <v>336</v>
      </c>
    </row>
    <row r="119" spans="1:42" x14ac:dyDescent="0.25">
      <c r="I119" s="25" t="b">
        <v>1</v>
      </c>
      <c r="J119" s="15" t="b">
        <v>1</v>
      </c>
      <c r="O119" s="15" t="s">
        <v>336</v>
      </c>
      <c r="AI119" s="89" t="s">
        <v>1037</v>
      </c>
      <c r="AK119" s="15" t="s">
        <v>336</v>
      </c>
      <c r="AL119" s="15" t="s">
        <v>336</v>
      </c>
      <c r="AM119" s="15" t="s">
        <v>336</v>
      </c>
      <c r="AN119" s="15" t="s">
        <v>336</v>
      </c>
      <c r="AO119" s="15" t="s">
        <v>336</v>
      </c>
      <c r="AP119" s="49" t="s">
        <v>336</v>
      </c>
    </row>
    <row r="120" spans="1:42" x14ac:dyDescent="0.25">
      <c r="I120" s="25" t="b">
        <v>1</v>
      </c>
      <c r="J120" s="15" t="b">
        <v>1</v>
      </c>
      <c r="O120" s="15" t="s">
        <v>336</v>
      </c>
      <c r="AI120" s="89" t="s">
        <v>1038</v>
      </c>
      <c r="AK120" s="15" t="s">
        <v>336</v>
      </c>
      <c r="AL120" s="15" t="s">
        <v>336</v>
      </c>
      <c r="AM120" s="15" t="s">
        <v>336</v>
      </c>
      <c r="AN120" s="15" t="s">
        <v>336</v>
      </c>
      <c r="AO120" s="15" t="s">
        <v>336</v>
      </c>
      <c r="AP120" s="49" t="s">
        <v>336</v>
      </c>
    </row>
    <row r="121" spans="1:42" x14ac:dyDescent="0.25">
      <c r="I121" s="25" t="b">
        <v>1</v>
      </c>
      <c r="J121" s="15" t="b">
        <v>1</v>
      </c>
      <c r="O121" s="15" t="s">
        <v>336</v>
      </c>
      <c r="AI121" s="89" t="s">
        <v>1039</v>
      </c>
      <c r="AK121" s="15" t="s">
        <v>336</v>
      </c>
      <c r="AL121" s="15" t="s">
        <v>336</v>
      </c>
      <c r="AM121" s="15" t="s">
        <v>336</v>
      </c>
      <c r="AN121" s="15" t="s">
        <v>336</v>
      </c>
      <c r="AO121" s="15" t="s">
        <v>336</v>
      </c>
      <c r="AP121" s="49" t="s">
        <v>336</v>
      </c>
    </row>
    <row r="122" spans="1:42" ht="25.5" x14ac:dyDescent="0.25">
      <c r="A122" s="14" t="s">
        <v>1322</v>
      </c>
      <c r="B122" s="24" t="s">
        <v>669</v>
      </c>
      <c r="D122" s="52">
        <v>46.329000000000001</v>
      </c>
      <c r="E122" s="49">
        <v>14.2324</v>
      </c>
      <c r="F122" s="24" t="s">
        <v>1392</v>
      </c>
      <c r="G122" s="53" t="s">
        <v>1388</v>
      </c>
      <c r="I122" s="25" t="b">
        <v>1</v>
      </c>
      <c r="J122" s="15" t="b">
        <v>1</v>
      </c>
      <c r="L122" s="24" t="s">
        <v>1393</v>
      </c>
      <c r="N122" s="15" t="s">
        <v>1391</v>
      </c>
      <c r="O122" s="15" t="s">
        <v>336</v>
      </c>
      <c r="AK122" s="15" t="s">
        <v>336</v>
      </c>
      <c r="AL122" s="15" t="s">
        <v>336</v>
      </c>
      <c r="AM122" s="15" t="s">
        <v>336</v>
      </c>
      <c r="AN122" s="15" t="s">
        <v>336</v>
      </c>
      <c r="AO122" s="15" t="s">
        <v>336</v>
      </c>
    </row>
    <row r="123" spans="1:42" x14ac:dyDescent="0.25">
      <c r="B123" s="24" t="s">
        <v>11</v>
      </c>
      <c r="C123" s="35" t="s">
        <v>1002</v>
      </c>
      <c r="F123" s="24" t="s">
        <v>1396</v>
      </c>
      <c r="I123" s="25" t="b">
        <v>1</v>
      </c>
      <c r="J123" s="15" t="b">
        <v>1</v>
      </c>
      <c r="L123" s="24" t="s">
        <v>1395</v>
      </c>
      <c r="O123" s="15" t="s">
        <v>336</v>
      </c>
      <c r="AK123" s="15" t="s">
        <v>336</v>
      </c>
      <c r="AL123" s="15" t="s">
        <v>336</v>
      </c>
      <c r="AM123" s="15" t="s">
        <v>336</v>
      </c>
      <c r="AN123" s="15" t="s">
        <v>336</v>
      </c>
      <c r="AO123" s="15" t="s">
        <v>336</v>
      </c>
    </row>
    <row r="124" spans="1:42" x14ac:dyDescent="0.25">
      <c r="A124" s="14" t="s">
        <v>1322</v>
      </c>
      <c r="I124" s="25" t="b">
        <v>1</v>
      </c>
      <c r="J124" s="15" t="b">
        <v>1</v>
      </c>
      <c r="O124" s="15" t="s">
        <v>1707</v>
      </c>
      <c r="AI124" s="89" t="s">
        <v>1705</v>
      </c>
      <c r="AK124" s="15" t="s">
        <v>336</v>
      </c>
      <c r="AL124" s="15" t="s">
        <v>336</v>
      </c>
      <c r="AM124" s="15" t="s">
        <v>336</v>
      </c>
      <c r="AN124" s="15" t="s">
        <v>336</v>
      </c>
      <c r="AO124" s="15" t="s">
        <v>336</v>
      </c>
    </row>
  </sheetData>
  <autoFilter ref="A1:AT124" xr:uid="{A598B8B3-DE60-41C5-96BA-7CC5FA9AD3BE}"/>
  <phoneticPr fontId="28" type="noConversion"/>
  <conditionalFormatting sqref="A1:AP1048576">
    <cfRule type="expression" dxfId="16" priority="9">
      <formula>IF($A1="Blocked",TRUE,FALSE)</formula>
    </cfRule>
    <cfRule type="expression" dxfId="15" priority="10">
      <formula>IF($A1="In Progress",TRUE,FALSE)</formula>
    </cfRule>
    <cfRule type="expression" dxfId="14" priority="31">
      <formula>IF($A1="Done",TRUE,FALSE)</formula>
    </cfRule>
  </conditionalFormatting>
  <conditionalFormatting sqref="AI1:AP1048576">
    <cfRule type="expression" dxfId="13"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40625"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1397</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40625"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1036</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1180</v>
      </c>
      <c r="F3" s="1" t="s">
        <v>557</v>
      </c>
    </row>
    <row r="4" spans="1:6" x14ac:dyDescent="0.2">
      <c r="A4" s="1" t="s">
        <v>1309</v>
      </c>
      <c r="B4" s="1" t="s">
        <v>730</v>
      </c>
      <c r="C4" s="1">
        <v>352</v>
      </c>
      <c r="D4" s="1" t="e">
        <f t="shared" si="0"/>
        <v>#VALUE!</v>
      </c>
      <c r="E4" s="1" t="e">
        <v>#VALUE!</v>
      </c>
    </row>
    <row r="5" spans="1:6" x14ac:dyDescent="0.2">
      <c r="A5" s="1" t="str">
        <f t="shared" ref="A5:A59" si="1">E5</f>
        <v>Tindari</v>
      </c>
      <c r="B5" s="1" t="str">
        <f t="shared" ref="B5:B17" si="2">F5</f>
        <v>Italy</v>
      </c>
      <c r="C5" s="1" t="s">
        <v>1061</v>
      </c>
      <c r="D5" s="1" t="e">
        <f t="shared" si="0"/>
        <v>#VALUE!</v>
      </c>
      <c r="E5" s="1" t="s">
        <v>1181</v>
      </c>
      <c r="F5" s="1" t="s">
        <v>11</v>
      </c>
    </row>
    <row r="6" spans="1:6" x14ac:dyDescent="0.2">
      <c r="A6" s="1" t="str">
        <f t="shared" si="1"/>
        <v>Montserrat</v>
      </c>
      <c r="B6" s="1" t="str">
        <f t="shared" si="2"/>
        <v>Spain</v>
      </c>
      <c r="C6" s="1" t="s">
        <v>1062</v>
      </c>
      <c r="D6" s="1" t="e">
        <f t="shared" si="0"/>
        <v>#VALUE!</v>
      </c>
      <c r="E6" s="1" t="s">
        <v>625</v>
      </c>
      <c r="F6" s="1" t="s">
        <v>552</v>
      </c>
    </row>
    <row r="7" spans="1:6" x14ac:dyDescent="0.2">
      <c r="A7" s="1" t="str">
        <f t="shared" si="1"/>
        <v>Walsingham</v>
      </c>
      <c r="B7" s="1" t="str">
        <f t="shared" si="2"/>
        <v>United Kingdom</v>
      </c>
      <c r="C7" s="1" t="s">
        <v>1063</v>
      </c>
      <c r="D7" s="1" t="e">
        <f t="shared" si="0"/>
        <v>#VALUE!</v>
      </c>
      <c r="E7" s="1" t="s">
        <v>1182</v>
      </c>
      <c r="F7" s="1" t="s">
        <v>735</v>
      </c>
    </row>
    <row r="8" spans="1:6" x14ac:dyDescent="0.2">
      <c r="A8" s="1" t="str">
        <f t="shared" si="1"/>
        <v>Montefortino</v>
      </c>
      <c r="B8" s="1" t="str">
        <f t="shared" si="2"/>
        <v>Italy</v>
      </c>
      <c r="C8" s="1" t="s">
        <v>1064</v>
      </c>
      <c r="D8" s="1" t="e">
        <f t="shared" si="0"/>
        <v>#VALUE!</v>
      </c>
      <c r="E8" s="1" t="s">
        <v>1183</v>
      </c>
      <c r="F8" s="1" t="s">
        <v>11</v>
      </c>
    </row>
    <row r="9" spans="1:6" x14ac:dyDescent="0.2">
      <c r="A9" s="1" t="str">
        <f t="shared" si="1"/>
        <v>Foggia</v>
      </c>
      <c r="B9" s="1" t="str">
        <f t="shared" si="2"/>
        <v>Italy</v>
      </c>
      <c r="C9" s="1" t="s">
        <v>1065</v>
      </c>
      <c r="D9" s="1" t="e">
        <f t="shared" si="0"/>
        <v>#VALUE!</v>
      </c>
      <c r="E9" s="1" t="s">
        <v>1184</v>
      </c>
      <c r="F9" s="1" t="s">
        <v>11</v>
      </c>
    </row>
    <row r="10" spans="1:6" x14ac:dyDescent="0.2">
      <c r="A10" s="1" t="str">
        <f t="shared" si="1"/>
        <v>Arras</v>
      </c>
      <c r="B10" s="1" t="str">
        <f t="shared" si="2"/>
        <v>France</v>
      </c>
      <c r="C10" s="1" t="s">
        <v>1066</v>
      </c>
      <c r="D10" s="1" t="e">
        <f t="shared" si="0"/>
        <v>#VALUE!</v>
      </c>
      <c r="E10" s="1" t="s">
        <v>1185</v>
      </c>
      <c r="F10" s="1" t="s">
        <v>557</v>
      </c>
    </row>
    <row r="11" spans="1:6" x14ac:dyDescent="0.2">
      <c r="A11" s="1" t="str">
        <f t="shared" si="1"/>
        <v>Nazaré</v>
      </c>
      <c r="B11" s="1" t="str">
        <f t="shared" si="2"/>
        <v>Portugal</v>
      </c>
      <c r="C11" s="1" t="s">
        <v>1067</v>
      </c>
      <c r="D11" s="1" t="e">
        <f t="shared" si="0"/>
        <v>#VALUE!</v>
      </c>
      <c r="E11" s="1" t="s">
        <v>1186</v>
      </c>
      <c r="F11" s="1" t="s">
        <v>655</v>
      </c>
    </row>
    <row r="12" spans="1:6" x14ac:dyDescent="0.2">
      <c r="A12" s="1" t="str">
        <f t="shared" si="1"/>
        <v>Swieta Lipka</v>
      </c>
      <c r="B12" s="1" t="str">
        <f t="shared" si="2"/>
        <v>Poland</v>
      </c>
      <c r="C12" s="1" t="s">
        <v>1068</v>
      </c>
      <c r="D12" s="1" t="e">
        <f t="shared" si="0"/>
        <v>#VALUE!</v>
      </c>
      <c r="E12" s="1" t="s">
        <v>1187</v>
      </c>
      <c r="F12" s="1" t="s">
        <v>651</v>
      </c>
    </row>
    <row r="13" spans="1:6" x14ac:dyDescent="0.2">
      <c r="A13" s="1" t="str">
        <f t="shared" si="1"/>
        <v>Assisi</v>
      </c>
      <c r="B13" s="1" t="str">
        <f t="shared" si="2"/>
        <v>Italy</v>
      </c>
      <c r="C13" s="1" t="s">
        <v>1069</v>
      </c>
      <c r="D13" s="1" t="e">
        <f t="shared" si="0"/>
        <v>#VALUE!</v>
      </c>
      <c r="E13" s="1" t="s">
        <v>1188</v>
      </c>
      <c r="F13" s="1" t="s">
        <v>11</v>
      </c>
    </row>
    <row r="14" spans="1:6" x14ac:dyDescent="0.2">
      <c r="A14" s="1" t="str">
        <f t="shared" si="1"/>
        <v>Arcos de Valdevez</v>
      </c>
      <c r="B14" s="1" t="str">
        <f t="shared" si="2"/>
        <v>Portugal</v>
      </c>
      <c r="C14" s="1" t="s">
        <v>1070</v>
      </c>
      <c r="D14" s="1" t="e">
        <f t="shared" si="0"/>
        <v>#VALUE!</v>
      </c>
      <c r="E14" s="1" t="s">
        <v>1189</v>
      </c>
      <c r="F14" s="1" t="s">
        <v>655</v>
      </c>
    </row>
    <row r="15" spans="1:6" x14ac:dyDescent="0.2">
      <c r="A15" s="1" t="str">
        <f t="shared" si="1"/>
        <v>Cortes</v>
      </c>
      <c r="B15" s="1" t="str">
        <f t="shared" si="2"/>
        <v>Spain</v>
      </c>
      <c r="C15" s="1" t="s">
        <v>1071</v>
      </c>
      <c r="D15" s="1" t="e">
        <f t="shared" si="0"/>
        <v>#VALUE!</v>
      </c>
      <c r="E15" s="1" t="s">
        <v>1190</v>
      </c>
      <c r="F15" s="1" t="s">
        <v>552</v>
      </c>
    </row>
    <row r="16" spans="1:6" x14ac:dyDescent="0.2">
      <c r="A16" s="1" t="str">
        <f t="shared" si="1"/>
        <v>Florence</v>
      </c>
      <c r="B16" s="1" t="str">
        <f t="shared" si="2"/>
        <v>Italy</v>
      </c>
      <c r="C16" s="1" t="s">
        <v>1072</v>
      </c>
      <c r="D16" s="1" t="e">
        <f t="shared" si="0"/>
        <v>#VALUE!</v>
      </c>
      <c r="E16" s="1" t="s">
        <v>1191</v>
      </c>
      <c r="F16" s="1" t="s">
        <v>11</v>
      </c>
    </row>
    <row r="17" spans="1:6" x14ac:dyDescent="0.2">
      <c r="A17" s="1" t="str">
        <f t="shared" si="1"/>
        <v>Aylesford</v>
      </c>
      <c r="B17" s="1" t="str">
        <f t="shared" si="2"/>
        <v>United Kingdom</v>
      </c>
      <c r="C17" s="1" t="s">
        <v>1073</v>
      </c>
      <c r="D17" s="1" t="e">
        <f t="shared" si="0"/>
        <v>#VALUE!</v>
      </c>
      <c r="E17" s="1" t="s">
        <v>1192</v>
      </c>
      <c r="F17" s="1" t="s">
        <v>735</v>
      </c>
    </row>
    <row r="18" spans="1:6" x14ac:dyDescent="0.2">
      <c r="A18" s="1" t="str">
        <f t="shared" si="1"/>
        <v>Rome (Santa Maria in Via)</v>
      </c>
      <c r="B18" s="1" t="s">
        <v>730</v>
      </c>
      <c r="C18" s="1" t="s">
        <v>1074</v>
      </c>
      <c r="D18" s="1" t="e">
        <f t="shared" si="0"/>
        <v>#VALUE!</v>
      </c>
      <c r="E18" s="1" t="s">
        <v>1308</v>
      </c>
      <c r="F18" s="1" t="s">
        <v>11</v>
      </c>
    </row>
    <row r="19" spans="1:6" x14ac:dyDescent="0.2">
      <c r="A19" s="1" t="str">
        <f t="shared" si="1"/>
        <v>The Holy House of Nazareth at Loreto </v>
      </c>
      <c r="B19" s="1" t="str">
        <f t="shared" ref="B19:B59" si="3">F19</f>
        <v>Italy</v>
      </c>
      <c r="C19" s="1" t="s">
        <v>1075</v>
      </c>
      <c r="D19" s="1" t="e">
        <f t="shared" si="0"/>
        <v>#VALUE!</v>
      </c>
      <c r="E19" s="1" t="s">
        <v>1193</v>
      </c>
      <c r="F19" s="1" t="s">
        <v>11</v>
      </c>
    </row>
    <row r="20" spans="1:6" x14ac:dyDescent="0.2">
      <c r="A20" s="1" t="str">
        <f t="shared" si="1"/>
        <v>Bra</v>
      </c>
      <c r="B20" s="1" t="str">
        <f t="shared" si="3"/>
        <v>Italy</v>
      </c>
      <c r="C20" s="1" t="s">
        <v>1076</v>
      </c>
      <c r="D20" s="1" t="e">
        <f t="shared" si="0"/>
        <v>#VALUE!</v>
      </c>
      <c r="E20" s="1" t="s">
        <v>1194</v>
      </c>
      <c r="F20" s="1" t="s">
        <v>11</v>
      </c>
    </row>
    <row r="21" spans="1:6" x14ac:dyDescent="0.2">
      <c r="A21" s="1" t="str">
        <f t="shared" si="1"/>
        <v>Roverano</v>
      </c>
      <c r="B21" s="1" t="str">
        <f t="shared" si="3"/>
        <v>Italy</v>
      </c>
      <c r="C21" s="1" t="s">
        <v>1077</v>
      </c>
      <c r="D21" s="1" t="e">
        <f t="shared" si="0"/>
        <v>#VALUE!</v>
      </c>
      <c r="E21" s="1" t="s">
        <v>1195</v>
      </c>
      <c r="F21" s="1" t="s">
        <v>11</v>
      </c>
    </row>
    <row r="22" spans="1:6" x14ac:dyDescent="0.2">
      <c r="A22" s="1" t="str">
        <f t="shared" si="1"/>
        <v>Valverdo Di Rezzato</v>
      </c>
      <c r="B22" s="1" t="str">
        <f t="shared" si="3"/>
        <v>Italy</v>
      </c>
      <c r="C22" s="1" t="s">
        <v>1311</v>
      </c>
      <c r="D22" s="1" t="e">
        <f t="shared" si="0"/>
        <v>#VALUE!</v>
      </c>
      <c r="E22" s="1" t="s">
        <v>1196</v>
      </c>
      <c r="F22" s="1" t="s">
        <v>11</v>
      </c>
    </row>
    <row r="23" spans="1:6" x14ac:dyDescent="0.2">
      <c r="A23" s="1" t="str">
        <f t="shared" si="1"/>
        <v>Castel Godego</v>
      </c>
      <c r="B23" s="1" t="str">
        <f t="shared" si="3"/>
        <v>Italy</v>
      </c>
      <c r="C23" s="1" t="s">
        <v>1078</v>
      </c>
      <c r="D23" s="1" t="e">
        <f t="shared" si="0"/>
        <v>#VALUE!</v>
      </c>
      <c r="E23" s="1" t="s">
        <v>1197</v>
      </c>
      <c r="F23" s="1" t="s">
        <v>11</v>
      </c>
    </row>
    <row r="24" spans="1:6" x14ac:dyDescent="0.2">
      <c r="A24" s="1" t="str">
        <f t="shared" si="1"/>
        <v>Cordoba</v>
      </c>
      <c r="B24" s="1" t="str">
        <f t="shared" si="3"/>
        <v>Spain</v>
      </c>
      <c r="C24" s="1" t="s">
        <v>1078</v>
      </c>
      <c r="D24" s="1" t="e">
        <f t="shared" si="0"/>
        <v>#VALUE!</v>
      </c>
      <c r="E24" s="1" t="s">
        <v>1198</v>
      </c>
      <c r="F24" s="1" t="s">
        <v>552</v>
      </c>
    </row>
    <row r="25" spans="1:6" x14ac:dyDescent="0.2">
      <c r="A25" s="1" t="str">
        <f t="shared" si="1"/>
        <v>Monte Berico</v>
      </c>
      <c r="B25" s="1" t="str">
        <f t="shared" si="3"/>
        <v>Italy</v>
      </c>
      <c r="C25" s="1" t="s">
        <v>1079</v>
      </c>
      <c r="D25" s="1" t="e">
        <f t="shared" si="0"/>
        <v>#VALUE!</v>
      </c>
      <c r="E25" s="1" t="s">
        <v>1199</v>
      </c>
      <c r="F25" s="1" t="s">
        <v>11</v>
      </c>
    </row>
    <row r="26" spans="1:6" x14ac:dyDescent="0.2">
      <c r="A26" s="1" t="str">
        <f t="shared" si="1"/>
        <v>Caravaggio</v>
      </c>
      <c r="B26" s="1" t="str">
        <f t="shared" si="3"/>
        <v>Italy</v>
      </c>
      <c r="C26" s="1" t="s">
        <v>1080</v>
      </c>
      <c r="D26" s="1" t="e">
        <f t="shared" si="0"/>
        <v>#VALUE!</v>
      </c>
      <c r="E26" s="1" t="s">
        <v>1200</v>
      </c>
      <c r="F26" s="1" t="s">
        <v>11</v>
      </c>
    </row>
    <row r="27" spans="1:6" x14ac:dyDescent="0.2">
      <c r="A27" s="1" t="str">
        <f t="shared" si="1"/>
        <v>Desenzano Di Albino</v>
      </c>
      <c r="B27" s="1" t="str">
        <f t="shared" si="3"/>
        <v>Italy</v>
      </c>
      <c r="C27" s="1" t="s">
        <v>1081</v>
      </c>
      <c r="D27" s="1" t="e">
        <f t="shared" si="0"/>
        <v>#VALUE!</v>
      </c>
      <c r="E27" s="1" t="s">
        <v>1201</v>
      </c>
      <c r="F27" s="1" t="s">
        <v>11</v>
      </c>
    </row>
    <row r="28" spans="1:6" x14ac:dyDescent="0.2">
      <c r="A28" s="1" t="str">
        <f t="shared" si="1"/>
        <v>Fuerteventura</v>
      </c>
      <c r="B28" s="1" t="str">
        <f t="shared" si="3"/>
        <v>Spain</v>
      </c>
      <c r="C28" s="1" t="s">
        <v>1082</v>
      </c>
      <c r="D28" s="1" t="e">
        <f t="shared" si="0"/>
        <v>#VALUE!</v>
      </c>
      <c r="E28" s="1" t="s">
        <v>1202</v>
      </c>
      <c r="F28" s="1" t="s">
        <v>552</v>
      </c>
    </row>
    <row r="29" spans="1:6" x14ac:dyDescent="0.2">
      <c r="A29" s="1" t="str">
        <f t="shared" si="1"/>
        <v>Sant'Anastasia</v>
      </c>
      <c r="B29" s="1" t="str">
        <f t="shared" si="3"/>
        <v>Italy</v>
      </c>
      <c r="C29" s="1" t="s">
        <v>1312</v>
      </c>
      <c r="D29" s="1" t="e">
        <f t="shared" si="0"/>
        <v>#VALUE!</v>
      </c>
      <c r="E29" s="1" t="s">
        <v>1313</v>
      </c>
      <c r="F29" s="1" t="s">
        <v>11</v>
      </c>
    </row>
    <row r="30" spans="1:6" x14ac:dyDescent="0.2">
      <c r="A30" s="1" t="str">
        <f t="shared" si="1"/>
        <v>Ghisalba</v>
      </c>
      <c r="B30" s="1" t="str">
        <f t="shared" si="3"/>
        <v>Italy</v>
      </c>
      <c r="C30" s="1" t="s">
        <v>1083</v>
      </c>
      <c r="D30" s="1" t="e">
        <f t="shared" si="0"/>
        <v>#VALUE!</v>
      </c>
      <c r="E30" s="1" t="s">
        <v>1203</v>
      </c>
      <c r="F30" s="1" t="s">
        <v>11</v>
      </c>
    </row>
    <row r="31" spans="1:6" x14ac:dyDescent="0.2">
      <c r="A31" s="1" t="str">
        <f t="shared" si="1"/>
        <v>Garlasco</v>
      </c>
      <c r="B31" s="1" t="str">
        <f t="shared" si="3"/>
        <v>Italy</v>
      </c>
      <c r="C31" s="1" t="s">
        <v>1084</v>
      </c>
      <c r="D31" s="1" t="e">
        <f t="shared" si="0"/>
        <v>#VALUE!</v>
      </c>
      <c r="E31" s="1" t="s">
        <v>1204</v>
      </c>
      <c r="F31" s="1" t="s">
        <v>11</v>
      </c>
    </row>
    <row r="32" spans="1:6" x14ac:dyDescent="0.2">
      <c r="A32" s="1" t="str">
        <f t="shared" si="1"/>
        <v>Genazzano</v>
      </c>
      <c r="B32" s="1" t="str">
        <f t="shared" si="3"/>
        <v>Italy</v>
      </c>
      <c r="C32" s="1" t="s">
        <v>1085</v>
      </c>
      <c r="D32" s="1" t="e">
        <f t="shared" si="0"/>
        <v>#VALUE!</v>
      </c>
      <c r="E32" s="1" t="s">
        <v>1205</v>
      </c>
      <c r="F32" s="1" t="s">
        <v>11</v>
      </c>
    </row>
    <row r="33" spans="1:6" x14ac:dyDescent="0.2">
      <c r="A33" s="1" t="str">
        <f t="shared" si="1"/>
        <v>Badia Di Cava</v>
      </c>
      <c r="B33" s="1" t="str">
        <f t="shared" si="3"/>
        <v>Italy</v>
      </c>
      <c r="C33" s="1" t="s">
        <v>1086</v>
      </c>
      <c r="D33" s="1" t="e">
        <f t="shared" si="0"/>
        <v>#VALUE!</v>
      </c>
      <c r="E33" s="1" t="s">
        <v>1206</v>
      </c>
      <c r="F33" s="1" t="s">
        <v>11</v>
      </c>
    </row>
    <row r="34" spans="1:6" x14ac:dyDescent="0.2">
      <c r="A34" s="1" t="str">
        <f t="shared" si="1"/>
        <v>Boccadirio</v>
      </c>
      <c r="B34" s="1" t="str">
        <f t="shared" si="3"/>
        <v>Italy</v>
      </c>
      <c r="C34" s="1" t="s">
        <v>1087</v>
      </c>
      <c r="D34" s="1" t="e">
        <f t="shared" si="0"/>
        <v>#VALUE!</v>
      </c>
      <c r="E34" s="1" t="s">
        <v>1207</v>
      </c>
      <c r="F34" s="1" t="s">
        <v>11</v>
      </c>
    </row>
    <row r="35" spans="1:6" x14ac:dyDescent="0.2">
      <c r="A35" s="1" t="str">
        <f t="shared" si="1"/>
        <v>Teror</v>
      </c>
      <c r="B35" s="1" t="str">
        <f t="shared" si="3"/>
        <v>Spain</v>
      </c>
      <c r="C35" s="1" t="s">
        <v>1088</v>
      </c>
      <c r="D35" s="1" t="e">
        <f t="shared" si="0"/>
        <v>#VALUE!</v>
      </c>
      <c r="E35" s="1" t="s">
        <v>1208</v>
      </c>
      <c r="F35" s="1" t="s">
        <v>552</v>
      </c>
    </row>
    <row r="36" spans="1:6" x14ac:dyDescent="0.2">
      <c r="A36" s="1" t="str">
        <f t="shared" si="1"/>
        <v>Imola</v>
      </c>
      <c r="B36" s="1" t="str">
        <f t="shared" si="3"/>
        <v>Italy</v>
      </c>
      <c r="C36" s="1" t="s">
        <v>1089</v>
      </c>
      <c r="D36" s="1" t="e">
        <f t="shared" si="0"/>
        <v>#VALUE!</v>
      </c>
      <c r="E36" s="1" t="s">
        <v>1209</v>
      </c>
      <c r="F36" s="1" t="s">
        <v>11</v>
      </c>
    </row>
    <row r="37" spans="1:6" x14ac:dyDescent="0.2">
      <c r="A37" s="1" t="str">
        <f t="shared" si="1"/>
        <v>Agres</v>
      </c>
      <c r="B37" s="1" t="str">
        <f t="shared" si="3"/>
        <v>Spain</v>
      </c>
      <c r="C37" s="1" t="s">
        <v>1090</v>
      </c>
      <c r="D37" s="1" t="e">
        <f t="shared" si="0"/>
        <v>#VALUE!</v>
      </c>
      <c r="E37" s="1" t="s">
        <v>1210</v>
      </c>
      <c r="F37" s="1" t="s">
        <v>552</v>
      </c>
    </row>
    <row r="38" spans="1:6" x14ac:dyDescent="0.2">
      <c r="A38" s="1" t="str">
        <f t="shared" si="1"/>
        <v>Pontassieve</v>
      </c>
      <c r="B38" s="1" t="str">
        <f t="shared" si="3"/>
        <v>Italy</v>
      </c>
      <c r="C38" s="1" t="s">
        <v>1090</v>
      </c>
      <c r="D38" s="1" t="e">
        <f t="shared" si="0"/>
        <v>#VALUE!</v>
      </c>
      <c r="E38" s="1" t="s">
        <v>1211</v>
      </c>
      <c r="F38" s="1" t="s">
        <v>11</v>
      </c>
    </row>
    <row r="39" spans="1:6" x14ac:dyDescent="0.2">
      <c r="A39" s="1" t="str">
        <f t="shared" si="1"/>
        <v>Genoa</v>
      </c>
      <c r="B39" s="1" t="str">
        <f t="shared" si="3"/>
        <v>Italy</v>
      </c>
      <c r="C39" s="1" t="s">
        <v>1091</v>
      </c>
      <c r="D39" s="1" t="e">
        <f t="shared" si="0"/>
        <v>#VALUE!</v>
      </c>
      <c r="E39" s="1" t="s">
        <v>1212</v>
      </c>
      <c r="F39" s="1" t="s">
        <v>11</v>
      </c>
    </row>
    <row r="40" spans="1:6" x14ac:dyDescent="0.2">
      <c r="A40" s="1" t="str">
        <f t="shared" si="1"/>
        <v>Trois-Epis</v>
      </c>
      <c r="B40" s="1" t="str">
        <f t="shared" si="3"/>
        <v>France</v>
      </c>
      <c r="C40" s="1" t="s">
        <v>1092</v>
      </c>
      <c r="D40" s="1" t="e">
        <f t="shared" si="0"/>
        <v>#VALUE!</v>
      </c>
      <c r="E40" s="1" t="s">
        <v>1213</v>
      </c>
      <c r="F40" s="1" t="s">
        <v>557</v>
      </c>
    </row>
    <row r="41" spans="1:6" x14ac:dyDescent="0.2">
      <c r="A41" s="1" t="str">
        <f t="shared" si="1"/>
        <v>Gallivaggio</v>
      </c>
      <c r="B41" s="1" t="str">
        <f t="shared" si="3"/>
        <v>Italy</v>
      </c>
      <c r="C41" s="1" t="s">
        <v>1093</v>
      </c>
      <c r="D41" s="1" t="e">
        <f t="shared" si="0"/>
        <v>#VALUE!</v>
      </c>
      <c r="E41" s="1" t="s">
        <v>1214</v>
      </c>
      <c r="F41" s="1" t="s">
        <v>11</v>
      </c>
    </row>
    <row r="42" spans="1:6" x14ac:dyDescent="0.2">
      <c r="A42" s="1" t="str">
        <f t="shared" si="1"/>
        <v>Re</v>
      </c>
      <c r="B42" s="1" t="str">
        <f t="shared" si="3"/>
        <v>Italy</v>
      </c>
      <c r="C42" s="1" t="s">
        <v>1094</v>
      </c>
      <c r="D42" s="1" t="e">
        <f t="shared" si="0"/>
        <v>#VALUE!</v>
      </c>
      <c r="E42" s="1" t="s">
        <v>1215</v>
      </c>
      <c r="F42" s="1" t="s">
        <v>11</v>
      </c>
    </row>
    <row r="43" spans="1:6" x14ac:dyDescent="0.2">
      <c r="A43" s="1" t="str">
        <f t="shared" si="1"/>
        <v>Bettola</v>
      </c>
      <c r="B43" s="1" t="str">
        <f t="shared" si="3"/>
        <v>Italy</v>
      </c>
      <c r="C43" s="1" t="s">
        <v>1095</v>
      </c>
      <c r="D43" s="1" t="e">
        <f t="shared" si="0"/>
        <v>#VALUE!</v>
      </c>
      <c r="E43" s="1" t="s">
        <v>1216</v>
      </c>
      <c r="F43" s="1" t="s">
        <v>11</v>
      </c>
    </row>
    <row r="44" spans="1:6" x14ac:dyDescent="0.2">
      <c r="A44" s="1" t="str">
        <f t="shared" si="1"/>
        <v>Molare</v>
      </c>
      <c r="B44" s="1" t="str">
        <f t="shared" si="3"/>
        <v>Italy</v>
      </c>
      <c r="C44" s="1" t="s">
        <v>1096</v>
      </c>
      <c r="D44" s="1" t="e">
        <f t="shared" si="0"/>
        <v>#VALUE!</v>
      </c>
      <c r="E44" s="1" t="s">
        <v>1217</v>
      </c>
      <c r="F44" s="1" t="s">
        <v>11</v>
      </c>
    </row>
    <row r="45" spans="1:6" x14ac:dyDescent="0.2">
      <c r="A45" s="1" t="str">
        <f t="shared" si="1"/>
        <v>Vailankanni</v>
      </c>
      <c r="B45" s="1" t="str">
        <f t="shared" si="3"/>
        <v>India</v>
      </c>
      <c r="C45" s="1" t="s">
        <v>1096</v>
      </c>
      <c r="D45" s="1" t="e">
        <f t="shared" si="0"/>
        <v>#VALUE!</v>
      </c>
      <c r="E45" s="1" t="s">
        <v>1218</v>
      </c>
      <c r="F45" s="1" t="s">
        <v>2</v>
      </c>
    </row>
    <row r="46" spans="1:6" x14ac:dyDescent="0.2">
      <c r="A46" s="1" t="str">
        <f t="shared" si="1"/>
        <v>Andacollo</v>
      </c>
      <c r="B46" s="1" t="str">
        <f t="shared" si="3"/>
        <v>Chile</v>
      </c>
      <c r="C46" s="1" t="s">
        <v>1096</v>
      </c>
      <c r="D46" s="1" t="e">
        <f t="shared" si="0"/>
        <v>#VALUE!</v>
      </c>
      <c r="E46" s="1" t="s">
        <v>1219</v>
      </c>
      <c r="F46" s="1" t="s">
        <v>531</v>
      </c>
    </row>
    <row r="47" spans="1:6" x14ac:dyDescent="0.2">
      <c r="A47" s="1" t="str">
        <f t="shared" si="1"/>
        <v>Luggau</v>
      </c>
      <c r="B47" s="1" t="str">
        <f t="shared" si="3"/>
        <v>Austria</v>
      </c>
      <c r="C47" s="1" t="s">
        <v>1096</v>
      </c>
      <c r="D47" s="1" t="e">
        <f t="shared" si="0"/>
        <v>#VALUE!</v>
      </c>
      <c r="E47" s="1" t="s">
        <v>1220</v>
      </c>
      <c r="F47" s="1" t="s">
        <v>502</v>
      </c>
    </row>
    <row r="48" spans="1:6" x14ac:dyDescent="0.2">
      <c r="A48" s="1" t="str">
        <f t="shared" si="1"/>
        <v>Tirano</v>
      </c>
      <c r="B48" s="1" t="str">
        <f t="shared" si="3"/>
        <v>Italy</v>
      </c>
      <c r="C48" s="1" t="s">
        <v>1097</v>
      </c>
      <c r="D48" s="1" t="e">
        <f t="shared" si="0"/>
        <v>#VALUE!</v>
      </c>
      <c r="E48" s="1" t="s">
        <v>1221</v>
      </c>
      <c r="F48" s="1" t="s">
        <v>11</v>
      </c>
    </row>
    <row r="49" spans="1:6" x14ac:dyDescent="0.2">
      <c r="A49" s="1" t="str">
        <f t="shared" si="1"/>
        <v>Motta Di Livenza</v>
      </c>
      <c r="B49" s="1" t="str">
        <f t="shared" si="3"/>
        <v>Italy</v>
      </c>
      <c r="C49" s="1" t="s">
        <v>1098</v>
      </c>
      <c r="D49" s="1" t="e">
        <f t="shared" si="0"/>
        <v>#VALUE!</v>
      </c>
      <c r="E49" s="1" t="s">
        <v>1222</v>
      </c>
      <c r="F49" s="1" t="s">
        <v>11</v>
      </c>
    </row>
    <row r="50" spans="1:6" x14ac:dyDescent="0.2">
      <c r="A50" s="1" t="str">
        <f t="shared" si="1"/>
        <v>Peschiera Sul Garda</v>
      </c>
      <c r="B50" s="1" t="str">
        <f t="shared" si="3"/>
        <v>Italy</v>
      </c>
      <c r="C50" s="1" t="s">
        <v>1098</v>
      </c>
      <c r="D50" s="1" t="e">
        <f t="shared" si="0"/>
        <v>#VALUE!</v>
      </c>
      <c r="E50" s="1" t="s">
        <v>1223</v>
      </c>
      <c r="F50" s="1" t="s">
        <v>11</v>
      </c>
    </row>
    <row r="51" spans="1:6" x14ac:dyDescent="0.2">
      <c r="A51" s="1" t="str">
        <f t="shared" si="1"/>
        <v>Bergamo</v>
      </c>
      <c r="B51" s="1" t="str">
        <f t="shared" si="3"/>
        <v>Italy</v>
      </c>
      <c r="C51" s="1" t="s">
        <v>1098</v>
      </c>
      <c r="D51" s="1" t="e">
        <f t="shared" si="0"/>
        <v>#VALUE!</v>
      </c>
      <c r="E51" s="1" t="s">
        <v>1224</v>
      </c>
      <c r="F51" s="1" t="s">
        <v>11</v>
      </c>
    </row>
    <row r="52" spans="1:6" x14ac:dyDescent="0.2">
      <c r="A52" s="1" t="str">
        <f t="shared" si="1"/>
        <v>Rzeszów</v>
      </c>
      <c r="B52" s="1" t="str">
        <f t="shared" si="3"/>
        <v>Poland</v>
      </c>
      <c r="C52" s="1" t="s">
        <v>1099</v>
      </c>
      <c r="D52" s="1" t="e">
        <f t="shared" si="0"/>
        <v>#VALUE!</v>
      </c>
      <c r="E52" s="1" t="s">
        <v>1225</v>
      </c>
      <c r="F52" s="1" t="s">
        <v>651</v>
      </c>
    </row>
    <row r="53" spans="1:6" x14ac:dyDescent="0.2">
      <c r="A53" s="1" t="str">
        <f t="shared" si="1"/>
        <v>Garaison</v>
      </c>
      <c r="B53" s="1" t="str">
        <f t="shared" si="3"/>
        <v>France</v>
      </c>
      <c r="C53" s="1" t="s">
        <v>1100</v>
      </c>
      <c r="D53" s="1" t="e">
        <f t="shared" si="0"/>
        <v>#VALUE!</v>
      </c>
      <c r="E53" s="1" t="s">
        <v>1226</v>
      </c>
      <c r="F53" s="1" t="s">
        <v>557</v>
      </c>
    </row>
    <row r="54" spans="1:6" x14ac:dyDescent="0.2">
      <c r="A54" s="1" t="str">
        <f t="shared" si="1"/>
        <v>Adro</v>
      </c>
      <c r="B54" s="1" t="str">
        <f t="shared" si="3"/>
        <v>Italy</v>
      </c>
      <c r="C54" s="1" t="s">
        <v>1101</v>
      </c>
      <c r="D54" s="1" t="e">
        <f t="shared" si="0"/>
        <v>#VALUE!</v>
      </c>
      <c r="E54" s="1" t="s">
        <v>1227</v>
      </c>
      <c r="F54" s="1" t="s">
        <v>11</v>
      </c>
    </row>
    <row r="55" spans="1:6" x14ac:dyDescent="0.2">
      <c r="A55" s="1" t="str">
        <f t="shared" si="1"/>
        <v>Cotignac</v>
      </c>
      <c r="B55" s="1" t="str">
        <f t="shared" si="3"/>
        <v>France</v>
      </c>
      <c r="C55" s="1" t="s">
        <v>1102</v>
      </c>
      <c r="D55" s="1" t="e">
        <f t="shared" si="0"/>
        <v>#VALUE!</v>
      </c>
      <c r="E55" s="1" t="s">
        <v>1228</v>
      </c>
      <c r="F55" s="1" t="s">
        <v>557</v>
      </c>
    </row>
    <row r="56" spans="1:6" x14ac:dyDescent="0.2">
      <c r="A56" s="1" t="str">
        <f t="shared" si="1"/>
        <v>Cori</v>
      </c>
      <c r="B56" s="1" t="str">
        <f t="shared" si="3"/>
        <v>Italy</v>
      </c>
      <c r="C56" s="1" t="s">
        <v>1103</v>
      </c>
      <c r="D56" s="1" t="e">
        <f t="shared" si="0"/>
        <v>#VALUE!</v>
      </c>
      <c r="E56" s="1" t="s">
        <v>1229</v>
      </c>
      <c r="F56" s="1" t="s">
        <v>11</v>
      </c>
    </row>
    <row r="57" spans="1:6" x14ac:dyDescent="0.2">
      <c r="A57" s="1" t="str">
        <f t="shared" si="1"/>
        <v>Cussanio</v>
      </c>
      <c r="B57" s="1" t="str">
        <f t="shared" si="3"/>
        <v>Italy</v>
      </c>
      <c r="C57" s="1" t="s">
        <v>1103</v>
      </c>
      <c r="D57" s="1" t="e">
        <f t="shared" si="0"/>
        <v>#VALUE!</v>
      </c>
      <c r="E57" s="1" t="s">
        <v>1230</v>
      </c>
      <c r="F57" s="1" t="s">
        <v>11</v>
      </c>
    </row>
    <row r="58" spans="1:6" x14ac:dyDescent="0.2">
      <c r="A58" s="1" t="str">
        <f t="shared" si="1"/>
        <v>Crescentino</v>
      </c>
      <c r="B58" s="1" t="str">
        <f t="shared" si="3"/>
        <v>Italy</v>
      </c>
      <c r="C58" s="1" t="s">
        <v>1104</v>
      </c>
      <c r="D58" s="1" t="e">
        <f t="shared" si="0"/>
        <v>#VALUE!</v>
      </c>
      <c r="E58" s="1" t="s">
        <v>1231</v>
      </c>
      <c r="F58" s="1" t="s">
        <v>11</v>
      </c>
    </row>
    <row r="59" spans="1:6" x14ac:dyDescent="0.2">
      <c r="A59" s="1" t="str">
        <f t="shared" si="1"/>
        <v>Ornavasso</v>
      </c>
      <c r="B59" s="1" t="str">
        <f t="shared" si="3"/>
        <v>Italy</v>
      </c>
      <c r="C59" s="1" t="s">
        <v>1105</v>
      </c>
      <c r="D59" s="1" t="e">
        <f t="shared" si="0"/>
        <v>#VALUE!</v>
      </c>
      <c r="E59" s="1" t="s">
        <v>1232</v>
      </c>
      <c r="F59" s="1" t="s">
        <v>11</v>
      </c>
    </row>
    <row r="60" spans="1:6" x14ac:dyDescent="0.2">
      <c r="A60" s="1" t="s">
        <v>1003</v>
      </c>
      <c r="B60" s="1" t="s">
        <v>630</v>
      </c>
      <c r="C60" s="1">
        <v>1531</v>
      </c>
      <c r="D60" s="1" t="e">
        <f t="shared" si="0"/>
        <v>#VALUE!</v>
      </c>
      <c r="E60" s="1" t="e">
        <v>#VALUE!</v>
      </c>
    </row>
    <row r="61" spans="1:6" x14ac:dyDescent="0.2">
      <c r="A61" s="1" t="str">
        <f t="shared" ref="A61:A72" si="4">E61</f>
        <v>Savona</v>
      </c>
      <c r="B61" s="1" t="str">
        <f t="shared" ref="B61:B72" si="5">F61</f>
        <v>Italy</v>
      </c>
      <c r="C61" s="1" t="s">
        <v>1106</v>
      </c>
      <c r="D61" s="1" t="e">
        <f t="shared" si="0"/>
        <v>#VALUE!</v>
      </c>
      <c r="E61" s="1" t="s">
        <v>1233</v>
      </c>
      <c r="F61" s="1" t="s">
        <v>11</v>
      </c>
    </row>
    <row r="62" spans="1:6" x14ac:dyDescent="0.2">
      <c r="A62" s="1" t="str">
        <f t="shared" si="4"/>
        <v>Sveta Gora</v>
      </c>
      <c r="B62" s="1" t="str">
        <f t="shared" si="5"/>
        <v>Slovenia</v>
      </c>
      <c r="C62" s="1" t="s">
        <v>1107</v>
      </c>
      <c r="D62" s="1" t="e">
        <f t="shared" si="0"/>
        <v>#VALUE!</v>
      </c>
      <c r="E62" s="1" t="s">
        <v>1234</v>
      </c>
      <c r="F62" s="1" t="s">
        <v>669</v>
      </c>
    </row>
    <row r="63" spans="1:6" x14ac:dyDescent="0.2">
      <c r="A63" s="1" t="str">
        <f t="shared" si="4"/>
        <v>Ocotlán</v>
      </c>
      <c r="B63" s="1" t="str">
        <f t="shared" si="5"/>
        <v>Mexico</v>
      </c>
      <c r="C63" s="1" t="s">
        <v>1108</v>
      </c>
      <c r="D63" s="1" t="e">
        <f t="shared" si="0"/>
        <v>#VALUE!</v>
      </c>
      <c r="E63" s="1" t="s">
        <v>1235</v>
      </c>
      <c r="F63" s="1" t="s">
        <v>630</v>
      </c>
    </row>
    <row r="64" spans="1:6" x14ac:dyDescent="0.2">
      <c r="A64" s="1" t="str">
        <f t="shared" si="4"/>
        <v>Vacciago</v>
      </c>
      <c r="B64" s="1" t="str">
        <f t="shared" si="5"/>
        <v>Italy</v>
      </c>
      <c r="C64" s="1" t="s">
        <v>1109</v>
      </c>
      <c r="D64" s="1" t="e">
        <f t="shared" si="0"/>
        <v>#VALUE!</v>
      </c>
      <c r="E64" s="1" t="s">
        <v>1236</v>
      </c>
      <c r="F64" s="1" t="s">
        <v>11</v>
      </c>
    </row>
    <row r="65" spans="1:6" x14ac:dyDescent="0.2">
      <c r="A65" s="1" t="str">
        <f t="shared" si="4"/>
        <v>Pietralba</v>
      </c>
      <c r="B65" s="1" t="str">
        <f t="shared" si="5"/>
        <v>Italy</v>
      </c>
      <c r="C65" s="1" t="s">
        <v>1110</v>
      </c>
      <c r="D65" s="1" t="e">
        <f t="shared" si="0"/>
        <v>#VALUE!</v>
      </c>
      <c r="E65" s="1" t="s">
        <v>1237</v>
      </c>
      <c r="F65" s="1" t="s">
        <v>11</v>
      </c>
    </row>
    <row r="66" spans="1:6" x14ac:dyDescent="0.2">
      <c r="A66" s="1" t="str">
        <f t="shared" si="4"/>
        <v>Corbetta</v>
      </c>
      <c r="B66" s="1" t="str">
        <f t="shared" si="5"/>
        <v>Italy</v>
      </c>
      <c r="C66" s="1" t="s">
        <v>1111</v>
      </c>
      <c r="D66" s="1" t="e">
        <f t="shared" si="0"/>
        <v>#VALUE!</v>
      </c>
      <c r="E66" s="1" t="s">
        <v>1238</v>
      </c>
      <c r="F66" s="1" t="s">
        <v>11</v>
      </c>
    </row>
    <row r="67" spans="1:6" x14ac:dyDescent="0.2">
      <c r="A67" s="1" t="str">
        <f t="shared" si="4"/>
        <v>Arcola</v>
      </c>
      <c r="B67" s="1" t="str">
        <f t="shared" si="5"/>
        <v>Italy</v>
      </c>
      <c r="C67" s="1" t="s">
        <v>1112</v>
      </c>
      <c r="D67" s="1" t="e">
        <f t="shared" ref="D67:D130" si="6">MID(A67,FIND(". ",A67)+2,LEN(A67))</f>
        <v>#VALUE!</v>
      </c>
      <c r="E67" s="1" t="s">
        <v>1239</v>
      </c>
      <c r="F67" s="1" t="s">
        <v>11</v>
      </c>
    </row>
    <row r="68" spans="1:6" x14ac:dyDescent="0.2">
      <c r="A68" s="1" t="str">
        <f t="shared" si="4"/>
        <v>Giulianova</v>
      </c>
      <c r="B68" s="1" t="str">
        <f t="shared" si="5"/>
        <v>Italy</v>
      </c>
      <c r="C68" s="1" t="s">
        <v>1113</v>
      </c>
      <c r="D68" s="1" t="e">
        <f t="shared" si="6"/>
        <v>#VALUE!</v>
      </c>
      <c r="E68" s="1" t="s">
        <v>1240</v>
      </c>
      <c r="F68" s="1" t="s">
        <v>11</v>
      </c>
    </row>
    <row r="69" spans="1:6" x14ac:dyDescent="0.2">
      <c r="A69" s="1" t="str">
        <f t="shared" si="4"/>
        <v>Gerosa</v>
      </c>
      <c r="B69" s="1" t="str">
        <f t="shared" si="5"/>
        <v>Italy</v>
      </c>
      <c r="C69" s="1" t="s">
        <v>1114</v>
      </c>
      <c r="D69" s="1" t="e">
        <f t="shared" si="6"/>
        <v>#VALUE!</v>
      </c>
      <c r="E69" s="1" t="s">
        <v>1241</v>
      </c>
      <c r="F69" s="1" t="s">
        <v>11</v>
      </c>
    </row>
    <row r="70" spans="1:6" x14ac:dyDescent="0.2">
      <c r="A70" s="1" t="str">
        <f t="shared" si="4"/>
        <v>Moncrivello</v>
      </c>
      <c r="B70" s="1" t="str">
        <f t="shared" si="5"/>
        <v>Italy</v>
      </c>
      <c r="C70" s="1" t="s">
        <v>1115</v>
      </c>
      <c r="D70" s="1" t="e">
        <f t="shared" si="6"/>
        <v>#VALUE!</v>
      </c>
      <c r="E70" s="1" t="s">
        <v>1242</v>
      </c>
      <c r="F70" s="1" t="s">
        <v>11</v>
      </c>
    </row>
    <row r="71" spans="1:6" x14ac:dyDescent="0.2">
      <c r="A71" s="1" t="str">
        <f t="shared" si="4"/>
        <v>Gozo</v>
      </c>
      <c r="B71" s="1" t="str">
        <f t="shared" si="5"/>
        <v>Malta</v>
      </c>
      <c r="C71" s="1" t="s">
        <v>1116</v>
      </c>
      <c r="D71" s="1" t="e">
        <f t="shared" si="6"/>
        <v>#VALUE!</v>
      </c>
      <c r="E71" s="1" t="s">
        <v>1243</v>
      </c>
      <c r="F71" s="1" t="s">
        <v>626</v>
      </c>
    </row>
    <row r="72" spans="1:6" x14ac:dyDescent="0.2">
      <c r="A72" s="1" t="str">
        <f t="shared" si="4"/>
        <v>Casalbordino</v>
      </c>
      <c r="B72" s="1" t="str">
        <f t="shared" si="5"/>
        <v>Italy</v>
      </c>
      <c r="C72" s="1" t="s">
        <v>1117</v>
      </c>
      <c r="D72" s="1" t="e">
        <f t="shared" si="6"/>
        <v>#VALUE!</v>
      </c>
      <c r="E72" s="1" t="s">
        <v>1244</v>
      </c>
      <c r="F72" s="1" t="s">
        <v>11</v>
      </c>
    </row>
    <row r="73" spans="1:6" x14ac:dyDescent="0.2">
      <c r="A73" s="1" t="s">
        <v>1050</v>
      </c>
      <c r="B73" s="1" t="s">
        <v>651</v>
      </c>
      <c r="C73" s="1">
        <v>1578</v>
      </c>
      <c r="D73" s="1" t="e">
        <f t="shared" si="6"/>
        <v>#VALUE!</v>
      </c>
      <c r="E73" s="1" t="e">
        <v>#VALUE!</v>
      </c>
    </row>
    <row r="74" spans="1:6" x14ac:dyDescent="0.2">
      <c r="A74" s="1" t="str">
        <f t="shared" ref="A74:A84" si="7">E74</f>
        <v>Lumarzo</v>
      </c>
      <c r="B74" s="1" t="str">
        <f t="shared" ref="B74:B84" si="8">F74</f>
        <v>Italy</v>
      </c>
      <c r="C74" s="1" t="s">
        <v>1118</v>
      </c>
      <c r="D74" s="1" t="e">
        <f t="shared" si="6"/>
        <v>#VALUE!</v>
      </c>
      <c r="E74" s="1" t="s">
        <v>1245</v>
      </c>
      <c r="F74" s="1" t="s">
        <v>11</v>
      </c>
    </row>
    <row r="75" spans="1:6" x14ac:dyDescent="0.2">
      <c r="A75" s="1" t="str">
        <f t="shared" si="7"/>
        <v>Chiquinquirá</v>
      </c>
      <c r="B75" s="1" t="str">
        <f t="shared" si="8"/>
        <v>Colombia</v>
      </c>
      <c r="C75" s="1" t="s">
        <v>1119</v>
      </c>
      <c r="D75" s="1" t="e">
        <f t="shared" si="6"/>
        <v>#VALUE!</v>
      </c>
      <c r="E75" s="1" t="s">
        <v>1246</v>
      </c>
      <c r="F75" s="1" t="s">
        <v>534</v>
      </c>
    </row>
    <row r="76" spans="1:6" x14ac:dyDescent="0.2">
      <c r="A76" s="1" t="str">
        <f t="shared" si="7"/>
        <v>Quinche</v>
      </c>
      <c r="B76" s="1" t="str">
        <f t="shared" si="8"/>
        <v>Ecuador</v>
      </c>
      <c r="C76" s="1" t="s">
        <v>1119</v>
      </c>
      <c r="D76" s="1" t="e">
        <f t="shared" si="6"/>
        <v>#VALUE!</v>
      </c>
      <c r="E76" s="1" t="s">
        <v>1247</v>
      </c>
      <c r="F76" s="1" t="s">
        <v>548</v>
      </c>
    </row>
    <row r="77" spans="1:6" x14ac:dyDescent="0.2">
      <c r="A77" s="1" t="str">
        <f t="shared" si="7"/>
        <v>Quito</v>
      </c>
      <c r="B77" s="1" t="str">
        <f t="shared" si="8"/>
        <v>Ecuador</v>
      </c>
      <c r="C77" s="1" t="s">
        <v>1120</v>
      </c>
      <c r="D77" s="1" t="e">
        <f t="shared" si="6"/>
        <v>#VALUE!</v>
      </c>
      <c r="E77" s="1" t="s">
        <v>1248</v>
      </c>
      <c r="F77" s="1" t="s">
        <v>548</v>
      </c>
    </row>
    <row r="78" spans="1:6" x14ac:dyDescent="0.2">
      <c r="A78" s="1" t="str">
        <f t="shared" si="7"/>
        <v>Rapallo</v>
      </c>
      <c r="B78" s="1" t="str">
        <f t="shared" si="8"/>
        <v>Italy</v>
      </c>
      <c r="C78" s="1" t="s">
        <v>1121</v>
      </c>
      <c r="D78" s="1" t="e">
        <f t="shared" si="6"/>
        <v>#VALUE!</v>
      </c>
      <c r="E78" s="1" t="s">
        <v>1249</v>
      </c>
      <c r="F78" s="1" t="s">
        <v>11</v>
      </c>
    </row>
    <row r="79" spans="1:6" x14ac:dyDescent="0.2">
      <c r="A79" s="1" t="str">
        <f t="shared" si="7"/>
        <v>Bétharram</v>
      </c>
      <c r="B79" s="1" t="str">
        <f t="shared" si="8"/>
        <v>France</v>
      </c>
      <c r="C79" s="1" t="s">
        <v>1122</v>
      </c>
      <c r="D79" s="1" t="e">
        <f t="shared" si="6"/>
        <v>#VALUE!</v>
      </c>
      <c r="E79" s="1" t="s">
        <v>1250</v>
      </c>
      <c r="F79" s="1" t="s">
        <v>557</v>
      </c>
    </row>
    <row r="80" spans="1:6" x14ac:dyDescent="0.2">
      <c r="A80" s="1" t="str">
        <f t="shared" si="7"/>
        <v>Luján</v>
      </c>
      <c r="B80" s="1" t="str">
        <f t="shared" si="8"/>
        <v>Argentina</v>
      </c>
      <c r="C80" s="1" t="s">
        <v>1123</v>
      </c>
      <c r="D80" s="1" t="e">
        <f t="shared" si="6"/>
        <v>#VALUE!</v>
      </c>
      <c r="E80" s="1" t="s">
        <v>1251</v>
      </c>
      <c r="F80" s="1" t="s">
        <v>500</v>
      </c>
    </row>
    <row r="81" spans="1:6" x14ac:dyDescent="0.2">
      <c r="A81" s="1" t="str">
        <f t="shared" si="7"/>
        <v>Caacupé</v>
      </c>
      <c r="B81" s="1" t="str">
        <f t="shared" si="8"/>
        <v>Paraguay</v>
      </c>
      <c r="C81" s="1" t="s">
        <v>1123</v>
      </c>
      <c r="D81" s="1" t="e">
        <f t="shared" si="6"/>
        <v>#VALUE!</v>
      </c>
      <c r="E81" s="1" t="s">
        <v>1252</v>
      </c>
      <c r="F81" s="1" t="s">
        <v>657</v>
      </c>
    </row>
    <row r="82" spans="1:6" x14ac:dyDescent="0.2">
      <c r="A82" s="1" t="str">
        <f t="shared" si="7"/>
        <v>Caysasay</v>
      </c>
      <c r="B82" s="1" t="str">
        <f t="shared" si="8"/>
        <v>Philippines</v>
      </c>
      <c r="C82" s="1" t="s">
        <v>1124</v>
      </c>
      <c r="D82" s="1" t="e">
        <f t="shared" si="6"/>
        <v>#VALUE!</v>
      </c>
      <c r="E82" s="1" t="s">
        <v>1253</v>
      </c>
      <c r="F82" s="1" t="s">
        <v>649</v>
      </c>
    </row>
    <row r="83" spans="1:6" x14ac:dyDescent="0.2">
      <c r="A83" s="1" t="str">
        <f t="shared" si="7"/>
        <v>Doroszló</v>
      </c>
      <c r="B83" s="1" t="str">
        <f t="shared" si="8"/>
        <v>Serbia</v>
      </c>
      <c r="C83" s="1" t="s">
        <v>1124</v>
      </c>
      <c r="D83" s="1" t="e">
        <f t="shared" si="6"/>
        <v>#VALUE!</v>
      </c>
      <c r="E83" s="1" t="s">
        <v>1254</v>
      </c>
      <c r="F83" s="1" t="s">
        <v>661</v>
      </c>
    </row>
    <row r="84" spans="1:6" x14ac:dyDescent="0.2">
      <c r="A84" s="1" t="str">
        <f t="shared" si="7"/>
        <v>Ardesio</v>
      </c>
      <c r="B84" s="1" t="str">
        <f t="shared" si="8"/>
        <v>Italy</v>
      </c>
      <c r="C84" s="1" t="s">
        <v>1125</v>
      </c>
      <c r="D84" s="1" t="e">
        <f t="shared" si="6"/>
        <v>#VALUE!</v>
      </c>
      <c r="E84" s="1" t="s">
        <v>1255</v>
      </c>
      <c r="F84" s="1" t="s">
        <v>11</v>
      </c>
    </row>
    <row r="85" spans="1:6" x14ac:dyDescent="0.2">
      <c r="A85" s="1" t="s">
        <v>1004</v>
      </c>
      <c r="B85" s="1" t="s">
        <v>607</v>
      </c>
      <c r="C85" s="1">
        <v>1608</v>
      </c>
      <c r="D85" s="1" t="e">
        <f t="shared" si="6"/>
        <v>#VALUE!</v>
      </c>
      <c r="E85" s="1" t="e">
        <v>#VALUE!</v>
      </c>
    </row>
    <row r="86" spans="1:6" x14ac:dyDescent="0.2">
      <c r="A86" s="1" t="str">
        <f t="shared" ref="A86:A95" si="9">E86</f>
        <v>Manaoag</v>
      </c>
      <c r="B86" s="1" t="str">
        <f t="shared" ref="B86:B95" si="10">F86</f>
        <v>Philippines</v>
      </c>
      <c r="C86" s="1" t="s">
        <v>1126</v>
      </c>
      <c r="D86" s="1" t="e">
        <f t="shared" si="6"/>
        <v>#VALUE!</v>
      </c>
      <c r="E86" s="1" t="s">
        <v>1256</v>
      </c>
      <c r="F86" s="1" t="s">
        <v>649</v>
      </c>
    </row>
    <row r="87" spans="1:6" x14ac:dyDescent="0.2">
      <c r="A87" s="1" t="str">
        <f t="shared" si="9"/>
        <v>El Cobre</v>
      </c>
      <c r="B87" s="1" t="str">
        <f t="shared" si="10"/>
        <v>Cuba</v>
      </c>
      <c r="C87" s="1" t="s">
        <v>1127</v>
      </c>
      <c r="D87" s="1" t="e">
        <f t="shared" si="6"/>
        <v>#VALUE!</v>
      </c>
      <c r="E87" s="1" t="s">
        <v>1314</v>
      </c>
      <c r="F87" s="1" t="s">
        <v>536</v>
      </c>
    </row>
    <row r="88" spans="1:6" x14ac:dyDescent="0.2">
      <c r="A88" s="1" t="str">
        <f t="shared" si="9"/>
        <v>San Salvatore Monferrato</v>
      </c>
      <c r="B88" s="1" t="str">
        <f t="shared" si="10"/>
        <v>Italy</v>
      </c>
      <c r="C88" s="1" t="s">
        <v>1128</v>
      </c>
      <c r="D88" s="1" t="e">
        <f t="shared" si="6"/>
        <v>#VALUE!</v>
      </c>
      <c r="E88" s="1" t="s">
        <v>1257</v>
      </c>
      <c r="F88" s="1" t="s">
        <v>11</v>
      </c>
    </row>
    <row r="89" spans="1:6" x14ac:dyDescent="0.2">
      <c r="A89" s="1" t="str">
        <f t="shared" si="9"/>
        <v>Marbach</v>
      </c>
      <c r="B89" s="1" t="str">
        <f t="shared" si="10"/>
        <v>Austria</v>
      </c>
      <c r="C89" s="1" t="s">
        <v>1129</v>
      </c>
      <c r="D89" s="1" t="e">
        <f t="shared" si="6"/>
        <v>#VALUE!</v>
      </c>
      <c r="E89" s="1" t="s">
        <v>1258</v>
      </c>
      <c r="F89" s="1" t="s">
        <v>502</v>
      </c>
    </row>
    <row r="90" spans="1:6" x14ac:dyDescent="0.2">
      <c r="A90" s="1" t="str">
        <f t="shared" si="9"/>
        <v>Cartago</v>
      </c>
      <c r="B90" s="1" t="str">
        <f t="shared" si="10"/>
        <v>Costa Rica</v>
      </c>
      <c r="C90" s="1" t="s">
        <v>1130</v>
      </c>
      <c r="D90" s="1" t="e">
        <f t="shared" si="6"/>
        <v>#VALUE!</v>
      </c>
      <c r="E90" s="1" t="s">
        <v>1259</v>
      </c>
      <c r="F90" s="1" t="s">
        <v>535</v>
      </c>
    </row>
    <row r="91" spans="1:6" x14ac:dyDescent="0.2">
      <c r="A91" s="1" t="str">
        <f t="shared" si="9"/>
        <v>Kevelaer</v>
      </c>
      <c r="B91" s="1" t="str">
        <f t="shared" si="10"/>
        <v>Germany</v>
      </c>
      <c r="C91" s="1" t="s">
        <v>1131</v>
      </c>
      <c r="D91" s="1" t="e">
        <f t="shared" si="6"/>
        <v>#VALUE!</v>
      </c>
      <c r="E91" s="1" t="s">
        <v>1260</v>
      </c>
      <c r="F91" s="1" t="s">
        <v>542</v>
      </c>
    </row>
    <row r="92" spans="1:6" x14ac:dyDescent="0.2">
      <c r="A92" s="1" t="str">
        <f t="shared" si="9"/>
        <v>Plantées</v>
      </c>
      <c r="B92" s="1" t="str">
        <f t="shared" si="10"/>
        <v>France</v>
      </c>
      <c r="C92" s="1" t="s">
        <v>1132</v>
      </c>
      <c r="D92" s="1" t="e">
        <f t="shared" si="6"/>
        <v>#VALUE!</v>
      </c>
      <c r="E92" s="1" t="s">
        <v>1261</v>
      </c>
      <c r="F92" s="1" t="s">
        <v>557</v>
      </c>
    </row>
    <row r="93" spans="1:6" x14ac:dyDescent="0.2">
      <c r="A93" s="1" t="str">
        <f t="shared" si="9"/>
        <v>Guanare</v>
      </c>
      <c r="B93" s="1" t="str">
        <f t="shared" si="10"/>
        <v>Venezuela</v>
      </c>
      <c r="C93" s="1" t="s">
        <v>1133</v>
      </c>
      <c r="D93" s="1" t="e">
        <f t="shared" si="6"/>
        <v>#VALUE!</v>
      </c>
      <c r="E93" s="1" t="s">
        <v>1262</v>
      </c>
      <c r="F93" s="1" t="s">
        <v>716</v>
      </c>
    </row>
    <row r="94" spans="1:6" x14ac:dyDescent="0.2">
      <c r="A94" s="1" t="str">
        <f t="shared" si="9"/>
        <v>La Prenessaye</v>
      </c>
      <c r="B94" s="1" t="str">
        <f t="shared" si="10"/>
        <v>France</v>
      </c>
      <c r="C94" s="1" t="s">
        <v>1134</v>
      </c>
      <c r="D94" s="1" t="e">
        <f t="shared" si="6"/>
        <v>#VALUE!</v>
      </c>
      <c r="E94" s="1" t="s">
        <v>1263</v>
      </c>
      <c r="F94" s="1" t="s">
        <v>557</v>
      </c>
    </row>
    <row r="95" spans="1:6" x14ac:dyDescent="0.2">
      <c r="A95" s="1" t="str">
        <f t="shared" si="9"/>
        <v>Pieve Di Tagliamento</v>
      </c>
      <c r="B95" s="1" t="str">
        <f t="shared" si="10"/>
        <v>Italy</v>
      </c>
      <c r="C95" s="1" t="s">
        <v>1135</v>
      </c>
      <c r="D95" s="1" t="e">
        <f t="shared" si="6"/>
        <v>#VALUE!</v>
      </c>
      <c r="E95" s="1" t="s">
        <v>1264</v>
      </c>
      <c r="F95" s="1" t="s">
        <v>11</v>
      </c>
    </row>
    <row r="96" spans="1:6" x14ac:dyDescent="0.2">
      <c r="A96" s="1" t="s">
        <v>1007</v>
      </c>
      <c r="B96" s="1" t="s">
        <v>557</v>
      </c>
      <c r="C96" s="1" t="s">
        <v>1010</v>
      </c>
      <c r="D96" s="1" t="e">
        <f t="shared" si="6"/>
        <v>#VALUE!</v>
      </c>
      <c r="E96" s="1" t="e">
        <v>#VALUE!</v>
      </c>
    </row>
    <row r="97" spans="1:6" x14ac:dyDescent="0.2">
      <c r="A97" s="1" t="str">
        <f t="shared" ref="A97:A109" si="11">E97</f>
        <v>San Bartolomeo Al Mare</v>
      </c>
      <c r="B97" s="1" t="str">
        <f t="shared" ref="B97:B103" si="12">F97</f>
        <v>Italy</v>
      </c>
      <c r="C97" s="1" t="s">
        <v>1136</v>
      </c>
      <c r="D97" s="1" t="e">
        <f t="shared" si="6"/>
        <v>#VALUE!</v>
      </c>
      <c r="E97" s="1" t="s">
        <v>1265</v>
      </c>
      <c r="F97" s="1" t="s">
        <v>11</v>
      </c>
    </row>
    <row r="98" spans="1:6" x14ac:dyDescent="0.2">
      <c r="A98" s="1" t="str">
        <f t="shared" si="11"/>
        <v>Máriapócs and Gyõr</v>
      </c>
      <c r="B98" s="1" t="str">
        <f t="shared" si="12"/>
        <v>Hungary</v>
      </c>
      <c r="C98" s="1" t="s">
        <v>1137</v>
      </c>
      <c r="D98" s="1" t="e">
        <f t="shared" si="6"/>
        <v>#VALUE!</v>
      </c>
      <c r="E98" s="1" t="s">
        <v>1266</v>
      </c>
      <c r="F98" s="1" t="s">
        <v>581</v>
      </c>
    </row>
    <row r="99" spans="1:6" x14ac:dyDescent="0.2">
      <c r="A99" s="1" t="str">
        <f t="shared" si="11"/>
        <v>Cotoca</v>
      </c>
      <c r="B99" s="1" t="str">
        <f t="shared" si="12"/>
        <v>Bolivia</v>
      </c>
      <c r="C99" s="1" t="s">
        <v>1138</v>
      </c>
      <c r="D99" s="1" t="e">
        <f t="shared" si="6"/>
        <v>#VALUE!</v>
      </c>
      <c r="E99" s="1" t="s">
        <v>1267</v>
      </c>
      <c r="F99" s="1" t="s">
        <v>708</v>
      </c>
    </row>
    <row r="100" spans="1:6" x14ac:dyDescent="0.2">
      <c r="A100" s="1" t="str">
        <f t="shared" si="11"/>
        <v>Quillacollo</v>
      </c>
      <c r="B100" s="1" t="str">
        <f t="shared" si="12"/>
        <v>Bolivia</v>
      </c>
      <c r="C100" s="1" t="s">
        <v>1139</v>
      </c>
      <c r="D100" s="1" t="e">
        <f t="shared" si="6"/>
        <v>#VALUE!</v>
      </c>
      <c r="E100" s="1" t="s">
        <v>1268</v>
      </c>
      <c r="F100" s="1" t="s">
        <v>708</v>
      </c>
    </row>
    <row r="101" spans="1:6" x14ac:dyDescent="0.2">
      <c r="A101" s="1" t="str">
        <f t="shared" si="11"/>
        <v>Pellestrina</v>
      </c>
      <c r="B101" s="1" t="str">
        <f t="shared" si="12"/>
        <v>Italy</v>
      </c>
      <c r="C101" s="1" t="s">
        <v>1140</v>
      </c>
      <c r="D101" s="1" t="e">
        <f t="shared" si="6"/>
        <v>#VALUE!</v>
      </c>
      <c r="E101" s="1" t="s">
        <v>1269</v>
      </c>
      <c r="F101" s="1" t="s">
        <v>11</v>
      </c>
    </row>
    <row r="102" spans="1:6" x14ac:dyDescent="0.2">
      <c r="A102" s="1" t="str">
        <f t="shared" si="11"/>
        <v>Vale Do Paraíba</v>
      </c>
      <c r="B102" s="1" t="str">
        <f t="shared" si="12"/>
        <v>Brazil</v>
      </c>
      <c r="C102" s="1" t="s">
        <v>1141</v>
      </c>
      <c r="D102" s="1" t="e">
        <f t="shared" si="6"/>
        <v>#VALUE!</v>
      </c>
      <c r="E102" s="1" t="s">
        <v>1270</v>
      </c>
      <c r="F102" s="1" t="s">
        <v>518</v>
      </c>
    </row>
    <row r="103" spans="1:6" x14ac:dyDescent="0.2">
      <c r="A103" s="1" t="str">
        <f t="shared" si="11"/>
        <v>Montagnaga Di Pine’</v>
      </c>
      <c r="B103" s="1" t="str">
        <f t="shared" si="12"/>
        <v>Italy</v>
      </c>
      <c r="C103" s="1" t="s">
        <v>1142</v>
      </c>
      <c r="D103" s="1" t="e">
        <f t="shared" si="6"/>
        <v>#VALUE!</v>
      </c>
      <c r="E103" s="1" t="s">
        <v>1271</v>
      </c>
      <c r="F103" s="1" t="s">
        <v>11</v>
      </c>
    </row>
    <row r="104" spans="1:6" x14ac:dyDescent="0.2">
      <c r="A104" s="1" t="str">
        <f t="shared" si="11"/>
        <v>Rome (Our Lady of Divine Love)</v>
      </c>
      <c r="B104" s="1" t="s">
        <v>730</v>
      </c>
      <c r="C104" s="1" t="s">
        <v>1143</v>
      </c>
      <c r="D104" s="1" t="e">
        <f t="shared" si="6"/>
        <v>#VALUE!</v>
      </c>
      <c r="E104" s="1" t="s">
        <v>1310</v>
      </c>
      <c r="F104" s="1" t="s">
        <v>11</v>
      </c>
    </row>
    <row r="105" spans="1:6" x14ac:dyDescent="0.2">
      <c r="A105" s="1" t="str">
        <f t="shared" si="11"/>
        <v>Chaguaya</v>
      </c>
      <c r="B105" s="1" t="str">
        <f>F105</f>
        <v>Bolivia</v>
      </c>
      <c r="C105" s="1" t="s">
        <v>1144</v>
      </c>
      <c r="D105" s="1" t="e">
        <f t="shared" si="6"/>
        <v>#VALUE!</v>
      </c>
      <c r="E105" s="1" t="s">
        <v>1272</v>
      </c>
      <c r="F105" s="1" t="s">
        <v>708</v>
      </c>
    </row>
    <row r="106" spans="1:6" x14ac:dyDescent="0.2">
      <c r="A106" s="1" t="str">
        <f t="shared" si="11"/>
        <v>Las Lajas</v>
      </c>
      <c r="B106" s="1" t="str">
        <f>F106</f>
        <v>Colombia</v>
      </c>
      <c r="C106" s="1" t="s">
        <v>1145</v>
      </c>
      <c r="D106" s="1" t="e">
        <f t="shared" si="6"/>
        <v>#VALUE!</v>
      </c>
      <c r="E106" s="1" t="s">
        <v>1273</v>
      </c>
      <c r="F106" s="1" t="s">
        <v>534</v>
      </c>
    </row>
    <row r="107" spans="1:6" x14ac:dyDescent="0.2">
      <c r="A107" s="1" t="str">
        <f t="shared" si="11"/>
        <v>Absam</v>
      </c>
      <c r="B107" s="1" t="str">
        <f>F107</f>
        <v>Austria</v>
      </c>
      <c r="C107" s="1" t="s">
        <v>1146</v>
      </c>
      <c r="D107" s="1" t="e">
        <f t="shared" si="6"/>
        <v>#VALUE!</v>
      </c>
      <c r="E107" s="1" t="s">
        <v>1274</v>
      </c>
      <c r="F107" s="1" t="s">
        <v>502</v>
      </c>
    </row>
    <row r="108" spans="1:6" x14ac:dyDescent="0.2">
      <c r="A108" s="1" t="str">
        <f t="shared" si="11"/>
        <v>La Vang</v>
      </c>
      <c r="B108" s="1" t="str">
        <f>F108</f>
        <v>Vietnam</v>
      </c>
      <c r="C108" s="1" t="s">
        <v>1147</v>
      </c>
      <c r="D108" s="1" t="e">
        <f t="shared" si="6"/>
        <v>#VALUE!</v>
      </c>
      <c r="E108" s="1" t="s">
        <v>1275</v>
      </c>
      <c r="F108" s="1" t="s">
        <v>740</v>
      </c>
    </row>
    <row r="109" spans="1:6" x14ac:dyDescent="0.2">
      <c r="A109" s="1" t="str">
        <f t="shared" si="11"/>
        <v>Ornans</v>
      </c>
      <c r="B109" s="1" t="str">
        <f>F109</f>
        <v>France</v>
      </c>
      <c r="C109" s="1" t="s">
        <v>1148</v>
      </c>
      <c r="D109" s="1" t="e">
        <f t="shared" si="6"/>
        <v>#VALUE!</v>
      </c>
      <c r="E109" s="1" t="s">
        <v>1276</v>
      </c>
      <c r="F109" s="1" t="s">
        <v>557</v>
      </c>
    </row>
    <row r="110" spans="1:6" x14ac:dyDescent="0.2">
      <c r="A110" s="1" t="s">
        <v>1019</v>
      </c>
      <c r="B110" s="1" t="s">
        <v>651</v>
      </c>
      <c r="C110" s="1" t="s">
        <v>1020</v>
      </c>
      <c r="D110" s="1" t="e">
        <f t="shared" si="6"/>
        <v>#VALUE!</v>
      </c>
      <c r="E110" s="1" t="e">
        <v>#VALUE!</v>
      </c>
    </row>
    <row r="111" spans="1:6" x14ac:dyDescent="0.2">
      <c r="A111" s="1" t="s">
        <v>1023</v>
      </c>
      <c r="B111" s="1" t="s">
        <v>731</v>
      </c>
      <c r="C111" s="1">
        <v>1830</v>
      </c>
      <c r="D111" s="1" t="e">
        <f t="shared" si="6"/>
        <v>#VALUE!</v>
      </c>
      <c r="E111" s="1" t="e">
        <v>#VALUE!</v>
      </c>
    </row>
    <row r="112" spans="1:6" x14ac:dyDescent="0.2">
      <c r="A112" s="1" t="s">
        <v>1002</v>
      </c>
      <c r="B112" s="1" t="s">
        <v>730</v>
      </c>
      <c r="C112" s="1">
        <v>1842</v>
      </c>
      <c r="D112" s="1" t="e">
        <f t="shared" si="6"/>
        <v>#VALUE!</v>
      </c>
      <c r="E112" s="1" t="e">
        <v>#VALUE!</v>
      </c>
    </row>
    <row r="113" spans="1:6" x14ac:dyDescent="0.2">
      <c r="A113" s="1" t="s">
        <v>1024</v>
      </c>
      <c r="B113" s="1" t="s">
        <v>557</v>
      </c>
      <c r="C113" s="1">
        <v>1846</v>
      </c>
      <c r="D113" s="1" t="e">
        <f t="shared" si="6"/>
        <v>#VALUE!</v>
      </c>
      <c r="E113" s="1" t="e">
        <v>#VALUE!</v>
      </c>
    </row>
    <row r="114" spans="1:6" x14ac:dyDescent="0.2">
      <c r="A114" s="1" t="str">
        <f>E114</f>
        <v>Cerreto Di Sorano</v>
      </c>
      <c r="B114" s="1" t="str">
        <f>F114</f>
        <v>Italy</v>
      </c>
      <c r="C114" s="1" t="s">
        <v>1149</v>
      </c>
      <c r="D114" s="1" t="e">
        <f t="shared" si="6"/>
        <v>#VALUE!</v>
      </c>
      <c r="E114" s="1" t="s">
        <v>1277</v>
      </c>
      <c r="F114" s="1" t="s">
        <v>11</v>
      </c>
    </row>
    <row r="115" spans="1:6" x14ac:dyDescent="0.2">
      <c r="A115" s="1" t="str">
        <f>E115</f>
        <v>Porzus Degli Slavi</v>
      </c>
      <c r="B115" s="1" t="str">
        <f>F115</f>
        <v>Italy</v>
      </c>
      <c r="C115" s="1" t="s">
        <v>1150</v>
      </c>
      <c r="D115" s="1" t="e">
        <f t="shared" si="6"/>
        <v>#VALUE!</v>
      </c>
      <c r="E115" s="1" t="s">
        <v>1278</v>
      </c>
      <c r="F115" s="1" t="s">
        <v>11</v>
      </c>
    </row>
    <row r="116" spans="1:6" x14ac:dyDescent="0.2">
      <c r="A116" s="1" t="s">
        <v>997</v>
      </c>
      <c r="B116" s="1" t="s">
        <v>557</v>
      </c>
      <c r="C116" s="1">
        <v>1858</v>
      </c>
      <c r="D116" s="1" t="e">
        <f t="shared" si="6"/>
        <v>#VALUE!</v>
      </c>
      <c r="E116" s="1" t="e">
        <v>#VALUE!</v>
      </c>
    </row>
    <row r="117" spans="1:6" x14ac:dyDescent="0.2">
      <c r="A117" s="1" t="str">
        <f>E117</f>
        <v>Champion</v>
      </c>
      <c r="B117" s="1" t="str">
        <f>F117</f>
        <v>United States of America</v>
      </c>
      <c r="C117" s="1" t="s">
        <v>1151</v>
      </c>
      <c r="D117" s="1" t="e">
        <f t="shared" si="6"/>
        <v>#VALUE!</v>
      </c>
      <c r="E117" s="1" t="s">
        <v>1279</v>
      </c>
      <c r="F117" s="1" t="s">
        <v>696</v>
      </c>
    </row>
    <row r="118" spans="1:6" x14ac:dyDescent="0.2">
      <c r="A118" s="1" t="str">
        <f>E118</f>
        <v>Montefalco</v>
      </c>
      <c r="B118" s="1" t="str">
        <f>F118</f>
        <v>Italy</v>
      </c>
      <c r="C118" s="1" t="s">
        <v>1152</v>
      </c>
      <c r="D118" s="1" t="e">
        <f t="shared" si="6"/>
        <v>#VALUE!</v>
      </c>
      <c r="E118" s="1" t="s">
        <v>1280</v>
      </c>
      <c r="F118" s="1" t="s">
        <v>11</v>
      </c>
    </row>
    <row r="119" spans="1:6" x14ac:dyDescent="0.2">
      <c r="A119" s="1" t="s">
        <v>995</v>
      </c>
      <c r="B119" s="1" t="s">
        <v>541</v>
      </c>
      <c r="C119" s="1">
        <v>1866</v>
      </c>
      <c r="D119" s="1" t="e">
        <f t="shared" si="6"/>
        <v>#VALUE!</v>
      </c>
      <c r="E119" s="1" t="e">
        <v>#VALUE!</v>
      </c>
    </row>
    <row r="120" spans="1:6" x14ac:dyDescent="0.2">
      <c r="A120" s="1" t="s">
        <v>996</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1153</v>
      </c>
      <c r="D121" s="1" t="e">
        <f t="shared" si="6"/>
        <v>#VALUE!</v>
      </c>
      <c r="E121" s="1" t="s">
        <v>1281</v>
      </c>
      <c r="F121" s="1" t="s">
        <v>557</v>
      </c>
    </row>
    <row r="122" spans="1:6" x14ac:dyDescent="0.2">
      <c r="A122" s="1" t="str">
        <f t="shared" si="13"/>
        <v>Pompei</v>
      </c>
      <c r="B122" s="1" t="str">
        <f t="shared" si="13"/>
        <v>Italy</v>
      </c>
      <c r="C122" s="1" t="s">
        <v>1154</v>
      </c>
      <c r="D122" s="1" t="e">
        <f t="shared" si="6"/>
        <v>#VALUE!</v>
      </c>
      <c r="E122" s="1" t="s">
        <v>1282</v>
      </c>
      <c r="F122" s="1" t="s">
        <v>11</v>
      </c>
    </row>
    <row r="123" spans="1:6" x14ac:dyDescent="0.2">
      <c r="A123" s="1" t="str">
        <f t="shared" si="13"/>
        <v>Pellovoisin</v>
      </c>
      <c r="B123" s="1" t="str">
        <f t="shared" si="13"/>
        <v>France</v>
      </c>
      <c r="C123" s="1" t="s">
        <v>1155</v>
      </c>
      <c r="D123" s="1" t="e">
        <f t="shared" si="6"/>
        <v>#VALUE!</v>
      </c>
      <c r="E123" s="1" t="s">
        <v>1283</v>
      </c>
      <c r="F123" s="1" t="s">
        <v>557</v>
      </c>
    </row>
    <row r="124" spans="1:6" x14ac:dyDescent="0.2">
      <c r="A124" s="1" t="s">
        <v>994</v>
      </c>
      <c r="B124" s="1" t="s">
        <v>651</v>
      </c>
      <c r="C124" s="1">
        <v>1877</v>
      </c>
      <c r="D124" s="1" t="e">
        <f t="shared" si="6"/>
        <v>#VALUE!</v>
      </c>
      <c r="E124" s="1" t="e">
        <v>#VALUE!</v>
      </c>
    </row>
    <row r="125" spans="1:6" x14ac:dyDescent="0.2">
      <c r="A125" s="1" t="s">
        <v>993</v>
      </c>
      <c r="B125" s="1" t="s">
        <v>583</v>
      </c>
      <c r="C125" s="1">
        <v>1879</v>
      </c>
      <c r="D125" s="1" t="e">
        <f t="shared" si="6"/>
        <v>#VALUE!</v>
      </c>
      <c r="E125" s="1" t="e">
        <v>#VALUE!</v>
      </c>
    </row>
    <row r="126" spans="1:6" x14ac:dyDescent="0.2">
      <c r="A126" s="1" t="str">
        <f t="shared" ref="A126:B129" si="14">E126</f>
        <v>Castelpetroso</v>
      </c>
      <c r="B126" s="1" t="str">
        <f t="shared" si="14"/>
        <v>Italy</v>
      </c>
      <c r="C126" s="1" t="s">
        <v>1156</v>
      </c>
      <c r="D126" s="1" t="e">
        <f t="shared" si="6"/>
        <v>#VALUE!</v>
      </c>
      <c r="E126" s="1" t="s">
        <v>1284</v>
      </c>
      <c r="F126" s="1" t="s">
        <v>11</v>
      </c>
    </row>
    <row r="127" spans="1:6" x14ac:dyDescent="0.2">
      <c r="A127" s="1" t="str">
        <f t="shared" si="14"/>
        <v>Szczyrk</v>
      </c>
      <c r="B127" s="1" t="str">
        <f t="shared" si="14"/>
        <v>Poland</v>
      </c>
      <c r="C127" s="1" t="s">
        <v>1157</v>
      </c>
      <c r="D127" s="1" t="e">
        <f t="shared" si="6"/>
        <v>#VALUE!</v>
      </c>
      <c r="E127" s="1" t="s">
        <v>1285</v>
      </c>
      <c r="F127" s="1" t="s">
        <v>651</v>
      </c>
    </row>
    <row r="128" spans="1:6" x14ac:dyDescent="0.2">
      <c r="A128" s="1" t="str">
        <f t="shared" si="14"/>
        <v>Betania</v>
      </c>
      <c r="B128" s="1" t="str">
        <f t="shared" si="14"/>
        <v>Venezuela</v>
      </c>
      <c r="C128" s="1" t="s">
        <v>1158</v>
      </c>
      <c r="D128" s="1" t="e">
        <f t="shared" si="6"/>
        <v>#VALUE!</v>
      </c>
      <c r="E128" s="1" t="s">
        <v>1286</v>
      </c>
      <c r="F128" s="1" t="s">
        <v>716</v>
      </c>
    </row>
    <row r="129" spans="1:6" x14ac:dyDescent="0.2">
      <c r="A129" s="1" t="str">
        <f t="shared" si="14"/>
        <v>Dong Lu</v>
      </c>
      <c r="B129" s="1" t="str">
        <f t="shared" si="14"/>
        <v>China</v>
      </c>
      <c r="C129" s="1" t="s">
        <v>1159</v>
      </c>
      <c r="D129" s="1" t="e">
        <f t="shared" si="6"/>
        <v>#VALUE!</v>
      </c>
      <c r="E129" s="1" t="s">
        <v>1287</v>
      </c>
      <c r="F129" s="1" t="s">
        <v>533</v>
      </c>
    </row>
    <row r="130" spans="1:6" x14ac:dyDescent="0.2">
      <c r="A130" s="1" t="s">
        <v>725</v>
      </c>
      <c r="B130" s="1" t="s">
        <v>655</v>
      </c>
      <c r="C130" s="1">
        <v>1916</v>
      </c>
      <c r="D130" s="1" t="e">
        <f t="shared" si="6"/>
        <v>#VALUE!</v>
      </c>
      <c r="E130" s="1" t="e">
        <v>#VALUE!</v>
      </c>
    </row>
    <row r="131" spans="1:6" x14ac:dyDescent="0.2">
      <c r="A131" s="1" t="str">
        <f t="shared" ref="A131:B134" si="15">E131</f>
        <v>Turin</v>
      </c>
      <c r="B131" s="1" t="str">
        <f t="shared" si="15"/>
        <v>Italy</v>
      </c>
      <c r="C131" s="1" t="s">
        <v>1160</v>
      </c>
      <c r="D131" s="1" t="e">
        <f t="shared" ref="D131:D154" si="16">MID(A131,FIND(". ",A131)+2,LEN(A131))</f>
        <v>#VALUE!</v>
      </c>
      <c r="E131" s="1" t="s">
        <v>1288</v>
      </c>
      <c r="F131" s="1" t="s">
        <v>11</v>
      </c>
    </row>
    <row r="132" spans="1:6" x14ac:dyDescent="0.2">
      <c r="A132" s="1" t="str">
        <f t="shared" si="15"/>
        <v>Cernusco Sul Naviglio</v>
      </c>
      <c r="B132" s="1" t="str">
        <f t="shared" si="15"/>
        <v>Italy</v>
      </c>
      <c r="C132" s="1" t="s">
        <v>1161</v>
      </c>
      <c r="D132" s="1" t="e">
        <f t="shared" si="16"/>
        <v>#VALUE!</v>
      </c>
      <c r="E132" s="1" t="s">
        <v>1289</v>
      </c>
      <c r="F132" s="1" t="s">
        <v>11</v>
      </c>
    </row>
    <row r="133" spans="1:6" x14ac:dyDescent="0.2">
      <c r="A133" s="1" t="str">
        <f t="shared" si="15"/>
        <v>Pontevedra and Tuy</v>
      </c>
      <c r="B133" s="1" t="str">
        <f t="shared" si="15"/>
        <v>Spain</v>
      </c>
      <c r="C133" s="1" t="s">
        <v>1162</v>
      </c>
      <c r="D133" s="1" t="e">
        <f t="shared" si="16"/>
        <v>#VALUE!</v>
      </c>
      <c r="E133" s="1" t="s">
        <v>1290</v>
      </c>
      <c r="F133" s="1" t="s">
        <v>552</v>
      </c>
    </row>
    <row r="134" spans="1:6" x14ac:dyDescent="0.2">
      <c r="A134" s="1" t="str">
        <f t="shared" si="15"/>
        <v>Campiñas</v>
      </c>
      <c r="B134" s="1" t="str">
        <f t="shared" si="15"/>
        <v>Brazil</v>
      </c>
      <c r="C134" s="1" t="s">
        <v>1163</v>
      </c>
      <c r="D134" s="1" t="e">
        <f t="shared" si="16"/>
        <v>#VALUE!</v>
      </c>
      <c r="E134" s="1" t="s">
        <v>1291</v>
      </c>
      <c r="F134" s="1" t="s">
        <v>518</v>
      </c>
    </row>
    <row r="135" spans="1:6" x14ac:dyDescent="0.2">
      <c r="A135" s="1" t="s">
        <v>992</v>
      </c>
      <c r="B135" s="1" t="s">
        <v>509</v>
      </c>
      <c r="C135" s="1">
        <v>1932</v>
      </c>
      <c r="D135" s="1" t="e">
        <f t="shared" si="16"/>
        <v>#VALUE!</v>
      </c>
      <c r="E135" s="1" t="e">
        <v>#VALUE!</v>
      </c>
    </row>
    <row r="136" spans="1:6" x14ac:dyDescent="0.2">
      <c r="A136" s="1" t="s">
        <v>991</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1164</v>
      </c>
      <c r="D137" s="1" t="e">
        <f t="shared" si="16"/>
        <v>#VALUE!</v>
      </c>
      <c r="E137" s="1" t="s">
        <v>1292</v>
      </c>
      <c r="F137" s="1" t="s">
        <v>518</v>
      </c>
    </row>
    <row r="138" spans="1:6" x14ac:dyDescent="0.2">
      <c r="A138" s="1" t="str">
        <f t="shared" si="17"/>
        <v>Heede</v>
      </c>
      <c r="B138" s="1" t="str">
        <f t="shared" si="18"/>
        <v>Germany</v>
      </c>
      <c r="C138" s="1" t="s">
        <v>1165</v>
      </c>
      <c r="D138" s="1" t="e">
        <f t="shared" si="16"/>
        <v>#VALUE!</v>
      </c>
      <c r="E138" s="1" t="s">
        <v>1293</v>
      </c>
      <c r="F138" s="1" t="s">
        <v>542</v>
      </c>
    </row>
    <row r="139" spans="1:6" x14ac:dyDescent="0.2">
      <c r="A139" s="1" t="str">
        <f t="shared" si="17"/>
        <v>Milan</v>
      </c>
      <c r="B139" s="1" t="str">
        <f t="shared" si="18"/>
        <v>Italy</v>
      </c>
      <c r="C139" s="1" t="s">
        <v>1166</v>
      </c>
      <c r="D139" s="1" t="e">
        <f t="shared" si="16"/>
        <v>#VALUE!</v>
      </c>
      <c r="E139" s="1" t="s">
        <v>1294</v>
      </c>
      <c r="F139" s="1" t="s">
        <v>11</v>
      </c>
    </row>
    <row r="140" spans="1:6" x14ac:dyDescent="0.2">
      <c r="A140" s="1" t="str">
        <f t="shared" si="17"/>
        <v>Kallikulam</v>
      </c>
      <c r="B140" s="1" t="str">
        <f t="shared" si="18"/>
        <v>India</v>
      </c>
      <c r="C140" s="1" t="s">
        <v>1167</v>
      </c>
      <c r="D140" s="1" t="e">
        <f t="shared" si="16"/>
        <v>#VALUE!</v>
      </c>
      <c r="E140" s="1" t="s">
        <v>1295</v>
      </c>
      <c r="F140" s="1" t="s">
        <v>2</v>
      </c>
    </row>
    <row r="141" spans="1:6" x14ac:dyDescent="0.2">
      <c r="A141" s="1" t="str">
        <f t="shared" si="17"/>
        <v>Pfaffenhofen Marienfried</v>
      </c>
      <c r="B141" s="1" t="str">
        <f t="shared" si="18"/>
        <v>Germany</v>
      </c>
      <c r="C141" s="1" t="s">
        <v>1168</v>
      </c>
      <c r="D141" s="1" t="e">
        <f t="shared" si="16"/>
        <v>#VALUE!</v>
      </c>
      <c r="E141" s="1" t="s">
        <v>1296</v>
      </c>
      <c r="F141" s="1" t="s">
        <v>542</v>
      </c>
    </row>
    <row r="142" spans="1:6" x14ac:dyDescent="0.2">
      <c r="A142" s="1" t="str">
        <f t="shared" si="17"/>
        <v>Siekierki</v>
      </c>
      <c r="B142" s="1" t="str">
        <f t="shared" si="18"/>
        <v>Poland</v>
      </c>
      <c r="C142" s="1" t="s">
        <v>1169</v>
      </c>
      <c r="D142" s="1" t="e">
        <f t="shared" si="16"/>
        <v>#VALUE!</v>
      </c>
      <c r="E142" s="1" t="s">
        <v>1297</v>
      </c>
      <c r="F142" s="1" t="s">
        <v>651</v>
      </c>
    </row>
    <row r="143" spans="1:6" x14ac:dyDescent="0.2">
      <c r="A143" s="1" t="str">
        <f t="shared" si="17"/>
        <v>La Codosera</v>
      </c>
      <c r="B143" s="1" t="str">
        <f t="shared" si="18"/>
        <v>Spain</v>
      </c>
      <c r="C143" s="1" t="s">
        <v>1170</v>
      </c>
      <c r="D143" s="1" t="e">
        <f t="shared" si="16"/>
        <v>#VALUE!</v>
      </c>
      <c r="E143" s="1" t="s">
        <v>1298</v>
      </c>
      <c r="F143" s="1" t="s">
        <v>552</v>
      </c>
    </row>
    <row r="144" spans="1:6" x14ac:dyDescent="0.2">
      <c r="A144" s="1" t="str">
        <f t="shared" si="17"/>
        <v>Île-Bouchard</v>
      </c>
      <c r="B144" s="1" t="str">
        <f t="shared" si="18"/>
        <v>France</v>
      </c>
      <c r="C144" s="1" t="s">
        <v>1171</v>
      </c>
      <c r="D144" s="1" t="e">
        <f t="shared" si="16"/>
        <v>#VALUE!</v>
      </c>
      <c r="E144" s="1" t="s">
        <v>1299</v>
      </c>
      <c r="F144" s="1" t="s">
        <v>557</v>
      </c>
    </row>
    <row r="145" spans="1:6" x14ac:dyDescent="0.2">
      <c r="A145" s="1" t="str">
        <f t="shared" si="17"/>
        <v>Heroldsbach</v>
      </c>
      <c r="B145" s="1" t="str">
        <f t="shared" si="18"/>
        <v>Germany</v>
      </c>
      <c r="C145" s="1" t="s">
        <v>1172</v>
      </c>
      <c r="D145" s="1" t="e">
        <f t="shared" si="16"/>
        <v>#VALUE!</v>
      </c>
      <c r="E145" s="1" t="s">
        <v>1300</v>
      </c>
      <c r="F145" s="1" t="s">
        <v>542</v>
      </c>
    </row>
    <row r="146" spans="1:6" x14ac:dyDescent="0.2">
      <c r="A146" s="1" t="str">
        <f t="shared" si="17"/>
        <v>Rogorotto</v>
      </c>
      <c r="B146" s="1" t="str">
        <f t="shared" si="18"/>
        <v>Italy</v>
      </c>
      <c r="C146" s="1" t="s">
        <v>1173</v>
      </c>
      <c r="D146" s="1" t="e">
        <f t="shared" si="16"/>
        <v>#VALUE!</v>
      </c>
      <c r="E146" s="1" t="s">
        <v>1301</v>
      </c>
      <c r="F146" s="1" t="s">
        <v>11</v>
      </c>
    </row>
    <row r="147" spans="1:6" x14ac:dyDescent="0.2">
      <c r="A147" s="1" t="str">
        <f t="shared" si="17"/>
        <v>Syracuse</v>
      </c>
      <c r="B147" s="1" t="str">
        <f t="shared" si="18"/>
        <v>Italy</v>
      </c>
      <c r="C147" s="1" t="s">
        <v>1174</v>
      </c>
      <c r="D147" s="1" t="e">
        <f t="shared" si="16"/>
        <v>#VALUE!</v>
      </c>
      <c r="E147" s="1" t="s">
        <v>1302</v>
      </c>
      <c r="F147" s="1" t="s">
        <v>11</v>
      </c>
    </row>
    <row r="148" spans="1:6" x14ac:dyDescent="0.2">
      <c r="A148" s="1" t="str">
        <f t="shared" si="17"/>
        <v>Ngome</v>
      </c>
      <c r="B148" s="1" t="str">
        <f t="shared" si="18"/>
        <v>South Africa</v>
      </c>
      <c r="C148" s="1" t="s">
        <v>1175</v>
      </c>
      <c r="D148" s="1" t="e">
        <f t="shared" si="16"/>
        <v>#VALUE!</v>
      </c>
      <c r="E148" s="1" t="s">
        <v>1303</v>
      </c>
      <c r="F148" s="1" t="s">
        <v>705</v>
      </c>
    </row>
    <row r="149" spans="1:6" x14ac:dyDescent="0.2">
      <c r="A149" s="1" t="str">
        <f t="shared" si="17"/>
        <v>Fostoria</v>
      </c>
      <c r="B149" s="1" t="str">
        <f t="shared" si="18"/>
        <v>United States of America</v>
      </c>
      <c r="C149" s="1" t="s">
        <v>1176</v>
      </c>
      <c r="D149" s="1" t="e">
        <f t="shared" si="16"/>
        <v>#VALUE!</v>
      </c>
      <c r="E149" s="1" t="s">
        <v>1304</v>
      </c>
      <c r="F149" s="1" t="s">
        <v>696</v>
      </c>
    </row>
    <row r="150" spans="1:6" x14ac:dyDescent="0.2">
      <c r="A150" s="1" t="s">
        <v>1028</v>
      </c>
      <c r="B150" s="1" t="s">
        <v>21</v>
      </c>
      <c r="C150" s="1" t="s">
        <v>1011</v>
      </c>
      <c r="D150" s="1" t="e">
        <f t="shared" si="16"/>
        <v>#VALUE!</v>
      </c>
      <c r="E150" s="1" t="e">
        <v>#VALUE!</v>
      </c>
    </row>
    <row r="151" spans="1:6" x14ac:dyDescent="0.2">
      <c r="A151" s="1" t="str">
        <f>E151</f>
        <v>Akita</v>
      </c>
      <c r="B151" s="1" t="str">
        <f>F151</f>
        <v>Japan</v>
      </c>
      <c r="C151" s="1" t="s">
        <v>1177</v>
      </c>
      <c r="D151" s="1" t="e">
        <f t="shared" si="16"/>
        <v>#VALUE!</v>
      </c>
      <c r="E151" s="1" t="s">
        <v>1305</v>
      </c>
      <c r="F151" s="1" t="s">
        <v>592</v>
      </c>
    </row>
    <row r="152" spans="1:6" x14ac:dyDescent="0.2">
      <c r="A152" s="1" t="str">
        <f>E152</f>
        <v>Cuapa</v>
      </c>
      <c r="B152" s="1" t="str">
        <f>F152</f>
        <v>Nicaragua</v>
      </c>
      <c r="C152" s="1" t="s">
        <v>1178</v>
      </c>
      <c r="D152" s="1" t="e">
        <f t="shared" si="16"/>
        <v>#VALUE!</v>
      </c>
      <c r="E152" s="1" t="s">
        <v>1306</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1179</v>
      </c>
      <c r="D154" s="1" t="e">
        <f t="shared" si="16"/>
        <v>#VALUE!</v>
      </c>
      <c r="E154" s="1" t="s">
        <v>1307</v>
      </c>
      <c r="F154" s="1" t="s">
        <v>719</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2024-03-01T22:01:53Z</dcterms:modified>
</cp:coreProperties>
</file>