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E2B00CEB-1BA1-4F69-BE80-D152A6C316F0}" xr6:coauthVersionLast="47" xr6:coauthVersionMax="47" xr10:uidLastSave="{00000000-0000-0000-0000-000000000000}"/>
  <bookViews>
    <workbookView xWindow="-120" yWindow="-120" windowWidth="29040" windowHeight="17520" firstSheet="1" activeTab="3" xr2:uid="{8DFEE2B0-96F0-470A-9396-053C4BBAF42B}"/>
  </bookViews>
  <sheets>
    <sheet name="WP Site" sheetId="4" state="hidden" r:id="rId1"/>
    <sheet name="Places" sheetId="11" r:id="rId2"/>
    <sheet name="Tags" sheetId="13" r:id="rId3"/>
    <sheet name="Tag List" sheetId="10" r:id="rId4"/>
    <sheet name="(Ref) Countries" sheetId="5" r:id="rId5"/>
    <sheet name="Draft Sites" sheetId="3" r:id="rId6"/>
    <sheet name="Sheet1" sheetId="1" r:id="rId7"/>
    <sheet name="Sheet7" sheetId="8" r:id="rId8"/>
  </sheets>
  <functionGroups builtInGroupCount="19"/>
  <definedNames>
    <definedName name="_xlnm._FilterDatabase" localSheetId="4" hidden="1">'(Ref) Countries'!$A$1:$C$249</definedName>
    <definedName name="_xlnm._FilterDatabase" localSheetId="5" hidden="1">'Draft Sites'!$A$1:$AT$124</definedName>
    <definedName name="_xlnm._FilterDatabase" localSheetId="1" hidden="1">Places!$A$5:$CT$140</definedName>
    <definedName name="_xlnm._FilterDatabase" localSheetId="6" hidden="1">Sheet1!$B$1:$G$66</definedName>
    <definedName name="_xlnm._FilterDatabase" localSheetId="7" hidden="1">Sheet7!$A$1:$F$154</definedName>
    <definedName name="_xlnm._FilterDatabase" localSheetId="2" hidden="1">Tags!$A$5:$CB$140</definedName>
    <definedName name="adana" localSheetId="6">Sheet1!$C$27</definedName>
    <definedName name="alexandria" localSheetId="6">Sheet1!$C$9</definedName>
    <definedName name="athos" localSheetId="6">Sheet1!$C$62</definedName>
    <definedName name="behuard" localSheetId="6">Sheet1!$C$18</definedName>
    <definedName name="benevento" localSheetId="6">Sheet1!$C$42</definedName>
    <definedName name="bolougne" localSheetId="6">Sheet1!$C$38</definedName>
    <definedName name="caesarea" localSheetId="6">Sheet1!$C$13</definedName>
    <definedName name="canterbury980" localSheetId="6">Sheet1!$C$65</definedName>
    <definedName name="castelnuovo" localSheetId="6">Sheet1!$C$60</definedName>
    <definedName name="clermont" localSheetId="6">Sheet1!$C$43</definedName>
    <definedName name="cologne" localSheetId="6">Sheet1!$C$63</definedName>
    <definedName name="constantinople" localSheetId="6">Sheet1!$C$20</definedName>
    <definedName name="constantinople714" localSheetId="6">Sheet1!$C$46</definedName>
    <definedName name="corbie" localSheetId="6">Sheet1!$C$54</definedName>
    <definedName name="corentin" localSheetId="6">Sheet1!$C$21</definedName>
    <definedName name="egypt" localSheetId="6">Sheet1!$C$17</definedName>
    <definedName name="ensiedeln" localSheetId="6">Sheet1!$C$59</definedName>
    <definedName name="ephesus" localSheetId="6">Sheet1!$C$2</definedName>
    <definedName name="evesham" localSheetId="6">Sheet1!$C$45</definedName>
    <definedName name="farfa" localSheetId="6">Sheet1!$C$48</definedName>
    <definedName name="galla" localSheetId="6">Sheet1!$C$28</definedName>
    <definedName name="gargano" localSheetId="6">Sheet1!$C$22</definedName>
    <definedName name="genoa" localSheetId="6">Sheet1!$C$33</definedName>
    <definedName name="giudicaele" localSheetId="6">Sheet1!$C$39</definedName>
    <definedName name="gregoryoftours" localSheetId="6">Sheet1!$C$29</definedName>
    <definedName name="gualdotadino" localSheetId="6">Sheet1!$C$32</definedName>
    <definedName name="hainault" localSheetId="6">Sheet1!$C$40</definedName>
    <definedName name="herford" localSheetId="6">Sheet1!$C$61</definedName>
    <definedName name="india" localSheetId="6">Sheet1!$C$3</definedName>
    <definedName name="italy300" localSheetId="6">Sheet1!$C$7</definedName>
    <definedName name="kuravilangad" localSheetId="6">Sheet1!$C$11</definedName>
    <definedName name="lepuy" localSheetId="6">Sheet1!#REF!</definedName>
    <definedName name="maastricht" localSheetId="6">Sheet1!$C$49</definedName>
    <definedName name="mainz" localSheetId="6">Sheet1!$C$51</definedName>
    <definedName name="montreuil" localSheetId="6">Sheet1!$C$52</definedName>
    <definedName name="myra" localSheetId="6">Sheet1!$C$10</definedName>
    <definedName name="neocaesarea" localSheetId="6">Sheet1!$C$5</definedName>
    <definedName name="Patmos" localSheetId="6">Sheet1!$C$4</definedName>
    <definedName name="picciano" localSheetId="6">Sheet1!$C$66</definedName>
    <definedName name="propezzano" localSheetId="6">Sheet1!$C$47</definedName>
    <definedName name="reims" localSheetId="6">Sheet1!$C$58</definedName>
    <definedName name="rome258" localSheetId="6">Sheet1!#REF!</definedName>
    <definedName name="rome526" localSheetId="6">Sheet1!$C$24</definedName>
    <definedName name="rosenthal" localSheetId="6">Sheet1!$C$53</definedName>
    <definedName name="savoy" localSheetId="6">Sheet1!$C$50</definedName>
    <definedName name="sicea" localSheetId="6">Sheet1!$C$23</definedName>
    <definedName name="spoleto" localSheetId="6">Sheet1!$C$30</definedName>
    <definedName name="tagaste" localSheetId="6">Sheet1!$C$15</definedName>
    <definedName name="toledo" localSheetId="6">Sheet1!$C$41</definedName>
    <definedName name="tolouse" localSheetId="6">Sheet1!$C$55</definedName>
    <definedName name="tours" localSheetId="6">Sheet1!$C$14</definedName>
    <definedName name="zaragoza" localSheetId="6">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7" i="13" l="1"/>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 i="13"/>
  <c r="BP1" i="11"/>
  <c r="BO1" i="11"/>
  <c r="BN1" i="11"/>
  <c r="BM1"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V1" i="13"/>
  <c r="U1" i="13"/>
  <c r="T1" i="13"/>
  <c r="T7" i="13"/>
  <c r="U7" i="13"/>
  <c r="V7" i="13"/>
  <c r="T8" i="13"/>
  <c r="W8" i="13" s="1"/>
  <c r="X8" i="13" s="1"/>
  <c r="U8" i="13"/>
  <c r="V8" i="13"/>
  <c r="T9" i="13"/>
  <c r="U9" i="13"/>
  <c r="W9" i="13" s="1"/>
  <c r="X9" i="13" s="1"/>
  <c r="V9" i="13"/>
  <c r="T10" i="13"/>
  <c r="U10" i="13"/>
  <c r="V10" i="13"/>
  <c r="T11" i="13"/>
  <c r="U11" i="13"/>
  <c r="V11" i="13"/>
  <c r="T12" i="13"/>
  <c r="U12" i="13"/>
  <c r="V12" i="13"/>
  <c r="T13" i="13"/>
  <c r="U13" i="13"/>
  <c r="W13" i="13" s="1"/>
  <c r="X13" i="13" s="1"/>
  <c r="V13" i="13"/>
  <c r="T14" i="13"/>
  <c r="U14" i="13"/>
  <c r="V14" i="13"/>
  <c r="T15" i="13"/>
  <c r="U15" i="13"/>
  <c r="V15" i="13"/>
  <c r="T16" i="13"/>
  <c r="W16" i="13" s="1"/>
  <c r="X16" i="13" s="1"/>
  <c r="U16" i="13"/>
  <c r="V16" i="13"/>
  <c r="T17" i="13"/>
  <c r="U17" i="13"/>
  <c r="V17" i="13"/>
  <c r="T18" i="13"/>
  <c r="U18" i="13"/>
  <c r="V18" i="13"/>
  <c r="T19" i="13"/>
  <c r="U19" i="13"/>
  <c r="V19" i="13"/>
  <c r="T20" i="13"/>
  <c r="W20" i="13" s="1"/>
  <c r="X20" i="13" s="1"/>
  <c r="U20" i="13"/>
  <c r="V20" i="13"/>
  <c r="T21" i="13"/>
  <c r="U21" i="13"/>
  <c r="V21" i="13"/>
  <c r="T22" i="13"/>
  <c r="U22" i="13"/>
  <c r="V22" i="13"/>
  <c r="T23" i="13"/>
  <c r="U23" i="13"/>
  <c r="V23" i="13"/>
  <c r="T24" i="13"/>
  <c r="W24" i="13" s="1"/>
  <c r="X24" i="13" s="1"/>
  <c r="U24" i="13"/>
  <c r="V24" i="13"/>
  <c r="T25" i="13"/>
  <c r="U25" i="13"/>
  <c r="W25" i="13" s="1"/>
  <c r="X25" i="13" s="1"/>
  <c r="V25" i="13"/>
  <c r="T26" i="13"/>
  <c r="U26" i="13"/>
  <c r="V26" i="13"/>
  <c r="T27" i="13"/>
  <c r="U27" i="13"/>
  <c r="V27" i="13"/>
  <c r="T28" i="13"/>
  <c r="U28" i="13"/>
  <c r="V28" i="13"/>
  <c r="T29" i="13"/>
  <c r="U29" i="13"/>
  <c r="W29" i="13" s="1"/>
  <c r="X29" i="13" s="1"/>
  <c r="V29" i="13"/>
  <c r="T30" i="13"/>
  <c r="U30" i="13"/>
  <c r="V30" i="13"/>
  <c r="W30" i="13" s="1"/>
  <c r="T31" i="13"/>
  <c r="U31" i="13"/>
  <c r="V31" i="13"/>
  <c r="T32" i="13"/>
  <c r="W32" i="13" s="1"/>
  <c r="X32" i="13" s="1"/>
  <c r="U32" i="13"/>
  <c r="V32" i="13"/>
  <c r="T33" i="13"/>
  <c r="U33" i="13"/>
  <c r="W33" i="13" s="1"/>
  <c r="X33" i="13" s="1"/>
  <c r="V33" i="13"/>
  <c r="T34" i="13"/>
  <c r="U34" i="13"/>
  <c r="V34" i="13"/>
  <c r="T35" i="13"/>
  <c r="U35" i="13"/>
  <c r="V35" i="13"/>
  <c r="T36" i="13"/>
  <c r="W36" i="13" s="1"/>
  <c r="U36" i="13"/>
  <c r="V36" i="13"/>
  <c r="T37" i="13"/>
  <c r="U37" i="13"/>
  <c r="V37" i="13"/>
  <c r="T38" i="13"/>
  <c r="U38" i="13"/>
  <c r="V38" i="13"/>
  <c r="T39" i="13"/>
  <c r="U39" i="13"/>
  <c r="V39" i="13"/>
  <c r="T40" i="13"/>
  <c r="U40" i="13"/>
  <c r="V40" i="13"/>
  <c r="T41" i="13"/>
  <c r="U41" i="13"/>
  <c r="W41" i="13" s="1"/>
  <c r="X41" i="13" s="1"/>
  <c r="V41" i="13"/>
  <c r="T42" i="13"/>
  <c r="U42" i="13"/>
  <c r="V42" i="13"/>
  <c r="T43" i="13"/>
  <c r="U43" i="13"/>
  <c r="V43" i="13"/>
  <c r="T44" i="13"/>
  <c r="W44" i="13" s="1"/>
  <c r="X44" i="13" s="1"/>
  <c r="U44" i="13"/>
  <c r="V44" i="13"/>
  <c r="T45" i="13"/>
  <c r="U45" i="13"/>
  <c r="W45" i="13" s="1"/>
  <c r="X45" i="13" s="1"/>
  <c r="V45" i="13"/>
  <c r="T46" i="13"/>
  <c r="U46" i="13"/>
  <c r="V46" i="13"/>
  <c r="T47" i="13"/>
  <c r="U47" i="13"/>
  <c r="V47" i="13"/>
  <c r="T48" i="13"/>
  <c r="W48" i="13" s="1"/>
  <c r="X48" i="13" s="1"/>
  <c r="U48" i="13"/>
  <c r="V48" i="13"/>
  <c r="T49" i="13"/>
  <c r="U49" i="13"/>
  <c r="V49" i="13"/>
  <c r="T50" i="13"/>
  <c r="U50" i="13"/>
  <c r="V50" i="13"/>
  <c r="T51" i="13"/>
  <c r="U51" i="13"/>
  <c r="V51" i="13"/>
  <c r="T52" i="13"/>
  <c r="U52" i="13"/>
  <c r="V52" i="13"/>
  <c r="T53" i="13"/>
  <c r="U53" i="13"/>
  <c r="W53" i="13" s="1"/>
  <c r="X53" i="13" s="1"/>
  <c r="V53" i="13"/>
  <c r="T54" i="13"/>
  <c r="U54" i="13"/>
  <c r="V54" i="13"/>
  <c r="T55" i="13"/>
  <c r="U55" i="13"/>
  <c r="V55" i="13"/>
  <c r="T56" i="13"/>
  <c r="W56" i="13" s="1"/>
  <c r="X56" i="13" s="1"/>
  <c r="U56" i="13"/>
  <c r="V56" i="13"/>
  <c r="T57" i="13"/>
  <c r="U57" i="13"/>
  <c r="W57" i="13" s="1"/>
  <c r="X57" i="13" s="1"/>
  <c r="V57" i="13"/>
  <c r="T58" i="13"/>
  <c r="U58" i="13"/>
  <c r="V58" i="13"/>
  <c r="T59" i="13"/>
  <c r="U59" i="13"/>
  <c r="V59" i="13"/>
  <c r="T60" i="13"/>
  <c r="W60" i="13" s="1"/>
  <c r="X60" i="13" s="1"/>
  <c r="U60" i="13"/>
  <c r="V60" i="13"/>
  <c r="T61" i="13"/>
  <c r="U61" i="13"/>
  <c r="V61" i="13"/>
  <c r="T62" i="13"/>
  <c r="U62" i="13"/>
  <c r="V62" i="13"/>
  <c r="T63" i="13"/>
  <c r="U63" i="13"/>
  <c r="V63" i="13"/>
  <c r="T64" i="13"/>
  <c r="U64" i="13"/>
  <c r="V64" i="13"/>
  <c r="T65" i="13"/>
  <c r="U65" i="13"/>
  <c r="W65" i="13" s="1"/>
  <c r="V65" i="13"/>
  <c r="T66" i="13"/>
  <c r="U66" i="13"/>
  <c r="V66" i="13"/>
  <c r="V6" i="13"/>
  <c r="U6" i="13"/>
  <c r="W34" i="13"/>
  <c r="X34" i="13" s="1"/>
  <c r="T6" i="13"/>
  <c r="W1" i="13"/>
  <c r="S1" i="13"/>
  <c r="R1" i="13"/>
  <c r="CB1" i="13" s="1"/>
  <c r="W61" i="13"/>
  <c r="X61" i="13" s="1"/>
  <c r="W7" i="13"/>
  <c r="X7" i="13" s="1"/>
  <c r="W37" i="13"/>
  <c r="X37" i="13" s="1"/>
  <c r="W49" i="13"/>
  <c r="X49" i="13" s="1"/>
  <c r="CA7" i="13"/>
  <c r="CA8" i="13"/>
  <c r="CA9" i="13"/>
  <c r="CA10" i="13"/>
  <c r="CA11" i="13"/>
  <c r="CA12" i="13"/>
  <c r="CA13" i="13"/>
  <c r="CA14" i="13"/>
  <c r="CA15" i="13"/>
  <c r="CA16" i="13"/>
  <c r="CA20" i="13"/>
  <c r="CA21" i="13"/>
  <c r="CA22" i="13"/>
  <c r="CA23" i="13"/>
  <c r="CA24" i="13"/>
  <c r="CA25" i="13"/>
  <c r="CA26" i="13"/>
  <c r="CA27" i="13"/>
  <c r="CA28" i="13"/>
  <c r="CA29" i="13"/>
  <c r="CA31" i="13"/>
  <c r="CA32" i="13"/>
  <c r="CA33" i="13"/>
  <c r="CA34" i="13"/>
  <c r="CA35" i="13"/>
  <c r="CA38" i="13"/>
  <c r="CA39" i="13"/>
  <c r="CA40" i="13"/>
  <c r="CA41" i="13"/>
  <c r="CA42" i="13"/>
  <c r="CA43" i="13"/>
  <c r="CA44" i="13"/>
  <c r="CA45" i="13"/>
  <c r="CA46" i="13"/>
  <c r="CA47" i="13"/>
  <c r="CA48" i="13"/>
  <c r="CA49" i="13"/>
  <c r="CA50" i="13"/>
  <c r="CA51" i="13"/>
  <c r="CA52" i="13"/>
  <c r="CA53" i="13"/>
  <c r="CA54" i="13"/>
  <c r="CA55" i="13"/>
  <c r="CA56" i="13"/>
  <c r="CA57" i="13"/>
  <c r="CA58" i="13"/>
  <c r="CA59" i="13"/>
  <c r="CA60" i="13"/>
  <c r="CA61" i="13"/>
  <c r="CA62" i="13"/>
  <c r="CA63" i="13"/>
  <c r="CB66" i="13"/>
  <c r="CB65" i="13"/>
  <c r="CB64" i="13"/>
  <c r="CB63" i="13"/>
  <c r="CB62" i="13"/>
  <c r="CB61" i="13"/>
  <c r="CB60" i="13"/>
  <c r="CB59" i="13"/>
  <c r="CB58" i="13"/>
  <c r="CB55" i="13"/>
  <c r="CB54" i="13"/>
  <c r="CB53" i="13"/>
  <c r="CB52" i="13"/>
  <c r="CB51" i="13"/>
  <c r="CB50" i="13"/>
  <c r="CB49" i="13"/>
  <c r="CB48" i="13"/>
  <c r="CB47" i="13"/>
  <c r="CB46" i="13"/>
  <c r="CB45" i="13"/>
  <c r="CB44" i="13"/>
  <c r="CB43" i="13"/>
  <c r="CB42" i="13"/>
  <c r="CB41" i="13"/>
  <c r="CB40" i="13"/>
  <c r="CB39" i="13"/>
  <c r="CB38" i="13"/>
  <c r="CB35" i="13"/>
  <c r="CB34" i="13"/>
  <c r="CB33" i="13"/>
  <c r="CB32" i="13"/>
  <c r="CB31" i="13"/>
  <c r="CB29" i="13"/>
  <c r="CB28" i="13"/>
  <c r="CB27" i="13"/>
  <c r="CB26" i="13"/>
  <c r="CB25" i="13"/>
  <c r="CB24" i="13"/>
  <c r="CB23" i="13"/>
  <c r="CB22" i="13"/>
  <c r="CB21" i="13"/>
  <c r="CB20" i="13"/>
  <c r="CB18" i="13"/>
  <c r="CB17" i="13"/>
  <c r="CB16" i="13"/>
  <c r="CB15" i="13"/>
  <c r="CB14" i="13"/>
  <c r="CB13" i="13"/>
  <c r="CB12" i="13"/>
  <c r="CB11" i="13"/>
  <c r="CB10" i="13"/>
  <c r="CB9" i="13"/>
  <c r="CB8" i="13"/>
  <c r="CB7" i="13"/>
  <c r="CB6" i="13"/>
  <c r="S66" i="13"/>
  <c r="R66" i="13"/>
  <c r="S65" i="13"/>
  <c r="R65" i="13"/>
  <c r="W64" i="13"/>
  <c r="S64" i="13"/>
  <c r="R64" i="13"/>
  <c r="S63" i="13"/>
  <c r="R63" i="13"/>
  <c r="S62" i="13"/>
  <c r="R62" i="13"/>
  <c r="S61" i="13"/>
  <c r="R61" i="13"/>
  <c r="S60" i="13"/>
  <c r="R60" i="13"/>
  <c r="W59" i="13"/>
  <c r="X59" i="13" s="1"/>
  <c r="S59" i="13"/>
  <c r="R59" i="13"/>
  <c r="S58" i="13"/>
  <c r="R58" i="13"/>
  <c r="S57" i="13"/>
  <c r="R57" i="13"/>
  <c r="CB57" i="13" s="1"/>
  <c r="S56" i="13"/>
  <c r="R56" i="13"/>
  <c r="CB56" i="13" s="1"/>
  <c r="S55" i="13"/>
  <c r="R55" i="13"/>
  <c r="S54" i="13"/>
  <c r="R54" i="13"/>
  <c r="S53" i="13"/>
  <c r="R53" i="13"/>
  <c r="W52" i="13"/>
  <c r="X52" i="13" s="1"/>
  <c r="S52" i="13"/>
  <c r="R52" i="13"/>
  <c r="S51" i="13"/>
  <c r="R51" i="13"/>
  <c r="S50" i="13"/>
  <c r="R50" i="13"/>
  <c r="S49" i="13"/>
  <c r="R49" i="13"/>
  <c r="S48" i="13"/>
  <c r="R48" i="13"/>
  <c r="S47" i="13"/>
  <c r="R47" i="13"/>
  <c r="S46" i="13"/>
  <c r="R46" i="13"/>
  <c r="S45" i="13"/>
  <c r="R45" i="13"/>
  <c r="S44" i="13"/>
  <c r="R44" i="13"/>
  <c r="W43" i="13"/>
  <c r="X43" i="13" s="1"/>
  <c r="S43" i="13"/>
  <c r="R43" i="13"/>
  <c r="S42" i="13"/>
  <c r="R42" i="13"/>
  <c r="S41" i="13"/>
  <c r="R41" i="13"/>
  <c r="W40" i="13"/>
  <c r="X40" i="13" s="1"/>
  <c r="S40" i="13"/>
  <c r="R40" i="13"/>
  <c r="S39" i="13"/>
  <c r="R39" i="13"/>
  <c r="S38" i="13"/>
  <c r="R38" i="13"/>
  <c r="S37" i="13"/>
  <c r="R37" i="13"/>
  <c r="CB37" i="13" s="1"/>
  <c r="S36" i="13"/>
  <c r="R36" i="13"/>
  <c r="S35" i="13"/>
  <c r="R35" i="13"/>
  <c r="S34" i="13"/>
  <c r="R34" i="13"/>
  <c r="S33" i="13"/>
  <c r="R33" i="13"/>
  <c r="S32" i="13"/>
  <c r="R32" i="13"/>
  <c r="S31" i="13"/>
  <c r="R31" i="13"/>
  <c r="S30" i="13"/>
  <c r="R30" i="13"/>
  <c r="S29" i="13"/>
  <c r="R29" i="13"/>
  <c r="W28" i="13"/>
  <c r="X28" i="13" s="1"/>
  <c r="S28" i="13"/>
  <c r="R28" i="13"/>
  <c r="S27" i="13"/>
  <c r="R27" i="13"/>
  <c r="S26" i="13"/>
  <c r="R26" i="13"/>
  <c r="S25" i="13"/>
  <c r="R25" i="13"/>
  <c r="S24" i="13"/>
  <c r="R24" i="13"/>
  <c r="S23" i="13"/>
  <c r="R23" i="13"/>
  <c r="S22" i="13"/>
  <c r="R22" i="13"/>
  <c r="W21" i="13"/>
  <c r="X21" i="13" s="1"/>
  <c r="S21" i="13"/>
  <c r="R21" i="13"/>
  <c r="S20" i="13"/>
  <c r="R20" i="13"/>
  <c r="S19" i="13"/>
  <c r="R19" i="13"/>
  <c r="CB19" i="13" s="1"/>
  <c r="S18" i="13"/>
  <c r="R18" i="13"/>
  <c r="S16" i="13"/>
  <c r="R16" i="13"/>
  <c r="S15" i="13"/>
  <c r="R15" i="13"/>
  <c r="S14" i="13"/>
  <c r="R14" i="13"/>
  <c r="S13" i="13"/>
  <c r="R13" i="13"/>
  <c r="W12" i="13"/>
  <c r="X12" i="13" s="1"/>
  <c r="S12" i="13"/>
  <c r="R12" i="13"/>
  <c r="S11" i="13"/>
  <c r="R11" i="13"/>
  <c r="S10" i="13"/>
  <c r="R10" i="13"/>
  <c r="S9" i="13"/>
  <c r="R9" i="13"/>
  <c r="S8" i="13"/>
  <c r="R8" i="13"/>
  <c r="S7" i="13"/>
  <c r="R7" i="13"/>
  <c r="S6" i="13"/>
  <c r="R6" i="13"/>
  <c r="S17" i="13"/>
  <c r="R17"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Y1" i="13"/>
  <c r="Y37" i="13"/>
  <c r="X36" i="13"/>
  <c r="CA36" i="13" s="1"/>
  <c r="CA37" i="13"/>
  <c r="X1" i="13"/>
  <c r="X64" i="13"/>
  <c r="CA64" i="13" s="1"/>
  <c r="X65" i="13"/>
  <c r="CA65" i="13" s="1"/>
  <c r="X30" i="13"/>
  <c r="CA30" i="13" s="1"/>
  <c r="BX83" i="11"/>
  <c r="BX75" i="11"/>
  <c r="BX47" i="11"/>
  <c r="BX43" i="11"/>
  <c r="BX31" i="11"/>
  <c r="BX27" i="11"/>
  <c r="BX11" i="11"/>
  <c r="BX7" i="11"/>
  <c r="BX132" i="11"/>
  <c r="BX48" i="11"/>
  <c r="BX40" i="11"/>
  <c r="BX78" i="11"/>
  <c r="BX54" i="11"/>
  <c r="BX46" i="11"/>
  <c r="BX22" i="11"/>
  <c r="BX18" i="11"/>
  <c r="BX14" i="11"/>
  <c r="BX10" i="11"/>
  <c r="BX128" i="11"/>
  <c r="BX137" i="11"/>
  <c r="BX129" i="11"/>
  <c r="BX117" i="11"/>
  <c r="BX73" i="11"/>
  <c r="BX25" i="11"/>
  <c r="BX21" i="11"/>
  <c r="BX13" i="11"/>
  <c r="BX9" i="11"/>
  <c r="BX136" i="11"/>
  <c r="BX56" i="11"/>
  <c r="BX44" i="11"/>
  <c r="BX8" i="11"/>
  <c r="W66" i="13" l="1"/>
  <c r="W46" i="13"/>
  <c r="X46" i="13" s="1"/>
  <c r="CB36" i="13"/>
  <c r="CA1" i="13"/>
  <c r="W62" i="13"/>
  <c r="X62" i="13" s="1"/>
  <c r="W58" i="13"/>
  <c r="X58" i="13" s="1"/>
  <c r="W54" i="13"/>
  <c r="X54" i="13" s="1"/>
  <c r="W50" i="13"/>
  <c r="X50" i="13" s="1"/>
  <c r="W42" i="13"/>
  <c r="X42" i="13" s="1"/>
  <c r="W38" i="13"/>
  <c r="X38" i="13" s="1"/>
  <c r="W11" i="13"/>
  <c r="X11" i="13" s="1"/>
  <c r="W15" i="13"/>
  <c r="X15" i="13" s="1"/>
  <c r="W27" i="13"/>
  <c r="X27" i="13" s="1"/>
  <c r="W6" i="13"/>
  <c r="W10" i="13"/>
  <c r="X10" i="13" s="1"/>
  <c r="W14" i="13"/>
  <c r="X14" i="13" s="1"/>
  <c r="W18" i="13"/>
  <c r="X18" i="13" s="1"/>
  <c r="W22" i="13"/>
  <c r="X22" i="13" s="1"/>
  <c r="W26" i="13"/>
  <c r="X26" i="13" s="1"/>
  <c r="W39" i="13"/>
  <c r="X39" i="13" s="1"/>
  <c r="W55" i="13"/>
  <c r="X55" i="13" s="1"/>
  <c r="W35" i="13"/>
  <c r="X35" i="13" s="1"/>
  <c r="W51" i="13"/>
  <c r="X51" i="13" s="1"/>
  <c r="W31" i="13"/>
  <c r="W47" i="13"/>
  <c r="X47" i="13" s="1"/>
  <c r="W63" i="13"/>
  <c r="X63" i="13" s="1"/>
  <c r="W23" i="13"/>
  <c r="X23" i="13" s="1"/>
  <c r="W19" i="13"/>
  <c r="X19" i="13" s="1"/>
  <c r="CB30" i="13"/>
  <c r="W17" i="13"/>
  <c r="X17" i="13" s="1"/>
  <c r="CL1" i="11"/>
  <c r="CH1" i="11"/>
  <c r="CG1" i="11"/>
  <c r="CE1" i="11"/>
  <c r="CD1" i="11"/>
  <c r="CC1" i="11"/>
  <c r="BV1" i="11"/>
  <c r="BT1" i="11"/>
  <c r="BS1" i="11"/>
  <c r="BR1" i="11"/>
  <c r="BK1" i="11"/>
  <c r="BJ1" i="11"/>
  <c r="BI1" i="11"/>
  <c r="BH1" i="11"/>
  <c r="BG1" i="11"/>
  <c r="BF1" i="11"/>
  <c r="BE1" i="11"/>
  <c r="BD1" i="11"/>
  <c r="BC1" i="11"/>
  <c r="BB1" i="11"/>
  <c r="BA1" i="11"/>
  <c r="AZ1" i="11"/>
  <c r="AY1" i="11"/>
  <c r="AX1" i="11"/>
  <c r="AW1" i="11"/>
  <c r="AV1" i="11"/>
  <c r="AU1" i="11"/>
  <c r="AT1" i="11"/>
  <c r="AS1" i="11"/>
  <c r="CJ1" i="11" s="1"/>
  <c r="CL6" i="11"/>
  <c r="CH6" i="11"/>
  <c r="CG6" i="11"/>
  <c r="CF6" i="11"/>
  <c r="CE6" i="11"/>
  <c r="CD6" i="11"/>
  <c r="CC6" i="11"/>
  <c r="BT6" i="11"/>
  <c r="BS6" i="11"/>
  <c r="BR6" i="11"/>
  <c r="BK6" i="11"/>
  <c r="BJ6" i="11"/>
  <c r="BI6" i="11"/>
  <c r="BH6" i="11"/>
  <c r="BG6" i="11"/>
  <c r="BF6" i="11"/>
  <c r="BE6" i="11"/>
  <c r="BD6" i="11"/>
  <c r="BC6" i="11"/>
  <c r="BB6" i="11"/>
  <c r="BA6" i="11"/>
  <c r="AZ6" i="11"/>
  <c r="AY6" i="11"/>
  <c r="AX6" i="11"/>
  <c r="AW6" i="11"/>
  <c r="AU6" i="11"/>
  <c r="AT6" i="11"/>
  <c r="AS6" i="11"/>
  <c r="CB6" i="11" s="1"/>
  <c r="AS129" i="11"/>
  <c r="CB129" i="11" s="1"/>
  <c r="AT129" i="11"/>
  <c r="AU129" i="11"/>
  <c r="AW129" i="11"/>
  <c r="AX129" i="11"/>
  <c r="AY129" i="11"/>
  <c r="AZ129" i="11"/>
  <c r="BA129" i="11"/>
  <c r="BB129" i="11"/>
  <c r="BC129" i="11"/>
  <c r="BD129" i="11"/>
  <c r="BE129" i="11"/>
  <c r="BF129" i="11"/>
  <c r="BG129" i="11"/>
  <c r="BH129" i="11"/>
  <c r="BI129" i="11"/>
  <c r="BJ129" i="11"/>
  <c r="BK129" i="11"/>
  <c r="BR129" i="11"/>
  <c r="BS129" i="11"/>
  <c r="BT129" i="11"/>
  <c r="BV129" i="11"/>
  <c r="CC129" i="11"/>
  <c r="CD129" i="11"/>
  <c r="CE129" i="11"/>
  <c r="CH129" i="11"/>
  <c r="CL129" i="11"/>
  <c r="CL127" i="11"/>
  <c r="CH127" i="11"/>
  <c r="CE127" i="11"/>
  <c r="CD127" i="11"/>
  <c r="CC127" i="11"/>
  <c r="BV127" i="11"/>
  <c r="BT127" i="11"/>
  <c r="BS127" i="11"/>
  <c r="BR127" i="11"/>
  <c r="BK127" i="11"/>
  <c r="BJ127" i="11"/>
  <c r="BI127" i="11"/>
  <c r="BH127" i="11"/>
  <c r="BG127" i="11"/>
  <c r="BF127" i="11"/>
  <c r="BE127" i="11"/>
  <c r="BD127" i="11"/>
  <c r="BC127" i="11"/>
  <c r="BB127" i="11"/>
  <c r="BA127" i="11"/>
  <c r="AZ127" i="11"/>
  <c r="AY127" i="11"/>
  <c r="AX127" i="11"/>
  <c r="AW127" i="11"/>
  <c r="AU127" i="11"/>
  <c r="AT127" i="11"/>
  <c r="AS127" i="11"/>
  <c r="CB127" i="11" s="1"/>
  <c r="CL84" i="11"/>
  <c r="CG84" i="11"/>
  <c r="CE84" i="11"/>
  <c r="CD84" i="11"/>
  <c r="CC84" i="11"/>
  <c r="BT84" i="11"/>
  <c r="BS84" i="11"/>
  <c r="BR84" i="11"/>
  <c r="BK84" i="11"/>
  <c r="BJ84" i="11"/>
  <c r="BI84" i="11"/>
  <c r="BH84" i="11"/>
  <c r="BG84" i="11"/>
  <c r="BF84" i="11"/>
  <c r="BE84" i="11"/>
  <c r="BD84" i="11"/>
  <c r="BC84" i="11"/>
  <c r="BB84" i="11"/>
  <c r="BA84" i="11"/>
  <c r="AZ84" i="11"/>
  <c r="AY84" i="11"/>
  <c r="AX84" i="11"/>
  <c r="AW84" i="11"/>
  <c r="AU84" i="11"/>
  <c r="AT84" i="11"/>
  <c r="AS84" i="11"/>
  <c r="CB84" i="11" s="1"/>
  <c r="CL83" i="11"/>
  <c r="CH83" i="11"/>
  <c r="CE83" i="11"/>
  <c r="CD83" i="11"/>
  <c r="CC83" i="11"/>
  <c r="BT83" i="11"/>
  <c r="BS83" i="11"/>
  <c r="BR83" i="11"/>
  <c r="BK83" i="11"/>
  <c r="BJ83" i="11"/>
  <c r="BI83" i="11"/>
  <c r="BH83" i="11"/>
  <c r="BG83" i="11"/>
  <c r="BF83" i="11"/>
  <c r="BE83" i="11"/>
  <c r="BD83" i="11"/>
  <c r="BC83" i="11"/>
  <c r="BB83" i="11"/>
  <c r="BA83" i="11"/>
  <c r="AZ83" i="11"/>
  <c r="AY83" i="11"/>
  <c r="AX83" i="11"/>
  <c r="AW83" i="11"/>
  <c r="AU83" i="11"/>
  <c r="AT83" i="11"/>
  <c r="AS83" i="11"/>
  <c r="CB83" i="11" s="1"/>
  <c r="CL85" i="11"/>
  <c r="CE85" i="11"/>
  <c r="CD85" i="11"/>
  <c r="CC85" i="11"/>
  <c r="BV85" i="11"/>
  <c r="BT85" i="11"/>
  <c r="BS85" i="11"/>
  <c r="BR85" i="11"/>
  <c r="BK85" i="11"/>
  <c r="BJ85" i="11"/>
  <c r="BI85" i="11"/>
  <c r="BH85" i="11"/>
  <c r="BG85" i="11"/>
  <c r="BF85" i="11"/>
  <c r="BE85" i="11"/>
  <c r="BD85" i="11"/>
  <c r="BC85" i="11"/>
  <c r="BB85" i="11"/>
  <c r="BA85" i="11"/>
  <c r="AZ85" i="11"/>
  <c r="AY85" i="11"/>
  <c r="AX85" i="11"/>
  <c r="AW85" i="11"/>
  <c r="AU85" i="11"/>
  <c r="AT85" i="11"/>
  <c r="AS85" i="11"/>
  <c r="CB85" i="11" s="1"/>
  <c r="CL26" i="11"/>
  <c r="CH26" i="11"/>
  <c r="CE26" i="11"/>
  <c r="CD26" i="11"/>
  <c r="CC26" i="11"/>
  <c r="BV26" i="11"/>
  <c r="BT26" i="11"/>
  <c r="BS26" i="11"/>
  <c r="BR26" i="11"/>
  <c r="BK26" i="11"/>
  <c r="BJ26" i="11"/>
  <c r="BI26" i="11"/>
  <c r="BH26" i="11"/>
  <c r="BG26" i="11"/>
  <c r="BF26" i="11"/>
  <c r="BE26" i="11"/>
  <c r="BD26" i="11"/>
  <c r="BC26" i="11"/>
  <c r="BB26" i="11"/>
  <c r="BA26" i="11"/>
  <c r="AZ26" i="11"/>
  <c r="AY26" i="11"/>
  <c r="AX26" i="11"/>
  <c r="AW26" i="11"/>
  <c r="AU26" i="11"/>
  <c r="AT26" i="11"/>
  <c r="AS26" i="11"/>
  <c r="CB26" i="11" s="1"/>
  <c r="CL108" i="11"/>
  <c r="CE108" i="11"/>
  <c r="CD108" i="11"/>
  <c r="CC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B108" i="11" s="1"/>
  <c r="CL107" i="11"/>
  <c r="CH107" i="11"/>
  <c r="CE107" i="11"/>
  <c r="CD107" i="11"/>
  <c r="CC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B107" i="11" s="1"/>
  <c r="CL106" i="11"/>
  <c r="CH106" i="11"/>
  <c r="CE106" i="11"/>
  <c r="CD106" i="11"/>
  <c r="CC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B106" i="11" s="1"/>
  <c r="CL105" i="11"/>
  <c r="CE105" i="11"/>
  <c r="CD105" i="11"/>
  <c r="CC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B105" i="11" s="1"/>
  <c r="CL104" i="11"/>
  <c r="CH104" i="11"/>
  <c r="CE104" i="11"/>
  <c r="CD104" i="11"/>
  <c r="CC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B104" i="11" s="1"/>
  <c r="CL103" i="11"/>
  <c r="CH103" i="11"/>
  <c r="CE103" i="11"/>
  <c r="CD103" i="11"/>
  <c r="CC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B103" i="11" s="1"/>
  <c r="CL102" i="11"/>
  <c r="CH102" i="11"/>
  <c r="CE102" i="11"/>
  <c r="CD102" i="11"/>
  <c r="CC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B102" i="11" s="1"/>
  <c r="CL101" i="11"/>
  <c r="CH101" i="11"/>
  <c r="CE101" i="11"/>
  <c r="CD101" i="11"/>
  <c r="CC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B101" i="11" s="1"/>
  <c r="CL100" i="11"/>
  <c r="CH100" i="11"/>
  <c r="CE100" i="11"/>
  <c r="CD100" i="11"/>
  <c r="CC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B100" i="11" s="1"/>
  <c r="CL99" i="11"/>
  <c r="CH99" i="11"/>
  <c r="CE99" i="11"/>
  <c r="CD99" i="11"/>
  <c r="CC99" i="11"/>
  <c r="BV99" i="11"/>
  <c r="BT99" i="11"/>
  <c r="BS99" i="11"/>
  <c r="BR99" i="11"/>
  <c r="BK99" i="11"/>
  <c r="BJ99" i="11"/>
  <c r="BI99" i="11"/>
  <c r="BH99" i="11"/>
  <c r="BG99" i="11"/>
  <c r="BF99" i="11"/>
  <c r="BE99" i="11"/>
  <c r="BD99" i="11"/>
  <c r="BC99" i="11"/>
  <c r="BB99" i="11"/>
  <c r="BA99" i="11"/>
  <c r="AZ99" i="11"/>
  <c r="AY99" i="11"/>
  <c r="AX99" i="11"/>
  <c r="AU99" i="11"/>
  <c r="AT99" i="11"/>
  <c r="AS99" i="11"/>
  <c r="CB99" i="11" s="1"/>
  <c r="CL98" i="11"/>
  <c r="CE98" i="11"/>
  <c r="CD98" i="11"/>
  <c r="CC98" i="11"/>
  <c r="BV98" i="11"/>
  <c r="BT98" i="11"/>
  <c r="BS98" i="11"/>
  <c r="BR98" i="11"/>
  <c r="BK98" i="11"/>
  <c r="BJ98" i="11"/>
  <c r="BI98" i="11"/>
  <c r="BH98" i="11"/>
  <c r="BG98" i="11"/>
  <c r="BF98" i="11"/>
  <c r="BE98" i="11"/>
  <c r="BD98" i="11"/>
  <c r="BC98" i="11"/>
  <c r="BB98" i="11"/>
  <c r="BA98" i="11"/>
  <c r="AZ98" i="11"/>
  <c r="AY98" i="11"/>
  <c r="AX98" i="11"/>
  <c r="AU98" i="11"/>
  <c r="AT98" i="11"/>
  <c r="AS98" i="11"/>
  <c r="CB98" i="11" s="1"/>
  <c r="CL97" i="11"/>
  <c r="CE97" i="11"/>
  <c r="CD97" i="11"/>
  <c r="CC97" i="11"/>
  <c r="BV97" i="11"/>
  <c r="BT97" i="11"/>
  <c r="BS97" i="11"/>
  <c r="BR97" i="11"/>
  <c r="BK97" i="11"/>
  <c r="BJ97" i="11"/>
  <c r="BI97" i="11"/>
  <c r="BH97" i="11"/>
  <c r="BG97" i="11"/>
  <c r="BF97" i="11"/>
  <c r="BE97" i="11"/>
  <c r="BD97" i="11"/>
  <c r="BC97" i="11"/>
  <c r="BB97" i="11"/>
  <c r="BA97" i="11"/>
  <c r="AZ97" i="11"/>
  <c r="AY97" i="11"/>
  <c r="AX97" i="11"/>
  <c r="AU97" i="11"/>
  <c r="AT97" i="11"/>
  <c r="AS97" i="11"/>
  <c r="CB97" i="11" s="1"/>
  <c r="CL96" i="11"/>
  <c r="CE96" i="11"/>
  <c r="CD96" i="11"/>
  <c r="CC96" i="11"/>
  <c r="BV96" i="11"/>
  <c r="BT96" i="11"/>
  <c r="BS96" i="11"/>
  <c r="BR96" i="11"/>
  <c r="BK96" i="11"/>
  <c r="BJ96" i="11"/>
  <c r="BI96" i="11"/>
  <c r="BH96" i="11"/>
  <c r="BG96" i="11"/>
  <c r="BF96" i="11"/>
  <c r="BE96" i="11"/>
  <c r="BD96" i="11"/>
  <c r="BC96" i="11"/>
  <c r="BB96" i="11"/>
  <c r="BA96" i="11"/>
  <c r="AZ96" i="11"/>
  <c r="AY96" i="11"/>
  <c r="AX96" i="11"/>
  <c r="AU96" i="11"/>
  <c r="AT96" i="11"/>
  <c r="AS96" i="11"/>
  <c r="CB96" i="11" s="1"/>
  <c r="CL95" i="11"/>
  <c r="CE95" i="11"/>
  <c r="CD95" i="11"/>
  <c r="CC95" i="11"/>
  <c r="BV95" i="11"/>
  <c r="BT95" i="11"/>
  <c r="BS95" i="11"/>
  <c r="BR95" i="11"/>
  <c r="BK95" i="11"/>
  <c r="BJ95" i="11"/>
  <c r="BI95" i="11"/>
  <c r="BH95" i="11"/>
  <c r="BG95" i="11"/>
  <c r="BF95" i="11"/>
  <c r="BE95" i="11"/>
  <c r="BD95" i="11"/>
  <c r="BC95" i="11"/>
  <c r="BB95" i="11"/>
  <c r="BA95" i="11"/>
  <c r="AZ95" i="11"/>
  <c r="AY95" i="11"/>
  <c r="AX95" i="11"/>
  <c r="AU95" i="11"/>
  <c r="AT95" i="11"/>
  <c r="AS95" i="11"/>
  <c r="CB95" i="11" s="1"/>
  <c r="CL94" i="11"/>
  <c r="CE94" i="11"/>
  <c r="CD94" i="11"/>
  <c r="CC94" i="11"/>
  <c r="BV94" i="11"/>
  <c r="BT94" i="11"/>
  <c r="BS94" i="11"/>
  <c r="BR94" i="11"/>
  <c r="BK94" i="11"/>
  <c r="BJ94" i="11"/>
  <c r="BI94" i="11"/>
  <c r="BH94" i="11"/>
  <c r="BG94" i="11"/>
  <c r="BF94" i="11"/>
  <c r="BE94" i="11"/>
  <c r="BD94" i="11"/>
  <c r="BC94" i="11"/>
  <c r="BB94" i="11"/>
  <c r="BA94" i="11"/>
  <c r="AZ94" i="11"/>
  <c r="AY94" i="11"/>
  <c r="AX94" i="11"/>
  <c r="AU94" i="11"/>
  <c r="AT94" i="11"/>
  <c r="AS94" i="11"/>
  <c r="CB94" i="11" s="1"/>
  <c r="CL93" i="11"/>
  <c r="CE93" i="11"/>
  <c r="CD93" i="11"/>
  <c r="CC93" i="11"/>
  <c r="BV93" i="11"/>
  <c r="BT93" i="11"/>
  <c r="BS93" i="11"/>
  <c r="BR93" i="11"/>
  <c r="BK93" i="11"/>
  <c r="BJ93" i="11"/>
  <c r="BI93" i="11"/>
  <c r="BH93" i="11"/>
  <c r="BG93" i="11"/>
  <c r="BF93" i="11"/>
  <c r="BE93" i="11"/>
  <c r="BD93" i="11"/>
  <c r="BC93" i="11"/>
  <c r="BB93" i="11"/>
  <c r="BA93" i="11"/>
  <c r="AZ93" i="11"/>
  <c r="AY93" i="11"/>
  <c r="AX93" i="11"/>
  <c r="AU93" i="11"/>
  <c r="AT93" i="11"/>
  <c r="AS93" i="11"/>
  <c r="CB93" i="11" s="1"/>
  <c r="CL92" i="11"/>
  <c r="CE92" i="11"/>
  <c r="CD92" i="11"/>
  <c r="CC92" i="11"/>
  <c r="BV92" i="11"/>
  <c r="BT92" i="11"/>
  <c r="BS92" i="11"/>
  <c r="BR92" i="11"/>
  <c r="BK92" i="11"/>
  <c r="BJ92" i="11"/>
  <c r="BI92" i="11"/>
  <c r="BH92" i="11"/>
  <c r="BG92" i="11"/>
  <c r="BF92" i="11"/>
  <c r="BE92" i="11"/>
  <c r="BD92" i="11"/>
  <c r="BC92" i="11"/>
  <c r="BB92" i="11"/>
  <c r="BA92" i="11"/>
  <c r="AZ92" i="11"/>
  <c r="AY92" i="11"/>
  <c r="AX92" i="11"/>
  <c r="AU92" i="11"/>
  <c r="AT92" i="11"/>
  <c r="AS92" i="11"/>
  <c r="CB92" i="11" s="1"/>
  <c r="CL91" i="11"/>
  <c r="CE91" i="11"/>
  <c r="CD91" i="11"/>
  <c r="CC91" i="11"/>
  <c r="BV91" i="11"/>
  <c r="BT91" i="11"/>
  <c r="BS91" i="11"/>
  <c r="BR91" i="11"/>
  <c r="BK91" i="11"/>
  <c r="BJ91" i="11"/>
  <c r="BI91" i="11"/>
  <c r="BH91" i="11"/>
  <c r="BG91" i="11"/>
  <c r="BF91" i="11"/>
  <c r="BE91" i="11"/>
  <c r="BD91" i="11"/>
  <c r="BC91" i="11"/>
  <c r="BB91" i="11"/>
  <c r="BA91" i="11"/>
  <c r="AZ91" i="11"/>
  <c r="AY91" i="11"/>
  <c r="AX91" i="11"/>
  <c r="AU91" i="11"/>
  <c r="AT91" i="11"/>
  <c r="AS91" i="11"/>
  <c r="CB91" i="11" s="1"/>
  <c r="CL90" i="11"/>
  <c r="CE90" i="11"/>
  <c r="CD90" i="11"/>
  <c r="CC90" i="11"/>
  <c r="BV90" i="11"/>
  <c r="BT90" i="11"/>
  <c r="BS90" i="11"/>
  <c r="BR90" i="11"/>
  <c r="BK90" i="11"/>
  <c r="BJ90" i="11"/>
  <c r="BI90" i="11"/>
  <c r="BH90" i="11"/>
  <c r="BG90" i="11"/>
  <c r="BF90" i="11"/>
  <c r="BE90" i="11"/>
  <c r="BD90" i="11"/>
  <c r="BC90" i="11"/>
  <c r="BB90" i="11"/>
  <c r="BA90" i="11"/>
  <c r="AZ90" i="11"/>
  <c r="AY90" i="11"/>
  <c r="AX90" i="11"/>
  <c r="AU90" i="11"/>
  <c r="AT90" i="11"/>
  <c r="AS90" i="11"/>
  <c r="CB90" i="11" s="1"/>
  <c r="CL89" i="11"/>
  <c r="CE89" i="11"/>
  <c r="CD89" i="11"/>
  <c r="CC89" i="11"/>
  <c r="BV89" i="11"/>
  <c r="BT89" i="11"/>
  <c r="BS89" i="11"/>
  <c r="BR89" i="11"/>
  <c r="BK89" i="11"/>
  <c r="BJ89" i="11"/>
  <c r="BI89" i="11"/>
  <c r="BH89" i="11"/>
  <c r="BG89" i="11"/>
  <c r="BF89" i="11"/>
  <c r="BE89" i="11"/>
  <c r="BD89" i="11"/>
  <c r="BC89" i="11"/>
  <c r="BB89" i="11"/>
  <c r="BA89" i="11"/>
  <c r="AZ89" i="11"/>
  <c r="AY89" i="11"/>
  <c r="AX89" i="11"/>
  <c r="AU89" i="11"/>
  <c r="AT89" i="11"/>
  <c r="AS89" i="11"/>
  <c r="CB89" i="11" s="1"/>
  <c r="CL88" i="11"/>
  <c r="CE88" i="11"/>
  <c r="CD88" i="11"/>
  <c r="CC88" i="11"/>
  <c r="BV88" i="11"/>
  <c r="BT88" i="11"/>
  <c r="BS88" i="11"/>
  <c r="BR88" i="11"/>
  <c r="BK88" i="11"/>
  <c r="BJ88" i="11"/>
  <c r="BI88" i="11"/>
  <c r="BH88" i="11"/>
  <c r="BG88" i="11"/>
  <c r="BF88" i="11"/>
  <c r="BE88" i="11"/>
  <c r="BD88" i="11"/>
  <c r="BC88" i="11"/>
  <c r="BB88" i="11"/>
  <c r="BA88" i="11"/>
  <c r="AZ88" i="11"/>
  <c r="AY88" i="11"/>
  <c r="AX88" i="11"/>
  <c r="AU88" i="11"/>
  <c r="AT88" i="11"/>
  <c r="AS88" i="11"/>
  <c r="CB88" i="11" s="1"/>
  <c r="CL86" i="11"/>
  <c r="CE86" i="11"/>
  <c r="CD86" i="11"/>
  <c r="CC86" i="11"/>
  <c r="BV86" i="11"/>
  <c r="BT86" i="11"/>
  <c r="BS86" i="11"/>
  <c r="BR86" i="11"/>
  <c r="BK86" i="11"/>
  <c r="BJ86" i="11"/>
  <c r="BI86" i="11"/>
  <c r="BH86" i="11"/>
  <c r="BG86" i="11"/>
  <c r="BF86" i="11"/>
  <c r="BE86" i="11"/>
  <c r="BD86" i="11"/>
  <c r="BC86" i="11"/>
  <c r="BB86" i="11"/>
  <c r="BA86" i="11"/>
  <c r="AZ86" i="11"/>
  <c r="AY86" i="11"/>
  <c r="AX86" i="11"/>
  <c r="AW86" i="11"/>
  <c r="AU86" i="11"/>
  <c r="AT86" i="11"/>
  <c r="AS86" i="11"/>
  <c r="CB86" i="11" s="1"/>
  <c r="CL82" i="11"/>
  <c r="CE82" i="11"/>
  <c r="CD82" i="11"/>
  <c r="CC82" i="11"/>
  <c r="BV82" i="11"/>
  <c r="BT82" i="11"/>
  <c r="BS82" i="11"/>
  <c r="BR82" i="11"/>
  <c r="BK82" i="11"/>
  <c r="BJ82" i="11"/>
  <c r="BI82" i="11"/>
  <c r="BH82" i="11"/>
  <c r="BG82" i="11"/>
  <c r="BF82" i="11"/>
  <c r="BE82" i="11"/>
  <c r="BD82" i="11"/>
  <c r="BC82" i="11"/>
  <c r="BB82" i="11"/>
  <c r="BA82" i="11"/>
  <c r="AZ82" i="11"/>
  <c r="AY82" i="11"/>
  <c r="AX82" i="11"/>
  <c r="AW82" i="11"/>
  <c r="AU82" i="11"/>
  <c r="AT82" i="11"/>
  <c r="AS82" i="11"/>
  <c r="CB82" i="11" s="1"/>
  <c r="CL81" i="11"/>
  <c r="CE81" i="11"/>
  <c r="CD81" i="11"/>
  <c r="CC81" i="11"/>
  <c r="BV81" i="11"/>
  <c r="BT81" i="11"/>
  <c r="BS81" i="11"/>
  <c r="BR81" i="11"/>
  <c r="BK81" i="11"/>
  <c r="BJ81" i="11"/>
  <c r="BI81" i="11"/>
  <c r="BH81" i="11"/>
  <c r="BG81" i="11"/>
  <c r="BF81" i="11"/>
  <c r="BE81" i="11"/>
  <c r="BD81" i="11"/>
  <c r="BC81" i="11"/>
  <c r="BB81" i="11"/>
  <c r="BA81" i="11"/>
  <c r="AZ81" i="11"/>
  <c r="AY81" i="11"/>
  <c r="AX81" i="11"/>
  <c r="AW81" i="11"/>
  <c r="AU81" i="11"/>
  <c r="AT81" i="11"/>
  <c r="AS81" i="11"/>
  <c r="CB81" i="11" s="1"/>
  <c r="CL80" i="11"/>
  <c r="CE80" i="11"/>
  <c r="CD80" i="11"/>
  <c r="CC80" i="11"/>
  <c r="BV80" i="11"/>
  <c r="BT80" i="11"/>
  <c r="BS80" i="11"/>
  <c r="BR80" i="11"/>
  <c r="BK80" i="11"/>
  <c r="BJ80" i="11"/>
  <c r="BI80" i="11"/>
  <c r="BH80" i="11"/>
  <c r="BG80" i="11"/>
  <c r="BF80" i="11"/>
  <c r="BE80" i="11"/>
  <c r="BD80" i="11"/>
  <c r="BC80" i="11"/>
  <c r="BB80" i="11"/>
  <c r="BA80" i="11"/>
  <c r="AZ80" i="11"/>
  <c r="AY80" i="11"/>
  <c r="AX80" i="11"/>
  <c r="AW80" i="11"/>
  <c r="AU80" i="11"/>
  <c r="AT80" i="11"/>
  <c r="AS80" i="11"/>
  <c r="CB80" i="11" s="1"/>
  <c r="CL79" i="11"/>
  <c r="CE79" i="11"/>
  <c r="CD79" i="11"/>
  <c r="CC79" i="11"/>
  <c r="BV79" i="11"/>
  <c r="BT79" i="11"/>
  <c r="BS79" i="11"/>
  <c r="BR79" i="11"/>
  <c r="BK79" i="11"/>
  <c r="BJ79" i="11"/>
  <c r="BI79" i="11"/>
  <c r="BH79" i="11"/>
  <c r="BG79" i="11"/>
  <c r="BF79" i="11"/>
  <c r="BE79" i="11"/>
  <c r="BD79" i="11"/>
  <c r="BC79" i="11"/>
  <c r="BB79" i="11"/>
  <c r="BA79" i="11"/>
  <c r="AZ79" i="11"/>
  <c r="AY79" i="11"/>
  <c r="AX79" i="11"/>
  <c r="AW79" i="11"/>
  <c r="AU79" i="11"/>
  <c r="AT79" i="11"/>
  <c r="AS79" i="11"/>
  <c r="CB79" i="11" s="1"/>
  <c r="CL78" i="11"/>
  <c r="CE78" i="11"/>
  <c r="CD78" i="11"/>
  <c r="CC78" i="11"/>
  <c r="BV78" i="11"/>
  <c r="BT78" i="11"/>
  <c r="BS78" i="11"/>
  <c r="BR78" i="11"/>
  <c r="BK78" i="11"/>
  <c r="BJ78" i="11"/>
  <c r="BI78" i="11"/>
  <c r="BH78" i="11"/>
  <c r="BG78" i="11"/>
  <c r="BF78" i="11"/>
  <c r="BE78" i="11"/>
  <c r="BD78" i="11"/>
  <c r="BC78" i="11"/>
  <c r="BB78" i="11"/>
  <c r="BA78" i="11"/>
  <c r="AZ78" i="11"/>
  <c r="AY78" i="11"/>
  <c r="AX78" i="11"/>
  <c r="AW78" i="11"/>
  <c r="AU78" i="11"/>
  <c r="AT78" i="11"/>
  <c r="AS78" i="11"/>
  <c r="CB78" i="11" s="1"/>
  <c r="CL77" i="11"/>
  <c r="CE77" i="11"/>
  <c r="CD77" i="11"/>
  <c r="CC77" i="11"/>
  <c r="BV77" i="11"/>
  <c r="BT77" i="11"/>
  <c r="BS77" i="11"/>
  <c r="BR77" i="11"/>
  <c r="BK77" i="11"/>
  <c r="BJ77" i="11"/>
  <c r="BI77" i="11"/>
  <c r="BH77" i="11"/>
  <c r="BG77" i="11"/>
  <c r="BF77" i="11"/>
  <c r="BE77" i="11"/>
  <c r="BD77" i="11"/>
  <c r="BC77" i="11"/>
  <c r="BB77" i="11"/>
  <c r="BA77" i="11"/>
  <c r="AZ77" i="11"/>
  <c r="AY77" i="11"/>
  <c r="AX77" i="11"/>
  <c r="AW77" i="11"/>
  <c r="AU77" i="11"/>
  <c r="AT77" i="11"/>
  <c r="AS77" i="11"/>
  <c r="CB77" i="11" s="1"/>
  <c r="CL76" i="11"/>
  <c r="CH76" i="11"/>
  <c r="CG76" i="11"/>
  <c r="CF76" i="11"/>
  <c r="CE76" i="11"/>
  <c r="CD76" i="11"/>
  <c r="CC76" i="11"/>
  <c r="BV76" i="11"/>
  <c r="BT76" i="11"/>
  <c r="BS76" i="11"/>
  <c r="BR76" i="11"/>
  <c r="BK76" i="11"/>
  <c r="BJ76" i="11"/>
  <c r="BI76" i="11"/>
  <c r="BH76" i="11"/>
  <c r="BG76" i="11"/>
  <c r="BF76" i="11"/>
  <c r="BE76" i="11"/>
  <c r="BD76" i="11"/>
  <c r="BC76" i="11"/>
  <c r="BB76" i="11"/>
  <c r="BA76" i="11"/>
  <c r="AZ76" i="11"/>
  <c r="AY76" i="11"/>
  <c r="AX76" i="11"/>
  <c r="AW76" i="11"/>
  <c r="AU76" i="11"/>
  <c r="AT76" i="11"/>
  <c r="AS76" i="11"/>
  <c r="CB76" i="11" s="1"/>
  <c r="CL75" i="11"/>
  <c r="CE75" i="11"/>
  <c r="CD75" i="11"/>
  <c r="CC75" i="11"/>
  <c r="BV75" i="11"/>
  <c r="BT75" i="11"/>
  <c r="BS75" i="11"/>
  <c r="BR75" i="11"/>
  <c r="BK75" i="11"/>
  <c r="BJ75" i="11"/>
  <c r="BI75" i="11"/>
  <c r="BH75" i="11"/>
  <c r="BG75" i="11"/>
  <c r="BF75" i="11"/>
  <c r="BE75" i="11"/>
  <c r="BD75" i="11"/>
  <c r="BC75" i="11"/>
  <c r="BB75" i="11"/>
  <c r="BA75" i="11"/>
  <c r="AZ75" i="11"/>
  <c r="AY75" i="11"/>
  <c r="AX75" i="11"/>
  <c r="AW75" i="11"/>
  <c r="AU75" i="11"/>
  <c r="AT75" i="11"/>
  <c r="AS75" i="11"/>
  <c r="CB75" i="11" s="1"/>
  <c r="CL74" i="11"/>
  <c r="CE74" i="11"/>
  <c r="CD74" i="11"/>
  <c r="CC74" i="11"/>
  <c r="BV74" i="11"/>
  <c r="BT74" i="11"/>
  <c r="BS74" i="11"/>
  <c r="BR74" i="11"/>
  <c r="BK74" i="11"/>
  <c r="BJ74" i="11"/>
  <c r="BI74" i="11"/>
  <c r="BH74" i="11"/>
  <c r="BG74" i="11"/>
  <c r="BF74" i="11"/>
  <c r="BE74" i="11"/>
  <c r="BD74" i="11"/>
  <c r="BC74" i="11"/>
  <c r="BB74" i="11"/>
  <c r="BA74" i="11"/>
  <c r="AZ74" i="11"/>
  <c r="AY74" i="11"/>
  <c r="AX74" i="11"/>
  <c r="AW74" i="11"/>
  <c r="AU74" i="11"/>
  <c r="AT74" i="11"/>
  <c r="AS74" i="11"/>
  <c r="CB74" i="11" s="1"/>
  <c r="CL73" i="11"/>
  <c r="CE73" i="11"/>
  <c r="CD73" i="11"/>
  <c r="CC73" i="11"/>
  <c r="BV73" i="11"/>
  <c r="BT73" i="11"/>
  <c r="BS73" i="11"/>
  <c r="BR73" i="11"/>
  <c r="BK73" i="11"/>
  <c r="BJ73" i="11"/>
  <c r="BI73" i="11"/>
  <c r="BH73" i="11"/>
  <c r="BG73" i="11"/>
  <c r="BF73" i="11"/>
  <c r="BE73" i="11"/>
  <c r="BD73" i="11"/>
  <c r="BC73" i="11"/>
  <c r="BB73" i="11"/>
  <c r="BA73" i="11"/>
  <c r="AZ73" i="11"/>
  <c r="AY73" i="11"/>
  <c r="AX73" i="11"/>
  <c r="AW73" i="11"/>
  <c r="AU73" i="11"/>
  <c r="AT73" i="11"/>
  <c r="AS73" i="11"/>
  <c r="CB73" i="11" s="1"/>
  <c r="CL72" i="11"/>
  <c r="CE72" i="11"/>
  <c r="CD72" i="11"/>
  <c r="CC72" i="11"/>
  <c r="BV72" i="11"/>
  <c r="BT72" i="11"/>
  <c r="BS72" i="11"/>
  <c r="BR72" i="11"/>
  <c r="BK72" i="11"/>
  <c r="BJ72" i="11"/>
  <c r="BI72" i="11"/>
  <c r="BH72" i="11"/>
  <c r="BG72" i="11"/>
  <c r="BF72" i="11"/>
  <c r="BE72" i="11"/>
  <c r="BD72" i="11"/>
  <c r="BC72" i="11"/>
  <c r="BB72" i="11"/>
  <c r="BA72" i="11"/>
  <c r="AZ72" i="11"/>
  <c r="AY72" i="11"/>
  <c r="AX72" i="11"/>
  <c r="AW72" i="11"/>
  <c r="AU72" i="11"/>
  <c r="AT72" i="11"/>
  <c r="AS72" i="11"/>
  <c r="CB72" i="11" s="1"/>
  <c r="CL71" i="11"/>
  <c r="CE71" i="11"/>
  <c r="CD71" i="11"/>
  <c r="CC71" i="11"/>
  <c r="BV71" i="11"/>
  <c r="BT71" i="11"/>
  <c r="BS71" i="11"/>
  <c r="BR71" i="11"/>
  <c r="BK71" i="11"/>
  <c r="BJ71" i="11"/>
  <c r="BI71" i="11"/>
  <c r="BH71" i="11"/>
  <c r="BG71" i="11"/>
  <c r="BF71" i="11"/>
  <c r="BE71" i="11"/>
  <c r="BD71" i="11"/>
  <c r="BC71" i="11"/>
  <c r="BB71" i="11"/>
  <c r="BA71" i="11"/>
  <c r="AZ71" i="11"/>
  <c r="AY71" i="11"/>
  <c r="AX71" i="11"/>
  <c r="AW71" i="11"/>
  <c r="AU71" i="11"/>
  <c r="AT71" i="11"/>
  <c r="AS71" i="11"/>
  <c r="CB71" i="11" s="1"/>
  <c r="CL70" i="11"/>
  <c r="CE70" i="11"/>
  <c r="CD70" i="11"/>
  <c r="CC70" i="11"/>
  <c r="BV70" i="11"/>
  <c r="BT70" i="11"/>
  <c r="BS70" i="11"/>
  <c r="BR70" i="11"/>
  <c r="BK70" i="11"/>
  <c r="BJ70" i="11"/>
  <c r="BI70" i="11"/>
  <c r="BH70" i="11"/>
  <c r="BG70" i="11"/>
  <c r="BF70" i="11"/>
  <c r="BE70" i="11"/>
  <c r="BD70" i="11"/>
  <c r="BC70" i="11"/>
  <c r="BB70" i="11"/>
  <c r="BA70" i="11"/>
  <c r="AZ70" i="11"/>
  <c r="AY70" i="11"/>
  <c r="AX70" i="11"/>
  <c r="AW70" i="11"/>
  <c r="AU70" i="11"/>
  <c r="AT70" i="11"/>
  <c r="AS70" i="11"/>
  <c r="CB70" i="11" s="1"/>
  <c r="CL69" i="11"/>
  <c r="CE69" i="11"/>
  <c r="CD69" i="11"/>
  <c r="CC69" i="11"/>
  <c r="BV69" i="11"/>
  <c r="BT69" i="11"/>
  <c r="BS69" i="11"/>
  <c r="BR69" i="11"/>
  <c r="BK69" i="11"/>
  <c r="BJ69" i="11"/>
  <c r="BI69" i="11"/>
  <c r="BH69" i="11"/>
  <c r="BG69" i="11"/>
  <c r="BF69" i="11"/>
  <c r="BE69" i="11"/>
  <c r="BD69" i="11"/>
  <c r="BC69" i="11"/>
  <c r="BB69" i="11"/>
  <c r="BA69" i="11"/>
  <c r="AZ69" i="11"/>
  <c r="AY69" i="11"/>
  <c r="AX69" i="11"/>
  <c r="AW69" i="11"/>
  <c r="AU69" i="11"/>
  <c r="AT69" i="11"/>
  <c r="AS69" i="11"/>
  <c r="CB69" i="11" s="1"/>
  <c r="CL68" i="11"/>
  <c r="CE68" i="11"/>
  <c r="CD68" i="11"/>
  <c r="CC68" i="11"/>
  <c r="BV68" i="11"/>
  <c r="BT68" i="11"/>
  <c r="BS68" i="11"/>
  <c r="BR68" i="11"/>
  <c r="BK68" i="11"/>
  <c r="BJ68" i="11"/>
  <c r="BI68" i="11"/>
  <c r="BH68" i="11"/>
  <c r="BG68" i="11"/>
  <c r="BF68" i="11"/>
  <c r="BE68" i="11"/>
  <c r="BD68" i="11"/>
  <c r="BC68" i="11"/>
  <c r="BB68" i="11"/>
  <c r="BA68" i="11"/>
  <c r="AZ68" i="11"/>
  <c r="AY68" i="11"/>
  <c r="AX68" i="11"/>
  <c r="AW68" i="11"/>
  <c r="AU68" i="11"/>
  <c r="AT68" i="11"/>
  <c r="AS68" i="11"/>
  <c r="CB68" i="11" s="1"/>
  <c r="CL67" i="11"/>
  <c r="CE67" i="11"/>
  <c r="CD67" i="11"/>
  <c r="CC67" i="11"/>
  <c r="BV67" i="11"/>
  <c r="BT67" i="11"/>
  <c r="BS67" i="11"/>
  <c r="BR67" i="11"/>
  <c r="BK67" i="11"/>
  <c r="BJ67" i="11"/>
  <c r="BI67" i="11"/>
  <c r="BH67" i="11"/>
  <c r="BG67" i="11"/>
  <c r="BF67" i="11"/>
  <c r="BE67" i="11"/>
  <c r="BD67" i="11"/>
  <c r="BC67" i="11"/>
  <c r="BB67" i="11"/>
  <c r="BA67" i="11"/>
  <c r="AZ67" i="11"/>
  <c r="AY67" i="11"/>
  <c r="AX67" i="11"/>
  <c r="AW67" i="11"/>
  <c r="AU67" i="11"/>
  <c r="AT67" i="11"/>
  <c r="AS67" i="11"/>
  <c r="CB67" i="11" s="1"/>
  <c r="CL66" i="11"/>
  <c r="CE66" i="11"/>
  <c r="CD66" i="11"/>
  <c r="CC66" i="11"/>
  <c r="BV66" i="11"/>
  <c r="BT66" i="11"/>
  <c r="BS66" i="11"/>
  <c r="BR66" i="11"/>
  <c r="BK66" i="11"/>
  <c r="BJ66" i="11"/>
  <c r="BI66" i="11"/>
  <c r="BH66" i="11"/>
  <c r="BG66" i="11"/>
  <c r="BF66" i="11"/>
  <c r="BE66" i="11"/>
  <c r="BD66" i="11"/>
  <c r="BC66" i="11"/>
  <c r="BB66" i="11"/>
  <c r="BA66" i="11"/>
  <c r="AZ66" i="11"/>
  <c r="AY66" i="11"/>
  <c r="AX66" i="11"/>
  <c r="AW66" i="11"/>
  <c r="AU66" i="11"/>
  <c r="AT66" i="11"/>
  <c r="AS66" i="11"/>
  <c r="CB66" i="11" s="1"/>
  <c r="CL65" i="11"/>
  <c r="CE65" i="11"/>
  <c r="CD65" i="11"/>
  <c r="CC65" i="11"/>
  <c r="BV65" i="11"/>
  <c r="BT65" i="11"/>
  <c r="BS65" i="11"/>
  <c r="BR65" i="11"/>
  <c r="BK65" i="11"/>
  <c r="BJ65" i="11"/>
  <c r="BI65" i="11"/>
  <c r="BH65" i="11"/>
  <c r="BG65" i="11"/>
  <c r="BF65" i="11"/>
  <c r="BE65" i="11"/>
  <c r="BD65" i="11"/>
  <c r="BC65" i="11"/>
  <c r="BB65" i="11"/>
  <c r="BA65" i="11"/>
  <c r="AZ65" i="11"/>
  <c r="AY65" i="11"/>
  <c r="AX65" i="11"/>
  <c r="AW65" i="11"/>
  <c r="AU65" i="11"/>
  <c r="AT65" i="11"/>
  <c r="AS65" i="11"/>
  <c r="CB65" i="11" s="1"/>
  <c r="CL64" i="11"/>
  <c r="CE64" i="11"/>
  <c r="CD64" i="11"/>
  <c r="CC64" i="11"/>
  <c r="BV64" i="11"/>
  <c r="BT64" i="11"/>
  <c r="BS64" i="11"/>
  <c r="BR64" i="11"/>
  <c r="BK64" i="11"/>
  <c r="BJ64" i="11"/>
  <c r="BI64" i="11"/>
  <c r="BH64" i="11"/>
  <c r="BG64" i="11"/>
  <c r="BF64" i="11"/>
  <c r="BE64" i="11"/>
  <c r="BD64" i="11"/>
  <c r="BC64" i="11"/>
  <c r="BB64" i="11"/>
  <c r="BA64" i="11"/>
  <c r="AZ64" i="11"/>
  <c r="AY64" i="11"/>
  <c r="AX64" i="11"/>
  <c r="AW64" i="11"/>
  <c r="AU64" i="11"/>
  <c r="AT64" i="11"/>
  <c r="AS64" i="11"/>
  <c r="CB64" i="11" s="1"/>
  <c r="CL63" i="11"/>
  <c r="CE63" i="11"/>
  <c r="CD63" i="11"/>
  <c r="CC63" i="11"/>
  <c r="BV63" i="11"/>
  <c r="BT63" i="11"/>
  <c r="BS63" i="11"/>
  <c r="BR63" i="11"/>
  <c r="BK63" i="11"/>
  <c r="BJ63" i="11"/>
  <c r="BI63" i="11"/>
  <c r="BH63" i="11"/>
  <c r="BG63" i="11"/>
  <c r="BF63" i="11"/>
  <c r="BE63" i="11"/>
  <c r="BD63" i="11"/>
  <c r="BC63" i="11"/>
  <c r="BB63" i="11"/>
  <c r="BA63" i="11"/>
  <c r="AZ63" i="11"/>
  <c r="AY63" i="11"/>
  <c r="AX63" i="11"/>
  <c r="AW63" i="11"/>
  <c r="AU63" i="11"/>
  <c r="AT63" i="11"/>
  <c r="AS63" i="11"/>
  <c r="CB63" i="11" s="1"/>
  <c r="CL62" i="11"/>
  <c r="CE62" i="11"/>
  <c r="CD62" i="11"/>
  <c r="CC62" i="11"/>
  <c r="BV62" i="11"/>
  <c r="BT62" i="11"/>
  <c r="BS62" i="11"/>
  <c r="BR62" i="11"/>
  <c r="BK62" i="11"/>
  <c r="BJ62" i="11"/>
  <c r="BI62" i="11"/>
  <c r="BH62" i="11"/>
  <c r="BG62" i="11"/>
  <c r="BF62" i="11"/>
  <c r="BE62" i="11"/>
  <c r="BD62" i="11"/>
  <c r="BC62" i="11"/>
  <c r="BB62" i="11"/>
  <c r="BA62" i="11"/>
  <c r="AZ62" i="11"/>
  <c r="AY62" i="11"/>
  <c r="AX62" i="11"/>
  <c r="AW62" i="11"/>
  <c r="AU62" i="11"/>
  <c r="AT62" i="11"/>
  <c r="AS62" i="11"/>
  <c r="CB62" i="11" s="1"/>
  <c r="CL61" i="11"/>
  <c r="CE61" i="11"/>
  <c r="CD61" i="11"/>
  <c r="CC61" i="11"/>
  <c r="BV61" i="11"/>
  <c r="BT61" i="11"/>
  <c r="BS61" i="11"/>
  <c r="BR61" i="11"/>
  <c r="BK61" i="11"/>
  <c r="BJ61" i="11"/>
  <c r="BI61" i="11"/>
  <c r="BH61" i="11"/>
  <c r="BG61" i="11"/>
  <c r="BF61" i="11"/>
  <c r="BE61" i="11"/>
  <c r="BD61" i="11"/>
  <c r="BC61" i="11"/>
  <c r="BB61" i="11"/>
  <c r="BA61" i="11"/>
  <c r="AZ61" i="11"/>
  <c r="AY61" i="11"/>
  <c r="AX61" i="11"/>
  <c r="AW61" i="11"/>
  <c r="AU61" i="11"/>
  <c r="AT61" i="11"/>
  <c r="AS61" i="11"/>
  <c r="CB61" i="11" s="1"/>
  <c r="CL60" i="11"/>
  <c r="CE60" i="11"/>
  <c r="CD60" i="11"/>
  <c r="CC60" i="11"/>
  <c r="BV60" i="11"/>
  <c r="BT60" i="11"/>
  <c r="BS60" i="11"/>
  <c r="BR60" i="11"/>
  <c r="BK60" i="11"/>
  <c r="BJ60" i="11"/>
  <c r="BI60" i="11"/>
  <c r="BH60" i="11"/>
  <c r="BG60" i="11"/>
  <c r="BF60" i="11"/>
  <c r="BE60" i="11"/>
  <c r="BD60" i="11"/>
  <c r="BC60" i="11"/>
  <c r="BB60" i="11"/>
  <c r="BA60" i="11"/>
  <c r="AZ60" i="11"/>
  <c r="AY60" i="11"/>
  <c r="AX60" i="11"/>
  <c r="AW60" i="11"/>
  <c r="AU60" i="11"/>
  <c r="AT60" i="11"/>
  <c r="AS60" i="11"/>
  <c r="CB60" i="11" s="1"/>
  <c r="CL59" i="11"/>
  <c r="CE59" i="11"/>
  <c r="CD59" i="11"/>
  <c r="CC59" i="11"/>
  <c r="BV59" i="11"/>
  <c r="BT59" i="11"/>
  <c r="BS59" i="11"/>
  <c r="BR59" i="11"/>
  <c r="BK59" i="11"/>
  <c r="BJ59" i="11"/>
  <c r="BI59" i="11"/>
  <c r="BH59" i="11"/>
  <c r="BG59" i="11"/>
  <c r="BF59" i="11"/>
  <c r="BE59" i="11"/>
  <c r="BD59" i="11"/>
  <c r="BC59" i="11"/>
  <c r="BB59" i="11"/>
  <c r="BA59" i="11"/>
  <c r="AZ59" i="11"/>
  <c r="AY59" i="11"/>
  <c r="AX59" i="11"/>
  <c r="AW59" i="11"/>
  <c r="AU59" i="11"/>
  <c r="AT59" i="11"/>
  <c r="AS59" i="11"/>
  <c r="CB59" i="11" s="1"/>
  <c r="CL58" i="11"/>
  <c r="CE58" i="11"/>
  <c r="CD58" i="11"/>
  <c r="CC58" i="11"/>
  <c r="BV58" i="11"/>
  <c r="BT58" i="11"/>
  <c r="BS58" i="11"/>
  <c r="BR58" i="11"/>
  <c r="BK58" i="11"/>
  <c r="BJ58" i="11"/>
  <c r="BI58" i="11"/>
  <c r="BH58" i="11"/>
  <c r="BG58" i="11"/>
  <c r="BF58" i="11"/>
  <c r="BE58" i="11"/>
  <c r="BD58" i="11"/>
  <c r="BC58" i="11"/>
  <c r="BB58" i="11"/>
  <c r="BA58" i="11"/>
  <c r="AZ58" i="11"/>
  <c r="AY58" i="11"/>
  <c r="AX58" i="11"/>
  <c r="AW58" i="11"/>
  <c r="AU58" i="11"/>
  <c r="AT58" i="11"/>
  <c r="AS58" i="11"/>
  <c r="CB58" i="11" s="1"/>
  <c r="CL57" i="11"/>
  <c r="CE57" i="11"/>
  <c r="CD57" i="11"/>
  <c r="CC57" i="11"/>
  <c r="BV57" i="11"/>
  <c r="BT57" i="11"/>
  <c r="BS57" i="11"/>
  <c r="BR57" i="11"/>
  <c r="BK57" i="11"/>
  <c r="BJ57" i="11"/>
  <c r="BI57" i="11"/>
  <c r="BH57" i="11"/>
  <c r="BG57" i="11"/>
  <c r="BF57" i="11"/>
  <c r="BE57" i="11"/>
  <c r="BD57" i="11"/>
  <c r="BC57" i="11"/>
  <c r="BB57" i="11"/>
  <c r="BA57" i="11"/>
  <c r="AZ57" i="11"/>
  <c r="AY57" i="11"/>
  <c r="AX57" i="11"/>
  <c r="AW57" i="11"/>
  <c r="AU57" i="11"/>
  <c r="AT57" i="11"/>
  <c r="AS57" i="11"/>
  <c r="CB57" i="11" s="1"/>
  <c r="CL126" i="11"/>
  <c r="CH126" i="11"/>
  <c r="CG126" i="11"/>
  <c r="CF126" i="11"/>
  <c r="CE126" i="11"/>
  <c r="CD126" i="11"/>
  <c r="CC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B126" i="11" s="1"/>
  <c r="CL124" i="11"/>
  <c r="CH124" i="11"/>
  <c r="CG124" i="11"/>
  <c r="CE124" i="11"/>
  <c r="CD124" i="11"/>
  <c r="CC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B124" i="11" s="1"/>
  <c r="CL125" i="11"/>
  <c r="CH125" i="11"/>
  <c r="CG125" i="11"/>
  <c r="CE125" i="11"/>
  <c r="CD125" i="11"/>
  <c r="CC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B125" i="11" s="1"/>
  <c r="CL123" i="11"/>
  <c r="CH123" i="11"/>
  <c r="CG123" i="11"/>
  <c r="CE123" i="11"/>
  <c r="CD123" i="11"/>
  <c r="CC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B123" i="11" s="1"/>
  <c r="CL122" i="11"/>
  <c r="CH122" i="11"/>
  <c r="CG122" i="11"/>
  <c r="CE122" i="11"/>
  <c r="CD122" i="11"/>
  <c r="CC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B122" i="11" s="1"/>
  <c r="CL121" i="11"/>
  <c r="CH121" i="11"/>
  <c r="CG121" i="11"/>
  <c r="CE121" i="11"/>
  <c r="CD121" i="11"/>
  <c r="CC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B121" i="11" s="1"/>
  <c r="CL120" i="11"/>
  <c r="CH120" i="11"/>
  <c r="CG120" i="11"/>
  <c r="CE120" i="11"/>
  <c r="CD120" i="11"/>
  <c r="CC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B120" i="11" s="1"/>
  <c r="CL119" i="11"/>
  <c r="CH119" i="11"/>
  <c r="CG119" i="11"/>
  <c r="CE119" i="11"/>
  <c r="CD119" i="11"/>
  <c r="CC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B119" i="11" s="1"/>
  <c r="CL118" i="11"/>
  <c r="CH118" i="11"/>
  <c r="CG118" i="11"/>
  <c r="CE118" i="11"/>
  <c r="CD118" i="11"/>
  <c r="CC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B118" i="11" s="1"/>
  <c r="CL117" i="11"/>
  <c r="CH117" i="11"/>
  <c r="CG117" i="11"/>
  <c r="CF117" i="11"/>
  <c r="CE117" i="11"/>
  <c r="CD117" i="11"/>
  <c r="CC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B117" i="11" s="1"/>
  <c r="CL116" i="11"/>
  <c r="CE116" i="11"/>
  <c r="CD116" i="11"/>
  <c r="CC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B116" i="11" s="1"/>
  <c r="CL112" i="11"/>
  <c r="CE112" i="11"/>
  <c r="CD112" i="11"/>
  <c r="CC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B112" i="11" s="1"/>
  <c r="CL111" i="11"/>
  <c r="CH111" i="11"/>
  <c r="CG111" i="11"/>
  <c r="CE111" i="11"/>
  <c r="CD111" i="11"/>
  <c r="CC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B111" i="11" s="1"/>
  <c r="CL110" i="11"/>
  <c r="CH110" i="11"/>
  <c r="CG110" i="11"/>
  <c r="CE110" i="11"/>
  <c r="CD110" i="11"/>
  <c r="CC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B110" i="11" s="1"/>
  <c r="CL115" i="11"/>
  <c r="CH115" i="11"/>
  <c r="CG115" i="11"/>
  <c r="CE115" i="11"/>
  <c r="CD115" i="11"/>
  <c r="CC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B115" i="11" s="1"/>
  <c r="CL114" i="11"/>
  <c r="CH114" i="11"/>
  <c r="CG114" i="11"/>
  <c r="CE114" i="11"/>
  <c r="CD114" i="11"/>
  <c r="CC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B114" i="11" s="1"/>
  <c r="CL113" i="11"/>
  <c r="CH113" i="11"/>
  <c r="CG113" i="11"/>
  <c r="CE113" i="11"/>
  <c r="CD113" i="11"/>
  <c r="CC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B113" i="11" s="1"/>
  <c r="CL109" i="11"/>
  <c r="CH109" i="11"/>
  <c r="CG109" i="11"/>
  <c r="CE109" i="11"/>
  <c r="CD109" i="11"/>
  <c r="CC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B109" i="11" s="1"/>
  <c r="C252" i="5"/>
  <c r="C253" i="5"/>
  <c r="C254" i="5"/>
  <c r="AW87" i="11" s="1"/>
  <c r="C255" i="5"/>
  <c r="AW102" i="11" s="1"/>
  <c r="C256" i="5"/>
  <c r="C257" i="5"/>
  <c r="C258" i="5"/>
  <c r="C259" i="5"/>
  <c r="C260" i="5"/>
  <c r="C261" i="5"/>
  <c r="C262" i="5"/>
  <c r="C263" i="5"/>
  <c r="C264" i="5"/>
  <c r="C265" i="5"/>
  <c r="C266" i="5"/>
  <c r="C267" i="5"/>
  <c r="C268" i="5"/>
  <c r="C269" i="5"/>
  <c r="C270" i="5"/>
  <c r="C271" i="5"/>
  <c r="AW109" i="11" s="1"/>
  <c r="C272" i="5"/>
  <c r="C273" i="5"/>
  <c r="C274" i="5"/>
  <c r="C275" i="5"/>
  <c r="C276" i="5"/>
  <c r="C277" i="5"/>
  <c r="C278" i="5"/>
  <c r="C279" i="5"/>
  <c r="C280" i="5"/>
  <c r="C281" i="5"/>
  <c r="C282" i="5"/>
  <c r="AW111" i="11" s="1"/>
  <c r="C283" i="5"/>
  <c r="AW112" i="11" s="1"/>
  <c r="C284" i="5"/>
  <c r="C285" i="5"/>
  <c r="C286" i="5"/>
  <c r="C287" i="5"/>
  <c r="AW113" i="11" s="1"/>
  <c r="C288" i="5"/>
  <c r="C289" i="5"/>
  <c r="C290" i="5"/>
  <c r="C291" i="5"/>
  <c r="C292" i="5"/>
  <c r="C293" i="5"/>
  <c r="C294" i="5"/>
  <c r="AW125" i="11" s="1"/>
  <c r="C295" i="5"/>
  <c r="C296" i="5"/>
  <c r="C297" i="5"/>
  <c r="C298" i="5"/>
  <c r="C299" i="5"/>
  <c r="C300" i="5"/>
  <c r="C301" i="5"/>
  <c r="C251" i="5"/>
  <c r="CL87" i="11"/>
  <c r="CH87" i="11"/>
  <c r="CG87" i="11"/>
  <c r="CE87" i="11"/>
  <c r="CD87" i="11"/>
  <c r="CC87" i="11"/>
  <c r="BV87" i="11"/>
  <c r="BT87" i="11"/>
  <c r="BS87" i="11"/>
  <c r="BR87" i="11"/>
  <c r="BK87" i="11"/>
  <c r="BJ87" i="11"/>
  <c r="BI87" i="11"/>
  <c r="BH87" i="11"/>
  <c r="BG87" i="11"/>
  <c r="BF87" i="11"/>
  <c r="BE87" i="11"/>
  <c r="BD87" i="11"/>
  <c r="BC87" i="11"/>
  <c r="BB87" i="11"/>
  <c r="BA87" i="11"/>
  <c r="AZ87" i="11"/>
  <c r="AY87" i="11"/>
  <c r="AX87" i="11"/>
  <c r="AU87" i="11"/>
  <c r="AT87" i="11"/>
  <c r="AS87" i="11"/>
  <c r="CB87" i="11" s="1"/>
  <c r="CL23" i="11"/>
  <c r="CH23" i="11"/>
  <c r="CG23" i="11"/>
  <c r="CE23" i="11"/>
  <c r="CD23" i="11"/>
  <c r="CC23" i="11"/>
  <c r="BV23" i="11"/>
  <c r="BT23" i="11"/>
  <c r="BS23" i="11"/>
  <c r="BR23" i="11"/>
  <c r="BK23" i="11"/>
  <c r="BJ23" i="11"/>
  <c r="BI23" i="11"/>
  <c r="BH23" i="11"/>
  <c r="BG23" i="11"/>
  <c r="BF23" i="11"/>
  <c r="BE23" i="11"/>
  <c r="BD23" i="11"/>
  <c r="BC23" i="11"/>
  <c r="BB23" i="11"/>
  <c r="BA23" i="11"/>
  <c r="AZ23" i="11"/>
  <c r="AY23" i="11"/>
  <c r="AX23" i="11"/>
  <c r="AW23" i="11"/>
  <c r="AU23" i="11"/>
  <c r="AT23" i="11"/>
  <c r="AS23" i="11"/>
  <c r="CB23" i="11" s="1"/>
  <c r="CL44" i="11"/>
  <c r="CH44" i="11"/>
  <c r="CE44" i="11"/>
  <c r="CD44" i="11"/>
  <c r="CC44" i="11"/>
  <c r="BV44" i="11"/>
  <c r="BT44" i="11"/>
  <c r="BS44" i="11"/>
  <c r="BR44" i="11"/>
  <c r="BK44" i="11"/>
  <c r="BJ44" i="11"/>
  <c r="BI44" i="11"/>
  <c r="BH44" i="11"/>
  <c r="BG44" i="11"/>
  <c r="BF44" i="11"/>
  <c r="BE44" i="11"/>
  <c r="BD44" i="11"/>
  <c r="BC44" i="11"/>
  <c r="BB44" i="11"/>
  <c r="BA44" i="11"/>
  <c r="AZ44" i="11"/>
  <c r="AY44" i="11"/>
  <c r="AX44" i="11"/>
  <c r="AW44" i="11"/>
  <c r="AU44" i="11"/>
  <c r="AT44" i="11"/>
  <c r="AS44" i="11"/>
  <c r="CB44" i="11" s="1"/>
  <c r="CL43" i="11"/>
  <c r="CH43" i="11"/>
  <c r="CE43" i="11"/>
  <c r="CD43" i="11"/>
  <c r="CC43" i="11"/>
  <c r="BV43" i="11"/>
  <c r="BT43" i="11"/>
  <c r="BS43" i="11"/>
  <c r="BR43" i="11"/>
  <c r="BK43" i="11"/>
  <c r="BJ43" i="11"/>
  <c r="BI43" i="11"/>
  <c r="BH43" i="11"/>
  <c r="BG43" i="11"/>
  <c r="BF43" i="11"/>
  <c r="BE43" i="11"/>
  <c r="BD43" i="11"/>
  <c r="BC43" i="11"/>
  <c r="BB43" i="11"/>
  <c r="BA43" i="11"/>
  <c r="AZ43" i="11"/>
  <c r="AY43" i="11"/>
  <c r="AX43" i="11"/>
  <c r="AW43" i="11"/>
  <c r="AU43" i="11"/>
  <c r="AT43" i="11"/>
  <c r="AS43" i="11"/>
  <c r="CB43" i="11" s="1"/>
  <c r="CL42" i="11"/>
  <c r="CH42" i="11"/>
  <c r="CE42" i="11"/>
  <c r="CD42" i="11"/>
  <c r="CC42" i="11"/>
  <c r="BT42" i="11"/>
  <c r="BS42" i="11"/>
  <c r="BR42" i="11"/>
  <c r="BK42" i="11"/>
  <c r="BJ42" i="11"/>
  <c r="BI42" i="11"/>
  <c r="BH42" i="11"/>
  <c r="BG42" i="11"/>
  <c r="BF42" i="11"/>
  <c r="BE42" i="11"/>
  <c r="BD42" i="11"/>
  <c r="BC42" i="11"/>
  <c r="BB42" i="11"/>
  <c r="BA42" i="11"/>
  <c r="AZ42" i="11"/>
  <c r="AY42" i="11"/>
  <c r="AX42" i="11"/>
  <c r="AW42" i="11"/>
  <c r="AU42" i="11"/>
  <c r="AT42" i="11"/>
  <c r="AS42" i="11"/>
  <c r="CB42" i="11" s="1"/>
  <c r="CL38" i="11"/>
  <c r="CH38" i="11"/>
  <c r="CG38" i="11"/>
  <c r="CE38" i="11"/>
  <c r="CD38" i="11"/>
  <c r="CC38" i="11"/>
  <c r="BV38" i="11"/>
  <c r="BT38" i="11"/>
  <c r="BS38" i="11"/>
  <c r="BR38" i="11"/>
  <c r="BK38" i="11"/>
  <c r="BJ38" i="11"/>
  <c r="BI38" i="11"/>
  <c r="BH38" i="11"/>
  <c r="BG38" i="11"/>
  <c r="BF38" i="11"/>
  <c r="BE38" i="11"/>
  <c r="BD38" i="11"/>
  <c r="BC38" i="11"/>
  <c r="BB38" i="11"/>
  <c r="BA38" i="11"/>
  <c r="AZ38" i="11"/>
  <c r="AY38" i="11"/>
  <c r="AX38" i="11"/>
  <c r="AW38" i="11"/>
  <c r="AU38" i="11"/>
  <c r="AT38" i="11"/>
  <c r="AS38" i="11"/>
  <c r="CB38" i="11" s="1"/>
  <c r="CL37" i="11"/>
  <c r="CH37" i="11"/>
  <c r="CG37" i="11"/>
  <c r="CE37" i="11"/>
  <c r="CD37" i="11"/>
  <c r="CC37" i="11"/>
  <c r="BV37" i="11"/>
  <c r="BT37" i="11"/>
  <c r="BS37" i="11"/>
  <c r="BR37" i="11"/>
  <c r="BK37" i="11"/>
  <c r="BJ37" i="11"/>
  <c r="BI37" i="11"/>
  <c r="BH37" i="11"/>
  <c r="BG37" i="11"/>
  <c r="BF37" i="11"/>
  <c r="BE37" i="11"/>
  <c r="BD37" i="11"/>
  <c r="BC37" i="11"/>
  <c r="BB37" i="11"/>
  <c r="BA37" i="11"/>
  <c r="AZ37" i="11"/>
  <c r="AY37" i="11"/>
  <c r="AX37" i="11"/>
  <c r="AW37" i="11"/>
  <c r="AU37" i="11"/>
  <c r="AT37" i="11"/>
  <c r="AS37" i="11"/>
  <c r="CB37" i="11" s="1"/>
  <c r="CL36" i="11"/>
  <c r="CH36" i="11"/>
  <c r="CG36" i="11"/>
  <c r="CE36" i="11"/>
  <c r="CD36" i="11"/>
  <c r="CC36" i="11"/>
  <c r="BV36" i="11"/>
  <c r="BT36" i="11"/>
  <c r="BS36" i="11"/>
  <c r="BR36" i="11"/>
  <c r="BK36" i="11"/>
  <c r="BJ36" i="11"/>
  <c r="BI36" i="11"/>
  <c r="BH36" i="11"/>
  <c r="BG36" i="11"/>
  <c r="BF36" i="11"/>
  <c r="BE36" i="11"/>
  <c r="BD36" i="11"/>
  <c r="BC36" i="11"/>
  <c r="BB36" i="11"/>
  <c r="BA36" i="11"/>
  <c r="AZ36" i="11"/>
  <c r="AY36" i="11"/>
  <c r="AX36" i="11"/>
  <c r="AW36" i="11"/>
  <c r="AU36" i="11"/>
  <c r="AT36" i="11"/>
  <c r="AS36" i="11"/>
  <c r="CB36" i="11" s="1"/>
  <c r="CL35" i="11"/>
  <c r="CH35" i="11"/>
  <c r="CG35" i="11"/>
  <c r="CE35" i="11"/>
  <c r="CD35" i="11"/>
  <c r="CC35" i="11"/>
  <c r="BV35" i="11"/>
  <c r="BT35" i="11"/>
  <c r="BS35" i="11"/>
  <c r="BR35" i="11"/>
  <c r="BK35" i="11"/>
  <c r="BJ35" i="11"/>
  <c r="BI35" i="11"/>
  <c r="BH35" i="11"/>
  <c r="BG35" i="11"/>
  <c r="BF35" i="11"/>
  <c r="BE35" i="11"/>
  <c r="BD35" i="11"/>
  <c r="BC35" i="11"/>
  <c r="BB35" i="11"/>
  <c r="BA35" i="11"/>
  <c r="AZ35" i="11"/>
  <c r="AY35" i="11"/>
  <c r="AX35" i="11"/>
  <c r="AW35" i="11"/>
  <c r="AU35" i="11"/>
  <c r="AT35" i="11"/>
  <c r="AS35" i="11"/>
  <c r="CB35" i="11" s="1"/>
  <c r="CL34" i="11"/>
  <c r="CH34" i="11"/>
  <c r="CG34" i="11"/>
  <c r="CE34" i="11"/>
  <c r="CD34" i="11"/>
  <c r="CC34" i="11"/>
  <c r="BV34" i="11"/>
  <c r="BT34" i="11"/>
  <c r="BS34" i="11"/>
  <c r="BR34" i="11"/>
  <c r="BK34" i="11"/>
  <c r="BJ34" i="11"/>
  <c r="BI34" i="11"/>
  <c r="BH34" i="11"/>
  <c r="BG34" i="11"/>
  <c r="BF34" i="11"/>
  <c r="BE34" i="11"/>
  <c r="BD34" i="11"/>
  <c r="BC34" i="11"/>
  <c r="BB34" i="11"/>
  <c r="BA34" i="11"/>
  <c r="AZ34" i="11"/>
  <c r="AY34" i="11"/>
  <c r="AX34" i="11"/>
  <c r="AW34" i="11"/>
  <c r="AU34" i="11"/>
  <c r="AT34" i="11"/>
  <c r="AS34" i="11"/>
  <c r="CB34" i="11" s="1"/>
  <c r="CL33" i="11"/>
  <c r="CH33" i="11"/>
  <c r="CE33" i="11"/>
  <c r="CD33" i="11"/>
  <c r="CC33" i="11"/>
  <c r="BV33" i="11"/>
  <c r="BT33" i="11"/>
  <c r="BS33" i="11"/>
  <c r="BR33" i="11"/>
  <c r="BK33" i="11"/>
  <c r="BJ33" i="11"/>
  <c r="BI33" i="11"/>
  <c r="BH33" i="11"/>
  <c r="BG33" i="11"/>
  <c r="BF33" i="11"/>
  <c r="BE33" i="11"/>
  <c r="BD33" i="11"/>
  <c r="BC33" i="11"/>
  <c r="BB33" i="11"/>
  <c r="BA33" i="11"/>
  <c r="AZ33" i="11"/>
  <c r="AY33" i="11"/>
  <c r="AX33" i="11"/>
  <c r="AW33" i="11"/>
  <c r="AU33" i="11"/>
  <c r="AT33" i="11"/>
  <c r="AS33" i="11"/>
  <c r="CB33" i="11" s="1"/>
  <c r="CL18" i="11"/>
  <c r="CE18" i="11"/>
  <c r="CD18" i="11"/>
  <c r="CC18" i="11"/>
  <c r="BV18" i="11"/>
  <c r="BT18" i="11"/>
  <c r="BS18" i="11"/>
  <c r="BR18" i="11"/>
  <c r="BK18" i="11"/>
  <c r="BJ18" i="11"/>
  <c r="BI18" i="11"/>
  <c r="BH18" i="11"/>
  <c r="BG18" i="11"/>
  <c r="BF18" i="11"/>
  <c r="BE18" i="11"/>
  <c r="BD18" i="11"/>
  <c r="BC18" i="11"/>
  <c r="BB18" i="11"/>
  <c r="BA18" i="11"/>
  <c r="AZ18" i="11"/>
  <c r="AY18" i="11"/>
  <c r="AX18" i="11"/>
  <c r="AW18" i="11"/>
  <c r="AU18" i="11"/>
  <c r="AT18" i="11"/>
  <c r="AS18" i="11"/>
  <c r="CB18" i="11" s="1"/>
  <c r="CL22" i="11"/>
  <c r="CE22" i="11"/>
  <c r="CD22" i="11"/>
  <c r="CC22" i="11"/>
  <c r="BV22" i="11"/>
  <c r="BT22" i="11"/>
  <c r="BS22" i="11"/>
  <c r="BR22" i="11"/>
  <c r="BK22" i="11"/>
  <c r="BJ22" i="11"/>
  <c r="BI22" i="11"/>
  <c r="BH22" i="11"/>
  <c r="BG22" i="11"/>
  <c r="BF22" i="11"/>
  <c r="BE22" i="11"/>
  <c r="BD22" i="11"/>
  <c r="BC22" i="11"/>
  <c r="BB22" i="11"/>
  <c r="BA22" i="11"/>
  <c r="AZ22" i="11"/>
  <c r="AY22" i="11"/>
  <c r="AX22" i="11"/>
  <c r="AW22" i="11"/>
  <c r="AU22" i="11"/>
  <c r="AT22" i="11"/>
  <c r="AS22" i="11"/>
  <c r="CB22" i="11" s="1"/>
  <c r="CL21" i="11"/>
  <c r="CE21" i="11"/>
  <c r="CD21" i="11"/>
  <c r="CC21" i="11"/>
  <c r="BV21" i="11"/>
  <c r="BT21" i="11"/>
  <c r="BS21" i="11"/>
  <c r="BR21" i="11"/>
  <c r="BK21" i="11"/>
  <c r="BJ21" i="11"/>
  <c r="BI21" i="11"/>
  <c r="BH21" i="11"/>
  <c r="BG21" i="11"/>
  <c r="BF21" i="11"/>
  <c r="BE21" i="11"/>
  <c r="BD21" i="11"/>
  <c r="BC21" i="11"/>
  <c r="BB21" i="11"/>
  <c r="BA21" i="11"/>
  <c r="AZ21" i="11"/>
  <c r="AY21" i="11"/>
  <c r="AX21" i="11"/>
  <c r="AW21" i="11"/>
  <c r="AU21" i="11"/>
  <c r="AT21" i="11"/>
  <c r="AS21" i="11"/>
  <c r="CB21" i="11" s="1"/>
  <c r="CL20" i="11"/>
  <c r="CE20" i="11"/>
  <c r="CD20" i="11"/>
  <c r="CC20" i="11"/>
  <c r="BV20" i="11"/>
  <c r="BT20" i="11"/>
  <c r="BS20" i="11"/>
  <c r="BR20" i="11"/>
  <c r="BK20" i="11"/>
  <c r="BJ20" i="11"/>
  <c r="BI20" i="11"/>
  <c r="BH20" i="11"/>
  <c r="BG20" i="11"/>
  <c r="BF20" i="11"/>
  <c r="BE20" i="11"/>
  <c r="BD20" i="11"/>
  <c r="BC20" i="11"/>
  <c r="BB20" i="11"/>
  <c r="BA20" i="11"/>
  <c r="AZ20" i="11"/>
  <c r="AY20" i="11"/>
  <c r="AX20" i="11"/>
  <c r="AW20" i="11"/>
  <c r="AU20" i="11"/>
  <c r="AT20" i="11"/>
  <c r="AS20" i="11"/>
  <c r="CB20" i="11" s="1"/>
  <c r="CL19" i="11"/>
  <c r="CE19" i="11"/>
  <c r="CD19" i="11"/>
  <c r="CC19" i="11"/>
  <c r="BV19" i="11"/>
  <c r="BT19" i="11"/>
  <c r="BS19" i="11"/>
  <c r="BR19" i="11"/>
  <c r="BK19" i="11"/>
  <c r="BJ19" i="11"/>
  <c r="BI19" i="11"/>
  <c r="BH19" i="11"/>
  <c r="BG19" i="11"/>
  <c r="BF19" i="11"/>
  <c r="BE19" i="11"/>
  <c r="BD19" i="11"/>
  <c r="BC19" i="11"/>
  <c r="BB19" i="11"/>
  <c r="BA19" i="11"/>
  <c r="AZ19" i="11"/>
  <c r="AY19" i="11"/>
  <c r="AX19" i="11"/>
  <c r="AW19" i="11"/>
  <c r="AU19" i="11"/>
  <c r="AT19" i="11"/>
  <c r="AS19" i="11"/>
  <c r="CB19" i="11" s="1"/>
  <c r="CL8" i="11"/>
  <c r="CH8" i="11"/>
  <c r="CG8" i="11"/>
  <c r="CF8" i="11"/>
  <c r="CE8" i="11"/>
  <c r="CD8" i="11"/>
  <c r="CC8" i="11"/>
  <c r="BV8" i="11"/>
  <c r="BT8" i="11"/>
  <c r="BS8" i="11"/>
  <c r="BR8" i="11"/>
  <c r="BK8" i="11"/>
  <c r="BJ8" i="11"/>
  <c r="BI8" i="11"/>
  <c r="BH8" i="11"/>
  <c r="BG8" i="11"/>
  <c r="BF8" i="11"/>
  <c r="BE8" i="11"/>
  <c r="BD8" i="11"/>
  <c r="BC8" i="11"/>
  <c r="BB8" i="11"/>
  <c r="BA8" i="11"/>
  <c r="AZ8" i="11"/>
  <c r="AY8" i="11"/>
  <c r="AX8" i="11"/>
  <c r="AW8" i="11"/>
  <c r="AU8" i="11"/>
  <c r="AT8" i="11"/>
  <c r="AS8" i="11"/>
  <c r="CB8" i="11" s="1"/>
  <c r="AS7" i="11"/>
  <c r="CB7" i="11" s="1"/>
  <c r="AT7" i="11"/>
  <c r="AU7" i="11"/>
  <c r="AW7" i="11"/>
  <c r="AX7" i="11"/>
  <c r="AY7" i="11"/>
  <c r="AZ7" i="11"/>
  <c r="BA7" i="11"/>
  <c r="BB7" i="11"/>
  <c r="BC7" i="11"/>
  <c r="BD7" i="11"/>
  <c r="BE7" i="11"/>
  <c r="BF7" i="11"/>
  <c r="BG7" i="11"/>
  <c r="BH7" i="11"/>
  <c r="BI7" i="11"/>
  <c r="BJ7" i="11"/>
  <c r="BK7" i="11"/>
  <c r="BR7" i="11"/>
  <c r="BS7" i="11"/>
  <c r="BT7" i="11"/>
  <c r="BV7" i="11"/>
  <c r="CC7" i="11"/>
  <c r="CD7" i="11"/>
  <c r="CE7" i="11"/>
  <c r="CF7" i="11"/>
  <c r="CG7" i="11"/>
  <c r="CH7" i="11"/>
  <c r="CL7" i="11"/>
  <c r="CL32" i="11"/>
  <c r="CH32" i="11"/>
  <c r="CG32" i="11"/>
  <c r="CE32" i="11"/>
  <c r="CD32" i="11"/>
  <c r="CC32" i="11"/>
  <c r="BT32" i="11"/>
  <c r="BS32" i="11"/>
  <c r="BR32" i="11"/>
  <c r="BK32" i="11"/>
  <c r="BJ32" i="11"/>
  <c r="BI32" i="11"/>
  <c r="BH32" i="11"/>
  <c r="BG32" i="11"/>
  <c r="BF32" i="11"/>
  <c r="BE32" i="11"/>
  <c r="BD32" i="11"/>
  <c r="BC32" i="11"/>
  <c r="BB32" i="11"/>
  <c r="BA32" i="11"/>
  <c r="AZ32" i="11"/>
  <c r="AY32" i="11"/>
  <c r="AX32" i="11"/>
  <c r="AW32" i="11"/>
  <c r="AU32" i="11"/>
  <c r="AT32" i="11"/>
  <c r="AS32" i="11"/>
  <c r="CB32" i="11" s="1"/>
  <c r="CL31" i="11"/>
  <c r="CE31" i="11"/>
  <c r="CD31" i="11"/>
  <c r="CC31" i="11"/>
  <c r="BT31" i="11"/>
  <c r="BS31" i="11"/>
  <c r="BR31" i="11"/>
  <c r="BK31" i="11"/>
  <c r="BJ31" i="11"/>
  <c r="BI31" i="11"/>
  <c r="BH31" i="11"/>
  <c r="BG31" i="11"/>
  <c r="BF31" i="11"/>
  <c r="BE31" i="11"/>
  <c r="BD31" i="11"/>
  <c r="BC31" i="11"/>
  <c r="BB31" i="11"/>
  <c r="BA31" i="11"/>
  <c r="AZ31" i="11"/>
  <c r="AY31" i="11"/>
  <c r="AX31" i="11"/>
  <c r="AW31" i="11"/>
  <c r="AU31" i="11"/>
  <c r="AT31" i="11"/>
  <c r="AS31" i="11"/>
  <c r="CB31" i="11" s="1"/>
  <c r="CL132" i="11"/>
  <c r="CH132" i="11"/>
  <c r="CG132" i="11"/>
  <c r="CF132" i="11"/>
  <c r="CE132" i="11"/>
  <c r="CD132" i="11"/>
  <c r="CC132" i="11"/>
  <c r="BT132" i="11"/>
  <c r="BS132" i="11"/>
  <c r="BR132" i="11"/>
  <c r="BK132" i="11"/>
  <c r="BJ132" i="11"/>
  <c r="BI132" i="11"/>
  <c r="BH132" i="11"/>
  <c r="BG132" i="11"/>
  <c r="BF132" i="11"/>
  <c r="BE132" i="11"/>
  <c r="BD132" i="11"/>
  <c r="BC132" i="11"/>
  <c r="BB132" i="11"/>
  <c r="BA132" i="11"/>
  <c r="AZ132" i="11"/>
  <c r="AY132" i="11"/>
  <c r="AX132" i="11"/>
  <c r="AW132" i="11"/>
  <c r="AU132" i="11"/>
  <c r="AT132" i="11"/>
  <c r="AS132" i="11"/>
  <c r="CB132" i="11" s="1"/>
  <c r="CL51" i="11"/>
  <c r="CH51" i="11"/>
  <c r="CE51" i="11"/>
  <c r="CD51" i="11"/>
  <c r="CC51" i="11"/>
  <c r="BT51" i="11"/>
  <c r="BS51" i="11"/>
  <c r="BR51" i="11"/>
  <c r="BK51" i="11"/>
  <c r="BJ51" i="11"/>
  <c r="BI51" i="11"/>
  <c r="BH51" i="11"/>
  <c r="BG51" i="11"/>
  <c r="BF51" i="11"/>
  <c r="BE51" i="11"/>
  <c r="BD51" i="11"/>
  <c r="BC51" i="11"/>
  <c r="BB51" i="11"/>
  <c r="BA51" i="11"/>
  <c r="AZ51" i="11"/>
  <c r="AY51" i="11"/>
  <c r="AX51" i="11"/>
  <c r="AW51" i="11"/>
  <c r="AU51" i="11"/>
  <c r="AT51" i="11"/>
  <c r="AS51" i="11"/>
  <c r="CB51" i="11" s="1"/>
  <c r="CL53" i="11"/>
  <c r="CH53" i="11"/>
  <c r="CG53" i="11"/>
  <c r="CF53" i="11"/>
  <c r="CE53" i="11"/>
  <c r="CD53" i="11"/>
  <c r="CC53" i="11"/>
  <c r="BT53" i="11"/>
  <c r="BS53" i="11"/>
  <c r="BR53" i="11"/>
  <c r="BK53" i="11"/>
  <c r="BJ53" i="11"/>
  <c r="BI53" i="11"/>
  <c r="BH53" i="11"/>
  <c r="BG53" i="11"/>
  <c r="BF53" i="11"/>
  <c r="BE53" i="11"/>
  <c r="BD53" i="11"/>
  <c r="BC53" i="11"/>
  <c r="BB53" i="11"/>
  <c r="BA53" i="11"/>
  <c r="AZ53" i="11"/>
  <c r="AY53" i="11"/>
  <c r="AX53" i="11"/>
  <c r="AW53" i="11"/>
  <c r="AU53" i="11"/>
  <c r="AT53" i="11"/>
  <c r="AS53" i="11"/>
  <c r="CB53" i="11" s="1"/>
  <c r="CL136" i="11"/>
  <c r="CH136" i="11"/>
  <c r="CG136" i="11"/>
  <c r="CF136" i="11"/>
  <c r="CE136" i="11"/>
  <c r="CD136" i="11"/>
  <c r="CC136" i="11"/>
  <c r="BT136" i="11"/>
  <c r="BS136" i="11"/>
  <c r="BR136" i="11"/>
  <c r="BK136" i="11"/>
  <c r="BJ136" i="11"/>
  <c r="BI136" i="11"/>
  <c r="BH136" i="11"/>
  <c r="BG136" i="11"/>
  <c r="BF136" i="11"/>
  <c r="BE136" i="11"/>
  <c r="BD136" i="11"/>
  <c r="BC136" i="11"/>
  <c r="BB136" i="11"/>
  <c r="BA136" i="11"/>
  <c r="AZ136" i="11"/>
  <c r="AY136" i="11"/>
  <c r="AX136" i="11"/>
  <c r="AW136" i="11"/>
  <c r="AU136" i="11"/>
  <c r="AT136" i="11"/>
  <c r="AS136" i="11"/>
  <c r="CB136" i="11" s="1"/>
  <c r="CL39" i="11"/>
  <c r="CH39" i="11"/>
  <c r="CG39" i="11"/>
  <c r="CF39" i="11"/>
  <c r="CE39" i="11"/>
  <c r="CD39" i="11"/>
  <c r="CC39" i="11"/>
  <c r="BT39" i="11"/>
  <c r="BS39" i="11"/>
  <c r="BR39" i="11"/>
  <c r="BK39" i="11"/>
  <c r="BJ39" i="11"/>
  <c r="BI39" i="11"/>
  <c r="BH39" i="11"/>
  <c r="BG39" i="11"/>
  <c r="BF39" i="11"/>
  <c r="BE39" i="11"/>
  <c r="BD39" i="11"/>
  <c r="BC39" i="11"/>
  <c r="BB39" i="11"/>
  <c r="BA39" i="11"/>
  <c r="AZ39" i="11"/>
  <c r="AY39" i="11"/>
  <c r="AX39" i="11"/>
  <c r="AW39" i="11"/>
  <c r="AU39" i="11"/>
  <c r="AT39" i="11"/>
  <c r="AS39" i="11"/>
  <c r="CB39" i="11" s="1"/>
  <c r="CL11" i="11"/>
  <c r="CH11" i="11"/>
  <c r="CG11" i="11"/>
  <c r="CE11" i="11"/>
  <c r="CD11" i="11"/>
  <c r="CC11" i="11"/>
  <c r="BT11" i="11"/>
  <c r="BS11" i="11"/>
  <c r="BR11" i="11"/>
  <c r="BK11" i="11"/>
  <c r="BJ11" i="11"/>
  <c r="BI11" i="11"/>
  <c r="BH11" i="11"/>
  <c r="BG11" i="11"/>
  <c r="BF11" i="11"/>
  <c r="BE11" i="11"/>
  <c r="BD11" i="11"/>
  <c r="BC11" i="11"/>
  <c r="BB11" i="11"/>
  <c r="BA11" i="11"/>
  <c r="AZ11" i="11"/>
  <c r="AY11" i="11"/>
  <c r="AX11" i="11"/>
  <c r="AW11" i="11"/>
  <c r="AU11" i="11"/>
  <c r="AT11" i="11"/>
  <c r="AS11" i="11"/>
  <c r="CB11" i="11" s="1"/>
  <c r="CL138" i="11"/>
  <c r="CH138" i="11"/>
  <c r="CG138" i="11"/>
  <c r="CE138" i="11"/>
  <c r="CD138" i="11"/>
  <c r="CC138" i="11"/>
  <c r="BT138" i="11"/>
  <c r="BS138" i="11"/>
  <c r="BR138" i="11"/>
  <c r="BK138" i="11"/>
  <c r="BJ138" i="11"/>
  <c r="BI138" i="11"/>
  <c r="BH138" i="11"/>
  <c r="BG138" i="11"/>
  <c r="BF138" i="11"/>
  <c r="BE138" i="11"/>
  <c r="BD138" i="11"/>
  <c r="BC138" i="11"/>
  <c r="BB138" i="11"/>
  <c r="BA138" i="11"/>
  <c r="AZ138" i="11"/>
  <c r="AY138" i="11"/>
  <c r="AX138" i="11"/>
  <c r="AW138" i="11"/>
  <c r="AU138" i="11"/>
  <c r="AT138" i="11"/>
  <c r="AS138" i="11"/>
  <c r="CB138" i="11" s="1"/>
  <c r="CL133" i="11"/>
  <c r="CH133" i="11"/>
  <c r="CG133" i="11"/>
  <c r="CF133" i="11"/>
  <c r="CE133" i="11"/>
  <c r="CD133" i="11"/>
  <c r="CC133" i="11"/>
  <c r="BT133" i="11"/>
  <c r="BS133" i="11"/>
  <c r="BR133" i="11"/>
  <c r="BK133" i="11"/>
  <c r="BJ133" i="11"/>
  <c r="BI133" i="11"/>
  <c r="BH133" i="11"/>
  <c r="BG133" i="11"/>
  <c r="BF133" i="11"/>
  <c r="BE133" i="11"/>
  <c r="BD133" i="11"/>
  <c r="BC133" i="11"/>
  <c r="BB133" i="11"/>
  <c r="BA133" i="11"/>
  <c r="AZ133" i="11"/>
  <c r="AY133" i="11"/>
  <c r="AX133" i="11"/>
  <c r="AW133" i="11"/>
  <c r="AU133" i="11"/>
  <c r="AT133" i="11"/>
  <c r="AS133" i="11"/>
  <c r="CB133" i="11" s="1"/>
  <c r="CL52" i="11"/>
  <c r="CH52" i="11"/>
  <c r="CE52" i="11"/>
  <c r="CD52" i="11"/>
  <c r="CC52" i="11"/>
  <c r="BT52" i="11"/>
  <c r="BS52" i="11"/>
  <c r="BR52" i="11"/>
  <c r="BK52" i="11"/>
  <c r="BJ52" i="11"/>
  <c r="BI52" i="11"/>
  <c r="BH52" i="11"/>
  <c r="BG52" i="11"/>
  <c r="BF52" i="11"/>
  <c r="BE52" i="11"/>
  <c r="BD52" i="11"/>
  <c r="BC52" i="11"/>
  <c r="BB52" i="11"/>
  <c r="BA52" i="11"/>
  <c r="AZ52" i="11"/>
  <c r="AY52" i="11"/>
  <c r="AX52" i="11"/>
  <c r="AW52" i="11"/>
  <c r="AU52" i="11"/>
  <c r="AT52" i="11"/>
  <c r="AS52" i="11"/>
  <c r="CB52" i="11" s="1"/>
  <c r="CL27" i="11"/>
  <c r="CH27" i="11"/>
  <c r="CG27" i="11"/>
  <c r="CF27" i="11"/>
  <c r="CE27" i="11"/>
  <c r="CD27" i="11"/>
  <c r="CC27" i="11"/>
  <c r="BT27" i="11"/>
  <c r="BS27" i="11"/>
  <c r="BR27" i="11"/>
  <c r="BK27" i="11"/>
  <c r="BJ27" i="11"/>
  <c r="BI27" i="11"/>
  <c r="BH27" i="11"/>
  <c r="BG27" i="11"/>
  <c r="BF27" i="11"/>
  <c r="BE27" i="11"/>
  <c r="BD27" i="11"/>
  <c r="BC27" i="11"/>
  <c r="BB27" i="11"/>
  <c r="BA27" i="11"/>
  <c r="AZ27" i="11"/>
  <c r="AY27" i="11"/>
  <c r="AX27" i="11"/>
  <c r="AW27" i="11"/>
  <c r="AU27" i="11"/>
  <c r="AT27" i="11"/>
  <c r="AS27" i="11"/>
  <c r="CB27" i="11" s="1"/>
  <c r="CL50" i="11"/>
  <c r="CH50" i="11"/>
  <c r="CG50" i="11"/>
  <c r="CF50" i="11"/>
  <c r="CE50" i="11"/>
  <c r="CD50" i="11"/>
  <c r="CC50" i="11"/>
  <c r="BT50" i="11"/>
  <c r="BS50" i="11"/>
  <c r="BR50" i="11"/>
  <c r="BK50" i="11"/>
  <c r="BJ50" i="11"/>
  <c r="BI50" i="11"/>
  <c r="BH50" i="11"/>
  <c r="BG50" i="11"/>
  <c r="BF50" i="11"/>
  <c r="BE50" i="11"/>
  <c r="BD50" i="11"/>
  <c r="BC50" i="11"/>
  <c r="BB50" i="11"/>
  <c r="BA50" i="11"/>
  <c r="AZ50" i="11"/>
  <c r="AY50" i="11"/>
  <c r="AX50" i="11"/>
  <c r="AW50" i="11"/>
  <c r="AU50" i="11"/>
  <c r="AT50" i="11"/>
  <c r="AS50" i="11"/>
  <c r="CB50" i="11" s="1"/>
  <c r="CL131" i="11"/>
  <c r="CH131" i="11"/>
  <c r="CG131" i="11"/>
  <c r="CF131" i="11"/>
  <c r="CE131" i="11"/>
  <c r="CD131" i="11"/>
  <c r="CC131" i="11"/>
  <c r="BT131" i="11"/>
  <c r="BS131" i="11"/>
  <c r="BR131" i="11"/>
  <c r="BK131" i="11"/>
  <c r="BJ131" i="11"/>
  <c r="BI131" i="11"/>
  <c r="BH131" i="11"/>
  <c r="BG131" i="11"/>
  <c r="BF131" i="11"/>
  <c r="BE131" i="11"/>
  <c r="BD131" i="11"/>
  <c r="BC131" i="11"/>
  <c r="BB131" i="11"/>
  <c r="BA131" i="11"/>
  <c r="AZ131" i="11"/>
  <c r="AY131" i="11"/>
  <c r="AX131" i="11"/>
  <c r="AW131" i="11"/>
  <c r="AU131" i="11"/>
  <c r="AT131" i="11"/>
  <c r="AS131" i="11"/>
  <c r="CB131" i="11" s="1"/>
  <c r="CL17" i="11"/>
  <c r="CH17" i="11"/>
  <c r="CG17" i="11"/>
  <c r="CF17" i="11"/>
  <c r="CE17" i="11"/>
  <c r="CD17" i="11"/>
  <c r="CC17" i="11"/>
  <c r="BT17" i="11"/>
  <c r="BS17" i="11"/>
  <c r="BR17" i="11"/>
  <c r="BK17" i="11"/>
  <c r="BJ17" i="11"/>
  <c r="BI17" i="11"/>
  <c r="BH17" i="11"/>
  <c r="BG17" i="11"/>
  <c r="BF17" i="11"/>
  <c r="BE17" i="11"/>
  <c r="BD17" i="11"/>
  <c r="BC17" i="11"/>
  <c r="BB17" i="11"/>
  <c r="BA17" i="11"/>
  <c r="AZ17" i="11"/>
  <c r="AY17" i="11"/>
  <c r="AX17" i="11"/>
  <c r="AW17" i="11"/>
  <c r="AU17" i="11"/>
  <c r="AT17" i="11"/>
  <c r="AS17" i="11"/>
  <c r="CB17" i="11" s="1"/>
  <c r="CL10" i="11"/>
  <c r="CH10" i="11"/>
  <c r="CG10" i="11"/>
  <c r="CF10" i="11"/>
  <c r="CE10" i="11"/>
  <c r="CD10" i="11"/>
  <c r="CC10" i="11"/>
  <c r="BT10" i="11"/>
  <c r="BS10" i="11"/>
  <c r="BR10" i="11"/>
  <c r="BK10" i="11"/>
  <c r="BJ10" i="11"/>
  <c r="BI10" i="11"/>
  <c r="BH10" i="11"/>
  <c r="BG10" i="11"/>
  <c r="BF10" i="11"/>
  <c r="BE10" i="11"/>
  <c r="BD10" i="11"/>
  <c r="BC10" i="11"/>
  <c r="BB10" i="11"/>
  <c r="BA10" i="11"/>
  <c r="AZ10" i="11"/>
  <c r="AY10" i="11"/>
  <c r="AX10" i="11"/>
  <c r="AW10" i="11"/>
  <c r="AU10" i="11"/>
  <c r="AT10" i="11"/>
  <c r="AS10" i="11"/>
  <c r="CB10" i="11" s="1"/>
  <c r="CL16" i="11"/>
  <c r="CH16" i="11"/>
  <c r="CG16" i="11"/>
  <c r="CE16" i="11"/>
  <c r="CD16" i="11"/>
  <c r="CC16" i="11"/>
  <c r="BT16" i="11"/>
  <c r="BS16" i="11"/>
  <c r="BR16" i="11"/>
  <c r="BK16" i="11"/>
  <c r="BJ16" i="11"/>
  <c r="BI16" i="11"/>
  <c r="BH16" i="11"/>
  <c r="BG16" i="11"/>
  <c r="BF16" i="11"/>
  <c r="BE16" i="11"/>
  <c r="BD16" i="11"/>
  <c r="BC16" i="11"/>
  <c r="BB16" i="11"/>
  <c r="BA16" i="11"/>
  <c r="AZ16" i="11"/>
  <c r="AY16" i="11"/>
  <c r="AX16" i="11"/>
  <c r="AW16" i="11"/>
  <c r="AU16" i="11"/>
  <c r="AT16" i="11"/>
  <c r="AS16" i="11"/>
  <c r="CB16" i="11" s="1"/>
  <c r="CL15" i="11"/>
  <c r="CH15" i="11"/>
  <c r="CG15" i="11"/>
  <c r="CF15" i="11"/>
  <c r="CE15" i="11"/>
  <c r="CD15" i="11"/>
  <c r="CC15" i="11"/>
  <c r="BT15" i="11"/>
  <c r="BS15" i="11"/>
  <c r="BR15" i="11"/>
  <c r="BK15" i="11"/>
  <c r="BJ15" i="11"/>
  <c r="BI15" i="11"/>
  <c r="BH15" i="11"/>
  <c r="BG15" i="11"/>
  <c r="BF15" i="11"/>
  <c r="BE15" i="11"/>
  <c r="BD15" i="11"/>
  <c r="BC15" i="11"/>
  <c r="BB15" i="11"/>
  <c r="BA15" i="11"/>
  <c r="AZ15" i="11"/>
  <c r="AY15" i="11"/>
  <c r="AX15" i="11"/>
  <c r="AW15" i="11"/>
  <c r="AU15" i="11"/>
  <c r="AT15" i="11"/>
  <c r="AS15" i="11"/>
  <c r="CB15" i="11" s="1"/>
  <c r="CL30" i="11"/>
  <c r="CH30" i="11"/>
  <c r="CG30" i="11"/>
  <c r="CE30" i="11"/>
  <c r="CD30" i="11"/>
  <c r="CC30" i="11"/>
  <c r="BT30" i="11"/>
  <c r="BS30" i="11"/>
  <c r="BR30" i="11"/>
  <c r="BK30" i="11"/>
  <c r="BJ30" i="11"/>
  <c r="BI30" i="11"/>
  <c r="BH30" i="11"/>
  <c r="BG30" i="11"/>
  <c r="BF30" i="11"/>
  <c r="BE30" i="11"/>
  <c r="BD30" i="11"/>
  <c r="BC30" i="11"/>
  <c r="BB30" i="11"/>
  <c r="BA30" i="11"/>
  <c r="AZ30" i="11"/>
  <c r="AY30" i="11"/>
  <c r="AX30" i="11"/>
  <c r="AW30" i="11"/>
  <c r="AU30" i="11"/>
  <c r="AT30" i="11"/>
  <c r="AS30" i="11"/>
  <c r="CB30" i="11" s="1"/>
  <c r="CL14" i="11"/>
  <c r="CE14" i="11"/>
  <c r="CD14" i="11"/>
  <c r="CC14" i="11"/>
  <c r="BT14" i="11"/>
  <c r="BS14" i="11"/>
  <c r="BR14" i="11"/>
  <c r="BK14" i="11"/>
  <c r="BJ14" i="11"/>
  <c r="BI14" i="11"/>
  <c r="BH14" i="11"/>
  <c r="BG14" i="11"/>
  <c r="BF14" i="11"/>
  <c r="BE14" i="11"/>
  <c r="BD14" i="11"/>
  <c r="BC14" i="11"/>
  <c r="BB14" i="11"/>
  <c r="BA14" i="11"/>
  <c r="AZ14" i="11"/>
  <c r="AY14" i="11"/>
  <c r="AX14" i="11"/>
  <c r="AW14" i="11"/>
  <c r="AU14" i="11"/>
  <c r="AT14" i="11"/>
  <c r="AS14" i="11"/>
  <c r="CB14" i="11" s="1"/>
  <c r="CL49" i="11"/>
  <c r="CH49" i="11"/>
  <c r="CG49" i="11"/>
  <c r="CF49" i="11"/>
  <c r="CE49" i="11"/>
  <c r="CD49" i="11"/>
  <c r="CC49" i="11"/>
  <c r="BT49" i="11"/>
  <c r="BS49" i="11"/>
  <c r="BR49" i="11"/>
  <c r="BK49" i="11"/>
  <c r="BJ49" i="11"/>
  <c r="BI49" i="11"/>
  <c r="BH49" i="11"/>
  <c r="BG49" i="11"/>
  <c r="BF49" i="11"/>
  <c r="BE49" i="11"/>
  <c r="BD49" i="11"/>
  <c r="BC49" i="11"/>
  <c r="BB49" i="11"/>
  <c r="BA49" i="11"/>
  <c r="AZ49" i="11"/>
  <c r="AY49" i="11"/>
  <c r="AX49" i="11"/>
  <c r="AW49" i="11"/>
  <c r="AU49" i="11"/>
  <c r="AT49" i="11"/>
  <c r="AS49" i="11"/>
  <c r="CB49" i="11" s="1"/>
  <c r="CL128" i="11"/>
  <c r="CH128" i="11"/>
  <c r="CG128" i="11"/>
  <c r="CF128" i="11"/>
  <c r="CE128" i="11"/>
  <c r="CD128" i="11"/>
  <c r="CC128" i="11"/>
  <c r="BT128" i="11"/>
  <c r="BS128" i="11"/>
  <c r="BR128" i="11"/>
  <c r="BK128" i="11"/>
  <c r="BJ128" i="11"/>
  <c r="BI128" i="11"/>
  <c r="BH128" i="11"/>
  <c r="BG128" i="11"/>
  <c r="BF128" i="11"/>
  <c r="BE128" i="11"/>
  <c r="BD128" i="11"/>
  <c r="BC128" i="11"/>
  <c r="BB128" i="11"/>
  <c r="BA128" i="11"/>
  <c r="AZ128" i="11"/>
  <c r="AY128" i="11"/>
  <c r="AX128" i="11"/>
  <c r="AW128" i="11"/>
  <c r="AU128" i="11"/>
  <c r="AT128" i="11"/>
  <c r="AS128" i="11"/>
  <c r="CB128" i="11" s="1"/>
  <c r="CL9" i="11"/>
  <c r="CH9" i="11"/>
  <c r="CG9" i="11"/>
  <c r="CF9" i="11"/>
  <c r="CE9" i="11"/>
  <c r="CD9" i="11"/>
  <c r="CC9" i="11"/>
  <c r="BT9" i="11"/>
  <c r="BS9" i="11"/>
  <c r="BR9" i="11"/>
  <c r="BK9" i="11"/>
  <c r="BJ9" i="11"/>
  <c r="BI9" i="11"/>
  <c r="BH9" i="11"/>
  <c r="BG9" i="11"/>
  <c r="BF9" i="11"/>
  <c r="BE9" i="11"/>
  <c r="BD9" i="11"/>
  <c r="BC9" i="11"/>
  <c r="BB9" i="11"/>
  <c r="BA9" i="11"/>
  <c r="AZ9" i="11"/>
  <c r="AY9" i="11"/>
  <c r="AX9" i="11"/>
  <c r="AW9" i="11"/>
  <c r="AU9" i="11"/>
  <c r="AT9" i="11"/>
  <c r="AS9" i="11"/>
  <c r="CB9" i="11" s="1"/>
  <c r="CL13" i="11"/>
  <c r="CH13" i="11"/>
  <c r="CG13" i="11"/>
  <c r="CE13" i="11"/>
  <c r="CD13" i="11"/>
  <c r="CC13" i="11"/>
  <c r="BT13" i="11"/>
  <c r="BS13" i="11"/>
  <c r="BR13" i="11"/>
  <c r="BK13" i="11"/>
  <c r="BJ13" i="11"/>
  <c r="BI13" i="11"/>
  <c r="BH13" i="11"/>
  <c r="BG13" i="11"/>
  <c r="BF13" i="11"/>
  <c r="BE13" i="11"/>
  <c r="BD13" i="11"/>
  <c r="BC13" i="11"/>
  <c r="BB13" i="11"/>
  <c r="BA13" i="11"/>
  <c r="AZ13" i="11"/>
  <c r="AY13" i="11"/>
  <c r="AX13" i="11"/>
  <c r="AW13" i="11"/>
  <c r="AU13" i="11"/>
  <c r="AT13" i="11"/>
  <c r="AS13" i="11"/>
  <c r="CB13" i="11" s="1"/>
  <c r="CL130" i="11"/>
  <c r="CH130" i="11"/>
  <c r="CG130" i="11"/>
  <c r="CF130" i="11"/>
  <c r="CE130" i="11"/>
  <c r="CD130" i="11"/>
  <c r="CC130" i="11"/>
  <c r="BT130" i="11"/>
  <c r="BS130" i="11"/>
  <c r="BR130" i="11"/>
  <c r="BK130" i="11"/>
  <c r="BJ130" i="11"/>
  <c r="BI130" i="11"/>
  <c r="BH130" i="11"/>
  <c r="BG130" i="11"/>
  <c r="BF130" i="11"/>
  <c r="BE130" i="11"/>
  <c r="BD130" i="11"/>
  <c r="BC130" i="11"/>
  <c r="BB130" i="11"/>
  <c r="BA130" i="11"/>
  <c r="AZ130" i="11"/>
  <c r="AY130" i="11"/>
  <c r="AX130" i="11"/>
  <c r="AW130" i="11"/>
  <c r="AU130" i="11"/>
  <c r="AT130" i="11"/>
  <c r="AS130" i="11"/>
  <c r="CB130" i="11" s="1"/>
  <c r="CL45" i="11"/>
  <c r="CH45" i="11"/>
  <c r="CG45" i="11"/>
  <c r="CF45" i="11"/>
  <c r="CE45" i="11"/>
  <c r="CD45" i="11"/>
  <c r="CC45" i="11"/>
  <c r="BT45" i="11"/>
  <c r="BS45" i="11"/>
  <c r="BR45" i="11"/>
  <c r="BK45" i="11"/>
  <c r="BJ45" i="11"/>
  <c r="BI45" i="11"/>
  <c r="BH45" i="11"/>
  <c r="BG45" i="11"/>
  <c r="BF45" i="11"/>
  <c r="BE45" i="11"/>
  <c r="BD45" i="11"/>
  <c r="BC45" i="11"/>
  <c r="BB45" i="11"/>
  <c r="BA45" i="11"/>
  <c r="AZ45" i="11"/>
  <c r="AY45" i="11"/>
  <c r="AX45" i="11"/>
  <c r="AW45" i="11"/>
  <c r="AU45" i="11"/>
  <c r="AT45" i="11"/>
  <c r="AS45" i="11"/>
  <c r="CB45" i="11" s="1"/>
  <c r="CL40" i="11"/>
  <c r="CH40" i="11"/>
  <c r="CG40" i="11"/>
  <c r="CF40" i="11"/>
  <c r="CE40" i="11"/>
  <c r="CD40" i="11"/>
  <c r="CC40" i="11"/>
  <c r="BT40" i="11"/>
  <c r="BS40" i="11"/>
  <c r="BR40" i="11"/>
  <c r="BK40" i="11"/>
  <c r="BJ40" i="11"/>
  <c r="BI40" i="11"/>
  <c r="BH40" i="11"/>
  <c r="BG40" i="11"/>
  <c r="BF40" i="11"/>
  <c r="BE40" i="11"/>
  <c r="BD40" i="11"/>
  <c r="BC40" i="11"/>
  <c r="BB40" i="11"/>
  <c r="BA40" i="11"/>
  <c r="AZ40" i="11"/>
  <c r="AY40" i="11"/>
  <c r="AX40" i="11"/>
  <c r="AW40" i="11"/>
  <c r="AU40" i="11"/>
  <c r="AT40" i="11"/>
  <c r="AS40" i="11"/>
  <c r="CB40" i="11" s="1"/>
  <c r="CL54" i="11"/>
  <c r="CH54" i="11"/>
  <c r="CG54" i="11"/>
  <c r="CF54" i="11"/>
  <c r="CE54" i="11"/>
  <c r="CD54" i="11"/>
  <c r="CC54" i="11"/>
  <c r="BT54" i="11"/>
  <c r="BS54" i="11"/>
  <c r="BR54" i="11"/>
  <c r="BK54" i="11"/>
  <c r="BJ54" i="11"/>
  <c r="BI54" i="11"/>
  <c r="BH54" i="11"/>
  <c r="BG54" i="11"/>
  <c r="BF54" i="11"/>
  <c r="BE54" i="11"/>
  <c r="BD54" i="11"/>
  <c r="BC54" i="11"/>
  <c r="BB54" i="11"/>
  <c r="BA54" i="11"/>
  <c r="AZ54" i="11"/>
  <c r="AY54" i="11"/>
  <c r="AX54" i="11"/>
  <c r="AW54" i="11"/>
  <c r="AU54" i="11"/>
  <c r="AT54" i="11"/>
  <c r="AS54" i="11"/>
  <c r="CB54" i="11" s="1"/>
  <c r="CL137" i="11"/>
  <c r="CH137" i="11"/>
  <c r="CG137" i="11"/>
  <c r="CF137" i="11"/>
  <c r="CE137" i="11"/>
  <c r="CD137" i="11"/>
  <c r="CC137" i="11"/>
  <c r="BT137" i="11"/>
  <c r="BS137" i="11"/>
  <c r="BR137" i="11"/>
  <c r="BK137" i="11"/>
  <c r="BJ137" i="11"/>
  <c r="BI137" i="11"/>
  <c r="BH137" i="11"/>
  <c r="BG137" i="11"/>
  <c r="BF137" i="11"/>
  <c r="BE137" i="11"/>
  <c r="BD137" i="11"/>
  <c r="BC137" i="11"/>
  <c r="BB137" i="11"/>
  <c r="BA137" i="11"/>
  <c r="AZ137" i="11"/>
  <c r="AY137" i="11"/>
  <c r="AX137" i="11"/>
  <c r="AW137" i="11"/>
  <c r="AU137" i="11"/>
  <c r="AT137" i="11"/>
  <c r="AS137" i="11"/>
  <c r="CB137" i="11" s="1"/>
  <c r="CL48" i="11"/>
  <c r="CH48" i="11"/>
  <c r="CE48" i="11"/>
  <c r="CD48" i="11"/>
  <c r="CC48" i="11"/>
  <c r="BT48" i="11"/>
  <c r="BS48" i="11"/>
  <c r="BR48" i="11"/>
  <c r="BK48" i="11"/>
  <c r="BJ48" i="11"/>
  <c r="BI48" i="11"/>
  <c r="BH48" i="11"/>
  <c r="BG48" i="11"/>
  <c r="BF48" i="11"/>
  <c r="BE48" i="11"/>
  <c r="BD48" i="11"/>
  <c r="BC48" i="11"/>
  <c r="BB48" i="11"/>
  <c r="BA48" i="11"/>
  <c r="AZ48" i="11"/>
  <c r="AY48" i="11"/>
  <c r="AX48" i="11"/>
  <c r="AW48" i="11"/>
  <c r="AU48" i="11"/>
  <c r="AT48" i="11"/>
  <c r="AS48" i="11"/>
  <c r="CB48" i="11" s="1"/>
  <c r="CL135" i="11"/>
  <c r="CH135" i="11"/>
  <c r="CG135" i="11"/>
  <c r="CF135" i="11"/>
  <c r="CE135" i="11"/>
  <c r="CD135" i="11"/>
  <c r="CC135" i="11"/>
  <c r="BT135" i="11"/>
  <c r="BS135" i="11"/>
  <c r="BR135" i="11"/>
  <c r="BK135" i="11"/>
  <c r="BJ135" i="11"/>
  <c r="BI135" i="11"/>
  <c r="BH135" i="11"/>
  <c r="BG135" i="11"/>
  <c r="BF135" i="11"/>
  <c r="BE135" i="11"/>
  <c r="BD135" i="11"/>
  <c r="BC135" i="11"/>
  <c r="BB135" i="11"/>
  <c r="BA135" i="11"/>
  <c r="AZ135" i="11"/>
  <c r="AY135" i="11"/>
  <c r="AX135" i="11"/>
  <c r="AW135" i="11"/>
  <c r="AU135" i="11"/>
  <c r="AT135" i="11"/>
  <c r="AS135" i="11"/>
  <c r="CB135" i="11" s="1"/>
  <c r="CL55" i="11"/>
  <c r="CH55" i="11"/>
  <c r="CG55" i="11"/>
  <c r="CF55" i="11"/>
  <c r="CE55" i="11"/>
  <c r="CD55" i="11"/>
  <c r="CC55" i="11"/>
  <c r="BT55" i="11"/>
  <c r="BS55" i="11"/>
  <c r="BR55" i="11"/>
  <c r="BK55" i="11"/>
  <c r="BJ55" i="11"/>
  <c r="BI55" i="11"/>
  <c r="BH55" i="11"/>
  <c r="BG55" i="11"/>
  <c r="BF55" i="11"/>
  <c r="BE55" i="11"/>
  <c r="BD55" i="11"/>
  <c r="BC55" i="11"/>
  <c r="BB55" i="11"/>
  <c r="BA55" i="11"/>
  <c r="AZ55" i="11"/>
  <c r="AY55" i="11"/>
  <c r="AX55" i="11"/>
  <c r="AW55" i="11"/>
  <c r="AU55" i="11"/>
  <c r="AT55" i="11"/>
  <c r="AS55" i="11"/>
  <c r="CB55" i="11" s="1"/>
  <c r="CL41" i="11"/>
  <c r="CH41" i="11"/>
  <c r="CG41" i="11"/>
  <c r="CE41" i="11"/>
  <c r="CD41" i="11"/>
  <c r="CC41" i="11"/>
  <c r="BT41" i="11"/>
  <c r="BS41" i="11"/>
  <c r="BR41" i="11"/>
  <c r="BK41" i="11"/>
  <c r="BJ41" i="11"/>
  <c r="BI41" i="11"/>
  <c r="BH41" i="11"/>
  <c r="BG41" i="11"/>
  <c r="BF41" i="11"/>
  <c r="BE41" i="11"/>
  <c r="BD41" i="11"/>
  <c r="BC41" i="11"/>
  <c r="BB41" i="11"/>
  <c r="BA41" i="11"/>
  <c r="AZ41" i="11"/>
  <c r="AY41" i="11"/>
  <c r="AX41" i="11"/>
  <c r="AW41" i="11"/>
  <c r="AU41" i="11"/>
  <c r="AT41" i="11"/>
  <c r="AS41" i="11"/>
  <c r="CB41" i="11" s="1"/>
  <c r="CL25" i="11"/>
  <c r="CH25" i="11"/>
  <c r="CG25" i="11"/>
  <c r="CF25" i="11"/>
  <c r="CE25" i="11"/>
  <c r="CD25" i="11"/>
  <c r="CC25" i="11"/>
  <c r="BT25" i="11"/>
  <c r="BS25" i="11"/>
  <c r="BR25" i="11"/>
  <c r="BK25" i="11"/>
  <c r="BJ25" i="11"/>
  <c r="BI25" i="11"/>
  <c r="BH25" i="11"/>
  <c r="BG25" i="11"/>
  <c r="BF25" i="11"/>
  <c r="BE25" i="11"/>
  <c r="BD25" i="11"/>
  <c r="BC25" i="11"/>
  <c r="BB25" i="11"/>
  <c r="BA25" i="11"/>
  <c r="AZ25" i="11"/>
  <c r="AY25" i="11"/>
  <c r="AX25" i="11"/>
  <c r="AW25" i="11"/>
  <c r="AU25" i="11"/>
  <c r="AT25" i="11"/>
  <c r="AS25" i="11"/>
  <c r="CB25" i="11" s="1"/>
  <c r="CL47" i="11"/>
  <c r="CH47" i="11"/>
  <c r="CG47" i="11"/>
  <c r="CE47" i="11"/>
  <c r="CD47" i="11"/>
  <c r="CC47" i="11"/>
  <c r="BT47" i="11"/>
  <c r="BS47" i="11"/>
  <c r="BR47" i="11"/>
  <c r="BK47" i="11"/>
  <c r="BJ47" i="11"/>
  <c r="BI47" i="11"/>
  <c r="BH47" i="11"/>
  <c r="BG47" i="11"/>
  <c r="BF47" i="11"/>
  <c r="BE47" i="11"/>
  <c r="BD47" i="11"/>
  <c r="BC47" i="11"/>
  <c r="BB47" i="11"/>
  <c r="BA47" i="11"/>
  <c r="AZ47" i="11"/>
  <c r="AY47" i="11"/>
  <c r="AX47" i="11"/>
  <c r="AW47" i="11"/>
  <c r="AU47" i="11"/>
  <c r="AT47" i="11"/>
  <c r="AS47" i="11"/>
  <c r="CB47" i="11" s="1"/>
  <c r="CL29" i="11"/>
  <c r="CH29" i="11"/>
  <c r="CG29" i="11"/>
  <c r="CF29" i="11"/>
  <c r="CE29" i="11"/>
  <c r="CD29" i="11"/>
  <c r="CC29" i="11"/>
  <c r="BT29" i="11"/>
  <c r="BS29" i="11"/>
  <c r="BR29" i="11"/>
  <c r="BK29" i="11"/>
  <c r="BJ29" i="11"/>
  <c r="BI29" i="11"/>
  <c r="BH29" i="11"/>
  <c r="BG29" i="11"/>
  <c r="BF29" i="11"/>
  <c r="BE29" i="11"/>
  <c r="BD29" i="11"/>
  <c r="BC29" i="11"/>
  <c r="BB29" i="11"/>
  <c r="BA29" i="11"/>
  <c r="AZ29" i="11"/>
  <c r="AY29" i="11"/>
  <c r="AX29" i="11"/>
  <c r="AW29" i="11"/>
  <c r="AU29" i="11"/>
  <c r="AT29" i="11"/>
  <c r="AS29" i="11"/>
  <c r="CB29" i="11" s="1"/>
  <c r="CL46" i="11"/>
  <c r="CH46" i="11"/>
  <c r="CG46" i="11"/>
  <c r="CF46" i="11"/>
  <c r="CE46" i="11"/>
  <c r="CD46" i="11"/>
  <c r="CC46" i="11"/>
  <c r="BT46" i="11"/>
  <c r="BS46" i="11"/>
  <c r="BR46" i="11"/>
  <c r="BK46" i="11"/>
  <c r="BJ46" i="11"/>
  <c r="BI46" i="11"/>
  <c r="BH46" i="11"/>
  <c r="BG46" i="11"/>
  <c r="BF46" i="11"/>
  <c r="BE46" i="11"/>
  <c r="BD46" i="11"/>
  <c r="BC46" i="11"/>
  <c r="BB46" i="11"/>
  <c r="BA46" i="11"/>
  <c r="AZ46" i="11"/>
  <c r="AY46" i="11"/>
  <c r="AX46" i="11"/>
  <c r="AW46" i="11"/>
  <c r="AU46" i="11"/>
  <c r="AT46" i="11"/>
  <c r="AS46" i="11"/>
  <c r="CB46" i="11" s="1"/>
  <c r="CL139" i="11"/>
  <c r="CH139" i="11"/>
  <c r="CG139" i="11"/>
  <c r="CF139" i="11"/>
  <c r="CE139" i="11"/>
  <c r="CD139" i="11"/>
  <c r="CC139" i="11"/>
  <c r="BT139" i="11"/>
  <c r="BS139" i="11"/>
  <c r="BR139" i="11"/>
  <c r="BK139" i="11"/>
  <c r="BJ139" i="11"/>
  <c r="BI139" i="11"/>
  <c r="BH139" i="11"/>
  <c r="BG139" i="11"/>
  <c r="BF139" i="11"/>
  <c r="BE139" i="11"/>
  <c r="BD139" i="11"/>
  <c r="BC139" i="11"/>
  <c r="BB139" i="11"/>
  <c r="BA139" i="11"/>
  <c r="AZ139" i="11"/>
  <c r="AY139" i="11"/>
  <c r="AX139" i="11"/>
  <c r="AW139" i="11"/>
  <c r="AU139" i="11"/>
  <c r="AT139" i="11"/>
  <c r="AS139" i="11"/>
  <c r="CB139" i="11" s="1"/>
  <c r="CL134" i="11"/>
  <c r="CH134" i="11"/>
  <c r="CG134" i="11"/>
  <c r="CF134" i="11"/>
  <c r="CE134" i="11"/>
  <c r="CD134" i="11"/>
  <c r="CC134" i="11"/>
  <c r="BT134" i="11"/>
  <c r="BS134" i="11"/>
  <c r="BR134" i="11"/>
  <c r="BK134" i="11"/>
  <c r="BJ134" i="11"/>
  <c r="BI134" i="11"/>
  <c r="BH134" i="11"/>
  <c r="BG134" i="11"/>
  <c r="BF134" i="11"/>
  <c r="BE134" i="11"/>
  <c r="BD134" i="11"/>
  <c r="BC134" i="11"/>
  <c r="BB134" i="11"/>
  <c r="BA134" i="11"/>
  <c r="AZ134" i="11"/>
  <c r="AY134" i="11"/>
  <c r="AX134" i="11"/>
  <c r="AW134" i="11"/>
  <c r="AU134" i="11"/>
  <c r="AT134" i="11"/>
  <c r="AS134" i="11"/>
  <c r="CB134" i="11" s="1"/>
  <c r="CL28" i="11"/>
  <c r="CH28" i="11"/>
  <c r="CG28" i="11"/>
  <c r="CE28" i="11"/>
  <c r="CD28" i="11"/>
  <c r="CC28" i="11"/>
  <c r="BT28" i="11"/>
  <c r="BS28" i="11"/>
  <c r="BR28" i="11"/>
  <c r="BK28" i="11"/>
  <c r="BJ28" i="11"/>
  <c r="BI28" i="11"/>
  <c r="BH28" i="11"/>
  <c r="BG28" i="11"/>
  <c r="BF28" i="11"/>
  <c r="BE28" i="11"/>
  <c r="BD28" i="11"/>
  <c r="BC28" i="11"/>
  <c r="BB28" i="11"/>
  <c r="BA28" i="11"/>
  <c r="AZ28" i="11"/>
  <c r="AY28" i="11"/>
  <c r="AX28" i="11"/>
  <c r="AW28" i="11"/>
  <c r="AU28" i="11"/>
  <c r="AT28" i="11"/>
  <c r="AS28" i="11"/>
  <c r="CB28" i="11" s="1"/>
  <c r="CL24" i="11"/>
  <c r="CH24" i="11"/>
  <c r="CG24" i="11"/>
  <c r="CE24" i="11"/>
  <c r="CD24" i="11"/>
  <c r="CC24" i="11"/>
  <c r="BT24" i="11"/>
  <c r="BS24" i="11"/>
  <c r="BR24" i="11"/>
  <c r="BK24" i="11"/>
  <c r="BJ24" i="11"/>
  <c r="BI24" i="11"/>
  <c r="BH24" i="11"/>
  <c r="BG24" i="11"/>
  <c r="BF24" i="11"/>
  <c r="BE24" i="11"/>
  <c r="BD24" i="11"/>
  <c r="BC24" i="11"/>
  <c r="BB24" i="11"/>
  <c r="BA24" i="11"/>
  <c r="AZ24" i="11"/>
  <c r="AY24" i="11"/>
  <c r="AX24" i="11"/>
  <c r="AW24" i="11"/>
  <c r="AU24" i="11"/>
  <c r="AT24" i="11"/>
  <c r="AS24" i="11"/>
  <c r="CB24" i="11" s="1"/>
  <c r="CL12" i="11"/>
  <c r="CH12" i="11"/>
  <c r="CG12" i="11"/>
  <c r="CE12" i="11"/>
  <c r="CD12" i="11"/>
  <c r="CC12" i="11"/>
  <c r="BT12" i="11"/>
  <c r="BS12" i="11"/>
  <c r="BR12" i="11"/>
  <c r="BK12" i="11"/>
  <c r="BJ12" i="11"/>
  <c r="BI12" i="11"/>
  <c r="BH12" i="11"/>
  <c r="BG12" i="11"/>
  <c r="BF12" i="11"/>
  <c r="BE12" i="11"/>
  <c r="BD12" i="11"/>
  <c r="BC12" i="11"/>
  <c r="BB12" i="11"/>
  <c r="BA12" i="11"/>
  <c r="AZ12" i="11"/>
  <c r="AY12" i="11"/>
  <c r="AX12" i="11"/>
  <c r="AW12" i="11"/>
  <c r="AU12" i="11"/>
  <c r="AT12" i="11"/>
  <c r="AS12" i="11"/>
  <c r="CB12" i="11" s="1"/>
  <c r="CL56" i="11"/>
  <c r="CH56" i="11"/>
  <c r="CE56" i="11"/>
  <c r="CD56" i="11"/>
  <c r="CC56" i="11"/>
  <c r="BT56" i="11"/>
  <c r="BS56" i="11"/>
  <c r="BR56" i="11"/>
  <c r="BK56" i="11"/>
  <c r="BJ56" i="11"/>
  <c r="BI56" i="11"/>
  <c r="BH56" i="11"/>
  <c r="BG56" i="11"/>
  <c r="BF56" i="11"/>
  <c r="BE56" i="11"/>
  <c r="BD56" i="11"/>
  <c r="BC56" i="11"/>
  <c r="BB56" i="11"/>
  <c r="BA56" i="11"/>
  <c r="AZ56" i="11"/>
  <c r="AY56" i="11"/>
  <c r="AX56" i="11"/>
  <c r="AW56" i="11"/>
  <c r="AU56" i="11"/>
  <c r="AT56" i="11"/>
  <c r="AS56" i="11"/>
  <c r="CB56" i="11" s="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D115" i="8" s="1"/>
  <c r="A114" i="8"/>
  <c r="A109" i="8"/>
  <c r="D109" i="8" s="1"/>
  <c r="A108" i="8"/>
  <c r="A107" i="8"/>
  <c r="D107" i="8" s="1"/>
  <c r="A106" i="8"/>
  <c r="A105" i="8"/>
  <c r="D105" i="8" s="1"/>
  <c r="A104" i="8"/>
  <c r="D104" i="8" s="1"/>
  <c r="A103" i="8"/>
  <c r="D103" i="8" s="1"/>
  <c r="A102" i="8"/>
  <c r="A101" i="8"/>
  <c r="D101" i="8" s="1"/>
  <c r="A100" i="8"/>
  <c r="A99" i="8"/>
  <c r="A98" i="8"/>
  <c r="A97" i="8"/>
  <c r="D97" i="8" s="1"/>
  <c r="A95" i="8"/>
  <c r="D95" i="8" s="1"/>
  <c r="A94" i="8"/>
  <c r="D94" i="8" s="1"/>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D51" i="8" s="1"/>
  <c r="A50" i="8"/>
  <c r="A49" i="8"/>
  <c r="D49" i="8" s="1"/>
  <c r="A48" i="8"/>
  <c r="A47" i="8"/>
  <c r="A46" i="8"/>
  <c r="A45" i="8"/>
  <c r="D45" i="8" s="1"/>
  <c r="A44" i="8"/>
  <c r="D44" i="8" s="1"/>
  <c r="A43" i="8"/>
  <c r="D43" i="8" s="1"/>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D20" i="8" s="1"/>
  <c r="A19" i="8"/>
  <c r="D19" i="8" s="1"/>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22" i="8"/>
  <c r="D24" i="8"/>
  <c r="D26" i="8"/>
  <c r="D30" i="8"/>
  <c r="D31" i="8"/>
  <c r="D32" i="8"/>
  <c r="D34" i="8"/>
  <c r="D38" i="8"/>
  <c r="D39" i="8"/>
  <c r="D40" i="8"/>
  <c r="D42" i="8"/>
  <c r="D46" i="8"/>
  <c r="D47" i="8"/>
  <c r="D48" i="8"/>
  <c r="D50" i="8"/>
  <c r="D52" i="8"/>
  <c r="D54" i="8"/>
  <c r="D56" i="8"/>
  <c r="D58" i="8"/>
  <c r="D60" i="8"/>
  <c r="D63" i="8"/>
  <c r="D64" i="8"/>
  <c r="D65" i="8"/>
  <c r="D67" i="8"/>
  <c r="D71" i="8"/>
  <c r="D72" i="8"/>
  <c r="D73" i="8"/>
  <c r="D74" i="8"/>
  <c r="D76" i="8"/>
  <c r="D80" i="8"/>
  <c r="D81" i="8"/>
  <c r="D82" i="8"/>
  <c r="D84" i="8"/>
  <c r="D85" i="8"/>
  <c r="D89" i="8"/>
  <c r="D90" i="8"/>
  <c r="D91" i="8"/>
  <c r="D93" i="8"/>
  <c r="D96" i="8"/>
  <c r="D98" i="8"/>
  <c r="D99" i="8"/>
  <c r="D100" i="8"/>
  <c r="D102" i="8"/>
  <c r="D106" i="8"/>
  <c r="D108" i="8"/>
  <c r="D110" i="8"/>
  <c r="D111" i="8"/>
  <c r="D112" i="8"/>
  <c r="D113" i="8"/>
  <c r="D114"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F125" i="11"/>
  <c r="CF116" i="11"/>
  <c r="CH116" i="11"/>
  <c r="CG116" i="11"/>
  <c r="CF111" i="11"/>
  <c r="CG33" i="11"/>
  <c r="CH21" i="11"/>
  <c r="CG21" i="11"/>
  <c r="CG20" i="11"/>
  <c r="CH20" i="11"/>
  <c r="CH81" i="11"/>
  <c r="CH80" i="11"/>
  <c r="CH72" i="11"/>
  <c r="CH86" i="11"/>
  <c r="CG86" i="11"/>
  <c r="CG83" i="11"/>
  <c r="CG48" i="11"/>
  <c r="CG51" i="11"/>
  <c r="CH84" i="11"/>
  <c r="X66" i="13"/>
  <c r="CA66" i="13" s="1"/>
  <c r="X31" i="13"/>
  <c r="CA18" i="13"/>
  <c r="X6" i="13"/>
  <c r="CA6" i="13" s="1"/>
  <c r="CA19" i="13"/>
  <c r="CA17" i="13"/>
  <c r="BU1" i="11"/>
  <c r="CK6" i="11"/>
  <c r="CF106" i="11"/>
  <c r="CF66" i="11"/>
  <c r="CK63" i="11"/>
  <c r="CH71" i="11"/>
  <c r="BU139" i="11"/>
  <c r="CH90" i="11"/>
  <c r="CF95" i="11"/>
  <c r="BU19" i="11"/>
  <c r="BU93" i="11"/>
  <c r="CF89" i="11"/>
  <c r="BL11" i="11"/>
  <c r="BU36" i="11"/>
  <c r="CF99" i="11"/>
  <c r="CF122" i="11"/>
  <c r="BL135" i="11"/>
  <c r="BU18" i="11"/>
  <c r="CF138" i="11"/>
  <c r="CH89" i="11"/>
  <c r="BL41" i="11"/>
  <c r="BU105" i="11"/>
  <c r="BU17" i="11"/>
  <c r="BU15" i="11"/>
  <c r="CF63" i="11"/>
  <c r="BL102" i="11"/>
  <c r="BU75" i="11"/>
  <c r="CG104" i="11"/>
  <c r="CG103" i="11"/>
  <c r="BU107" i="11"/>
  <c r="BU122" i="11"/>
  <c r="CF20" i="11"/>
  <c r="BU22" i="11"/>
  <c r="CH68" i="11"/>
  <c r="BL52" i="11"/>
  <c r="CG69" i="11"/>
  <c r="BU92" i="11"/>
  <c r="CH14" i="11"/>
  <c r="CF72" i="11"/>
  <c r="CK124" i="11"/>
  <c r="CF118" i="11"/>
  <c r="CG98" i="11"/>
  <c r="BU133" i="11"/>
  <c r="BU81" i="11"/>
  <c r="CH82" i="11"/>
  <c r="CF38" i="11"/>
  <c r="BU77" i="11"/>
  <c r="CF94" i="11"/>
  <c r="BL58" i="11"/>
  <c r="BL38" i="11"/>
  <c r="BU43" i="11"/>
  <c r="CF104" i="11"/>
  <c r="CK103" i="11"/>
  <c r="BU21" i="11"/>
  <c r="CF79" i="11"/>
  <c r="CG82" i="11"/>
  <c r="BL125" i="11"/>
  <c r="CF110" i="11"/>
  <c r="CH57" i="11"/>
  <c r="BL53" i="11"/>
  <c r="CH59" i="11"/>
  <c r="BL25" i="11"/>
  <c r="BL17" i="11"/>
  <c r="BU110" i="11"/>
  <c r="CG85" i="11"/>
  <c r="BU129" i="11"/>
  <c r="BU62" i="11"/>
  <c r="BU58" i="11"/>
  <c r="CH112" i="11"/>
  <c r="BU56" i="11"/>
  <c r="BL59" i="11"/>
  <c r="CH31" i="11"/>
  <c r="CG63" i="11"/>
  <c r="BU111" i="11"/>
  <c r="BL29" i="11"/>
  <c r="BU97" i="11"/>
  <c r="CF41" i="11"/>
  <c r="CK119" i="11"/>
  <c r="BU53" i="11"/>
  <c r="CH67" i="11"/>
  <c r="BL87" i="11"/>
  <c r="BU132" i="11"/>
  <c r="BU108" i="11"/>
  <c r="CH66" i="11"/>
  <c r="CK41" i="11"/>
  <c r="CG71" i="11"/>
  <c r="CK20" i="11"/>
  <c r="CF18" i="11"/>
  <c r="CF44" i="11"/>
  <c r="BL61" i="11"/>
  <c r="CF19" i="11"/>
  <c r="BL36" i="11"/>
  <c r="CG102" i="11"/>
  <c r="BU31" i="11"/>
  <c r="BL54" i="11"/>
  <c r="CF121" i="11"/>
  <c r="CF61" i="11"/>
  <c r="CG74" i="11"/>
  <c r="BU86" i="11"/>
  <c r="CF67" i="11"/>
  <c r="BU54" i="11"/>
  <c r="CG44" i="11"/>
  <c r="BL73" i="11"/>
  <c r="BU109" i="11"/>
  <c r="CG99" i="11"/>
  <c r="CF28" i="11"/>
  <c r="BL9" i="11"/>
  <c r="BX1" i="11"/>
  <c r="BU104" i="11"/>
  <c r="BU85" i="11"/>
  <c r="CG96" i="11"/>
  <c r="CK123" i="11"/>
  <c r="BL40" i="11"/>
  <c r="CG77" i="11"/>
  <c r="BL136" i="11"/>
  <c r="BU102" i="11"/>
  <c r="CF88" i="11"/>
  <c r="BL71" i="11"/>
  <c r="BU42" i="11"/>
  <c r="CF65" i="11"/>
  <c r="CK33" i="11"/>
  <c r="CG26" i="11"/>
  <c r="BL74" i="11"/>
  <c r="BL45" i="11"/>
  <c r="BU41" i="11"/>
  <c r="CF43" i="11"/>
  <c r="CH22" i="11"/>
  <c r="BU115" i="11"/>
  <c r="CH69" i="11"/>
  <c r="CF34" i="11"/>
  <c r="BU37" i="11"/>
  <c r="CG65" i="11"/>
  <c r="CK93" i="11"/>
  <c r="CH64" i="11"/>
  <c r="CG66" i="11"/>
  <c r="BL33" i="11"/>
  <c r="CF82" i="11"/>
  <c r="BL55" i="11"/>
  <c r="CG58" i="11"/>
  <c r="BU39" i="11"/>
  <c r="BU7" i="11"/>
  <c r="CG94" i="11"/>
  <c r="CK113" i="11"/>
  <c r="BU63" i="11"/>
  <c r="CG56" i="11"/>
  <c r="CK26" i="11"/>
  <c r="BU91" i="11"/>
  <c r="CG57" i="11"/>
  <c r="CK105" i="11"/>
  <c r="CG73" i="11"/>
  <c r="BL49" i="11"/>
  <c r="BL68" i="11"/>
  <c r="CF85" i="11"/>
  <c r="BL47" i="11"/>
  <c r="CG89" i="11"/>
  <c r="CH63" i="11"/>
  <c r="CK83" i="11"/>
  <c r="BU38" i="11"/>
  <c r="BU128" i="11"/>
  <c r="BL46" i="11"/>
  <c r="CF13" i="11"/>
  <c r="CK16" i="11"/>
  <c r="CF68" i="11"/>
  <c r="BU136" i="11"/>
  <c r="CH58" i="11"/>
  <c r="CG90" i="11"/>
  <c r="CF114" i="11"/>
  <c r="CK118" i="11"/>
  <c r="BU52" i="11"/>
  <c r="CF90" i="11"/>
  <c r="BU131" i="11"/>
  <c r="BL138" i="11"/>
  <c r="BU71" i="11"/>
  <c r="CF21" i="11"/>
  <c r="BU89" i="11"/>
  <c r="CG42" i="11"/>
  <c r="BL70" i="11"/>
  <c r="BL113" i="11"/>
  <c r="BU48" i="11"/>
  <c r="BL50" i="11"/>
  <c r="BU14" i="11"/>
  <c r="CK59" i="11"/>
  <c r="BU70" i="11"/>
  <c r="CG97" i="11"/>
  <c r="BL131" i="11"/>
  <c r="BU35" i="11"/>
  <c r="BL76" i="11"/>
  <c r="CK82" i="11"/>
  <c r="CK67" i="11"/>
  <c r="BL133" i="11"/>
  <c r="CF124" i="11"/>
  <c r="CH91" i="11"/>
  <c r="BU32" i="11"/>
  <c r="BU106" i="11"/>
  <c r="CF11" i="11"/>
  <c r="CG88" i="11"/>
  <c r="BL62" i="11"/>
  <c r="BL132" i="11"/>
  <c r="BL23" i="11"/>
  <c r="CG18" i="11"/>
  <c r="CG75" i="11"/>
  <c r="CF24" i="11"/>
  <c r="BU125" i="11"/>
  <c r="CK47" i="11"/>
  <c r="BU95" i="11"/>
  <c r="BL134" i="11"/>
  <c r="CF108" i="11"/>
  <c r="BU27" i="11"/>
  <c r="BL31" i="11"/>
  <c r="CG72" i="11"/>
  <c r="BL48" i="11"/>
  <c r="CH73" i="11"/>
  <c r="CH85" i="11"/>
  <c r="BU8" i="11"/>
  <c r="BL86" i="11"/>
  <c r="BU9" i="11"/>
  <c r="BL1" i="11"/>
  <c r="BU34" i="11"/>
  <c r="CF36" i="11"/>
  <c r="BL12" i="11"/>
  <c r="CK25" i="11"/>
  <c r="BU45" i="11"/>
  <c r="CF107" i="11"/>
  <c r="BL78" i="11"/>
  <c r="BL57" i="11"/>
  <c r="CF120" i="11"/>
  <c r="CF123" i="11"/>
  <c r="BU137" i="11"/>
  <c r="CF80" i="11"/>
  <c r="BL112" i="11"/>
  <c r="BU87" i="11"/>
  <c r="CF35" i="11"/>
  <c r="CK112" i="11"/>
  <c r="CG64" i="11"/>
  <c r="CG68" i="11"/>
  <c r="CK117" i="11"/>
  <c r="BU50" i="11"/>
  <c r="CF86" i="11"/>
  <c r="BL37" i="11"/>
  <c r="BU114" i="11"/>
  <c r="BU98" i="11"/>
  <c r="CF30" i="11"/>
  <c r="CF115" i="11"/>
  <c r="BL65" i="11"/>
  <c r="BL66" i="11"/>
  <c r="BU88" i="11"/>
  <c r="CH74" i="11"/>
  <c r="BL85" i="11"/>
  <c r="BU30" i="11"/>
  <c r="CG100" i="11"/>
  <c r="BL56" i="11"/>
  <c r="BU67" i="11"/>
  <c r="CG14" i="11"/>
  <c r="BL75" i="11"/>
  <c r="CG108" i="11"/>
  <c r="CG91" i="11"/>
  <c r="CG107" i="11"/>
  <c r="CK125" i="11"/>
  <c r="CF71" i="11"/>
  <c r="CF33" i="11"/>
  <c r="BL43" i="11"/>
  <c r="BU78" i="11"/>
  <c r="CH78" i="11"/>
  <c r="BL111" i="11"/>
  <c r="BL15" i="11"/>
  <c r="BU44" i="11"/>
  <c r="BU116" i="11"/>
  <c r="BL60" i="11"/>
  <c r="CF57" i="11"/>
  <c r="CG129" i="11"/>
  <c r="CF42" i="11"/>
  <c r="CH61" i="11"/>
  <c r="CG60" i="11"/>
  <c r="BU23" i="11"/>
  <c r="CH75" i="11"/>
  <c r="BL109" i="11"/>
  <c r="CK128" i="11"/>
  <c r="BU113" i="11"/>
  <c r="CF98" i="11"/>
  <c r="BU68" i="11"/>
  <c r="CH98" i="11"/>
  <c r="CK34" i="11"/>
  <c r="BU65" i="11"/>
  <c r="CG106" i="11"/>
  <c r="CK127" i="11"/>
  <c r="BU99" i="11"/>
  <c r="BU135" i="11"/>
  <c r="BU10" i="11"/>
  <c r="CF129" i="11"/>
  <c r="BU13" i="11"/>
  <c r="CF105" i="11"/>
  <c r="CG80" i="11"/>
  <c r="CK135" i="11"/>
  <c r="BU11" i="11"/>
  <c r="CH108" i="11"/>
  <c r="CK81" i="11"/>
  <c r="CF109" i="11"/>
  <c r="BL77" i="11"/>
  <c r="BU29" i="11"/>
  <c r="CK129" i="11"/>
  <c r="CH93" i="11"/>
  <c r="BL80" i="11"/>
  <c r="CH60" i="11"/>
  <c r="BU26" i="11"/>
  <c r="BU83" i="11"/>
  <c r="CK71" i="11"/>
  <c r="BL35" i="11"/>
  <c r="BU12" i="11"/>
  <c r="BL129" i="11"/>
  <c r="BL39" i="11"/>
  <c r="BL21" i="11"/>
  <c r="BL8" i="11"/>
  <c r="BU6" i="11"/>
  <c r="BU16" i="11"/>
  <c r="CF73" i="11"/>
  <c r="BU73" i="11"/>
  <c r="CF60" i="11"/>
  <c r="BL20" i="11"/>
  <c r="BU28" i="11"/>
  <c r="CK122" i="11"/>
  <c r="CG78" i="11"/>
  <c r="CF52" i="11"/>
  <c r="BU124" i="11"/>
  <c r="BL72" i="11"/>
  <c r="CG92" i="11"/>
  <c r="BL16" i="11"/>
  <c r="CG43" i="11"/>
  <c r="CH96" i="11"/>
  <c r="CG22" i="11"/>
  <c r="BU126" i="11"/>
  <c r="BU123" i="11"/>
  <c r="CK121" i="11"/>
  <c r="CG101" i="11"/>
  <c r="CF103" i="11"/>
  <c r="CF100" i="11"/>
  <c r="BL128" i="11"/>
  <c r="CG81" i="11"/>
  <c r="CK137" i="11"/>
  <c r="CK111" i="11"/>
  <c r="CF59" i="11"/>
  <c r="CG62" i="11"/>
  <c r="BL6" i="11"/>
  <c r="CG61" i="11"/>
  <c r="BU103" i="11"/>
  <c r="CK79" i="11"/>
  <c r="CF93" i="11"/>
  <c r="CK36" i="11"/>
  <c r="CH18" i="11"/>
  <c r="CF81" i="11"/>
  <c r="CK95" i="11"/>
  <c r="CK52" i="11"/>
  <c r="CH97" i="11"/>
  <c r="CK14" i="11"/>
  <c r="BU112" i="11"/>
  <c r="BU76" i="11"/>
  <c r="BL137" i="11"/>
  <c r="BL19" i="11"/>
  <c r="BL67" i="11"/>
  <c r="CK107" i="11"/>
  <c r="CF69" i="11"/>
  <c r="BL27" i="11"/>
  <c r="CG67" i="11"/>
  <c r="CF112" i="11"/>
  <c r="CF62" i="11"/>
  <c r="CK40" i="11"/>
  <c r="CH77" i="11"/>
  <c r="CF32" i="11"/>
  <c r="BU57" i="11"/>
  <c r="CF14" i="11"/>
  <c r="CH105" i="11"/>
  <c r="BU79" i="11"/>
  <c r="BU90" i="11"/>
  <c r="BL44" i="11"/>
  <c r="CF127" i="11"/>
  <c r="BU25" i="11"/>
  <c r="BU59" i="11"/>
  <c r="CF102" i="11"/>
  <c r="CF84" i="11"/>
  <c r="CK94" i="11"/>
  <c r="BL14" i="11"/>
  <c r="BL139" i="11"/>
  <c r="CK27" i="11"/>
  <c r="BU51" i="11"/>
  <c r="CF96" i="11"/>
  <c r="CF56" i="11"/>
  <c r="BL84" i="11"/>
  <c r="CK126" i="11"/>
  <c r="BU138" i="11"/>
  <c r="BL130" i="11"/>
  <c r="CF31" i="11"/>
  <c r="BU46" i="11"/>
  <c r="CF23" i="11"/>
  <c r="CK120" i="11"/>
  <c r="BU80" i="11"/>
  <c r="CF83" i="11"/>
  <c r="BU101" i="11"/>
  <c r="CF78" i="11"/>
  <c r="CH19" i="11"/>
  <c r="BU120" i="11"/>
  <c r="BU49" i="11"/>
  <c r="BL64" i="11"/>
  <c r="BL26" i="11"/>
  <c r="CF16" i="11"/>
  <c r="CG70" i="11"/>
  <c r="BL51" i="11"/>
  <c r="BU74" i="11"/>
  <c r="CG52" i="11"/>
  <c r="CG95" i="11"/>
  <c r="CF48" i="11"/>
  <c r="CF101" i="11"/>
  <c r="BU33" i="11"/>
  <c r="CK9" i="11"/>
  <c r="BL69" i="11"/>
  <c r="BU100" i="11"/>
  <c r="BU61" i="11"/>
  <c r="CH79" i="11"/>
  <c r="BL10" i="11"/>
  <c r="BU82" i="11"/>
  <c r="CK97" i="11"/>
  <c r="CK99" i="11"/>
  <c r="CK73" i="11"/>
  <c r="CF1" i="11"/>
  <c r="BL32" i="11"/>
  <c r="BL34" i="11"/>
  <c r="CF12" i="11"/>
  <c r="CG93" i="11"/>
  <c r="CF91" i="11"/>
  <c r="CF51" i="11"/>
  <c r="BU117" i="11"/>
  <c r="BU24" i="11"/>
  <c r="CH94" i="11"/>
  <c r="CG31" i="11"/>
  <c r="BL13" i="11"/>
  <c r="BU121" i="11"/>
  <c r="BU64" i="11"/>
  <c r="CH70" i="11"/>
  <c r="BL42" i="11"/>
  <c r="CK115" i="11"/>
  <c r="BU118" i="11"/>
  <c r="BL22" i="11"/>
  <c r="BU66" i="11"/>
  <c r="CG19" i="11"/>
  <c r="CF37" i="11"/>
  <c r="BU72" i="11"/>
  <c r="BU119" i="11"/>
  <c r="CK110" i="11"/>
  <c r="CG105" i="11"/>
  <c r="CF74" i="11"/>
  <c r="CH95" i="11"/>
  <c r="CH62" i="11"/>
  <c r="CK38" i="11"/>
  <c r="BV9" i="11"/>
  <c r="CK69" i="11"/>
  <c r="CF77" i="11"/>
  <c r="BU60" i="11"/>
  <c r="CF75" i="11"/>
  <c r="BL28" i="11"/>
  <c r="BU127" i="11"/>
  <c r="CF64" i="11"/>
  <c r="CF22" i="11"/>
  <c r="CH65" i="11"/>
  <c r="BL83" i="11"/>
  <c r="BU55" i="11"/>
  <c r="BL81" i="11"/>
  <c r="CG79" i="11"/>
  <c r="BU96" i="11"/>
  <c r="BU134" i="11"/>
  <c r="BU130" i="11"/>
  <c r="CF58" i="11"/>
  <c r="BL18" i="11"/>
  <c r="CK43" i="11"/>
  <c r="CG112" i="11"/>
  <c r="CH88" i="11"/>
  <c r="BL82" i="11"/>
  <c r="BL30" i="11"/>
  <c r="CF119" i="11"/>
  <c r="BU47" i="11"/>
  <c r="BU40" i="11"/>
  <c r="CF87" i="11"/>
  <c r="BU69" i="11"/>
  <c r="CK84" i="11"/>
  <c r="BL79" i="11"/>
  <c r="CF26" i="11"/>
  <c r="CF92" i="11"/>
  <c r="BU94" i="11"/>
  <c r="BU84" i="11"/>
  <c r="CG59" i="11"/>
  <c r="BU20" i="11"/>
  <c r="BL24" i="11"/>
  <c r="BL7" i="11"/>
  <c r="CF97" i="11"/>
  <c r="CF70" i="11"/>
  <c r="CF47" i="11"/>
  <c r="CH92" i="11"/>
  <c r="CF113" i="11"/>
  <c r="BL63" i="11"/>
  <c r="CG127" i="11"/>
  <c r="BL127" i="11"/>
  <c r="CJ92" i="11" l="1"/>
  <c r="CM78" i="11"/>
  <c r="CJ139" i="11"/>
  <c r="CJ30" i="11"/>
  <c r="CJ77" i="11"/>
  <c r="CJ22" i="11"/>
  <c r="CM42" i="11"/>
  <c r="CJ21" i="11"/>
  <c r="CJ127" i="11"/>
  <c r="CJ7" i="11"/>
  <c r="CJ79" i="11"/>
  <c r="CM131" i="11"/>
  <c r="CJ8" i="11"/>
  <c r="CJ109" i="11"/>
  <c r="CM129" i="11"/>
  <c r="CJ50" i="11"/>
  <c r="CJ73" i="11"/>
  <c r="CK1" i="11"/>
  <c r="BQ1" i="11"/>
  <c r="BW1" i="11" s="1"/>
  <c r="CI1" i="11"/>
  <c r="CA1" i="11"/>
  <c r="CM1" i="11"/>
  <c r="CB1" i="11"/>
  <c r="CI6" i="11"/>
  <c r="BQ6" i="11"/>
  <c r="CJ6" i="11"/>
  <c r="BQ129" i="11"/>
  <c r="CI129" i="11"/>
  <c r="BQ85" i="11"/>
  <c r="BW85" i="11" s="1"/>
  <c r="BQ83" i="11"/>
  <c r="BV84" i="11"/>
  <c r="BQ127" i="11"/>
  <c r="BQ84" i="11"/>
  <c r="AW110" i="11"/>
  <c r="CI127" i="11"/>
  <c r="CI84" i="11"/>
  <c r="CM84" i="11"/>
  <c r="CI83" i="11"/>
  <c r="CJ83" i="11"/>
  <c r="CI85" i="11"/>
  <c r="CM85" i="11"/>
  <c r="BQ26" i="11"/>
  <c r="CI26" i="11"/>
  <c r="CJ26" i="11"/>
  <c r="AW114" i="11"/>
  <c r="AW116" i="11"/>
  <c r="AW117" i="11"/>
  <c r="AW121" i="11"/>
  <c r="AW124" i="11"/>
  <c r="AW103" i="11"/>
  <c r="AW104" i="11"/>
  <c r="AW115" i="11"/>
  <c r="AW118" i="11"/>
  <c r="AW122" i="11"/>
  <c r="AW126" i="11"/>
  <c r="AW105" i="11"/>
  <c r="AW106" i="11"/>
  <c r="BQ94" i="11"/>
  <c r="BQ95" i="11"/>
  <c r="AW107" i="11"/>
  <c r="AW119" i="11"/>
  <c r="AW123" i="11"/>
  <c r="AW88" i="11"/>
  <c r="AW89" i="11"/>
  <c r="AW90" i="11"/>
  <c r="AW91" i="11"/>
  <c r="AW92" i="11"/>
  <c r="AW93" i="11"/>
  <c r="AW94" i="11"/>
  <c r="AW95" i="11"/>
  <c r="AW96" i="11"/>
  <c r="AW97" i="11"/>
  <c r="AW98" i="11"/>
  <c r="AW99" i="11"/>
  <c r="AW108" i="11"/>
  <c r="AW100" i="11"/>
  <c r="AW120" i="11"/>
  <c r="AW101" i="11"/>
  <c r="BQ102" i="11"/>
  <c r="CI89" i="11"/>
  <c r="CI92" i="11"/>
  <c r="CI96" i="11"/>
  <c r="CI97" i="11"/>
  <c r="CI100" i="11"/>
  <c r="CI104" i="11"/>
  <c r="CI108" i="11"/>
  <c r="CI94" i="11"/>
  <c r="CI91" i="11"/>
  <c r="CI98" i="11"/>
  <c r="CI102" i="11"/>
  <c r="CI106" i="11"/>
  <c r="CI107" i="11"/>
  <c r="CI93" i="11"/>
  <c r="CI90" i="11"/>
  <c r="CI105" i="11"/>
  <c r="CI103" i="11"/>
  <c r="CI101" i="11"/>
  <c r="CI99" i="11"/>
  <c r="CI95" i="11"/>
  <c r="BQ100" i="11"/>
  <c r="BQ108" i="11"/>
  <c r="BQ91" i="11"/>
  <c r="BQ92" i="11"/>
  <c r="BQ98" i="11"/>
  <c r="BQ99" i="11"/>
  <c r="BQ106" i="11"/>
  <c r="BQ107" i="11"/>
  <c r="BQ93" i="11"/>
  <c r="BQ101" i="11"/>
  <c r="BQ89" i="11"/>
  <c r="BQ90" i="11"/>
  <c r="BQ96" i="11"/>
  <c r="BQ104" i="11"/>
  <c r="BQ88" i="11"/>
  <c r="CM90" i="11"/>
  <c r="CJ98" i="11"/>
  <c r="CJ106" i="11"/>
  <c r="CM94" i="11"/>
  <c r="CM96" i="11"/>
  <c r="CM100" i="11"/>
  <c r="BQ103" i="11"/>
  <c r="CM108" i="11"/>
  <c r="BQ97" i="11"/>
  <c r="CM102" i="11"/>
  <c r="BQ105" i="11"/>
  <c r="CM89" i="11"/>
  <c r="CM91" i="11"/>
  <c r="CM93" i="11"/>
  <c r="CM95" i="11"/>
  <c r="CJ97" i="11"/>
  <c r="CM104" i="11"/>
  <c r="CM99" i="11"/>
  <c r="CM101" i="11"/>
  <c r="CM103" i="11"/>
  <c r="CJ105" i="11"/>
  <c r="CM107" i="11"/>
  <c r="CJ88" i="11"/>
  <c r="CI88" i="11"/>
  <c r="BQ78" i="11"/>
  <c r="BW78" i="11" s="1"/>
  <c r="BQ76" i="11"/>
  <c r="BQ80" i="11"/>
  <c r="BQ61" i="11"/>
  <c r="BW61" i="11" s="1"/>
  <c r="BQ68" i="11"/>
  <c r="BQ69" i="11"/>
  <c r="BQ79" i="11"/>
  <c r="CJ82" i="11"/>
  <c r="BQ86" i="11"/>
  <c r="BW86" i="11" s="1"/>
  <c r="CI86" i="11"/>
  <c r="CJ86" i="11"/>
  <c r="BQ82" i="11"/>
  <c r="CI82" i="11"/>
  <c r="BQ81" i="11"/>
  <c r="CJ80" i="11"/>
  <c r="CI81" i="11"/>
  <c r="CJ81" i="11"/>
  <c r="CI80" i="11"/>
  <c r="CI79" i="11"/>
  <c r="CI78" i="11"/>
  <c r="CJ61" i="11"/>
  <c r="BQ62" i="11"/>
  <c r="BW62" i="11" s="1"/>
  <c r="BQ63" i="11"/>
  <c r="BW63" i="11" s="1"/>
  <c r="CJ69" i="11"/>
  <c r="BQ70" i="11"/>
  <c r="BQ71" i="11"/>
  <c r="BQ57" i="11"/>
  <c r="CJ63" i="11"/>
  <c r="BQ64" i="11"/>
  <c r="BQ65" i="11"/>
  <c r="CJ71" i="11"/>
  <c r="BQ72" i="11"/>
  <c r="BQ73" i="11"/>
  <c r="BQ74" i="11"/>
  <c r="BQ75" i="11"/>
  <c r="CJ57" i="11"/>
  <c r="BQ58" i="11"/>
  <c r="BQ59" i="11"/>
  <c r="CJ65" i="11"/>
  <c r="BQ66" i="11"/>
  <c r="BQ67" i="11"/>
  <c r="BW67" i="11" s="1"/>
  <c r="CJ59" i="11"/>
  <c r="CJ67" i="11"/>
  <c r="BQ77" i="11"/>
  <c r="BQ60" i="11"/>
  <c r="CI76" i="11"/>
  <c r="CI77" i="11"/>
  <c r="CI61" i="11"/>
  <c r="CI63" i="11"/>
  <c r="CI65" i="11"/>
  <c r="CI67" i="11"/>
  <c r="CI69" i="11"/>
  <c r="CI71" i="11"/>
  <c r="CI73" i="11"/>
  <c r="CI75" i="11"/>
  <c r="CI59" i="11"/>
  <c r="CI57" i="11"/>
  <c r="CI58" i="11"/>
  <c r="CI60" i="11"/>
  <c r="CI62" i="11"/>
  <c r="CI64" i="11"/>
  <c r="CI66" i="11"/>
  <c r="CI68" i="11"/>
  <c r="CI70" i="11"/>
  <c r="CI72" i="11"/>
  <c r="CI74" i="11"/>
  <c r="CJ75" i="11"/>
  <c r="CM58" i="11"/>
  <c r="CJ60" i="11"/>
  <c r="CJ62" i="11"/>
  <c r="CJ64" i="11"/>
  <c r="CM66" i="11"/>
  <c r="CJ68" i="11"/>
  <c r="CM70" i="11"/>
  <c r="CJ72" i="11"/>
  <c r="CM74" i="11"/>
  <c r="CJ76"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CI120" i="11"/>
  <c r="BQ123" i="11"/>
  <c r="CI125" i="11"/>
  <c r="CI117" i="11"/>
  <c r="CI122" i="11"/>
  <c r="CI126" i="11"/>
  <c r="CI121" i="11"/>
  <c r="CI124" i="11"/>
  <c r="CI119" i="11"/>
  <c r="CI123" i="11"/>
  <c r="CI118" i="11"/>
  <c r="BQ118" i="11"/>
  <c r="CM118" i="11"/>
  <c r="CM120" i="11"/>
  <c r="CM122" i="11"/>
  <c r="CJ125" i="11"/>
  <c r="CM126" i="11"/>
  <c r="CJ117" i="11"/>
  <c r="CJ119" i="11"/>
  <c r="CM121" i="11"/>
  <c r="CJ123" i="11"/>
  <c r="CJ124" i="11"/>
  <c r="BQ116" i="11"/>
  <c r="CI116" i="11"/>
  <c r="CJ116" i="11"/>
  <c r="CI112" i="11"/>
  <c r="CJ112" i="11"/>
  <c r="BQ111" i="11"/>
  <c r="CI111" i="11"/>
  <c r="CJ111" i="11"/>
  <c r="BQ110" i="11"/>
  <c r="CI110" i="11"/>
  <c r="CM110" i="11"/>
  <c r="CI115" i="11"/>
  <c r="CJ115" i="11"/>
  <c r="BQ113" i="11"/>
  <c r="BQ114" i="11"/>
  <c r="CI114" i="11"/>
  <c r="CM114" i="11"/>
  <c r="CI113" i="11"/>
  <c r="CJ113" i="11"/>
  <c r="CM109" i="11"/>
  <c r="CI109" i="11"/>
  <c r="BQ87" i="11"/>
  <c r="CI87" i="11"/>
  <c r="CJ87" i="11"/>
  <c r="CI23" i="11"/>
  <c r="CJ23" i="11"/>
  <c r="CI44" i="11"/>
  <c r="CJ44" i="11"/>
  <c r="CI43" i="11"/>
  <c r="CJ43" i="11"/>
  <c r="CI42" i="11"/>
  <c r="CI34" i="11"/>
  <c r="CI36" i="11"/>
  <c r="CI38" i="11"/>
  <c r="CI35" i="11"/>
  <c r="CI37" i="11"/>
  <c r="CM34" i="11"/>
  <c r="CJ36" i="11"/>
  <c r="CM38" i="11"/>
  <c r="CM35" i="11"/>
  <c r="CJ37" i="11"/>
  <c r="CI33" i="11"/>
  <c r="CJ33" i="11"/>
  <c r="CI18" i="11"/>
  <c r="CJ18" i="11"/>
  <c r="CI22" i="11"/>
  <c r="CM21" i="11"/>
  <c r="CI21" i="11"/>
  <c r="CI20" i="11"/>
  <c r="CJ20" i="11"/>
  <c r="CI7" i="11"/>
  <c r="CI8" i="11"/>
  <c r="CI19" i="11"/>
  <c r="CJ19" i="11"/>
  <c r="CM7" i="11"/>
  <c r="BQ7" i="11"/>
  <c r="CM8" i="11"/>
  <c r="CI10" i="11"/>
  <c r="CI39" i="11"/>
  <c r="CI46" i="11"/>
  <c r="BQ45" i="11"/>
  <c r="BQ9" i="11"/>
  <c r="CI132" i="11"/>
  <c r="BQ28" i="11"/>
  <c r="CI139" i="11"/>
  <c r="CI133" i="11"/>
  <c r="BQ52" i="11"/>
  <c r="BQ135" i="11"/>
  <c r="CI40" i="11"/>
  <c r="CI27" i="11"/>
  <c r="CI29" i="11"/>
  <c r="BQ131" i="11"/>
  <c r="CI131" i="11"/>
  <c r="CI136" i="11"/>
  <c r="BQ29" i="11"/>
  <c r="BQ55" i="11"/>
  <c r="CI45" i="11"/>
  <c r="CI128" i="11"/>
  <c r="CI15" i="11"/>
  <c r="BQ134" i="11"/>
  <c r="CI134" i="11"/>
  <c r="BQ41" i="11"/>
  <c r="CI55" i="11"/>
  <c r="BQ56" i="11"/>
  <c r="BQ12" i="11"/>
  <c r="BQ25" i="11"/>
  <c r="BQ24" i="11"/>
  <c r="BQ139" i="11"/>
  <c r="BQ46" i="11"/>
  <c r="CI135" i="11"/>
  <c r="CI137" i="11"/>
  <c r="CI54" i="11"/>
  <c r="BQ13" i="11"/>
  <c r="BQ14" i="11"/>
  <c r="BQ17" i="11"/>
  <c r="CI17" i="11"/>
  <c r="BQ136" i="11"/>
  <c r="BQ31" i="11"/>
  <c r="BQ128" i="11"/>
  <c r="BQ16" i="11"/>
  <c r="BQ27" i="11"/>
  <c r="BQ133" i="11"/>
  <c r="BQ138" i="11"/>
  <c r="BQ11" i="11"/>
  <c r="BQ39" i="11"/>
  <c r="BQ32" i="11"/>
  <c r="BQ130" i="11"/>
  <c r="CI130" i="11"/>
  <c r="CI9" i="11"/>
  <c r="BQ49" i="11"/>
  <c r="CI49" i="11"/>
  <c r="BQ30" i="11"/>
  <c r="BQ10" i="11"/>
  <c r="CI50" i="11"/>
  <c r="BQ53" i="11"/>
  <c r="CI53" i="11"/>
  <c r="BQ51" i="11"/>
  <c r="BQ132" i="11"/>
  <c r="CI12" i="11"/>
  <c r="CI28" i="11"/>
  <c r="CI56" i="11"/>
  <c r="CI24" i="11"/>
  <c r="CI47" i="11"/>
  <c r="CI41" i="11"/>
  <c r="CI13" i="11"/>
  <c r="CI30" i="11"/>
  <c r="CI16" i="11"/>
  <c r="CI48" i="11"/>
  <c r="CI14" i="11"/>
  <c r="CI52" i="11"/>
  <c r="CI51" i="11"/>
  <c r="CI138" i="11"/>
  <c r="CI11" i="11"/>
  <c r="CI31" i="11"/>
  <c r="CI32" i="11"/>
  <c r="CJ12" i="11"/>
  <c r="CJ24" i="11"/>
  <c r="CJ134" i="11"/>
  <c r="CM56" i="11"/>
  <c r="CJ46" i="11"/>
  <c r="BQ47" i="11"/>
  <c r="CJ45" i="11"/>
  <c r="CJ28" i="11"/>
  <c r="CI25" i="11"/>
  <c r="CM29" i="11"/>
  <c r="CJ54" i="11"/>
  <c r="CM25" i="11"/>
  <c r="CM41" i="11"/>
  <c r="CJ55" i="11"/>
  <c r="BQ48" i="11"/>
  <c r="BQ40" i="11"/>
  <c r="CJ47" i="11"/>
  <c r="CJ40" i="11"/>
  <c r="CM49" i="11"/>
  <c r="BQ137" i="11"/>
  <c r="CJ17" i="11"/>
  <c r="CM48" i="11"/>
  <c r="CM137" i="11"/>
  <c r="BQ54" i="11"/>
  <c r="CM130" i="11"/>
  <c r="BQ15" i="11"/>
  <c r="CJ10" i="11"/>
  <c r="CJ128" i="11"/>
  <c r="CJ15" i="11"/>
  <c r="CJ131" i="11"/>
  <c r="CJ14" i="11"/>
  <c r="CM39" i="11"/>
  <c r="CJ51" i="11"/>
  <c r="CM31" i="11"/>
  <c r="CM135" i="11"/>
  <c r="CM13" i="11"/>
  <c r="CM9" i="11"/>
  <c r="CM16" i="11"/>
  <c r="CM138" i="11"/>
  <c r="BQ50" i="11"/>
  <c r="CM27" i="11"/>
  <c r="CM133" i="11"/>
  <c r="CM52" i="11"/>
  <c r="CJ11" i="11"/>
  <c r="CM136" i="11"/>
  <c r="CJ32" i="11"/>
  <c r="J4" i="4"/>
  <c r="J5" i="4"/>
  <c r="J6" i="4"/>
  <c r="J7" i="4"/>
  <c r="J8" i="4"/>
  <c r="J9" i="4"/>
  <c r="J10" i="4"/>
  <c r="J11" i="4"/>
  <c r="J12" i="4"/>
  <c r="J13" i="4"/>
  <c r="J14" i="4"/>
  <c r="J15" i="4"/>
  <c r="J16" i="4"/>
  <c r="J17" i="4"/>
  <c r="J18" i="4"/>
  <c r="J19" i="4"/>
  <c r="J20" i="4"/>
  <c r="J21" i="4"/>
  <c r="J22" i="4"/>
  <c r="J23" i="4"/>
  <c r="BV6" i="11"/>
  <c r="CK61" i="11"/>
  <c r="CK139" i="11"/>
  <c r="CK77" i="11"/>
  <c r="CK116" i="11"/>
  <c r="CK22" i="11"/>
  <c r="BV128" i="11"/>
  <c r="BW124" i="11"/>
  <c r="CK134" i="11"/>
  <c r="CK131" i="11"/>
  <c r="BW121" i="11"/>
  <c r="BW101" i="11"/>
  <c r="BL124" i="11"/>
  <c r="BW108" i="11"/>
  <c r="CK50" i="11"/>
  <c r="BV14" i="11"/>
  <c r="CA34" i="11"/>
  <c r="BL119" i="11"/>
  <c r="CA63" i="11"/>
  <c r="BV30" i="11"/>
  <c r="BV56" i="11"/>
  <c r="BL98" i="11"/>
  <c r="BV130" i="11"/>
  <c r="CK54" i="11"/>
  <c r="CK85" i="11"/>
  <c r="BL106" i="11"/>
  <c r="CK109" i="11"/>
  <c r="BW98" i="11"/>
  <c r="CK24" i="11"/>
  <c r="BW103" i="11"/>
  <c r="CA78" i="11"/>
  <c r="CK89" i="11"/>
  <c r="BV11" i="11"/>
  <c r="CK37" i="11"/>
  <c r="BV12" i="11"/>
  <c r="BL96" i="11"/>
  <c r="BL126" i="11"/>
  <c r="BW80" i="11"/>
  <c r="CK76" i="11"/>
  <c r="CK72" i="11"/>
  <c r="BW106" i="11"/>
  <c r="BV138" i="11"/>
  <c r="BL107" i="11"/>
  <c r="BW68" i="11"/>
  <c r="BW77" i="11"/>
  <c r="CA18" i="11"/>
  <c r="BW20" i="11"/>
  <c r="CA61" i="11"/>
  <c r="BL89" i="11"/>
  <c r="CK74" i="11"/>
  <c r="BL101" i="11"/>
  <c r="CK80" i="11"/>
  <c r="BL95" i="11"/>
  <c r="BW127" i="11"/>
  <c r="BV83" i="11"/>
  <c r="BV13" i="11"/>
  <c r="CK60" i="11"/>
  <c r="BL122" i="11"/>
  <c r="BW26" i="11"/>
  <c r="BW93" i="11"/>
  <c r="BW99" i="11"/>
  <c r="CK8" i="11"/>
  <c r="BW118" i="11"/>
  <c r="BW79" i="11"/>
  <c r="BW73" i="11"/>
  <c r="CK104" i="11"/>
  <c r="BW122" i="11"/>
  <c r="CK106" i="11"/>
  <c r="CA36" i="11"/>
  <c r="BV53" i="11"/>
  <c r="BW81" i="11"/>
  <c r="CK108" i="11"/>
  <c r="BV27" i="11"/>
  <c r="CK90" i="11"/>
  <c r="CK28" i="11"/>
  <c r="CK65" i="11"/>
  <c r="CK96" i="11"/>
  <c r="CK19" i="11"/>
  <c r="CK18" i="11"/>
  <c r="BW91" i="11"/>
  <c r="BV131" i="11"/>
  <c r="BW109" i="11"/>
  <c r="CA109" i="11" s="1"/>
  <c r="BL103" i="11"/>
  <c r="BW57" i="11"/>
  <c r="BW87" i="11"/>
  <c r="CK31" i="11"/>
  <c r="CK58" i="11"/>
  <c r="CK70" i="11"/>
  <c r="BW69" i="11"/>
  <c r="BW66" i="11"/>
  <c r="CK15" i="11"/>
  <c r="CK100" i="11"/>
  <c r="CK62" i="11"/>
  <c r="CA33" i="11"/>
  <c r="CA86" i="11"/>
  <c r="CK133" i="11"/>
  <c r="BW22" i="11"/>
  <c r="BW100" i="11"/>
  <c r="BV39" i="11"/>
  <c r="BL97" i="11"/>
  <c r="BW96" i="11"/>
  <c r="BV25" i="11"/>
  <c r="BW94" i="11"/>
  <c r="BV137" i="11"/>
  <c r="CK21" i="11"/>
  <c r="CA21" i="11"/>
  <c r="CK12" i="11"/>
  <c r="BV135" i="11"/>
  <c r="BL105" i="11"/>
  <c r="CK66" i="11"/>
  <c r="BW35" i="11"/>
  <c r="CK11" i="11"/>
  <c r="BW112" i="11"/>
  <c r="BL121" i="11"/>
  <c r="BV41" i="11"/>
  <c r="BL116" i="11"/>
  <c r="BW111" i="11"/>
  <c r="BW64" i="11"/>
  <c r="CK51" i="11"/>
  <c r="CK29" i="11"/>
  <c r="BV31" i="11"/>
  <c r="CK32" i="11"/>
  <c r="BL115" i="11"/>
  <c r="BW72" i="11"/>
  <c r="BL93" i="11"/>
  <c r="BW105" i="11"/>
  <c r="BV15" i="11"/>
  <c r="CA73" i="11"/>
  <c r="BW113" i="11"/>
  <c r="CA62" i="11"/>
  <c r="CK39" i="11"/>
  <c r="CK57" i="11"/>
  <c r="CK23" i="11"/>
  <c r="CK75" i="11"/>
  <c r="BV17" i="11"/>
  <c r="CK91" i="11"/>
  <c r="BV16" i="11"/>
  <c r="CK56" i="11"/>
  <c r="BV52" i="11"/>
  <c r="CK13" i="11"/>
  <c r="BL100" i="11"/>
  <c r="CK68" i="11"/>
  <c r="CK114" i="11"/>
  <c r="BW59" i="11"/>
  <c r="BL110" i="11"/>
  <c r="BL108" i="11"/>
  <c r="CK55" i="11"/>
  <c r="CK88" i="11"/>
  <c r="BW92" i="11"/>
  <c r="BW74" i="11"/>
  <c r="BL117" i="11"/>
  <c r="BW19" i="11"/>
  <c r="BW9" i="11"/>
  <c r="CK87" i="11"/>
  <c r="CK30" i="11"/>
  <c r="CK44" i="11"/>
  <c r="CK130" i="11"/>
  <c r="CK42" i="11"/>
  <c r="BW129" i="11"/>
  <c r="CA129" i="11" s="1"/>
  <c r="BW70" i="11"/>
  <c r="CK64" i="11"/>
  <c r="BV28" i="11"/>
  <c r="CA38" i="11"/>
  <c r="BL94" i="11"/>
  <c r="CK35" i="11"/>
  <c r="BV134" i="11"/>
  <c r="CK46" i="11"/>
  <c r="BL91" i="11"/>
  <c r="CK132" i="11"/>
  <c r="BV47" i="11"/>
  <c r="BL114" i="11"/>
  <c r="CA43" i="11"/>
  <c r="BV46" i="11"/>
  <c r="CA23" i="11"/>
  <c r="BV24" i="11"/>
  <c r="BL92" i="11"/>
  <c r="CA37" i="11"/>
  <c r="BV40" i="11"/>
  <c r="BV55" i="11"/>
  <c r="BL88" i="11"/>
  <c r="BL120" i="11"/>
  <c r="CK7" i="11"/>
  <c r="CK53" i="11"/>
  <c r="BW89" i="11"/>
  <c r="CA67" i="11"/>
  <c r="BV136" i="11"/>
  <c r="BV51" i="11"/>
  <c r="CK48" i="11"/>
  <c r="CK138" i="11"/>
  <c r="BW75" i="11"/>
  <c r="BW123" i="11"/>
  <c r="BV50" i="11"/>
  <c r="BV54" i="11"/>
  <c r="BW7" i="11"/>
  <c r="CK102" i="11"/>
  <c r="CK10" i="11"/>
  <c r="BW58" i="11"/>
  <c r="CK86" i="11"/>
  <c r="BW114" i="11"/>
  <c r="CA85" i="11"/>
  <c r="BL123" i="11"/>
  <c r="BL104" i="11"/>
  <c r="BV49" i="11"/>
  <c r="CA68" i="11"/>
  <c r="BW119" i="11"/>
  <c r="CA119" i="11" s="1"/>
  <c r="CA59" i="11"/>
  <c r="BW120" i="11"/>
  <c r="BV10" i="11"/>
  <c r="BV133" i="11"/>
  <c r="BV45" i="11"/>
  <c r="BW115" i="11"/>
  <c r="BV48" i="11"/>
  <c r="CK92" i="11"/>
  <c r="CK78" i="11"/>
  <c r="CK101" i="11"/>
  <c r="CK49" i="11"/>
  <c r="BV139" i="11"/>
  <c r="CK136" i="11"/>
  <c r="BV32" i="11"/>
  <c r="BW76" i="11"/>
  <c r="BW8" i="11"/>
  <c r="BL90" i="11"/>
  <c r="BV29" i="11"/>
  <c r="CK17" i="11"/>
  <c r="BL118" i="11"/>
  <c r="BW104" i="11"/>
  <c r="BV132" i="11"/>
  <c r="BW97" i="11"/>
  <c r="CK98" i="11"/>
  <c r="CA44" i="11"/>
  <c r="BL99" i="11"/>
  <c r="CK45" i="11"/>
  <c r="BW126" i="11"/>
  <c r="BW65" i="11"/>
  <c r="BW125" i="11"/>
  <c r="BW117" i="11"/>
  <c r="BW116" i="11"/>
  <c r="BW110" i="11"/>
  <c r="BW95" i="11"/>
  <c r="BW102" i="11"/>
  <c r="BW107" i="11"/>
  <c r="BW90" i="11"/>
  <c r="BW88" i="11"/>
  <c r="BW82" i="11"/>
  <c r="BW71" i="11"/>
  <c r="BW60" i="11"/>
  <c r="CM79" i="11" l="1"/>
  <c r="CM73" i="11"/>
  <c r="CM127" i="11"/>
  <c r="CN127" i="11" s="1"/>
  <c r="CM50" i="11"/>
  <c r="CN50" i="11" s="1"/>
  <c r="CJ129" i="11"/>
  <c r="CN129" i="11" s="1"/>
  <c r="CN1" i="11"/>
  <c r="BW84" i="11"/>
  <c r="CM6" i="11"/>
  <c r="CN6" i="11" s="1"/>
  <c r="CJ84" i="11"/>
  <c r="CN84" i="11" s="1"/>
  <c r="CM83" i="11"/>
  <c r="CN83" i="11" s="1"/>
  <c r="CJ85" i="11"/>
  <c r="CN85" i="11" s="1"/>
  <c r="CM26" i="11"/>
  <c r="CN26" i="11" s="1"/>
  <c r="BW42" i="11"/>
  <c r="CM98" i="11"/>
  <c r="CN98" i="11" s="1"/>
  <c r="CM97" i="11"/>
  <c r="CN97" i="11" s="1"/>
  <c r="CJ91" i="11"/>
  <c r="CN91" i="11" s="1"/>
  <c r="CM92" i="11"/>
  <c r="CN92" i="11" s="1"/>
  <c r="CJ93" i="11"/>
  <c r="CN93" i="11" s="1"/>
  <c r="CJ89" i="11"/>
  <c r="CN89" i="11" s="1"/>
  <c r="CJ102" i="11"/>
  <c r="CN102" i="11" s="1"/>
  <c r="CJ101" i="11"/>
  <c r="CN101" i="11" s="1"/>
  <c r="CJ94" i="11"/>
  <c r="CN94" i="11" s="1"/>
  <c r="CJ90" i="11"/>
  <c r="CN90" i="11" s="1"/>
  <c r="CM105" i="11"/>
  <c r="CN105" i="11" s="1"/>
  <c r="CJ107" i="11"/>
  <c r="CN107" i="11" s="1"/>
  <c r="CJ99" i="11"/>
  <c r="CN99" i="11" s="1"/>
  <c r="CJ104" i="11"/>
  <c r="CN104" i="11" s="1"/>
  <c r="CJ95" i="11"/>
  <c r="CN95" i="11" s="1"/>
  <c r="CJ103" i="11"/>
  <c r="CN103" i="11" s="1"/>
  <c r="CJ108" i="11"/>
  <c r="CN108" i="11" s="1"/>
  <c r="CJ96" i="11"/>
  <c r="CN96" i="11" s="1"/>
  <c r="CM106" i="11"/>
  <c r="CN106" i="11" s="1"/>
  <c r="CJ100" i="11"/>
  <c r="CN100" i="11" s="1"/>
  <c r="CM88" i="11"/>
  <c r="CN88" i="11" s="1"/>
  <c r="CM67" i="11"/>
  <c r="CN67" i="11" s="1"/>
  <c r="CM82" i="11"/>
  <c r="CN82" i="11" s="1"/>
  <c r="CM86" i="11"/>
  <c r="CN86" i="11" s="1"/>
  <c r="CN73" i="11"/>
  <c r="CJ78" i="11"/>
  <c r="CN78" i="11" s="1"/>
  <c r="CM80" i="11"/>
  <c r="CN80" i="11" s="1"/>
  <c r="CM81" i="11"/>
  <c r="CN81" i="11" s="1"/>
  <c r="CN79" i="11"/>
  <c r="CM60" i="11"/>
  <c r="CN60" i="11" s="1"/>
  <c r="CM65" i="11"/>
  <c r="CN65" i="11" s="1"/>
  <c r="CM57" i="11"/>
  <c r="CN57" i="11" s="1"/>
  <c r="CM71" i="11"/>
  <c r="CN71" i="11" s="1"/>
  <c r="CM63" i="11"/>
  <c r="CN63" i="11" s="1"/>
  <c r="CM59" i="11"/>
  <c r="CN59" i="11" s="1"/>
  <c r="CM69" i="11"/>
  <c r="CN69" i="11" s="1"/>
  <c r="CM61" i="11"/>
  <c r="CN61" i="11" s="1"/>
  <c r="CM77" i="11"/>
  <c r="CN77" i="11" s="1"/>
  <c r="CM75" i="11"/>
  <c r="CN75" i="11" s="1"/>
  <c r="CM62" i="11"/>
  <c r="CN62" i="11" s="1"/>
  <c r="CJ58" i="11"/>
  <c r="CN58" i="11" s="1"/>
  <c r="CM76" i="11"/>
  <c r="CN76" i="11" s="1"/>
  <c r="CM72" i="11"/>
  <c r="CN72" i="11" s="1"/>
  <c r="CM68" i="11"/>
  <c r="CN68" i="11" s="1"/>
  <c r="CM64" i="11"/>
  <c r="CN64" i="11" s="1"/>
  <c r="CJ70" i="11"/>
  <c r="CN70" i="11" s="1"/>
  <c r="CJ66" i="11"/>
  <c r="CN66" i="11" s="1"/>
  <c r="CJ74" i="11"/>
  <c r="CN74" i="11" s="1"/>
  <c r="CM119" i="11"/>
  <c r="CN119" i="11" s="1"/>
  <c r="CJ126" i="11"/>
  <c r="CN126" i="11" s="1"/>
  <c r="CJ121" i="11"/>
  <c r="CN121" i="11" s="1"/>
  <c r="CM125" i="11"/>
  <c r="CN125" i="11" s="1"/>
  <c r="CJ122" i="11"/>
  <c r="CN122" i="11" s="1"/>
  <c r="CJ118" i="11"/>
  <c r="CN118" i="11" s="1"/>
  <c r="CM123" i="11"/>
  <c r="CN123" i="11" s="1"/>
  <c r="CM124" i="11"/>
  <c r="CN124" i="11" s="1"/>
  <c r="CM117" i="11"/>
  <c r="CN117" i="11" s="1"/>
  <c r="CJ120" i="11"/>
  <c r="CN120" i="11" s="1"/>
  <c r="CM116" i="11"/>
  <c r="CN116" i="11" s="1"/>
  <c r="CM112" i="11"/>
  <c r="CN112" i="11" s="1"/>
  <c r="CM111" i="11"/>
  <c r="CN111" i="11" s="1"/>
  <c r="CJ110" i="11"/>
  <c r="CN110" i="11" s="1"/>
  <c r="CM115" i="11"/>
  <c r="CN115" i="11" s="1"/>
  <c r="CJ114" i="11"/>
  <c r="CN114" i="11" s="1"/>
  <c r="CM113" i="11"/>
  <c r="CN113" i="11" s="1"/>
  <c r="CN109" i="11"/>
  <c r="CM87" i="11"/>
  <c r="CN87" i="11" s="1"/>
  <c r="CM23" i="11"/>
  <c r="CN23" i="11" s="1"/>
  <c r="CM44" i="11"/>
  <c r="CN44" i="11" s="1"/>
  <c r="CM43" i="11"/>
  <c r="CN43" i="11" s="1"/>
  <c r="CJ42" i="11"/>
  <c r="CN42" i="11" s="1"/>
  <c r="CM37" i="11"/>
  <c r="CN37" i="11" s="1"/>
  <c r="CJ38" i="11"/>
  <c r="CN38" i="11" s="1"/>
  <c r="CJ34" i="11"/>
  <c r="CN34" i="11" s="1"/>
  <c r="CJ35" i="11"/>
  <c r="CN35" i="11" s="1"/>
  <c r="CM36" i="11"/>
  <c r="CN36" i="11" s="1"/>
  <c r="CM33" i="11"/>
  <c r="CN33" i="11" s="1"/>
  <c r="CM18" i="11"/>
  <c r="CN18" i="11" s="1"/>
  <c r="CN7" i="11"/>
  <c r="CM22" i="11"/>
  <c r="CN22" i="11" s="1"/>
  <c r="CN21" i="11"/>
  <c r="CM20" i="11"/>
  <c r="CN20" i="11" s="1"/>
  <c r="CM19" i="11"/>
  <c r="CN19" i="11" s="1"/>
  <c r="CN8" i="11"/>
  <c r="CM30" i="11"/>
  <c r="CN30" i="11" s="1"/>
  <c r="CM15" i="11"/>
  <c r="CN15" i="11" s="1"/>
  <c r="CM24" i="11"/>
  <c r="CN24" i="11" s="1"/>
  <c r="CM14" i="11"/>
  <c r="CN14" i="11" s="1"/>
  <c r="CM12" i="11"/>
  <c r="CN12" i="11" s="1"/>
  <c r="CJ29" i="11"/>
  <c r="CN29" i="11" s="1"/>
  <c r="CM128" i="11"/>
  <c r="CN128" i="11" s="1"/>
  <c r="CM28" i="11"/>
  <c r="CN28" i="11" s="1"/>
  <c r="CM46" i="11"/>
  <c r="CN46" i="11" s="1"/>
  <c r="CJ27" i="11"/>
  <c r="CN27" i="11" s="1"/>
  <c r="CJ48" i="11"/>
  <c r="CN48" i="11" s="1"/>
  <c r="CJ137" i="11"/>
  <c r="CN137" i="11" s="1"/>
  <c r="CM134" i="11"/>
  <c r="CN134" i="11" s="1"/>
  <c r="CM11" i="11"/>
  <c r="CN11" i="11" s="1"/>
  <c r="CM51" i="11"/>
  <c r="CN51" i="11" s="1"/>
  <c r="CJ130" i="11"/>
  <c r="CN130" i="11" s="1"/>
  <c r="CJ41" i="11"/>
  <c r="CN41" i="11" s="1"/>
  <c r="CJ52" i="11"/>
  <c r="CN52" i="11" s="1"/>
  <c r="CJ49" i="11"/>
  <c r="CN49" i="11" s="1"/>
  <c r="CJ13" i="11"/>
  <c r="CN13" i="11" s="1"/>
  <c r="CJ39" i="11"/>
  <c r="CN39" i="11" s="1"/>
  <c r="CJ16" i="11"/>
  <c r="CN16" i="11" s="1"/>
  <c r="CM17" i="11"/>
  <c r="CN17" i="11" s="1"/>
  <c r="CM32" i="11"/>
  <c r="CN32" i="11" s="1"/>
  <c r="CJ53" i="11"/>
  <c r="CM53" i="11"/>
  <c r="CM132" i="11"/>
  <c r="CJ132" i="11"/>
  <c r="CJ136" i="11"/>
  <c r="CN136" i="11" s="1"/>
  <c r="CJ133" i="11"/>
  <c r="CN133" i="11" s="1"/>
  <c r="CJ138" i="11"/>
  <c r="CN138" i="11" s="1"/>
  <c r="CJ9" i="11"/>
  <c r="CN9" i="11" s="1"/>
  <c r="CJ135" i="11"/>
  <c r="CN135" i="11" s="1"/>
  <c r="CM40" i="11"/>
  <c r="CN40" i="11" s="1"/>
  <c r="CJ25" i="11"/>
  <c r="CN25" i="11" s="1"/>
  <c r="CM47" i="11"/>
  <c r="CN47" i="11" s="1"/>
  <c r="CM54" i="11"/>
  <c r="CN54" i="11" s="1"/>
  <c r="CM139" i="11"/>
  <c r="CN139" i="11" s="1"/>
  <c r="CJ31" i="11"/>
  <c r="CN31" i="11" s="1"/>
  <c r="CN131" i="11"/>
  <c r="CM10" i="11"/>
  <c r="CN10" i="11" s="1"/>
  <c r="CM55" i="11"/>
  <c r="CN55" i="11" s="1"/>
  <c r="CM45" i="11"/>
  <c r="CN45" i="11" s="1"/>
  <c r="CJ56" i="11"/>
  <c r="CN56" i="11" s="1"/>
  <c r="CA60" i="11"/>
  <c r="BW27" i="11"/>
  <c r="CA117" i="11"/>
  <c r="CA107" i="11"/>
  <c r="CA66" i="11"/>
  <c r="CA88" i="11"/>
  <c r="BW50" i="11"/>
  <c r="BW55" i="11"/>
  <c r="BW16" i="11"/>
  <c r="BW138" i="11"/>
  <c r="BW130" i="11"/>
  <c r="BW54" i="11"/>
  <c r="CA19" i="11"/>
  <c r="CA71" i="11"/>
  <c r="CA104" i="11"/>
  <c r="CA27" i="11"/>
  <c r="CA103" i="11"/>
  <c r="BW132" i="11"/>
  <c r="CA124" i="11"/>
  <c r="BW139" i="11"/>
  <c r="CA16" i="11"/>
  <c r="BW10" i="11"/>
  <c r="BW46" i="11"/>
  <c r="CA97" i="11"/>
  <c r="BW137" i="11"/>
  <c r="CA100" i="11"/>
  <c r="BW47" i="11"/>
  <c r="CA81" i="11"/>
  <c r="CA35" i="11"/>
  <c r="BW32" i="11"/>
  <c r="CA113" i="11"/>
  <c r="BW13" i="11"/>
  <c r="BW41" i="11"/>
  <c r="BW31" i="11"/>
  <c r="CA93" i="11"/>
  <c r="BW131" i="11"/>
  <c r="BW40" i="11"/>
  <c r="CA105" i="11"/>
  <c r="BW12" i="11"/>
  <c r="CA98" i="11"/>
  <c r="CA64" i="11"/>
  <c r="CA82" i="11"/>
  <c r="CA89" i="11"/>
  <c r="CA84" i="11"/>
  <c r="CA80" i="11"/>
  <c r="BW53" i="11"/>
  <c r="CA20" i="11"/>
  <c r="BW30" i="11"/>
  <c r="CA96" i="11"/>
  <c r="CA57" i="11"/>
  <c r="CA114" i="11"/>
  <c r="CA8" i="11"/>
  <c r="CA110" i="11"/>
  <c r="BW14" i="11"/>
  <c r="CA70" i="11"/>
  <c r="CA120" i="11"/>
  <c r="CA127" i="11"/>
  <c r="CA125" i="11"/>
  <c r="BW29" i="11"/>
  <c r="CA121" i="11"/>
  <c r="CA77" i="11"/>
  <c r="BW134" i="11"/>
  <c r="CA134" i="11" s="1"/>
  <c r="BW51" i="11"/>
  <c r="CA22" i="11"/>
  <c r="CA42" i="11"/>
  <c r="CA7" i="11"/>
  <c r="CA75" i="11"/>
  <c r="CA91" i="11"/>
  <c r="CA95" i="11"/>
  <c r="BW15" i="11"/>
  <c r="CA116" i="11"/>
  <c r="BW135" i="11"/>
  <c r="CA115" i="11"/>
  <c r="CA69" i="11"/>
  <c r="BW56" i="11"/>
  <c r="CA126" i="11"/>
  <c r="CA87" i="11"/>
  <c r="CA58" i="11"/>
  <c r="BW6" i="11"/>
  <c r="BW128" i="11"/>
  <c r="CA128" i="11" s="1"/>
  <c r="BW24" i="11"/>
  <c r="BW39" i="11"/>
  <c r="BW28" i="11"/>
  <c r="BW48" i="11"/>
  <c r="BW11" i="11"/>
  <c r="CA123" i="11"/>
  <c r="BW49" i="11"/>
  <c r="CA102" i="11"/>
  <c r="CA26" i="11"/>
  <c r="CA101" i="11"/>
  <c r="BW52" i="11"/>
  <c r="BW133" i="11"/>
  <c r="CA133" i="11" s="1"/>
  <c r="CA65" i="11"/>
  <c r="CA11" i="11"/>
  <c r="CA118" i="11"/>
  <c r="CA108" i="11"/>
  <c r="CA106" i="11"/>
  <c r="BW45" i="11"/>
  <c r="CA76" i="11"/>
  <c r="CA122" i="11"/>
  <c r="CA72" i="11"/>
  <c r="CA99" i="11"/>
  <c r="CA92" i="11"/>
  <c r="CA9" i="11"/>
  <c r="BW25" i="11"/>
  <c r="CA79" i="11"/>
  <c r="CA111" i="11"/>
  <c r="BW83" i="11"/>
  <c r="CA94" i="11"/>
  <c r="CA112" i="11"/>
  <c r="CA74" i="11"/>
  <c r="BW136" i="11"/>
  <c r="CA136" i="11" s="1"/>
  <c r="BW17" i="11"/>
  <c r="CA90" i="11"/>
  <c r="CN53" i="11" l="1"/>
  <c r="CN132" i="11"/>
  <c r="CA83" i="11"/>
  <c r="CA55" i="11"/>
  <c r="CA138" i="11"/>
  <c r="CA56" i="11"/>
  <c r="CA53" i="11"/>
  <c r="CA24" i="11"/>
  <c r="CA131" i="11"/>
  <c r="CA17" i="11"/>
  <c r="CA6" i="11"/>
  <c r="CA52" i="11"/>
  <c r="CA130" i="11"/>
  <c r="CA48" i="11"/>
  <c r="CA51" i="11"/>
  <c r="CA28" i="11"/>
  <c r="CA14" i="11"/>
  <c r="CA30" i="11"/>
  <c r="CA13" i="11"/>
  <c r="CA132" i="11"/>
  <c r="CA15" i="11"/>
  <c r="CA29" i="11"/>
  <c r="CA12" i="11"/>
  <c r="CA45" i="11"/>
  <c r="CA135" i="11"/>
  <c r="CA137" i="11"/>
  <c r="CA10" i="11"/>
  <c r="CA31" i="11"/>
  <c r="CA39" i="11"/>
  <c r="CA50" i="11"/>
  <c r="CA54" i="11"/>
  <c r="CA49" i="11"/>
  <c r="CA41" i="11"/>
  <c r="CA47" i="11"/>
  <c r="CA40" i="11"/>
  <c r="CA32" i="11"/>
  <c r="CA139" i="11"/>
  <c r="CA25" i="11"/>
  <c r="CA46" i="11"/>
</calcChain>
</file>

<file path=xl/sharedStrings.xml><?xml version="1.0" encoding="utf-8"?>
<sst xmlns="http://schemas.openxmlformats.org/spreadsheetml/2006/main" count="6641" uniqueCount="2581">
  <si>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</si>
  <si>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</si>
  <si>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</si>
  <si>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</si>
  <si>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</si>
  <si>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</si>
  <si>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</si>
  <si>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</si>
  <si>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</si>
  <si>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</si>
  <si>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</si>
  <si>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</si>
  <si>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</si>
  <si>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</si>
  <si>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</si>
  <si>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</si>
  <si>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</si>
  <si>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</si>
  <si>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</si>
  <si>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</si>
  <si>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</si>
  <si>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</si>
  <si>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</si>
  <si>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</si>
  <si>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</si>
  <si>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</si>
  <si>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</si>
  <si>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</si>
  <si>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</si>
  <si>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</si>
  <si>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</si>
  <si>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</si>
  <si>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</si>
  <si>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</si>
  <si>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</si>
  <si>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</si>
  <si>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</si>
  <si>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</si>
  <si>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</si>
  <si>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</si>
  <si>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</si>
  <si>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</si>
  <si>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</si>
  <si>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</si>
  <si>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</si>
  <si>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</si>
  <si>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</si>
  <si>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</si>
  <si>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</si>
  <si>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</si>
  <si>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</si>
  <si>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</si>
  <si>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</si>
  <si>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</si>
  <si>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</si>
  <si>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</si>
  <si>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</si>
  <si>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</si>
  <si>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</si>
  <si>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</si>
  <si>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</si>
  <si>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</si>
  <si>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</si>
  <si>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</si>
  <si>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</si>
  <si>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</si>
  <si>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</si>
  <si>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</si>
  <si>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</si>
  <si>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</si>
  <si>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</si>
  <si>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</si>
  <si>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</si>
  <si>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</si>
  <si>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</si>
  <si>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</si>
  <si>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</si>
  <si>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</si>
  <si>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</si>
  <si>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</si>
  <si>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</si>
  <si>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</si>
  <si>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</si>
  <si>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</si>
  <si>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</si>
  <si>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</si>
  <si>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</si>
  <si>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</si>
  <si>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</si>
  <si>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</si>
  <si>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</si>
  <si>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</si>
  <si>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</si>
  <si>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</si>
  <si>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</si>
  <si>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</si>
  <si>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</si>
  <si>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</si>
  <si>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</si>
  <si>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</si>
  <si>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</si>
  <si>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</si>
  <si>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</si>
  <si>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</si>
  <si>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</si>
  <si>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</si>
  <si>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</si>
  <si>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</si>
  <si>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</si>
  <si>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</si>
  <si>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</si>
  <si>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</si>
  <si>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</si>
  <si>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</si>
  <si>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</si>
  <si>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</si>
  <si>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</si>
  <si>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</si>
  <si>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</si>
  <si>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</si>
  <si>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</si>
  <si>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</si>
  <si>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</si>
  <si>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</si>
  <si>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</si>
  <si>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</si>
  <si>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</si>
  <si>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</si>
  <si>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</si>
  <si>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</si>
  <si>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</si>
  <si>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</si>
  <si>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</si>
  <si>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</si>
  <si>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</si>
  <si>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</si>
  <si>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</si>
  <si>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</si>
  <si>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</si>
  <si>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</si>
  <si>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</si>
  <si>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</si>
  <si>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</si>
  <si>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</si>
  <si>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</si>
  <si>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</si>
  <si>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</si>
  <si>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</si>
  <si>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</si>
  <si>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</si>
  <si>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</si>
  <si>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</si>
  <si>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</si>
  <si>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</si>
  <si>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</si>
  <si>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</si>
  <si>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</si>
  <si>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</si>
  <si>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</si>
  <si>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</si>
  <si>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</si>
  <si>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</si>
  <si>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</si>
  <si>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</si>
  <si>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</si>
  <si>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</si>
  <si>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</si>
  <si>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</si>
  <si>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</si>
  <si>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</si>
  <si>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</si>
  <si>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</si>
  <si>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</si>
  <si>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</si>
  <si>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</si>
  <si>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</si>
  <si>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</si>
  <si>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</si>
  <si>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</si>
  <si>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</si>
  <si>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</si>
  <si>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</si>
  <si>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</si>
  <si>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</si>
  <si>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</si>
  <si>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</si>
  <si>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</si>
  <si>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</si>
  <si>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</si>
  <si>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</si>
  <si>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</si>
  <si>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</si>
  <si>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</si>
  <si>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</si>
  <si>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</si>
  <si>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</si>
  <si>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</si>
  <si>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</si>
  <si>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</si>
  <si>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</si>
  <si>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</si>
  <si>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</si>
  <si>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</si>
  <si>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</si>
  <si>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</si>
  <si>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</si>
  <si>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</si>
  <si>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</si>
  <si>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</si>
  <si>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</si>
  <si>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</si>
  <si>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</si>
  <si>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</si>
  <si>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</si>
  <si>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</si>
  <si>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</si>
  <si>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</si>
  <si>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</si>
  <si>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</si>
  <si>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</si>
  <si>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</si>
  <si>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</si>
  <si>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</si>
  <si>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</si>
  <si>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</si>
  <si>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</si>
  <si>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</si>
  <si>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</si>
  <si>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</si>
  <si>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</si>
  <si>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</si>
  <si>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</si>
  <si>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</si>
  <si>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</si>
  <si>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</si>
  <si>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</si>
  <si>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</si>
  <si>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</si>
  <si>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</si>
  <si>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</si>
  <si>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</si>
  <si>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</si>
  <si>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</si>
  <si>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</si>
  <si>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</si>
  <si>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</si>
  <si>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</si>
  <si>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</si>
  <si>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</si>
  <si>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</si>
  <si>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</si>
  <si>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</si>
  <si>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</si>
  <si>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</si>
  <si>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</si>
  <si>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</si>
  <si>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</si>
  <si>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</si>
  <si>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</si>
  <si>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</si>
  <si>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</si>
  <si>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</si>
  <si>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</si>
  <si>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</si>
  <si>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</si>
  <si>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</si>
  <si>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</si>
  <si>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</si>
  <si>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</si>
  <si>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</si>
  <si>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</si>
  <si>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</si>
  <si>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</si>
  <si>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</si>
  <si>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</si>
  <si>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</si>
  <si>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</si>
  <si>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</si>
  <si>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</si>
  <si>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</si>
  <si>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</si>
  <si>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</si>
  <si>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</si>
  <si>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</si>
  <si>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</si>
  <si>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</si>
  <si>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</si>
  <si>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</si>
  <si>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</si>
  <si>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</si>
  <si>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</si>
  <si>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</si>
  <si>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</si>
  <si>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</si>
  <si>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</si>
  <si>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</si>
  <si>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</si>
  <si>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</si>
  <si>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</si>
  <si>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</si>
  <si>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</si>
  <si>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</si>
  <si>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</si>
  <si>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</si>
  <si>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</si>
  <si>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</si>
  <si>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</si>
  <si>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</si>
  <si>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</si>
  <si>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</si>
  <si>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</si>
  <si>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</si>
  <si>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</si>
  <si>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</si>
  <si>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</si>
  <si>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</si>
  <si>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</si>
  <si>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</si>
  <si>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</si>
  <si>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</si>
  <si>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</si>
  <si>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</si>
  <si>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</si>
  <si>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</si>
  <si>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</si>
  <si>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</si>
  <si>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</si>
  <si>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</si>
  <si>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</si>
  <si>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</si>
  <si>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</si>
  <si>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</si>
  <si>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</si>
  <si>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</si>
  <si>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</si>
  <si>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</si>
  <si>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</si>
  <si>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</si>
  <si>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</si>
  <si>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</si>
  <si>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</si>
  <si>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</si>
  <si>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</si>
  <si>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</si>
  <si>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</si>
  <si>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</si>
  <si>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</si>
  <si>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</si>
  <si>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</si>
  <si>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</si>
  <si>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</si>
  <si>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</si>
  <si>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</si>
  <si>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</si>
  <si>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</si>
  <si>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</si>
  <si>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</si>
  <si>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</si>
  <si>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</si>
  <si>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</si>
  <si>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</si>
  <si>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</si>
  <si>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</si>
  <si>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</si>
  <si>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</si>
  <si>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</si>
  <si>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</si>
  <si>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</si>
  <si>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</si>
  <si>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</si>
  <si>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</si>
  <si>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</si>
  <si>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</si>
  <si>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</si>
  <si>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</si>
  <si>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</si>
  <si>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</si>
  <si>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</si>
  <si>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</si>
  <si>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</si>
  <si>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</si>
  <si>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</si>
  <si>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</si>
  <si>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</si>
  <si>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</si>
  <si>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</si>
  <si>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</si>
  <si>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</si>
  <si>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</si>
  <si>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</si>
  <si>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</si>
  <si>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</si>
  <si>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</si>
  <si>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</si>
  <si>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</si>
  <si>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</si>
  <si>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</si>
  <si>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</si>
  <si>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</si>
  <si>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</si>
  <si>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</si>
  <si>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</si>
  <si>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</si>
  <si>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</si>
  <si>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</si>
  <si>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</si>
  <si>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</si>
  <si>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</si>
  <si>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</si>
  <si>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</si>
  <si>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</si>
  <si>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</si>
  <si>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</si>
  <si>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</si>
  <si>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</si>
  <si>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</si>
  <si>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</si>
  <si>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</si>
  <si>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</si>
  <si>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</si>
  <si>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</si>
  <si>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</si>
  <si>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</si>
  <si>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</si>
  <si>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</si>
  <si>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</si>
  <si>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</si>
  <si>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</si>
  <si>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</si>
  <si>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</si>
  <si>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</si>
  <si>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</si>
  <si>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</si>
  <si>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</si>
  <si>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</si>
  <si>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</si>
  <si>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</si>
  <si>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</si>
  <si>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</si>
  <si>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</si>
  <si>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</si>
  <si>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</si>
  <si>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</si>
  <si>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</si>
  <si>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</si>
  <si>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</si>
  <si>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</si>
  <si>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</si>
  <si>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</si>
  <si>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</si>
  <si>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</si>
  <si>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</si>
  <si>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</si>
  <si>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</si>
  <si>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</si>
  <si>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</si>
  <si>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</si>
  <si>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</si>
  <si>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</si>
  <si>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</si>
  <si>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</si>
  <si>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</si>
  <si>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</si>
  <si>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</si>
  <si>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</si>
  <si>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</si>
  <si>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</si>
  <si>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</si>
  <si>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</si>
  <si>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</si>
  <si>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</si>
  <si>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</si>
  <si>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</si>
  <si>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</si>
  <si>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</si>
  <si>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</si>
  <si>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</si>
  <si>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</si>
  <si>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</si>
  <si>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</si>
  <si>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</si>
  <si>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</si>
  <si>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</si>
  <si>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</si>
  <si>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</si>
  <si>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</si>
  <si>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</si>
  <si>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</si>
  <si>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</si>
  <si>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</si>
  <si>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</si>
  <si>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</si>
  <si>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</si>
  <si>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</si>
  <si>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</si>
  <si>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</si>
  <si>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</si>
  <si>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</si>
  <si>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</si>
  <si>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</si>
  <si>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</si>
  <si>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</si>
  <si>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</si>
  <si>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</si>
  <si>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</si>
  <si>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</si>
  <si>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</si>
  <si>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</si>
  <si>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</si>
  <si>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</si>
  <si>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</si>
  <si>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</si>
  <si>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</si>
  <si>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</si>
  <si>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</si>
  <si>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</si>
  <si>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</si>
  <si>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</si>
  <si>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</si>
  <si>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</si>
  <si>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</si>
  <si>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</si>
  <si>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</si>
  <si>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</si>
  <si>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</si>
  <si>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</si>
  <si>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</si>
  <si>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</si>
  <si>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</si>
  <si>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</si>
  <si>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</si>
  <si>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</si>
  <si>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</si>
  <si>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</si>
  <si>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</si>
  <si>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</si>
  <si>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</si>
  <si>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</si>
  <si>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</si>
  <si>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</si>
  <si>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</si>
  <si>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</si>
  <si>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</si>
  <si>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</si>
  <si>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</si>
  <si>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</si>
  <si>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</si>
  <si>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</si>
  <si>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</si>
  <si>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</si>
  <si>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</si>
  <si>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</si>
  <si>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</si>
  <si>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</si>
  <si>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</si>
  <si>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</si>
  <si>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</si>
  <si>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</si>
  <si>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</si>
  <si>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</si>
  <si>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</si>
  <si>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</si>
  <si>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</si>
  <si>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</si>
  <si>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</si>
  <si>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</si>
  <si>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</si>
  <si>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</si>
  <si>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</si>
  <si>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</si>
  <si>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</si>
  <si>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</si>
  <si>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</si>
  <si>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</si>
  <si>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</si>
  <si>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</si>
  <si>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</si>
  <si>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</si>
  <si>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</si>
  <si>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</si>
  <si>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</si>
  <si>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</si>
  <si>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</si>
  <si>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</si>
  <si>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</si>
  <si>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</si>
  <si>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</si>
  <si>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</si>
  <si>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</si>
  <si>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</si>
  <si>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</si>
  <si>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</si>
  <si>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</si>
  <si>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</si>
  <si>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</si>
  <si>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</si>
  <si>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</si>
  <si>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</si>
  <si>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</si>
  <si>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</si>
  <si>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</si>
  <si>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</si>
  <si>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</si>
  <si>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</si>
  <si>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</si>
  <si>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</si>
  <si>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</si>
  <si>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</si>
  <si>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</si>
  <si>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</si>
  <si>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</si>
  <si>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</si>
  <si>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</si>
  <si>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</si>
  <si>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</si>
  <si>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</si>
  <si>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</si>
  <si>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</si>
  <si>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</si>
  <si>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</si>
  <si>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</si>
  <si>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</si>
  <si>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</si>
  <si>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</si>
  <si>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</si>
  <si>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</si>
  <si>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</si>
  <si>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</si>
  <si>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</si>
  <si>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</si>
  <si>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</si>
  <si>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</si>
  <si>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</si>
  <si>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</si>
  <si>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</si>
  <si>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</si>
  <si>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</si>
  <si>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</si>
  <si>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</si>
  <si>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</si>
  <si>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</si>
  <si>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</si>
  <si>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</si>
  <si>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</si>
  <si>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</si>
  <si>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</si>
  <si>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</si>
  <si>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</si>
  <si>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</si>
  <si>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</si>
  <si>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</si>
  <si>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</si>
  <si>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</si>
  <si>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</si>
  <si>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</si>
  <si>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</si>
  <si>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</si>
  <si>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</si>
  <si>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</si>
  <si>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</si>
  <si>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</si>
  <si>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</si>
  <si>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</si>
  <si>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</si>
  <si>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</si>
  <si>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</si>
  <si>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</si>
  <si>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</si>
  <si>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</si>
  <si>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</si>
  <si>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</si>
  <si>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</si>
  <si>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</si>
  <si>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</si>
  <si>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</si>
  <si>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</si>
  <si>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</si>
  <si>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</si>
  <si>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</si>
  <si>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</si>
  <si>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</si>
  <si>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</si>
  <si>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</si>
  <si>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</si>
  <si>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</si>
  <si>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</si>
  <si>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</si>
  <si>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</si>
  <si>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</si>
  <si>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</si>
  <si>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</si>
  <si>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</si>
  <si>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</si>
  <si>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</si>
  <si>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</si>
  <si>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</si>
  <si>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</si>
  <si>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</si>
  <si>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</si>
  <si>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</si>
  <si>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</si>
  <si>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</si>
  <si>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</si>
  <si>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</si>
  <si>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</si>
  <si>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</si>
  <si>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</si>
  <si>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</si>
  <si>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</si>
  <si>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</si>
  <si>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</si>
  <si>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</si>
  <si>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</si>
  <si>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</si>
  <si>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</si>
  <si>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</si>
  <si>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</si>
  <si>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</si>
  <si>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</si>
  <si>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</si>
  <si>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</si>
  <si>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</si>
  <si>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</si>
  <si>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</si>
  <si>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</si>
  <si>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</si>
  <si>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</si>
  <si>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</si>
  <si>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</si>
  <si>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</si>
  <si>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</si>
  <si>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</si>
  <si>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</si>
  <si>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</si>
  <si>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</si>
  <si>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</si>
  <si>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</si>
  <si>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</si>
  <si>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</si>
  <si>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</si>
  <si>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</si>
  <si>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</si>
  <si>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</si>
  <si>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</si>
  <si>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</si>
  <si>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</si>
  <si>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</si>
  <si>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</si>
  <si>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</si>
  <si>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</si>
  <si>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</si>
  <si>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</si>
  <si>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</si>
  <si>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</si>
  <si>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</si>
  <si>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</si>
  <si>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</si>
  <si>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</si>
  <si>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</si>
  <si>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</si>
  <si>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</si>
  <si>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</si>
  <si>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</si>
  <si>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</si>
  <si>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</si>
  <si>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</si>
  <si>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</si>
  <si>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</si>
  <si>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</si>
  <si>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</si>
  <si>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</si>
  <si>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</si>
  <si>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</si>
  <si>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</si>
  <si>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</si>
  <si>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</si>
  <si>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</si>
  <si>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</si>
  <si>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</si>
  <si>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</si>
  <si>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</si>
  <si>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</si>
  <si>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</si>
  <si>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</si>
  <si>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</si>
  <si>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</si>
  <si>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</si>
  <si>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</si>
  <si>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</si>
  <si>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</si>
  <si>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</si>
  <si>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</si>
  <si>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</si>
  <si>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</si>
  <si>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</si>
  <si>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</si>
  <si>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</si>
  <si>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</si>
  <si>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</si>
  <si>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</si>
  <si>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</si>
  <si>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</si>
  <si>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</si>
  <si>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</si>
  <si>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</si>
  <si>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</si>
  <si>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</si>
  <si>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</si>
  <si>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</si>
  <si>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</si>
  <si>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</si>
  <si>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</si>
  <si>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</si>
  <si>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</si>
  <si>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</si>
  <si>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</si>
  <si>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</si>
  <si>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</si>
  <si>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</si>
  <si>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</si>
  <si>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</si>
  <si>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</si>
  <si>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</si>
  <si>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</si>
  <si>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</si>
  <si>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</si>
  <si>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</si>
  <si>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</si>
  <si>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</si>
  <si>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</si>
  <si>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</si>
  <si>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</si>
  <si>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</si>
  <si>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</si>
  <si>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</si>
  <si>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</si>
  <si>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</si>
  <si>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</si>
  <si>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</si>
  <si>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</si>
  <si>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</si>
  <si>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</si>
  <si>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</si>
  <si>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</si>
  <si>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</si>
  <si>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</si>
  <si>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</si>
  <si>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</si>
  <si>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</si>
  <si>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</si>
  <si>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</si>
  <si>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</si>
  <si>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</si>
  <si>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</si>
  <si>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</si>
  <si>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</si>
  <si>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</si>
  <si>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</si>
  <si>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</si>
  <si>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</si>
  <si>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</si>
  <si>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</si>
  <si>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</si>
  <si>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</si>
  <si>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</si>
  <si>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</si>
  <si>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</si>
  <si>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</si>
  <si>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</si>
  <si>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</si>
  <si>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</si>
  <si>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</si>
  <si>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</si>
  <si>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</si>
  <si>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</si>
  <si>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</si>
  <si>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</si>
  <si>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</si>
  <si>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</si>
  <si>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</si>
  <si>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</si>
  <si>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</si>
  <si>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</si>
  <si>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</si>
  <si>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</si>
  <si>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</si>
  <si>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</si>
  <si>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</si>
  <si>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</si>
  <si>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</si>
  <si>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</si>
  <si>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</si>
  <si>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</si>
  <si>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</si>
  <si>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</si>
  <si>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</si>
  <si>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</si>
  <si>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</si>
  <si>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</si>
  <si>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</si>
  <si>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</si>
  <si>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</si>
  <si>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</si>
  <si>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</si>
  <si>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</si>
  <si>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</si>
  <si>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</si>
  <si>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</si>
  <si>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</si>
  <si>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</si>
  <si>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</si>
  <si>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</si>
  <si>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</si>
  <si>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</si>
  <si>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</si>
  <si>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</si>
  <si>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</si>
  <si>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</si>
  <si>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</si>
  <si>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</si>
  <si>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</si>
  <si>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</si>
  <si>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</si>
  <si>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</si>
  <si>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</si>
  <si>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</si>
  <si>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</si>
  <si>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</si>
  <si>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</si>
  <si>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</si>
  <si>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</si>
  <si>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</si>
  <si>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</si>
  <si>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</si>
  <si>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</si>
  <si>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</si>
  <si>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</si>
  <si>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</si>
  <si>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</si>
  <si>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</si>
  <si>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</si>
  <si>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</si>
  <si>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</si>
  <si>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</si>
  <si>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</si>
  <si>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</si>
  <si>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</si>
  <si>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</si>
  <si>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</si>
  <si>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</si>
  <si>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</si>
  <si>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</si>
  <si>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</si>
  <si>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</si>
  <si>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</si>
  <si>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</si>
  <si>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</si>
  <si>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</si>
  <si>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</si>
  <si>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</si>
  <si>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</si>
  <si>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</si>
  <si>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</si>
  <si>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</si>
  <si>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</si>
  <si>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</si>
  <si>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</si>
  <si>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</si>
  <si>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</si>
  <si>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</si>
  <si>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</si>
  <si>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</si>
  <si>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</si>
  <si>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</si>
  <si>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</si>
  <si>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</si>
  <si>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</si>
  <si>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</si>
  <si>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</si>
  <si>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</si>
  <si>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</si>
  <si>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</si>
  <si>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</si>
  <si>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</si>
  <si>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</si>
  <si>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</si>
  <si>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</si>
  <si>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</si>
  <si>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</si>
  <si>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</si>
  <si>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</si>
  <si>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</si>
  <si>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</si>
  <si>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</si>
  <si>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</si>
  <si>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</si>
  <si>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</si>
  <si>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</si>
  <si>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</si>
  <si>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</si>
  <si>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</si>
  <si>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</si>
  <si>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</si>
  <si>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</si>
  <si>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</si>
  <si>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</si>
  <si>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</si>
  <si>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</si>
  <si>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</si>
  <si>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</si>
  <si>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</si>
  <si>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</si>
  <si>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</si>
  <si>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</si>
  <si>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</si>
  <si>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</si>
  <si>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</si>
  <si>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</si>
  <si>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</si>
  <si>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</si>
  <si>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</si>
  <si>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</si>
  <si>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</si>
  <si>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</si>
  <si>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</si>
  <si>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</si>
  <si>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</si>
  <si>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</si>
  <si>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</si>
  <si>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</si>
  <si>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</si>
  <si>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</si>
  <si>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</si>
  <si>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</si>
  <si>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</si>
  <si>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</si>
  <si>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</si>
  <si>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</si>
  <si>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</si>
  <si>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</si>
  <si>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</si>
  <si>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</si>
  <si>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</si>
  <si>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</si>
  <si>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</si>
  <si>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</si>
  <si>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</si>
  <si>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</si>
  <si>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</si>
  <si>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</si>
  <si>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</si>
  <si>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</si>
  <si>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</si>
  <si>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</si>
  <si>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</si>
  <si>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</si>
  <si>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</si>
  <si>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</si>
  <si>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</si>
  <si>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</si>
  <si>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</si>
  <si>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</si>
  <si>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</si>
  <si>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</si>
  <si>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</si>
  <si>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</si>
  <si>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</si>
  <si>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</si>
  <si>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</si>
  <si>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</si>
  <si>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</si>
  <si>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</si>
  <si>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</si>
  <si>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</si>
  <si>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</si>
  <si>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</si>
  <si>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</si>
  <si>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</si>
  <si>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</si>
  <si>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</si>
  <si>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</si>
  <si>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</si>
  <si>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</si>
  <si>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</si>
  <si>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</si>
  <si>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</si>
  <si>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</si>
  <si>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</si>
  <si>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</si>
  <si>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</si>
  <si>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</si>
  <si>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</si>
  <si>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</si>
  <si>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</si>
  <si>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</si>
  <si>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</si>
  <si>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</si>
  <si>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</si>
  <si>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</si>
  <si>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</si>
  <si>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</si>
  <si>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</si>
  <si>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</si>
  <si>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</si>
  <si>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</si>
  <si>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</si>
  <si>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</si>
  <si>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</si>
  <si>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</si>
  <si>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</si>
  <si>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</si>
  <si>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</si>
  <si>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</si>
  <si>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</si>
  <si>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</si>
  <si>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</si>
  <si>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</si>
  <si>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</si>
  <si>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</si>
  <si>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</si>
  <si>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</si>
  <si>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</si>
  <si>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</si>
  <si>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</si>
  <si>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</si>
  <si>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</si>
  <si>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</si>
  <si>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</si>
  <si>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</si>
  <si>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</si>
  <si>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</si>
  <si>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</si>
  <si>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</si>
  <si>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</si>
  <si>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</si>
  <si>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</si>
  <si>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</si>
  <si>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</si>
  <si>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</si>
  <si>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</si>
  <si>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</si>
  <si>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</si>
  <si>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</si>
  <si>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</si>
  <si>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</si>
  <si>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</si>
  <si>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</si>
  <si>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</si>
  <si>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</si>
  <si>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</si>
  <si>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</si>
  <si>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</si>
  <si>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</si>
  <si>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</si>
  <si>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</si>
  <si>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</si>
  <si>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</si>
  <si>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</si>
  <si>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</si>
  <si>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</si>
  <si>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</si>
  <si>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</si>
  <si>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</si>
  <si>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</si>
  <si>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</si>
  <si>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</si>
  <si>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</si>
  <si>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</si>
  <si>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</si>
  <si>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</si>
  <si>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</si>
  <si>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</si>
  <si>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</si>
  <si>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</si>
  <si>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</si>
  <si>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</si>
  <si>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</si>
  <si>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</si>
  <si>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</si>
  <si>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</si>
  <si>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</si>
  <si>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</si>
  <si>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</si>
  <si>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</si>
  <si>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</si>
  <si>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</si>
  <si>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</si>
  <si>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</si>
  <si>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</si>
  <si>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</si>
  <si>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</si>
  <si>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</si>
  <si>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</si>
  <si>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</si>
  <si>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</si>
  <si>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</si>
  <si>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</si>
  <si>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</si>
  <si>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</si>
  <si>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</si>
  <si>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</si>
  <si>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</si>
  <si>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</si>
  <si>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</si>
  <si>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</si>
  <si>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</si>
  <si>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</si>
  <si>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</si>
  <si>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</si>
  <si>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</si>
  <si>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</si>
  <si>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</si>
  <si>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</si>
  <si>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</si>
  <si>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</si>
  <si>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</si>
  <si>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</si>
  <si>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</si>
  <si>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</si>
  <si>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</si>
  <si>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</si>
  <si>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</si>
  <si>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</si>
  <si>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</si>
  <si>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</si>
  <si>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</si>
  <si>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</si>
  <si>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</si>
  <si>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</si>
  <si>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</si>
  <si>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</si>
  <si>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</si>
  <si>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</si>
  <si>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</si>
  <si>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</si>
  <si>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</si>
  <si>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</si>
  <si>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</si>
  <si>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</si>
  <si>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</si>
  <si>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</si>
  <si>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</si>
  <si>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</si>
  <si>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</si>
  <si>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</si>
  <si>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</si>
  <si>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</si>
  <si>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</si>
  <si>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</si>
  <si>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</si>
  <si>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</si>
  <si>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</si>
  <si>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</si>
  <si>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</si>
  <si>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</si>
  <si>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</si>
  <si>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</si>
  <si>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</si>
  <si>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</si>
  <si>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</si>
  <si>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</si>
  <si>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</si>
  <si>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</si>
  <si>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</si>
  <si>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</si>
  <si>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</si>
  <si>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</si>
  <si>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</si>
  <si>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</si>
  <si>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</si>
  <si>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</si>
  <si>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</si>
  <si>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</si>
  <si>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</si>
  <si>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</si>
  <si>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</si>
  <si>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</si>
  <si>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</si>
  <si>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</si>
  <si>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</si>
  <si>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</si>
  <si>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</si>
  <si>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</si>
  <si>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</si>
  <si>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</si>
  <si>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</si>
  <si>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</si>
  <si>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</si>
  <si>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</si>
  <si>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</si>
  <si>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</si>
  <si>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</si>
  <si>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</si>
  <si>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</si>
  <si>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</si>
  <si>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</si>
  <si>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</si>
  <si>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</si>
  <si>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</si>
  <si>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</si>
  <si>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</si>
  <si>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</si>
  <si>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</si>
  <si>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</si>
  <si>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</si>
  <si>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</si>
  <si>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</si>
  <si>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</si>
  <si>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</si>
  <si>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</si>
  <si>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</si>
  <si>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</si>
  <si>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</si>
  <si>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</si>
  <si>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</si>
  <si>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</si>
  <si>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</si>
  <si>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</si>
  <si>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</si>
  <si>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</si>
  <si>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</si>
  <si>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</si>
  <si>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</si>
  <si>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</si>
  <si>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</si>
  <si>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</si>
  <si>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</si>
  <si>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</si>
  <si>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</si>
  <si>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</si>
  <si>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</si>
  <si>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</si>
  <si>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</si>
  <si>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</si>
  <si>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</si>
  <si>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</si>
  <si>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</si>
  <si>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</si>
  <si>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</si>
  <si>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</si>
  <si>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</si>
  <si>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</si>
  <si>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</si>
  <si>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</si>
  <si>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</si>
  <si>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</si>
  <si>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</si>
  <si>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</si>
  <si>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</si>
  <si>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</si>
  <si>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</si>
  <si>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</si>
  <si>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</si>
  <si>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</si>
  <si>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</si>
  <si>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</si>
  <si>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</si>
  <si>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</si>
  <si>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</si>
  <si>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</si>
  <si>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</si>
  <si>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</si>
  <si>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</si>
  <si>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</si>
  <si>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</si>
  <si>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</si>
  <si>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</si>
  <si>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</si>
  <si>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</si>
  <si>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</si>
  <si>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</si>
  <si>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</si>
  <si>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</si>
  <si>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</si>
  <si>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</si>
  <si>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</si>
  <si>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</si>
  <si>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</si>
  <si>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</si>
  <si>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</si>
  <si>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</si>
  <si>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</si>
  <si>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</si>
  <si>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</si>
  <si>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</si>
  <si>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</si>
  <si>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</si>
  <si>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</si>
  <si>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</si>
  <si>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</si>
  <si>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</si>
  <si>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</si>
  <si>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</si>
  <si>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</si>
  <si>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</si>
  <si>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</si>
  <si>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</si>
  <si>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</si>
  <si>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</si>
  <si>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</si>
  <si>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</si>
  <si>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</si>
  <si>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</si>
  <si>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</si>
  <si>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</si>
  <si>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</si>
  <si>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</si>
  <si>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</si>
  <si>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</si>
  <si>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</si>
  <si>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</si>
  <si>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</si>
  <si>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</si>
  <si>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</si>
  <si>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</si>
  <si>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</si>
  <si>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</si>
  <si>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</si>
  <si>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</si>
  <si>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</si>
  <si>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</si>
  <si>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</si>
  <si>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</si>
  <si>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</si>
  <si>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</si>
  <si>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</si>
  <si>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</si>
  <si>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</si>
  <si>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</si>
  <si>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</si>
  <si>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</si>
  <si>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</si>
  <si>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</si>
  <si>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</si>
  <si>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</si>
  <si>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</si>
  <si>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</si>
  <si>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</si>
  <si>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</si>
  <si>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</si>
  <si>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</si>
  <si>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</si>
  <si>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</si>
  <si>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</si>
  <si>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</si>
  <si>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</si>
  <si>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</si>
  <si>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</si>
  <si>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</si>
  <si>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</si>
  <si>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</si>
  <si>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</si>
  <si>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</si>
  <si>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</si>
  <si>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</si>
  <si>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</si>
  <si>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</si>
  <si>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</si>
  <si>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</si>
  <si>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</si>
  <si>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</si>
  <si>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</si>
  <si>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</si>
  <si>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</si>
  <si>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</si>
  <si>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</si>
  <si>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</si>
  <si>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</si>
  <si>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</si>
  <si>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</si>
  <si>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</si>
  <si>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</si>
  <si>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</si>
  <si>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</si>
  <si>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</si>
  <si>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</si>
  <si>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</si>
  <si>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</si>
  <si>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</si>
  <si>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</si>
  <si>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</si>
  <si>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</si>
  <si>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</si>
  <si>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</si>
  <si>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</si>
  <si>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</si>
  <si>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</si>
  <si>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</si>
  <si>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</si>
  <si>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</si>
  <si>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</si>
  <si>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</si>
  <si>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</si>
  <si>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</si>
  <si>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</si>
  <si>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</si>
  <si>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</si>
  <si>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</si>
  <si>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</si>
  <si>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</si>
  <si>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</si>
  <si>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</si>
  <si>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</si>
  <si>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</si>
  <si>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</si>
  <si>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</si>
  <si>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</si>
  <si>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</si>
  <si>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</si>
  <si>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</si>
  <si>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</si>
  <si>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</si>
  <si>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</si>
  <si>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</si>
  <si>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</si>
  <si>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</si>
  <si>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</si>
  <si>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</si>
  <si>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</si>
  <si>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</si>
  <si>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</si>
  <si>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</si>
  <si>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</si>
  <si>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</si>
  <si>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</si>
  <si>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</si>
  <si>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</si>
  <si>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</si>
  <si>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</si>
  <si>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</si>
  <si>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</si>
  <si>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</si>
  <si>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</si>
  <si>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</si>
  <si>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</si>
  <si>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</si>
  <si>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</si>
  <si>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</si>
  <si>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</si>
  <si>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</si>
  <si>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</si>
  <si>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</si>
  <si>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</si>
  <si>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</si>
  <si>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</si>
  <si>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</si>
  <si>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</si>
  <si>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</si>
  <si>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</si>
  <si>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</si>
  <si>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</si>
  <si>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</si>
  <si>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</si>
  <si>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</si>
  <si>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</si>
  <si>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</si>
  <si>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</si>
  <si>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</si>
  <si>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</si>
  <si>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</si>
  <si>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</si>
  <si>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</si>
  <si>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</si>
  <si>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</si>
  <si>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</si>
  <si>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</si>
  <si>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</si>
  <si>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</si>
  <si>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</si>
  <si>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</si>
  <si>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</si>
  <si>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</si>
  <si>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</si>
  <si>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</si>
  <si>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</si>
  <si>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</si>
  <si>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</si>
  <si>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</si>
  <si>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</si>
  <si>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</si>
  <si>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</si>
  <si>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</si>
  <si>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</si>
  <si>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</si>
  <si>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</si>
  <si>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</si>
  <si>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</si>
  <si>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</si>
  <si>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</si>
  <si>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</si>
  <si>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</si>
  <si>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</si>
  <si>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</si>
  <si>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</si>
  <si>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</si>
  <si>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</si>
  <si>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</si>
  <si>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</si>
  <si>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</si>
  <si>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</si>
  <si>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</si>
  <si>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</si>
  <si>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</si>
  <si>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</si>
  <si>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</si>
  <si>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</si>
  <si>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</si>
  <si>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</si>
  <si>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</si>
  <si>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</si>
  <si>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</si>
  <si>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</si>
  <si>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</si>
  <si>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</si>
  <si>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</si>
  <si>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</si>
  <si>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</si>
  <si>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</si>
  <si>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</si>
  <si>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</si>
  <si>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</si>
  <si>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</si>
  <si>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</si>
  <si>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</si>
  <si>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</si>
  <si>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</si>
  <si>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</si>
  <si>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</si>
  <si>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</si>
  <si>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</si>
  <si>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</si>
  <si>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</si>
  <si>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</si>
  <si>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</si>
  <si>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</si>
  <si>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</si>
  <si>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</si>
  <si>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</si>
  <si>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</si>
  <si>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</si>
  <si>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</si>
  <si>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</si>
  <si>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</si>
  <si>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</si>
  <si>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</si>
  <si>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</si>
  <si>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</si>
  <si>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</si>
  <si>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</si>
  <si>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</si>
  <si>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</si>
  <si>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</si>
  <si>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</si>
  <si>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</si>
  <si>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</si>
  <si>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</si>
  <si>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</si>
  <si>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</si>
  <si>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</si>
  <si>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</si>
  <si>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</si>
  <si>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</si>
  <si>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</si>
  <si>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</si>
  <si>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</si>
  <si>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</si>
  <si>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</si>
  <si>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</si>
  <si>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</si>
  <si>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</si>
  <si>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</si>
  <si>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</si>
  <si>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</si>
  <si>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</si>
  <si>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</si>
  <si>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</si>
  <si>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</si>
  <si>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</si>
  <si>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</si>
  <si>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</si>
  <si>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</si>
  <si>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</si>
  <si>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</si>
  <si>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</si>
  <si>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</si>
  <si>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</si>
  <si>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</si>
  <si>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</si>
  <si>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</si>
  <si>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</si>
  <si>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</si>
  <si>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</si>
  <si>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</si>
  <si>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</si>
  <si>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</si>
  <si>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</si>
  <si>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</si>
  <si>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</si>
  <si>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</si>
  <si>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</si>
  <si>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</si>
  <si>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</si>
  <si>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</si>
  <si>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</si>
  <si>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</si>
  <si>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</si>
  <si>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</si>
  <si>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</si>
  <si>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</si>
  <si>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</si>
  <si>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</si>
  <si>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</si>
  <si>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</si>
  <si>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</si>
  <si>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</si>
  <si>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</si>
  <si>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</si>
  <si>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</si>
  <si>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</si>
  <si>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</si>
  <si>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</si>
  <si>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</si>
  <si>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</si>
  <si>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</si>
  <si>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</si>
  <si>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We were unable to find an official page which is still live; there is an unofficial Facebook page [here](https://www.facebook.com/pages/The-Shrine-of-Our-Lady-of-the-Rosary-of-Namyang/243668322481803).  Please [contact us](/contact) if you know the correct link!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</si>
  <si>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</si>
  <si>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</si>
  <si>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</si>
  <si>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</si>
  <si>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</si>
  <si>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</si>
  <si>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</si>
  <si>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</si>
  <si>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</si>
  <si>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</si>
  <si>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</si>
  <si>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</si>
  <si>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</si>
  <si>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</si>
  <si>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</si>
  <si>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</si>
  <si>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</si>
  <si>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</si>
  <si>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</si>
  <si>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</si>
  <si>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</si>
  <si>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</si>
  <si>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</si>
  <si>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</si>
  <si>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</si>
  <si>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</si>
  <si>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</si>
  <si>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</si>
  <si>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</si>
  <si>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</si>
  <si>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</si>
  <si>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</si>
  <si>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</si>
  <si>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</si>
  <si>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</si>
  <si>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</si>
  <si>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</si>
  <si>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</si>
  <si>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</si>
  <si>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</si>
  <si>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</si>
  <si>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</si>
  <si>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</si>
  <si>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</si>
  <si>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</si>
  <si>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</si>
  <si>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</si>
  <si>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</si>
  <si>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</si>
  <si>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</si>
  <si>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</si>
  <si>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</si>
  <si>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</si>
  <si>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</si>
  <si>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</si>
  <si>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</si>
  <si>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</si>
  <si>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</si>
  <si>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</si>
  <si>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</si>
  <si>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</si>
  <si>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</si>
  <si>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</si>
  <si>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</si>
  <si>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</si>
  <si>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</si>
  <si>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</si>
  <si>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</si>
  <si>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</si>
  <si>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</si>
  <si>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</si>
  <si>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</si>
  <si>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</si>
  <si>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</si>
  <si>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</si>
  <si>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</si>
  <si>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</si>
  <si>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</si>
  <si>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</si>
  <si>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</si>
  <si>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</si>
  <si>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</si>
  <si>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</si>
  <si>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</si>
  <si>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</si>
  <si>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</si>
  <si>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</si>
  <si>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</si>
  <si>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</si>
  <si>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</si>
  <si>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</si>
  <si>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</si>
  <si>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</si>
  <si>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</si>
  <si>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</si>
  <si>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</si>
  <si>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</si>
  <si>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</si>
  <si>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</si>
  <si>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</si>
  <si>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</si>
  <si>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</si>
  <si>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</si>
  <si>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</si>
  <si>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</si>
  <si>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</si>
  <si>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</si>
  <si>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</si>
  <si>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</si>
  <si>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</si>
  <si>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</si>
  <si>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</si>
  <si>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</si>
  <si>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</si>
  <si>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</si>
  <si>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</si>
  <si>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</si>
  <si>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</si>
  <si>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</si>
  <si>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</si>
  <si>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</si>
  <si>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</si>
  <si>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</si>
  <si>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</si>
  <si>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</si>
  <si>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</si>
  <si>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</si>
  <si>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</si>
  <si>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</si>
  <si>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</si>
  <si>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</si>
  <si>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</si>
  <si>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</si>
  <si>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</si>
  <si>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</si>
  <si>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</si>
  <si>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</si>
  <si>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</si>
  <si>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</si>
  <si>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</si>
  <si>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</si>
  <si>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</si>
  <si>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</si>
  <si>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</si>
  <si>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</si>
  <si>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</si>
  <si>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</si>
  <si>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</si>
  <si>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</si>
  <si>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</si>
  <si>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</si>
  <si>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</si>
  <si>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</si>
  <si>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</si>
  <si>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</si>
  <si>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</si>
  <si>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</si>
  <si>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</si>
  <si>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</si>
  <si>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</si>
  <si>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</si>
  <si>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</si>
  <si>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</si>
  <si>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</si>
  <si>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</si>
  <si>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</si>
  <si>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</si>
  <si>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</si>
  <si>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</si>
  <si>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</si>
  <si>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</si>
  <si>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</si>
  <si>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</si>
  <si>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</si>
  <si>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</si>
  <si>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</si>
  <si>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</si>
  <si>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</si>
  <si>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</si>
  <si>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</si>
  <si>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</si>
  <si>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</si>
  <si>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</si>
  <si>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</si>
  <si>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</si>
  <si>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</si>
  <si>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</si>
  <si>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</si>
  <si>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</si>
  <si>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</si>
  <si>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</si>
  <si>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</si>
  <si>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</si>
  <si>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</si>
  <si>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</si>
  <si>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</si>
  <si>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</si>
  <si>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</si>
  <si>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</si>
  <si>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</si>
  <si>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</si>
  <si>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</si>
  <si>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</si>
  <si>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</si>
  <si>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</si>
  <si>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</si>
  <si>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</si>
  <si>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</si>
  <si>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</si>
  <si>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</si>
  <si>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</si>
  <si>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</si>
  <si>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</si>
  <si>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</si>
  <si>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</si>
  <si>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</si>
  <si>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</si>
  <si>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</si>
  <si>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</si>
  <si>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</si>
  <si>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</si>
  <si>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</si>
  <si>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</si>
  <si>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</si>
  <si>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</si>
  <si>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</si>
  <si>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</si>
  <si>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</si>
  <si>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</si>
  <si>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</si>
  <si>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</si>
  <si>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</si>
  <si>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</si>
  <si>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</si>
  <si>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</si>
  <si>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</si>
  <si>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</si>
  <si>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</si>
  <si>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</si>
  <si>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</si>
  <si>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</si>
  <si>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</si>
  <si>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</si>
  <si>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</si>
  <si>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</si>
  <si>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</si>
  <si>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</si>
  <si>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</si>
  <si>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</si>
  <si>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</si>
  <si>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</si>
  <si>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</si>
  <si>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</si>
  <si>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</si>
  <si>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</si>
  <si>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</si>
  <si>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</si>
  <si>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</si>
  <si>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</si>
  <si>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</si>
  <si>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</si>
  <si>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</si>
  <si>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</si>
  <si>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</si>
  <si>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</si>
  <si>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</si>
  <si>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</si>
  <si>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</si>
  <si>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</si>
  <si>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</si>
  <si>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</si>
  <si>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</si>
  <si>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</si>
  <si>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</si>
  <si>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</si>
  <si>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</si>
  <si>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</si>
  <si>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</si>
  <si>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</si>
  <si>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</si>
  <si>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</si>
  <si>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</si>
  <si>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</si>
  <si>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</si>
  <si>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</si>
  <si>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</si>
  <si>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</si>
  <si>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</si>
  <si>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</si>
  <si>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</si>
  <si>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</si>
  <si>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</si>
  <si>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</si>
  <si>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</si>
  <si>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</si>
  <si>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</si>
  <si>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</si>
  <si>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</si>
  <si>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</si>
  <si>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</si>
  <si>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</si>
  <si>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</si>
  <si>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</si>
  <si>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</si>
  <si>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</si>
  <si>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</si>
  <si>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</si>
  <si>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</si>
  <si>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</si>
  <si>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</si>
  <si>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</si>
  <si>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</si>
  <si>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</si>
  <si>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</si>
  <si>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</si>
  <si>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</si>
  <si>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</si>
  <si>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</si>
  <si>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</si>
  <si>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</si>
  <si>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</si>
  <si>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</si>
  <si>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</si>
  <si>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</si>
  <si>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</si>
  <si>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</si>
  <si>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</si>
  <si>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</si>
  <si>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</si>
  <si>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</si>
  <si>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</si>
  <si>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</si>
  <si>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</si>
  <si>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</si>
  <si>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</si>
  <si>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</si>
  <si>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</si>
  <si>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</si>
  <si>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</si>
  <si>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</si>
  <si>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</si>
  <si>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</si>
  <si>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</si>
  <si>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</si>
  <si>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</si>
  <si>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</si>
  <si>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</si>
  <si>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</si>
  <si>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</si>
  <si>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</si>
  <si>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</si>
  <si>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</si>
  <si>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</si>
  <si>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</si>
  <si>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</si>
  <si>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</si>
  <si>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</si>
  <si>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</si>
  <si>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</si>
  <si>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</si>
  <si>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</si>
  <si>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</si>
  <si>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</si>
  <si>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</si>
  <si>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</si>
  <si>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</si>
  <si>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</si>
  <si>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</si>
  <si>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</si>
  <si>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</si>
  <si>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</si>
  <si>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</si>
  <si>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</si>
  <si>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</si>
  <si>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</si>
  <si>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</si>
  <si>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</si>
  <si>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</si>
  <si>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</si>
  <si>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</si>
  <si>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</si>
  <si>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</si>
  <si>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</si>
  <si>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</si>
  <si>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</si>
  <si>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</si>
  <si>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</si>
  <si>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</si>
  <si>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</si>
  <si>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</si>
  <si>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</si>
  <si>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</si>
  <si>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</si>
  <si>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</si>
  <si>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</si>
  <si>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</si>
  <si>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</si>
  <si>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</si>
  <si>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</si>
  <si>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</si>
  <si>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</si>
  <si>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</si>
  <si>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</si>
  <si>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</si>
  <si>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</si>
  <si>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</si>
  <si>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</si>
  <si>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</si>
  <si>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</si>
  <si>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</si>
  <si>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</si>
  <si>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</si>
  <si>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</si>
  <si>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</si>
  <si>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</si>
  <si>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</si>
  <si>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</si>
  <si>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</si>
  <si>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</si>
  <si>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</si>
  <si>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</si>
  <si>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</si>
  <si>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</si>
  <si>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</si>
  <si>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</si>
  <si>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</si>
  <si>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</si>
  <si>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</si>
  <si>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</si>
  <si>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</si>
  <si>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</si>
  <si>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</si>
  <si>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</si>
  <si>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</si>
  <si>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</si>
  <si>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</si>
  <si>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</si>
  <si>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</si>
  <si>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</si>
  <si>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</si>
  <si>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</si>
  <si>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</si>
  <si>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</si>
  <si>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</si>
  <si>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</si>
  <si>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</si>
  <si>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</si>
  <si>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</si>
  <si>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</si>
  <si>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</si>
  <si>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</si>
  <si>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</si>
  <si>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</si>
  <si>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</si>
  <si>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</si>
  <si>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</si>
  <si>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</si>
  <si>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</si>
  <si>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</si>
  <si>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</si>
  <si>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</si>
  <si>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</si>
  <si>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</si>
  <si>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</si>
  <si>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</si>
  <si>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</si>
  <si>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</si>
  <si>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</si>
  <si>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</si>
  <si>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</si>
  <si>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</si>
  <si>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</si>
  <si>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</si>
  <si>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</si>
  <si>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</si>
  <si>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</si>
  <si>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</si>
  <si>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</si>
  <si>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</si>
  <si>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</si>
  <si>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</si>
  <si>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</si>
  <si>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</si>
  <si>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</si>
  <si>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</si>
  <si>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</si>
  <si>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</si>
  <si>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</si>
  <si>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</si>
  <si>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</si>
  <si>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</si>
  <si>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</si>
  <si>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</si>
  <si>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</si>
  <si>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</si>
  <si>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</si>
  <si>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</si>
  <si>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</si>
  <si>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</si>
  <si>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</si>
  <si>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</si>
  <si>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</si>
  <si>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</si>
  <si>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</si>
  <si>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</si>
  <si>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</si>
  <si>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</si>
  <si>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</si>
  <si>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</si>
  <si>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</si>
  <si>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</si>
  <si>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</si>
  <si>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</si>
  <si>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</si>
  <si>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</si>
  <si>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</si>
  <si>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</si>
  <si>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</si>
  <si>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</si>
  <si>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</si>
  <si>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</si>
  <si>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</si>
  <si>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</si>
  <si>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</si>
  <si>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</si>
  <si>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</si>
  <si>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</si>
  <si>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</si>
  <si>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</si>
  <si>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</si>
  <si>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</si>
  <si>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</si>
  <si>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</si>
  <si>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</si>
  <si>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</si>
  <si>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</si>
  <si>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</si>
  <si>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</si>
  <si>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</si>
  <si>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</si>
  <si>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</si>
  <si>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</si>
  <si>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</si>
  <si>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</si>
  <si>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</si>
  <si>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</si>
  <si>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</si>
  <si>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</si>
  <si>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</si>
  <si>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</si>
  <si>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</si>
  <si>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</si>
  <si>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</si>
  <si>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</si>
  <si>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</si>
  <si>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</si>
  <si>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</si>
  <si>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</si>
  <si>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</si>
  <si>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</si>
  <si>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</si>
  <si>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</si>
  <si>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</si>
  <si>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</si>
  <si>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</si>
  <si>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</si>
  <si>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</si>
  <si>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</si>
  <si>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</si>
  <si>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</si>
  <si>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</si>
  <si>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</si>
  <si>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</si>
  <si>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</si>
  <si>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</si>
  <si>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</si>
  <si>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</si>
  <si>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</si>
  <si>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</si>
  <si>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</si>
  <si>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</si>
  <si>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</si>
  <si>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</si>
  <si>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</si>
  <si>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</si>
  <si>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</si>
  <si>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</si>
  <si>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</si>
  <si>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</si>
  <si>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</si>
  <si>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</si>
  <si>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</si>
  <si>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</si>
  <si>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</si>
  <si>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</si>
  <si>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</si>
  <si>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</si>
  <si>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</si>
  <si>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</si>
  <si>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</si>
  <si>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</si>
  <si>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</si>
  <si>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</si>
  <si>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</si>
  <si>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</si>
  <si>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</si>
  <si>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</si>
  <si>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</si>
  <si>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</si>
  <si>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</si>
  <si>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</si>
  <si>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</si>
  <si>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</si>
  <si>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</si>
  <si>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</si>
  <si>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</si>
  <si>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</si>
  <si>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</si>
  <si>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</si>
  <si>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</si>
  <si>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</si>
  <si>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</si>
  <si>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</si>
  <si>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</si>
  <si>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</si>
  <si>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</si>
  <si>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</si>
  <si>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</si>
  <si>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</si>
  <si>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</si>
  <si>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</si>
  <si>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</si>
  <si>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</si>
  <si>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</si>
  <si>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</si>
  <si>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</si>
  <si>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</si>
  <si>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</si>
  <si>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</si>
  <si>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</si>
  <si>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</si>
  <si>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</si>
  <si>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</si>
  <si>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</si>
  <si>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</si>
  <si>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</si>
  <si>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</si>
  <si>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</si>
  <si>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</si>
  <si>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</si>
  <si>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</si>
  <si>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</si>
  <si>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</si>
  <si>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</si>
  <si>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</si>
  <si>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</si>
  <si>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</si>
  <si>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</si>
  <si>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</si>
  <si>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</si>
  <si>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</si>
  <si>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</si>
  <si>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</si>
  <si>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</si>
  <si>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</si>
  <si>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</si>
  <si>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</si>
  <si>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</si>
  <si>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</si>
  <si>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</si>
  <si>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</si>
  <si>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</si>
  <si>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</si>
  <si>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</si>
  <si>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</si>
  <si>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</si>
  <si>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</si>
  <si>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</si>
  <si>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</si>
  <si>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</si>
  <si>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</si>
  <si>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</si>
  <si>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</si>
  <si>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</si>
  <si>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</si>
  <si>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</si>
  <si>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</si>
  <si>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</si>
  <si>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</si>
  <si>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</si>
  <si>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</si>
  <si>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</si>
  <si>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</si>
  <si>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</si>
  <si>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</si>
  <si>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</si>
  <si>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</si>
  <si>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</si>
  <si>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</si>
  <si>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</si>
  <si>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</si>
  <si>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</si>
  <si>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</si>
  <si>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</si>
  <si>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</si>
  <si>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</si>
  <si>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</si>
  <si>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</si>
  <si>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</si>
  <si>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</si>
  <si>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</si>
  <si>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</si>
  <si>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</si>
  <si>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</si>
  <si>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</si>
  <si>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</si>
  <si>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</si>
  <si>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</si>
  <si>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</si>
  <si>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</si>
  <si>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</si>
  <si>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</si>
  <si>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</si>
  <si>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</si>
  <si>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</si>
  <si>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</si>
  <si>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</si>
  <si>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</si>
  <si>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</si>
  <si>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</si>
  <si>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</si>
  <si>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</si>
  <si>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</si>
  <si>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</si>
  <si>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</si>
  <si>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</si>
  <si>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</si>
  <si>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</si>
  <si>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</si>
  <si>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</si>
  <si>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</si>
  <si>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</si>
  <si>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</si>
  <si>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</si>
  <si>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</si>
  <si>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</si>
  <si>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</si>
  <si>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</si>
  <si>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</si>
  <si>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</si>
  <si>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</si>
  <si>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</si>
  <si>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</si>
  <si>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</si>
  <si>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</si>
  <si>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</si>
  <si>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</si>
  <si>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</si>
  <si>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</si>
  <si>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</si>
  <si>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Region/City (optional)</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</si>
  <si>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</si>
  <si>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</si>
  <si>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</si>
  <si>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</si>
  <si>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</si>
  <si>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</si>
  <si>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</si>
  <si>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</si>
  <si>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</si>
  <si>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</si>
  <si>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</si>
  <si>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</si>
  <si>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</si>
  <si>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</si>
  <si>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</si>
  <si>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</si>
  <si>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</si>
  <si>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</si>
  <si>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</si>
  <si>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</si>
  <si>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</si>
  <si>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</si>
  <si>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</si>
  <si>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</si>
  <si>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</si>
  <si>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</si>
  <si>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</si>
  <si>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</si>
  <si>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</si>
  <si>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</si>
  <si>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</si>
  <si>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</si>
  <si>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</si>
  <si>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</si>
  <si>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</si>
  <si>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</si>
  <si>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</si>
  <si>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</si>
  <si>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</si>
  <si>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</si>
  <si>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</si>
  <si>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</si>
  <si>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</si>
  <si>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</si>
  <si>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</si>
  <si>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</si>
  <si>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</si>
  <si>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</si>
  <si>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</si>
  <si>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</si>
  <si>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</si>
  <si>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</si>
  <si>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</si>
  <si>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</si>
  <si>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</si>
  <si>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</si>
  <si>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</si>
  <si>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</si>
  <si>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</si>
  <si>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</si>
  <si>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</si>
  <si>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</si>
  <si>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</si>
  <si>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</si>
  <si>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</si>
  <si>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</si>
  <si>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</si>
  <si>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</si>
  <si>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title: "Pope St. John Paul II"</t>
  </si>
  <si>
    <t xml:space="preserve">---_x000D_
title: "Pope St. John Paul II"_x000D_
---_x000D_
_x000D_
_x000D_
*A collection of sites associated with this topic.*_x000D_
_x000D_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t>
  </si>
  <si>
    <t>\tags\john-paul-ii\_index.md</t>
  </si>
  <si>
    <t>Sum</t>
  </si>
  <si>
    <t>Average</t>
  </si>
  <si>
    <t>Running Total</t>
  </si>
  <si>
    <t>Count</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</si>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</sst>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8" fillId="0" borderId="0" applyNumberFormat="0" applyFill="0" applyBorder="0" applyAlignment="0" applyProtection="0"/>
  </cellStyleXfs>
  <cellXfs count="182">
    <xf numFmtId="0" fontId="0" fillId="0" borderId="0" xfId="0"/>
    <xf numFmtId="0" fontId="19" fillId="0" borderId="0" xfId="0" applyFont="1"/>
    <xf numFmtId="0" fontId="23" fillId="0" borderId="0" xfId="0" applyFont="1" applyAlignment="1">
      <alignment vertical="top"/>
    </xf>
    <xf numFmtId="0" fontId="23" fillId="0" borderId="0" xfId="0" applyFont="1" applyAlignment="1">
      <alignment horizontal="left" vertical="top"/>
    </xf>
    <xf numFmtId="0" fontId="23" fillId="0" borderId="0" xfId="0" applyFont="1" applyAlignment="1">
      <alignment vertical="top" wrapText="1"/>
    </xf>
    <xf numFmtId="0" fontId="19" fillId="0" borderId="0" xfId="0" applyFont="1" applyAlignment="1">
      <alignment vertical="top"/>
    </xf>
    <xf numFmtId="0" fontId="20" fillId="0" borderId="0" xfId="0" applyFont="1" applyAlignment="1">
      <alignment horizontal="left" vertical="top"/>
    </xf>
    <xf numFmtId="0" fontId="21" fillId="0" borderId="0" xfId="1" applyFont="1" applyFill="1" applyAlignment="1">
      <alignment vertical="top"/>
    </xf>
    <xf numFmtId="0" fontId="22" fillId="0" borderId="0" xfId="0" applyFont="1" applyAlignment="1">
      <alignment vertical="top" wrapText="1"/>
    </xf>
    <xf numFmtId="0" fontId="20" fillId="0" borderId="0" xfId="0" applyFont="1" applyAlignment="1">
      <alignment vertical="top"/>
    </xf>
    <xf numFmtId="0" fontId="22" fillId="0" borderId="0" xfId="0" applyFont="1" applyAlignment="1">
      <alignment horizontal="left" vertical="top"/>
    </xf>
    <xf numFmtId="0" fontId="22" fillId="0" borderId="0" xfId="0" applyFont="1" applyAlignment="1">
      <alignment vertical="top"/>
    </xf>
    <xf numFmtId="0" fontId="19" fillId="0" borderId="0" xfId="0" applyFont="1" applyAlignment="1">
      <alignment horizontal="left" vertical="top"/>
    </xf>
    <xf numFmtId="0" fontId="19" fillId="0" borderId="0" xfId="0" applyFont="1" applyAlignment="1">
      <alignment vertical="top" wrapText="1"/>
    </xf>
    <xf numFmtId="0" fontId="23" fillId="0" borderId="0" xfId="0" applyFont="1" applyAlignment="1">
      <alignment vertical="center"/>
    </xf>
    <xf numFmtId="0" fontId="19" fillId="0" borderId="0" xfId="0" applyFont="1" applyAlignment="1">
      <alignment vertical="center"/>
    </xf>
    <xf numFmtId="0" fontId="19" fillId="0" borderId="0" xfId="0" quotePrefix="1" applyFont="1" applyAlignment="1">
      <alignment vertical="center"/>
    </xf>
    <xf numFmtId="0" fontId="0" fillId="2" borderId="0" xfId="0" applyFill="1"/>
    <xf numFmtId="0" fontId="0" fillId="3" borderId="0" xfId="0" applyFill="1"/>
    <xf numFmtId="0" fontId="18" fillId="3" borderId="0" xfId="1" applyFill="1"/>
    <xf numFmtId="0" fontId="23" fillId="0" borderId="0" xfId="0" applyFont="1"/>
    <xf numFmtId="0" fontId="15" fillId="0" borderId="0" xfId="0" applyFont="1"/>
    <xf numFmtId="0" fontId="13" fillId="0" borderId="0" xfId="0" applyFont="1"/>
    <xf numFmtId="0" fontId="27" fillId="0" borderId="0" xfId="0" applyFont="1" applyAlignment="1">
      <alignment vertical="center"/>
    </xf>
    <xf numFmtId="0" fontId="19" fillId="0" borderId="0" xfId="0" applyFont="1" applyAlignment="1">
      <alignment vertical="center" wrapText="1"/>
    </xf>
    <xf numFmtId="0" fontId="14" fillId="0" borderId="0" xfId="0" applyFont="1" applyAlignment="1">
      <alignment vertical="center"/>
    </xf>
    <xf numFmtId="0" fontId="15" fillId="0" borderId="0" xfId="0" quotePrefix="1" applyFont="1" applyAlignment="1">
      <alignment vertical="center"/>
    </xf>
    <xf numFmtId="0" fontId="15"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vertical="center"/>
    </xf>
    <xf numFmtId="0" fontId="25" fillId="0" borderId="0" xfId="0" quotePrefix="1" applyFont="1" applyAlignment="1">
      <alignment vertical="center"/>
    </xf>
    <xf numFmtId="0" fontId="27" fillId="0" borderId="0" xfId="0" applyFont="1" applyAlignment="1">
      <alignment vertical="center" wrapText="1"/>
    </xf>
    <xf numFmtId="0" fontId="16" fillId="0" borderId="0" xfId="0" applyFont="1" applyAlignment="1">
      <alignment vertical="center" wrapText="1"/>
    </xf>
    <xf numFmtId="0" fontId="16" fillId="0" borderId="0" xfId="0" quotePrefix="1" applyFont="1" applyAlignment="1">
      <alignment vertical="center"/>
    </xf>
    <xf numFmtId="0" fontId="16" fillId="0" borderId="0" xfId="0" applyFont="1" applyAlignment="1">
      <alignment vertical="center"/>
    </xf>
    <xf numFmtId="0" fontId="13" fillId="0" borderId="0" xfId="0" applyFont="1" applyAlignment="1">
      <alignment vertical="center"/>
    </xf>
    <xf numFmtId="0" fontId="19" fillId="0" borderId="0" xfId="0" quotePrefix="1" applyFont="1" applyAlignment="1">
      <alignment vertical="center" wrapText="1"/>
    </xf>
    <xf numFmtId="0" fontId="15" fillId="0" borderId="0" xfId="0" quotePrefix="1" applyFont="1" applyAlignment="1">
      <alignment vertical="center" wrapText="1"/>
    </xf>
    <xf numFmtId="0" fontId="25" fillId="0" borderId="0" xfId="0" quotePrefix="1" applyFont="1" applyAlignment="1">
      <alignment vertical="center" wrapText="1"/>
    </xf>
    <xf numFmtId="0" fontId="15" fillId="0" borderId="0" xfId="0" applyFont="1" applyAlignment="1">
      <alignment vertical="center"/>
    </xf>
    <xf numFmtId="0" fontId="14" fillId="0" borderId="0" xfId="0"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19" fillId="2" borderId="0" xfId="0" applyFont="1" applyFill="1" applyAlignment="1">
      <alignment vertical="center" wrapText="1"/>
    </xf>
    <xf numFmtId="0" fontId="19" fillId="2" borderId="0" xfId="0" applyFont="1" applyFill="1" applyAlignment="1">
      <alignment vertical="center"/>
    </xf>
    <xf numFmtId="0" fontId="13" fillId="0" borderId="0" xfId="0" applyFont="1" applyAlignment="1">
      <alignment vertical="center" wrapText="1"/>
    </xf>
    <xf numFmtId="0" fontId="13" fillId="0" borderId="0" xfId="0" quotePrefix="1" applyFont="1" applyAlignment="1">
      <alignment vertical="center" wrapText="1"/>
    </xf>
    <xf numFmtId="0" fontId="12" fillId="0" borderId="0" xfId="0" applyFont="1" applyAlignment="1">
      <alignment vertical="center" wrapText="1"/>
    </xf>
    <xf numFmtId="0" fontId="12" fillId="0" borderId="0" xfId="0" applyFont="1" applyAlignment="1">
      <alignment vertical="center"/>
    </xf>
    <xf numFmtId="0" fontId="19" fillId="0" borderId="1" xfId="0" applyFont="1" applyBorder="1" applyAlignment="1">
      <alignment vertical="center"/>
    </xf>
    <xf numFmtId="0" fontId="19" fillId="0" borderId="1" xfId="0" quotePrefix="1" applyFont="1" applyBorder="1" applyAlignment="1">
      <alignment vertical="center"/>
    </xf>
    <xf numFmtId="0" fontId="16" fillId="0" borderId="1" xfId="0" quotePrefix="1" applyFont="1" applyBorder="1" applyAlignment="1">
      <alignment vertical="center"/>
    </xf>
    <xf numFmtId="0" fontId="19" fillId="0" borderId="2" xfId="0" applyFont="1" applyBorder="1" applyAlignment="1">
      <alignment vertical="center"/>
    </xf>
    <xf numFmtId="0" fontId="19" fillId="0" borderId="1" xfId="0" applyFont="1" applyBorder="1" applyAlignment="1">
      <alignment vertical="center" wrapText="1"/>
    </xf>
    <xf numFmtId="0" fontId="14" fillId="0" borderId="1" xfId="0" applyFont="1" applyBorder="1" applyAlignment="1">
      <alignment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13" fillId="0" borderId="1" xfId="0" applyFont="1" applyBorder="1" applyAlignment="1">
      <alignment vertical="center" wrapText="1"/>
    </xf>
    <xf numFmtId="0" fontId="19" fillId="0" borderId="3" xfId="0" quotePrefix="1" applyFont="1" applyBorder="1" applyAlignment="1">
      <alignment vertical="center"/>
    </xf>
    <xf numFmtId="0" fontId="19" fillId="0" borderId="3" xfId="0" applyFont="1" applyBorder="1" applyAlignment="1">
      <alignment vertical="center"/>
    </xf>
    <xf numFmtId="0" fontId="16" fillId="0" borderId="3" xfId="0" applyFont="1" applyBorder="1" applyAlignment="1">
      <alignment vertical="center"/>
    </xf>
    <xf numFmtId="0" fontId="13" fillId="0" borderId="3" xfId="0" applyFont="1" applyBorder="1" applyAlignment="1">
      <alignment vertical="center"/>
    </xf>
    <xf numFmtId="0" fontId="19" fillId="0" borderId="4" xfId="0" quotePrefix="1" applyFont="1" applyBorder="1" applyAlignment="1">
      <alignment vertical="center"/>
    </xf>
    <xf numFmtId="0" fontId="19" fillId="0" borderId="4" xfId="0" applyFont="1" applyBorder="1" applyAlignment="1">
      <alignment vertical="center"/>
    </xf>
    <xf numFmtId="0" fontId="16" fillId="0" borderId="4" xfId="0" applyFont="1" applyBorder="1" applyAlignment="1">
      <alignment vertical="center"/>
    </xf>
    <xf numFmtId="0" fontId="13" fillId="0" borderId="4" xfId="0" applyFont="1" applyBorder="1" applyAlignment="1">
      <alignment vertical="center"/>
    </xf>
    <xf numFmtId="0" fontId="23" fillId="0" borderId="5" xfId="0" applyFont="1" applyBorder="1" applyAlignment="1">
      <alignment vertical="center"/>
    </xf>
    <xf numFmtId="0" fontId="23" fillId="0" borderId="5" xfId="0" applyFont="1" applyBorder="1" applyAlignment="1">
      <alignment vertical="center" wrapText="1"/>
    </xf>
    <xf numFmtId="0" fontId="23" fillId="0" borderId="5" xfId="0" applyFont="1" applyBorder="1" applyAlignment="1">
      <alignment horizontal="left" vertical="center"/>
    </xf>
    <xf numFmtId="0" fontId="23" fillId="0" borderId="6" xfId="0" applyFont="1" applyBorder="1" applyAlignment="1">
      <alignment vertical="center" wrapText="1"/>
    </xf>
    <xf numFmtId="0" fontId="23" fillId="0" borderId="7" xfId="0" applyFont="1" applyBorder="1" applyAlignment="1">
      <alignment vertical="center"/>
    </xf>
    <xf numFmtId="0" fontId="23" fillId="0" borderId="8" xfId="0" applyFont="1" applyBorder="1" applyAlignment="1">
      <alignment vertical="center"/>
    </xf>
    <xf numFmtId="0" fontId="23" fillId="0" borderId="9" xfId="0" applyFont="1" applyBorder="1" applyAlignment="1">
      <alignment vertical="center"/>
    </xf>
    <xf numFmtId="0" fontId="23" fillId="0" borderId="6" xfId="0" applyFont="1" applyBorder="1" applyAlignment="1">
      <alignment vertical="center"/>
    </xf>
    <xf numFmtId="0" fontId="24" fillId="0" borderId="5" xfId="0" applyFont="1" applyBorder="1" applyAlignment="1">
      <alignment vertical="center"/>
    </xf>
    <xf numFmtId="0" fontId="26" fillId="0" borderId="5" xfId="0" applyFont="1" applyBorder="1" applyAlignment="1">
      <alignment vertical="center" wrapText="1"/>
    </xf>
    <xf numFmtId="0" fontId="26" fillId="0" borderId="5" xfId="0" applyFont="1" applyBorder="1" applyAlignment="1">
      <alignment vertical="center"/>
    </xf>
    <xf numFmtId="0" fontId="19" fillId="2" borderId="1" xfId="0" applyFont="1" applyFill="1" applyBorder="1" applyAlignment="1">
      <alignment vertical="center" wrapText="1"/>
    </xf>
    <xf numFmtId="0" fontId="12" fillId="0" borderId="0" xfId="0" quotePrefix="1" applyFont="1" applyAlignment="1">
      <alignment vertical="center"/>
    </xf>
    <xf numFmtId="0" fontId="12" fillId="0" borderId="3" xfId="0" quotePrefix="1" applyFont="1" applyBorder="1" applyAlignment="1">
      <alignment vertical="center"/>
    </xf>
    <xf numFmtId="0" fontId="12" fillId="0" borderId="4" xfId="0" quotePrefix="1" applyFont="1" applyBorder="1" applyAlignment="1">
      <alignment vertical="center"/>
    </xf>
    <xf numFmtId="0" fontId="12" fillId="0" borderId="3" xfId="0" applyFont="1" applyBorder="1" applyAlignment="1">
      <alignment vertical="center"/>
    </xf>
    <xf numFmtId="0" fontId="11" fillId="0" borderId="0" xfId="0" applyFont="1" applyAlignment="1">
      <alignment vertical="center" wrapText="1"/>
    </xf>
    <xf numFmtId="0" fontId="28" fillId="0" borderId="9" xfId="0" applyFont="1" applyBorder="1" applyAlignment="1">
      <alignment vertical="center"/>
    </xf>
    <xf numFmtId="0" fontId="30" fillId="0" borderId="2" xfId="1" applyFont="1" applyFill="1" applyBorder="1" applyAlignment="1">
      <alignment horizontal="left" vertical="center"/>
    </xf>
    <xf numFmtId="0" fontId="19" fillId="0" borderId="0" xfId="0" applyFont="1" applyAlignment="1">
      <alignment horizontal="left" vertical="center"/>
    </xf>
    <xf numFmtId="0" fontId="15" fillId="0" borderId="0" xfId="0" applyFont="1" applyAlignment="1">
      <alignment horizontal="left" vertical="center"/>
    </xf>
    <xf numFmtId="0" fontId="13" fillId="0" borderId="0" xfId="0" applyFont="1" applyAlignment="1">
      <alignment horizontal="left" vertical="center"/>
    </xf>
    <xf numFmtId="0" fontId="30" fillId="0" borderId="2" xfId="0" applyFont="1" applyBorder="1" applyAlignment="1">
      <alignment vertical="center"/>
    </xf>
    <xf numFmtId="0" fontId="11" fillId="0" borderId="1" xfId="0" applyFont="1" applyBorder="1" applyAlignment="1">
      <alignment vertical="center" wrapText="1"/>
    </xf>
    <xf numFmtId="0" fontId="11" fillId="0" borderId="0" xfId="0" applyFont="1" applyAlignment="1">
      <alignment vertical="center"/>
    </xf>
    <xf numFmtId="0" fontId="11" fillId="0" borderId="0" xfId="0" applyFont="1"/>
    <xf numFmtId="0" fontId="11" fillId="0" borderId="4" xfId="0" quotePrefix="1" applyFont="1" applyBorder="1" applyAlignment="1">
      <alignment vertical="center"/>
    </xf>
    <xf numFmtId="0" fontId="11" fillId="0" borderId="0" xfId="0" quotePrefix="1" applyFont="1" applyAlignment="1">
      <alignment vertical="center"/>
    </xf>
    <xf numFmtId="0" fontId="11" fillId="0" borderId="3" xfId="0" applyFont="1" applyBorder="1" applyAlignment="1">
      <alignment vertical="center"/>
    </xf>
    <xf numFmtId="0" fontId="11" fillId="0" borderId="4" xfId="0" applyFont="1" applyBorder="1" applyAlignment="1">
      <alignment vertical="center"/>
    </xf>
    <xf numFmtId="0" fontId="11" fillId="0" borderId="3" xfId="0" quotePrefix="1" applyFont="1" applyBorder="1" applyAlignment="1">
      <alignment vertical="center"/>
    </xf>
    <xf numFmtId="0" fontId="16" fillId="0" borderId="1" xfId="0" applyFont="1" applyBorder="1" applyAlignment="1">
      <alignment vertical="center"/>
    </xf>
    <xf numFmtId="0" fontId="13" fillId="0" borderId="1" xfId="0" applyFont="1" applyBorder="1" applyAlignment="1">
      <alignment vertical="center"/>
    </xf>
    <xf numFmtId="0" fontId="11" fillId="0" borderId="1" xfId="0" quotePrefix="1" applyFont="1" applyBorder="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10" fillId="0" borderId="0" xfId="0" applyFont="1"/>
    <xf numFmtId="0" fontId="10" fillId="0" borderId="3" xfId="0" applyFont="1" applyBorder="1" applyAlignment="1">
      <alignment vertical="center"/>
    </xf>
    <xf numFmtId="0" fontId="10" fillId="0" borderId="4" xfId="0" quotePrefix="1" applyFont="1" applyBorder="1" applyAlignment="1">
      <alignment vertical="center"/>
    </xf>
    <xf numFmtId="0" fontId="10" fillId="0" borderId="4" xfId="0" applyFont="1" applyBorder="1" applyAlignment="1">
      <alignment vertical="center"/>
    </xf>
    <xf numFmtId="0" fontId="10" fillId="0" borderId="3" xfId="0" quotePrefix="1" applyFont="1" applyBorder="1" applyAlignment="1">
      <alignment vertical="center"/>
    </xf>
    <xf numFmtId="0" fontId="9" fillId="0" borderId="0" xfId="0" applyFont="1" applyAlignment="1">
      <alignment vertical="center"/>
    </xf>
    <xf numFmtId="0" fontId="9" fillId="0" borderId="0" xfId="0" applyFont="1" applyAlignment="1">
      <alignment vertical="center" wrapText="1"/>
    </xf>
    <xf numFmtId="0" fontId="9" fillId="0" borderId="1" xfId="0" applyFont="1" applyBorder="1" applyAlignment="1">
      <alignment vertical="center" wrapText="1"/>
    </xf>
    <xf numFmtId="0" fontId="9" fillId="0" borderId="0" xfId="0" applyFont="1"/>
    <xf numFmtId="0" fontId="9" fillId="0" borderId="0" xfId="0" quotePrefix="1" applyFont="1" applyAlignment="1">
      <alignment vertical="center"/>
    </xf>
    <xf numFmtId="0" fontId="9" fillId="0" borderId="4" xfId="0" quotePrefix="1" applyFont="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8" fillId="0" borderId="0" xfId="0" applyFont="1"/>
    <xf numFmtId="0" fontId="8" fillId="0" borderId="1" xfId="0" applyFont="1" applyBorder="1" applyAlignment="1">
      <alignment vertical="center" wrapText="1"/>
    </xf>
    <xf numFmtId="0" fontId="8" fillId="0" borderId="3" xfId="0" applyFont="1" applyBorder="1" applyAlignment="1">
      <alignment vertical="center"/>
    </xf>
    <xf numFmtId="0" fontId="8" fillId="0" borderId="4" xfId="0" quotePrefix="1" applyFont="1" applyBorder="1" applyAlignment="1">
      <alignment vertical="center"/>
    </xf>
    <xf numFmtId="0" fontId="7" fillId="0" borderId="0" xfId="0" applyFont="1" applyAlignment="1">
      <alignment vertical="center"/>
    </xf>
    <xf numFmtId="0" fontId="7" fillId="0" borderId="0" xfId="0" applyFont="1"/>
    <xf numFmtId="0" fontId="6" fillId="0" borderId="0" xfId="0" applyFont="1" applyAlignment="1">
      <alignment vertical="center" wrapText="1"/>
    </xf>
    <xf numFmtId="0" fontId="6" fillId="0" borderId="0" xfId="0" applyFont="1" applyAlignment="1">
      <alignment vertical="center"/>
    </xf>
    <xf numFmtId="0" fontId="6" fillId="0" borderId="1" xfId="0" applyFont="1" applyBorder="1" applyAlignment="1">
      <alignment vertical="center" wrapText="1"/>
    </xf>
    <xf numFmtId="0" fontId="6" fillId="0" borderId="0" xfId="0" applyFont="1"/>
    <xf numFmtId="0" fontId="6" fillId="0" borderId="0" xfId="0" quotePrefix="1" applyFont="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1" xfId="0" applyFont="1" applyBorder="1" applyAlignment="1">
      <alignment vertical="center" wrapText="1"/>
    </xf>
    <xf numFmtId="0" fontId="5" fillId="0" borderId="0" xfId="0" quotePrefix="1" applyFont="1" applyAlignment="1">
      <alignment vertical="center"/>
    </xf>
    <xf numFmtId="0" fontId="5" fillId="0" borderId="0" xfId="0" applyFont="1"/>
    <xf numFmtId="0" fontId="4" fillId="0" borderId="0" xfId="0" applyFont="1" applyAlignment="1">
      <alignment vertical="center" wrapText="1"/>
    </xf>
    <xf numFmtId="0" fontId="4" fillId="0" borderId="0" xfId="0" applyFont="1" applyAlignment="1">
      <alignment vertical="center"/>
    </xf>
    <xf numFmtId="0" fontId="4" fillId="0" borderId="0" xfId="0" applyFont="1"/>
    <xf numFmtId="0" fontId="3" fillId="0" borderId="4" xfId="0" quotePrefix="1" applyFont="1" applyBorder="1" applyAlignment="1">
      <alignment vertical="center"/>
    </xf>
    <xf numFmtId="0" fontId="3" fillId="0" borderId="0" xfId="0" applyFont="1"/>
    <xf numFmtId="0" fontId="3" fillId="0" borderId="1" xfId="0" applyFont="1" applyBorder="1" applyAlignment="1">
      <alignment vertical="center" wrapText="1"/>
    </xf>
    <xf numFmtId="0" fontId="3" fillId="0" borderId="0" xfId="0" applyFont="1" applyAlignment="1">
      <alignment vertical="center" wrapText="1"/>
    </xf>
    <xf numFmtId="0" fontId="2" fillId="0" borderId="0" xfId="0" quotePrefix="1" applyFont="1" applyAlignment="1">
      <alignment vertical="center"/>
    </xf>
    <xf numFmtId="0" fontId="30" fillId="0" borderId="2" xfId="1" quotePrefix="1" applyFont="1" applyFill="1" applyBorder="1" applyAlignment="1">
      <alignment horizontal="left" vertical="center"/>
    </xf>
    <xf numFmtId="0" fontId="2" fillId="0" borderId="0" xfId="0" quotePrefix="1" applyFont="1" applyAlignment="1">
      <alignment horizontal="left" vertical="center"/>
    </xf>
    <xf numFmtId="0" fontId="2"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19" fillId="4" borderId="0" xfId="0" applyFont="1" applyFill="1" applyAlignment="1">
      <alignment vertical="center"/>
    </xf>
    <xf numFmtId="0" fontId="23" fillId="4" borderId="5" xfId="0" quotePrefix="1" applyFont="1" applyFill="1" applyBorder="1" applyAlignment="1">
      <alignment vertical="center"/>
    </xf>
    <xf numFmtId="0" fontId="12" fillId="4" borderId="0" xfId="0" applyFont="1" applyFill="1" applyAlignment="1">
      <alignment vertical="center"/>
    </xf>
    <xf numFmtId="0" fontId="2" fillId="0" borderId="0" xfId="0" applyFont="1" applyAlignment="1">
      <alignment vertical="center"/>
    </xf>
    <xf numFmtId="0" fontId="2" fillId="0" borderId="1" xfId="0" applyFont="1" applyBorder="1" applyAlignment="1">
      <alignment vertical="center"/>
    </xf>
    <xf numFmtId="0" fontId="2" fillId="0" borderId="0" xfId="0" applyFont="1" applyAlignment="1">
      <alignment vertical="center" wrapText="1"/>
    </xf>
    <xf numFmtId="0" fontId="16" fillId="0" borderId="0" xfId="0" quotePrefix="1" applyFont="1" applyAlignment="1">
      <alignment vertical="center" wrapText="1"/>
    </xf>
    <xf numFmtId="0" fontId="2" fillId="0" borderId="1" xfId="0" applyFont="1" applyBorder="1" applyAlignment="1">
      <alignment vertical="center" wrapText="1"/>
    </xf>
    <xf numFmtId="0" fontId="23" fillId="0" borderId="0" xfId="0" applyFont="1" applyAlignment="1">
      <alignment vertical="center" wrapText="1"/>
    </xf>
    <xf numFmtId="0" fontId="1" fillId="0" borderId="0" xfId="0" applyFont="1" applyAlignment="1">
      <alignment vertical="center" wrapText="1"/>
    </xf>
    <xf numFmtId="0" fontId="1" fillId="0" borderId="3" xfId="0" applyFont="1" applyBorder="1" applyAlignment="1">
      <alignment vertical="center"/>
    </xf>
    <xf numFmtId="0" fontId="1" fillId="0" borderId="0" xfId="0" applyFont="1" applyAlignment="1">
      <alignment vertical="center"/>
    </xf>
    <xf numFmtId="0" fontId="1" fillId="0" borderId="4" xfId="0" applyFont="1" applyBorder="1" applyAlignment="1">
      <alignment vertical="center"/>
    </xf>
    <xf numFmtId="0" fontId="1" fillId="0" borderId="3" xfId="0" quotePrefix="1" applyFont="1" applyBorder="1" applyAlignment="1">
      <alignment vertical="center"/>
    </xf>
    <xf numFmtId="0" fontId="1" fillId="0" borderId="0" xfId="0" quotePrefix="1" applyFont="1" applyAlignment="1">
      <alignment vertical="center"/>
    </xf>
    <xf numFmtId="0" fontId="1" fillId="0" borderId="4" xfId="0" quotePrefix="1" applyFont="1" applyBorder="1" applyAlignment="1">
      <alignment vertical="center"/>
    </xf>
    <xf numFmtId="0" fontId="1" fillId="0" borderId="1" xfId="0" quotePrefix="1" applyFont="1" applyBorder="1" applyAlignment="1">
      <alignment vertical="center"/>
    </xf>
    <xf numFmtId="0" fontId="33" fillId="0" borderId="5" xfId="0" quotePrefix="1" applyFont="1" applyBorder="1" applyAlignment="1">
      <alignment vertical="center"/>
    </xf>
    <xf numFmtId="0" fontId="1" fillId="0" borderId="1" xfId="0" applyFont="1" applyBorder="1" applyAlignment="1">
      <alignment vertical="center" wrapText="1"/>
    </xf>
    <xf numFmtId="0" fontId="19" fillId="0" borderId="1" xfId="0" quotePrefix="1" applyFont="1" applyBorder="1" applyAlignment="1">
      <alignment vertical="center" wrapText="1"/>
    </xf>
    <xf numFmtId="0" fontId="16" fillId="0" borderId="1" xfId="0" quotePrefix="1" applyFont="1" applyBorder="1" applyAlignment="1">
      <alignment vertical="center" wrapText="1"/>
    </xf>
    <xf numFmtId="0" fontId="1" fillId="4" borderId="0" xfId="0" quotePrefix="1" applyFont="1" applyFill="1" applyAlignment="1">
      <alignment vertical="center"/>
    </xf>
    <xf numFmtId="0" fontId="1" fillId="0" borderId="0" xfId="0" quotePrefix="1" applyFont="1" applyAlignment="1">
      <alignment vertical="center" wrapText="1"/>
    </xf>
  </cellXfs>
  <cellStyles count="2">
    <cellStyle name="Hyperlink" xfId="1" builtinId="8"/>
    <cellStyle name="Normal" xfId="0" builtinId="0"/>
  </cellStyles>
  <dxfs count="15">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470535</xdr:colOff>
          <xdr:row>2</xdr:row>
          <xdr:rowOff>136208</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4487FC60-D460-F76F-DDA4-18B4321D0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470535</xdr:colOff>
          <xdr:row>2</xdr:row>
          <xdr:rowOff>136208</xdr:rowOff>
        </xdr:to>
        <xdr:sp macro="" textlink="">
          <xdr:nvSpPr>
            <xdr:cNvPr id="9217" name="Button 1" hidden="1">
              <a:extLst>
                <a:ext uri="{63B3BB69-23CF-44E3-9099-C40C66FF867C}">
                  <a14:compatExt spid="_x0000_s9217"/>
                </a:ext>
                <a:ext uri="{FF2B5EF4-FFF2-40B4-BE49-F238E27FC236}">
                  <a16:creationId xmlns:a16="http://schemas.microsoft.com/office/drawing/2014/main" id="{0B7C411C-ABD3-4E2C-AFD2-BFB52722B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1273969</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157917DB-101C-4A6B-B484-4E81CB7A499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450</v>
      </c>
      <c r="B1" t="s">
        <v>449</v>
      </c>
      <c r="C1" t="s">
        <v>448</v>
      </c>
      <c r="D1" t="s">
        <v>447</v>
      </c>
      <c r="E1" t="s">
        <v>446</v>
      </c>
      <c r="F1" t="s">
        <v>445</v>
      </c>
      <c r="G1" t="s">
        <v>444</v>
      </c>
      <c r="H1" t="s">
        <v>443</v>
      </c>
      <c r="I1" t="s">
        <v>442</v>
      </c>
      <c r="K1" t="s">
        <v>441</v>
      </c>
      <c r="L1" t="s">
        <v>440</v>
      </c>
      <c r="M1" t="s">
        <v>439</v>
      </c>
      <c r="N1" t="s">
        <v>438</v>
      </c>
      <c r="O1" t="s">
        <v>437</v>
      </c>
      <c r="P1" t="s">
        <v>436</v>
      </c>
      <c r="Q1" t="s">
        <v>435</v>
      </c>
      <c r="R1" t="s">
        <v>434</v>
      </c>
      <c r="S1" t="s">
        <v>433</v>
      </c>
      <c r="T1" t="s">
        <v>432</v>
      </c>
      <c r="U1" t="s">
        <v>431</v>
      </c>
    </row>
    <row r="2" spans="1:21" s="18" customFormat="1" x14ac:dyDescent="0.25">
      <c r="A2" s="18">
        <v>2</v>
      </c>
      <c r="B2" s="18">
        <v>1</v>
      </c>
      <c r="C2" s="18" t="s">
        <v>430</v>
      </c>
      <c r="F2" s="19" t="s">
        <v>429</v>
      </c>
      <c r="H2" s="18">
        <v>19.483432799999999</v>
      </c>
      <c r="I2" s="18">
        <v>-99.117410300000003</v>
      </c>
      <c r="K2" s="18">
        <v>0</v>
      </c>
      <c r="L2" s="18" t="s">
        <v>428</v>
      </c>
      <c r="M2" s="18">
        <v>0</v>
      </c>
      <c r="N2" s="18" t="s">
        <v>397</v>
      </c>
      <c r="O2" s="18">
        <v>1</v>
      </c>
      <c r="P2" s="18">
        <v>0</v>
      </c>
      <c r="Q2" s="18">
        <v>0</v>
      </c>
      <c r="S2" s="18">
        <v>0</v>
      </c>
      <c r="U2" s="18">
        <v>0</v>
      </c>
    </row>
    <row r="3" spans="1:21" s="18" customFormat="1" x14ac:dyDescent="0.25">
      <c r="A3" s="18">
        <v>3</v>
      </c>
      <c r="B3" s="18">
        <v>1</v>
      </c>
      <c r="C3" s="18" t="s">
        <v>427</v>
      </c>
      <c r="F3" s="19" t="s">
        <v>426</v>
      </c>
      <c r="H3" s="18">
        <v>43.0974206</v>
      </c>
      <c r="I3" s="18">
        <v>-5.8261100000000003E-2</v>
      </c>
      <c r="K3" s="18">
        <v>0</v>
      </c>
      <c r="L3" s="18" t="s">
        <v>371</v>
      </c>
      <c r="M3" s="18">
        <v>0</v>
      </c>
      <c r="N3" s="18" t="s">
        <v>397</v>
      </c>
      <c r="O3" s="18">
        <v>1</v>
      </c>
      <c r="P3" s="18">
        <v>0</v>
      </c>
      <c r="Q3" s="18">
        <v>0</v>
      </c>
      <c r="S3" s="18">
        <v>0</v>
      </c>
      <c r="U3" s="18">
        <v>0</v>
      </c>
    </row>
    <row r="4" spans="1:21" s="18" customFormat="1" x14ac:dyDescent="0.25">
      <c r="A4" s="18">
        <v>4</v>
      </c>
      <c r="B4" s="18">
        <v>1</v>
      </c>
      <c r="C4" s="18" t="s">
        <v>425</v>
      </c>
      <c r="F4" s="19" t="s">
        <v>424</v>
      </c>
      <c r="H4" s="18">
        <v>39.631263799999999</v>
      </c>
      <c r="I4" s="18">
        <v>-8.6731570999999992</v>
      </c>
      <c r="J4" s="18" t="str">
        <f t="shared" ref="J4:J23" si="0">"location: {lat: "&amp;H4&amp;", lng: "&amp;I4&amp;"}"</f>
        <v>location: {lat: 39.6312638, lng: -8.6731571}</v>
      </c>
      <c r="K4" s="18">
        <v>0</v>
      </c>
      <c r="L4" s="18" t="s">
        <v>423</v>
      </c>
      <c r="M4" s="18">
        <v>0</v>
      </c>
      <c r="N4" s="18" t="s">
        <v>397</v>
      </c>
      <c r="O4" s="18">
        <v>1</v>
      </c>
      <c r="P4" s="18">
        <v>0</v>
      </c>
      <c r="Q4" s="18">
        <v>0</v>
      </c>
      <c r="S4" s="18">
        <v>0</v>
      </c>
      <c r="U4" s="18">
        <v>0</v>
      </c>
    </row>
    <row r="5" spans="1:21" s="18" customFormat="1" x14ac:dyDescent="0.25">
      <c r="A5" s="18">
        <v>5</v>
      </c>
      <c r="B5" s="18">
        <v>1</v>
      </c>
      <c r="C5" s="18" t="s">
        <v>422</v>
      </c>
      <c r="F5" s="18" t="s">
        <v>421</v>
      </c>
      <c r="H5" s="18">
        <v>50.270467699999998</v>
      </c>
      <c r="I5" s="18">
        <v>22.408031600000001</v>
      </c>
      <c r="J5" s="18" t="str">
        <f t="shared" si="0"/>
        <v>location: {lat: 50.2704677, lng: 22.4080316}</v>
      </c>
      <c r="K5" s="18">
        <v>0</v>
      </c>
      <c r="L5" s="18" t="s">
        <v>373</v>
      </c>
      <c r="M5" s="18">
        <v>0</v>
      </c>
      <c r="N5" s="18" t="s">
        <v>397</v>
      </c>
      <c r="O5" s="18">
        <v>1</v>
      </c>
      <c r="P5" s="18">
        <v>0</v>
      </c>
      <c r="Q5" s="18">
        <v>0</v>
      </c>
      <c r="S5" s="18">
        <v>0</v>
      </c>
      <c r="U5" s="18">
        <v>0</v>
      </c>
    </row>
    <row r="6" spans="1:21" s="18" customFormat="1" x14ac:dyDescent="0.25">
      <c r="A6" s="18">
        <v>6</v>
      </c>
      <c r="B6" s="18">
        <v>1</v>
      </c>
      <c r="C6" s="18" t="s">
        <v>420</v>
      </c>
      <c r="F6" s="19" t="s">
        <v>419</v>
      </c>
      <c r="H6" s="18">
        <v>55.530612599999998</v>
      </c>
      <c r="I6" s="18">
        <v>23.219925199999999</v>
      </c>
      <c r="J6" s="18" t="str">
        <f t="shared" si="0"/>
        <v>location: {lat: 55.5306126, lng: 23.2199252}</v>
      </c>
      <c r="K6" s="18">
        <v>0</v>
      </c>
      <c r="L6" s="18" t="s">
        <v>372</v>
      </c>
      <c r="M6" s="18">
        <v>0</v>
      </c>
      <c r="N6" s="18" t="s">
        <v>397</v>
      </c>
      <c r="O6" s="18">
        <v>1</v>
      </c>
      <c r="P6" s="18">
        <v>0</v>
      </c>
      <c r="Q6" s="18">
        <v>0</v>
      </c>
      <c r="S6" s="18">
        <v>0</v>
      </c>
      <c r="U6" s="18">
        <v>0</v>
      </c>
    </row>
    <row r="7" spans="1:21" s="18" customFormat="1" x14ac:dyDescent="0.25">
      <c r="A7" s="18">
        <v>7</v>
      </c>
      <c r="B7" s="18">
        <v>1</v>
      </c>
      <c r="C7" s="18" t="s">
        <v>418</v>
      </c>
      <c r="F7" s="18" t="s">
        <v>417</v>
      </c>
      <c r="H7" s="18">
        <v>44.521201599999998</v>
      </c>
      <c r="I7" s="18">
        <v>6.1521160000000004</v>
      </c>
      <c r="J7" s="18" t="str">
        <f t="shared" si="0"/>
        <v>location: {lat: 44.5212016, lng: 6.152116}</v>
      </c>
      <c r="K7" s="18">
        <v>0</v>
      </c>
      <c r="L7" s="18" t="s">
        <v>416</v>
      </c>
      <c r="M7" s="18">
        <v>0</v>
      </c>
      <c r="N7" s="18" t="s">
        <v>397</v>
      </c>
      <c r="O7" s="18">
        <v>1</v>
      </c>
      <c r="P7" s="18">
        <v>0</v>
      </c>
      <c r="Q7" s="18">
        <v>0</v>
      </c>
      <c r="S7" s="18">
        <v>0</v>
      </c>
      <c r="U7" s="18">
        <v>0</v>
      </c>
    </row>
    <row r="8" spans="1:21" s="18" customFormat="1" x14ac:dyDescent="0.25">
      <c r="A8" s="18">
        <v>8</v>
      </c>
      <c r="B8" s="18">
        <v>1</v>
      </c>
      <c r="C8" s="18" t="s">
        <v>415</v>
      </c>
      <c r="F8" s="18" t="s">
        <v>414</v>
      </c>
      <c r="H8" s="18">
        <v>48.850785899999998</v>
      </c>
      <c r="I8" s="18">
        <v>2.3229912000000001</v>
      </c>
      <c r="J8" s="18" t="str">
        <f t="shared" si="0"/>
        <v>location: {lat: 48.8507859, lng: 2.3229912}</v>
      </c>
      <c r="K8" s="18">
        <v>0</v>
      </c>
      <c r="L8" s="18" t="s">
        <v>369</v>
      </c>
      <c r="M8" s="18">
        <v>0</v>
      </c>
      <c r="N8" s="18" t="s">
        <v>397</v>
      </c>
      <c r="O8" s="18">
        <v>1</v>
      </c>
      <c r="P8" s="18">
        <v>0</v>
      </c>
      <c r="Q8" s="18">
        <v>0</v>
      </c>
      <c r="S8" s="18">
        <v>0</v>
      </c>
      <c r="U8" s="18">
        <v>0</v>
      </c>
    </row>
    <row r="9" spans="1:21" s="18" customFormat="1" x14ac:dyDescent="0.25">
      <c r="A9" s="18">
        <v>9</v>
      </c>
      <c r="B9" s="18">
        <v>1</v>
      </c>
      <c r="C9" s="18" t="s">
        <v>413</v>
      </c>
      <c r="F9" s="18" t="s">
        <v>412</v>
      </c>
      <c r="H9" s="18">
        <v>41.903563699999999</v>
      </c>
      <c r="I9" s="18">
        <v>12.483673899999999</v>
      </c>
      <c r="J9" s="18" t="str">
        <f t="shared" si="0"/>
        <v>location: {lat: 41.9035637, lng: 12.4836739}</v>
      </c>
      <c r="K9" s="18">
        <v>0</v>
      </c>
      <c r="L9" s="18" t="s">
        <v>368</v>
      </c>
      <c r="M9" s="18">
        <v>0</v>
      </c>
      <c r="N9" s="18" t="s">
        <v>397</v>
      </c>
      <c r="O9" s="18">
        <v>1</v>
      </c>
      <c r="P9" s="18">
        <v>0</v>
      </c>
      <c r="Q9" s="18">
        <v>0</v>
      </c>
      <c r="S9" s="18">
        <v>0</v>
      </c>
      <c r="U9" s="18">
        <v>0</v>
      </c>
    </row>
    <row r="10" spans="1:21" s="18" customFormat="1" x14ac:dyDescent="0.25">
      <c r="A10" s="18">
        <v>10</v>
      </c>
      <c r="B10" s="18">
        <v>1</v>
      </c>
      <c r="C10" s="18" t="s">
        <v>411</v>
      </c>
      <c r="F10" s="18" t="s">
        <v>410</v>
      </c>
      <c r="H10" s="18">
        <v>44.8586296</v>
      </c>
      <c r="I10" s="18">
        <v>5.9788043999999996</v>
      </c>
      <c r="J10" s="18" t="str">
        <f t="shared" si="0"/>
        <v>location: {lat: 44.8586296, lng: 5.9788044}</v>
      </c>
      <c r="K10" s="18">
        <v>0</v>
      </c>
      <c r="L10" s="18" t="s">
        <v>370</v>
      </c>
      <c r="M10" s="18">
        <v>0</v>
      </c>
      <c r="N10" s="18" t="s">
        <v>397</v>
      </c>
      <c r="O10" s="18">
        <v>1</v>
      </c>
      <c r="P10" s="18">
        <v>0</v>
      </c>
      <c r="Q10" s="18">
        <v>0</v>
      </c>
      <c r="S10" s="18">
        <v>0</v>
      </c>
      <c r="U10" s="18">
        <v>0</v>
      </c>
    </row>
    <row r="11" spans="1:21" s="18" customFormat="1" x14ac:dyDescent="0.25">
      <c r="A11" s="18">
        <v>11</v>
      </c>
      <c r="B11" s="18">
        <v>1</v>
      </c>
      <c r="C11" s="18" t="s">
        <v>409</v>
      </c>
      <c r="F11" s="18" t="s">
        <v>408</v>
      </c>
      <c r="H11" s="18">
        <v>50.980685700000002</v>
      </c>
      <c r="I11" s="18">
        <v>14.597349899999999</v>
      </c>
      <c r="J11" s="18" t="str">
        <f t="shared" si="0"/>
        <v>location: {lat: 50.9806857, lng: 14.5973499}</v>
      </c>
      <c r="K11" s="18">
        <v>0</v>
      </c>
      <c r="L11" s="18" t="s">
        <v>407</v>
      </c>
      <c r="M11" s="18">
        <v>0</v>
      </c>
      <c r="N11" s="18" t="s">
        <v>397</v>
      </c>
      <c r="O11" s="18">
        <v>1</v>
      </c>
      <c r="P11" s="18">
        <v>0</v>
      </c>
      <c r="Q11" s="18">
        <v>0</v>
      </c>
      <c r="S11" s="18">
        <v>0</v>
      </c>
      <c r="U11" s="18">
        <v>0</v>
      </c>
    </row>
    <row r="12" spans="1:21" s="18" customFormat="1" x14ac:dyDescent="0.25">
      <c r="A12" s="18">
        <v>12</v>
      </c>
      <c r="B12" s="18">
        <v>1</v>
      </c>
      <c r="C12" s="18" t="s">
        <v>406</v>
      </c>
      <c r="F12" s="18" t="s">
        <v>405</v>
      </c>
      <c r="H12" s="18">
        <v>48.439602100000002</v>
      </c>
      <c r="I12" s="18">
        <v>-1.0592325</v>
      </c>
      <c r="J12" s="18" t="str">
        <f t="shared" si="0"/>
        <v>location: {lat: 48.4396021, lng: -1.0592325}</v>
      </c>
      <c r="K12" s="18">
        <v>0</v>
      </c>
      <c r="L12" s="18" t="s">
        <v>404</v>
      </c>
      <c r="M12" s="18">
        <v>0</v>
      </c>
      <c r="N12" s="18" t="s">
        <v>397</v>
      </c>
      <c r="O12" s="18">
        <v>1</v>
      </c>
      <c r="P12" s="18">
        <v>0</v>
      </c>
      <c r="Q12" s="18">
        <v>0</v>
      </c>
      <c r="S12" s="18">
        <v>0</v>
      </c>
      <c r="U12" s="18">
        <v>0</v>
      </c>
    </row>
    <row r="13" spans="1:21" s="18" customFormat="1" x14ac:dyDescent="0.25">
      <c r="A13" s="18">
        <v>13</v>
      </c>
      <c r="B13" s="18">
        <v>1</v>
      </c>
      <c r="C13" s="18" t="s">
        <v>403</v>
      </c>
      <c r="F13" s="18" t="s">
        <v>355</v>
      </c>
      <c r="H13" s="18">
        <v>53.7480853</v>
      </c>
      <c r="I13" s="18">
        <v>20.235602400000001</v>
      </c>
      <c r="J13" s="18" t="str">
        <f t="shared" si="0"/>
        <v>location: {lat: 53.7480853, lng: 20.2356024}</v>
      </c>
      <c r="K13" s="18">
        <v>0</v>
      </c>
      <c r="L13" s="18" t="s">
        <v>351</v>
      </c>
      <c r="M13" s="18">
        <v>0</v>
      </c>
      <c r="N13" s="18" t="s">
        <v>397</v>
      </c>
      <c r="O13" s="18">
        <v>1</v>
      </c>
      <c r="P13" s="18">
        <v>0</v>
      </c>
      <c r="Q13" s="18">
        <v>0</v>
      </c>
      <c r="S13" s="18">
        <v>0</v>
      </c>
      <c r="U13" s="18">
        <v>0</v>
      </c>
    </row>
    <row r="14" spans="1:21" s="18" customFormat="1" x14ac:dyDescent="0.25">
      <c r="A14" s="18">
        <v>14</v>
      </c>
      <c r="B14" s="18">
        <v>1</v>
      </c>
      <c r="C14" s="18" t="s">
        <v>402</v>
      </c>
      <c r="F14" s="18" t="s">
        <v>347</v>
      </c>
      <c r="H14" s="18">
        <v>53.792756199999999</v>
      </c>
      <c r="I14" s="18">
        <v>-8.9189810000000005</v>
      </c>
      <c r="J14" s="18" t="str">
        <f t="shared" si="0"/>
        <v>location: {lat: 53.7927562, lng: -8.918981}</v>
      </c>
      <c r="K14" s="18">
        <v>0</v>
      </c>
      <c r="L14" s="18" t="s">
        <v>401</v>
      </c>
      <c r="M14" s="18">
        <v>0</v>
      </c>
      <c r="N14" s="18" t="s">
        <v>397</v>
      </c>
      <c r="O14" s="18">
        <v>1</v>
      </c>
      <c r="P14" s="18">
        <v>0</v>
      </c>
      <c r="Q14" s="18">
        <v>0</v>
      </c>
      <c r="S14" s="18">
        <v>0</v>
      </c>
      <c r="U14" s="18">
        <v>0</v>
      </c>
    </row>
    <row r="15" spans="1:21" s="18" customFormat="1" x14ac:dyDescent="0.25">
      <c r="A15" s="18">
        <v>15</v>
      </c>
      <c r="B15" s="18">
        <v>1</v>
      </c>
      <c r="C15" s="18" t="s">
        <v>400</v>
      </c>
      <c r="F15" s="18" t="s">
        <v>345</v>
      </c>
      <c r="H15" s="18">
        <v>50.108666599999999</v>
      </c>
      <c r="I15" s="18">
        <v>4.9609611999999998</v>
      </c>
      <c r="J15" s="18" t="str">
        <f t="shared" si="0"/>
        <v>location: {lat: 50.1086666, lng: 4.9609612}</v>
      </c>
      <c r="K15" s="18">
        <v>0</v>
      </c>
      <c r="L15" s="18" t="s">
        <v>344</v>
      </c>
      <c r="M15" s="18">
        <v>0</v>
      </c>
      <c r="N15" s="18" t="s">
        <v>397</v>
      </c>
      <c r="O15" s="18">
        <v>1</v>
      </c>
      <c r="P15" s="18">
        <v>0</v>
      </c>
      <c r="Q15" s="18">
        <v>0</v>
      </c>
      <c r="S15" s="18">
        <v>0</v>
      </c>
      <c r="U15" s="18">
        <v>0</v>
      </c>
    </row>
    <row r="16" spans="1:21" s="18" customFormat="1" x14ac:dyDescent="0.25">
      <c r="A16" s="18">
        <v>16</v>
      </c>
      <c r="B16" s="18">
        <v>1</v>
      </c>
      <c r="C16" s="18" t="s">
        <v>399</v>
      </c>
      <c r="F16" s="18" t="s">
        <v>342</v>
      </c>
      <c r="H16" s="18">
        <v>50.538244800000001</v>
      </c>
      <c r="I16" s="18">
        <v>5.7507225999999996</v>
      </c>
      <c r="J16" s="18" t="str">
        <f t="shared" si="0"/>
        <v>location: {lat: 50.5382448, lng: 5.7507226}</v>
      </c>
      <c r="K16" s="18">
        <v>0</v>
      </c>
      <c r="L16" s="18" t="s">
        <v>341</v>
      </c>
      <c r="M16" s="18">
        <v>0</v>
      </c>
      <c r="N16" s="18" t="s">
        <v>397</v>
      </c>
      <c r="O16" s="18">
        <v>1</v>
      </c>
      <c r="P16" s="18">
        <v>0</v>
      </c>
      <c r="Q16" s="18">
        <v>0</v>
      </c>
      <c r="S16" s="18">
        <v>0</v>
      </c>
      <c r="U16" s="18">
        <v>0</v>
      </c>
    </row>
    <row r="17" spans="1:21" s="18" customFormat="1" x14ac:dyDescent="0.25">
      <c r="A17" s="18">
        <v>17</v>
      </c>
      <c r="B17" s="18">
        <v>1</v>
      </c>
      <c r="C17" s="18" t="s">
        <v>398</v>
      </c>
      <c r="F17" s="18" t="s">
        <v>338</v>
      </c>
      <c r="H17" s="18">
        <v>-2.6496097000000001</v>
      </c>
      <c r="I17" s="18">
        <v>29.553281200000001</v>
      </c>
      <c r="J17" s="18" t="str">
        <f t="shared" si="0"/>
        <v>location: {lat: -2.6496097, lng: 29.5532812}</v>
      </c>
      <c r="K17" s="18">
        <v>0</v>
      </c>
      <c r="L17" s="18" t="s">
        <v>343</v>
      </c>
      <c r="M17" s="18">
        <v>0</v>
      </c>
      <c r="N17" s="18" t="s">
        <v>397</v>
      </c>
      <c r="O17" s="18">
        <v>1</v>
      </c>
      <c r="P17" s="18">
        <v>0</v>
      </c>
      <c r="Q17" s="18">
        <v>0</v>
      </c>
      <c r="S17" s="18">
        <v>0</v>
      </c>
      <c r="T17" s="18" t="s">
        <v>376</v>
      </c>
      <c r="U17" s="18">
        <v>0</v>
      </c>
    </row>
    <row r="18" spans="1:21" s="17" customFormat="1" x14ac:dyDescent="0.25">
      <c r="A18" s="17">
        <v>18</v>
      </c>
      <c r="B18" s="17">
        <v>2</v>
      </c>
      <c r="C18" s="17" t="s">
        <v>396</v>
      </c>
      <c r="D18" s="17" t="s">
        <v>395</v>
      </c>
      <c r="F18" s="17" t="s">
        <v>394</v>
      </c>
      <c r="H18" s="17">
        <v>35.728490299999997</v>
      </c>
      <c r="I18" s="17">
        <v>-97.975802000000002</v>
      </c>
      <c r="J18" s="17" t="str">
        <f t="shared" si="0"/>
        <v>location: {lat: 35.7284903, lng: -97.975802}</v>
      </c>
      <c r="K18" s="17">
        <v>0</v>
      </c>
      <c r="L18" s="17" t="s">
        <v>393</v>
      </c>
      <c r="M18" s="17">
        <v>0</v>
      </c>
      <c r="N18" s="17" t="s">
        <v>377</v>
      </c>
      <c r="O18" s="17">
        <v>1</v>
      </c>
      <c r="P18" s="17">
        <v>0</v>
      </c>
      <c r="Q18" s="17">
        <v>0</v>
      </c>
      <c r="S18" s="17">
        <v>0</v>
      </c>
      <c r="T18" s="17" t="s">
        <v>376</v>
      </c>
      <c r="U18" s="17">
        <v>0</v>
      </c>
    </row>
    <row r="19" spans="1:21" s="17" customFormat="1" x14ac:dyDescent="0.25">
      <c r="A19" s="17">
        <v>19</v>
      </c>
      <c r="B19" s="17">
        <v>2</v>
      </c>
      <c r="C19" s="17" t="s">
        <v>392</v>
      </c>
      <c r="D19" s="17" t="s">
        <v>391</v>
      </c>
      <c r="F19" s="17" t="s">
        <v>390</v>
      </c>
      <c r="H19" s="17">
        <v>29.4538449</v>
      </c>
      <c r="I19" s="17">
        <v>-98.544839600000003</v>
      </c>
      <c r="J19" s="17" t="str">
        <f t="shared" si="0"/>
        <v>location: {lat: 29.4538449, lng: -98.5448396}</v>
      </c>
      <c r="K19" s="17">
        <v>0</v>
      </c>
      <c r="L19" s="17" t="s">
        <v>389</v>
      </c>
      <c r="M19" s="17">
        <v>0</v>
      </c>
      <c r="N19" s="17">
        <v>2</v>
      </c>
      <c r="O19" s="17">
        <v>1</v>
      </c>
      <c r="P19" s="17">
        <v>0</v>
      </c>
      <c r="Q19" s="17">
        <v>0</v>
      </c>
      <c r="S19" s="17">
        <v>0</v>
      </c>
      <c r="T19" s="17" t="s">
        <v>376</v>
      </c>
      <c r="U19" s="17">
        <v>0</v>
      </c>
    </row>
    <row r="20" spans="1:21" s="17" customFormat="1" x14ac:dyDescent="0.25">
      <c r="A20" s="17">
        <v>20</v>
      </c>
      <c r="B20" s="17">
        <v>2</v>
      </c>
      <c r="C20" s="17" t="s">
        <v>388</v>
      </c>
      <c r="D20" s="17" t="s">
        <v>387</v>
      </c>
      <c r="F20" s="17" t="s">
        <v>386</v>
      </c>
      <c r="H20" s="17">
        <v>39.679956300000001</v>
      </c>
      <c r="I20" s="17">
        <v>-77.354900599999993</v>
      </c>
      <c r="J20" s="17" t="str">
        <f t="shared" si="0"/>
        <v>location: {lat: 39.6799563, lng: -77.3549006}</v>
      </c>
      <c r="K20" s="17">
        <v>0</v>
      </c>
      <c r="L20" s="17" t="s">
        <v>385</v>
      </c>
      <c r="M20" s="17">
        <v>0</v>
      </c>
      <c r="N20" s="17">
        <v>2</v>
      </c>
      <c r="O20" s="17">
        <v>1</v>
      </c>
      <c r="P20" s="17">
        <v>0</v>
      </c>
      <c r="Q20" s="17">
        <v>0</v>
      </c>
      <c r="S20" s="17">
        <v>0</v>
      </c>
      <c r="T20" s="17" t="s">
        <v>376</v>
      </c>
      <c r="U20" s="17">
        <v>0</v>
      </c>
    </row>
    <row r="21" spans="1:21" s="17" customFormat="1" x14ac:dyDescent="0.25">
      <c r="A21" s="17">
        <v>21</v>
      </c>
      <c r="B21" s="17">
        <v>2</v>
      </c>
      <c r="C21" s="17" t="s">
        <v>384</v>
      </c>
      <c r="D21" s="17" t="s">
        <v>383</v>
      </c>
      <c r="H21" s="17">
        <v>14.6382897</v>
      </c>
      <c r="I21" s="17">
        <v>-91.229068299999994</v>
      </c>
      <c r="J21" s="17" t="str">
        <f t="shared" si="0"/>
        <v>location: {lat: 14.6382897, lng: -91.2290683}</v>
      </c>
      <c r="K21" s="17">
        <v>0</v>
      </c>
      <c r="L21" s="17" t="s">
        <v>382</v>
      </c>
      <c r="M21" s="17">
        <v>0</v>
      </c>
      <c r="N21" s="17" t="s">
        <v>377</v>
      </c>
      <c r="O21" s="17">
        <v>1</v>
      </c>
      <c r="P21" s="17">
        <v>0</v>
      </c>
      <c r="Q21" s="17">
        <v>0</v>
      </c>
      <c r="S21" s="17">
        <v>0</v>
      </c>
      <c r="T21" s="17" t="s">
        <v>376</v>
      </c>
      <c r="U21" s="17">
        <v>0</v>
      </c>
    </row>
    <row r="22" spans="1:21" s="17" customFormat="1" x14ac:dyDescent="0.25">
      <c r="A22" s="17">
        <v>22</v>
      </c>
      <c r="B22" s="17">
        <v>2</v>
      </c>
      <c r="C22" s="17" t="s">
        <v>381</v>
      </c>
      <c r="D22" s="17" t="s">
        <v>380</v>
      </c>
      <c r="F22" s="17" t="s">
        <v>379</v>
      </c>
      <c r="H22" s="17">
        <v>35.375707900000002</v>
      </c>
      <c r="I22" s="17">
        <v>-97.497563099999994</v>
      </c>
      <c r="J22" s="17" t="str">
        <f t="shared" si="0"/>
        <v>location: {lat: 35.3757079, lng: -97.4975631}</v>
      </c>
      <c r="K22" s="17">
        <v>0</v>
      </c>
      <c r="L22" s="17" t="s">
        <v>378</v>
      </c>
      <c r="M22" s="17">
        <v>0</v>
      </c>
      <c r="N22" s="17" t="s">
        <v>377</v>
      </c>
      <c r="O22" s="17">
        <v>1</v>
      </c>
      <c r="P22" s="17">
        <v>0</v>
      </c>
      <c r="Q22" s="17">
        <v>0</v>
      </c>
      <c r="S22" s="17">
        <v>0</v>
      </c>
      <c r="T22" s="17" t="s">
        <v>376</v>
      </c>
      <c r="U22" s="17">
        <v>0</v>
      </c>
    </row>
    <row r="23" spans="1:21" s="17" customFormat="1" x14ac:dyDescent="0.25">
      <c r="C23" s="17" t="s">
        <v>374</v>
      </c>
      <c r="F23" s="17" t="s">
        <v>375</v>
      </c>
      <c r="H23" s="17">
        <v>52.323174663905</v>
      </c>
      <c r="I23" s="17">
        <v>18.358046317017202</v>
      </c>
      <c r="J23" s="17" t="str">
        <f t="shared" si="0"/>
        <v>location: {lat: 52.323174663905, lng: 18.3580463170172}</v>
      </c>
      <c r="L23" s="17" t="s">
        <v>374</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O141"/>
  <sheetViews>
    <sheetView zoomScale="80" zoomScaleNormal="80" workbookViewId="0">
      <pane xSplit="7" ySplit="5" topLeftCell="H125" activePane="bottomRight" state="frozen"/>
      <selection pane="topRight" activeCell="G1" sqref="G1"/>
      <selection pane="bottomLeft" activeCell="A2" sqref="A2"/>
      <selection pane="bottomRight" activeCell="A139" sqref="A139"/>
    </sheetView>
  </sheetViews>
  <sheetFormatPr defaultColWidth="9.140625" defaultRowHeight="12.75" x14ac:dyDescent="0.25"/>
  <cols>
    <col min="1" max="1" width="12.85546875" style="167" bestFit="1" customWidth="1"/>
    <col min="2" max="2" width="7.85546875" style="24" customWidth="1"/>
    <col min="3" max="3" width="9.85546875" style="24" bestFit="1" customWidth="1"/>
    <col min="4" max="4" width="14.42578125" style="24" customWidth="1"/>
    <col min="5" max="5" width="5.28515625" style="15" customWidth="1"/>
    <col min="6" max="6" width="5.28515625" style="49" customWidth="1"/>
    <col min="7" max="7" width="38.140625" style="24" bestFit="1" customWidth="1"/>
    <col min="8" max="8" width="38.140625" style="53" customWidth="1"/>
    <col min="9" max="9" width="9.42578125" style="24" bestFit="1" customWidth="1"/>
    <col min="10" max="10" width="9.42578125" style="24" customWidth="1"/>
    <col min="11" max="12" width="14.42578125" style="24" customWidth="1"/>
    <col min="13" max="13" width="69" style="24" customWidth="1"/>
    <col min="14" max="14" width="45.5703125" style="53" customWidth="1"/>
    <col min="15" max="15" width="11.42578125" style="15" bestFit="1" customWidth="1"/>
    <col min="16" max="16" width="9.140625" style="15"/>
    <col min="17" max="17" width="11.5703125" style="60" bestFit="1" customWidth="1"/>
    <col min="18" max="18" width="10.28515625" style="15" bestFit="1" customWidth="1"/>
    <col min="19" max="19" width="14.85546875" style="64" bestFit="1" customWidth="1"/>
    <col min="20" max="20" width="11.5703125" style="60" bestFit="1" customWidth="1"/>
    <col min="21" max="21" width="10.28515625" style="15" bestFit="1" customWidth="1"/>
    <col min="22" max="22" width="14.85546875" style="64" bestFit="1" customWidth="1"/>
    <col min="23" max="23" width="11.5703125" style="15" bestFit="1" customWidth="1"/>
    <col min="24" max="24" width="10.28515625" style="15" bestFit="1" customWidth="1"/>
    <col min="25" max="25" width="14.85546875" style="49" bestFit="1" customWidth="1"/>
    <col min="26" max="35" width="18.85546875" style="15" customWidth="1"/>
    <col min="36" max="36" width="36.28515625" style="89" bestFit="1" customWidth="1"/>
    <col min="37" max="37" width="21" style="86" bestFit="1" customWidth="1"/>
    <col min="38" max="38" width="18.42578125" style="15" bestFit="1" customWidth="1"/>
    <col min="39" max="39" width="18.42578125" style="15" customWidth="1"/>
    <col min="40" max="40" width="14.42578125" style="15" bestFit="1" customWidth="1"/>
    <col min="41" max="42" width="14.42578125" style="15" customWidth="1"/>
    <col min="43" max="43" width="14.42578125" style="49" customWidth="1"/>
    <col min="44" max="44" width="4.5703125" style="159" bestFit="1" customWidth="1"/>
    <col min="45" max="45" width="9" style="154" bestFit="1" customWidth="1"/>
    <col min="46" max="46" width="10.28515625" style="155" bestFit="1" customWidth="1"/>
    <col min="47" max="47" width="8.85546875" style="155" bestFit="1" customWidth="1"/>
    <col min="48" max="48" width="8.85546875" style="155" customWidth="1"/>
    <col min="49" max="64" width="9.140625" style="155"/>
    <col min="65" max="72" width="7.140625" style="155" customWidth="1"/>
    <col min="73" max="78" width="9.140625" style="155"/>
    <col min="79" max="79" width="38.7109375" style="23" customWidth="1"/>
    <col min="80" max="80" width="38.7109375" style="31" customWidth="1"/>
    <col min="81" max="86" width="12" style="29" customWidth="1"/>
    <col min="87" max="87" width="11.85546875" style="29" bestFit="1" customWidth="1"/>
    <col min="88" max="92" width="11.85546875" style="29" customWidth="1"/>
    <col min="93" max="16384" width="9.140625" style="15"/>
  </cols>
  <sheetData>
    <row r="1" spans="1:92" ht="51" x14ac:dyDescent="0.25">
      <c r="A1" s="167" t="s">
        <v>2479</v>
      </c>
      <c r="B1" s="168" t="s">
        <v>2480</v>
      </c>
      <c r="C1" s="24" t="s">
        <v>2470</v>
      </c>
      <c r="D1" s="168" t="s">
        <v>2486</v>
      </c>
      <c r="E1" s="162" t="s">
        <v>339</v>
      </c>
      <c r="F1" s="163" t="s">
        <v>2463</v>
      </c>
      <c r="G1" s="164" t="s">
        <v>2464</v>
      </c>
      <c r="H1" s="166" t="s">
        <v>2465</v>
      </c>
      <c r="I1" s="164" t="s">
        <v>2466</v>
      </c>
      <c r="J1" s="164" t="s">
        <v>2467</v>
      </c>
      <c r="K1" s="164" t="s">
        <v>2468</v>
      </c>
      <c r="L1" s="164" t="s">
        <v>2469</v>
      </c>
      <c r="M1" s="164" t="s">
        <v>2471</v>
      </c>
      <c r="N1" s="166" t="s">
        <v>2472</v>
      </c>
      <c r="O1" s="162" t="s">
        <v>2473</v>
      </c>
      <c r="P1" s="162" t="s">
        <v>2474</v>
      </c>
      <c r="Q1" s="169" t="s">
        <v>2487</v>
      </c>
      <c r="R1" s="170" t="s">
        <v>2488</v>
      </c>
      <c r="S1" s="171" t="s">
        <v>2489</v>
      </c>
      <c r="T1" s="172" t="s">
        <v>335</v>
      </c>
      <c r="U1" s="173" t="s">
        <v>335</v>
      </c>
      <c r="V1" s="174" t="s">
        <v>335</v>
      </c>
      <c r="W1" s="173" t="s">
        <v>335</v>
      </c>
      <c r="X1" s="173" t="s">
        <v>335</v>
      </c>
      <c r="Y1" s="175" t="s">
        <v>335</v>
      </c>
      <c r="Z1" s="15" t="s">
        <v>2478</v>
      </c>
      <c r="AJ1" s="89" t="s">
        <v>335</v>
      </c>
      <c r="AK1" s="86" t="s">
        <v>335</v>
      </c>
      <c r="AL1" s="15" t="s">
        <v>335</v>
      </c>
      <c r="AM1" s="15" t="s">
        <v>335</v>
      </c>
      <c r="AN1" s="15" t="s">
        <v>335</v>
      </c>
      <c r="AO1" s="15" t="s">
        <v>335</v>
      </c>
      <c r="AP1" s="15" t="s">
        <v>335</v>
      </c>
      <c r="AQ1" s="49" t="s">
        <v>335</v>
      </c>
      <c r="AS1" s="154" t="b">
        <f>IF(OR(A1="Done",A1="In Progress"),TRUE)</f>
        <v>0</v>
      </c>
      <c r="AT1" s="155" t="str">
        <f>"title: """&amp;G1&amp;""""</f>
        <v>title: "Page Title (what will display on website)"</v>
      </c>
      <c r="AU1" s="155" t="str">
        <f>"location: {lat: "&amp;E1&amp;", lng: "&amp;F1&amp;"}"</f>
        <v>location: {lat: Lat, lng: Lon}</v>
      </c>
      <c r="AV1" s="155" t="str">
        <f>"level: "&amp;I1</f>
        <v>level: Interest Level</v>
      </c>
      <c r="AW1" s="155" t="e">
        <f>"- "&amp;VLOOKUP(C1,'(Ref) Countries'!A:C,3,)</f>
        <v>#N/A</v>
      </c>
      <c r="AX1" s="155" t="str">
        <f>IF(LEN(D1)&gt;1,"- "&amp;LOWER(SUBSTITUTE(D1," ","-")),"")</f>
        <v>- region/city-(optional)</v>
      </c>
      <c r="AY1" s="155" t="e">
        <f>IF(J1,"- churches","")</f>
        <v>#VALUE!</v>
      </c>
      <c r="AZ1" s="155" t="e">
        <f>IF(K1,"- marian-sites","")</f>
        <v>#VALUE!</v>
      </c>
      <c r="BA1" s="155" t="e">
        <f>IF(L1,"- holy-persons","")</f>
        <v>#VALUE!</v>
      </c>
      <c r="BB1" s="155" t="str">
        <f t="shared" ref="BB1:BK1" si="0">IF(LEN(Z1)&gt;0,"- "&amp;Z1,"")</f>
        <v>- Additional Tags (must add to tag sheet)</v>
      </c>
      <c r="BC1" s="155" t="str">
        <f t="shared" si="0"/>
        <v/>
      </c>
      <c r="BD1" s="155" t="str">
        <f t="shared" si="0"/>
        <v/>
      </c>
      <c r="BE1" s="155" t="str">
        <f t="shared" si="0"/>
        <v/>
      </c>
      <c r="BF1" s="155" t="str">
        <f t="shared" si="0"/>
        <v/>
      </c>
      <c r="BG1" s="155" t="str">
        <f t="shared" si="0"/>
        <v/>
      </c>
      <c r="BH1" s="155" t="str">
        <f t="shared" si="0"/>
        <v/>
      </c>
      <c r="BI1" s="155" t="str">
        <f t="shared" si="0"/>
        <v/>
      </c>
      <c r="BJ1" s="155" t="str">
        <f t="shared" si="0"/>
        <v/>
      </c>
      <c r="BK1" s="155" t="str">
        <f t="shared" si="0"/>
        <v/>
      </c>
      <c r="BL1" s="155" t="e">
        <f>"tags:"&amp;CHAR(10)&amp;concatl(AW1:BK1)</f>
        <v>#VALUE!</v>
      </c>
      <c r="BM1" s="155" t="str">
        <f>IF(LEN(O1)&gt;0,TRIM(CONCATENATE("[Official site](",O1,") ",IF(LEN(P1)&gt;0,"- "&amp;P1,P1))),"")</f>
        <v>[Official site](Official URL) - Comment</v>
      </c>
      <c r="BN1" s="155" t="str">
        <f>IF(LEN(R1)&gt;0,TRIM(CONCATENATE("["&amp;Q1&amp;"](",R1,") ",IF(LEN(S1)&gt;0,"- "&amp;S1,S1))),"")</f>
        <v>[Link Name](Link URL) - Link Comment</v>
      </c>
      <c r="BO1" s="155" t="str">
        <f>IF(LEN(U1)&gt;0,TRIM(CONCATENATE("["&amp;T1&amp;"](",U1,") ",IF(LEN(V1)&gt;0,"- "&amp;V1,V1))),"")</f>
        <v/>
      </c>
      <c r="BP1" s="155" t="str">
        <f>IF(LEN(X1)&gt;0,TRIM(CONCATENATE("["&amp;W1&amp;"](",X1,") ",IF(LEN(Y1)&gt;0,"- "&amp;Y1,Y1))),"")</f>
        <v/>
      </c>
      <c r="BQ1" s="155" t="str">
        <f>IF(LEN(BM1)&gt;0,"* "&amp;BM1&amp;CHAR(10),"")&amp;
IF(LEN(BN1)&gt;0,"* "&amp;BN1&amp;CHAR(10),"")&amp;
IF(LEN(BO1)&gt;0,"* "&amp;BO1&amp;CHAR(10),"")&amp;
IF(LEN(BP1)&gt;0,"* "&amp;BP1&amp;CHAR(10),"")</f>
        <v xml:space="preserve">* [Official site](Official URL) - Comment
* [Link Name](Link URL) - Link Comment
</v>
      </c>
      <c r="BR1" s="155" t="str">
        <f>IF(LEN(AL1)&gt;0,TRIM(CONCATENATE("[Link](",AL1,") ",AM1)),"")</f>
        <v/>
      </c>
      <c r="BS1" s="155" t="str">
        <f>IF(LEN(AN1)&gt;0,TRIM(CONCATENATE("[Link](",AN1,") ",AO1)),"")</f>
        <v/>
      </c>
      <c r="BT1" s="155" t="str">
        <f>IF(LEN(AP1)&gt;0,TRIM(CONCATENATE("[Link](",AP1,") ",AQ1)),"")</f>
        <v/>
      </c>
      <c r="BU1" s="155" t="str">
        <f>IF(LEN(concat(BR1:BT1))&gt;0,concat("| ",BR1," | ",BS1," | ",BT1," |"),"")</f>
        <v/>
      </c>
      <c r="BV1" s="155" t="e">
        <f>IF(K1,concatl("| The Real Presence | Miracle Hunter | MaryPages |","| --- | --- | --- |",BU1),"")</f>
        <v>#VALUE!</v>
      </c>
      <c r="BW1" s="155" t="e">
        <f>IF(LEN(BQ1&amp;BV1)&gt;0,concatll("#### More Information",BQ1,BV1),"")</f>
        <v>#VALUE!</v>
      </c>
      <c r="BX1" s="155" t="str">
        <f>IF(LEN(N1)&gt;1,concatll("#### Author's Note",N1),"")</f>
        <v xml:space="preserve">#### Author's Note_x000D_
_x000D_
Non-referenceable information which you've found, or any other opinions/preferences_x000D_
_x000D_
</v>
      </c>
      <c r="BY1" s="158" t="s">
        <v>335</v>
      </c>
      <c r="BZ1" s="158" t="s">
        <v>335</v>
      </c>
      <c r="CA1" s="23" t="str">
        <f>IF(AS1,concatll(concatl("---",AT1:AV1,BL1,"---"),M1,BW1:BX1),"")</f>
        <v/>
      </c>
      <c r="CB1" s="31" t="str">
        <f>IF(AS1,VLOOKUP(C1,'(Ref) Countries'!A:B,2,)&amp;IF(LEN(D1)&gt;1,"-"&amp;LOWER(SUBSTITUTE(D1," ","-")),"")&amp;"-"&amp;LOWER(SUBSTITUTE(H1," ","-"))&amp;".md","")</f>
        <v/>
      </c>
      <c r="CC1" s="29" t="e">
        <f>IF(LEN(Z1)&gt;1,VLOOKUP(Z1,'Tag List'!$A:$B,2,),"")</f>
        <v>#N/A</v>
      </c>
      <c r="CD1" s="29" t="str">
        <f>IF(LEN(AA1)&gt;1,VLOOKUP(AA1,'Tag List'!$A:$B,2,),"")</f>
        <v/>
      </c>
      <c r="CE1" s="29" t="str">
        <f>IF(LEN(AB1)&gt;1,VLOOKUP(AB1,'Tag List'!$A:$B,2,),"")</f>
        <v/>
      </c>
      <c r="CF1" s="29" t="e">
        <f>IF(LEN(Z1)&gt;1,GetTagPage(CC1,Z1),"")</f>
        <v>#VALUE!</v>
      </c>
      <c r="CG1" s="29" t="str">
        <f>IF(LEN(AA1)&gt;1,GetTagPage(CD1,AA1),"")</f>
        <v/>
      </c>
      <c r="CH1" s="29" t="str">
        <f>IF(LEN(AB1)&gt;1,GetTagPage(CE1,AB1),"")</f>
        <v/>
      </c>
      <c r="CI1" s="29" t="e">
        <f>"|"&amp;IF(LEN(CF1)&gt;1," "&amp;CF1,"")&amp;IF(LEN(CG1)&gt;1,", "&amp;CG1,"")&amp;IF(LEN(CH1)&gt;1,", "&amp;CH1,"")&amp;" "</f>
        <v>#VALUE!</v>
      </c>
      <c r="CJ1" s="29" t="str">
        <f>"| "&amp;IF(AS1,"["&amp;AJ1&amp;"](/places/"&amp;SUBSTITUTE(CB1,".md","")&amp;")",AJ1)&amp;" "</f>
        <v xml:space="preserve">|  </v>
      </c>
      <c r="CK1" s="29" t="str">
        <f>"| "&amp;IF(AS1,GetTagPage(C1,VLOOKUP(C1,'(Ref) Countries'!A:C,3,)),C1)&amp; " "</f>
        <v xml:space="preserve">| Country Name </v>
      </c>
      <c r="CL1" s="29" t="str">
        <f>"| "&amp;AK1&amp;" "</f>
        <v xml:space="preserve">|  </v>
      </c>
      <c r="CM1" s="29" t="str">
        <f>"|"&amp;IF(AS1," [Link](/places/"&amp;SUBSTITUTE(CB1,".md","")&amp;")","")&amp;" "</f>
        <v xml:space="preserve">| </v>
      </c>
      <c r="CN1" s="29" t="e">
        <f>"
"&amp;CJ1&amp;CK1&amp;CL1&amp;CM1&amp;BM1&amp;BR1&amp;BS1&amp;BT1&amp;CI1&amp;"|"</f>
        <v>#VALUE!</v>
      </c>
    </row>
    <row r="2" spans="1:92" x14ac:dyDescent="0.25">
      <c r="Y2" s="163"/>
    </row>
    <row r="5" spans="1:92" s="67" customFormat="1" ht="26.25" thickBot="1" x14ac:dyDescent="0.3">
      <c r="A5" s="146" t="s">
        <v>1318</v>
      </c>
      <c r="B5" s="146" t="s">
        <v>2484</v>
      </c>
      <c r="C5" s="146" t="s">
        <v>483</v>
      </c>
      <c r="D5" s="146" t="s">
        <v>1718</v>
      </c>
      <c r="E5" s="145" t="s">
        <v>2490</v>
      </c>
      <c r="F5" s="147" t="s">
        <v>2491</v>
      </c>
      <c r="G5" s="146" t="s">
        <v>725</v>
      </c>
      <c r="H5" s="148" t="s">
        <v>726</v>
      </c>
      <c r="I5" s="146" t="s">
        <v>2448</v>
      </c>
      <c r="J5" s="146" t="s">
        <v>1773</v>
      </c>
      <c r="K5" s="146" t="s">
        <v>1744</v>
      </c>
      <c r="L5" s="146" t="s">
        <v>1732</v>
      </c>
      <c r="M5" s="146" t="s">
        <v>165</v>
      </c>
      <c r="N5" s="148" t="s">
        <v>367</v>
      </c>
      <c r="O5" s="145" t="s">
        <v>1755</v>
      </c>
      <c r="P5" s="145" t="s">
        <v>1752</v>
      </c>
      <c r="Q5" s="149" t="s">
        <v>1753</v>
      </c>
      <c r="R5" s="145" t="s">
        <v>1754</v>
      </c>
      <c r="S5" s="150" t="s">
        <v>2475</v>
      </c>
      <c r="T5" s="149" t="s">
        <v>1757</v>
      </c>
      <c r="U5" s="145" t="s">
        <v>1758</v>
      </c>
      <c r="V5" s="150" t="s">
        <v>2476</v>
      </c>
      <c r="W5" s="145" t="s">
        <v>1760</v>
      </c>
      <c r="X5" s="145" t="s">
        <v>1761</v>
      </c>
      <c r="Y5" s="147" t="s">
        <v>2477</v>
      </c>
      <c r="Z5" s="145" t="s">
        <v>1414</v>
      </c>
      <c r="AA5" s="145" t="s">
        <v>1416</v>
      </c>
      <c r="AB5" s="145" t="s">
        <v>1418</v>
      </c>
      <c r="AC5" s="145" t="s">
        <v>1745</v>
      </c>
      <c r="AD5" s="145" t="s">
        <v>1746</v>
      </c>
      <c r="AE5" s="145" t="s">
        <v>1747</v>
      </c>
      <c r="AF5" s="145" t="s">
        <v>1748</v>
      </c>
      <c r="AG5" s="145" t="s">
        <v>1749</v>
      </c>
      <c r="AH5" s="145" t="s">
        <v>1750</v>
      </c>
      <c r="AI5" s="145" t="s">
        <v>1751</v>
      </c>
      <c r="AJ5" s="151" t="s">
        <v>1744</v>
      </c>
      <c r="AK5" s="152" t="s">
        <v>163</v>
      </c>
      <c r="AL5" s="145" t="s">
        <v>332</v>
      </c>
      <c r="AM5" s="145" t="s">
        <v>1322</v>
      </c>
      <c r="AN5" s="145" t="s">
        <v>334</v>
      </c>
      <c r="AO5" s="145" t="s">
        <v>1323</v>
      </c>
      <c r="AP5" s="145" t="s">
        <v>348</v>
      </c>
      <c r="AQ5" s="147" t="s">
        <v>1324</v>
      </c>
      <c r="AR5" s="160" t="s">
        <v>335</v>
      </c>
      <c r="AS5" s="156" t="s">
        <v>1450</v>
      </c>
      <c r="AT5" s="157" t="s">
        <v>996</v>
      </c>
      <c r="AU5" s="157" t="s">
        <v>164</v>
      </c>
      <c r="AV5" s="157" t="s">
        <v>2448</v>
      </c>
      <c r="AW5" s="157" t="s">
        <v>1777</v>
      </c>
      <c r="AX5" s="157" t="s">
        <v>1778</v>
      </c>
      <c r="AY5" s="157" t="s">
        <v>1776</v>
      </c>
      <c r="AZ5" s="157" t="s">
        <v>1774</v>
      </c>
      <c r="BA5" s="157" t="s">
        <v>1775</v>
      </c>
      <c r="BB5" s="157" t="s">
        <v>1763</v>
      </c>
      <c r="BC5" s="157" t="s">
        <v>1764</v>
      </c>
      <c r="BD5" s="157" t="s">
        <v>1765</v>
      </c>
      <c r="BE5" s="157" t="s">
        <v>1766</v>
      </c>
      <c r="BF5" s="157" t="s">
        <v>1767</v>
      </c>
      <c r="BG5" s="157" t="s">
        <v>1768</v>
      </c>
      <c r="BH5" s="157" t="s">
        <v>1769</v>
      </c>
      <c r="BI5" s="157" t="s">
        <v>1770</v>
      </c>
      <c r="BJ5" s="157" t="s">
        <v>1771</v>
      </c>
      <c r="BK5" s="157" t="s">
        <v>1772</v>
      </c>
      <c r="BL5" s="157" t="s">
        <v>337</v>
      </c>
      <c r="BM5" s="157" t="s">
        <v>998</v>
      </c>
      <c r="BN5" s="157" t="s">
        <v>1782</v>
      </c>
      <c r="BO5" s="157" t="s">
        <v>1783</v>
      </c>
      <c r="BP5" s="157" t="s">
        <v>1784</v>
      </c>
      <c r="BQ5" s="157" t="s">
        <v>1789</v>
      </c>
      <c r="BR5" s="157" t="s">
        <v>1781</v>
      </c>
      <c r="BS5" s="157" t="s">
        <v>158</v>
      </c>
      <c r="BT5" s="157" t="s">
        <v>619</v>
      </c>
      <c r="BU5" s="157" t="s">
        <v>1785</v>
      </c>
      <c r="BV5" s="157" t="s">
        <v>1780</v>
      </c>
      <c r="BW5" s="157" t="s">
        <v>2232</v>
      </c>
      <c r="BX5" s="157" t="s">
        <v>1779</v>
      </c>
      <c r="BY5" s="176" t="s">
        <v>335</v>
      </c>
      <c r="BZ5" s="176" t="s">
        <v>335</v>
      </c>
      <c r="CA5" s="77" t="s">
        <v>1786</v>
      </c>
      <c r="CB5" s="76" t="s">
        <v>986</v>
      </c>
      <c r="CC5" s="75" t="s">
        <v>1415</v>
      </c>
      <c r="CD5" s="75" t="s">
        <v>1417</v>
      </c>
      <c r="CE5" s="75" t="s">
        <v>1419</v>
      </c>
      <c r="CF5" s="75" t="s">
        <v>1444</v>
      </c>
      <c r="CG5" s="75" t="s">
        <v>1445</v>
      </c>
      <c r="CH5" s="75" t="s">
        <v>1446</v>
      </c>
      <c r="CI5" s="75" t="s">
        <v>1443</v>
      </c>
      <c r="CJ5" s="75" t="s">
        <v>1448</v>
      </c>
      <c r="CK5" s="75" t="s">
        <v>1449</v>
      </c>
      <c r="CL5" s="75" t="s">
        <v>1451</v>
      </c>
      <c r="CM5" s="75" t="s">
        <v>1452</v>
      </c>
      <c r="CN5" s="75" t="s">
        <v>1447</v>
      </c>
    </row>
    <row r="6" spans="1:92" ht="76.5" x14ac:dyDescent="0.25">
      <c r="A6" s="167" t="s">
        <v>1317</v>
      </c>
      <c r="B6" s="168" t="s">
        <v>2481</v>
      </c>
      <c r="C6" s="24" t="s">
        <v>498</v>
      </c>
      <c r="E6" s="15">
        <v>-34.564198513371799</v>
      </c>
      <c r="F6" s="49">
        <v>-59.121408231421597</v>
      </c>
      <c r="G6" s="32" t="s">
        <v>1400</v>
      </c>
      <c r="H6" s="57" t="s">
        <v>1400</v>
      </c>
      <c r="I6" s="32" t="s">
        <v>1711</v>
      </c>
      <c r="J6" s="40" t="b">
        <v>1</v>
      </c>
      <c r="K6" s="24" t="b">
        <v>1</v>
      </c>
      <c r="M6" s="47" t="s">
        <v>1788</v>
      </c>
      <c r="O6" s="15" t="s">
        <v>1401</v>
      </c>
      <c r="P6" s="15" t="s">
        <v>335</v>
      </c>
      <c r="Z6" s="15" t="s">
        <v>335</v>
      </c>
      <c r="AJ6" s="85" t="s">
        <v>1248</v>
      </c>
      <c r="AK6" s="86" t="s">
        <v>1120</v>
      </c>
      <c r="AL6" s="15" t="s">
        <v>255</v>
      </c>
      <c r="AM6" s="15" t="s">
        <v>335</v>
      </c>
      <c r="AN6" s="15" t="s">
        <v>1402</v>
      </c>
      <c r="AO6" s="34" t="s">
        <v>1403</v>
      </c>
      <c r="AP6" s="15" t="s">
        <v>335</v>
      </c>
      <c r="AQ6" s="49" t="s">
        <v>335</v>
      </c>
      <c r="AS6" s="154" t="b">
        <f t="shared" ref="AS6:AS37" si="1">IF(OR(A6="Done",A6="In Progress"),TRUE)</f>
        <v>1</v>
      </c>
      <c r="AT6" s="155" t="str">
        <f t="shared" ref="AT6:AT37" si="2">"title: """&amp;G6&amp;""""</f>
        <v>title: "Basilica of Our Lady of Lujan"</v>
      </c>
      <c r="AU6" s="155" t="str">
        <f t="shared" ref="AU6:AU37" si="3">"location: {lat: "&amp;E6&amp;", lng: "&amp;F6&amp;"}"</f>
        <v>location: {lat: -34.5641985133718, lng: -59.1214082314216}</v>
      </c>
      <c r="AV6" s="155" t="str">
        <f t="shared" ref="AV6:AV37" si="4">"interest: "&amp;I6</f>
        <v>interest: global</v>
      </c>
      <c r="AW6" s="155" t="str">
        <f>"- "&amp;VLOOKUP(C6,'(Ref) Countries'!A:C,3,)</f>
        <v>- argentina</v>
      </c>
      <c r="AX6" s="155" t="str">
        <f t="shared" ref="AX6:AX37" si="5">IF(LEN(D6)&gt;1,"- "&amp;LOWER(SUBSTITUTE(D6," ","-")),"")</f>
        <v/>
      </c>
      <c r="AY6" s="155" t="str">
        <f t="shared" ref="AY6:AY37" si="6">IF(J6,"- churches","")</f>
        <v>- churches</v>
      </c>
      <c r="AZ6" s="155" t="str">
        <f t="shared" ref="AZ6:AZ37" si="7">IF(K6,"- marian-sites","")</f>
        <v>- marian-sites</v>
      </c>
      <c r="BA6" s="155" t="str">
        <f t="shared" ref="BA6:BA37" si="8">IF(L6,"- holy-persons","")</f>
        <v/>
      </c>
      <c r="BB6" s="155" t="str">
        <f t="shared" ref="BB6:BB37" si="9">IF(LEN(Z6)&gt;0,"- "&amp;Z6,"")</f>
        <v/>
      </c>
      <c r="BC6" s="155" t="str">
        <f t="shared" ref="BC6:BC37" si="10">IF(LEN(AA6)&gt;0,"- "&amp;AA6,"")</f>
        <v/>
      </c>
      <c r="BD6" s="155" t="str">
        <f t="shared" ref="BD6:BD37" si="11">IF(LEN(AB6)&gt;0,"- "&amp;AB6,"")</f>
        <v/>
      </c>
      <c r="BE6" s="155" t="str">
        <f t="shared" ref="BE6:BE37" si="12">IF(LEN(AC6)&gt;0,"- "&amp;AC6,"")</f>
        <v/>
      </c>
      <c r="BF6" s="155" t="str">
        <f t="shared" ref="BF6:BF37" si="13">IF(LEN(AD6)&gt;0,"- "&amp;AD6,"")</f>
        <v/>
      </c>
      <c r="BG6" s="155" t="str">
        <f t="shared" ref="BG6:BG37" si="14">IF(LEN(AE6)&gt;0,"- "&amp;AE6,"")</f>
        <v/>
      </c>
      <c r="BH6" s="155" t="str">
        <f t="shared" ref="BH6:BH37" si="15">IF(LEN(AF6)&gt;0,"- "&amp;AF6,"")</f>
        <v/>
      </c>
      <c r="BI6" s="155" t="str">
        <f t="shared" ref="BI6:BI37" si="16">IF(LEN(AG6)&gt;0,"- "&amp;AG6,"")</f>
        <v/>
      </c>
      <c r="BJ6" s="155" t="str">
        <f t="shared" ref="BJ6:BJ37" si="17">IF(LEN(AH6)&gt;0,"- "&amp;AH6,"")</f>
        <v/>
      </c>
      <c r="BK6" s="155" t="str">
        <f t="shared" ref="BK6:BK37" si="18">IF(LEN(AI6)&gt;0,"- "&amp;AI6,"")</f>
        <v/>
      </c>
      <c r="BL6" s="155" t="str">
        <f t="shared" ref="BL6:BL37" si="19">"tags:"&amp;CHAR(10)&amp;concatl(AW6:BK6)</f>
        <v xml:space="preserve">tags:
- argentina_x000D_
- churches_x000D_
- marian-sites_x000D_
</v>
      </c>
      <c r="BM6" s="158" t="str">
        <f>IF(LEN(O6)&gt;0,TRIM(CONCATENATE("[Official site](",O6,") ",IF(LEN(P6)&gt;0,"- "&amp;P6,P6))),"")</f>
        <v>[Official site](https://santuariodelujan.org.ar/)</v>
      </c>
      <c r="BN6" s="158" t="str">
        <f>IF(LEN(R6)&gt;0,TRIM(CONCATENATE("["&amp;Q6&amp;"](",R6,") ",IF(LEN(S6)&gt;0,"- "&amp;S6,S6))),"")</f>
        <v/>
      </c>
      <c r="BO6" s="158" t="str">
        <f>IF(LEN(U6)&gt;0,TRIM(CONCATENATE("["&amp;T6&amp;"](",U6,") ",IF(LEN(V6)&gt;0,"- "&amp;V6,V6))),"")</f>
        <v/>
      </c>
      <c r="BP6" s="158" t="str">
        <f>IF(LEN(X6)&gt;0,TRIM(CONCATENATE("["&amp;W6&amp;"](",X6,") ",IF(LEN(Y6)&gt;0,"- "&amp;Y6,Y6))),"")</f>
        <v/>
      </c>
      <c r="BQ6" s="158" t="str">
        <f t="shared" ref="BQ6:BQ37" si="20">IF(LEN(BM6)&gt;0,"* "&amp;BM6&amp;CHAR(10),"")&amp;
IF(LEN(BN6)&gt;0,"* "&amp;BN6&amp;CHAR(10),"")&amp;
IF(LEN(BO6)&gt;0,"* "&amp;BO6&amp;CHAR(10),"")&amp;
IF(LEN(BP6)&gt;0,"* "&amp;BP6&amp;CHAR(10),"")</f>
        <v xml:space="preserve">* [Official site](https://santuariodelujan.org.ar/)
</v>
      </c>
      <c r="BR6" s="158" t="str">
        <f t="shared" ref="BR6:BR37" si="21">IF(LEN(AL6)&gt;0,TRIM(CONCATENATE("[Link](",AL6,") ",AM6)),"")</f>
        <v>[Link](http://www.therealpresence.org/eucharst/misc/BVM/112_LUJAN_96x96.pdf)</v>
      </c>
      <c r="BS6" s="158" t="str">
        <f t="shared" ref="BS6:BS37" si="22">IF(LEN(AN6)&gt;0,TRIM(CONCATENATE("[Link](",AN6,") ",AO6)),"")</f>
        <v>[Link](http://www.miraclehunter.com/miraculous_images/icons_1600-1699.html) (Search "Lujan")</v>
      </c>
      <c r="BT6" s="158" t="str">
        <f t="shared" ref="BT6:BT37" si="23">IF(LEN(AP6)&gt;0,TRIM(CONCATENATE("[Link](",AP6,") ",AQ6)),"")</f>
        <v/>
      </c>
      <c r="BU6" s="158" t="str">
        <f>IF(LEN(concat(BR6:BT6))&gt;0,concat("| ",BR6," | ",BS6," | ",BT6," |"),"")</f>
        <v>| [Link](http://www.therealpresence.org/eucharst/misc/BVM/112_LUJAN_96x96.pdf) | [Link](http://www.miraclehunter.com/miraculous_images/icons_1600-1699.html) (Search "Lujan") |  |</v>
      </c>
      <c r="BV6" s="155" t="str">
        <f t="shared" ref="BV6:BV37" si="24">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55"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55" t="str">
        <f>IF(LEN(N6)&gt;1,concatll("#### Author's Note",N6,"-"&amp;B6),"")</f>
        <v/>
      </c>
      <c r="BY6" s="155" t="s">
        <v>335</v>
      </c>
      <c r="BZ6" s="158" t="s">
        <v>335</v>
      </c>
      <c r="CA6" s="23" t="str">
        <f>IF(AS6,concatll(concatl("---",AT6:AV6,BL6,"---"),M6,BW6:BX6),"")</f>
        <v xml:space="preserve">---_x000D_
title: "Basilica of Our Lady of Lujan"_x000D_
location: {lat: -34.5641985133718, lng: -59.1214082314216}_x000D_
interest: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23" t="str">
        <f>IF(AS6,"places\"&amp;VLOOKUP(C6,'(Ref) Countries'!A:B,2,)&amp;IF(LEN(D6)&gt;1,"-"&amp;LOWER(SUBSTITUTE(D6," ","-")),"")&amp;"-"&amp;LOWER(SUBSTITUTE(SUBSTITUTE(H6," ","-"),".",""))&amp;".md","")</f>
        <v>places\ar-basilica-of-our-lady-of-lujan.md</v>
      </c>
      <c r="CC6" s="29" t="str">
        <f>IF(LEN(Z6)&gt;1,VLOOKUP(Z6,'Tag List'!$A:$B,2,),"")</f>
        <v/>
      </c>
      <c r="CD6" s="29" t="str">
        <f>IF(LEN(AA6)&gt;1,VLOOKUP(AA6,'Tag List'!$A:$B,2,),"")</f>
        <v/>
      </c>
      <c r="CE6" s="29" t="str">
        <f>IF(LEN(AB6)&gt;1,VLOOKUP(AB6,'Tag List'!$A:$B,2,),"")</f>
        <v/>
      </c>
      <c r="CF6" s="30" t="str">
        <f>IF(LEN(Z6)&gt;1,GetTagPage(CC6,Z6),"")</f>
        <v/>
      </c>
      <c r="CG6" s="30" t="str">
        <f>IF(LEN(AA6)&gt;1,GetTagPage(CD6,AA6),"")</f>
        <v/>
      </c>
      <c r="CH6" s="30" t="str">
        <f>IF(LEN(AB6)&gt;1,GetTagPage(CE6,AB6),"")</f>
        <v/>
      </c>
      <c r="CI6" s="30" t="str">
        <f t="shared" ref="CI6:CI37" si="25">"|"&amp;IF(LEN(CF6)&gt;1," "&amp;CF6,"")&amp;IF(LEN(CG6)&gt;1,", "&amp;CG6,"")&amp;IF(LEN(CH6)&gt;1,", "&amp;CH6,"")&amp;" "</f>
        <v xml:space="preserve">| </v>
      </c>
      <c r="CJ6" s="30" t="str">
        <f t="shared" ref="CJ6:CJ37" si="26">"| "&amp;IF(AS6,"["&amp;AJ6&amp;"](/places/"&amp;SUBSTITUTE(CB6,".md","")&amp;")",AJ6)&amp;" "</f>
        <v xml:space="preserve">| [Luján](/places/places\ar-basilica-of-our-lady-of-lujan) </v>
      </c>
      <c r="CK6" s="30" t="str">
        <f>"| "&amp;IF(AS6,GetTagPage(C6,VLOOKUP(C6,'(Ref) Countries'!A:C,3,)),C6)&amp; " "</f>
        <v xml:space="preserve">| [Argentina](/tags/argentina) </v>
      </c>
      <c r="CL6" s="30" t="str">
        <f t="shared" ref="CL6:CL37" si="27">"| "&amp;AK6&amp;" "</f>
        <v xml:space="preserve">| 17th Century </v>
      </c>
      <c r="CM6" s="30" t="str">
        <f t="shared" ref="CM6:CM37" si="28">"|"&amp;IF(AS6," [Link](/places/"&amp;SUBSTITUTE(CB6,".md","")&amp;")","")&amp;" "</f>
        <v xml:space="preserve">| [Link](/places/places\ar-basilica-of-our-lady-of-lujan) </v>
      </c>
      <c r="CN6" s="29" t="str">
        <f t="shared" ref="CN6:CN37" si="29">"
"&amp;CJ6&amp;CK6&amp;CL6&amp;CM6&amp;BM6&amp;BR6&amp;BS6&amp;BT6&amp;CI6&amp;"|"</f>
        <v xml:space="preserve">
| [Luján](/places/places\ar-basilica-of-our-lady-of-lujan) | [Argentina](/tags/argentina) | 17th Century | [Link](/places/places\ar-basilica-of-our-lady-of-lujan) [Official site](https://santuariodelujan.org.ar/)[Link](http://www.therealpresence.org/eucharst/misc/BVM/112_LUJAN_96x96.pdf)[Link](http://www.miraclehunter.com/miraculous_images/icons_1600-1699.html) (Search "Lujan")| |</v>
      </c>
    </row>
    <row r="7" spans="1:92" ht="25.5" x14ac:dyDescent="0.25">
      <c r="A7" s="167" t="s">
        <v>1317</v>
      </c>
      <c r="B7" s="168" t="s">
        <v>2482</v>
      </c>
      <c r="C7" s="83" t="s">
        <v>507</v>
      </c>
      <c r="D7" s="83" t="s">
        <v>1800</v>
      </c>
      <c r="E7" s="15">
        <v>50.847874450660399</v>
      </c>
      <c r="F7" s="49">
        <v>4.35897312161425</v>
      </c>
      <c r="G7" s="83" t="s">
        <v>1798</v>
      </c>
      <c r="H7" s="90" t="s">
        <v>1804</v>
      </c>
      <c r="I7" s="83" t="s">
        <v>1737</v>
      </c>
      <c r="J7" s="24" t="b">
        <v>1</v>
      </c>
      <c r="M7" s="83" t="s">
        <v>1805</v>
      </c>
      <c r="N7" s="177" t="s">
        <v>2492</v>
      </c>
      <c r="O7" s="91" t="s">
        <v>1799</v>
      </c>
      <c r="P7" s="15" t="s">
        <v>335</v>
      </c>
      <c r="AS7" s="154" t="b">
        <f t="shared" si="1"/>
        <v>1</v>
      </c>
      <c r="AT7" s="155" t="str">
        <f t="shared" si="2"/>
        <v>title: "St. Michael and St. Gudula Cathedral (Brussels Cathedral)"</v>
      </c>
      <c r="AU7" s="155" t="str">
        <f t="shared" si="3"/>
        <v>location: {lat: 50.8478744506604, lng: 4.35897312161425}</v>
      </c>
      <c r="AV7" s="155" t="str">
        <f t="shared" si="4"/>
        <v>interest: regional</v>
      </c>
      <c r="AW7" s="155" t="str">
        <f>"- "&amp;VLOOKUP(C7,'(Ref) Countries'!A:C,3,)</f>
        <v>- belgium</v>
      </c>
      <c r="AX7" s="155" t="str">
        <f t="shared" si="5"/>
        <v>- brussels</v>
      </c>
      <c r="AY7" s="155" t="str">
        <f t="shared" si="6"/>
        <v>- churches</v>
      </c>
      <c r="AZ7" s="155" t="str">
        <f t="shared" si="7"/>
        <v/>
      </c>
      <c r="BA7" s="155" t="str">
        <f t="shared" si="8"/>
        <v/>
      </c>
      <c r="BB7" s="155" t="str">
        <f t="shared" si="9"/>
        <v/>
      </c>
      <c r="BC7" s="155" t="str">
        <f t="shared" si="10"/>
        <v/>
      </c>
      <c r="BD7" s="155" t="str">
        <f t="shared" si="11"/>
        <v/>
      </c>
      <c r="BE7" s="155" t="str">
        <f t="shared" si="12"/>
        <v/>
      </c>
      <c r="BF7" s="155" t="str">
        <f t="shared" si="13"/>
        <v/>
      </c>
      <c r="BG7" s="155" t="str">
        <f t="shared" si="14"/>
        <v/>
      </c>
      <c r="BH7" s="155" t="str">
        <f t="shared" si="15"/>
        <v/>
      </c>
      <c r="BI7" s="155" t="str">
        <f t="shared" si="16"/>
        <v/>
      </c>
      <c r="BJ7" s="155" t="str">
        <f t="shared" si="17"/>
        <v/>
      </c>
      <c r="BK7" s="155" t="str">
        <f t="shared" si="18"/>
        <v/>
      </c>
      <c r="BL7" s="155" t="str">
        <f t="shared" si="19"/>
        <v xml:space="preserve">tags:
- belgium_x000D_
- brussels_x000D_
- churches_x000D_
</v>
      </c>
      <c r="BM7" s="158" t="str">
        <f t="shared" ref="BM7:BM70" si="30">IF(LEN(O7)&gt;0,TRIM(CONCATENATE("[Official site](",O7,") ",IF(LEN(P7)&gt;0,"- "&amp;P7,P7))),"")</f>
        <v>[Official site](https://www.cathedralisbruxellensis.be/)</v>
      </c>
      <c r="BN7" s="158" t="str">
        <f t="shared" ref="BN7:BN70" si="31">IF(LEN(R7)&gt;0,TRIM(CONCATENATE("["&amp;Q7&amp;"](",R7,") ",IF(LEN(S7)&gt;0,"- "&amp;S7,S7))),"")</f>
        <v/>
      </c>
      <c r="BO7" s="158" t="str">
        <f t="shared" ref="BO7:BO70" si="32">IF(LEN(U7)&gt;0,TRIM(CONCATENATE("["&amp;T7&amp;"](",U7,") ",IF(LEN(V7)&gt;0,"- "&amp;V7,V7))),"")</f>
        <v/>
      </c>
      <c r="BP7" s="158" t="str">
        <f t="shared" ref="BP7:BP70" si="33">IF(LEN(X7)&gt;0,TRIM(CONCATENATE("["&amp;W7&amp;"](",X7,") ",IF(LEN(Y7)&gt;0,"- "&amp;Y7,Y7))),"")</f>
        <v/>
      </c>
      <c r="BQ7" s="158" t="str">
        <f t="shared" si="20"/>
        <v xml:space="preserve">* [Official site](https://www.cathedralisbruxellensis.be/)
</v>
      </c>
      <c r="BR7" s="158" t="str">
        <f t="shared" si="21"/>
        <v/>
      </c>
      <c r="BS7" s="158" t="str">
        <f t="shared" si="22"/>
        <v/>
      </c>
      <c r="BT7" s="158" t="str">
        <f t="shared" si="23"/>
        <v/>
      </c>
      <c r="BU7" s="158" t="str">
        <f>IF(LEN(concat(BR7:BT7))&gt;0,concat("| ",BR7," | ",BS7," | ",BT7," |"),"")</f>
        <v/>
      </c>
      <c r="BV7" s="155" t="str">
        <f t="shared" si="24"/>
        <v/>
      </c>
      <c r="BW7" s="155" t="str">
        <f>IF(LEN(BQ7&amp;BV7)&gt;0,concatll("#### More Information",BQ7,BV7),"")</f>
        <v xml:space="preserve">#### More Information_x000D_
_x000D_
* [Official site](https://www.cathedralisbruxellensis.be/)
_x000D_
_x000D_
</v>
      </c>
      <c r="BX7" s="155" t="str">
        <f>IF(LEN(N7)&gt;1,concatll("#### Author's Note",N7,"-"&amp;B7),"")</f>
        <v xml:space="preserve">#### Author's Note_x000D_
_x000D_
This church has the most awesome pulpit I have ever seen._x000D_
_x000D_
-JPY_x000D_
_x000D_
</v>
      </c>
      <c r="BY7" s="155" t="s">
        <v>335</v>
      </c>
      <c r="BZ7" s="155" t="s">
        <v>335</v>
      </c>
      <c r="CA7" s="23" t="str">
        <f>IF(AS7,concatll(concatl("---",AT7:AV7,BL7,"---"),M7,BW7:BX7),"")</f>
        <v xml:space="preserve">---_x000D_
title: "St. Michael and St. Gudula Cathedral (Brussels Cathedral)"_x000D_
location: {lat: 50.8478744506604, lng: 4.35897312161425}_x000D_
interest: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23" t="str">
        <f>IF(AS7,"places\"&amp;VLOOKUP(C7,'(Ref) Countries'!A:B,2,)&amp;IF(LEN(D7)&gt;1,"-"&amp;LOWER(SUBSTITUTE(D7," ","-")),"")&amp;"-"&amp;LOWER(SUBSTITUTE(SUBSTITUTE(H7," ","-"),".",""))&amp;".md","")</f>
        <v>places\be-brussels-cathedral.md</v>
      </c>
      <c r="CC7" s="29" t="str">
        <f>IF(LEN(Z7)&gt;1,VLOOKUP(Z7,'Tag List'!$A:$B,2,),"")</f>
        <v/>
      </c>
      <c r="CD7" s="29" t="str">
        <f>IF(LEN(AA7)&gt;1,VLOOKUP(AA7,'Tag List'!$A:$B,2,),"")</f>
        <v/>
      </c>
      <c r="CE7" s="29" t="str">
        <f>IF(LEN(AB7)&gt;1,VLOOKUP(AB7,'Tag List'!$A:$B,2,),"")</f>
        <v/>
      </c>
      <c r="CF7" s="30" t="str">
        <f>IF(LEN(Z7)&gt;1,GetTagPage(CC7,Z7),"")</f>
        <v/>
      </c>
      <c r="CG7" s="30" t="str">
        <f>IF(LEN(AA7)&gt;1,GetTagPage(CD7,AA7),"")</f>
        <v/>
      </c>
      <c r="CH7" s="30" t="str">
        <f>IF(LEN(AB7)&gt;1,GetTagPage(CE7,AB7),"")</f>
        <v/>
      </c>
      <c r="CI7" s="30" t="str">
        <f t="shared" si="25"/>
        <v xml:space="preserve">| </v>
      </c>
      <c r="CJ7" s="30" t="str">
        <f t="shared" si="26"/>
        <v xml:space="preserve">| [](/places/places\be-brussels-cathedral) </v>
      </c>
      <c r="CK7" s="30" t="str">
        <f>"| "&amp;IF(AS7,GetTagPage(C7,VLOOKUP(C7,'(Ref) Countries'!A:C,3,)),C7)&amp; " "</f>
        <v xml:space="preserve">| [Belgium](/tags/belgium) </v>
      </c>
      <c r="CL7" s="30" t="str">
        <f t="shared" si="27"/>
        <v xml:space="preserve">|  </v>
      </c>
      <c r="CM7" s="30" t="str">
        <f t="shared" si="28"/>
        <v xml:space="preserve">| [Link](/places/places\be-brussels-cathedral) </v>
      </c>
      <c r="CN7" s="29" t="str">
        <f t="shared" si="29"/>
        <v xml:space="preserve">
| [](/places/places\be-brussels-cathedral) | [Belgium](/tags/belgium) |  | [Link](/places/places\be-brussels-cathedral) [Official site](https://www.cathedralisbruxellensis.be/)| |</v>
      </c>
    </row>
    <row r="8" spans="1:92" ht="25.5" x14ac:dyDescent="0.25">
      <c r="A8" s="167" t="s">
        <v>1317</v>
      </c>
      <c r="B8" s="24" t="s">
        <v>2482</v>
      </c>
      <c r="C8" s="24" t="s">
        <v>507</v>
      </c>
      <c r="D8" s="24" t="s">
        <v>1800</v>
      </c>
      <c r="E8" s="15">
        <v>50.850689952510798</v>
      </c>
      <c r="F8" s="49">
        <v>4.3480492761285401</v>
      </c>
      <c r="G8" s="83" t="s">
        <v>1801</v>
      </c>
      <c r="H8" s="90" t="s">
        <v>2449</v>
      </c>
      <c r="I8" s="83" t="s">
        <v>1802</v>
      </c>
      <c r="J8" s="24" t="b">
        <v>1</v>
      </c>
      <c r="M8" s="83" t="s">
        <v>1803</v>
      </c>
      <c r="N8" s="177" t="s">
        <v>2493</v>
      </c>
      <c r="O8" s="15" t="s">
        <v>1799</v>
      </c>
      <c r="P8" s="15" t="s">
        <v>335</v>
      </c>
      <c r="AS8" s="154" t="b">
        <f t="shared" si="1"/>
        <v>1</v>
      </c>
      <c r="AT8" s="155" t="str">
        <f t="shared" si="2"/>
        <v>title: "St. Catherine's Church"</v>
      </c>
      <c r="AU8" s="155" t="str">
        <f t="shared" si="3"/>
        <v>location: {lat: 50.8506899525108, lng: 4.34804927612854}</v>
      </c>
      <c r="AV8" s="155" t="str">
        <f t="shared" si="4"/>
        <v>interest: local</v>
      </c>
      <c r="AW8" s="155" t="str">
        <f>"- "&amp;VLOOKUP(C8,'(Ref) Countries'!A:C,3,)</f>
        <v>- belgium</v>
      </c>
      <c r="AX8" s="155" t="str">
        <f t="shared" si="5"/>
        <v>- brussels</v>
      </c>
      <c r="AY8" s="155" t="str">
        <f t="shared" si="6"/>
        <v>- churches</v>
      </c>
      <c r="AZ8" s="155" t="str">
        <f t="shared" si="7"/>
        <v/>
      </c>
      <c r="BA8" s="155" t="str">
        <f t="shared" si="8"/>
        <v/>
      </c>
      <c r="BB8" s="155" t="str">
        <f t="shared" si="9"/>
        <v/>
      </c>
      <c r="BC8" s="155" t="str">
        <f t="shared" si="10"/>
        <v/>
      </c>
      <c r="BD8" s="155" t="str">
        <f t="shared" si="11"/>
        <v/>
      </c>
      <c r="BE8" s="155" t="str">
        <f t="shared" si="12"/>
        <v/>
      </c>
      <c r="BF8" s="155" t="str">
        <f t="shared" si="13"/>
        <v/>
      </c>
      <c r="BG8" s="155" t="str">
        <f t="shared" si="14"/>
        <v/>
      </c>
      <c r="BH8" s="155" t="str">
        <f t="shared" si="15"/>
        <v/>
      </c>
      <c r="BI8" s="155" t="str">
        <f t="shared" si="16"/>
        <v/>
      </c>
      <c r="BJ8" s="155" t="str">
        <f t="shared" si="17"/>
        <v/>
      </c>
      <c r="BK8" s="155" t="str">
        <f t="shared" si="18"/>
        <v/>
      </c>
      <c r="BL8" s="155" t="str">
        <f t="shared" si="19"/>
        <v xml:space="preserve">tags:
- belgium_x000D_
- brussels_x000D_
- churches_x000D_
</v>
      </c>
      <c r="BM8" s="158" t="str">
        <f t="shared" si="30"/>
        <v>[Official site](https://www.cathedralisbruxellensis.be/)</v>
      </c>
      <c r="BN8" s="158" t="str">
        <f t="shared" si="31"/>
        <v/>
      </c>
      <c r="BO8" s="158" t="str">
        <f t="shared" si="32"/>
        <v/>
      </c>
      <c r="BP8" s="158" t="str">
        <f t="shared" si="33"/>
        <v/>
      </c>
      <c r="BQ8" s="155" t="str">
        <f t="shared" si="20"/>
        <v xml:space="preserve">* [Official site](https://www.cathedralisbruxellensis.be/)
</v>
      </c>
      <c r="BR8" s="155" t="str">
        <f t="shared" si="21"/>
        <v/>
      </c>
      <c r="BS8" s="155" t="str">
        <f t="shared" si="22"/>
        <v/>
      </c>
      <c r="BT8" s="155" t="str">
        <f t="shared" si="23"/>
        <v/>
      </c>
      <c r="BU8" s="155" t="str">
        <f>IF(LEN(concat(BR8:BT8))&gt;0,concat("| ",BR8," | ",BS8," | ",BT8," |"),"")</f>
        <v/>
      </c>
      <c r="BV8" s="155" t="str">
        <f t="shared" si="24"/>
        <v/>
      </c>
      <c r="BW8" s="155" t="str">
        <f>IF(LEN(BQ8&amp;BV8)&gt;0,concatll("#### More Information",BQ8,BV8),"")</f>
        <v xml:space="preserve">#### More Information_x000D_
_x000D_
* [Official site](https://www.cathedralisbruxellensis.be/)
_x000D_
_x000D_
</v>
      </c>
      <c r="BX8" s="155" t="str">
        <f>IF(LEN(N8)&gt;1,concatll("#### Author's Note",N8,"-"&amp;B8),"")</f>
        <v xml:space="preserve">#### Author's Note_x000D_
_x000D_
As of 2023, this church has tons of confession times._x000D_
_x000D_
-JPY_x000D_
_x000D_
</v>
      </c>
      <c r="BY8" s="155" t="s">
        <v>335</v>
      </c>
      <c r="BZ8" s="155" t="s">
        <v>335</v>
      </c>
      <c r="CA8" s="23" t="str">
        <f>IF(AS8,concatll(concatl("---",AT8:AV8,BL8,"---"),M8,BW8:BX8),"")</f>
        <v xml:space="preserve">---_x000D_
title: "St. Catherine's Church"_x000D_
location: {lat: 50.8506899525108, lng: 4.34804927612854}_x000D_
interest: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23" t="str">
        <f>IF(AS8,"places\"&amp;VLOOKUP(C8,'(Ref) Countries'!A:B,2,)&amp;IF(LEN(D8)&gt;1,"-"&amp;LOWER(SUBSTITUTE(D8," ","-")),"")&amp;"-"&amp;LOWER(SUBSTITUTE(SUBSTITUTE(H8," ","-"),".",""))&amp;".md","")</f>
        <v>places\be-brussels-st-catherine.md</v>
      </c>
      <c r="CC8" s="29" t="str">
        <f>IF(LEN(Z8)&gt;1,VLOOKUP(Z8,'Tag List'!$A:$B,2,),"")</f>
        <v/>
      </c>
      <c r="CD8" s="29" t="str">
        <f>IF(LEN(AA8)&gt;1,VLOOKUP(AA8,'Tag List'!$A:$B,2,),"")</f>
        <v/>
      </c>
      <c r="CE8" s="29" t="str">
        <f>IF(LEN(AB8)&gt;1,VLOOKUP(AB8,'Tag List'!$A:$B,2,),"")</f>
        <v/>
      </c>
      <c r="CF8" s="29" t="str">
        <f>IF(LEN(Z8)&gt;1,GetTagPage(CC8,Z8),"")</f>
        <v/>
      </c>
      <c r="CG8" s="29" t="str">
        <f>IF(LEN(AA8)&gt;1,GetTagPage(CD8,AA8),"")</f>
        <v/>
      </c>
      <c r="CH8" s="29" t="str">
        <f>IF(LEN(AB8)&gt;1,GetTagPage(CE8,AB8),"")</f>
        <v/>
      </c>
      <c r="CI8" s="29" t="str">
        <f t="shared" si="25"/>
        <v xml:space="preserve">| </v>
      </c>
      <c r="CJ8" s="29" t="str">
        <f t="shared" si="26"/>
        <v xml:space="preserve">| [](/places/places\be-brussels-st-catherine) </v>
      </c>
      <c r="CK8" s="29" t="str">
        <f>"| "&amp;IF(AS8,GetTagPage(C8,VLOOKUP(C8,'(Ref) Countries'!A:C,3,)),C8)&amp; " "</f>
        <v xml:space="preserve">| [Belgium](/tags/belgium) </v>
      </c>
      <c r="CL8" s="29" t="str">
        <f t="shared" si="27"/>
        <v xml:space="preserve">|  </v>
      </c>
      <c r="CM8" s="29" t="str">
        <f t="shared" si="28"/>
        <v xml:space="preserve">| [Link](/places/places\be-brussels-st-catherine) </v>
      </c>
      <c r="CN8" s="29" t="str">
        <f t="shared" si="29"/>
        <v xml:space="preserve">
| [](/places/places\be-brussels-st-catherine) | [Belgium](/tags/belgium) |  | [Link](/places/places\be-brussels-st-catherine) [Official site](https://www.cathedralisbruxellensis.be/)| |</v>
      </c>
    </row>
    <row r="9" spans="1:92" ht="216.75" x14ac:dyDescent="0.25">
      <c r="A9" s="167" t="s">
        <v>1317</v>
      </c>
      <c r="B9" s="168" t="s">
        <v>2481</v>
      </c>
      <c r="C9" s="24" t="s">
        <v>532</v>
      </c>
      <c r="E9" s="15">
        <v>0.80532486588234498</v>
      </c>
      <c r="F9" s="49">
        <v>-77.585922676282493</v>
      </c>
      <c r="G9" s="24" t="s">
        <v>1327</v>
      </c>
      <c r="H9" s="53" t="s">
        <v>1328</v>
      </c>
      <c r="I9" s="24" t="s">
        <v>1711</v>
      </c>
      <c r="J9" s="40" t="b">
        <v>1</v>
      </c>
      <c r="K9" s="24" t="b">
        <v>1</v>
      </c>
      <c r="M9" s="24" t="s">
        <v>1339</v>
      </c>
      <c r="N9" s="177" t="s">
        <v>2494</v>
      </c>
      <c r="O9" s="15" t="s">
        <v>1329</v>
      </c>
      <c r="P9" s="15" t="s">
        <v>335</v>
      </c>
      <c r="Z9" s="15" t="s">
        <v>335</v>
      </c>
      <c r="AJ9" s="85" t="s">
        <v>1270</v>
      </c>
      <c r="AK9" s="86">
        <v>1754</v>
      </c>
      <c r="AL9" s="15" t="s">
        <v>281</v>
      </c>
      <c r="AM9" s="15" t="s">
        <v>335</v>
      </c>
      <c r="AN9" s="15" t="s">
        <v>1326</v>
      </c>
      <c r="AO9" s="15" t="s">
        <v>335</v>
      </c>
      <c r="AP9" s="15" t="s">
        <v>335</v>
      </c>
      <c r="AQ9" s="49" t="s">
        <v>335</v>
      </c>
      <c r="AS9" s="154" t="b">
        <f t="shared" si="1"/>
        <v>1</v>
      </c>
      <c r="AT9" s="155" t="str">
        <f t="shared" si="2"/>
        <v>title: "National Shrine Basilica of Our Lady of Las Lajas"</v>
      </c>
      <c r="AU9" s="155" t="str">
        <f t="shared" si="3"/>
        <v>location: {lat: 0.805324865882345, lng: -77.5859226762825}</v>
      </c>
      <c r="AV9" s="155" t="str">
        <f t="shared" si="4"/>
        <v>interest: global</v>
      </c>
      <c r="AW9" s="155" t="str">
        <f>"- "&amp;VLOOKUP(C9,'(Ref) Countries'!A:C,3,)</f>
        <v>- colombia</v>
      </c>
      <c r="AX9" s="155" t="str">
        <f t="shared" si="5"/>
        <v/>
      </c>
      <c r="AY9" s="155" t="str">
        <f t="shared" si="6"/>
        <v>- churches</v>
      </c>
      <c r="AZ9" s="155" t="str">
        <f t="shared" si="7"/>
        <v>- marian-sites</v>
      </c>
      <c r="BA9" s="155" t="str">
        <f t="shared" si="8"/>
        <v/>
      </c>
      <c r="BB9" s="155" t="str">
        <f t="shared" si="9"/>
        <v/>
      </c>
      <c r="BC9" s="155" t="str">
        <f t="shared" si="10"/>
        <v/>
      </c>
      <c r="BD9" s="155" t="str">
        <f t="shared" si="11"/>
        <v/>
      </c>
      <c r="BE9" s="155" t="str">
        <f t="shared" si="12"/>
        <v/>
      </c>
      <c r="BF9" s="155" t="str">
        <f t="shared" si="13"/>
        <v/>
      </c>
      <c r="BG9" s="155" t="str">
        <f t="shared" si="14"/>
        <v/>
      </c>
      <c r="BH9" s="155" t="str">
        <f t="shared" si="15"/>
        <v/>
      </c>
      <c r="BI9" s="155" t="str">
        <f t="shared" si="16"/>
        <v/>
      </c>
      <c r="BJ9" s="155" t="str">
        <f t="shared" si="17"/>
        <v/>
      </c>
      <c r="BK9" s="155" t="str">
        <f t="shared" si="18"/>
        <v/>
      </c>
      <c r="BL9" s="155" t="str">
        <f t="shared" si="19"/>
        <v xml:space="preserve">tags:
- colombia_x000D_
- churches_x000D_
- marian-sites_x000D_
</v>
      </c>
      <c r="BM9" s="158" t="str">
        <f t="shared" si="30"/>
        <v>[Official site](https://www.laslajas.org/)</v>
      </c>
      <c r="BN9" s="158" t="str">
        <f t="shared" si="31"/>
        <v/>
      </c>
      <c r="BO9" s="158" t="str">
        <f t="shared" si="32"/>
        <v/>
      </c>
      <c r="BP9" s="158" t="str">
        <f t="shared" si="33"/>
        <v/>
      </c>
      <c r="BQ9" s="158" t="str">
        <f t="shared" si="20"/>
        <v xml:space="preserve">* [Official site](https://www.laslajas.org/)
</v>
      </c>
      <c r="BR9" s="158" t="str">
        <f t="shared" si="21"/>
        <v>[Link](http://www.therealpresence.org/eucharst/misc/BVM/109_LAJAS_96x96.pdf)</v>
      </c>
      <c r="BS9" s="158" t="str">
        <f t="shared" si="22"/>
        <v>[Link](http://www.miraclehunter.com/marian_apparitions/approved_apparitions/guaitara/index.html)</v>
      </c>
      <c r="BT9" s="158" t="str">
        <f t="shared" si="23"/>
        <v/>
      </c>
      <c r="BU9" s="158" t="str">
        <f>IF(LEN(concat(BR9:BT9))&gt;0,concat("| ",BR9," | ",BS9," | ",BT9," |"),"")</f>
        <v>| [Link](http://www.therealpresence.org/eucharst/misc/BVM/109_LAJAS_96x96.pdf) | [Link](http://www.miraclehunter.com/marian_apparitions/approved_apparitions/guaitara/index.html) |  |</v>
      </c>
      <c r="BV9" s="155" t="str">
        <f t="shared" si="24"/>
        <v xml:space="preserve">| The Real Presence | Miracle Hunter | MaryPages |_x000D_
| --- | --- | --- |_x000D_
| [Link](http://www.therealpresence.org/eucharst/misc/BVM/109_LAJAS_96x96.pdf) | [Link](http://www.miraclehunter.com/marian_apparitions/approved_apparitions/guaitara/index.html) |  |_x000D_
</v>
      </c>
      <c r="BW9" s="155"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55"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55" t="s">
        <v>335</v>
      </c>
      <c r="BZ9" s="155" t="s">
        <v>335</v>
      </c>
      <c r="CA9" s="23" t="str">
        <f>IF(AS9,concatll(concatl("---",AT9:AV9,BL9,"---"),M9,BW9:BX9),"")</f>
        <v xml:space="preserve">---_x000D_
title: "National Shrine Basilica of Our Lady of Las Lajas"_x000D_
location: {lat: 0.805324865882345, lng: -77.5859226762825}_x000D_
interest: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23" t="str">
        <f>IF(AS9,"places\"&amp;VLOOKUP(C9,'(Ref) Countries'!A:B,2,)&amp;IF(LEN(D9)&gt;1,"-"&amp;LOWER(SUBSTITUTE(D9," ","-")),"")&amp;"-"&amp;LOWER(SUBSTITUTE(SUBSTITUTE(H9," ","-"),".",""))&amp;".md","")</f>
        <v>places\co-basilica-of-our-lady-of-las-lajas.md</v>
      </c>
      <c r="CC9" s="29" t="str">
        <f>IF(LEN(Z9)&gt;1,VLOOKUP(Z9,'Tag List'!$A:$B,2,),"")</f>
        <v/>
      </c>
      <c r="CD9" s="29" t="str">
        <f>IF(LEN(AA9)&gt;1,VLOOKUP(AA9,'Tag List'!$A:$B,2,),"")</f>
        <v/>
      </c>
      <c r="CE9" s="29" t="str">
        <f>IF(LEN(AB9)&gt;1,VLOOKUP(AB9,'Tag List'!$A:$B,2,),"")</f>
        <v/>
      </c>
      <c r="CF9" s="30" t="str">
        <f>IF(LEN(Z9)&gt;1,GetTagPage(CC9,Z9),"")</f>
        <v/>
      </c>
      <c r="CG9" s="30" t="str">
        <f>IF(LEN(AA9)&gt;1,GetTagPage(CD9,AA9),"")</f>
        <v/>
      </c>
      <c r="CH9" s="30" t="str">
        <f>IF(LEN(AB9)&gt;1,GetTagPage(CE9,AB9),"")</f>
        <v/>
      </c>
      <c r="CI9" s="30" t="str">
        <f t="shared" si="25"/>
        <v xml:space="preserve">| </v>
      </c>
      <c r="CJ9" s="30" t="str">
        <f t="shared" si="26"/>
        <v xml:space="preserve">| [Las Lajas](/places/places\co-basilica-of-our-lady-of-las-lajas) </v>
      </c>
      <c r="CK9" s="30" t="str">
        <f>"| "&amp;IF(AS9,GetTagPage(C9,VLOOKUP(C9,'(Ref) Countries'!A:C,3,)),C9)&amp; " "</f>
        <v xml:space="preserve">| [Colombia](/tags/colombia) </v>
      </c>
      <c r="CL9" s="30" t="str">
        <f t="shared" si="27"/>
        <v xml:space="preserve">| 1754 </v>
      </c>
      <c r="CM9" s="30" t="str">
        <f t="shared" si="28"/>
        <v xml:space="preserve">| [Link](/places/places\co-basilica-of-our-lady-of-las-lajas) </v>
      </c>
      <c r="CN9" s="29" t="str">
        <f t="shared" si="29"/>
        <v xml:space="preserve">
| [Las Lajas](/places/places\co-basilica-of-our-lady-of-las-lajas) | [Colombia](/tags/colombia) | 1754 | [Link](/places/places\co-basilica-of-our-lady-of-las-lajas) [Official site](https://www.laslajas.org/)[Link](http://www.therealpresence.org/eucharst/misc/BVM/109_LAJAS_96x96.pdf)[Link](http://www.miraclehunter.com/marian_apparitions/approved_apparitions/guaitara/index.html)| |</v>
      </c>
    </row>
    <row r="10" spans="1:92" ht="76.5" x14ac:dyDescent="0.25">
      <c r="A10" s="167" t="s">
        <v>1317</v>
      </c>
      <c r="B10" s="24" t="s">
        <v>2481</v>
      </c>
      <c r="C10" s="24" t="s">
        <v>539</v>
      </c>
      <c r="E10" s="15">
        <v>50.980685700000002</v>
      </c>
      <c r="F10" s="49">
        <v>14.597349899999999</v>
      </c>
      <c r="G10" s="24" t="s">
        <v>366</v>
      </c>
      <c r="H10" s="53" t="s">
        <v>366</v>
      </c>
      <c r="I10" s="24" t="s">
        <v>1711</v>
      </c>
      <c r="J10" s="40" t="b">
        <v>1</v>
      </c>
      <c r="K10" s="24" t="b">
        <v>1</v>
      </c>
      <c r="M10" s="24" t="s">
        <v>363</v>
      </c>
      <c r="N10" s="177" t="s">
        <v>2495</v>
      </c>
      <c r="O10" s="15" t="s">
        <v>365</v>
      </c>
      <c r="P10" s="48"/>
      <c r="Q10" s="82" t="s">
        <v>1796</v>
      </c>
      <c r="R10" s="15" t="s">
        <v>1792</v>
      </c>
      <c r="Z10" s="16" t="s">
        <v>335</v>
      </c>
      <c r="AA10" s="16"/>
      <c r="AB10" s="16"/>
      <c r="AC10" s="16"/>
      <c r="AD10" s="16"/>
      <c r="AE10" s="16"/>
      <c r="AF10" s="16"/>
      <c r="AG10" s="16"/>
      <c r="AH10" s="16"/>
      <c r="AI10" s="16"/>
      <c r="AJ10" s="85" t="s">
        <v>992</v>
      </c>
      <c r="AK10" s="86">
        <v>1866</v>
      </c>
      <c r="AL10" s="15" t="s">
        <v>294</v>
      </c>
      <c r="AM10" s="15" t="s">
        <v>335</v>
      </c>
      <c r="AN10" s="15" t="s">
        <v>364</v>
      </c>
      <c r="AO10" s="15" t="s">
        <v>335</v>
      </c>
      <c r="AP10" s="15" t="s">
        <v>335</v>
      </c>
      <c r="AQ10" s="49" t="s">
        <v>335</v>
      </c>
      <c r="AS10" s="154" t="b">
        <f t="shared" si="1"/>
        <v>1</v>
      </c>
      <c r="AT10" s="155" t="str">
        <f t="shared" si="2"/>
        <v>title: "Basilica of Our Lady Help of Christians"</v>
      </c>
      <c r="AU10" s="155" t="str">
        <f t="shared" si="3"/>
        <v>location: {lat: 50.9806857, lng: 14.5973499}</v>
      </c>
      <c r="AV10" s="155" t="str">
        <f t="shared" si="4"/>
        <v>interest: global</v>
      </c>
      <c r="AW10" s="155" t="str">
        <f>"- "&amp;VLOOKUP(C10,'(Ref) Countries'!A:C,3,)</f>
        <v>- czechia</v>
      </c>
      <c r="AX10" s="155" t="str">
        <f t="shared" si="5"/>
        <v/>
      </c>
      <c r="AY10" s="155" t="str">
        <f t="shared" si="6"/>
        <v>- churches</v>
      </c>
      <c r="AZ10" s="155" t="str">
        <f t="shared" si="7"/>
        <v>- marian-sites</v>
      </c>
      <c r="BA10" s="155" t="str">
        <f t="shared" si="8"/>
        <v/>
      </c>
      <c r="BB10" s="155" t="str">
        <f t="shared" si="9"/>
        <v/>
      </c>
      <c r="BC10" s="155" t="str">
        <f t="shared" si="10"/>
        <v/>
      </c>
      <c r="BD10" s="155" t="str">
        <f t="shared" si="11"/>
        <v/>
      </c>
      <c r="BE10" s="155" t="str">
        <f t="shared" si="12"/>
        <v/>
      </c>
      <c r="BF10" s="155" t="str">
        <f t="shared" si="13"/>
        <v/>
      </c>
      <c r="BG10" s="155" t="str">
        <f t="shared" si="14"/>
        <v/>
      </c>
      <c r="BH10" s="155" t="str">
        <f t="shared" si="15"/>
        <v/>
      </c>
      <c r="BI10" s="155" t="str">
        <f t="shared" si="16"/>
        <v/>
      </c>
      <c r="BJ10" s="155" t="str">
        <f t="shared" si="17"/>
        <v/>
      </c>
      <c r="BK10" s="155" t="str">
        <f t="shared" si="18"/>
        <v/>
      </c>
      <c r="BL10" s="155" t="str">
        <f t="shared" si="19"/>
        <v xml:space="preserve">tags:
- czechia_x000D_
- churches_x000D_
- marian-sites_x000D_
</v>
      </c>
      <c r="BM10" s="158" t="str">
        <f t="shared" si="30"/>
        <v>[Official site](http://cz.poutni-mista-sluknovsko.cz/bazilika-minor-panny-marie-pomocnice-krestanu-filipov.html)</v>
      </c>
      <c r="BN10" s="158" t="str">
        <f t="shared" si="31"/>
        <v>[Official Facebook page](https://www.facebook.com/poutnimistofilipov)</v>
      </c>
      <c r="BO10" s="158" t="str">
        <f t="shared" si="32"/>
        <v/>
      </c>
      <c r="BP10" s="158" t="str">
        <f t="shared" si="33"/>
        <v/>
      </c>
      <c r="BQ10" s="158" t="str">
        <f t="shared" si="20"/>
        <v xml:space="preserve">* [Official site](http://cz.poutni-mista-sluknovsko.cz/bazilika-minor-panny-marie-pomocnice-krestanu-filipov.html)
* [Official Facebook page](https://www.facebook.com/poutnimistofilipov)
</v>
      </c>
      <c r="BR10" s="158" t="str">
        <f t="shared" si="21"/>
        <v>[Link](http://www.therealpresence.org/eucharst/misc/BVM/89_FILIPOV_96x96.pdf)</v>
      </c>
      <c r="BS10" s="158" t="str">
        <f t="shared" si="22"/>
        <v>[Link](https://www.miraclehunter.com/marian_apparitions/approved_apparitions/filippsdorf/index.html)</v>
      </c>
      <c r="BT10" s="158" t="str">
        <f t="shared" si="23"/>
        <v/>
      </c>
      <c r="BU10" s="158" t="str">
        <f>IF(LEN(concat(BR10:BT10))&gt;0,concat("| ",BR10," | ",BS10," | ",BT10," |"),"")</f>
        <v>| [Link](http://www.therealpresence.org/eucharst/misc/BVM/89_FILIPOV_96x96.pdf) | [Link](https://www.miraclehunter.com/marian_apparitions/approved_apparitions/filippsdorf/index.html) |  |</v>
      </c>
      <c r="BV10" s="155" t="str">
        <f t="shared" si="24"/>
        <v xml:space="preserve">| The Real Presence | Miracle Hunter | MaryPages |_x000D_
| --- | --- | --- |_x000D_
| [Link](http://www.therealpresence.org/eucharst/misc/BVM/89_FILIPOV_96x96.pdf) | [Link](https://www.miraclehunter.com/marian_apparitions/approved_apparitions/filippsdorf/index.html) |  |_x000D_
</v>
      </c>
      <c r="BW10" s="155"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55"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55" t="s">
        <v>335</v>
      </c>
      <c r="BZ10" s="155" t="s">
        <v>335</v>
      </c>
      <c r="CA10" s="23" t="str">
        <f>IF(AS10,concatll(concatl("---",AT10:AV10,BL10,"---"),M10,BW10:BX10),"")</f>
        <v xml:space="preserve">---_x000D_
title: "Basilica of Our Lady Help of Christians"_x000D_
location: {lat: 50.9806857, lng: 14.5973499}_x000D_
interest: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23" t="str">
        <f>IF(AS10,"places\"&amp;VLOOKUP(C10,'(Ref) Countries'!A:B,2,)&amp;IF(LEN(D10)&gt;1,"-"&amp;LOWER(SUBSTITUTE(D10," ","-")),"")&amp;"-"&amp;LOWER(SUBSTITUTE(SUBSTITUTE(H10," ","-"),".",""))&amp;".md","")</f>
        <v>places\cz-basilica-of-our-lady-help-of-christians.md</v>
      </c>
      <c r="CC10" s="30" t="str">
        <f>IF(LEN(Z10)&gt;1,VLOOKUP(Z10,'Tag List'!$A:$B,2,),"")</f>
        <v/>
      </c>
      <c r="CD10" s="30" t="str">
        <f>IF(LEN(AA10)&gt;1,VLOOKUP(AA10,'Tag List'!$A:$B,2,),"")</f>
        <v/>
      </c>
      <c r="CE10" s="30" t="str">
        <f>IF(LEN(AB10)&gt;1,VLOOKUP(AB10,'Tag List'!$A:$B,2,),"")</f>
        <v/>
      </c>
      <c r="CF10" s="30" t="str">
        <f>IF(LEN(Z10)&gt;1,GetTagPage(CC10,Z10),"")</f>
        <v/>
      </c>
      <c r="CG10" s="30" t="str">
        <f>IF(LEN(AA10)&gt;1,GetTagPage(CD10,AA10),"")</f>
        <v/>
      </c>
      <c r="CH10" s="30" t="str">
        <f>IF(LEN(AB10)&gt;1,GetTagPage(CE10,AB10),"")</f>
        <v/>
      </c>
      <c r="CI10" s="30" t="str">
        <f t="shared" si="25"/>
        <v xml:space="preserve">| </v>
      </c>
      <c r="CJ10" s="30" t="str">
        <f t="shared" si="26"/>
        <v xml:space="preserve">| [Filipov](/places/places\cz-basilica-of-our-lady-help-of-christians) </v>
      </c>
      <c r="CK10" s="30" t="str">
        <f>"| "&amp;IF(AS10,GetTagPage(C10,VLOOKUP(C10,'(Ref) Countries'!A:C,3,)),C10)&amp; " "</f>
        <v xml:space="preserve">| [Czechia](/tags/czechia) </v>
      </c>
      <c r="CL10" s="30" t="str">
        <f t="shared" si="27"/>
        <v xml:space="preserve">| 1866 </v>
      </c>
      <c r="CM10" s="30" t="str">
        <f t="shared" si="28"/>
        <v xml:space="preserve">| [Link](/places/places\cz-basilica-of-our-lady-help-of-christians) </v>
      </c>
      <c r="CN10" s="29" t="str">
        <f t="shared" si="29"/>
        <v xml:space="preserve">
| [Filipov](/places/places\cz-basilica-of-our-lady-help-of-christians) | [Czechia](/tags/czechia)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2" ht="127.5" x14ac:dyDescent="0.25">
      <c r="A11" s="167" t="s">
        <v>1317</v>
      </c>
      <c r="B11" s="24" t="s">
        <v>2481</v>
      </c>
      <c r="C11" s="24" t="s">
        <v>21</v>
      </c>
      <c r="E11" s="15">
        <v>30.104622926940898</v>
      </c>
      <c r="F11" s="49">
        <v>31.315544743810101</v>
      </c>
      <c r="G11" s="24" t="s">
        <v>1010</v>
      </c>
      <c r="H11" s="53" t="s">
        <v>1009</v>
      </c>
      <c r="I11" s="24" t="s">
        <v>1711</v>
      </c>
      <c r="J11" s="40" t="b">
        <v>1</v>
      </c>
      <c r="K11" s="24" t="b">
        <v>1</v>
      </c>
      <c r="M11" s="24" t="s">
        <v>1011</v>
      </c>
      <c r="N11" s="177" t="s">
        <v>2496</v>
      </c>
      <c r="O11" s="15" t="s">
        <v>1014</v>
      </c>
      <c r="P11" s="15" t="s">
        <v>335</v>
      </c>
      <c r="Z11" s="15" t="s">
        <v>1015</v>
      </c>
      <c r="AJ11" s="85" t="s">
        <v>1025</v>
      </c>
      <c r="AK11" s="86" t="s">
        <v>1008</v>
      </c>
      <c r="AL11" s="15" t="s">
        <v>325</v>
      </c>
      <c r="AM11" s="15" t="s">
        <v>335</v>
      </c>
      <c r="AN11" s="15" t="s">
        <v>1012</v>
      </c>
      <c r="AO11" s="15" t="s">
        <v>335</v>
      </c>
      <c r="AP11" s="15" t="s">
        <v>1013</v>
      </c>
      <c r="AQ11" s="49" t="s">
        <v>335</v>
      </c>
      <c r="AS11" s="154" t="b">
        <f t="shared" si="1"/>
        <v>1</v>
      </c>
      <c r="AT11" s="155" t="str">
        <f t="shared" si="2"/>
        <v>title: "Virgin Mary Church in Zeitoun (Our Lady of Zeitoun, Our Lady of Light)"</v>
      </c>
      <c r="AU11" s="155" t="str">
        <f t="shared" si="3"/>
        <v>location: {lat: 30.1046229269409, lng: 31.3155447438101}</v>
      </c>
      <c r="AV11" s="155" t="str">
        <f t="shared" si="4"/>
        <v>interest: global</v>
      </c>
      <c r="AW11" s="155" t="str">
        <f>"- "&amp;VLOOKUP(C11,'(Ref) Countries'!A:C,3,)</f>
        <v>- egypt</v>
      </c>
      <c r="AX11" s="155" t="str">
        <f t="shared" si="5"/>
        <v/>
      </c>
      <c r="AY11" s="155" t="str">
        <f t="shared" si="6"/>
        <v>- churches</v>
      </c>
      <c r="AZ11" s="155" t="str">
        <f t="shared" si="7"/>
        <v>- marian-sites</v>
      </c>
      <c r="BA11" s="155" t="str">
        <f t="shared" si="8"/>
        <v/>
      </c>
      <c r="BB11" s="155" t="str">
        <f t="shared" si="9"/>
        <v>- coptic</v>
      </c>
      <c r="BC11" s="155" t="str">
        <f t="shared" si="10"/>
        <v/>
      </c>
      <c r="BD11" s="155" t="str">
        <f t="shared" si="11"/>
        <v/>
      </c>
      <c r="BE11" s="155" t="str">
        <f t="shared" si="12"/>
        <v/>
      </c>
      <c r="BF11" s="155" t="str">
        <f t="shared" si="13"/>
        <v/>
      </c>
      <c r="BG11" s="155" t="str">
        <f t="shared" si="14"/>
        <v/>
      </c>
      <c r="BH11" s="155" t="str">
        <f t="shared" si="15"/>
        <v/>
      </c>
      <c r="BI11" s="155" t="str">
        <f t="shared" si="16"/>
        <v/>
      </c>
      <c r="BJ11" s="155" t="str">
        <f t="shared" si="17"/>
        <v/>
      </c>
      <c r="BK11" s="155" t="str">
        <f t="shared" si="18"/>
        <v/>
      </c>
      <c r="BL11" s="155" t="str">
        <f t="shared" si="19"/>
        <v xml:space="preserve">tags:
- egypt_x000D_
- churches_x000D_
- marian-sites_x000D_
- coptic_x000D_
</v>
      </c>
      <c r="BM11" s="158" t="str">
        <f t="shared" si="30"/>
        <v>[Official site](https://www.stmaryztn.org/saintmary/en/)</v>
      </c>
      <c r="BN11" s="158" t="str">
        <f t="shared" si="31"/>
        <v/>
      </c>
      <c r="BO11" s="158" t="str">
        <f t="shared" si="32"/>
        <v/>
      </c>
      <c r="BP11" s="158" t="str">
        <f t="shared" si="33"/>
        <v/>
      </c>
      <c r="BQ11" s="158" t="str">
        <f t="shared" si="20"/>
        <v xml:space="preserve">* [Official site](https://www.stmaryztn.org/saintmary/en/)
</v>
      </c>
      <c r="BR11" s="158" t="str">
        <f t="shared" si="21"/>
        <v>[Link](http://www.therealpresence.org/eucharst/misc/BVM/144_ZEITUN_96x96.pdf)</v>
      </c>
      <c r="BS11" s="158" t="str">
        <f t="shared" si="22"/>
        <v>[Link](https://www.miraclehunter.com/marian_apparitions/approved_apparitions/zeitun/index.html)</v>
      </c>
      <c r="BT11" s="158" t="str">
        <f t="shared" si="23"/>
        <v>[Link](https://www.marypages.com/zeitoen-ca%C3%AFro-(egypt)-en.html)</v>
      </c>
      <c r="BU11" s="158" t="str">
        <f>IF(LEN(concat(BR11:BT11))&gt;0,concat("| ",BR11," | ",BS11," | ",BT11," |"),"")</f>
        <v>| [Link](http://www.therealpresence.org/eucharst/misc/BVM/144_ZEITUN_96x96.pdf) | [Link](https://www.miraclehunter.com/marian_apparitions/approved_apparitions/zeitun/index.html) | [Link](https://www.marypages.com/zeitoen-ca%C3%AFro-(egypt)-en.html) |</v>
      </c>
      <c r="BV11" s="155" t="str">
        <f t="shared" si="24"/>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55"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55" t="str">
        <f>IF(LEN(N11)&gt;1,concatll("#### Author's Note",N11,"-"&amp;B11),"")</f>
        <v xml:space="preserve">#### Author's Note_x000D_
_x000D_
You can read the statement issued by the Papal Residence in Cairo [here](https://www.stmaryztn.org/saintmary/en/apparition-story/papal-statment)._x000D_
_x000D_
-JMM_x000D_
_x000D_
</v>
      </c>
      <c r="BY11" s="155" t="s">
        <v>335</v>
      </c>
      <c r="BZ11" s="155" t="s">
        <v>335</v>
      </c>
      <c r="CA11" s="23" t="str">
        <f>IF(AS11,concatll(concatl("---",AT11:AV11,BL11,"---"),M11,BW11:BX11),"")</f>
        <v xml:space="preserve">---_x000D_
title: "Virgin Mary Church in Zeitoun (Our Lady of Zeitoun, Our Lady of Light)"_x000D_
location: {lat: 30.1046229269409, lng: 31.3155447438101}_x000D_
interest: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23" t="str">
        <f>IF(AS11,"places\"&amp;VLOOKUP(C11,'(Ref) Countries'!A:B,2,)&amp;IF(LEN(D11)&gt;1,"-"&amp;LOWER(SUBSTITUTE(D11," ","-")),"")&amp;"-"&amp;LOWER(SUBSTITUTE(SUBSTITUTE(H11," ","-"),".",""))&amp;".md","")</f>
        <v>places\eg-virgin-mary-church-in-zeitoun.md</v>
      </c>
      <c r="CC11" s="29" t="str">
        <f>IF(LEN(Z11)&gt;1,VLOOKUP(Z11,'Tag List'!$A:$B,2,),"")</f>
        <v>Coptic Church</v>
      </c>
      <c r="CD11" s="29" t="str">
        <f>IF(LEN(AA11)&gt;1,VLOOKUP(AA11,'Tag List'!$A:$B,2,),"")</f>
        <v/>
      </c>
      <c r="CE11" s="29" t="str">
        <f>IF(LEN(AB11)&gt;1,VLOOKUP(AB11,'Tag List'!$A:$B,2,),"")</f>
        <v/>
      </c>
      <c r="CF11" s="30" t="str">
        <f>IF(LEN(Z11)&gt;1,GetTagPage(CC11,Z11),"")</f>
        <v>[Coptic Church](/tags/coptic)</v>
      </c>
      <c r="CG11" s="30" t="str">
        <f>IF(LEN(AA11)&gt;1,GetTagPage(CD11,AA11),"")</f>
        <v/>
      </c>
      <c r="CH11" s="30" t="str">
        <f>IF(LEN(AB11)&gt;1,GetTagPage(CE11,AB11),"")</f>
        <v/>
      </c>
      <c r="CI11" s="30" t="str">
        <f t="shared" si="25"/>
        <v xml:space="preserve">| [Coptic Church](/tags/coptic) </v>
      </c>
      <c r="CJ11" s="30" t="str">
        <f t="shared" si="26"/>
        <v xml:space="preserve">| [Zeitoun](/places/places\eg-virgin-mary-church-in-zeitoun) </v>
      </c>
      <c r="CK11" s="30" t="str">
        <f>"| "&amp;IF(AS11,GetTagPage(C11,VLOOKUP(C11,'(Ref) Countries'!A:C,3,)),C11)&amp; " "</f>
        <v xml:space="preserve">| [Egypt](/tags/egypt) </v>
      </c>
      <c r="CL11" s="30" t="str">
        <f t="shared" si="27"/>
        <v xml:space="preserve">| 1968-1970 </v>
      </c>
      <c r="CM11" s="30" t="str">
        <f t="shared" si="28"/>
        <v xml:space="preserve">| [Link](/places/places\eg-virgin-mary-church-in-zeitoun) </v>
      </c>
      <c r="CN11" s="29" t="str">
        <f t="shared" si="29"/>
        <v xml:space="preserve">
| [Zeitoun](/places/places\eg-virgin-mary-church-in-zeitoun) | [Egypt](/tags/egypt) | 1968-1970 | [Link](/places/places\eg-virgin-mary-church-in-zeitoun)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12" spans="1:92" ht="51" x14ac:dyDescent="0.25">
      <c r="A12" s="167" t="s">
        <v>1317</v>
      </c>
      <c r="B12" s="24" t="s">
        <v>2481</v>
      </c>
      <c r="C12" s="24" t="s">
        <v>555</v>
      </c>
      <c r="D12" s="36"/>
      <c r="E12" s="15">
        <v>45.045629644626899</v>
      </c>
      <c r="F12" s="49">
        <v>3.8846338389333201</v>
      </c>
      <c r="G12" s="24" t="s">
        <v>1336</v>
      </c>
      <c r="H12" s="53" t="s">
        <v>1336</v>
      </c>
      <c r="I12" s="24" t="s">
        <v>1711</v>
      </c>
      <c r="J12" s="40" t="b">
        <v>1</v>
      </c>
      <c r="K12" s="36" t="b">
        <v>1</v>
      </c>
      <c r="L12" s="36"/>
      <c r="M12" s="24" t="s">
        <v>336</v>
      </c>
      <c r="O12" s="16" t="s">
        <v>1337</v>
      </c>
      <c r="P12" s="16" t="s">
        <v>335</v>
      </c>
      <c r="Q12" s="59"/>
      <c r="R12" s="16"/>
      <c r="S12" s="63"/>
      <c r="T12" s="59"/>
      <c r="U12" s="16"/>
      <c r="V12" s="63"/>
      <c r="W12" s="16"/>
      <c r="X12" s="16"/>
      <c r="Y12" s="50"/>
      <c r="Z12" s="91" t="s">
        <v>2085</v>
      </c>
      <c r="AJ12" s="85" t="s">
        <v>1177</v>
      </c>
      <c r="AK12" s="86">
        <v>47</v>
      </c>
      <c r="AL12" s="15" t="s">
        <v>179</v>
      </c>
      <c r="AM12" s="15" t="s">
        <v>335</v>
      </c>
      <c r="AN12" s="16" t="s">
        <v>95</v>
      </c>
      <c r="AO12" s="16" t="s">
        <v>335</v>
      </c>
      <c r="AP12" s="16" t="s">
        <v>335</v>
      </c>
      <c r="AQ12" s="50" t="s">
        <v>335</v>
      </c>
      <c r="AS12" s="154" t="b">
        <f t="shared" si="1"/>
        <v>1</v>
      </c>
      <c r="AT12" s="155" t="str">
        <f t="shared" si="2"/>
        <v>title: "Cathedral of Our Lady of Puy"</v>
      </c>
      <c r="AU12" s="155" t="str">
        <f t="shared" si="3"/>
        <v>location: {lat: 45.0456296446269, lng: 3.88463383893332}</v>
      </c>
      <c r="AV12" s="155" t="str">
        <f t="shared" si="4"/>
        <v>interest: global</v>
      </c>
      <c r="AW12" s="155" t="str">
        <f>"- "&amp;VLOOKUP(C12,'(Ref) Countries'!A:C,3,)</f>
        <v>- france</v>
      </c>
      <c r="AX12" s="155" t="str">
        <f t="shared" si="5"/>
        <v/>
      </c>
      <c r="AY12" s="155" t="str">
        <f t="shared" si="6"/>
        <v>- churches</v>
      </c>
      <c r="AZ12" s="155" t="str">
        <f t="shared" si="7"/>
        <v>- marian-sites</v>
      </c>
      <c r="BA12" s="155" t="str">
        <f t="shared" si="8"/>
        <v/>
      </c>
      <c r="BB12" s="155" t="str">
        <f t="shared" si="9"/>
        <v>- camino</v>
      </c>
      <c r="BC12" s="155" t="str">
        <f t="shared" si="10"/>
        <v/>
      </c>
      <c r="BD12" s="155" t="str">
        <f t="shared" si="11"/>
        <v/>
      </c>
      <c r="BE12" s="155" t="str">
        <f t="shared" si="12"/>
        <v/>
      </c>
      <c r="BF12" s="155" t="str">
        <f t="shared" si="13"/>
        <v/>
      </c>
      <c r="BG12" s="155" t="str">
        <f t="shared" si="14"/>
        <v/>
      </c>
      <c r="BH12" s="155" t="str">
        <f t="shared" si="15"/>
        <v/>
      </c>
      <c r="BI12" s="155" t="str">
        <f t="shared" si="16"/>
        <v/>
      </c>
      <c r="BJ12" s="155" t="str">
        <f t="shared" si="17"/>
        <v/>
      </c>
      <c r="BK12" s="155" t="str">
        <f t="shared" si="18"/>
        <v/>
      </c>
      <c r="BL12" s="155" t="str">
        <f t="shared" si="19"/>
        <v xml:space="preserve">tags:
- france_x000D_
- churches_x000D_
- marian-sites_x000D_
- camino_x000D_
</v>
      </c>
      <c r="BM12" s="158" t="str">
        <f t="shared" si="30"/>
        <v>[Official site](https://www.cathedraledupuy.org/)</v>
      </c>
      <c r="BN12" s="158" t="str">
        <f t="shared" si="31"/>
        <v/>
      </c>
      <c r="BO12" s="158" t="str">
        <f t="shared" si="32"/>
        <v/>
      </c>
      <c r="BP12" s="158" t="str">
        <f t="shared" si="33"/>
        <v/>
      </c>
      <c r="BQ12" s="158" t="str">
        <f t="shared" si="20"/>
        <v xml:space="preserve">* [Official site](https://www.cathedraledupuy.org/)
</v>
      </c>
      <c r="BR12" s="158" t="str">
        <f t="shared" si="21"/>
        <v>[Link](http://www.therealpresence.org/eucharst/misc/BVM/68_LE_PUY_60x96.pdf)</v>
      </c>
      <c r="BS12" s="158" t="str">
        <f t="shared" si="22"/>
        <v>[Link](https://www.miraclehunter.com/marian_apparitions/approved_apparitions/lepuy/index.html)</v>
      </c>
      <c r="BT12" s="158" t="str">
        <f t="shared" si="23"/>
        <v/>
      </c>
      <c r="BU12" s="158" t="str">
        <f>IF(LEN(concat(BR12:BT12))&gt;0,concat("| ",BR12," | ",BS12," | ",BT12," |"),"")</f>
        <v>| [Link](http://www.therealpresence.org/eucharst/misc/BVM/68_LE_PUY_60x96.pdf) | [Link](https://www.miraclehunter.com/marian_apparitions/approved_apparitions/lepuy/index.html) |  |</v>
      </c>
      <c r="BV12" s="155" t="str">
        <f t="shared" si="24"/>
        <v xml:space="preserve">| The Real Presence | Miracle Hunter | MaryPages |_x000D_
| --- | --- | --- |_x000D_
| [Link](http://www.therealpresence.org/eucharst/misc/BVM/68_LE_PUY_60x96.pdf) | [Link](https://www.miraclehunter.com/marian_apparitions/approved_apparitions/lepuy/index.html) |  |_x000D_
</v>
      </c>
      <c r="BW12" s="155"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55" t="str">
        <f>IF(LEN(N12)&gt;1,concatll("#### Author's Note",N12,"-"&amp;B12),"")</f>
        <v/>
      </c>
      <c r="BY12" s="155" t="s">
        <v>335</v>
      </c>
      <c r="BZ12" s="155" t="s">
        <v>335</v>
      </c>
      <c r="CA12" s="23" t="str">
        <f>IF(AS12,concatll(concatl("---",AT12:AV12,BL12,"---"),M12,BW12:BX12),"")</f>
        <v xml:space="preserve">---_x000D_
title: "Cathedral of Our Lady of Puy"_x000D_
location: {lat: 45.0456296446269, lng: 3.88463383893332}_x000D_
interest: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23" t="str">
        <f>IF(AS12,"places\"&amp;VLOOKUP(C12,'(Ref) Countries'!A:B,2,)&amp;IF(LEN(D12)&gt;1,"-"&amp;LOWER(SUBSTITUTE(D12," ","-")),"")&amp;"-"&amp;LOWER(SUBSTITUTE(SUBSTITUTE(H12," ","-"),".",""))&amp;".md","")</f>
        <v>places\fr-cathedral-of-our-lady-of-puy.md</v>
      </c>
      <c r="CC12" s="29" t="str">
        <f>IF(LEN(Z12)&gt;1,VLOOKUP(Z12,'Tag List'!$A:$B,2,),"")</f>
        <v>Camino de Santiago</v>
      </c>
      <c r="CD12" s="29" t="str">
        <f>IF(LEN(AA12)&gt;1,VLOOKUP(AA12,'Tag List'!$A:$B,2,),"")</f>
        <v/>
      </c>
      <c r="CE12" s="29" t="str">
        <f>IF(LEN(AB12)&gt;1,VLOOKUP(AB12,'Tag List'!$A:$B,2,),"")</f>
        <v/>
      </c>
      <c r="CF12" s="30" t="str">
        <f>IF(LEN(Z12)&gt;1,GetTagPage(CC12,Z12),"")</f>
        <v>[Camino de Santiago](/tags/camino)</v>
      </c>
      <c r="CG12" s="30" t="str">
        <f>IF(LEN(AA12)&gt;1,GetTagPage(CD12,AA12),"")</f>
        <v/>
      </c>
      <c r="CH12" s="30" t="str">
        <f>IF(LEN(AB12)&gt;1,GetTagPage(CE12,AB12),"")</f>
        <v/>
      </c>
      <c r="CI12" s="30" t="str">
        <f t="shared" si="25"/>
        <v xml:space="preserve">| [Camino de Santiago](/tags/camino) </v>
      </c>
      <c r="CJ12" s="30" t="str">
        <f t="shared" si="26"/>
        <v xml:space="preserve">| [Le Puy En Velay](/places/places\fr-cathedral-of-our-lady-of-puy) </v>
      </c>
      <c r="CK12" s="30" t="str">
        <f>"| "&amp;IF(AS12,GetTagPage(C12,VLOOKUP(C12,'(Ref) Countries'!A:C,3,)),C12)&amp; " "</f>
        <v xml:space="preserve">| [France](/tags/france) </v>
      </c>
      <c r="CL12" s="30" t="str">
        <f t="shared" si="27"/>
        <v xml:space="preserve">| 47 </v>
      </c>
      <c r="CM12" s="30" t="str">
        <f t="shared" si="28"/>
        <v xml:space="preserve">| [Link](/places/places\fr-cathedral-of-our-lady-of-puy) </v>
      </c>
      <c r="CN12" s="29" t="str">
        <f t="shared" si="29"/>
        <v xml:space="preserve">
| [Le Puy En Velay](/places/places\fr-cathedral-of-our-lady-of-puy) | [France](/tags/france) | 47 | [Link](/places/places\fr-cathedral-of-our-lady-of-puy) [Official site](https://www.cathedraledupuy.org/)[Link](http://www.therealpresence.org/eucharst/misc/BVM/68_LE_PUY_60x96.pdf)[Link](https://www.miraclehunter.com/marian_apparitions/approved_apparitions/lepuy/index.html)| [Camino de Santiago](/tags/camino) |</v>
      </c>
    </row>
    <row r="13" spans="1:92" ht="76.5" x14ac:dyDescent="0.25">
      <c r="A13" s="167" t="s">
        <v>1317</v>
      </c>
      <c r="B13" s="24" t="s">
        <v>2481</v>
      </c>
      <c r="C13" s="24" t="s">
        <v>555</v>
      </c>
      <c r="E13" s="15">
        <v>44.521201599999998</v>
      </c>
      <c r="F13" s="49">
        <v>6.1521160000000004</v>
      </c>
      <c r="G13" s="24" t="s">
        <v>1005</v>
      </c>
      <c r="H13" s="53" t="s">
        <v>1005</v>
      </c>
      <c r="I13" s="24" t="s">
        <v>1711</v>
      </c>
      <c r="J13" s="40" t="b">
        <v>1</v>
      </c>
      <c r="K13" s="24" t="b">
        <v>1</v>
      </c>
      <c r="L13" s="24" t="b">
        <v>1</v>
      </c>
      <c r="M13" s="24" t="s">
        <v>466</v>
      </c>
      <c r="N13" s="177" t="s">
        <v>2497</v>
      </c>
      <c r="O13" s="15" t="s">
        <v>417</v>
      </c>
      <c r="P13" s="15" t="s">
        <v>335</v>
      </c>
      <c r="Z13" s="36" t="s">
        <v>485</v>
      </c>
      <c r="AA13" s="36"/>
      <c r="AB13" s="36"/>
      <c r="AC13" s="36"/>
      <c r="AD13" s="36"/>
      <c r="AE13" s="36"/>
      <c r="AF13" s="36"/>
      <c r="AG13" s="36"/>
      <c r="AH13" s="36"/>
      <c r="AI13" s="36"/>
      <c r="AJ13" s="85" t="s">
        <v>1004</v>
      </c>
      <c r="AK13" s="86" t="s">
        <v>1007</v>
      </c>
      <c r="AL13" s="15" t="s">
        <v>271</v>
      </c>
      <c r="AM13" s="15" t="s">
        <v>335</v>
      </c>
      <c r="AN13" s="15" t="s">
        <v>467</v>
      </c>
      <c r="AO13" s="15" t="s">
        <v>335</v>
      </c>
      <c r="AP13" s="15" t="s">
        <v>468</v>
      </c>
      <c r="AQ13" s="49" t="s">
        <v>335</v>
      </c>
      <c r="AS13" s="154" t="b">
        <f t="shared" si="1"/>
        <v>1</v>
      </c>
      <c r="AT13" s="155" t="str">
        <f t="shared" si="2"/>
        <v>title: "Sanctuary of Our Lady of Laus"</v>
      </c>
      <c r="AU13" s="155" t="str">
        <f t="shared" si="3"/>
        <v>location: {lat: 44.5212016, lng: 6.152116}</v>
      </c>
      <c r="AV13" s="155" t="str">
        <f t="shared" si="4"/>
        <v>interest: global</v>
      </c>
      <c r="AW13" s="155" t="str">
        <f>"- "&amp;VLOOKUP(C13,'(Ref) Countries'!A:C,3,)</f>
        <v>- france</v>
      </c>
      <c r="AX13" s="155" t="str">
        <f t="shared" si="5"/>
        <v/>
      </c>
      <c r="AY13" s="155" t="str">
        <f t="shared" si="6"/>
        <v>- churches</v>
      </c>
      <c r="AZ13" s="155" t="str">
        <f t="shared" si="7"/>
        <v>- marian-sites</v>
      </c>
      <c r="BA13" s="155" t="str">
        <f t="shared" si="8"/>
        <v>- holy-persons</v>
      </c>
      <c r="BB13" s="155" t="str">
        <f t="shared" si="9"/>
        <v>- benoite-rencurel</v>
      </c>
      <c r="BC13" s="155" t="str">
        <f t="shared" si="10"/>
        <v/>
      </c>
      <c r="BD13" s="155" t="str">
        <f t="shared" si="11"/>
        <v/>
      </c>
      <c r="BE13" s="155" t="str">
        <f t="shared" si="12"/>
        <v/>
      </c>
      <c r="BF13" s="155" t="str">
        <f t="shared" si="13"/>
        <v/>
      </c>
      <c r="BG13" s="155" t="str">
        <f t="shared" si="14"/>
        <v/>
      </c>
      <c r="BH13" s="155" t="str">
        <f t="shared" si="15"/>
        <v/>
      </c>
      <c r="BI13" s="155" t="str">
        <f t="shared" si="16"/>
        <v/>
      </c>
      <c r="BJ13" s="155" t="str">
        <f t="shared" si="17"/>
        <v/>
      </c>
      <c r="BK13" s="155" t="str">
        <f t="shared" si="18"/>
        <v/>
      </c>
      <c r="BL13" s="155" t="str">
        <f t="shared" si="19"/>
        <v xml:space="preserve">tags:
- france_x000D_
- churches_x000D_
- marian-sites_x000D_
- holy-persons_x000D_
- benoite-rencurel_x000D_
</v>
      </c>
      <c r="BM13" s="158" t="str">
        <f t="shared" si="30"/>
        <v>[Official site](https://www.sanctuaire-notredamedulaus.com/)</v>
      </c>
      <c r="BN13" s="158" t="str">
        <f t="shared" si="31"/>
        <v/>
      </c>
      <c r="BO13" s="158" t="str">
        <f t="shared" si="32"/>
        <v/>
      </c>
      <c r="BP13" s="158" t="str">
        <f t="shared" si="33"/>
        <v/>
      </c>
      <c r="BQ13" s="158" t="str">
        <f t="shared" si="20"/>
        <v xml:space="preserve">* [Official site](https://www.sanctuaire-notredamedulaus.com/)
</v>
      </c>
      <c r="BR13" s="158" t="str">
        <f t="shared" si="21"/>
        <v>[Link](http://www.therealpresence.org/eucharst/misc/BVM/69_LAUS_140x96.pdf)</v>
      </c>
      <c r="BS13" s="158" t="str">
        <f t="shared" si="22"/>
        <v>[Link](https://www.miraclehunter.com/marian_apparitions/approved_apparitions/laus/index.html)</v>
      </c>
      <c r="BT13" s="158" t="str">
        <f t="shared" si="23"/>
        <v>[Link](https://www.marypages.com/laus-(france)-en.html)</v>
      </c>
      <c r="BU13" s="158" t="str">
        <f>IF(LEN(concat(BR13:BT13))&gt;0,concat("| ",BR13," | ",BS13," | ",BT13," |"),"")</f>
        <v>| [Link](http://www.therealpresence.org/eucharst/misc/BVM/69_LAUS_140x96.pdf) | [Link](https://www.miraclehunter.com/marian_apparitions/approved_apparitions/laus/index.html) | [Link](https://www.marypages.com/laus-(france)-en.html) |</v>
      </c>
      <c r="BV13" s="155" t="str">
        <f t="shared" si="24"/>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55"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55"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55" t="s">
        <v>335</v>
      </c>
      <c r="BZ13" s="155" t="s">
        <v>335</v>
      </c>
      <c r="CA13" s="23" t="str">
        <f>IF(AS13,concatll(concatl("---",AT13:AV13,BL13,"---"),M13,BW13:BX13),"")</f>
        <v xml:space="preserve">---_x000D_
title: "Sanctuary of Our Lady of Laus"_x000D_
location: {lat: 44.5212016, lng: 6.152116}_x000D_
interest: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23" t="str">
        <f>IF(AS13,"places\"&amp;VLOOKUP(C13,'(Ref) Countries'!A:B,2,)&amp;IF(LEN(D13)&gt;1,"-"&amp;LOWER(SUBSTITUTE(D13," ","-")),"")&amp;"-"&amp;LOWER(SUBSTITUTE(SUBSTITUTE(H13," ","-"),".",""))&amp;".md","")</f>
        <v>places\fr-sanctuary-of-our-lady-of-laus.md</v>
      </c>
      <c r="CC13" s="38" t="str">
        <f>IF(LEN(Z13)&gt;1,VLOOKUP(Z13,'Tag List'!$A:$B,2,),"")</f>
        <v>Ven. Benoite Rencurel</v>
      </c>
      <c r="CD13" s="38" t="str">
        <f>IF(LEN(AA13)&gt;1,VLOOKUP(AA13,'Tag List'!$A:$B,2,),"")</f>
        <v/>
      </c>
      <c r="CE13" s="38" t="str">
        <f>IF(LEN(AB13)&gt;1,VLOOKUP(AB13,'Tag List'!$A:$B,2,),"")</f>
        <v/>
      </c>
      <c r="CF13" s="30" t="str">
        <f>IF(LEN(Z13)&gt;1,GetTagPage(CC13,Z13),"")</f>
        <v>[Ven. Benoite Rencurel](/tags/benoite-rencurel)</v>
      </c>
      <c r="CG13" s="30" t="str">
        <f>IF(LEN(AA13)&gt;1,GetTagPage(CD13,AA13),"")</f>
        <v/>
      </c>
      <c r="CH13" s="30" t="str">
        <f>IF(LEN(AB13)&gt;1,GetTagPage(CE13,AB13),"")</f>
        <v/>
      </c>
      <c r="CI13" s="30" t="str">
        <f t="shared" si="25"/>
        <v xml:space="preserve">| [Ven. Benoite Rencurel](/tags/benoite-rencurel) </v>
      </c>
      <c r="CJ13" s="30" t="str">
        <f t="shared" si="26"/>
        <v xml:space="preserve">| [Laus](/places/places\fr-sanctuary-of-our-lady-of-laus) </v>
      </c>
      <c r="CK13" s="30" t="str">
        <f>"| "&amp;IF(AS13,GetTagPage(C13,VLOOKUP(C13,'(Ref) Countries'!A:C,3,)),C13)&amp; " "</f>
        <v xml:space="preserve">| [France](/tags/france) </v>
      </c>
      <c r="CL13" s="30" t="str">
        <f t="shared" si="27"/>
        <v xml:space="preserve">| 1664-1718 </v>
      </c>
      <c r="CM13" s="30" t="str">
        <f t="shared" si="28"/>
        <v xml:space="preserve">| [Link](/places/places\fr-sanctuary-of-our-lady-of-laus) </v>
      </c>
      <c r="CN13" s="29" t="str">
        <f t="shared" si="29"/>
        <v xml:space="preserve">
| [Laus](/places/places\fr-sanctuary-of-our-lady-of-laus) | [France](/tags/france) | 1664-1718 | [Link](/places/places\fr-sanctuary-of-our-lady-of-laus)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14" spans="1:92" ht="204" x14ac:dyDescent="0.25">
      <c r="A14" s="167" t="s">
        <v>1317</v>
      </c>
      <c r="B14" s="27" t="s">
        <v>2481</v>
      </c>
      <c r="C14" s="27" t="s">
        <v>555</v>
      </c>
      <c r="D14" s="45" t="s">
        <v>1020</v>
      </c>
      <c r="E14" s="15">
        <v>48.850785899999998</v>
      </c>
      <c r="F14" s="49">
        <v>2.3229912000000001</v>
      </c>
      <c r="G14" s="24" t="s">
        <v>457</v>
      </c>
      <c r="H14" s="53" t="s">
        <v>457</v>
      </c>
      <c r="I14" s="24" t="s">
        <v>1711</v>
      </c>
      <c r="J14" s="40" t="b">
        <v>1</v>
      </c>
      <c r="K14" s="24" t="b">
        <v>1</v>
      </c>
      <c r="L14" s="24" t="b">
        <v>1</v>
      </c>
      <c r="M14" s="45" t="s">
        <v>1715</v>
      </c>
      <c r="N14" s="177" t="s">
        <v>2498</v>
      </c>
      <c r="O14" s="15" t="s">
        <v>414</v>
      </c>
      <c r="P14" s="15" t="s">
        <v>335</v>
      </c>
      <c r="Z14" s="36" t="s">
        <v>486</v>
      </c>
      <c r="AA14" s="37" t="s">
        <v>1699</v>
      </c>
      <c r="AB14" s="46" t="s">
        <v>1716</v>
      </c>
      <c r="AC14" s="46"/>
      <c r="AD14" s="46"/>
      <c r="AE14" s="46"/>
      <c r="AF14" s="46"/>
      <c r="AG14" s="46"/>
      <c r="AH14" s="46"/>
      <c r="AI14" s="46"/>
      <c r="AJ14" s="85" t="s">
        <v>1020</v>
      </c>
      <c r="AK14" s="86">
        <v>1830</v>
      </c>
      <c r="AL14" s="15" t="s">
        <v>286</v>
      </c>
      <c r="AM14" s="15" t="s">
        <v>335</v>
      </c>
      <c r="AN14" s="15" t="s">
        <v>459</v>
      </c>
      <c r="AO14" s="15" t="s">
        <v>335</v>
      </c>
      <c r="AP14" s="15" t="s">
        <v>458</v>
      </c>
      <c r="AQ14" s="49" t="s">
        <v>335</v>
      </c>
      <c r="AS14" s="154" t="b">
        <f t="shared" si="1"/>
        <v>1</v>
      </c>
      <c r="AT14" s="155" t="str">
        <f t="shared" si="2"/>
        <v>title: "Chapel of Our Lady of the Miraculous Medal"</v>
      </c>
      <c r="AU14" s="155" t="str">
        <f t="shared" si="3"/>
        <v>location: {lat: 48.8507859, lng: 2.3229912}</v>
      </c>
      <c r="AV14" s="155" t="str">
        <f t="shared" si="4"/>
        <v>interest: global</v>
      </c>
      <c r="AW14" s="155" t="str">
        <f>"- "&amp;VLOOKUP(C14,'(Ref) Countries'!A:C,3,)</f>
        <v>- france</v>
      </c>
      <c r="AX14" s="155" t="str">
        <f t="shared" si="5"/>
        <v>- paris</v>
      </c>
      <c r="AY14" s="155" t="str">
        <f t="shared" si="6"/>
        <v>- churches</v>
      </c>
      <c r="AZ14" s="155" t="str">
        <f t="shared" si="7"/>
        <v>- marian-sites</v>
      </c>
      <c r="BA14" s="155" t="str">
        <f t="shared" si="8"/>
        <v>- holy-persons</v>
      </c>
      <c r="BB14" s="155" t="str">
        <f t="shared" si="9"/>
        <v>- catherine-laboure</v>
      </c>
      <c r="BC14" s="155" t="str">
        <f t="shared" si="10"/>
        <v>- vincent-de-paul</v>
      </c>
      <c r="BD14" s="155" t="str">
        <f t="shared" si="11"/>
        <v>- louise-de-marillac</v>
      </c>
      <c r="BE14" s="155" t="str">
        <f t="shared" si="12"/>
        <v/>
      </c>
      <c r="BF14" s="155" t="str">
        <f t="shared" si="13"/>
        <v/>
      </c>
      <c r="BG14" s="155" t="str">
        <f t="shared" si="14"/>
        <v/>
      </c>
      <c r="BH14" s="155" t="str">
        <f t="shared" si="15"/>
        <v/>
      </c>
      <c r="BI14" s="155" t="str">
        <f t="shared" si="16"/>
        <v/>
      </c>
      <c r="BJ14" s="155" t="str">
        <f t="shared" si="17"/>
        <v/>
      </c>
      <c r="BK14" s="155" t="str">
        <f t="shared" si="18"/>
        <v/>
      </c>
      <c r="BL14" s="155" t="str">
        <f t="shared" si="19"/>
        <v xml:space="preserve">tags:
- france_x000D_
- paris_x000D_
- churches_x000D_
- marian-sites_x000D_
- holy-persons_x000D_
- catherine-laboure_x000D_
- vincent-de-paul_x000D_
- louise-de-marillac_x000D_
</v>
      </c>
      <c r="BM14" s="158" t="str">
        <f t="shared" si="30"/>
        <v>[Official site](https://www.chapellenotredamedelamedaillemiraculeuse.com/)</v>
      </c>
      <c r="BN14" s="158" t="str">
        <f t="shared" si="31"/>
        <v/>
      </c>
      <c r="BO14" s="158" t="str">
        <f t="shared" si="32"/>
        <v/>
      </c>
      <c r="BP14" s="158" t="str">
        <f t="shared" si="33"/>
        <v/>
      </c>
      <c r="BQ14" s="158" t="str">
        <f t="shared" si="20"/>
        <v xml:space="preserve">* [Official site](https://www.chapellenotredamedelamedaillemiraculeuse.com/)
</v>
      </c>
      <c r="BR14" s="158" t="str">
        <f t="shared" si="21"/>
        <v>[Link](http://www.therealpresence.org/eucharst/misc/BVM/06_PARIGI_60x96.pdf)</v>
      </c>
      <c r="BS14" s="158" t="str">
        <f t="shared" si="22"/>
        <v>[Link](https://www.miraclehunter.com/marian_apparitions/approved_apparitions/ruedubac/index.html)</v>
      </c>
      <c r="BT14" s="158" t="str">
        <f t="shared" si="23"/>
        <v>[Link](https://www.marypages.com/paris-(france)-en.html)</v>
      </c>
      <c r="BU14" s="158" t="str">
        <f>IF(LEN(concat(BR14:BT14))&gt;0,concat("| ",BR14," | ",BS14," | ",BT14," |"),"")</f>
        <v>| [Link](http://www.therealpresence.org/eucharst/misc/BVM/06_PARIGI_60x96.pdf) | [Link](https://www.miraclehunter.com/marian_apparitions/approved_apparitions/ruedubac/index.html) | [Link](https://www.marypages.com/paris-(france)-en.html) |</v>
      </c>
      <c r="BV14" s="155" t="str">
        <f t="shared" si="24"/>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55"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55"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55" t="s">
        <v>335</v>
      </c>
      <c r="BZ14" s="155" t="s">
        <v>335</v>
      </c>
      <c r="CA14" s="23" t="str">
        <f>IF(AS14,concatll(concatl("---",AT14:AV14,BL14,"---"),M14,BW14:BX14),"")</f>
        <v xml:space="preserve">---_x000D_
title: "Chapel of Our Lady of the Miraculous Medal"_x000D_
location: {lat: 48.8507859, lng: 2.3229912}_x000D_
interest: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23" t="str">
        <f>IF(AS14,"places\"&amp;VLOOKUP(C14,'(Ref) Countries'!A:B,2,)&amp;IF(LEN(D14)&gt;1,"-"&amp;LOWER(SUBSTITUTE(D14," ","-")),"")&amp;"-"&amp;LOWER(SUBSTITUTE(SUBSTITUTE(H14," ","-"),".",""))&amp;".md","")</f>
        <v>places\fr-paris-chapel-of-our-lady-of-the-miraculous-medal.md</v>
      </c>
      <c r="CC14" s="38" t="str">
        <f>IF(LEN(Z14)&gt;1,VLOOKUP(Z14,'Tag List'!$A:$B,2,),"")</f>
        <v>St. Catherine Laboure</v>
      </c>
      <c r="CD14" s="38" t="str">
        <f>IF(LEN(AA14)&gt;1,VLOOKUP(AA14,'Tag List'!$A:$B,2,),"")</f>
        <v>St. Vincent de Paul, CM</v>
      </c>
      <c r="CE14" s="38" t="str">
        <f>IF(LEN(AB14)&gt;1,VLOOKUP(AB14,'Tag List'!$A:$B,2,),"")</f>
        <v>St. Louise de Marillac, DC</v>
      </c>
      <c r="CF14" s="30" t="str">
        <f>IF(LEN(Z14)&gt;1,GetTagPage(CC14,Z14),"")</f>
        <v>[St. Catherine Laboure](/tags/catherine-laboure)</v>
      </c>
      <c r="CG14" s="30" t="str">
        <f>IF(LEN(AA14)&gt;1,GetTagPage(CD14,AA14),"")</f>
        <v>[St. Vincent de Paul, CM](/tags/vincent-de-paul)</v>
      </c>
      <c r="CH14" s="30" t="str">
        <f>IF(LEN(AB14)&gt;1,GetTagPage(CE14,AB14),"")</f>
        <v>[St. Louise de Marillac, DC](/tags/louise-de-marillac)</v>
      </c>
      <c r="CI14" s="30" t="str">
        <f t="shared" si="25"/>
        <v xml:space="preserve">| [St. Catherine Laboure](/tags/catherine-laboure), [St. Vincent de Paul, CM](/tags/vincent-de-paul), [St. Louise de Marillac, DC](/tags/louise-de-marillac) </v>
      </c>
      <c r="CJ14" s="30" t="str">
        <f t="shared" si="26"/>
        <v xml:space="preserve">| [Paris](/places/places\fr-paris-chapel-of-our-lady-of-the-miraculous-medal) </v>
      </c>
      <c r="CK14" s="30" t="str">
        <f>"| "&amp;IF(AS14,GetTagPage(C14,VLOOKUP(C14,'(Ref) Countries'!A:C,3,)),C14)&amp; " "</f>
        <v xml:space="preserve">| [France](/tags/france) </v>
      </c>
      <c r="CL14" s="30" t="str">
        <f t="shared" si="27"/>
        <v xml:space="preserve">| 1830 </v>
      </c>
      <c r="CM14" s="30" t="str">
        <f t="shared" si="28"/>
        <v xml:space="preserve">| [Link](/places/places\fr-paris-chapel-of-our-lady-of-the-miraculous-medal) </v>
      </c>
      <c r="CN14" s="29" t="str">
        <f t="shared" si="29"/>
        <v xml:space="preserve">
| [Paris](/places/places\fr-paris-chapel-of-our-lady-of-the-miraculous-medal) | [France](/tags/france) | 1830 | [Link](/places/places\fr-paris-chapel-of-our-lady-of-the-miraculous-medal)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15" spans="1:92" ht="51" x14ac:dyDescent="0.25">
      <c r="A15" s="167" t="s">
        <v>1317</v>
      </c>
      <c r="B15" s="24" t="s">
        <v>2481</v>
      </c>
      <c r="C15" s="24" t="s">
        <v>555</v>
      </c>
      <c r="E15" s="15">
        <v>44.8586296</v>
      </c>
      <c r="F15" s="49">
        <v>5.9788043999999996</v>
      </c>
      <c r="G15" s="24" t="s">
        <v>1022</v>
      </c>
      <c r="H15" s="53" t="s">
        <v>1022</v>
      </c>
      <c r="I15" s="24" t="s">
        <v>1711</v>
      </c>
      <c r="J15" s="40" t="b">
        <v>1</v>
      </c>
      <c r="K15" s="24" t="b">
        <v>1</v>
      </c>
      <c r="M15" s="24" t="s">
        <v>473</v>
      </c>
      <c r="O15" s="15" t="s">
        <v>410</v>
      </c>
      <c r="P15" s="15" t="s">
        <v>335</v>
      </c>
      <c r="Z15" s="16" t="s">
        <v>335</v>
      </c>
      <c r="AA15" s="16"/>
      <c r="AB15" s="16"/>
      <c r="AC15" s="16"/>
      <c r="AD15" s="16"/>
      <c r="AE15" s="16"/>
      <c r="AF15" s="16"/>
      <c r="AG15" s="16"/>
      <c r="AH15" s="16"/>
      <c r="AI15" s="16"/>
      <c r="AJ15" s="85" t="s">
        <v>1021</v>
      </c>
      <c r="AK15" s="86">
        <v>1846</v>
      </c>
      <c r="AL15" s="15" t="s">
        <v>288</v>
      </c>
      <c r="AM15" s="15" t="s">
        <v>335</v>
      </c>
      <c r="AN15" s="15" t="s">
        <v>474</v>
      </c>
      <c r="AO15" s="15" t="s">
        <v>335</v>
      </c>
      <c r="AP15" s="15" t="s">
        <v>475</v>
      </c>
      <c r="AQ15" s="49" t="s">
        <v>335</v>
      </c>
      <c r="AS15" s="154" t="b">
        <f t="shared" si="1"/>
        <v>1</v>
      </c>
      <c r="AT15" s="155" t="str">
        <f t="shared" si="2"/>
        <v>title: "Sanctuary of Our Lady of La Salette"</v>
      </c>
      <c r="AU15" s="155" t="str">
        <f t="shared" si="3"/>
        <v>location: {lat: 44.8586296, lng: 5.9788044}</v>
      </c>
      <c r="AV15" s="155" t="str">
        <f t="shared" si="4"/>
        <v>interest: global</v>
      </c>
      <c r="AW15" s="155" t="str">
        <f>"- "&amp;VLOOKUP(C15,'(Ref) Countries'!A:C,3,)</f>
        <v>- france</v>
      </c>
      <c r="AX15" s="155" t="str">
        <f t="shared" si="5"/>
        <v/>
      </c>
      <c r="AY15" s="155" t="str">
        <f t="shared" si="6"/>
        <v>- churches</v>
      </c>
      <c r="AZ15" s="155" t="str">
        <f t="shared" si="7"/>
        <v>- marian-sites</v>
      </c>
      <c r="BA15" s="155" t="str">
        <f t="shared" si="8"/>
        <v/>
      </c>
      <c r="BB15" s="155" t="str">
        <f t="shared" si="9"/>
        <v/>
      </c>
      <c r="BC15" s="155" t="str">
        <f t="shared" si="10"/>
        <v/>
      </c>
      <c r="BD15" s="155" t="str">
        <f t="shared" si="11"/>
        <v/>
      </c>
      <c r="BE15" s="155" t="str">
        <f t="shared" si="12"/>
        <v/>
      </c>
      <c r="BF15" s="155" t="str">
        <f t="shared" si="13"/>
        <v/>
      </c>
      <c r="BG15" s="155" t="str">
        <f t="shared" si="14"/>
        <v/>
      </c>
      <c r="BH15" s="155" t="str">
        <f t="shared" si="15"/>
        <v/>
      </c>
      <c r="BI15" s="155" t="str">
        <f t="shared" si="16"/>
        <v/>
      </c>
      <c r="BJ15" s="155" t="str">
        <f t="shared" si="17"/>
        <v/>
      </c>
      <c r="BK15" s="155" t="str">
        <f t="shared" si="18"/>
        <v/>
      </c>
      <c r="BL15" s="155" t="str">
        <f t="shared" si="19"/>
        <v xml:space="preserve">tags:
- france_x000D_
- churches_x000D_
- marian-sites_x000D_
</v>
      </c>
      <c r="BM15" s="158" t="str">
        <f t="shared" si="30"/>
        <v>[Official site](https://lasalette.cef.fr/)</v>
      </c>
      <c r="BN15" s="158" t="str">
        <f t="shared" si="31"/>
        <v/>
      </c>
      <c r="BO15" s="158" t="str">
        <f t="shared" si="32"/>
        <v/>
      </c>
      <c r="BP15" s="158" t="str">
        <f t="shared" si="33"/>
        <v/>
      </c>
      <c r="BQ15" s="158" t="str">
        <f t="shared" si="20"/>
        <v xml:space="preserve">* [Official site](https://lasalette.cef.fr/)
</v>
      </c>
      <c r="BR15" s="158" t="str">
        <f t="shared" si="21"/>
        <v>[Link](http://www.therealpresence.org/eucharst/misc/BVM/30_LA_SALETTE_96x96.pdf)</v>
      </c>
      <c r="BS15" s="158" t="str">
        <f t="shared" si="22"/>
        <v>[Link](https://www.miraclehunter.com/marian_apparitions/approved_apparitions/lasalette/index.html)</v>
      </c>
      <c r="BT15" s="158" t="str">
        <f t="shared" si="23"/>
        <v>[Link](https://www.marypages.com/la-salette-(france)-en.html)</v>
      </c>
      <c r="BU15" s="158" t="str">
        <f>IF(LEN(concat(BR15:BT15))&gt;0,concat("| ",BR15," | ",BS15," | ",BT15," |"),"")</f>
        <v>| [Link](http://www.therealpresence.org/eucharst/misc/BVM/30_LA_SALETTE_96x96.pdf) | [Link](https://www.miraclehunter.com/marian_apparitions/approved_apparitions/lasalette/index.html) | [Link](https://www.marypages.com/la-salette-(france)-en.html) |</v>
      </c>
      <c r="BV15" s="155" t="str">
        <f t="shared" si="24"/>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55"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55" t="str">
        <f>IF(LEN(N15)&gt;1,concatll("#### Author's Note",N15,"-"&amp;B15),"")</f>
        <v/>
      </c>
      <c r="BY15" s="155" t="s">
        <v>335</v>
      </c>
      <c r="BZ15" s="155" t="s">
        <v>335</v>
      </c>
      <c r="CA15" s="23" t="str">
        <f>IF(AS15,concatll(concatl("---",AT15:AV15,BL15,"---"),M15,BW15:BX15),"")</f>
        <v xml:space="preserve">---_x000D_
title: "Sanctuary of Our Lady of La Salette"_x000D_
location: {lat: 44.8586296, lng: 5.9788044}_x000D_
interest: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23" t="str">
        <f>IF(AS15,"places\"&amp;VLOOKUP(C15,'(Ref) Countries'!A:B,2,)&amp;IF(LEN(D15)&gt;1,"-"&amp;LOWER(SUBSTITUTE(D15," ","-")),"")&amp;"-"&amp;LOWER(SUBSTITUTE(SUBSTITUTE(H15," ","-"),".",""))&amp;".md","")</f>
        <v>places\fr-sanctuary-of-our-lady-of-la-salette.md</v>
      </c>
      <c r="CC15" s="30" t="str">
        <f>IF(LEN(Z15)&gt;1,VLOOKUP(Z15,'Tag List'!$A:$B,2,),"")</f>
        <v/>
      </c>
      <c r="CD15" s="30" t="str">
        <f>IF(LEN(AA15)&gt;1,VLOOKUP(AA15,'Tag List'!$A:$B,2,),"")</f>
        <v/>
      </c>
      <c r="CE15" s="30" t="str">
        <f>IF(LEN(AB15)&gt;1,VLOOKUP(AB15,'Tag List'!$A:$B,2,),"")</f>
        <v/>
      </c>
      <c r="CF15" s="30" t="str">
        <f>IF(LEN(Z15)&gt;1,GetTagPage(CC15,Z15),"")</f>
        <v/>
      </c>
      <c r="CG15" s="30" t="str">
        <f>IF(LEN(AA15)&gt;1,GetTagPage(CD15,AA15),"")</f>
        <v/>
      </c>
      <c r="CH15" s="30" t="str">
        <f>IF(LEN(AB15)&gt;1,GetTagPage(CE15,AB15),"")</f>
        <v/>
      </c>
      <c r="CI15" s="30" t="str">
        <f t="shared" si="25"/>
        <v xml:space="preserve">| </v>
      </c>
      <c r="CJ15" s="30" t="str">
        <f t="shared" si="26"/>
        <v xml:space="preserve">| [La Salette](/places/places\fr-sanctuary-of-our-lady-of-la-salette) </v>
      </c>
      <c r="CK15" s="30" t="str">
        <f>"| "&amp;IF(AS15,GetTagPage(C15,VLOOKUP(C15,'(Ref) Countries'!A:C,3,)),C15)&amp; " "</f>
        <v xml:space="preserve">| [France](/tags/france) </v>
      </c>
      <c r="CL15" s="30" t="str">
        <f t="shared" si="27"/>
        <v xml:space="preserve">| 1846 </v>
      </c>
      <c r="CM15" s="30" t="str">
        <f t="shared" si="28"/>
        <v xml:space="preserve">| [Link](/places/places\fr-sanctuary-of-our-lady-of-la-salette) </v>
      </c>
      <c r="CN15" s="29" t="str">
        <f t="shared" si="29"/>
        <v xml:space="preserve">
| [La Salette](/places/places\fr-sanctuary-of-our-lady-of-la-salette) | [France](/tags/france)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2" ht="51" x14ac:dyDescent="0.25">
      <c r="A16" s="167" t="s">
        <v>1317</v>
      </c>
      <c r="B16" s="24" t="s">
        <v>2481</v>
      </c>
      <c r="C16" s="24" t="s">
        <v>555</v>
      </c>
      <c r="E16" s="15">
        <v>43.0974206</v>
      </c>
      <c r="F16" s="49">
        <v>-5.8261100000000003E-2</v>
      </c>
      <c r="G16" s="24" t="s">
        <v>1006</v>
      </c>
      <c r="H16" s="53" t="s">
        <v>1006</v>
      </c>
      <c r="I16" s="24" t="s">
        <v>1711</v>
      </c>
      <c r="J16" s="24" t="b">
        <v>1</v>
      </c>
      <c r="K16" s="24" t="b">
        <v>1</v>
      </c>
      <c r="L16" s="24" t="b">
        <v>1</v>
      </c>
      <c r="M16" s="24" t="s">
        <v>463</v>
      </c>
      <c r="O16" s="15" t="s">
        <v>426</v>
      </c>
      <c r="P16" s="15" t="s">
        <v>335</v>
      </c>
      <c r="Z16" s="36" t="s">
        <v>488</v>
      </c>
      <c r="AA16" s="36"/>
      <c r="AB16" s="36"/>
      <c r="AC16" s="36"/>
      <c r="AD16" s="36"/>
      <c r="AE16" s="36"/>
      <c r="AF16" s="36"/>
      <c r="AG16" s="36"/>
      <c r="AH16" s="36"/>
      <c r="AI16" s="36"/>
      <c r="AJ16" s="85" t="s">
        <v>994</v>
      </c>
      <c r="AK16" s="86">
        <v>1858</v>
      </c>
      <c r="AL16" s="15" t="s">
        <v>291</v>
      </c>
      <c r="AM16" s="15" t="s">
        <v>335</v>
      </c>
      <c r="AN16" s="15" t="s">
        <v>464</v>
      </c>
      <c r="AO16" s="15" t="s">
        <v>335</v>
      </c>
      <c r="AP16" s="15" t="s">
        <v>465</v>
      </c>
      <c r="AQ16" s="49" t="s">
        <v>335</v>
      </c>
      <c r="AS16" s="154" t="b">
        <f t="shared" si="1"/>
        <v>1</v>
      </c>
      <c r="AT16" s="155" t="str">
        <f t="shared" si="2"/>
        <v>title: "Sanctuary of Our Lady of Lourdes"</v>
      </c>
      <c r="AU16" s="155" t="str">
        <f t="shared" si="3"/>
        <v>location: {lat: 43.0974206, lng: -0.0582611}</v>
      </c>
      <c r="AV16" s="155" t="str">
        <f t="shared" si="4"/>
        <v>interest: global</v>
      </c>
      <c r="AW16" s="155" t="str">
        <f>"- "&amp;VLOOKUP(C16,'(Ref) Countries'!A:C,3,)</f>
        <v>- france</v>
      </c>
      <c r="AX16" s="155" t="str">
        <f t="shared" si="5"/>
        <v/>
      </c>
      <c r="AY16" s="155" t="str">
        <f t="shared" si="6"/>
        <v>- churches</v>
      </c>
      <c r="AZ16" s="155" t="str">
        <f t="shared" si="7"/>
        <v>- marian-sites</v>
      </c>
      <c r="BA16" s="155" t="str">
        <f t="shared" si="8"/>
        <v>- holy-persons</v>
      </c>
      <c r="BB16" s="155" t="str">
        <f t="shared" si="9"/>
        <v>- bernadette-soubirous</v>
      </c>
      <c r="BC16" s="155" t="str">
        <f t="shared" si="10"/>
        <v/>
      </c>
      <c r="BD16" s="155" t="str">
        <f t="shared" si="11"/>
        <v/>
      </c>
      <c r="BE16" s="155" t="str">
        <f t="shared" si="12"/>
        <v/>
      </c>
      <c r="BF16" s="155" t="str">
        <f t="shared" si="13"/>
        <v/>
      </c>
      <c r="BG16" s="155" t="str">
        <f t="shared" si="14"/>
        <v/>
      </c>
      <c r="BH16" s="155" t="str">
        <f t="shared" si="15"/>
        <v/>
      </c>
      <c r="BI16" s="155" t="str">
        <f t="shared" si="16"/>
        <v/>
      </c>
      <c r="BJ16" s="155" t="str">
        <f t="shared" si="17"/>
        <v/>
      </c>
      <c r="BK16" s="155" t="str">
        <f t="shared" si="18"/>
        <v/>
      </c>
      <c r="BL16" s="155" t="str">
        <f t="shared" si="19"/>
        <v xml:space="preserve">tags:
- france_x000D_
- churches_x000D_
- marian-sites_x000D_
- holy-persons_x000D_
- bernadette-soubirous_x000D_
</v>
      </c>
      <c r="BM16" s="158" t="str">
        <f t="shared" si="30"/>
        <v>[Official site](https://www.lourdes-france.org/)</v>
      </c>
      <c r="BN16" s="158" t="str">
        <f t="shared" si="31"/>
        <v/>
      </c>
      <c r="BO16" s="158" t="str">
        <f t="shared" si="32"/>
        <v/>
      </c>
      <c r="BP16" s="158" t="str">
        <f t="shared" si="33"/>
        <v/>
      </c>
      <c r="BQ16" s="158" t="str">
        <f t="shared" si="20"/>
        <v xml:space="preserve">* [Official site](https://www.lourdes-france.org/)
</v>
      </c>
      <c r="BR16" s="158" t="str">
        <f t="shared" si="21"/>
        <v>[Link](http://www.therealpresence.org/eucharst/misc/BVM/40_LOURDES_140x96.pdf)</v>
      </c>
      <c r="BS16" s="158" t="str">
        <f t="shared" si="22"/>
        <v>[Link](https://www.miraclehunter.com/marian_apparitions/approved_apparitions/lourdes/index.html)</v>
      </c>
      <c r="BT16" s="158" t="str">
        <f t="shared" si="23"/>
        <v>[Link](https://www.marypages.com/lourdes-(frankrijk)-1858/)</v>
      </c>
      <c r="BU16" s="158" t="str">
        <f>IF(LEN(concat(BR16:BT16))&gt;0,concat("| ",BR16," | ",BS16," | ",BT16," |"),"")</f>
        <v>| [Link](http://www.therealpresence.org/eucharst/misc/BVM/40_LOURDES_140x96.pdf) | [Link](https://www.miraclehunter.com/marian_apparitions/approved_apparitions/lourdes/index.html) | [Link](https://www.marypages.com/lourdes-(frankrijk)-1858/) |</v>
      </c>
      <c r="BV16" s="155" t="str">
        <f t="shared" si="24"/>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55"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55" t="str">
        <f>IF(LEN(N16)&gt;1,concatll("#### Author's Note",N16,"-"&amp;B16),"")</f>
        <v/>
      </c>
      <c r="BY16" s="155" t="s">
        <v>335</v>
      </c>
      <c r="BZ16" s="155" t="s">
        <v>335</v>
      </c>
      <c r="CA16" s="23" t="str">
        <f>IF(AS16,concatll(concatl("---",AT16:AV16,BL16,"---"),M16,BW16:BX16),"")</f>
        <v xml:space="preserve">---_x000D_
title: "Sanctuary of Our Lady of Lourdes"_x000D_
location: {lat: 43.0974206, lng: -0.0582611}_x000D_
interest: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23" t="str">
        <f>IF(AS16,"places\"&amp;VLOOKUP(C16,'(Ref) Countries'!A:B,2,)&amp;IF(LEN(D16)&gt;1,"-"&amp;LOWER(SUBSTITUTE(D16," ","-")),"")&amp;"-"&amp;LOWER(SUBSTITUTE(SUBSTITUTE(H16," ","-"),".",""))&amp;".md","")</f>
        <v>places\fr-sanctuary-of-our-lady-of-lourdes.md</v>
      </c>
      <c r="CC16" s="38" t="str">
        <f>IF(LEN(Z16)&gt;1,VLOOKUP(Z16,'Tag List'!$A:$B,2,),"")</f>
        <v>St. Bernadette of Lourdes</v>
      </c>
      <c r="CD16" s="38" t="str">
        <f>IF(LEN(AA16)&gt;1,VLOOKUP(AA16,'Tag List'!$A:$B,2,),"")</f>
        <v/>
      </c>
      <c r="CE16" s="38" t="str">
        <f>IF(LEN(AB16)&gt;1,VLOOKUP(AB16,'Tag List'!$A:$B,2,),"")</f>
        <v/>
      </c>
      <c r="CF16" s="30" t="str">
        <f>IF(LEN(Z16)&gt;1,GetTagPage(CC16,Z16),"")</f>
        <v>[St. Bernadette of Lourdes](/tags/bernadette-soubirous)</v>
      </c>
      <c r="CG16" s="30" t="str">
        <f>IF(LEN(AA16)&gt;1,GetTagPage(CD16,AA16),"")</f>
        <v/>
      </c>
      <c r="CH16" s="30" t="str">
        <f>IF(LEN(AB16)&gt;1,GetTagPage(CE16,AB16),"")</f>
        <v/>
      </c>
      <c r="CI16" s="30" t="str">
        <f t="shared" si="25"/>
        <v xml:space="preserve">| [St. Bernadette of Lourdes](/tags/bernadette-soubirous) </v>
      </c>
      <c r="CJ16" s="30" t="str">
        <f t="shared" si="26"/>
        <v xml:space="preserve">| [Lourdes](/places/places\fr-sanctuary-of-our-lady-of-lourdes) </v>
      </c>
      <c r="CK16" s="30" t="str">
        <f>"| "&amp;IF(AS16,GetTagPage(C16,VLOOKUP(C16,'(Ref) Countries'!A:C,3,)),C16)&amp; " "</f>
        <v xml:space="preserve">| [France](/tags/france) </v>
      </c>
      <c r="CL16" s="30" t="str">
        <f t="shared" si="27"/>
        <v xml:space="preserve">| 1858 </v>
      </c>
      <c r="CM16" s="30" t="str">
        <f t="shared" si="28"/>
        <v xml:space="preserve">| [Link](/places/places\fr-sanctuary-of-our-lady-of-lourdes) </v>
      </c>
      <c r="CN16" s="29" t="str">
        <f t="shared" si="29"/>
        <v xml:space="preserve">
| [Lourdes](/places/places\fr-sanctuary-of-our-lady-of-lourdes) | [France](/tags/france) | 1858 | [Link](/places/places\fr-sanctuary-of-our-lady-of-lourdes)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17" spans="1:92" ht="51" x14ac:dyDescent="0.25">
      <c r="A17" s="167" t="s">
        <v>1317</v>
      </c>
      <c r="B17" s="24" t="s">
        <v>2481</v>
      </c>
      <c r="C17" s="24" t="s">
        <v>555</v>
      </c>
      <c r="E17" s="15">
        <v>48.439602100000002</v>
      </c>
      <c r="F17" s="49">
        <v>-1.0592325</v>
      </c>
      <c r="G17" s="24" t="s">
        <v>476</v>
      </c>
      <c r="H17" s="53" t="s">
        <v>987</v>
      </c>
      <c r="I17" s="24" t="s">
        <v>1711</v>
      </c>
      <c r="J17" s="40" t="b">
        <v>1</v>
      </c>
      <c r="K17" s="24" t="b">
        <v>1</v>
      </c>
      <c r="M17" s="24" t="s">
        <v>359</v>
      </c>
      <c r="O17" s="15" t="s">
        <v>362</v>
      </c>
      <c r="P17" s="15" t="s">
        <v>335</v>
      </c>
      <c r="Z17" s="16" t="s">
        <v>335</v>
      </c>
      <c r="AA17" s="16"/>
      <c r="AB17" s="16"/>
      <c r="AC17" s="16"/>
      <c r="AD17" s="16"/>
      <c r="AE17" s="16"/>
      <c r="AF17" s="16"/>
      <c r="AG17" s="16"/>
      <c r="AH17" s="16"/>
      <c r="AI17" s="16"/>
      <c r="AJ17" s="85" t="s">
        <v>993</v>
      </c>
      <c r="AK17" s="86">
        <v>1871</v>
      </c>
      <c r="AL17" s="15" t="s">
        <v>295</v>
      </c>
      <c r="AM17" s="15" t="s">
        <v>335</v>
      </c>
      <c r="AN17" s="15" t="s">
        <v>360</v>
      </c>
      <c r="AO17" s="15" t="s">
        <v>335</v>
      </c>
      <c r="AP17" s="15" t="s">
        <v>361</v>
      </c>
      <c r="AQ17" s="49" t="s">
        <v>335</v>
      </c>
      <c r="AS17" s="154" t="b">
        <f t="shared" si="1"/>
        <v>1</v>
      </c>
      <c r="AT17" s="155" t="str">
        <f t="shared" si="2"/>
        <v>title: "Sanctuary of Pontmain (Mother of Hope)"</v>
      </c>
      <c r="AU17" s="155" t="str">
        <f t="shared" si="3"/>
        <v>location: {lat: 48.4396021, lng: -1.0592325}</v>
      </c>
      <c r="AV17" s="155" t="str">
        <f t="shared" si="4"/>
        <v>interest: global</v>
      </c>
      <c r="AW17" s="155" t="str">
        <f>"- "&amp;VLOOKUP(C17,'(Ref) Countries'!A:C,3,)</f>
        <v>- france</v>
      </c>
      <c r="AX17" s="155" t="str">
        <f t="shared" si="5"/>
        <v/>
      </c>
      <c r="AY17" s="155" t="str">
        <f t="shared" si="6"/>
        <v>- churches</v>
      </c>
      <c r="AZ17" s="155" t="str">
        <f t="shared" si="7"/>
        <v>- marian-sites</v>
      </c>
      <c r="BA17" s="155" t="str">
        <f t="shared" si="8"/>
        <v/>
      </c>
      <c r="BB17" s="155" t="str">
        <f t="shared" si="9"/>
        <v/>
      </c>
      <c r="BC17" s="155" t="str">
        <f t="shared" si="10"/>
        <v/>
      </c>
      <c r="BD17" s="155" t="str">
        <f t="shared" si="11"/>
        <v/>
      </c>
      <c r="BE17" s="155" t="str">
        <f t="shared" si="12"/>
        <v/>
      </c>
      <c r="BF17" s="155" t="str">
        <f t="shared" si="13"/>
        <v/>
      </c>
      <c r="BG17" s="155" t="str">
        <f t="shared" si="14"/>
        <v/>
      </c>
      <c r="BH17" s="155" t="str">
        <f t="shared" si="15"/>
        <v/>
      </c>
      <c r="BI17" s="155" t="str">
        <f t="shared" si="16"/>
        <v/>
      </c>
      <c r="BJ17" s="155" t="str">
        <f t="shared" si="17"/>
        <v/>
      </c>
      <c r="BK17" s="155" t="str">
        <f t="shared" si="18"/>
        <v/>
      </c>
      <c r="BL17" s="155" t="str">
        <f t="shared" si="19"/>
        <v xml:space="preserve">tags:
- france_x000D_
- churches_x000D_
- marian-sites_x000D_
</v>
      </c>
      <c r="BM17" s="158" t="str">
        <f t="shared" si="30"/>
        <v>[Official site](https://sanctuaire-pontmain.com/)</v>
      </c>
      <c r="BN17" s="158" t="str">
        <f t="shared" si="31"/>
        <v/>
      </c>
      <c r="BO17" s="158" t="str">
        <f t="shared" si="32"/>
        <v/>
      </c>
      <c r="BP17" s="158" t="str">
        <f t="shared" si="33"/>
        <v/>
      </c>
      <c r="BQ17" s="158" t="str">
        <f t="shared" si="20"/>
        <v xml:space="preserve">* [Official site](https://sanctuaire-pontmain.com/)
</v>
      </c>
      <c r="BR17" s="158" t="str">
        <f t="shared" si="21"/>
        <v>[Link](http://www.therealpresence.org/eucharst/misc/BVM/26_PONTMAIN_60x96.pdf)</v>
      </c>
      <c r="BS17" s="158" t="str">
        <f t="shared" si="22"/>
        <v>[Link](https://www.miraclehunter.com/marian_apparitions/approved_apparitions/pontmain/index.html))</v>
      </c>
      <c r="BT17" s="158" t="str">
        <f t="shared" si="23"/>
        <v>[Link](https://www.marypages.com/pontmain-(france)-en.html)</v>
      </c>
      <c r="BU17" s="158" t="str">
        <f>IF(LEN(concat(BR17:BT17))&gt;0,concat("| ",BR17," | ",BS17," | ",BT17," |"),"")</f>
        <v>| [Link](http://www.therealpresence.org/eucharst/misc/BVM/26_PONTMAIN_60x96.pdf) | [Link](https://www.miraclehunter.com/marian_apparitions/approved_apparitions/pontmain/index.html)) | [Link](https://www.marypages.com/pontmain-(france)-en.html) |</v>
      </c>
      <c r="BV17" s="155" t="str">
        <f t="shared" si="24"/>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55"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55" t="str">
        <f>IF(LEN(N17)&gt;1,concatll("#### Author's Note",N17,"-"&amp;B17),"")</f>
        <v/>
      </c>
      <c r="BY17" s="155" t="s">
        <v>335</v>
      </c>
      <c r="BZ17" s="155" t="s">
        <v>335</v>
      </c>
      <c r="CA17" s="23" t="str">
        <f>IF(AS17,concatll(concatl("---",AT17:AV17,BL17,"---"),M17,BW17:BX17),"")</f>
        <v xml:space="preserve">---_x000D_
title: "Sanctuary of Pontmain (Mother of Hope)"_x000D_
location: {lat: 48.4396021, lng: -1.0592325}_x000D_
interest: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23" t="str">
        <f>IF(AS17,"places\"&amp;VLOOKUP(C17,'(Ref) Countries'!A:B,2,)&amp;IF(LEN(D17)&gt;1,"-"&amp;LOWER(SUBSTITUTE(D17," ","-")),"")&amp;"-"&amp;LOWER(SUBSTITUTE(SUBSTITUTE(H17," ","-"),".",""))&amp;".md","")</f>
        <v>places\fr-sanctuary-of-pontmain.md</v>
      </c>
      <c r="CC17" s="30" t="str">
        <f>IF(LEN(Z17)&gt;1,VLOOKUP(Z17,'Tag List'!$A:$B,2,),"")</f>
        <v/>
      </c>
      <c r="CD17" s="30" t="str">
        <f>IF(LEN(AA17)&gt;1,VLOOKUP(AA17,'Tag List'!$A:$B,2,),"")</f>
        <v/>
      </c>
      <c r="CE17" s="30" t="str">
        <f>IF(LEN(AB17)&gt;1,VLOOKUP(AB17,'Tag List'!$A:$B,2,),"")</f>
        <v/>
      </c>
      <c r="CF17" s="30" t="str">
        <f>IF(LEN(Z17)&gt;1,GetTagPage(CC17,Z17),"")</f>
        <v/>
      </c>
      <c r="CG17" s="30" t="str">
        <f>IF(LEN(AA17)&gt;1,GetTagPage(CD17,AA17),"")</f>
        <v/>
      </c>
      <c r="CH17" s="30" t="str">
        <f>IF(LEN(AB17)&gt;1,GetTagPage(CE17,AB17),"")</f>
        <v/>
      </c>
      <c r="CI17" s="30" t="str">
        <f t="shared" si="25"/>
        <v xml:space="preserve">| </v>
      </c>
      <c r="CJ17" s="30" t="str">
        <f t="shared" si="26"/>
        <v xml:space="preserve">| [Pontmain](/places/places\fr-sanctuary-of-pontmain) </v>
      </c>
      <c r="CK17" s="30" t="str">
        <f>"| "&amp;IF(AS17,GetTagPage(C17,VLOOKUP(C17,'(Ref) Countries'!A:C,3,)),C17)&amp; " "</f>
        <v xml:space="preserve">| [France](/tags/france) </v>
      </c>
      <c r="CL17" s="30" t="str">
        <f t="shared" si="27"/>
        <v xml:space="preserve">| 1871 </v>
      </c>
      <c r="CM17" s="30" t="str">
        <f t="shared" si="28"/>
        <v xml:space="preserve">| [Link](/places/places\fr-sanctuary-of-pontmain) </v>
      </c>
      <c r="CN17" s="29" t="str">
        <f t="shared" si="29"/>
        <v xml:space="preserve">
| [Pontmain](/places/places\fr-sanctuary-of-pontmain) | [France](/tags/france)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2" ht="51" x14ac:dyDescent="0.25">
      <c r="A18" s="167" t="s">
        <v>1317</v>
      </c>
      <c r="B18" s="168" t="s">
        <v>2481</v>
      </c>
      <c r="C18" s="83" t="s">
        <v>555</v>
      </c>
      <c r="D18" s="83" t="s">
        <v>1020</v>
      </c>
      <c r="E18" s="15">
        <v>48.848857382512399</v>
      </c>
      <c r="F18" s="49">
        <v>2.3216311122635598</v>
      </c>
      <c r="G18" s="24" t="s">
        <v>1831</v>
      </c>
      <c r="H18" s="90" t="s">
        <v>1831</v>
      </c>
      <c r="I18" s="24" t="s">
        <v>1737</v>
      </c>
      <c r="J18" s="24" t="b">
        <v>1</v>
      </c>
      <c r="L18" s="24" t="b">
        <v>1</v>
      </c>
      <c r="M18" s="83" t="s">
        <v>1832</v>
      </c>
      <c r="N18" s="177" t="s">
        <v>2499</v>
      </c>
      <c r="P18" s="15" t="s">
        <v>335</v>
      </c>
      <c r="Z18" s="15" t="s">
        <v>1699</v>
      </c>
      <c r="AA18" s="91" t="s">
        <v>1717</v>
      </c>
      <c r="AB18" s="91" t="s">
        <v>2031</v>
      </c>
      <c r="AS18" s="154" t="b">
        <f t="shared" si="1"/>
        <v>1</v>
      </c>
      <c r="AT18" s="155" t="str">
        <f t="shared" si="2"/>
        <v>title: "St. Vincent De Paul Chapel"</v>
      </c>
      <c r="AU18" s="155" t="str">
        <f t="shared" si="3"/>
        <v>location: {lat: 48.8488573825124, lng: 2.32163111226356}</v>
      </c>
      <c r="AV18" s="155" t="str">
        <f t="shared" si="4"/>
        <v>interest: regional</v>
      </c>
      <c r="AW18" s="155" t="str">
        <f>"- "&amp;VLOOKUP(C18,'(Ref) Countries'!A:C,3,)</f>
        <v>- france</v>
      </c>
      <c r="AX18" s="155" t="str">
        <f t="shared" si="5"/>
        <v>- paris</v>
      </c>
      <c r="AY18" s="155" t="str">
        <f t="shared" si="6"/>
        <v>- churches</v>
      </c>
      <c r="AZ18" s="155" t="str">
        <f t="shared" si="7"/>
        <v/>
      </c>
      <c r="BA18" s="155" t="str">
        <f t="shared" si="8"/>
        <v>- holy-persons</v>
      </c>
      <c r="BB18" s="155" t="str">
        <f t="shared" si="9"/>
        <v>- vincent-de-paul</v>
      </c>
      <c r="BC18" s="155" t="str">
        <f t="shared" si="10"/>
        <v>- jean-gabriel-perboyre</v>
      </c>
      <c r="BD18" s="155" t="str">
        <f t="shared" si="11"/>
        <v>- vincentians</v>
      </c>
      <c r="BE18" s="155" t="str">
        <f t="shared" si="12"/>
        <v/>
      </c>
      <c r="BF18" s="155" t="str">
        <f t="shared" si="13"/>
        <v/>
      </c>
      <c r="BG18" s="155" t="str">
        <f t="shared" si="14"/>
        <v/>
      </c>
      <c r="BH18" s="155" t="str">
        <f t="shared" si="15"/>
        <v/>
      </c>
      <c r="BI18" s="155" t="str">
        <f t="shared" si="16"/>
        <v/>
      </c>
      <c r="BJ18" s="155" t="str">
        <f t="shared" si="17"/>
        <v/>
      </c>
      <c r="BK18" s="155" t="str">
        <f t="shared" si="18"/>
        <v/>
      </c>
      <c r="BL18" s="155" t="str">
        <f t="shared" si="19"/>
        <v xml:space="preserve">tags:
- france_x000D_
- paris_x000D_
- churches_x000D_
- holy-persons_x000D_
- vincent-de-paul_x000D_
- jean-gabriel-perboyre_x000D_
- vincentians_x000D_
</v>
      </c>
      <c r="BM18" s="158" t="str">
        <f t="shared" si="30"/>
        <v/>
      </c>
      <c r="BN18" s="158" t="str">
        <f t="shared" si="31"/>
        <v/>
      </c>
      <c r="BO18" s="158" t="str">
        <f t="shared" si="32"/>
        <v/>
      </c>
      <c r="BP18" s="158" t="str">
        <f t="shared" si="33"/>
        <v/>
      </c>
      <c r="BQ18" s="155" t="str">
        <f t="shared" si="20"/>
        <v/>
      </c>
      <c r="BR18" s="155" t="str">
        <f t="shared" si="21"/>
        <v/>
      </c>
      <c r="BS18" s="155" t="str">
        <f t="shared" si="22"/>
        <v/>
      </c>
      <c r="BT18" s="155" t="str">
        <f t="shared" si="23"/>
        <v/>
      </c>
      <c r="BU18" s="155" t="str">
        <f>IF(LEN(concat(BR18:BT18))&gt;0,concat("| ",BR18," | ",BS18," | ",BT18," |"),"")</f>
        <v/>
      </c>
      <c r="BV18" s="155" t="str">
        <f t="shared" si="24"/>
        <v/>
      </c>
      <c r="BW18" s="155" t="str">
        <f>IF(LEN(BQ18&amp;BV18)&gt;0,concatll("#### More Information",BQ18,BV18),"")</f>
        <v/>
      </c>
      <c r="BX18" s="155" t="str">
        <f>IF(LEN(N18)&gt;1,concatll("#### Author's Note",N18,"-"&amp;B18),"")</f>
        <v xml:space="preserve">#### Author's Note_x000D_
_x000D_
An incredibly beautiful sanctuary of prayer, just a short walk from the often crowded Miraculous Medal Chapel._x000D_
_x000D_
-JMM_x000D_
_x000D_
</v>
      </c>
      <c r="BY18" s="155" t="s">
        <v>335</v>
      </c>
      <c r="BZ18" s="155" t="s">
        <v>335</v>
      </c>
      <c r="CA18" s="23" t="str">
        <f>IF(AS18,concatll(concatl("---",AT18:AV18,BL18,"---"),M18,BW18:BX18),"")</f>
        <v xml:space="preserve">---_x000D_
title: "St. Vincent De Paul Chapel"_x000D_
location: {lat: 48.8488573825124, lng: 2.32163111226356}_x000D_
interest: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23" t="str">
        <f>IF(AS18,"places\"&amp;VLOOKUP(C18,'(Ref) Countries'!A:B,2,)&amp;IF(LEN(D18)&gt;1,"-"&amp;LOWER(SUBSTITUTE(D18," ","-")),"")&amp;"-"&amp;LOWER(SUBSTITUTE(SUBSTITUTE(H18," ","-"),".",""))&amp;".md","")</f>
        <v>places\fr-paris-st-vincent-de-paul-chapel.md</v>
      </c>
      <c r="CC18" s="29" t="str">
        <f>IF(LEN(Z18)&gt;1,VLOOKUP(Z18,'Tag List'!$A:$B,2,),"")</f>
        <v>St. Vincent de Paul, CM</v>
      </c>
      <c r="CD18" s="29" t="str">
        <f>IF(LEN(AA18)&gt;1,VLOOKUP(AA18,'Tag List'!$A:$B,2,),"")</f>
        <v>St. Jean-Gabriel Perboyre, CM</v>
      </c>
      <c r="CE18" s="29" t="str">
        <f>IF(LEN(AB18)&gt;1,VLOOKUP(AB18,'Tag List'!$A:$B,2,),"")</f>
        <v>Congregation of the Mission (Vincentians)</v>
      </c>
      <c r="CF18" s="29" t="str">
        <f>IF(LEN(Z18)&gt;1,GetTagPage(CC18,Z18),"")</f>
        <v>[St. Vincent de Paul, CM](/tags/vincent-de-paul)</v>
      </c>
      <c r="CG18" s="29" t="str">
        <f>IF(LEN(AA18)&gt;1,GetTagPage(CD18,AA18),"")</f>
        <v>[St. Jean-Gabriel Perboyre, CM](/tags/jean-gabriel-perboyre)</v>
      </c>
      <c r="CH18" s="29" t="str">
        <f>IF(LEN(AB18)&gt;1,GetTagPage(CE18,AB18),"")</f>
        <v>[Congregation of the Mission (Vincentians)](/tags/vincentians)</v>
      </c>
      <c r="CI18" s="29" t="str">
        <f t="shared" si="25"/>
        <v xml:space="preserve">| [St. Vincent de Paul, CM](/tags/vincent-de-paul), [St. Jean-Gabriel Perboyre, CM](/tags/jean-gabriel-perboyre), [Congregation of the Mission (Vincentians)](/tags/vincentians) </v>
      </c>
      <c r="CJ18" s="29" t="str">
        <f t="shared" si="26"/>
        <v xml:space="preserve">| [](/places/places\fr-paris-st-vincent-de-paul-chapel) </v>
      </c>
      <c r="CK18" s="29" t="str">
        <f>"| "&amp;IF(AS18,GetTagPage(C18,VLOOKUP(C18,'(Ref) Countries'!A:C,3,)),C18)&amp; " "</f>
        <v xml:space="preserve">| [France](/tags/france) </v>
      </c>
      <c r="CL18" s="29" t="str">
        <f t="shared" si="27"/>
        <v xml:space="preserve">|  </v>
      </c>
      <c r="CM18" s="29" t="str">
        <f t="shared" si="28"/>
        <v xml:space="preserve">| [Link](/places/places\fr-paris-st-vincent-de-paul-chapel) </v>
      </c>
      <c r="CN18" s="29" t="str">
        <f t="shared" si="29"/>
        <v xml:space="preserve">
| [](/places/places\fr-paris-st-vincent-de-paul-chapel) | [France](/tags/france) |  | [Link](/places/places\fr-paris-st-vincent-de-paul-chapel) | [St. Vincent de Paul, CM](/tags/vincent-de-paul), [St. Jean-Gabriel Perboyre, CM](/tags/jean-gabriel-perboyre), [Congregation of the Mission (Vincentians)](/tags/vincentians) |</v>
      </c>
    </row>
    <row r="19" spans="1:92" ht="38.25" x14ac:dyDescent="0.25">
      <c r="A19" s="167" t="s">
        <v>1317</v>
      </c>
      <c r="B19" s="168" t="s">
        <v>2482</v>
      </c>
      <c r="C19" s="83" t="s">
        <v>540</v>
      </c>
      <c r="D19" s="83" t="s">
        <v>1828</v>
      </c>
      <c r="E19" s="15">
        <v>48.373341813628898</v>
      </c>
      <c r="F19" s="49">
        <v>10.8960887661434</v>
      </c>
      <c r="G19" s="24" t="s">
        <v>1806</v>
      </c>
      <c r="H19" s="90" t="s">
        <v>1807</v>
      </c>
      <c r="I19" s="83" t="s">
        <v>1737</v>
      </c>
      <c r="L19" s="24" t="b">
        <v>1</v>
      </c>
      <c r="M19" s="83" t="s">
        <v>1815</v>
      </c>
      <c r="O19" s="15" t="s">
        <v>1808</v>
      </c>
      <c r="P19" s="15" t="s">
        <v>335</v>
      </c>
      <c r="Z19" s="91" t="s">
        <v>1809</v>
      </c>
      <c r="AA19" s="91" t="s">
        <v>1810</v>
      </c>
      <c r="AB19" s="91" t="s">
        <v>1813</v>
      </c>
      <c r="AS19" s="154" t="b">
        <f t="shared" si="1"/>
        <v>1</v>
      </c>
      <c r="AT19" s="155" t="str">
        <f t="shared" si="2"/>
        <v>title: "Diocesan Museum of St. Afra"</v>
      </c>
      <c r="AU19" s="155" t="str">
        <f t="shared" si="3"/>
        <v>location: {lat: 48.3733418136289, lng: 10.8960887661434}</v>
      </c>
      <c r="AV19" s="155" t="str">
        <f t="shared" si="4"/>
        <v>interest: regional</v>
      </c>
      <c r="AW19" s="155" t="str">
        <f>"- "&amp;VLOOKUP(C19,'(Ref) Countries'!A:C,3,)</f>
        <v>- germany</v>
      </c>
      <c r="AX19" s="155" t="str">
        <f t="shared" si="5"/>
        <v>- augsburg</v>
      </c>
      <c r="AY19" s="155" t="str">
        <f t="shared" si="6"/>
        <v/>
      </c>
      <c r="AZ19" s="155" t="str">
        <f t="shared" si="7"/>
        <v/>
      </c>
      <c r="BA19" s="155" t="str">
        <f t="shared" si="8"/>
        <v>- holy-persons</v>
      </c>
      <c r="BB19" s="155" t="str">
        <f t="shared" si="9"/>
        <v>- ulrich</v>
      </c>
      <c r="BC19" s="155" t="str">
        <f t="shared" si="10"/>
        <v>- afra</v>
      </c>
      <c r="BD19" s="155" t="str">
        <f t="shared" si="11"/>
        <v>- simpert</v>
      </c>
      <c r="BE19" s="155" t="str">
        <f t="shared" si="12"/>
        <v/>
      </c>
      <c r="BF19" s="155" t="str">
        <f t="shared" si="13"/>
        <v/>
      </c>
      <c r="BG19" s="155" t="str">
        <f t="shared" si="14"/>
        <v/>
      </c>
      <c r="BH19" s="155" t="str">
        <f t="shared" si="15"/>
        <v/>
      </c>
      <c r="BI19" s="155" t="str">
        <f t="shared" si="16"/>
        <v/>
      </c>
      <c r="BJ19" s="155" t="str">
        <f t="shared" si="17"/>
        <v/>
      </c>
      <c r="BK19" s="155" t="str">
        <f t="shared" si="18"/>
        <v/>
      </c>
      <c r="BL19" s="155" t="str">
        <f t="shared" si="19"/>
        <v xml:space="preserve">tags:
- germany_x000D_
- augsburg_x000D_
- holy-persons_x000D_
- ulrich_x000D_
- afra_x000D_
- simpert_x000D_
</v>
      </c>
      <c r="BM19" s="158" t="str">
        <f t="shared" si="30"/>
        <v>[Official site](https://www.museum-st-afra.de/en/)</v>
      </c>
      <c r="BN19" s="158" t="str">
        <f t="shared" si="31"/>
        <v/>
      </c>
      <c r="BO19" s="158" t="str">
        <f t="shared" si="32"/>
        <v/>
      </c>
      <c r="BP19" s="158" t="str">
        <f t="shared" si="33"/>
        <v/>
      </c>
      <c r="BQ19" s="155" t="str">
        <f t="shared" si="20"/>
        <v xml:space="preserve">* [Official site](https://www.museum-st-afra.de/en/)
</v>
      </c>
      <c r="BR19" s="155" t="str">
        <f t="shared" si="21"/>
        <v/>
      </c>
      <c r="BS19" s="155" t="str">
        <f t="shared" si="22"/>
        <v/>
      </c>
      <c r="BT19" s="155" t="str">
        <f t="shared" si="23"/>
        <v/>
      </c>
      <c r="BU19" s="155" t="str">
        <f>IF(LEN(concat(BR19:BT19))&gt;0,concat("| ",BR19," | ",BS19," | ",BT19," |"),"")</f>
        <v/>
      </c>
      <c r="BV19" s="155" t="str">
        <f t="shared" si="24"/>
        <v/>
      </c>
      <c r="BW19" s="155" t="str">
        <f>IF(LEN(BQ19&amp;BV19)&gt;0,concatll("#### More Information",BQ19,BV19),"")</f>
        <v xml:space="preserve">#### More Information_x000D_
_x000D_
* [Official site](https://www.museum-st-afra.de/en/)
_x000D_
_x000D_
</v>
      </c>
      <c r="BX19" s="155" t="str">
        <f>IF(LEN(N19)&gt;1,concatll("#### Author's Note",N19,"-"&amp;B19),"")</f>
        <v/>
      </c>
      <c r="BY19" s="155" t="s">
        <v>335</v>
      </c>
      <c r="BZ19" s="155" t="s">
        <v>335</v>
      </c>
      <c r="CA19" s="23" t="str">
        <f>IF(AS19,concatll(concatl("---",AT19:AV19,BL19,"---"),M19,BW19:BX19),"")</f>
        <v xml:space="preserve">---_x000D_
title: "Diocesan Museum of St. Afra"_x000D_
location: {lat: 48.3733418136289, lng: 10.8960887661434}_x000D_
interest: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23" t="str">
        <f>IF(AS19,"places\"&amp;VLOOKUP(C19,'(Ref) Countries'!A:B,2,)&amp;IF(LEN(D19)&gt;1,"-"&amp;LOWER(SUBSTITUTE(D19," ","-")),"")&amp;"-"&amp;LOWER(SUBSTITUTE(SUBSTITUTE(H19," ","-"),".",""))&amp;".md","")</f>
        <v>places\de-augsburg-diocesan-museum.md</v>
      </c>
      <c r="CC19" s="29" t="str">
        <f>IF(LEN(Z19)&gt;1,VLOOKUP(Z19,'Tag List'!$A:$B,2,),"")</f>
        <v>St. Ulrich</v>
      </c>
      <c r="CD19" s="29" t="str">
        <f>IF(LEN(AA19)&gt;1,VLOOKUP(AA19,'Tag List'!$A:$B,2,),"")</f>
        <v>St. Afra</v>
      </c>
      <c r="CE19" s="29" t="str">
        <f>IF(LEN(AB19)&gt;1,VLOOKUP(AB19,'Tag List'!$A:$B,2,),"")</f>
        <v>St. Simpert</v>
      </c>
      <c r="CF19" s="29" t="str">
        <f>IF(LEN(Z19)&gt;1,GetTagPage(CC19,Z19),"")</f>
        <v>[St. Ulrich](/tags/ulrich)</v>
      </c>
      <c r="CG19" s="29" t="str">
        <f>IF(LEN(AA19)&gt;1,GetTagPage(CD19,AA19),"")</f>
        <v>[St. Afra](/tags/afra)</v>
      </c>
      <c r="CH19" s="29" t="str">
        <f>IF(LEN(AB19)&gt;1,GetTagPage(CE19,AB19),"")</f>
        <v>[St. Simpert](/tags/simpert)</v>
      </c>
      <c r="CI19" s="29" t="str">
        <f t="shared" si="25"/>
        <v xml:space="preserve">| [St. Ulrich](/tags/ulrich), [St. Afra](/tags/afra), [St. Simpert](/tags/simpert) </v>
      </c>
      <c r="CJ19" s="29" t="str">
        <f t="shared" si="26"/>
        <v xml:space="preserve">| [](/places/places\de-augsburg-diocesan-museum) </v>
      </c>
      <c r="CK19" s="29" t="str">
        <f>"| "&amp;IF(AS19,GetTagPage(C19,VLOOKUP(C19,'(Ref) Countries'!A:C,3,)),C19)&amp; " "</f>
        <v xml:space="preserve">| [Germany](/tags/germany) </v>
      </c>
      <c r="CL19" s="29" t="str">
        <f t="shared" si="27"/>
        <v xml:space="preserve">|  </v>
      </c>
      <c r="CM19" s="29" t="str">
        <f t="shared" si="28"/>
        <v xml:space="preserve">| [Link](/places/places\de-augsburg-diocesan-museum) </v>
      </c>
      <c r="CN19" s="29" t="str">
        <f t="shared" si="29"/>
        <v xml:space="preserve">
| [](/places/places\de-augsburg-diocesan-museum) | [Germany](/tags/germany) |  | [Link](/places/places\de-augsburg-diocesan-museum) [Official site](https://www.museum-st-afra.de/en/)| [St. Ulrich](/tags/ulrich), [St. Afra](/tags/afra), [St. Simpert](/tags/simpert) |</v>
      </c>
    </row>
    <row r="20" spans="1:92" ht="25.5" x14ac:dyDescent="0.25">
      <c r="A20" s="167" t="s">
        <v>1317</v>
      </c>
      <c r="B20" s="168" t="s">
        <v>2482</v>
      </c>
      <c r="C20" s="24" t="s">
        <v>540</v>
      </c>
      <c r="D20" s="24" t="s">
        <v>1828</v>
      </c>
      <c r="E20" s="15">
        <v>48.372656224858602</v>
      </c>
      <c r="F20" s="49">
        <v>10.896980204558901</v>
      </c>
      <c r="G20" s="83" t="s">
        <v>1817</v>
      </c>
      <c r="H20" s="90" t="s">
        <v>1804</v>
      </c>
      <c r="I20" s="83" t="s">
        <v>1802</v>
      </c>
      <c r="J20" s="24" t="b">
        <v>1</v>
      </c>
      <c r="L20" s="24" t="b">
        <v>1</v>
      </c>
      <c r="M20" s="83" t="s">
        <v>1816</v>
      </c>
      <c r="O20" s="15" t="s">
        <v>1818</v>
      </c>
      <c r="P20" s="15" t="s">
        <v>335</v>
      </c>
      <c r="Z20" s="15" t="s">
        <v>1819</v>
      </c>
      <c r="AS20" s="154" t="b">
        <f t="shared" si="1"/>
        <v>1</v>
      </c>
      <c r="AT20" s="155" t="str">
        <f t="shared" si="2"/>
        <v>title: "Augsburg Cathedral (Augsburgur Dom)"</v>
      </c>
      <c r="AU20" s="155" t="str">
        <f t="shared" si="3"/>
        <v>location: {lat: 48.3726562248586, lng: 10.8969802045589}</v>
      </c>
      <c r="AV20" s="155" t="str">
        <f t="shared" si="4"/>
        <v>interest: local</v>
      </c>
      <c r="AW20" s="155" t="str">
        <f>"- "&amp;VLOOKUP(C20,'(Ref) Countries'!A:C,3,)</f>
        <v>- germany</v>
      </c>
      <c r="AX20" s="155" t="str">
        <f t="shared" si="5"/>
        <v>- augsburg</v>
      </c>
      <c r="AY20" s="155" t="str">
        <f t="shared" si="6"/>
        <v>- churches</v>
      </c>
      <c r="AZ20" s="155" t="str">
        <f t="shared" si="7"/>
        <v/>
      </c>
      <c r="BA20" s="155" t="str">
        <f t="shared" si="8"/>
        <v>- holy-persons</v>
      </c>
      <c r="BB20" s="155" t="str">
        <f t="shared" si="9"/>
        <v>- peter-canisius</v>
      </c>
      <c r="BC20" s="155" t="str">
        <f t="shared" si="10"/>
        <v/>
      </c>
      <c r="BD20" s="155" t="str">
        <f t="shared" si="11"/>
        <v/>
      </c>
      <c r="BE20" s="155" t="str">
        <f t="shared" si="12"/>
        <v/>
      </c>
      <c r="BF20" s="155" t="str">
        <f t="shared" si="13"/>
        <v/>
      </c>
      <c r="BG20" s="155" t="str">
        <f t="shared" si="14"/>
        <v/>
      </c>
      <c r="BH20" s="155" t="str">
        <f t="shared" si="15"/>
        <v/>
      </c>
      <c r="BI20" s="155" t="str">
        <f t="shared" si="16"/>
        <v/>
      </c>
      <c r="BJ20" s="155" t="str">
        <f t="shared" si="17"/>
        <v/>
      </c>
      <c r="BK20" s="155" t="str">
        <f t="shared" si="18"/>
        <v/>
      </c>
      <c r="BL20" s="155" t="str">
        <f t="shared" si="19"/>
        <v xml:space="preserve">tags:
- germany_x000D_
- augsburg_x000D_
- churches_x000D_
- holy-persons_x000D_
- peter-canisius_x000D_
</v>
      </c>
      <c r="BM20" s="158" t="str">
        <f t="shared" si="30"/>
        <v>[Official site](https://bistum-augsburg.de/Bistum/Unser-Bistum/Kathedrale/Hoher-Dom)</v>
      </c>
      <c r="BN20" s="158" t="str">
        <f t="shared" si="31"/>
        <v/>
      </c>
      <c r="BO20" s="158" t="str">
        <f t="shared" si="32"/>
        <v/>
      </c>
      <c r="BP20" s="158" t="str">
        <f t="shared" si="33"/>
        <v/>
      </c>
      <c r="BQ20" s="155" t="str">
        <f t="shared" si="20"/>
        <v xml:space="preserve">* [Official site](https://bistum-augsburg.de/Bistum/Unser-Bistum/Kathedrale/Hoher-Dom)
</v>
      </c>
      <c r="BR20" s="155" t="str">
        <f t="shared" si="21"/>
        <v/>
      </c>
      <c r="BS20" s="155" t="str">
        <f t="shared" si="22"/>
        <v/>
      </c>
      <c r="BT20" s="155" t="str">
        <f t="shared" si="23"/>
        <v/>
      </c>
      <c r="BU20" s="155" t="str">
        <f>IF(LEN(concat(BR20:BT20))&gt;0,concat("| ",BR20," | ",BS20," | ",BT20," |"),"")</f>
        <v/>
      </c>
      <c r="BV20" s="155" t="str">
        <f t="shared" si="24"/>
        <v/>
      </c>
      <c r="BW20" s="155" t="str">
        <f>IF(LEN(BQ20&amp;BV20)&gt;0,concatll("#### More Information",BQ20,BV20),"")</f>
        <v xml:space="preserve">#### More Information_x000D_
_x000D_
* [Official site](https://bistum-augsburg.de/Bistum/Unser-Bistum/Kathedrale/Hoher-Dom)
_x000D_
_x000D_
</v>
      </c>
      <c r="BX20" s="155" t="str">
        <f>IF(LEN(N20)&gt;1,concatll("#### Author's Note",N20,"-"&amp;B20),"")</f>
        <v/>
      </c>
      <c r="BY20" s="155" t="s">
        <v>335</v>
      </c>
      <c r="BZ20" s="155" t="s">
        <v>335</v>
      </c>
      <c r="CA20" s="23" t="str">
        <f>IF(AS20,concatll(concatl("---",AT20:AV20,BL20,"---"),M20,BW20:BX20),"")</f>
        <v xml:space="preserve">---_x000D_
title: "Augsburg Cathedral (Augsburgur Dom)"_x000D_
location: {lat: 48.3726562248586, lng: 10.8969802045589}_x000D_
interest: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23" t="str">
        <f>IF(AS20,"places\"&amp;VLOOKUP(C20,'(Ref) Countries'!A:B,2,)&amp;IF(LEN(D20)&gt;1,"-"&amp;LOWER(SUBSTITUTE(D20," ","-")),"")&amp;"-"&amp;LOWER(SUBSTITUTE(SUBSTITUTE(H20," ","-"),".",""))&amp;".md","")</f>
        <v>places\de-augsburg-cathedral.md</v>
      </c>
      <c r="CC20" s="29" t="str">
        <f>IF(LEN(Z20)&gt;1,VLOOKUP(Z20,'Tag List'!$A:$B,2,),"")</f>
        <v>St. Peter Canisius</v>
      </c>
      <c r="CD20" s="29" t="str">
        <f>IF(LEN(AA20)&gt;1,VLOOKUP(AA20,'Tag List'!$A:$B,2,),"")</f>
        <v/>
      </c>
      <c r="CE20" s="29" t="str">
        <f>IF(LEN(AB20)&gt;1,VLOOKUP(AB20,'Tag List'!$A:$B,2,),"")</f>
        <v/>
      </c>
      <c r="CF20" s="29" t="str">
        <f>IF(LEN(Z20)&gt;1,GetTagPage(CC20,Z20),"")</f>
        <v>[St. Peter Canisius](/tags/peter-canisius)</v>
      </c>
      <c r="CG20" s="29" t="str">
        <f>IF(LEN(AA20)&gt;1,GetTagPage(CD20,AA20),"")</f>
        <v/>
      </c>
      <c r="CH20" s="29" t="str">
        <f>IF(LEN(AB20)&gt;1,GetTagPage(CE20,AB20),"")</f>
        <v/>
      </c>
      <c r="CI20" s="29" t="str">
        <f t="shared" si="25"/>
        <v xml:space="preserve">| [St. Peter Canisius](/tags/peter-canisius) </v>
      </c>
      <c r="CJ20" s="29" t="str">
        <f t="shared" si="26"/>
        <v xml:space="preserve">| [](/places/places\de-augsburg-cathedral) </v>
      </c>
      <c r="CK20" s="29" t="str">
        <f>"| "&amp;IF(AS20,GetTagPage(C20,VLOOKUP(C20,'(Ref) Countries'!A:C,3,)),C20)&amp; " "</f>
        <v xml:space="preserve">| [Germany](/tags/germany) </v>
      </c>
      <c r="CL20" s="29" t="str">
        <f t="shared" si="27"/>
        <v xml:space="preserve">|  </v>
      </c>
      <c r="CM20" s="29" t="str">
        <f t="shared" si="28"/>
        <v xml:space="preserve">| [Link](/places/places\de-augsburg-cathedral) </v>
      </c>
      <c r="CN20" s="29" t="str">
        <f t="shared" si="29"/>
        <v xml:space="preserve">
| [](/places/places\de-augsburg-cathedral) | [Germany](/tags/germany) |  | [Link](/places/places\de-augsburg-cathedral) [Official site](https://bistum-augsburg.de/Bistum/Unser-Bistum/Kathedrale/Hoher-Dom)| [St. Peter Canisius](/tags/peter-canisius) |</v>
      </c>
    </row>
    <row r="21" spans="1:92" ht="25.5" x14ac:dyDescent="0.25">
      <c r="A21" s="167" t="s">
        <v>1317</v>
      </c>
      <c r="B21" s="24" t="s">
        <v>2482</v>
      </c>
      <c r="C21" s="24" t="s">
        <v>540</v>
      </c>
      <c r="D21" s="24" t="s">
        <v>1828</v>
      </c>
      <c r="E21" s="15">
        <v>48.372337108375902</v>
      </c>
      <c r="F21" s="49">
        <v>10.8944612321084</v>
      </c>
      <c r="G21" s="24" t="s">
        <v>1821</v>
      </c>
      <c r="H21" s="90" t="s">
        <v>1822</v>
      </c>
      <c r="I21" s="24" t="s">
        <v>1802</v>
      </c>
      <c r="M21" s="24" t="s">
        <v>1823</v>
      </c>
      <c r="N21" s="177" t="s">
        <v>2500</v>
      </c>
      <c r="P21" s="15" t="s">
        <v>335</v>
      </c>
      <c r="Z21" s="91" t="s">
        <v>1829</v>
      </c>
      <c r="AS21" s="154" t="b">
        <f t="shared" si="1"/>
        <v>1</v>
      </c>
      <c r="AT21" s="155" t="str">
        <f t="shared" si="2"/>
        <v>title: "Former Residence of the Prince-Bishop of Augsburg"</v>
      </c>
      <c r="AU21" s="155" t="str">
        <f t="shared" si="3"/>
        <v>location: {lat: 48.3723371083759, lng: 10.8944612321084}</v>
      </c>
      <c r="AV21" s="155" t="str">
        <f t="shared" si="4"/>
        <v>interest: local</v>
      </c>
      <c r="AW21" s="155" t="str">
        <f>"- "&amp;VLOOKUP(C21,'(Ref) Countries'!A:C,3,)</f>
        <v>- germany</v>
      </c>
      <c r="AX21" s="155" t="str">
        <f t="shared" si="5"/>
        <v>- augsburg</v>
      </c>
      <c r="AY21" s="155" t="str">
        <f t="shared" si="6"/>
        <v/>
      </c>
      <c r="AZ21" s="155" t="str">
        <f t="shared" si="7"/>
        <v/>
      </c>
      <c r="BA21" s="155" t="str">
        <f t="shared" si="8"/>
        <v/>
      </c>
      <c r="BB21" s="155" t="str">
        <f t="shared" si="9"/>
        <v>- reformation</v>
      </c>
      <c r="BC21" s="155" t="str">
        <f t="shared" si="10"/>
        <v/>
      </c>
      <c r="BD21" s="155" t="str">
        <f t="shared" si="11"/>
        <v/>
      </c>
      <c r="BE21" s="155" t="str">
        <f t="shared" si="12"/>
        <v/>
      </c>
      <c r="BF21" s="155" t="str">
        <f t="shared" si="13"/>
        <v/>
      </c>
      <c r="BG21" s="155" t="str">
        <f t="shared" si="14"/>
        <v/>
      </c>
      <c r="BH21" s="155" t="str">
        <f t="shared" si="15"/>
        <v/>
      </c>
      <c r="BI21" s="155" t="str">
        <f t="shared" si="16"/>
        <v/>
      </c>
      <c r="BJ21" s="155" t="str">
        <f t="shared" si="17"/>
        <v/>
      </c>
      <c r="BK21" s="155" t="str">
        <f t="shared" si="18"/>
        <v/>
      </c>
      <c r="BL21" s="155" t="str">
        <f t="shared" si="19"/>
        <v xml:space="preserve">tags:
- germany_x000D_
- augsburg_x000D_
- reformation_x000D_
</v>
      </c>
      <c r="BM21" s="158" t="str">
        <f t="shared" si="30"/>
        <v/>
      </c>
      <c r="BN21" s="158" t="str">
        <f t="shared" si="31"/>
        <v/>
      </c>
      <c r="BO21" s="158" t="str">
        <f t="shared" si="32"/>
        <v/>
      </c>
      <c r="BP21" s="158" t="str">
        <f t="shared" si="33"/>
        <v/>
      </c>
      <c r="BQ21" s="155" t="str">
        <f t="shared" si="20"/>
        <v/>
      </c>
      <c r="BR21" s="155" t="str">
        <f t="shared" si="21"/>
        <v/>
      </c>
      <c r="BS21" s="155" t="str">
        <f t="shared" si="22"/>
        <v/>
      </c>
      <c r="BT21" s="155" t="str">
        <f t="shared" si="23"/>
        <v/>
      </c>
      <c r="BU21" s="155" t="str">
        <f>IF(LEN(concat(BR21:BT21))&gt;0,concat("| ",BR21," | ",BS21," | ",BT21," |"),"")</f>
        <v/>
      </c>
      <c r="BV21" s="155" t="str">
        <f t="shared" si="24"/>
        <v/>
      </c>
      <c r="BW21" s="155" t="str">
        <f>IF(LEN(BQ21&amp;BV21)&gt;0,concatll("#### More Information",BQ21,BV21),"")</f>
        <v/>
      </c>
      <c r="BX21" s="155" t="str">
        <f>IF(LEN(N21)&gt;1,concatll("#### Author's Note",N21,"-"&amp;B21),"")</f>
        <v xml:space="preserve">#### Author's Note_x000D_
_x000D_
Let us pray for Christian unity and for our Protestant brethern to come to the True Faith._x000D_
_x000D_
-JPY_x000D_
_x000D_
</v>
      </c>
      <c r="BY21" s="155" t="s">
        <v>335</v>
      </c>
      <c r="BZ21" s="155" t="s">
        <v>335</v>
      </c>
      <c r="CA21" s="23" t="str">
        <f>IF(AS21,concatll(concatl("---",AT21:AV21,BL21,"---"),M21,BW21:BX21),"")</f>
        <v xml:space="preserve">---_x000D_
title: "Former Residence of the Prince-Bishop of Augsburg"_x000D_
location: {lat: 48.3723371083759, lng: 10.8944612321084}_x000D_
interest: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23" t="str">
        <f>IF(AS21,"places\"&amp;VLOOKUP(C21,'(Ref) Countries'!A:B,2,)&amp;IF(LEN(D21)&gt;1,"-"&amp;LOWER(SUBSTITUTE(D21," ","-")),"")&amp;"-"&amp;LOWER(SUBSTITUTE(SUBSTITUTE(H21," ","-"),".",""))&amp;".md","")</f>
        <v>places\de-augsburg-prince-bishop-residence.md</v>
      </c>
      <c r="CC21" s="29" t="str">
        <f>IF(LEN(Z21)&gt;1,VLOOKUP(Z21,'Tag List'!$A:$B,2,),"")</f>
        <v>Protestant Reformation</v>
      </c>
      <c r="CD21" s="29" t="str">
        <f>IF(LEN(AA21)&gt;1,VLOOKUP(AA21,'Tag List'!$A:$B,2,),"")</f>
        <v/>
      </c>
      <c r="CE21" s="29" t="str">
        <f>IF(LEN(AB21)&gt;1,VLOOKUP(AB21,'Tag List'!$A:$B,2,),"")</f>
        <v/>
      </c>
      <c r="CF21" s="29" t="str">
        <f>IF(LEN(Z21)&gt;1,GetTagPage(CC21,Z21),"")</f>
        <v>[Protestant Reformation](/tags/reformation)</v>
      </c>
      <c r="CG21" s="29" t="str">
        <f>IF(LEN(AA21)&gt;1,GetTagPage(CD21,AA21),"")</f>
        <v/>
      </c>
      <c r="CH21" s="29" t="str">
        <f>IF(LEN(AB21)&gt;1,GetTagPage(CE21,AB21),"")</f>
        <v/>
      </c>
      <c r="CI21" s="29" t="str">
        <f t="shared" si="25"/>
        <v xml:space="preserve">| [Protestant Reformation](/tags/reformation) </v>
      </c>
      <c r="CJ21" s="29" t="str">
        <f t="shared" si="26"/>
        <v xml:space="preserve">| [](/places/places\de-augsburg-prince-bishop-residence) </v>
      </c>
      <c r="CK21" s="29" t="str">
        <f>"| "&amp;IF(AS21,GetTagPage(C21,VLOOKUP(C21,'(Ref) Countries'!A:C,3,)),C21)&amp; " "</f>
        <v xml:space="preserve">| [Germany](/tags/germany) </v>
      </c>
      <c r="CL21" s="29" t="str">
        <f t="shared" si="27"/>
        <v xml:space="preserve">|  </v>
      </c>
      <c r="CM21" s="29" t="str">
        <f t="shared" si="28"/>
        <v xml:space="preserve">| [Link](/places/places\de-augsburg-prince-bishop-residence) </v>
      </c>
      <c r="CN21" s="29" t="str">
        <f t="shared" si="29"/>
        <v xml:space="preserve">
| [](/places/places\de-augsburg-prince-bishop-residence) | [Germany](/tags/germany) |  | [Link](/places/places\de-augsburg-prince-bishop-residence) | [Protestant Reformation](/tags/reformation) |</v>
      </c>
    </row>
    <row r="22" spans="1:92" ht="51" x14ac:dyDescent="0.25">
      <c r="A22" s="167" t="s">
        <v>1317</v>
      </c>
      <c r="B22" s="24" t="s">
        <v>2482</v>
      </c>
      <c r="C22" s="24" t="s">
        <v>540</v>
      </c>
      <c r="D22" s="24" t="s">
        <v>1828</v>
      </c>
      <c r="E22" s="15">
        <v>48.361479239335097</v>
      </c>
      <c r="F22" s="49">
        <v>10.9000712149692</v>
      </c>
      <c r="G22" s="24" t="s">
        <v>1824</v>
      </c>
      <c r="H22" s="90" t="s">
        <v>1825</v>
      </c>
      <c r="I22" s="83" t="s">
        <v>1737</v>
      </c>
      <c r="J22" s="24" t="b">
        <v>1</v>
      </c>
      <c r="L22" s="24" t="b">
        <v>1</v>
      </c>
      <c r="M22" s="83" t="s">
        <v>1826</v>
      </c>
      <c r="N22" s="177" t="s">
        <v>2501</v>
      </c>
      <c r="O22" s="15" t="s">
        <v>1827</v>
      </c>
      <c r="P22" s="15" t="s">
        <v>335</v>
      </c>
      <c r="Z22" s="15" t="s">
        <v>1809</v>
      </c>
      <c r="AA22" s="15" t="s">
        <v>1810</v>
      </c>
      <c r="AB22" s="15" t="s">
        <v>1813</v>
      </c>
      <c r="AS22" s="154" t="b">
        <f t="shared" si="1"/>
        <v>1</v>
      </c>
      <c r="AT22" s="155" t="str">
        <f t="shared" si="2"/>
        <v>title: "Basilica of Sts. Ulrich and Afra"</v>
      </c>
      <c r="AU22" s="155" t="str">
        <f t="shared" si="3"/>
        <v>location: {lat: 48.3614792393351, lng: 10.9000712149692}</v>
      </c>
      <c r="AV22" s="155" t="str">
        <f t="shared" si="4"/>
        <v>interest: regional</v>
      </c>
      <c r="AW22" s="155" t="str">
        <f>"- "&amp;VLOOKUP(C22,'(Ref) Countries'!A:C,3,)</f>
        <v>- germany</v>
      </c>
      <c r="AX22" s="155" t="str">
        <f t="shared" si="5"/>
        <v>- augsburg</v>
      </c>
      <c r="AY22" s="155" t="str">
        <f t="shared" si="6"/>
        <v>- churches</v>
      </c>
      <c r="AZ22" s="155" t="str">
        <f t="shared" si="7"/>
        <v/>
      </c>
      <c r="BA22" s="155" t="str">
        <f t="shared" si="8"/>
        <v>- holy-persons</v>
      </c>
      <c r="BB22" s="155" t="str">
        <f t="shared" si="9"/>
        <v>- ulrich</v>
      </c>
      <c r="BC22" s="155" t="str">
        <f t="shared" si="10"/>
        <v>- afra</v>
      </c>
      <c r="BD22" s="155" t="str">
        <f t="shared" si="11"/>
        <v>- simpert</v>
      </c>
      <c r="BE22" s="155" t="str">
        <f t="shared" si="12"/>
        <v/>
      </c>
      <c r="BF22" s="155" t="str">
        <f t="shared" si="13"/>
        <v/>
      </c>
      <c r="BG22" s="155" t="str">
        <f t="shared" si="14"/>
        <v/>
      </c>
      <c r="BH22" s="155" t="str">
        <f t="shared" si="15"/>
        <v/>
      </c>
      <c r="BI22" s="155" t="str">
        <f t="shared" si="16"/>
        <v/>
      </c>
      <c r="BJ22" s="155" t="str">
        <f t="shared" si="17"/>
        <v/>
      </c>
      <c r="BK22" s="155" t="str">
        <f t="shared" si="18"/>
        <v/>
      </c>
      <c r="BL22" s="155" t="str">
        <f t="shared" si="19"/>
        <v xml:space="preserve">tags:
- germany_x000D_
- augsburg_x000D_
- churches_x000D_
- holy-persons_x000D_
- ulrich_x000D_
- afra_x000D_
- simpert_x000D_
</v>
      </c>
      <c r="BM22" s="158" t="str">
        <f t="shared" si="30"/>
        <v>[Official site](https://ulrich-afra-anton.de)</v>
      </c>
      <c r="BN22" s="158" t="str">
        <f t="shared" si="31"/>
        <v/>
      </c>
      <c r="BO22" s="158" t="str">
        <f t="shared" si="32"/>
        <v/>
      </c>
      <c r="BP22" s="158" t="str">
        <f t="shared" si="33"/>
        <v/>
      </c>
      <c r="BQ22" s="155" t="str">
        <f t="shared" si="20"/>
        <v xml:space="preserve">* [Official site](https://ulrich-afra-anton.de)
</v>
      </c>
      <c r="BR22" s="155" t="str">
        <f t="shared" si="21"/>
        <v/>
      </c>
      <c r="BS22" s="155" t="str">
        <f t="shared" si="22"/>
        <v/>
      </c>
      <c r="BT22" s="155" t="str">
        <f t="shared" si="23"/>
        <v/>
      </c>
      <c r="BU22" s="155" t="str">
        <f>IF(LEN(concat(BR22:BT22))&gt;0,concat("| ",BR22," | ",BS22," | ",BT22," |"),"")</f>
        <v/>
      </c>
      <c r="BV22" s="155" t="str">
        <f t="shared" si="24"/>
        <v/>
      </c>
      <c r="BW22" s="155" t="str">
        <f>IF(LEN(BQ22&amp;BV22)&gt;0,concatll("#### More Information",BQ22,BV22),"")</f>
        <v xml:space="preserve">#### More Information_x000D_
_x000D_
* [Official site](https://ulrich-afra-anton.de)
_x000D_
_x000D_
</v>
      </c>
      <c r="BX22" s="155"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55" t="s">
        <v>335</v>
      </c>
      <c r="BZ22" s="155" t="s">
        <v>335</v>
      </c>
      <c r="CA22" s="23" t="str">
        <f>IF(AS22,concatll(concatl("---",AT22:AV22,BL22,"---"),M22,BW22:BX22),"")</f>
        <v xml:space="preserve">---_x000D_
title: "Basilica of Sts. Ulrich and Afra"_x000D_
location: {lat: 48.3614792393351, lng: 10.9000712149692}_x000D_
interest: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23" t="str">
        <f>IF(AS22,"places\"&amp;VLOOKUP(C22,'(Ref) Countries'!A:B,2,)&amp;IF(LEN(D22)&gt;1,"-"&amp;LOWER(SUBSTITUTE(D22," ","-")),"")&amp;"-"&amp;LOWER(SUBSTITUTE(SUBSTITUTE(H22," ","-"),".",""))&amp;".md","")</f>
        <v>places\de-augsburg-basilica-of-sts-ulrich-and-afra.md</v>
      </c>
      <c r="CC22" s="29" t="str">
        <f>IF(LEN(Z22)&gt;1,VLOOKUP(Z22,'Tag List'!$A:$B,2,),"")</f>
        <v>St. Ulrich</v>
      </c>
      <c r="CD22" s="29" t="str">
        <f>IF(LEN(AA22)&gt;1,VLOOKUP(AA22,'Tag List'!$A:$B,2,),"")</f>
        <v>St. Afra</v>
      </c>
      <c r="CE22" s="29" t="str">
        <f>IF(LEN(AB22)&gt;1,VLOOKUP(AB22,'Tag List'!$A:$B,2,),"")</f>
        <v>St. Simpert</v>
      </c>
      <c r="CF22" s="29" t="str">
        <f>IF(LEN(Z22)&gt;1,GetTagPage(CC22,Z22),"")</f>
        <v>[St. Ulrich](/tags/ulrich)</v>
      </c>
      <c r="CG22" s="29" t="str">
        <f>IF(LEN(AA22)&gt;1,GetTagPage(CD22,AA22),"")</f>
        <v>[St. Afra](/tags/afra)</v>
      </c>
      <c r="CH22" s="29" t="str">
        <f>IF(LEN(AB22)&gt;1,GetTagPage(CE22,AB22),"")</f>
        <v>[St. Simpert](/tags/simpert)</v>
      </c>
      <c r="CI22" s="29" t="str">
        <f t="shared" si="25"/>
        <v xml:space="preserve">| [St. Ulrich](/tags/ulrich), [St. Afra](/tags/afra), [St. Simpert](/tags/simpert) </v>
      </c>
      <c r="CJ22" s="29" t="str">
        <f t="shared" si="26"/>
        <v xml:space="preserve">| [](/places/places\de-augsburg-basilica-of-sts-ulrich-and-afra) </v>
      </c>
      <c r="CK22" s="29" t="str">
        <f>"| "&amp;IF(AS22,GetTagPage(C22,VLOOKUP(C22,'(Ref) Countries'!A:C,3,)),C22)&amp; " "</f>
        <v xml:space="preserve">| [Germany](/tags/germany) </v>
      </c>
      <c r="CL22" s="29" t="str">
        <f t="shared" si="27"/>
        <v xml:space="preserve">|  </v>
      </c>
      <c r="CM22" s="29" t="str">
        <f t="shared" si="28"/>
        <v xml:space="preserve">| [Link](/places/places\de-augsburg-basilica-of-sts-ulrich-and-afra) </v>
      </c>
      <c r="CN22" s="29" t="str">
        <f t="shared" si="29"/>
        <v xml:space="preserve">
| [](/places/places\de-augsburg-basilica-of-sts-ulrich-and-afra) | [Germany](/tags/germany) |  | [Link](/places/places\de-augsburg-basilica-of-sts-ulrich-and-afra) [Official site](https://ulrich-afra-anton.de)| [St. Ulrich](/tags/ulrich), [St. Afra](/tags/afra), [St. Simpert](/tags/simpert) |</v>
      </c>
    </row>
    <row r="23" spans="1:92" ht="38.25" x14ac:dyDescent="0.25">
      <c r="A23" s="167" t="s">
        <v>1317</v>
      </c>
      <c r="B23" s="168" t="s">
        <v>2481</v>
      </c>
      <c r="C23" s="83" t="s">
        <v>570</v>
      </c>
      <c r="D23" s="83" t="s">
        <v>1835</v>
      </c>
      <c r="E23" s="15">
        <v>14.638171</v>
      </c>
      <c r="F23" s="49">
        <v>-91.229102999999995</v>
      </c>
      <c r="G23" s="83" t="s">
        <v>1833</v>
      </c>
      <c r="H23" s="90" t="s">
        <v>1834</v>
      </c>
      <c r="I23" s="83" t="s">
        <v>1737</v>
      </c>
      <c r="J23" s="83" t="b">
        <v>1</v>
      </c>
      <c r="L23" s="24" t="b">
        <v>1</v>
      </c>
      <c r="M23" s="83" t="s">
        <v>1838</v>
      </c>
      <c r="P23" s="15" t="s">
        <v>335</v>
      </c>
      <c r="Z23" s="91" t="s">
        <v>1836</v>
      </c>
      <c r="AS23" s="154" t="b">
        <f t="shared" si="1"/>
        <v>1</v>
      </c>
      <c r="AT23" s="155" t="str">
        <f t="shared" si="2"/>
        <v>title: "Church of St. James the Apostle (Iglesia Santiago Apostol)"</v>
      </c>
      <c r="AU23" s="155" t="str">
        <f t="shared" si="3"/>
        <v>location: {lat: 14.638171, lng: -91.229103}</v>
      </c>
      <c r="AV23" s="155" t="str">
        <f t="shared" si="4"/>
        <v>interest: regional</v>
      </c>
      <c r="AW23" s="155" t="str">
        <f>"- "&amp;VLOOKUP(C23,'(Ref) Countries'!A:C,3,)</f>
        <v>- guatemala</v>
      </c>
      <c r="AX23" s="155" t="str">
        <f t="shared" si="5"/>
        <v>- atitlan</v>
      </c>
      <c r="AY23" s="155" t="str">
        <f t="shared" si="6"/>
        <v>- churches</v>
      </c>
      <c r="AZ23" s="155" t="str">
        <f t="shared" si="7"/>
        <v/>
      </c>
      <c r="BA23" s="155" t="str">
        <f t="shared" si="8"/>
        <v>- holy-persons</v>
      </c>
      <c r="BB23" s="155" t="str">
        <f t="shared" si="9"/>
        <v>- stanley-rother</v>
      </c>
      <c r="BC23" s="155" t="str">
        <f t="shared" si="10"/>
        <v/>
      </c>
      <c r="BD23" s="155" t="str">
        <f t="shared" si="11"/>
        <v/>
      </c>
      <c r="BE23" s="155" t="str">
        <f t="shared" si="12"/>
        <v/>
      </c>
      <c r="BF23" s="155" t="str">
        <f t="shared" si="13"/>
        <v/>
      </c>
      <c r="BG23" s="155" t="str">
        <f t="shared" si="14"/>
        <v/>
      </c>
      <c r="BH23" s="155" t="str">
        <f t="shared" si="15"/>
        <v/>
      </c>
      <c r="BI23" s="155" t="str">
        <f t="shared" si="16"/>
        <v/>
      </c>
      <c r="BJ23" s="155" t="str">
        <f t="shared" si="17"/>
        <v/>
      </c>
      <c r="BK23" s="155" t="str">
        <f t="shared" si="18"/>
        <v/>
      </c>
      <c r="BL23" s="155" t="str">
        <f t="shared" si="19"/>
        <v xml:space="preserve">tags:
- guatemala_x000D_
- atitlan_x000D_
- churches_x000D_
- holy-persons_x000D_
- stanley-rother_x000D_
</v>
      </c>
      <c r="BM23" s="158" t="str">
        <f t="shared" si="30"/>
        <v/>
      </c>
      <c r="BN23" s="158" t="str">
        <f t="shared" si="31"/>
        <v/>
      </c>
      <c r="BO23" s="158" t="str">
        <f t="shared" si="32"/>
        <v/>
      </c>
      <c r="BP23" s="158" t="str">
        <f t="shared" si="33"/>
        <v/>
      </c>
      <c r="BQ23" s="155" t="str">
        <f t="shared" si="20"/>
        <v/>
      </c>
      <c r="BR23" s="155" t="str">
        <f t="shared" si="21"/>
        <v/>
      </c>
      <c r="BS23" s="155" t="str">
        <f t="shared" si="22"/>
        <v/>
      </c>
      <c r="BT23" s="155" t="str">
        <f t="shared" si="23"/>
        <v/>
      </c>
      <c r="BU23" s="155" t="str">
        <f>IF(LEN(concat(BR23:BT23))&gt;0,concat("| ",BR23," | ",BS23," | ",BT23," |"),"")</f>
        <v/>
      </c>
      <c r="BV23" s="155" t="str">
        <f t="shared" si="24"/>
        <v/>
      </c>
      <c r="BW23" s="155" t="str">
        <f>IF(LEN(BQ23&amp;BV23)&gt;0,concatll("#### More Information",BQ23,BV23),"")</f>
        <v/>
      </c>
      <c r="BX23" s="155" t="str">
        <f>IF(LEN(N23)&gt;1,concatll("#### Author's Note",N23,"-"&amp;B23),"")</f>
        <v/>
      </c>
      <c r="BY23" s="155" t="s">
        <v>335</v>
      </c>
      <c r="BZ23" s="155" t="s">
        <v>335</v>
      </c>
      <c r="CA23" s="23" t="str">
        <f>IF(AS23,concatll(concatl("---",AT23:AV23,BL23,"---"),M23,BW23:BX23),"")</f>
        <v xml:space="preserve">---_x000D_
title: "Church of St. James the Apostle (Iglesia Santiago Apostol)"_x000D_
location: {lat: 14.638171, lng: -91.229103}_x000D_
interest: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23" t="str">
        <f>IF(AS23,"places\"&amp;VLOOKUP(C23,'(Ref) Countries'!A:B,2,)&amp;IF(LEN(D23)&gt;1,"-"&amp;LOWER(SUBSTITUTE(D23," ","-")),"")&amp;"-"&amp;LOWER(SUBSTITUTE(SUBSTITUTE(H23," ","-"),".",""))&amp;".md","")</f>
        <v>places\gt-atitlan-iglesia-santiago-apostol.md</v>
      </c>
      <c r="CC23" s="29" t="str">
        <f>IF(LEN(Z23)&gt;1,VLOOKUP(Z23,'Tag List'!$A:$B,2,),"")</f>
        <v>Bl. Stanley Rother</v>
      </c>
      <c r="CD23" s="29" t="str">
        <f>IF(LEN(AA23)&gt;1,VLOOKUP(AA23,'Tag List'!$A:$B,2,),"")</f>
        <v/>
      </c>
      <c r="CE23" s="29" t="str">
        <f>IF(LEN(AB23)&gt;1,VLOOKUP(AB23,'Tag List'!$A:$B,2,),"")</f>
        <v/>
      </c>
      <c r="CF23" s="29" t="str">
        <f>IF(LEN(Z23)&gt;1,GetTagPage(CC23,Z23),"")</f>
        <v>[Bl. Stanley Rother](/tags/stanley-rother)</v>
      </c>
      <c r="CG23" s="29" t="str">
        <f>IF(LEN(AA23)&gt;1,GetTagPage(CD23,AA23),"")</f>
        <v/>
      </c>
      <c r="CH23" s="29" t="str">
        <f>IF(LEN(AB23)&gt;1,GetTagPage(CE23,AB23),"")</f>
        <v/>
      </c>
      <c r="CI23" s="29" t="str">
        <f t="shared" si="25"/>
        <v xml:space="preserve">| [Bl. Stanley Rother](/tags/stanley-rother) </v>
      </c>
      <c r="CJ23" s="29" t="str">
        <f t="shared" si="26"/>
        <v xml:space="preserve">| [](/places/places\gt-atitlan-iglesia-santiago-apostol) </v>
      </c>
      <c r="CK23" s="29" t="str">
        <f>"| "&amp;IF(AS23,GetTagPage(C23,VLOOKUP(C23,'(Ref) Countries'!A:C,3,)),C23)&amp; " "</f>
        <v xml:space="preserve">| [Guatemala](/tags/guatemala) </v>
      </c>
      <c r="CL23" s="29" t="str">
        <f t="shared" si="27"/>
        <v xml:space="preserve">|  </v>
      </c>
      <c r="CM23" s="29" t="str">
        <f t="shared" si="28"/>
        <v xml:space="preserve">| [Link](/places/places\gt-atitlan-iglesia-santiago-apostol) </v>
      </c>
      <c r="CN23" s="29" t="str">
        <f t="shared" si="29"/>
        <v xml:space="preserve">
| [](/places/places\gt-atitlan-iglesia-santiago-apostol) | [Guatemala](/tags/guatemala) |  | [Link](/places/places\gt-atitlan-iglesia-santiago-apostol) | [Bl. Stanley Rother](/tags/stanley-rother) |</v>
      </c>
    </row>
    <row r="24" spans="1:92" ht="63.75" x14ac:dyDescent="0.25">
      <c r="A24" s="167" t="s">
        <v>1317</v>
      </c>
      <c r="B24" s="32" t="s">
        <v>2481</v>
      </c>
      <c r="C24" s="32" t="s">
        <v>2</v>
      </c>
      <c r="D24" s="165"/>
      <c r="E24" s="15">
        <v>9.7544459999999997</v>
      </c>
      <c r="F24" s="49">
        <v>76.564819999999997</v>
      </c>
      <c r="G24" s="32" t="s">
        <v>1395</v>
      </c>
      <c r="H24" s="57" t="s">
        <v>1396</v>
      </c>
      <c r="I24" s="32" t="s">
        <v>1711</v>
      </c>
      <c r="J24" s="40" t="b">
        <v>1</v>
      </c>
      <c r="K24" s="165" t="b">
        <v>1</v>
      </c>
      <c r="L24" s="165"/>
      <c r="M24" s="24" t="s">
        <v>1393</v>
      </c>
      <c r="O24" s="16" t="s">
        <v>101</v>
      </c>
      <c r="P24" s="16" t="s">
        <v>335</v>
      </c>
      <c r="Q24" s="59"/>
      <c r="R24" s="16"/>
      <c r="S24" s="63"/>
      <c r="T24" s="59"/>
      <c r="U24" s="16"/>
      <c r="V24" s="63"/>
      <c r="W24" s="16"/>
      <c r="X24" s="16"/>
      <c r="Y24" s="50"/>
      <c r="Z24" s="34" t="s">
        <v>1399</v>
      </c>
      <c r="AA24" s="34"/>
      <c r="AB24" s="34"/>
      <c r="AC24" s="34"/>
      <c r="AD24" s="34"/>
      <c r="AE24" s="34"/>
      <c r="AF24" s="34"/>
      <c r="AG24" s="34"/>
      <c r="AH24" s="34"/>
      <c r="AI24" s="34"/>
      <c r="AJ24" s="85" t="s">
        <v>1394</v>
      </c>
      <c r="AK24" s="86">
        <v>335</v>
      </c>
      <c r="AL24" s="33" t="s">
        <v>335</v>
      </c>
      <c r="AM24" s="15" t="s">
        <v>335</v>
      </c>
      <c r="AN24" s="16" t="s">
        <v>1397</v>
      </c>
      <c r="AO24" s="33" t="s">
        <v>1398</v>
      </c>
      <c r="AP24" s="33" t="s">
        <v>335</v>
      </c>
      <c r="AQ24" s="51" t="s">
        <v>335</v>
      </c>
      <c r="AS24" s="154" t="b">
        <f t="shared" si="1"/>
        <v>1</v>
      </c>
      <c r="AT24" s="155" t="str">
        <f t="shared" si="2"/>
        <v>title: "Major Archiepiscopal Marth Mariam Archdeacon Pilgrim Church at Kuravilangad"</v>
      </c>
      <c r="AU24" s="155" t="str">
        <f t="shared" si="3"/>
        <v>location: {lat: 9.754446, lng: 76.56482}</v>
      </c>
      <c r="AV24" s="155" t="str">
        <f t="shared" si="4"/>
        <v>interest: global</v>
      </c>
      <c r="AW24" s="155" t="str">
        <f>"- "&amp;VLOOKUP(C24,'(Ref) Countries'!A:C,3,)</f>
        <v>- india</v>
      </c>
      <c r="AX24" s="155" t="str">
        <f t="shared" si="5"/>
        <v/>
      </c>
      <c r="AY24" s="155" t="str">
        <f t="shared" si="6"/>
        <v>- churches</v>
      </c>
      <c r="AZ24" s="155" t="str">
        <f t="shared" si="7"/>
        <v>- marian-sites</v>
      </c>
      <c r="BA24" s="155" t="str">
        <f t="shared" si="8"/>
        <v/>
      </c>
      <c r="BB24" s="155" t="str">
        <f t="shared" si="9"/>
        <v>- syro-malabar</v>
      </c>
      <c r="BC24" s="155" t="str">
        <f t="shared" si="10"/>
        <v/>
      </c>
      <c r="BD24" s="155" t="str">
        <f t="shared" si="11"/>
        <v/>
      </c>
      <c r="BE24" s="155" t="str">
        <f t="shared" si="12"/>
        <v/>
      </c>
      <c r="BF24" s="155" t="str">
        <f t="shared" si="13"/>
        <v/>
      </c>
      <c r="BG24" s="155" t="str">
        <f t="shared" si="14"/>
        <v/>
      </c>
      <c r="BH24" s="155" t="str">
        <f t="shared" si="15"/>
        <v/>
      </c>
      <c r="BI24" s="155" t="str">
        <f t="shared" si="16"/>
        <v/>
      </c>
      <c r="BJ24" s="155" t="str">
        <f t="shared" si="17"/>
        <v/>
      </c>
      <c r="BK24" s="155" t="str">
        <f t="shared" si="18"/>
        <v/>
      </c>
      <c r="BL24" s="155" t="str">
        <f t="shared" si="19"/>
        <v xml:space="preserve">tags:
- india_x000D_
- churches_x000D_
- marian-sites_x000D_
- syro-malabar_x000D_
</v>
      </c>
      <c r="BM24" s="158" t="str">
        <f t="shared" si="30"/>
        <v>[Official site](http://kuravilangadpally.com/)</v>
      </c>
      <c r="BN24" s="158" t="str">
        <f t="shared" si="31"/>
        <v/>
      </c>
      <c r="BO24" s="158" t="str">
        <f t="shared" si="32"/>
        <v/>
      </c>
      <c r="BP24" s="158" t="str">
        <f t="shared" si="33"/>
        <v/>
      </c>
      <c r="BQ24" s="158" t="str">
        <f t="shared" si="20"/>
        <v xml:space="preserve">* [Official site](http://kuravilangadpally.com/)
</v>
      </c>
      <c r="BR24" s="158" t="str">
        <f t="shared" si="21"/>
        <v/>
      </c>
      <c r="BS24" s="158" t="str">
        <f t="shared" si="22"/>
        <v>[Link](https://www.miraclehunter.com/marian_apparitions/approved_apparitions/apparitions_0040-0999.html) (Search "Kuravilangad")</v>
      </c>
      <c r="BT24" s="158" t="str">
        <f t="shared" si="23"/>
        <v/>
      </c>
      <c r="BU24" s="158" t="str">
        <f>IF(LEN(concat(BR24:BT24))&gt;0,concat("| ",BR24," | ",BS24," | ",BT24," |"),"")</f>
        <v>|  | [Link](https://www.miraclehunter.com/marian_apparitions/approved_apparitions/apparitions_0040-0999.html) (Search "Kuravilangad") |  |</v>
      </c>
      <c r="BV24" s="155" t="str">
        <f t="shared" si="24"/>
        <v xml:space="preserve">| The Real Presence | Miracle Hunter | MaryPages |_x000D_
| --- | --- | --- |_x000D_
|  | [Link](https://www.miraclehunter.com/marian_apparitions/approved_apparitions/apparitions_0040-0999.html) (Search "Kuravilangad") |  |_x000D_
</v>
      </c>
      <c r="BW24" s="155"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55" t="str">
        <f>IF(LEN(N24)&gt;1,concatll("#### Author's Note",N24,"-"&amp;B24),"")</f>
        <v/>
      </c>
      <c r="BY24" s="155" t="s">
        <v>335</v>
      </c>
      <c r="BZ24" s="155" t="s">
        <v>335</v>
      </c>
      <c r="CA24" s="23" t="str">
        <f>IF(AS24,concatll(concatl("---",AT24:AV24,BL24,"---"),M24,BW24:BX24),"")</f>
        <v xml:space="preserve">---_x000D_
title: "Major Archiepiscopal Marth Mariam Archdeacon Pilgrim Church at Kuravilangad"_x000D_
location: {lat: 9.754446, lng: 76.56482}_x000D_
interest: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23" t="str">
        <f>IF(AS24,"places\"&amp;VLOOKUP(C24,'(Ref) Countries'!A:B,2,)&amp;IF(LEN(D24)&gt;1,"-"&amp;LOWER(SUBSTITUTE(D24," ","-")),"")&amp;"-"&amp;LOWER(SUBSTITUTE(SUBSTITUTE(H24," ","-"),".",""))&amp;".md","")</f>
        <v>places\in-marth-mariam-archdeacon-pilgrim-church-at-kuravilangad.md</v>
      </c>
      <c r="CC24" s="29" t="str">
        <f>IF(LEN(Z24)&gt;1,VLOOKUP(Z24,'Tag List'!$A:$B,2,),"")</f>
        <v>Syro-Malabar Church</v>
      </c>
      <c r="CD24" s="29" t="str">
        <f>IF(LEN(AA24)&gt;1,VLOOKUP(AA24,'Tag List'!$A:$B,2,),"")</f>
        <v/>
      </c>
      <c r="CE24" s="29" t="str">
        <f>IF(LEN(AB24)&gt;1,VLOOKUP(AB24,'Tag List'!$A:$B,2,),"")</f>
        <v/>
      </c>
      <c r="CF24" s="30" t="str">
        <f>IF(LEN(Z24)&gt;1,GetTagPage(CC24,Z24),"")</f>
        <v>[Syro-Malabar Church](/tags/syro-malabar)</v>
      </c>
      <c r="CG24" s="30" t="str">
        <f>IF(LEN(AA24)&gt;1,GetTagPage(CD24,AA24),"")</f>
        <v/>
      </c>
      <c r="CH24" s="30" t="str">
        <f>IF(LEN(AB24)&gt;1,GetTagPage(CE24,AB24),"")</f>
        <v/>
      </c>
      <c r="CI24" s="30" t="str">
        <f t="shared" si="25"/>
        <v xml:space="preserve">| [Syro-Malabar Church](/tags/syro-malabar) </v>
      </c>
      <c r="CJ24" s="30" t="str">
        <f t="shared" si="26"/>
        <v xml:space="preserve">| [Kuravilangad](/places/places\in-marth-mariam-archdeacon-pilgrim-church-at-kuravilangad) </v>
      </c>
      <c r="CK24" s="30" t="str">
        <f>"| "&amp;IF(AS24,GetTagPage(C24,VLOOKUP(C24,'(Ref) Countries'!A:C,3,)),C24)&amp; " "</f>
        <v xml:space="preserve">| [India](/tags/india) </v>
      </c>
      <c r="CL24" s="30" t="str">
        <f t="shared" si="27"/>
        <v xml:space="preserve">| 335 </v>
      </c>
      <c r="CM24" s="30" t="str">
        <f t="shared" si="28"/>
        <v xml:space="preserve">| [Link](/places/places\in-marth-mariam-archdeacon-pilgrim-church-at-kuravilangad) </v>
      </c>
      <c r="CN24" s="29" t="str">
        <f t="shared" si="29"/>
        <v xml:space="preserve">
| [Kuravilangad](/places/places\in-marth-mariam-archdeacon-pilgrim-church-at-kuravilangad) | [India](/tags/india) | 335 | [Link](/places/places\in-marth-mariam-archdeacon-pilgrim-church-at-kuravilangad) [Official site](http://kuravilangadpally.com/)[Link](https://www.miraclehunter.com/marian_apparitions/approved_apparitions/apparitions_0040-0999.html) (Search "Kuravilangad")| [Syro-Malabar Church](/tags/syro-malabar) |</v>
      </c>
    </row>
    <row r="25" spans="1:92" ht="51" x14ac:dyDescent="0.25">
      <c r="A25" s="167" t="s">
        <v>1317</v>
      </c>
      <c r="B25" s="168" t="s">
        <v>2485</v>
      </c>
      <c r="C25" s="24" t="s">
        <v>2</v>
      </c>
      <c r="E25" s="15">
        <v>10.6803068</v>
      </c>
      <c r="F25" s="49">
        <v>79.849313699999996</v>
      </c>
      <c r="G25" s="40" t="s">
        <v>1707</v>
      </c>
      <c r="H25" s="54" t="s">
        <v>1700</v>
      </c>
      <c r="I25" s="40" t="s">
        <v>1711</v>
      </c>
      <c r="J25" s="40" t="b">
        <v>1</v>
      </c>
      <c r="K25" s="24" t="b">
        <v>1</v>
      </c>
      <c r="M25" s="40" t="s">
        <v>1705</v>
      </c>
      <c r="N25" s="177" t="s">
        <v>2502</v>
      </c>
      <c r="O25" s="25" t="s">
        <v>1702</v>
      </c>
      <c r="P25" s="15" t="s">
        <v>335</v>
      </c>
      <c r="Z25" s="15" t="s">
        <v>335</v>
      </c>
      <c r="AJ25" s="85" t="s">
        <v>1215</v>
      </c>
      <c r="AK25" s="86" t="s">
        <v>1093</v>
      </c>
      <c r="AL25" s="15" t="s">
        <v>221</v>
      </c>
      <c r="AM25" s="15" t="s">
        <v>335</v>
      </c>
      <c r="AN25" s="25" t="s">
        <v>1704</v>
      </c>
      <c r="AO25" s="15" t="s">
        <v>335</v>
      </c>
      <c r="AP25" s="15" t="s">
        <v>1706</v>
      </c>
      <c r="AQ25" s="49" t="s">
        <v>335</v>
      </c>
      <c r="AS25" s="154" t="b">
        <f t="shared" si="1"/>
        <v>1</v>
      </c>
      <c r="AT25" s="155" t="str">
        <f t="shared" si="2"/>
        <v>title: "Basilica of Our Lady of Good Health (Our Lady of Velankanni)"</v>
      </c>
      <c r="AU25" s="155" t="str">
        <f t="shared" si="3"/>
        <v>location: {lat: 10.6803068, lng: 79.8493137}</v>
      </c>
      <c r="AV25" s="155" t="str">
        <f t="shared" si="4"/>
        <v>interest: global</v>
      </c>
      <c r="AW25" s="155" t="str">
        <f>"- "&amp;VLOOKUP(C25,'(Ref) Countries'!A:C,3,)</f>
        <v>- india</v>
      </c>
      <c r="AX25" s="155" t="str">
        <f t="shared" si="5"/>
        <v/>
      </c>
      <c r="AY25" s="155" t="str">
        <f t="shared" si="6"/>
        <v>- churches</v>
      </c>
      <c r="AZ25" s="155" t="str">
        <f t="shared" si="7"/>
        <v>- marian-sites</v>
      </c>
      <c r="BA25" s="155" t="str">
        <f t="shared" si="8"/>
        <v/>
      </c>
      <c r="BB25" s="155" t="str">
        <f t="shared" si="9"/>
        <v/>
      </c>
      <c r="BC25" s="155" t="str">
        <f t="shared" si="10"/>
        <v/>
      </c>
      <c r="BD25" s="155" t="str">
        <f t="shared" si="11"/>
        <v/>
      </c>
      <c r="BE25" s="155" t="str">
        <f t="shared" si="12"/>
        <v/>
      </c>
      <c r="BF25" s="155" t="str">
        <f t="shared" si="13"/>
        <v/>
      </c>
      <c r="BG25" s="155" t="str">
        <f t="shared" si="14"/>
        <v/>
      </c>
      <c r="BH25" s="155" t="str">
        <f t="shared" si="15"/>
        <v/>
      </c>
      <c r="BI25" s="155" t="str">
        <f t="shared" si="16"/>
        <v/>
      </c>
      <c r="BJ25" s="155" t="str">
        <f t="shared" si="17"/>
        <v/>
      </c>
      <c r="BK25" s="155" t="str">
        <f t="shared" si="18"/>
        <v/>
      </c>
      <c r="BL25" s="155" t="str">
        <f t="shared" si="19"/>
        <v xml:space="preserve">tags:
- india_x000D_
- churches_x000D_
- marian-sites_x000D_
</v>
      </c>
      <c r="BM25" s="158" t="str">
        <f t="shared" si="30"/>
        <v>[Official site](https://www.velankannichurch.com/)</v>
      </c>
      <c r="BN25" s="158" t="str">
        <f t="shared" si="31"/>
        <v/>
      </c>
      <c r="BO25" s="158" t="str">
        <f t="shared" si="32"/>
        <v/>
      </c>
      <c r="BP25" s="158" t="str">
        <f t="shared" si="33"/>
        <v/>
      </c>
      <c r="BQ25" s="158" t="str">
        <f t="shared" si="20"/>
        <v xml:space="preserve">* [Official site](https://www.velankannichurch.com/)
</v>
      </c>
      <c r="BR25" s="158" t="str">
        <f t="shared" si="21"/>
        <v>[Link](http://www.therealpresence.org/eucharst/misc/BVM/32_VAILANKANNI_60x96.pdf)</v>
      </c>
      <c r="BS25" s="158" t="str">
        <f t="shared" si="22"/>
        <v>[Link](https://www.miraclehunter.com/marian_apparitions/approved_apparitions/vailankanni/)</v>
      </c>
      <c r="BT25" s="158" t="str">
        <f t="shared" si="23"/>
        <v>[Link](https://www.marypages.com/vailankanni-(india)-en.html)</v>
      </c>
      <c r="BU25" s="158" t="str">
        <f>IF(LEN(concat(BR25:BT25))&gt;0,concat("| ",BR25," | ",BS25," | ",BT25," |"),"")</f>
        <v>| [Link](http://www.therealpresence.org/eucharst/misc/BVM/32_VAILANKANNI_60x96.pdf) | [Link](https://www.miraclehunter.com/marian_apparitions/approved_apparitions/vailankanni/) | [Link](https://www.marypages.com/vailankanni-(india)-en.html) |</v>
      </c>
      <c r="BV25" s="155" t="str">
        <f t="shared" si="24"/>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55"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55" t="str">
        <f>IF(LEN(N25)&gt;1,concatll("#### Author's Note",N25,"-"&amp;B25),"")</f>
        <v xml:space="preserve">#### Author's Note_x000D_
_x000D_
An Indonesian parish of the same name also has a [good history](https://velangkanni.com/en/about-annai-velangkanni/) of the apparition._x000D_
_x000D_
-NDS_x000D_
_x000D_
</v>
      </c>
      <c r="BY25" s="155" t="s">
        <v>335</v>
      </c>
      <c r="BZ25" s="155" t="s">
        <v>335</v>
      </c>
      <c r="CA25" s="23" t="str">
        <f>IF(AS25,concatll(concatl("---",AT25:AV25,BL25,"---"),M25,BW25:BX25),"")</f>
        <v xml:space="preserve">---_x000D_
title: "Basilica of Our Lady of Good Health (Our Lady of Velankanni)"_x000D_
location: {lat: 10.6803068, lng: 79.8493137}_x000D_
interest: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23" t="str">
        <f>IF(AS25,"places\"&amp;VLOOKUP(C25,'(Ref) Countries'!A:B,2,)&amp;IF(LEN(D25)&gt;1,"-"&amp;LOWER(SUBSTITUTE(D25," ","-")),"")&amp;"-"&amp;LOWER(SUBSTITUTE(SUBSTITUTE(H25," ","-"),".",""))&amp;".md","")</f>
        <v>places\in-basilica-of-our-lady-of-good-health.md</v>
      </c>
      <c r="CC25" s="29" t="str">
        <f>IF(LEN(Z25)&gt;1,VLOOKUP(Z25,'Tag List'!$A:$B,2,),"")</f>
        <v/>
      </c>
      <c r="CD25" s="29" t="str">
        <f>IF(LEN(AA25)&gt;1,VLOOKUP(AA25,'Tag List'!$A:$B,2,),"")</f>
        <v/>
      </c>
      <c r="CE25" s="29" t="str">
        <f>IF(LEN(AB25)&gt;1,VLOOKUP(AB25,'Tag List'!$A:$B,2,),"")</f>
        <v/>
      </c>
      <c r="CF25" s="30" t="str">
        <f>IF(LEN(Z25)&gt;1,GetTagPage(CC25,Z25),"")</f>
        <v/>
      </c>
      <c r="CG25" s="30" t="str">
        <f>IF(LEN(AA25)&gt;1,GetTagPage(CD25,AA25),"")</f>
        <v/>
      </c>
      <c r="CH25" s="30" t="str">
        <f>IF(LEN(AB25)&gt;1,GetTagPage(CE25,AB25),"")</f>
        <v/>
      </c>
      <c r="CI25" s="30" t="str">
        <f t="shared" si="25"/>
        <v xml:space="preserve">| </v>
      </c>
      <c r="CJ25" s="30" t="str">
        <f t="shared" si="26"/>
        <v xml:space="preserve">| [Vailankanni](/places/places\in-basilica-of-our-lady-of-good-health) </v>
      </c>
      <c r="CK25" s="30" t="str">
        <f>"| "&amp;IF(AS25,GetTagPage(C25,VLOOKUP(C25,'(Ref) Countries'!A:C,3,)),C25)&amp; " "</f>
        <v xml:space="preserve">| [India](/tags/india) </v>
      </c>
      <c r="CL25" s="30" t="str">
        <f t="shared" si="27"/>
        <v xml:space="preserve">| 16th Century </v>
      </c>
      <c r="CM25" s="30" t="str">
        <f t="shared" si="28"/>
        <v xml:space="preserve">| [Link](/places/places\in-basilica-of-our-lady-of-good-health) </v>
      </c>
      <c r="CN25" s="29" t="str">
        <f t="shared" si="29"/>
        <v xml:space="preserve">
| [Vailankanni](/places/places\in-basilica-of-our-lady-of-good-health) | [India](/tags/india)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2" ht="38.25" x14ac:dyDescent="0.25">
      <c r="A26" s="167" t="s">
        <v>1317</v>
      </c>
      <c r="B26" s="168" t="s">
        <v>2485</v>
      </c>
      <c r="C26" s="24" t="s">
        <v>2</v>
      </c>
      <c r="D26" s="24" t="s">
        <v>2400</v>
      </c>
      <c r="E26" s="15">
        <v>15.391251440231599</v>
      </c>
      <c r="F26" s="49">
        <v>73.903795958225004</v>
      </c>
      <c r="G26" s="24" t="s">
        <v>2401</v>
      </c>
      <c r="H26" s="53" t="s">
        <v>2450</v>
      </c>
      <c r="I26" s="24" t="s">
        <v>1802</v>
      </c>
      <c r="J26" s="24" t="b">
        <v>1</v>
      </c>
      <c r="L26" s="24" t="b">
        <v>1</v>
      </c>
      <c r="M26" s="116" t="s">
        <v>2406</v>
      </c>
      <c r="O26" s="15" t="s">
        <v>2405</v>
      </c>
      <c r="P26" s="15" t="s">
        <v>335</v>
      </c>
      <c r="Q26" s="60" t="s">
        <v>2404</v>
      </c>
      <c r="R26" s="15" t="s">
        <v>2402</v>
      </c>
      <c r="S26" s="64" t="s">
        <v>335</v>
      </c>
      <c r="Z26" s="15" t="s">
        <v>2403</v>
      </c>
      <c r="AA26" s="122" t="s">
        <v>2407</v>
      </c>
      <c r="AS26" s="154" t="b">
        <f t="shared" si="1"/>
        <v>1</v>
      </c>
      <c r="AT26" s="155" t="str">
        <f t="shared" si="2"/>
        <v>title: "Sanctuary of St. Joseph Vaz"</v>
      </c>
      <c r="AU26" s="155" t="str">
        <f t="shared" si="3"/>
        <v>location: {lat: 15.3912514402316, lng: 73.903795958225}</v>
      </c>
      <c r="AV26" s="155" t="str">
        <f t="shared" si="4"/>
        <v>interest: local</v>
      </c>
      <c r="AW26" s="155" t="str">
        <f>"- "&amp;VLOOKUP(C26,'(Ref) Countries'!A:C,3,)</f>
        <v>- india</v>
      </c>
      <c r="AX26" s="155" t="str">
        <f t="shared" si="5"/>
        <v>- goa</v>
      </c>
      <c r="AY26" s="155" t="str">
        <f t="shared" si="6"/>
        <v>- churches</v>
      </c>
      <c r="AZ26" s="155" t="str">
        <f t="shared" si="7"/>
        <v/>
      </c>
      <c r="BA26" s="155" t="str">
        <f t="shared" si="8"/>
        <v>- holy-persons</v>
      </c>
      <c r="BB26" s="155" t="str">
        <f t="shared" si="9"/>
        <v>- joseph-vaz</v>
      </c>
      <c r="BC26" s="155" t="str">
        <f t="shared" si="10"/>
        <v>- oratorians</v>
      </c>
      <c r="BD26" s="155" t="str">
        <f t="shared" si="11"/>
        <v/>
      </c>
      <c r="BE26" s="155" t="str">
        <f t="shared" si="12"/>
        <v/>
      </c>
      <c r="BF26" s="155" t="str">
        <f t="shared" si="13"/>
        <v/>
      </c>
      <c r="BG26" s="155" t="str">
        <f t="shared" si="14"/>
        <v/>
      </c>
      <c r="BH26" s="155" t="str">
        <f t="shared" si="15"/>
        <v/>
      </c>
      <c r="BI26" s="155" t="str">
        <f t="shared" si="16"/>
        <v/>
      </c>
      <c r="BJ26" s="155" t="str">
        <f t="shared" si="17"/>
        <v/>
      </c>
      <c r="BK26" s="155" t="str">
        <f t="shared" si="18"/>
        <v/>
      </c>
      <c r="BL26" s="155" t="str">
        <f t="shared" si="19"/>
        <v xml:space="preserve">tags:
- india_x000D_
- goa_x000D_
- churches_x000D_
- holy-persons_x000D_
- joseph-vaz_x000D_
- oratorians_x000D_
</v>
      </c>
      <c r="BM26" s="158" t="str">
        <f t="shared" si="30"/>
        <v>[Official site](https://blessedjosephvaz.org/sanctuary.htm)</v>
      </c>
      <c r="BN26" s="158" t="str">
        <f t="shared" si="31"/>
        <v>[Missionary Oblates of Mary Immaculate biography](https://www.omiworld.org/our-charism/our-saints/non-oblate-causes/saint-joseph-vaz-1651-1711/biography/)</v>
      </c>
      <c r="BO26" s="158" t="str">
        <f t="shared" si="32"/>
        <v/>
      </c>
      <c r="BP26" s="158" t="str">
        <f t="shared" si="33"/>
        <v/>
      </c>
      <c r="BQ26" s="155" t="str">
        <f t="shared" si="20"/>
        <v xml:space="preserve">* [Official site](https://blessedjosephvaz.org/sanctuary.htm)
* [Missionary Oblates of Mary Immaculate biography](https://www.omiworld.org/our-charism/our-saints/non-oblate-causes/saint-joseph-vaz-1651-1711/biography/)
</v>
      </c>
      <c r="BR26" s="155" t="str">
        <f t="shared" si="21"/>
        <v/>
      </c>
      <c r="BS26" s="155" t="str">
        <f t="shared" si="22"/>
        <v/>
      </c>
      <c r="BT26" s="155" t="str">
        <f t="shared" si="23"/>
        <v/>
      </c>
      <c r="BU26" s="155" t="str">
        <f>IF(LEN(concat(BR26:BT26))&gt;0,concat("| ",BR26," | ",BS26," | ",BT26," |"),"")</f>
        <v/>
      </c>
      <c r="BV26" s="155" t="str">
        <f t="shared" si="24"/>
        <v/>
      </c>
      <c r="BW26" s="155"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55" t="str">
        <f>IF(LEN(N26)&gt;1,concatll("#### Author's Note",N26,"-"&amp;B26),"")</f>
        <v/>
      </c>
      <c r="BY26" s="155" t="s">
        <v>335</v>
      </c>
      <c r="BZ26" s="155" t="s">
        <v>335</v>
      </c>
      <c r="CA26" s="23" t="str">
        <f>IF(AS26,concatll(concatl("---",AT26:AV26,BL26,"---"),M26,BW26:BX26),"")</f>
        <v xml:space="preserve">---_x000D_
title: "Sanctuary of St. Joseph Vaz"_x000D_
location: {lat: 15.3912514402316, lng: 73.903795958225}_x000D_
interest: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23" t="str">
        <f>IF(AS26,"places\"&amp;VLOOKUP(C26,'(Ref) Countries'!A:B,2,)&amp;IF(LEN(D26)&gt;1,"-"&amp;LOWER(SUBSTITUTE(D26," ","-")),"")&amp;"-"&amp;LOWER(SUBSTITUTE(SUBSTITUTE(H26," ","-"),".",""))&amp;".md","")</f>
        <v>places\in-goa-st-joseph-vaz.md</v>
      </c>
      <c r="CC26" s="29" t="str">
        <f>IF(LEN(Z26)&gt;1,VLOOKUP(Z26,'Tag List'!$A:$B,2,),"")</f>
        <v>St. Joseph Vaz, CO</v>
      </c>
      <c r="CD26" s="29" t="str">
        <f>IF(LEN(AA26)&gt;1,VLOOKUP(AA26,'Tag List'!$A:$B,2,),"")</f>
        <v>Oratory of St. Philip Neri (Oratorians)</v>
      </c>
      <c r="CE26" s="29" t="str">
        <f>IF(LEN(AB26)&gt;1,VLOOKUP(AB26,'Tag List'!$A:$B,2,),"")</f>
        <v/>
      </c>
      <c r="CF26" s="29" t="str">
        <f>IF(LEN(Z26)&gt;1,GetTagPage(CC26,Z26),"")</f>
        <v>[St. Joseph Vaz, CO](/tags/joseph-vaz)</v>
      </c>
      <c r="CG26" s="29" t="str">
        <f>IF(LEN(AA26)&gt;1,GetTagPage(CD26,AA26),"")</f>
        <v>[Oratory of St. Philip Neri (Oratorians)](/tags/oratorians)</v>
      </c>
      <c r="CH26" s="29" t="str">
        <f>IF(LEN(AB26)&gt;1,GetTagPage(CE26,AB26),"")</f>
        <v/>
      </c>
      <c r="CI26" s="29" t="str">
        <f t="shared" si="25"/>
        <v xml:space="preserve">| [St. Joseph Vaz, CO](/tags/joseph-vaz), [Oratory of St. Philip Neri (Oratorians)](/tags/oratorians) </v>
      </c>
      <c r="CJ26" s="29" t="str">
        <f t="shared" si="26"/>
        <v xml:space="preserve">| [](/places/places\in-goa-st-joseph-vaz) </v>
      </c>
      <c r="CK26" s="29" t="str">
        <f>"| "&amp;IF(AS26,GetTagPage(C26,VLOOKUP(C26,'(Ref) Countries'!A:C,3,)),C26)&amp; " "</f>
        <v xml:space="preserve">| [India](/tags/india) </v>
      </c>
      <c r="CL26" s="29" t="str">
        <f t="shared" si="27"/>
        <v xml:space="preserve">|  </v>
      </c>
      <c r="CM26" s="29" t="str">
        <f t="shared" si="28"/>
        <v xml:space="preserve">| [Link](/places/places\in-goa-st-joseph-vaz) </v>
      </c>
      <c r="CN26" s="29" t="str">
        <f t="shared" si="29"/>
        <v xml:space="preserve">
| [](/places/places\in-goa-st-joseph-vaz) | [India](/tags/india) |  | [Link](/places/places\in-goa-st-joseph-vaz) [Official site](https://blessedjosephvaz.org/sanctuary.htm)| [St. Joseph Vaz, CO](/tags/joseph-vaz), [Oratory of St. Philip Neri (Oratorians)](/tags/oratorians) |</v>
      </c>
    </row>
    <row r="27" spans="1:92" ht="63.75" x14ac:dyDescent="0.25">
      <c r="A27" s="167" t="s">
        <v>1317</v>
      </c>
      <c r="B27" s="24" t="s">
        <v>2481</v>
      </c>
      <c r="C27" s="24" t="s">
        <v>581</v>
      </c>
      <c r="E27" s="15">
        <v>53.792756199999999</v>
      </c>
      <c r="F27" s="49">
        <v>-8.9189810000000005</v>
      </c>
      <c r="G27" s="24" t="s">
        <v>346</v>
      </c>
      <c r="H27" s="53" t="s">
        <v>402</v>
      </c>
      <c r="I27" s="24" t="s">
        <v>1711</v>
      </c>
      <c r="J27" s="40" t="b">
        <v>1</v>
      </c>
      <c r="K27" s="24" t="b">
        <v>1</v>
      </c>
      <c r="M27" s="24" t="s">
        <v>997</v>
      </c>
      <c r="N27" s="177" t="s">
        <v>2503</v>
      </c>
      <c r="O27" s="15" t="s">
        <v>347</v>
      </c>
      <c r="P27" s="15" t="s">
        <v>335</v>
      </c>
      <c r="Z27" s="36" t="s">
        <v>335</v>
      </c>
      <c r="AA27" s="36"/>
      <c r="AB27" s="36"/>
      <c r="AC27" s="36"/>
      <c r="AD27" s="36"/>
      <c r="AE27" s="36"/>
      <c r="AF27" s="36"/>
      <c r="AG27" s="36"/>
      <c r="AH27" s="36"/>
      <c r="AI27" s="36"/>
      <c r="AJ27" s="85" t="s">
        <v>990</v>
      </c>
      <c r="AK27" s="86">
        <v>1879</v>
      </c>
      <c r="AL27" s="15" t="s">
        <v>300</v>
      </c>
      <c r="AM27" s="15" t="s">
        <v>335</v>
      </c>
      <c r="AN27" s="15" t="s">
        <v>349</v>
      </c>
      <c r="AO27" s="15" t="s">
        <v>335</v>
      </c>
      <c r="AP27" s="15" t="s">
        <v>350</v>
      </c>
      <c r="AQ27" s="49" t="s">
        <v>335</v>
      </c>
      <c r="AS27" s="154" t="b">
        <f t="shared" si="1"/>
        <v>1</v>
      </c>
      <c r="AT27" s="155" t="str">
        <f t="shared" si="2"/>
        <v>title: "Knock Shrine (Our Lady of Knock)"</v>
      </c>
      <c r="AU27" s="155" t="str">
        <f t="shared" si="3"/>
        <v>location: {lat: 53.7927562, lng: -8.918981}</v>
      </c>
      <c r="AV27" s="155" t="str">
        <f t="shared" si="4"/>
        <v>interest: global</v>
      </c>
      <c r="AW27" s="155" t="str">
        <f>"- "&amp;VLOOKUP(C27,'(Ref) Countries'!A:C,3,)</f>
        <v>- ireland</v>
      </c>
      <c r="AX27" s="155" t="str">
        <f t="shared" si="5"/>
        <v/>
      </c>
      <c r="AY27" s="155" t="str">
        <f t="shared" si="6"/>
        <v>- churches</v>
      </c>
      <c r="AZ27" s="155" t="str">
        <f t="shared" si="7"/>
        <v>- marian-sites</v>
      </c>
      <c r="BA27" s="155" t="str">
        <f t="shared" si="8"/>
        <v/>
      </c>
      <c r="BB27" s="155" t="str">
        <f t="shared" si="9"/>
        <v/>
      </c>
      <c r="BC27" s="155" t="str">
        <f t="shared" si="10"/>
        <v/>
      </c>
      <c r="BD27" s="155" t="str">
        <f t="shared" si="11"/>
        <v/>
      </c>
      <c r="BE27" s="155" t="str">
        <f t="shared" si="12"/>
        <v/>
      </c>
      <c r="BF27" s="155" t="str">
        <f t="shared" si="13"/>
        <v/>
      </c>
      <c r="BG27" s="155" t="str">
        <f t="shared" si="14"/>
        <v/>
      </c>
      <c r="BH27" s="155" t="str">
        <f t="shared" si="15"/>
        <v/>
      </c>
      <c r="BI27" s="155" t="str">
        <f t="shared" si="16"/>
        <v/>
      </c>
      <c r="BJ27" s="155" t="str">
        <f t="shared" si="17"/>
        <v/>
      </c>
      <c r="BK27" s="155" t="str">
        <f t="shared" si="18"/>
        <v/>
      </c>
      <c r="BL27" s="155" t="str">
        <f t="shared" si="19"/>
        <v xml:space="preserve">tags:
- ireland_x000D_
- churches_x000D_
- marian-sites_x000D_
</v>
      </c>
      <c r="BM27" s="158" t="str">
        <f t="shared" si="30"/>
        <v>[Official site](https://www.knockshrine.ie/)</v>
      </c>
      <c r="BN27" s="158" t="str">
        <f t="shared" si="31"/>
        <v/>
      </c>
      <c r="BO27" s="158" t="str">
        <f t="shared" si="32"/>
        <v/>
      </c>
      <c r="BP27" s="158" t="str">
        <f t="shared" si="33"/>
        <v/>
      </c>
      <c r="BQ27" s="158" t="str">
        <f t="shared" si="20"/>
        <v xml:space="preserve">* [Official site](https://www.knockshrine.ie/)
</v>
      </c>
      <c r="BR27" s="158" t="str">
        <f t="shared" si="21"/>
        <v>[Link](http://www.therealpresence.org/eucharst/misc/BVM/63_KNOCK_60x96.pdf)</v>
      </c>
      <c r="BS27" s="158" t="str">
        <f t="shared" si="22"/>
        <v>[Link](http://www.miraclehunter.com/marian_apparitions/approved_apparitions/knock/index.html)</v>
      </c>
      <c r="BT27" s="158" t="str">
        <f t="shared" si="23"/>
        <v>[Link](https://www.marypages.com/knock-(ireland)-en.html)</v>
      </c>
      <c r="BU27" s="158" t="str">
        <f>IF(LEN(concat(BR27:BT27))&gt;0,concat("| ",BR27," | ",BS27," | ",BT27," |"),"")</f>
        <v>| [Link](http://www.therealpresence.org/eucharst/misc/BVM/63_KNOCK_60x96.pdf) | [Link](http://www.miraclehunter.com/marian_apparitions/approved_apparitions/knock/index.html) | [Link](https://www.marypages.com/knock-(ireland)-en.html) |</v>
      </c>
      <c r="BV27" s="155" t="str">
        <f t="shared" si="24"/>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55"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55"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55" t="s">
        <v>335</v>
      </c>
      <c r="BZ27" s="155" t="s">
        <v>335</v>
      </c>
      <c r="CA27" s="23" t="str">
        <f>IF(AS27,concatll(concatl("---",AT27:AV27,BL27,"---"),M27,BW27:BX27),"")</f>
        <v xml:space="preserve">---_x000D_
title: "Knock Shrine (Our Lady of Knock)"_x000D_
location: {lat: 53.7927562, lng: -8.918981}_x000D_
interest: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23" t="str">
        <f>IF(AS27,"places\"&amp;VLOOKUP(C27,'(Ref) Countries'!A:B,2,)&amp;IF(LEN(D27)&gt;1,"-"&amp;LOWER(SUBSTITUTE(D27," ","-")),"")&amp;"-"&amp;LOWER(SUBSTITUTE(SUBSTITUTE(H27," ","-"),".",""))&amp;".md","")</f>
        <v>places\ie-knock-shrine.md</v>
      </c>
      <c r="CC27" s="38" t="str">
        <f>IF(LEN(Z27)&gt;1,VLOOKUP(Z27,'Tag List'!$A:$B,2,),"")</f>
        <v/>
      </c>
      <c r="CD27" s="38" t="str">
        <f>IF(LEN(AA27)&gt;1,VLOOKUP(AA27,'Tag List'!$A:$B,2,),"")</f>
        <v/>
      </c>
      <c r="CE27" s="38" t="str">
        <f>IF(LEN(AB27)&gt;1,VLOOKUP(AB27,'Tag List'!$A:$B,2,),"")</f>
        <v/>
      </c>
      <c r="CF27" s="30" t="str">
        <f>IF(LEN(Z27)&gt;1,GetTagPage(CC27,Z27),"")</f>
        <v/>
      </c>
      <c r="CG27" s="30" t="str">
        <f>IF(LEN(AA27)&gt;1,GetTagPage(CD27,AA27),"")</f>
        <v/>
      </c>
      <c r="CH27" s="30" t="str">
        <f>IF(LEN(AB27)&gt;1,GetTagPage(CE27,AB27),"")</f>
        <v/>
      </c>
      <c r="CI27" s="30" t="str">
        <f t="shared" si="25"/>
        <v xml:space="preserve">| </v>
      </c>
      <c r="CJ27" s="30" t="str">
        <f t="shared" si="26"/>
        <v xml:space="preserve">| [Knock](/places/places\ie-knock-shrine) </v>
      </c>
      <c r="CK27" s="30" t="str">
        <f>"| "&amp;IF(AS27,GetTagPage(C27,VLOOKUP(C27,'(Ref) Countries'!A:C,3,)),C27)&amp; " "</f>
        <v xml:space="preserve">| [Ireland](/tags/ireland) </v>
      </c>
      <c r="CL27" s="30" t="str">
        <f t="shared" si="27"/>
        <v xml:space="preserve">| 1879 </v>
      </c>
      <c r="CM27" s="30" t="str">
        <f t="shared" si="28"/>
        <v xml:space="preserve">| [Link](/places/places\ie-knock-shrine) </v>
      </c>
      <c r="CN27" s="29" t="str">
        <f t="shared" si="29"/>
        <v xml:space="preserve">
| [Knock](/places/places\ie-knock-shrine) | [Ireland](/tags/ireland) | 1879 | [Link](/places/places\ie-knock-shrine) [Official site](https://www.knockshrine.ie/)[Link](http://www.therealpresence.org/eucharst/misc/BVM/63_KNOCK_60x96.pdf)[Link](http://www.miraclehunter.com/marian_apparitions/approved_apparitions/knock/index.html)[Link](https://www.marypages.com/knock-(ireland)-en.html)| |</v>
      </c>
    </row>
    <row r="28" spans="1:92" ht="102" x14ac:dyDescent="0.25">
      <c r="A28" s="167" t="s">
        <v>1317</v>
      </c>
      <c r="B28" s="27" t="s">
        <v>2481</v>
      </c>
      <c r="C28" s="27" t="s">
        <v>11</v>
      </c>
      <c r="D28" s="45" t="s">
        <v>999</v>
      </c>
      <c r="E28" s="15">
        <v>41.897293109963897</v>
      </c>
      <c r="F28" s="49">
        <v>12.4989743434214</v>
      </c>
      <c r="G28" s="168" t="s">
        <v>2539</v>
      </c>
      <c r="H28" s="177" t="s">
        <v>2540</v>
      </c>
      <c r="I28" s="24" t="s">
        <v>1711</v>
      </c>
      <c r="J28" s="40" t="b">
        <v>1</v>
      </c>
      <c r="K28" s="24" t="b">
        <v>1</v>
      </c>
      <c r="M28" s="168" t="s">
        <v>2541</v>
      </c>
      <c r="O28" s="15" t="s">
        <v>175</v>
      </c>
      <c r="P28" s="15" t="s">
        <v>335</v>
      </c>
      <c r="Z28" s="181" t="s">
        <v>2537</v>
      </c>
      <c r="AA28" s="37"/>
      <c r="AB28" s="36"/>
      <c r="AC28" s="36"/>
      <c r="AD28" s="36"/>
      <c r="AE28" s="36"/>
      <c r="AF28" s="36"/>
      <c r="AG28" s="36"/>
      <c r="AH28" s="36"/>
      <c r="AI28" s="36"/>
      <c r="AJ28" s="85" t="s">
        <v>1306</v>
      </c>
      <c r="AK28" s="86">
        <v>352</v>
      </c>
      <c r="AL28" s="15" t="s">
        <v>180</v>
      </c>
      <c r="AM28" s="15" t="s">
        <v>335</v>
      </c>
      <c r="AN28" s="15" t="s">
        <v>103</v>
      </c>
      <c r="AO28" s="15" t="s">
        <v>335</v>
      </c>
      <c r="AP28" s="15" t="s">
        <v>176</v>
      </c>
      <c r="AQ28" s="49" t="s">
        <v>335</v>
      </c>
      <c r="AS28" s="154" t="b">
        <f t="shared" si="1"/>
        <v>1</v>
      </c>
      <c r="AT28" s="155" t="str">
        <f t="shared" si="2"/>
        <v>title: "St. Mary Major (S. Maria Maggiore) (Our Lady of the Snows)"</v>
      </c>
      <c r="AU28" s="155" t="str">
        <f t="shared" si="3"/>
        <v>location: {lat: 41.8972931099639, lng: 12.4989743434214}</v>
      </c>
      <c r="AV28" s="155" t="str">
        <f t="shared" si="4"/>
        <v>interest: global</v>
      </c>
      <c r="AW28" s="155" t="str">
        <f>"- "&amp;VLOOKUP(C28,'(Ref) Countries'!A:C,3,)</f>
        <v>- italy</v>
      </c>
      <c r="AX28" s="155" t="str">
        <f t="shared" si="5"/>
        <v>- rome</v>
      </c>
      <c r="AY28" s="155" t="str">
        <f t="shared" si="6"/>
        <v>- churches</v>
      </c>
      <c r="AZ28" s="155" t="str">
        <f t="shared" si="7"/>
        <v>- marian-sites</v>
      </c>
      <c r="BA28" s="155" t="str">
        <f t="shared" si="8"/>
        <v/>
      </c>
      <c r="BB28" s="155" t="str">
        <f t="shared" si="9"/>
        <v>- major-basilicas</v>
      </c>
      <c r="BC28" s="155" t="str">
        <f t="shared" si="10"/>
        <v/>
      </c>
      <c r="BD28" s="155" t="str">
        <f t="shared" si="11"/>
        <v/>
      </c>
      <c r="BE28" s="155" t="str">
        <f t="shared" si="12"/>
        <v/>
      </c>
      <c r="BF28" s="155" t="str">
        <f t="shared" si="13"/>
        <v/>
      </c>
      <c r="BG28" s="155" t="str">
        <f t="shared" si="14"/>
        <v/>
      </c>
      <c r="BH28" s="155" t="str">
        <f t="shared" si="15"/>
        <v/>
      </c>
      <c r="BI28" s="155" t="str">
        <f t="shared" si="16"/>
        <v/>
      </c>
      <c r="BJ28" s="155" t="str">
        <f t="shared" si="17"/>
        <v/>
      </c>
      <c r="BK28" s="155" t="str">
        <f t="shared" si="18"/>
        <v/>
      </c>
      <c r="BL28" s="155" t="str">
        <f t="shared" si="19"/>
        <v xml:space="preserve">tags:
- italy_x000D_
- rome_x000D_
- churches_x000D_
- marian-sites_x000D_
- major-basilicas_x000D_
</v>
      </c>
      <c r="BM28" s="158" t="str">
        <f t="shared" si="30"/>
        <v>[Official site](https://www.vatican.va/various/basiliche/sm_maggiore/index_en.html)</v>
      </c>
      <c r="BN28" s="158" t="str">
        <f t="shared" si="31"/>
        <v/>
      </c>
      <c r="BO28" s="158" t="str">
        <f t="shared" si="32"/>
        <v/>
      </c>
      <c r="BP28" s="158" t="str">
        <f t="shared" si="33"/>
        <v/>
      </c>
      <c r="BQ28" s="158" t="str">
        <f t="shared" si="20"/>
        <v xml:space="preserve">* [Official site](https://www.vatican.va/various/basiliche/sm_maggiore/index_en.html)
</v>
      </c>
      <c r="BR28" s="158" t="str">
        <f t="shared" si="21"/>
        <v>[Link](http://www.therealpresence.org/eucharst/misc/BVM/117_ROMA_60x96.pdf)</v>
      </c>
      <c r="BS28" s="158" t="str">
        <f t="shared" si="22"/>
        <v>[Link](https://www.miraclehunter.com/marian_apparitions/approved_apparitions/rome/index.html)</v>
      </c>
      <c r="BT28" s="158" t="str">
        <f t="shared" si="23"/>
        <v>[Link](https://www.marypages.com/our-lady-of-the-snows-en.html)</v>
      </c>
      <c r="BU28" s="158" t="str">
        <f>IF(LEN(concat(BR28:BT28))&gt;0,concat("| ",BR28," | ",BS28," | ",BT28," |"),"")</f>
        <v>| [Link](http://www.therealpresence.org/eucharst/misc/BVM/117_ROMA_60x96.pdf) | [Link](https://www.miraclehunter.com/marian_apparitions/approved_apparitions/rome/index.html) | [Link](https://www.marypages.com/our-lady-of-the-snows-en.html) |</v>
      </c>
      <c r="BV28" s="155" t="str">
        <f t="shared" si="24"/>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55"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55" t="str">
        <f>IF(LEN(N28)&gt;1,concatll("#### Author's Note",N28,"-"&amp;B28),"")</f>
        <v/>
      </c>
      <c r="BY28" s="155" t="s">
        <v>335</v>
      </c>
      <c r="BZ28" s="155" t="s">
        <v>335</v>
      </c>
      <c r="CA28" s="23" t="str">
        <f>IF(AS28,concatll(concatl("---",AT28:AV28,BL28,"---"),M28,BW28:BX28),"")</f>
        <v xml:space="preserve">---_x000D_
title: "St. Mary Major (S. Maria Maggiore) (Our Lady of the Snows)"_x000D_
location: {lat: 41.8972931099639, lng: 12.4989743434214}_x000D_
interest: global_x000D_
tags:
- italy_x000D_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23" t="str">
        <f>IF(AS28,"places\"&amp;VLOOKUP(C28,'(Ref) Countries'!A:B,2,)&amp;IF(LEN(D28)&gt;1,"-"&amp;LOWER(SUBSTITUTE(D28," ","-")),"")&amp;"-"&amp;LOWER(SUBSTITUTE(SUBSTITUTE(H28," ","-"),".",""))&amp;".md","")</f>
        <v>places\it-rome-st-mary-major.md</v>
      </c>
      <c r="CC28" s="38" t="e">
        <f>IF(LEN(Z28)&gt;1,VLOOKUP(Z28,'Tag List'!$A:$B,2,),"")</f>
        <v>#N/A</v>
      </c>
      <c r="CD28" s="38" t="str">
        <f>IF(LEN(AA28)&gt;1,VLOOKUP(AA28,'Tag List'!$A:$B,2,),"")</f>
        <v/>
      </c>
      <c r="CE28" s="38" t="str">
        <f>IF(LEN(AB28)&gt;1,VLOOKUP(AB28,'Tag List'!$A:$B,2,),"")</f>
        <v/>
      </c>
      <c r="CF28" s="30" t="e">
        <f>IF(LEN(Z28)&gt;1,GetTagPage(CC28,Z28),"")</f>
        <v>#VALUE!</v>
      </c>
      <c r="CG28" s="30" t="str">
        <f>IF(LEN(AA28)&gt;1,GetTagPage(CD28,AA28),"")</f>
        <v/>
      </c>
      <c r="CH28" s="30" t="str">
        <f>IF(LEN(AB28)&gt;1,GetTagPage(CE28,AB28),"")</f>
        <v/>
      </c>
      <c r="CI28" s="30" t="e">
        <f t="shared" si="25"/>
        <v>#VALUE!</v>
      </c>
      <c r="CJ28" s="30" t="str">
        <f t="shared" si="26"/>
        <v xml:space="preserve">| [Rome (Santa Maria Maggiore)](/places/places\it-rome-st-mary-major) </v>
      </c>
      <c r="CK28" s="30" t="str">
        <f>"| "&amp;IF(AS28,GetTagPage(C28,VLOOKUP(C28,'(Ref) Countries'!A:C,3,)),C28)&amp; " "</f>
        <v xml:space="preserve">| [Italy](/tags/italy) </v>
      </c>
      <c r="CL28" s="30" t="str">
        <f t="shared" si="27"/>
        <v xml:space="preserve">| 352 </v>
      </c>
      <c r="CM28" s="30" t="str">
        <f t="shared" si="28"/>
        <v xml:space="preserve">| [Link](/places/places\it-rome-st-mary-major) </v>
      </c>
      <c r="CN28" s="29" t="e">
        <f t="shared" si="29"/>
        <v>#VALUE!</v>
      </c>
    </row>
    <row r="29" spans="1:92" ht="76.5" x14ac:dyDescent="0.25">
      <c r="A29" s="167" t="s">
        <v>1317</v>
      </c>
      <c r="B29" s="24" t="s">
        <v>2481</v>
      </c>
      <c r="C29" s="24" t="s">
        <v>11</v>
      </c>
      <c r="E29" s="15">
        <v>45.523673865207101</v>
      </c>
      <c r="F29" s="49">
        <v>10.3142692079531</v>
      </c>
      <c r="G29" s="83" t="s">
        <v>1856</v>
      </c>
      <c r="H29" s="53" t="s">
        <v>1856</v>
      </c>
      <c r="I29" s="24" t="s">
        <v>1711</v>
      </c>
      <c r="J29" s="40" t="b">
        <v>1</v>
      </c>
      <c r="K29" s="24" t="b">
        <v>1</v>
      </c>
      <c r="M29" s="24" t="s">
        <v>1355</v>
      </c>
      <c r="O29" s="15" t="s">
        <v>1359</v>
      </c>
      <c r="P29" s="15" t="s">
        <v>335</v>
      </c>
      <c r="Z29" s="15" t="s">
        <v>335</v>
      </c>
      <c r="AJ29" s="85" t="s">
        <v>1358</v>
      </c>
      <c r="AK29" s="86" t="s">
        <v>1308</v>
      </c>
      <c r="AL29" s="15" t="s">
        <v>198</v>
      </c>
      <c r="AM29" s="15" t="s">
        <v>335</v>
      </c>
      <c r="AN29" s="15" t="s">
        <v>1356</v>
      </c>
      <c r="AO29" s="15" t="s">
        <v>1357</v>
      </c>
      <c r="AP29" s="15" t="s">
        <v>335</v>
      </c>
      <c r="AQ29" s="49" t="s">
        <v>335</v>
      </c>
      <c r="AS29" s="154" t="b">
        <f t="shared" si="1"/>
        <v>1</v>
      </c>
      <c r="AT29" s="155" t="str">
        <f t="shared" si="2"/>
        <v>title: "Sanctuary of Our Lady of Valverde"</v>
      </c>
      <c r="AU29" s="155" t="str">
        <f t="shared" si="3"/>
        <v>location: {lat: 45.5236738652071, lng: 10.3142692079531}</v>
      </c>
      <c r="AV29" s="155" t="str">
        <f t="shared" si="4"/>
        <v>interest: global</v>
      </c>
      <c r="AW29" s="155" t="str">
        <f>"- "&amp;VLOOKUP(C29,'(Ref) Countries'!A:C,3,)</f>
        <v>- italy</v>
      </c>
      <c r="AX29" s="155" t="str">
        <f t="shared" si="5"/>
        <v/>
      </c>
      <c r="AY29" s="155" t="str">
        <f t="shared" si="6"/>
        <v>- churches</v>
      </c>
      <c r="AZ29" s="155" t="str">
        <f t="shared" si="7"/>
        <v>- marian-sites</v>
      </c>
      <c r="BA29" s="155" t="str">
        <f t="shared" si="8"/>
        <v/>
      </c>
      <c r="BB29" s="155" t="str">
        <f t="shared" si="9"/>
        <v/>
      </c>
      <c r="BC29" s="155" t="str">
        <f t="shared" si="10"/>
        <v/>
      </c>
      <c r="BD29" s="155" t="str">
        <f t="shared" si="11"/>
        <v/>
      </c>
      <c r="BE29" s="155" t="str">
        <f t="shared" si="12"/>
        <v/>
      </c>
      <c r="BF29" s="155" t="str">
        <f t="shared" si="13"/>
        <v/>
      </c>
      <c r="BG29" s="155" t="str">
        <f t="shared" si="14"/>
        <v/>
      </c>
      <c r="BH29" s="155" t="str">
        <f t="shared" si="15"/>
        <v/>
      </c>
      <c r="BI29" s="155" t="str">
        <f t="shared" si="16"/>
        <v/>
      </c>
      <c r="BJ29" s="155" t="str">
        <f t="shared" si="17"/>
        <v/>
      </c>
      <c r="BK29" s="155" t="str">
        <f t="shared" si="18"/>
        <v/>
      </c>
      <c r="BL29" s="155" t="str">
        <f t="shared" si="19"/>
        <v xml:space="preserve">tags:
- italy_x000D_
- churches_x000D_
- marian-sites_x000D_
</v>
      </c>
      <c r="BM29" s="158" t="str">
        <f t="shared" si="30"/>
        <v>[Official site](https://www.uprezzatovirle.it/santuario-valverde)</v>
      </c>
      <c r="BN29" s="158" t="str">
        <f t="shared" si="31"/>
        <v/>
      </c>
      <c r="BO29" s="158" t="str">
        <f t="shared" si="32"/>
        <v/>
      </c>
      <c r="BP29" s="158" t="str">
        <f t="shared" si="33"/>
        <v/>
      </c>
      <c r="BQ29" s="158" t="str">
        <f t="shared" si="20"/>
        <v xml:space="preserve">* [Official site](https://www.uprezzatovirle.it/santuario-valverde)
</v>
      </c>
      <c r="BR29" s="158" t="str">
        <f t="shared" si="21"/>
        <v>[Link](http://www.therealpresence.org/eucharst/misc/BVM/13_VALVERDE_60x96.pdf)</v>
      </c>
      <c r="BS29" s="158" t="str">
        <f t="shared" si="22"/>
        <v>[Link](https://www.miraclehunter.com/marian_apparitions/approved_apparitions/apparitions_1700-1799.html) (Search for "Valverde")</v>
      </c>
      <c r="BT29" s="158" t="str">
        <f t="shared" si="23"/>
        <v/>
      </c>
      <c r="BU29" s="158" t="str">
        <f>IF(LEN(concat(BR29:BT29))&gt;0,concat("| ",BR29," | ",BS29," | ",BT29," |"),"")</f>
        <v>| [Link](http://www.therealpresence.org/eucharst/misc/BVM/13_VALVERDE_60x96.pdf) | [Link](https://www.miraclehunter.com/marian_apparitions/approved_apparitions/apparitions_1700-1799.html) (Search for "Valverde") |  |</v>
      </c>
      <c r="BV29" s="155" t="str">
        <f t="shared" si="24"/>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55"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55" t="str">
        <f>IF(LEN(N29)&gt;1,concatll("#### Author's Note",N29,"-"&amp;B29),"")</f>
        <v/>
      </c>
      <c r="BY29" s="155" t="s">
        <v>335</v>
      </c>
      <c r="BZ29" s="155" t="s">
        <v>335</v>
      </c>
      <c r="CA29" s="23" t="str">
        <f>IF(AS29,concatll(concatl("---",AT29:AV29,BL29,"---"),M29,BW29:BX29),"")</f>
        <v xml:space="preserve">---_x000D_
title: "Sanctuary of Our Lady of Valverde"_x000D_
location: {lat: 45.5236738652071, lng: 10.3142692079531}_x000D_
interest: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23" t="str">
        <f>IF(AS29,"places\"&amp;VLOOKUP(C29,'(Ref) Countries'!A:B,2,)&amp;IF(LEN(D29)&gt;1,"-"&amp;LOWER(SUBSTITUTE(D29," ","-")),"")&amp;"-"&amp;LOWER(SUBSTITUTE(SUBSTITUTE(H29," ","-"),".",""))&amp;".md","")</f>
        <v>places\it-sanctuary-of-our-lady-of-valverde.md</v>
      </c>
      <c r="CC29" s="29" t="str">
        <f>IF(LEN(Z29)&gt;1,VLOOKUP(Z29,'Tag List'!$A:$B,2,),"")</f>
        <v/>
      </c>
      <c r="CD29" s="29" t="str">
        <f>IF(LEN(AA29)&gt;1,VLOOKUP(AA29,'Tag List'!$A:$B,2,),"")</f>
        <v/>
      </c>
      <c r="CE29" s="29" t="str">
        <f>IF(LEN(AB29)&gt;1,VLOOKUP(AB29,'Tag List'!$A:$B,2,),"")</f>
        <v/>
      </c>
      <c r="CF29" s="30" t="str">
        <f>IF(LEN(Z29)&gt;1,GetTagPage(CC29,Z29),"")</f>
        <v/>
      </c>
      <c r="CG29" s="30" t="str">
        <f>IF(LEN(AA29)&gt;1,GetTagPage(CD29,AA29),"")</f>
        <v/>
      </c>
      <c r="CH29" s="30" t="str">
        <f>IF(LEN(AB29)&gt;1,GetTagPage(CE29,AB29),"")</f>
        <v/>
      </c>
      <c r="CI29" s="30" t="str">
        <f t="shared" si="25"/>
        <v xml:space="preserve">| </v>
      </c>
      <c r="CJ29" s="30" t="str">
        <f t="shared" si="26"/>
        <v xml:space="preserve">| [Valverde Di Rezzato](/places/places\it-sanctuary-of-our-lady-of-valverde) </v>
      </c>
      <c r="CK29" s="30" t="str">
        <f>"| "&amp;IF(AS29,GetTagPage(C29,VLOOKUP(C29,'(Ref) Countries'!A:C,3,)),C29)&amp; " "</f>
        <v xml:space="preserve">| [Italy](/tags/italy) </v>
      </c>
      <c r="CL29" s="30" t="str">
        <f t="shared" si="27"/>
        <v xml:space="preserve">| 1399, 1711 </v>
      </c>
      <c r="CM29" s="30" t="str">
        <f t="shared" si="28"/>
        <v xml:space="preserve">| [Link](/places/places\it-sanctuary-of-our-lady-of-valverde) </v>
      </c>
      <c r="CN29" s="29" t="str">
        <f t="shared" si="29"/>
        <v xml:space="preserve">
| [Valverde Di Rezzato](/places/places\it-sanctuary-of-our-lady-of-valverde) | [Italy](/tags/italy)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2" ht="76.5" x14ac:dyDescent="0.25">
      <c r="A30" s="167" t="s">
        <v>1317</v>
      </c>
      <c r="B30" s="24" t="s">
        <v>2481</v>
      </c>
      <c r="C30" s="24" t="s">
        <v>11</v>
      </c>
      <c r="D30" s="45" t="s">
        <v>999</v>
      </c>
      <c r="E30" s="15">
        <v>41.903563699999999</v>
      </c>
      <c r="F30" s="49">
        <v>12.483673899999999</v>
      </c>
      <c r="G30" s="24" t="s">
        <v>1023</v>
      </c>
      <c r="H30" s="53" t="s">
        <v>1024</v>
      </c>
      <c r="I30" s="24" t="s">
        <v>1711</v>
      </c>
      <c r="J30" s="40" t="b">
        <v>1</v>
      </c>
      <c r="K30" s="24" t="b">
        <v>1</v>
      </c>
      <c r="M30" s="45" t="s">
        <v>1726</v>
      </c>
      <c r="O30" s="15" t="s">
        <v>412</v>
      </c>
      <c r="P30" s="15" t="s">
        <v>335</v>
      </c>
      <c r="Z30" s="36" t="s">
        <v>487</v>
      </c>
      <c r="AA30" s="37"/>
      <c r="AB30" s="36"/>
      <c r="AC30" s="36"/>
      <c r="AD30" s="36"/>
      <c r="AE30" s="36"/>
      <c r="AF30" s="36"/>
      <c r="AG30" s="36"/>
      <c r="AH30" s="36"/>
      <c r="AI30" s="36"/>
      <c r="AJ30" s="85" t="s">
        <v>999</v>
      </c>
      <c r="AK30" s="86">
        <v>1842</v>
      </c>
      <c r="AL30" s="15" t="s">
        <v>287</v>
      </c>
      <c r="AM30" s="15" t="s">
        <v>335</v>
      </c>
      <c r="AN30" s="15" t="s">
        <v>455</v>
      </c>
      <c r="AO30" s="15" t="s">
        <v>335</v>
      </c>
      <c r="AP30" s="15" t="s">
        <v>456</v>
      </c>
      <c r="AQ30" s="49" t="s">
        <v>335</v>
      </c>
      <c r="AS30" s="154" t="b">
        <f t="shared" si="1"/>
        <v>1</v>
      </c>
      <c r="AT30" s="155" t="str">
        <f t="shared" si="2"/>
        <v>title: "Sant'Andrea delle Fratte (Shrine of Our Lady of the Miracle, Our Lady of Zion)"</v>
      </c>
      <c r="AU30" s="155" t="str">
        <f t="shared" si="3"/>
        <v>location: {lat: 41.9035637, lng: 12.4836739}</v>
      </c>
      <c r="AV30" s="155" t="str">
        <f t="shared" si="4"/>
        <v>interest: global</v>
      </c>
      <c r="AW30" s="155" t="str">
        <f>"- "&amp;VLOOKUP(C30,'(Ref) Countries'!A:C,3,)</f>
        <v>- italy</v>
      </c>
      <c r="AX30" s="155" t="str">
        <f t="shared" si="5"/>
        <v>- rome</v>
      </c>
      <c r="AY30" s="155" t="str">
        <f t="shared" si="6"/>
        <v>- churches</v>
      </c>
      <c r="AZ30" s="155" t="str">
        <f t="shared" si="7"/>
        <v>- marian-sites</v>
      </c>
      <c r="BA30" s="155" t="str">
        <f t="shared" si="8"/>
        <v/>
      </c>
      <c r="BB30" s="155" t="str">
        <f t="shared" si="9"/>
        <v>- marie-alphonse-ratisbonne</v>
      </c>
      <c r="BC30" s="155" t="str">
        <f t="shared" si="10"/>
        <v/>
      </c>
      <c r="BD30" s="155" t="str">
        <f t="shared" si="11"/>
        <v/>
      </c>
      <c r="BE30" s="155" t="str">
        <f t="shared" si="12"/>
        <v/>
      </c>
      <c r="BF30" s="155" t="str">
        <f t="shared" si="13"/>
        <v/>
      </c>
      <c r="BG30" s="155" t="str">
        <f t="shared" si="14"/>
        <v/>
      </c>
      <c r="BH30" s="155" t="str">
        <f t="shared" si="15"/>
        <v/>
      </c>
      <c r="BI30" s="155" t="str">
        <f t="shared" si="16"/>
        <v/>
      </c>
      <c r="BJ30" s="155" t="str">
        <f t="shared" si="17"/>
        <v/>
      </c>
      <c r="BK30" s="155" t="str">
        <f t="shared" si="18"/>
        <v/>
      </c>
      <c r="BL30" s="155" t="str">
        <f t="shared" si="19"/>
        <v xml:space="preserve">tags:
- italy_x000D_
- rome_x000D_
- churches_x000D_
- marian-sites_x000D_
- marie-alphonse-ratisbonne_x000D_
</v>
      </c>
      <c r="BM30" s="158" t="str">
        <f t="shared" si="30"/>
        <v>[Official site](https://www.madonnadelmiracolo.it/)</v>
      </c>
      <c r="BN30" s="158" t="str">
        <f t="shared" si="31"/>
        <v/>
      </c>
      <c r="BO30" s="158" t="str">
        <f t="shared" si="32"/>
        <v/>
      </c>
      <c r="BP30" s="158" t="str">
        <f t="shared" si="33"/>
        <v/>
      </c>
      <c r="BQ30" s="158" t="str">
        <f t="shared" si="20"/>
        <v xml:space="preserve">* [Official site](https://www.madonnadelmiracolo.it/)
</v>
      </c>
      <c r="BR30" s="158" t="str">
        <f t="shared" si="21"/>
        <v>[Link](http://www.therealpresence.org/eucharst/misc/BVM/23_ROMA_60x96.pdf)</v>
      </c>
      <c r="BS30" s="158" t="str">
        <f t="shared" si="22"/>
        <v>[Link](https://www.miraclehunter.com/marian_apparitions/approved_apparitions/rome1842/index.html)</v>
      </c>
      <c r="BT30" s="158" t="str">
        <f t="shared" si="23"/>
        <v>[Link](https://www.marypages.com/rome-(itali%C3%AB).html)</v>
      </c>
      <c r="BU30" s="158" t="str">
        <f>IF(LEN(concat(BR30:BT30))&gt;0,concat("| ",BR30," | ",BS30," | ",BT30," |"),"")</f>
        <v>| [Link](http://www.therealpresence.org/eucharst/misc/BVM/23_ROMA_60x96.pdf) | [Link](https://www.miraclehunter.com/marian_apparitions/approved_apparitions/rome1842/index.html) | [Link](https://www.marypages.com/rome-(itali%C3%AB).html) |</v>
      </c>
      <c r="BV30" s="155" t="str">
        <f t="shared" si="24"/>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55"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55" t="str">
        <f>IF(LEN(N30)&gt;1,concatll("#### Author's Note",N30,"-"&amp;B30),"")</f>
        <v/>
      </c>
      <c r="BY30" s="155" t="s">
        <v>335</v>
      </c>
      <c r="BZ30" s="155" t="s">
        <v>335</v>
      </c>
      <c r="CA30" s="23" t="str">
        <f>IF(AS30,concatll(concatl("---",AT30:AV30,BL30,"---"),M30,BW30:BX30),"")</f>
        <v xml:space="preserve">---_x000D_
title: "Sant'Andrea delle Fratte (Shrine of Our Lady of the Miracle, Our Lady of Zion)"_x000D_
location: {lat: 41.9035637, lng: 12.4836739}_x000D_
interest: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23" t="str">
        <f>IF(AS30,"places\"&amp;VLOOKUP(C30,'(Ref) Countries'!A:B,2,)&amp;IF(LEN(D30)&gt;1,"-"&amp;LOWER(SUBSTITUTE(D30," ","-")),"")&amp;"-"&amp;LOWER(SUBSTITUTE(SUBSTITUTE(H30," ","-"),".",""))&amp;".md","")</f>
        <v>places\it-rome-sant-andrea-delle-fratte.md</v>
      </c>
      <c r="CC30" s="38" t="str">
        <f>IF(LEN(Z30)&gt;1,VLOOKUP(Z30,'Tag List'!$A:$B,2,),"")</f>
        <v>Fr. Marie-Alphonse Ratisbonne, NDS</v>
      </c>
      <c r="CD30" s="38" t="str">
        <f>IF(LEN(AA30)&gt;1,VLOOKUP(AA30,'Tag List'!$A:$B,2,),"")</f>
        <v/>
      </c>
      <c r="CE30" s="38" t="str">
        <f>IF(LEN(AB30)&gt;1,VLOOKUP(AB30,'Tag List'!$A:$B,2,),"")</f>
        <v/>
      </c>
      <c r="CF30" s="30" t="str">
        <f>IF(LEN(Z30)&gt;1,GetTagPage(CC30,Z30),"")</f>
        <v>[Fr. Marie-Alphonse Ratisbonne, NDS](/tags/marie-alphonse-ratisbonne)</v>
      </c>
      <c r="CG30" s="30" t="str">
        <f>IF(LEN(AA30)&gt;1,GetTagPage(CD30,AA30),"")</f>
        <v/>
      </c>
      <c r="CH30" s="30" t="str">
        <f>IF(LEN(AB30)&gt;1,GetTagPage(CE30,AB30),"")</f>
        <v/>
      </c>
      <c r="CI30" s="30" t="str">
        <f t="shared" si="25"/>
        <v xml:space="preserve">| [Fr. Marie-Alphonse Ratisbonne, NDS](/tags/marie-alphonse-ratisbonne) </v>
      </c>
      <c r="CJ30" s="30" t="str">
        <f t="shared" si="26"/>
        <v xml:space="preserve">| [Rome](/places/places\it-rome-sant-andrea-delle-fratte) </v>
      </c>
      <c r="CK30" s="30" t="str">
        <f>"| "&amp;IF(AS30,GetTagPage(C30,VLOOKUP(C30,'(Ref) Countries'!A:C,3,)),C30)&amp; " "</f>
        <v xml:space="preserve">| [Italy](/tags/italy) </v>
      </c>
      <c r="CL30" s="30" t="str">
        <f t="shared" si="27"/>
        <v xml:space="preserve">| 1842 </v>
      </c>
      <c r="CM30" s="30" t="str">
        <f t="shared" si="28"/>
        <v xml:space="preserve">| [Link](/places/places\it-rome-sant-andrea-delle-fratte) </v>
      </c>
      <c r="CN30" s="29" t="str">
        <f t="shared" si="29"/>
        <v xml:space="preserve">
| [Rome](/places/places\it-rome-sant-andrea-delle-fratte) | [Italy](/tags/italy) | 1842 | [Link](/places/places\it-rome-sant-andrea-delle-fratte)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31" spans="1:92" ht="165.75" x14ac:dyDescent="0.25">
      <c r="A31" s="167" t="s">
        <v>1317</v>
      </c>
      <c r="B31" s="168" t="s">
        <v>2483</v>
      </c>
      <c r="C31" s="24" t="s">
        <v>11</v>
      </c>
      <c r="D31" s="83" t="s">
        <v>1850</v>
      </c>
      <c r="E31" s="15">
        <v>41.457154000000003</v>
      </c>
      <c r="F31" s="49">
        <v>12.668148</v>
      </c>
      <c r="G31" s="83" t="s">
        <v>1852</v>
      </c>
      <c r="H31" s="90" t="s">
        <v>1853</v>
      </c>
      <c r="I31" s="45" t="s">
        <v>1737</v>
      </c>
      <c r="J31" s="40" t="b">
        <v>1</v>
      </c>
      <c r="K31" s="24" t="b">
        <v>1</v>
      </c>
      <c r="L31" s="24" t="b">
        <v>1</v>
      </c>
      <c r="M31" s="45" t="s">
        <v>1727</v>
      </c>
      <c r="N31" s="177" t="s">
        <v>2504</v>
      </c>
      <c r="O31" s="35" t="s">
        <v>1729</v>
      </c>
      <c r="P31" s="48" t="s">
        <v>1795</v>
      </c>
      <c r="Q31" s="82" t="s">
        <v>1796</v>
      </c>
      <c r="R31" s="35" t="s">
        <v>1794</v>
      </c>
      <c r="S31" s="93" t="s">
        <v>335</v>
      </c>
      <c r="T31" s="62"/>
      <c r="U31" s="35"/>
      <c r="V31" s="66"/>
      <c r="W31" s="35"/>
      <c r="X31" s="35"/>
      <c r="Y31" s="99"/>
      <c r="Z31" s="35" t="s">
        <v>1730</v>
      </c>
      <c r="AA31" s="170" t="s">
        <v>2524</v>
      </c>
      <c r="AB31" s="170" t="s">
        <v>2525</v>
      </c>
      <c r="AC31" s="35"/>
      <c r="AD31" s="35"/>
      <c r="AE31" s="35"/>
      <c r="AF31" s="35"/>
      <c r="AG31" s="35"/>
      <c r="AH31" s="35"/>
      <c r="AI31" s="35"/>
      <c r="AJ31" s="89" t="s">
        <v>1404</v>
      </c>
      <c r="AL31" s="15" t="s">
        <v>335</v>
      </c>
      <c r="AM31" s="15" t="s">
        <v>335</v>
      </c>
      <c r="AN31" s="15" t="s">
        <v>1380</v>
      </c>
      <c r="AO31" s="35" t="s">
        <v>1728</v>
      </c>
      <c r="AP31" s="15" t="s">
        <v>335</v>
      </c>
      <c r="AS31" s="154" t="b">
        <f t="shared" si="1"/>
        <v>1</v>
      </c>
      <c r="AT31" s="155" t="str">
        <f t="shared" si="2"/>
        <v>title: "Basilica of Our Lady of Graces and St. Maria Goretti"</v>
      </c>
      <c r="AU31" s="155" t="str">
        <f t="shared" si="3"/>
        <v>location: {lat: 41.457154, lng: 12.668148}</v>
      </c>
      <c r="AV31" s="155" t="str">
        <f t="shared" si="4"/>
        <v>interest: regional</v>
      </c>
      <c r="AW31" s="155" t="str">
        <f>"- "&amp;VLOOKUP(C31,'(Ref) Countries'!A:C,3,)</f>
        <v>- italy</v>
      </c>
      <c r="AX31" s="155" t="str">
        <f t="shared" si="5"/>
        <v>- nettuno</v>
      </c>
      <c r="AY31" s="155" t="str">
        <f t="shared" si="6"/>
        <v>- churches</v>
      </c>
      <c r="AZ31" s="155" t="str">
        <f t="shared" si="7"/>
        <v>- marian-sites</v>
      </c>
      <c r="BA31" s="155" t="str">
        <f t="shared" si="8"/>
        <v>- holy-persons</v>
      </c>
      <c r="BB31" s="155" t="str">
        <f t="shared" si="9"/>
        <v>- maria-goretti</v>
      </c>
      <c r="BC31" s="155" t="str">
        <f t="shared" si="10"/>
        <v>- our-lady-grace</v>
      </c>
      <c r="BD31" s="155" t="str">
        <f t="shared" si="11"/>
        <v>- our-lady-ipswich</v>
      </c>
      <c r="BE31" s="155" t="str">
        <f t="shared" si="12"/>
        <v/>
      </c>
      <c r="BF31" s="155" t="str">
        <f t="shared" si="13"/>
        <v/>
      </c>
      <c r="BG31" s="155" t="str">
        <f t="shared" si="14"/>
        <v/>
      </c>
      <c r="BH31" s="155" t="str">
        <f t="shared" si="15"/>
        <v/>
      </c>
      <c r="BI31" s="155" t="str">
        <f t="shared" si="16"/>
        <v/>
      </c>
      <c r="BJ31" s="155" t="str">
        <f t="shared" si="17"/>
        <v/>
      </c>
      <c r="BK31" s="155" t="str">
        <f t="shared" si="18"/>
        <v/>
      </c>
      <c r="BL31" s="155" t="str">
        <f t="shared" si="19"/>
        <v xml:space="preserve">tags:
- italy_x000D_
- nettuno_x000D_
- churches_x000D_
- marian-sites_x000D_
- holy-persons_x000D_
- maria-goretti_x000D_
- our-lady-grace_x000D_
- our-lady-ipswich_x000D_
</v>
      </c>
      <c r="BM31" s="158" t="str">
        <f t="shared" si="30"/>
        <v>[Official site](http://www.santuarionettuno.it/) - (note: website not active at time of writing)</v>
      </c>
      <c r="BN31" s="158" t="str">
        <f t="shared" si="31"/>
        <v>[Official Facebook page](https://www.facebook.com/profile.php?id=100069705631532)</v>
      </c>
      <c r="BO31" s="158" t="str">
        <f t="shared" si="32"/>
        <v/>
      </c>
      <c r="BP31" s="158" t="str">
        <f t="shared" si="33"/>
        <v/>
      </c>
      <c r="BQ31" s="158" t="str">
        <f t="shared" si="20"/>
        <v xml:space="preserve">* [Official site](http://www.santuarionettuno.it/) - (note: website not active at time of writing)
* [Official Facebook page](https://www.facebook.com/profile.php?id=100069705631532)
</v>
      </c>
      <c r="BR31" s="158" t="str">
        <f t="shared" si="21"/>
        <v/>
      </c>
      <c r="BS31" s="158" t="str">
        <f t="shared" si="22"/>
        <v>[Link](https://www.miraclehunter.com/marian_apparitions/approved_apparitions/apparitions_1500-1599.html) (Search "Ipswich")</v>
      </c>
      <c r="BT31" s="158" t="str">
        <f t="shared" si="23"/>
        <v/>
      </c>
      <c r="BU31" s="158" t="str">
        <f>IF(LEN(concat(BR31:BT31))&gt;0,concat("| ",BR31," | ",BS31," | ",BT31," |"),"")</f>
        <v>|  | [Link](https://www.miraclehunter.com/marian_apparitions/approved_apparitions/apparitions_1500-1599.html) (Search "Ipswich") |  |</v>
      </c>
      <c r="BV31" s="155" t="str">
        <f t="shared" si="24"/>
        <v xml:space="preserve">| The Real Presence | Miracle Hunter | MaryPages |_x000D_
| --- | --- | --- |_x000D_
|  | [Link](https://www.miraclehunter.com/marian_apparitions/approved_apparitions/apparitions_1500-1599.html) (Search "Ipswich") |  |_x000D_
</v>
      </c>
      <c r="BW31" s="155"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55"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55" t="s">
        <v>335</v>
      </c>
      <c r="BZ31" s="155" t="s">
        <v>335</v>
      </c>
      <c r="CA31" s="23" t="str">
        <f>IF(AS31,concatll(concatl("---",AT31:AV31,BL31,"---"),M31,BW31:BX31),"")</f>
        <v xml:space="preserve">---_x000D_
title: "Basilica of Our Lady of Graces and St. Maria Goretti"_x000D_
location: {lat: 41.457154, lng: 12.668148}_x000D_
interest: regional_x000D_
tags:
- italy_x000D_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23" t="str">
        <f>IF(AS31,"places\"&amp;VLOOKUP(C31,'(Ref) Countries'!A:B,2,)&amp;IF(LEN(D31)&gt;1,"-"&amp;LOWER(SUBSTITUTE(D31," ","-")),"")&amp;"-"&amp;LOWER(SUBSTITUTE(SUBSTITUTE(H31," ","-"),".",""))&amp;".md","")</f>
        <v>places\it-nettuno-basilica-of-our-lady-of-graces.md</v>
      </c>
      <c r="CC31" s="29" t="str">
        <f>IF(LEN(Z31)&gt;1,VLOOKUP(Z31,'Tag List'!$A:$B,2,),"")</f>
        <v>St. Maria Goretti</v>
      </c>
      <c r="CD31" s="29" t="e">
        <f>IF(LEN(AA31)&gt;1,VLOOKUP(AA31,'Tag List'!$A:$B,2,),"")</f>
        <v>#N/A</v>
      </c>
      <c r="CE31" s="29" t="e">
        <f>IF(LEN(AB31)&gt;1,VLOOKUP(AB31,'Tag List'!$A:$B,2,),"")</f>
        <v>#N/A</v>
      </c>
      <c r="CF31" s="30" t="str">
        <f>IF(LEN(Z31)&gt;1,GetTagPage(CC31,Z31),"")</f>
        <v>[St. Maria Goretti](/tags/maria-goretti)</v>
      </c>
      <c r="CG31" s="30" t="e">
        <f>IF(LEN(AA31)&gt;1,GetTagPage(CD31,AA31),"")</f>
        <v>#VALUE!</v>
      </c>
      <c r="CH31" s="30" t="e">
        <f>IF(LEN(AB31)&gt;1,GetTagPage(CE31,AB31),"")</f>
        <v>#VALUE!</v>
      </c>
      <c r="CI31" s="30" t="e">
        <f t="shared" si="25"/>
        <v>#VALUE!</v>
      </c>
      <c r="CJ31" s="30" t="str">
        <f t="shared" si="26"/>
        <v xml:space="preserve">| [Our Lady of Grace and St. Maria Goretti](/places/places\it-nettuno-basilica-of-our-lady-of-graces) </v>
      </c>
      <c r="CK31" s="30" t="str">
        <f>"| "&amp;IF(AS31,GetTagPage(C31,VLOOKUP(C31,'(Ref) Countries'!A:C,3,)),C31)&amp; " "</f>
        <v xml:space="preserve">| [Italy](/tags/italy) </v>
      </c>
      <c r="CL31" s="30" t="str">
        <f t="shared" si="27"/>
        <v xml:space="preserve">|  </v>
      </c>
      <c r="CM31" s="30" t="str">
        <f t="shared" si="28"/>
        <v xml:space="preserve">| [Link](/places/places\it-nettuno-basilica-of-our-lady-of-graces) </v>
      </c>
      <c r="CN31" s="29" t="e">
        <f t="shared" si="29"/>
        <v>#VALUE!</v>
      </c>
    </row>
    <row r="32" spans="1:92" ht="102" x14ac:dyDescent="0.25">
      <c r="A32" s="167" t="s">
        <v>1317</v>
      </c>
      <c r="B32" s="168" t="s">
        <v>2482</v>
      </c>
      <c r="C32" s="45" t="s">
        <v>11</v>
      </c>
      <c r="E32" s="15">
        <v>45.6258893442062</v>
      </c>
      <c r="F32" s="49">
        <v>7.9823763846553701</v>
      </c>
      <c r="G32" s="45" t="s">
        <v>1740</v>
      </c>
      <c r="H32" s="58" t="s">
        <v>1739</v>
      </c>
      <c r="I32" s="45" t="s">
        <v>1737</v>
      </c>
      <c r="J32" s="40" t="b">
        <v>1</v>
      </c>
      <c r="K32" s="24" t="b">
        <v>1</v>
      </c>
      <c r="M32" s="45" t="s">
        <v>1743</v>
      </c>
      <c r="O32" s="15" t="s">
        <v>1741</v>
      </c>
      <c r="P32" s="15" t="s">
        <v>335</v>
      </c>
      <c r="Z32" s="15" t="s">
        <v>1742</v>
      </c>
      <c r="AJ32" s="89" t="s">
        <v>1739</v>
      </c>
      <c r="AL32" s="15" t="s">
        <v>335</v>
      </c>
      <c r="AM32" s="15" t="s">
        <v>335</v>
      </c>
      <c r="AN32" s="15" t="s">
        <v>335</v>
      </c>
      <c r="AO32" s="15" t="s">
        <v>335</v>
      </c>
      <c r="AP32" s="15" t="s">
        <v>335</v>
      </c>
      <c r="AS32" s="154" t="b">
        <f t="shared" si="1"/>
        <v>1</v>
      </c>
      <c r="AT32" s="155" t="str">
        <f t="shared" si="2"/>
        <v>title: "Sanctuary of Oropa (Black Madonna of Oropa)"</v>
      </c>
      <c r="AU32" s="155" t="str">
        <f t="shared" si="3"/>
        <v>location: {lat: 45.6258893442062, lng: 7.98237638465537}</v>
      </c>
      <c r="AV32" s="155" t="str">
        <f t="shared" si="4"/>
        <v>interest: regional</v>
      </c>
      <c r="AW32" s="155" t="str">
        <f>"- "&amp;VLOOKUP(C32,'(Ref) Countries'!A:C,3,)</f>
        <v>- italy</v>
      </c>
      <c r="AX32" s="155" t="str">
        <f t="shared" si="5"/>
        <v/>
      </c>
      <c r="AY32" s="155" t="str">
        <f t="shared" si="6"/>
        <v>- churches</v>
      </c>
      <c r="AZ32" s="155" t="str">
        <f t="shared" si="7"/>
        <v>- marian-sites</v>
      </c>
      <c r="BA32" s="155" t="str">
        <f t="shared" si="8"/>
        <v/>
      </c>
      <c r="BB32" s="155" t="str">
        <f t="shared" si="9"/>
        <v>- pier-giorgio-frassati</v>
      </c>
      <c r="BC32" s="155" t="str">
        <f t="shared" si="10"/>
        <v/>
      </c>
      <c r="BD32" s="155" t="str">
        <f t="shared" si="11"/>
        <v/>
      </c>
      <c r="BE32" s="155" t="str">
        <f t="shared" si="12"/>
        <v/>
      </c>
      <c r="BF32" s="155" t="str">
        <f t="shared" si="13"/>
        <v/>
      </c>
      <c r="BG32" s="155" t="str">
        <f t="shared" si="14"/>
        <v/>
      </c>
      <c r="BH32" s="155" t="str">
        <f t="shared" si="15"/>
        <v/>
      </c>
      <c r="BI32" s="155" t="str">
        <f t="shared" si="16"/>
        <v/>
      </c>
      <c r="BJ32" s="155" t="str">
        <f t="shared" si="17"/>
        <v/>
      </c>
      <c r="BK32" s="155" t="str">
        <f t="shared" si="18"/>
        <v/>
      </c>
      <c r="BL32" s="155" t="str">
        <f t="shared" si="19"/>
        <v xml:space="preserve">tags:
- italy_x000D_
- churches_x000D_
- marian-sites_x000D_
- pier-giorgio-frassati_x000D_
</v>
      </c>
      <c r="BM32" s="158" t="str">
        <f t="shared" si="30"/>
        <v>[Official site](https://www.santuariodioropa.it/en/)</v>
      </c>
      <c r="BN32" s="158" t="str">
        <f t="shared" si="31"/>
        <v/>
      </c>
      <c r="BO32" s="158" t="str">
        <f t="shared" si="32"/>
        <v/>
      </c>
      <c r="BP32" s="158" t="str">
        <f t="shared" si="33"/>
        <v/>
      </c>
      <c r="BQ32" s="158" t="str">
        <f t="shared" si="20"/>
        <v xml:space="preserve">* [Official site](https://www.santuariodioropa.it/en/)
</v>
      </c>
      <c r="BR32" s="158" t="str">
        <f t="shared" si="21"/>
        <v/>
      </c>
      <c r="BS32" s="158" t="str">
        <f t="shared" si="22"/>
        <v/>
      </c>
      <c r="BT32" s="158" t="str">
        <f t="shared" si="23"/>
        <v/>
      </c>
      <c r="BU32" s="158" t="str">
        <f>IF(LEN(concat(BR32:BT32))&gt;0,concat("| ",BR32," | ",BS32," | ",BT32," |"),"")</f>
        <v/>
      </c>
      <c r="BV32" s="155" t="str">
        <f t="shared" si="24"/>
        <v xml:space="preserve">| The Real Presence | Miracle Hunter | MaryPages |_x000D_
| --- | --- | --- |_x000D_
</v>
      </c>
      <c r="BW32" s="155" t="str">
        <f>IF(LEN(BQ32&amp;BV32)&gt;0,concatll("#### More Information",BQ32,BV32),"")</f>
        <v xml:space="preserve">#### More Information_x000D_
_x000D_
* [Official site](https://www.santuariodioropa.it/en/)
_x000D_
_x000D_
| The Real Presence | Miracle Hunter | MaryPages |_x000D_
| --- | --- | --- |_x000D_
_x000D_
_x000D_
</v>
      </c>
      <c r="BX32" s="155" t="str">
        <f>IF(LEN(N32)&gt;1,concatll("#### Author's Note",N32,"-"&amp;B32),"")</f>
        <v/>
      </c>
      <c r="BY32" s="155" t="s">
        <v>335</v>
      </c>
      <c r="BZ32" s="155" t="s">
        <v>335</v>
      </c>
      <c r="CA32" s="23" t="str">
        <f>IF(AS32,concatll(concatl("---",AT32:AV32,BL32,"---"),M32,BW32:BX32),"")</f>
        <v xml:space="preserve">---_x000D_
title: "Sanctuary of Oropa (Black Madonna of Oropa)"_x000D_
location: {lat: 45.6258893442062, lng: 7.98237638465537}_x000D_
interest: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23" t="str">
        <f>IF(AS32,"places\"&amp;VLOOKUP(C32,'(Ref) Countries'!A:B,2,)&amp;IF(LEN(D32)&gt;1,"-"&amp;LOWER(SUBSTITUTE(D32," ","-")),"")&amp;"-"&amp;LOWER(SUBSTITUTE(SUBSTITUTE(H32," ","-"),".",""))&amp;".md","")</f>
        <v>places\it-sanctuary-of-oropa.md</v>
      </c>
      <c r="CC32" s="29" t="str">
        <f>IF(LEN(Z32)&gt;1,VLOOKUP(Z32,'Tag List'!$A:$B,2,),"")</f>
        <v>Bl. Pier Giorgio Frassati, TOSD</v>
      </c>
      <c r="CD32" s="29" t="str">
        <f>IF(LEN(AA32)&gt;1,VLOOKUP(AA32,'Tag List'!$A:$B,2,),"")</f>
        <v/>
      </c>
      <c r="CE32" s="29" t="str">
        <f>IF(LEN(AB32)&gt;1,VLOOKUP(AB32,'Tag List'!$A:$B,2,),"")</f>
        <v/>
      </c>
      <c r="CF32" s="30" t="str">
        <f>IF(LEN(Z32)&gt;1,GetTagPage(CC32,Z32),"")</f>
        <v>[Bl. Pier Giorgio Frassati, TOSD](/tags/pier-giorgio-frassati)</v>
      </c>
      <c r="CG32" s="30" t="str">
        <f>IF(LEN(AA32)&gt;1,GetTagPage(CD32,AA32),"")</f>
        <v/>
      </c>
      <c r="CH32" s="30" t="str">
        <f>IF(LEN(AB32)&gt;1,GetTagPage(CE32,AB32),"")</f>
        <v/>
      </c>
      <c r="CI32" s="30" t="str">
        <f t="shared" si="25"/>
        <v xml:space="preserve">| [Bl. Pier Giorgio Frassati, TOSD](/tags/pier-giorgio-frassati) </v>
      </c>
      <c r="CJ32" s="30" t="str">
        <f t="shared" si="26"/>
        <v xml:space="preserve">| [Sanctuary of Oropa](/places/places\it-sanctuary-of-oropa) </v>
      </c>
      <c r="CK32" s="30" t="str">
        <f>"| "&amp;IF(AS32,GetTagPage(C32,VLOOKUP(C32,'(Ref) Countries'!A:C,3,)),C32)&amp; " "</f>
        <v xml:space="preserve">| [Italy](/tags/italy) </v>
      </c>
      <c r="CL32" s="30" t="str">
        <f t="shared" si="27"/>
        <v xml:space="preserve">|  </v>
      </c>
      <c r="CM32" s="30" t="str">
        <f t="shared" si="28"/>
        <v xml:space="preserve">| [Link](/places/places\it-sanctuary-of-oropa) </v>
      </c>
      <c r="CN32" s="29" t="str">
        <f t="shared" si="29"/>
        <v xml:space="preserve">
| [Sanctuary of Oropa](/places/places\it-sanctuary-of-oropa) | [Italy](/tags/italy) |  | [Link](/places/places\it-sanctuary-of-oropa) [Official site](https://www.santuariodioropa.it/en/)| [Bl. Pier Giorgio Frassati, TOSD](/tags/pier-giorgio-frassati) |</v>
      </c>
    </row>
    <row r="33" spans="1:92" ht="38.25" x14ac:dyDescent="0.25">
      <c r="A33" s="167" t="s">
        <v>1317</v>
      </c>
      <c r="B33" s="168" t="s">
        <v>2482</v>
      </c>
      <c r="C33" s="83" t="s">
        <v>11</v>
      </c>
      <c r="D33" s="83" t="s">
        <v>1839</v>
      </c>
      <c r="E33" s="15">
        <v>43.650784999999999</v>
      </c>
      <c r="F33" s="49">
        <v>13.047758</v>
      </c>
      <c r="G33" s="83" t="s">
        <v>1840</v>
      </c>
      <c r="H33" s="90" t="s">
        <v>2451</v>
      </c>
      <c r="I33" s="83" t="s">
        <v>1802</v>
      </c>
      <c r="J33" s="24" t="b">
        <v>1</v>
      </c>
      <c r="L33" s="24" t="b">
        <v>1</v>
      </c>
      <c r="M33" s="83" t="s">
        <v>1841</v>
      </c>
      <c r="N33" s="90"/>
      <c r="P33" s="15" t="s">
        <v>335</v>
      </c>
      <c r="Z33" s="91" t="s">
        <v>1730</v>
      </c>
      <c r="AA33" s="91"/>
      <c r="AS33" s="154" t="b">
        <f t="shared" si="1"/>
        <v>1</v>
      </c>
      <c r="AT33" s="155" t="str">
        <f t="shared" si="2"/>
        <v>title: "Church of St. Francis, Corinaldo"</v>
      </c>
      <c r="AU33" s="155" t="str">
        <f t="shared" si="3"/>
        <v>location: {lat: 43.650785, lng: 13.047758}</v>
      </c>
      <c r="AV33" s="155" t="str">
        <f t="shared" si="4"/>
        <v>interest: local</v>
      </c>
      <c r="AW33" s="155" t="str">
        <f>"- "&amp;VLOOKUP(C33,'(Ref) Countries'!A:C,3,)</f>
        <v>- italy</v>
      </c>
      <c r="AX33" s="155" t="str">
        <f t="shared" si="5"/>
        <v>- corinaldo</v>
      </c>
      <c r="AY33" s="155" t="str">
        <f t="shared" si="6"/>
        <v>- churches</v>
      </c>
      <c r="AZ33" s="155" t="str">
        <f t="shared" si="7"/>
        <v/>
      </c>
      <c r="BA33" s="155" t="str">
        <f t="shared" si="8"/>
        <v>- holy-persons</v>
      </c>
      <c r="BB33" s="155" t="str">
        <f t="shared" si="9"/>
        <v>- maria-goretti</v>
      </c>
      <c r="BC33" s="155" t="str">
        <f t="shared" si="10"/>
        <v/>
      </c>
      <c r="BD33" s="155" t="str">
        <f t="shared" si="11"/>
        <v/>
      </c>
      <c r="BE33" s="155" t="str">
        <f t="shared" si="12"/>
        <v/>
      </c>
      <c r="BF33" s="155" t="str">
        <f t="shared" si="13"/>
        <v/>
      </c>
      <c r="BG33" s="155" t="str">
        <f t="shared" si="14"/>
        <v/>
      </c>
      <c r="BH33" s="155" t="str">
        <f t="shared" si="15"/>
        <v/>
      </c>
      <c r="BI33" s="155" t="str">
        <f t="shared" si="16"/>
        <v/>
      </c>
      <c r="BJ33" s="155" t="str">
        <f t="shared" si="17"/>
        <v/>
      </c>
      <c r="BK33" s="155" t="str">
        <f t="shared" si="18"/>
        <v/>
      </c>
      <c r="BL33" s="155" t="str">
        <f t="shared" si="19"/>
        <v xml:space="preserve">tags:
- italy_x000D_
- corinaldo_x000D_
- churches_x000D_
- holy-persons_x000D_
- maria-goretti_x000D_
</v>
      </c>
      <c r="BM33" s="158" t="str">
        <f t="shared" si="30"/>
        <v/>
      </c>
      <c r="BN33" s="158" t="str">
        <f t="shared" si="31"/>
        <v/>
      </c>
      <c r="BO33" s="158" t="str">
        <f t="shared" si="32"/>
        <v/>
      </c>
      <c r="BP33" s="158" t="str">
        <f t="shared" si="33"/>
        <v/>
      </c>
      <c r="BQ33" s="155" t="str">
        <f t="shared" si="20"/>
        <v/>
      </c>
      <c r="BR33" s="155" t="str">
        <f t="shared" si="21"/>
        <v/>
      </c>
      <c r="BS33" s="155" t="str">
        <f t="shared" si="22"/>
        <v/>
      </c>
      <c r="BT33" s="155" t="str">
        <f t="shared" si="23"/>
        <v/>
      </c>
      <c r="BU33" s="155" t="str">
        <f>IF(LEN(concat(BR33:BT33))&gt;0,concat("| ",BR33," | ",BS33," | ",BT33," |"),"")</f>
        <v/>
      </c>
      <c r="BV33" s="155" t="str">
        <f t="shared" si="24"/>
        <v/>
      </c>
      <c r="BW33" s="155" t="str">
        <f>IF(LEN(BQ33&amp;BV33)&gt;0,concatll("#### More Information",BQ33,BV33),"")</f>
        <v/>
      </c>
      <c r="BX33" s="155" t="str">
        <f>IF(LEN(N33)&gt;1,concatll("#### Author's Note",N33,"-"&amp;B33),"")</f>
        <v/>
      </c>
      <c r="BY33" s="155" t="s">
        <v>335</v>
      </c>
      <c r="BZ33" s="155" t="s">
        <v>335</v>
      </c>
      <c r="CA33" s="23" t="str">
        <f>IF(AS33,concatll(concatl("---",AT33:AV33,BL33,"---"),M33,BW33:BX33),"")</f>
        <v xml:space="preserve">---_x000D_
title: "Church of St. Francis, Corinaldo"_x000D_
location: {lat: 43.650785, lng: 13.047758}_x000D_
interest: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23" t="str">
        <f>IF(AS33,"places\"&amp;VLOOKUP(C33,'(Ref) Countries'!A:B,2,)&amp;IF(LEN(D33)&gt;1,"-"&amp;LOWER(SUBSTITUTE(D33," ","-")),"")&amp;"-"&amp;LOWER(SUBSTITUTE(SUBSTITUTE(H33," ","-"),".",""))&amp;".md","")</f>
        <v>places\it-corinaldo-church-of-st-francis.md</v>
      </c>
      <c r="CC33" s="29" t="str">
        <f>IF(LEN(Z33)&gt;1,VLOOKUP(Z33,'Tag List'!$A:$B,2,),"")</f>
        <v>St. Maria Goretti</v>
      </c>
      <c r="CD33" s="29" t="str">
        <f>IF(LEN(AA33)&gt;1,VLOOKUP(AA33,'Tag List'!$A:$B,2,),"")</f>
        <v/>
      </c>
      <c r="CE33" s="29" t="str">
        <f>IF(LEN(AB33)&gt;1,VLOOKUP(AB33,'Tag List'!$A:$B,2,),"")</f>
        <v/>
      </c>
      <c r="CF33" s="29" t="str">
        <f>IF(LEN(Z33)&gt;1,GetTagPage(CC33,Z33),"")</f>
        <v>[St. Maria Goretti](/tags/maria-goretti)</v>
      </c>
      <c r="CG33" s="29" t="str">
        <f>IF(LEN(AA33)&gt;1,GetTagPage(CD33,AA33),"")</f>
        <v/>
      </c>
      <c r="CH33" s="29" t="str">
        <f>IF(LEN(AB33)&gt;1,GetTagPage(CE33,AB33),"")</f>
        <v/>
      </c>
      <c r="CI33" s="29" t="str">
        <f t="shared" si="25"/>
        <v xml:space="preserve">| [St. Maria Goretti](/tags/maria-goretti) </v>
      </c>
      <c r="CJ33" s="29" t="str">
        <f t="shared" si="26"/>
        <v xml:space="preserve">| [](/places/places\it-corinaldo-church-of-st-francis) </v>
      </c>
      <c r="CK33" s="29" t="str">
        <f>"| "&amp;IF(AS33,GetTagPage(C33,VLOOKUP(C33,'(Ref) Countries'!A:C,3,)),C33)&amp; " "</f>
        <v xml:space="preserve">| [Italy](/tags/italy) </v>
      </c>
      <c r="CL33" s="29" t="str">
        <f t="shared" si="27"/>
        <v xml:space="preserve">|  </v>
      </c>
      <c r="CM33" s="29" t="str">
        <f t="shared" si="28"/>
        <v xml:space="preserve">| [Link](/places/places\it-corinaldo-church-of-st-francis) </v>
      </c>
      <c r="CN33" s="29" t="str">
        <f t="shared" si="29"/>
        <v xml:space="preserve">
| [](/places/places\it-corinaldo-church-of-st-francis) | [Italy](/tags/italy) |  | [Link](/places/places\it-corinaldo-church-of-st-francis) | [St. Maria Goretti](/tags/maria-goretti) |</v>
      </c>
    </row>
    <row r="34" spans="1:92" x14ac:dyDescent="0.25">
      <c r="A34" s="167" t="s">
        <v>1317</v>
      </c>
      <c r="B34" s="24" t="s">
        <v>2482</v>
      </c>
      <c r="C34" s="24" t="s">
        <v>11</v>
      </c>
      <c r="D34" s="24" t="s">
        <v>1839</v>
      </c>
      <c r="E34" s="15">
        <v>43.659849000000001</v>
      </c>
      <c r="F34" s="49">
        <v>13.051119999999999</v>
      </c>
      <c r="G34" s="24" t="s">
        <v>1842</v>
      </c>
      <c r="H34" s="90" t="s">
        <v>1842</v>
      </c>
      <c r="I34" s="83" t="s">
        <v>1802</v>
      </c>
      <c r="L34" s="24" t="b">
        <v>1</v>
      </c>
      <c r="M34" s="83" t="s">
        <v>1843</v>
      </c>
      <c r="P34" s="15" t="s">
        <v>335</v>
      </c>
      <c r="Z34" s="15" t="s">
        <v>1730</v>
      </c>
      <c r="AS34" s="154" t="b">
        <f t="shared" si="1"/>
        <v>1</v>
      </c>
      <c r="AT34" s="155" t="str">
        <f t="shared" si="2"/>
        <v>title: "Birthplace of St. Maria Goretti"</v>
      </c>
      <c r="AU34" s="155" t="str">
        <f t="shared" si="3"/>
        <v>location: {lat: 43.659849, lng: 13.05112}</v>
      </c>
      <c r="AV34" s="155" t="str">
        <f t="shared" si="4"/>
        <v>interest: local</v>
      </c>
      <c r="AW34" s="155" t="str">
        <f>"- "&amp;VLOOKUP(C34,'(Ref) Countries'!A:C,3,)</f>
        <v>- italy</v>
      </c>
      <c r="AX34" s="155" t="str">
        <f t="shared" si="5"/>
        <v>- corinaldo</v>
      </c>
      <c r="AY34" s="155" t="str">
        <f t="shared" si="6"/>
        <v/>
      </c>
      <c r="AZ34" s="155" t="str">
        <f t="shared" si="7"/>
        <v/>
      </c>
      <c r="BA34" s="155" t="str">
        <f t="shared" si="8"/>
        <v>- holy-persons</v>
      </c>
      <c r="BB34" s="155" t="str">
        <f t="shared" si="9"/>
        <v>- maria-goretti</v>
      </c>
      <c r="BC34" s="155" t="str">
        <f t="shared" si="10"/>
        <v/>
      </c>
      <c r="BD34" s="155" t="str">
        <f t="shared" si="11"/>
        <v/>
      </c>
      <c r="BE34" s="155" t="str">
        <f t="shared" si="12"/>
        <v/>
      </c>
      <c r="BF34" s="155" t="str">
        <f t="shared" si="13"/>
        <v/>
      </c>
      <c r="BG34" s="155" t="str">
        <f t="shared" si="14"/>
        <v/>
      </c>
      <c r="BH34" s="155" t="str">
        <f t="shared" si="15"/>
        <v/>
      </c>
      <c r="BI34" s="155" t="str">
        <f t="shared" si="16"/>
        <v/>
      </c>
      <c r="BJ34" s="155" t="str">
        <f t="shared" si="17"/>
        <v/>
      </c>
      <c r="BK34" s="155" t="str">
        <f t="shared" si="18"/>
        <v/>
      </c>
      <c r="BL34" s="155" t="str">
        <f t="shared" si="19"/>
        <v xml:space="preserve">tags:
- italy_x000D_
- corinaldo_x000D_
- holy-persons_x000D_
- maria-goretti_x000D_
</v>
      </c>
      <c r="BM34" s="158" t="str">
        <f t="shared" si="30"/>
        <v/>
      </c>
      <c r="BN34" s="158" t="str">
        <f t="shared" si="31"/>
        <v/>
      </c>
      <c r="BO34" s="158" t="str">
        <f t="shared" si="32"/>
        <v/>
      </c>
      <c r="BP34" s="158" t="str">
        <f t="shared" si="33"/>
        <v/>
      </c>
      <c r="BQ34" s="155" t="str">
        <f t="shared" si="20"/>
        <v/>
      </c>
      <c r="BR34" s="155" t="str">
        <f t="shared" si="21"/>
        <v/>
      </c>
      <c r="BS34" s="155" t="str">
        <f t="shared" si="22"/>
        <v/>
      </c>
      <c r="BT34" s="155" t="str">
        <f t="shared" si="23"/>
        <v/>
      </c>
      <c r="BU34" s="155" t="str">
        <f>IF(LEN(concat(BR34:BT34))&gt;0,concat("| ",BR34," | ",BS34," | ",BT34," |"),"")</f>
        <v/>
      </c>
      <c r="BV34" s="155" t="str">
        <f t="shared" si="24"/>
        <v/>
      </c>
      <c r="BW34" s="155" t="str">
        <f>IF(LEN(BQ34&amp;BV34)&gt;0,concatll("#### More Information",BQ34,BV34),"")</f>
        <v/>
      </c>
      <c r="BX34" s="155" t="str">
        <f>IF(LEN(N34)&gt;1,concatll("#### Author's Note",N34,"-"&amp;B34),"")</f>
        <v/>
      </c>
      <c r="BY34" s="155" t="s">
        <v>335</v>
      </c>
      <c r="BZ34" s="155" t="s">
        <v>335</v>
      </c>
      <c r="CA34" s="23" t="str">
        <f>IF(AS34,concatll(concatl("---",AT34:AV34,BL34,"---"),M34,BW34:BX34),"")</f>
        <v xml:space="preserve">---_x000D_
title: "Birthplace of St. Maria Goretti"_x000D_
location: {lat: 43.659849, lng: 13.05112}_x000D_
interest: local_x000D_
tags:
- italy_x000D_
- corinaldo_x000D_
- holy-persons_x000D_
- maria-goretti_x000D_
_x000D_
---_x000D_
_x000D_
_x000D_
Here St. Maria Goretti was born on October 16, 1890._x000D_
_x000D_
</v>
      </c>
      <c r="CB34" s="23" t="str">
        <f>IF(AS34,"places\"&amp;VLOOKUP(C34,'(Ref) Countries'!A:B,2,)&amp;IF(LEN(D34)&gt;1,"-"&amp;LOWER(SUBSTITUTE(D34," ","-")),"")&amp;"-"&amp;LOWER(SUBSTITUTE(SUBSTITUTE(H34," ","-"),".",""))&amp;".md","")</f>
        <v>places\it-corinaldo-birthplace-of-st-maria-goretti.md</v>
      </c>
      <c r="CC34" s="29" t="str">
        <f>IF(LEN(Z34)&gt;1,VLOOKUP(Z34,'Tag List'!$A:$B,2,),"")</f>
        <v>St. Maria Goretti</v>
      </c>
      <c r="CD34" s="29" t="str">
        <f>IF(LEN(AA34)&gt;1,VLOOKUP(AA34,'Tag List'!$A:$B,2,),"")</f>
        <v/>
      </c>
      <c r="CE34" s="29" t="str">
        <f>IF(LEN(AB34)&gt;1,VLOOKUP(AB34,'Tag List'!$A:$B,2,),"")</f>
        <v/>
      </c>
      <c r="CF34" s="29" t="str">
        <f>IF(LEN(Z34)&gt;1,GetTagPage(CC34,Z34),"")</f>
        <v>[St. Maria Goretti](/tags/maria-goretti)</v>
      </c>
      <c r="CG34" s="29" t="str">
        <f>IF(LEN(AA34)&gt;1,GetTagPage(CD34,AA34),"")</f>
        <v/>
      </c>
      <c r="CH34" s="29" t="str">
        <f>IF(LEN(AB34)&gt;1,GetTagPage(CE34,AB34),"")</f>
        <v/>
      </c>
      <c r="CI34" s="29" t="str">
        <f t="shared" si="25"/>
        <v xml:space="preserve">| [St. Maria Goretti](/tags/maria-goretti) </v>
      </c>
      <c r="CJ34" s="29" t="str">
        <f t="shared" si="26"/>
        <v xml:space="preserve">| [](/places/places\it-corinaldo-birthplace-of-st-maria-goretti) </v>
      </c>
      <c r="CK34" s="29" t="str">
        <f>"| "&amp;IF(AS34,GetTagPage(C34,VLOOKUP(C34,'(Ref) Countries'!A:C,3,)),C34)&amp; " "</f>
        <v xml:space="preserve">| [Italy](/tags/italy) </v>
      </c>
      <c r="CL34" s="29" t="str">
        <f t="shared" si="27"/>
        <v xml:space="preserve">|  </v>
      </c>
      <c r="CM34" s="29" t="str">
        <f t="shared" si="28"/>
        <v xml:space="preserve">| [Link](/places/places\it-corinaldo-birthplace-of-st-maria-goretti) </v>
      </c>
      <c r="CN34" s="29" t="str">
        <f t="shared" si="29"/>
        <v xml:space="preserve">
| [](/places/places\it-corinaldo-birthplace-of-st-maria-goretti) | [Italy](/tags/italy) |  | [Link](/places/places\it-corinaldo-birthplace-of-st-maria-goretti) | [St. Maria Goretti](/tags/maria-goretti) |</v>
      </c>
    </row>
    <row r="35" spans="1:92" ht="38.25" x14ac:dyDescent="0.25">
      <c r="A35" s="167" t="s">
        <v>1317</v>
      </c>
      <c r="B35" s="24" t="s">
        <v>2482</v>
      </c>
      <c r="C35" s="24" t="s">
        <v>11</v>
      </c>
      <c r="D35" s="24" t="s">
        <v>1839</v>
      </c>
      <c r="E35" s="15">
        <v>43.649306500000002</v>
      </c>
      <c r="F35" s="49">
        <v>13.0472097</v>
      </c>
      <c r="G35" s="83" t="s">
        <v>1845</v>
      </c>
      <c r="H35" s="90" t="s">
        <v>2452</v>
      </c>
      <c r="I35" s="83" t="s">
        <v>1737</v>
      </c>
      <c r="J35" s="24" t="b">
        <v>1</v>
      </c>
      <c r="L35" s="24" t="b">
        <v>1</v>
      </c>
      <c r="M35" s="83" t="s">
        <v>1846</v>
      </c>
      <c r="O35" s="15" t="s">
        <v>1844</v>
      </c>
      <c r="P35" s="15" t="s">
        <v>335</v>
      </c>
      <c r="Z35" s="15" t="s">
        <v>1730</v>
      </c>
      <c r="AS35" s="154" t="b">
        <f t="shared" si="1"/>
        <v>1</v>
      </c>
      <c r="AT35" s="155" t="str">
        <f t="shared" si="2"/>
        <v>title: "Diocesan Sanctuary of St. Maria Goretti"</v>
      </c>
      <c r="AU35" s="155" t="str">
        <f t="shared" si="3"/>
        <v>location: {lat: 43.6493065, lng: 13.0472097}</v>
      </c>
      <c r="AV35" s="155" t="str">
        <f t="shared" si="4"/>
        <v>interest: regional</v>
      </c>
      <c r="AW35" s="155" t="str">
        <f>"- "&amp;VLOOKUP(C35,'(Ref) Countries'!A:C,3,)</f>
        <v>- italy</v>
      </c>
      <c r="AX35" s="155" t="str">
        <f t="shared" si="5"/>
        <v>- corinaldo</v>
      </c>
      <c r="AY35" s="155" t="str">
        <f t="shared" si="6"/>
        <v>- churches</v>
      </c>
      <c r="AZ35" s="155" t="str">
        <f t="shared" si="7"/>
        <v/>
      </c>
      <c r="BA35" s="155" t="str">
        <f t="shared" si="8"/>
        <v>- holy-persons</v>
      </c>
      <c r="BB35" s="155" t="str">
        <f t="shared" si="9"/>
        <v>- maria-goretti</v>
      </c>
      <c r="BC35" s="155" t="str">
        <f t="shared" si="10"/>
        <v/>
      </c>
      <c r="BD35" s="155" t="str">
        <f t="shared" si="11"/>
        <v/>
      </c>
      <c r="BE35" s="155" t="str">
        <f t="shared" si="12"/>
        <v/>
      </c>
      <c r="BF35" s="155" t="str">
        <f t="shared" si="13"/>
        <v/>
      </c>
      <c r="BG35" s="155" t="str">
        <f t="shared" si="14"/>
        <v/>
      </c>
      <c r="BH35" s="155" t="str">
        <f t="shared" si="15"/>
        <v/>
      </c>
      <c r="BI35" s="155" t="str">
        <f t="shared" si="16"/>
        <v/>
      </c>
      <c r="BJ35" s="155" t="str">
        <f t="shared" si="17"/>
        <v/>
      </c>
      <c r="BK35" s="155" t="str">
        <f t="shared" si="18"/>
        <v/>
      </c>
      <c r="BL35" s="155" t="str">
        <f t="shared" si="19"/>
        <v xml:space="preserve">tags:
- italy_x000D_
- corinaldo_x000D_
- churches_x000D_
- holy-persons_x000D_
- maria-goretti_x000D_
</v>
      </c>
      <c r="BM35" s="158" t="str">
        <f t="shared" si="30"/>
        <v>[Official site](https://www.santamariagoretti.it/home/)</v>
      </c>
      <c r="BN35" s="158" t="str">
        <f t="shared" si="31"/>
        <v/>
      </c>
      <c r="BO35" s="158" t="str">
        <f t="shared" si="32"/>
        <v/>
      </c>
      <c r="BP35" s="158" t="str">
        <f t="shared" si="33"/>
        <v/>
      </c>
      <c r="BQ35" s="155" t="str">
        <f t="shared" si="20"/>
        <v xml:space="preserve">* [Official site](https://www.santamariagoretti.it/home/)
</v>
      </c>
      <c r="BR35" s="155" t="str">
        <f t="shared" si="21"/>
        <v/>
      </c>
      <c r="BS35" s="155" t="str">
        <f t="shared" si="22"/>
        <v/>
      </c>
      <c r="BT35" s="155" t="str">
        <f t="shared" si="23"/>
        <v/>
      </c>
      <c r="BU35" s="155" t="str">
        <f>IF(LEN(concat(BR35:BT35))&gt;0,concat("| ",BR35," | ",BS35," | ",BT35," |"),"")</f>
        <v/>
      </c>
      <c r="BV35" s="155" t="str">
        <f t="shared" si="24"/>
        <v/>
      </c>
      <c r="BW35" s="155" t="str">
        <f>IF(LEN(BQ35&amp;BV35)&gt;0,concatll("#### More Information",BQ35,BV35),"")</f>
        <v xml:space="preserve">#### More Information_x000D_
_x000D_
* [Official site](https://www.santamariagoretti.it/home/)
_x000D_
_x000D_
</v>
      </c>
      <c r="BX35" s="155" t="str">
        <f>IF(LEN(N35)&gt;1,concatll("#### Author's Note",N35,"-"&amp;B35),"")</f>
        <v/>
      </c>
      <c r="BY35" s="155" t="s">
        <v>335</v>
      </c>
      <c r="BZ35" s="155" t="s">
        <v>335</v>
      </c>
      <c r="CA35" s="23" t="str">
        <f>IF(AS35,concatll(concatl("---",AT35:AV35,BL35,"---"),M35,BW35:BX35),"")</f>
        <v xml:space="preserve">---_x000D_
title: "Diocesan Sanctuary of St. Maria Goretti"_x000D_
location: {lat: 43.6493065, lng: 13.0472097}_x000D_
interest: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23" t="str">
        <f>IF(AS35,"places\"&amp;VLOOKUP(C35,'(Ref) Countries'!A:B,2,)&amp;IF(LEN(D35)&gt;1,"-"&amp;LOWER(SUBSTITUTE(D35," ","-")),"")&amp;"-"&amp;LOWER(SUBSTITUTE(SUBSTITUTE(H35," ","-"),".",""))&amp;".md","")</f>
        <v>places\it-corinaldo-sanctuary-of-st-maria-goretti.md</v>
      </c>
      <c r="CC35" s="29" t="str">
        <f>IF(LEN(Z35)&gt;1,VLOOKUP(Z35,'Tag List'!$A:$B,2,),"")</f>
        <v>St. Maria Goretti</v>
      </c>
      <c r="CD35" s="29" t="str">
        <f>IF(LEN(AA35)&gt;1,VLOOKUP(AA35,'Tag List'!$A:$B,2,),"")</f>
        <v/>
      </c>
      <c r="CE35" s="29" t="str">
        <f>IF(LEN(AB35)&gt;1,VLOOKUP(AB35,'Tag List'!$A:$B,2,),"")</f>
        <v/>
      </c>
      <c r="CF35" s="29" t="str">
        <f>IF(LEN(Z35)&gt;1,GetTagPage(CC35,Z35),"")</f>
        <v>[St. Maria Goretti](/tags/maria-goretti)</v>
      </c>
      <c r="CG35" s="29" t="str">
        <f>IF(LEN(AA35)&gt;1,GetTagPage(CD35,AA35),"")</f>
        <v/>
      </c>
      <c r="CH35" s="29" t="str">
        <f>IF(LEN(AB35)&gt;1,GetTagPage(CE35,AB35),"")</f>
        <v/>
      </c>
      <c r="CI35" s="29" t="str">
        <f t="shared" si="25"/>
        <v xml:space="preserve">| [St. Maria Goretti](/tags/maria-goretti) </v>
      </c>
      <c r="CJ35" s="29" t="str">
        <f t="shared" si="26"/>
        <v xml:space="preserve">| [](/places/places\it-corinaldo-sanctuary-of-st-maria-goretti) </v>
      </c>
      <c r="CK35" s="29" t="str">
        <f>"| "&amp;IF(AS35,GetTagPage(C35,VLOOKUP(C35,'(Ref) Countries'!A:C,3,)),C35)&amp; " "</f>
        <v xml:space="preserve">| [Italy](/tags/italy) </v>
      </c>
      <c r="CL35" s="29" t="str">
        <f t="shared" si="27"/>
        <v xml:space="preserve">|  </v>
      </c>
      <c r="CM35" s="29" t="str">
        <f t="shared" si="28"/>
        <v xml:space="preserve">| [Link](/places/places\it-corinaldo-sanctuary-of-st-maria-goretti) </v>
      </c>
      <c r="CN35" s="29" t="str">
        <f t="shared" si="29"/>
        <v xml:space="preserve">
| [](/places/places\it-corinaldo-sanctuary-of-st-maria-goretti) | [Italy](/tags/italy) |  | [Link](/places/places\it-corinaldo-sanctuary-of-st-maria-goretti) [Official site](https://www.santamariagoretti.it/home/)| [St. Maria Goretti](/tags/maria-goretti) |</v>
      </c>
    </row>
    <row r="36" spans="1:92" ht="38.25" x14ac:dyDescent="0.25">
      <c r="A36" s="167" t="s">
        <v>1317</v>
      </c>
      <c r="B36" s="83" t="s">
        <v>2482</v>
      </c>
      <c r="C36" s="83" t="s">
        <v>11</v>
      </c>
      <c r="D36" s="83" t="s">
        <v>1847</v>
      </c>
      <c r="E36" s="15">
        <v>41.516100799999997</v>
      </c>
      <c r="F36" s="49">
        <v>12.7567</v>
      </c>
      <c r="G36" s="83" t="s">
        <v>1848</v>
      </c>
      <c r="H36" s="53" t="s">
        <v>1848</v>
      </c>
      <c r="I36" s="83" t="s">
        <v>1737</v>
      </c>
      <c r="L36" s="24" t="b">
        <v>1</v>
      </c>
      <c r="M36" s="83" t="s">
        <v>1849</v>
      </c>
      <c r="P36" s="15" t="s">
        <v>335</v>
      </c>
      <c r="Z36" s="15" t="s">
        <v>1730</v>
      </c>
      <c r="AS36" s="154" t="b">
        <f t="shared" si="1"/>
        <v>1</v>
      </c>
      <c r="AT36" s="155" t="str">
        <f t="shared" si="2"/>
        <v>title: "Goretti House"</v>
      </c>
      <c r="AU36" s="155" t="str">
        <f t="shared" si="3"/>
        <v>location: {lat: 41.5161008, lng: 12.7567}</v>
      </c>
      <c r="AV36" s="155" t="str">
        <f t="shared" si="4"/>
        <v>interest: regional</v>
      </c>
      <c r="AW36" s="155" t="str">
        <f>"- "&amp;VLOOKUP(C36,'(Ref) Countries'!A:C,3,)</f>
        <v>- italy</v>
      </c>
      <c r="AX36" s="155" t="str">
        <f t="shared" si="5"/>
        <v>- la-ferriere</v>
      </c>
      <c r="AY36" s="155" t="str">
        <f t="shared" si="6"/>
        <v/>
      </c>
      <c r="AZ36" s="155" t="str">
        <f t="shared" si="7"/>
        <v/>
      </c>
      <c r="BA36" s="155" t="str">
        <f t="shared" si="8"/>
        <v>- holy-persons</v>
      </c>
      <c r="BB36" s="155" t="str">
        <f t="shared" si="9"/>
        <v>- maria-goretti</v>
      </c>
      <c r="BC36" s="155" t="str">
        <f t="shared" si="10"/>
        <v/>
      </c>
      <c r="BD36" s="155" t="str">
        <f t="shared" si="11"/>
        <v/>
      </c>
      <c r="BE36" s="155" t="str">
        <f t="shared" si="12"/>
        <v/>
      </c>
      <c r="BF36" s="155" t="str">
        <f t="shared" si="13"/>
        <v/>
      </c>
      <c r="BG36" s="155" t="str">
        <f t="shared" si="14"/>
        <v/>
      </c>
      <c r="BH36" s="155" t="str">
        <f t="shared" si="15"/>
        <v/>
      </c>
      <c r="BI36" s="155" t="str">
        <f t="shared" si="16"/>
        <v/>
      </c>
      <c r="BJ36" s="155" t="str">
        <f t="shared" si="17"/>
        <v/>
      </c>
      <c r="BK36" s="155" t="str">
        <f t="shared" si="18"/>
        <v/>
      </c>
      <c r="BL36" s="155" t="str">
        <f t="shared" si="19"/>
        <v xml:space="preserve">tags:
- italy_x000D_
- la-ferriere_x000D_
- holy-persons_x000D_
- maria-goretti_x000D_
</v>
      </c>
      <c r="BM36" s="158" t="str">
        <f t="shared" si="30"/>
        <v/>
      </c>
      <c r="BN36" s="158" t="str">
        <f t="shared" si="31"/>
        <v/>
      </c>
      <c r="BO36" s="158" t="str">
        <f t="shared" si="32"/>
        <v/>
      </c>
      <c r="BP36" s="158" t="str">
        <f t="shared" si="33"/>
        <v/>
      </c>
      <c r="BQ36" s="155" t="str">
        <f t="shared" si="20"/>
        <v/>
      </c>
      <c r="BR36" s="155" t="str">
        <f t="shared" si="21"/>
        <v/>
      </c>
      <c r="BS36" s="155" t="str">
        <f t="shared" si="22"/>
        <v/>
      </c>
      <c r="BT36" s="155" t="str">
        <f t="shared" si="23"/>
        <v/>
      </c>
      <c r="BU36" s="155" t="str">
        <f>IF(LEN(concat(BR36:BT36))&gt;0,concat("| ",BR36," | ",BS36," | ",BT36," |"),"")</f>
        <v/>
      </c>
      <c r="BV36" s="155" t="str">
        <f t="shared" si="24"/>
        <v/>
      </c>
      <c r="BW36" s="155" t="str">
        <f>IF(LEN(BQ36&amp;BV36)&gt;0,concatll("#### More Information",BQ36,BV36),"")</f>
        <v/>
      </c>
      <c r="BX36" s="155" t="str">
        <f>IF(LEN(N36)&gt;1,concatll("#### Author's Note",N36,"-"&amp;B36),"")</f>
        <v/>
      </c>
      <c r="BY36" s="155" t="s">
        <v>335</v>
      </c>
      <c r="BZ36" s="155" t="s">
        <v>335</v>
      </c>
      <c r="CA36" s="23" t="str">
        <f>IF(AS36,concatll(concatl("---",AT36:AV36,BL36,"---"),M36,BW36:BX36),"")</f>
        <v xml:space="preserve">---_x000D_
title: "Goretti House"_x000D_
location: {lat: 41.5161008, lng: 12.7567}_x000D_
interest: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23" t="str">
        <f>IF(AS36,"places\"&amp;VLOOKUP(C36,'(Ref) Countries'!A:B,2,)&amp;IF(LEN(D36)&gt;1,"-"&amp;LOWER(SUBSTITUTE(D36," ","-")),"")&amp;"-"&amp;LOWER(SUBSTITUTE(SUBSTITUTE(H36," ","-"),".",""))&amp;".md","")</f>
        <v>places\it-la-ferriere-goretti-house.md</v>
      </c>
      <c r="CC36" s="29" t="str">
        <f>IF(LEN(Z36)&gt;1,VLOOKUP(Z36,'Tag List'!$A:$B,2,),"")</f>
        <v>St. Maria Goretti</v>
      </c>
      <c r="CD36" s="29" t="str">
        <f>IF(LEN(AA36)&gt;1,VLOOKUP(AA36,'Tag List'!$A:$B,2,),"")</f>
        <v/>
      </c>
      <c r="CE36" s="29" t="str">
        <f>IF(LEN(AB36)&gt;1,VLOOKUP(AB36,'Tag List'!$A:$B,2,),"")</f>
        <v/>
      </c>
      <c r="CF36" s="29" t="str">
        <f>IF(LEN(Z36)&gt;1,GetTagPage(CC36,Z36),"")</f>
        <v>[St. Maria Goretti](/tags/maria-goretti)</v>
      </c>
      <c r="CG36" s="29" t="str">
        <f>IF(LEN(AA36)&gt;1,GetTagPage(CD36,AA36),"")</f>
        <v/>
      </c>
      <c r="CH36" s="29" t="str">
        <f>IF(LEN(AB36)&gt;1,GetTagPage(CE36,AB36),"")</f>
        <v/>
      </c>
      <c r="CI36" s="29" t="str">
        <f t="shared" si="25"/>
        <v xml:space="preserve">| [St. Maria Goretti](/tags/maria-goretti) </v>
      </c>
      <c r="CJ36" s="29" t="str">
        <f t="shared" si="26"/>
        <v xml:space="preserve">| [](/places/places\it-la-ferriere-goretti-house) </v>
      </c>
      <c r="CK36" s="29" t="str">
        <f>"| "&amp;IF(AS36,GetTagPage(C36,VLOOKUP(C36,'(Ref) Countries'!A:C,3,)),C36)&amp; " "</f>
        <v xml:space="preserve">| [Italy](/tags/italy) </v>
      </c>
      <c r="CL36" s="29" t="str">
        <f t="shared" si="27"/>
        <v xml:space="preserve">|  </v>
      </c>
      <c r="CM36" s="29" t="str">
        <f t="shared" si="28"/>
        <v xml:space="preserve">| [Link](/places/places\it-la-ferriere-goretti-house) </v>
      </c>
      <c r="CN36" s="29" t="str">
        <f t="shared" si="29"/>
        <v xml:space="preserve">
| [](/places/places\it-la-ferriere-goretti-house) | [Italy](/tags/italy) |  | [Link](/places/places\it-la-ferriere-goretti-house) | [St. Maria Goretti](/tags/maria-goretti) |</v>
      </c>
    </row>
    <row r="37" spans="1:92" x14ac:dyDescent="0.25">
      <c r="A37" s="167" t="s">
        <v>1317</v>
      </c>
      <c r="B37" s="83" t="s">
        <v>2482</v>
      </c>
      <c r="C37" s="83" t="s">
        <v>11</v>
      </c>
      <c r="D37" s="83" t="s">
        <v>1850</v>
      </c>
      <c r="E37" s="15">
        <v>41.457250000000002</v>
      </c>
      <c r="F37" s="49">
        <v>12.655849999999999</v>
      </c>
      <c r="G37" s="83" t="s">
        <v>1851</v>
      </c>
      <c r="H37" s="90" t="s">
        <v>1851</v>
      </c>
      <c r="I37" s="83" t="s">
        <v>1802</v>
      </c>
      <c r="L37" s="24" t="b">
        <v>1</v>
      </c>
      <c r="M37" s="24" t="s">
        <v>1854</v>
      </c>
      <c r="P37" s="15" t="s">
        <v>335</v>
      </c>
      <c r="Z37" s="15" t="s">
        <v>1730</v>
      </c>
      <c r="AS37" s="154" t="b">
        <f t="shared" si="1"/>
        <v>1</v>
      </c>
      <c r="AT37" s="155" t="str">
        <f t="shared" si="2"/>
        <v>title: "Statue of St. Maria Goretti"</v>
      </c>
      <c r="AU37" s="155" t="str">
        <f t="shared" si="3"/>
        <v>location: {lat: 41.45725, lng: 12.65585}</v>
      </c>
      <c r="AV37" s="155" t="str">
        <f t="shared" si="4"/>
        <v>interest: local</v>
      </c>
      <c r="AW37" s="155" t="str">
        <f>"- "&amp;VLOOKUP(C37,'(Ref) Countries'!A:C,3,)</f>
        <v>- italy</v>
      </c>
      <c r="AX37" s="155" t="str">
        <f t="shared" si="5"/>
        <v>- nettuno</v>
      </c>
      <c r="AY37" s="155" t="str">
        <f t="shared" si="6"/>
        <v/>
      </c>
      <c r="AZ37" s="155" t="str">
        <f t="shared" si="7"/>
        <v/>
      </c>
      <c r="BA37" s="155" t="str">
        <f t="shared" si="8"/>
        <v>- holy-persons</v>
      </c>
      <c r="BB37" s="155" t="str">
        <f t="shared" si="9"/>
        <v>- maria-goretti</v>
      </c>
      <c r="BC37" s="155" t="str">
        <f t="shared" si="10"/>
        <v/>
      </c>
      <c r="BD37" s="155" t="str">
        <f t="shared" si="11"/>
        <v/>
      </c>
      <c r="BE37" s="155" t="str">
        <f t="shared" si="12"/>
        <v/>
      </c>
      <c r="BF37" s="155" t="str">
        <f t="shared" si="13"/>
        <v/>
      </c>
      <c r="BG37" s="155" t="str">
        <f t="shared" si="14"/>
        <v/>
      </c>
      <c r="BH37" s="155" t="str">
        <f t="shared" si="15"/>
        <v/>
      </c>
      <c r="BI37" s="155" t="str">
        <f t="shared" si="16"/>
        <v/>
      </c>
      <c r="BJ37" s="155" t="str">
        <f t="shared" si="17"/>
        <v/>
      </c>
      <c r="BK37" s="155" t="str">
        <f t="shared" si="18"/>
        <v/>
      </c>
      <c r="BL37" s="155" t="str">
        <f t="shared" si="19"/>
        <v xml:space="preserve">tags:
- italy_x000D_
- nettuno_x000D_
- holy-persons_x000D_
- maria-goretti_x000D_
</v>
      </c>
      <c r="BM37" s="158" t="str">
        <f t="shared" si="30"/>
        <v/>
      </c>
      <c r="BN37" s="158" t="str">
        <f t="shared" si="31"/>
        <v/>
      </c>
      <c r="BO37" s="158" t="str">
        <f t="shared" si="32"/>
        <v/>
      </c>
      <c r="BP37" s="158" t="str">
        <f t="shared" si="33"/>
        <v/>
      </c>
      <c r="BQ37" s="155" t="str">
        <f t="shared" si="20"/>
        <v/>
      </c>
      <c r="BR37" s="155" t="str">
        <f t="shared" si="21"/>
        <v/>
      </c>
      <c r="BS37" s="155" t="str">
        <f t="shared" si="22"/>
        <v/>
      </c>
      <c r="BT37" s="155" t="str">
        <f t="shared" si="23"/>
        <v/>
      </c>
      <c r="BU37" s="155" t="str">
        <f>IF(LEN(concat(BR37:BT37))&gt;0,concat("| ",BR37," | ",BS37," | ",BT37," |"),"")</f>
        <v/>
      </c>
      <c r="BV37" s="155" t="str">
        <f t="shared" si="24"/>
        <v/>
      </c>
      <c r="BW37" s="155" t="str">
        <f>IF(LEN(BQ37&amp;BV37)&gt;0,concatll("#### More Information",BQ37,BV37),"")</f>
        <v/>
      </c>
      <c r="BX37" s="155" t="str">
        <f>IF(LEN(N37)&gt;1,concatll("#### Author's Note",N37,"-"&amp;B37),"")</f>
        <v/>
      </c>
      <c r="BY37" s="155" t="s">
        <v>335</v>
      </c>
      <c r="BZ37" s="155" t="s">
        <v>335</v>
      </c>
      <c r="CA37" s="23" t="str">
        <f>IF(AS37,concatll(concatl("---",AT37:AV37,BL37,"---"),M37,BW37:BX37),"")</f>
        <v xml:space="preserve">---_x000D_
title: "Statue of St. Maria Goretti"_x000D_
location: {lat: 41.45725, lng: 12.65585}_x000D_
interest: local_x000D_
tags:
- italy_x000D_
- nettuno_x000D_
- holy-persons_x000D_
- maria-goretti_x000D_
_x000D_
---_x000D_
_x000D_
_x000D_
A statue of St. Maria Goretti in Nettuno, the town where she died._x000D_
_x000D_
</v>
      </c>
      <c r="CB37" s="23" t="str">
        <f>IF(AS37,"places\"&amp;VLOOKUP(C37,'(Ref) Countries'!A:B,2,)&amp;IF(LEN(D37)&gt;1,"-"&amp;LOWER(SUBSTITUTE(D37," ","-")),"")&amp;"-"&amp;LOWER(SUBSTITUTE(SUBSTITUTE(H37," ","-"),".",""))&amp;".md","")</f>
        <v>places\it-nettuno-statue-of-st-maria-goretti.md</v>
      </c>
      <c r="CC37" s="29" t="str">
        <f>IF(LEN(Z37)&gt;1,VLOOKUP(Z37,'Tag List'!$A:$B,2,),"")</f>
        <v>St. Maria Goretti</v>
      </c>
      <c r="CD37" s="29" t="str">
        <f>IF(LEN(AA37)&gt;1,VLOOKUP(AA37,'Tag List'!$A:$B,2,),"")</f>
        <v/>
      </c>
      <c r="CE37" s="29" t="str">
        <f>IF(LEN(AB37)&gt;1,VLOOKUP(AB37,'Tag List'!$A:$B,2,),"")</f>
        <v/>
      </c>
      <c r="CF37" s="29" t="str">
        <f>IF(LEN(Z37)&gt;1,GetTagPage(CC37,Z37),"")</f>
        <v>[St. Maria Goretti](/tags/maria-goretti)</v>
      </c>
      <c r="CG37" s="29" t="str">
        <f>IF(LEN(AA37)&gt;1,GetTagPage(CD37,AA37),"")</f>
        <v/>
      </c>
      <c r="CH37" s="29" t="str">
        <f>IF(LEN(AB37)&gt;1,GetTagPage(CE37,AB37),"")</f>
        <v/>
      </c>
      <c r="CI37" s="29" t="str">
        <f t="shared" si="25"/>
        <v xml:space="preserve">| [St. Maria Goretti](/tags/maria-goretti) </v>
      </c>
      <c r="CJ37" s="29" t="str">
        <f t="shared" si="26"/>
        <v xml:space="preserve">| [](/places/places\it-nettuno-statue-of-st-maria-goretti) </v>
      </c>
      <c r="CK37" s="29" t="str">
        <f>"| "&amp;IF(AS37,GetTagPage(C37,VLOOKUP(C37,'(Ref) Countries'!A:C,3,)),C37)&amp; " "</f>
        <v xml:space="preserve">| [Italy](/tags/italy) </v>
      </c>
      <c r="CL37" s="29" t="str">
        <f t="shared" si="27"/>
        <v xml:space="preserve">|  </v>
      </c>
      <c r="CM37" s="29" t="str">
        <f t="shared" si="28"/>
        <v xml:space="preserve">| [Link](/places/places\it-nettuno-statue-of-st-maria-goretti) </v>
      </c>
      <c r="CN37" s="29" t="str">
        <f t="shared" si="29"/>
        <v xml:space="preserve">
| [](/places/places\it-nettuno-statue-of-st-maria-goretti) | [Italy](/tags/italy) |  | [Link](/places/places\it-nettuno-statue-of-st-maria-goretti) | [St. Maria Goretti](/tags/maria-goretti) |</v>
      </c>
    </row>
    <row r="38" spans="1:92" ht="51" x14ac:dyDescent="0.25">
      <c r="A38" s="167" t="s">
        <v>1317</v>
      </c>
      <c r="B38" s="83" t="s">
        <v>2482</v>
      </c>
      <c r="C38" s="83" t="s">
        <v>11</v>
      </c>
      <c r="D38" s="83" t="s">
        <v>1850</v>
      </c>
      <c r="E38" s="15">
        <v>41.456946000000002</v>
      </c>
      <c r="F38" s="49">
        <v>12.649850000000001</v>
      </c>
      <c r="G38" s="83" t="s">
        <v>1868</v>
      </c>
      <c r="H38" s="90" t="s">
        <v>2453</v>
      </c>
      <c r="I38" s="24" t="s">
        <v>1802</v>
      </c>
      <c r="L38" s="24" t="b">
        <v>1</v>
      </c>
      <c r="M38" s="83" t="s">
        <v>1855</v>
      </c>
      <c r="P38" s="15" t="s">
        <v>335</v>
      </c>
      <c r="Z38" s="15" t="s">
        <v>1730</v>
      </c>
      <c r="AS38" s="154" t="b">
        <f t="shared" ref="AS38:AS69" si="34">IF(OR(A38="Done",A38="In Progress"),TRUE)</f>
        <v>1</v>
      </c>
      <c r="AT38" s="155" t="str">
        <f t="shared" ref="AT38:AT69" si="35">"title: """&amp;G38&amp;""""</f>
        <v>title: "St. Maria Goretti Tent of Pardon (Tenda del Perdono)"</v>
      </c>
      <c r="AU38" s="155" t="str">
        <f t="shared" ref="AU38:AU69" si="36">"location: {lat: "&amp;E38&amp;", lng: "&amp;F38&amp;"}"</f>
        <v>location: {lat: 41.456946, lng: 12.64985}</v>
      </c>
      <c r="AV38" s="155" t="str">
        <f t="shared" ref="AV38:AV69" si="37">"interest: "&amp;I38</f>
        <v>interest: local</v>
      </c>
      <c r="AW38" s="155" t="str">
        <f>"- "&amp;VLOOKUP(C38,'(Ref) Countries'!A:C,3,)</f>
        <v>- italy</v>
      </c>
      <c r="AX38" s="155" t="str">
        <f t="shared" ref="AX38:AX69" si="38">IF(LEN(D38)&gt;1,"- "&amp;LOWER(SUBSTITUTE(D38," ","-")),"")</f>
        <v>- nettuno</v>
      </c>
      <c r="AY38" s="155" t="str">
        <f t="shared" ref="AY38:AY69" si="39">IF(J38,"- churches","")</f>
        <v/>
      </c>
      <c r="AZ38" s="155" t="str">
        <f t="shared" ref="AZ38:AZ69" si="40">IF(K38,"- marian-sites","")</f>
        <v/>
      </c>
      <c r="BA38" s="155" t="str">
        <f t="shared" ref="BA38:BA69" si="41">IF(L38,"- holy-persons","")</f>
        <v>- holy-persons</v>
      </c>
      <c r="BB38" s="155" t="str">
        <f t="shared" ref="BB38:BB69" si="42">IF(LEN(Z38)&gt;0,"- "&amp;Z38,"")</f>
        <v>- maria-goretti</v>
      </c>
      <c r="BC38" s="155" t="str">
        <f t="shared" ref="BC38:BC69" si="43">IF(LEN(AA38)&gt;0,"- "&amp;AA38,"")</f>
        <v/>
      </c>
      <c r="BD38" s="155" t="str">
        <f t="shared" ref="BD38:BD69" si="44">IF(LEN(AB38)&gt;0,"- "&amp;AB38,"")</f>
        <v/>
      </c>
      <c r="BE38" s="155" t="str">
        <f t="shared" ref="BE38:BE69" si="45">IF(LEN(AC38)&gt;0,"- "&amp;AC38,"")</f>
        <v/>
      </c>
      <c r="BF38" s="155" t="str">
        <f t="shared" ref="BF38:BF69" si="46">IF(LEN(AD38)&gt;0,"- "&amp;AD38,"")</f>
        <v/>
      </c>
      <c r="BG38" s="155" t="str">
        <f t="shared" ref="BG38:BG69" si="47">IF(LEN(AE38)&gt;0,"- "&amp;AE38,"")</f>
        <v/>
      </c>
      <c r="BH38" s="155" t="str">
        <f t="shared" ref="BH38:BH69" si="48">IF(LEN(AF38)&gt;0,"- "&amp;AF38,"")</f>
        <v/>
      </c>
      <c r="BI38" s="155" t="str">
        <f t="shared" ref="BI38:BI69" si="49">IF(LEN(AG38)&gt;0,"- "&amp;AG38,"")</f>
        <v/>
      </c>
      <c r="BJ38" s="155" t="str">
        <f t="shared" ref="BJ38:BJ69" si="50">IF(LEN(AH38)&gt;0,"- "&amp;AH38,"")</f>
        <v/>
      </c>
      <c r="BK38" s="155" t="str">
        <f t="shared" ref="BK38:BK69" si="51">IF(LEN(AI38)&gt;0,"- "&amp;AI38,"")</f>
        <v/>
      </c>
      <c r="BL38" s="155" t="str">
        <f t="shared" ref="BL38:BL69" si="52">"tags:"&amp;CHAR(10)&amp;concatl(AW38:BK38)</f>
        <v xml:space="preserve">tags:
- italy_x000D_
- nettuno_x000D_
- holy-persons_x000D_
- maria-goretti_x000D_
</v>
      </c>
      <c r="BM38" s="158" t="str">
        <f t="shared" si="30"/>
        <v/>
      </c>
      <c r="BN38" s="158" t="str">
        <f t="shared" si="31"/>
        <v/>
      </c>
      <c r="BO38" s="158" t="str">
        <f t="shared" si="32"/>
        <v/>
      </c>
      <c r="BP38" s="158" t="str">
        <f t="shared" si="33"/>
        <v/>
      </c>
      <c r="BQ38" s="155" t="str">
        <f t="shared" ref="BQ38:BQ69" si="53">IF(LEN(BM38)&gt;0,"* "&amp;BM38&amp;CHAR(10),"")&amp;
IF(LEN(BN38)&gt;0,"* "&amp;BN38&amp;CHAR(10),"")&amp;
IF(LEN(BO38)&gt;0,"* "&amp;BO38&amp;CHAR(10),"")&amp;
IF(LEN(BP38)&gt;0,"* "&amp;BP38&amp;CHAR(10),"")</f>
        <v/>
      </c>
      <c r="BR38" s="155" t="str">
        <f t="shared" ref="BR38:BR69" si="54">IF(LEN(AL38)&gt;0,TRIM(CONCATENATE("[Link](",AL38,") ",AM38)),"")</f>
        <v/>
      </c>
      <c r="BS38" s="155" t="str">
        <f t="shared" ref="BS38:BS69" si="55">IF(LEN(AN38)&gt;0,TRIM(CONCATENATE("[Link](",AN38,") ",AO38)),"")</f>
        <v/>
      </c>
      <c r="BT38" s="155" t="str">
        <f t="shared" ref="BT38:BT69" si="56">IF(LEN(AP38)&gt;0,TRIM(CONCATENATE("[Link](",AP38,") ",AQ38)),"")</f>
        <v/>
      </c>
      <c r="BU38" s="155" t="str">
        <f>IF(LEN(concat(BR38:BT38))&gt;0,concat("| ",BR38," | ",BS38," | ",BT38," |"),"")</f>
        <v/>
      </c>
      <c r="BV38" s="155" t="str">
        <f t="shared" ref="BV38:BV69" si="57">IF(K38,concatl("| The Real Presence | Miracle Hunter | MaryPages |","| --- | --- | --- |",BU38),"")</f>
        <v/>
      </c>
      <c r="BW38" s="155" t="str">
        <f>IF(LEN(BQ38&amp;BV38)&gt;0,concatll("#### More Information",BQ38,BV38),"")</f>
        <v/>
      </c>
      <c r="BX38" s="155" t="str">
        <f>IF(LEN(N38)&gt;1,concatll("#### Author's Note",N38,"-"&amp;B38),"")</f>
        <v/>
      </c>
      <c r="BY38" s="155" t="s">
        <v>335</v>
      </c>
      <c r="BZ38" s="155" t="s">
        <v>335</v>
      </c>
      <c r="CA38" s="23" t="str">
        <f>IF(AS38,concatll(concatl("---",AT38:AV38,BL38,"---"),M38,BW38:BX38),"")</f>
        <v xml:space="preserve">---_x000D_
title: "St. Maria Goretti Tent of Pardon (Tenda del Perdono)"_x000D_
location: {lat: 41.456946, lng: 12.64985}_x000D_
interest: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23" t="str">
        <f>IF(AS38,"places\"&amp;VLOOKUP(C38,'(Ref) Countries'!A:B,2,)&amp;IF(LEN(D38)&gt;1,"-"&amp;LOWER(SUBSTITUTE(D38," ","-")),"")&amp;"-"&amp;LOWER(SUBSTITUTE(SUBSTITUTE(H38," ","-"),".",""))&amp;".md","")</f>
        <v>places\it-nettuno-st-maria-goretti-tent-of-pardon.md</v>
      </c>
      <c r="CC38" s="29" t="str">
        <f>IF(LEN(Z38)&gt;1,VLOOKUP(Z38,'Tag List'!$A:$B,2,),"")</f>
        <v>St. Maria Goretti</v>
      </c>
      <c r="CD38" s="29" t="str">
        <f>IF(LEN(AA38)&gt;1,VLOOKUP(AA38,'Tag List'!$A:$B,2,),"")</f>
        <v/>
      </c>
      <c r="CE38" s="29" t="str">
        <f>IF(LEN(AB38)&gt;1,VLOOKUP(AB38,'Tag List'!$A:$B,2,),"")</f>
        <v/>
      </c>
      <c r="CF38" s="29" t="str">
        <f>IF(LEN(Z38)&gt;1,GetTagPage(CC38,Z38),"")</f>
        <v>[St. Maria Goretti](/tags/maria-goretti)</v>
      </c>
      <c r="CG38" s="29" t="str">
        <f>IF(LEN(AA38)&gt;1,GetTagPage(CD38,AA38),"")</f>
        <v/>
      </c>
      <c r="CH38" s="29" t="str">
        <f>IF(LEN(AB38)&gt;1,GetTagPage(CE38,AB38),"")</f>
        <v/>
      </c>
      <c r="CI38" s="29" t="str">
        <f t="shared" ref="CI38:CI69" si="58">"|"&amp;IF(LEN(CF38)&gt;1," "&amp;CF38,"")&amp;IF(LEN(CG38)&gt;1,", "&amp;CG38,"")&amp;IF(LEN(CH38)&gt;1,", "&amp;CH38,"")&amp;" "</f>
        <v xml:space="preserve">| [St. Maria Goretti](/tags/maria-goretti) </v>
      </c>
      <c r="CJ38" s="29" t="str">
        <f t="shared" ref="CJ38:CJ69" si="59">"| "&amp;IF(AS38,"["&amp;AJ38&amp;"](/places/"&amp;SUBSTITUTE(CB38,".md","")&amp;")",AJ38)&amp;" "</f>
        <v xml:space="preserve">| [](/places/places\it-nettuno-st-maria-goretti-tent-of-pardon) </v>
      </c>
      <c r="CK38" s="29" t="str">
        <f>"| "&amp;IF(AS38,GetTagPage(C38,VLOOKUP(C38,'(Ref) Countries'!A:C,3,)),C38)&amp; " "</f>
        <v xml:space="preserve">| [Italy](/tags/italy) </v>
      </c>
      <c r="CL38" s="29" t="str">
        <f t="shared" ref="CL38:CL69" si="60">"| "&amp;AK38&amp;" "</f>
        <v xml:space="preserve">|  </v>
      </c>
      <c r="CM38" s="29" t="str">
        <f t="shared" ref="CM38:CM69" si="61">"|"&amp;IF(AS38," [Link](/places/"&amp;SUBSTITUTE(CB38,".md","")&amp;")","")&amp;" "</f>
        <v xml:space="preserve">| [Link](/places/places\it-nettuno-st-maria-goretti-tent-of-pardon) </v>
      </c>
      <c r="CN38" s="29" t="str">
        <f t="shared" ref="CN38:CN69" si="62">"
"&amp;CJ38&amp;CK38&amp;CL38&amp;CM38&amp;BM38&amp;BR38&amp;BS38&amp;BT38&amp;CI38&amp;"|"</f>
        <v xml:space="preserve">
| [](/places/places\it-nettuno-st-maria-goretti-tent-of-pardon) | [Italy](/tags/italy) |  | [Link](/places/places\it-nettuno-st-maria-goretti-tent-of-pardon) | [St. Maria Goretti](/tags/maria-goretti) |</v>
      </c>
    </row>
    <row r="39" spans="1:92" ht="38.25" x14ac:dyDescent="0.25">
      <c r="A39" s="167" t="s">
        <v>1317</v>
      </c>
      <c r="B39" s="24" t="s">
        <v>2481</v>
      </c>
      <c r="C39" s="24" t="s">
        <v>590</v>
      </c>
      <c r="E39" s="15">
        <v>39.759224404162097</v>
      </c>
      <c r="F39" s="49">
        <v>140.14975314135</v>
      </c>
      <c r="G39" s="24" t="s">
        <v>1352</v>
      </c>
      <c r="H39" s="53" t="s">
        <v>1353</v>
      </c>
      <c r="I39" s="24" t="s">
        <v>1711</v>
      </c>
      <c r="J39" s="40" t="b">
        <v>1</v>
      </c>
      <c r="K39" s="24" t="b">
        <v>1</v>
      </c>
      <c r="M39" s="24" t="s">
        <v>1368</v>
      </c>
      <c r="O39" s="15" t="s">
        <v>1354</v>
      </c>
      <c r="P39" s="15" t="s">
        <v>335</v>
      </c>
      <c r="Z39" s="15" t="s">
        <v>335</v>
      </c>
      <c r="AJ39" s="85" t="s">
        <v>1302</v>
      </c>
      <c r="AK39" s="86">
        <v>1973</v>
      </c>
      <c r="AL39" s="15" t="s">
        <v>326</v>
      </c>
      <c r="AM39" s="15" t="s">
        <v>335</v>
      </c>
      <c r="AN39" s="15" t="s">
        <v>1346</v>
      </c>
      <c r="AO39" s="15" t="s">
        <v>335</v>
      </c>
      <c r="AP39" s="15" t="s">
        <v>1345</v>
      </c>
      <c r="AQ39" s="49" t="s">
        <v>335</v>
      </c>
      <c r="AS39" s="154" t="b">
        <f t="shared" si="34"/>
        <v>1</v>
      </c>
      <c r="AT39" s="155" t="str">
        <f t="shared" si="35"/>
        <v>title: "Seitai Hoshikai (Our Lady of Akita)"</v>
      </c>
      <c r="AU39" s="155" t="str">
        <f t="shared" si="36"/>
        <v>location: {lat: 39.7592244041621, lng: 140.14975314135}</v>
      </c>
      <c r="AV39" s="155" t="str">
        <f t="shared" si="37"/>
        <v>interest: global</v>
      </c>
      <c r="AW39" s="155" t="str">
        <f>"- "&amp;VLOOKUP(C39,'(Ref) Countries'!A:C,3,)</f>
        <v>- japan</v>
      </c>
      <c r="AX39" s="155" t="str">
        <f t="shared" si="38"/>
        <v/>
      </c>
      <c r="AY39" s="155" t="str">
        <f t="shared" si="39"/>
        <v>- churches</v>
      </c>
      <c r="AZ39" s="155" t="str">
        <f t="shared" si="40"/>
        <v>- marian-sites</v>
      </c>
      <c r="BA39" s="155" t="str">
        <f t="shared" si="41"/>
        <v/>
      </c>
      <c r="BB39" s="155" t="str">
        <f t="shared" si="42"/>
        <v/>
      </c>
      <c r="BC39" s="155" t="str">
        <f t="shared" si="43"/>
        <v/>
      </c>
      <c r="BD39" s="155" t="str">
        <f t="shared" si="44"/>
        <v/>
      </c>
      <c r="BE39" s="155" t="str">
        <f t="shared" si="45"/>
        <v/>
      </c>
      <c r="BF39" s="155" t="str">
        <f t="shared" si="46"/>
        <v/>
      </c>
      <c r="BG39" s="155" t="str">
        <f t="shared" si="47"/>
        <v/>
      </c>
      <c r="BH39" s="155" t="str">
        <f t="shared" si="48"/>
        <v/>
      </c>
      <c r="BI39" s="155" t="str">
        <f t="shared" si="49"/>
        <v/>
      </c>
      <c r="BJ39" s="155" t="str">
        <f t="shared" si="50"/>
        <v/>
      </c>
      <c r="BK39" s="155" t="str">
        <f t="shared" si="51"/>
        <v/>
      </c>
      <c r="BL39" s="155" t="str">
        <f t="shared" si="52"/>
        <v xml:space="preserve">tags:
- japan_x000D_
- churches_x000D_
- marian-sites_x000D_
</v>
      </c>
      <c r="BM39" s="158" t="str">
        <f t="shared" si="30"/>
        <v>[Official site](https://www.seitaihoshikai.com/)</v>
      </c>
      <c r="BN39" s="158" t="str">
        <f t="shared" si="31"/>
        <v/>
      </c>
      <c r="BO39" s="158" t="str">
        <f t="shared" si="32"/>
        <v/>
      </c>
      <c r="BP39" s="158" t="str">
        <f t="shared" si="33"/>
        <v/>
      </c>
      <c r="BQ39" s="158" t="str">
        <f t="shared" si="53"/>
        <v xml:space="preserve">* [Official site](https://www.seitaihoshikai.com/)
</v>
      </c>
      <c r="BR39" s="158" t="str">
        <f t="shared" si="54"/>
        <v>[Link](http://www.therealpresence.org/eucharst/misc/BVM/01_AKITA_60x96.pdf)</v>
      </c>
      <c r="BS39" s="158" t="str">
        <f t="shared" si="55"/>
        <v>[Link](https://www.miraclehunter.com/marian_apparitions/approved_apparitions/akita/index.html)</v>
      </c>
      <c r="BT39" s="158" t="str">
        <f t="shared" si="56"/>
        <v>[Link](https://www.marypages.com/akita-(japan)-en.html)</v>
      </c>
      <c r="BU39" s="158" t="str">
        <f>IF(LEN(concat(BR39:BT39))&gt;0,concat("| ",BR39," | ",BS39," | ",BT39," |"),"")</f>
        <v>| [Link](http://www.therealpresence.org/eucharst/misc/BVM/01_AKITA_60x96.pdf) | [Link](https://www.miraclehunter.com/marian_apparitions/approved_apparitions/akita/index.html) | [Link](https://www.marypages.com/akita-(japan)-en.html) |</v>
      </c>
      <c r="BV39" s="155" t="str">
        <f t="shared" si="57"/>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55"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55" t="str">
        <f>IF(LEN(N39)&gt;1,concatll("#### Author's Note",N39,"-"&amp;B39),"")</f>
        <v/>
      </c>
      <c r="BY39" s="155" t="s">
        <v>335</v>
      </c>
      <c r="BZ39" s="155" t="s">
        <v>335</v>
      </c>
      <c r="CA39" s="23" t="str">
        <f>IF(AS39,concatll(concatl("---",AT39:AV39,BL39,"---"),M39,BW39:BX39),"")</f>
        <v xml:space="preserve">---_x000D_
title: "Seitai Hoshikai (Our Lady of Akita)"_x000D_
location: {lat: 39.7592244041621, lng: 140.14975314135}_x000D_
interest: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23" t="str">
        <f>IF(AS39,"places\"&amp;VLOOKUP(C39,'(Ref) Countries'!A:B,2,)&amp;IF(LEN(D39)&gt;1,"-"&amp;LOWER(SUBSTITUTE(D39," ","-")),"")&amp;"-"&amp;LOWER(SUBSTITUTE(SUBSTITUTE(H39," ","-"),".",""))&amp;".md","")</f>
        <v>places\jp-seitai-hoshikai.md</v>
      </c>
      <c r="CC39" s="29" t="str">
        <f>IF(LEN(Z39)&gt;1,VLOOKUP(Z39,'Tag List'!$A:$B,2,),"")</f>
        <v/>
      </c>
      <c r="CD39" s="29" t="str">
        <f>IF(LEN(AA39)&gt;1,VLOOKUP(AA39,'Tag List'!$A:$B,2,),"")</f>
        <v/>
      </c>
      <c r="CE39" s="29" t="str">
        <f>IF(LEN(AB39)&gt;1,VLOOKUP(AB39,'Tag List'!$A:$B,2,),"")</f>
        <v/>
      </c>
      <c r="CF39" s="30" t="str">
        <f>IF(LEN(Z39)&gt;1,GetTagPage(CC39,Z39),"")</f>
        <v/>
      </c>
      <c r="CG39" s="30" t="str">
        <f>IF(LEN(AA39)&gt;1,GetTagPage(CD39,AA39),"")</f>
        <v/>
      </c>
      <c r="CH39" s="30" t="str">
        <f>IF(LEN(AB39)&gt;1,GetTagPage(CE39,AB39),"")</f>
        <v/>
      </c>
      <c r="CI39" s="30" t="str">
        <f t="shared" si="58"/>
        <v xml:space="preserve">| </v>
      </c>
      <c r="CJ39" s="30" t="str">
        <f t="shared" si="59"/>
        <v xml:space="preserve">| [Akita](/places/places\jp-seitai-hoshikai) </v>
      </c>
      <c r="CK39" s="30" t="str">
        <f>"| "&amp;IF(AS39,GetTagPage(C39,VLOOKUP(C39,'(Ref) Countries'!A:C,3,)),C39)&amp; " "</f>
        <v xml:space="preserve">| [Japan](/tags/japan) </v>
      </c>
      <c r="CL39" s="30" t="str">
        <f t="shared" si="60"/>
        <v xml:space="preserve">| 1973 </v>
      </c>
      <c r="CM39" s="30" t="str">
        <f t="shared" si="61"/>
        <v xml:space="preserve">| [Link](/places/places\jp-seitai-hoshikai) </v>
      </c>
      <c r="CN39" s="29" t="str">
        <f t="shared" si="62"/>
        <v xml:space="preserve">
| [Akita](/places/places\jp-seitai-hoshikai) | [Japan](/tags/japan)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2" ht="63.75" x14ac:dyDescent="0.25">
      <c r="A40" s="167" t="s">
        <v>1317</v>
      </c>
      <c r="B40" s="24" t="s">
        <v>2481</v>
      </c>
      <c r="C40" s="24" t="s">
        <v>605</v>
      </c>
      <c r="E40" s="15">
        <v>55.530612599999998</v>
      </c>
      <c r="F40" s="49">
        <v>23.219925199999999</v>
      </c>
      <c r="G40" s="24" t="s">
        <v>1026</v>
      </c>
      <c r="H40" s="53" t="s">
        <v>1002</v>
      </c>
      <c r="I40" s="24" t="s">
        <v>1711</v>
      </c>
      <c r="J40" s="40" t="b">
        <v>1</v>
      </c>
      <c r="K40" s="24" t="b">
        <v>1</v>
      </c>
      <c r="M40" s="24" t="s">
        <v>460</v>
      </c>
      <c r="N40" s="177" t="s">
        <v>2505</v>
      </c>
      <c r="O40" s="15" t="s">
        <v>1003</v>
      </c>
      <c r="P40" s="15" t="s">
        <v>335</v>
      </c>
      <c r="Z40" s="16" t="s">
        <v>335</v>
      </c>
      <c r="AA40" s="16"/>
      <c r="AB40" s="16"/>
      <c r="AC40" s="16"/>
      <c r="AD40" s="16"/>
      <c r="AE40" s="16"/>
      <c r="AF40" s="16"/>
      <c r="AG40" s="16"/>
      <c r="AH40" s="16"/>
      <c r="AI40" s="16"/>
      <c r="AJ40" s="85" t="s">
        <v>1001</v>
      </c>
      <c r="AK40" s="86">
        <v>1608</v>
      </c>
      <c r="AL40" s="15" t="s">
        <v>260</v>
      </c>
      <c r="AM40" s="15" t="s">
        <v>335</v>
      </c>
      <c r="AN40" s="15" t="s">
        <v>462</v>
      </c>
      <c r="AO40" s="15" t="s">
        <v>335</v>
      </c>
      <c r="AP40" s="15" t="s">
        <v>461</v>
      </c>
      <c r="AQ40" s="49" t="s">
        <v>335</v>
      </c>
      <c r="AS40" s="154" t="b">
        <f t="shared" si="34"/>
        <v>1</v>
      </c>
      <c r="AT40" s="155" t="str">
        <f t="shared" si="35"/>
        <v>title: "Basilica of the Nativity of the Blessed Virgin Mary (Our Lady of Siluva)"</v>
      </c>
      <c r="AU40" s="155" t="str">
        <f t="shared" si="36"/>
        <v>location: {lat: 55.5306126, lng: 23.2199252}</v>
      </c>
      <c r="AV40" s="155" t="str">
        <f t="shared" si="37"/>
        <v>interest: global</v>
      </c>
      <c r="AW40" s="155" t="str">
        <f>"- "&amp;VLOOKUP(C40,'(Ref) Countries'!A:C,3,)</f>
        <v>- lithuania</v>
      </c>
      <c r="AX40" s="155" t="str">
        <f t="shared" si="38"/>
        <v/>
      </c>
      <c r="AY40" s="155" t="str">
        <f t="shared" si="39"/>
        <v>- churches</v>
      </c>
      <c r="AZ40" s="155" t="str">
        <f t="shared" si="40"/>
        <v>- marian-sites</v>
      </c>
      <c r="BA40" s="155" t="str">
        <f t="shared" si="41"/>
        <v/>
      </c>
      <c r="BB40" s="155" t="str">
        <f t="shared" si="42"/>
        <v/>
      </c>
      <c r="BC40" s="155" t="str">
        <f t="shared" si="43"/>
        <v/>
      </c>
      <c r="BD40" s="155" t="str">
        <f t="shared" si="44"/>
        <v/>
      </c>
      <c r="BE40" s="155" t="str">
        <f t="shared" si="45"/>
        <v/>
      </c>
      <c r="BF40" s="155" t="str">
        <f t="shared" si="46"/>
        <v/>
      </c>
      <c r="BG40" s="155" t="str">
        <f t="shared" si="47"/>
        <v/>
      </c>
      <c r="BH40" s="155" t="str">
        <f t="shared" si="48"/>
        <v/>
      </c>
      <c r="BI40" s="155" t="str">
        <f t="shared" si="49"/>
        <v/>
      </c>
      <c r="BJ40" s="155" t="str">
        <f t="shared" si="50"/>
        <v/>
      </c>
      <c r="BK40" s="155" t="str">
        <f t="shared" si="51"/>
        <v/>
      </c>
      <c r="BL40" s="155" t="str">
        <f t="shared" si="52"/>
        <v xml:space="preserve">tags:
- lithuania_x000D_
- churches_x000D_
- marian-sites_x000D_
</v>
      </c>
      <c r="BM40" s="158" t="str">
        <f t="shared" si="30"/>
        <v>[Official site](https://siluva.lt/)</v>
      </c>
      <c r="BN40" s="158" t="str">
        <f t="shared" si="31"/>
        <v/>
      </c>
      <c r="BO40" s="158" t="str">
        <f t="shared" si="32"/>
        <v/>
      </c>
      <c r="BP40" s="158" t="str">
        <f t="shared" si="33"/>
        <v/>
      </c>
      <c r="BQ40" s="158" t="str">
        <f t="shared" si="53"/>
        <v xml:space="preserve">* [Official site](https://siluva.lt/)
</v>
      </c>
      <c r="BR40" s="158" t="str">
        <f t="shared" si="54"/>
        <v>[Link](http://www.therealpresence.org/eucharst/misc/BVM/57_SILUVA_96x96.pdf)</v>
      </c>
      <c r="BS40" s="158" t="str">
        <f t="shared" si="55"/>
        <v>[Link](https://www.miraclehunter.com/marian_apparitions/approved_apparitions/siluva/index.html)</v>
      </c>
      <c r="BT40" s="158" t="str">
        <f t="shared" si="56"/>
        <v>[Link](https://www.marypages.com/our-lady-of-siluva-en.html)</v>
      </c>
      <c r="BU40" s="158" t="str">
        <f>IF(LEN(concat(BR40:BT40))&gt;0,concat("| ",BR40," | ",BS40," | ",BT40," |"),"")</f>
        <v>| [Link](http://www.therealpresence.org/eucharst/misc/BVM/57_SILUVA_96x96.pdf) | [Link](https://www.miraclehunter.com/marian_apparitions/approved_apparitions/siluva/index.html) | [Link](https://www.marypages.com/our-lady-of-siluva-en.html) |</v>
      </c>
      <c r="BV40" s="155" t="str">
        <f t="shared" si="57"/>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55"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55" t="str">
        <f>IF(LEN(N40)&gt;1,concatll("#### Author's Note",N40,"-"&amp;B40),"")</f>
        <v xml:space="preserve">#### Author's Note_x000D_
_x000D_
Additional info and a good history [here](https://www.ourladyofsiluva.org/our_lady/)._x000D_
_x000D_
-JMM_x000D_
_x000D_
</v>
      </c>
      <c r="BY40" s="155" t="s">
        <v>335</v>
      </c>
      <c r="BZ40" s="155" t="s">
        <v>335</v>
      </c>
      <c r="CA40" s="23" t="str">
        <f>IF(AS40,concatll(concatl("---",AT40:AV40,BL40,"---"),M40,BW40:BX40),"")</f>
        <v xml:space="preserve">---_x000D_
title: "Basilica of the Nativity of the Blessed Virgin Mary (Our Lady of Siluva)"_x000D_
location: {lat: 55.5306126, lng: 23.2199252}_x000D_
interest: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23" t="str">
        <f>IF(AS40,"places\"&amp;VLOOKUP(C40,'(Ref) Countries'!A:B,2,)&amp;IF(LEN(D40)&gt;1,"-"&amp;LOWER(SUBSTITUTE(D40," ","-")),"")&amp;"-"&amp;LOWER(SUBSTITUTE(SUBSTITUTE(H40," ","-"),".",""))&amp;".md","")</f>
        <v>places\lt-basilica-of-the-nativity-of-the-blessed-virgin-mary.md</v>
      </c>
      <c r="CC40" s="30" t="str">
        <f>IF(LEN(Z40)&gt;1,VLOOKUP(Z40,'Tag List'!$A:$B,2,),"")</f>
        <v/>
      </c>
      <c r="CD40" s="30" t="str">
        <f>IF(LEN(AA40)&gt;1,VLOOKUP(AA40,'Tag List'!$A:$B,2,),"")</f>
        <v/>
      </c>
      <c r="CE40" s="30" t="str">
        <f>IF(LEN(AB40)&gt;1,VLOOKUP(AB40,'Tag List'!$A:$B,2,),"")</f>
        <v/>
      </c>
      <c r="CF40" s="30" t="str">
        <f>IF(LEN(Z40)&gt;1,GetTagPage(CC40,Z40),"")</f>
        <v/>
      </c>
      <c r="CG40" s="30" t="str">
        <f>IF(LEN(AA40)&gt;1,GetTagPage(CD40,AA40),"")</f>
        <v/>
      </c>
      <c r="CH40" s="30" t="str">
        <f>IF(LEN(AB40)&gt;1,GetTagPage(CE40,AB40),"")</f>
        <v/>
      </c>
      <c r="CI40" s="30" t="str">
        <f t="shared" si="58"/>
        <v xml:space="preserve">| </v>
      </c>
      <c r="CJ40" s="30" t="str">
        <f t="shared" si="59"/>
        <v xml:space="preserve">| [Šiluva](/places/places\lt-basilica-of-the-nativity-of-the-blessed-virgin-mary) </v>
      </c>
      <c r="CK40" s="30" t="str">
        <f>"| "&amp;IF(AS40,GetTagPage(C40,VLOOKUP(C40,'(Ref) Countries'!A:C,3,)),C40)&amp; " "</f>
        <v xml:space="preserve">| [Lithuania](/tags/lithuania) </v>
      </c>
      <c r="CL40" s="30" t="str">
        <f t="shared" si="60"/>
        <v xml:space="preserve">| 1608 </v>
      </c>
      <c r="CM40" s="30" t="str">
        <f t="shared" si="61"/>
        <v xml:space="preserve">| [Link](/places/places\lt-basilica-of-the-nativity-of-the-blessed-virgin-mary) </v>
      </c>
      <c r="CN40" s="29" t="str">
        <f t="shared" si="62"/>
        <v xml:space="preserve">
| [Šiluva](/places/places\lt-basilica-of-the-nativity-of-the-blessed-virgin-mary) | [Lithuania](/tags/lithuania)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2" ht="51" x14ac:dyDescent="0.25">
      <c r="A41" s="167" t="s">
        <v>1317</v>
      </c>
      <c r="B41" s="24" t="s">
        <v>2481</v>
      </c>
      <c r="C41" s="24" t="s">
        <v>628</v>
      </c>
      <c r="D41" s="45" t="s">
        <v>1738</v>
      </c>
      <c r="E41" s="15">
        <v>19.483432799999999</v>
      </c>
      <c r="F41" s="49">
        <v>-99.117410300000003</v>
      </c>
      <c r="G41" s="24" t="s">
        <v>430</v>
      </c>
      <c r="H41" s="53" t="s">
        <v>430</v>
      </c>
      <c r="I41" s="24" t="s">
        <v>1711</v>
      </c>
      <c r="J41" s="40" t="b">
        <v>1</v>
      </c>
      <c r="K41" s="24" t="b">
        <v>1</v>
      </c>
      <c r="L41" s="24" t="b">
        <v>1</v>
      </c>
      <c r="M41" s="24" t="s">
        <v>451</v>
      </c>
      <c r="O41" s="15" t="s">
        <v>429</v>
      </c>
      <c r="P41" s="15" t="s">
        <v>335</v>
      </c>
      <c r="Z41" s="36" t="s">
        <v>484</v>
      </c>
      <c r="AA41" s="36"/>
      <c r="AB41" s="36"/>
      <c r="AC41" s="36"/>
      <c r="AD41" s="36"/>
      <c r="AE41" s="36"/>
      <c r="AF41" s="36"/>
      <c r="AG41" s="36"/>
      <c r="AH41" s="36"/>
      <c r="AI41" s="36"/>
      <c r="AJ41" s="85" t="s">
        <v>1000</v>
      </c>
      <c r="AK41" s="86">
        <v>1531</v>
      </c>
      <c r="AL41" s="15" t="s">
        <v>236</v>
      </c>
      <c r="AM41" s="15" t="s">
        <v>335</v>
      </c>
      <c r="AN41" s="15" t="s">
        <v>452</v>
      </c>
      <c r="AO41" s="15" t="s">
        <v>335</v>
      </c>
      <c r="AP41" s="15" t="s">
        <v>453</v>
      </c>
      <c r="AQ41" s="49" t="s">
        <v>335</v>
      </c>
      <c r="AS41" s="154" t="b">
        <f t="shared" si="34"/>
        <v>1</v>
      </c>
      <c r="AT41" s="155" t="str">
        <f t="shared" si="35"/>
        <v>title: "Basilica of Our Lady of Guadalupe"</v>
      </c>
      <c r="AU41" s="155" t="str">
        <f t="shared" si="36"/>
        <v>location: {lat: 19.4834328, lng: -99.1174103}</v>
      </c>
      <c r="AV41" s="155" t="str">
        <f t="shared" si="37"/>
        <v>interest: global</v>
      </c>
      <c r="AW41" s="155" t="str">
        <f>"- "&amp;VLOOKUP(C41,'(Ref) Countries'!A:C,3,)</f>
        <v>- mexico</v>
      </c>
      <c r="AX41" s="155" t="str">
        <f t="shared" si="38"/>
        <v>- mexico-city</v>
      </c>
      <c r="AY41" s="155" t="str">
        <f t="shared" si="39"/>
        <v>- churches</v>
      </c>
      <c r="AZ41" s="155" t="str">
        <f t="shared" si="40"/>
        <v>- marian-sites</v>
      </c>
      <c r="BA41" s="155" t="str">
        <f t="shared" si="41"/>
        <v>- holy-persons</v>
      </c>
      <c r="BB41" s="155" t="str">
        <f t="shared" si="42"/>
        <v>- juan-diego</v>
      </c>
      <c r="BC41" s="155" t="str">
        <f t="shared" si="43"/>
        <v/>
      </c>
      <c r="BD41" s="155" t="str">
        <f t="shared" si="44"/>
        <v/>
      </c>
      <c r="BE41" s="155" t="str">
        <f t="shared" si="45"/>
        <v/>
      </c>
      <c r="BF41" s="155" t="str">
        <f t="shared" si="46"/>
        <v/>
      </c>
      <c r="BG41" s="155" t="str">
        <f t="shared" si="47"/>
        <v/>
      </c>
      <c r="BH41" s="155" t="str">
        <f t="shared" si="48"/>
        <v/>
      </c>
      <c r="BI41" s="155" t="str">
        <f t="shared" si="49"/>
        <v/>
      </c>
      <c r="BJ41" s="155" t="str">
        <f t="shared" si="50"/>
        <v/>
      </c>
      <c r="BK41" s="155" t="str">
        <f t="shared" si="51"/>
        <v/>
      </c>
      <c r="BL41" s="155" t="str">
        <f t="shared" si="52"/>
        <v xml:space="preserve">tags:
- mexico_x000D_
- mexico-city_x000D_
- churches_x000D_
- marian-sites_x000D_
- holy-persons_x000D_
- juan-diego_x000D_
</v>
      </c>
      <c r="BM41" s="158" t="str">
        <f t="shared" si="30"/>
        <v>[Official site](https://virgendeguadalupe.org.mx/)</v>
      </c>
      <c r="BN41" s="158" t="str">
        <f t="shared" si="31"/>
        <v/>
      </c>
      <c r="BO41" s="158" t="str">
        <f t="shared" si="32"/>
        <v/>
      </c>
      <c r="BP41" s="158" t="str">
        <f t="shared" si="33"/>
        <v/>
      </c>
      <c r="BQ41" s="158" t="str">
        <f t="shared" si="53"/>
        <v xml:space="preserve">* [Official site](https://virgendeguadalupe.org.mx/)
</v>
      </c>
      <c r="BR41" s="158" t="str">
        <f t="shared" si="54"/>
        <v>[Link](http://www.therealpresence.org/eucharst/misc/BVM/70_GUADALUPE_96x96.pdf)</v>
      </c>
      <c r="BS41" s="158" t="str">
        <f t="shared" si="55"/>
        <v>[Link](https://www.miraclehunter.com/marian_apparitions/approved_apparitions/guadalupe/index.html)</v>
      </c>
      <c r="BT41" s="158" t="str">
        <f t="shared" si="56"/>
        <v>[Link](https://www.marypages.com/guadalupe-(mexico).html)</v>
      </c>
      <c r="BU41" s="158" t="str">
        <f>IF(LEN(concat(BR41:BT41))&gt;0,concat("| ",BR41," | ",BS41," | ",BT41," |"),"")</f>
        <v>| [Link](http://www.therealpresence.org/eucharst/misc/BVM/70_GUADALUPE_96x96.pdf) | [Link](https://www.miraclehunter.com/marian_apparitions/approved_apparitions/guadalupe/index.html) | [Link](https://www.marypages.com/guadalupe-(mexico).html) |</v>
      </c>
      <c r="BV41" s="155" t="str">
        <f t="shared" si="57"/>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55"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55" t="str">
        <f>IF(LEN(N41)&gt;1,concatll("#### Author's Note",N41,"-"&amp;B41),"")</f>
        <v/>
      </c>
      <c r="BY41" s="155" t="s">
        <v>335</v>
      </c>
      <c r="BZ41" s="155" t="s">
        <v>335</v>
      </c>
      <c r="CA41" s="23" t="str">
        <f>IF(AS41,concatll(concatl("---",AT41:AV41,BL41,"---"),M41,BW41:BX41),"")</f>
        <v xml:space="preserve">---_x000D_
title: "Basilica of Our Lady of Guadalupe"_x000D_
location: {lat: 19.4834328, lng: -99.1174103}_x000D_
interest: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23" t="str">
        <f>IF(AS41,"places\"&amp;VLOOKUP(C41,'(Ref) Countries'!A:B,2,)&amp;IF(LEN(D41)&gt;1,"-"&amp;LOWER(SUBSTITUTE(D41," ","-")),"")&amp;"-"&amp;LOWER(SUBSTITUTE(SUBSTITUTE(H41," ","-"),".",""))&amp;".md","")</f>
        <v>places\mx-mexico-city-basilica-of-our-lady-of-guadalupe.md</v>
      </c>
      <c r="CC41" s="38" t="str">
        <f>IF(LEN(Z41)&gt;1,VLOOKUP(Z41,'Tag List'!$A:$B,2,),"")</f>
        <v>St. Juan Diego</v>
      </c>
      <c r="CD41" s="38" t="str">
        <f>IF(LEN(AA41)&gt;1,VLOOKUP(AA41,'Tag List'!$A:$B,2,),"")</f>
        <v/>
      </c>
      <c r="CE41" s="38" t="str">
        <f>IF(LEN(AB41)&gt;1,VLOOKUP(AB41,'Tag List'!$A:$B,2,),"")</f>
        <v/>
      </c>
      <c r="CF41" s="30" t="str">
        <f>IF(LEN(Z41)&gt;1,GetTagPage(CC41,Z41),"")</f>
        <v>[St. Juan Diego](/tags/juan-diego)</v>
      </c>
      <c r="CG41" s="30" t="str">
        <f>IF(LEN(AA41)&gt;1,GetTagPage(CD41,AA41),"")</f>
        <v/>
      </c>
      <c r="CH41" s="30" t="str">
        <f>IF(LEN(AB41)&gt;1,GetTagPage(CE41,AB41),"")</f>
        <v/>
      </c>
      <c r="CI41" s="30" t="str">
        <f t="shared" si="58"/>
        <v xml:space="preserve">| [St. Juan Diego](/tags/juan-diego) </v>
      </c>
      <c r="CJ41" s="30" t="str">
        <f t="shared" si="59"/>
        <v xml:space="preserve">| [Guadalupe](/places/places\mx-mexico-city-basilica-of-our-lady-of-guadalupe) </v>
      </c>
      <c r="CK41" s="30" t="str">
        <f>"| "&amp;IF(AS41,GetTagPage(C41,VLOOKUP(C41,'(Ref) Countries'!A:C,3,)),C41)&amp; " "</f>
        <v xml:space="preserve">| [Mexico](/tags/mexico) </v>
      </c>
      <c r="CL41" s="30" t="str">
        <f t="shared" si="60"/>
        <v xml:space="preserve">| 1531 </v>
      </c>
      <c r="CM41" s="30" t="str">
        <f t="shared" si="61"/>
        <v xml:space="preserve">| [Link](/places/places\mx-mexico-city-basilica-of-our-lady-of-guadalupe) </v>
      </c>
      <c r="CN41" s="29" t="str">
        <f t="shared" si="62"/>
        <v xml:space="preserve">
| [Guadalupe](/places/places\mx-mexico-city-basilica-of-our-lady-of-guadalupe) | [Mexico](/tags/mexico) | 1531 | [Link](/places/places\mx-mexico-city-basilica-of-our-lady-of-guadalupe)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42" spans="1:92" ht="38.25" x14ac:dyDescent="0.25">
      <c r="A42" s="167" t="s">
        <v>1317</v>
      </c>
      <c r="B42" s="24" t="s">
        <v>2482</v>
      </c>
      <c r="C42" s="24" t="s">
        <v>628</v>
      </c>
      <c r="D42" s="24" t="s">
        <v>1738</v>
      </c>
      <c r="E42" s="15">
        <v>19.422522000000001</v>
      </c>
      <c r="F42" s="49">
        <v>-99.160942700000007</v>
      </c>
      <c r="G42" s="24" t="s">
        <v>1857</v>
      </c>
      <c r="H42" s="90" t="s">
        <v>1858</v>
      </c>
      <c r="I42" s="83" t="s">
        <v>1737</v>
      </c>
      <c r="J42" s="24" t="b">
        <v>1</v>
      </c>
      <c r="L42" s="24" t="b">
        <v>1</v>
      </c>
      <c r="M42" s="83" t="s">
        <v>1859</v>
      </c>
      <c r="P42" s="15" t="s">
        <v>335</v>
      </c>
      <c r="Z42" s="91" t="s">
        <v>1860</v>
      </c>
      <c r="AA42" s="91" t="s">
        <v>2033</v>
      </c>
      <c r="AS42" s="154" t="b">
        <f t="shared" si="34"/>
        <v>1</v>
      </c>
      <c r="AT42" s="155" t="str">
        <f t="shared" si="35"/>
        <v>title: "Church of the Holy Family (La Sagrada Familia), Mexico City"</v>
      </c>
      <c r="AU42" s="155" t="str">
        <f t="shared" si="36"/>
        <v>location: {lat: 19.422522, lng: -99.1609427}</v>
      </c>
      <c r="AV42" s="155" t="str">
        <f t="shared" si="37"/>
        <v>interest: regional</v>
      </c>
      <c r="AW42" s="155" t="str">
        <f>"- "&amp;VLOOKUP(C42,'(Ref) Countries'!A:C,3,)</f>
        <v>- mexico</v>
      </c>
      <c r="AX42" s="155" t="str">
        <f t="shared" si="38"/>
        <v>- mexico-city</v>
      </c>
      <c r="AY42" s="155" t="str">
        <f t="shared" si="39"/>
        <v>- churches</v>
      </c>
      <c r="AZ42" s="155" t="str">
        <f t="shared" si="40"/>
        <v/>
      </c>
      <c r="BA42" s="155" t="str">
        <f t="shared" si="41"/>
        <v>- holy-persons</v>
      </c>
      <c r="BB42" s="155" t="str">
        <f t="shared" si="42"/>
        <v>- miguel-pro</v>
      </c>
      <c r="BC42" s="155" t="str">
        <f t="shared" si="43"/>
        <v>- jesuits</v>
      </c>
      <c r="BD42" s="155" t="str">
        <f t="shared" si="44"/>
        <v/>
      </c>
      <c r="BE42" s="155" t="str">
        <f t="shared" si="45"/>
        <v/>
      </c>
      <c r="BF42" s="155" t="str">
        <f t="shared" si="46"/>
        <v/>
      </c>
      <c r="BG42" s="155" t="str">
        <f t="shared" si="47"/>
        <v/>
      </c>
      <c r="BH42" s="155" t="str">
        <f t="shared" si="48"/>
        <v/>
      </c>
      <c r="BI42" s="155" t="str">
        <f t="shared" si="49"/>
        <v/>
      </c>
      <c r="BJ42" s="155" t="str">
        <f t="shared" si="50"/>
        <v/>
      </c>
      <c r="BK42" s="155" t="str">
        <f t="shared" si="51"/>
        <v/>
      </c>
      <c r="BL42" s="155" t="str">
        <f t="shared" si="52"/>
        <v xml:space="preserve">tags:
- mexico_x000D_
- mexico-city_x000D_
- churches_x000D_
- holy-persons_x000D_
- miguel-pro_x000D_
- jesuits_x000D_
</v>
      </c>
      <c r="BM42" s="158" t="str">
        <f t="shared" si="30"/>
        <v/>
      </c>
      <c r="BN42" s="158" t="str">
        <f t="shared" si="31"/>
        <v/>
      </c>
      <c r="BO42" s="158" t="str">
        <f t="shared" si="32"/>
        <v/>
      </c>
      <c r="BP42" s="158" t="str">
        <f t="shared" si="33"/>
        <v/>
      </c>
      <c r="BQ42" s="155" t="str">
        <f t="shared" si="53"/>
        <v/>
      </c>
      <c r="BR42" s="155" t="str">
        <f t="shared" si="54"/>
        <v/>
      </c>
      <c r="BS42" s="155" t="str">
        <f t="shared" si="55"/>
        <v/>
      </c>
      <c r="BT42" s="155" t="str">
        <f t="shared" si="56"/>
        <v/>
      </c>
      <c r="BU42" s="155" t="str">
        <f>IF(LEN(concat(BR42:BT42))&gt;0,concat("| ",BR42," | ",BS42," | ",BT42," |"),"")</f>
        <v/>
      </c>
      <c r="BV42" s="155" t="str">
        <f t="shared" si="57"/>
        <v/>
      </c>
      <c r="BW42" s="155" t="str">
        <f>IF(LEN(BQ42&amp;BV42)&gt;0,concatll("#### More Information",BQ42,BV42),"")</f>
        <v/>
      </c>
      <c r="BX42" s="155" t="str">
        <f>IF(LEN(N42)&gt;1,concatll("#### Author's Note",N42,"-"&amp;B42),"")</f>
        <v/>
      </c>
      <c r="BY42" s="155" t="s">
        <v>335</v>
      </c>
      <c r="BZ42" s="155" t="s">
        <v>335</v>
      </c>
      <c r="CA42" s="23" t="str">
        <f>IF(AS42,concatll(concatl("---",AT42:AV42,BL42,"---"),M42,BW42:BX42),"")</f>
        <v xml:space="preserve">---_x000D_
title: "Church of the Holy Family (La Sagrada Familia), Mexico City"_x000D_
location: {lat: 19.422522, lng: -99.1609427}_x000D_
interest: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23" t="str">
        <f>IF(AS42,"places\"&amp;VLOOKUP(C42,'(Ref) Countries'!A:B,2,)&amp;IF(LEN(D42)&gt;1,"-"&amp;LOWER(SUBSTITUTE(D42," ","-")),"")&amp;"-"&amp;LOWER(SUBSTITUTE(SUBSTITUTE(H42," ","-"),".",""))&amp;".md","")</f>
        <v>places\mx-mexico-city-la-sagrada-familia.md</v>
      </c>
      <c r="CC42" s="29" t="str">
        <f>IF(LEN(Z42)&gt;1,VLOOKUP(Z42,'Tag List'!$A:$B,2,),"")</f>
        <v>Bl. Miguel Pro, SJ</v>
      </c>
      <c r="CD42" s="29" t="str">
        <f>IF(LEN(AA42)&gt;1,VLOOKUP(AA42,'Tag List'!$A:$B,2,),"")</f>
        <v>Society of Jesus (Jesuits)</v>
      </c>
      <c r="CE42" s="29" t="str">
        <f>IF(LEN(AB42)&gt;1,VLOOKUP(AB42,'Tag List'!$A:$B,2,),"")</f>
        <v/>
      </c>
      <c r="CF42" s="29" t="str">
        <f>IF(LEN(Z42)&gt;1,GetTagPage(CC42,Z42),"")</f>
        <v>[Bl. Miguel Pro, SJ](/tags/miguel-pro)</v>
      </c>
      <c r="CG42" s="29" t="str">
        <f>IF(LEN(AA42)&gt;1,GetTagPage(CD42,AA42),"")</f>
        <v>[Society of Jesus (Jesuits)](/tags/jesuits)</v>
      </c>
      <c r="CH42" s="29" t="str">
        <f>IF(LEN(AB42)&gt;1,GetTagPage(CE42,AB42),"")</f>
        <v/>
      </c>
      <c r="CI42" s="29" t="str">
        <f t="shared" si="58"/>
        <v xml:space="preserve">| [Bl. Miguel Pro, SJ](/tags/miguel-pro), [Society of Jesus (Jesuits)](/tags/jesuits) </v>
      </c>
      <c r="CJ42" s="29" t="str">
        <f t="shared" si="59"/>
        <v xml:space="preserve">| [](/places/places\mx-mexico-city-la-sagrada-familia) </v>
      </c>
      <c r="CK42" s="29" t="str">
        <f>"| "&amp;IF(AS42,GetTagPage(C42,VLOOKUP(C42,'(Ref) Countries'!A:C,3,)),C42)&amp; " "</f>
        <v xml:space="preserve">| [Mexico](/tags/mexico) </v>
      </c>
      <c r="CL42" s="29" t="str">
        <f t="shared" si="60"/>
        <v xml:space="preserve">|  </v>
      </c>
      <c r="CM42" s="29" t="str">
        <f t="shared" si="61"/>
        <v xml:space="preserve">| [Link](/places/places\mx-mexico-city-la-sagrada-familia) </v>
      </c>
      <c r="CN42" s="29" t="str">
        <f t="shared" si="62"/>
        <v xml:space="preserve">
| [](/places/places\mx-mexico-city-la-sagrada-familia) | [Mexico](/tags/mexico) |  | [Link](/places/places\mx-mexico-city-la-sagrada-familia) | [Bl. Miguel Pro, SJ](/tags/miguel-pro), [Society of Jesus (Jesuits)](/tags/jesuits) |</v>
      </c>
    </row>
    <row r="43" spans="1:92" ht="51" x14ac:dyDescent="0.25">
      <c r="A43" s="167" t="s">
        <v>1317</v>
      </c>
      <c r="B43" s="24" t="s">
        <v>2482</v>
      </c>
      <c r="C43" s="24" t="s">
        <v>628</v>
      </c>
      <c r="D43" s="24" t="s">
        <v>1738</v>
      </c>
      <c r="E43" s="15">
        <v>19.436178000000002</v>
      </c>
      <c r="F43" s="49">
        <v>-99.150290999999996</v>
      </c>
      <c r="G43" s="83" t="s">
        <v>1864</v>
      </c>
      <c r="H43" s="90" t="s">
        <v>1862</v>
      </c>
      <c r="I43" s="83" t="s">
        <v>1737</v>
      </c>
      <c r="L43" s="24" t="b">
        <v>1</v>
      </c>
      <c r="M43" s="83" t="s">
        <v>1863</v>
      </c>
      <c r="N43" s="177" t="s">
        <v>2506</v>
      </c>
      <c r="P43" s="15" t="s">
        <v>335</v>
      </c>
      <c r="Z43" s="15" t="s">
        <v>1860</v>
      </c>
      <c r="AA43" s="15" t="s">
        <v>2033</v>
      </c>
      <c r="AS43" s="154" t="b">
        <f t="shared" si="34"/>
        <v>1</v>
      </c>
      <c r="AT43" s="155" t="str">
        <f t="shared" si="35"/>
        <v>title: "Site of Bl. Miguel Pro's Martyrdom"</v>
      </c>
      <c r="AU43" s="155" t="str">
        <f t="shared" si="36"/>
        <v>location: {lat: 19.436178, lng: -99.150291}</v>
      </c>
      <c r="AV43" s="155" t="str">
        <f t="shared" si="37"/>
        <v>interest: regional</v>
      </c>
      <c r="AW43" s="155" t="str">
        <f>"- "&amp;VLOOKUP(C43,'(Ref) Countries'!A:C,3,)</f>
        <v>- mexico</v>
      </c>
      <c r="AX43" s="155" t="str">
        <f t="shared" si="38"/>
        <v>- mexico-city</v>
      </c>
      <c r="AY43" s="155" t="str">
        <f t="shared" si="39"/>
        <v/>
      </c>
      <c r="AZ43" s="155" t="str">
        <f t="shared" si="40"/>
        <v/>
      </c>
      <c r="BA43" s="155" t="str">
        <f t="shared" si="41"/>
        <v>- holy-persons</v>
      </c>
      <c r="BB43" s="155" t="str">
        <f t="shared" si="42"/>
        <v>- miguel-pro</v>
      </c>
      <c r="BC43" s="155" t="str">
        <f t="shared" si="43"/>
        <v>- jesuits</v>
      </c>
      <c r="BD43" s="155" t="str">
        <f t="shared" si="44"/>
        <v/>
      </c>
      <c r="BE43" s="155" t="str">
        <f t="shared" si="45"/>
        <v/>
      </c>
      <c r="BF43" s="155" t="str">
        <f t="shared" si="46"/>
        <v/>
      </c>
      <c r="BG43" s="155" t="str">
        <f t="shared" si="47"/>
        <v/>
      </c>
      <c r="BH43" s="155" t="str">
        <f t="shared" si="48"/>
        <v/>
      </c>
      <c r="BI43" s="155" t="str">
        <f t="shared" si="49"/>
        <v/>
      </c>
      <c r="BJ43" s="155" t="str">
        <f t="shared" si="50"/>
        <v/>
      </c>
      <c r="BK43" s="155" t="str">
        <f t="shared" si="51"/>
        <v/>
      </c>
      <c r="BL43" s="155" t="str">
        <f t="shared" si="52"/>
        <v xml:space="preserve">tags:
- mexico_x000D_
- mexico-city_x000D_
- holy-persons_x000D_
- miguel-pro_x000D_
- jesuits_x000D_
</v>
      </c>
      <c r="BM43" s="158" t="str">
        <f t="shared" si="30"/>
        <v/>
      </c>
      <c r="BN43" s="158" t="str">
        <f t="shared" si="31"/>
        <v/>
      </c>
      <c r="BO43" s="158" t="str">
        <f t="shared" si="32"/>
        <v/>
      </c>
      <c r="BP43" s="158" t="str">
        <f t="shared" si="33"/>
        <v/>
      </c>
      <c r="BQ43" s="155" t="str">
        <f t="shared" si="53"/>
        <v/>
      </c>
      <c r="BR43" s="155" t="str">
        <f t="shared" si="54"/>
        <v/>
      </c>
      <c r="BS43" s="155" t="str">
        <f t="shared" si="55"/>
        <v/>
      </c>
      <c r="BT43" s="155" t="str">
        <f t="shared" si="56"/>
        <v/>
      </c>
      <c r="BU43" s="155" t="str">
        <f>IF(LEN(concat(BR43:BT43))&gt;0,concat("| ",BR43," | ",BS43," | ",BT43," |"),"")</f>
        <v/>
      </c>
      <c r="BV43" s="155" t="str">
        <f t="shared" si="57"/>
        <v/>
      </c>
      <c r="BW43" s="155" t="str">
        <f>IF(LEN(BQ43&amp;BV43)&gt;0,concatll("#### More Information",BQ43,BV43),"")</f>
        <v/>
      </c>
      <c r="BX43" s="155"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55" t="s">
        <v>335</v>
      </c>
      <c r="BZ43" s="155" t="s">
        <v>335</v>
      </c>
      <c r="CA43" s="23" t="str">
        <f>IF(AS43,concatll(concatl("---",AT43:AV43,BL43,"---"),M43,BW43:BX43),"")</f>
        <v xml:space="preserve">---_x000D_
title: "Site of Bl. Miguel Pro's Martyrdom"_x000D_
location: {lat: 19.436178, lng: -99.150291}_x000D_
interest: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23" t="str">
        <f>IF(AS43,"places\"&amp;VLOOKUP(C43,'(Ref) Countries'!A:B,2,)&amp;IF(LEN(D43)&gt;1,"-"&amp;LOWER(SUBSTITUTE(D43," ","-")),"")&amp;"-"&amp;LOWER(SUBSTITUTE(SUBSTITUTE(H43," ","-"),".",""))&amp;".md","")</f>
        <v>places\mx-mexico-city-miguel-pro-martyrdom-site.md</v>
      </c>
      <c r="CC43" s="29" t="str">
        <f>IF(LEN(Z43)&gt;1,VLOOKUP(Z43,'Tag List'!$A:$B,2,),"")</f>
        <v>Bl. Miguel Pro, SJ</v>
      </c>
      <c r="CD43" s="29" t="str">
        <f>IF(LEN(AA43)&gt;1,VLOOKUP(AA43,'Tag List'!$A:$B,2,),"")</f>
        <v>Society of Jesus (Jesuits)</v>
      </c>
      <c r="CE43" s="29" t="str">
        <f>IF(LEN(AB43)&gt;1,VLOOKUP(AB43,'Tag List'!$A:$B,2,),"")</f>
        <v/>
      </c>
      <c r="CF43" s="29" t="str">
        <f>IF(LEN(Z43)&gt;1,GetTagPage(CC43,Z43),"")</f>
        <v>[Bl. Miguel Pro, SJ](/tags/miguel-pro)</v>
      </c>
      <c r="CG43" s="29" t="str">
        <f>IF(LEN(AA43)&gt;1,GetTagPage(CD43,AA43),"")</f>
        <v>[Society of Jesus (Jesuits)](/tags/jesuits)</v>
      </c>
      <c r="CH43" s="29" t="str">
        <f>IF(LEN(AB43)&gt;1,GetTagPage(CE43,AB43),"")</f>
        <v/>
      </c>
      <c r="CI43" s="29" t="str">
        <f t="shared" si="58"/>
        <v xml:space="preserve">| [Bl. Miguel Pro, SJ](/tags/miguel-pro), [Society of Jesus (Jesuits)](/tags/jesuits) </v>
      </c>
      <c r="CJ43" s="29" t="str">
        <f t="shared" si="59"/>
        <v xml:space="preserve">| [](/places/places\mx-mexico-city-miguel-pro-martyrdom-site) </v>
      </c>
      <c r="CK43" s="29" t="str">
        <f>"| "&amp;IF(AS43,GetTagPage(C43,VLOOKUP(C43,'(Ref) Countries'!A:C,3,)),C43)&amp; " "</f>
        <v xml:space="preserve">| [Mexico](/tags/mexico) </v>
      </c>
      <c r="CL43" s="29" t="str">
        <f t="shared" si="60"/>
        <v xml:space="preserve">|  </v>
      </c>
      <c r="CM43" s="29" t="str">
        <f t="shared" si="61"/>
        <v xml:space="preserve">| [Link](/places/places\mx-mexico-city-miguel-pro-martyrdom-site) </v>
      </c>
      <c r="CN43" s="29" t="str">
        <f t="shared" si="62"/>
        <v xml:space="preserve">
| [](/places/places\mx-mexico-city-miguel-pro-martyrdom-site) | [Mexico](/tags/mexico) |  | [Link](/places/places\mx-mexico-city-miguel-pro-martyrdom-site) | [Bl. Miguel Pro, SJ](/tags/miguel-pro), [Society of Jesus (Jesuits)](/tags/jesuits) |</v>
      </c>
    </row>
    <row r="44" spans="1:92" ht="76.5" x14ac:dyDescent="0.25">
      <c r="A44" s="167" t="s">
        <v>1317</v>
      </c>
      <c r="B44" s="24" t="s">
        <v>2482</v>
      </c>
      <c r="C44" s="24" t="s">
        <v>628</v>
      </c>
      <c r="D44" s="24" t="s">
        <v>1738</v>
      </c>
      <c r="E44" s="15">
        <v>19.4224</v>
      </c>
      <c r="F44" s="49">
        <v>-99.16095</v>
      </c>
      <c r="G44" s="83" t="s">
        <v>1865</v>
      </c>
      <c r="H44" s="90" t="s">
        <v>1866</v>
      </c>
      <c r="I44" s="24" t="s">
        <v>1737</v>
      </c>
      <c r="L44" s="24" t="b">
        <v>1</v>
      </c>
      <c r="M44" s="83" t="s">
        <v>1867</v>
      </c>
      <c r="N44" s="177" t="s">
        <v>2507</v>
      </c>
      <c r="P44" s="15" t="s">
        <v>335</v>
      </c>
      <c r="Z44" s="15" t="s">
        <v>1860</v>
      </c>
      <c r="AA44" s="15" t="s">
        <v>2033</v>
      </c>
      <c r="AS44" s="154" t="b">
        <f t="shared" si="34"/>
        <v>1</v>
      </c>
      <c r="AT44" s="155" t="str">
        <f t="shared" si="35"/>
        <v>title: "Museum of Bl. Miguel Agustin Pro"</v>
      </c>
      <c r="AU44" s="155" t="str">
        <f t="shared" si="36"/>
        <v>location: {lat: 19.4224, lng: -99.16095}</v>
      </c>
      <c r="AV44" s="155" t="str">
        <f t="shared" si="37"/>
        <v>interest: regional</v>
      </c>
      <c r="AW44" s="155" t="str">
        <f>"- "&amp;VLOOKUP(C44,'(Ref) Countries'!A:C,3,)</f>
        <v>- mexico</v>
      </c>
      <c r="AX44" s="155" t="str">
        <f t="shared" si="38"/>
        <v>- mexico-city</v>
      </c>
      <c r="AY44" s="155" t="str">
        <f t="shared" si="39"/>
        <v/>
      </c>
      <c r="AZ44" s="155" t="str">
        <f t="shared" si="40"/>
        <v/>
      </c>
      <c r="BA44" s="155" t="str">
        <f t="shared" si="41"/>
        <v>- holy-persons</v>
      </c>
      <c r="BB44" s="155" t="str">
        <f t="shared" si="42"/>
        <v>- miguel-pro</v>
      </c>
      <c r="BC44" s="155" t="str">
        <f t="shared" si="43"/>
        <v>- jesuits</v>
      </c>
      <c r="BD44" s="155" t="str">
        <f t="shared" si="44"/>
        <v/>
      </c>
      <c r="BE44" s="155" t="str">
        <f t="shared" si="45"/>
        <v/>
      </c>
      <c r="BF44" s="155" t="str">
        <f t="shared" si="46"/>
        <v/>
      </c>
      <c r="BG44" s="155" t="str">
        <f t="shared" si="47"/>
        <v/>
      </c>
      <c r="BH44" s="155" t="str">
        <f t="shared" si="48"/>
        <v/>
      </c>
      <c r="BI44" s="155" t="str">
        <f t="shared" si="49"/>
        <v/>
      </c>
      <c r="BJ44" s="155" t="str">
        <f t="shared" si="50"/>
        <v/>
      </c>
      <c r="BK44" s="155" t="str">
        <f t="shared" si="51"/>
        <v/>
      </c>
      <c r="BL44" s="155" t="str">
        <f t="shared" si="52"/>
        <v xml:space="preserve">tags:
- mexico_x000D_
- mexico-city_x000D_
- holy-persons_x000D_
- miguel-pro_x000D_
- jesuits_x000D_
</v>
      </c>
      <c r="BM44" s="158" t="str">
        <f t="shared" si="30"/>
        <v/>
      </c>
      <c r="BN44" s="158" t="str">
        <f t="shared" si="31"/>
        <v/>
      </c>
      <c r="BO44" s="158" t="str">
        <f t="shared" si="32"/>
        <v/>
      </c>
      <c r="BP44" s="158" t="str">
        <f t="shared" si="33"/>
        <v/>
      </c>
      <c r="BQ44" s="155" t="str">
        <f t="shared" si="53"/>
        <v/>
      </c>
      <c r="BR44" s="155" t="str">
        <f t="shared" si="54"/>
        <v/>
      </c>
      <c r="BS44" s="155" t="str">
        <f t="shared" si="55"/>
        <v/>
      </c>
      <c r="BT44" s="155" t="str">
        <f t="shared" si="56"/>
        <v/>
      </c>
      <c r="BU44" s="155" t="str">
        <f>IF(LEN(concat(BR44:BT44))&gt;0,concat("| ",BR44," | ",BS44," | ",BT44," |"),"")</f>
        <v/>
      </c>
      <c r="BV44" s="155" t="str">
        <f t="shared" si="57"/>
        <v/>
      </c>
      <c r="BW44" s="155" t="str">
        <f>IF(LEN(BQ44&amp;BV44)&gt;0,concatll("#### More Information",BQ44,BV44),"")</f>
        <v/>
      </c>
      <c r="BX44" s="155"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55" t="s">
        <v>335</v>
      </c>
      <c r="BZ44" s="155" t="s">
        <v>335</v>
      </c>
      <c r="CA44" s="23" t="str">
        <f>IF(AS44,concatll(concatl("---",AT44:AV44,BL44,"---"),M44,BW44:BX44),"")</f>
        <v xml:space="preserve">---_x000D_
title: "Museum of Bl. Miguel Agustin Pro"_x000D_
location: {lat: 19.4224, lng: -99.16095}_x000D_
interest: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23" t="str">
        <f>IF(AS44,"places\"&amp;VLOOKUP(C44,'(Ref) Countries'!A:B,2,)&amp;IF(LEN(D44)&gt;1,"-"&amp;LOWER(SUBSTITUTE(D44," ","-")),"")&amp;"-"&amp;LOWER(SUBSTITUTE(SUBSTITUTE(H44," ","-"),".",""))&amp;".md","")</f>
        <v>places\mx-mexico-city-miguel-pro-museum.md</v>
      </c>
      <c r="CC44" s="29" t="str">
        <f>IF(LEN(Z44)&gt;1,VLOOKUP(Z44,'Tag List'!$A:$B,2,),"")</f>
        <v>Bl. Miguel Pro, SJ</v>
      </c>
      <c r="CD44" s="29" t="str">
        <f>IF(LEN(AA44)&gt;1,VLOOKUP(AA44,'Tag List'!$A:$B,2,),"")</f>
        <v>Society of Jesus (Jesuits)</v>
      </c>
      <c r="CE44" s="29" t="str">
        <f>IF(LEN(AB44)&gt;1,VLOOKUP(AB44,'Tag List'!$A:$B,2,),"")</f>
        <v/>
      </c>
      <c r="CF44" s="29" t="str">
        <f>IF(LEN(Z44)&gt;1,GetTagPage(CC44,Z44),"")</f>
        <v>[Bl. Miguel Pro, SJ](/tags/miguel-pro)</v>
      </c>
      <c r="CG44" s="29" t="str">
        <f>IF(LEN(AA44)&gt;1,GetTagPage(CD44,AA44),"")</f>
        <v>[Society of Jesus (Jesuits)](/tags/jesuits)</v>
      </c>
      <c r="CH44" s="29" t="str">
        <f>IF(LEN(AB44)&gt;1,GetTagPage(CE44,AB44),"")</f>
        <v/>
      </c>
      <c r="CI44" s="29" t="str">
        <f t="shared" si="58"/>
        <v xml:space="preserve">| [Bl. Miguel Pro, SJ](/tags/miguel-pro), [Society of Jesus (Jesuits)](/tags/jesuits) </v>
      </c>
      <c r="CJ44" s="29" t="str">
        <f t="shared" si="59"/>
        <v xml:space="preserve">| [](/places/places\mx-mexico-city-miguel-pro-museum) </v>
      </c>
      <c r="CK44" s="29" t="str">
        <f>"| "&amp;IF(AS44,GetTagPage(C44,VLOOKUP(C44,'(Ref) Countries'!A:C,3,)),C44)&amp; " "</f>
        <v xml:space="preserve">| [Mexico](/tags/mexico) </v>
      </c>
      <c r="CL44" s="29" t="str">
        <f t="shared" si="60"/>
        <v xml:space="preserve">|  </v>
      </c>
      <c r="CM44" s="29" t="str">
        <f t="shared" si="61"/>
        <v xml:space="preserve">| [Link](/places/places\mx-mexico-city-miguel-pro-museum) </v>
      </c>
      <c r="CN44" s="29" t="str">
        <f t="shared" si="62"/>
        <v xml:space="preserve">
| [](/places/places\mx-mexico-city-miguel-pro-museum) | [Mexico](/tags/mexico) |  | [Link](/places/places\mx-mexico-city-miguel-pro-museum) | [Bl. Miguel Pro, SJ](/tags/miguel-pro), [Society of Jesus (Jesuits)](/tags/jesuits) |</v>
      </c>
    </row>
    <row r="45" spans="1:92" ht="63.75" x14ac:dyDescent="0.25">
      <c r="A45" s="167" t="s">
        <v>1317</v>
      </c>
      <c r="B45" s="24" t="s">
        <v>2481</v>
      </c>
      <c r="C45" s="24" t="s">
        <v>647</v>
      </c>
      <c r="E45" s="15">
        <v>16.0440593284094</v>
      </c>
      <c r="F45" s="49">
        <v>120.488325579597</v>
      </c>
      <c r="G45" s="24" t="s">
        <v>1373</v>
      </c>
      <c r="H45" s="53" t="s">
        <v>1374</v>
      </c>
      <c r="I45" s="24" t="s">
        <v>1711</v>
      </c>
      <c r="J45" s="40" t="b">
        <v>1</v>
      </c>
      <c r="K45" s="24" t="b">
        <v>1</v>
      </c>
      <c r="M45" s="168" t="s">
        <v>2522</v>
      </c>
      <c r="O45" s="15" t="s">
        <v>1375</v>
      </c>
      <c r="P45" s="15" t="s">
        <v>335</v>
      </c>
      <c r="Z45" s="15" t="s">
        <v>335</v>
      </c>
      <c r="AJ45" s="85" t="s">
        <v>1253</v>
      </c>
      <c r="AK45" s="86">
        <v>1610</v>
      </c>
      <c r="AL45" s="15" t="s">
        <v>261</v>
      </c>
      <c r="AM45" s="15" t="s">
        <v>335</v>
      </c>
      <c r="AN45" s="15" t="s">
        <v>1376</v>
      </c>
      <c r="AO45" s="15" t="s">
        <v>335</v>
      </c>
      <c r="AP45" s="15" t="s">
        <v>335</v>
      </c>
      <c r="AQ45" s="49" t="s">
        <v>335</v>
      </c>
      <c r="AS45" s="154" t="b">
        <f t="shared" si="34"/>
        <v>1</v>
      </c>
      <c r="AT45" s="155" t="str">
        <f t="shared" si="35"/>
        <v>title: "Minor Basilica of Our Lady of the Rosary of Manaoag"</v>
      </c>
      <c r="AU45" s="155" t="str">
        <f t="shared" si="36"/>
        <v>location: {lat: 16.0440593284094, lng: 120.488325579597}</v>
      </c>
      <c r="AV45" s="155" t="str">
        <f t="shared" si="37"/>
        <v>interest: global</v>
      </c>
      <c r="AW45" s="155" t="str">
        <f>"- "&amp;VLOOKUP(C45,'(Ref) Countries'!A:C,3,)</f>
        <v>- philippines</v>
      </c>
      <c r="AX45" s="155" t="str">
        <f t="shared" si="38"/>
        <v/>
      </c>
      <c r="AY45" s="155" t="str">
        <f t="shared" si="39"/>
        <v>- churches</v>
      </c>
      <c r="AZ45" s="155" t="str">
        <f t="shared" si="40"/>
        <v>- marian-sites</v>
      </c>
      <c r="BA45" s="155" t="str">
        <f t="shared" si="41"/>
        <v/>
      </c>
      <c r="BB45" s="155" t="str">
        <f t="shared" si="42"/>
        <v/>
      </c>
      <c r="BC45" s="155" t="str">
        <f t="shared" si="43"/>
        <v/>
      </c>
      <c r="BD45" s="155" t="str">
        <f t="shared" si="44"/>
        <v/>
      </c>
      <c r="BE45" s="155" t="str">
        <f t="shared" si="45"/>
        <v/>
      </c>
      <c r="BF45" s="155" t="str">
        <f t="shared" si="46"/>
        <v/>
      </c>
      <c r="BG45" s="155" t="str">
        <f t="shared" si="47"/>
        <v/>
      </c>
      <c r="BH45" s="155" t="str">
        <f t="shared" si="48"/>
        <v/>
      </c>
      <c r="BI45" s="155" t="str">
        <f t="shared" si="49"/>
        <v/>
      </c>
      <c r="BJ45" s="155" t="str">
        <f t="shared" si="50"/>
        <v/>
      </c>
      <c r="BK45" s="155" t="str">
        <f t="shared" si="51"/>
        <v/>
      </c>
      <c r="BL45" s="155" t="str">
        <f t="shared" si="52"/>
        <v xml:space="preserve">tags:
- philippines_x000D_
- churches_x000D_
- marian-sites_x000D_
</v>
      </c>
      <c r="BM45" s="158" t="str">
        <f t="shared" si="30"/>
        <v>[Official site](https://www.manaoagminorbasilica.org/)</v>
      </c>
      <c r="BN45" s="158" t="str">
        <f t="shared" si="31"/>
        <v/>
      </c>
      <c r="BO45" s="158" t="str">
        <f t="shared" si="32"/>
        <v/>
      </c>
      <c r="BP45" s="158" t="str">
        <f t="shared" si="33"/>
        <v/>
      </c>
      <c r="BQ45" s="158" t="str">
        <f t="shared" si="53"/>
        <v xml:space="preserve">* [Official site](https://www.manaoagminorbasilica.org/)
</v>
      </c>
      <c r="BR45" s="158" t="str">
        <f t="shared" si="54"/>
        <v>[Link](http://www.therealpresence.org/eucharst/misc/BVM/88_MANAOAG_60x96.pdf)</v>
      </c>
      <c r="BS45" s="158" t="str">
        <f t="shared" si="55"/>
        <v>[Link](https://www.miraclehunter.com/marian_apparitions/approved_apparitions/manaoag/index.html)</v>
      </c>
      <c r="BT45" s="158" t="str">
        <f t="shared" si="56"/>
        <v/>
      </c>
      <c r="BU45" s="158" t="str">
        <f>IF(LEN(concat(BR45:BT45))&gt;0,concat("| ",BR45," | ",BS45," | ",BT45," |"),"")</f>
        <v>| [Link](http://www.therealpresence.org/eucharst/misc/BVM/88_MANAOAG_60x96.pdf) | [Link](https://www.miraclehunter.com/marian_apparitions/approved_apparitions/manaoag/index.html) |  |</v>
      </c>
      <c r="BV45" s="155" t="str">
        <f t="shared" si="57"/>
        <v xml:space="preserve">| The Real Presence | Miracle Hunter | MaryPages |_x000D_
| --- | --- | --- |_x000D_
| [Link](http://www.therealpresence.org/eucharst/misc/BVM/88_MANAOAG_60x96.pdf) | [Link](https://www.miraclehunter.com/marian_apparitions/approved_apparitions/manaoag/index.html) |  |_x000D_
</v>
      </c>
      <c r="BW45" s="155"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55" t="str">
        <f>IF(LEN(N45)&gt;1,concatll("#### Author's Note",N45,"-"&amp;B45),"")</f>
        <v/>
      </c>
      <c r="BY45" s="155" t="s">
        <v>335</v>
      </c>
      <c r="BZ45" s="155" t="s">
        <v>335</v>
      </c>
      <c r="CA45" s="23" t="str">
        <f>IF(AS45,concatll(concatl("---",AT45:AV45,BL45,"---"),M45,BW45:BX45),"")</f>
        <v xml:space="preserve">---_x000D_
title: "Minor Basilica of Our Lady of the Rosary of Manaoag"_x000D_
location: {lat: 16.0440593284094, lng: 120.488325579597}_x000D_
interest: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23" t="str">
        <f>IF(AS45,"places\"&amp;VLOOKUP(C45,'(Ref) Countries'!A:B,2,)&amp;IF(LEN(D45)&gt;1,"-"&amp;LOWER(SUBSTITUTE(D45," ","-")),"")&amp;"-"&amp;LOWER(SUBSTITUTE(SUBSTITUTE(H45," ","-"),".",""))&amp;".md","")</f>
        <v>places\ph-basilica-of-our-lady-of-the-rosary-of-manaoag.md</v>
      </c>
      <c r="CC45" s="29" t="str">
        <f>IF(LEN(Z45)&gt;1,VLOOKUP(Z45,'Tag List'!$A:$B,2,),"")</f>
        <v/>
      </c>
      <c r="CD45" s="29" t="str">
        <f>IF(LEN(AA45)&gt;1,VLOOKUP(AA45,'Tag List'!$A:$B,2,),"")</f>
        <v/>
      </c>
      <c r="CE45" s="29" t="str">
        <f>IF(LEN(AB45)&gt;1,VLOOKUP(AB45,'Tag List'!$A:$B,2,),"")</f>
        <v/>
      </c>
      <c r="CF45" s="30" t="str">
        <f>IF(LEN(Z45)&gt;1,GetTagPage(CC45,Z45),"")</f>
        <v/>
      </c>
      <c r="CG45" s="30" t="str">
        <f>IF(LEN(AA45)&gt;1,GetTagPage(CD45,AA45),"")</f>
        <v/>
      </c>
      <c r="CH45" s="30" t="str">
        <f>IF(LEN(AB45)&gt;1,GetTagPage(CE45,AB45),"")</f>
        <v/>
      </c>
      <c r="CI45" s="30" t="str">
        <f t="shared" si="58"/>
        <v xml:space="preserve">| </v>
      </c>
      <c r="CJ45" s="30" t="str">
        <f t="shared" si="59"/>
        <v xml:space="preserve">| [Manaoag](/places/places\ph-basilica-of-our-lady-of-the-rosary-of-manaoag) </v>
      </c>
      <c r="CK45" s="30" t="str">
        <f>"| "&amp;IF(AS45,GetTagPage(C45,VLOOKUP(C45,'(Ref) Countries'!A:C,3,)),C45)&amp; " "</f>
        <v xml:space="preserve">| [Philippines](/tags/philippines) </v>
      </c>
      <c r="CL45" s="30" t="str">
        <f t="shared" si="60"/>
        <v xml:space="preserve">| 1610 </v>
      </c>
      <c r="CM45" s="30" t="str">
        <f t="shared" si="61"/>
        <v xml:space="preserve">| [Link](/places/places\ph-basilica-of-our-lady-of-the-rosary-of-manaoag) </v>
      </c>
      <c r="CN45" s="29" t="str">
        <f t="shared" si="62"/>
        <v xml:space="preserve">
| [Manaoag](/places/places\ph-basilica-of-our-lady-of-the-rosary-of-manaoag) | [Philippines](/tags/philippines) | 1610 | [Link](/places/places\ph-basilica-of-our-lady-of-the-rosary-of-manaoag) [Official site](https://www.manaoagminorbasilica.org/)[Link](http://www.therealpresence.org/eucharst/misc/BVM/88_MANAOAG_60x96.pdf)[Link](https://www.miraclehunter.com/marian_apparitions/approved_apparitions/manaoag/index.html)| |</v>
      </c>
    </row>
    <row r="46" spans="1:92" ht="153" x14ac:dyDescent="0.25">
      <c r="A46" s="167" t="s">
        <v>1317</v>
      </c>
      <c r="B46" s="24" t="s">
        <v>2481</v>
      </c>
      <c r="C46" s="24" t="s">
        <v>649</v>
      </c>
      <c r="E46" s="15">
        <v>54.024675490094602</v>
      </c>
      <c r="F46" s="49">
        <v>21.217746272668698</v>
      </c>
      <c r="G46" s="24" t="s">
        <v>1312</v>
      </c>
      <c r="H46" s="53" t="s">
        <v>1312</v>
      </c>
      <c r="I46" s="24" t="s">
        <v>1711</v>
      </c>
      <c r="J46" s="40" t="b">
        <v>1</v>
      </c>
      <c r="K46" s="24" t="b">
        <v>1</v>
      </c>
      <c r="M46" s="40" t="s">
        <v>1708</v>
      </c>
      <c r="N46" s="177" t="s">
        <v>2508</v>
      </c>
      <c r="O46" s="15" t="s">
        <v>1320</v>
      </c>
      <c r="P46" s="15" t="s">
        <v>335</v>
      </c>
      <c r="Z46" s="15" t="s">
        <v>335</v>
      </c>
      <c r="AJ46" s="85" t="s">
        <v>1184</v>
      </c>
      <c r="AK46" s="86" t="s">
        <v>1065</v>
      </c>
      <c r="AL46" s="15" t="s">
        <v>188</v>
      </c>
      <c r="AM46" s="15" t="s">
        <v>335</v>
      </c>
      <c r="AN46" s="15" t="s">
        <v>1321</v>
      </c>
      <c r="AO46" s="15" t="s">
        <v>1333</v>
      </c>
      <c r="AP46" s="15" t="s">
        <v>335</v>
      </c>
      <c r="AQ46" s="49" t="s">
        <v>335</v>
      </c>
      <c r="AS46" s="154" t="b">
        <f t="shared" si="34"/>
        <v>1</v>
      </c>
      <c r="AT46" s="155" t="str">
        <f t="shared" si="35"/>
        <v>title: "Swieta Lipka Sanctuary"</v>
      </c>
      <c r="AU46" s="155" t="str">
        <f t="shared" si="36"/>
        <v>location: {lat: 54.0246754900946, lng: 21.2177462726687}</v>
      </c>
      <c r="AV46" s="155" t="str">
        <f t="shared" si="37"/>
        <v>interest: global</v>
      </c>
      <c r="AW46" s="155" t="str">
        <f>"- "&amp;VLOOKUP(C46,'(Ref) Countries'!A:C,3,)</f>
        <v>- poland</v>
      </c>
      <c r="AX46" s="155" t="str">
        <f t="shared" si="38"/>
        <v/>
      </c>
      <c r="AY46" s="155" t="str">
        <f t="shared" si="39"/>
        <v>- churches</v>
      </c>
      <c r="AZ46" s="155" t="str">
        <f t="shared" si="40"/>
        <v>- marian-sites</v>
      </c>
      <c r="BA46" s="155" t="str">
        <f t="shared" si="41"/>
        <v/>
      </c>
      <c r="BB46" s="155" t="str">
        <f t="shared" si="42"/>
        <v/>
      </c>
      <c r="BC46" s="155" t="str">
        <f t="shared" si="43"/>
        <v/>
      </c>
      <c r="BD46" s="155" t="str">
        <f t="shared" si="44"/>
        <v/>
      </c>
      <c r="BE46" s="155" t="str">
        <f t="shared" si="45"/>
        <v/>
      </c>
      <c r="BF46" s="155" t="str">
        <f t="shared" si="46"/>
        <v/>
      </c>
      <c r="BG46" s="155" t="str">
        <f t="shared" si="47"/>
        <v/>
      </c>
      <c r="BH46" s="155" t="str">
        <f t="shared" si="48"/>
        <v/>
      </c>
      <c r="BI46" s="155" t="str">
        <f t="shared" si="49"/>
        <v/>
      </c>
      <c r="BJ46" s="155" t="str">
        <f t="shared" si="50"/>
        <v/>
      </c>
      <c r="BK46" s="155" t="str">
        <f t="shared" si="51"/>
        <v/>
      </c>
      <c r="BL46" s="155" t="str">
        <f t="shared" si="52"/>
        <v xml:space="preserve">tags:
- poland_x000D_
- churches_x000D_
- marian-sites_x000D_
</v>
      </c>
      <c r="BM46" s="158" t="str">
        <f t="shared" si="30"/>
        <v>[Official site](https://www.swlipka.pl/)</v>
      </c>
      <c r="BN46" s="158" t="str">
        <f t="shared" si="31"/>
        <v/>
      </c>
      <c r="BO46" s="158" t="str">
        <f t="shared" si="32"/>
        <v/>
      </c>
      <c r="BP46" s="158" t="str">
        <f t="shared" si="33"/>
        <v/>
      </c>
      <c r="BQ46" s="158" t="str">
        <f t="shared" si="53"/>
        <v xml:space="preserve">* [Official site](https://www.swlipka.pl/)
</v>
      </c>
      <c r="BR46" s="158" t="str">
        <f t="shared" si="54"/>
        <v>[Link](http://www.therealpresence.org/eucharst/misc/BVM/138_SWIETA_LIPKA_60x96.pdf)</v>
      </c>
      <c r="BS46" s="158" t="str">
        <f t="shared" si="55"/>
        <v>[Link](http://www.miraclehunter.com/marian_apparitions/approved_apparitions/apparitions_1200-1299.html) (Search for "Swieta Lipka")</v>
      </c>
      <c r="BT46" s="158" t="str">
        <f t="shared" si="56"/>
        <v/>
      </c>
      <c r="BU46" s="158" t="str">
        <f>IF(LEN(concat(BR46:BT46))&gt;0,concat("| ",BR46," | ",BS46," | ",BT46," |"),"")</f>
        <v>| [Link](http://www.therealpresence.org/eucharst/misc/BVM/138_SWIETA_LIPKA_60x96.pdf) | [Link](http://www.miraclehunter.com/marian_apparitions/approved_apparitions/apparitions_1200-1299.html) (Search for "Swieta Lipka") |  |</v>
      </c>
      <c r="BV46" s="155" t="str">
        <f t="shared" si="57"/>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55"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55"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55" t="s">
        <v>335</v>
      </c>
      <c r="BZ46" s="155" t="s">
        <v>335</v>
      </c>
      <c r="CA46" s="23" t="str">
        <f>IF(AS46,concatll(concatl("---",AT46:AV46,BL46,"---"),M46,BW46:BX46),"")</f>
        <v xml:space="preserve">---_x000D_
title: "Swieta Lipka Sanctuary"_x000D_
location: {lat: 54.0246754900946, lng: 21.2177462726687}_x000D_
interest: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23" t="str">
        <f>IF(AS46,"places\"&amp;VLOOKUP(C46,'(Ref) Countries'!A:B,2,)&amp;IF(LEN(D46)&gt;1,"-"&amp;LOWER(SUBSTITUTE(D46," ","-")),"")&amp;"-"&amp;LOWER(SUBSTITUTE(SUBSTITUTE(H46," ","-"),".",""))&amp;".md","")</f>
        <v>places\pl-swieta-lipka-sanctuary.md</v>
      </c>
      <c r="CC46" s="29" t="str">
        <f>IF(LEN(Z46)&gt;1,VLOOKUP(Z46,'Tag List'!$A:$B,2,),"")</f>
        <v/>
      </c>
      <c r="CD46" s="29" t="str">
        <f>IF(LEN(AA46)&gt;1,VLOOKUP(AA46,'Tag List'!$A:$B,2,),"")</f>
        <v/>
      </c>
      <c r="CE46" s="29" t="str">
        <f>IF(LEN(AB46)&gt;1,VLOOKUP(AB46,'Tag List'!$A:$B,2,),"")</f>
        <v/>
      </c>
      <c r="CF46" s="30" t="str">
        <f>IF(LEN(Z46)&gt;1,GetTagPage(CC46,Z46),"")</f>
        <v/>
      </c>
      <c r="CG46" s="30" t="str">
        <f>IF(LEN(AA46)&gt;1,GetTagPage(CD46,AA46),"")</f>
        <v/>
      </c>
      <c r="CH46" s="30" t="str">
        <f>IF(LEN(AB46)&gt;1,GetTagPage(CE46,AB46),"")</f>
        <v/>
      </c>
      <c r="CI46" s="30" t="str">
        <f t="shared" si="58"/>
        <v xml:space="preserve">| </v>
      </c>
      <c r="CJ46" s="30" t="str">
        <f t="shared" si="59"/>
        <v xml:space="preserve">| [Swieta Lipka](/places/places\pl-swieta-lipka-sanctuary) </v>
      </c>
      <c r="CK46" s="30" t="str">
        <f>"| "&amp;IF(AS46,GetTagPage(C46,VLOOKUP(C46,'(Ref) Countries'!A:C,3,)),C46)&amp; " "</f>
        <v xml:space="preserve">| [Poland](/tags/poland) </v>
      </c>
      <c r="CL46" s="30" t="str">
        <f t="shared" si="60"/>
        <v xml:space="preserve">| 13th Century </v>
      </c>
      <c r="CM46" s="30" t="str">
        <f t="shared" si="61"/>
        <v xml:space="preserve">| [Link](/places/places\pl-swieta-lipka-sanctuary) </v>
      </c>
      <c r="CN46" s="29" t="str">
        <f t="shared" si="62"/>
        <v xml:space="preserve">
| [Swieta Lipka](/places/places\pl-swieta-lipka-sanctuary) | [Poland](/tags/poland)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2" ht="127.5" x14ac:dyDescent="0.25">
      <c r="A47" s="167" t="s">
        <v>1317</v>
      </c>
      <c r="B47" s="27" t="s">
        <v>2481</v>
      </c>
      <c r="C47" s="27" t="s">
        <v>649</v>
      </c>
      <c r="E47" s="15">
        <v>49.465129655108299</v>
      </c>
      <c r="F47" s="49">
        <v>19.982843057005098</v>
      </c>
      <c r="G47" s="27" t="s">
        <v>1410</v>
      </c>
      <c r="H47" s="53" t="s">
        <v>1410</v>
      </c>
      <c r="I47" s="24" t="s">
        <v>1711</v>
      </c>
      <c r="J47" s="40" t="b">
        <v>1</v>
      </c>
      <c r="K47" s="24" t="b">
        <v>1</v>
      </c>
      <c r="M47" s="27" t="s">
        <v>1411</v>
      </c>
      <c r="N47" s="177" t="s">
        <v>2509</v>
      </c>
      <c r="O47" s="15" t="s">
        <v>1412</v>
      </c>
      <c r="P47" s="15" t="s">
        <v>335</v>
      </c>
      <c r="Z47" s="39" t="s">
        <v>1413</v>
      </c>
      <c r="AA47" s="39"/>
      <c r="AB47" s="39"/>
      <c r="AC47" s="39"/>
      <c r="AD47" s="39"/>
      <c r="AE47" s="39"/>
      <c r="AF47" s="39"/>
      <c r="AG47" s="39"/>
      <c r="AH47" s="39"/>
      <c r="AI47" s="39"/>
      <c r="AJ47" s="85" t="s">
        <v>1408</v>
      </c>
      <c r="AK47" s="87" t="s">
        <v>1409</v>
      </c>
      <c r="AL47" s="15" t="s">
        <v>335</v>
      </c>
      <c r="AM47" s="15" t="s">
        <v>335</v>
      </c>
      <c r="AN47" s="15" t="s">
        <v>335</v>
      </c>
      <c r="AO47" s="15" t="s">
        <v>335</v>
      </c>
      <c r="AP47" s="15" t="s">
        <v>335</v>
      </c>
      <c r="AQ47" s="49" t="s">
        <v>335</v>
      </c>
      <c r="AS47" s="154" t="b">
        <f t="shared" si="34"/>
        <v>1</v>
      </c>
      <c r="AT47" s="155" t="str">
        <f t="shared" si="35"/>
        <v>title: "Sanctuary of Our Lady Queen of Podhale"</v>
      </c>
      <c r="AU47" s="155" t="str">
        <f t="shared" si="36"/>
        <v>location: {lat: 49.4651296551083, lng: 19.9828430570051}</v>
      </c>
      <c r="AV47" s="155" t="str">
        <f t="shared" si="37"/>
        <v>interest: global</v>
      </c>
      <c r="AW47" s="155" t="str">
        <f>"- "&amp;VLOOKUP(C47,'(Ref) Countries'!A:C,3,)</f>
        <v>- poland</v>
      </c>
      <c r="AX47" s="155" t="str">
        <f t="shared" si="38"/>
        <v/>
      </c>
      <c r="AY47" s="155" t="str">
        <f t="shared" si="39"/>
        <v>- churches</v>
      </c>
      <c r="AZ47" s="155" t="str">
        <f t="shared" si="40"/>
        <v>- marian-sites</v>
      </c>
      <c r="BA47" s="155" t="str">
        <f t="shared" si="41"/>
        <v/>
      </c>
      <c r="BB47" s="155" t="str">
        <f t="shared" si="42"/>
        <v>- john-paul-ii</v>
      </c>
      <c r="BC47" s="155" t="str">
        <f t="shared" si="43"/>
        <v/>
      </c>
      <c r="BD47" s="155" t="str">
        <f t="shared" si="44"/>
        <v/>
      </c>
      <c r="BE47" s="155" t="str">
        <f t="shared" si="45"/>
        <v/>
      </c>
      <c r="BF47" s="155" t="str">
        <f t="shared" si="46"/>
        <v/>
      </c>
      <c r="BG47" s="155" t="str">
        <f t="shared" si="47"/>
        <v/>
      </c>
      <c r="BH47" s="155" t="str">
        <f t="shared" si="48"/>
        <v/>
      </c>
      <c r="BI47" s="155" t="str">
        <f t="shared" si="49"/>
        <v/>
      </c>
      <c r="BJ47" s="155" t="str">
        <f t="shared" si="50"/>
        <v/>
      </c>
      <c r="BK47" s="155" t="str">
        <f t="shared" si="51"/>
        <v/>
      </c>
      <c r="BL47" s="155" t="str">
        <f t="shared" si="52"/>
        <v xml:space="preserve">tags:
- poland_x000D_
- churches_x000D_
- marian-sites_x000D_
- john-paul-ii_x000D_
</v>
      </c>
      <c r="BM47" s="158" t="str">
        <f t="shared" si="30"/>
        <v>[Official site](ps://www.mbludzm.pl/)</v>
      </c>
      <c r="BN47" s="158" t="str">
        <f t="shared" si="31"/>
        <v/>
      </c>
      <c r="BO47" s="158" t="str">
        <f t="shared" si="32"/>
        <v/>
      </c>
      <c r="BP47" s="158" t="str">
        <f t="shared" si="33"/>
        <v/>
      </c>
      <c r="BQ47" s="158" t="str">
        <f t="shared" si="53"/>
        <v xml:space="preserve">* [Official site](ps://www.mbludzm.pl/)
</v>
      </c>
      <c r="BR47" s="158" t="str">
        <f t="shared" si="54"/>
        <v/>
      </c>
      <c r="BS47" s="158" t="str">
        <f t="shared" si="55"/>
        <v/>
      </c>
      <c r="BT47" s="158" t="str">
        <f t="shared" si="56"/>
        <v/>
      </c>
      <c r="BU47" s="158" t="str">
        <f>IF(LEN(concat(BR47:BT47))&gt;0,concat("| ",BR47," | ",BS47," | ",BT47," |"),"")</f>
        <v/>
      </c>
      <c r="BV47" s="155" t="str">
        <f t="shared" si="57"/>
        <v xml:space="preserve">| The Real Presence | Miracle Hunter | MaryPages |_x000D_
| --- | --- | --- |_x000D_
</v>
      </c>
      <c r="BW47" s="155" t="str">
        <f>IF(LEN(BQ47&amp;BV47)&gt;0,concatll("#### More Information",BQ47,BV47),"")</f>
        <v xml:space="preserve">#### More Information_x000D_
_x000D_
* [Official site](ps://www.mbludzm.pl/)
_x000D_
_x000D_
| The Real Presence | Miracle Hunter | MaryPages |_x000D_
| --- | --- | --- |_x000D_
_x000D_
_x000D_
</v>
      </c>
      <c r="BX47" s="155" t="str">
        <f>IF(LEN(N47)&gt;1,concatll("#### Author's Note",N47,"-"&amp;B47),"")</f>
        <v xml:space="preserve">#### Author's Note_x000D_
_x000D_
Some good information on [Catholic Shrine Basilica](https://catholicshrinebasilica.com/sanctuary-of-our-lady-of-ludzmierz-poland/)._x000D_
_x000D_
-JMM_x000D_
_x000D_
</v>
      </c>
      <c r="BY47" s="155" t="s">
        <v>335</v>
      </c>
      <c r="BZ47" s="155" t="s">
        <v>335</v>
      </c>
      <c r="CA47" s="23" t="str">
        <f>IF(AS47,concatll(concatl("---",AT47:AV47,BL47,"---"),M47,BW47:BX47),"")</f>
        <v xml:space="preserve">---_x000D_
title: "Sanctuary of Our Lady Queen of Podhale"_x000D_
location: {lat: 49.4651296551083, lng: 19.9828430570051}_x000D_
interest: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23" t="str">
        <f>IF(AS47,"places\"&amp;VLOOKUP(C47,'(Ref) Countries'!A:B,2,)&amp;IF(LEN(D47)&gt;1,"-"&amp;LOWER(SUBSTITUTE(D47," ","-")),"")&amp;"-"&amp;LOWER(SUBSTITUTE(SUBSTITUTE(H47," ","-"),".",""))&amp;".md","")</f>
        <v>places\pl-sanctuary-of-our-lady-queen-of-podhale.md</v>
      </c>
      <c r="CC47" s="29" t="str">
        <f>IF(LEN(Z47)&gt;1,VLOOKUP(Z47,'Tag List'!$A:$B,2,),"")</f>
        <v>Pope St. John Paul II</v>
      </c>
      <c r="CD47" s="29" t="str">
        <f>IF(LEN(AA47)&gt;1,VLOOKUP(AA47,'Tag List'!$A:$B,2,),"")</f>
        <v/>
      </c>
      <c r="CE47" s="29" t="str">
        <f>IF(LEN(AB47)&gt;1,VLOOKUP(AB47,'Tag List'!$A:$B,2,),"")</f>
        <v/>
      </c>
      <c r="CF47" s="30" t="str">
        <f>IF(LEN(Z47)&gt;1,GetTagPage(CC47,Z47),"")</f>
        <v>[Pope St. John Paul II](/tags/john-paul-ii)</v>
      </c>
      <c r="CG47" s="30" t="str">
        <f>IF(LEN(AA47)&gt;1,GetTagPage(CD47,AA47),"")</f>
        <v/>
      </c>
      <c r="CH47" s="30" t="str">
        <f>IF(LEN(AB47)&gt;1,GetTagPage(CE47,AB47),"")</f>
        <v/>
      </c>
      <c r="CI47" s="30" t="str">
        <f t="shared" si="58"/>
        <v xml:space="preserve">| [Pope St. John Paul II](/tags/john-paul-ii) </v>
      </c>
      <c r="CJ47" s="30" t="str">
        <f t="shared" si="59"/>
        <v xml:space="preserve">| [Ludzmierz](/places/places\pl-sanctuary-of-our-lady-queen-of-podhale) </v>
      </c>
      <c r="CK47" s="30" t="str">
        <f>"| "&amp;IF(AS47,GetTagPage(C47,VLOOKUP(C47,'(Ref) Countries'!A:C,3,)),C47)&amp; " "</f>
        <v xml:space="preserve">| [Poland](/tags/poland) </v>
      </c>
      <c r="CL47" s="30" t="str">
        <f t="shared" si="60"/>
        <v xml:space="preserve">| c. 1400 </v>
      </c>
      <c r="CM47" s="30" t="str">
        <f t="shared" si="61"/>
        <v xml:space="preserve">| [Link](/places/places\pl-sanctuary-of-our-lady-queen-of-podhale) </v>
      </c>
      <c r="CN47" s="29" t="str">
        <f t="shared" si="62"/>
        <v xml:space="preserve">
| [Ludzmierz](/places/places\pl-sanctuary-of-our-lady-queen-of-podhale) | [Poland](/tags/poland) | c. 1400 | [Link](/places/places\pl-sanctuary-of-our-lady-queen-of-podhale) [Official site](ps://www.mbludzm.pl/)| [Pope St. John Paul II](/tags/john-paul-ii) |</v>
      </c>
    </row>
    <row r="48" spans="1:92" ht="89.25" x14ac:dyDescent="0.25">
      <c r="A48" s="167" t="s">
        <v>1317</v>
      </c>
      <c r="B48" s="24" t="s">
        <v>2481</v>
      </c>
      <c r="C48" s="24" t="s">
        <v>649</v>
      </c>
      <c r="E48" s="15">
        <v>50.270467699999998</v>
      </c>
      <c r="F48" s="49">
        <v>22.408031600000001</v>
      </c>
      <c r="G48" s="83" t="s">
        <v>1797</v>
      </c>
      <c r="H48" s="53" t="s">
        <v>1048</v>
      </c>
      <c r="I48" s="24" t="s">
        <v>1711</v>
      </c>
      <c r="J48" s="40" t="b">
        <v>1</v>
      </c>
      <c r="K48" s="24" t="b">
        <v>1</v>
      </c>
      <c r="M48" s="24" t="s">
        <v>1049</v>
      </c>
      <c r="N48" s="177" t="s">
        <v>2510</v>
      </c>
      <c r="O48" s="15" t="s">
        <v>421</v>
      </c>
      <c r="P48" s="15" t="s">
        <v>335</v>
      </c>
      <c r="Z48" s="24" t="s">
        <v>1420</v>
      </c>
      <c r="AA48" s="24"/>
      <c r="AB48" s="24"/>
      <c r="AC48" s="24"/>
      <c r="AD48" s="24"/>
      <c r="AE48" s="24"/>
      <c r="AF48" s="24"/>
      <c r="AG48" s="24"/>
      <c r="AH48" s="24"/>
      <c r="AI48" s="24"/>
      <c r="AJ48" s="85" t="s">
        <v>1047</v>
      </c>
      <c r="AK48" s="86">
        <v>1578</v>
      </c>
      <c r="AL48" s="16" t="s">
        <v>335</v>
      </c>
      <c r="AM48" s="16" t="s">
        <v>335</v>
      </c>
      <c r="AN48" s="15" t="s">
        <v>454</v>
      </c>
      <c r="AO48" s="15" t="s">
        <v>335</v>
      </c>
      <c r="AP48" s="15" t="s">
        <v>335</v>
      </c>
      <c r="AQ48" s="49" t="s">
        <v>335</v>
      </c>
      <c r="AS48" s="154" t="b">
        <f t="shared" si="34"/>
        <v>1</v>
      </c>
      <c r="AT48" s="155" t="str">
        <f t="shared" si="35"/>
        <v>title: "Basilica of the Annunciation of the Blessed Virgin Mary (Our Lady of Lezajsk, Lady of Consolation)"</v>
      </c>
      <c r="AU48" s="155" t="str">
        <f t="shared" si="36"/>
        <v>location: {lat: 50.2704677, lng: 22.4080316}</v>
      </c>
      <c r="AV48" s="155" t="str">
        <f t="shared" si="37"/>
        <v>interest: global</v>
      </c>
      <c r="AW48" s="155" t="str">
        <f>"- "&amp;VLOOKUP(C48,'(Ref) Countries'!A:C,3,)</f>
        <v>- poland</v>
      </c>
      <c r="AX48" s="155" t="str">
        <f t="shared" si="38"/>
        <v/>
      </c>
      <c r="AY48" s="155" t="str">
        <f t="shared" si="39"/>
        <v>- churches</v>
      </c>
      <c r="AZ48" s="155" t="str">
        <f t="shared" si="40"/>
        <v>- marian-sites</v>
      </c>
      <c r="BA48" s="155" t="str">
        <f t="shared" si="41"/>
        <v/>
      </c>
      <c r="BB48" s="155" t="str">
        <f t="shared" si="42"/>
        <v>- communities</v>
      </c>
      <c r="BC48" s="155" t="str">
        <f t="shared" si="43"/>
        <v/>
      </c>
      <c r="BD48" s="155" t="str">
        <f t="shared" si="44"/>
        <v/>
      </c>
      <c r="BE48" s="155" t="str">
        <f t="shared" si="45"/>
        <v/>
      </c>
      <c r="BF48" s="155" t="str">
        <f t="shared" si="46"/>
        <v/>
      </c>
      <c r="BG48" s="155" t="str">
        <f t="shared" si="47"/>
        <v/>
      </c>
      <c r="BH48" s="155" t="str">
        <f t="shared" si="48"/>
        <v/>
      </c>
      <c r="BI48" s="155" t="str">
        <f t="shared" si="49"/>
        <v/>
      </c>
      <c r="BJ48" s="155" t="str">
        <f t="shared" si="50"/>
        <v/>
      </c>
      <c r="BK48" s="155" t="str">
        <f t="shared" si="51"/>
        <v/>
      </c>
      <c r="BL48" s="155" t="str">
        <f t="shared" si="52"/>
        <v xml:space="preserve">tags:
- poland_x000D_
- churches_x000D_
- marian-sites_x000D_
- communities_x000D_
</v>
      </c>
      <c r="BM48" s="158" t="str">
        <f t="shared" si="30"/>
        <v>[Official site](https://lezajsk.bernardyni.pl/)</v>
      </c>
      <c r="BN48" s="158" t="str">
        <f t="shared" si="31"/>
        <v/>
      </c>
      <c r="BO48" s="158" t="str">
        <f t="shared" si="32"/>
        <v/>
      </c>
      <c r="BP48" s="158" t="str">
        <f t="shared" si="33"/>
        <v/>
      </c>
      <c r="BQ48" s="158" t="str">
        <f t="shared" si="53"/>
        <v xml:space="preserve">* [Official site](https://lezajsk.bernardyni.pl/)
</v>
      </c>
      <c r="BR48" s="158" t="str">
        <f t="shared" si="54"/>
        <v/>
      </c>
      <c r="BS48" s="158" t="str">
        <f t="shared" si="55"/>
        <v>[Link](https://www.miraclehunter.com/marian_apparitions/approved_apparitions/lejask/index.html)</v>
      </c>
      <c r="BT48" s="158" t="str">
        <f t="shared" si="56"/>
        <v/>
      </c>
      <c r="BU48" s="158" t="str">
        <f>IF(LEN(concat(BR48:BT48))&gt;0,concat("| ",BR48," | ",BS48," | ",BT48," |"),"")</f>
        <v>|  | [Link](https://www.miraclehunter.com/marian_apparitions/approved_apparitions/lejask/index.html) |  |</v>
      </c>
      <c r="BV48" s="155" t="str">
        <f t="shared" si="57"/>
        <v xml:space="preserve">| The Real Presence | Miracle Hunter | MaryPages |_x000D_
| --- | --- | --- |_x000D_
|  | [Link](https://www.miraclehunter.com/marian_apparitions/approved_apparitions/lejask/index.html) |  |_x000D_
</v>
      </c>
      <c r="BW48" s="155"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55" t="str">
        <f>IF(LEN(N48)&gt;1,concatll("#### Author's Note",N48,"-"&amp;B48),"")</f>
        <v xml:space="preserve">#### Author's Note_x000D_
_x000D_
The monastery has published an excellent history of the shrine [here](https://lezajsk.bernardyni.pl/historia/) (in Polish)._x000D_
_x000D_
-JMM_x000D_
_x000D_
</v>
      </c>
      <c r="BY48" s="155" t="s">
        <v>335</v>
      </c>
      <c r="BZ48" s="155" t="s">
        <v>335</v>
      </c>
      <c r="CA48" s="23" t="str">
        <f>IF(AS48,concatll(concatl("---",AT48:AV48,BL48,"---"),M48,BW48:BX48),"")</f>
        <v xml:space="preserve">---_x000D_
title: "Basilica of the Annunciation of the Blessed Virgin Mary (Our Lady of Lezajsk, Lady of Consolation)"_x000D_
location: {lat: 50.2704677, lng: 22.4080316}_x000D_
interest: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23" t="str">
        <f>IF(AS48,"places\"&amp;VLOOKUP(C48,'(Ref) Countries'!A:B,2,)&amp;IF(LEN(D48)&gt;1,"-"&amp;LOWER(SUBSTITUTE(D48," ","-")),"")&amp;"-"&amp;LOWER(SUBSTITUTE(SUBSTITUTE(H48," ","-"),".",""))&amp;".md","")</f>
        <v>places\pl-basilica-of-the-annunciation-of-the-blessed-virgin-mary.md</v>
      </c>
      <c r="CC48" s="28" t="str">
        <f>IF(LEN(Z48)&gt;1,VLOOKUP(Z48,'Tag List'!$A:$B,2,),"")</f>
        <v>Religious Communities</v>
      </c>
      <c r="CD48" s="28" t="str">
        <f>IF(LEN(AA48)&gt;1,VLOOKUP(AA48,'Tag List'!$A:$B,2,),"")</f>
        <v/>
      </c>
      <c r="CE48" s="28" t="str">
        <f>IF(LEN(AB48)&gt;1,VLOOKUP(AB48,'Tag List'!$A:$B,2,),"")</f>
        <v/>
      </c>
      <c r="CF48" s="30" t="str">
        <f>IF(LEN(Z48)&gt;1,GetTagPage(CC48,Z48),"")</f>
        <v>[Religious Communities](/tags/communities)</v>
      </c>
      <c r="CG48" s="30" t="str">
        <f>IF(LEN(AA48)&gt;1,GetTagPage(CD48,AA48),"")</f>
        <v/>
      </c>
      <c r="CH48" s="30" t="str">
        <f>IF(LEN(AB48)&gt;1,GetTagPage(CE48,AB48),"")</f>
        <v/>
      </c>
      <c r="CI48" s="30" t="str">
        <f t="shared" si="58"/>
        <v xml:space="preserve">| [Religious Communities](/tags/communities) </v>
      </c>
      <c r="CJ48" s="30" t="str">
        <f t="shared" si="59"/>
        <v xml:space="preserve">| [Leżajsk](/places/places\pl-basilica-of-the-annunciation-of-the-blessed-virgin-mary) </v>
      </c>
      <c r="CK48" s="30" t="str">
        <f>"| "&amp;IF(AS48,GetTagPage(C48,VLOOKUP(C48,'(Ref) Countries'!A:C,3,)),C48)&amp; " "</f>
        <v xml:space="preserve">| [Poland](/tags/poland) </v>
      </c>
      <c r="CL48" s="30" t="str">
        <f t="shared" si="60"/>
        <v xml:space="preserve">| 1578 </v>
      </c>
      <c r="CM48" s="30" t="str">
        <f t="shared" si="61"/>
        <v xml:space="preserve">| [Link](/places/places\pl-basilica-of-the-annunciation-of-the-blessed-virgin-mary) </v>
      </c>
      <c r="CN48" s="29" t="str">
        <f t="shared" si="62"/>
        <v xml:space="preserve">
| [Leżajsk](/places/places\pl-basilica-of-the-annunciation-of-the-blessed-virgin-mary) | [Poland](/tags/poland) | 1578 | [Link](/places/places\pl-basilica-of-the-annunciation-of-the-blessed-virgin-mary) [Official site](https://lezajsk.bernardyni.pl/)[Link](https://www.miraclehunter.com/marian_apparitions/approved_apparitions/lejask/index.html)| [Religious Communities](/tags/communities) |</v>
      </c>
    </row>
    <row r="49" spans="1:93" ht="63.75" x14ac:dyDescent="0.25">
      <c r="A49" s="167" t="s">
        <v>1317</v>
      </c>
      <c r="B49" s="24" t="s">
        <v>2481</v>
      </c>
      <c r="C49" s="24" t="s">
        <v>649</v>
      </c>
      <c r="E49" s="15">
        <v>52.323705849375003</v>
      </c>
      <c r="F49" s="49">
        <v>18.358432557028099</v>
      </c>
      <c r="G49" s="24" t="s">
        <v>1018</v>
      </c>
      <c r="H49" s="53" t="s">
        <v>1019</v>
      </c>
      <c r="I49" s="24" t="s">
        <v>1711</v>
      </c>
      <c r="J49" s="40" t="b">
        <v>1</v>
      </c>
      <c r="K49" s="24" t="b">
        <v>1</v>
      </c>
      <c r="M49" s="24" t="s">
        <v>477</v>
      </c>
      <c r="O49" s="15" t="s">
        <v>375</v>
      </c>
      <c r="P49" s="15" t="s">
        <v>335</v>
      </c>
      <c r="Z49" s="16" t="s">
        <v>335</v>
      </c>
      <c r="AA49" s="16"/>
      <c r="AB49" s="16"/>
      <c r="AC49" s="16"/>
      <c r="AD49" s="16"/>
      <c r="AE49" s="16"/>
      <c r="AF49" s="16"/>
      <c r="AG49" s="16"/>
      <c r="AH49" s="16"/>
      <c r="AI49" s="16"/>
      <c r="AJ49" s="85" t="s">
        <v>1016</v>
      </c>
      <c r="AK49" s="86" t="s">
        <v>1017</v>
      </c>
      <c r="AL49" s="15" t="s">
        <v>285</v>
      </c>
      <c r="AM49" s="15" t="s">
        <v>335</v>
      </c>
      <c r="AN49" s="15" t="s">
        <v>354</v>
      </c>
      <c r="AO49" s="15" t="s">
        <v>335</v>
      </c>
      <c r="AP49" s="15" t="s">
        <v>478</v>
      </c>
      <c r="AQ49" s="49" t="s">
        <v>335</v>
      </c>
      <c r="AS49" s="154" t="b">
        <f t="shared" si="34"/>
        <v>1</v>
      </c>
      <c r="AT49" s="155" t="str">
        <f t="shared" si="35"/>
        <v>title: "Basilica of Our Lady of Licheń (Holy Mother of Sorrows, Queen of Poland)"</v>
      </c>
      <c r="AU49" s="155" t="str">
        <f t="shared" si="36"/>
        <v>location: {lat: 52.323705849375, lng: 18.3584325570281}</v>
      </c>
      <c r="AV49" s="155" t="str">
        <f t="shared" si="37"/>
        <v>interest: global</v>
      </c>
      <c r="AW49" s="155" t="str">
        <f>"- "&amp;VLOOKUP(C49,'(Ref) Countries'!A:C,3,)</f>
        <v>- poland</v>
      </c>
      <c r="AX49" s="155" t="str">
        <f t="shared" si="38"/>
        <v/>
      </c>
      <c r="AY49" s="155" t="str">
        <f t="shared" si="39"/>
        <v>- churches</v>
      </c>
      <c r="AZ49" s="155" t="str">
        <f t="shared" si="40"/>
        <v>- marian-sites</v>
      </c>
      <c r="BA49" s="155" t="str">
        <f t="shared" si="41"/>
        <v/>
      </c>
      <c r="BB49" s="155" t="str">
        <f t="shared" si="42"/>
        <v/>
      </c>
      <c r="BC49" s="155" t="str">
        <f t="shared" si="43"/>
        <v/>
      </c>
      <c r="BD49" s="155" t="str">
        <f t="shared" si="44"/>
        <v/>
      </c>
      <c r="BE49" s="155" t="str">
        <f t="shared" si="45"/>
        <v/>
      </c>
      <c r="BF49" s="155" t="str">
        <f t="shared" si="46"/>
        <v/>
      </c>
      <c r="BG49" s="155" t="str">
        <f t="shared" si="47"/>
        <v/>
      </c>
      <c r="BH49" s="155" t="str">
        <f t="shared" si="48"/>
        <v/>
      </c>
      <c r="BI49" s="155" t="str">
        <f t="shared" si="49"/>
        <v/>
      </c>
      <c r="BJ49" s="155" t="str">
        <f t="shared" si="50"/>
        <v/>
      </c>
      <c r="BK49" s="155" t="str">
        <f t="shared" si="51"/>
        <v/>
      </c>
      <c r="BL49" s="155" t="str">
        <f t="shared" si="52"/>
        <v xml:space="preserve">tags:
- poland_x000D_
- churches_x000D_
- marian-sites_x000D_
</v>
      </c>
      <c r="BM49" s="158" t="str">
        <f t="shared" si="30"/>
        <v>[Official site](https://www.lichen.pl/)</v>
      </c>
      <c r="BN49" s="158" t="str">
        <f t="shared" si="31"/>
        <v/>
      </c>
      <c r="BO49" s="158" t="str">
        <f t="shared" si="32"/>
        <v/>
      </c>
      <c r="BP49" s="158" t="str">
        <f t="shared" si="33"/>
        <v/>
      </c>
      <c r="BQ49" s="158" t="str">
        <f t="shared" si="53"/>
        <v xml:space="preserve">* [Official site](https://www.lichen.pl/)
</v>
      </c>
      <c r="BR49" s="158" t="str">
        <f t="shared" si="54"/>
        <v>[Link](http://www.therealpresence.org/eucharst/misc/BVM/110_LICHEN_96x96.pdf)</v>
      </c>
      <c r="BS49" s="158" t="str">
        <f t="shared" si="55"/>
        <v>[Link](http://www.miraclehunter.com/marian_apparitions/approved_apparitions/gietrzwald/index.html)</v>
      </c>
      <c r="BT49" s="158" t="str">
        <f t="shared" si="56"/>
        <v>[Link](https://www.marypages.com/lichen-(poland)-holy-mother-of-sorrow-en.html)</v>
      </c>
      <c r="BU49" s="158" t="str">
        <f>IF(LEN(concat(BR49:BT49))&gt;0,concat("| ",BR49," | ",BS49," | ",BT49," |"),"")</f>
        <v>| [Link](http://www.therealpresence.org/eucharst/misc/BVM/110_LICHEN_96x96.pdf) | [Link](http://www.miraclehunter.com/marian_apparitions/approved_apparitions/gietrzwald/index.html) | [Link](https://www.marypages.com/lichen-(poland)-holy-mother-of-sorrow-en.html) |</v>
      </c>
      <c r="BV49" s="155" t="str">
        <f t="shared" si="57"/>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55"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55" t="str">
        <f>IF(LEN(N49)&gt;1,concatll("#### Author's Note",N49,"-"&amp;B49),"")</f>
        <v/>
      </c>
      <c r="BY49" s="155" t="s">
        <v>335</v>
      </c>
      <c r="BZ49" s="155" t="s">
        <v>335</v>
      </c>
      <c r="CA49" s="23" t="str">
        <f>IF(AS49,concatll(concatl("---",AT49:AV49,BL49,"---"),M49,BW49:BX49),"")</f>
        <v xml:space="preserve">---_x000D_
title: "Basilica of Our Lady of Licheń (Holy Mother of Sorrows, Queen of Poland)"_x000D_
location: {lat: 52.323705849375, lng: 18.3584325570281}_x000D_
interest: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23" t="str">
        <f>IF(AS49,"places\"&amp;VLOOKUP(C49,'(Ref) Countries'!A:B,2,)&amp;IF(LEN(D49)&gt;1,"-"&amp;LOWER(SUBSTITUTE(D49," ","-")),"")&amp;"-"&amp;LOWER(SUBSTITUTE(SUBSTITUTE(H49," ","-"),".",""))&amp;".md","")</f>
        <v>places\pl-basilica-of-our-lady-of-lichen.md</v>
      </c>
      <c r="CC49" s="30" t="str">
        <f>IF(LEN(Z49)&gt;1,VLOOKUP(Z49,'Tag List'!$A:$B,2,),"")</f>
        <v/>
      </c>
      <c r="CD49" s="30" t="str">
        <f>IF(LEN(AA49)&gt;1,VLOOKUP(AA49,'Tag List'!$A:$B,2,),"")</f>
        <v/>
      </c>
      <c r="CE49" s="30" t="str">
        <f>IF(LEN(AB49)&gt;1,VLOOKUP(AB49,'Tag List'!$A:$B,2,),"")</f>
        <v/>
      </c>
      <c r="CF49" s="30" t="str">
        <f>IF(LEN(Z49)&gt;1,GetTagPage(CC49,Z49),"")</f>
        <v/>
      </c>
      <c r="CG49" s="30" t="str">
        <f>IF(LEN(AA49)&gt;1,GetTagPage(CD49,AA49),"")</f>
        <v/>
      </c>
      <c r="CH49" s="30" t="str">
        <f>IF(LEN(AB49)&gt;1,GetTagPage(CE49,AB49),"")</f>
        <v/>
      </c>
      <c r="CI49" s="30" t="str">
        <f t="shared" si="58"/>
        <v xml:space="preserve">| </v>
      </c>
      <c r="CJ49" s="30" t="str">
        <f t="shared" si="59"/>
        <v xml:space="preserve">| [Licheń](/places/places\pl-basilica-of-our-lady-of-lichen) </v>
      </c>
      <c r="CK49" s="30" t="str">
        <f>"| "&amp;IF(AS49,GetTagPage(C49,VLOOKUP(C49,'(Ref) Countries'!A:C,3,)),C49)&amp; " "</f>
        <v xml:space="preserve">| [Poland](/tags/poland) </v>
      </c>
      <c r="CL49" s="30" t="str">
        <f t="shared" si="60"/>
        <v xml:space="preserve">| 1813-1850 </v>
      </c>
      <c r="CM49" s="30" t="str">
        <f t="shared" si="61"/>
        <v xml:space="preserve">| [Link](/places/places\pl-basilica-of-our-lady-of-lichen) </v>
      </c>
      <c r="CN49" s="29" t="str">
        <f t="shared" si="62"/>
        <v xml:space="preserve">
| [Licheń](/places/places\pl-basilica-of-our-lady-of-lichen) | [Poland](/tags/poland)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3" ht="51" x14ac:dyDescent="0.25">
      <c r="A50" s="167" t="s">
        <v>1317</v>
      </c>
      <c r="B50" s="24" t="s">
        <v>2481</v>
      </c>
      <c r="C50" s="24" t="s">
        <v>649</v>
      </c>
      <c r="E50" s="15">
        <v>53.7480853</v>
      </c>
      <c r="F50" s="49">
        <v>20.235602400000001</v>
      </c>
      <c r="G50" s="24" t="s">
        <v>472</v>
      </c>
      <c r="H50" s="53" t="s">
        <v>472</v>
      </c>
      <c r="I50" s="24" t="s">
        <v>1711</v>
      </c>
      <c r="J50" s="40" t="b">
        <v>1</v>
      </c>
      <c r="K50" s="24" t="b">
        <v>1</v>
      </c>
      <c r="M50" s="24" t="s">
        <v>352</v>
      </c>
      <c r="O50" s="15" t="s">
        <v>355</v>
      </c>
      <c r="P50" s="15" t="s">
        <v>335</v>
      </c>
      <c r="Z50" s="36" t="s">
        <v>335</v>
      </c>
      <c r="AA50" s="36"/>
      <c r="AB50" s="36"/>
      <c r="AC50" s="36"/>
      <c r="AD50" s="36"/>
      <c r="AE50" s="36"/>
      <c r="AF50" s="36"/>
      <c r="AG50" s="36"/>
      <c r="AH50" s="36"/>
      <c r="AI50" s="36"/>
      <c r="AJ50" s="85" t="s">
        <v>991</v>
      </c>
      <c r="AK50" s="86">
        <v>1877</v>
      </c>
      <c r="AL50" s="15" t="s">
        <v>299</v>
      </c>
      <c r="AM50" s="15" t="s">
        <v>335</v>
      </c>
      <c r="AN50" s="15" t="s">
        <v>354</v>
      </c>
      <c r="AO50" s="15" t="s">
        <v>335</v>
      </c>
      <c r="AP50" s="15" t="s">
        <v>353</v>
      </c>
      <c r="AQ50" s="49" t="s">
        <v>335</v>
      </c>
      <c r="AS50" s="154" t="b">
        <f t="shared" si="34"/>
        <v>1</v>
      </c>
      <c r="AT50" s="155" t="str">
        <f t="shared" si="35"/>
        <v>title: "Sanctuary of Our Lady of Gietrzwałd"</v>
      </c>
      <c r="AU50" s="155" t="str">
        <f t="shared" si="36"/>
        <v>location: {lat: 53.7480853, lng: 20.2356024}</v>
      </c>
      <c r="AV50" s="155" t="str">
        <f t="shared" si="37"/>
        <v>interest: global</v>
      </c>
      <c r="AW50" s="155" t="str">
        <f>"- "&amp;VLOOKUP(C50,'(Ref) Countries'!A:C,3,)</f>
        <v>- poland</v>
      </c>
      <c r="AX50" s="155" t="str">
        <f t="shared" si="38"/>
        <v/>
      </c>
      <c r="AY50" s="155" t="str">
        <f t="shared" si="39"/>
        <v>- churches</v>
      </c>
      <c r="AZ50" s="155" t="str">
        <f t="shared" si="40"/>
        <v>- marian-sites</v>
      </c>
      <c r="BA50" s="155" t="str">
        <f t="shared" si="41"/>
        <v/>
      </c>
      <c r="BB50" s="155" t="str">
        <f t="shared" si="42"/>
        <v/>
      </c>
      <c r="BC50" s="155" t="str">
        <f t="shared" si="43"/>
        <v/>
      </c>
      <c r="BD50" s="155" t="str">
        <f t="shared" si="44"/>
        <v/>
      </c>
      <c r="BE50" s="155" t="str">
        <f t="shared" si="45"/>
        <v/>
      </c>
      <c r="BF50" s="155" t="str">
        <f t="shared" si="46"/>
        <v/>
      </c>
      <c r="BG50" s="155" t="str">
        <f t="shared" si="47"/>
        <v/>
      </c>
      <c r="BH50" s="155" t="str">
        <f t="shared" si="48"/>
        <v/>
      </c>
      <c r="BI50" s="155" t="str">
        <f t="shared" si="49"/>
        <v/>
      </c>
      <c r="BJ50" s="155" t="str">
        <f t="shared" si="50"/>
        <v/>
      </c>
      <c r="BK50" s="155" t="str">
        <f t="shared" si="51"/>
        <v/>
      </c>
      <c r="BL50" s="155" t="str">
        <f t="shared" si="52"/>
        <v xml:space="preserve">tags:
- poland_x000D_
- churches_x000D_
- marian-sites_x000D_
</v>
      </c>
      <c r="BM50" s="158" t="str">
        <f t="shared" si="30"/>
        <v>[Official site](https://sanktuariummaryjne.pl/)</v>
      </c>
      <c r="BN50" s="158" t="str">
        <f t="shared" si="31"/>
        <v/>
      </c>
      <c r="BO50" s="158" t="str">
        <f t="shared" si="32"/>
        <v/>
      </c>
      <c r="BP50" s="158" t="str">
        <f t="shared" si="33"/>
        <v/>
      </c>
      <c r="BQ50" s="158" t="str">
        <f t="shared" si="53"/>
        <v xml:space="preserve">* [Official site](https://sanktuariummaryjne.pl/)
</v>
      </c>
      <c r="BR50" s="158" t="str">
        <f t="shared" si="54"/>
        <v>[Link](http://www.therealpresence.org/eucharst/misc/BVM/85_GIETRZALD_96x96.pdf)</v>
      </c>
      <c r="BS50" s="158" t="str">
        <f t="shared" si="55"/>
        <v>[Link](http://www.miraclehunter.com/marian_apparitions/approved_apparitions/gietrzwald/index.html)</v>
      </c>
      <c r="BT50" s="158" t="str">
        <f t="shared" si="56"/>
        <v>[Link](https://www.marypages.com/giertzwald-(poland)-en.html)</v>
      </c>
      <c r="BU50" s="158" t="str">
        <f>IF(LEN(concat(BR50:BT50))&gt;0,concat("| ",BR50," | ",BS50," | ",BT50," |"),"")</f>
        <v>| [Link](http://www.therealpresence.org/eucharst/misc/BVM/85_GIETRZALD_96x96.pdf) | [Link](http://www.miraclehunter.com/marian_apparitions/approved_apparitions/gietrzwald/index.html) | [Link](https://www.marypages.com/giertzwald-(poland)-en.html) |</v>
      </c>
      <c r="BV50" s="155" t="str">
        <f t="shared" si="57"/>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55"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55" t="str">
        <f>IF(LEN(N50)&gt;1,concatll("#### Author's Note",N50,"-"&amp;B50),"")</f>
        <v/>
      </c>
      <c r="BY50" s="155" t="s">
        <v>335</v>
      </c>
      <c r="BZ50" s="155" t="s">
        <v>335</v>
      </c>
      <c r="CA50" s="23" t="str">
        <f>IF(AS50,concatll(concatl("---",AT50:AV50,BL50,"---"),M50,BW50:BX50),"")</f>
        <v xml:space="preserve">---_x000D_
title: "Sanctuary of Our Lady of Gietrzwałd"_x000D_
location: {lat: 53.7480853, lng: 20.2356024}_x000D_
interest: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23" t="str">
        <f>IF(AS50,"places\"&amp;VLOOKUP(C50,'(Ref) Countries'!A:B,2,)&amp;IF(LEN(D50)&gt;1,"-"&amp;LOWER(SUBSTITUTE(D50," ","-")),"")&amp;"-"&amp;LOWER(SUBSTITUTE(SUBSTITUTE(H50," ","-"),".",""))&amp;".md","")</f>
        <v>places\pl-sanctuary-of-our-lady-of-gietrzwałd.md</v>
      </c>
      <c r="CC50" s="38" t="str">
        <f>IF(LEN(Z50)&gt;1,VLOOKUP(Z50,'Tag List'!$A:$B,2,),"")</f>
        <v/>
      </c>
      <c r="CD50" s="38" t="str">
        <f>IF(LEN(AA50)&gt;1,VLOOKUP(AA50,'Tag List'!$A:$B,2,),"")</f>
        <v/>
      </c>
      <c r="CE50" s="38" t="str">
        <f>IF(LEN(AB50)&gt;1,VLOOKUP(AB50,'Tag List'!$A:$B,2,),"")</f>
        <v/>
      </c>
      <c r="CF50" s="30" t="str">
        <f>IF(LEN(Z50)&gt;1,GetTagPage(CC50,Z50),"")</f>
        <v/>
      </c>
      <c r="CG50" s="30" t="str">
        <f>IF(LEN(AA50)&gt;1,GetTagPage(CD50,AA50),"")</f>
        <v/>
      </c>
      <c r="CH50" s="30" t="str">
        <f>IF(LEN(AB50)&gt;1,GetTagPage(CE50,AB50),"")</f>
        <v/>
      </c>
      <c r="CI50" s="30" t="str">
        <f t="shared" si="58"/>
        <v xml:space="preserve">| </v>
      </c>
      <c r="CJ50" s="30" t="str">
        <f t="shared" si="59"/>
        <v xml:space="preserve">| [Gietrzwald](/places/places\pl-sanctuary-of-our-lady-of-gietrzwałd) </v>
      </c>
      <c r="CK50" s="30" t="str">
        <f>"| "&amp;IF(AS50,GetTagPage(C50,VLOOKUP(C50,'(Ref) Countries'!A:C,3,)),C50)&amp; " "</f>
        <v xml:space="preserve">| [Poland](/tags/poland) </v>
      </c>
      <c r="CL50" s="30" t="str">
        <f t="shared" si="60"/>
        <v xml:space="preserve">| 1877 </v>
      </c>
      <c r="CM50" s="30" t="str">
        <f t="shared" si="61"/>
        <v xml:space="preserve">| [Link](/places/places\pl-sanctuary-of-our-lady-of-gietrzwałd) </v>
      </c>
      <c r="CN50" s="29" t="str">
        <f t="shared" si="62"/>
        <v xml:space="preserve">
| [Gietrzwald](/places/places\pl-sanctuary-of-our-lady-of-gietrzwałd) | [Poland](/tags/poland)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3" ht="51" x14ac:dyDescent="0.25">
      <c r="A51" s="167" t="s">
        <v>1317</v>
      </c>
      <c r="B51" s="24" t="s">
        <v>2481</v>
      </c>
      <c r="C51" s="24" t="s">
        <v>649</v>
      </c>
      <c r="E51" s="15">
        <v>50.812751619291099</v>
      </c>
      <c r="F51" s="49">
        <v>19.096651748272901</v>
      </c>
      <c r="G51" s="27" t="s">
        <v>1052</v>
      </c>
      <c r="H51" s="53" t="s">
        <v>1053</v>
      </c>
      <c r="I51" s="24" t="s">
        <v>1711</v>
      </c>
      <c r="J51" s="40" t="b">
        <v>1</v>
      </c>
      <c r="K51" s="24" t="b">
        <v>1</v>
      </c>
      <c r="M51" s="27" t="s">
        <v>1057</v>
      </c>
      <c r="O51" s="15" t="s">
        <v>1054</v>
      </c>
      <c r="P51" s="15" t="s">
        <v>335</v>
      </c>
      <c r="Z51" s="24" t="s">
        <v>1420</v>
      </c>
      <c r="AA51" s="24"/>
      <c r="AB51" s="24"/>
      <c r="AC51" s="24"/>
      <c r="AD51" s="24"/>
      <c r="AE51" s="24"/>
      <c r="AF51" s="24"/>
      <c r="AG51" s="24"/>
      <c r="AH51" s="24"/>
      <c r="AI51" s="24"/>
      <c r="AJ51" s="85" t="s">
        <v>1050</v>
      </c>
      <c r="AK51" s="86" t="s">
        <v>1051</v>
      </c>
      <c r="AL51" s="15" t="s">
        <v>335</v>
      </c>
      <c r="AM51" s="15" t="s">
        <v>335</v>
      </c>
      <c r="AN51" s="15" t="s">
        <v>1055</v>
      </c>
      <c r="AO51" s="15" t="s">
        <v>335</v>
      </c>
      <c r="AP51" s="15" t="s">
        <v>1056</v>
      </c>
      <c r="AQ51" s="49" t="s">
        <v>335</v>
      </c>
      <c r="AS51" s="154" t="b">
        <f t="shared" si="34"/>
        <v>1</v>
      </c>
      <c r="AT51" s="155" t="str">
        <f t="shared" si="35"/>
        <v>title: "Jasna Gora Monastery (Our Lady of Czestochowa)"</v>
      </c>
      <c r="AU51" s="155" t="str">
        <f t="shared" si="36"/>
        <v>location: {lat: 50.8127516192911, lng: 19.0966517482729}</v>
      </c>
      <c r="AV51" s="155" t="str">
        <f t="shared" si="37"/>
        <v>interest: global</v>
      </c>
      <c r="AW51" s="155" t="str">
        <f>"- "&amp;VLOOKUP(C51,'(Ref) Countries'!A:C,3,)</f>
        <v>- poland</v>
      </c>
      <c r="AX51" s="155" t="str">
        <f t="shared" si="38"/>
        <v/>
      </c>
      <c r="AY51" s="155" t="str">
        <f t="shared" si="39"/>
        <v>- churches</v>
      </c>
      <c r="AZ51" s="155" t="str">
        <f t="shared" si="40"/>
        <v>- marian-sites</v>
      </c>
      <c r="BA51" s="155" t="str">
        <f t="shared" si="41"/>
        <v/>
      </c>
      <c r="BB51" s="155" t="str">
        <f t="shared" si="42"/>
        <v>- communities</v>
      </c>
      <c r="BC51" s="155" t="str">
        <f t="shared" si="43"/>
        <v/>
      </c>
      <c r="BD51" s="155" t="str">
        <f t="shared" si="44"/>
        <v/>
      </c>
      <c r="BE51" s="155" t="str">
        <f t="shared" si="45"/>
        <v/>
      </c>
      <c r="BF51" s="155" t="str">
        <f t="shared" si="46"/>
        <v/>
      </c>
      <c r="BG51" s="155" t="str">
        <f t="shared" si="47"/>
        <v/>
      </c>
      <c r="BH51" s="155" t="str">
        <f t="shared" si="48"/>
        <v/>
      </c>
      <c r="BI51" s="155" t="str">
        <f t="shared" si="49"/>
        <v/>
      </c>
      <c r="BJ51" s="155" t="str">
        <f t="shared" si="50"/>
        <v/>
      </c>
      <c r="BK51" s="155" t="str">
        <f t="shared" si="51"/>
        <v/>
      </c>
      <c r="BL51" s="155" t="str">
        <f t="shared" si="52"/>
        <v xml:space="preserve">tags:
- poland_x000D_
- churches_x000D_
- marian-sites_x000D_
- communities_x000D_
</v>
      </c>
      <c r="BM51" s="158" t="str">
        <f t="shared" si="30"/>
        <v>[Official site](https://jasnagora.pl/)</v>
      </c>
      <c r="BN51" s="158" t="str">
        <f t="shared" si="31"/>
        <v/>
      </c>
      <c r="BO51" s="158" t="str">
        <f t="shared" si="32"/>
        <v/>
      </c>
      <c r="BP51" s="158" t="str">
        <f t="shared" si="33"/>
        <v/>
      </c>
      <c r="BQ51" s="158" t="str">
        <f t="shared" si="53"/>
        <v xml:space="preserve">* [Official site](https://jasnagora.pl/)
</v>
      </c>
      <c r="BR51" s="158" t="str">
        <f t="shared" si="54"/>
        <v/>
      </c>
      <c r="BS51" s="158" t="str">
        <f t="shared" si="55"/>
        <v>[Link](https://www.miraclehunter.com/marian_apparitions/approved_apparitions/czestochowa/)</v>
      </c>
      <c r="BT51" s="158" t="str">
        <f t="shared" si="56"/>
        <v>[Link](https://www.marypages.com/czestochowa-(poland)-en.html)</v>
      </c>
      <c r="BU51" s="158" t="str">
        <f>IF(LEN(concat(BR51:BT51))&gt;0,concat("| ",BR51," | ",BS51," | ",BT51," |"),"")</f>
        <v>|  | [Link](https://www.miraclehunter.com/marian_apparitions/approved_apparitions/czestochowa/) | [Link](https://www.marypages.com/czestochowa-(poland)-en.html) |</v>
      </c>
      <c r="BV51" s="155" t="str">
        <f t="shared" si="57"/>
        <v xml:space="preserve">| The Real Presence | Miracle Hunter | MaryPages |_x000D_
| --- | --- | --- |_x000D_
|  | [Link](https://www.miraclehunter.com/marian_apparitions/approved_apparitions/czestochowa/) | [Link](https://www.marypages.com/czestochowa-(poland)-en.html) |_x000D_
</v>
      </c>
      <c r="BW51" s="155"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55" t="str">
        <f>IF(LEN(N51)&gt;1,concatll("#### Author's Note",N51,"-"&amp;B51),"")</f>
        <v/>
      </c>
      <c r="BY51" s="155" t="s">
        <v>335</v>
      </c>
      <c r="BZ51" s="155" t="s">
        <v>335</v>
      </c>
      <c r="CA51" s="23" t="str">
        <f>IF(AS51,concatll(concatl("---",AT51:AV51,BL51,"---"),M51,BW51:BX51),"")</f>
        <v xml:space="preserve">---_x000D_
title: "Jasna Gora Monastery (Our Lady of Czestochowa)"_x000D_
location: {lat: 50.8127516192911, lng: 19.0966517482729}_x000D_
interest: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23" t="str">
        <f>IF(AS51,"places\"&amp;VLOOKUP(C51,'(Ref) Countries'!A:B,2,)&amp;IF(LEN(D51)&gt;1,"-"&amp;LOWER(SUBSTITUTE(D51," ","-")),"")&amp;"-"&amp;LOWER(SUBSTITUTE(SUBSTITUTE(H51," ","-"),".",""))&amp;".md","")</f>
        <v>places\pl-jasna-gora-monastery.md</v>
      </c>
      <c r="CC51" s="28" t="str">
        <f>IF(LEN(Z51)&gt;1,VLOOKUP(Z51,'Tag List'!$A:$B,2,),"")</f>
        <v>Religious Communities</v>
      </c>
      <c r="CD51" s="28" t="str">
        <f>IF(LEN(AA51)&gt;1,VLOOKUP(AA51,'Tag List'!$A:$B,2,),"")</f>
        <v/>
      </c>
      <c r="CE51" s="28" t="str">
        <f>IF(LEN(AB51)&gt;1,VLOOKUP(AB51,'Tag List'!$A:$B,2,),"")</f>
        <v/>
      </c>
      <c r="CF51" s="30" t="str">
        <f>IF(LEN(Z51)&gt;1,GetTagPage(CC51,Z51),"")</f>
        <v>[Religious Communities](/tags/communities)</v>
      </c>
      <c r="CG51" s="30" t="str">
        <f>IF(LEN(AA51)&gt;1,GetTagPage(CD51,AA51),"")</f>
        <v/>
      </c>
      <c r="CH51" s="30" t="str">
        <f>IF(LEN(AB51)&gt;1,GetTagPage(CE51,AB51),"")</f>
        <v/>
      </c>
      <c r="CI51" s="30" t="str">
        <f t="shared" si="58"/>
        <v xml:space="preserve">| [Religious Communities](/tags/communities) </v>
      </c>
      <c r="CJ51" s="30" t="str">
        <f t="shared" si="59"/>
        <v xml:space="preserve">| [Czestochowa](/places/places\pl-jasna-gora-monastery) </v>
      </c>
      <c r="CK51" s="30" t="str">
        <f>"| "&amp;IF(AS51,GetTagPage(C51,VLOOKUP(C51,'(Ref) Countries'!A:C,3,)),C51)&amp; " "</f>
        <v xml:space="preserve">| [Poland](/tags/poland) </v>
      </c>
      <c r="CL51" s="30" t="str">
        <f t="shared" si="60"/>
        <v xml:space="preserve">| Unknown </v>
      </c>
      <c r="CM51" s="30" t="str">
        <f t="shared" si="61"/>
        <v xml:space="preserve">| [Link](/places/places\pl-jasna-gora-monastery) </v>
      </c>
      <c r="CN51" s="29" t="str">
        <f t="shared" si="62"/>
        <v xml:space="preserve">
| [Czestochowa](/places/places\pl-jasna-gora-monastery) | [Poland](/tags/poland) | Unknown | [Link](/places/places\pl-jasna-gora-monastery) [Official site](https://jasnagora.pl/)[Link](https://www.miraclehunter.com/marian_apparitions/approved_apparitions/czestochowa/)[Link](https://www.marypages.com/czestochowa-(poland)-en.html)| [Religious Communities](/tags/communities) |</v>
      </c>
    </row>
    <row r="52" spans="1:93" ht="63.75" x14ac:dyDescent="0.25">
      <c r="A52" s="167" t="s">
        <v>1317</v>
      </c>
      <c r="B52" s="24" t="s">
        <v>2481</v>
      </c>
      <c r="C52" s="24" t="s">
        <v>653</v>
      </c>
      <c r="E52" s="15">
        <v>39.631263799999999</v>
      </c>
      <c r="F52" s="49">
        <v>-8.6731570999999992</v>
      </c>
      <c r="G52" s="24" t="s">
        <v>1027</v>
      </c>
      <c r="H52" s="53" t="s">
        <v>724</v>
      </c>
      <c r="I52" s="24" t="s">
        <v>1711</v>
      </c>
      <c r="J52" s="40" t="b">
        <v>1</v>
      </c>
      <c r="K52" s="24" t="b">
        <v>1</v>
      </c>
      <c r="L52" s="24" t="b">
        <v>1</v>
      </c>
      <c r="M52" s="24" t="s">
        <v>469</v>
      </c>
      <c r="O52" s="15" t="s">
        <v>424</v>
      </c>
      <c r="P52" s="15" t="s">
        <v>335</v>
      </c>
      <c r="Z52" s="36" t="s">
        <v>1421</v>
      </c>
      <c r="AA52" s="36" t="s">
        <v>1422</v>
      </c>
      <c r="AB52" s="36"/>
      <c r="AC52" s="36"/>
      <c r="AD52" s="36"/>
      <c r="AE52" s="36"/>
      <c r="AF52" s="36"/>
      <c r="AG52" s="36"/>
      <c r="AH52" s="36"/>
      <c r="AI52" s="36"/>
      <c r="AJ52" s="85" t="s">
        <v>723</v>
      </c>
      <c r="AK52" s="86">
        <v>1916</v>
      </c>
      <c r="AL52" s="15" t="s">
        <v>305</v>
      </c>
      <c r="AM52" s="15" t="s">
        <v>1325</v>
      </c>
      <c r="AN52" s="15" t="s">
        <v>470</v>
      </c>
      <c r="AO52" s="15" t="s">
        <v>335</v>
      </c>
      <c r="AP52" s="15" t="s">
        <v>471</v>
      </c>
      <c r="AQ52" s="49" t="s">
        <v>335</v>
      </c>
      <c r="AS52" s="154" t="b">
        <f t="shared" si="34"/>
        <v>1</v>
      </c>
      <c r="AT52" s="155" t="str">
        <f t="shared" si="35"/>
        <v>title: "Sanctuary of Our Lady of the Rosary of Fatima"</v>
      </c>
      <c r="AU52" s="155" t="str">
        <f t="shared" si="36"/>
        <v>location: {lat: 39.6312638, lng: -8.6731571}</v>
      </c>
      <c r="AV52" s="155" t="str">
        <f t="shared" si="37"/>
        <v>interest: global</v>
      </c>
      <c r="AW52" s="155" t="str">
        <f>"- "&amp;VLOOKUP(C52,'(Ref) Countries'!A:C,3,)</f>
        <v>- portugal</v>
      </c>
      <c r="AX52" s="155" t="str">
        <f t="shared" si="38"/>
        <v/>
      </c>
      <c r="AY52" s="155" t="str">
        <f t="shared" si="39"/>
        <v>- churches</v>
      </c>
      <c r="AZ52" s="155" t="str">
        <f t="shared" si="40"/>
        <v>- marian-sites</v>
      </c>
      <c r="BA52" s="155" t="str">
        <f t="shared" si="41"/>
        <v>- holy-persons</v>
      </c>
      <c r="BB52" s="155" t="str">
        <f t="shared" si="42"/>
        <v>- lucia-dos-santos</v>
      </c>
      <c r="BC52" s="155" t="str">
        <f t="shared" si="43"/>
        <v>- francisco-and-jacinta-marto</v>
      </c>
      <c r="BD52" s="155" t="str">
        <f t="shared" si="44"/>
        <v/>
      </c>
      <c r="BE52" s="155" t="str">
        <f t="shared" si="45"/>
        <v/>
      </c>
      <c r="BF52" s="155" t="str">
        <f t="shared" si="46"/>
        <v/>
      </c>
      <c r="BG52" s="155" t="str">
        <f t="shared" si="47"/>
        <v/>
      </c>
      <c r="BH52" s="155" t="str">
        <f t="shared" si="48"/>
        <v/>
      </c>
      <c r="BI52" s="155" t="str">
        <f t="shared" si="49"/>
        <v/>
      </c>
      <c r="BJ52" s="155" t="str">
        <f t="shared" si="50"/>
        <v/>
      </c>
      <c r="BK52" s="155" t="str">
        <f t="shared" si="51"/>
        <v/>
      </c>
      <c r="BL52" s="155" t="str">
        <f t="shared" si="52"/>
        <v xml:space="preserve">tags:
- portugal_x000D_
- churches_x000D_
- marian-sites_x000D_
- holy-persons_x000D_
- lucia-dos-santos_x000D_
- francisco-and-jacinta-marto_x000D_
</v>
      </c>
      <c r="BM52" s="158" t="str">
        <f t="shared" si="30"/>
        <v>[Official site](https://www.fatima.pt/)</v>
      </c>
      <c r="BN52" s="158" t="str">
        <f t="shared" si="31"/>
        <v/>
      </c>
      <c r="BO52" s="158" t="str">
        <f t="shared" si="32"/>
        <v/>
      </c>
      <c r="BP52" s="158" t="str">
        <f t="shared" si="33"/>
        <v/>
      </c>
      <c r="BQ52" s="158" t="str">
        <f t="shared" si="53"/>
        <v xml:space="preserve">* [Official site](https://www.fatima.pt/)
</v>
      </c>
      <c r="BR52" s="158" t="str">
        <f t="shared" si="54"/>
        <v>[Link](http://www.therealpresence.org/eucharst/misc/BVM/154_FATIMA_96x96_1.pdf) , [Link](http://www.therealpresence.org/eucharst/misc/BVM/154_FATIMA_140x96_2.pdf), [Link](http://www.therealpresence.org/eucharst/misc/BVM/154_FATIMA_96x96_3.pdf)</v>
      </c>
      <c r="BS52" s="158" t="str">
        <f t="shared" si="55"/>
        <v>[Link](https://www.miraclehunter.com/marian_apparitions/approved_apparitions/fatima/index.html)</v>
      </c>
      <c r="BT52" s="158" t="str">
        <f t="shared" si="56"/>
        <v>[Link](https://www.marypages.com/fatima-(portugal)-1917.html)</v>
      </c>
      <c r="BU52" s="158" t="str">
        <f>IF(LEN(concat(BR52:BT52))&gt;0,concat("|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55" t="str">
        <f t="shared" si="57"/>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55"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55" t="str">
        <f>IF(LEN(N52)&gt;1,concatll("#### Author's Note",N52,"-"&amp;B52),"")</f>
        <v/>
      </c>
      <c r="BY52" s="155" t="s">
        <v>335</v>
      </c>
      <c r="BZ52" s="155" t="s">
        <v>335</v>
      </c>
      <c r="CA52" s="23" t="str">
        <f>IF(AS52,concatll(concatl("---",AT52:AV52,BL52,"---"),M52,BW52:BX52),"")</f>
        <v xml:space="preserve">---_x000D_
title: "Sanctuary of Our Lady of the Rosary of Fatima"_x000D_
location: {lat: 39.6312638, lng: -8.6731571}_x000D_
interest: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23" t="str">
        <f>IF(AS52,"places\"&amp;VLOOKUP(C52,'(Ref) Countries'!A:B,2,)&amp;IF(LEN(D52)&gt;1,"-"&amp;LOWER(SUBSTITUTE(D52," ","-")),"")&amp;"-"&amp;LOWER(SUBSTITUTE(SUBSTITUTE(H52," ","-"),".",""))&amp;".md","")</f>
        <v>places\pt-shrine-of-fatima.md</v>
      </c>
      <c r="CC52" s="38" t="str">
        <f>IF(LEN(Z52)&gt;1,VLOOKUP(Z52,'Tag List'!$A:$B,2,),"")</f>
        <v>Bl. Lucia dos Santos</v>
      </c>
      <c r="CD52" s="38" t="str">
        <f>IF(LEN(AA52)&gt;1,VLOOKUP(AA52,'Tag List'!$A:$B,2,),"")</f>
        <v>Sts. Francisco and Jacinta Marto</v>
      </c>
      <c r="CE52" s="38" t="str">
        <f>IF(LEN(AB52)&gt;1,VLOOKUP(AB52,'Tag List'!$A:$B,2,),"")</f>
        <v/>
      </c>
      <c r="CF52" s="30" t="str">
        <f>IF(LEN(Z52)&gt;1,GetTagPage(CC52,Z52),"")</f>
        <v>[Bl. Lucia dos Santos](/tags/lucia-dos-santos)</v>
      </c>
      <c r="CG52" s="30" t="str">
        <f>IF(LEN(AA52)&gt;1,GetTagPage(CD52,AA52),"")</f>
        <v>[Sts. Francisco and Jacinta Marto](/tags/francisco-and-jacinta-marto)</v>
      </c>
      <c r="CH52" s="30" t="str">
        <f>IF(LEN(AB52)&gt;1,GetTagPage(CE52,AB52),"")</f>
        <v/>
      </c>
      <c r="CI52" s="30" t="str">
        <f t="shared" si="58"/>
        <v xml:space="preserve">| [Bl. Lucia dos Santos](/tags/lucia-dos-santos), [Sts. Francisco and Jacinta Marto](/tags/francisco-and-jacinta-marto) </v>
      </c>
      <c r="CJ52" s="30" t="str">
        <f t="shared" si="59"/>
        <v xml:space="preserve">| [Fatima](/places/places\pt-shrine-of-fatima) </v>
      </c>
      <c r="CK52" s="30" t="str">
        <f>"| "&amp;IF(AS52,GetTagPage(C52,VLOOKUP(C52,'(Ref) Countries'!A:C,3,)),C52)&amp; " "</f>
        <v xml:space="preserve">| [Portugal](/tags/portugal) </v>
      </c>
      <c r="CL52" s="30" t="str">
        <f t="shared" si="60"/>
        <v xml:space="preserve">| 1916 </v>
      </c>
      <c r="CM52" s="30" t="str">
        <f t="shared" si="61"/>
        <v xml:space="preserve">| [Link](/places/places\pt-shrine-of-fatima) </v>
      </c>
      <c r="CN52" s="29" t="str">
        <f t="shared" si="62"/>
        <v xml:space="preserve">
| [Fatima](/places/places\pt-shrine-of-fatima) | [Portugal](/tags/portugal) | 1916 | [Link](/places/places\pt-shrine-of-fatima)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53" spans="1:93" ht="76.5" x14ac:dyDescent="0.25">
      <c r="A53" s="167" t="s">
        <v>1317</v>
      </c>
      <c r="B53" s="24" t="s">
        <v>2481</v>
      </c>
      <c r="C53" s="24" t="s">
        <v>480</v>
      </c>
      <c r="E53" s="15">
        <v>-2.6496097000000001</v>
      </c>
      <c r="F53" s="49">
        <v>29.553281200000001</v>
      </c>
      <c r="G53" s="24" t="s">
        <v>479</v>
      </c>
      <c r="H53" s="53" t="s">
        <v>398</v>
      </c>
      <c r="I53" s="24" t="s">
        <v>1711</v>
      </c>
      <c r="J53" s="40" t="b">
        <v>1</v>
      </c>
      <c r="K53" s="24" t="b">
        <v>1</v>
      </c>
      <c r="M53" s="24" t="s">
        <v>356</v>
      </c>
      <c r="O53" s="15" t="s">
        <v>338</v>
      </c>
      <c r="P53" s="15" t="s">
        <v>335</v>
      </c>
      <c r="Z53" s="36" t="s">
        <v>335</v>
      </c>
      <c r="AA53" s="36"/>
      <c r="AB53" s="36"/>
      <c r="AC53" s="36"/>
      <c r="AD53" s="36"/>
      <c r="AE53" s="36"/>
      <c r="AF53" s="36"/>
      <c r="AG53" s="36"/>
      <c r="AH53" s="36"/>
      <c r="AI53" s="36"/>
      <c r="AJ53" s="85" t="s">
        <v>482</v>
      </c>
      <c r="AK53" s="86">
        <v>1981</v>
      </c>
      <c r="AL53" s="15" t="s">
        <v>328</v>
      </c>
      <c r="AM53" s="15" t="s">
        <v>335</v>
      </c>
      <c r="AN53" s="15" t="s">
        <v>357</v>
      </c>
      <c r="AO53" s="15" t="s">
        <v>335</v>
      </c>
      <c r="AP53" s="15" t="s">
        <v>358</v>
      </c>
      <c r="AQ53" s="49" t="s">
        <v>335</v>
      </c>
      <c r="AS53" s="154" t="b">
        <f t="shared" si="34"/>
        <v>1</v>
      </c>
      <c r="AT53" s="155" t="str">
        <f t="shared" si="35"/>
        <v>title: "Shrine of Our Lady of Kibeho (Mother of the Word)"</v>
      </c>
      <c r="AU53" s="155" t="str">
        <f t="shared" si="36"/>
        <v>location: {lat: -2.6496097, lng: 29.5532812}</v>
      </c>
      <c r="AV53" s="155" t="str">
        <f t="shared" si="37"/>
        <v>interest: global</v>
      </c>
      <c r="AW53" s="155" t="str">
        <f>"- "&amp;VLOOKUP(C53,'(Ref) Countries'!A:C,3,)</f>
        <v>- rwanda</v>
      </c>
      <c r="AX53" s="155" t="str">
        <f t="shared" si="38"/>
        <v/>
      </c>
      <c r="AY53" s="155" t="str">
        <f t="shared" si="39"/>
        <v>- churches</v>
      </c>
      <c r="AZ53" s="155" t="str">
        <f t="shared" si="40"/>
        <v>- marian-sites</v>
      </c>
      <c r="BA53" s="155" t="str">
        <f t="shared" si="41"/>
        <v/>
      </c>
      <c r="BB53" s="155" t="str">
        <f t="shared" si="42"/>
        <v/>
      </c>
      <c r="BC53" s="155" t="str">
        <f t="shared" si="43"/>
        <v/>
      </c>
      <c r="BD53" s="155" t="str">
        <f t="shared" si="44"/>
        <v/>
      </c>
      <c r="BE53" s="155" t="str">
        <f t="shared" si="45"/>
        <v/>
      </c>
      <c r="BF53" s="155" t="str">
        <f t="shared" si="46"/>
        <v/>
      </c>
      <c r="BG53" s="155" t="str">
        <f t="shared" si="47"/>
        <v/>
      </c>
      <c r="BH53" s="155" t="str">
        <f t="shared" si="48"/>
        <v/>
      </c>
      <c r="BI53" s="155" t="str">
        <f t="shared" si="49"/>
        <v/>
      </c>
      <c r="BJ53" s="155" t="str">
        <f t="shared" si="50"/>
        <v/>
      </c>
      <c r="BK53" s="155" t="str">
        <f t="shared" si="51"/>
        <v/>
      </c>
      <c r="BL53" s="155" t="str">
        <f t="shared" si="52"/>
        <v xml:space="preserve">tags:
- rwanda_x000D_
- churches_x000D_
- marian-sites_x000D_
</v>
      </c>
      <c r="BM53" s="158" t="str">
        <f t="shared" si="30"/>
        <v>[Official site](https://kibeho-sanctuary.com/)</v>
      </c>
      <c r="BN53" s="158" t="str">
        <f t="shared" si="31"/>
        <v/>
      </c>
      <c r="BO53" s="158" t="str">
        <f t="shared" si="32"/>
        <v/>
      </c>
      <c r="BP53" s="158" t="str">
        <f t="shared" si="33"/>
        <v/>
      </c>
      <c r="BQ53" s="158" t="str">
        <f t="shared" si="53"/>
        <v xml:space="preserve">* [Official site](https://kibeho-sanctuary.com/)
</v>
      </c>
      <c r="BR53" s="158" t="str">
        <f t="shared" si="54"/>
        <v>[Link](http://www.therealpresence.org/eucharst/misc/BVM/20_KIBEHO_96x96.pdf)</v>
      </c>
      <c r="BS53" s="158" t="str">
        <f t="shared" si="55"/>
        <v>[Link](https://www.miraclehunter.com/marian_apparitions/approved_apparitions/kibeho_rwanda/index.html)</v>
      </c>
      <c r="BT53" s="158" t="str">
        <f t="shared" si="56"/>
        <v>[Link](https://www.marypages.com/kibeho-(rwanda)-en.html)</v>
      </c>
      <c r="BU53" s="158" t="str">
        <f>IF(LEN(concat(BR53:BT53))&gt;0,concat("| ",BR53," | ",BS53," | ",BT53," |"),"")</f>
        <v>| [Link](http://www.therealpresence.org/eucharst/misc/BVM/20_KIBEHO_96x96.pdf) | [Link](https://www.miraclehunter.com/marian_apparitions/approved_apparitions/kibeho_rwanda/index.html) | [Link](https://www.marypages.com/kibeho-(rwanda)-en.html) |</v>
      </c>
      <c r="BV53" s="155" t="str">
        <f t="shared" si="57"/>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55"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55" t="str">
        <f>IF(LEN(N53)&gt;1,concatll("#### Author's Note",N53,"-"&amp;B53),"")</f>
        <v/>
      </c>
      <c r="BY53" s="155" t="s">
        <v>335</v>
      </c>
      <c r="BZ53" s="155" t="s">
        <v>335</v>
      </c>
      <c r="CA53" s="23" t="str">
        <f>IF(AS53,concatll(concatl("---",AT53:AV53,BL53,"---"),M53,BW53:BX53),"")</f>
        <v xml:space="preserve">---_x000D_
title: "Shrine of Our Lady of Kibeho (Mother of the Word)"_x000D_
location: {lat: -2.6496097, lng: 29.5532812}_x000D_
interest: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23" t="str">
        <f>IF(AS53,"places\"&amp;VLOOKUP(C53,'(Ref) Countries'!A:B,2,)&amp;IF(LEN(D53)&gt;1,"-"&amp;LOWER(SUBSTITUTE(D53," ","-")),"")&amp;"-"&amp;LOWER(SUBSTITUTE(SUBSTITUTE(H53," ","-"),".",""))&amp;".md","")</f>
        <v>places\rw-shrine-of-our-lady-of-kibeho.md</v>
      </c>
      <c r="CC53" s="38" t="str">
        <f>IF(LEN(Z53)&gt;1,VLOOKUP(Z53,'Tag List'!$A:$B,2,),"")</f>
        <v/>
      </c>
      <c r="CD53" s="38" t="str">
        <f>IF(LEN(AA53)&gt;1,VLOOKUP(AA53,'Tag List'!$A:$B,2,),"")</f>
        <v/>
      </c>
      <c r="CE53" s="38" t="str">
        <f>IF(LEN(AB53)&gt;1,VLOOKUP(AB53,'Tag List'!$A:$B,2,),"")</f>
        <v/>
      </c>
      <c r="CF53" s="30" t="str">
        <f>IF(LEN(Z53)&gt;1,GetTagPage(CC53,Z53),"")</f>
        <v/>
      </c>
      <c r="CG53" s="30" t="str">
        <f>IF(LEN(AA53)&gt;1,GetTagPage(CD53,AA53),"")</f>
        <v/>
      </c>
      <c r="CH53" s="30" t="str">
        <f>IF(LEN(AB53)&gt;1,GetTagPage(CE53,AB53),"")</f>
        <v/>
      </c>
      <c r="CI53" s="30" t="str">
        <f t="shared" si="58"/>
        <v xml:space="preserve">| </v>
      </c>
      <c r="CJ53" s="30" t="str">
        <f t="shared" si="59"/>
        <v xml:space="preserve">| [Kibeho](/places/places\rw-shrine-of-our-lady-of-kibeho) </v>
      </c>
      <c r="CK53" s="30" t="str">
        <f>"| "&amp;IF(AS53,GetTagPage(C53,VLOOKUP(C53,'(Ref) Countries'!A:C,3,)),C53)&amp; " "</f>
        <v xml:space="preserve">| [Rwanda](/tags/rwanda) </v>
      </c>
      <c r="CL53" s="30" t="str">
        <f t="shared" si="60"/>
        <v xml:space="preserve">| 1981 </v>
      </c>
      <c r="CM53" s="30" t="str">
        <f t="shared" si="61"/>
        <v xml:space="preserve">| [Link](/places/places\rw-shrine-of-our-lady-of-kibeho) </v>
      </c>
      <c r="CN53" s="29" t="str">
        <f t="shared" si="62"/>
        <v xml:space="preserve">
| [Kibeho](/places/places\rw-shrine-of-our-lady-of-kibeho) | [Rwanda](/tags/rwanda)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3" ht="63.75" x14ac:dyDescent="0.25">
      <c r="A54" s="167" t="s">
        <v>1317</v>
      </c>
      <c r="B54" s="24" t="s">
        <v>2481</v>
      </c>
      <c r="C54" s="24" t="s">
        <v>659</v>
      </c>
      <c r="E54" s="15">
        <v>45.592976471079801</v>
      </c>
      <c r="F54" s="49">
        <v>19.1905119128275</v>
      </c>
      <c r="G54" s="41" t="s">
        <v>1383</v>
      </c>
      <c r="H54" s="56" t="s">
        <v>1384</v>
      </c>
      <c r="I54" s="41" t="s">
        <v>1711</v>
      </c>
      <c r="J54" s="40" t="b">
        <v>1</v>
      </c>
      <c r="K54" s="24" t="b">
        <v>1</v>
      </c>
      <c r="M54" s="24" t="s">
        <v>1385</v>
      </c>
      <c r="N54" s="177" t="s">
        <v>2511</v>
      </c>
      <c r="O54" s="15" t="s">
        <v>1386</v>
      </c>
      <c r="P54" s="114" t="s">
        <v>335</v>
      </c>
      <c r="Q54" s="82" t="s">
        <v>1791</v>
      </c>
      <c r="R54" s="34" t="s">
        <v>1790</v>
      </c>
      <c r="S54" s="115" t="s">
        <v>335</v>
      </c>
      <c r="T54" s="61"/>
      <c r="U54" s="34"/>
      <c r="V54" s="65"/>
      <c r="W54" s="34"/>
      <c r="X54" s="34"/>
      <c r="Y54" s="98"/>
      <c r="Z54" s="15" t="s">
        <v>335</v>
      </c>
      <c r="AJ54" s="85" t="s">
        <v>1251</v>
      </c>
      <c r="AK54" s="86">
        <v>1603</v>
      </c>
      <c r="AL54" s="15" t="s">
        <v>258</v>
      </c>
      <c r="AM54" s="15" t="s">
        <v>335</v>
      </c>
      <c r="AN54" s="15" t="s">
        <v>1356</v>
      </c>
      <c r="AO54" s="42" t="s">
        <v>1382</v>
      </c>
      <c r="AP54" s="15" t="s">
        <v>335</v>
      </c>
      <c r="AQ54" s="49" t="s">
        <v>335</v>
      </c>
      <c r="AS54" s="154" t="b">
        <f t="shared" si="34"/>
        <v>1</v>
      </c>
      <c r="AT54" s="155" t="str">
        <f t="shared" si="35"/>
        <v>title: "Diocesan Shrine of Mary, Help of Christians"</v>
      </c>
      <c r="AU54" s="155" t="str">
        <f t="shared" si="36"/>
        <v>location: {lat: 45.5929764710798, lng: 19.1905119128275}</v>
      </c>
      <c r="AV54" s="155" t="str">
        <f t="shared" si="37"/>
        <v>interest: global</v>
      </c>
      <c r="AW54" s="155" t="str">
        <f>"- "&amp;VLOOKUP(C54,'(Ref) Countries'!A:C,3,)</f>
        <v>- serbia</v>
      </c>
      <c r="AX54" s="155" t="str">
        <f t="shared" si="38"/>
        <v/>
      </c>
      <c r="AY54" s="155" t="str">
        <f t="shared" si="39"/>
        <v>- churches</v>
      </c>
      <c r="AZ54" s="155" t="str">
        <f t="shared" si="40"/>
        <v>- marian-sites</v>
      </c>
      <c r="BA54" s="155" t="str">
        <f t="shared" si="41"/>
        <v/>
      </c>
      <c r="BB54" s="155" t="str">
        <f t="shared" si="42"/>
        <v/>
      </c>
      <c r="BC54" s="155" t="str">
        <f t="shared" si="43"/>
        <v/>
      </c>
      <c r="BD54" s="155" t="str">
        <f t="shared" si="44"/>
        <v/>
      </c>
      <c r="BE54" s="155" t="str">
        <f t="shared" si="45"/>
        <v/>
      </c>
      <c r="BF54" s="155" t="str">
        <f t="shared" si="46"/>
        <v/>
      </c>
      <c r="BG54" s="155" t="str">
        <f t="shared" si="47"/>
        <v/>
      </c>
      <c r="BH54" s="155" t="str">
        <f t="shared" si="48"/>
        <v/>
      </c>
      <c r="BI54" s="155" t="str">
        <f t="shared" si="49"/>
        <v/>
      </c>
      <c r="BJ54" s="155" t="str">
        <f t="shared" si="50"/>
        <v/>
      </c>
      <c r="BK54" s="155" t="str">
        <f t="shared" si="51"/>
        <v/>
      </c>
      <c r="BL54" s="155" t="str">
        <f t="shared" si="52"/>
        <v xml:space="preserve">tags:
- serbia_x000D_
- churches_x000D_
- marian-sites_x000D_
</v>
      </c>
      <c r="BM54" s="158" t="str">
        <f t="shared" si="30"/>
        <v>[Official site](https://szentkut.eu/)</v>
      </c>
      <c r="BN54" s="158" t="str">
        <f t="shared" si="31"/>
        <v>[Additional site](https://doroszlo.net/)</v>
      </c>
      <c r="BO54" s="158" t="str">
        <f t="shared" si="32"/>
        <v/>
      </c>
      <c r="BP54" s="158" t="str">
        <f t="shared" si="33"/>
        <v/>
      </c>
      <c r="BQ54" s="158" t="str">
        <f t="shared" si="53"/>
        <v xml:space="preserve">* [Official site](https://szentkut.eu/)
* [Additional site](https://doroszlo.net/)
</v>
      </c>
      <c r="BR54" s="158" t="str">
        <f t="shared" si="54"/>
        <v>[Link](http://www.therealpresence.org/eucharst/misc/BVM/104_DOROSZLO_60x96.pdf)</v>
      </c>
      <c r="BS54" s="158" t="str">
        <f t="shared" si="55"/>
        <v>[Link](https://www.miraclehunter.com/marian_apparitions/approved_apparitions/apparitions_1700-1799.html) (Search "Doroszlo")</v>
      </c>
      <c r="BT54" s="158" t="str">
        <f t="shared" si="56"/>
        <v/>
      </c>
      <c r="BU54" s="158" t="str">
        <f>IF(LEN(concat(BR54:BT54))&gt;0,concat("| ",BR54," | ",BS54," | ",BT54," |"),"")</f>
        <v>| [Link](http://www.therealpresence.org/eucharst/misc/BVM/104_DOROSZLO_60x96.pdf) | [Link](https://www.miraclehunter.com/marian_apparitions/approved_apparitions/apparitions_1700-1799.html) (Search "Doroszlo") |  |</v>
      </c>
      <c r="BV54" s="155" t="str">
        <f t="shared" si="57"/>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55"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55"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55" t="s">
        <v>335</v>
      </c>
      <c r="BZ54" s="155" t="s">
        <v>335</v>
      </c>
      <c r="CA54" s="23" t="str">
        <f>IF(AS54,concatll(concatl("---",AT54:AV54,BL54,"---"),M54,BW54:BX54),"")</f>
        <v xml:space="preserve">---_x000D_
title: "Diocesan Shrine of Mary, Help of Christians"_x000D_
location: {lat: 45.5929764710798, lng: 19.1905119128275}_x000D_
interest: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23" t="str">
        <f>IF(AS54,"places\"&amp;VLOOKUP(C54,'(Ref) Countries'!A:B,2,)&amp;IF(LEN(D54)&gt;1,"-"&amp;LOWER(SUBSTITUTE(D54," ","-")),"")&amp;"-"&amp;LOWER(SUBSTITUTE(SUBSTITUTE(H54," ","-"),".",""))&amp;".md","")</f>
        <v>places\rs-shrine-of-mary-help-of-christians.md</v>
      </c>
      <c r="CC54" s="29" t="str">
        <f>IF(LEN(Z54)&gt;1,VLOOKUP(Z54,'Tag List'!$A:$B,2,),"")</f>
        <v/>
      </c>
      <c r="CD54" s="29" t="str">
        <f>IF(LEN(AA54)&gt;1,VLOOKUP(AA54,'Tag List'!$A:$B,2,),"")</f>
        <v/>
      </c>
      <c r="CE54" s="29" t="str">
        <f>IF(LEN(AB54)&gt;1,VLOOKUP(AB54,'Tag List'!$A:$B,2,),"")</f>
        <v/>
      </c>
      <c r="CF54" s="30" t="str">
        <f>IF(LEN(Z54)&gt;1,GetTagPage(CC54,Z54),"")</f>
        <v/>
      </c>
      <c r="CG54" s="30" t="str">
        <f>IF(LEN(AA54)&gt;1,GetTagPage(CD54,AA54),"")</f>
        <v/>
      </c>
      <c r="CH54" s="30" t="str">
        <f>IF(LEN(AB54)&gt;1,GetTagPage(CE54,AB54),"")</f>
        <v/>
      </c>
      <c r="CI54" s="30" t="str">
        <f t="shared" si="58"/>
        <v xml:space="preserve">| </v>
      </c>
      <c r="CJ54" s="30" t="str">
        <f t="shared" si="59"/>
        <v xml:space="preserve">| [Doroszló](/places/places\rs-shrine-of-mary-help-of-christians) </v>
      </c>
      <c r="CK54" s="30" t="str">
        <f>"| "&amp;IF(AS54,GetTagPage(C54,VLOOKUP(C54,'(Ref) Countries'!A:C,3,)),C54)&amp; " "</f>
        <v xml:space="preserve">| [Serbia](/tags/serbia) </v>
      </c>
      <c r="CL54" s="30" t="str">
        <f t="shared" si="60"/>
        <v xml:space="preserve">| 1603 </v>
      </c>
      <c r="CM54" s="30" t="str">
        <f t="shared" si="61"/>
        <v xml:space="preserve">| [Link](/places/places\rs-shrine-of-mary-help-of-christians) </v>
      </c>
      <c r="CN54" s="29" t="str">
        <f t="shared" si="62"/>
        <v xml:space="preserve">
| [Doroszló](/places/places\rs-shrine-of-mary-help-of-christians) | [Serbia](/tags/serbia) | 1603 | [Link](/places/places\rs-shrine-of-mary-help-of-christians) [Official site](https://szentkut.eu/)[Link](http://www.therealpresence.org/eucharst/misc/BVM/104_DOROSZLO_60x96.pdf)[Link](https://www.miraclehunter.com/marian_apparitions/approved_apparitions/apparitions_1700-1799.html) (Search "Doroszlo")| |</v>
      </c>
    </row>
    <row r="55" spans="1:93" ht="63.75" x14ac:dyDescent="0.25">
      <c r="A55" s="167" t="s">
        <v>1317</v>
      </c>
      <c r="B55" s="24" t="s">
        <v>2481</v>
      </c>
      <c r="C55" s="24" t="s">
        <v>667</v>
      </c>
      <c r="E55" s="15">
        <v>45.998943044455899</v>
      </c>
      <c r="F55" s="49">
        <v>13.6553373449013</v>
      </c>
      <c r="G55" s="41" t="s">
        <v>1377</v>
      </c>
      <c r="H55" s="53" t="s">
        <v>1377</v>
      </c>
      <c r="I55" s="24" t="s">
        <v>1711</v>
      </c>
      <c r="J55" s="40" t="b">
        <v>1</v>
      </c>
      <c r="K55" s="24" t="b">
        <v>1</v>
      </c>
      <c r="M55" s="41" t="s">
        <v>1379</v>
      </c>
      <c r="O55" s="15" t="s">
        <v>1378</v>
      </c>
      <c r="P55" s="15" t="s">
        <v>335</v>
      </c>
      <c r="Z55" s="15" t="s">
        <v>335</v>
      </c>
      <c r="AJ55" s="85" t="s">
        <v>1231</v>
      </c>
      <c r="AK55" s="86">
        <v>1539</v>
      </c>
      <c r="AL55" s="15" t="s">
        <v>238</v>
      </c>
      <c r="AM55" s="15" t="s">
        <v>335</v>
      </c>
      <c r="AN55" s="15" t="s">
        <v>1380</v>
      </c>
      <c r="AO55" s="42" t="s">
        <v>1381</v>
      </c>
      <c r="AP55" s="15" t="s">
        <v>335</v>
      </c>
      <c r="AQ55" s="49" t="s">
        <v>335</v>
      </c>
      <c r="AS55" s="154" t="b">
        <f t="shared" si="34"/>
        <v>1</v>
      </c>
      <c r="AT55" s="155" t="str">
        <f t="shared" si="35"/>
        <v>title: "Basilica of the Holy Mother of God"</v>
      </c>
      <c r="AU55" s="155" t="str">
        <f t="shared" si="36"/>
        <v>location: {lat: 45.9989430444559, lng: 13.6553373449013}</v>
      </c>
      <c r="AV55" s="155" t="str">
        <f t="shared" si="37"/>
        <v>interest: global</v>
      </c>
      <c r="AW55" s="155" t="str">
        <f>"- "&amp;VLOOKUP(C55,'(Ref) Countries'!A:C,3,)</f>
        <v>- slovenia</v>
      </c>
      <c r="AX55" s="155" t="str">
        <f t="shared" si="38"/>
        <v/>
      </c>
      <c r="AY55" s="155" t="str">
        <f t="shared" si="39"/>
        <v>- churches</v>
      </c>
      <c r="AZ55" s="155" t="str">
        <f t="shared" si="40"/>
        <v>- marian-sites</v>
      </c>
      <c r="BA55" s="155" t="str">
        <f t="shared" si="41"/>
        <v/>
      </c>
      <c r="BB55" s="155" t="str">
        <f t="shared" si="42"/>
        <v/>
      </c>
      <c r="BC55" s="155" t="str">
        <f t="shared" si="43"/>
        <v/>
      </c>
      <c r="BD55" s="155" t="str">
        <f t="shared" si="44"/>
        <v/>
      </c>
      <c r="BE55" s="155" t="str">
        <f t="shared" si="45"/>
        <v/>
      </c>
      <c r="BF55" s="155" t="str">
        <f t="shared" si="46"/>
        <v/>
      </c>
      <c r="BG55" s="155" t="str">
        <f t="shared" si="47"/>
        <v/>
      </c>
      <c r="BH55" s="155" t="str">
        <f t="shared" si="48"/>
        <v/>
      </c>
      <c r="BI55" s="155" t="str">
        <f t="shared" si="49"/>
        <v/>
      </c>
      <c r="BJ55" s="155" t="str">
        <f t="shared" si="50"/>
        <v/>
      </c>
      <c r="BK55" s="155" t="str">
        <f t="shared" si="51"/>
        <v/>
      </c>
      <c r="BL55" s="155" t="str">
        <f t="shared" si="52"/>
        <v xml:space="preserve">tags:
- slovenia_x000D_
- churches_x000D_
- marian-sites_x000D_
</v>
      </c>
      <c r="BM55" s="158" t="str">
        <f t="shared" si="30"/>
        <v>[Official site](https://svetagora.si/)</v>
      </c>
      <c r="BN55" s="158" t="str">
        <f t="shared" si="31"/>
        <v/>
      </c>
      <c r="BO55" s="158" t="str">
        <f t="shared" si="32"/>
        <v/>
      </c>
      <c r="BP55" s="158" t="str">
        <f t="shared" si="33"/>
        <v/>
      </c>
      <c r="BQ55" s="158" t="str">
        <f t="shared" si="53"/>
        <v xml:space="preserve">* [Official site](https://svetagora.si/)
</v>
      </c>
      <c r="BR55" s="158" t="str">
        <f t="shared" si="54"/>
        <v>[Link](http://www.therealpresence.org/eucharst/misc/BVM/137_SVETA_GORA_60x96.pdf)</v>
      </c>
      <c r="BS55" s="158" t="str">
        <f t="shared" si="55"/>
        <v>[Link](https://www.miraclehunter.com/marian_apparitions/approved_apparitions/apparitions_1500-1599.html) (Search "Sveta Gora")</v>
      </c>
      <c r="BT55" s="158" t="str">
        <f t="shared" si="56"/>
        <v/>
      </c>
      <c r="BU55" s="158" t="str">
        <f>IF(LEN(concat(BR55:BT55))&gt;0,concat("| ",BR55," | ",BS55," | ",BT55," |"),"")</f>
        <v>| [Link](http://www.therealpresence.org/eucharst/misc/BVM/137_SVETA_GORA_60x96.pdf) | [Link](https://www.miraclehunter.com/marian_apparitions/approved_apparitions/apparitions_1500-1599.html) (Search "Sveta Gora") |  |</v>
      </c>
      <c r="BV55" s="155" t="str">
        <f t="shared" si="57"/>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55"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55" t="str">
        <f>IF(LEN(N55)&gt;1,concatll("#### Author's Note",N55,"-"&amp;B55),"")</f>
        <v/>
      </c>
      <c r="BY55" s="155" t="s">
        <v>335</v>
      </c>
      <c r="BZ55" s="155" t="s">
        <v>335</v>
      </c>
      <c r="CA55" s="23" t="str">
        <f>IF(AS55,concatll(concatl("---",AT55:AV55,BL55,"---"),M55,BW55:BX55),"")</f>
        <v xml:space="preserve">---_x000D_
title: "Basilica of the Holy Mother of God"_x000D_
location: {lat: 45.9989430444559, lng: 13.6553373449013}_x000D_
interest: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23" t="str">
        <f>IF(AS55,"places\"&amp;VLOOKUP(C55,'(Ref) Countries'!A:B,2,)&amp;IF(LEN(D55)&gt;1,"-"&amp;LOWER(SUBSTITUTE(D55," ","-")),"")&amp;"-"&amp;LOWER(SUBSTITUTE(SUBSTITUTE(H55," ","-"),".",""))&amp;".md","")</f>
        <v>places\si-basilica-of-the-holy-mother-of-god.md</v>
      </c>
      <c r="CC55" s="29" t="str">
        <f>IF(LEN(Z55)&gt;1,VLOOKUP(Z55,'Tag List'!$A:$B,2,),"")</f>
        <v/>
      </c>
      <c r="CD55" s="29" t="str">
        <f>IF(LEN(AA55)&gt;1,VLOOKUP(AA55,'Tag List'!$A:$B,2,),"")</f>
        <v/>
      </c>
      <c r="CE55" s="29" t="str">
        <f>IF(LEN(AB55)&gt;1,VLOOKUP(AB55,'Tag List'!$A:$B,2,),"")</f>
        <v/>
      </c>
      <c r="CF55" s="30" t="str">
        <f>IF(LEN(Z55)&gt;1,GetTagPage(CC55,Z55),"")</f>
        <v/>
      </c>
      <c r="CG55" s="30" t="str">
        <f>IF(LEN(AA55)&gt;1,GetTagPage(CD55,AA55),"")</f>
        <v/>
      </c>
      <c r="CH55" s="30" t="str">
        <f>IF(LEN(AB55)&gt;1,GetTagPage(CE55,AB55),"")</f>
        <v/>
      </c>
      <c r="CI55" s="30" t="str">
        <f t="shared" si="58"/>
        <v xml:space="preserve">| </v>
      </c>
      <c r="CJ55" s="30" t="str">
        <f t="shared" si="59"/>
        <v xml:space="preserve">| [Sveta Gora](/places/places\si-basilica-of-the-holy-mother-of-god) </v>
      </c>
      <c r="CK55" s="30" t="str">
        <f>"| "&amp;IF(AS55,GetTagPage(C55,VLOOKUP(C55,'(Ref) Countries'!A:C,3,)),C55)&amp; " "</f>
        <v xml:space="preserve">| [Slovenia](/tags/slovenia) </v>
      </c>
      <c r="CL55" s="30" t="str">
        <f t="shared" si="60"/>
        <v xml:space="preserve">| 1539 </v>
      </c>
      <c r="CM55" s="30" t="str">
        <f t="shared" si="61"/>
        <v xml:space="preserve">| [Link](/places/places\si-basilica-of-the-holy-mother-of-god) </v>
      </c>
      <c r="CN55" s="29" t="str">
        <f t="shared" si="62"/>
        <v xml:space="preserve">
| [Sveta Gora](/places/places\si-basilica-of-the-holy-mother-of-god) | [Slovenia](/tags/slovenia)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3" ht="76.5" x14ac:dyDescent="0.25">
      <c r="A56" s="167" t="s">
        <v>1317</v>
      </c>
      <c r="B56" s="24" t="s">
        <v>2481</v>
      </c>
      <c r="C56" s="24" t="s">
        <v>550</v>
      </c>
      <c r="D56" s="124" t="s">
        <v>1033</v>
      </c>
      <c r="E56" s="15">
        <v>41.656656769330702</v>
      </c>
      <c r="F56" s="49">
        <v>-0.87824062054636098</v>
      </c>
      <c r="G56" s="24" t="s">
        <v>1028</v>
      </c>
      <c r="H56" s="53" t="s">
        <v>1029</v>
      </c>
      <c r="I56" s="40" t="s">
        <v>1711</v>
      </c>
      <c r="J56" s="40" t="b">
        <v>1</v>
      </c>
      <c r="K56" s="24" t="b">
        <v>1</v>
      </c>
      <c r="L56" s="24" t="b">
        <v>1</v>
      </c>
      <c r="M56" s="47" t="s">
        <v>1787</v>
      </c>
      <c r="N56" s="177" t="s">
        <v>2512</v>
      </c>
      <c r="O56" s="16" t="s">
        <v>1030</v>
      </c>
      <c r="P56" s="16" t="s">
        <v>335</v>
      </c>
      <c r="Q56" s="80"/>
      <c r="R56" s="79"/>
      <c r="S56" s="81"/>
      <c r="T56" s="59"/>
      <c r="U56" s="16"/>
      <c r="V56" s="63"/>
      <c r="W56" s="16"/>
      <c r="X56" s="16"/>
      <c r="Y56" s="50"/>
      <c r="Z56" s="173" t="s">
        <v>2530</v>
      </c>
      <c r="AA56" s="128" t="s">
        <v>2421</v>
      </c>
      <c r="AB56" s="26"/>
      <c r="AC56" s="26"/>
      <c r="AD56" s="26"/>
      <c r="AE56" s="26"/>
      <c r="AF56" s="26"/>
      <c r="AG56" s="26"/>
      <c r="AH56" s="26"/>
      <c r="AI56" s="26"/>
      <c r="AJ56" s="85" t="s">
        <v>1033</v>
      </c>
      <c r="AK56" s="86">
        <v>40</v>
      </c>
      <c r="AL56" s="15" t="s">
        <v>178</v>
      </c>
      <c r="AM56" s="15" t="s">
        <v>335</v>
      </c>
      <c r="AN56" s="15" t="s">
        <v>91</v>
      </c>
      <c r="AO56" s="15" t="s">
        <v>335</v>
      </c>
      <c r="AP56" s="15" t="s">
        <v>1031</v>
      </c>
      <c r="AQ56" s="49" t="s">
        <v>335</v>
      </c>
      <c r="AR56" s="161"/>
      <c r="AS56" s="154" t="b">
        <f t="shared" si="34"/>
        <v>1</v>
      </c>
      <c r="AT56" s="155" t="str">
        <f t="shared" si="35"/>
        <v>title: "Cathedral-Basilica of Our Lady of the Pillar"</v>
      </c>
      <c r="AU56" s="155" t="str">
        <f t="shared" si="36"/>
        <v>location: {lat: 41.6566567693307, lng: -0.878240620546361}</v>
      </c>
      <c r="AV56" s="155" t="str">
        <f t="shared" si="37"/>
        <v>interest: global</v>
      </c>
      <c r="AW56" s="155" t="str">
        <f>"- "&amp;VLOOKUP(C56,'(Ref) Countries'!A:C,3,)</f>
        <v>- spain</v>
      </c>
      <c r="AX56" s="155" t="str">
        <f t="shared" si="38"/>
        <v>- zaragoza</v>
      </c>
      <c r="AY56" s="155" t="str">
        <f t="shared" si="39"/>
        <v>- churches</v>
      </c>
      <c r="AZ56" s="155" t="str">
        <f t="shared" si="40"/>
        <v>- marian-sites</v>
      </c>
      <c r="BA56" s="155" t="str">
        <f t="shared" si="41"/>
        <v>- holy-persons</v>
      </c>
      <c r="BB56" s="155" t="str">
        <f t="shared" si="42"/>
        <v>- james-great</v>
      </c>
      <c r="BC56" s="155" t="str">
        <f t="shared" si="43"/>
        <v>- apostles</v>
      </c>
      <c r="BD56" s="155" t="str">
        <f t="shared" si="44"/>
        <v/>
      </c>
      <c r="BE56" s="155" t="str">
        <f t="shared" si="45"/>
        <v/>
      </c>
      <c r="BF56" s="155" t="str">
        <f t="shared" si="46"/>
        <v/>
      </c>
      <c r="BG56" s="155" t="str">
        <f t="shared" si="47"/>
        <v/>
      </c>
      <c r="BH56" s="155" t="str">
        <f t="shared" si="48"/>
        <v/>
      </c>
      <c r="BI56" s="155" t="str">
        <f t="shared" si="49"/>
        <v/>
      </c>
      <c r="BJ56" s="155" t="str">
        <f t="shared" si="50"/>
        <v/>
      </c>
      <c r="BK56" s="155" t="str">
        <f t="shared" si="51"/>
        <v/>
      </c>
      <c r="BL56" s="155" t="str">
        <f t="shared" si="52"/>
        <v xml:space="preserve">tags:
- spain_x000D_
- zaragoza_x000D_
- churches_x000D_
- marian-sites_x000D_
- holy-persons_x000D_
- james-great_x000D_
- apostles_x000D_
</v>
      </c>
      <c r="BM56" s="158" t="str">
        <f t="shared" si="30"/>
        <v>[Official site](https://catedraldezaragoza.es/basilica/)</v>
      </c>
      <c r="BN56" s="158" t="str">
        <f t="shared" si="31"/>
        <v/>
      </c>
      <c r="BO56" s="158" t="str">
        <f t="shared" si="32"/>
        <v/>
      </c>
      <c r="BP56" s="158" t="str">
        <f t="shared" si="33"/>
        <v/>
      </c>
      <c r="BQ56" s="158" t="str">
        <f t="shared" si="53"/>
        <v xml:space="preserve">* [Official site](https://catedraldezaragoza.es/basilica/)
</v>
      </c>
      <c r="BR56" s="158" t="str">
        <f t="shared" si="54"/>
        <v>[Link](http://www.therealpresence.org/eucharst/misc/BVM/09_ZARAGOZA_60x96.pdf)</v>
      </c>
      <c r="BS56" s="158" t="str">
        <f t="shared" si="55"/>
        <v>[Link](https://www.miraclehunter.com/marian_apparitions/approved_apparitions/zaragoza/index.html)</v>
      </c>
      <c r="BT56" s="158" t="str">
        <f t="shared" si="56"/>
        <v>[Link](https://www.marypages.com/our-lady-of-the-pillar.html)</v>
      </c>
      <c r="BU56" s="158" t="str">
        <f>IF(LEN(concat(BR56:BT56))&gt;0,concat("| ",BR56," | ",BS56," | ",BT56," |"),"")</f>
        <v>| [Link](http://www.therealpresence.org/eucharst/misc/BVM/09_ZARAGOZA_60x96.pdf) | [Link](https://www.miraclehunter.com/marian_apparitions/approved_apparitions/zaragoza/index.html) | [Link](https://www.marypages.com/our-lady-of-the-pillar.html) |</v>
      </c>
      <c r="BV56" s="155" t="str">
        <f t="shared" si="57"/>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55"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55"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55" t="s">
        <v>335</v>
      </c>
      <c r="BZ56" s="155" t="s">
        <v>335</v>
      </c>
      <c r="CA56" s="23" t="str">
        <f>IF(AS56,concatll(concatl("---",AT56:AV56,BL56,"---"),M56,BW56:BX56),"")</f>
        <v xml:space="preserve">---_x000D_
title: "Cathedral-Basilica of Our Lady of the Pillar"_x000D_
location: {lat: 41.6566567693307, lng: -0.878240620546361}_x000D_
interest: global_x000D_
tags:
- spain_x000D_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23" t="str">
        <f>IF(AS56,"places\"&amp;VLOOKUP(C56,'(Ref) Countries'!A:B,2,)&amp;IF(LEN(D56)&gt;1,"-"&amp;LOWER(SUBSTITUTE(D56," ","-")),"")&amp;"-"&amp;LOWER(SUBSTITUTE(SUBSTITUTE(H56," ","-"),".",""))&amp;".md","")</f>
        <v>places\es-zaragoza-cathedral-basilica-of-our-lady-of-the-pillar.md</v>
      </c>
      <c r="CC56" s="30" t="e">
        <f>IF(LEN(Z56)&gt;1,VLOOKUP(Z56,'Tag List'!$A:$B,2,),"")</f>
        <v>#N/A</v>
      </c>
      <c r="CD56" s="30" t="str">
        <f>IF(LEN(AA56)&gt;1,VLOOKUP(AA56,'Tag List'!$A:$B,2,),"")</f>
        <v>Sites Related to the Twelve Apostles</v>
      </c>
      <c r="CE56" s="30" t="str">
        <f>IF(LEN(AB56)&gt;1,VLOOKUP(AB56,'Tag List'!$A:$B,2,),"")</f>
        <v/>
      </c>
      <c r="CF56" s="30" t="e">
        <f>IF(LEN(Z56)&gt;1,GetTagPage(CC56,Z56),"")</f>
        <v>#VALUE!</v>
      </c>
      <c r="CG56" s="30" t="str">
        <f>IF(LEN(AA56)&gt;1,GetTagPage(CD56,AA56),"")</f>
        <v>[Sites Related to the Twelve Apostles](/tags/apostles)</v>
      </c>
      <c r="CH56" s="30" t="str">
        <f>IF(LEN(AB56)&gt;1,GetTagPage(CE56,AB56),"")</f>
        <v/>
      </c>
      <c r="CI56" s="30" t="e">
        <f t="shared" si="58"/>
        <v>#VALUE!</v>
      </c>
      <c r="CJ56" s="30" t="str">
        <f t="shared" si="59"/>
        <v xml:space="preserve">| [Zaragoza](/places/places\es-zaragoza-cathedral-basilica-of-our-lady-of-the-pillar) </v>
      </c>
      <c r="CK56" s="30" t="str">
        <f>"| "&amp;IF(AS56,GetTagPage(C56,VLOOKUP(C56,'(Ref) Countries'!A:C,3,)),C56)&amp; " "</f>
        <v xml:space="preserve">| [Spain](/tags/spain) </v>
      </c>
      <c r="CL56" s="30" t="str">
        <f t="shared" si="60"/>
        <v xml:space="preserve">| 40 </v>
      </c>
      <c r="CM56" s="30" t="str">
        <f t="shared" si="61"/>
        <v xml:space="preserve">| [Link](/places/places\es-zaragoza-cathedral-basilica-of-our-lady-of-the-pillar) </v>
      </c>
      <c r="CN56" s="29" t="e">
        <f t="shared" si="62"/>
        <v>#VALUE!</v>
      </c>
      <c r="CO56" s="48"/>
    </row>
    <row r="57" spans="1:93" ht="38.25" x14ac:dyDescent="0.25">
      <c r="A57" s="167" t="s">
        <v>1317</v>
      </c>
      <c r="B57" s="168" t="s">
        <v>2481</v>
      </c>
      <c r="C57" s="101" t="s">
        <v>550</v>
      </c>
      <c r="D57" s="101" t="s">
        <v>2092</v>
      </c>
      <c r="E57" s="15">
        <v>40.655493983492804</v>
      </c>
      <c r="F57" s="49">
        <v>-4.7027560083925497</v>
      </c>
      <c r="G57" s="101" t="s">
        <v>2127</v>
      </c>
      <c r="H57" s="103" t="s">
        <v>2126</v>
      </c>
      <c r="I57" s="101" t="s">
        <v>1802</v>
      </c>
      <c r="J57" s="24" t="b">
        <v>1</v>
      </c>
      <c r="L57" s="24" t="b">
        <v>1</v>
      </c>
      <c r="M57" s="101" t="s">
        <v>2093</v>
      </c>
      <c r="O57" s="15" t="s">
        <v>2094</v>
      </c>
      <c r="P57" s="104" t="s">
        <v>335</v>
      </c>
      <c r="Z57" s="102" t="s">
        <v>2100</v>
      </c>
      <c r="AA57" s="15" t="s">
        <v>2096</v>
      </c>
      <c r="AB57" s="102" t="s">
        <v>1420</v>
      </c>
      <c r="AS57" s="154" t="b">
        <f t="shared" si="34"/>
        <v>1</v>
      </c>
      <c r="AT57" s="155" t="str">
        <f t="shared" si="35"/>
        <v>title: "Church and birthplace of St. Teresa of Jesus (Casa Natal Santa Teresa de Jesus)"</v>
      </c>
      <c r="AU57" s="155" t="str">
        <f t="shared" si="36"/>
        <v>location: {lat: 40.6554939834928, lng: -4.70275600839255}</v>
      </c>
      <c r="AV57" s="155" t="str">
        <f t="shared" si="37"/>
        <v>interest: local</v>
      </c>
      <c r="AW57" s="155" t="str">
        <f>"- "&amp;VLOOKUP(C57,'(Ref) Countries'!A:C,3,)</f>
        <v>- spain</v>
      </c>
      <c r="AX57" s="155" t="str">
        <f t="shared" si="38"/>
        <v>- avila</v>
      </c>
      <c r="AY57" s="155" t="str">
        <f t="shared" si="39"/>
        <v>- churches</v>
      </c>
      <c r="AZ57" s="155" t="str">
        <f t="shared" si="40"/>
        <v/>
      </c>
      <c r="BA57" s="155" t="str">
        <f t="shared" si="41"/>
        <v>- holy-persons</v>
      </c>
      <c r="BB57" s="155" t="str">
        <f t="shared" si="42"/>
        <v>- teresa-avila</v>
      </c>
      <c r="BC57" s="155" t="str">
        <f t="shared" si="43"/>
        <v>- discalced-carmelites</v>
      </c>
      <c r="BD57" s="155" t="str">
        <f t="shared" si="44"/>
        <v>- communities</v>
      </c>
      <c r="BE57" s="155" t="str">
        <f t="shared" si="45"/>
        <v/>
      </c>
      <c r="BF57" s="155" t="str">
        <f t="shared" si="46"/>
        <v/>
      </c>
      <c r="BG57" s="155" t="str">
        <f t="shared" si="47"/>
        <v/>
      </c>
      <c r="BH57" s="155" t="str">
        <f t="shared" si="48"/>
        <v/>
      </c>
      <c r="BI57" s="155" t="str">
        <f t="shared" si="49"/>
        <v/>
      </c>
      <c r="BJ57" s="155" t="str">
        <f t="shared" si="50"/>
        <v/>
      </c>
      <c r="BK57" s="155" t="str">
        <f t="shared" si="51"/>
        <v/>
      </c>
      <c r="BL57" s="155" t="str">
        <f t="shared" si="52"/>
        <v xml:space="preserve">tags:
- spain_x000D_
- avila_x000D_
- churches_x000D_
- holy-persons_x000D_
- teresa-avila_x000D_
- discalced-carmelites_x000D_
- communities_x000D_
</v>
      </c>
      <c r="BM57" s="158" t="str">
        <f t="shared" si="30"/>
        <v>[Official site](https://www.teresadejesus.com/)</v>
      </c>
      <c r="BN57" s="158" t="str">
        <f t="shared" si="31"/>
        <v/>
      </c>
      <c r="BO57" s="158" t="str">
        <f t="shared" si="32"/>
        <v/>
      </c>
      <c r="BP57" s="158" t="str">
        <f t="shared" si="33"/>
        <v/>
      </c>
      <c r="BQ57" s="155" t="str">
        <f t="shared" si="53"/>
        <v xml:space="preserve">* [Official site](https://www.teresadejesus.com/)
</v>
      </c>
      <c r="BR57" s="155" t="str">
        <f t="shared" si="54"/>
        <v/>
      </c>
      <c r="BS57" s="155" t="str">
        <f t="shared" si="55"/>
        <v/>
      </c>
      <c r="BT57" s="155" t="str">
        <f t="shared" si="56"/>
        <v/>
      </c>
      <c r="BU57" s="155" t="str">
        <f>IF(LEN(concat(BR57:BT57))&gt;0,concat("| ",BR57," | ",BS57," | ",BT57," |"),"")</f>
        <v/>
      </c>
      <c r="BV57" s="155" t="str">
        <f t="shared" si="57"/>
        <v/>
      </c>
      <c r="BW57" s="155" t="str">
        <f>IF(LEN(BQ57&amp;BV57)&gt;0,concatll("#### More Information",BQ57,BV57),"")</f>
        <v xml:space="preserve">#### More Information_x000D_
_x000D_
* [Official site](https://www.teresadejesus.com/)
_x000D_
_x000D_
</v>
      </c>
      <c r="BX57" s="155" t="str">
        <f>IF(LEN(N57)&gt;1,concatll("#### Author's Note",N57,"-"&amp;B57),"")</f>
        <v/>
      </c>
      <c r="BY57" s="155" t="s">
        <v>335</v>
      </c>
      <c r="BZ57" s="155" t="s">
        <v>335</v>
      </c>
      <c r="CA57" s="23" t="str">
        <f>IF(AS57,concatll(concatl("---",AT57:AV57,BL57,"---"),M57,BW57:BX57),"")</f>
        <v xml:space="preserve">---_x000D_
title: "Church and birthplace of St. Teresa of Jesus (Casa Natal Santa Teresa de Jesus)"_x000D_
location: {lat: 40.6554939834928, lng: -4.70275600839255}_x000D_
interest: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23" t="str">
        <f>IF(AS57,"places\"&amp;VLOOKUP(C57,'(Ref) Countries'!A:B,2,)&amp;IF(LEN(D57)&gt;1,"-"&amp;LOWER(SUBSTITUTE(D57," ","-")),"")&amp;"-"&amp;LOWER(SUBSTITUTE(SUBSTITUTE(H57," ","-"),".",""))&amp;".md","")</f>
        <v>places\es-avila-casa-natal-santa-teresa-de-jesus.md</v>
      </c>
      <c r="CC57" s="29" t="str">
        <f>IF(LEN(Z57)&gt;1,VLOOKUP(Z57,'Tag List'!$A:$B,2,),"")</f>
        <v>St. Teresa of Avila, OCD</v>
      </c>
      <c r="CD57" s="29" t="str">
        <f>IF(LEN(AA57)&gt;1,VLOOKUP(AA57,'Tag List'!$A:$B,2,),"")</f>
        <v>Discalced Carmelites (Order of Discalced Carmelites)</v>
      </c>
      <c r="CE57" s="29" t="str">
        <f>IF(LEN(AB57)&gt;1,VLOOKUP(AB57,'Tag List'!$A:$B,2,),"")</f>
        <v>Religious Communities</v>
      </c>
      <c r="CF57" s="29" t="str">
        <f>IF(LEN(Z57)&gt;1,GetTagPage(CC57,Z57),"")</f>
        <v>[St. Teresa of Avila, OCD](/tags/teresa-avila)</v>
      </c>
      <c r="CG57" s="29" t="str">
        <f>IF(LEN(AA57)&gt;1,GetTagPage(CD57,AA57),"")</f>
        <v>[Discalced Carmelites (Order of Discalced Carmelites)](/tags/discalced-carmelites)</v>
      </c>
      <c r="CH57" s="29" t="str">
        <f>IF(LEN(AB57)&gt;1,GetTagPage(CE57,AB57),"")</f>
        <v>[Religious Communities](/tags/communities)</v>
      </c>
      <c r="CI57" s="29" t="str">
        <f t="shared" si="58"/>
        <v xml:space="preserve">| [St. Teresa of Avila, OCD](/tags/teresa-avila), [Discalced Carmelites (Order of Discalced Carmelites)](/tags/discalced-carmelites), [Religious Communities](/tags/communities) </v>
      </c>
      <c r="CJ57" s="29" t="str">
        <f t="shared" si="59"/>
        <v xml:space="preserve">| [](/places/places\es-avila-casa-natal-santa-teresa-de-jesus) </v>
      </c>
      <c r="CK57" s="29" t="str">
        <f>"| "&amp;IF(AS57,GetTagPage(C57,VLOOKUP(C57,'(Ref) Countries'!A:C,3,)),C57)&amp; " "</f>
        <v xml:space="preserve">| [Spain](/tags/spain) </v>
      </c>
      <c r="CL57" s="29" t="str">
        <f t="shared" si="60"/>
        <v xml:space="preserve">|  </v>
      </c>
      <c r="CM57" s="29" t="str">
        <f t="shared" si="61"/>
        <v xml:space="preserve">| [Link](/places/places\es-avila-casa-natal-santa-teresa-de-jesus) </v>
      </c>
      <c r="CN57" s="29" t="str">
        <f t="shared" si="62"/>
        <v xml:space="preserve">
| [](/places/places\es-avila-casa-natal-santa-teresa-de-jesus) | [Spain](/tags/spain) |  | [Link](/places/places\es-avila-casa-natal-santa-teresa-de-jesus) [Official site](https://www.teresadejesus.com/)| [St. Teresa of Avila, OCD](/tags/teresa-avila), [Discalced Carmelites (Order of Discalced Carmelites)](/tags/discalced-carmelites), [Religious Communities](/tags/communities) |</v>
      </c>
    </row>
    <row r="58" spans="1:93" ht="102" x14ac:dyDescent="0.25">
      <c r="A58" s="167" t="s">
        <v>1317</v>
      </c>
      <c r="B58" s="24" t="s">
        <v>2481</v>
      </c>
      <c r="C58" s="24" t="s">
        <v>550</v>
      </c>
      <c r="D58" s="24" t="s">
        <v>2092</v>
      </c>
      <c r="E58" s="15">
        <v>40.662828044541399</v>
      </c>
      <c r="F58" s="49">
        <v>-4.6997760138995996</v>
      </c>
      <c r="G58" s="101" t="s">
        <v>2107</v>
      </c>
      <c r="H58" s="103" t="s">
        <v>2106</v>
      </c>
      <c r="I58" s="24" t="s">
        <v>1802</v>
      </c>
      <c r="J58" s="24" t="b">
        <v>1</v>
      </c>
      <c r="L58" s="24" t="b">
        <v>1</v>
      </c>
      <c r="M58" s="101" t="s">
        <v>2230</v>
      </c>
      <c r="P58" s="15" t="s">
        <v>335</v>
      </c>
      <c r="Q58" s="106" t="s">
        <v>2103</v>
      </c>
      <c r="R58" s="15" t="s">
        <v>2104</v>
      </c>
      <c r="S58" s="107" t="s">
        <v>335</v>
      </c>
      <c r="Z58" s="15" t="s">
        <v>2100</v>
      </c>
      <c r="AA58" s="102" t="s">
        <v>2096</v>
      </c>
      <c r="AB58" s="102" t="s">
        <v>1420</v>
      </c>
      <c r="AC58" s="102" t="s">
        <v>2099</v>
      </c>
      <c r="AS58" s="154" t="b">
        <f t="shared" si="34"/>
        <v>1</v>
      </c>
      <c r="AT58" s="155" t="str">
        <f t="shared" si="35"/>
        <v>title: "Monastery of the Incarnation (Monasterio de La Encarnacion)"</v>
      </c>
      <c r="AU58" s="155" t="str">
        <f t="shared" si="36"/>
        <v>location: {lat: 40.6628280445414, lng: -4.6997760138996}</v>
      </c>
      <c r="AV58" s="155" t="str">
        <f t="shared" si="37"/>
        <v>interest: local</v>
      </c>
      <c r="AW58" s="155" t="str">
        <f>"- "&amp;VLOOKUP(C58,'(Ref) Countries'!A:C,3,)</f>
        <v>- spain</v>
      </c>
      <c r="AX58" s="155" t="str">
        <f t="shared" si="38"/>
        <v>- avila</v>
      </c>
      <c r="AY58" s="155" t="str">
        <f t="shared" si="39"/>
        <v>- churches</v>
      </c>
      <c r="AZ58" s="155" t="str">
        <f t="shared" si="40"/>
        <v/>
      </c>
      <c r="BA58" s="155" t="str">
        <f t="shared" si="41"/>
        <v>- holy-persons</v>
      </c>
      <c r="BB58" s="155" t="str">
        <f t="shared" si="42"/>
        <v>- teresa-avila</v>
      </c>
      <c r="BC58" s="155" t="str">
        <f t="shared" si="43"/>
        <v>- discalced-carmelites</v>
      </c>
      <c r="BD58" s="155" t="str">
        <f t="shared" si="44"/>
        <v>- communities</v>
      </c>
      <c r="BE58" s="155" t="str">
        <f t="shared" si="45"/>
        <v>- john-cross</v>
      </c>
      <c r="BF58" s="155" t="str">
        <f t="shared" si="46"/>
        <v/>
      </c>
      <c r="BG58" s="155" t="str">
        <f t="shared" si="47"/>
        <v/>
      </c>
      <c r="BH58" s="155" t="str">
        <f t="shared" si="48"/>
        <v/>
      </c>
      <c r="BI58" s="155" t="str">
        <f t="shared" si="49"/>
        <v/>
      </c>
      <c r="BJ58" s="155" t="str">
        <f t="shared" si="50"/>
        <v/>
      </c>
      <c r="BK58" s="155" t="str">
        <f t="shared" si="51"/>
        <v/>
      </c>
      <c r="BL58" s="155" t="str">
        <f t="shared" si="52"/>
        <v xml:space="preserve">tags:
- spain_x000D_
- avila_x000D_
- churches_x000D_
- holy-persons_x000D_
- teresa-avila_x000D_
- discalced-carmelites_x000D_
- communities_x000D_
- john-cross_x000D_
</v>
      </c>
      <c r="BM58" s="158" t="str">
        <f t="shared" si="30"/>
        <v/>
      </c>
      <c r="BN58" s="158" t="str">
        <f t="shared" si="31"/>
        <v>[Avila tourism site](https://www.avilaturismo.com/en/monatery-of-la-encarnacion)</v>
      </c>
      <c r="BO58" s="158" t="str">
        <f t="shared" si="32"/>
        <v/>
      </c>
      <c r="BP58" s="158" t="str">
        <f t="shared" si="33"/>
        <v/>
      </c>
      <c r="BQ58" s="155" t="str">
        <f t="shared" si="53"/>
        <v xml:space="preserve">* [Avila tourism site](https://www.avilaturismo.com/en/monatery-of-la-encarnacion)
</v>
      </c>
      <c r="BR58" s="155" t="str">
        <f t="shared" si="54"/>
        <v/>
      </c>
      <c r="BS58" s="155" t="str">
        <f t="shared" si="55"/>
        <v/>
      </c>
      <c r="BT58" s="155" t="str">
        <f t="shared" si="56"/>
        <v/>
      </c>
      <c r="BU58" s="155" t="str">
        <f>IF(LEN(concat(BR58:BT58))&gt;0,concat("| ",BR58," | ",BS58," | ",BT58," |"),"")</f>
        <v/>
      </c>
      <c r="BV58" s="155" t="str">
        <f t="shared" si="57"/>
        <v/>
      </c>
      <c r="BW58" s="155" t="str">
        <f>IF(LEN(BQ58&amp;BV58)&gt;0,concatll("#### More Information",BQ58,BV58),"")</f>
        <v xml:space="preserve">#### More Information_x000D_
_x000D_
* [Avila tourism site](https://www.avilaturismo.com/en/monatery-of-la-encarnacion)
_x000D_
_x000D_
</v>
      </c>
      <c r="BX58" s="155" t="str">
        <f>IF(LEN(N58)&gt;1,concatll("#### Author's Note",N58,"-"&amp;B58),"")</f>
        <v/>
      </c>
      <c r="BY58" s="155" t="s">
        <v>335</v>
      </c>
      <c r="BZ58" s="155" t="s">
        <v>335</v>
      </c>
      <c r="CA58" s="23" t="str">
        <f>IF(AS58,concatll(concatl("---",AT58:AV58,BL58,"---"),M58,BW58:BX58),"")</f>
        <v xml:space="preserve">---_x000D_
title: "Monastery of the Incarnation (Monasterio de La Encarnacion)"_x000D_
location: {lat: 40.6628280445414, lng: -4.6997760138996}_x000D_
interest: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23" t="str">
        <f>IF(AS58,"places\"&amp;VLOOKUP(C58,'(Ref) Countries'!A:B,2,)&amp;IF(LEN(D58)&gt;1,"-"&amp;LOWER(SUBSTITUTE(D58," ","-")),"")&amp;"-"&amp;LOWER(SUBSTITUTE(SUBSTITUTE(H58," ","-"),".",""))&amp;".md","")</f>
        <v>places\es-avila-monasterio-de-la-encarnacion.md</v>
      </c>
      <c r="CC58" s="29" t="str">
        <f>IF(LEN(Z58)&gt;1,VLOOKUP(Z58,'Tag List'!$A:$B,2,),"")</f>
        <v>St. Teresa of Avila, OCD</v>
      </c>
      <c r="CD58" s="29" t="str">
        <f>IF(LEN(AA58)&gt;1,VLOOKUP(AA58,'Tag List'!$A:$B,2,),"")</f>
        <v>Discalced Carmelites (Order of Discalced Carmelites)</v>
      </c>
      <c r="CE58" s="29" t="str">
        <f>IF(LEN(AB58)&gt;1,VLOOKUP(AB58,'Tag List'!$A:$B,2,),"")</f>
        <v>Religious Communities</v>
      </c>
      <c r="CF58" s="29" t="str">
        <f>IF(LEN(Z58)&gt;1,GetTagPage(CC58,Z58),"")</f>
        <v>[St. Teresa of Avila, OCD](/tags/teresa-avila)</v>
      </c>
      <c r="CG58" s="29" t="str">
        <f>IF(LEN(AA58)&gt;1,GetTagPage(CD58,AA58),"")</f>
        <v>[Discalced Carmelites (Order of Discalced Carmelites)](/tags/discalced-carmelites)</v>
      </c>
      <c r="CH58" s="29" t="str">
        <f>IF(LEN(AB58)&gt;1,GetTagPage(CE58,AB58),"")</f>
        <v>[Religious Communities](/tags/communities)</v>
      </c>
      <c r="CI58" s="29" t="str">
        <f t="shared" si="58"/>
        <v xml:space="preserve">| [St. Teresa of Avila, OCD](/tags/teresa-avila), [Discalced Carmelites (Order of Discalced Carmelites)](/tags/discalced-carmelites), [Religious Communities](/tags/communities) </v>
      </c>
      <c r="CJ58" s="29" t="str">
        <f t="shared" si="59"/>
        <v xml:space="preserve">| [](/places/places\es-avila-monasterio-de-la-encarnacion) </v>
      </c>
      <c r="CK58" s="29" t="str">
        <f>"| "&amp;IF(AS58,GetTagPage(C58,VLOOKUP(C58,'(Ref) Countries'!A:C,3,)),C58)&amp; " "</f>
        <v xml:space="preserve">| [Spain](/tags/spain) </v>
      </c>
      <c r="CL58" s="29" t="str">
        <f t="shared" si="60"/>
        <v xml:space="preserve">|  </v>
      </c>
      <c r="CM58" s="29" t="str">
        <f t="shared" si="61"/>
        <v xml:space="preserve">| [Link](/places/places\es-avila-monasterio-de-la-encarnacion) </v>
      </c>
      <c r="CN58" s="29" t="str">
        <f t="shared" si="62"/>
        <v xml:space="preserve">
| [](/places/places\es-avila-monasterio-de-la-encarnacion) | [Spain](/tags/spain) |  | [Link](/places/places\es-avila-monasterio-de-la-encarnacion) | [St. Teresa of Avila, OCD](/tags/teresa-avila), [Discalced Carmelites (Order of Discalced Carmelites)](/tags/discalced-carmelites), [Religious Communities](/tags/communities) |</v>
      </c>
    </row>
    <row r="59" spans="1:93" ht="38.25" x14ac:dyDescent="0.25">
      <c r="A59" s="167" t="s">
        <v>1317</v>
      </c>
      <c r="B59" s="24" t="s">
        <v>2481</v>
      </c>
      <c r="C59" s="24" t="s">
        <v>550</v>
      </c>
      <c r="D59" s="24" t="s">
        <v>2092</v>
      </c>
      <c r="E59" s="15">
        <v>40.655097925791601</v>
      </c>
      <c r="F59" s="49">
        <v>-4.6919360712877101</v>
      </c>
      <c r="G59" s="101" t="s">
        <v>2119</v>
      </c>
      <c r="H59" s="53" t="s">
        <v>2105</v>
      </c>
      <c r="I59" s="24" t="s">
        <v>1802</v>
      </c>
      <c r="J59" s="24" t="b">
        <v>1</v>
      </c>
      <c r="L59" s="24" t="b">
        <v>1</v>
      </c>
      <c r="M59" s="101" t="s">
        <v>2138</v>
      </c>
      <c r="O59" s="15" t="s">
        <v>2109</v>
      </c>
      <c r="P59" s="15" t="s">
        <v>1795</v>
      </c>
      <c r="Q59" s="60" t="s">
        <v>2103</v>
      </c>
      <c r="R59" s="15" t="s">
        <v>2108</v>
      </c>
      <c r="S59" s="64" t="s">
        <v>335</v>
      </c>
      <c r="Z59" s="15" t="s">
        <v>2100</v>
      </c>
      <c r="AA59" s="15" t="s">
        <v>2096</v>
      </c>
      <c r="AB59" s="102" t="s">
        <v>1420</v>
      </c>
      <c r="AS59" s="154" t="b">
        <f t="shared" si="34"/>
        <v>1</v>
      </c>
      <c r="AT59" s="155" t="str">
        <f t="shared" si="35"/>
        <v>title: "Convento de San Jose, Avila"</v>
      </c>
      <c r="AU59" s="155" t="str">
        <f t="shared" si="36"/>
        <v>location: {lat: 40.6550979257916, lng: -4.69193607128771}</v>
      </c>
      <c r="AV59" s="155" t="str">
        <f t="shared" si="37"/>
        <v>interest: local</v>
      </c>
      <c r="AW59" s="155" t="str">
        <f>"- "&amp;VLOOKUP(C59,'(Ref) Countries'!A:C,3,)</f>
        <v>- spain</v>
      </c>
      <c r="AX59" s="155" t="str">
        <f t="shared" si="38"/>
        <v>- avila</v>
      </c>
      <c r="AY59" s="155" t="str">
        <f t="shared" si="39"/>
        <v>- churches</v>
      </c>
      <c r="AZ59" s="155" t="str">
        <f t="shared" si="40"/>
        <v/>
      </c>
      <c r="BA59" s="155" t="str">
        <f t="shared" si="41"/>
        <v>- holy-persons</v>
      </c>
      <c r="BB59" s="155" t="str">
        <f t="shared" si="42"/>
        <v>- teresa-avila</v>
      </c>
      <c r="BC59" s="155" t="str">
        <f t="shared" si="43"/>
        <v>- discalced-carmelites</v>
      </c>
      <c r="BD59" s="155" t="str">
        <f t="shared" si="44"/>
        <v>- communities</v>
      </c>
      <c r="BE59" s="155" t="str">
        <f t="shared" si="45"/>
        <v/>
      </c>
      <c r="BF59" s="155" t="str">
        <f t="shared" si="46"/>
        <v/>
      </c>
      <c r="BG59" s="155" t="str">
        <f t="shared" si="47"/>
        <v/>
      </c>
      <c r="BH59" s="155" t="str">
        <f t="shared" si="48"/>
        <v/>
      </c>
      <c r="BI59" s="155" t="str">
        <f t="shared" si="49"/>
        <v/>
      </c>
      <c r="BJ59" s="155" t="str">
        <f t="shared" si="50"/>
        <v/>
      </c>
      <c r="BK59" s="155" t="str">
        <f t="shared" si="51"/>
        <v/>
      </c>
      <c r="BL59" s="155" t="str">
        <f t="shared" si="52"/>
        <v xml:space="preserve">tags:
- spain_x000D_
- avila_x000D_
- churches_x000D_
- holy-persons_x000D_
- teresa-avila_x000D_
- discalced-carmelites_x000D_
- communities_x000D_
</v>
      </c>
      <c r="BM59" s="158" t="str">
        <f t="shared" si="30"/>
        <v>[Official site](http://www.sanjosedeavila.es/) - (note: website not active at time of writing)</v>
      </c>
      <c r="BN59" s="158" t="str">
        <f t="shared" si="31"/>
        <v>[Avila tourism site](https://www.avilaturismo.com/en/convent-and-church-of-san-jose)</v>
      </c>
      <c r="BO59" s="158" t="str">
        <f t="shared" si="32"/>
        <v/>
      </c>
      <c r="BP59" s="158" t="str">
        <f t="shared" si="33"/>
        <v/>
      </c>
      <c r="BQ59" s="155" t="str">
        <f t="shared" si="53"/>
        <v xml:space="preserve">* [Official site](http://www.sanjosedeavila.es/) - (note: website not active at time of writing)
* [Avila tourism site](https://www.avilaturismo.com/en/convent-and-church-of-san-jose)
</v>
      </c>
      <c r="BR59" s="155" t="str">
        <f t="shared" si="54"/>
        <v/>
      </c>
      <c r="BS59" s="155" t="str">
        <f t="shared" si="55"/>
        <v/>
      </c>
      <c r="BT59" s="155" t="str">
        <f t="shared" si="56"/>
        <v/>
      </c>
      <c r="BU59" s="155" t="str">
        <f>IF(LEN(concat(BR59:BT59))&gt;0,concat("| ",BR59," | ",BS59," | ",BT59," |"),"")</f>
        <v/>
      </c>
      <c r="BV59" s="155" t="str">
        <f t="shared" si="57"/>
        <v/>
      </c>
      <c r="BW59" s="155"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55" t="str">
        <f>IF(LEN(N59)&gt;1,concatll("#### Author's Note",N59,"-"&amp;B59),"")</f>
        <v/>
      </c>
      <c r="BY59" s="155" t="s">
        <v>335</v>
      </c>
      <c r="BZ59" s="155" t="s">
        <v>335</v>
      </c>
      <c r="CA59" s="23" t="str">
        <f>IF(AS59,concatll(concatl("---",AT59:AV59,BL59,"---"),M59,BW59:BX59),"")</f>
        <v xml:space="preserve">---_x000D_
title: "Convento de San Jose, Avila"_x000D_
location: {lat: 40.6550979257916, lng: -4.69193607128771}_x000D_
interest: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23" t="str">
        <f>IF(AS59,"places\"&amp;VLOOKUP(C59,'(Ref) Countries'!A:B,2,)&amp;IF(LEN(D59)&gt;1,"-"&amp;LOWER(SUBSTITUTE(D59," ","-")),"")&amp;"-"&amp;LOWER(SUBSTITUTE(SUBSTITUTE(H59," ","-"),".",""))&amp;".md","")</f>
        <v>places\es-avila-convento-de-san-jose.md</v>
      </c>
      <c r="CC59" s="29" t="str">
        <f>IF(LEN(Z59)&gt;1,VLOOKUP(Z59,'Tag List'!$A:$B,2,),"")</f>
        <v>St. Teresa of Avila, OCD</v>
      </c>
      <c r="CD59" s="29" t="str">
        <f>IF(LEN(AA59)&gt;1,VLOOKUP(AA59,'Tag List'!$A:$B,2,),"")</f>
        <v>Discalced Carmelites (Order of Discalced Carmelites)</v>
      </c>
      <c r="CE59" s="29" t="str">
        <f>IF(LEN(AB59)&gt;1,VLOOKUP(AB59,'Tag List'!$A:$B,2,),"")</f>
        <v>Religious Communities</v>
      </c>
      <c r="CF59" s="29" t="str">
        <f>IF(LEN(Z59)&gt;1,GetTagPage(CC59,Z59),"")</f>
        <v>[St. Teresa of Avila, OCD](/tags/teresa-avila)</v>
      </c>
      <c r="CG59" s="29" t="str">
        <f>IF(LEN(AA59)&gt;1,GetTagPage(CD59,AA59),"")</f>
        <v>[Discalced Carmelites (Order of Discalced Carmelites)](/tags/discalced-carmelites)</v>
      </c>
      <c r="CH59" s="29" t="str">
        <f>IF(LEN(AB59)&gt;1,GetTagPage(CE59,AB59),"")</f>
        <v>[Religious Communities](/tags/communities)</v>
      </c>
      <c r="CI59" s="29" t="str">
        <f t="shared" si="58"/>
        <v xml:space="preserve">| [St. Teresa of Avila, OCD](/tags/teresa-avila), [Discalced Carmelites (Order of Discalced Carmelites)](/tags/discalced-carmelites), [Religious Communities](/tags/communities) </v>
      </c>
      <c r="CJ59" s="29" t="str">
        <f t="shared" si="59"/>
        <v xml:space="preserve">| [](/places/places\es-avila-convento-de-san-jose) </v>
      </c>
      <c r="CK59" s="29" t="str">
        <f>"| "&amp;IF(AS59,GetTagPage(C59,VLOOKUP(C59,'(Ref) Countries'!A:C,3,)),C59)&amp; " "</f>
        <v xml:space="preserve">| [Spain](/tags/spain) </v>
      </c>
      <c r="CL59" s="29" t="str">
        <f t="shared" si="60"/>
        <v xml:space="preserve">|  </v>
      </c>
      <c r="CM59" s="29" t="str">
        <f t="shared" si="61"/>
        <v xml:space="preserve">| [Link](/places/places\es-avila-convento-de-san-jose) </v>
      </c>
      <c r="CN59" s="29" t="str">
        <f t="shared" si="62"/>
        <v xml:space="preserve">
| [](/places/places\es-avila-convento-de-san-jose) | [Spain](/tags/spain) |  | [Link](/places/places\es-avila-convento-de-san-jose) [Official site](http://www.sanjosedeavila.es/) - (note: website not active at time of writing)| [St. Teresa of Avila, OCD](/tags/teresa-avila), [Discalced Carmelites (Order of Discalced Carmelites)](/tags/discalced-carmelites), [Religious Communities](/tags/communities) |</v>
      </c>
    </row>
    <row r="60" spans="1:93" ht="51" x14ac:dyDescent="0.25">
      <c r="A60" s="167" t="s">
        <v>1317</v>
      </c>
      <c r="B60" s="24" t="s">
        <v>2481</v>
      </c>
      <c r="C60" s="24" t="s">
        <v>550</v>
      </c>
      <c r="D60" s="101" t="s">
        <v>2120</v>
      </c>
      <c r="E60" s="15">
        <v>41.311399847334698</v>
      </c>
      <c r="F60" s="49">
        <v>-4.9193248846553699</v>
      </c>
      <c r="G60" s="101" t="s">
        <v>2121</v>
      </c>
      <c r="H60" s="53" t="s">
        <v>2105</v>
      </c>
      <c r="I60" s="24" t="s">
        <v>1802</v>
      </c>
      <c r="J60" s="24" t="b">
        <v>1</v>
      </c>
      <c r="L60" s="24" t="b">
        <v>1</v>
      </c>
      <c r="M60" s="101" t="s">
        <v>2211</v>
      </c>
      <c r="Q60" s="106" t="s">
        <v>2207</v>
      </c>
      <c r="R60" s="15" t="s">
        <v>2208</v>
      </c>
      <c r="S60" s="107" t="s">
        <v>335</v>
      </c>
      <c r="T60" s="106" t="s">
        <v>2209</v>
      </c>
      <c r="U60" s="15" t="s">
        <v>2210</v>
      </c>
      <c r="V60" s="171" t="s">
        <v>2576</v>
      </c>
      <c r="W60" s="104" t="s">
        <v>335</v>
      </c>
      <c r="Z60" s="15" t="s">
        <v>2100</v>
      </c>
      <c r="AA60" s="15" t="s">
        <v>2096</v>
      </c>
      <c r="AB60" s="15" t="s">
        <v>1420</v>
      </c>
      <c r="AC60" s="15" t="s">
        <v>2099</v>
      </c>
      <c r="AS60" s="154" t="b">
        <f t="shared" si="34"/>
        <v>1</v>
      </c>
      <c r="AT60" s="155" t="str">
        <f t="shared" si="35"/>
        <v>title: "Convento de San Jose, Medina del Campo"</v>
      </c>
      <c r="AU60" s="155" t="str">
        <f t="shared" si="36"/>
        <v>location: {lat: 41.3113998473347, lng: -4.91932488465537}</v>
      </c>
      <c r="AV60" s="155" t="str">
        <f t="shared" si="37"/>
        <v>interest: local</v>
      </c>
      <c r="AW60" s="155" t="str">
        <f>"- "&amp;VLOOKUP(C60,'(Ref) Countries'!A:C,3,)</f>
        <v>- spain</v>
      </c>
      <c r="AX60" s="155" t="str">
        <f t="shared" si="38"/>
        <v>- medina-del-campo</v>
      </c>
      <c r="AY60" s="155" t="str">
        <f t="shared" si="39"/>
        <v>- churches</v>
      </c>
      <c r="AZ60" s="155" t="str">
        <f t="shared" si="40"/>
        <v/>
      </c>
      <c r="BA60" s="155" t="str">
        <f t="shared" si="41"/>
        <v>- holy-persons</v>
      </c>
      <c r="BB60" s="155" t="str">
        <f t="shared" si="42"/>
        <v>- teresa-avila</v>
      </c>
      <c r="BC60" s="155" t="str">
        <f t="shared" si="43"/>
        <v>- discalced-carmelites</v>
      </c>
      <c r="BD60" s="155" t="str">
        <f t="shared" si="44"/>
        <v>- communities</v>
      </c>
      <c r="BE60" s="155" t="str">
        <f t="shared" si="45"/>
        <v>- john-cross</v>
      </c>
      <c r="BF60" s="155" t="str">
        <f t="shared" si="46"/>
        <v/>
      </c>
      <c r="BG60" s="155" t="str">
        <f t="shared" si="47"/>
        <v/>
      </c>
      <c r="BH60" s="155" t="str">
        <f t="shared" si="48"/>
        <v/>
      </c>
      <c r="BI60" s="155" t="str">
        <f t="shared" si="49"/>
        <v/>
      </c>
      <c r="BJ60" s="155" t="str">
        <f t="shared" si="50"/>
        <v/>
      </c>
      <c r="BK60" s="155" t="str">
        <f t="shared" si="51"/>
        <v/>
      </c>
      <c r="BL60" s="155" t="str">
        <f t="shared" si="52"/>
        <v xml:space="preserve">tags:
- spain_x000D_
- medina-del-campo_x000D_
- churches_x000D_
- holy-persons_x000D_
- teresa-avila_x000D_
- discalced-carmelites_x000D_
- communities_x000D_
- john-cross_x000D_
</v>
      </c>
      <c r="BM60" s="158" t="str">
        <f t="shared" si="30"/>
        <v/>
      </c>
      <c r="BN60" s="158" t="str">
        <f t="shared" si="31"/>
        <v>[Castila y Leon tourism site](https://www.turismocastillayleon.com/en/art-culture-heritage/museums/teresian-museum-san-jose-medina-del-campo-m-m-carmelitas)</v>
      </c>
      <c r="BO60" s="158" t="str">
        <f t="shared" si="32"/>
        <v>[Medina del Campo tourism site](http://medinadelcampo.es/lo-indispensable/donde-la-historia-cobra-vida/23-lo-indispensable/donde-la-historia-cobra-vida/367-convento-san-juan-de-la-cruz-ruta-teresiana) - Note: website not active at time of writing</v>
      </c>
      <c r="BP60" s="158" t="str">
        <f t="shared" si="33"/>
        <v/>
      </c>
      <c r="BQ60" s="155" t="str">
        <f t="shared" si="53"/>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55" t="str">
        <f t="shared" si="54"/>
        <v/>
      </c>
      <c r="BS60" s="155" t="str">
        <f t="shared" si="55"/>
        <v/>
      </c>
      <c r="BT60" s="155" t="str">
        <f t="shared" si="56"/>
        <v/>
      </c>
      <c r="BU60" s="155" t="str">
        <f>IF(LEN(concat(BR60:BT60))&gt;0,concat("| ",BR60," | ",BS60," | ",BT60," |"),"")</f>
        <v/>
      </c>
      <c r="BV60" s="155" t="str">
        <f t="shared" si="57"/>
        <v/>
      </c>
      <c r="BW60" s="155"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55" t="str">
        <f>IF(LEN(N60)&gt;1,concatll("#### Author's Note",N60,"-"&amp;B60),"")</f>
        <v/>
      </c>
      <c r="BY60" s="155" t="s">
        <v>335</v>
      </c>
      <c r="BZ60" s="155" t="s">
        <v>335</v>
      </c>
      <c r="CA60" s="23" t="str">
        <f>IF(AS60,concatll(concatl("---",AT60:AV60,BL60,"---"),M60,BW60:BX60),"")</f>
        <v xml:space="preserve">---_x000D_
title: "Convento de San Jose, Medina del Campo"_x000D_
location: {lat: 41.3113998473347, lng: -4.91932488465537}_x000D_
interest: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23" t="str">
        <f>IF(AS60,"places\"&amp;VLOOKUP(C60,'(Ref) Countries'!A:B,2,)&amp;IF(LEN(D60)&gt;1,"-"&amp;LOWER(SUBSTITUTE(D60," ","-")),"")&amp;"-"&amp;LOWER(SUBSTITUTE(SUBSTITUTE(H60," ","-"),".",""))&amp;".md","")</f>
        <v>places\es-medina-del-campo-convento-de-san-jose.md</v>
      </c>
      <c r="CC60" s="29" t="str">
        <f>IF(LEN(Z60)&gt;1,VLOOKUP(Z60,'Tag List'!$A:$B,2,),"")</f>
        <v>St. Teresa of Avila, OCD</v>
      </c>
      <c r="CD60" s="29" t="str">
        <f>IF(LEN(AA60)&gt;1,VLOOKUP(AA60,'Tag List'!$A:$B,2,),"")</f>
        <v>Discalced Carmelites (Order of Discalced Carmelites)</v>
      </c>
      <c r="CE60" s="29" t="str">
        <f>IF(LEN(AB60)&gt;1,VLOOKUP(AB60,'Tag List'!$A:$B,2,),"")</f>
        <v>Religious Communities</v>
      </c>
      <c r="CF60" s="29" t="str">
        <f>IF(LEN(Z60)&gt;1,GetTagPage(CC60,Z60),"")</f>
        <v>[St. Teresa of Avila, OCD](/tags/teresa-avila)</v>
      </c>
      <c r="CG60" s="29" t="str">
        <f>IF(LEN(AA60)&gt;1,GetTagPage(CD60,AA60),"")</f>
        <v>[Discalced Carmelites (Order of Discalced Carmelites)](/tags/discalced-carmelites)</v>
      </c>
      <c r="CH60" s="29" t="str">
        <f>IF(LEN(AB60)&gt;1,GetTagPage(CE60,AB60),"")</f>
        <v>[Religious Communities](/tags/communities)</v>
      </c>
      <c r="CI60" s="29" t="str">
        <f t="shared" si="58"/>
        <v xml:space="preserve">| [St. Teresa of Avila, OCD](/tags/teresa-avila), [Discalced Carmelites (Order of Discalced Carmelites)](/tags/discalced-carmelites), [Religious Communities](/tags/communities) </v>
      </c>
      <c r="CJ60" s="29" t="str">
        <f t="shared" si="59"/>
        <v xml:space="preserve">| [](/places/places\es-medina-del-campo-convento-de-san-jose) </v>
      </c>
      <c r="CK60" s="29" t="str">
        <f>"| "&amp;IF(AS60,GetTagPage(C60,VLOOKUP(C60,'(Ref) Countries'!A:C,3,)),C60)&amp; " "</f>
        <v xml:space="preserve">| [Spain](/tags/spain) </v>
      </c>
      <c r="CL60" s="29" t="str">
        <f t="shared" si="60"/>
        <v xml:space="preserve">|  </v>
      </c>
      <c r="CM60" s="29" t="str">
        <f t="shared" si="61"/>
        <v xml:space="preserve">| [Link](/places/places\es-medina-del-campo-convento-de-san-jose) </v>
      </c>
      <c r="CN60" s="29" t="str">
        <f t="shared" si="62"/>
        <v xml:space="preserve">
| [](/places/places\es-medina-del-campo-convento-de-san-jose) | [Spain](/tags/spain) |  | [Link](/places/places\es-medina-del-campo-convento-de-san-jose) | [St. Teresa of Avila, OCD](/tags/teresa-avila), [Discalced Carmelites (Order of Discalced Carmelites)](/tags/discalced-carmelites), [Religious Communities](/tags/communities) |</v>
      </c>
    </row>
    <row r="61" spans="1:93" x14ac:dyDescent="0.25">
      <c r="A61" s="167" t="s">
        <v>1317</v>
      </c>
      <c r="B61" s="24" t="s">
        <v>2481</v>
      </c>
      <c r="C61" s="24" t="s">
        <v>550</v>
      </c>
      <c r="D61" s="101" t="s">
        <v>2122</v>
      </c>
      <c r="E61" s="15">
        <v>39.172836506337802</v>
      </c>
      <c r="F61" s="49">
        <v>-3.8518511711638399</v>
      </c>
      <c r="G61" s="101" t="s">
        <v>2123</v>
      </c>
      <c r="H61" s="53" t="s">
        <v>2105</v>
      </c>
      <c r="I61" s="24" t="s">
        <v>1802</v>
      </c>
      <c r="J61" s="24" t="b">
        <v>1</v>
      </c>
      <c r="L61" s="24" t="b">
        <v>1</v>
      </c>
      <c r="M61" s="101" t="s">
        <v>2137</v>
      </c>
      <c r="Z61" s="15" t="s">
        <v>2100</v>
      </c>
      <c r="AA61" s="15" t="s">
        <v>2096</v>
      </c>
      <c r="AB61" s="15" t="s">
        <v>1420</v>
      </c>
      <c r="AS61" s="154" t="b">
        <f t="shared" si="34"/>
        <v>1</v>
      </c>
      <c r="AT61" s="155" t="str">
        <f t="shared" si="35"/>
        <v>title: "Convento de San Jose, Malagon"</v>
      </c>
      <c r="AU61" s="155" t="str">
        <f t="shared" si="36"/>
        <v>location: {lat: 39.1728365063378, lng: -3.85185117116384}</v>
      </c>
      <c r="AV61" s="155" t="str">
        <f t="shared" si="37"/>
        <v>interest: local</v>
      </c>
      <c r="AW61" s="155" t="str">
        <f>"- "&amp;VLOOKUP(C61,'(Ref) Countries'!A:C,3,)</f>
        <v>- spain</v>
      </c>
      <c r="AX61" s="155" t="str">
        <f t="shared" si="38"/>
        <v>- malagon</v>
      </c>
      <c r="AY61" s="155" t="str">
        <f t="shared" si="39"/>
        <v>- churches</v>
      </c>
      <c r="AZ61" s="155" t="str">
        <f t="shared" si="40"/>
        <v/>
      </c>
      <c r="BA61" s="155" t="str">
        <f t="shared" si="41"/>
        <v>- holy-persons</v>
      </c>
      <c r="BB61" s="155" t="str">
        <f t="shared" si="42"/>
        <v>- teresa-avila</v>
      </c>
      <c r="BC61" s="155" t="str">
        <f t="shared" si="43"/>
        <v>- discalced-carmelites</v>
      </c>
      <c r="BD61" s="155" t="str">
        <f t="shared" si="44"/>
        <v>- communities</v>
      </c>
      <c r="BE61" s="155" t="str">
        <f t="shared" si="45"/>
        <v/>
      </c>
      <c r="BF61" s="155" t="str">
        <f t="shared" si="46"/>
        <v/>
      </c>
      <c r="BG61" s="155" t="str">
        <f t="shared" si="47"/>
        <v/>
      </c>
      <c r="BH61" s="155" t="str">
        <f t="shared" si="48"/>
        <v/>
      </c>
      <c r="BI61" s="155" t="str">
        <f t="shared" si="49"/>
        <v/>
      </c>
      <c r="BJ61" s="155" t="str">
        <f t="shared" si="50"/>
        <v/>
      </c>
      <c r="BK61" s="155" t="str">
        <f t="shared" si="51"/>
        <v/>
      </c>
      <c r="BL61" s="155" t="str">
        <f t="shared" si="52"/>
        <v xml:space="preserve">tags:
- spain_x000D_
- malagon_x000D_
- churches_x000D_
- holy-persons_x000D_
- teresa-avila_x000D_
- discalced-carmelites_x000D_
- communities_x000D_
</v>
      </c>
      <c r="BM61" s="158" t="str">
        <f t="shared" si="30"/>
        <v/>
      </c>
      <c r="BN61" s="158" t="str">
        <f t="shared" si="31"/>
        <v/>
      </c>
      <c r="BO61" s="158" t="str">
        <f t="shared" si="32"/>
        <v/>
      </c>
      <c r="BP61" s="158" t="str">
        <f t="shared" si="33"/>
        <v/>
      </c>
      <c r="BQ61" s="155" t="str">
        <f t="shared" si="53"/>
        <v/>
      </c>
      <c r="BR61" s="155" t="str">
        <f t="shared" si="54"/>
        <v/>
      </c>
      <c r="BS61" s="155" t="str">
        <f t="shared" si="55"/>
        <v/>
      </c>
      <c r="BT61" s="155" t="str">
        <f t="shared" si="56"/>
        <v/>
      </c>
      <c r="BU61" s="155" t="str">
        <f>IF(LEN(concat(BR61:BT61))&gt;0,concat("| ",BR61," | ",BS61," | ",BT61," |"),"")</f>
        <v/>
      </c>
      <c r="BV61" s="155" t="str">
        <f t="shared" si="57"/>
        <v/>
      </c>
      <c r="BW61" s="155" t="str">
        <f>IF(LEN(BQ61&amp;BV61)&gt;0,concatll("#### More Information",BQ61,BV61),"")</f>
        <v/>
      </c>
      <c r="BX61" s="155" t="str">
        <f>IF(LEN(N61)&gt;1,concatll("#### Author's Note",N61,"-"&amp;B61),"")</f>
        <v/>
      </c>
      <c r="BY61" s="155" t="s">
        <v>335</v>
      </c>
      <c r="BZ61" s="155" t="s">
        <v>335</v>
      </c>
      <c r="CA61" s="23" t="str">
        <f>IF(AS61,concatll(concatl("---",AT61:AV61,BL61,"---"),M61,BW61:BX61),"")</f>
        <v xml:space="preserve">---_x000D_
title: "Convento de San Jose, Malagon"_x000D_
location: {lat: 39.1728365063378, lng: -3.85185117116384}_x000D_
interest: local_x000D_
tags:
- spain_x000D_
- malagon_x000D_
- churches_x000D_
- holy-persons_x000D_
- teresa-avila_x000D_
- discalced-carmelites_x000D_
- communities_x000D_
_x000D_
---_x000D_
_x000D_
_x000D_
The third of 17 communities founded by St. Teresa of Avila, in 1568._x000D_
_x000D_
</v>
      </c>
      <c r="CB61" s="23" t="str">
        <f>IF(AS61,"places\"&amp;VLOOKUP(C61,'(Ref) Countries'!A:B,2,)&amp;IF(LEN(D61)&gt;1,"-"&amp;LOWER(SUBSTITUTE(D61," ","-")),"")&amp;"-"&amp;LOWER(SUBSTITUTE(SUBSTITUTE(H61," ","-"),".",""))&amp;".md","")</f>
        <v>places\es-malagon-convento-de-san-jose.md</v>
      </c>
      <c r="CC61" s="29" t="str">
        <f>IF(LEN(Z61)&gt;1,VLOOKUP(Z61,'Tag List'!$A:$B,2,),"")</f>
        <v>St. Teresa of Avila, OCD</v>
      </c>
      <c r="CD61" s="29" t="str">
        <f>IF(LEN(AA61)&gt;1,VLOOKUP(AA61,'Tag List'!$A:$B,2,),"")</f>
        <v>Discalced Carmelites (Order of Discalced Carmelites)</v>
      </c>
      <c r="CE61" s="29" t="str">
        <f>IF(LEN(AB61)&gt;1,VLOOKUP(AB61,'Tag List'!$A:$B,2,),"")</f>
        <v>Religious Communities</v>
      </c>
      <c r="CF61" s="29" t="str">
        <f>IF(LEN(Z61)&gt;1,GetTagPage(CC61,Z61),"")</f>
        <v>[St. Teresa of Avila, OCD](/tags/teresa-avila)</v>
      </c>
      <c r="CG61" s="29" t="str">
        <f>IF(LEN(AA61)&gt;1,GetTagPage(CD61,AA61),"")</f>
        <v>[Discalced Carmelites (Order of Discalced Carmelites)](/tags/discalced-carmelites)</v>
      </c>
      <c r="CH61" s="29" t="str">
        <f>IF(LEN(AB61)&gt;1,GetTagPage(CE61,AB61),"")</f>
        <v>[Religious Communities](/tags/communities)</v>
      </c>
      <c r="CI61" s="29" t="str">
        <f t="shared" si="58"/>
        <v xml:space="preserve">| [St. Teresa of Avila, OCD](/tags/teresa-avila), [Discalced Carmelites (Order of Discalced Carmelites)](/tags/discalced-carmelites), [Religious Communities](/tags/communities) </v>
      </c>
      <c r="CJ61" s="29" t="str">
        <f t="shared" si="59"/>
        <v xml:space="preserve">| [](/places/places\es-malagon-convento-de-san-jose) </v>
      </c>
      <c r="CK61" s="29" t="str">
        <f>"| "&amp;IF(AS61,GetTagPage(C61,VLOOKUP(C61,'(Ref) Countries'!A:C,3,)),C61)&amp; " "</f>
        <v xml:space="preserve">| [Spain](/tags/spain) </v>
      </c>
      <c r="CL61" s="29" t="str">
        <f t="shared" si="60"/>
        <v xml:space="preserve">|  </v>
      </c>
      <c r="CM61" s="29" t="str">
        <f t="shared" si="61"/>
        <v xml:space="preserve">| [Link](/places/places\es-malagon-convento-de-san-jose) </v>
      </c>
      <c r="CN61" s="29" t="str">
        <f t="shared" si="62"/>
        <v xml:space="preserve">
| [](/places/places\es-malagon-convento-de-san-jose) | [Spain](/tags/spain) |  | [Link](/places/places\es-malagon-convento-de-san-jose) | [St. Teresa of Avila, OCD](/tags/teresa-avila), [Discalced Carmelites (Order of Discalced Carmelites)](/tags/discalced-carmelites), [Religious Communities](/tags/communities) |</v>
      </c>
    </row>
    <row r="62" spans="1:93" x14ac:dyDescent="0.25">
      <c r="A62" s="167" t="s">
        <v>1317</v>
      </c>
      <c r="B62" s="24" t="s">
        <v>2481</v>
      </c>
      <c r="C62" s="24" t="s">
        <v>550</v>
      </c>
      <c r="D62" s="111" t="s">
        <v>2125</v>
      </c>
      <c r="E62" s="15">
        <v>41.659886377779202</v>
      </c>
      <c r="F62" s="49">
        <v>-4.72687771534462</v>
      </c>
      <c r="G62" s="111" t="s">
        <v>2239</v>
      </c>
      <c r="H62" s="53" t="s">
        <v>2124</v>
      </c>
      <c r="I62" s="24" t="s">
        <v>1802</v>
      </c>
      <c r="J62" s="24" t="b">
        <v>1</v>
      </c>
      <c r="L62" s="24" t="b">
        <v>1</v>
      </c>
      <c r="M62" s="101" t="s">
        <v>2139</v>
      </c>
      <c r="Z62" s="15" t="s">
        <v>2100</v>
      </c>
      <c r="AA62" s="15" t="s">
        <v>2096</v>
      </c>
      <c r="AB62" s="15" t="s">
        <v>1420</v>
      </c>
      <c r="AS62" s="154" t="b">
        <f t="shared" si="34"/>
        <v>1</v>
      </c>
      <c r="AT62" s="155" t="str">
        <f t="shared" si="35"/>
        <v>title: "Convento de Santa Teresa, Valladolid"</v>
      </c>
      <c r="AU62" s="155" t="str">
        <f t="shared" si="36"/>
        <v>location: {lat: 41.6598863777792, lng: -4.72687771534462}</v>
      </c>
      <c r="AV62" s="155" t="str">
        <f t="shared" si="37"/>
        <v>interest: local</v>
      </c>
      <c r="AW62" s="155" t="str">
        <f>"- "&amp;VLOOKUP(C62,'(Ref) Countries'!A:C,3,)</f>
        <v>- spain</v>
      </c>
      <c r="AX62" s="155" t="str">
        <f t="shared" si="38"/>
        <v>- valladolid</v>
      </c>
      <c r="AY62" s="155" t="str">
        <f t="shared" si="39"/>
        <v>- churches</v>
      </c>
      <c r="AZ62" s="155" t="str">
        <f t="shared" si="40"/>
        <v/>
      </c>
      <c r="BA62" s="155" t="str">
        <f t="shared" si="41"/>
        <v>- holy-persons</v>
      </c>
      <c r="BB62" s="155" t="str">
        <f t="shared" si="42"/>
        <v>- teresa-avila</v>
      </c>
      <c r="BC62" s="155" t="str">
        <f t="shared" si="43"/>
        <v>- discalced-carmelites</v>
      </c>
      <c r="BD62" s="155" t="str">
        <f t="shared" si="44"/>
        <v>- communities</v>
      </c>
      <c r="BE62" s="155" t="str">
        <f t="shared" si="45"/>
        <v/>
      </c>
      <c r="BF62" s="155" t="str">
        <f t="shared" si="46"/>
        <v/>
      </c>
      <c r="BG62" s="155" t="str">
        <f t="shared" si="47"/>
        <v/>
      </c>
      <c r="BH62" s="155" t="str">
        <f t="shared" si="48"/>
        <v/>
      </c>
      <c r="BI62" s="155" t="str">
        <f t="shared" si="49"/>
        <v/>
      </c>
      <c r="BJ62" s="155" t="str">
        <f t="shared" si="50"/>
        <v/>
      </c>
      <c r="BK62" s="155" t="str">
        <f t="shared" si="51"/>
        <v/>
      </c>
      <c r="BL62" s="155" t="str">
        <f t="shared" si="52"/>
        <v xml:space="preserve">tags:
- spain_x000D_
- valladolid_x000D_
- churches_x000D_
- holy-persons_x000D_
- teresa-avila_x000D_
- discalced-carmelites_x000D_
- communities_x000D_
</v>
      </c>
      <c r="BM62" s="158" t="str">
        <f t="shared" si="30"/>
        <v/>
      </c>
      <c r="BN62" s="158" t="str">
        <f t="shared" si="31"/>
        <v/>
      </c>
      <c r="BO62" s="158" t="str">
        <f t="shared" si="32"/>
        <v/>
      </c>
      <c r="BP62" s="158" t="str">
        <f t="shared" si="33"/>
        <v/>
      </c>
      <c r="BQ62" s="155" t="str">
        <f t="shared" si="53"/>
        <v/>
      </c>
      <c r="BR62" s="155" t="str">
        <f t="shared" si="54"/>
        <v/>
      </c>
      <c r="BS62" s="155" t="str">
        <f t="shared" si="55"/>
        <v/>
      </c>
      <c r="BT62" s="155" t="str">
        <f t="shared" si="56"/>
        <v/>
      </c>
      <c r="BU62" s="155" t="str">
        <f>IF(LEN(concat(BR62:BT62))&gt;0,concat("| ",BR62," | ",BS62," | ",BT62," |"),"")</f>
        <v/>
      </c>
      <c r="BV62" s="155" t="str">
        <f t="shared" si="57"/>
        <v/>
      </c>
      <c r="BW62" s="155" t="str">
        <f>IF(LEN(BQ62&amp;BV62)&gt;0,concatll("#### More Information",BQ62,BV62),"")</f>
        <v/>
      </c>
      <c r="BX62" s="155" t="str">
        <f>IF(LEN(N62)&gt;1,concatll("#### Author's Note",N62,"-"&amp;B62),"")</f>
        <v/>
      </c>
      <c r="BY62" s="155" t="s">
        <v>335</v>
      </c>
      <c r="BZ62" s="155" t="s">
        <v>335</v>
      </c>
      <c r="CA62" s="23" t="str">
        <f>IF(AS62,concatll(concatl("---",AT62:AV62,BL62,"---"),M62,BW62:BX62),"")</f>
        <v xml:space="preserve">---_x000D_
title: "Convento de Santa Teresa, Valladolid"_x000D_
location: {lat: 41.6598863777792, lng: -4.72687771534462}_x000D_
interest: local_x000D_
tags:
- spain_x000D_
- valladolid_x000D_
- churches_x000D_
- holy-persons_x000D_
- teresa-avila_x000D_
- discalced-carmelites_x000D_
- communities_x000D_
_x000D_
---_x000D_
_x000D_
_x000D_
The fourth of 17 communities founded by St. Teresa of Avila, in 1568._x000D_
_x000D_
</v>
      </c>
      <c r="CB62" s="23" t="str">
        <f>IF(AS62,"places\"&amp;VLOOKUP(C62,'(Ref) Countries'!A:B,2,)&amp;IF(LEN(D62)&gt;1,"-"&amp;LOWER(SUBSTITUTE(D62," ","-")),"")&amp;"-"&amp;LOWER(SUBSTITUTE(SUBSTITUTE(H62," ","-"),".",""))&amp;".md","")</f>
        <v>places\es-valladolid-convento-de-santa-teresa.md</v>
      </c>
      <c r="CC62" s="29" t="str">
        <f>IF(LEN(Z62)&gt;1,VLOOKUP(Z62,'Tag List'!$A:$B,2,),"")</f>
        <v>St. Teresa of Avila, OCD</v>
      </c>
      <c r="CD62" s="29" t="str">
        <f>IF(LEN(AA62)&gt;1,VLOOKUP(AA62,'Tag List'!$A:$B,2,),"")</f>
        <v>Discalced Carmelites (Order of Discalced Carmelites)</v>
      </c>
      <c r="CE62" s="29" t="str">
        <f>IF(LEN(AB62)&gt;1,VLOOKUP(AB62,'Tag List'!$A:$B,2,),"")</f>
        <v>Religious Communities</v>
      </c>
      <c r="CF62" s="29" t="str">
        <f>IF(LEN(Z62)&gt;1,GetTagPage(CC62,Z62),"")</f>
        <v>[St. Teresa of Avila, OCD](/tags/teresa-avila)</v>
      </c>
      <c r="CG62" s="29" t="str">
        <f>IF(LEN(AA62)&gt;1,GetTagPage(CD62,AA62),"")</f>
        <v>[Discalced Carmelites (Order of Discalced Carmelites)](/tags/discalced-carmelites)</v>
      </c>
      <c r="CH62" s="29" t="str">
        <f>IF(LEN(AB62)&gt;1,GetTagPage(CE62,AB62),"")</f>
        <v>[Religious Communities](/tags/communities)</v>
      </c>
      <c r="CI62" s="29" t="str">
        <f t="shared" si="58"/>
        <v xml:space="preserve">| [St. Teresa of Avila, OCD](/tags/teresa-avila), [Discalced Carmelites (Order of Discalced Carmelites)](/tags/discalced-carmelites), [Religious Communities](/tags/communities) </v>
      </c>
      <c r="CJ62" s="29" t="str">
        <f t="shared" si="59"/>
        <v xml:space="preserve">| [](/places/places\es-valladolid-convento-de-santa-teresa) </v>
      </c>
      <c r="CK62" s="29" t="str">
        <f>"| "&amp;IF(AS62,GetTagPage(C62,VLOOKUP(C62,'(Ref) Countries'!A:C,3,)),C62)&amp; " "</f>
        <v xml:space="preserve">| [Spain](/tags/spain) </v>
      </c>
      <c r="CL62" s="29" t="str">
        <f t="shared" si="60"/>
        <v xml:space="preserve">|  </v>
      </c>
      <c r="CM62" s="29" t="str">
        <f t="shared" si="61"/>
        <v xml:space="preserve">| [Link](/places/places\es-valladolid-convento-de-santa-teresa) </v>
      </c>
      <c r="CN62" s="29" t="str">
        <f t="shared" si="62"/>
        <v xml:space="preserve">
| [](/places/places\es-valladolid-convento-de-santa-teresa) | [Spain](/tags/spain) |  | [Link](/places/places\es-valladolid-convento-de-santa-teresa) | [St. Teresa of Avila, OCD](/tags/teresa-avila), [Discalced Carmelites (Order of Discalced Carmelites)](/tags/discalced-carmelites), [Religious Communities](/tags/communities) |</v>
      </c>
    </row>
    <row r="63" spans="1:93" x14ac:dyDescent="0.25">
      <c r="A63" s="167" t="s">
        <v>1317</v>
      </c>
      <c r="B63" s="24" t="s">
        <v>2481</v>
      </c>
      <c r="C63" s="24" t="s">
        <v>550</v>
      </c>
      <c r="D63" s="101" t="s">
        <v>2128</v>
      </c>
      <c r="E63" s="15">
        <v>39.860357499451801</v>
      </c>
      <c r="F63" s="49">
        <v>-4.0247343354961798</v>
      </c>
      <c r="G63" s="101" t="s">
        <v>2129</v>
      </c>
      <c r="H63" s="53" t="s">
        <v>2105</v>
      </c>
      <c r="I63" s="24" t="s">
        <v>1802</v>
      </c>
      <c r="J63" s="24" t="b">
        <v>1</v>
      </c>
      <c r="L63" s="24" t="b">
        <v>1</v>
      </c>
      <c r="M63" s="101" t="s">
        <v>2140</v>
      </c>
      <c r="Z63" s="15" t="s">
        <v>2100</v>
      </c>
      <c r="AA63" s="15" t="s">
        <v>2096</v>
      </c>
      <c r="AB63" s="15" t="s">
        <v>1420</v>
      </c>
      <c r="AS63" s="154" t="b">
        <f t="shared" si="34"/>
        <v>1</v>
      </c>
      <c r="AT63" s="155" t="str">
        <f t="shared" si="35"/>
        <v>title: "Convento de San Jose, Toledo"</v>
      </c>
      <c r="AU63" s="155" t="str">
        <f t="shared" si="36"/>
        <v>location: {lat: 39.8603574994518, lng: -4.02473433549618}</v>
      </c>
      <c r="AV63" s="155" t="str">
        <f t="shared" si="37"/>
        <v>interest: local</v>
      </c>
      <c r="AW63" s="155" t="str">
        <f>"- "&amp;VLOOKUP(C63,'(Ref) Countries'!A:C,3,)</f>
        <v>- spain</v>
      </c>
      <c r="AX63" s="155" t="str">
        <f t="shared" si="38"/>
        <v>- toledo</v>
      </c>
      <c r="AY63" s="155" t="str">
        <f t="shared" si="39"/>
        <v>- churches</v>
      </c>
      <c r="AZ63" s="155" t="str">
        <f t="shared" si="40"/>
        <v/>
      </c>
      <c r="BA63" s="155" t="str">
        <f t="shared" si="41"/>
        <v>- holy-persons</v>
      </c>
      <c r="BB63" s="155" t="str">
        <f t="shared" si="42"/>
        <v>- teresa-avila</v>
      </c>
      <c r="BC63" s="155" t="str">
        <f t="shared" si="43"/>
        <v>- discalced-carmelites</v>
      </c>
      <c r="BD63" s="155" t="str">
        <f t="shared" si="44"/>
        <v>- communities</v>
      </c>
      <c r="BE63" s="155" t="str">
        <f t="shared" si="45"/>
        <v/>
      </c>
      <c r="BF63" s="155" t="str">
        <f t="shared" si="46"/>
        <v/>
      </c>
      <c r="BG63" s="155" t="str">
        <f t="shared" si="47"/>
        <v/>
      </c>
      <c r="BH63" s="155" t="str">
        <f t="shared" si="48"/>
        <v/>
      </c>
      <c r="BI63" s="155" t="str">
        <f t="shared" si="49"/>
        <v/>
      </c>
      <c r="BJ63" s="155" t="str">
        <f t="shared" si="50"/>
        <v/>
      </c>
      <c r="BK63" s="155" t="str">
        <f t="shared" si="51"/>
        <v/>
      </c>
      <c r="BL63" s="155" t="str">
        <f t="shared" si="52"/>
        <v xml:space="preserve">tags:
- spain_x000D_
- toledo_x000D_
- churches_x000D_
- holy-persons_x000D_
- teresa-avila_x000D_
- discalced-carmelites_x000D_
- communities_x000D_
</v>
      </c>
      <c r="BM63" s="158" t="str">
        <f t="shared" si="30"/>
        <v/>
      </c>
      <c r="BN63" s="158" t="str">
        <f t="shared" si="31"/>
        <v/>
      </c>
      <c r="BO63" s="158" t="str">
        <f t="shared" si="32"/>
        <v/>
      </c>
      <c r="BP63" s="158" t="str">
        <f t="shared" si="33"/>
        <v/>
      </c>
      <c r="BQ63" s="155" t="str">
        <f t="shared" si="53"/>
        <v/>
      </c>
      <c r="BR63" s="155" t="str">
        <f t="shared" si="54"/>
        <v/>
      </c>
      <c r="BS63" s="155" t="str">
        <f t="shared" si="55"/>
        <v/>
      </c>
      <c r="BT63" s="155" t="str">
        <f t="shared" si="56"/>
        <v/>
      </c>
      <c r="BU63" s="155" t="str">
        <f>IF(LEN(concat(BR63:BT63))&gt;0,concat("| ",BR63," | ",BS63," | ",BT63," |"),"")</f>
        <v/>
      </c>
      <c r="BV63" s="155" t="str">
        <f t="shared" si="57"/>
        <v/>
      </c>
      <c r="BW63" s="155" t="str">
        <f>IF(LEN(BQ63&amp;BV63)&gt;0,concatll("#### More Information",BQ63,BV63),"")</f>
        <v/>
      </c>
      <c r="BX63" s="155" t="str">
        <f>IF(LEN(N63)&gt;1,concatll("#### Author's Note",N63,"-"&amp;B63),"")</f>
        <v/>
      </c>
      <c r="BY63" s="155" t="s">
        <v>335</v>
      </c>
      <c r="BZ63" s="155" t="s">
        <v>335</v>
      </c>
      <c r="CA63" s="23" t="str">
        <f>IF(AS63,concatll(concatl("---",AT63:AV63,BL63,"---"),M63,BW63:BX63),"")</f>
        <v xml:space="preserve">---_x000D_
title: "Convento de San Jose, Toledo"_x000D_
location: {lat: 39.8603574994518, lng: -4.02473433549618}_x000D_
interest: local_x000D_
tags:
- spain_x000D_
- toledo_x000D_
- churches_x000D_
- holy-persons_x000D_
- teresa-avila_x000D_
- discalced-carmelites_x000D_
- communities_x000D_
_x000D_
---_x000D_
_x000D_
_x000D_
The fifth of 17 communities founded by St. Teresa of Avila, in 1569._x000D_
_x000D_
</v>
      </c>
      <c r="CB63" s="23" t="str">
        <f>IF(AS63,"places\"&amp;VLOOKUP(C63,'(Ref) Countries'!A:B,2,)&amp;IF(LEN(D63)&gt;1,"-"&amp;LOWER(SUBSTITUTE(D63," ","-")),"")&amp;"-"&amp;LOWER(SUBSTITUTE(SUBSTITUTE(H63," ","-"),".",""))&amp;".md","")</f>
        <v>places\es-toledo-convento-de-san-jose.md</v>
      </c>
      <c r="CC63" s="29" t="str">
        <f>IF(LEN(Z63)&gt;1,VLOOKUP(Z63,'Tag List'!$A:$B,2,),"")</f>
        <v>St. Teresa of Avila, OCD</v>
      </c>
      <c r="CD63" s="29" t="str">
        <f>IF(LEN(AA63)&gt;1,VLOOKUP(AA63,'Tag List'!$A:$B,2,),"")</f>
        <v>Discalced Carmelites (Order of Discalced Carmelites)</v>
      </c>
      <c r="CE63" s="29" t="str">
        <f>IF(LEN(AB63)&gt;1,VLOOKUP(AB63,'Tag List'!$A:$B,2,),"")</f>
        <v>Religious Communities</v>
      </c>
      <c r="CF63" s="29" t="str">
        <f>IF(LEN(Z63)&gt;1,GetTagPage(CC63,Z63),"")</f>
        <v>[St. Teresa of Avila, OCD](/tags/teresa-avila)</v>
      </c>
      <c r="CG63" s="29" t="str">
        <f>IF(LEN(AA63)&gt;1,GetTagPage(CD63,AA63),"")</f>
        <v>[Discalced Carmelites (Order of Discalced Carmelites)](/tags/discalced-carmelites)</v>
      </c>
      <c r="CH63" s="29" t="str">
        <f>IF(LEN(AB63)&gt;1,GetTagPage(CE63,AB63),"")</f>
        <v>[Religious Communities](/tags/communities)</v>
      </c>
      <c r="CI63" s="29" t="str">
        <f t="shared" si="58"/>
        <v xml:space="preserve">| [St. Teresa of Avila, OCD](/tags/teresa-avila), [Discalced Carmelites (Order of Discalced Carmelites)](/tags/discalced-carmelites), [Religious Communities](/tags/communities) </v>
      </c>
      <c r="CJ63" s="29" t="str">
        <f t="shared" si="59"/>
        <v xml:space="preserve">| [](/places/places\es-toledo-convento-de-san-jose) </v>
      </c>
      <c r="CK63" s="29" t="str">
        <f>"| "&amp;IF(AS63,GetTagPage(C63,VLOOKUP(C63,'(Ref) Countries'!A:C,3,)),C63)&amp; " "</f>
        <v xml:space="preserve">| [Spain](/tags/spain) </v>
      </c>
      <c r="CL63" s="29" t="str">
        <f t="shared" si="60"/>
        <v xml:space="preserve">|  </v>
      </c>
      <c r="CM63" s="29" t="str">
        <f t="shared" si="61"/>
        <v xml:space="preserve">| [Link](/places/places\es-toledo-convento-de-san-jose) </v>
      </c>
      <c r="CN63" s="29" t="str">
        <f t="shared" si="62"/>
        <v xml:space="preserve">
| [](/places/places\es-toledo-convento-de-san-jose) | [Spain](/tags/spain) |  | [Link](/places/places\es-toledo-convento-de-san-jose) | [St. Teresa of Avila, OCD](/tags/teresa-avila), [Discalced Carmelites (Order of Discalced Carmelites)](/tags/discalced-carmelites), [Religious Communities](/tags/communities) |</v>
      </c>
    </row>
    <row r="64" spans="1:93" ht="89.25" x14ac:dyDescent="0.25">
      <c r="A64" s="167" t="s">
        <v>1317</v>
      </c>
      <c r="B64" s="24" t="s">
        <v>2481</v>
      </c>
      <c r="C64" s="24" t="s">
        <v>550</v>
      </c>
      <c r="D64" s="101" t="s">
        <v>2132</v>
      </c>
      <c r="E64" s="15">
        <v>40.405087686540597</v>
      </c>
      <c r="F64" s="49">
        <v>-2.9172532935268598</v>
      </c>
      <c r="G64" s="101" t="s">
        <v>2131</v>
      </c>
      <c r="H64" s="103" t="s">
        <v>2130</v>
      </c>
      <c r="I64" s="24" t="s">
        <v>1802</v>
      </c>
      <c r="J64" s="24" t="b">
        <v>1</v>
      </c>
      <c r="L64" s="24" t="b">
        <v>1</v>
      </c>
      <c r="M64" s="101" t="s">
        <v>2231</v>
      </c>
      <c r="Q64" s="106" t="s">
        <v>2135</v>
      </c>
      <c r="R64" s="15" t="s">
        <v>2136</v>
      </c>
      <c r="S64" s="107" t="s">
        <v>335</v>
      </c>
      <c r="Z64" s="15" t="s">
        <v>2100</v>
      </c>
      <c r="AA64" s="102" t="s">
        <v>2096</v>
      </c>
      <c r="AB64" s="15" t="s">
        <v>1420</v>
      </c>
      <c r="AC64" s="15" t="s">
        <v>2133</v>
      </c>
      <c r="AD64" s="102" t="s">
        <v>2099</v>
      </c>
      <c r="AS64" s="154" t="b">
        <f t="shared" si="34"/>
        <v>1</v>
      </c>
      <c r="AT64" s="155" t="str">
        <f t="shared" si="35"/>
        <v>title: "Convento del Carmen, Pastrana"</v>
      </c>
      <c r="AU64" s="155" t="str">
        <f t="shared" si="36"/>
        <v>location: {lat: 40.4050876865406, lng: -2.91725329352686}</v>
      </c>
      <c r="AV64" s="155" t="str">
        <f t="shared" si="37"/>
        <v>interest: local</v>
      </c>
      <c r="AW64" s="155" t="str">
        <f>"- "&amp;VLOOKUP(C64,'(Ref) Countries'!A:C,3,)</f>
        <v>- spain</v>
      </c>
      <c r="AX64" s="155" t="str">
        <f t="shared" si="38"/>
        <v>- pastrana</v>
      </c>
      <c r="AY64" s="155" t="str">
        <f t="shared" si="39"/>
        <v>- churches</v>
      </c>
      <c r="AZ64" s="155" t="str">
        <f t="shared" si="40"/>
        <v/>
      </c>
      <c r="BA64" s="155" t="str">
        <f t="shared" si="41"/>
        <v>- holy-persons</v>
      </c>
      <c r="BB64" s="155" t="str">
        <f t="shared" si="42"/>
        <v>- teresa-avila</v>
      </c>
      <c r="BC64" s="155" t="str">
        <f t="shared" si="43"/>
        <v>- discalced-carmelites</v>
      </c>
      <c r="BD64" s="155" t="str">
        <f t="shared" si="44"/>
        <v>- communities</v>
      </c>
      <c r="BE64" s="155" t="str">
        <f t="shared" si="45"/>
        <v>- conceptionists</v>
      </c>
      <c r="BF64" s="155" t="str">
        <f t="shared" si="46"/>
        <v>- john-cross</v>
      </c>
      <c r="BG64" s="155" t="str">
        <f t="shared" si="47"/>
        <v/>
      </c>
      <c r="BH64" s="155" t="str">
        <f t="shared" si="48"/>
        <v/>
      </c>
      <c r="BI64" s="155" t="str">
        <f t="shared" si="49"/>
        <v/>
      </c>
      <c r="BJ64" s="155" t="str">
        <f t="shared" si="50"/>
        <v/>
      </c>
      <c r="BK64" s="155" t="str">
        <f t="shared" si="51"/>
        <v/>
      </c>
      <c r="BL64" s="155" t="str">
        <f t="shared" si="52"/>
        <v xml:space="preserve">tags:
- spain_x000D_
- pastrana_x000D_
- churches_x000D_
- holy-persons_x000D_
- teresa-avila_x000D_
- discalced-carmelites_x000D_
- communities_x000D_
- conceptionists_x000D_
- john-cross_x000D_
</v>
      </c>
      <c r="BM64" s="158" t="str">
        <f t="shared" si="30"/>
        <v/>
      </c>
      <c r="BN64" s="158" t="str">
        <f t="shared" si="31"/>
        <v>[Pastrana tourism site](https://turismo.pastrana.org/destino-pastrana/monumentos-pastrana-visitas-culturales/convento-del-carmen/)</v>
      </c>
      <c r="BO64" s="158" t="str">
        <f t="shared" si="32"/>
        <v/>
      </c>
      <c r="BP64" s="158" t="str">
        <f t="shared" si="33"/>
        <v/>
      </c>
      <c r="BQ64" s="155" t="str">
        <f t="shared" si="53"/>
        <v xml:space="preserve">* [Pastrana tourism site](https://turismo.pastrana.org/destino-pastrana/monumentos-pastrana-visitas-culturales/convento-del-carmen/)
</v>
      </c>
      <c r="BR64" s="155" t="str">
        <f t="shared" si="54"/>
        <v/>
      </c>
      <c r="BS64" s="155" t="str">
        <f t="shared" si="55"/>
        <v/>
      </c>
      <c r="BT64" s="155" t="str">
        <f t="shared" si="56"/>
        <v/>
      </c>
      <c r="BU64" s="155" t="str">
        <f>IF(LEN(concat(BR64:BT64))&gt;0,concat("| ",BR64," | ",BS64," | ",BT64," |"),"")</f>
        <v/>
      </c>
      <c r="BV64" s="155" t="str">
        <f t="shared" si="57"/>
        <v/>
      </c>
      <c r="BW64" s="155" t="str">
        <f>IF(LEN(BQ64&amp;BV64)&gt;0,concatll("#### More Information",BQ64,BV64),"")</f>
        <v xml:space="preserve">#### More Information_x000D_
_x000D_
* [Pastrana tourism site](https://turismo.pastrana.org/destino-pastrana/monumentos-pastrana-visitas-culturales/convento-del-carmen/)
_x000D_
_x000D_
</v>
      </c>
      <c r="BX64" s="155" t="str">
        <f>IF(LEN(N64)&gt;1,concatll("#### Author's Note",N64,"-"&amp;B64),"")</f>
        <v/>
      </c>
      <c r="BY64" s="155" t="s">
        <v>335</v>
      </c>
      <c r="BZ64" s="155" t="s">
        <v>335</v>
      </c>
      <c r="CA64" s="23" t="str">
        <f>IF(AS64,concatll(concatl("---",AT64:AV64,BL64,"---"),M64,BW64:BX64),"")</f>
        <v xml:space="preserve">---_x000D_
title: "Convento del Carmen, Pastrana"_x000D_
location: {lat: 40.4050876865406, lng: -2.91725329352686}_x000D_
interest: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23" t="str">
        <f>IF(AS64,"places\"&amp;VLOOKUP(C64,'(Ref) Countries'!A:B,2,)&amp;IF(LEN(D64)&gt;1,"-"&amp;LOWER(SUBSTITUTE(D64," ","-")),"")&amp;"-"&amp;LOWER(SUBSTITUTE(SUBSTITUTE(H64," ","-"),".",""))&amp;".md","")</f>
        <v>places\es-pastrana-convento-del-carmen.md</v>
      </c>
      <c r="CC64" s="29" t="str">
        <f>IF(LEN(Z64)&gt;1,VLOOKUP(Z64,'Tag List'!$A:$B,2,),"")</f>
        <v>St. Teresa of Avila, OCD</v>
      </c>
      <c r="CD64" s="29" t="str">
        <f>IF(LEN(AA64)&gt;1,VLOOKUP(AA64,'Tag List'!$A:$B,2,),"")</f>
        <v>Discalced Carmelites (Order of Discalced Carmelites)</v>
      </c>
      <c r="CE64" s="29" t="str">
        <f>IF(LEN(AB64)&gt;1,VLOOKUP(AB64,'Tag List'!$A:$B,2,),"")</f>
        <v>Religious Communities</v>
      </c>
      <c r="CF64" s="29" t="str">
        <f>IF(LEN(Z64)&gt;1,GetTagPage(CC64,Z64),"")</f>
        <v>[St. Teresa of Avila, OCD](/tags/teresa-avila)</v>
      </c>
      <c r="CG64" s="29" t="str">
        <f>IF(LEN(AA64)&gt;1,GetTagPage(CD64,AA64),"")</f>
        <v>[Discalced Carmelites (Order of Discalced Carmelites)](/tags/discalced-carmelites)</v>
      </c>
      <c r="CH64" s="29" t="str">
        <f>IF(LEN(AB64)&gt;1,GetTagPage(CE64,AB64),"")</f>
        <v>[Religious Communities](/tags/communities)</v>
      </c>
      <c r="CI64" s="29" t="str">
        <f t="shared" si="58"/>
        <v xml:space="preserve">| [St. Teresa of Avila, OCD](/tags/teresa-avila), [Discalced Carmelites (Order of Discalced Carmelites)](/tags/discalced-carmelites), [Religious Communities](/tags/communities) </v>
      </c>
      <c r="CJ64" s="29" t="str">
        <f t="shared" si="59"/>
        <v xml:space="preserve">| [](/places/places\es-pastrana-convento-del-carmen) </v>
      </c>
      <c r="CK64" s="29" t="str">
        <f>"| "&amp;IF(AS64,GetTagPage(C64,VLOOKUP(C64,'(Ref) Countries'!A:C,3,)),C64)&amp; " "</f>
        <v xml:space="preserve">| [Spain](/tags/spain) </v>
      </c>
      <c r="CL64" s="29" t="str">
        <f t="shared" si="60"/>
        <v xml:space="preserve">|  </v>
      </c>
      <c r="CM64" s="29" t="str">
        <f t="shared" si="61"/>
        <v xml:space="preserve">| [Link](/places/places\es-pastrana-convento-del-carmen) </v>
      </c>
      <c r="CN64" s="29" t="str">
        <f t="shared" si="62"/>
        <v xml:space="preserve">
| [](/places/places\es-pastrana-convento-del-carmen) | [Spain](/tags/spain) |  | [Link](/places/places\es-pastrana-convento-del-carmen) | [St. Teresa of Avila, OCD](/tags/teresa-avila), [Discalced Carmelites (Order of Discalced Carmelites)](/tags/discalced-carmelites), [Religious Communities](/tags/communities) |</v>
      </c>
    </row>
    <row r="65" spans="1:92" ht="89.25" x14ac:dyDescent="0.25">
      <c r="A65" s="167" t="s">
        <v>1317</v>
      </c>
      <c r="B65" s="24" t="s">
        <v>2481</v>
      </c>
      <c r="C65" s="24" t="s">
        <v>550</v>
      </c>
      <c r="D65" s="101"/>
      <c r="E65" s="15">
        <v>40.461168474019402</v>
      </c>
      <c r="F65" s="49">
        <v>-6.1468564846553697</v>
      </c>
      <c r="G65" s="101" t="s">
        <v>2110</v>
      </c>
      <c r="H65" s="53" t="s">
        <v>2110</v>
      </c>
      <c r="I65" s="24" t="s">
        <v>1802</v>
      </c>
      <c r="J65" s="24" t="b">
        <v>1</v>
      </c>
      <c r="L65" s="24" t="b">
        <v>1</v>
      </c>
      <c r="M65" s="101" t="s">
        <v>2142</v>
      </c>
      <c r="O65" s="15" t="s">
        <v>2111</v>
      </c>
      <c r="P65" s="104" t="s">
        <v>335</v>
      </c>
      <c r="S65" s="64" t="s">
        <v>335</v>
      </c>
      <c r="Z65" s="15" t="s">
        <v>2100</v>
      </c>
      <c r="AA65" s="15" t="s">
        <v>2096</v>
      </c>
      <c r="AB65" s="15" t="s">
        <v>1420</v>
      </c>
      <c r="AS65" s="154" t="b">
        <f t="shared" si="34"/>
        <v>1</v>
      </c>
      <c r="AT65" s="155" t="str">
        <f t="shared" si="35"/>
        <v>title: "Monasterio de las Batuecas"</v>
      </c>
      <c r="AU65" s="155" t="str">
        <f t="shared" si="36"/>
        <v>location: {lat: 40.4611684740194, lng: -6.14685648465537}</v>
      </c>
      <c r="AV65" s="155" t="str">
        <f t="shared" si="37"/>
        <v>interest: local</v>
      </c>
      <c r="AW65" s="155" t="str">
        <f>"- "&amp;VLOOKUP(C65,'(Ref) Countries'!A:C,3,)</f>
        <v>- spain</v>
      </c>
      <c r="AX65" s="155" t="str">
        <f t="shared" si="38"/>
        <v/>
      </c>
      <c r="AY65" s="155" t="str">
        <f t="shared" si="39"/>
        <v>- churches</v>
      </c>
      <c r="AZ65" s="155" t="str">
        <f t="shared" si="40"/>
        <v/>
      </c>
      <c r="BA65" s="155" t="str">
        <f t="shared" si="41"/>
        <v>- holy-persons</v>
      </c>
      <c r="BB65" s="155" t="str">
        <f t="shared" si="42"/>
        <v>- teresa-avila</v>
      </c>
      <c r="BC65" s="155" t="str">
        <f t="shared" si="43"/>
        <v>- discalced-carmelites</v>
      </c>
      <c r="BD65" s="155" t="str">
        <f t="shared" si="44"/>
        <v>- communities</v>
      </c>
      <c r="BE65" s="155" t="str">
        <f t="shared" si="45"/>
        <v/>
      </c>
      <c r="BF65" s="155" t="str">
        <f t="shared" si="46"/>
        <v/>
      </c>
      <c r="BG65" s="155" t="str">
        <f t="shared" si="47"/>
        <v/>
      </c>
      <c r="BH65" s="155" t="str">
        <f t="shared" si="48"/>
        <v/>
      </c>
      <c r="BI65" s="155" t="str">
        <f t="shared" si="49"/>
        <v/>
      </c>
      <c r="BJ65" s="155" t="str">
        <f t="shared" si="50"/>
        <v/>
      </c>
      <c r="BK65" s="155" t="str">
        <f t="shared" si="51"/>
        <v/>
      </c>
      <c r="BL65" s="155" t="str">
        <f t="shared" si="52"/>
        <v xml:space="preserve">tags:
- spain_x000D_
- churches_x000D_
- holy-persons_x000D_
- teresa-avila_x000D_
- discalced-carmelites_x000D_
- communities_x000D_
</v>
      </c>
      <c r="BM65" s="158" t="str">
        <f t="shared" si="30"/>
        <v>[Official site](https://monasteriodelasbatuecas.wordpress.com/)</v>
      </c>
      <c r="BN65" s="158" t="str">
        <f t="shared" si="31"/>
        <v/>
      </c>
      <c r="BO65" s="158" t="str">
        <f t="shared" si="32"/>
        <v/>
      </c>
      <c r="BP65" s="158" t="str">
        <f t="shared" si="33"/>
        <v/>
      </c>
      <c r="BQ65" s="155" t="str">
        <f t="shared" si="53"/>
        <v xml:space="preserve">* [Official site](https://monasteriodelasbatuecas.wordpress.com/)
</v>
      </c>
      <c r="BR65" s="155" t="str">
        <f t="shared" si="54"/>
        <v/>
      </c>
      <c r="BS65" s="155" t="str">
        <f t="shared" si="55"/>
        <v/>
      </c>
      <c r="BT65" s="155" t="str">
        <f t="shared" si="56"/>
        <v/>
      </c>
      <c r="BU65" s="155" t="str">
        <f>IF(LEN(concat(BR65:BT65))&gt;0,concat("| ",BR65," | ",BS65," | ",BT65," |"),"")</f>
        <v/>
      </c>
      <c r="BV65" s="155" t="str">
        <f t="shared" si="57"/>
        <v/>
      </c>
      <c r="BW65" s="155" t="str">
        <f>IF(LEN(BQ65&amp;BV65)&gt;0,concatll("#### More Information",BQ65,BV65),"")</f>
        <v xml:space="preserve">#### More Information_x000D_
_x000D_
* [Official site](https://monasteriodelasbatuecas.wordpress.com/)
_x000D_
_x000D_
</v>
      </c>
      <c r="BX65" s="155" t="str">
        <f>IF(LEN(N65)&gt;1,concatll("#### Author's Note",N65,"-"&amp;B65),"")</f>
        <v/>
      </c>
      <c r="BY65" s="155" t="s">
        <v>335</v>
      </c>
      <c r="BZ65" s="155" t="s">
        <v>335</v>
      </c>
      <c r="CA65" s="23" t="str">
        <f>IF(AS65,concatll(concatl("---",AT65:AV65,BL65,"---"),M65,BW65:BX65),"")</f>
        <v xml:space="preserve">---_x000D_
title: "Monasterio de las Batuecas"_x000D_
location: {lat: 40.4611684740194, lng: -6.14685648465537}_x000D_
interest: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23" t="str">
        <f>IF(AS65,"places\"&amp;VLOOKUP(C65,'(Ref) Countries'!A:B,2,)&amp;IF(LEN(D65)&gt;1,"-"&amp;LOWER(SUBSTITUTE(D65," ","-")),"")&amp;"-"&amp;LOWER(SUBSTITUTE(SUBSTITUTE(H65," ","-"),".",""))&amp;".md","")</f>
        <v>places\es-monasterio-de-las-batuecas.md</v>
      </c>
      <c r="CC65" s="29" t="str">
        <f>IF(LEN(Z65)&gt;1,VLOOKUP(Z65,'Tag List'!$A:$B,2,),"")</f>
        <v>St. Teresa of Avila, OCD</v>
      </c>
      <c r="CD65" s="29" t="str">
        <f>IF(LEN(AA65)&gt;1,VLOOKUP(AA65,'Tag List'!$A:$B,2,),"")</f>
        <v>Discalced Carmelites (Order of Discalced Carmelites)</v>
      </c>
      <c r="CE65" s="29" t="str">
        <f>IF(LEN(AB65)&gt;1,VLOOKUP(AB65,'Tag List'!$A:$B,2,),"")</f>
        <v>Religious Communities</v>
      </c>
      <c r="CF65" s="29" t="str">
        <f>IF(LEN(Z65)&gt;1,GetTagPage(CC65,Z65),"")</f>
        <v>[St. Teresa of Avila, OCD](/tags/teresa-avila)</v>
      </c>
      <c r="CG65" s="29" t="str">
        <f>IF(LEN(AA65)&gt;1,GetTagPage(CD65,AA65),"")</f>
        <v>[Discalced Carmelites (Order of Discalced Carmelites)](/tags/discalced-carmelites)</v>
      </c>
      <c r="CH65" s="29" t="str">
        <f>IF(LEN(AB65)&gt;1,GetTagPage(CE65,AB65),"")</f>
        <v>[Religious Communities](/tags/communities)</v>
      </c>
      <c r="CI65" s="29" t="str">
        <f t="shared" si="58"/>
        <v xml:space="preserve">| [St. Teresa of Avila, OCD](/tags/teresa-avila), [Discalced Carmelites (Order of Discalced Carmelites)](/tags/discalced-carmelites), [Religious Communities](/tags/communities) </v>
      </c>
      <c r="CJ65" s="29" t="str">
        <f t="shared" si="59"/>
        <v xml:space="preserve">| [](/places/places\es-monasterio-de-las-batuecas) </v>
      </c>
      <c r="CK65" s="29" t="str">
        <f>"| "&amp;IF(AS65,GetTagPage(C65,VLOOKUP(C65,'(Ref) Countries'!A:C,3,)),C65)&amp; " "</f>
        <v xml:space="preserve">| [Spain](/tags/spain) </v>
      </c>
      <c r="CL65" s="29" t="str">
        <f t="shared" si="60"/>
        <v xml:space="preserve">|  </v>
      </c>
      <c r="CM65" s="29" t="str">
        <f t="shared" si="61"/>
        <v xml:space="preserve">| [Link](/places/places\es-monasterio-de-las-batuecas) </v>
      </c>
      <c r="CN65" s="29" t="str">
        <f t="shared" si="62"/>
        <v xml:space="preserve">
| [](/places/places\es-monasterio-de-las-batuecas) | [Spain](/tags/spain) |  | [Link](/places/places\es-monasterio-de-las-batuecas) [Official site](https://monasteriodelasbatuecas.wordpress.com/)| [St. Teresa of Avila, OCD](/tags/teresa-avila), [Discalced Carmelites (Order of Discalced Carmelites)](/tags/discalced-carmelites), [Religious Communities](/tags/communities) |</v>
      </c>
    </row>
    <row r="66" spans="1:92" ht="38.25" x14ac:dyDescent="0.25">
      <c r="A66" s="167" t="s">
        <v>1317</v>
      </c>
      <c r="B66" s="24" t="s">
        <v>2481</v>
      </c>
      <c r="C66" s="24" t="s">
        <v>550</v>
      </c>
      <c r="D66" s="101" t="s">
        <v>2143</v>
      </c>
      <c r="E66" s="15">
        <v>40.826532835917298</v>
      </c>
      <c r="F66" s="49">
        <v>-5.5144056355381297</v>
      </c>
      <c r="G66" s="111" t="s">
        <v>2240</v>
      </c>
      <c r="H66" s="103" t="s">
        <v>2115</v>
      </c>
      <c r="I66" s="101" t="s">
        <v>1737</v>
      </c>
      <c r="J66" s="24" t="b">
        <v>1</v>
      </c>
      <c r="L66" s="24" t="b">
        <v>1</v>
      </c>
      <c r="M66" s="101" t="s">
        <v>2141</v>
      </c>
      <c r="O66" s="15" t="s">
        <v>2118</v>
      </c>
      <c r="P66" s="15" t="s">
        <v>335</v>
      </c>
      <c r="Q66" s="106" t="s">
        <v>2116</v>
      </c>
      <c r="R66" s="15" t="s">
        <v>2117</v>
      </c>
      <c r="S66" s="64" t="s">
        <v>335</v>
      </c>
      <c r="Z66" s="15" t="s">
        <v>2100</v>
      </c>
      <c r="AA66" s="15" t="s">
        <v>2096</v>
      </c>
      <c r="AB66" s="15" t="s">
        <v>1420</v>
      </c>
      <c r="AS66" s="154" t="b">
        <f t="shared" si="34"/>
        <v>1</v>
      </c>
      <c r="AT66" s="155" t="str">
        <f t="shared" si="35"/>
        <v>title: "Convent of the Anunciation (Convento de La Anunciacion), Alba de Tormes"</v>
      </c>
      <c r="AU66" s="155" t="str">
        <f t="shared" si="36"/>
        <v>location: {lat: 40.8265328359173, lng: -5.51440563553813}</v>
      </c>
      <c r="AV66" s="155" t="str">
        <f t="shared" si="37"/>
        <v>interest: regional</v>
      </c>
      <c r="AW66" s="155" t="str">
        <f>"- "&amp;VLOOKUP(C66,'(Ref) Countries'!A:C,3,)</f>
        <v>- spain</v>
      </c>
      <c r="AX66" s="155" t="str">
        <f t="shared" si="38"/>
        <v>- alba-de-tormes</v>
      </c>
      <c r="AY66" s="155" t="str">
        <f t="shared" si="39"/>
        <v>- churches</v>
      </c>
      <c r="AZ66" s="155" t="str">
        <f t="shared" si="40"/>
        <v/>
      </c>
      <c r="BA66" s="155" t="str">
        <f t="shared" si="41"/>
        <v>- holy-persons</v>
      </c>
      <c r="BB66" s="155" t="str">
        <f t="shared" si="42"/>
        <v>- teresa-avila</v>
      </c>
      <c r="BC66" s="155" t="str">
        <f t="shared" si="43"/>
        <v>- discalced-carmelites</v>
      </c>
      <c r="BD66" s="155" t="str">
        <f t="shared" si="44"/>
        <v>- communities</v>
      </c>
      <c r="BE66" s="155" t="str">
        <f t="shared" si="45"/>
        <v/>
      </c>
      <c r="BF66" s="155" t="str">
        <f t="shared" si="46"/>
        <v/>
      </c>
      <c r="BG66" s="155" t="str">
        <f t="shared" si="47"/>
        <v/>
      </c>
      <c r="BH66" s="155" t="str">
        <f t="shared" si="48"/>
        <v/>
      </c>
      <c r="BI66" s="155" t="str">
        <f t="shared" si="49"/>
        <v/>
      </c>
      <c r="BJ66" s="155" t="str">
        <f t="shared" si="50"/>
        <v/>
      </c>
      <c r="BK66" s="155" t="str">
        <f t="shared" si="51"/>
        <v/>
      </c>
      <c r="BL66" s="155" t="str">
        <f t="shared" si="52"/>
        <v xml:space="preserve">tags:
- spain_x000D_
- alba-de-tormes_x000D_
- churches_x000D_
- holy-persons_x000D_
- teresa-avila_x000D_
- discalced-carmelites_x000D_
- communities_x000D_
</v>
      </c>
      <c r="BM66" s="158" t="str">
        <f t="shared" si="30"/>
        <v>[Official site](https://carmelitasalba.org/)</v>
      </c>
      <c r="BN66" s="158" t="str">
        <f t="shared" si="31"/>
        <v>[Information in English](https://www.carmelitasalba.org/wp-content/themes/Florida_child_theme/images/carmus-ingles-web.pdf)</v>
      </c>
      <c r="BO66" s="158" t="str">
        <f t="shared" si="32"/>
        <v/>
      </c>
      <c r="BP66" s="158" t="str">
        <f t="shared" si="33"/>
        <v/>
      </c>
      <c r="BQ66" s="155" t="str">
        <f t="shared" si="53"/>
        <v xml:space="preserve">* [Official site](https://carmelitasalba.org/)
* [Information in English](https://www.carmelitasalba.org/wp-content/themes/Florida_child_theme/images/carmus-ingles-web.pdf)
</v>
      </c>
      <c r="BR66" s="155" t="str">
        <f t="shared" si="54"/>
        <v/>
      </c>
      <c r="BS66" s="155" t="str">
        <f t="shared" si="55"/>
        <v/>
      </c>
      <c r="BT66" s="155" t="str">
        <f t="shared" si="56"/>
        <v/>
      </c>
      <c r="BU66" s="155" t="str">
        <f>IF(LEN(concat(BR66:BT66))&gt;0,concat("| ",BR66," | ",BS66," | ",BT66," |"),"")</f>
        <v/>
      </c>
      <c r="BV66" s="155" t="str">
        <f t="shared" si="57"/>
        <v/>
      </c>
      <c r="BW66" s="155"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55" t="str">
        <f>IF(LEN(N66)&gt;1,concatll("#### Author's Note",N66,"-"&amp;B66),"")</f>
        <v/>
      </c>
      <c r="BY66" s="155" t="s">
        <v>335</v>
      </c>
      <c r="BZ66" s="155" t="s">
        <v>335</v>
      </c>
      <c r="CA66" s="23" t="str">
        <f>IF(AS66,concatll(concatl("---",AT66:AV66,BL66,"---"),M66,BW66:BX66),"")</f>
        <v xml:space="preserve">---_x000D_
title: "Convent of the Anunciation (Convento de La Anunciacion), Alba de Tormes"_x000D_
location: {lat: 40.8265328359173, lng: -5.51440563553813}_x000D_
interest: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23" t="str">
        <f>IF(AS66,"places\"&amp;VLOOKUP(C66,'(Ref) Countries'!A:B,2,)&amp;IF(LEN(D66)&gt;1,"-"&amp;LOWER(SUBSTITUTE(D66," ","-")),"")&amp;"-"&amp;LOWER(SUBSTITUTE(SUBSTITUTE(H66," ","-"),".",""))&amp;".md","")</f>
        <v>places\es-alba-de-tormes-convento-de-la-anunciacion.md</v>
      </c>
      <c r="CC66" s="29" t="str">
        <f>IF(LEN(Z66)&gt;1,VLOOKUP(Z66,'Tag List'!$A:$B,2,),"")</f>
        <v>St. Teresa of Avila, OCD</v>
      </c>
      <c r="CD66" s="29" t="str">
        <f>IF(LEN(AA66)&gt;1,VLOOKUP(AA66,'Tag List'!$A:$B,2,),"")</f>
        <v>Discalced Carmelites (Order of Discalced Carmelites)</v>
      </c>
      <c r="CE66" s="29" t="str">
        <f>IF(LEN(AB66)&gt;1,VLOOKUP(AB66,'Tag List'!$A:$B,2,),"")</f>
        <v>Religious Communities</v>
      </c>
      <c r="CF66" s="29" t="str">
        <f>IF(LEN(Z66)&gt;1,GetTagPage(CC66,Z66),"")</f>
        <v>[St. Teresa of Avila, OCD](/tags/teresa-avila)</v>
      </c>
      <c r="CG66" s="29" t="str">
        <f>IF(LEN(AA66)&gt;1,GetTagPage(CD66,AA66),"")</f>
        <v>[Discalced Carmelites (Order of Discalced Carmelites)](/tags/discalced-carmelites)</v>
      </c>
      <c r="CH66" s="29" t="str">
        <f>IF(LEN(AB66)&gt;1,GetTagPage(CE66,AB66),"")</f>
        <v>[Religious Communities](/tags/communities)</v>
      </c>
      <c r="CI66" s="29" t="str">
        <f t="shared" si="58"/>
        <v xml:space="preserve">| [St. Teresa of Avila, OCD](/tags/teresa-avila), [Discalced Carmelites (Order of Discalced Carmelites)](/tags/discalced-carmelites), [Religious Communities](/tags/communities) </v>
      </c>
      <c r="CJ66" s="29" t="str">
        <f t="shared" si="59"/>
        <v xml:space="preserve">| [](/places/places\es-alba-de-tormes-convento-de-la-anunciacion) </v>
      </c>
      <c r="CK66" s="29" t="str">
        <f>"| "&amp;IF(AS66,GetTagPage(C66,VLOOKUP(C66,'(Ref) Countries'!A:C,3,)),C66)&amp; " "</f>
        <v xml:space="preserve">| [Spain](/tags/spain) </v>
      </c>
      <c r="CL66" s="29" t="str">
        <f t="shared" si="60"/>
        <v xml:space="preserve">|  </v>
      </c>
      <c r="CM66" s="29" t="str">
        <f t="shared" si="61"/>
        <v xml:space="preserve">| [Link](/places/places\es-alba-de-tormes-convento-de-la-anunciacion) </v>
      </c>
      <c r="CN66" s="29" t="str">
        <f t="shared" si="62"/>
        <v xml:space="preserve">
| [](/places/places\es-alba-de-tormes-convento-de-la-anunciacion) | [Spain](/tags/spain) |  | [Link](/places/places\es-alba-de-tormes-convento-de-la-anunciacion) [Official site](https://carmelitasalba.org/)| [St. Teresa of Avila, OCD](/tags/teresa-avila), [Discalced Carmelites (Order of Discalced Carmelites)](/tags/discalced-carmelites), [Religious Communities](/tags/communities) |</v>
      </c>
    </row>
    <row r="67" spans="1:92" x14ac:dyDescent="0.25">
      <c r="A67" s="167" t="s">
        <v>1317</v>
      </c>
      <c r="B67" s="24" t="s">
        <v>2481</v>
      </c>
      <c r="C67" s="24" t="s">
        <v>550</v>
      </c>
      <c r="D67" s="101" t="s">
        <v>2144</v>
      </c>
      <c r="E67" s="15">
        <v>40.951196907421703</v>
      </c>
      <c r="F67" s="49">
        <v>-4.1268227200102796</v>
      </c>
      <c r="G67" s="101" t="s">
        <v>2145</v>
      </c>
      <c r="H67" s="53" t="s">
        <v>2105</v>
      </c>
      <c r="I67" s="24" t="s">
        <v>1802</v>
      </c>
      <c r="J67" s="24" t="b">
        <v>1</v>
      </c>
      <c r="L67" s="24" t="b">
        <v>1</v>
      </c>
      <c r="M67" s="101" t="s">
        <v>2146</v>
      </c>
      <c r="Z67" s="15" t="s">
        <v>2100</v>
      </c>
      <c r="AA67" s="15" t="s">
        <v>2096</v>
      </c>
      <c r="AB67" s="15" t="s">
        <v>1420</v>
      </c>
      <c r="AS67" s="154" t="b">
        <f t="shared" si="34"/>
        <v>1</v>
      </c>
      <c r="AT67" s="155" t="str">
        <f t="shared" si="35"/>
        <v>title: "Convento de San Jose, Segovia"</v>
      </c>
      <c r="AU67" s="155" t="str">
        <f t="shared" si="36"/>
        <v>location: {lat: 40.9511969074217, lng: -4.12682272001028}</v>
      </c>
      <c r="AV67" s="155" t="str">
        <f t="shared" si="37"/>
        <v>interest: local</v>
      </c>
      <c r="AW67" s="155" t="str">
        <f>"- "&amp;VLOOKUP(C67,'(Ref) Countries'!A:C,3,)</f>
        <v>- spain</v>
      </c>
      <c r="AX67" s="155" t="str">
        <f t="shared" si="38"/>
        <v>- segovia</v>
      </c>
      <c r="AY67" s="155" t="str">
        <f t="shared" si="39"/>
        <v>- churches</v>
      </c>
      <c r="AZ67" s="155" t="str">
        <f t="shared" si="40"/>
        <v/>
      </c>
      <c r="BA67" s="155" t="str">
        <f t="shared" si="41"/>
        <v>- holy-persons</v>
      </c>
      <c r="BB67" s="155" t="str">
        <f t="shared" si="42"/>
        <v>- teresa-avila</v>
      </c>
      <c r="BC67" s="155" t="str">
        <f t="shared" si="43"/>
        <v>- discalced-carmelites</v>
      </c>
      <c r="BD67" s="155" t="str">
        <f t="shared" si="44"/>
        <v>- communities</v>
      </c>
      <c r="BE67" s="155" t="str">
        <f t="shared" si="45"/>
        <v/>
      </c>
      <c r="BF67" s="155" t="str">
        <f t="shared" si="46"/>
        <v/>
      </c>
      <c r="BG67" s="155" t="str">
        <f t="shared" si="47"/>
        <v/>
      </c>
      <c r="BH67" s="155" t="str">
        <f t="shared" si="48"/>
        <v/>
      </c>
      <c r="BI67" s="155" t="str">
        <f t="shared" si="49"/>
        <v/>
      </c>
      <c r="BJ67" s="155" t="str">
        <f t="shared" si="50"/>
        <v/>
      </c>
      <c r="BK67" s="155" t="str">
        <f t="shared" si="51"/>
        <v/>
      </c>
      <c r="BL67" s="155" t="str">
        <f t="shared" si="52"/>
        <v xml:space="preserve">tags:
- spain_x000D_
- segovia_x000D_
- churches_x000D_
- holy-persons_x000D_
- teresa-avila_x000D_
- discalced-carmelites_x000D_
- communities_x000D_
</v>
      </c>
      <c r="BM67" s="158" t="str">
        <f t="shared" si="30"/>
        <v/>
      </c>
      <c r="BN67" s="158" t="str">
        <f t="shared" si="31"/>
        <v/>
      </c>
      <c r="BO67" s="158" t="str">
        <f t="shared" si="32"/>
        <v/>
      </c>
      <c r="BP67" s="158" t="str">
        <f t="shared" si="33"/>
        <v/>
      </c>
      <c r="BQ67" s="155" t="str">
        <f t="shared" si="53"/>
        <v/>
      </c>
      <c r="BR67" s="155" t="str">
        <f t="shared" si="54"/>
        <v/>
      </c>
      <c r="BS67" s="155" t="str">
        <f t="shared" si="55"/>
        <v/>
      </c>
      <c r="BT67" s="155" t="str">
        <f t="shared" si="56"/>
        <v/>
      </c>
      <c r="BU67" s="155" t="str">
        <f>IF(LEN(concat(BR67:BT67))&gt;0,concat("| ",BR67," | ",BS67," | ",BT67," |"),"")</f>
        <v/>
      </c>
      <c r="BV67" s="155" t="str">
        <f t="shared" si="57"/>
        <v/>
      </c>
      <c r="BW67" s="155" t="str">
        <f>IF(LEN(BQ67&amp;BV67)&gt;0,concatll("#### More Information",BQ67,BV67),"")</f>
        <v/>
      </c>
      <c r="BX67" s="155" t="str">
        <f>IF(LEN(N67)&gt;1,concatll("#### Author's Note",N67,"-"&amp;B67),"")</f>
        <v/>
      </c>
      <c r="BY67" s="155" t="s">
        <v>335</v>
      </c>
      <c r="BZ67" s="155" t="s">
        <v>335</v>
      </c>
      <c r="CA67" s="23" t="str">
        <f>IF(AS67,concatll(concatl("---",AT67:AV67,BL67,"---"),M67,BW67:BX67),"")</f>
        <v xml:space="preserve">---_x000D_
title: "Convento de San Jose, Segovia"_x000D_
location: {lat: 40.9511969074217, lng: -4.12682272001028}_x000D_
interest: local_x000D_
tags:
- spain_x000D_
- segovia_x000D_
- churches_x000D_
- holy-persons_x000D_
- teresa-avila_x000D_
- discalced-carmelites_x000D_
- communities_x000D_
_x000D_
---_x000D_
_x000D_
_x000D_
The ninth of 17 communities founded by St. Teresa of Avila, in 1574._x000D_
_x000D_
</v>
      </c>
      <c r="CB67" s="23" t="str">
        <f>IF(AS67,"places\"&amp;VLOOKUP(C67,'(Ref) Countries'!A:B,2,)&amp;IF(LEN(D67)&gt;1,"-"&amp;LOWER(SUBSTITUTE(D67," ","-")),"")&amp;"-"&amp;LOWER(SUBSTITUTE(SUBSTITUTE(H67," ","-"),".",""))&amp;".md","")</f>
        <v>places\es-segovia-convento-de-san-jose.md</v>
      </c>
      <c r="CC67" s="29" t="str">
        <f>IF(LEN(Z67)&gt;1,VLOOKUP(Z67,'Tag List'!$A:$B,2,),"")</f>
        <v>St. Teresa of Avila, OCD</v>
      </c>
      <c r="CD67" s="29" t="str">
        <f>IF(LEN(AA67)&gt;1,VLOOKUP(AA67,'Tag List'!$A:$B,2,),"")</f>
        <v>Discalced Carmelites (Order of Discalced Carmelites)</v>
      </c>
      <c r="CE67" s="29" t="str">
        <f>IF(LEN(AB67)&gt;1,VLOOKUP(AB67,'Tag List'!$A:$B,2,),"")</f>
        <v>Religious Communities</v>
      </c>
      <c r="CF67" s="29" t="str">
        <f>IF(LEN(Z67)&gt;1,GetTagPage(CC67,Z67),"")</f>
        <v>[St. Teresa of Avila, OCD](/tags/teresa-avila)</v>
      </c>
      <c r="CG67" s="29" t="str">
        <f>IF(LEN(AA67)&gt;1,GetTagPage(CD67,AA67),"")</f>
        <v>[Discalced Carmelites (Order of Discalced Carmelites)](/tags/discalced-carmelites)</v>
      </c>
      <c r="CH67" s="29" t="str">
        <f>IF(LEN(AB67)&gt;1,GetTagPage(CE67,AB67),"")</f>
        <v>[Religious Communities](/tags/communities)</v>
      </c>
      <c r="CI67" s="29" t="str">
        <f t="shared" si="58"/>
        <v xml:space="preserve">| [St. Teresa of Avila, OCD](/tags/teresa-avila), [Discalced Carmelites (Order of Discalced Carmelites)](/tags/discalced-carmelites), [Religious Communities](/tags/communities) </v>
      </c>
      <c r="CJ67" s="29" t="str">
        <f t="shared" si="59"/>
        <v xml:space="preserve">| [](/places/places\es-segovia-convento-de-san-jose) </v>
      </c>
      <c r="CK67" s="29" t="str">
        <f>"| "&amp;IF(AS67,GetTagPage(C67,VLOOKUP(C67,'(Ref) Countries'!A:C,3,)),C67)&amp; " "</f>
        <v xml:space="preserve">| [Spain](/tags/spain) </v>
      </c>
      <c r="CL67" s="29" t="str">
        <f t="shared" si="60"/>
        <v xml:space="preserve">|  </v>
      </c>
      <c r="CM67" s="29" t="str">
        <f t="shared" si="61"/>
        <v xml:space="preserve">| [Link](/places/places\es-segovia-convento-de-san-jose) </v>
      </c>
      <c r="CN67" s="29" t="str">
        <f t="shared" si="62"/>
        <v xml:space="preserve">
| [](/places/places\es-segovia-convento-de-san-jose) | [Spain](/tags/spain) |  | [Link](/places/places\es-segovia-convento-de-san-jose) | [St. Teresa of Avila, OCD](/tags/teresa-avila), [Discalced Carmelites (Order of Discalced Carmelites)](/tags/discalced-carmelites), [Religious Communities](/tags/communities) |</v>
      </c>
    </row>
    <row r="68" spans="1:92" x14ac:dyDescent="0.25">
      <c r="A68" s="167" t="s">
        <v>1317</v>
      </c>
      <c r="B68" s="24" t="s">
        <v>2481</v>
      </c>
      <c r="C68" s="24" t="s">
        <v>550</v>
      </c>
      <c r="D68" s="101" t="s">
        <v>2147</v>
      </c>
      <c r="E68" s="15">
        <v>38.251042949170802</v>
      </c>
      <c r="F68" s="49">
        <v>-2.88706618465537</v>
      </c>
      <c r="G68" s="111" t="s">
        <v>2241</v>
      </c>
      <c r="H68" s="53" t="s">
        <v>2148</v>
      </c>
      <c r="I68" s="24" t="s">
        <v>1802</v>
      </c>
      <c r="J68" s="24" t="b">
        <v>1</v>
      </c>
      <c r="L68" s="24" t="b">
        <v>1</v>
      </c>
      <c r="M68" s="101" t="s">
        <v>2154</v>
      </c>
      <c r="Q68" s="106" t="s">
        <v>2149</v>
      </c>
      <c r="R68" s="15" t="s">
        <v>2150</v>
      </c>
      <c r="S68" s="107" t="s">
        <v>335</v>
      </c>
      <c r="T68" s="106" t="s">
        <v>2151</v>
      </c>
      <c r="U68" s="15" t="s">
        <v>2152</v>
      </c>
      <c r="V68" s="108" t="s">
        <v>2153</v>
      </c>
      <c r="W68" s="104" t="s">
        <v>335</v>
      </c>
      <c r="Z68" s="15" t="s">
        <v>2100</v>
      </c>
      <c r="AA68" s="15" t="s">
        <v>2096</v>
      </c>
      <c r="AB68" s="15" t="s">
        <v>1420</v>
      </c>
      <c r="AS68" s="154" t="b">
        <f t="shared" si="34"/>
        <v>1</v>
      </c>
      <c r="AT68" s="155" t="str">
        <f t="shared" si="35"/>
        <v>title: "Monasterio de San Jose del Salvador, Beas"</v>
      </c>
      <c r="AU68" s="155" t="str">
        <f t="shared" si="36"/>
        <v>location: {lat: 38.2510429491708, lng: -2.88706618465537}</v>
      </c>
      <c r="AV68" s="155" t="str">
        <f t="shared" si="37"/>
        <v>interest: local</v>
      </c>
      <c r="AW68" s="155" t="str">
        <f>"- "&amp;VLOOKUP(C68,'(Ref) Countries'!A:C,3,)</f>
        <v>- spain</v>
      </c>
      <c r="AX68" s="155" t="str">
        <f t="shared" si="38"/>
        <v>- beas-de-segura</v>
      </c>
      <c r="AY68" s="155" t="str">
        <f t="shared" si="39"/>
        <v>- churches</v>
      </c>
      <c r="AZ68" s="155" t="str">
        <f t="shared" si="40"/>
        <v/>
      </c>
      <c r="BA68" s="155" t="str">
        <f t="shared" si="41"/>
        <v>- holy-persons</v>
      </c>
      <c r="BB68" s="155" t="str">
        <f t="shared" si="42"/>
        <v>- teresa-avila</v>
      </c>
      <c r="BC68" s="155" t="str">
        <f t="shared" si="43"/>
        <v>- discalced-carmelites</v>
      </c>
      <c r="BD68" s="155" t="str">
        <f t="shared" si="44"/>
        <v>- communities</v>
      </c>
      <c r="BE68" s="155" t="str">
        <f t="shared" si="45"/>
        <v/>
      </c>
      <c r="BF68" s="155" t="str">
        <f t="shared" si="46"/>
        <v/>
      </c>
      <c r="BG68" s="155" t="str">
        <f t="shared" si="47"/>
        <v/>
      </c>
      <c r="BH68" s="155" t="str">
        <f t="shared" si="48"/>
        <v/>
      </c>
      <c r="BI68" s="155" t="str">
        <f t="shared" si="49"/>
        <v/>
      </c>
      <c r="BJ68" s="155" t="str">
        <f t="shared" si="50"/>
        <v/>
      </c>
      <c r="BK68" s="155" t="str">
        <f t="shared" si="51"/>
        <v/>
      </c>
      <c r="BL68" s="155" t="str">
        <f t="shared" si="52"/>
        <v xml:space="preserve">tags:
- spain_x000D_
- beas-de-segura_x000D_
- churches_x000D_
- holy-persons_x000D_
- teresa-avila_x000D_
- discalced-carmelites_x000D_
- communities_x000D_
</v>
      </c>
      <c r="BM68" s="158" t="str">
        <f t="shared" si="30"/>
        <v/>
      </c>
      <c r="BN68" s="158" t="str">
        <f t="shared" si="31"/>
        <v>[Sierra de Segura tourism site](https://lasierradesegura.org/parajes-naturales/convento-de-las-carmelitas-descalzas-de-san-jose-del-salvador/)</v>
      </c>
      <c r="BO68" s="158" t="str">
        <f t="shared" si="32"/>
        <v>[Wikipedia](https://es.wikipedia.org/wiki/Convento_de_Carmelitas_Descalzas_(Beas_de_Segura)) - Significant amounts of information of the associated Wikipedia page</v>
      </c>
      <c r="BP68" s="158" t="str">
        <f t="shared" si="33"/>
        <v/>
      </c>
      <c r="BQ68" s="155" t="str">
        <f t="shared" si="53"/>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55" t="str">
        <f t="shared" si="54"/>
        <v/>
      </c>
      <c r="BS68" s="155" t="str">
        <f t="shared" si="55"/>
        <v/>
      </c>
      <c r="BT68" s="155" t="str">
        <f t="shared" si="56"/>
        <v/>
      </c>
      <c r="BU68" s="155" t="str">
        <f>IF(LEN(concat(BR68:BT68))&gt;0,concat("| ",BR68," | ",BS68," | ",BT68," |"),"")</f>
        <v/>
      </c>
      <c r="BV68" s="155" t="str">
        <f t="shared" si="57"/>
        <v/>
      </c>
      <c r="BW68" s="155"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55" t="str">
        <f>IF(LEN(N68)&gt;1,concatll("#### Author's Note",N68,"-"&amp;B68),"")</f>
        <v/>
      </c>
      <c r="BY68" s="155" t="s">
        <v>335</v>
      </c>
      <c r="BZ68" s="155" t="s">
        <v>335</v>
      </c>
      <c r="CA68" s="23" t="str">
        <f>IF(AS68,concatll(concatl("---",AT68:AV68,BL68,"---"),M68,BW68:BX68),"")</f>
        <v xml:space="preserve">---_x000D_
title: "Monasterio de San Jose del Salvador, Beas"_x000D_
location: {lat: 38.2510429491708, lng: -2.88706618465537}_x000D_
interest: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23" t="str">
        <f>IF(AS68,"places\"&amp;VLOOKUP(C68,'(Ref) Countries'!A:B,2,)&amp;IF(LEN(D68)&gt;1,"-"&amp;LOWER(SUBSTITUTE(D68," ","-")),"")&amp;"-"&amp;LOWER(SUBSTITUTE(SUBSTITUTE(H68," ","-"),".",""))&amp;".md","")</f>
        <v>places\es-beas-de-segura-monasterio-de-san-jose-del-salvador.md</v>
      </c>
      <c r="CC68" s="29" t="str">
        <f>IF(LEN(Z68)&gt;1,VLOOKUP(Z68,'Tag List'!$A:$B,2,),"")</f>
        <v>St. Teresa of Avila, OCD</v>
      </c>
      <c r="CD68" s="29" t="str">
        <f>IF(LEN(AA68)&gt;1,VLOOKUP(AA68,'Tag List'!$A:$B,2,),"")</f>
        <v>Discalced Carmelites (Order of Discalced Carmelites)</v>
      </c>
      <c r="CE68" s="29" t="str">
        <f>IF(LEN(AB68)&gt;1,VLOOKUP(AB68,'Tag List'!$A:$B,2,),"")</f>
        <v>Religious Communities</v>
      </c>
      <c r="CF68" s="29" t="str">
        <f>IF(LEN(Z68)&gt;1,GetTagPage(CC68,Z68),"")</f>
        <v>[St. Teresa of Avila, OCD](/tags/teresa-avila)</v>
      </c>
      <c r="CG68" s="29" t="str">
        <f>IF(LEN(AA68)&gt;1,GetTagPage(CD68,AA68),"")</f>
        <v>[Discalced Carmelites (Order of Discalced Carmelites)](/tags/discalced-carmelites)</v>
      </c>
      <c r="CH68" s="29" t="str">
        <f>IF(LEN(AB68)&gt;1,GetTagPage(CE68,AB68),"")</f>
        <v>[Religious Communities](/tags/communities)</v>
      </c>
      <c r="CI68" s="29" t="str">
        <f t="shared" si="58"/>
        <v xml:space="preserve">| [St. Teresa of Avila, OCD](/tags/teresa-avila), [Discalced Carmelites (Order of Discalced Carmelites)](/tags/discalced-carmelites), [Religious Communities](/tags/communities) </v>
      </c>
      <c r="CJ68" s="29" t="str">
        <f t="shared" si="59"/>
        <v xml:space="preserve">| [](/places/places\es-beas-de-segura-monasterio-de-san-jose-del-salvador) </v>
      </c>
      <c r="CK68" s="29" t="str">
        <f>"| "&amp;IF(AS68,GetTagPage(C68,VLOOKUP(C68,'(Ref) Countries'!A:C,3,)),C68)&amp; " "</f>
        <v xml:space="preserve">| [Spain](/tags/spain) </v>
      </c>
      <c r="CL68" s="29" t="str">
        <f t="shared" si="60"/>
        <v xml:space="preserve">|  </v>
      </c>
      <c r="CM68" s="29" t="str">
        <f t="shared" si="61"/>
        <v xml:space="preserve">| [Link](/places/places\es-beas-de-segura-monasterio-de-san-jose-del-salvador) </v>
      </c>
      <c r="CN68" s="29" t="str">
        <f t="shared" si="62"/>
        <v xml:space="preserve">
| [](/places/places\es-beas-de-segura-monasterio-de-san-jose-del-salvador) | [Spain](/tags/spain) |  | [Link](/places/places\es-beas-de-segura-monasterio-de-san-jose-del-salvador) | [St. Teresa of Avila, OCD](/tags/teresa-avila), [Discalced Carmelites (Order of Discalced Carmelites)](/tags/discalced-carmelites), [Religious Communities](/tags/communities) |</v>
      </c>
    </row>
    <row r="69" spans="1:92" ht="25.5" x14ac:dyDescent="0.25">
      <c r="A69" s="167" t="s">
        <v>1317</v>
      </c>
      <c r="B69" s="24" t="s">
        <v>2481</v>
      </c>
      <c r="C69" s="24" t="s">
        <v>550</v>
      </c>
      <c r="D69" s="101" t="s">
        <v>2155</v>
      </c>
      <c r="E69" s="15">
        <v>37.385800751465098</v>
      </c>
      <c r="F69" s="49">
        <v>-5.9889938846553701</v>
      </c>
      <c r="G69" s="111" t="s">
        <v>2242</v>
      </c>
      <c r="H69" s="53" t="s">
        <v>2156</v>
      </c>
      <c r="I69" s="24" t="s">
        <v>1802</v>
      </c>
      <c r="J69" s="24" t="b">
        <v>1</v>
      </c>
      <c r="L69" s="24" t="b">
        <v>1</v>
      </c>
      <c r="M69" s="101" t="s">
        <v>2157</v>
      </c>
      <c r="Q69" s="106" t="s">
        <v>2158</v>
      </c>
      <c r="R69" s="15" t="s">
        <v>2159</v>
      </c>
      <c r="S69" s="107" t="s">
        <v>335</v>
      </c>
      <c r="Z69" s="15" t="s">
        <v>2100</v>
      </c>
      <c r="AA69" s="15" t="s">
        <v>2096</v>
      </c>
      <c r="AB69" s="15" t="s">
        <v>1420</v>
      </c>
      <c r="AS69" s="154" t="b">
        <f t="shared" si="34"/>
        <v>1</v>
      </c>
      <c r="AT69" s="155" t="str">
        <f t="shared" si="35"/>
        <v>title: "Convento de San Jose del Carmen (Las Teresas), Seville"</v>
      </c>
      <c r="AU69" s="155" t="str">
        <f t="shared" si="36"/>
        <v>location: {lat: 37.3858007514651, lng: -5.98899388465537}</v>
      </c>
      <c r="AV69" s="155" t="str">
        <f t="shared" si="37"/>
        <v>interest: local</v>
      </c>
      <c r="AW69" s="155" t="str">
        <f>"- "&amp;VLOOKUP(C69,'(Ref) Countries'!A:C,3,)</f>
        <v>- spain</v>
      </c>
      <c r="AX69" s="155" t="str">
        <f t="shared" si="38"/>
        <v>- seville</v>
      </c>
      <c r="AY69" s="155" t="str">
        <f t="shared" si="39"/>
        <v>- churches</v>
      </c>
      <c r="AZ69" s="155" t="str">
        <f t="shared" si="40"/>
        <v/>
      </c>
      <c r="BA69" s="155" t="str">
        <f t="shared" si="41"/>
        <v>- holy-persons</v>
      </c>
      <c r="BB69" s="155" t="str">
        <f t="shared" si="42"/>
        <v>- teresa-avila</v>
      </c>
      <c r="BC69" s="155" t="str">
        <f t="shared" si="43"/>
        <v>- discalced-carmelites</v>
      </c>
      <c r="BD69" s="155" t="str">
        <f t="shared" si="44"/>
        <v>- communities</v>
      </c>
      <c r="BE69" s="155" t="str">
        <f t="shared" si="45"/>
        <v/>
      </c>
      <c r="BF69" s="155" t="str">
        <f t="shared" si="46"/>
        <v/>
      </c>
      <c r="BG69" s="155" t="str">
        <f t="shared" si="47"/>
        <v/>
      </c>
      <c r="BH69" s="155" t="str">
        <f t="shared" si="48"/>
        <v/>
      </c>
      <c r="BI69" s="155" t="str">
        <f t="shared" si="49"/>
        <v/>
      </c>
      <c r="BJ69" s="155" t="str">
        <f t="shared" si="50"/>
        <v/>
      </c>
      <c r="BK69" s="155" t="str">
        <f t="shared" si="51"/>
        <v/>
      </c>
      <c r="BL69" s="155" t="str">
        <f t="shared" si="52"/>
        <v xml:space="preserve">tags:
- spain_x000D_
- seville_x000D_
- churches_x000D_
- holy-persons_x000D_
- teresa-avila_x000D_
- discalced-carmelites_x000D_
- communities_x000D_
</v>
      </c>
      <c r="BM69" s="158" t="str">
        <f t="shared" si="30"/>
        <v/>
      </c>
      <c r="BN69" s="158" t="str">
        <f t="shared" si="31"/>
        <v>[Seville tourism site](https://www.turismosevilla.org/en/what-see-and-do/heritage/monuments/san-jose-conventual-church-las-teresas)</v>
      </c>
      <c r="BO69" s="158" t="str">
        <f t="shared" si="32"/>
        <v/>
      </c>
      <c r="BP69" s="158" t="str">
        <f t="shared" si="33"/>
        <v/>
      </c>
      <c r="BQ69" s="155" t="str">
        <f t="shared" si="53"/>
        <v xml:space="preserve">* [Seville tourism site](https://www.turismosevilla.org/en/what-see-and-do/heritage/monuments/san-jose-conventual-church-las-teresas)
</v>
      </c>
      <c r="BR69" s="155" t="str">
        <f t="shared" si="54"/>
        <v/>
      </c>
      <c r="BS69" s="155" t="str">
        <f t="shared" si="55"/>
        <v/>
      </c>
      <c r="BT69" s="155" t="str">
        <f t="shared" si="56"/>
        <v/>
      </c>
      <c r="BU69" s="155" t="str">
        <f>IF(LEN(concat(BR69:BT69))&gt;0,concat("| ",BR69," | ",BS69," | ",BT69," |"),"")</f>
        <v/>
      </c>
      <c r="BV69" s="155" t="str">
        <f t="shared" si="57"/>
        <v/>
      </c>
      <c r="BW69" s="155" t="str">
        <f>IF(LEN(BQ69&amp;BV69)&gt;0,concatll("#### More Information",BQ69,BV69),"")</f>
        <v xml:space="preserve">#### More Information_x000D_
_x000D_
* [Seville tourism site](https://www.turismosevilla.org/en/what-see-and-do/heritage/monuments/san-jose-conventual-church-las-teresas)
_x000D_
_x000D_
</v>
      </c>
      <c r="BX69" s="155" t="str">
        <f>IF(LEN(N69)&gt;1,concatll("#### Author's Note",N69,"-"&amp;B69),"")</f>
        <v/>
      </c>
      <c r="BY69" s="155" t="s">
        <v>335</v>
      </c>
      <c r="BZ69" s="155" t="s">
        <v>335</v>
      </c>
      <c r="CA69" s="23" t="str">
        <f>IF(AS69,concatll(concatl("---",AT69:AV69,BL69,"---"),M69,BW69:BX69),"")</f>
        <v xml:space="preserve">---_x000D_
title: "Convento de San Jose del Carmen (Las Teresas), Seville"_x000D_
location: {lat: 37.3858007514651, lng: -5.98899388465537}_x000D_
interest: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23" t="str">
        <f>IF(AS69,"places\"&amp;VLOOKUP(C69,'(Ref) Countries'!A:B,2,)&amp;IF(LEN(D69)&gt;1,"-"&amp;LOWER(SUBSTITUTE(D69," ","-")),"")&amp;"-"&amp;LOWER(SUBSTITUTE(SUBSTITUTE(H69," ","-"),".",""))&amp;".md","")</f>
        <v>places\es-seville-convento-de-san-jose-del-carmen.md</v>
      </c>
      <c r="CC69" s="29" t="str">
        <f>IF(LEN(Z69)&gt;1,VLOOKUP(Z69,'Tag List'!$A:$B,2,),"")</f>
        <v>St. Teresa of Avila, OCD</v>
      </c>
      <c r="CD69" s="29" t="str">
        <f>IF(LEN(AA69)&gt;1,VLOOKUP(AA69,'Tag List'!$A:$B,2,),"")</f>
        <v>Discalced Carmelites (Order of Discalced Carmelites)</v>
      </c>
      <c r="CE69" s="29" t="str">
        <f>IF(LEN(AB69)&gt;1,VLOOKUP(AB69,'Tag List'!$A:$B,2,),"")</f>
        <v>Religious Communities</v>
      </c>
      <c r="CF69" s="29" t="str">
        <f>IF(LEN(Z69)&gt;1,GetTagPage(CC69,Z69),"")</f>
        <v>[St. Teresa of Avila, OCD](/tags/teresa-avila)</v>
      </c>
      <c r="CG69" s="29" t="str">
        <f>IF(LEN(AA69)&gt;1,GetTagPage(CD69,AA69),"")</f>
        <v>[Discalced Carmelites (Order of Discalced Carmelites)](/tags/discalced-carmelites)</v>
      </c>
      <c r="CH69" s="29" t="str">
        <f>IF(LEN(AB69)&gt;1,GetTagPage(CE69,AB69),"")</f>
        <v>[Religious Communities](/tags/communities)</v>
      </c>
      <c r="CI69" s="29" t="str">
        <f t="shared" si="58"/>
        <v xml:space="preserve">| [St. Teresa of Avila, OCD](/tags/teresa-avila), [Discalced Carmelites (Order of Discalced Carmelites)](/tags/discalced-carmelites), [Religious Communities](/tags/communities) </v>
      </c>
      <c r="CJ69" s="29" t="str">
        <f t="shared" si="59"/>
        <v xml:space="preserve">| [](/places/places\es-seville-convento-de-san-jose-del-carmen) </v>
      </c>
      <c r="CK69" s="29" t="str">
        <f>"| "&amp;IF(AS69,GetTagPage(C69,VLOOKUP(C69,'(Ref) Countries'!A:C,3,)),C69)&amp; " "</f>
        <v xml:space="preserve">| [Spain](/tags/spain) </v>
      </c>
      <c r="CL69" s="29" t="str">
        <f t="shared" si="60"/>
        <v xml:space="preserve">|  </v>
      </c>
      <c r="CM69" s="29" t="str">
        <f t="shared" si="61"/>
        <v xml:space="preserve">| [Link](/places/places\es-seville-convento-de-san-jose-del-carmen) </v>
      </c>
      <c r="CN69" s="29" t="str">
        <f t="shared" si="62"/>
        <v xml:space="preserve">
| [](/places/places\es-seville-convento-de-san-jose-del-carmen) | [Spain](/tags/spain) |  | [Link](/places/places\es-seville-convento-de-san-jose-del-carmen) | [St. Teresa of Avila, OCD](/tags/teresa-avila), [Discalced Carmelites (Order of Discalced Carmelites)](/tags/discalced-carmelites), [Religious Communities](/tags/communities) |</v>
      </c>
    </row>
    <row r="70" spans="1:92" x14ac:dyDescent="0.25">
      <c r="A70" s="167" t="s">
        <v>1317</v>
      </c>
      <c r="B70" s="24" t="s">
        <v>2481</v>
      </c>
      <c r="C70" s="24" t="s">
        <v>550</v>
      </c>
      <c r="D70" s="101" t="s">
        <v>2161</v>
      </c>
      <c r="E70" s="15">
        <v>38.106719284242402</v>
      </c>
      <c r="F70" s="49">
        <v>-1.8610296</v>
      </c>
      <c r="G70" s="101" t="s">
        <v>2162</v>
      </c>
      <c r="H70" s="53" t="s">
        <v>2105</v>
      </c>
      <c r="I70" s="24" t="s">
        <v>1802</v>
      </c>
      <c r="J70" s="24" t="b">
        <v>1</v>
      </c>
      <c r="L70" s="24" t="b">
        <v>1</v>
      </c>
      <c r="M70" s="101" t="s">
        <v>2167</v>
      </c>
      <c r="Q70" s="106" t="s">
        <v>2165</v>
      </c>
      <c r="R70" s="15" t="s">
        <v>2166</v>
      </c>
      <c r="S70" s="107" t="s">
        <v>335</v>
      </c>
      <c r="T70" s="106" t="s">
        <v>2163</v>
      </c>
      <c r="U70" s="15" t="s">
        <v>2164</v>
      </c>
      <c r="V70" s="107" t="s">
        <v>335</v>
      </c>
      <c r="Z70" s="15" t="s">
        <v>2100</v>
      </c>
      <c r="AA70" s="15" t="s">
        <v>2096</v>
      </c>
      <c r="AB70" s="15" t="s">
        <v>1420</v>
      </c>
      <c r="AS70" s="154" t="b">
        <f t="shared" ref="AS70:AS101" si="63">IF(OR(A70="Done",A70="In Progress"),TRUE)</f>
        <v>1</v>
      </c>
      <c r="AT70" s="155" t="str">
        <f t="shared" ref="AT70:AT101" si="64">"title: """&amp;G70&amp;""""</f>
        <v>title: "Convento de San Jose, Caravaca de la Cruz"</v>
      </c>
      <c r="AU70" s="155" t="str">
        <f t="shared" ref="AU70:AU101" si="65">"location: {lat: "&amp;E70&amp;", lng: "&amp;F70&amp;"}"</f>
        <v>location: {lat: 38.1067192842424, lng: -1.8610296}</v>
      </c>
      <c r="AV70" s="155" t="str">
        <f t="shared" ref="AV70:AV101" si="66">"interest: "&amp;I70</f>
        <v>interest: local</v>
      </c>
      <c r="AW70" s="155" t="str">
        <f>"- "&amp;VLOOKUP(C70,'(Ref) Countries'!A:C,3,)</f>
        <v>- spain</v>
      </c>
      <c r="AX70" s="155" t="str">
        <f t="shared" ref="AX70:AX101" si="67">IF(LEN(D70)&gt;1,"- "&amp;LOWER(SUBSTITUTE(D70," ","-")),"")</f>
        <v>- caravaca</v>
      </c>
      <c r="AY70" s="155" t="str">
        <f t="shared" ref="AY70:AY101" si="68">IF(J70,"- churches","")</f>
        <v>- churches</v>
      </c>
      <c r="AZ70" s="155" t="str">
        <f t="shared" ref="AZ70:AZ101" si="69">IF(K70,"- marian-sites","")</f>
        <v/>
      </c>
      <c r="BA70" s="155" t="str">
        <f t="shared" ref="BA70:BA101" si="70">IF(L70,"- holy-persons","")</f>
        <v>- holy-persons</v>
      </c>
      <c r="BB70" s="155" t="str">
        <f t="shared" ref="BB70:BB101" si="71">IF(LEN(Z70)&gt;0,"- "&amp;Z70,"")</f>
        <v>- teresa-avila</v>
      </c>
      <c r="BC70" s="155" t="str">
        <f t="shared" ref="BC70:BC101" si="72">IF(LEN(AA70)&gt;0,"- "&amp;AA70,"")</f>
        <v>- discalced-carmelites</v>
      </c>
      <c r="BD70" s="155" t="str">
        <f t="shared" ref="BD70:BD101" si="73">IF(LEN(AB70)&gt;0,"- "&amp;AB70,"")</f>
        <v>- communities</v>
      </c>
      <c r="BE70" s="155" t="str">
        <f t="shared" ref="BE70:BE101" si="74">IF(LEN(AC70)&gt;0,"- "&amp;AC70,"")</f>
        <v/>
      </c>
      <c r="BF70" s="155" t="str">
        <f t="shared" ref="BF70:BF101" si="75">IF(LEN(AD70)&gt;0,"- "&amp;AD70,"")</f>
        <v/>
      </c>
      <c r="BG70" s="155" t="str">
        <f t="shared" ref="BG70:BG101" si="76">IF(LEN(AE70)&gt;0,"- "&amp;AE70,"")</f>
        <v/>
      </c>
      <c r="BH70" s="155" t="str">
        <f t="shared" ref="BH70:BH101" si="77">IF(LEN(AF70)&gt;0,"- "&amp;AF70,"")</f>
        <v/>
      </c>
      <c r="BI70" s="155" t="str">
        <f t="shared" ref="BI70:BI101" si="78">IF(LEN(AG70)&gt;0,"- "&amp;AG70,"")</f>
        <v/>
      </c>
      <c r="BJ70" s="155" t="str">
        <f t="shared" ref="BJ70:BJ101" si="79">IF(LEN(AH70)&gt;0,"- "&amp;AH70,"")</f>
        <v/>
      </c>
      <c r="BK70" s="155" t="str">
        <f t="shared" ref="BK70:BK101" si="80">IF(LEN(AI70)&gt;0,"- "&amp;AI70,"")</f>
        <v/>
      </c>
      <c r="BL70" s="155" t="str">
        <f t="shared" ref="BL70:BL101" si="81">"tags:"&amp;CHAR(10)&amp;concatl(AW70:BK70)</f>
        <v xml:space="preserve">tags:
- spain_x000D_
- caravaca_x000D_
- churches_x000D_
- holy-persons_x000D_
- teresa-avila_x000D_
- discalced-carmelites_x000D_
- communities_x000D_
</v>
      </c>
      <c r="BM70" s="158" t="str">
        <f t="shared" si="30"/>
        <v/>
      </c>
      <c r="BN70" s="158" t="str">
        <f t="shared" si="31"/>
        <v>[Caravaca tourism site](https://www.turismocaravaca.com/blog/church-and-convent-san-jose-of-madres-carmelitas/)</v>
      </c>
      <c r="BO70" s="158" t="str">
        <f t="shared" si="32"/>
        <v>[Article from Murcia Today](https://murciatoday.com/the-convent_church-of-san-jose-in-caravaca-de-la-cruz_34175-a.html)</v>
      </c>
      <c r="BP70" s="158" t="str">
        <f t="shared" si="33"/>
        <v/>
      </c>
      <c r="BQ70" s="155" t="str">
        <f t="shared" ref="BQ70:BQ101" si="82">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55" t="str">
        <f t="shared" ref="BR70:BR101" si="83">IF(LEN(AL70)&gt;0,TRIM(CONCATENATE("[Link](",AL70,") ",AM70)),"")</f>
        <v/>
      </c>
      <c r="BS70" s="155" t="str">
        <f t="shared" ref="BS70:BS101" si="84">IF(LEN(AN70)&gt;0,TRIM(CONCATENATE("[Link](",AN70,") ",AO70)),"")</f>
        <v/>
      </c>
      <c r="BT70" s="155" t="str">
        <f t="shared" ref="BT70:BT101" si="85">IF(LEN(AP70)&gt;0,TRIM(CONCATENATE("[Link](",AP70,") ",AQ70)),"")</f>
        <v/>
      </c>
      <c r="BU70" s="155" t="str">
        <f>IF(LEN(concat(BR70:BT70))&gt;0,concat("| ",BR70," | ",BS70," | ",BT70," |"),"")</f>
        <v/>
      </c>
      <c r="BV70" s="155" t="str">
        <f t="shared" ref="BV70:BV101" si="86">IF(K70,concatl("| The Real Presence | Miracle Hunter | MaryPages |","| --- | --- | --- |",BU70),"")</f>
        <v/>
      </c>
      <c r="BW70" s="155"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55" t="str">
        <f>IF(LEN(N70)&gt;1,concatll("#### Author's Note",N70,"-"&amp;B70),"")</f>
        <v/>
      </c>
      <c r="BY70" s="155" t="s">
        <v>335</v>
      </c>
      <c r="BZ70" s="155" t="s">
        <v>335</v>
      </c>
      <c r="CA70" s="23" t="str">
        <f>IF(AS70,concatll(concatl("---",AT70:AV70,BL70,"---"),M70,BW70:BX70),"")</f>
        <v xml:space="preserve">---_x000D_
title: "Convento de San Jose, Caravaca de la Cruz"_x000D_
location: {lat: 38.1067192842424, lng: -1.8610296}_x000D_
interest: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23" t="str">
        <f>IF(AS70,"places\"&amp;VLOOKUP(C70,'(Ref) Countries'!A:B,2,)&amp;IF(LEN(D70)&gt;1,"-"&amp;LOWER(SUBSTITUTE(D70," ","-")),"")&amp;"-"&amp;LOWER(SUBSTITUTE(SUBSTITUTE(H70," ","-"),".",""))&amp;".md","")</f>
        <v>places\es-caravaca-convento-de-san-jose.md</v>
      </c>
      <c r="CC70" s="29" t="str">
        <f>IF(LEN(Z70)&gt;1,VLOOKUP(Z70,'Tag List'!$A:$B,2,),"")</f>
        <v>St. Teresa of Avila, OCD</v>
      </c>
      <c r="CD70" s="29" t="str">
        <f>IF(LEN(AA70)&gt;1,VLOOKUP(AA70,'Tag List'!$A:$B,2,),"")</f>
        <v>Discalced Carmelites (Order of Discalced Carmelites)</v>
      </c>
      <c r="CE70" s="29" t="str">
        <f>IF(LEN(AB70)&gt;1,VLOOKUP(AB70,'Tag List'!$A:$B,2,),"")</f>
        <v>Religious Communities</v>
      </c>
      <c r="CF70" s="29" t="str">
        <f>IF(LEN(Z70)&gt;1,GetTagPage(CC70,Z70),"")</f>
        <v>[St. Teresa of Avila, OCD](/tags/teresa-avila)</v>
      </c>
      <c r="CG70" s="29" t="str">
        <f>IF(LEN(AA70)&gt;1,GetTagPage(CD70,AA70),"")</f>
        <v>[Discalced Carmelites (Order of Discalced Carmelites)](/tags/discalced-carmelites)</v>
      </c>
      <c r="CH70" s="29" t="str">
        <f>IF(LEN(AB70)&gt;1,GetTagPage(CE70,AB70),"")</f>
        <v>[Religious Communities](/tags/communities)</v>
      </c>
      <c r="CI70" s="29" t="str">
        <f t="shared" ref="CI70:CI101" si="87">"|"&amp;IF(LEN(CF70)&gt;1," "&amp;CF70,"")&amp;IF(LEN(CG70)&gt;1,", "&amp;CG70,"")&amp;IF(LEN(CH70)&gt;1,", "&amp;CH70,"")&amp;" "</f>
        <v xml:space="preserve">| [St. Teresa of Avila, OCD](/tags/teresa-avila), [Discalced Carmelites (Order of Discalced Carmelites)](/tags/discalced-carmelites), [Religious Communities](/tags/communities) </v>
      </c>
      <c r="CJ70" s="29" t="str">
        <f t="shared" ref="CJ70:CJ101" si="88">"| "&amp;IF(AS70,"["&amp;AJ70&amp;"](/places/"&amp;SUBSTITUTE(CB70,".md","")&amp;")",AJ70)&amp;" "</f>
        <v xml:space="preserve">| [](/places/places\es-caravaca-convento-de-san-jose) </v>
      </c>
      <c r="CK70" s="29" t="str">
        <f>"| "&amp;IF(AS70,GetTagPage(C70,VLOOKUP(C70,'(Ref) Countries'!A:C,3,)),C70)&amp; " "</f>
        <v xml:space="preserve">| [Spain](/tags/spain) </v>
      </c>
      <c r="CL70" s="29" t="str">
        <f t="shared" ref="CL70:CL101" si="89">"| "&amp;AK70&amp;" "</f>
        <v xml:space="preserve">|  </v>
      </c>
      <c r="CM70" s="29" t="str">
        <f t="shared" ref="CM70:CM101" si="90">"|"&amp;IF(AS70," [Link](/places/"&amp;SUBSTITUTE(CB70,".md","")&amp;")","")&amp;" "</f>
        <v xml:space="preserve">| [Link](/places/places\es-caravaca-convento-de-san-jose) </v>
      </c>
      <c r="CN70" s="29" t="str">
        <f t="shared" ref="CN70:CN101" si="91">"
"&amp;CJ70&amp;CK70&amp;CL70&amp;CM70&amp;BM70&amp;BR70&amp;BS70&amp;BT70&amp;CI70&amp;"|"</f>
        <v xml:space="preserve">
| [](/places/places\es-caravaca-convento-de-san-jose) | [Spain](/tags/spain) |  | [Link](/places/places\es-caravaca-convento-de-san-jose) | [St. Teresa of Avila, OCD](/tags/teresa-avila), [Discalced Carmelites (Order of Discalced Carmelites)](/tags/discalced-carmelites), [Religious Communities](/tags/communities) |</v>
      </c>
    </row>
    <row r="71" spans="1:92" ht="25.5" x14ac:dyDescent="0.25">
      <c r="A71" s="167" t="s">
        <v>1317</v>
      </c>
      <c r="B71" s="24" t="s">
        <v>2481</v>
      </c>
      <c r="C71" s="24" t="s">
        <v>550</v>
      </c>
      <c r="D71" s="111" t="s">
        <v>2169</v>
      </c>
      <c r="E71" s="15">
        <v>39.439610215366898</v>
      </c>
      <c r="F71" s="49">
        <v>-1.95650919993269</v>
      </c>
      <c r="G71" s="111" t="s">
        <v>2243</v>
      </c>
      <c r="H71" s="53" t="s">
        <v>2168</v>
      </c>
      <c r="I71" s="24" t="s">
        <v>1802</v>
      </c>
      <c r="J71" s="24" t="b">
        <v>1</v>
      </c>
      <c r="L71" s="24" t="b">
        <v>1</v>
      </c>
      <c r="M71" s="101" t="s">
        <v>2170</v>
      </c>
      <c r="Q71" s="106" t="s">
        <v>2171</v>
      </c>
      <c r="R71" s="15" t="s">
        <v>2172</v>
      </c>
      <c r="S71" s="107" t="s">
        <v>335</v>
      </c>
      <c r="Z71" s="15" t="s">
        <v>2100</v>
      </c>
      <c r="AA71" s="15" t="s">
        <v>2096</v>
      </c>
      <c r="AB71" s="15" t="s">
        <v>1420</v>
      </c>
      <c r="AS71" s="154" t="b">
        <f t="shared" si="63"/>
        <v>1</v>
      </c>
      <c r="AT71" s="155" t="str">
        <f t="shared" si="64"/>
        <v>title: "Convento de Santa Ana, Villanueva de la Jara"</v>
      </c>
      <c r="AU71" s="155" t="str">
        <f t="shared" si="65"/>
        <v>location: {lat: 39.4396102153669, lng: -1.95650919993269}</v>
      </c>
      <c r="AV71" s="155" t="str">
        <f t="shared" si="66"/>
        <v>interest: local</v>
      </c>
      <c r="AW71" s="155" t="str">
        <f>"- "&amp;VLOOKUP(C71,'(Ref) Countries'!A:C,3,)</f>
        <v>- spain</v>
      </c>
      <c r="AX71" s="155" t="str">
        <f t="shared" si="67"/>
        <v>- villanueva-de-la-jara</v>
      </c>
      <c r="AY71" s="155" t="str">
        <f t="shared" si="68"/>
        <v>- churches</v>
      </c>
      <c r="AZ71" s="155" t="str">
        <f t="shared" si="69"/>
        <v/>
      </c>
      <c r="BA71" s="155" t="str">
        <f t="shared" si="70"/>
        <v>- holy-persons</v>
      </c>
      <c r="BB71" s="155" t="str">
        <f t="shared" si="71"/>
        <v>- teresa-avila</v>
      </c>
      <c r="BC71" s="155" t="str">
        <f t="shared" si="72"/>
        <v>- discalced-carmelites</v>
      </c>
      <c r="BD71" s="155" t="str">
        <f t="shared" si="73"/>
        <v>- communities</v>
      </c>
      <c r="BE71" s="155" t="str">
        <f t="shared" si="74"/>
        <v/>
      </c>
      <c r="BF71" s="155" t="str">
        <f t="shared" si="75"/>
        <v/>
      </c>
      <c r="BG71" s="155" t="str">
        <f t="shared" si="76"/>
        <v/>
      </c>
      <c r="BH71" s="155" t="str">
        <f t="shared" si="77"/>
        <v/>
      </c>
      <c r="BI71" s="155" t="str">
        <f t="shared" si="78"/>
        <v/>
      </c>
      <c r="BJ71" s="155" t="str">
        <f t="shared" si="79"/>
        <v/>
      </c>
      <c r="BK71" s="155" t="str">
        <f t="shared" si="80"/>
        <v/>
      </c>
      <c r="BL71" s="155" t="str">
        <f t="shared" si="81"/>
        <v xml:space="preserve">tags:
- spain_x000D_
- villanueva-de-la-jara_x000D_
- churches_x000D_
- holy-persons_x000D_
- teresa-avila_x000D_
- discalced-carmelites_x000D_
- communities_x000D_
</v>
      </c>
      <c r="BM71" s="158" t="str">
        <f t="shared" ref="BM71:BM134" si="92">IF(LEN(O71)&gt;0,TRIM(CONCATENATE("[Official site](",O71,") ",IF(LEN(P71)&gt;0,"- "&amp;P71,P71))),"")</f>
        <v/>
      </c>
      <c r="BN71" s="158" t="str">
        <f t="shared" ref="BN71:BN134" si="93">IF(LEN(R71)&gt;0,TRIM(CONCATENATE("["&amp;Q71&amp;"](",R71,") ",IF(LEN(S71)&gt;0,"- "&amp;S71,S71))),"")</f>
        <v>[Villanueva de la Jara offical site](https://www.villanuevadelajara.eu/english/the-footprints-of-st-teresa-of-jesus-in-villanueva-de-la-jara/)</v>
      </c>
      <c r="BO71" s="158" t="str">
        <f t="shared" ref="BO71:BO134" si="94">IF(LEN(U71)&gt;0,TRIM(CONCATENATE("["&amp;T71&amp;"](",U71,") ",IF(LEN(V71)&gt;0,"- "&amp;V71,V71))),"")</f>
        <v/>
      </c>
      <c r="BP71" s="158" t="str">
        <f t="shared" ref="BP71:BP134" si="95">IF(LEN(X71)&gt;0,TRIM(CONCATENATE("["&amp;W71&amp;"](",X71,") ",IF(LEN(Y71)&gt;0,"- "&amp;Y71,Y71))),"")</f>
        <v/>
      </c>
      <c r="BQ71" s="155" t="str">
        <f t="shared" si="82"/>
        <v xml:space="preserve">* [Villanueva de la Jara offical site](https://www.villanuevadelajara.eu/english/the-footprints-of-st-teresa-of-jesus-in-villanueva-de-la-jara/)
</v>
      </c>
      <c r="BR71" s="155" t="str">
        <f t="shared" si="83"/>
        <v/>
      </c>
      <c r="BS71" s="155" t="str">
        <f t="shared" si="84"/>
        <v/>
      </c>
      <c r="BT71" s="155" t="str">
        <f t="shared" si="85"/>
        <v/>
      </c>
      <c r="BU71" s="155" t="str">
        <f>IF(LEN(concat(BR71:BT71))&gt;0,concat("| ",BR71," | ",BS71," | ",BT71," |"),"")</f>
        <v/>
      </c>
      <c r="BV71" s="155" t="str">
        <f t="shared" si="86"/>
        <v/>
      </c>
      <c r="BW71" s="155" t="str">
        <f>IF(LEN(BQ71&amp;BV71)&gt;0,concatll("#### More Information",BQ71,BV71),"")</f>
        <v xml:space="preserve">#### More Information_x000D_
_x000D_
* [Villanueva de la Jara offical site](https://www.villanuevadelajara.eu/english/the-footprints-of-st-teresa-of-jesus-in-villanueva-de-la-jara/)
_x000D_
_x000D_
</v>
      </c>
      <c r="BX71" s="155" t="str">
        <f>IF(LEN(N71)&gt;1,concatll("#### Author's Note",N71,"-"&amp;B71),"")</f>
        <v/>
      </c>
      <c r="BY71" s="155" t="s">
        <v>335</v>
      </c>
      <c r="BZ71" s="155" t="s">
        <v>335</v>
      </c>
      <c r="CA71" s="23" t="str">
        <f>IF(AS71,concatll(concatl("---",AT71:AV71,BL71,"---"),M71,BW71:BX71),"")</f>
        <v xml:space="preserve">---_x000D_
title: "Convento de Santa Ana, Villanueva de la Jara"_x000D_
location: {lat: 39.4396102153669, lng: -1.95650919993269}_x000D_
interest: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23" t="str">
        <f>IF(AS71,"places\"&amp;VLOOKUP(C71,'(Ref) Countries'!A:B,2,)&amp;IF(LEN(D71)&gt;1,"-"&amp;LOWER(SUBSTITUTE(D71," ","-")),"")&amp;"-"&amp;LOWER(SUBSTITUTE(SUBSTITUTE(H71," ","-"),".",""))&amp;".md","")</f>
        <v>places\es-villanueva-de-la-jara-convento-de-santa-ana.md</v>
      </c>
      <c r="CC71" s="29" t="str">
        <f>IF(LEN(Z71)&gt;1,VLOOKUP(Z71,'Tag List'!$A:$B,2,),"")</f>
        <v>St. Teresa of Avila, OCD</v>
      </c>
      <c r="CD71" s="29" t="str">
        <f>IF(LEN(AA71)&gt;1,VLOOKUP(AA71,'Tag List'!$A:$B,2,),"")</f>
        <v>Discalced Carmelites (Order of Discalced Carmelites)</v>
      </c>
      <c r="CE71" s="29" t="str">
        <f>IF(LEN(AB71)&gt;1,VLOOKUP(AB71,'Tag List'!$A:$B,2,),"")</f>
        <v>Religious Communities</v>
      </c>
      <c r="CF71" s="29" t="str">
        <f>IF(LEN(Z71)&gt;1,GetTagPage(CC71,Z71),"")</f>
        <v>[St. Teresa of Avila, OCD](/tags/teresa-avila)</v>
      </c>
      <c r="CG71" s="29" t="str">
        <f>IF(LEN(AA71)&gt;1,GetTagPage(CD71,AA71),"")</f>
        <v>[Discalced Carmelites (Order of Discalced Carmelites)](/tags/discalced-carmelites)</v>
      </c>
      <c r="CH71" s="29" t="str">
        <f>IF(LEN(AB71)&gt;1,GetTagPage(CE71,AB71),"")</f>
        <v>[Religious Communities](/tags/communities)</v>
      </c>
      <c r="CI71" s="29" t="str">
        <f t="shared" si="87"/>
        <v xml:space="preserve">| [St. Teresa of Avila, OCD](/tags/teresa-avila), [Discalced Carmelites (Order of Discalced Carmelites)](/tags/discalced-carmelites), [Religious Communities](/tags/communities) </v>
      </c>
      <c r="CJ71" s="29" t="str">
        <f t="shared" si="88"/>
        <v xml:space="preserve">| [](/places/places\es-villanueva-de-la-jara-convento-de-santa-ana) </v>
      </c>
      <c r="CK71" s="29" t="str">
        <f>"| "&amp;IF(AS71,GetTagPage(C71,VLOOKUP(C71,'(Ref) Countries'!A:C,3,)),C71)&amp; " "</f>
        <v xml:space="preserve">| [Spain](/tags/spain) </v>
      </c>
      <c r="CL71" s="29" t="str">
        <f t="shared" si="89"/>
        <v xml:space="preserve">|  </v>
      </c>
      <c r="CM71" s="29" t="str">
        <f t="shared" si="90"/>
        <v xml:space="preserve">| [Link](/places/places\es-villanueva-de-la-jara-convento-de-santa-ana) </v>
      </c>
      <c r="CN71" s="29" t="str">
        <f t="shared" si="91"/>
        <v xml:space="preserve">
| [](/places/places\es-villanueva-de-la-jara-convento-de-santa-ana) | [Spain](/tags/spain) |  | [Link](/places/places\es-villanueva-de-la-jara-convento-de-santa-ana) | [St. Teresa of Avila, OCD](/tags/teresa-avila), [Discalced Carmelites (Order of Discalced Carmelites)](/tags/discalced-carmelites), [Religious Communities](/tags/communities) |</v>
      </c>
    </row>
    <row r="72" spans="1:92" ht="25.5" x14ac:dyDescent="0.25">
      <c r="A72" s="167" t="s">
        <v>1317</v>
      </c>
      <c r="B72" s="24" t="s">
        <v>2481</v>
      </c>
      <c r="C72" s="24" t="s">
        <v>550</v>
      </c>
      <c r="D72" s="101" t="s">
        <v>2173</v>
      </c>
      <c r="E72" s="15">
        <v>42.007672479991903</v>
      </c>
      <c r="F72" s="49">
        <v>-4.5314706466260501</v>
      </c>
      <c r="G72" s="111" t="s">
        <v>2244</v>
      </c>
      <c r="H72" s="103" t="s">
        <v>2178</v>
      </c>
      <c r="I72" s="24" t="s">
        <v>1802</v>
      </c>
      <c r="J72" s="24" t="b">
        <v>1</v>
      </c>
      <c r="L72" s="24" t="b">
        <v>1</v>
      </c>
      <c r="M72" s="101" t="s">
        <v>2174</v>
      </c>
      <c r="Q72" s="106" t="s">
        <v>2175</v>
      </c>
      <c r="R72" s="15" t="s">
        <v>2176</v>
      </c>
      <c r="S72" s="64" t="s">
        <v>335</v>
      </c>
      <c r="Z72" s="15" t="s">
        <v>2100</v>
      </c>
      <c r="AA72" s="15" t="s">
        <v>2096</v>
      </c>
      <c r="AS72" s="154" t="b">
        <f t="shared" si="63"/>
        <v>1</v>
      </c>
      <c r="AT72" s="155" t="str">
        <f t="shared" si="64"/>
        <v>title: "St. Bernard Church (Iglesia de San Bernardo), Palencia"</v>
      </c>
      <c r="AU72" s="155" t="str">
        <f t="shared" si="65"/>
        <v>location: {lat: 42.0076724799919, lng: -4.53147064662605}</v>
      </c>
      <c r="AV72" s="155" t="str">
        <f t="shared" si="66"/>
        <v>interest: local</v>
      </c>
      <c r="AW72" s="155" t="str">
        <f>"- "&amp;VLOOKUP(C72,'(Ref) Countries'!A:C,3,)</f>
        <v>- spain</v>
      </c>
      <c r="AX72" s="155" t="str">
        <f t="shared" si="67"/>
        <v>- palencia</v>
      </c>
      <c r="AY72" s="155" t="str">
        <f t="shared" si="68"/>
        <v>- churches</v>
      </c>
      <c r="AZ72" s="155" t="str">
        <f t="shared" si="69"/>
        <v/>
      </c>
      <c r="BA72" s="155" t="str">
        <f t="shared" si="70"/>
        <v>- holy-persons</v>
      </c>
      <c r="BB72" s="155" t="str">
        <f t="shared" si="71"/>
        <v>- teresa-avila</v>
      </c>
      <c r="BC72" s="155" t="str">
        <f t="shared" si="72"/>
        <v>- discalced-carmelites</v>
      </c>
      <c r="BD72" s="155" t="str">
        <f t="shared" si="73"/>
        <v/>
      </c>
      <c r="BE72" s="155" t="str">
        <f t="shared" si="74"/>
        <v/>
      </c>
      <c r="BF72" s="155" t="str">
        <f t="shared" si="75"/>
        <v/>
      </c>
      <c r="BG72" s="155" t="str">
        <f t="shared" si="76"/>
        <v/>
      </c>
      <c r="BH72" s="155" t="str">
        <f t="shared" si="77"/>
        <v/>
      </c>
      <c r="BI72" s="155" t="str">
        <f t="shared" si="78"/>
        <v/>
      </c>
      <c r="BJ72" s="155" t="str">
        <f t="shared" si="79"/>
        <v/>
      </c>
      <c r="BK72" s="155" t="str">
        <f t="shared" si="80"/>
        <v/>
      </c>
      <c r="BL72" s="155" t="str">
        <f t="shared" si="81"/>
        <v xml:space="preserve">tags:
- spain_x000D_
- palencia_x000D_
- churches_x000D_
- holy-persons_x000D_
- teresa-avila_x000D_
- discalced-carmelites_x000D_
</v>
      </c>
      <c r="BM72" s="158" t="str">
        <f t="shared" si="92"/>
        <v/>
      </c>
      <c r="BN72" s="158" t="str">
        <f t="shared" si="93"/>
        <v>[Palencia tourism site](https://turismo.aytopalencia.es/en/poi/church-san-bernardo)</v>
      </c>
      <c r="BO72" s="158" t="str">
        <f t="shared" si="94"/>
        <v/>
      </c>
      <c r="BP72" s="158" t="str">
        <f t="shared" si="95"/>
        <v/>
      </c>
      <c r="BQ72" s="155" t="str">
        <f t="shared" si="82"/>
        <v xml:space="preserve">* [Palencia tourism site](https://turismo.aytopalencia.es/en/poi/church-san-bernardo)
</v>
      </c>
      <c r="BR72" s="155" t="str">
        <f t="shared" si="83"/>
        <v/>
      </c>
      <c r="BS72" s="155" t="str">
        <f t="shared" si="84"/>
        <v/>
      </c>
      <c r="BT72" s="155" t="str">
        <f t="shared" si="85"/>
        <v/>
      </c>
      <c r="BU72" s="155" t="str">
        <f>IF(LEN(concat(BR72:BT72))&gt;0,concat("| ",BR72," | ",BS72," | ",BT72," |"),"")</f>
        <v/>
      </c>
      <c r="BV72" s="155" t="str">
        <f t="shared" si="86"/>
        <v/>
      </c>
      <c r="BW72" s="155" t="str">
        <f>IF(LEN(BQ72&amp;BV72)&gt;0,concatll("#### More Information",BQ72,BV72),"")</f>
        <v xml:space="preserve">#### More Information_x000D_
_x000D_
* [Palencia tourism site](https://turismo.aytopalencia.es/en/poi/church-san-bernardo)
_x000D_
_x000D_
</v>
      </c>
      <c r="BX72" s="155" t="str">
        <f>IF(LEN(N72)&gt;1,concatll("#### Author's Note",N72,"-"&amp;B72),"")</f>
        <v/>
      </c>
      <c r="BY72" s="155" t="s">
        <v>335</v>
      </c>
      <c r="BZ72" s="155" t="s">
        <v>335</v>
      </c>
      <c r="CA72" s="23" t="str">
        <f>IF(AS72,concatll(concatl("---",AT72:AV72,BL72,"---"),M72,BW72:BX72),"")</f>
        <v xml:space="preserve">---_x000D_
title: "St. Bernard Church (Iglesia de San Bernardo), Palencia"_x000D_
location: {lat: 42.0076724799919, lng: -4.53147064662605}_x000D_
interest: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23" t="str">
        <f>IF(AS72,"places\"&amp;VLOOKUP(C72,'(Ref) Countries'!A:B,2,)&amp;IF(LEN(D72)&gt;1,"-"&amp;LOWER(SUBSTITUTE(D72," ","-")),"")&amp;"-"&amp;LOWER(SUBSTITUTE(SUBSTITUTE(H72," ","-"),".",""))&amp;".md","")</f>
        <v>places\es-palencia-iglesia-de-san-bernardo.md</v>
      </c>
      <c r="CC72" s="29" t="str">
        <f>IF(LEN(Z72)&gt;1,VLOOKUP(Z72,'Tag List'!$A:$B,2,),"")</f>
        <v>St. Teresa of Avila, OCD</v>
      </c>
      <c r="CD72" s="29" t="str">
        <f>IF(LEN(AA72)&gt;1,VLOOKUP(AA72,'Tag List'!$A:$B,2,),"")</f>
        <v>Discalced Carmelites (Order of Discalced Carmelites)</v>
      </c>
      <c r="CE72" s="29" t="str">
        <f>IF(LEN(AB72)&gt;1,VLOOKUP(AB72,'Tag List'!$A:$B,2,),"")</f>
        <v/>
      </c>
      <c r="CF72" s="29" t="str">
        <f>IF(LEN(Z72)&gt;1,GetTagPage(CC72,Z72),"")</f>
        <v>[St. Teresa of Avila, OCD](/tags/teresa-avila)</v>
      </c>
      <c r="CG72" s="29" t="str">
        <f>IF(LEN(AA72)&gt;1,GetTagPage(CD72,AA72),"")</f>
        <v>[Discalced Carmelites (Order of Discalced Carmelites)](/tags/discalced-carmelites)</v>
      </c>
      <c r="CH72" s="29" t="str">
        <f>IF(LEN(AB72)&gt;1,GetTagPage(CE72,AB72),"")</f>
        <v/>
      </c>
      <c r="CI72" s="29" t="str">
        <f t="shared" si="87"/>
        <v xml:space="preserve">| [St. Teresa of Avila, OCD](/tags/teresa-avila), [Discalced Carmelites (Order of Discalced Carmelites)](/tags/discalced-carmelites) </v>
      </c>
      <c r="CJ72" s="29" t="str">
        <f t="shared" si="88"/>
        <v xml:space="preserve">| [](/places/places\es-palencia-iglesia-de-san-bernardo) </v>
      </c>
      <c r="CK72" s="29" t="str">
        <f>"| "&amp;IF(AS72,GetTagPage(C72,VLOOKUP(C72,'(Ref) Countries'!A:C,3,)),C72)&amp; " "</f>
        <v xml:space="preserve">| [Spain](/tags/spain) </v>
      </c>
      <c r="CL72" s="29" t="str">
        <f t="shared" si="89"/>
        <v xml:space="preserve">|  </v>
      </c>
      <c r="CM72" s="29" t="str">
        <f t="shared" si="90"/>
        <v xml:space="preserve">| [Link](/places/places\es-palencia-iglesia-de-san-bernardo) </v>
      </c>
      <c r="CN72" s="29" t="str">
        <f t="shared" si="91"/>
        <v xml:space="preserve">
| [](/places/places\es-palencia-iglesia-de-san-bernardo) | [Spain](/tags/spain) |  | [Link](/places/places\es-palencia-iglesia-de-san-bernardo) | [St. Teresa of Avila, OCD](/tags/teresa-avila), [Discalced Carmelites (Order of Discalced Carmelites)](/tags/discalced-carmelites) |</v>
      </c>
    </row>
    <row r="73" spans="1:92" ht="63.75" x14ac:dyDescent="0.25">
      <c r="A73" s="167" t="s">
        <v>1317</v>
      </c>
      <c r="B73" s="24" t="s">
        <v>2481</v>
      </c>
      <c r="C73" s="24" t="s">
        <v>550</v>
      </c>
      <c r="D73" s="101" t="s">
        <v>2177</v>
      </c>
      <c r="E73" s="15">
        <v>41.764625448349499</v>
      </c>
      <c r="F73" s="49">
        <v>-2.46296793728833</v>
      </c>
      <c r="G73" s="111" t="s">
        <v>2245</v>
      </c>
      <c r="H73" s="53" t="s">
        <v>2179</v>
      </c>
      <c r="I73" s="24" t="s">
        <v>1802</v>
      </c>
      <c r="J73" s="24" t="b">
        <v>1</v>
      </c>
      <c r="L73" s="24" t="b">
        <v>1</v>
      </c>
      <c r="M73" s="101" t="s">
        <v>2182</v>
      </c>
      <c r="N73" s="177" t="s">
        <v>2513</v>
      </c>
      <c r="Q73" s="106" t="s">
        <v>2180</v>
      </c>
      <c r="R73" s="15" t="s">
        <v>2181</v>
      </c>
      <c r="S73" s="64" t="s">
        <v>335</v>
      </c>
      <c r="Z73" s="15" t="s">
        <v>2100</v>
      </c>
      <c r="AA73" s="15" t="s">
        <v>2096</v>
      </c>
      <c r="AB73" s="15" t="s">
        <v>1420</v>
      </c>
      <c r="AS73" s="154" t="b">
        <f t="shared" si="63"/>
        <v>1</v>
      </c>
      <c r="AT73" s="155" t="str">
        <f t="shared" si="64"/>
        <v>title: "Convent of our Lady of Carmen (Convento de Nuestra Senora del Carmen), Soria"</v>
      </c>
      <c r="AU73" s="155" t="str">
        <f t="shared" si="65"/>
        <v>location: {lat: 41.7646254483495, lng: -2.46296793728833}</v>
      </c>
      <c r="AV73" s="155" t="str">
        <f t="shared" si="66"/>
        <v>interest: local</v>
      </c>
      <c r="AW73" s="155" t="str">
        <f>"- "&amp;VLOOKUP(C73,'(Ref) Countries'!A:C,3,)</f>
        <v>- spain</v>
      </c>
      <c r="AX73" s="155" t="str">
        <f t="shared" si="67"/>
        <v>- soria</v>
      </c>
      <c r="AY73" s="155" t="str">
        <f t="shared" si="68"/>
        <v>- churches</v>
      </c>
      <c r="AZ73" s="155" t="str">
        <f t="shared" si="69"/>
        <v/>
      </c>
      <c r="BA73" s="155" t="str">
        <f t="shared" si="70"/>
        <v>- holy-persons</v>
      </c>
      <c r="BB73" s="155" t="str">
        <f t="shared" si="71"/>
        <v>- teresa-avila</v>
      </c>
      <c r="BC73" s="155" t="str">
        <f t="shared" si="72"/>
        <v>- discalced-carmelites</v>
      </c>
      <c r="BD73" s="155" t="str">
        <f t="shared" si="73"/>
        <v>- communities</v>
      </c>
      <c r="BE73" s="155" t="str">
        <f t="shared" si="74"/>
        <v/>
      </c>
      <c r="BF73" s="155" t="str">
        <f t="shared" si="75"/>
        <v/>
      </c>
      <c r="BG73" s="155" t="str">
        <f t="shared" si="76"/>
        <v/>
      </c>
      <c r="BH73" s="155" t="str">
        <f t="shared" si="77"/>
        <v/>
      </c>
      <c r="BI73" s="155" t="str">
        <f t="shared" si="78"/>
        <v/>
      </c>
      <c r="BJ73" s="155" t="str">
        <f t="shared" si="79"/>
        <v/>
      </c>
      <c r="BK73" s="155" t="str">
        <f t="shared" si="80"/>
        <v/>
      </c>
      <c r="BL73" s="155" t="str">
        <f t="shared" si="81"/>
        <v xml:space="preserve">tags:
- spain_x000D_
- soria_x000D_
- churches_x000D_
- holy-persons_x000D_
- teresa-avila_x000D_
- discalced-carmelites_x000D_
- communities_x000D_
</v>
      </c>
      <c r="BM73" s="158" t="str">
        <f t="shared" si="92"/>
        <v/>
      </c>
      <c r="BN73" s="158" t="str">
        <f t="shared" si="93"/>
        <v>[Soria tourism site](https://www.turismosoria.es/en/what-to-see/monuments/convent-of-el-carmen/)</v>
      </c>
      <c r="BO73" s="158" t="str">
        <f t="shared" si="94"/>
        <v/>
      </c>
      <c r="BP73" s="158" t="str">
        <f t="shared" si="95"/>
        <v/>
      </c>
      <c r="BQ73" s="155" t="str">
        <f t="shared" si="82"/>
        <v xml:space="preserve">* [Soria tourism site](https://www.turismosoria.es/en/what-to-see/monuments/convent-of-el-carmen/)
</v>
      </c>
      <c r="BR73" s="155" t="str">
        <f t="shared" si="83"/>
        <v/>
      </c>
      <c r="BS73" s="155" t="str">
        <f t="shared" si="84"/>
        <v/>
      </c>
      <c r="BT73" s="155" t="str">
        <f t="shared" si="85"/>
        <v/>
      </c>
      <c r="BU73" s="155" t="str">
        <f>IF(LEN(concat(BR73:BT73))&gt;0,concat("| ",BR73," | ",BS73," | ",BT73," |"),"")</f>
        <v/>
      </c>
      <c r="BV73" s="155" t="str">
        <f t="shared" si="86"/>
        <v/>
      </c>
      <c r="BW73" s="155" t="str">
        <f>IF(LEN(BQ73&amp;BV73)&gt;0,concatll("#### More Information",BQ73,BV73),"")</f>
        <v xml:space="preserve">#### More Information_x000D_
_x000D_
* [Soria tourism site](https://www.turismosoria.es/en/what-to-see/monuments/convent-of-el-carmen/)
_x000D_
_x000D_
</v>
      </c>
      <c r="BX73" s="155"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55" t="s">
        <v>335</v>
      </c>
      <c r="BZ73" s="155" t="s">
        <v>335</v>
      </c>
      <c r="CA73" s="23" t="str">
        <f>IF(AS73,concatll(concatl("---",AT73:AV73,BL73,"---"),M73,BW73:BX73),"")</f>
        <v xml:space="preserve">---_x000D_
title: "Convent of our Lady of Carmen (Convento de Nuestra Senora del Carmen), Soria"_x000D_
location: {lat: 41.7646254483495, lng: -2.46296793728833}_x000D_
interest: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23" t="str">
        <f>IF(AS73,"places\"&amp;VLOOKUP(C73,'(Ref) Countries'!A:B,2,)&amp;IF(LEN(D73)&gt;1,"-"&amp;LOWER(SUBSTITUTE(D73," ","-")),"")&amp;"-"&amp;LOWER(SUBSTITUTE(SUBSTITUTE(H73," ","-"),".",""))&amp;".md","")</f>
        <v>places\es-soria-convento-de-nuestra-senora-del-carmen.md</v>
      </c>
      <c r="CC73" s="29" t="str">
        <f>IF(LEN(Z73)&gt;1,VLOOKUP(Z73,'Tag List'!$A:$B,2,),"")</f>
        <v>St. Teresa of Avila, OCD</v>
      </c>
      <c r="CD73" s="29" t="str">
        <f>IF(LEN(AA73)&gt;1,VLOOKUP(AA73,'Tag List'!$A:$B,2,),"")</f>
        <v>Discalced Carmelites (Order of Discalced Carmelites)</v>
      </c>
      <c r="CE73" s="29" t="str">
        <f>IF(LEN(AB73)&gt;1,VLOOKUP(AB73,'Tag List'!$A:$B,2,),"")</f>
        <v>Religious Communities</v>
      </c>
      <c r="CF73" s="29" t="str">
        <f>IF(LEN(Z73)&gt;1,GetTagPage(CC73,Z73),"")</f>
        <v>[St. Teresa of Avila, OCD](/tags/teresa-avila)</v>
      </c>
      <c r="CG73" s="29" t="str">
        <f>IF(LEN(AA73)&gt;1,GetTagPage(CD73,AA73),"")</f>
        <v>[Discalced Carmelites (Order of Discalced Carmelites)](/tags/discalced-carmelites)</v>
      </c>
      <c r="CH73" s="29" t="str">
        <f>IF(LEN(AB73)&gt;1,GetTagPage(CE73,AB73),"")</f>
        <v>[Religious Communities](/tags/communities)</v>
      </c>
      <c r="CI73" s="29" t="str">
        <f t="shared" si="87"/>
        <v xml:space="preserve">| [St. Teresa of Avila, OCD](/tags/teresa-avila), [Discalced Carmelites (Order of Discalced Carmelites)](/tags/discalced-carmelites), [Religious Communities](/tags/communities) </v>
      </c>
      <c r="CJ73" s="29" t="str">
        <f t="shared" si="88"/>
        <v xml:space="preserve">| [](/places/places\es-soria-convento-de-nuestra-senora-del-carmen) </v>
      </c>
      <c r="CK73" s="29" t="str">
        <f>"| "&amp;IF(AS73,GetTagPage(C73,VLOOKUP(C73,'(Ref) Countries'!A:C,3,)),C73)&amp; " "</f>
        <v xml:space="preserve">| [Spain](/tags/spain) </v>
      </c>
      <c r="CL73" s="29" t="str">
        <f t="shared" si="89"/>
        <v xml:space="preserve">|  </v>
      </c>
      <c r="CM73" s="29" t="str">
        <f t="shared" si="90"/>
        <v xml:space="preserve">| [Link](/places/places\es-soria-convento-de-nuestra-senora-del-carmen) </v>
      </c>
      <c r="CN73" s="29" t="str">
        <f t="shared" si="91"/>
        <v xml:space="preserve">
| [](/places/places\es-soria-convento-de-nuestra-senora-del-carmen) | [Spain](/tags/spain) |  | [Link](/places/places\es-soria-convento-de-nuestra-senora-del-carmen) | [St. Teresa of Avila, OCD](/tags/teresa-avila), [Discalced Carmelites (Order of Discalced Carmelites)](/tags/discalced-carmelites), [Religious Communities](/tags/communities) |</v>
      </c>
    </row>
    <row r="74" spans="1:92" ht="25.5" x14ac:dyDescent="0.25">
      <c r="A74" s="167" t="s">
        <v>1317</v>
      </c>
      <c r="B74" s="24" t="s">
        <v>2481</v>
      </c>
      <c r="C74" s="24" t="s">
        <v>550</v>
      </c>
      <c r="D74" s="101" t="s">
        <v>2183</v>
      </c>
      <c r="E74" s="15">
        <v>37.175062581351298</v>
      </c>
      <c r="F74" s="49">
        <v>-3.5968724999999999</v>
      </c>
      <c r="G74" s="101" t="s">
        <v>2184</v>
      </c>
      <c r="H74" s="53" t="s">
        <v>2105</v>
      </c>
      <c r="I74" s="24" t="s">
        <v>1802</v>
      </c>
      <c r="J74" s="24" t="b">
        <v>1</v>
      </c>
      <c r="L74" s="24" t="b">
        <v>1</v>
      </c>
      <c r="M74" s="101" t="s">
        <v>2188</v>
      </c>
      <c r="O74" s="15" t="s">
        <v>2185</v>
      </c>
      <c r="P74" s="102" t="s">
        <v>1795</v>
      </c>
      <c r="Q74" s="106" t="s">
        <v>2187</v>
      </c>
      <c r="R74" s="15" t="s">
        <v>2186</v>
      </c>
      <c r="S74" s="64" t="s">
        <v>335</v>
      </c>
      <c r="Z74" s="15" t="s">
        <v>2100</v>
      </c>
      <c r="AA74" s="102" t="s">
        <v>2096</v>
      </c>
      <c r="AB74" s="15" t="s">
        <v>1420</v>
      </c>
      <c r="AC74" s="15" t="s">
        <v>2099</v>
      </c>
      <c r="AS74" s="154" t="b">
        <f t="shared" si="63"/>
        <v>1</v>
      </c>
      <c r="AT74" s="155" t="str">
        <f t="shared" si="64"/>
        <v>title: "Convento de San Jose, Granada"</v>
      </c>
      <c r="AU74" s="155" t="str">
        <f t="shared" si="65"/>
        <v>location: {lat: 37.1750625813513, lng: -3.5968725}</v>
      </c>
      <c r="AV74" s="155" t="str">
        <f t="shared" si="66"/>
        <v>interest: local</v>
      </c>
      <c r="AW74" s="155" t="str">
        <f>"- "&amp;VLOOKUP(C74,'(Ref) Countries'!A:C,3,)</f>
        <v>- spain</v>
      </c>
      <c r="AX74" s="155" t="str">
        <f t="shared" si="67"/>
        <v>- granada</v>
      </c>
      <c r="AY74" s="155" t="str">
        <f t="shared" si="68"/>
        <v>- churches</v>
      </c>
      <c r="AZ74" s="155" t="str">
        <f t="shared" si="69"/>
        <v/>
      </c>
      <c r="BA74" s="155" t="str">
        <f t="shared" si="70"/>
        <v>- holy-persons</v>
      </c>
      <c r="BB74" s="155" t="str">
        <f t="shared" si="71"/>
        <v>- teresa-avila</v>
      </c>
      <c r="BC74" s="155" t="str">
        <f t="shared" si="72"/>
        <v>- discalced-carmelites</v>
      </c>
      <c r="BD74" s="155" t="str">
        <f t="shared" si="73"/>
        <v>- communities</v>
      </c>
      <c r="BE74" s="155" t="str">
        <f t="shared" si="74"/>
        <v>- john-cross</v>
      </c>
      <c r="BF74" s="155" t="str">
        <f t="shared" si="75"/>
        <v/>
      </c>
      <c r="BG74" s="155" t="str">
        <f t="shared" si="76"/>
        <v/>
      </c>
      <c r="BH74" s="155" t="str">
        <f t="shared" si="77"/>
        <v/>
      </c>
      <c r="BI74" s="155" t="str">
        <f t="shared" si="78"/>
        <v/>
      </c>
      <c r="BJ74" s="155" t="str">
        <f t="shared" si="79"/>
        <v/>
      </c>
      <c r="BK74" s="155" t="str">
        <f t="shared" si="80"/>
        <v/>
      </c>
      <c r="BL74" s="155" t="str">
        <f t="shared" si="81"/>
        <v xml:space="preserve">tags:
- spain_x000D_
- granada_x000D_
- churches_x000D_
- holy-persons_x000D_
- teresa-avila_x000D_
- discalced-carmelites_x000D_
- communities_x000D_
- john-cross_x000D_
</v>
      </c>
      <c r="BM74" s="158" t="str">
        <f t="shared" si="92"/>
        <v>[Official site](http://www.carmelitasdescalzasgranada.es/) - (note: website not active at time of writing)</v>
      </c>
      <c r="BN74" s="158" t="str">
        <f t="shared" si="93"/>
        <v>[Information from the Federacion Virgen del Carmen](https://federacionvirgendelcarmen.wordpress.com/conventos/convento-de-san-jose-granada/)</v>
      </c>
      <c r="BO74" s="158" t="str">
        <f t="shared" si="94"/>
        <v/>
      </c>
      <c r="BP74" s="158" t="str">
        <f t="shared" si="95"/>
        <v/>
      </c>
      <c r="BQ74" s="155" t="str">
        <f t="shared" si="82"/>
        <v xml:space="preserve">* [Official site](http://www.carmelitasdescalzasgranada.es/) - (note: website not active at time of writing)
* [Information from the Federacion Virgen del Carmen](https://federacionvirgendelcarmen.wordpress.com/conventos/convento-de-san-jose-granada/)
</v>
      </c>
      <c r="BR74" s="155" t="str">
        <f t="shared" si="83"/>
        <v/>
      </c>
      <c r="BS74" s="155" t="str">
        <f t="shared" si="84"/>
        <v/>
      </c>
      <c r="BT74" s="155" t="str">
        <f t="shared" si="85"/>
        <v/>
      </c>
      <c r="BU74" s="155" t="str">
        <f>IF(LEN(concat(BR74:BT74))&gt;0,concat("| ",BR74," | ",BS74," | ",BT74," |"),"")</f>
        <v/>
      </c>
      <c r="BV74" s="155" t="str">
        <f t="shared" si="86"/>
        <v/>
      </c>
      <c r="BW74" s="155"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55" t="str">
        <f>IF(LEN(N74)&gt;1,concatll("#### Author's Note",N74,"-"&amp;B74),"")</f>
        <v/>
      </c>
      <c r="BY74" s="155" t="s">
        <v>335</v>
      </c>
      <c r="BZ74" s="155" t="s">
        <v>335</v>
      </c>
      <c r="CA74" s="23" t="str">
        <f>IF(AS74,concatll(concatl("---",AT74:AV74,BL74,"---"),M74,BW74:BX74),"")</f>
        <v xml:space="preserve">---_x000D_
title: "Convento de San Jose, Granada"_x000D_
location: {lat: 37.1750625813513, lng: -3.5968725}_x000D_
interest: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23" t="str">
        <f>IF(AS74,"places\"&amp;VLOOKUP(C74,'(Ref) Countries'!A:B,2,)&amp;IF(LEN(D74)&gt;1,"-"&amp;LOWER(SUBSTITUTE(D74," ","-")),"")&amp;"-"&amp;LOWER(SUBSTITUTE(SUBSTITUTE(H74," ","-"),".",""))&amp;".md","")</f>
        <v>places\es-granada-convento-de-san-jose.md</v>
      </c>
      <c r="CC74" s="29" t="str">
        <f>IF(LEN(Z74)&gt;1,VLOOKUP(Z74,'Tag List'!$A:$B,2,),"")</f>
        <v>St. Teresa of Avila, OCD</v>
      </c>
      <c r="CD74" s="29" t="str">
        <f>IF(LEN(AA74)&gt;1,VLOOKUP(AA74,'Tag List'!$A:$B,2,),"")</f>
        <v>Discalced Carmelites (Order of Discalced Carmelites)</v>
      </c>
      <c r="CE74" s="29" t="str">
        <f>IF(LEN(AB74)&gt;1,VLOOKUP(AB74,'Tag List'!$A:$B,2,),"")</f>
        <v>Religious Communities</v>
      </c>
      <c r="CF74" s="29" t="str">
        <f>IF(LEN(Z74)&gt;1,GetTagPage(CC74,Z74),"")</f>
        <v>[St. Teresa of Avila, OCD](/tags/teresa-avila)</v>
      </c>
      <c r="CG74" s="29" t="str">
        <f>IF(LEN(AA74)&gt;1,GetTagPage(CD74,AA74),"")</f>
        <v>[Discalced Carmelites (Order of Discalced Carmelites)](/tags/discalced-carmelites)</v>
      </c>
      <c r="CH74" s="29" t="str">
        <f>IF(LEN(AB74)&gt;1,GetTagPage(CE74,AB74),"")</f>
        <v>[Religious Communities](/tags/communities)</v>
      </c>
      <c r="CI74" s="29" t="str">
        <f t="shared" si="87"/>
        <v xml:space="preserve">| [St. Teresa of Avila, OCD](/tags/teresa-avila), [Discalced Carmelites (Order of Discalced Carmelites)](/tags/discalced-carmelites), [Religious Communities](/tags/communities) </v>
      </c>
      <c r="CJ74" s="29" t="str">
        <f t="shared" si="88"/>
        <v xml:space="preserve">| [](/places/places\es-granada-convento-de-san-jose) </v>
      </c>
      <c r="CK74" s="29" t="str">
        <f>"| "&amp;IF(AS74,GetTagPage(C74,VLOOKUP(C74,'(Ref) Countries'!A:C,3,)),C74)&amp; " "</f>
        <v xml:space="preserve">| [Spain](/tags/spain) </v>
      </c>
      <c r="CL74" s="29" t="str">
        <f t="shared" si="89"/>
        <v xml:space="preserve">|  </v>
      </c>
      <c r="CM74" s="29" t="str">
        <f t="shared" si="90"/>
        <v xml:space="preserve">| [Link](/places/places\es-granada-convento-de-san-jose) </v>
      </c>
      <c r="CN74" s="29" t="str">
        <f t="shared" si="91"/>
        <v xml:space="preserve">
| [](/places/places\es-granada-convento-de-san-jose) | [Spain](/tags/spain) |  | [Link](/places/places\es-granada-convento-de-san-jose) [Official site](http://www.carmelitasdescalzasgranada.es/) - (note: website not active at time of writing)| [St. Teresa of Avila, OCD](/tags/teresa-avila), [Discalced Carmelites (Order of Discalced Carmelites)](/tags/discalced-carmelites), [Religious Communities](/tags/communities) |</v>
      </c>
    </row>
    <row r="75" spans="1:92" ht="25.5" x14ac:dyDescent="0.25">
      <c r="A75" s="167" t="s">
        <v>1317</v>
      </c>
      <c r="B75" s="24" t="s">
        <v>2481</v>
      </c>
      <c r="C75" s="24" t="s">
        <v>550</v>
      </c>
      <c r="D75" s="101" t="s">
        <v>2189</v>
      </c>
      <c r="E75" s="15">
        <v>42.340120675583002</v>
      </c>
      <c r="F75" s="49">
        <v>-3.6942737000000001</v>
      </c>
      <c r="G75" s="111" t="s">
        <v>2246</v>
      </c>
      <c r="H75" s="53" t="s">
        <v>2190</v>
      </c>
      <c r="I75" s="24" t="s">
        <v>1802</v>
      </c>
      <c r="J75" s="24" t="b">
        <v>1</v>
      </c>
      <c r="L75" s="24" t="b">
        <v>1</v>
      </c>
      <c r="M75" s="101" t="s">
        <v>2191</v>
      </c>
      <c r="N75" s="177" t="s">
        <v>2514</v>
      </c>
      <c r="Q75" s="106" t="s">
        <v>2193</v>
      </c>
      <c r="R75" s="15" t="s">
        <v>2192</v>
      </c>
      <c r="S75" s="171" t="s">
        <v>2576</v>
      </c>
      <c r="T75" s="109" t="s">
        <v>335</v>
      </c>
      <c r="Z75" s="15" t="s">
        <v>2100</v>
      </c>
      <c r="AA75" s="15" t="s">
        <v>2096</v>
      </c>
      <c r="AB75" s="15" t="s">
        <v>1420</v>
      </c>
      <c r="AS75" s="154" t="b">
        <f t="shared" si="63"/>
        <v>1</v>
      </c>
      <c r="AT75" s="155" t="str">
        <f t="shared" si="64"/>
        <v>title: "Convento de San Jose y Santa Ana, Burgos"</v>
      </c>
      <c r="AU75" s="155" t="str">
        <f t="shared" si="65"/>
        <v>location: {lat: 42.340120675583, lng: -3.6942737}</v>
      </c>
      <c r="AV75" s="155" t="str">
        <f t="shared" si="66"/>
        <v>interest: local</v>
      </c>
      <c r="AW75" s="155" t="str">
        <f>"- "&amp;VLOOKUP(C75,'(Ref) Countries'!A:C,3,)</f>
        <v>- spain</v>
      </c>
      <c r="AX75" s="155" t="str">
        <f t="shared" si="67"/>
        <v>- burgos</v>
      </c>
      <c r="AY75" s="155" t="str">
        <f t="shared" si="68"/>
        <v>- churches</v>
      </c>
      <c r="AZ75" s="155" t="str">
        <f t="shared" si="69"/>
        <v/>
      </c>
      <c r="BA75" s="155" t="str">
        <f t="shared" si="70"/>
        <v>- holy-persons</v>
      </c>
      <c r="BB75" s="155" t="str">
        <f t="shared" si="71"/>
        <v>- teresa-avila</v>
      </c>
      <c r="BC75" s="155" t="str">
        <f t="shared" si="72"/>
        <v>- discalced-carmelites</v>
      </c>
      <c r="BD75" s="155" t="str">
        <f t="shared" si="73"/>
        <v>- communities</v>
      </c>
      <c r="BE75" s="155" t="str">
        <f t="shared" si="74"/>
        <v/>
      </c>
      <c r="BF75" s="155" t="str">
        <f t="shared" si="75"/>
        <v/>
      </c>
      <c r="BG75" s="155" t="str">
        <f t="shared" si="76"/>
        <v/>
      </c>
      <c r="BH75" s="155" t="str">
        <f t="shared" si="77"/>
        <v/>
      </c>
      <c r="BI75" s="155" t="str">
        <f t="shared" si="78"/>
        <v/>
      </c>
      <c r="BJ75" s="155" t="str">
        <f t="shared" si="79"/>
        <v/>
      </c>
      <c r="BK75" s="155" t="str">
        <f t="shared" si="80"/>
        <v/>
      </c>
      <c r="BL75" s="155" t="str">
        <f t="shared" si="81"/>
        <v xml:space="preserve">tags:
- spain_x000D_
- burgos_x000D_
- churches_x000D_
- holy-persons_x000D_
- teresa-avila_x000D_
- discalced-carmelites_x000D_
- communities_x000D_
</v>
      </c>
      <c r="BM75" s="158" t="str">
        <f t="shared" si="92"/>
        <v/>
      </c>
      <c r="BN75" s="158" t="str">
        <f t="shared" si="93"/>
        <v>[Burgos tourism site](https://turismo.aytoburgos.es/cultura-y-patrimonio1/-/asset_publisher/PMC541iCzJ73/content/convento-de-san-jos%25C3%25A9-y-santa-ana) - Note: website not active at time of writing</v>
      </c>
      <c r="BO75" s="158" t="str">
        <f t="shared" si="94"/>
        <v/>
      </c>
      <c r="BP75" s="158" t="str">
        <f t="shared" si="95"/>
        <v/>
      </c>
      <c r="BQ75" s="155" t="str">
        <f t="shared" si="82"/>
        <v xml:space="preserve">* [Burgos tourism site](https://turismo.aytoburgos.es/cultura-y-patrimonio1/-/asset_publisher/PMC541iCzJ73/content/convento-de-san-jos%25C3%25A9-y-santa-ana) - Note: website not active at time of writing
</v>
      </c>
      <c r="BR75" s="155" t="str">
        <f t="shared" si="83"/>
        <v/>
      </c>
      <c r="BS75" s="155" t="str">
        <f t="shared" si="84"/>
        <v/>
      </c>
      <c r="BT75" s="155" t="str">
        <f t="shared" si="85"/>
        <v/>
      </c>
      <c r="BU75" s="155" t="str">
        <f>IF(LEN(concat(BR75:BT75))&gt;0,concat("| ",BR75," | ",BS75," | ",BT75," |"),"")</f>
        <v/>
      </c>
      <c r="BV75" s="155" t="str">
        <f t="shared" si="86"/>
        <v/>
      </c>
      <c r="BW75" s="155"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55" t="str">
        <f>IF(LEN(N75)&gt;1,concatll("#### Author's Note",N75,"-"&amp;B75),"")</f>
        <v xml:space="preserve">#### Author's Note_x000D_
_x000D_
Many of the websites associated with this site were not working at time of writing._x000D_
_x000D_
-JMM_x000D_
_x000D_
</v>
      </c>
      <c r="BY75" s="155" t="s">
        <v>335</v>
      </c>
      <c r="BZ75" s="155" t="s">
        <v>335</v>
      </c>
      <c r="CA75" s="23" t="str">
        <f>IF(AS75,concatll(concatl("---",AT75:AV75,BL75,"---"),M75,BW75:BX75),"")</f>
        <v xml:space="preserve">---_x000D_
title: "Convento de San Jose y Santa Ana, Burgos"_x000D_
location: {lat: 42.340120675583, lng: -3.6942737}_x000D_
interest: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23" t="str">
        <f>IF(AS75,"places\"&amp;VLOOKUP(C75,'(Ref) Countries'!A:B,2,)&amp;IF(LEN(D75)&gt;1,"-"&amp;LOWER(SUBSTITUTE(D75," ","-")),"")&amp;"-"&amp;LOWER(SUBSTITUTE(SUBSTITUTE(H75," ","-"),".",""))&amp;".md","")</f>
        <v>places\es-burgos-convento-de-san-jose-y-santa-ana.md</v>
      </c>
      <c r="CC75" s="29" t="str">
        <f>IF(LEN(Z75)&gt;1,VLOOKUP(Z75,'Tag List'!$A:$B,2,),"")</f>
        <v>St. Teresa of Avila, OCD</v>
      </c>
      <c r="CD75" s="29" t="str">
        <f>IF(LEN(AA75)&gt;1,VLOOKUP(AA75,'Tag List'!$A:$B,2,),"")</f>
        <v>Discalced Carmelites (Order of Discalced Carmelites)</v>
      </c>
      <c r="CE75" s="29" t="str">
        <f>IF(LEN(AB75)&gt;1,VLOOKUP(AB75,'Tag List'!$A:$B,2,),"")</f>
        <v>Religious Communities</v>
      </c>
      <c r="CF75" s="29" t="str">
        <f>IF(LEN(Z75)&gt;1,GetTagPage(CC75,Z75),"")</f>
        <v>[St. Teresa of Avila, OCD](/tags/teresa-avila)</v>
      </c>
      <c r="CG75" s="29" t="str">
        <f>IF(LEN(AA75)&gt;1,GetTagPage(CD75,AA75),"")</f>
        <v>[Discalced Carmelites (Order of Discalced Carmelites)](/tags/discalced-carmelites)</v>
      </c>
      <c r="CH75" s="29" t="str">
        <f>IF(LEN(AB75)&gt;1,GetTagPage(CE75,AB75),"")</f>
        <v>[Religious Communities](/tags/communities)</v>
      </c>
      <c r="CI75" s="29" t="str">
        <f t="shared" si="87"/>
        <v xml:space="preserve">| [St. Teresa of Avila, OCD](/tags/teresa-avila), [Discalced Carmelites (Order of Discalced Carmelites)](/tags/discalced-carmelites), [Religious Communities](/tags/communities) </v>
      </c>
      <c r="CJ75" s="29" t="str">
        <f t="shared" si="88"/>
        <v xml:space="preserve">| [](/places/places\es-burgos-convento-de-san-jose-y-santa-ana) </v>
      </c>
      <c r="CK75" s="29" t="str">
        <f>"| "&amp;IF(AS75,GetTagPage(C75,VLOOKUP(C75,'(Ref) Countries'!A:C,3,)),C75)&amp; " "</f>
        <v xml:space="preserve">| [Spain](/tags/spain) </v>
      </c>
      <c r="CL75" s="29" t="str">
        <f t="shared" si="89"/>
        <v xml:space="preserve">|  </v>
      </c>
      <c r="CM75" s="29" t="str">
        <f t="shared" si="90"/>
        <v xml:space="preserve">| [Link](/places/places\es-burgos-convento-de-san-jose-y-santa-ana) </v>
      </c>
      <c r="CN75" s="29" t="str">
        <f t="shared" si="91"/>
        <v xml:space="preserve">
| [](/places/places\es-burgos-convento-de-san-jose-y-santa-ana) | [Spain](/tags/spain) |  | [Link](/places/places\es-burgos-convento-de-san-jose-y-santa-ana) | [St. Teresa of Avila, OCD](/tags/teresa-avila), [Discalced Carmelites (Order of Discalced Carmelites)](/tags/discalced-carmelites), [Religious Communities](/tags/communities) |</v>
      </c>
    </row>
    <row r="76" spans="1:92" ht="38.25" x14ac:dyDescent="0.25">
      <c r="A76" s="167" t="s">
        <v>1317</v>
      </c>
      <c r="B76" s="24" t="s">
        <v>2481</v>
      </c>
      <c r="C76" s="24" t="s">
        <v>550</v>
      </c>
      <c r="D76" s="101" t="s">
        <v>2092</v>
      </c>
      <c r="E76" s="15">
        <v>40.655737633857697</v>
      </c>
      <c r="F76" s="49">
        <v>-4.69703687109845</v>
      </c>
      <c r="G76" s="101" t="s">
        <v>2196</v>
      </c>
      <c r="H76" s="103" t="s">
        <v>1804</v>
      </c>
      <c r="I76" s="24" t="s">
        <v>1737</v>
      </c>
      <c r="J76" s="24" t="b">
        <v>1</v>
      </c>
      <c r="M76" s="101" t="s">
        <v>2195</v>
      </c>
      <c r="O76" s="15" t="s">
        <v>2194</v>
      </c>
      <c r="P76" s="104" t="s">
        <v>335</v>
      </c>
      <c r="S76" s="64" t="s">
        <v>335</v>
      </c>
      <c r="AS76" s="154" t="b">
        <f t="shared" si="63"/>
        <v>1</v>
      </c>
      <c r="AT76" s="155" t="str">
        <f t="shared" si="64"/>
        <v>title: "Avila Cathedral (Catedral del Salvador)"</v>
      </c>
      <c r="AU76" s="155" t="str">
        <f t="shared" si="65"/>
        <v>location: {lat: 40.6557376338577, lng: -4.69703687109845}</v>
      </c>
      <c r="AV76" s="155" t="str">
        <f t="shared" si="66"/>
        <v>interest: regional</v>
      </c>
      <c r="AW76" s="155" t="str">
        <f>"- "&amp;VLOOKUP(C76,'(Ref) Countries'!A:C,3,)</f>
        <v>- spain</v>
      </c>
      <c r="AX76" s="155" t="str">
        <f t="shared" si="67"/>
        <v>- avila</v>
      </c>
      <c r="AY76" s="155" t="str">
        <f t="shared" si="68"/>
        <v>- churches</v>
      </c>
      <c r="AZ76" s="155" t="str">
        <f t="shared" si="69"/>
        <v/>
      </c>
      <c r="BA76" s="155" t="str">
        <f t="shared" si="70"/>
        <v/>
      </c>
      <c r="BB76" s="155" t="str">
        <f t="shared" si="71"/>
        <v/>
      </c>
      <c r="BC76" s="155" t="str">
        <f t="shared" si="72"/>
        <v/>
      </c>
      <c r="BD76" s="155" t="str">
        <f t="shared" si="73"/>
        <v/>
      </c>
      <c r="BE76" s="155" t="str">
        <f t="shared" si="74"/>
        <v/>
      </c>
      <c r="BF76" s="155" t="str">
        <f t="shared" si="75"/>
        <v/>
      </c>
      <c r="BG76" s="155" t="str">
        <f t="shared" si="76"/>
        <v/>
      </c>
      <c r="BH76" s="155" t="str">
        <f t="shared" si="77"/>
        <v/>
      </c>
      <c r="BI76" s="155" t="str">
        <f t="shared" si="78"/>
        <v/>
      </c>
      <c r="BJ76" s="155" t="str">
        <f t="shared" si="79"/>
        <v/>
      </c>
      <c r="BK76" s="155" t="str">
        <f t="shared" si="80"/>
        <v/>
      </c>
      <c r="BL76" s="155" t="str">
        <f t="shared" si="81"/>
        <v xml:space="preserve">tags:
- spain_x000D_
- avila_x000D_
- churches_x000D_
</v>
      </c>
      <c r="BM76" s="158" t="str">
        <f t="shared" si="92"/>
        <v>[Official site](https://catedralavila.es/)</v>
      </c>
      <c r="BN76" s="158" t="str">
        <f t="shared" si="93"/>
        <v/>
      </c>
      <c r="BO76" s="158" t="str">
        <f t="shared" si="94"/>
        <v/>
      </c>
      <c r="BP76" s="158" t="str">
        <f t="shared" si="95"/>
        <v/>
      </c>
      <c r="BQ76" s="155" t="str">
        <f t="shared" si="82"/>
        <v xml:space="preserve">* [Official site](https://catedralavila.es/)
</v>
      </c>
      <c r="BR76" s="155" t="str">
        <f t="shared" si="83"/>
        <v/>
      </c>
      <c r="BS76" s="155" t="str">
        <f t="shared" si="84"/>
        <v/>
      </c>
      <c r="BT76" s="155" t="str">
        <f t="shared" si="85"/>
        <v/>
      </c>
      <c r="BU76" s="155" t="str">
        <f>IF(LEN(concat(BR76:BT76))&gt;0,concat("| ",BR76," | ",BS76," | ",BT76," |"),"")</f>
        <v/>
      </c>
      <c r="BV76" s="155" t="str">
        <f t="shared" si="86"/>
        <v/>
      </c>
      <c r="BW76" s="155" t="str">
        <f>IF(LEN(BQ76&amp;BV76)&gt;0,concatll("#### More Information",BQ76,BV76),"")</f>
        <v xml:space="preserve">#### More Information_x000D_
_x000D_
* [Official site](https://catedralavila.es/)
_x000D_
_x000D_
</v>
      </c>
      <c r="BX76" s="155" t="str">
        <f>IF(LEN(N76)&gt;1,concatll("#### Author's Note",N76,"-"&amp;B76),"")</f>
        <v/>
      </c>
      <c r="BY76" s="155" t="s">
        <v>335</v>
      </c>
      <c r="BZ76" s="155" t="s">
        <v>335</v>
      </c>
      <c r="CA76" s="23" t="str">
        <f>IF(AS76,concatll(concatl("---",AT76:AV76,BL76,"---"),M76,BW76:BX76),"")</f>
        <v xml:space="preserve">---_x000D_
title: "Avila Cathedral (Catedral del Salvador)"_x000D_
location: {lat: 40.6557376338577, lng: -4.69703687109845}_x000D_
interest: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23" t="str">
        <f>IF(AS76,"places\"&amp;VLOOKUP(C76,'(Ref) Countries'!A:B,2,)&amp;IF(LEN(D76)&gt;1,"-"&amp;LOWER(SUBSTITUTE(D76," ","-")),"")&amp;"-"&amp;LOWER(SUBSTITUTE(SUBSTITUTE(H76," ","-"),".",""))&amp;".md","")</f>
        <v>places\es-avila-cathedral.md</v>
      </c>
      <c r="CC76" s="29" t="str">
        <f>IF(LEN(Z76)&gt;1,VLOOKUP(Z76,'Tag List'!$A:$B,2,),"")</f>
        <v/>
      </c>
      <c r="CD76" s="29" t="str">
        <f>IF(LEN(AA76)&gt;1,VLOOKUP(AA76,'Tag List'!$A:$B,2,),"")</f>
        <v/>
      </c>
      <c r="CE76" s="29" t="str">
        <f>IF(LEN(AB76)&gt;1,VLOOKUP(AB76,'Tag List'!$A:$B,2,),"")</f>
        <v/>
      </c>
      <c r="CF76" s="29" t="str">
        <f>IF(LEN(Z76)&gt;1,GetTagPage(CC76,Z76),"")</f>
        <v/>
      </c>
      <c r="CG76" s="29" t="str">
        <f>IF(LEN(AA76)&gt;1,GetTagPage(CD76,AA76),"")</f>
        <v/>
      </c>
      <c r="CH76" s="29" t="str">
        <f>IF(LEN(AB76)&gt;1,GetTagPage(CE76,AB76),"")</f>
        <v/>
      </c>
      <c r="CI76" s="29" t="str">
        <f t="shared" si="87"/>
        <v xml:space="preserve">| </v>
      </c>
      <c r="CJ76" s="29" t="str">
        <f t="shared" si="88"/>
        <v xml:space="preserve">| [](/places/places\es-avila-cathedral) </v>
      </c>
      <c r="CK76" s="29" t="str">
        <f>"| "&amp;IF(AS76,GetTagPage(C76,VLOOKUP(C76,'(Ref) Countries'!A:C,3,)),C76)&amp; " "</f>
        <v xml:space="preserve">| [Spain](/tags/spain) </v>
      </c>
      <c r="CL76" s="29" t="str">
        <f t="shared" si="89"/>
        <v xml:space="preserve">|  </v>
      </c>
      <c r="CM76" s="29" t="str">
        <f t="shared" si="90"/>
        <v xml:space="preserve">| [Link](/places/places\es-avila-cathedral) </v>
      </c>
      <c r="CN76" s="29" t="str">
        <f t="shared" si="91"/>
        <v xml:space="preserve">
| [](/places/places\es-avila-cathedral) | [Spain](/tags/spain) |  | [Link](/places/places\es-avila-cathedral) [Official site](https://catedralavila.es/)| |</v>
      </c>
    </row>
    <row r="77" spans="1:92" ht="38.25" x14ac:dyDescent="0.25">
      <c r="A77" s="167" t="s">
        <v>1317</v>
      </c>
      <c r="B77" s="24" t="s">
        <v>2481</v>
      </c>
      <c r="C77" s="24" t="s">
        <v>550</v>
      </c>
      <c r="D77" s="24" t="s">
        <v>2092</v>
      </c>
      <c r="E77" s="15">
        <v>40.657935208986103</v>
      </c>
      <c r="F77" s="49">
        <v>-4.6960390893359802</v>
      </c>
      <c r="G77" s="101" t="s">
        <v>2197</v>
      </c>
      <c r="H77" s="103" t="s">
        <v>2198</v>
      </c>
      <c r="I77" s="101" t="s">
        <v>1737</v>
      </c>
      <c r="J77" s="24" t="b">
        <v>1</v>
      </c>
      <c r="L77" s="24" t="b">
        <v>1</v>
      </c>
      <c r="M77" s="101" t="s">
        <v>2199</v>
      </c>
      <c r="O77" s="15" t="s">
        <v>2200</v>
      </c>
      <c r="P77" s="15" t="s">
        <v>335</v>
      </c>
      <c r="S77" s="64" t="s">
        <v>335</v>
      </c>
      <c r="Z77" s="102" t="s">
        <v>2201</v>
      </c>
      <c r="AA77" s="102" t="s">
        <v>2203</v>
      </c>
      <c r="AB77" s="102" t="s">
        <v>2205</v>
      </c>
      <c r="AS77" s="154" t="b">
        <f t="shared" si="63"/>
        <v>1</v>
      </c>
      <c r="AT77" s="155" t="str">
        <f t="shared" si="64"/>
        <v>title: "Basilica of Sts. Vincent, Sabina and Cristeta (San Vicente de Avila)"</v>
      </c>
      <c r="AU77" s="155" t="str">
        <f t="shared" si="65"/>
        <v>location: {lat: 40.6579352089861, lng: -4.69603908933598}</v>
      </c>
      <c r="AV77" s="155" t="str">
        <f t="shared" si="66"/>
        <v>interest: regional</v>
      </c>
      <c r="AW77" s="155" t="str">
        <f>"- "&amp;VLOOKUP(C77,'(Ref) Countries'!A:C,3,)</f>
        <v>- spain</v>
      </c>
      <c r="AX77" s="155" t="str">
        <f t="shared" si="67"/>
        <v>- avila</v>
      </c>
      <c r="AY77" s="155" t="str">
        <f t="shared" si="68"/>
        <v>- churches</v>
      </c>
      <c r="AZ77" s="155" t="str">
        <f t="shared" si="69"/>
        <v/>
      </c>
      <c r="BA77" s="155" t="str">
        <f t="shared" si="70"/>
        <v>- holy-persons</v>
      </c>
      <c r="BB77" s="155" t="str">
        <f t="shared" si="71"/>
        <v>- vincent</v>
      </c>
      <c r="BC77" s="155" t="str">
        <f t="shared" si="72"/>
        <v>- sabina</v>
      </c>
      <c r="BD77" s="155" t="str">
        <f t="shared" si="73"/>
        <v>- cristeta</v>
      </c>
      <c r="BE77" s="155" t="str">
        <f t="shared" si="74"/>
        <v/>
      </c>
      <c r="BF77" s="155" t="str">
        <f t="shared" si="75"/>
        <v/>
      </c>
      <c r="BG77" s="155" t="str">
        <f t="shared" si="76"/>
        <v/>
      </c>
      <c r="BH77" s="155" t="str">
        <f t="shared" si="77"/>
        <v/>
      </c>
      <c r="BI77" s="155" t="str">
        <f t="shared" si="78"/>
        <v/>
      </c>
      <c r="BJ77" s="155" t="str">
        <f t="shared" si="79"/>
        <v/>
      </c>
      <c r="BK77" s="155" t="str">
        <f t="shared" si="80"/>
        <v/>
      </c>
      <c r="BL77" s="155" t="str">
        <f t="shared" si="81"/>
        <v xml:space="preserve">tags:
- spain_x000D_
- avila_x000D_
- churches_x000D_
- holy-persons_x000D_
- vincent_x000D_
- sabina_x000D_
- cristeta_x000D_
</v>
      </c>
      <c r="BM77" s="158" t="str">
        <f t="shared" si="92"/>
        <v>[Official site](https://basilicasanvicente.es/)</v>
      </c>
      <c r="BN77" s="158" t="str">
        <f t="shared" si="93"/>
        <v/>
      </c>
      <c r="BO77" s="158" t="str">
        <f t="shared" si="94"/>
        <v/>
      </c>
      <c r="BP77" s="158" t="str">
        <f t="shared" si="95"/>
        <v/>
      </c>
      <c r="BQ77" s="155" t="str">
        <f t="shared" si="82"/>
        <v xml:space="preserve">* [Official site](https://basilicasanvicente.es/)
</v>
      </c>
      <c r="BR77" s="155" t="str">
        <f t="shared" si="83"/>
        <v/>
      </c>
      <c r="BS77" s="155" t="str">
        <f t="shared" si="84"/>
        <v/>
      </c>
      <c r="BT77" s="155" t="str">
        <f t="shared" si="85"/>
        <v/>
      </c>
      <c r="BU77" s="155" t="str">
        <f>IF(LEN(concat(BR77:BT77))&gt;0,concat("| ",BR77," | ",BS77," | ",BT77," |"),"")</f>
        <v/>
      </c>
      <c r="BV77" s="155" t="str">
        <f t="shared" si="86"/>
        <v/>
      </c>
      <c r="BW77" s="155" t="str">
        <f>IF(LEN(BQ77&amp;BV77)&gt;0,concatll("#### More Information",BQ77,BV77),"")</f>
        <v xml:space="preserve">#### More Information_x000D_
_x000D_
* [Official site](https://basilicasanvicente.es/)
_x000D_
_x000D_
</v>
      </c>
      <c r="BX77" s="155" t="str">
        <f>IF(LEN(N77)&gt;1,concatll("#### Author's Note",N77,"-"&amp;B77),"")</f>
        <v/>
      </c>
      <c r="BY77" s="155" t="s">
        <v>335</v>
      </c>
      <c r="BZ77" s="155" t="s">
        <v>335</v>
      </c>
      <c r="CA77" s="23" t="str">
        <f>IF(AS77,concatll(concatl("---",AT77:AV77,BL77,"---"),M77,BW77:BX77),"")</f>
        <v xml:space="preserve">---_x000D_
title: "Basilica of Sts. Vincent, Sabina and Cristeta (San Vicente de Avila)"_x000D_
location: {lat: 40.6579352089861, lng: -4.69603908933598}_x000D_
interest: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23" t="str">
        <f>IF(AS77,"places\"&amp;VLOOKUP(C77,'(Ref) Countries'!A:B,2,)&amp;IF(LEN(D77)&gt;1,"-"&amp;LOWER(SUBSTITUTE(D77," ","-")),"")&amp;"-"&amp;LOWER(SUBSTITUTE(SUBSTITUTE(H77," ","-"),".",""))&amp;".md","")</f>
        <v>places\es-avila-san-vincente.md</v>
      </c>
      <c r="CC77" s="29" t="str">
        <f>IF(LEN(Z77)&gt;1,VLOOKUP(Z77,'Tag List'!$A:$B,2,),"")</f>
        <v>St. Vincent</v>
      </c>
      <c r="CD77" s="29" t="str">
        <f>IF(LEN(AA77)&gt;1,VLOOKUP(AA77,'Tag List'!$A:$B,2,),"")</f>
        <v>St. Sabina</v>
      </c>
      <c r="CE77" s="29" t="str">
        <f>IF(LEN(AB77)&gt;1,VLOOKUP(AB77,'Tag List'!$A:$B,2,),"")</f>
        <v>St. Cristeta</v>
      </c>
      <c r="CF77" s="29" t="str">
        <f>IF(LEN(Z77)&gt;1,GetTagPage(CC77,Z77),"")</f>
        <v>[St. Vincent](/tags/vincent)</v>
      </c>
      <c r="CG77" s="29" t="str">
        <f>IF(LEN(AA77)&gt;1,GetTagPage(CD77,AA77),"")</f>
        <v>[St. Sabina](/tags/sabina)</v>
      </c>
      <c r="CH77" s="29" t="str">
        <f>IF(LEN(AB77)&gt;1,GetTagPage(CE77,AB77),"")</f>
        <v>[St. Cristeta](/tags/cristeta)</v>
      </c>
      <c r="CI77" s="29" t="str">
        <f t="shared" si="87"/>
        <v xml:space="preserve">| [St. Vincent](/tags/vincent), [St. Sabina](/tags/sabina), [St. Cristeta](/tags/cristeta) </v>
      </c>
      <c r="CJ77" s="29" t="str">
        <f t="shared" si="88"/>
        <v xml:space="preserve">| [](/places/places\es-avila-san-vincente) </v>
      </c>
      <c r="CK77" s="29" t="str">
        <f>"| "&amp;IF(AS77,GetTagPage(C77,VLOOKUP(C77,'(Ref) Countries'!A:C,3,)),C77)&amp; " "</f>
        <v xml:space="preserve">| [Spain](/tags/spain) </v>
      </c>
      <c r="CL77" s="29" t="str">
        <f t="shared" si="89"/>
        <v xml:space="preserve">|  </v>
      </c>
      <c r="CM77" s="29" t="str">
        <f t="shared" si="90"/>
        <v xml:space="preserve">| [Link](/places/places\es-avila-san-vincente) </v>
      </c>
      <c r="CN77" s="29" t="str">
        <f t="shared" si="91"/>
        <v xml:space="preserve">
| [](/places/places\es-avila-san-vincente) | [Spain](/tags/spain) |  | [Link](/places/places\es-avila-san-vincente) [Official site](https://basilicasanvicente.es/)| [St. Vincent](/tags/vincent), [St. Sabina](/tags/sabina), [St. Cristeta](/tags/cristeta) |</v>
      </c>
    </row>
    <row r="78" spans="1:92" ht="102" x14ac:dyDescent="0.25">
      <c r="A78" s="167" t="s">
        <v>1317</v>
      </c>
      <c r="B78" s="24" t="s">
        <v>2481</v>
      </c>
      <c r="C78" s="24" t="s">
        <v>550</v>
      </c>
      <c r="D78" s="24" t="s">
        <v>2212</v>
      </c>
      <c r="E78" s="15">
        <v>40.834106372070302</v>
      </c>
      <c r="F78" s="49">
        <v>-5.1301381279179701</v>
      </c>
      <c r="G78" s="24" t="s">
        <v>2213</v>
      </c>
      <c r="H78" s="53" t="s">
        <v>2214</v>
      </c>
      <c r="I78" s="24" t="s">
        <v>1802</v>
      </c>
      <c r="J78" s="24" t="b">
        <v>1</v>
      </c>
      <c r="L78" s="24" t="b">
        <v>1</v>
      </c>
      <c r="M78" s="101" t="s">
        <v>2215</v>
      </c>
      <c r="N78" s="177" t="s">
        <v>2515</v>
      </c>
      <c r="P78" s="15" t="s">
        <v>335</v>
      </c>
      <c r="S78" s="64" t="s">
        <v>335</v>
      </c>
      <c r="Z78" s="15" t="s">
        <v>2100</v>
      </c>
      <c r="AA78" s="15" t="s">
        <v>2096</v>
      </c>
      <c r="AB78" s="15" t="s">
        <v>2099</v>
      </c>
      <c r="AS78" s="154" t="b">
        <f t="shared" si="63"/>
        <v>1</v>
      </c>
      <c r="AT78" s="155" t="str">
        <f t="shared" si="64"/>
        <v>title: "Monastery of Duruelo"</v>
      </c>
      <c r="AU78" s="155" t="str">
        <f t="shared" si="65"/>
        <v>location: {lat: 40.8341063720703, lng: -5.13013812791797}</v>
      </c>
      <c r="AV78" s="155" t="str">
        <f t="shared" si="66"/>
        <v>interest: local</v>
      </c>
      <c r="AW78" s="155" t="str">
        <f>"- "&amp;VLOOKUP(C78,'(Ref) Countries'!A:C,3,)</f>
        <v>- spain</v>
      </c>
      <c r="AX78" s="155" t="str">
        <f t="shared" si="67"/>
        <v>- duruelo</v>
      </c>
      <c r="AY78" s="155" t="str">
        <f t="shared" si="68"/>
        <v>- churches</v>
      </c>
      <c r="AZ78" s="155" t="str">
        <f t="shared" si="69"/>
        <v/>
      </c>
      <c r="BA78" s="155" t="str">
        <f t="shared" si="70"/>
        <v>- holy-persons</v>
      </c>
      <c r="BB78" s="155" t="str">
        <f t="shared" si="71"/>
        <v>- teresa-avila</v>
      </c>
      <c r="BC78" s="155" t="str">
        <f t="shared" si="72"/>
        <v>- discalced-carmelites</v>
      </c>
      <c r="BD78" s="155" t="str">
        <f t="shared" si="73"/>
        <v>- john-cross</v>
      </c>
      <c r="BE78" s="155" t="str">
        <f t="shared" si="74"/>
        <v/>
      </c>
      <c r="BF78" s="155" t="str">
        <f t="shared" si="75"/>
        <v/>
      </c>
      <c r="BG78" s="155" t="str">
        <f t="shared" si="76"/>
        <v/>
      </c>
      <c r="BH78" s="155" t="str">
        <f t="shared" si="77"/>
        <v/>
      </c>
      <c r="BI78" s="155" t="str">
        <f t="shared" si="78"/>
        <v/>
      </c>
      <c r="BJ78" s="155" t="str">
        <f t="shared" si="79"/>
        <v/>
      </c>
      <c r="BK78" s="155" t="str">
        <f t="shared" si="80"/>
        <v/>
      </c>
      <c r="BL78" s="155" t="str">
        <f t="shared" si="81"/>
        <v xml:space="preserve">tags:
- spain_x000D_
- duruelo_x000D_
- churches_x000D_
- holy-persons_x000D_
- teresa-avila_x000D_
- discalced-carmelites_x000D_
- john-cross_x000D_
</v>
      </c>
      <c r="BM78" s="158" t="str">
        <f t="shared" si="92"/>
        <v/>
      </c>
      <c r="BN78" s="158" t="str">
        <f t="shared" si="93"/>
        <v/>
      </c>
      <c r="BO78" s="158" t="str">
        <f t="shared" si="94"/>
        <v/>
      </c>
      <c r="BP78" s="158" t="str">
        <f t="shared" si="95"/>
        <v/>
      </c>
      <c r="BQ78" s="155" t="str">
        <f t="shared" si="82"/>
        <v/>
      </c>
      <c r="BR78" s="155" t="str">
        <f t="shared" si="83"/>
        <v/>
      </c>
      <c r="BS78" s="155" t="str">
        <f t="shared" si="84"/>
        <v/>
      </c>
      <c r="BT78" s="155" t="str">
        <f t="shared" si="85"/>
        <v/>
      </c>
      <c r="BU78" s="155" t="str">
        <f>IF(LEN(concat(BR78:BT78))&gt;0,concat("| ",BR78," | ",BS78," | ",BT78," |"),"")</f>
        <v/>
      </c>
      <c r="BV78" s="155" t="str">
        <f t="shared" si="86"/>
        <v/>
      </c>
      <c r="BW78" s="155" t="str">
        <f>IF(LEN(BQ78&amp;BV78)&gt;0,concatll("#### More Information",BQ78,BV78),"")</f>
        <v/>
      </c>
      <c r="BX78" s="155"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55" t="s">
        <v>335</v>
      </c>
      <c r="BZ78" s="155" t="s">
        <v>335</v>
      </c>
      <c r="CA78" s="23" t="str">
        <f>IF(AS78,concatll(concatl("---",AT78:AV78,BL78,"---"),M78,BW78:BX78),"")</f>
        <v xml:space="preserve">---_x000D_
title: "Monastery of Duruelo"_x000D_
location: {lat: 40.8341063720703, lng: -5.13013812791797}_x000D_
interest: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23" t="str">
        <f>IF(AS78,"places\"&amp;VLOOKUP(C78,'(Ref) Countries'!A:B,2,)&amp;IF(LEN(D78)&gt;1,"-"&amp;LOWER(SUBSTITUTE(D78," ","-")),"")&amp;"-"&amp;LOWER(SUBSTITUTE(SUBSTITUTE(H78," ","-"),".",""))&amp;".md","")</f>
        <v>places\es-duruelo-monastery.md</v>
      </c>
      <c r="CC78" s="29" t="str">
        <f>IF(LEN(Z78)&gt;1,VLOOKUP(Z78,'Tag List'!$A:$B,2,),"")</f>
        <v>St. Teresa of Avila, OCD</v>
      </c>
      <c r="CD78" s="29" t="str">
        <f>IF(LEN(AA78)&gt;1,VLOOKUP(AA78,'Tag List'!$A:$B,2,),"")</f>
        <v>Discalced Carmelites (Order of Discalced Carmelites)</v>
      </c>
      <c r="CE78" s="29" t="str">
        <f>IF(LEN(AB78)&gt;1,VLOOKUP(AB78,'Tag List'!$A:$B,2,),"")</f>
        <v>St. John of the Cross, OCD</v>
      </c>
      <c r="CF78" s="29" t="str">
        <f>IF(LEN(Z78)&gt;1,GetTagPage(CC78,Z78),"")</f>
        <v>[St. Teresa of Avila, OCD](/tags/teresa-avila)</v>
      </c>
      <c r="CG78" s="29" t="str">
        <f>IF(LEN(AA78)&gt;1,GetTagPage(CD78,AA78),"")</f>
        <v>[Discalced Carmelites (Order of Discalced Carmelites)](/tags/discalced-carmelites)</v>
      </c>
      <c r="CH78" s="29" t="str">
        <f>IF(LEN(AB78)&gt;1,GetTagPage(CE78,AB78),"")</f>
        <v>[St. John of the Cross, OCD](/tags/john-cross)</v>
      </c>
      <c r="CI78" s="29" t="str">
        <f t="shared" si="87"/>
        <v xml:space="preserve">| [St. Teresa of Avila, OCD](/tags/teresa-avila), [Discalced Carmelites (Order of Discalced Carmelites)](/tags/discalced-carmelites), [St. John of the Cross, OCD](/tags/john-cross) </v>
      </c>
      <c r="CJ78" s="29" t="str">
        <f t="shared" si="88"/>
        <v xml:space="preserve">| [](/places/places\es-duruelo-monastery) </v>
      </c>
      <c r="CK78" s="29" t="str">
        <f>"| "&amp;IF(AS78,GetTagPage(C78,VLOOKUP(C78,'(Ref) Countries'!A:C,3,)),C78)&amp; " "</f>
        <v xml:space="preserve">| [Spain](/tags/spain) </v>
      </c>
      <c r="CL78" s="29" t="str">
        <f t="shared" si="89"/>
        <v xml:space="preserve">|  </v>
      </c>
      <c r="CM78" s="29" t="str">
        <f t="shared" si="90"/>
        <v xml:space="preserve">| [Link](/places/places\es-duruelo-monastery) </v>
      </c>
      <c r="CN78" s="29" t="str">
        <f t="shared" si="91"/>
        <v xml:space="preserve">
| [](/places/places\es-duruelo-monastery) | [Spain](/tags/spain) |  | [Link](/places/places\es-duruelo-monastery) | [St. Teresa of Avila, OCD](/tags/teresa-avila), [Discalced Carmelites (Order of Discalced Carmelites)](/tags/discalced-carmelites), [St. John of the Cross, OCD](/tags/john-cross) |</v>
      </c>
    </row>
    <row r="79" spans="1:92" ht="63.75" x14ac:dyDescent="0.25">
      <c r="A79" s="167" t="s">
        <v>1317</v>
      </c>
      <c r="B79" s="24" t="s">
        <v>2481</v>
      </c>
      <c r="C79" s="24" t="s">
        <v>550</v>
      </c>
      <c r="D79" s="101" t="s">
        <v>2144</v>
      </c>
      <c r="E79" s="15">
        <v>40.955391357159002</v>
      </c>
      <c r="F79" s="49">
        <v>-4.1334718632315699</v>
      </c>
      <c r="G79" s="101" t="s">
        <v>2216</v>
      </c>
      <c r="H79" s="103" t="s">
        <v>2217</v>
      </c>
      <c r="I79" s="101" t="s">
        <v>1737</v>
      </c>
      <c r="J79" s="24" t="b">
        <v>1</v>
      </c>
      <c r="L79" s="24" t="b">
        <v>1</v>
      </c>
      <c r="M79" s="101" t="s">
        <v>2218</v>
      </c>
      <c r="O79" s="15" t="s">
        <v>2219</v>
      </c>
      <c r="P79" s="15" t="s">
        <v>335</v>
      </c>
      <c r="S79" s="64" t="s">
        <v>335</v>
      </c>
      <c r="Z79" s="15" t="s">
        <v>2100</v>
      </c>
      <c r="AA79" s="15" t="s">
        <v>2096</v>
      </c>
      <c r="AB79" s="15" t="s">
        <v>2099</v>
      </c>
      <c r="AS79" s="154" t="b">
        <f t="shared" si="63"/>
        <v>1</v>
      </c>
      <c r="AT79" s="155" t="str">
        <f t="shared" si="64"/>
        <v>title: "Convent of St. John of the Cross (Convento de San Juan de la Cruz)"</v>
      </c>
      <c r="AU79" s="155" t="str">
        <f t="shared" si="65"/>
        <v>location: {lat: 40.955391357159, lng: -4.13347186323157}</v>
      </c>
      <c r="AV79" s="155" t="str">
        <f t="shared" si="66"/>
        <v>interest: regional</v>
      </c>
      <c r="AW79" s="155" t="str">
        <f>"- "&amp;VLOOKUP(C79,'(Ref) Countries'!A:C,3,)</f>
        <v>- spain</v>
      </c>
      <c r="AX79" s="155" t="str">
        <f t="shared" si="67"/>
        <v>- segovia</v>
      </c>
      <c r="AY79" s="155" t="str">
        <f t="shared" si="68"/>
        <v>- churches</v>
      </c>
      <c r="AZ79" s="155" t="str">
        <f t="shared" si="69"/>
        <v/>
      </c>
      <c r="BA79" s="155" t="str">
        <f t="shared" si="70"/>
        <v>- holy-persons</v>
      </c>
      <c r="BB79" s="155" t="str">
        <f t="shared" si="71"/>
        <v>- teresa-avila</v>
      </c>
      <c r="BC79" s="155" t="str">
        <f t="shared" si="72"/>
        <v>- discalced-carmelites</v>
      </c>
      <c r="BD79" s="155" t="str">
        <f t="shared" si="73"/>
        <v>- john-cross</v>
      </c>
      <c r="BE79" s="155" t="str">
        <f t="shared" si="74"/>
        <v/>
      </c>
      <c r="BF79" s="155" t="str">
        <f t="shared" si="75"/>
        <v/>
      </c>
      <c r="BG79" s="155" t="str">
        <f t="shared" si="76"/>
        <v/>
      </c>
      <c r="BH79" s="155" t="str">
        <f t="shared" si="77"/>
        <v/>
      </c>
      <c r="BI79" s="155" t="str">
        <f t="shared" si="78"/>
        <v/>
      </c>
      <c r="BJ79" s="155" t="str">
        <f t="shared" si="79"/>
        <v/>
      </c>
      <c r="BK79" s="155" t="str">
        <f t="shared" si="80"/>
        <v/>
      </c>
      <c r="BL79" s="155" t="str">
        <f t="shared" si="81"/>
        <v xml:space="preserve">tags:
- spain_x000D_
- segovia_x000D_
- churches_x000D_
- holy-persons_x000D_
- teresa-avila_x000D_
- discalced-carmelites_x000D_
- john-cross_x000D_
</v>
      </c>
      <c r="BM79" s="158" t="str">
        <f t="shared" si="92"/>
        <v>[Official site](https://sanjuandelacruzsegovia.com/)</v>
      </c>
      <c r="BN79" s="158" t="str">
        <f t="shared" si="93"/>
        <v/>
      </c>
      <c r="BO79" s="158" t="str">
        <f t="shared" si="94"/>
        <v/>
      </c>
      <c r="BP79" s="158" t="str">
        <f t="shared" si="95"/>
        <v/>
      </c>
      <c r="BQ79" s="155" t="str">
        <f t="shared" si="82"/>
        <v xml:space="preserve">* [Official site](https://sanjuandelacruzsegovia.com/)
</v>
      </c>
      <c r="BR79" s="155" t="str">
        <f t="shared" si="83"/>
        <v/>
      </c>
      <c r="BS79" s="155" t="str">
        <f t="shared" si="84"/>
        <v/>
      </c>
      <c r="BT79" s="155" t="str">
        <f t="shared" si="85"/>
        <v/>
      </c>
      <c r="BU79" s="155" t="str">
        <f>IF(LEN(concat(BR79:BT79))&gt;0,concat("| ",BR79," | ",BS79," | ",BT79," |"),"")</f>
        <v/>
      </c>
      <c r="BV79" s="155" t="str">
        <f t="shared" si="86"/>
        <v/>
      </c>
      <c r="BW79" s="155" t="str">
        <f>IF(LEN(BQ79&amp;BV79)&gt;0,concatll("#### More Information",BQ79,BV79),"")</f>
        <v xml:space="preserve">#### More Information_x000D_
_x000D_
* [Official site](https://sanjuandelacruzsegovia.com/)
_x000D_
_x000D_
</v>
      </c>
      <c r="BX79" s="155" t="str">
        <f>IF(LEN(N79)&gt;1,concatll("#### Author's Note",N79,"-"&amp;B79),"")</f>
        <v/>
      </c>
      <c r="BY79" s="155" t="s">
        <v>335</v>
      </c>
      <c r="BZ79" s="155" t="s">
        <v>335</v>
      </c>
      <c r="CA79" s="23" t="str">
        <f>IF(AS79,concatll(concatl("---",AT79:AV79,BL79,"---"),M79,BW79:BX79),"")</f>
        <v xml:space="preserve">---_x000D_
title: "Convent of St. John of the Cross (Convento de San Juan de la Cruz)"_x000D_
location: {lat: 40.955391357159, lng: -4.13347186323157}_x000D_
interest: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23" t="str">
        <f>IF(AS79,"places\"&amp;VLOOKUP(C79,'(Ref) Countries'!A:B,2,)&amp;IF(LEN(D79)&gt;1,"-"&amp;LOWER(SUBSTITUTE(D79," ","-")),"")&amp;"-"&amp;LOWER(SUBSTITUTE(SUBSTITUTE(H79," ","-"),".",""))&amp;".md","")</f>
        <v>places\es-segovia-convento-de-san-juan-de-la-cruz.md</v>
      </c>
      <c r="CC79" s="29" t="str">
        <f>IF(LEN(Z79)&gt;1,VLOOKUP(Z79,'Tag List'!$A:$B,2,),"")</f>
        <v>St. Teresa of Avila, OCD</v>
      </c>
      <c r="CD79" s="29" t="str">
        <f>IF(LEN(AA79)&gt;1,VLOOKUP(AA79,'Tag List'!$A:$B,2,),"")</f>
        <v>Discalced Carmelites (Order of Discalced Carmelites)</v>
      </c>
      <c r="CE79" s="29" t="str">
        <f>IF(LEN(AB79)&gt;1,VLOOKUP(AB79,'Tag List'!$A:$B,2,),"")</f>
        <v>St. John of the Cross, OCD</v>
      </c>
      <c r="CF79" s="29" t="str">
        <f>IF(LEN(Z79)&gt;1,GetTagPage(CC79,Z79),"")</f>
        <v>[St. Teresa of Avila, OCD](/tags/teresa-avila)</v>
      </c>
      <c r="CG79" s="29" t="str">
        <f>IF(LEN(AA79)&gt;1,GetTagPage(CD79,AA79),"")</f>
        <v>[Discalced Carmelites (Order of Discalced Carmelites)](/tags/discalced-carmelites)</v>
      </c>
      <c r="CH79" s="29" t="str">
        <f>IF(LEN(AB79)&gt;1,GetTagPage(CE79,AB79),"")</f>
        <v>[St. John of the Cross, OCD](/tags/john-cross)</v>
      </c>
      <c r="CI79" s="29" t="str">
        <f t="shared" si="87"/>
        <v xml:space="preserve">| [St. Teresa of Avila, OCD](/tags/teresa-avila), [Discalced Carmelites (Order of Discalced Carmelites)](/tags/discalced-carmelites), [St. John of the Cross, OCD](/tags/john-cross) </v>
      </c>
      <c r="CJ79" s="29" t="str">
        <f t="shared" si="88"/>
        <v xml:space="preserve">| [](/places/places\es-segovia-convento-de-san-juan-de-la-cruz) </v>
      </c>
      <c r="CK79" s="29" t="str">
        <f>"| "&amp;IF(AS79,GetTagPage(C79,VLOOKUP(C79,'(Ref) Countries'!A:C,3,)),C79)&amp; " "</f>
        <v xml:space="preserve">| [Spain](/tags/spain) </v>
      </c>
      <c r="CL79" s="29" t="str">
        <f t="shared" si="89"/>
        <v xml:space="preserve">|  </v>
      </c>
      <c r="CM79" s="29" t="str">
        <f t="shared" si="90"/>
        <v xml:space="preserve">| [Link](/places/places\es-segovia-convento-de-san-juan-de-la-cruz) </v>
      </c>
      <c r="CN79" s="29" t="str">
        <f t="shared" si="91"/>
        <v xml:space="preserve">
| [](/places/places\es-segovia-convento-de-san-juan-de-la-cruz) | [Spain](/tags/spain) |  | [Link](/places/places\es-segovia-convento-de-san-juan-de-la-cruz) [Official site](https://sanjuandelacruzsegovia.com/)| [St. Teresa of Avila, OCD](/tags/teresa-avila), [Discalced Carmelites (Order of Discalced Carmelites)](/tags/discalced-carmelites), [St. John of the Cross, OCD](/tags/john-cross) |</v>
      </c>
    </row>
    <row r="80" spans="1:92" ht="38.25" x14ac:dyDescent="0.25">
      <c r="A80" s="167" t="s">
        <v>1317</v>
      </c>
      <c r="B80" s="24" t="s">
        <v>2481</v>
      </c>
      <c r="C80" s="24" t="s">
        <v>550</v>
      </c>
      <c r="D80" s="101" t="s">
        <v>2220</v>
      </c>
      <c r="E80" s="15">
        <v>38.009716453448398</v>
      </c>
      <c r="F80" s="49">
        <v>-3.36573704226182</v>
      </c>
      <c r="G80" s="101" t="s">
        <v>2221</v>
      </c>
      <c r="H80" s="103" t="s">
        <v>2222</v>
      </c>
      <c r="I80" s="24" t="s">
        <v>1737</v>
      </c>
      <c r="J80" s="24" t="b">
        <v>1</v>
      </c>
      <c r="L80" s="24" t="b">
        <v>1</v>
      </c>
      <c r="M80" s="101" t="s">
        <v>2223</v>
      </c>
      <c r="O80" s="15" t="s">
        <v>2224</v>
      </c>
      <c r="P80" s="15" t="s">
        <v>335</v>
      </c>
      <c r="S80" s="64" t="s">
        <v>335</v>
      </c>
      <c r="Z80" s="15" t="s">
        <v>2099</v>
      </c>
      <c r="AA80" s="15" t="s">
        <v>2096</v>
      </c>
      <c r="AS80" s="154" t="b">
        <f t="shared" si="63"/>
        <v>1</v>
      </c>
      <c r="AT80" s="155" t="str">
        <f t="shared" si="64"/>
        <v>title: "Oratory of St. John of the Cross (Oratorio de San Juan de la Cruz)"</v>
      </c>
      <c r="AU80" s="155" t="str">
        <f t="shared" si="65"/>
        <v>location: {lat: 38.0097164534484, lng: -3.36573704226182}</v>
      </c>
      <c r="AV80" s="155" t="str">
        <f t="shared" si="66"/>
        <v>interest: regional</v>
      </c>
      <c r="AW80" s="155" t="str">
        <f>"- "&amp;VLOOKUP(C80,'(Ref) Countries'!A:C,3,)</f>
        <v>- spain</v>
      </c>
      <c r="AX80" s="155" t="str">
        <f t="shared" si="67"/>
        <v>- ubeda</v>
      </c>
      <c r="AY80" s="155" t="str">
        <f t="shared" si="68"/>
        <v>- churches</v>
      </c>
      <c r="AZ80" s="155" t="str">
        <f t="shared" si="69"/>
        <v/>
      </c>
      <c r="BA80" s="155" t="str">
        <f t="shared" si="70"/>
        <v>- holy-persons</v>
      </c>
      <c r="BB80" s="155" t="str">
        <f t="shared" si="71"/>
        <v>- john-cross</v>
      </c>
      <c r="BC80" s="155" t="str">
        <f t="shared" si="72"/>
        <v>- discalced-carmelites</v>
      </c>
      <c r="BD80" s="155" t="str">
        <f t="shared" si="73"/>
        <v/>
      </c>
      <c r="BE80" s="155" t="str">
        <f t="shared" si="74"/>
        <v/>
      </c>
      <c r="BF80" s="155" t="str">
        <f t="shared" si="75"/>
        <v/>
      </c>
      <c r="BG80" s="155" t="str">
        <f t="shared" si="76"/>
        <v/>
      </c>
      <c r="BH80" s="155" t="str">
        <f t="shared" si="77"/>
        <v/>
      </c>
      <c r="BI80" s="155" t="str">
        <f t="shared" si="78"/>
        <v/>
      </c>
      <c r="BJ80" s="155" t="str">
        <f t="shared" si="79"/>
        <v/>
      </c>
      <c r="BK80" s="155" t="str">
        <f t="shared" si="80"/>
        <v/>
      </c>
      <c r="BL80" s="155" t="str">
        <f t="shared" si="81"/>
        <v xml:space="preserve">tags:
- spain_x000D_
- ubeda_x000D_
- churches_x000D_
- holy-persons_x000D_
- john-cross_x000D_
- discalced-carmelites_x000D_
</v>
      </c>
      <c r="BM80" s="158" t="str">
        <f t="shared" si="92"/>
        <v>[Official site](https://www.sanjuandelacruzubeda.com/)</v>
      </c>
      <c r="BN80" s="158" t="str">
        <f t="shared" si="93"/>
        <v/>
      </c>
      <c r="BO80" s="158" t="str">
        <f t="shared" si="94"/>
        <v/>
      </c>
      <c r="BP80" s="158" t="str">
        <f t="shared" si="95"/>
        <v/>
      </c>
      <c r="BQ80" s="155" t="str">
        <f t="shared" si="82"/>
        <v xml:space="preserve">* [Official site](https://www.sanjuandelacruzubeda.com/)
</v>
      </c>
      <c r="BR80" s="155" t="str">
        <f t="shared" si="83"/>
        <v/>
      </c>
      <c r="BS80" s="155" t="str">
        <f t="shared" si="84"/>
        <v/>
      </c>
      <c r="BT80" s="155" t="str">
        <f t="shared" si="85"/>
        <v/>
      </c>
      <c r="BU80" s="155" t="str">
        <f>IF(LEN(concat(BR80:BT80))&gt;0,concat("| ",BR80," | ",BS80," | ",BT80," |"),"")</f>
        <v/>
      </c>
      <c r="BV80" s="155" t="str">
        <f t="shared" si="86"/>
        <v/>
      </c>
      <c r="BW80" s="155" t="str">
        <f>IF(LEN(BQ80&amp;BV80)&gt;0,concatll("#### More Information",BQ80,BV80),"")</f>
        <v xml:space="preserve">#### More Information_x000D_
_x000D_
* [Official site](https://www.sanjuandelacruzubeda.com/)
_x000D_
_x000D_
</v>
      </c>
      <c r="BX80" s="155" t="str">
        <f>IF(LEN(N80)&gt;1,concatll("#### Author's Note",N80,"-"&amp;B80),"")</f>
        <v/>
      </c>
      <c r="BY80" s="155" t="s">
        <v>335</v>
      </c>
      <c r="BZ80" s="155" t="s">
        <v>335</v>
      </c>
      <c r="CA80" s="23" t="str">
        <f>IF(AS80,concatll(concatl("---",AT80:AV80,BL80,"---"),M80,BW80:BX80),"")</f>
        <v xml:space="preserve">---_x000D_
title: "Oratory of St. John of the Cross (Oratorio de San Juan de la Cruz)"_x000D_
location: {lat: 38.0097164534484, lng: -3.36573704226182}_x000D_
interest: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23" t="str">
        <f>IF(AS80,"places\"&amp;VLOOKUP(C80,'(Ref) Countries'!A:B,2,)&amp;IF(LEN(D80)&gt;1,"-"&amp;LOWER(SUBSTITUTE(D80," ","-")),"")&amp;"-"&amp;LOWER(SUBSTITUTE(SUBSTITUTE(H80," ","-"),".",""))&amp;".md","")</f>
        <v>places\es-ubeda-oratorio-de-san-juan-de-la-cruz.md</v>
      </c>
      <c r="CC80" s="29" t="str">
        <f>IF(LEN(Z80)&gt;1,VLOOKUP(Z80,'Tag List'!$A:$B,2,),"")</f>
        <v>St. John of the Cross, OCD</v>
      </c>
      <c r="CD80" s="29" t="str">
        <f>IF(LEN(AA80)&gt;1,VLOOKUP(AA80,'Tag List'!$A:$B,2,),"")</f>
        <v>Discalced Carmelites (Order of Discalced Carmelites)</v>
      </c>
      <c r="CE80" s="29" t="str">
        <f>IF(LEN(AB80)&gt;1,VLOOKUP(AB80,'Tag List'!$A:$B,2,),"")</f>
        <v/>
      </c>
      <c r="CF80" s="29" t="str">
        <f>IF(LEN(Z80)&gt;1,GetTagPage(CC80,Z80),"")</f>
        <v>[St. John of the Cross, OCD](/tags/john-cross)</v>
      </c>
      <c r="CG80" s="29" t="str">
        <f>IF(LEN(AA80)&gt;1,GetTagPage(CD80,AA80),"")</f>
        <v>[Discalced Carmelites (Order of Discalced Carmelites)](/tags/discalced-carmelites)</v>
      </c>
      <c r="CH80" s="29" t="str">
        <f>IF(LEN(AB80)&gt;1,GetTagPage(CE80,AB80),"")</f>
        <v/>
      </c>
      <c r="CI80" s="29" t="str">
        <f t="shared" si="87"/>
        <v xml:space="preserve">| [St. John of the Cross, OCD](/tags/john-cross), [Discalced Carmelites (Order of Discalced Carmelites)](/tags/discalced-carmelites) </v>
      </c>
      <c r="CJ80" s="29" t="str">
        <f t="shared" si="88"/>
        <v xml:space="preserve">| [](/places/places\es-ubeda-oratorio-de-san-juan-de-la-cruz) </v>
      </c>
      <c r="CK80" s="29" t="str">
        <f>"| "&amp;IF(AS80,GetTagPage(C80,VLOOKUP(C80,'(Ref) Countries'!A:C,3,)),C80)&amp; " "</f>
        <v xml:space="preserve">| [Spain](/tags/spain) </v>
      </c>
      <c r="CL80" s="29" t="str">
        <f t="shared" si="89"/>
        <v xml:space="preserve">|  </v>
      </c>
      <c r="CM80" s="29" t="str">
        <f t="shared" si="90"/>
        <v xml:space="preserve">| [Link](/places/places\es-ubeda-oratorio-de-san-juan-de-la-cruz) </v>
      </c>
      <c r="CN80" s="29" t="str">
        <f t="shared" si="91"/>
        <v xml:space="preserve">
| [](/places/places\es-ubeda-oratorio-de-san-juan-de-la-cruz) | [Spain](/tags/spain) |  | [Link](/places/places\es-ubeda-oratorio-de-san-juan-de-la-cruz) [Official site](https://www.sanjuandelacruzubeda.com/)| [St. John of the Cross, OCD](/tags/john-cross), [Discalced Carmelites (Order of Discalced Carmelites)](/tags/discalced-carmelites) |</v>
      </c>
    </row>
    <row r="81" spans="1:92" ht="38.25" x14ac:dyDescent="0.25">
      <c r="A81" s="167" t="s">
        <v>1317</v>
      </c>
      <c r="B81" s="24" t="s">
        <v>2481</v>
      </c>
      <c r="C81" s="24" t="s">
        <v>550</v>
      </c>
      <c r="D81" s="101" t="s">
        <v>2225</v>
      </c>
      <c r="E81" s="15">
        <v>40.931787066841601</v>
      </c>
      <c r="F81" s="49">
        <v>-4.9646371</v>
      </c>
      <c r="G81" s="101" t="s">
        <v>2226</v>
      </c>
      <c r="H81" s="103" t="s">
        <v>2227</v>
      </c>
      <c r="I81" s="101" t="s">
        <v>1802</v>
      </c>
      <c r="J81" s="24" t="b">
        <v>1</v>
      </c>
      <c r="L81" s="24" t="b">
        <v>1</v>
      </c>
      <c r="M81" s="101" t="s">
        <v>2228</v>
      </c>
      <c r="P81" s="15" t="s">
        <v>335</v>
      </c>
      <c r="Q81" s="106" t="s">
        <v>2207</v>
      </c>
      <c r="R81" s="15" t="s">
        <v>2229</v>
      </c>
      <c r="S81" s="64" t="s">
        <v>335</v>
      </c>
      <c r="Z81" s="15" t="s">
        <v>2099</v>
      </c>
      <c r="AA81" s="15" t="s">
        <v>2096</v>
      </c>
      <c r="AS81" s="154" t="b">
        <f t="shared" si="63"/>
        <v>1</v>
      </c>
      <c r="AT81" s="155" t="str">
        <f t="shared" si="64"/>
        <v>title: "Church of the Birthplace of St. John of the Cross (Iglesia Casa Natal de San Juan de la Cruz)"</v>
      </c>
      <c r="AU81" s="155" t="str">
        <f t="shared" si="65"/>
        <v>location: {lat: 40.9317870668416, lng: -4.9646371}</v>
      </c>
      <c r="AV81" s="155" t="str">
        <f t="shared" si="66"/>
        <v>interest: local</v>
      </c>
      <c r="AW81" s="155" t="str">
        <f>"- "&amp;VLOOKUP(C81,'(Ref) Countries'!A:C,3,)</f>
        <v>- spain</v>
      </c>
      <c r="AX81" s="155" t="str">
        <f t="shared" si="67"/>
        <v>- fontiveros</v>
      </c>
      <c r="AY81" s="155" t="str">
        <f t="shared" si="68"/>
        <v>- churches</v>
      </c>
      <c r="AZ81" s="155" t="str">
        <f t="shared" si="69"/>
        <v/>
      </c>
      <c r="BA81" s="155" t="str">
        <f t="shared" si="70"/>
        <v>- holy-persons</v>
      </c>
      <c r="BB81" s="155" t="str">
        <f t="shared" si="71"/>
        <v>- john-cross</v>
      </c>
      <c r="BC81" s="155" t="str">
        <f t="shared" si="72"/>
        <v>- discalced-carmelites</v>
      </c>
      <c r="BD81" s="155" t="str">
        <f t="shared" si="73"/>
        <v/>
      </c>
      <c r="BE81" s="155" t="str">
        <f t="shared" si="74"/>
        <v/>
      </c>
      <c r="BF81" s="155" t="str">
        <f t="shared" si="75"/>
        <v/>
      </c>
      <c r="BG81" s="155" t="str">
        <f t="shared" si="76"/>
        <v/>
      </c>
      <c r="BH81" s="155" t="str">
        <f t="shared" si="77"/>
        <v/>
      </c>
      <c r="BI81" s="155" t="str">
        <f t="shared" si="78"/>
        <v/>
      </c>
      <c r="BJ81" s="155" t="str">
        <f t="shared" si="79"/>
        <v/>
      </c>
      <c r="BK81" s="155" t="str">
        <f t="shared" si="80"/>
        <v/>
      </c>
      <c r="BL81" s="155" t="str">
        <f t="shared" si="81"/>
        <v xml:space="preserve">tags:
- spain_x000D_
- fontiveros_x000D_
- churches_x000D_
- holy-persons_x000D_
- john-cross_x000D_
- discalced-carmelites_x000D_
</v>
      </c>
      <c r="BM81" s="158" t="str">
        <f t="shared" si="92"/>
        <v/>
      </c>
      <c r="BN81" s="158" t="str">
        <f t="shared" si="93"/>
        <v>[Castila y Leon tourism site](https://www.turismocastillayleon.com/en/art-culture-heritage/monuments/churches-chapels/church-san-juan-de-la-cruz-house-natal)</v>
      </c>
      <c r="BO81" s="158" t="str">
        <f t="shared" si="94"/>
        <v/>
      </c>
      <c r="BP81" s="158" t="str">
        <f t="shared" si="95"/>
        <v/>
      </c>
      <c r="BQ81" s="155" t="str">
        <f t="shared" si="82"/>
        <v xml:space="preserve">* [Castila y Leon tourism site](https://www.turismocastillayleon.com/en/art-culture-heritage/monuments/churches-chapels/church-san-juan-de-la-cruz-house-natal)
</v>
      </c>
      <c r="BR81" s="155" t="str">
        <f t="shared" si="83"/>
        <v/>
      </c>
      <c r="BS81" s="155" t="str">
        <f t="shared" si="84"/>
        <v/>
      </c>
      <c r="BT81" s="155" t="str">
        <f t="shared" si="85"/>
        <v/>
      </c>
      <c r="BU81" s="155" t="str">
        <f>IF(LEN(concat(BR81:BT81))&gt;0,concat("| ",BR81," | ",BS81," | ",BT81," |"),"")</f>
        <v/>
      </c>
      <c r="BV81" s="155" t="str">
        <f t="shared" si="86"/>
        <v/>
      </c>
      <c r="BW81" s="155" t="str">
        <f>IF(LEN(BQ81&amp;BV81)&gt;0,concatll("#### More Information",BQ81,BV81),"")</f>
        <v xml:space="preserve">#### More Information_x000D_
_x000D_
* [Castila y Leon tourism site](https://www.turismocastillayleon.com/en/art-culture-heritage/monuments/churches-chapels/church-san-juan-de-la-cruz-house-natal)
_x000D_
_x000D_
</v>
      </c>
      <c r="BX81" s="155" t="str">
        <f>IF(LEN(N81)&gt;1,concatll("#### Author's Note",N81,"-"&amp;B81),"")</f>
        <v/>
      </c>
      <c r="BY81" s="155" t="s">
        <v>335</v>
      </c>
      <c r="BZ81" s="155" t="s">
        <v>335</v>
      </c>
      <c r="CA81" s="23" t="str">
        <f>IF(AS81,concatll(concatl("---",AT81:AV81,BL81,"---"),M81,BW81:BX81),"")</f>
        <v xml:space="preserve">---_x000D_
title: "Church of the Birthplace of St. John of the Cross (Iglesia Casa Natal de San Juan de la Cruz)"_x000D_
location: {lat: 40.9317870668416, lng: -4.9646371}_x000D_
interest: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23" t="str">
        <f>IF(AS81,"places\"&amp;VLOOKUP(C81,'(Ref) Countries'!A:B,2,)&amp;IF(LEN(D81)&gt;1,"-"&amp;LOWER(SUBSTITUTE(D81," ","-")),"")&amp;"-"&amp;LOWER(SUBSTITUTE(SUBSTITUTE(H81," ","-"),".",""))&amp;".md","")</f>
        <v>places\es-fontiveros-iglesia-casa-natal-de-san-juan-de-la-cruz.md</v>
      </c>
      <c r="CC81" s="29" t="str">
        <f>IF(LEN(Z81)&gt;1,VLOOKUP(Z81,'Tag List'!$A:$B,2,),"")</f>
        <v>St. John of the Cross, OCD</v>
      </c>
      <c r="CD81" s="29" t="str">
        <f>IF(LEN(AA81)&gt;1,VLOOKUP(AA81,'Tag List'!$A:$B,2,),"")</f>
        <v>Discalced Carmelites (Order of Discalced Carmelites)</v>
      </c>
      <c r="CE81" s="29" t="str">
        <f>IF(LEN(AB81)&gt;1,VLOOKUP(AB81,'Tag List'!$A:$B,2,),"")</f>
        <v/>
      </c>
      <c r="CF81" s="29" t="str">
        <f>IF(LEN(Z81)&gt;1,GetTagPage(CC81,Z81),"")</f>
        <v>[St. John of the Cross, OCD](/tags/john-cross)</v>
      </c>
      <c r="CG81" s="29" t="str">
        <f>IF(LEN(AA81)&gt;1,GetTagPage(CD81,AA81),"")</f>
        <v>[Discalced Carmelites (Order of Discalced Carmelites)](/tags/discalced-carmelites)</v>
      </c>
      <c r="CH81" s="29" t="str">
        <f>IF(LEN(AB81)&gt;1,GetTagPage(CE81,AB81),"")</f>
        <v/>
      </c>
      <c r="CI81" s="29" t="str">
        <f t="shared" si="87"/>
        <v xml:space="preserve">| [St. John of the Cross, OCD](/tags/john-cross), [Discalced Carmelites (Order of Discalced Carmelites)](/tags/discalced-carmelites) </v>
      </c>
      <c r="CJ81" s="29" t="str">
        <f t="shared" si="88"/>
        <v xml:space="preserve">| [](/places/places\es-fontiveros-iglesia-casa-natal-de-san-juan-de-la-cruz) </v>
      </c>
      <c r="CK81" s="29" t="str">
        <f>"| "&amp;IF(AS81,GetTagPage(C81,VLOOKUP(C81,'(Ref) Countries'!A:C,3,)),C81)&amp; " "</f>
        <v xml:space="preserve">| [Spain](/tags/spain) </v>
      </c>
      <c r="CL81" s="29" t="str">
        <f t="shared" si="89"/>
        <v xml:space="preserve">|  </v>
      </c>
      <c r="CM81" s="29" t="str">
        <f t="shared" si="90"/>
        <v xml:space="preserve">| [Link](/places/places\es-fontiveros-iglesia-casa-natal-de-san-juan-de-la-cruz) </v>
      </c>
      <c r="CN81" s="29" t="str">
        <f t="shared" si="91"/>
        <v xml:space="preserve">
| [](/places/places\es-fontiveros-iglesia-casa-natal-de-san-juan-de-la-cruz) | [Spain](/tags/spain) |  | [Link](/places/places\es-fontiveros-iglesia-casa-natal-de-san-juan-de-la-cruz) | [St. John of the Cross, OCD](/tags/john-cross), [Discalced Carmelites (Order of Discalced Carmelites)](/tags/discalced-carmelites) |</v>
      </c>
    </row>
    <row r="82" spans="1:92" ht="102" x14ac:dyDescent="0.25">
      <c r="A82" s="167" t="s">
        <v>1317</v>
      </c>
      <c r="B82" s="24" t="s">
        <v>2481</v>
      </c>
      <c r="C82" s="24" t="s">
        <v>550</v>
      </c>
      <c r="D82" s="111" t="s">
        <v>2233</v>
      </c>
      <c r="E82" s="15">
        <v>42.8806093820127</v>
      </c>
      <c r="F82" s="49">
        <v>-8.5443954000000009</v>
      </c>
      <c r="G82" s="111" t="s">
        <v>2235</v>
      </c>
      <c r="H82" s="112" t="s">
        <v>2236</v>
      </c>
      <c r="I82" s="111" t="s">
        <v>1711</v>
      </c>
      <c r="J82" s="24" t="b">
        <v>1</v>
      </c>
      <c r="L82" s="24" t="b">
        <v>1</v>
      </c>
      <c r="M82" s="153" t="s">
        <v>2461</v>
      </c>
      <c r="O82" s="15" t="s">
        <v>2234</v>
      </c>
      <c r="P82" s="15" t="s">
        <v>335</v>
      </c>
      <c r="S82" s="64" t="s">
        <v>335</v>
      </c>
      <c r="Z82" s="170" t="s">
        <v>2530</v>
      </c>
      <c r="AA82" s="110" t="s">
        <v>2085</v>
      </c>
      <c r="AB82" s="110" t="s">
        <v>2237</v>
      </c>
      <c r="AC82" s="125" t="s">
        <v>2421</v>
      </c>
      <c r="AS82" s="154" t="b">
        <f t="shared" si="63"/>
        <v>1</v>
      </c>
      <c r="AT82" s="155" t="str">
        <f t="shared" si="64"/>
        <v>title: "Metropolitan Archcathedral Basilica of Santiago de Compostela (Catedral de Santiago)"</v>
      </c>
      <c r="AU82" s="155" t="str">
        <f t="shared" si="65"/>
        <v>location: {lat: 42.8806093820127, lng: -8.5443954}</v>
      </c>
      <c r="AV82" s="155" t="str">
        <f t="shared" si="66"/>
        <v>interest: global</v>
      </c>
      <c r="AW82" s="155" t="str">
        <f>"- "&amp;VLOOKUP(C82,'(Ref) Countries'!A:C,3,)</f>
        <v>- spain</v>
      </c>
      <c r="AX82" s="155" t="str">
        <f t="shared" si="67"/>
        <v>- santiago-de-compostela</v>
      </c>
      <c r="AY82" s="155" t="str">
        <f t="shared" si="68"/>
        <v>- churches</v>
      </c>
      <c r="AZ82" s="155" t="str">
        <f t="shared" si="69"/>
        <v/>
      </c>
      <c r="BA82" s="155" t="str">
        <f t="shared" si="70"/>
        <v>- holy-persons</v>
      </c>
      <c r="BB82" s="155" t="str">
        <f t="shared" si="71"/>
        <v>- james-great</v>
      </c>
      <c r="BC82" s="155" t="str">
        <f t="shared" si="72"/>
        <v>- camino</v>
      </c>
      <c r="BD82" s="155" t="str">
        <f t="shared" si="73"/>
        <v>- pelagius</v>
      </c>
      <c r="BE82" s="155" t="str">
        <f t="shared" si="74"/>
        <v>- apostles</v>
      </c>
      <c r="BF82" s="155" t="str">
        <f t="shared" si="75"/>
        <v/>
      </c>
      <c r="BG82" s="155" t="str">
        <f t="shared" si="76"/>
        <v/>
      </c>
      <c r="BH82" s="155" t="str">
        <f t="shared" si="77"/>
        <v/>
      </c>
      <c r="BI82" s="155" t="str">
        <f t="shared" si="78"/>
        <v/>
      </c>
      <c r="BJ82" s="155" t="str">
        <f t="shared" si="79"/>
        <v/>
      </c>
      <c r="BK82" s="155" t="str">
        <f t="shared" si="80"/>
        <v/>
      </c>
      <c r="BL82" s="155" t="str">
        <f t="shared" si="81"/>
        <v xml:space="preserve">tags:
- spain_x000D_
- santiago-de-compostela_x000D_
- churches_x000D_
- holy-persons_x000D_
- james-great_x000D_
- camino_x000D_
- pelagius_x000D_
- apostles_x000D_
</v>
      </c>
      <c r="BM82" s="158" t="str">
        <f t="shared" si="92"/>
        <v>[Official site](http://catedraldesantiago.es/)</v>
      </c>
      <c r="BN82" s="158" t="str">
        <f t="shared" si="93"/>
        <v/>
      </c>
      <c r="BO82" s="158" t="str">
        <f t="shared" si="94"/>
        <v/>
      </c>
      <c r="BP82" s="158" t="str">
        <f t="shared" si="95"/>
        <v/>
      </c>
      <c r="BQ82" s="155" t="str">
        <f t="shared" si="82"/>
        <v xml:space="preserve">* [Official site](http://catedraldesantiago.es/)
</v>
      </c>
      <c r="BR82" s="155" t="str">
        <f t="shared" si="83"/>
        <v/>
      </c>
      <c r="BS82" s="155" t="str">
        <f t="shared" si="84"/>
        <v/>
      </c>
      <c r="BT82" s="155" t="str">
        <f t="shared" si="85"/>
        <v/>
      </c>
      <c r="BU82" s="155" t="str">
        <f>IF(LEN(concat(BR82:BT82))&gt;0,concat("| ",BR82," | ",BS82," | ",BT82," |"),"")</f>
        <v/>
      </c>
      <c r="BV82" s="155" t="str">
        <f t="shared" si="86"/>
        <v/>
      </c>
      <c r="BW82" s="155" t="str">
        <f>IF(LEN(BQ82&amp;BV82)&gt;0,concatll("#### More Information",BQ82,BV82),"")</f>
        <v xml:space="preserve">#### More Information_x000D_
_x000D_
* [Official site](http://catedraldesantiago.es/)
_x000D_
_x000D_
</v>
      </c>
      <c r="BX82" s="155" t="str">
        <f>IF(LEN(N82)&gt;1,concatll("#### Author's Note",N82,"-"&amp;B82),"")</f>
        <v/>
      </c>
      <c r="BY82" s="155" t="s">
        <v>335</v>
      </c>
      <c r="BZ82" s="155" t="s">
        <v>335</v>
      </c>
      <c r="CA82" s="23" t="str">
        <f>IF(AS82,concatll(concatl("---",AT82:AV82,BL82,"---"),M82,BW82:BX82),"")</f>
        <v xml:space="preserve">---_x000D_
title: "Metropolitan Archcathedral Basilica of Santiago de Compostela (Catedral de Santiago)"_x000D_
location: {lat: 42.8806093820127, lng: -8.5443954}_x000D_
interest: global_x000D_
tags:
- spain_x000D_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23" t="str">
        <f>IF(AS82,"places\"&amp;VLOOKUP(C82,'(Ref) Countries'!A:B,2,)&amp;IF(LEN(D82)&gt;1,"-"&amp;LOWER(SUBSTITUTE(D82," ","-")),"")&amp;"-"&amp;LOWER(SUBSTITUTE(SUBSTITUTE(H82," ","-"),".",""))&amp;".md","")</f>
        <v>places\es-santiago-de-compostela-catedral-de-santiago.md</v>
      </c>
      <c r="CC82" s="29" t="e">
        <f>IF(LEN(Z82)&gt;1,VLOOKUP(Z82,'Tag List'!$A:$B,2,),"")</f>
        <v>#N/A</v>
      </c>
      <c r="CD82" s="29" t="str">
        <f>IF(LEN(AA82)&gt;1,VLOOKUP(AA82,'Tag List'!$A:$B,2,),"")</f>
        <v>Camino de Santiago</v>
      </c>
      <c r="CE82" s="29" t="str">
        <f>IF(LEN(AB82)&gt;1,VLOOKUP(AB82,'Tag List'!$A:$B,2,),"")</f>
        <v>St. Pelagius the Hermit</v>
      </c>
      <c r="CF82" s="29" t="e">
        <f>IF(LEN(Z82)&gt;1,GetTagPage(CC82,Z82),"")</f>
        <v>#VALUE!</v>
      </c>
      <c r="CG82" s="29" t="str">
        <f>IF(LEN(AA82)&gt;1,GetTagPage(CD82,AA82),"")</f>
        <v>[Camino de Santiago](/tags/camino)</v>
      </c>
      <c r="CH82" s="29" t="str">
        <f>IF(LEN(AB82)&gt;1,GetTagPage(CE82,AB82),"")</f>
        <v>[St. Pelagius the Hermit](/tags/pelagius)</v>
      </c>
      <c r="CI82" s="29" t="e">
        <f t="shared" si="87"/>
        <v>#VALUE!</v>
      </c>
      <c r="CJ82" s="29" t="str">
        <f t="shared" si="88"/>
        <v xml:space="preserve">| [](/places/places\es-santiago-de-compostela-catedral-de-santiago) </v>
      </c>
      <c r="CK82" s="29" t="str">
        <f>"| "&amp;IF(AS82,GetTagPage(C82,VLOOKUP(C82,'(Ref) Countries'!A:C,3,)),C82)&amp; " "</f>
        <v xml:space="preserve">| [Spain](/tags/spain) </v>
      </c>
      <c r="CL82" s="29" t="str">
        <f t="shared" si="89"/>
        <v xml:space="preserve">|  </v>
      </c>
      <c r="CM82" s="29" t="str">
        <f t="shared" si="90"/>
        <v xml:space="preserve">| [Link](/places/places\es-santiago-de-compostela-catedral-de-santiago) </v>
      </c>
      <c r="CN82" s="29" t="e">
        <f t="shared" si="91"/>
        <v>#VALUE!</v>
      </c>
    </row>
    <row r="83" spans="1:92" ht="102" x14ac:dyDescent="0.25">
      <c r="A83" s="167" t="s">
        <v>1317</v>
      </c>
      <c r="B83" s="24" t="s">
        <v>2481</v>
      </c>
      <c r="C83" s="24" t="s">
        <v>2417</v>
      </c>
      <c r="D83" s="24" t="s">
        <v>2419</v>
      </c>
      <c r="E83" s="15">
        <v>37.911596002771098</v>
      </c>
      <c r="F83" s="49">
        <v>27.334141839748199</v>
      </c>
      <c r="G83" s="124" t="s">
        <v>2425</v>
      </c>
      <c r="H83" s="53" t="s">
        <v>2425</v>
      </c>
      <c r="I83" s="24" t="s">
        <v>1711</v>
      </c>
      <c r="K83" s="24" t="b">
        <v>1</v>
      </c>
      <c r="M83" s="124" t="s">
        <v>2428</v>
      </c>
      <c r="N83" s="177" t="s">
        <v>2516</v>
      </c>
      <c r="Z83" s="15" t="s">
        <v>2426</v>
      </c>
      <c r="AS83" s="154" t="b">
        <f t="shared" si="63"/>
        <v>1</v>
      </c>
      <c r="AT83" s="155" t="str">
        <f t="shared" si="64"/>
        <v>title: "House of the Virgin Mary"</v>
      </c>
      <c r="AU83" s="155" t="str">
        <f t="shared" si="65"/>
        <v>location: {lat: 37.9115960027711, lng: 27.3341418397482}</v>
      </c>
      <c r="AV83" s="155" t="str">
        <f t="shared" si="66"/>
        <v>interest: global</v>
      </c>
      <c r="AW83" s="155" t="str">
        <f>"- "&amp;VLOOKUP(C83,'(Ref) Countries'!A:C,3,)</f>
        <v>- turkey</v>
      </c>
      <c r="AX83" s="155" t="str">
        <f t="shared" si="67"/>
        <v>- ephesus</v>
      </c>
      <c r="AY83" s="155" t="str">
        <f t="shared" si="68"/>
        <v/>
      </c>
      <c r="AZ83" s="155" t="str">
        <f t="shared" si="69"/>
        <v>- marian-sites</v>
      </c>
      <c r="BA83" s="155" t="str">
        <f t="shared" si="70"/>
        <v/>
      </c>
      <c r="BB83" s="155" t="str">
        <f t="shared" si="71"/>
        <v>- anne-catherine-emmerich</v>
      </c>
      <c r="BC83" s="155" t="str">
        <f t="shared" si="72"/>
        <v/>
      </c>
      <c r="BD83" s="155" t="str">
        <f t="shared" si="73"/>
        <v/>
      </c>
      <c r="BE83" s="155" t="str">
        <f t="shared" si="74"/>
        <v/>
      </c>
      <c r="BF83" s="155" t="str">
        <f t="shared" si="75"/>
        <v/>
      </c>
      <c r="BG83" s="155" t="str">
        <f t="shared" si="76"/>
        <v/>
      </c>
      <c r="BH83" s="155" t="str">
        <f t="shared" si="77"/>
        <v/>
      </c>
      <c r="BI83" s="155" t="str">
        <f t="shared" si="78"/>
        <v/>
      </c>
      <c r="BJ83" s="155" t="str">
        <f t="shared" si="79"/>
        <v/>
      </c>
      <c r="BK83" s="155" t="str">
        <f t="shared" si="80"/>
        <v/>
      </c>
      <c r="BL83" s="155" t="str">
        <f t="shared" si="81"/>
        <v xml:space="preserve">tags:
- turkey_x000D_
- ephesus_x000D_
- marian-sites_x000D_
- anne-catherine-emmerich_x000D_
</v>
      </c>
      <c r="BM83" s="158" t="str">
        <f t="shared" si="92"/>
        <v/>
      </c>
      <c r="BN83" s="158" t="str">
        <f t="shared" si="93"/>
        <v/>
      </c>
      <c r="BO83" s="158" t="str">
        <f t="shared" si="94"/>
        <v/>
      </c>
      <c r="BP83" s="158" t="str">
        <f t="shared" si="95"/>
        <v/>
      </c>
      <c r="BQ83" s="155" t="str">
        <f t="shared" si="82"/>
        <v/>
      </c>
      <c r="BR83" s="155" t="str">
        <f t="shared" si="83"/>
        <v/>
      </c>
      <c r="BS83" s="155" t="str">
        <f t="shared" si="84"/>
        <v/>
      </c>
      <c r="BT83" s="155" t="str">
        <f t="shared" si="85"/>
        <v/>
      </c>
      <c r="BU83" s="155" t="str">
        <f>IF(LEN(concat(BR83:BT83))&gt;0,concat("| ",BR83," | ",BS83," | ",BT83," |"),"")</f>
        <v/>
      </c>
      <c r="BV83" s="155" t="str">
        <f t="shared" si="86"/>
        <v xml:space="preserve">| The Real Presence | Miracle Hunter | MaryPages |_x000D_
| --- | --- | --- |_x000D_
</v>
      </c>
      <c r="BW83" s="155" t="str">
        <f>IF(LEN(BQ83&amp;BV83)&gt;0,concatll("#### More Information",BQ83,BV83),"")</f>
        <v xml:space="preserve">#### More Information_x000D_
_x000D_
| The Real Presence | Miracle Hunter | MaryPages |_x000D_
| --- | --- | --- |_x000D_
_x000D_
_x000D_
</v>
      </c>
      <c r="BX83" s="155"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55" t="s">
        <v>335</v>
      </c>
      <c r="BZ83" s="155" t="s">
        <v>335</v>
      </c>
      <c r="CA83" s="23" t="str">
        <f>IF(AS83,concatll(concatl("---",AT83:AV83,BL83,"---"),M83,BW83:BX83),"")</f>
        <v xml:space="preserve">---_x000D_
title: "House of the Virgin Mary"_x000D_
location: {lat: 37.9115960027711, lng: 27.3341418397482}_x000D_
interest: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23" t="str">
        <f>IF(AS83,"places\"&amp;VLOOKUP(C83,'(Ref) Countries'!A:B,2,)&amp;IF(LEN(D83)&gt;1,"-"&amp;LOWER(SUBSTITUTE(D83," ","-")),"")&amp;"-"&amp;LOWER(SUBSTITUTE(SUBSTITUTE(H83," ","-"),".",""))&amp;".md","")</f>
        <v>places\tr-ephesus-house-of-the-virgin-mary.md</v>
      </c>
      <c r="CC83" s="29" t="str">
        <f>IF(LEN(Z83)&gt;1,VLOOKUP(Z83,'Tag List'!$A:$B,2,),"")</f>
        <v>Bl. Anne Catherine Emmerich</v>
      </c>
      <c r="CD83" s="29" t="str">
        <f>IF(LEN(AA83)&gt;1,VLOOKUP(AA83,'Tag List'!$A:$B,2,),"")</f>
        <v/>
      </c>
      <c r="CE83" s="29" t="str">
        <f>IF(LEN(AB83)&gt;1,VLOOKUP(AB83,'Tag List'!$A:$B,2,),"")</f>
        <v/>
      </c>
      <c r="CF83" s="29" t="str">
        <f>IF(LEN(Z83)&gt;1,GetTagPage(CC83,Z83),"")</f>
        <v>[Bl. Anne Catherine Emmerich](/tags/anne-catherine-emmerich)</v>
      </c>
      <c r="CG83" s="29" t="str">
        <f>IF(LEN(AA83)&gt;1,GetTagPage(CD83,AA83),"")</f>
        <v/>
      </c>
      <c r="CH83" s="29" t="str">
        <f>IF(LEN(AB83)&gt;1,GetTagPage(CE83,AB83),"")</f>
        <v/>
      </c>
      <c r="CI83" s="29" t="str">
        <f t="shared" si="87"/>
        <v xml:space="preserve">| [Bl. Anne Catherine Emmerich](/tags/anne-catherine-emmerich) </v>
      </c>
      <c r="CJ83" s="29" t="str">
        <f t="shared" si="88"/>
        <v xml:space="preserve">| [](/places/places\tr-ephesus-house-of-the-virgin-mary) </v>
      </c>
      <c r="CK83" s="29" t="str">
        <f>"| "&amp;IF(AS83,GetTagPage(C83,VLOOKUP(C83,'(Ref) Countries'!A:C,3,)),C83)&amp; " "</f>
        <v xml:space="preserve">| [Turkey](/tags/turkey) </v>
      </c>
      <c r="CL83" s="29" t="str">
        <f t="shared" si="89"/>
        <v xml:space="preserve">|  </v>
      </c>
      <c r="CM83" s="29" t="str">
        <f t="shared" si="90"/>
        <v xml:space="preserve">| [Link](/places/places\tr-ephesus-house-of-the-virgin-mary) </v>
      </c>
      <c r="CN83" s="29" t="str">
        <f t="shared" si="91"/>
        <v xml:space="preserve">
| [](/places/places\tr-ephesus-house-of-the-virgin-mary) | [Turkey](/tags/turkey) |  | [Link](/places/places\tr-ephesus-house-of-the-virgin-mary) | [Bl. Anne Catherine Emmerich](/tags/anne-catherine-emmerich) |</v>
      </c>
    </row>
    <row r="84" spans="1:92" ht="38.25" x14ac:dyDescent="0.25">
      <c r="A84" s="167" t="s">
        <v>1317</v>
      </c>
      <c r="B84" s="24" t="s">
        <v>2481</v>
      </c>
      <c r="C84" s="24" t="s">
        <v>2417</v>
      </c>
      <c r="D84" s="24" t="s">
        <v>2419</v>
      </c>
      <c r="E84" s="15">
        <v>37.944605964085902</v>
      </c>
      <c r="F84" s="49">
        <v>27.339194715340302</v>
      </c>
      <c r="G84" s="124" t="s">
        <v>2429</v>
      </c>
      <c r="H84" s="53" t="s">
        <v>2429</v>
      </c>
      <c r="I84" s="124" t="s">
        <v>1802</v>
      </c>
      <c r="M84" s="124" t="s">
        <v>2430</v>
      </c>
      <c r="Z84" s="135" t="s">
        <v>2082</v>
      </c>
      <c r="AB84" s="135"/>
      <c r="AS84" s="154" t="b">
        <f t="shared" si="63"/>
        <v>1</v>
      </c>
      <c r="AT84" s="155" t="str">
        <f t="shared" si="64"/>
        <v>title: "Church of Mary"</v>
      </c>
      <c r="AU84" s="155" t="str">
        <f t="shared" si="65"/>
        <v>location: {lat: 37.9446059640859, lng: 27.3391947153403}</v>
      </c>
      <c r="AV84" s="155" t="str">
        <f t="shared" si="66"/>
        <v>interest: local</v>
      </c>
      <c r="AW84" s="155" t="str">
        <f>"- "&amp;VLOOKUP(C84,'(Ref) Countries'!A:C,3,)</f>
        <v>- turkey</v>
      </c>
      <c r="AX84" s="155" t="str">
        <f t="shared" si="67"/>
        <v>- ephesus</v>
      </c>
      <c r="AY84" s="155" t="str">
        <f t="shared" si="68"/>
        <v/>
      </c>
      <c r="AZ84" s="155" t="str">
        <f t="shared" si="69"/>
        <v/>
      </c>
      <c r="BA84" s="155" t="str">
        <f t="shared" si="70"/>
        <v/>
      </c>
      <c r="BB84" s="155" t="str">
        <f t="shared" si="71"/>
        <v>- closed</v>
      </c>
      <c r="BC84" s="155" t="str">
        <f t="shared" si="72"/>
        <v/>
      </c>
      <c r="BD84" s="155" t="str">
        <f t="shared" si="73"/>
        <v/>
      </c>
      <c r="BE84" s="155" t="str">
        <f t="shared" si="74"/>
        <v/>
      </c>
      <c r="BF84" s="155" t="str">
        <f t="shared" si="75"/>
        <v/>
      </c>
      <c r="BG84" s="155" t="str">
        <f t="shared" si="76"/>
        <v/>
      </c>
      <c r="BH84" s="155" t="str">
        <f t="shared" si="77"/>
        <v/>
      </c>
      <c r="BI84" s="155" t="str">
        <f t="shared" si="78"/>
        <v/>
      </c>
      <c r="BJ84" s="155" t="str">
        <f t="shared" si="79"/>
        <v/>
      </c>
      <c r="BK84" s="155" t="str">
        <f t="shared" si="80"/>
        <v/>
      </c>
      <c r="BL84" s="155" t="str">
        <f t="shared" si="81"/>
        <v xml:space="preserve">tags:
- turkey_x000D_
- ephesus_x000D_
- closed_x000D_
</v>
      </c>
      <c r="BM84" s="158" t="str">
        <f t="shared" si="92"/>
        <v/>
      </c>
      <c r="BN84" s="158" t="str">
        <f t="shared" si="93"/>
        <v/>
      </c>
      <c r="BO84" s="158" t="str">
        <f t="shared" si="94"/>
        <v/>
      </c>
      <c r="BP84" s="158" t="str">
        <f t="shared" si="95"/>
        <v/>
      </c>
      <c r="BQ84" s="155" t="str">
        <f t="shared" si="82"/>
        <v/>
      </c>
      <c r="BR84" s="155" t="str">
        <f t="shared" si="83"/>
        <v/>
      </c>
      <c r="BS84" s="155" t="str">
        <f t="shared" si="84"/>
        <v/>
      </c>
      <c r="BT84" s="155" t="str">
        <f t="shared" si="85"/>
        <v/>
      </c>
      <c r="BU84" s="155" t="str">
        <f>IF(LEN(concat(BR84:BT84))&gt;0,concat("| ",BR84," | ",BS84," | ",BT84," |"),"")</f>
        <v/>
      </c>
      <c r="BV84" s="155" t="str">
        <f t="shared" si="86"/>
        <v/>
      </c>
      <c r="BW84" s="155" t="str">
        <f>IF(LEN(BQ84&amp;BV84)&gt;0,concatll("#### More Information",BQ84,BV84),"")</f>
        <v/>
      </c>
      <c r="BX84" s="155" t="str">
        <f>IF(LEN(N84)&gt;1,concatll("#### Author's Note",N84,"-"&amp;B84),"")</f>
        <v/>
      </c>
      <c r="BY84" s="155" t="s">
        <v>335</v>
      </c>
      <c r="BZ84" s="155" t="s">
        <v>335</v>
      </c>
      <c r="CA84" s="23" t="str">
        <f>IF(AS84,concatll(concatl("---",AT84:AV84,BL84,"---"),M84,BW84:BX84),"")</f>
        <v xml:space="preserve">---_x000D_
title: "Church of Mary"_x000D_
location: {lat: 37.9446059640859, lng: 27.3391947153403}_x000D_
interest: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CB84" s="23" t="str">
        <f>IF(AS84,"places\"&amp;VLOOKUP(C84,'(Ref) Countries'!A:B,2,)&amp;IF(LEN(D84)&gt;1,"-"&amp;LOWER(SUBSTITUTE(D84," ","-")),"")&amp;"-"&amp;LOWER(SUBSTITUTE(SUBSTITUTE(H84," ","-"),".",""))&amp;".md","")</f>
        <v>places\tr-ephesus-church-of-mary.md</v>
      </c>
      <c r="CC84" s="29" t="str">
        <f>IF(LEN(Z84)&gt;1,VLOOKUP(Z84,'Tag List'!$A:$B,2,),"")</f>
        <v>Closed or Deconsecrated Sites</v>
      </c>
      <c r="CD84" s="29" t="str">
        <f>IF(LEN(AA84)&gt;1,VLOOKUP(AA84,'Tag List'!$A:$B,2,),"")</f>
        <v/>
      </c>
      <c r="CE84" s="29" t="str">
        <f>IF(LEN(AB84)&gt;1,VLOOKUP(AB84,'Tag List'!$A:$B,2,),"")</f>
        <v/>
      </c>
      <c r="CF84" s="29" t="str">
        <f>IF(LEN(Z84)&gt;1,GetTagPage(CC84,Z84),"")</f>
        <v>[Closed or Deconsecrated Sites](/tags/closed)</v>
      </c>
      <c r="CG84" s="29" t="str">
        <f>IF(LEN(AA84)&gt;1,GetTagPage(CD84,AA84),"")</f>
        <v/>
      </c>
      <c r="CH84" s="29" t="str">
        <f>IF(LEN(AB84)&gt;1,GetTagPage(CE84,AB84),"")</f>
        <v/>
      </c>
      <c r="CI84" s="29" t="str">
        <f t="shared" si="87"/>
        <v xml:space="preserve">| [Closed or Deconsecrated Sites](/tags/closed) </v>
      </c>
      <c r="CJ84" s="29" t="str">
        <f t="shared" si="88"/>
        <v xml:space="preserve">| [](/places/places\tr-ephesus-church-of-mary) </v>
      </c>
      <c r="CK84" s="29" t="str">
        <f>"| "&amp;IF(AS84,GetTagPage(C84,VLOOKUP(C84,'(Ref) Countries'!A:C,3,)),C84)&amp; " "</f>
        <v xml:space="preserve">| [Turkey](/tags/turkey) </v>
      </c>
      <c r="CL84" s="29" t="str">
        <f t="shared" si="89"/>
        <v xml:space="preserve">|  </v>
      </c>
      <c r="CM84" s="29" t="str">
        <f t="shared" si="90"/>
        <v xml:space="preserve">| [Link](/places/places\tr-ephesus-church-of-mary) </v>
      </c>
      <c r="CN84" s="29" t="str">
        <f t="shared" si="91"/>
        <v xml:space="preserve">
| [](/places/places\tr-ephesus-church-of-mary) | [Turkey](/tags/turkey) |  | [Link](/places/places\tr-ephesus-church-of-mary) | [Closed or Deconsecrated Sites](/tags/closed) |</v>
      </c>
    </row>
    <row r="85" spans="1:92" ht="89.25" x14ac:dyDescent="0.25">
      <c r="A85" s="167" t="s">
        <v>1317</v>
      </c>
      <c r="B85" s="124" t="s">
        <v>2481</v>
      </c>
      <c r="C85" s="124" t="s">
        <v>2417</v>
      </c>
      <c r="D85" s="124" t="s">
        <v>2419</v>
      </c>
      <c r="E85" s="15">
        <v>37.9524398007025</v>
      </c>
      <c r="F85" s="49">
        <v>27.367911346038099</v>
      </c>
      <c r="G85" s="124" t="s">
        <v>2420</v>
      </c>
      <c r="H85" s="126" t="s">
        <v>2420</v>
      </c>
      <c r="I85" s="124" t="s">
        <v>1711</v>
      </c>
      <c r="L85" s="24" t="b">
        <v>1</v>
      </c>
      <c r="M85" s="153" t="s">
        <v>2462</v>
      </c>
      <c r="Z85" s="125" t="s">
        <v>2423</v>
      </c>
      <c r="AA85" s="125" t="s">
        <v>2421</v>
      </c>
      <c r="AB85" s="135" t="s">
        <v>2082</v>
      </c>
      <c r="AS85" s="154" t="b">
        <f t="shared" si="63"/>
        <v>1</v>
      </c>
      <c r="AT85" s="155" t="str">
        <f t="shared" si="64"/>
        <v>title: "Basilica of St. John"</v>
      </c>
      <c r="AU85" s="155" t="str">
        <f t="shared" si="65"/>
        <v>location: {lat: 37.9524398007025, lng: 27.3679113460381}</v>
      </c>
      <c r="AV85" s="155" t="str">
        <f t="shared" si="66"/>
        <v>interest: global</v>
      </c>
      <c r="AW85" s="155" t="str">
        <f>"- "&amp;VLOOKUP(C85,'(Ref) Countries'!A:C,3,)</f>
        <v>- turkey</v>
      </c>
      <c r="AX85" s="155" t="str">
        <f t="shared" si="67"/>
        <v>- ephesus</v>
      </c>
      <c r="AY85" s="155" t="str">
        <f t="shared" si="68"/>
        <v/>
      </c>
      <c r="AZ85" s="155" t="str">
        <f t="shared" si="69"/>
        <v/>
      </c>
      <c r="BA85" s="155" t="str">
        <f t="shared" si="70"/>
        <v>- holy-persons</v>
      </c>
      <c r="BB85" s="155" t="str">
        <f t="shared" si="71"/>
        <v>- john-apostle</v>
      </c>
      <c r="BC85" s="155" t="str">
        <f t="shared" si="72"/>
        <v>- apostles</v>
      </c>
      <c r="BD85" s="155" t="str">
        <f t="shared" si="73"/>
        <v>- closed</v>
      </c>
      <c r="BE85" s="155" t="str">
        <f t="shared" si="74"/>
        <v/>
      </c>
      <c r="BF85" s="155" t="str">
        <f t="shared" si="75"/>
        <v/>
      </c>
      <c r="BG85" s="155" t="str">
        <f t="shared" si="76"/>
        <v/>
      </c>
      <c r="BH85" s="155" t="str">
        <f t="shared" si="77"/>
        <v/>
      </c>
      <c r="BI85" s="155" t="str">
        <f t="shared" si="78"/>
        <v/>
      </c>
      <c r="BJ85" s="155" t="str">
        <f t="shared" si="79"/>
        <v/>
      </c>
      <c r="BK85" s="155" t="str">
        <f t="shared" si="80"/>
        <v/>
      </c>
      <c r="BL85" s="155" t="str">
        <f t="shared" si="81"/>
        <v xml:space="preserve">tags:
- turkey_x000D_
- ephesus_x000D_
- holy-persons_x000D_
- john-apostle_x000D_
- apostles_x000D_
- closed_x000D_
</v>
      </c>
      <c r="BM85" s="158" t="str">
        <f t="shared" si="92"/>
        <v/>
      </c>
      <c r="BN85" s="158" t="str">
        <f t="shared" si="93"/>
        <v/>
      </c>
      <c r="BO85" s="158" t="str">
        <f t="shared" si="94"/>
        <v/>
      </c>
      <c r="BP85" s="158" t="str">
        <f t="shared" si="95"/>
        <v/>
      </c>
      <c r="BQ85" s="155" t="str">
        <f t="shared" si="82"/>
        <v/>
      </c>
      <c r="BR85" s="155" t="str">
        <f t="shared" si="83"/>
        <v/>
      </c>
      <c r="BS85" s="155" t="str">
        <f t="shared" si="84"/>
        <v/>
      </c>
      <c r="BT85" s="155" t="str">
        <f t="shared" si="85"/>
        <v/>
      </c>
      <c r="BU85" s="155" t="str">
        <f>IF(LEN(concat(BR85:BT85))&gt;0,concat("| ",BR85," | ",BS85," | ",BT85," |"),"")</f>
        <v/>
      </c>
      <c r="BV85" s="155" t="str">
        <f t="shared" si="86"/>
        <v/>
      </c>
      <c r="BW85" s="155" t="str">
        <f>IF(LEN(BQ85&amp;BV85)&gt;0,concatll("#### More Information",BQ85,BV85),"")</f>
        <v/>
      </c>
      <c r="BX85" s="155" t="str">
        <f>IF(LEN(N85)&gt;1,concatll("#### Author's Note",N85,"-"&amp;B85),"")</f>
        <v/>
      </c>
      <c r="BY85" s="155" t="s">
        <v>335</v>
      </c>
      <c r="BZ85" s="155" t="s">
        <v>335</v>
      </c>
      <c r="CA85" s="23" t="str">
        <f>IF(AS85,concatll(concatl("---",AT85:AV85,BL85,"---"),M85,BW85:BX85),"")</f>
        <v xml:space="preserve">---_x000D_
title: "Basilica of St. John"_x000D_
location: {lat: 37.9524398007025, lng: 27.3679113460381}_x000D_
interest: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23" t="str">
        <f>IF(AS85,"places\"&amp;VLOOKUP(C85,'(Ref) Countries'!A:B,2,)&amp;IF(LEN(D85)&gt;1,"-"&amp;LOWER(SUBSTITUTE(D85," ","-")),"")&amp;"-"&amp;LOWER(SUBSTITUTE(SUBSTITUTE(H85," ","-"),".",""))&amp;".md","")</f>
        <v>places\tr-ephesus-basilica-of-st-john.md</v>
      </c>
      <c r="CC85" s="29" t="str">
        <f>IF(LEN(Z85)&gt;1,VLOOKUP(Z85,'Tag List'!$A:$B,2,),"")</f>
        <v>St. John the Apostle</v>
      </c>
      <c r="CD85" s="29" t="str">
        <f>IF(LEN(AA85)&gt;1,VLOOKUP(AA85,'Tag List'!$A:$B,2,),"")</f>
        <v>Sites Related to the Twelve Apostles</v>
      </c>
      <c r="CE85" s="29" t="str">
        <f>IF(LEN(AB85)&gt;1,VLOOKUP(AB85,'Tag List'!$A:$B,2,),"")</f>
        <v>Closed or Deconsecrated Sites</v>
      </c>
      <c r="CF85" s="29" t="str">
        <f>IF(LEN(Z85)&gt;1,GetTagPage(CC85,Z85),"")</f>
        <v>[St. John the Apostle](/tags/john-apostle)</v>
      </c>
      <c r="CG85" s="29" t="str">
        <f>IF(LEN(AA85)&gt;1,GetTagPage(CD85,AA85),"")</f>
        <v>[Sites Related to the Twelve Apostles](/tags/apostles)</v>
      </c>
      <c r="CH85" s="29" t="str">
        <f>IF(LEN(AB85)&gt;1,GetTagPage(CE85,AB85),"")</f>
        <v>[Closed or Deconsecrated Sites](/tags/closed)</v>
      </c>
      <c r="CI85" s="29" t="str">
        <f t="shared" si="87"/>
        <v xml:space="preserve">| [St. John the Apostle](/tags/john-apostle), [Sites Related to the Twelve Apostles](/tags/apostles), [Closed or Deconsecrated Sites](/tags/closed) </v>
      </c>
      <c r="CJ85" s="29" t="str">
        <f t="shared" si="88"/>
        <v xml:space="preserve">| [](/places/places\tr-ephesus-basilica-of-st-john) </v>
      </c>
      <c r="CK85" s="29" t="str">
        <f>"| "&amp;IF(AS85,GetTagPage(C85,VLOOKUP(C85,'(Ref) Countries'!A:C,3,)),C85)&amp; " "</f>
        <v xml:space="preserve">| [Turkey](/tags/turkey) </v>
      </c>
      <c r="CL85" s="29" t="str">
        <f t="shared" si="89"/>
        <v xml:space="preserve">|  </v>
      </c>
      <c r="CM85" s="29" t="str">
        <f t="shared" si="90"/>
        <v xml:space="preserve">| [Link](/places/places\tr-ephesus-basilica-of-st-john) </v>
      </c>
      <c r="CN85" s="29" t="str">
        <f t="shared" si="91"/>
        <v xml:space="preserve">
| [](/places/places\tr-ephesus-basilica-of-st-john) | [Turkey](/tags/turkey) |  | [Link](/places/places\tr-ephesus-basilica-of-st-john) | [St. John the Apostle](/tags/john-apostle), [Sites Related to the Twelve Apostles](/tags/apostles), [Closed or Deconsecrated Sites](/tags/closed) |</v>
      </c>
    </row>
    <row r="86" spans="1:92" ht="178.5" x14ac:dyDescent="0.25">
      <c r="A86" s="167" t="s">
        <v>1317</v>
      </c>
      <c r="B86" s="168" t="s">
        <v>2482</v>
      </c>
      <c r="C86" s="116" t="s">
        <v>732</v>
      </c>
      <c r="D86" s="116" t="s">
        <v>2248</v>
      </c>
      <c r="E86" s="15">
        <v>51.5133260560522</v>
      </c>
      <c r="F86" s="49">
        <v>-0.16038145235162099</v>
      </c>
      <c r="G86" s="116" t="s">
        <v>2247</v>
      </c>
      <c r="H86" s="53" t="s">
        <v>2247</v>
      </c>
      <c r="I86" s="116" t="s">
        <v>1737</v>
      </c>
      <c r="L86" s="24" t="b">
        <v>1</v>
      </c>
      <c r="M86" s="116" t="s">
        <v>2251</v>
      </c>
      <c r="P86" s="15" t="s">
        <v>335</v>
      </c>
      <c r="S86" s="64" t="s">
        <v>335</v>
      </c>
      <c r="Z86" s="117" t="s">
        <v>2249</v>
      </c>
      <c r="AS86" s="154" t="b">
        <f t="shared" si="63"/>
        <v>1</v>
      </c>
      <c r="AT86" s="155" t="str">
        <f t="shared" si="64"/>
        <v>title: "Site of Tyburn Tree"</v>
      </c>
      <c r="AU86" s="155" t="str">
        <f t="shared" si="65"/>
        <v>location: {lat: 51.5133260560522, lng: -0.160381452351621}</v>
      </c>
      <c r="AV86" s="155" t="str">
        <f t="shared" si="66"/>
        <v>interest: regional</v>
      </c>
      <c r="AW86" s="155" t="str">
        <f>"- "&amp;VLOOKUP(C86,'(Ref) Countries'!A:C,3,)</f>
        <v>- uk</v>
      </c>
      <c r="AX86" s="155" t="str">
        <f t="shared" si="67"/>
        <v>- westminster</v>
      </c>
      <c r="AY86" s="155" t="str">
        <f t="shared" si="68"/>
        <v/>
      </c>
      <c r="AZ86" s="155" t="str">
        <f t="shared" si="69"/>
        <v/>
      </c>
      <c r="BA86" s="155" t="str">
        <f t="shared" si="70"/>
        <v>- holy-persons</v>
      </c>
      <c r="BB86" s="155" t="str">
        <f t="shared" si="71"/>
        <v>- english-martyrs</v>
      </c>
      <c r="BC86" s="155" t="str">
        <f t="shared" si="72"/>
        <v/>
      </c>
      <c r="BD86" s="155" t="str">
        <f t="shared" si="73"/>
        <v/>
      </c>
      <c r="BE86" s="155" t="str">
        <f t="shared" si="74"/>
        <v/>
      </c>
      <c r="BF86" s="155" t="str">
        <f t="shared" si="75"/>
        <v/>
      </c>
      <c r="BG86" s="155" t="str">
        <f t="shared" si="76"/>
        <v/>
      </c>
      <c r="BH86" s="155" t="str">
        <f t="shared" si="77"/>
        <v/>
      </c>
      <c r="BI86" s="155" t="str">
        <f t="shared" si="78"/>
        <v/>
      </c>
      <c r="BJ86" s="155" t="str">
        <f t="shared" si="79"/>
        <v/>
      </c>
      <c r="BK86" s="155" t="str">
        <f t="shared" si="80"/>
        <v/>
      </c>
      <c r="BL86" s="155" t="str">
        <f t="shared" si="81"/>
        <v xml:space="preserve">tags:
- uk_x000D_
- westminster_x000D_
- holy-persons_x000D_
- english-martyrs_x000D_
</v>
      </c>
      <c r="BM86" s="158" t="str">
        <f t="shared" si="92"/>
        <v/>
      </c>
      <c r="BN86" s="158" t="str">
        <f t="shared" si="93"/>
        <v/>
      </c>
      <c r="BO86" s="158" t="str">
        <f t="shared" si="94"/>
        <v/>
      </c>
      <c r="BP86" s="158" t="str">
        <f t="shared" si="95"/>
        <v/>
      </c>
      <c r="BQ86" s="155" t="str">
        <f t="shared" si="82"/>
        <v/>
      </c>
      <c r="BR86" s="155" t="str">
        <f t="shared" si="83"/>
        <v/>
      </c>
      <c r="BS86" s="155" t="str">
        <f t="shared" si="84"/>
        <v/>
      </c>
      <c r="BT86" s="155" t="str">
        <f t="shared" si="85"/>
        <v/>
      </c>
      <c r="BU86" s="155" t="str">
        <f>IF(LEN(concat(BR86:BT86))&gt;0,concat("| ",BR86," | ",BS86," | ",BT86," |"),"")</f>
        <v/>
      </c>
      <c r="BV86" s="155" t="str">
        <f t="shared" si="86"/>
        <v/>
      </c>
      <c r="BW86" s="155" t="str">
        <f>IF(LEN(BQ86&amp;BV86)&gt;0,concatll("#### More Information",BQ86,BV86),"")</f>
        <v/>
      </c>
      <c r="BX86" s="155" t="str">
        <f>IF(LEN(N86)&gt;1,concatll("#### Author's Note",N86,"-"&amp;B86),"")</f>
        <v/>
      </c>
      <c r="BY86" s="155" t="s">
        <v>335</v>
      </c>
      <c r="BZ86" s="155" t="s">
        <v>335</v>
      </c>
      <c r="CA86" s="23" t="str">
        <f>IF(AS86,concatll(concatl("---",AT86:AV86,BL86,"---"),M86,BW86:BX86),"")</f>
        <v xml:space="preserve">---_x000D_
title: "Site of Tyburn Tree"_x000D_
location: {lat: 51.5133260560522, lng: -0.160381452351621}_x000D_
interest: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23" t="str">
        <f>IF(AS86,"places\"&amp;VLOOKUP(C86,'(Ref) Countries'!A:B,2,)&amp;IF(LEN(D86)&gt;1,"-"&amp;LOWER(SUBSTITUTE(D86," ","-")),"")&amp;"-"&amp;LOWER(SUBSTITUTE(SUBSTITUTE(H86," ","-"),".",""))&amp;".md","")</f>
        <v>places\gb-westminster-site-of-tyburn-tree.md</v>
      </c>
      <c r="CC86" s="29" t="str">
        <f>IF(LEN(Z86)&gt;1,VLOOKUP(Z86,'Tag List'!$A:$B,2,),"")</f>
        <v>English Martyrs</v>
      </c>
      <c r="CD86" s="29" t="str">
        <f>IF(LEN(AA86)&gt;1,VLOOKUP(AA86,'Tag List'!$A:$B,2,),"")</f>
        <v/>
      </c>
      <c r="CE86" s="29" t="str">
        <f>IF(LEN(AB86)&gt;1,VLOOKUP(AB86,'Tag List'!$A:$B,2,),"")</f>
        <v/>
      </c>
      <c r="CF86" s="29" t="str">
        <f>IF(LEN(Z86)&gt;1,GetTagPage(CC86,Z86),"")</f>
        <v>[English Martyrs](/tags/english-martyrs)</v>
      </c>
      <c r="CG86" s="29" t="str">
        <f>IF(LEN(AA86)&gt;1,GetTagPage(CD86,AA86),"")</f>
        <v/>
      </c>
      <c r="CH86" s="29" t="str">
        <f>IF(LEN(AB86)&gt;1,GetTagPage(CE86,AB86),"")</f>
        <v/>
      </c>
      <c r="CI86" s="29" t="str">
        <f t="shared" si="87"/>
        <v xml:space="preserve">| [English Martyrs](/tags/english-martyrs) </v>
      </c>
      <c r="CJ86" s="29" t="str">
        <f t="shared" si="88"/>
        <v xml:space="preserve">| [](/places/places\gb-westminster-site-of-tyburn-tree) </v>
      </c>
      <c r="CK86" s="29" t="str">
        <f>"| "&amp;IF(AS86,GetTagPage(C86,VLOOKUP(C86,'(Ref) Countries'!A:C,3,)),C86)&amp; " "</f>
        <v xml:space="preserve">| [United Kingdom](/tags/uk) </v>
      </c>
      <c r="CL86" s="29" t="str">
        <f t="shared" si="89"/>
        <v xml:space="preserve">|  </v>
      </c>
      <c r="CM86" s="29" t="str">
        <f t="shared" si="90"/>
        <v xml:space="preserve">| [Link](/places/places\gb-westminster-site-of-tyburn-tree) </v>
      </c>
      <c r="CN86" s="29" t="str">
        <f t="shared" si="91"/>
        <v xml:space="preserve">
| [](/places/places\gb-westminster-site-of-tyburn-tree) | [United Kingdom](/tags/uk) |  | [Link](/places/places\gb-westminster-site-of-tyburn-tree) | [English Martyrs](/tags/english-martyrs) |</v>
      </c>
    </row>
    <row r="87" spans="1:92" ht="51" x14ac:dyDescent="0.25">
      <c r="A87" s="167" t="s">
        <v>1317</v>
      </c>
      <c r="B87" s="83" t="s">
        <v>2482</v>
      </c>
      <c r="C87" s="83" t="s">
        <v>1870</v>
      </c>
      <c r="D87" s="83" t="s">
        <v>1972</v>
      </c>
      <c r="E87" s="15">
        <v>34.324656099999999</v>
      </c>
      <c r="F87" s="49">
        <v>-91.942694700000004</v>
      </c>
      <c r="G87" s="24" t="s">
        <v>1869</v>
      </c>
      <c r="H87" s="90" t="s">
        <v>2454</v>
      </c>
      <c r="I87" s="83" t="s">
        <v>1737</v>
      </c>
      <c r="J87" s="24" t="b">
        <v>1</v>
      </c>
      <c r="L87" s="24" t="b">
        <v>1</v>
      </c>
      <c r="M87" s="83" t="s">
        <v>1973</v>
      </c>
      <c r="O87" s="15" t="s">
        <v>1974</v>
      </c>
      <c r="P87" s="91" t="s">
        <v>1975</v>
      </c>
      <c r="Q87" s="106" t="s">
        <v>2114</v>
      </c>
      <c r="R87" s="15" t="s">
        <v>1976</v>
      </c>
      <c r="S87" s="93" t="s">
        <v>335</v>
      </c>
      <c r="Z87" s="91" t="s">
        <v>1977</v>
      </c>
      <c r="AS87" s="154" t="b">
        <f t="shared" si="63"/>
        <v>1</v>
      </c>
      <c r="AT87" s="155" t="str">
        <f t="shared" si="64"/>
        <v>title: "St. Mary Catholic Church, Pine Bluff, AR"</v>
      </c>
      <c r="AU87" s="155" t="str">
        <f t="shared" si="65"/>
        <v>location: {lat: 34.3246561, lng: -91.9426947}</v>
      </c>
      <c r="AV87" s="155" t="str">
        <f t="shared" si="66"/>
        <v>interest: regional</v>
      </c>
      <c r="AW87" s="155" t="str">
        <f>"- "&amp;VLOOKUP(C87,'(Ref) Countries'!A:C,3,)</f>
        <v>- usa
- arkansas</v>
      </c>
      <c r="AX87" s="155" t="str">
        <f t="shared" si="67"/>
        <v>- pine-bluff</v>
      </c>
      <c r="AY87" s="155" t="str">
        <f t="shared" si="68"/>
        <v>- churches</v>
      </c>
      <c r="AZ87" s="155" t="str">
        <f t="shared" si="69"/>
        <v/>
      </c>
      <c r="BA87" s="155" t="str">
        <f t="shared" si="70"/>
        <v>- holy-persons</v>
      </c>
      <c r="BB87" s="155" t="str">
        <f t="shared" si="71"/>
        <v>- agnes-hart</v>
      </c>
      <c r="BC87" s="155" t="str">
        <f t="shared" si="72"/>
        <v/>
      </c>
      <c r="BD87" s="155" t="str">
        <f t="shared" si="73"/>
        <v/>
      </c>
      <c r="BE87" s="155" t="str">
        <f t="shared" si="74"/>
        <v/>
      </c>
      <c r="BF87" s="155" t="str">
        <f t="shared" si="75"/>
        <v/>
      </c>
      <c r="BG87" s="155" t="str">
        <f t="shared" si="76"/>
        <v/>
      </c>
      <c r="BH87" s="155" t="str">
        <f t="shared" si="77"/>
        <v/>
      </c>
      <c r="BI87" s="155" t="str">
        <f t="shared" si="78"/>
        <v/>
      </c>
      <c r="BJ87" s="155" t="str">
        <f t="shared" si="79"/>
        <v/>
      </c>
      <c r="BK87" s="155" t="str">
        <f t="shared" si="80"/>
        <v/>
      </c>
      <c r="BL87" s="155" t="str">
        <f t="shared" si="81"/>
        <v xml:space="preserve">tags:
- usa
- arkansas_x000D_
- pine-bluff_x000D_
- churches_x000D_
- holy-persons_x000D_
- agnes-hart_x000D_
</v>
      </c>
      <c r="BM87" s="158" t="str">
        <f t="shared" si="92"/>
        <v>[Official site](https://www.stjosephpinebluff.org/st-mary-catholic-church.html) - (now under the care of nearby St. Joseph Parish)</v>
      </c>
      <c r="BN87" s="158" t="str">
        <f t="shared" si="93"/>
        <v>[*American Catholic History* podcast episode on St. Mary](https://americancatholichistory.org/old-st-mary-pine-bluff-arkansas/)</v>
      </c>
      <c r="BO87" s="158" t="str">
        <f t="shared" si="94"/>
        <v/>
      </c>
      <c r="BP87" s="158" t="str">
        <f t="shared" si="95"/>
        <v/>
      </c>
      <c r="BQ87" s="155" t="str">
        <f t="shared" si="82"/>
        <v xml:space="preserve">* [Official site](https://www.stjosephpinebluff.org/st-mary-catholic-church.html) - (now under the care of nearby St. Joseph Parish)
* [*American Catholic History* podcast episode on St. Mary](https://americancatholichistory.org/old-st-mary-pine-bluff-arkansas/)
</v>
      </c>
      <c r="BR87" s="155" t="str">
        <f t="shared" si="83"/>
        <v/>
      </c>
      <c r="BS87" s="155" t="str">
        <f t="shared" si="84"/>
        <v/>
      </c>
      <c r="BT87" s="155" t="str">
        <f t="shared" si="85"/>
        <v/>
      </c>
      <c r="BU87" s="155" t="str">
        <f>IF(LEN(concat(BR87:BT87))&gt;0,concat("| ",BR87," | ",BS87," | ",BT87," |"),"")</f>
        <v/>
      </c>
      <c r="BV87" s="155" t="str">
        <f t="shared" si="86"/>
        <v/>
      </c>
      <c r="BW87" s="155"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55" t="str">
        <f>IF(LEN(N87)&gt;1,concatll("#### Author's Note",N87,"-"&amp;B87),"")</f>
        <v/>
      </c>
      <c r="BY87" s="155" t="s">
        <v>335</v>
      </c>
      <c r="BZ87" s="155" t="s">
        <v>335</v>
      </c>
      <c r="CA87" s="23" t="str">
        <f>IF(AS87,concatll(concatl("---",AT87:AV87,BL87,"---"),M87,BW87:BX87),"")</f>
        <v xml:space="preserve">---_x000D_
title: "St. Mary Catholic Church, Pine Bluff, AR"_x000D_
location: {lat: 34.3246561, lng: -91.9426947}_x000D_
interest: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23" t="str">
        <f>IF(AS87,"places\"&amp;VLOOKUP(C87,'(Ref) Countries'!A:B,2,)&amp;IF(LEN(D87)&gt;1,"-"&amp;LOWER(SUBSTITUTE(D87," ","-")),"")&amp;"-"&amp;LOWER(SUBSTITUTE(SUBSTITUTE(H87," ","-"),".",""))&amp;".md","")</f>
        <v>places\us_ar-pine-bluff-st-mary.md</v>
      </c>
      <c r="CC87" s="29" t="str">
        <f>IF(LEN(Z87)&gt;1,VLOOKUP(Z87,'Tag List'!$A:$B,2,),"")</f>
        <v>Mother Agnes Hart</v>
      </c>
      <c r="CD87" s="29" t="str">
        <f>IF(LEN(AA87)&gt;1,VLOOKUP(AA87,'Tag List'!$A:$B,2,),"")</f>
        <v/>
      </c>
      <c r="CE87" s="29" t="str">
        <f>IF(LEN(AB87)&gt;1,VLOOKUP(AB87,'Tag List'!$A:$B,2,),"")</f>
        <v/>
      </c>
      <c r="CF87" s="29" t="str">
        <f>IF(LEN(Z87)&gt;1,GetTagPage(CC87,Z87),"")</f>
        <v>[Mother Agnes Hart](/tags/agnes-hart)</v>
      </c>
      <c r="CG87" s="29" t="str">
        <f>IF(LEN(AA87)&gt;1,GetTagPage(CD87,AA87),"")</f>
        <v/>
      </c>
      <c r="CH87" s="29" t="str">
        <f>IF(LEN(AB87)&gt;1,GetTagPage(CE87,AB87),"")</f>
        <v/>
      </c>
      <c r="CI87" s="29" t="str">
        <f t="shared" si="87"/>
        <v xml:space="preserve">| [Mother Agnes Hart](/tags/agnes-hart) </v>
      </c>
      <c r="CJ87" s="29" t="str">
        <f t="shared" si="88"/>
        <v xml:space="preserve">| [](/places/places\us_ar-pine-bluff-st-mary) </v>
      </c>
      <c r="CK87" s="29" t="str">
        <f>"| "&amp;IF(AS87,GetTagPage(C87,VLOOKUP(C87,'(Ref) Countries'!A:C,3,)),C87)&amp; " "</f>
        <v xml:space="preserve">| [US Arkansas](/tags/usa
- arkansas) </v>
      </c>
      <c r="CL87" s="29" t="str">
        <f t="shared" si="89"/>
        <v xml:space="preserve">|  </v>
      </c>
      <c r="CM87" s="29" t="str">
        <f t="shared" si="90"/>
        <v xml:space="preserve">| [Link](/places/places\us_ar-pine-bluff-st-mary) </v>
      </c>
      <c r="CN87" s="29" t="str">
        <f t="shared" si="91"/>
        <v xml:space="preserve">
| [](/places/places\us_ar-pine-bluff-st-mary) | [US Arkansas](/tags/usa
- arkansas) |  | [Link](/places/places\us_ar-pine-bluff-st-mary) [Official site](https://www.stjosephpinebluff.org/st-mary-catholic-church.html) - (now under the care of nearby St. Joseph Parish)| [Mother Agnes Hart](/tags/agnes-hart) |</v>
      </c>
    </row>
    <row r="88" spans="1:92" ht="25.5" x14ac:dyDescent="0.25">
      <c r="A88" s="167" t="s">
        <v>1317</v>
      </c>
      <c r="B88" s="168" t="s">
        <v>2481</v>
      </c>
      <c r="C88" s="116" t="s">
        <v>1874</v>
      </c>
      <c r="D88" s="24" t="s">
        <v>2272</v>
      </c>
      <c r="E88" s="15">
        <v>32.784454414036396</v>
      </c>
      <c r="F88" s="49">
        <v>-117.106379960395</v>
      </c>
      <c r="G88" s="24" t="s">
        <v>2252</v>
      </c>
      <c r="H88" s="119" t="s">
        <v>2293</v>
      </c>
      <c r="I88" s="116" t="s">
        <v>1802</v>
      </c>
      <c r="J88" s="24" t="b">
        <v>1</v>
      </c>
      <c r="L88" s="24" t="b">
        <v>1</v>
      </c>
      <c r="M88" s="24" t="s">
        <v>2307</v>
      </c>
      <c r="O88" s="15" t="s">
        <v>2324</v>
      </c>
      <c r="P88" s="15" t="s">
        <v>335</v>
      </c>
      <c r="Q88" s="120" t="s">
        <v>2344</v>
      </c>
      <c r="R88" s="15" t="s">
        <v>2345</v>
      </c>
      <c r="S88" s="64" t="s">
        <v>335</v>
      </c>
      <c r="T88" s="120" t="s">
        <v>2366</v>
      </c>
      <c r="U88" s="15" t="s">
        <v>2367</v>
      </c>
      <c r="V88" s="121" t="s">
        <v>335</v>
      </c>
      <c r="Z88" s="117" t="s">
        <v>2397</v>
      </c>
      <c r="AA88" s="117" t="s">
        <v>2391</v>
      </c>
      <c r="AB88" s="15" t="s">
        <v>2390</v>
      </c>
      <c r="AS88" s="154" t="b">
        <f t="shared" si="63"/>
        <v>1</v>
      </c>
      <c r="AT88" s="155" t="str">
        <f t="shared" si="64"/>
        <v>title: "Mission San Diego de Alcala"</v>
      </c>
      <c r="AU88" s="155" t="str">
        <f t="shared" si="65"/>
        <v>location: {lat: 32.7844544140364, lng: -117.106379960395}</v>
      </c>
      <c r="AV88" s="155" t="str">
        <f t="shared" si="66"/>
        <v>interest: local</v>
      </c>
      <c r="AW88" s="155" t="str">
        <f>"- "&amp;VLOOKUP(C88,'(Ref) Countries'!A:C,3,)</f>
        <v>- usa
- california</v>
      </c>
      <c r="AX88" s="155" t="str">
        <f t="shared" si="67"/>
        <v>- san-diego</v>
      </c>
      <c r="AY88" s="155" t="str">
        <f t="shared" si="68"/>
        <v>- churches</v>
      </c>
      <c r="AZ88" s="155" t="str">
        <f t="shared" si="69"/>
        <v/>
      </c>
      <c r="BA88" s="155" t="str">
        <f t="shared" si="70"/>
        <v>- holy-persons</v>
      </c>
      <c r="BB88" s="155" t="str">
        <f t="shared" si="71"/>
        <v>- california-missions</v>
      </c>
      <c r="BC88" s="155" t="str">
        <f t="shared" si="72"/>
        <v>- franciscans</v>
      </c>
      <c r="BD88" s="155" t="str">
        <f t="shared" si="73"/>
        <v>- junipero-serra</v>
      </c>
      <c r="BE88" s="155" t="str">
        <f t="shared" si="74"/>
        <v/>
      </c>
      <c r="BF88" s="155" t="str">
        <f t="shared" si="75"/>
        <v/>
      </c>
      <c r="BG88" s="155" t="str">
        <f t="shared" si="76"/>
        <v/>
      </c>
      <c r="BH88" s="155" t="str">
        <f t="shared" si="77"/>
        <v/>
      </c>
      <c r="BI88" s="155" t="str">
        <f t="shared" si="78"/>
        <v/>
      </c>
      <c r="BJ88" s="155" t="str">
        <f t="shared" si="79"/>
        <v/>
      </c>
      <c r="BK88" s="155" t="str">
        <f t="shared" si="80"/>
        <v/>
      </c>
      <c r="BL88" s="155" t="str">
        <f t="shared" si="81"/>
        <v xml:space="preserve">tags:
- usa
- california_x000D_
- san-diego_x000D_
- churches_x000D_
- holy-persons_x000D_
- california-missions_x000D_
- franciscans_x000D_
- junipero-serra_x000D_
</v>
      </c>
      <c r="BM88" s="158" t="str">
        <f t="shared" si="92"/>
        <v>[Official site](https://www.missionsandiego.org/)</v>
      </c>
      <c r="BN88" s="158" t="str">
        <f t="shared" si="93"/>
        <v>[California Missions Foundation page](https://californiamissionsfoundation.org/mission-san-diego-de-alcala/)</v>
      </c>
      <c r="BO88" s="158" t="str">
        <f t="shared" si="94"/>
        <v>[Missions California page](https://www.missionscalifornia.com/missions/san-diego-de-alcala/)</v>
      </c>
      <c r="BP88" s="158" t="str">
        <f t="shared" si="95"/>
        <v/>
      </c>
      <c r="BQ88" s="155" t="str">
        <f t="shared" si="82"/>
        <v xml:space="preserve">* [Official site](https://www.missionsandiego.org/)
* [California Missions Foundation page](https://californiamissionsfoundation.org/mission-san-diego-de-alcala/)
* [Missions California page](https://www.missionscalifornia.com/missions/san-diego-de-alcala/)
</v>
      </c>
      <c r="BR88" s="155" t="str">
        <f t="shared" si="83"/>
        <v/>
      </c>
      <c r="BS88" s="155" t="str">
        <f t="shared" si="84"/>
        <v/>
      </c>
      <c r="BT88" s="155" t="str">
        <f t="shared" si="85"/>
        <v/>
      </c>
      <c r="BU88" s="155" t="str">
        <f>IF(LEN(concat(BR88:BT88))&gt;0,concat("| ",BR88," | ",BS88," | ",BT88," |"),"")</f>
        <v/>
      </c>
      <c r="BV88" s="155" t="str">
        <f t="shared" si="86"/>
        <v/>
      </c>
      <c r="BW88" s="155"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55" t="str">
        <f>IF(LEN(N88)&gt;1,concatll("#### Author's Note",N88,"-"&amp;B88),"")</f>
        <v/>
      </c>
      <c r="BY88" s="155" t="s">
        <v>335</v>
      </c>
      <c r="BZ88" s="155" t="s">
        <v>335</v>
      </c>
      <c r="CA88" s="23" t="str">
        <f>IF(AS88,concatll(concatl("---",AT88:AV88,BL88,"---"),M88,BW88:BX88),"")</f>
        <v xml:space="preserve">---_x000D_
title: "Mission San Diego de Alcala"_x000D_
location: {lat: 32.7844544140364, lng: -117.106379960395}_x000D_
interest: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23" t="str">
        <f>IF(AS88,"places\"&amp;VLOOKUP(C88,'(Ref) Countries'!A:B,2,)&amp;IF(LEN(D88)&gt;1,"-"&amp;LOWER(SUBSTITUTE(D88," ","-")),"")&amp;"-"&amp;LOWER(SUBSTITUTE(SUBSTITUTE(H88," ","-"),".",""))&amp;".md","")</f>
        <v>places\us_ca-san-diego-mission-san-diego.md</v>
      </c>
      <c r="CC88" s="29" t="str">
        <f>IF(LEN(Z88)&gt;1,VLOOKUP(Z88,'Tag List'!$A:$B,2,),"")</f>
        <v>Franciscian Missions in California</v>
      </c>
      <c r="CD88" s="29" t="str">
        <f>IF(LEN(AA88)&gt;1,VLOOKUP(AA88,'Tag List'!$A:$B,2,),"")</f>
        <v>Order of Friars Minor (Fransiscans)</v>
      </c>
      <c r="CE88" s="29" t="str">
        <f>IF(LEN(AB88)&gt;1,VLOOKUP(AB88,'Tag List'!$A:$B,2,),"")</f>
        <v>St. Junipero Serra, OFM</v>
      </c>
      <c r="CF88" s="29" t="str">
        <f>IF(LEN(Z88)&gt;1,GetTagPage(CC88,Z88),"")</f>
        <v>[Franciscian Missions in California](/tags/california-missions)</v>
      </c>
      <c r="CG88" s="29" t="str">
        <f>IF(LEN(AA88)&gt;1,GetTagPage(CD88,AA88),"")</f>
        <v>[Order of Friars Minor (Fransiscans)](/tags/franciscans)</v>
      </c>
      <c r="CH88" s="29" t="str">
        <f>IF(LEN(AB88)&gt;1,GetTagPage(CE88,AB88),"")</f>
        <v>[St. Junipero Serra, OFM](/tags/junipero-serra)</v>
      </c>
      <c r="CI88" s="29" t="str">
        <f t="shared" si="87"/>
        <v xml:space="preserve">| [Franciscian Missions in California](/tags/california-missions), [Order of Friars Minor (Fransiscans)](/tags/franciscans), [St. Junipero Serra, OFM](/tags/junipero-serra) </v>
      </c>
      <c r="CJ88" s="29" t="str">
        <f t="shared" si="88"/>
        <v xml:space="preserve">| [](/places/places\us_ca-san-diego-mission-san-diego) </v>
      </c>
      <c r="CK88" s="29" t="str">
        <f>"| "&amp;IF(AS88,GetTagPage(C88,VLOOKUP(C88,'(Ref) Countries'!A:C,3,)),C88)&amp; " "</f>
        <v xml:space="preserve">| [US California](/tags/usa
- california) </v>
      </c>
      <c r="CL88" s="29" t="str">
        <f t="shared" si="89"/>
        <v xml:space="preserve">|  </v>
      </c>
      <c r="CM88" s="29" t="str">
        <f t="shared" si="90"/>
        <v xml:space="preserve">| [Link](/places/places\us_ca-san-diego-mission-san-diego) </v>
      </c>
      <c r="CN88" s="29" t="str">
        <f t="shared" si="91"/>
        <v xml:space="preserve">
| [](/places/places\us_ca-san-diego-mission-san-diego) | [US California](/tags/usa
- california) |  | [Link](/places/places\us_ca-san-diego-mission-san-diego) [Official site](https://www.missionsandiego.org/)| [Franciscian Missions in California](/tags/california-missions), [Order of Friars Minor (Fransiscans)](/tags/franciscans), [St. Junipero Serra, OFM](/tags/junipero-serra) |</v>
      </c>
    </row>
    <row r="89" spans="1:92" ht="25.5" x14ac:dyDescent="0.25">
      <c r="A89" s="167" t="s">
        <v>1317</v>
      </c>
      <c r="B89" s="24" t="s">
        <v>2481</v>
      </c>
      <c r="C89" s="24" t="s">
        <v>1874</v>
      </c>
      <c r="D89" s="24" t="s">
        <v>2273</v>
      </c>
      <c r="E89" s="15">
        <v>36.542542305904099</v>
      </c>
      <c r="F89" s="49">
        <v>-121.91985692948499</v>
      </c>
      <c r="G89" s="24" t="s">
        <v>2253</v>
      </c>
      <c r="H89" s="119" t="s">
        <v>2295</v>
      </c>
      <c r="I89" s="116" t="s">
        <v>1737</v>
      </c>
      <c r="J89" s="24" t="b">
        <v>1</v>
      </c>
      <c r="L89" s="24" t="b">
        <v>1</v>
      </c>
      <c r="M89" s="116" t="s">
        <v>2393</v>
      </c>
      <c r="O89" s="15" t="s">
        <v>2325</v>
      </c>
      <c r="P89" s="15" t="s">
        <v>335</v>
      </c>
      <c r="Q89" s="60" t="s">
        <v>2344</v>
      </c>
      <c r="R89" s="15" t="s">
        <v>2346</v>
      </c>
      <c r="S89" s="64" t="s">
        <v>335</v>
      </c>
      <c r="T89" s="60" t="s">
        <v>2366</v>
      </c>
      <c r="U89" s="15" t="s">
        <v>2368</v>
      </c>
      <c r="V89" s="64" t="s">
        <v>335</v>
      </c>
      <c r="Z89" s="15" t="s">
        <v>2397</v>
      </c>
      <c r="AA89" s="15" t="s">
        <v>2391</v>
      </c>
      <c r="AB89" s="15" t="s">
        <v>2390</v>
      </c>
      <c r="AS89" s="154" t="b">
        <f t="shared" si="63"/>
        <v>1</v>
      </c>
      <c r="AT89" s="155" t="str">
        <f t="shared" si="64"/>
        <v>title: "Mission San Carlos Borromeo de Carmelo"</v>
      </c>
      <c r="AU89" s="155" t="str">
        <f t="shared" si="65"/>
        <v>location: {lat: 36.5425423059041, lng: -121.919856929485}</v>
      </c>
      <c r="AV89" s="155" t="str">
        <f t="shared" si="66"/>
        <v>interest: regional</v>
      </c>
      <c r="AW89" s="155" t="str">
        <f>"- "&amp;VLOOKUP(C89,'(Ref) Countries'!A:C,3,)</f>
        <v>- usa
- california</v>
      </c>
      <c r="AX89" s="155" t="str">
        <f t="shared" si="67"/>
        <v>- carmel-by-the-sea</v>
      </c>
      <c r="AY89" s="155" t="str">
        <f t="shared" si="68"/>
        <v>- churches</v>
      </c>
      <c r="AZ89" s="155" t="str">
        <f t="shared" si="69"/>
        <v/>
      </c>
      <c r="BA89" s="155" t="str">
        <f t="shared" si="70"/>
        <v>- holy-persons</v>
      </c>
      <c r="BB89" s="155" t="str">
        <f t="shared" si="71"/>
        <v>- california-missions</v>
      </c>
      <c r="BC89" s="155" t="str">
        <f t="shared" si="72"/>
        <v>- franciscans</v>
      </c>
      <c r="BD89" s="155" t="str">
        <f t="shared" si="73"/>
        <v>- junipero-serra</v>
      </c>
      <c r="BE89" s="155" t="str">
        <f t="shared" si="74"/>
        <v/>
      </c>
      <c r="BF89" s="155" t="str">
        <f t="shared" si="75"/>
        <v/>
      </c>
      <c r="BG89" s="155" t="str">
        <f t="shared" si="76"/>
        <v/>
      </c>
      <c r="BH89" s="155" t="str">
        <f t="shared" si="77"/>
        <v/>
      </c>
      <c r="BI89" s="155" t="str">
        <f t="shared" si="78"/>
        <v/>
      </c>
      <c r="BJ89" s="155" t="str">
        <f t="shared" si="79"/>
        <v/>
      </c>
      <c r="BK89" s="155" t="str">
        <f t="shared" si="80"/>
        <v/>
      </c>
      <c r="BL89" s="155" t="str">
        <f t="shared" si="81"/>
        <v xml:space="preserve">tags:
- usa
- california_x000D_
- carmel-by-the-sea_x000D_
- churches_x000D_
- holy-persons_x000D_
- california-missions_x000D_
- franciscans_x000D_
- junipero-serra_x000D_
</v>
      </c>
      <c r="BM89" s="158" t="str">
        <f t="shared" si="92"/>
        <v>[Official site](http://www.carmelmission.org/)</v>
      </c>
      <c r="BN89" s="158" t="str">
        <f t="shared" si="93"/>
        <v>[California Missions Foundation page](https://californiamissionsfoundation.org/mission-san-carlos-borromeo/)</v>
      </c>
      <c r="BO89" s="158" t="str">
        <f t="shared" si="94"/>
        <v>[Missions California page](https://www.missionscalifornia.com/missions/san-carlos-borromeo-de-carmelo/)</v>
      </c>
      <c r="BP89" s="158" t="str">
        <f t="shared" si="95"/>
        <v/>
      </c>
      <c r="BQ89" s="155" t="str">
        <f t="shared" si="82"/>
        <v xml:space="preserve">* [Official site](http://www.carmelmission.org/)
* [California Missions Foundation page](https://californiamissionsfoundation.org/mission-san-carlos-borromeo/)
* [Missions California page](https://www.missionscalifornia.com/missions/san-carlos-borromeo-de-carmelo/)
</v>
      </c>
      <c r="BR89" s="155" t="str">
        <f t="shared" si="83"/>
        <v/>
      </c>
      <c r="BS89" s="155" t="str">
        <f t="shared" si="84"/>
        <v/>
      </c>
      <c r="BT89" s="155" t="str">
        <f t="shared" si="85"/>
        <v/>
      </c>
      <c r="BU89" s="155" t="str">
        <f>IF(LEN(concat(BR89:BT89))&gt;0,concat("| ",BR89," | ",BS89," | ",BT89," |"),"")</f>
        <v/>
      </c>
      <c r="BV89" s="155" t="str">
        <f t="shared" si="86"/>
        <v/>
      </c>
      <c r="BW89" s="155"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55" t="str">
        <f>IF(LEN(N89)&gt;1,concatll("#### Author's Note",N89,"-"&amp;B89),"")</f>
        <v/>
      </c>
      <c r="BY89" s="155" t="s">
        <v>335</v>
      </c>
      <c r="BZ89" s="155" t="s">
        <v>335</v>
      </c>
      <c r="CA89" s="23" t="str">
        <f>IF(AS89,concatll(concatl("---",AT89:AV89,BL89,"---"),M89,BW89:BX89),"")</f>
        <v xml:space="preserve">---_x000D_
title: "Mission San Carlos Borromeo de Carmelo"_x000D_
location: {lat: 36.5425423059041, lng: -121.919856929485}_x000D_
interest: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23" t="str">
        <f>IF(AS89,"places\"&amp;VLOOKUP(C89,'(Ref) Countries'!A:B,2,)&amp;IF(LEN(D89)&gt;1,"-"&amp;LOWER(SUBSTITUTE(D89," ","-")),"")&amp;"-"&amp;LOWER(SUBSTITUTE(SUBSTITUTE(H89," ","-"),".",""))&amp;".md","")</f>
        <v>places\us_ca-carmel-by-the-sea-mission-san-carlos.md</v>
      </c>
      <c r="CC89" s="29" t="str">
        <f>IF(LEN(Z89)&gt;1,VLOOKUP(Z89,'Tag List'!$A:$B,2,),"")</f>
        <v>Franciscian Missions in California</v>
      </c>
      <c r="CD89" s="29" t="str">
        <f>IF(LEN(AA89)&gt;1,VLOOKUP(AA89,'Tag List'!$A:$B,2,),"")</f>
        <v>Order of Friars Minor (Fransiscans)</v>
      </c>
      <c r="CE89" s="29" t="str">
        <f>IF(LEN(AB89)&gt;1,VLOOKUP(AB89,'Tag List'!$A:$B,2,),"")</f>
        <v>St. Junipero Serra, OFM</v>
      </c>
      <c r="CF89" s="29" t="str">
        <f>IF(LEN(Z89)&gt;1,GetTagPage(CC89,Z89),"")</f>
        <v>[Franciscian Missions in California](/tags/california-missions)</v>
      </c>
      <c r="CG89" s="29" t="str">
        <f>IF(LEN(AA89)&gt;1,GetTagPage(CD89,AA89),"")</f>
        <v>[Order of Friars Minor (Fransiscans)](/tags/franciscans)</v>
      </c>
      <c r="CH89" s="29" t="str">
        <f>IF(LEN(AB89)&gt;1,GetTagPage(CE89,AB89),"")</f>
        <v>[St. Junipero Serra, OFM](/tags/junipero-serra)</v>
      </c>
      <c r="CI89" s="29" t="str">
        <f t="shared" si="87"/>
        <v xml:space="preserve">| [Franciscian Missions in California](/tags/california-missions), [Order of Friars Minor (Fransiscans)](/tags/franciscans), [St. Junipero Serra, OFM](/tags/junipero-serra) </v>
      </c>
      <c r="CJ89" s="29" t="str">
        <f t="shared" si="88"/>
        <v xml:space="preserve">| [](/places/places\us_ca-carmel-by-the-sea-mission-san-carlos) </v>
      </c>
      <c r="CK89" s="29" t="str">
        <f>"| "&amp;IF(AS89,GetTagPage(C89,VLOOKUP(C89,'(Ref) Countries'!A:C,3,)),C89)&amp; " "</f>
        <v xml:space="preserve">| [US California](/tags/usa
- california) </v>
      </c>
      <c r="CL89" s="29" t="str">
        <f t="shared" si="89"/>
        <v xml:space="preserve">|  </v>
      </c>
      <c r="CM89" s="29" t="str">
        <f t="shared" si="90"/>
        <v xml:space="preserve">| [Link](/places/places\us_ca-carmel-by-the-sea-mission-san-carlos) </v>
      </c>
      <c r="CN89" s="29" t="str">
        <f t="shared" si="91"/>
        <v xml:space="preserve">
| [](/places/places\us_ca-carmel-by-the-sea-mission-san-carlos) | [US California](/tags/usa
- california) |  | [Link](/places/places\us_ca-carmel-by-the-sea-mission-san-carlos) [Official site](http://www.carmelmission.org/)| [Franciscian Missions in California](/tags/california-missions), [Order of Friars Minor (Fransiscans)](/tags/franciscans), [St. Junipero Serra, OFM](/tags/junipero-serra) |</v>
      </c>
    </row>
    <row r="90" spans="1:92" ht="25.5" x14ac:dyDescent="0.25">
      <c r="A90" s="167" t="s">
        <v>1317</v>
      </c>
      <c r="B90" s="24" t="s">
        <v>2481</v>
      </c>
      <c r="C90" s="24" t="s">
        <v>1874</v>
      </c>
      <c r="D90" s="24" t="s">
        <v>2274</v>
      </c>
      <c r="E90" s="15">
        <v>36.015380016252898</v>
      </c>
      <c r="F90" s="49">
        <v>-121.250314673798</v>
      </c>
      <c r="G90" s="24" t="s">
        <v>2254</v>
      </c>
      <c r="H90" s="119" t="s">
        <v>2296</v>
      </c>
      <c r="I90" s="24" t="s">
        <v>1802</v>
      </c>
      <c r="J90" s="24" t="b">
        <v>1</v>
      </c>
      <c r="L90" s="24" t="b">
        <v>1</v>
      </c>
      <c r="M90" s="24" t="s">
        <v>2308</v>
      </c>
      <c r="O90" s="15" t="s">
        <v>2326</v>
      </c>
      <c r="P90" s="15" t="s">
        <v>335</v>
      </c>
      <c r="Q90" s="60" t="s">
        <v>2344</v>
      </c>
      <c r="R90" s="15" t="s">
        <v>2347</v>
      </c>
      <c r="S90" s="64" t="s">
        <v>335</v>
      </c>
      <c r="T90" s="60" t="s">
        <v>2366</v>
      </c>
      <c r="U90" s="15" t="s">
        <v>2369</v>
      </c>
      <c r="V90" s="64" t="s">
        <v>335</v>
      </c>
      <c r="Z90" s="15" t="s">
        <v>2397</v>
      </c>
      <c r="AA90" s="15" t="s">
        <v>2391</v>
      </c>
      <c r="AB90" s="15" t="s">
        <v>2390</v>
      </c>
      <c r="AS90" s="154" t="b">
        <f t="shared" si="63"/>
        <v>1</v>
      </c>
      <c r="AT90" s="155" t="str">
        <f t="shared" si="64"/>
        <v>title: "Mission San Antonio de Padua"</v>
      </c>
      <c r="AU90" s="155" t="str">
        <f t="shared" si="65"/>
        <v>location: {lat: 36.0153800162529, lng: -121.250314673798}</v>
      </c>
      <c r="AV90" s="155" t="str">
        <f t="shared" si="66"/>
        <v>interest: local</v>
      </c>
      <c r="AW90" s="155" t="str">
        <f>"- "&amp;VLOOKUP(C90,'(Ref) Countries'!A:C,3,)</f>
        <v>- usa
- california</v>
      </c>
      <c r="AX90" s="155" t="str">
        <f t="shared" si="67"/>
        <v>- jolon</v>
      </c>
      <c r="AY90" s="155" t="str">
        <f t="shared" si="68"/>
        <v>- churches</v>
      </c>
      <c r="AZ90" s="155" t="str">
        <f t="shared" si="69"/>
        <v/>
      </c>
      <c r="BA90" s="155" t="str">
        <f t="shared" si="70"/>
        <v>- holy-persons</v>
      </c>
      <c r="BB90" s="155" t="str">
        <f t="shared" si="71"/>
        <v>- california-missions</v>
      </c>
      <c r="BC90" s="155" t="str">
        <f t="shared" si="72"/>
        <v>- franciscans</v>
      </c>
      <c r="BD90" s="155" t="str">
        <f t="shared" si="73"/>
        <v>- junipero-serra</v>
      </c>
      <c r="BE90" s="155" t="str">
        <f t="shared" si="74"/>
        <v/>
      </c>
      <c r="BF90" s="155" t="str">
        <f t="shared" si="75"/>
        <v/>
      </c>
      <c r="BG90" s="155" t="str">
        <f t="shared" si="76"/>
        <v/>
      </c>
      <c r="BH90" s="155" t="str">
        <f t="shared" si="77"/>
        <v/>
      </c>
      <c r="BI90" s="155" t="str">
        <f t="shared" si="78"/>
        <v/>
      </c>
      <c r="BJ90" s="155" t="str">
        <f t="shared" si="79"/>
        <v/>
      </c>
      <c r="BK90" s="155" t="str">
        <f t="shared" si="80"/>
        <v/>
      </c>
      <c r="BL90" s="155" t="str">
        <f t="shared" si="81"/>
        <v xml:space="preserve">tags:
- usa
- california_x000D_
- jolon_x000D_
- churches_x000D_
- holy-persons_x000D_
- california-missions_x000D_
- franciscans_x000D_
- junipero-serra_x000D_
</v>
      </c>
      <c r="BM90" s="158" t="str">
        <f t="shared" si="92"/>
        <v>[Official site](http://www.missionsanantonio.net/)</v>
      </c>
      <c r="BN90" s="158" t="str">
        <f t="shared" si="93"/>
        <v>[California Missions Foundation page](https://californiamissionsfoundation.org/mission-san-antonio/)</v>
      </c>
      <c r="BO90" s="158" t="str">
        <f t="shared" si="94"/>
        <v>[Missions California page](https://www.missionscalifornia.com/missions/san-antonio-de-padua/)</v>
      </c>
      <c r="BP90" s="158" t="str">
        <f t="shared" si="95"/>
        <v/>
      </c>
      <c r="BQ90" s="155" t="str">
        <f t="shared" si="82"/>
        <v xml:space="preserve">* [Official site](http://www.missionsanantonio.net/)
* [California Missions Foundation page](https://californiamissionsfoundation.org/mission-san-antonio/)
* [Missions California page](https://www.missionscalifornia.com/missions/san-antonio-de-padua/)
</v>
      </c>
      <c r="BR90" s="155" t="str">
        <f t="shared" si="83"/>
        <v/>
      </c>
      <c r="BS90" s="155" t="str">
        <f t="shared" si="84"/>
        <v/>
      </c>
      <c r="BT90" s="155" t="str">
        <f t="shared" si="85"/>
        <v/>
      </c>
      <c r="BU90" s="155" t="str">
        <f>IF(LEN(concat(BR90:BT90))&gt;0,concat("| ",BR90," | ",BS90," | ",BT90," |"),"")</f>
        <v/>
      </c>
      <c r="BV90" s="155" t="str">
        <f t="shared" si="86"/>
        <v/>
      </c>
      <c r="BW90" s="155"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55" t="str">
        <f>IF(LEN(N90)&gt;1,concatll("#### Author's Note",N90,"-"&amp;B90),"")</f>
        <v/>
      </c>
      <c r="BY90" s="155" t="s">
        <v>335</v>
      </c>
      <c r="BZ90" s="155" t="s">
        <v>335</v>
      </c>
      <c r="CA90" s="23" t="str">
        <f>IF(AS90,concatll(concatl("---",AT90:AV90,BL90,"---"),M90,BW90:BX90),"")</f>
        <v xml:space="preserve">---_x000D_
title: "Mission San Antonio de Padua"_x000D_
location: {lat: 36.0153800162529, lng: -121.250314673798}_x000D_
interest: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23" t="str">
        <f>IF(AS90,"places\"&amp;VLOOKUP(C90,'(Ref) Countries'!A:B,2,)&amp;IF(LEN(D90)&gt;1,"-"&amp;LOWER(SUBSTITUTE(D90," ","-")),"")&amp;"-"&amp;LOWER(SUBSTITUTE(SUBSTITUTE(H90," ","-"),".",""))&amp;".md","")</f>
        <v>places\us_ca-jolon-mission-san-antonio.md</v>
      </c>
      <c r="CC90" s="29" t="str">
        <f>IF(LEN(Z90)&gt;1,VLOOKUP(Z90,'Tag List'!$A:$B,2,),"")</f>
        <v>Franciscian Missions in California</v>
      </c>
      <c r="CD90" s="29" t="str">
        <f>IF(LEN(AA90)&gt;1,VLOOKUP(AA90,'Tag List'!$A:$B,2,),"")</f>
        <v>Order of Friars Minor (Fransiscans)</v>
      </c>
      <c r="CE90" s="29" t="str">
        <f>IF(LEN(AB90)&gt;1,VLOOKUP(AB90,'Tag List'!$A:$B,2,),"")</f>
        <v>St. Junipero Serra, OFM</v>
      </c>
      <c r="CF90" s="29" t="str">
        <f>IF(LEN(Z90)&gt;1,GetTagPage(CC90,Z90),"")</f>
        <v>[Franciscian Missions in California](/tags/california-missions)</v>
      </c>
      <c r="CG90" s="29" t="str">
        <f>IF(LEN(AA90)&gt;1,GetTagPage(CD90,AA90),"")</f>
        <v>[Order of Friars Minor (Fransiscans)](/tags/franciscans)</v>
      </c>
      <c r="CH90" s="29" t="str">
        <f>IF(LEN(AB90)&gt;1,GetTagPage(CE90,AB90),"")</f>
        <v>[St. Junipero Serra, OFM](/tags/junipero-serra)</v>
      </c>
      <c r="CI90" s="29" t="str">
        <f t="shared" si="87"/>
        <v xml:space="preserve">| [Franciscian Missions in California](/tags/california-missions), [Order of Friars Minor (Fransiscans)](/tags/franciscans), [St. Junipero Serra, OFM](/tags/junipero-serra) </v>
      </c>
      <c r="CJ90" s="29" t="str">
        <f t="shared" si="88"/>
        <v xml:space="preserve">| [](/places/places\us_ca-jolon-mission-san-antonio) </v>
      </c>
      <c r="CK90" s="29" t="str">
        <f>"| "&amp;IF(AS90,GetTagPage(C90,VLOOKUP(C90,'(Ref) Countries'!A:C,3,)),C90)&amp; " "</f>
        <v xml:space="preserve">| [US California](/tags/usa
- california) </v>
      </c>
      <c r="CL90" s="29" t="str">
        <f t="shared" si="89"/>
        <v xml:space="preserve">|  </v>
      </c>
      <c r="CM90" s="29" t="str">
        <f t="shared" si="90"/>
        <v xml:space="preserve">| [Link](/places/places\us_ca-jolon-mission-san-antonio) </v>
      </c>
      <c r="CN90" s="29" t="str">
        <f t="shared" si="91"/>
        <v xml:space="preserve">
| [](/places/places\us_ca-jolon-mission-san-antonio) | [US California](/tags/usa
- california) |  | [Link](/places/places\us_ca-jolon-mission-san-antonio) [Official site](http://www.missionsanantonio.net/)| [Franciscian Missions in California](/tags/california-missions), [Order of Friars Minor (Fransiscans)](/tags/franciscans), [St. Junipero Serra, OFM](/tags/junipero-serra) |</v>
      </c>
    </row>
    <row r="91" spans="1:92" ht="25.5" x14ac:dyDescent="0.25">
      <c r="A91" s="167" t="s">
        <v>1317</v>
      </c>
      <c r="B91" s="24" t="s">
        <v>2481</v>
      </c>
      <c r="C91" s="24" t="s">
        <v>1874</v>
      </c>
      <c r="D91" s="24" t="s">
        <v>2275</v>
      </c>
      <c r="E91" s="15">
        <v>34.096659673144899</v>
      </c>
      <c r="F91" s="49">
        <v>-118.10684110268799</v>
      </c>
      <c r="G91" s="24" t="s">
        <v>2255</v>
      </c>
      <c r="H91" s="119" t="s">
        <v>2297</v>
      </c>
      <c r="I91" s="24" t="s">
        <v>1802</v>
      </c>
      <c r="J91" s="24" t="b">
        <v>1</v>
      </c>
      <c r="L91" s="24" t="b">
        <v>1</v>
      </c>
      <c r="M91" s="24" t="s">
        <v>2309</v>
      </c>
      <c r="O91" s="15" t="s">
        <v>2327</v>
      </c>
      <c r="P91" s="15" t="s">
        <v>335</v>
      </c>
      <c r="Q91" s="60" t="s">
        <v>2344</v>
      </c>
      <c r="R91" s="15" t="s">
        <v>2348</v>
      </c>
      <c r="S91" s="64" t="s">
        <v>335</v>
      </c>
      <c r="T91" s="60" t="s">
        <v>2366</v>
      </c>
      <c r="U91" s="15" t="s">
        <v>2370</v>
      </c>
      <c r="V91" s="64" t="s">
        <v>335</v>
      </c>
      <c r="Z91" s="15" t="s">
        <v>2397</v>
      </c>
      <c r="AA91" s="15" t="s">
        <v>2391</v>
      </c>
      <c r="AB91" s="15" t="s">
        <v>2390</v>
      </c>
      <c r="AS91" s="154" t="b">
        <f t="shared" si="63"/>
        <v>1</v>
      </c>
      <c r="AT91" s="155" t="str">
        <f t="shared" si="64"/>
        <v>title: "Mission San Gabriel Arcangel"</v>
      </c>
      <c r="AU91" s="155" t="str">
        <f t="shared" si="65"/>
        <v>location: {lat: 34.0966596731449, lng: -118.106841102688}</v>
      </c>
      <c r="AV91" s="155" t="str">
        <f t="shared" si="66"/>
        <v>interest: local</v>
      </c>
      <c r="AW91" s="155" t="str">
        <f>"- "&amp;VLOOKUP(C91,'(Ref) Countries'!A:C,3,)</f>
        <v>- usa
- california</v>
      </c>
      <c r="AX91" s="155" t="str">
        <f t="shared" si="67"/>
        <v>- san-gabriel</v>
      </c>
      <c r="AY91" s="155" t="str">
        <f t="shared" si="68"/>
        <v>- churches</v>
      </c>
      <c r="AZ91" s="155" t="str">
        <f t="shared" si="69"/>
        <v/>
      </c>
      <c r="BA91" s="155" t="str">
        <f t="shared" si="70"/>
        <v>- holy-persons</v>
      </c>
      <c r="BB91" s="155" t="str">
        <f t="shared" si="71"/>
        <v>- california-missions</v>
      </c>
      <c r="BC91" s="155" t="str">
        <f t="shared" si="72"/>
        <v>- franciscans</v>
      </c>
      <c r="BD91" s="155" t="str">
        <f t="shared" si="73"/>
        <v>- junipero-serra</v>
      </c>
      <c r="BE91" s="155" t="str">
        <f t="shared" si="74"/>
        <v/>
      </c>
      <c r="BF91" s="155" t="str">
        <f t="shared" si="75"/>
        <v/>
      </c>
      <c r="BG91" s="155" t="str">
        <f t="shared" si="76"/>
        <v/>
      </c>
      <c r="BH91" s="155" t="str">
        <f t="shared" si="77"/>
        <v/>
      </c>
      <c r="BI91" s="155" t="str">
        <f t="shared" si="78"/>
        <v/>
      </c>
      <c r="BJ91" s="155" t="str">
        <f t="shared" si="79"/>
        <v/>
      </c>
      <c r="BK91" s="155" t="str">
        <f t="shared" si="80"/>
        <v/>
      </c>
      <c r="BL91" s="155" t="str">
        <f t="shared" si="81"/>
        <v xml:space="preserve">tags:
- usa
- california_x000D_
- san-gabriel_x000D_
- churches_x000D_
- holy-persons_x000D_
- california-missions_x000D_
- franciscans_x000D_
- junipero-serra_x000D_
</v>
      </c>
      <c r="BM91" s="158" t="str">
        <f t="shared" si="92"/>
        <v>[Official site](http://www.missionsangabriel.org/)</v>
      </c>
      <c r="BN91" s="158" t="str">
        <f t="shared" si="93"/>
        <v>[California Missions Foundation page](https://californiamissionsfoundation.org/mission-san-gabriel/)</v>
      </c>
      <c r="BO91" s="158" t="str">
        <f t="shared" si="94"/>
        <v>[Missions California page](https://www.missionscalifornia.com/missions/san-gabriel-arcangel/)</v>
      </c>
      <c r="BP91" s="158" t="str">
        <f t="shared" si="95"/>
        <v/>
      </c>
      <c r="BQ91" s="155" t="str">
        <f t="shared" si="82"/>
        <v xml:space="preserve">* [Official site](http://www.missionsangabriel.org/)
* [California Missions Foundation page](https://californiamissionsfoundation.org/mission-san-gabriel/)
* [Missions California page](https://www.missionscalifornia.com/missions/san-gabriel-arcangel/)
</v>
      </c>
      <c r="BR91" s="155" t="str">
        <f t="shared" si="83"/>
        <v/>
      </c>
      <c r="BS91" s="155" t="str">
        <f t="shared" si="84"/>
        <v/>
      </c>
      <c r="BT91" s="155" t="str">
        <f t="shared" si="85"/>
        <v/>
      </c>
      <c r="BU91" s="155" t="str">
        <f>IF(LEN(concat(BR91:BT91))&gt;0,concat("| ",BR91," | ",BS91," | ",BT91," |"),"")</f>
        <v/>
      </c>
      <c r="BV91" s="155" t="str">
        <f t="shared" si="86"/>
        <v/>
      </c>
      <c r="BW91" s="155"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55" t="str">
        <f>IF(LEN(N91)&gt;1,concatll("#### Author's Note",N91,"-"&amp;B91),"")</f>
        <v/>
      </c>
      <c r="BY91" s="155" t="s">
        <v>335</v>
      </c>
      <c r="BZ91" s="155" t="s">
        <v>335</v>
      </c>
      <c r="CA91" s="23" t="str">
        <f>IF(AS91,concatll(concatl("---",AT91:AV91,BL91,"---"),M91,BW91:BX91),"")</f>
        <v xml:space="preserve">---_x000D_
title: "Mission San Gabriel Arcangel"_x000D_
location: {lat: 34.0966596731449, lng: -118.106841102688}_x000D_
interest: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23" t="str">
        <f>IF(AS91,"places\"&amp;VLOOKUP(C91,'(Ref) Countries'!A:B,2,)&amp;IF(LEN(D91)&gt;1,"-"&amp;LOWER(SUBSTITUTE(D91," ","-")),"")&amp;"-"&amp;LOWER(SUBSTITUTE(SUBSTITUTE(H91," ","-"),".",""))&amp;".md","")</f>
        <v>places\us_ca-san-gabriel-mission-san-gabriel.md</v>
      </c>
      <c r="CC91" s="29" t="str">
        <f>IF(LEN(Z91)&gt;1,VLOOKUP(Z91,'Tag List'!$A:$B,2,),"")</f>
        <v>Franciscian Missions in California</v>
      </c>
      <c r="CD91" s="29" t="str">
        <f>IF(LEN(AA91)&gt;1,VLOOKUP(AA91,'Tag List'!$A:$B,2,),"")</f>
        <v>Order of Friars Minor (Fransiscans)</v>
      </c>
      <c r="CE91" s="29" t="str">
        <f>IF(LEN(AB91)&gt;1,VLOOKUP(AB91,'Tag List'!$A:$B,2,),"")</f>
        <v>St. Junipero Serra, OFM</v>
      </c>
      <c r="CF91" s="29" t="str">
        <f>IF(LEN(Z91)&gt;1,GetTagPage(CC91,Z91),"")</f>
        <v>[Franciscian Missions in California](/tags/california-missions)</v>
      </c>
      <c r="CG91" s="29" t="str">
        <f>IF(LEN(AA91)&gt;1,GetTagPage(CD91,AA91),"")</f>
        <v>[Order of Friars Minor (Fransiscans)](/tags/franciscans)</v>
      </c>
      <c r="CH91" s="29" t="str">
        <f>IF(LEN(AB91)&gt;1,GetTagPage(CE91,AB91),"")</f>
        <v>[St. Junipero Serra, OFM](/tags/junipero-serra)</v>
      </c>
      <c r="CI91" s="29" t="str">
        <f t="shared" si="87"/>
        <v xml:space="preserve">| [Franciscian Missions in California](/tags/california-missions), [Order of Friars Minor (Fransiscans)](/tags/franciscans), [St. Junipero Serra, OFM](/tags/junipero-serra) </v>
      </c>
      <c r="CJ91" s="29" t="str">
        <f t="shared" si="88"/>
        <v xml:space="preserve">| [](/places/places\us_ca-san-gabriel-mission-san-gabriel) </v>
      </c>
      <c r="CK91" s="29" t="str">
        <f>"| "&amp;IF(AS91,GetTagPage(C91,VLOOKUP(C91,'(Ref) Countries'!A:C,3,)),C91)&amp; " "</f>
        <v xml:space="preserve">| [US California](/tags/usa
- california) </v>
      </c>
      <c r="CL91" s="29" t="str">
        <f t="shared" si="89"/>
        <v xml:space="preserve">|  </v>
      </c>
      <c r="CM91" s="29" t="str">
        <f t="shared" si="90"/>
        <v xml:space="preserve">| [Link](/places/places\us_ca-san-gabriel-mission-san-gabriel) </v>
      </c>
      <c r="CN91" s="29" t="str">
        <f t="shared" si="91"/>
        <v xml:space="preserve">
| [](/places/places\us_ca-san-gabriel-mission-san-gabriel) | [US California](/tags/usa
- california) |  | [Link](/places/places\us_ca-san-gabriel-mission-san-gabriel) [Official site](http://www.missionsangabriel.org/)| [Franciscian Missions in California](/tags/california-missions), [Order of Friars Minor (Fransiscans)](/tags/franciscans), [St. Junipero Serra, OFM](/tags/junipero-serra) |</v>
      </c>
    </row>
    <row r="92" spans="1:92" ht="25.5" x14ac:dyDescent="0.25">
      <c r="A92" s="167" t="s">
        <v>1317</v>
      </c>
      <c r="B92" s="24" t="s">
        <v>2481</v>
      </c>
      <c r="C92" s="24" t="s">
        <v>1874</v>
      </c>
      <c r="D92" s="24" t="s">
        <v>2276</v>
      </c>
      <c r="E92" s="15">
        <v>35.2809991057781</v>
      </c>
      <c r="F92" s="49">
        <v>-120.664704058475</v>
      </c>
      <c r="G92" s="24" t="s">
        <v>2256</v>
      </c>
      <c r="H92" s="119" t="s">
        <v>2294</v>
      </c>
      <c r="I92" s="24" t="s">
        <v>1802</v>
      </c>
      <c r="J92" s="24" t="b">
        <v>1</v>
      </c>
      <c r="L92" s="24" t="b">
        <v>1</v>
      </c>
      <c r="M92" s="24" t="s">
        <v>2310</v>
      </c>
      <c r="O92" s="15" t="s">
        <v>2328</v>
      </c>
      <c r="P92" s="15" t="s">
        <v>335</v>
      </c>
      <c r="Q92" s="60" t="s">
        <v>2344</v>
      </c>
      <c r="R92" s="15" t="s">
        <v>2349</v>
      </c>
      <c r="S92" s="64" t="s">
        <v>335</v>
      </c>
      <c r="T92" s="60" t="s">
        <v>2366</v>
      </c>
      <c r="U92" s="15" t="s">
        <v>2371</v>
      </c>
      <c r="V92" s="64" t="s">
        <v>335</v>
      </c>
      <c r="Z92" s="15" t="s">
        <v>2397</v>
      </c>
      <c r="AA92" s="15" t="s">
        <v>2391</v>
      </c>
      <c r="AB92" s="15" t="s">
        <v>2390</v>
      </c>
      <c r="AS92" s="154" t="b">
        <f t="shared" si="63"/>
        <v>1</v>
      </c>
      <c r="AT92" s="155" t="str">
        <f t="shared" si="64"/>
        <v>title: "Mission San Luis Obispo de Tolosa"</v>
      </c>
      <c r="AU92" s="155" t="str">
        <f t="shared" si="65"/>
        <v>location: {lat: 35.2809991057781, lng: -120.664704058475}</v>
      </c>
      <c r="AV92" s="155" t="str">
        <f t="shared" si="66"/>
        <v>interest: local</v>
      </c>
      <c r="AW92" s="155" t="str">
        <f>"- "&amp;VLOOKUP(C92,'(Ref) Countries'!A:C,3,)</f>
        <v>- usa
- california</v>
      </c>
      <c r="AX92" s="155" t="str">
        <f t="shared" si="67"/>
        <v>- san-luis-obispo</v>
      </c>
      <c r="AY92" s="155" t="str">
        <f t="shared" si="68"/>
        <v>- churches</v>
      </c>
      <c r="AZ92" s="155" t="str">
        <f t="shared" si="69"/>
        <v/>
      </c>
      <c r="BA92" s="155" t="str">
        <f t="shared" si="70"/>
        <v>- holy-persons</v>
      </c>
      <c r="BB92" s="155" t="str">
        <f t="shared" si="71"/>
        <v>- california-missions</v>
      </c>
      <c r="BC92" s="155" t="str">
        <f t="shared" si="72"/>
        <v>- franciscans</v>
      </c>
      <c r="BD92" s="155" t="str">
        <f t="shared" si="73"/>
        <v>- junipero-serra</v>
      </c>
      <c r="BE92" s="155" t="str">
        <f t="shared" si="74"/>
        <v/>
      </c>
      <c r="BF92" s="155" t="str">
        <f t="shared" si="75"/>
        <v/>
      </c>
      <c r="BG92" s="155" t="str">
        <f t="shared" si="76"/>
        <v/>
      </c>
      <c r="BH92" s="155" t="str">
        <f t="shared" si="77"/>
        <v/>
      </c>
      <c r="BI92" s="155" t="str">
        <f t="shared" si="78"/>
        <v/>
      </c>
      <c r="BJ92" s="155" t="str">
        <f t="shared" si="79"/>
        <v/>
      </c>
      <c r="BK92" s="155" t="str">
        <f t="shared" si="80"/>
        <v/>
      </c>
      <c r="BL92" s="155" t="str">
        <f t="shared" si="81"/>
        <v xml:space="preserve">tags:
- usa
- california_x000D_
- san-luis-obispo_x000D_
- churches_x000D_
- holy-persons_x000D_
- california-missions_x000D_
- franciscans_x000D_
- junipero-serra_x000D_
</v>
      </c>
      <c r="BM92" s="158" t="str">
        <f t="shared" si="92"/>
        <v>[Official site](https://www.missionsanluisobispo.org/)</v>
      </c>
      <c r="BN92" s="158" t="str">
        <f t="shared" si="93"/>
        <v>[California Missions Foundation page](https://californiamissionsfoundation.org/mission-san-luis-obispo/)</v>
      </c>
      <c r="BO92" s="158" t="str">
        <f t="shared" si="94"/>
        <v>[Missions California page](https://www.missionscalifornia.com/missions/san-luis-obispo-de-tolosa/)</v>
      </c>
      <c r="BP92" s="158" t="str">
        <f t="shared" si="95"/>
        <v/>
      </c>
      <c r="BQ92" s="155" t="str">
        <f t="shared" si="82"/>
        <v xml:space="preserve">* [Official site](https://www.missionsanluisobispo.org/)
* [California Missions Foundation page](https://californiamissionsfoundation.org/mission-san-luis-obispo/)
* [Missions California page](https://www.missionscalifornia.com/missions/san-luis-obispo-de-tolosa/)
</v>
      </c>
      <c r="BR92" s="155" t="str">
        <f t="shared" si="83"/>
        <v/>
      </c>
      <c r="BS92" s="155" t="str">
        <f t="shared" si="84"/>
        <v/>
      </c>
      <c r="BT92" s="155" t="str">
        <f t="shared" si="85"/>
        <v/>
      </c>
      <c r="BU92" s="155" t="str">
        <f>IF(LEN(concat(BR92:BT92))&gt;0,concat("| ",BR92," | ",BS92," | ",BT92," |"),"")</f>
        <v/>
      </c>
      <c r="BV92" s="155" t="str">
        <f t="shared" si="86"/>
        <v/>
      </c>
      <c r="BW92" s="155"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55" t="str">
        <f>IF(LEN(N92)&gt;1,concatll("#### Author's Note",N92,"-"&amp;B92),"")</f>
        <v/>
      </c>
      <c r="BY92" s="155" t="s">
        <v>335</v>
      </c>
      <c r="BZ92" s="155" t="s">
        <v>335</v>
      </c>
      <c r="CA92" s="23" t="str">
        <f>IF(AS92,concatll(concatl("---",AT92:AV92,BL92,"---"),M92,BW92:BX92),"")</f>
        <v xml:space="preserve">---_x000D_
title: "Mission San Luis Obispo de Tolosa"_x000D_
location: {lat: 35.2809991057781, lng: -120.664704058475}_x000D_
interest: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23" t="str">
        <f>IF(AS92,"places\"&amp;VLOOKUP(C92,'(Ref) Countries'!A:B,2,)&amp;IF(LEN(D92)&gt;1,"-"&amp;LOWER(SUBSTITUTE(D92," ","-")),"")&amp;"-"&amp;LOWER(SUBSTITUTE(SUBSTITUTE(H92," ","-"),".",""))&amp;".md","")</f>
        <v>places\us_ca-san-luis-obispo-mission-san-luis-obispo.md</v>
      </c>
      <c r="CC92" s="29" t="str">
        <f>IF(LEN(Z92)&gt;1,VLOOKUP(Z92,'Tag List'!$A:$B,2,),"")</f>
        <v>Franciscian Missions in California</v>
      </c>
      <c r="CD92" s="29" t="str">
        <f>IF(LEN(AA92)&gt;1,VLOOKUP(AA92,'Tag List'!$A:$B,2,),"")</f>
        <v>Order of Friars Minor (Fransiscans)</v>
      </c>
      <c r="CE92" s="29" t="str">
        <f>IF(LEN(AB92)&gt;1,VLOOKUP(AB92,'Tag List'!$A:$B,2,),"")</f>
        <v>St. Junipero Serra, OFM</v>
      </c>
      <c r="CF92" s="29" t="str">
        <f>IF(LEN(Z92)&gt;1,GetTagPage(CC92,Z92),"")</f>
        <v>[Franciscian Missions in California](/tags/california-missions)</v>
      </c>
      <c r="CG92" s="29" t="str">
        <f>IF(LEN(AA92)&gt;1,GetTagPage(CD92,AA92),"")</f>
        <v>[Order of Friars Minor (Fransiscans)](/tags/franciscans)</v>
      </c>
      <c r="CH92" s="29" t="str">
        <f>IF(LEN(AB92)&gt;1,GetTagPage(CE92,AB92),"")</f>
        <v>[St. Junipero Serra, OFM](/tags/junipero-serra)</v>
      </c>
      <c r="CI92" s="29" t="str">
        <f t="shared" si="87"/>
        <v xml:space="preserve">| [Franciscian Missions in California](/tags/california-missions), [Order of Friars Minor (Fransiscans)](/tags/franciscans), [St. Junipero Serra, OFM](/tags/junipero-serra) </v>
      </c>
      <c r="CJ92" s="29" t="str">
        <f t="shared" si="88"/>
        <v xml:space="preserve">| [](/places/places\us_ca-san-luis-obispo-mission-san-luis-obispo) </v>
      </c>
      <c r="CK92" s="29" t="str">
        <f>"| "&amp;IF(AS92,GetTagPage(C92,VLOOKUP(C92,'(Ref) Countries'!A:C,3,)),C92)&amp; " "</f>
        <v xml:space="preserve">| [US California](/tags/usa
- california) </v>
      </c>
      <c r="CL92" s="29" t="str">
        <f t="shared" si="89"/>
        <v xml:space="preserve">|  </v>
      </c>
      <c r="CM92" s="29" t="str">
        <f t="shared" si="90"/>
        <v xml:space="preserve">| [Link](/places/places\us_ca-san-luis-obispo-mission-san-luis-obispo) </v>
      </c>
      <c r="CN92" s="29" t="str">
        <f t="shared" si="91"/>
        <v xml:space="preserve">
| [](/places/places\us_ca-san-luis-obispo-mission-san-luis-obispo) | [US California](/tags/usa
- california) |  | [Link](/places/places\us_ca-san-luis-obispo-mission-san-luis-obispo) [Official site](https://www.missionsanluisobispo.org/)| [Franciscian Missions in California](/tags/california-missions), [Order of Friars Minor (Fransiscans)](/tags/franciscans), [St. Junipero Serra, OFM](/tags/junipero-serra) |</v>
      </c>
    </row>
    <row r="93" spans="1:92" ht="25.5" x14ac:dyDescent="0.25">
      <c r="A93" s="167" t="s">
        <v>1317</v>
      </c>
      <c r="B93" s="24" t="s">
        <v>2481</v>
      </c>
      <c r="C93" s="24" t="s">
        <v>1874</v>
      </c>
      <c r="D93" s="24" t="s">
        <v>2277</v>
      </c>
      <c r="E93" s="15">
        <v>37.7643787904628</v>
      </c>
      <c r="F93" s="49">
        <v>-122.426918360256</v>
      </c>
      <c r="G93" s="24" t="s">
        <v>2257</v>
      </c>
      <c r="H93" s="119" t="s">
        <v>2304</v>
      </c>
      <c r="I93" s="24" t="s">
        <v>1802</v>
      </c>
      <c r="J93" s="24" t="b">
        <v>1</v>
      </c>
      <c r="L93" s="24" t="b">
        <v>1</v>
      </c>
      <c r="M93" s="24" t="s">
        <v>2311</v>
      </c>
      <c r="O93" s="15" t="s">
        <v>2329</v>
      </c>
      <c r="P93" s="15" t="s">
        <v>335</v>
      </c>
      <c r="Q93" s="60" t="s">
        <v>2344</v>
      </c>
      <c r="R93" s="15" t="s">
        <v>2350</v>
      </c>
      <c r="S93" s="64" t="s">
        <v>335</v>
      </c>
      <c r="T93" s="60" t="s">
        <v>2366</v>
      </c>
      <c r="U93" s="15" t="s">
        <v>2372</v>
      </c>
      <c r="V93" s="64" t="s">
        <v>335</v>
      </c>
      <c r="Z93" s="15" t="s">
        <v>2397</v>
      </c>
      <c r="AA93" s="15" t="s">
        <v>2391</v>
      </c>
      <c r="AB93" s="15" t="s">
        <v>2390</v>
      </c>
      <c r="AS93" s="154" t="b">
        <f t="shared" si="63"/>
        <v>1</v>
      </c>
      <c r="AT93" s="155" t="str">
        <f t="shared" si="64"/>
        <v>title: "Mission San Francisco de Asis (Mission Dolores)"</v>
      </c>
      <c r="AU93" s="155" t="str">
        <f t="shared" si="65"/>
        <v>location: {lat: 37.7643787904628, lng: -122.426918360256}</v>
      </c>
      <c r="AV93" s="155" t="str">
        <f t="shared" si="66"/>
        <v>interest: local</v>
      </c>
      <c r="AW93" s="155" t="str">
        <f>"- "&amp;VLOOKUP(C93,'(Ref) Countries'!A:C,3,)</f>
        <v>- usa
- california</v>
      </c>
      <c r="AX93" s="155" t="str">
        <f t="shared" si="67"/>
        <v>- san-francisco</v>
      </c>
      <c r="AY93" s="155" t="str">
        <f t="shared" si="68"/>
        <v>- churches</v>
      </c>
      <c r="AZ93" s="155" t="str">
        <f t="shared" si="69"/>
        <v/>
      </c>
      <c r="BA93" s="155" t="str">
        <f t="shared" si="70"/>
        <v>- holy-persons</v>
      </c>
      <c r="BB93" s="155" t="str">
        <f t="shared" si="71"/>
        <v>- california-missions</v>
      </c>
      <c r="BC93" s="155" t="str">
        <f t="shared" si="72"/>
        <v>- franciscans</v>
      </c>
      <c r="BD93" s="155" t="str">
        <f t="shared" si="73"/>
        <v>- junipero-serra</v>
      </c>
      <c r="BE93" s="155" t="str">
        <f t="shared" si="74"/>
        <v/>
      </c>
      <c r="BF93" s="155" t="str">
        <f t="shared" si="75"/>
        <v/>
      </c>
      <c r="BG93" s="155" t="str">
        <f t="shared" si="76"/>
        <v/>
      </c>
      <c r="BH93" s="155" t="str">
        <f t="shared" si="77"/>
        <v/>
      </c>
      <c r="BI93" s="155" t="str">
        <f t="shared" si="78"/>
        <v/>
      </c>
      <c r="BJ93" s="155" t="str">
        <f t="shared" si="79"/>
        <v/>
      </c>
      <c r="BK93" s="155" t="str">
        <f t="shared" si="80"/>
        <v/>
      </c>
      <c r="BL93" s="155" t="str">
        <f t="shared" si="81"/>
        <v xml:space="preserve">tags:
- usa
- california_x000D_
- san-francisco_x000D_
- churches_x000D_
- holy-persons_x000D_
- california-missions_x000D_
- franciscans_x000D_
- junipero-serra_x000D_
</v>
      </c>
      <c r="BM93" s="158" t="str">
        <f t="shared" si="92"/>
        <v>[Official site](https://www.missiondolores.org/old-mission)</v>
      </c>
      <c r="BN93" s="158" t="str">
        <f t="shared" si="93"/>
        <v>[California Missions Foundation page](https://californiamissionsfoundation.org/mission-san-francisco-de-asis/)</v>
      </c>
      <c r="BO93" s="158" t="str">
        <f t="shared" si="94"/>
        <v>[Missions California page](https://www.missionscalifornia.com/missions/san-francisco-de-asis/)</v>
      </c>
      <c r="BP93" s="158" t="str">
        <f t="shared" si="95"/>
        <v/>
      </c>
      <c r="BQ93" s="155" t="str">
        <f t="shared" si="82"/>
        <v xml:space="preserve">* [Official site](https://www.missiondolores.org/old-mission)
* [California Missions Foundation page](https://californiamissionsfoundation.org/mission-san-francisco-de-asis/)
* [Missions California page](https://www.missionscalifornia.com/missions/san-francisco-de-asis/)
</v>
      </c>
      <c r="BR93" s="155" t="str">
        <f t="shared" si="83"/>
        <v/>
      </c>
      <c r="BS93" s="155" t="str">
        <f t="shared" si="84"/>
        <v/>
      </c>
      <c r="BT93" s="155" t="str">
        <f t="shared" si="85"/>
        <v/>
      </c>
      <c r="BU93" s="155" t="str">
        <f>IF(LEN(concat(BR93:BT93))&gt;0,concat("| ",BR93," | ",BS93," | ",BT93," |"),"")</f>
        <v/>
      </c>
      <c r="BV93" s="155" t="str">
        <f t="shared" si="86"/>
        <v/>
      </c>
      <c r="BW93" s="155"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55" t="str">
        <f>IF(LEN(N93)&gt;1,concatll("#### Author's Note",N93,"-"&amp;B93),"")</f>
        <v/>
      </c>
      <c r="BY93" s="155" t="s">
        <v>335</v>
      </c>
      <c r="BZ93" s="155" t="s">
        <v>335</v>
      </c>
      <c r="CA93" s="23" t="str">
        <f>IF(AS93,concatll(concatl("---",AT93:AV93,BL93,"---"),M93,BW93:BX93),"")</f>
        <v xml:space="preserve">---_x000D_
title: "Mission San Francisco de Asis (Mission Dolores)"_x000D_
location: {lat: 37.7643787904628, lng: -122.426918360256}_x000D_
interest: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23" t="str">
        <f>IF(AS93,"places\"&amp;VLOOKUP(C93,'(Ref) Countries'!A:B,2,)&amp;IF(LEN(D93)&gt;1,"-"&amp;LOWER(SUBSTITUTE(D93," ","-")),"")&amp;"-"&amp;LOWER(SUBSTITUTE(SUBSTITUTE(H93," ","-"),".",""))&amp;".md","")</f>
        <v>places\us_ca-san-francisco-mission-dolores.md</v>
      </c>
      <c r="CC93" s="29" t="str">
        <f>IF(LEN(Z93)&gt;1,VLOOKUP(Z93,'Tag List'!$A:$B,2,),"")</f>
        <v>Franciscian Missions in California</v>
      </c>
      <c r="CD93" s="29" t="str">
        <f>IF(LEN(AA93)&gt;1,VLOOKUP(AA93,'Tag List'!$A:$B,2,),"")</f>
        <v>Order of Friars Minor (Fransiscans)</v>
      </c>
      <c r="CE93" s="29" t="str">
        <f>IF(LEN(AB93)&gt;1,VLOOKUP(AB93,'Tag List'!$A:$B,2,),"")</f>
        <v>St. Junipero Serra, OFM</v>
      </c>
      <c r="CF93" s="29" t="str">
        <f>IF(LEN(Z93)&gt;1,GetTagPage(CC93,Z93),"")</f>
        <v>[Franciscian Missions in California](/tags/california-missions)</v>
      </c>
      <c r="CG93" s="29" t="str">
        <f>IF(LEN(AA93)&gt;1,GetTagPage(CD93,AA93),"")</f>
        <v>[Order of Friars Minor (Fransiscans)](/tags/franciscans)</v>
      </c>
      <c r="CH93" s="29" t="str">
        <f>IF(LEN(AB93)&gt;1,GetTagPage(CE93,AB93),"")</f>
        <v>[St. Junipero Serra, OFM](/tags/junipero-serra)</v>
      </c>
      <c r="CI93" s="29" t="str">
        <f t="shared" si="87"/>
        <v xml:space="preserve">| [Franciscian Missions in California](/tags/california-missions), [Order of Friars Minor (Fransiscans)](/tags/franciscans), [St. Junipero Serra, OFM](/tags/junipero-serra) </v>
      </c>
      <c r="CJ93" s="29" t="str">
        <f t="shared" si="88"/>
        <v xml:space="preserve">| [](/places/places\us_ca-san-francisco-mission-dolores) </v>
      </c>
      <c r="CK93" s="29" t="str">
        <f>"| "&amp;IF(AS93,GetTagPage(C93,VLOOKUP(C93,'(Ref) Countries'!A:C,3,)),C93)&amp; " "</f>
        <v xml:space="preserve">| [US California](/tags/usa
- california) </v>
      </c>
      <c r="CL93" s="29" t="str">
        <f t="shared" si="89"/>
        <v xml:space="preserve">|  </v>
      </c>
      <c r="CM93" s="29" t="str">
        <f t="shared" si="90"/>
        <v xml:space="preserve">| [Link](/places/places\us_ca-san-francisco-mission-dolores) </v>
      </c>
      <c r="CN93" s="29" t="str">
        <f t="shared" si="91"/>
        <v xml:space="preserve">
| [](/places/places\us_ca-san-francisco-mission-dolores) | [US California](/tags/usa
- california) |  | [Link](/places/places\us_ca-san-francisco-mission-dolores) [Official site](https://www.missiondolores.org/old-mission)| [Franciscian Missions in California](/tags/california-missions), [Order of Friars Minor (Fransiscans)](/tags/franciscans), [St. Junipero Serra, OFM](/tags/junipero-serra) |</v>
      </c>
    </row>
    <row r="94" spans="1:92" ht="25.5" x14ac:dyDescent="0.25">
      <c r="A94" s="167" t="s">
        <v>1317</v>
      </c>
      <c r="B94" s="24" t="s">
        <v>2481</v>
      </c>
      <c r="C94" s="24" t="s">
        <v>1874</v>
      </c>
      <c r="D94" s="24" t="s">
        <v>2278</v>
      </c>
      <c r="E94" s="15">
        <v>33.502028266204697</v>
      </c>
      <c r="F94" s="49">
        <v>-117.662690902704</v>
      </c>
      <c r="G94" s="24" t="s">
        <v>2258</v>
      </c>
      <c r="H94" s="53" t="s">
        <v>2258</v>
      </c>
      <c r="I94" s="24" t="s">
        <v>1802</v>
      </c>
      <c r="J94" s="24" t="b">
        <v>1</v>
      </c>
      <c r="L94" s="24" t="b">
        <v>1</v>
      </c>
      <c r="M94" s="24" t="s">
        <v>2312</v>
      </c>
      <c r="O94" s="15" t="s">
        <v>2330</v>
      </c>
      <c r="P94" s="15" t="s">
        <v>335</v>
      </c>
      <c r="Q94" s="60" t="s">
        <v>2344</v>
      </c>
      <c r="R94" s="15" t="s">
        <v>2351</v>
      </c>
      <c r="S94" s="64" t="s">
        <v>335</v>
      </c>
      <c r="T94" s="60" t="s">
        <v>2366</v>
      </c>
      <c r="U94" s="15" t="s">
        <v>2373</v>
      </c>
      <c r="V94" s="64" t="s">
        <v>335</v>
      </c>
      <c r="Z94" s="15" t="s">
        <v>2397</v>
      </c>
      <c r="AA94" s="15" t="s">
        <v>2391</v>
      </c>
      <c r="AB94" s="15" t="s">
        <v>2390</v>
      </c>
      <c r="AS94" s="154" t="b">
        <f t="shared" si="63"/>
        <v>1</v>
      </c>
      <c r="AT94" s="155" t="str">
        <f t="shared" si="64"/>
        <v>title: "Mission San Juan Capistrano"</v>
      </c>
      <c r="AU94" s="155" t="str">
        <f t="shared" si="65"/>
        <v>location: {lat: 33.5020282662047, lng: -117.662690902704}</v>
      </c>
      <c r="AV94" s="155" t="str">
        <f t="shared" si="66"/>
        <v>interest: local</v>
      </c>
      <c r="AW94" s="155" t="str">
        <f>"- "&amp;VLOOKUP(C94,'(Ref) Countries'!A:C,3,)</f>
        <v>- usa
- california</v>
      </c>
      <c r="AX94" s="155" t="str">
        <f t="shared" si="67"/>
        <v>- san-juan-capistrano</v>
      </c>
      <c r="AY94" s="155" t="str">
        <f t="shared" si="68"/>
        <v>- churches</v>
      </c>
      <c r="AZ94" s="155" t="str">
        <f t="shared" si="69"/>
        <v/>
      </c>
      <c r="BA94" s="155" t="str">
        <f t="shared" si="70"/>
        <v>- holy-persons</v>
      </c>
      <c r="BB94" s="155" t="str">
        <f t="shared" si="71"/>
        <v>- california-missions</v>
      </c>
      <c r="BC94" s="155" t="str">
        <f t="shared" si="72"/>
        <v>- franciscans</v>
      </c>
      <c r="BD94" s="155" t="str">
        <f t="shared" si="73"/>
        <v>- junipero-serra</v>
      </c>
      <c r="BE94" s="155" t="str">
        <f t="shared" si="74"/>
        <v/>
      </c>
      <c r="BF94" s="155" t="str">
        <f t="shared" si="75"/>
        <v/>
      </c>
      <c r="BG94" s="155" t="str">
        <f t="shared" si="76"/>
        <v/>
      </c>
      <c r="BH94" s="155" t="str">
        <f t="shared" si="77"/>
        <v/>
      </c>
      <c r="BI94" s="155" t="str">
        <f t="shared" si="78"/>
        <v/>
      </c>
      <c r="BJ94" s="155" t="str">
        <f t="shared" si="79"/>
        <v/>
      </c>
      <c r="BK94" s="155" t="str">
        <f t="shared" si="80"/>
        <v/>
      </c>
      <c r="BL94" s="155" t="str">
        <f t="shared" si="81"/>
        <v xml:space="preserve">tags:
- usa
- california_x000D_
- san-juan-capistrano_x000D_
- churches_x000D_
- holy-persons_x000D_
- california-missions_x000D_
- franciscans_x000D_
- junipero-serra_x000D_
</v>
      </c>
      <c r="BM94" s="158" t="str">
        <f t="shared" si="92"/>
        <v>[Official site](http://www.missionsjc.com/)</v>
      </c>
      <c r="BN94" s="158" t="str">
        <f t="shared" si="93"/>
        <v>[California Missions Foundation page](https://californiamissionsfoundation.org/mission-san-juan-capistrano/)</v>
      </c>
      <c r="BO94" s="158" t="str">
        <f t="shared" si="94"/>
        <v>[Missions California page](https://www.missionscalifornia.com/missions/san-juan-capistrano/)</v>
      </c>
      <c r="BP94" s="158" t="str">
        <f t="shared" si="95"/>
        <v/>
      </c>
      <c r="BQ94" s="155" t="str">
        <f t="shared" si="82"/>
        <v xml:space="preserve">* [Official site](http://www.missionsjc.com/)
* [California Missions Foundation page](https://californiamissionsfoundation.org/mission-san-juan-capistrano/)
* [Missions California page](https://www.missionscalifornia.com/missions/san-juan-capistrano/)
</v>
      </c>
      <c r="BR94" s="155" t="str">
        <f t="shared" si="83"/>
        <v/>
      </c>
      <c r="BS94" s="155" t="str">
        <f t="shared" si="84"/>
        <v/>
      </c>
      <c r="BT94" s="155" t="str">
        <f t="shared" si="85"/>
        <v/>
      </c>
      <c r="BU94" s="155" t="str">
        <f>IF(LEN(concat(BR94:BT94))&gt;0,concat("| ",BR94," | ",BS94," | ",BT94," |"),"")</f>
        <v/>
      </c>
      <c r="BV94" s="155" t="str">
        <f t="shared" si="86"/>
        <v/>
      </c>
      <c r="BW94" s="155"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55" t="str">
        <f>IF(LEN(N94)&gt;1,concatll("#### Author's Note",N94,"-"&amp;B94),"")</f>
        <v/>
      </c>
      <c r="BY94" s="155" t="s">
        <v>335</v>
      </c>
      <c r="BZ94" s="155" t="s">
        <v>335</v>
      </c>
      <c r="CA94" s="23" t="str">
        <f>IF(AS94,concatll(concatl("---",AT94:AV94,BL94,"---"),M94,BW94:BX94),"")</f>
        <v xml:space="preserve">---_x000D_
title: "Mission San Juan Capistrano"_x000D_
location: {lat: 33.5020282662047, lng: -117.662690902704}_x000D_
interest: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23" t="str">
        <f>IF(AS94,"places\"&amp;VLOOKUP(C94,'(Ref) Countries'!A:B,2,)&amp;IF(LEN(D94)&gt;1,"-"&amp;LOWER(SUBSTITUTE(D94," ","-")),"")&amp;"-"&amp;LOWER(SUBSTITUTE(SUBSTITUTE(H94," ","-"),".",""))&amp;".md","")</f>
        <v>places\us_ca-san-juan-capistrano-mission-san-juan-capistrano.md</v>
      </c>
      <c r="CC94" s="29" t="str">
        <f>IF(LEN(Z94)&gt;1,VLOOKUP(Z94,'Tag List'!$A:$B,2,),"")</f>
        <v>Franciscian Missions in California</v>
      </c>
      <c r="CD94" s="29" t="str">
        <f>IF(LEN(AA94)&gt;1,VLOOKUP(AA94,'Tag List'!$A:$B,2,),"")</f>
        <v>Order of Friars Minor (Fransiscans)</v>
      </c>
      <c r="CE94" s="29" t="str">
        <f>IF(LEN(AB94)&gt;1,VLOOKUP(AB94,'Tag List'!$A:$B,2,),"")</f>
        <v>St. Junipero Serra, OFM</v>
      </c>
      <c r="CF94" s="29" t="str">
        <f>IF(LEN(Z94)&gt;1,GetTagPage(CC94,Z94),"")</f>
        <v>[Franciscian Missions in California](/tags/california-missions)</v>
      </c>
      <c r="CG94" s="29" t="str">
        <f>IF(LEN(AA94)&gt;1,GetTagPage(CD94,AA94),"")</f>
        <v>[Order of Friars Minor (Fransiscans)](/tags/franciscans)</v>
      </c>
      <c r="CH94" s="29" t="str">
        <f>IF(LEN(AB94)&gt;1,GetTagPage(CE94,AB94),"")</f>
        <v>[St. Junipero Serra, OFM](/tags/junipero-serra)</v>
      </c>
      <c r="CI94" s="29" t="str">
        <f t="shared" si="87"/>
        <v xml:space="preserve">| [Franciscian Missions in California](/tags/california-missions), [Order of Friars Minor (Fransiscans)](/tags/franciscans), [St. Junipero Serra, OFM](/tags/junipero-serra) </v>
      </c>
      <c r="CJ94" s="29" t="str">
        <f t="shared" si="88"/>
        <v xml:space="preserve">| [](/places/places\us_ca-san-juan-capistrano-mission-san-juan-capistrano) </v>
      </c>
      <c r="CK94" s="29" t="str">
        <f>"| "&amp;IF(AS94,GetTagPage(C94,VLOOKUP(C94,'(Ref) Countries'!A:C,3,)),C94)&amp; " "</f>
        <v xml:space="preserve">| [US California](/tags/usa
- california) </v>
      </c>
      <c r="CL94" s="29" t="str">
        <f t="shared" si="89"/>
        <v xml:space="preserve">|  </v>
      </c>
      <c r="CM94" s="29" t="str">
        <f t="shared" si="90"/>
        <v xml:space="preserve">| [Link](/places/places\us_ca-san-juan-capistrano-mission-san-juan-capistrano) </v>
      </c>
      <c r="CN94" s="29" t="str">
        <f t="shared" si="91"/>
        <v xml:space="preserve">
| [](/places/places\us_ca-san-juan-capistrano-mission-san-juan-capistrano) | [US California](/tags/usa
- california) |  | [Link](/places/places\us_ca-san-juan-capistrano-mission-san-juan-capistrano) [Official site](http://www.missionsjc.com/)| [Franciscian Missions in California](/tags/california-missions), [Order of Friars Minor (Fransiscans)](/tags/franciscans), [St. Junipero Serra, OFM](/tags/junipero-serra) |</v>
      </c>
    </row>
    <row r="95" spans="1:92" ht="25.5" x14ac:dyDescent="0.25">
      <c r="A95" s="167" t="s">
        <v>1317</v>
      </c>
      <c r="B95" s="24" t="s">
        <v>2481</v>
      </c>
      <c r="C95" s="24" t="s">
        <v>1874</v>
      </c>
      <c r="D95" s="24" t="s">
        <v>2279</v>
      </c>
      <c r="E95" s="15">
        <v>37.349189285345602</v>
      </c>
      <c r="F95" s="49">
        <v>-121.941511544924</v>
      </c>
      <c r="G95" s="24" t="s">
        <v>2259</v>
      </c>
      <c r="H95" s="119" t="s">
        <v>2299</v>
      </c>
      <c r="I95" s="24" t="s">
        <v>1802</v>
      </c>
      <c r="J95" s="24" t="b">
        <v>1</v>
      </c>
      <c r="L95" s="24" t="b">
        <v>1</v>
      </c>
      <c r="M95" s="24" t="s">
        <v>2313</v>
      </c>
      <c r="O95" s="15" t="s">
        <v>2331</v>
      </c>
      <c r="P95" s="15" t="s">
        <v>335</v>
      </c>
      <c r="Q95" s="60" t="s">
        <v>2344</v>
      </c>
      <c r="R95" s="15" t="s">
        <v>2352</v>
      </c>
      <c r="S95" s="64" t="s">
        <v>335</v>
      </c>
      <c r="T95" s="60" t="s">
        <v>2366</v>
      </c>
      <c r="U95" s="15" t="s">
        <v>2374</v>
      </c>
      <c r="V95" s="64" t="s">
        <v>335</v>
      </c>
      <c r="Z95" s="15" t="s">
        <v>2397</v>
      </c>
      <c r="AA95" s="15" t="s">
        <v>2391</v>
      </c>
      <c r="AB95" s="117" t="s">
        <v>2390</v>
      </c>
      <c r="AC95" s="15" t="s">
        <v>2388</v>
      </c>
      <c r="AS95" s="154" t="b">
        <f t="shared" si="63"/>
        <v>1</v>
      </c>
      <c r="AT95" s="155" t="str">
        <f t="shared" si="64"/>
        <v>title: "Mission Santa Clara de Asis"</v>
      </c>
      <c r="AU95" s="155" t="str">
        <f t="shared" si="65"/>
        <v>location: {lat: 37.3491892853456, lng: -121.941511544924}</v>
      </c>
      <c r="AV95" s="155" t="str">
        <f t="shared" si="66"/>
        <v>interest: local</v>
      </c>
      <c r="AW95" s="155" t="str">
        <f>"- "&amp;VLOOKUP(C95,'(Ref) Countries'!A:C,3,)</f>
        <v>- usa
- california</v>
      </c>
      <c r="AX95" s="155" t="str">
        <f t="shared" si="67"/>
        <v>- santa-clara</v>
      </c>
      <c r="AY95" s="155" t="str">
        <f t="shared" si="68"/>
        <v>- churches</v>
      </c>
      <c r="AZ95" s="155" t="str">
        <f t="shared" si="69"/>
        <v/>
      </c>
      <c r="BA95" s="155" t="str">
        <f t="shared" si="70"/>
        <v>- holy-persons</v>
      </c>
      <c r="BB95" s="155" t="str">
        <f t="shared" si="71"/>
        <v>- california-missions</v>
      </c>
      <c r="BC95" s="155" t="str">
        <f t="shared" si="72"/>
        <v>- franciscans</v>
      </c>
      <c r="BD95" s="155" t="str">
        <f t="shared" si="73"/>
        <v>- junipero-serra</v>
      </c>
      <c r="BE95" s="155" t="str">
        <f t="shared" si="74"/>
        <v>- schools</v>
      </c>
      <c r="BF95" s="155" t="str">
        <f t="shared" si="75"/>
        <v/>
      </c>
      <c r="BG95" s="155" t="str">
        <f t="shared" si="76"/>
        <v/>
      </c>
      <c r="BH95" s="155" t="str">
        <f t="shared" si="77"/>
        <v/>
      </c>
      <c r="BI95" s="155" t="str">
        <f t="shared" si="78"/>
        <v/>
      </c>
      <c r="BJ95" s="155" t="str">
        <f t="shared" si="79"/>
        <v/>
      </c>
      <c r="BK95" s="155" t="str">
        <f t="shared" si="80"/>
        <v/>
      </c>
      <c r="BL95" s="155" t="str">
        <f t="shared" si="81"/>
        <v xml:space="preserve">tags:
- usa
- california_x000D_
- santa-clara_x000D_
- churches_x000D_
- holy-persons_x000D_
- california-missions_x000D_
- franciscans_x000D_
- junipero-serra_x000D_
- schools_x000D_
</v>
      </c>
      <c r="BM95" s="158" t="str">
        <f t="shared" si="92"/>
        <v>[Official site](https://www.scu.edu/missionchurch/)</v>
      </c>
      <c r="BN95" s="158" t="str">
        <f t="shared" si="93"/>
        <v>[California Missions Foundation page](https://californiamissionsfoundation.org/mission-santa-clara/)</v>
      </c>
      <c r="BO95" s="158" t="str">
        <f t="shared" si="94"/>
        <v>[Missions California page](https://www.missionscalifornia.com/missions/santa-clara-de-asis/)</v>
      </c>
      <c r="BP95" s="158" t="str">
        <f t="shared" si="95"/>
        <v/>
      </c>
      <c r="BQ95" s="155" t="str">
        <f t="shared" si="82"/>
        <v xml:space="preserve">* [Official site](https://www.scu.edu/missionchurch/)
* [California Missions Foundation page](https://californiamissionsfoundation.org/mission-santa-clara/)
* [Missions California page](https://www.missionscalifornia.com/missions/santa-clara-de-asis/)
</v>
      </c>
      <c r="BR95" s="155" t="str">
        <f t="shared" si="83"/>
        <v/>
      </c>
      <c r="BS95" s="155" t="str">
        <f t="shared" si="84"/>
        <v/>
      </c>
      <c r="BT95" s="155" t="str">
        <f t="shared" si="85"/>
        <v/>
      </c>
      <c r="BU95" s="155" t="str">
        <f>IF(LEN(concat(BR95:BT95))&gt;0,concat("| ",BR95," | ",BS95," | ",BT95," |"),"")</f>
        <v/>
      </c>
      <c r="BV95" s="155" t="str">
        <f t="shared" si="86"/>
        <v/>
      </c>
      <c r="BW95" s="155"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55" t="str">
        <f>IF(LEN(N95)&gt;1,concatll("#### Author's Note",N95,"-"&amp;B95),"")</f>
        <v/>
      </c>
      <c r="BY95" s="155" t="s">
        <v>335</v>
      </c>
      <c r="BZ95" s="155" t="s">
        <v>335</v>
      </c>
      <c r="CA95" s="23" t="str">
        <f>IF(AS95,concatll(concatl("---",AT95:AV95,BL95,"---"),M95,BW95:BX95),"")</f>
        <v xml:space="preserve">---_x000D_
title: "Mission Santa Clara de Asis"_x000D_
location: {lat: 37.3491892853456, lng: -121.941511544924}_x000D_
interest: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23" t="str">
        <f>IF(AS95,"places\"&amp;VLOOKUP(C95,'(Ref) Countries'!A:B,2,)&amp;IF(LEN(D95)&gt;1,"-"&amp;LOWER(SUBSTITUTE(D95," ","-")),"")&amp;"-"&amp;LOWER(SUBSTITUTE(SUBSTITUTE(H95," ","-"),".",""))&amp;".md","")</f>
        <v>places\us_ca-santa-clara-mission-santa-clara.md</v>
      </c>
      <c r="CC95" s="29" t="str">
        <f>IF(LEN(Z95)&gt;1,VLOOKUP(Z95,'Tag List'!$A:$B,2,),"")</f>
        <v>Franciscian Missions in California</v>
      </c>
      <c r="CD95" s="29" t="str">
        <f>IF(LEN(AA95)&gt;1,VLOOKUP(AA95,'Tag List'!$A:$B,2,),"")</f>
        <v>Order of Friars Minor (Fransiscans)</v>
      </c>
      <c r="CE95" s="29" t="str">
        <f>IF(LEN(AB95)&gt;1,VLOOKUP(AB95,'Tag List'!$A:$B,2,),"")</f>
        <v>St. Junipero Serra, OFM</v>
      </c>
      <c r="CF95" s="29" t="str">
        <f>IF(LEN(Z95)&gt;1,GetTagPage(CC95,Z95),"")</f>
        <v>[Franciscian Missions in California](/tags/california-missions)</v>
      </c>
      <c r="CG95" s="29" t="str">
        <f>IF(LEN(AA95)&gt;1,GetTagPage(CD95,AA95),"")</f>
        <v>[Order of Friars Minor (Fransiscans)](/tags/franciscans)</v>
      </c>
      <c r="CH95" s="29" t="str">
        <f>IF(LEN(AB95)&gt;1,GetTagPage(CE95,AB95),"")</f>
        <v>[St. Junipero Serra, OFM](/tags/junipero-serra)</v>
      </c>
      <c r="CI95" s="29" t="str">
        <f t="shared" si="87"/>
        <v xml:space="preserve">| [Franciscian Missions in California](/tags/california-missions), [Order of Friars Minor (Fransiscans)](/tags/franciscans), [St. Junipero Serra, OFM](/tags/junipero-serra) </v>
      </c>
      <c r="CJ95" s="29" t="str">
        <f t="shared" si="88"/>
        <v xml:space="preserve">| [](/places/places\us_ca-santa-clara-mission-santa-clara) </v>
      </c>
      <c r="CK95" s="29" t="str">
        <f>"| "&amp;IF(AS95,GetTagPage(C95,VLOOKUP(C95,'(Ref) Countries'!A:C,3,)),C95)&amp; " "</f>
        <v xml:space="preserve">| [US California](/tags/usa
- california) </v>
      </c>
      <c r="CL95" s="29" t="str">
        <f t="shared" si="89"/>
        <v xml:space="preserve">|  </v>
      </c>
      <c r="CM95" s="29" t="str">
        <f t="shared" si="90"/>
        <v xml:space="preserve">| [Link](/places/places\us_ca-santa-clara-mission-santa-clara) </v>
      </c>
      <c r="CN95" s="29" t="str">
        <f t="shared" si="91"/>
        <v xml:space="preserve">
| [](/places/places\us_ca-santa-clara-mission-santa-clara) | [US California](/tags/usa
- california) |  | [Link](/places/places\us_ca-santa-clara-mission-santa-clara) [Official site](https://www.scu.edu/missionchurch/)| [Franciscian Missions in California](/tags/california-missions), [Order of Friars Minor (Fransiscans)](/tags/franciscans), [St. Junipero Serra, OFM](/tags/junipero-serra) |</v>
      </c>
    </row>
    <row r="96" spans="1:92" ht="25.5" x14ac:dyDescent="0.25">
      <c r="A96" s="167" t="s">
        <v>1317</v>
      </c>
      <c r="B96" s="24" t="s">
        <v>2481</v>
      </c>
      <c r="C96" s="24" t="s">
        <v>1874</v>
      </c>
      <c r="D96" s="24" t="s">
        <v>2280</v>
      </c>
      <c r="E96" s="15">
        <v>34.281052108004999</v>
      </c>
      <c r="F96" s="49">
        <v>-119.298020331519</v>
      </c>
      <c r="G96" s="24" t="s">
        <v>2260</v>
      </c>
      <c r="H96" s="53" t="s">
        <v>2260</v>
      </c>
      <c r="I96" s="24" t="s">
        <v>1802</v>
      </c>
      <c r="J96" s="24" t="b">
        <v>1</v>
      </c>
      <c r="L96" s="24" t="b">
        <v>1</v>
      </c>
      <c r="M96" s="24" t="s">
        <v>2314</v>
      </c>
      <c r="O96" s="15" t="s">
        <v>2332</v>
      </c>
      <c r="P96" s="15" t="s">
        <v>335</v>
      </c>
      <c r="Q96" s="60" t="s">
        <v>2344</v>
      </c>
      <c r="R96" s="15" t="s">
        <v>2353</v>
      </c>
      <c r="S96" s="64" t="s">
        <v>335</v>
      </c>
      <c r="T96" s="60" t="s">
        <v>2366</v>
      </c>
      <c r="U96" s="15" t="s">
        <v>2375</v>
      </c>
      <c r="V96" s="64" t="s">
        <v>335</v>
      </c>
      <c r="Z96" s="15" t="s">
        <v>2397</v>
      </c>
      <c r="AA96" s="15" t="s">
        <v>2391</v>
      </c>
      <c r="AB96" s="15" t="s">
        <v>2390</v>
      </c>
      <c r="AS96" s="154" t="b">
        <f t="shared" si="63"/>
        <v>1</v>
      </c>
      <c r="AT96" s="155" t="str">
        <f t="shared" si="64"/>
        <v>title: "Mission San Buenaventura"</v>
      </c>
      <c r="AU96" s="155" t="str">
        <f t="shared" si="65"/>
        <v>location: {lat: 34.281052108005, lng: -119.298020331519}</v>
      </c>
      <c r="AV96" s="155" t="str">
        <f t="shared" si="66"/>
        <v>interest: local</v>
      </c>
      <c r="AW96" s="155" t="str">
        <f>"- "&amp;VLOOKUP(C96,'(Ref) Countries'!A:C,3,)</f>
        <v>- usa
- california</v>
      </c>
      <c r="AX96" s="155" t="str">
        <f t="shared" si="67"/>
        <v>- ventura</v>
      </c>
      <c r="AY96" s="155" t="str">
        <f t="shared" si="68"/>
        <v>- churches</v>
      </c>
      <c r="AZ96" s="155" t="str">
        <f t="shared" si="69"/>
        <v/>
      </c>
      <c r="BA96" s="155" t="str">
        <f t="shared" si="70"/>
        <v>- holy-persons</v>
      </c>
      <c r="BB96" s="155" t="str">
        <f t="shared" si="71"/>
        <v>- california-missions</v>
      </c>
      <c r="BC96" s="155" t="str">
        <f t="shared" si="72"/>
        <v>- franciscans</v>
      </c>
      <c r="BD96" s="155" t="str">
        <f t="shared" si="73"/>
        <v>- junipero-serra</v>
      </c>
      <c r="BE96" s="155" t="str">
        <f t="shared" si="74"/>
        <v/>
      </c>
      <c r="BF96" s="155" t="str">
        <f t="shared" si="75"/>
        <v/>
      </c>
      <c r="BG96" s="155" t="str">
        <f t="shared" si="76"/>
        <v/>
      </c>
      <c r="BH96" s="155" t="str">
        <f t="shared" si="77"/>
        <v/>
      </c>
      <c r="BI96" s="155" t="str">
        <f t="shared" si="78"/>
        <v/>
      </c>
      <c r="BJ96" s="155" t="str">
        <f t="shared" si="79"/>
        <v/>
      </c>
      <c r="BK96" s="155" t="str">
        <f t="shared" si="80"/>
        <v/>
      </c>
      <c r="BL96" s="155" t="str">
        <f t="shared" si="81"/>
        <v xml:space="preserve">tags:
- usa
- california_x000D_
- ventura_x000D_
- churches_x000D_
- holy-persons_x000D_
- california-missions_x000D_
- franciscans_x000D_
- junipero-serra_x000D_
</v>
      </c>
      <c r="BM96" s="158" t="str">
        <f t="shared" si="92"/>
        <v>[Official site](http://www.sanbuenaventuramission.org/)</v>
      </c>
      <c r="BN96" s="158" t="str">
        <f t="shared" si="93"/>
        <v>[California Missions Foundation page](https://californiamissionsfoundation.org/mission-san-buenaventura/)</v>
      </c>
      <c r="BO96" s="158" t="str">
        <f t="shared" si="94"/>
        <v>[Missions California page](https://www.missionscalifornia.com/missions/san-buenaventura/)</v>
      </c>
      <c r="BP96" s="158" t="str">
        <f t="shared" si="95"/>
        <v/>
      </c>
      <c r="BQ96" s="155" t="str">
        <f t="shared" si="82"/>
        <v xml:space="preserve">* [Official site](http://www.sanbuenaventuramission.org/)
* [California Missions Foundation page](https://californiamissionsfoundation.org/mission-san-buenaventura/)
* [Missions California page](https://www.missionscalifornia.com/missions/san-buenaventura/)
</v>
      </c>
      <c r="BR96" s="155" t="str">
        <f t="shared" si="83"/>
        <v/>
      </c>
      <c r="BS96" s="155" t="str">
        <f t="shared" si="84"/>
        <v/>
      </c>
      <c r="BT96" s="155" t="str">
        <f t="shared" si="85"/>
        <v/>
      </c>
      <c r="BU96" s="155" t="str">
        <f>IF(LEN(concat(BR96:BT96))&gt;0,concat("| ",BR96," | ",BS96," | ",BT96," |"),"")</f>
        <v/>
      </c>
      <c r="BV96" s="155" t="str">
        <f t="shared" si="86"/>
        <v/>
      </c>
      <c r="BW96" s="155"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55" t="str">
        <f>IF(LEN(N96)&gt;1,concatll("#### Author's Note",N96,"-"&amp;B96),"")</f>
        <v/>
      </c>
      <c r="BY96" s="155" t="s">
        <v>335</v>
      </c>
      <c r="BZ96" s="155" t="s">
        <v>335</v>
      </c>
      <c r="CA96" s="23" t="str">
        <f>IF(AS96,concatll(concatl("---",AT96:AV96,BL96,"---"),M96,BW96:BX96),"")</f>
        <v xml:space="preserve">---_x000D_
title: "Mission San Buenaventura"_x000D_
location: {lat: 34.281052108005, lng: -119.298020331519}_x000D_
interest: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23" t="str">
        <f>IF(AS96,"places\"&amp;VLOOKUP(C96,'(Ref) Countries'!A:B,2,)&amp;IF(LEN(D96)&gt;1,"-"&amp;LOWER(SUBSTITUTE(D96," ","-")),"")&amp;"-"&amp;LOWER(SUBSTITUTE(SUBSTITUTE(H96," ","-"),".",""))&amp;".md","")</f>
        <v>places\us_ca-ventura-mission-san-buenaventura.md</v>
      </c>
      <c r="CC96" s="29" t="str">
        <f>IF(LEN(Z96)&gt;1,VLOOKUP(Z96,'Tag List'!$A:$B,2,),"")</f>
        <v>Franciscian Missions in California</v>
      </c>
      <c r="CD96" s="29" t="str">
        <f>IF(LEN(AA96)&gt;1,VLOOKUP(AA96,'Tag List'!$A:$B,2,),"")</f>
        <v>Order of Friars Minor (Fransiscans)</v>
      </c>
      <c r="CE96" s="29" t="str">
        <f>IF(LEN(AB96)&gt;1,VLOOKUP(AB96,'Tag List'!$A:$B,2,),"")</f>
        <v>St. Junipero Serra, OFM</v>
      </c>
      <c r="CF96" s="29" t="str">
        <f>IF(LEN(Z96)&gt;1,GetTagPage(CC96,Z96),"")</f>
        <v>[Franciscian Missions in California](/tags/california-missions)</v>
      </c>
      <c r="CG96" s="29" t="str">
        <f>IF(LEN(AA96)&gt;1,GetTagPage(CD96,AA96),"")</f>
        <v>[Order of Friars Minor (Fransiscans)](/tags/franciscans)</v>
      </c>
      <c r="CH96" s="29" t="str">
        <f>IF(LEN(AB96)&gt;1,GetTagPage(CE96,AB96),"")</f>
        <v>[St. Junipero Serra, OFM](/tags/junipero-serra)</v>
      </c>
      <c r="CI96" s="29" t="str">
        <f t="shared" si="87"/>
        <v xml:space="preserve">| [Franciscian Missions in California](/tags/california-missions), [Order of Friars Minor (Fransiscans)](/tags/franciscans), [St. Junipero Serra, OFM](/tags/junipero-serra) </v>
      </c>
      <c r="CJ96" s="29" t="str">
        <f t="shared" si="88"/>
        <v xml:space="preserve">| [](/places/places\us_ca-ventura-mission-san-buenaventura) </v>
      </c>
      <c r="CK96" s="29" t="str">
        <f>"| "&amp;IF(AS96,GetTagPage(C96,VLOOKUP(C96,'(Ref) Countries'!A:C,3,)),C96)&amp; " "</f>
        <v xml:space="preserve">| [US California](/tags/usa
- california) </v>
      </c>
      <c r="CL96" s="29" t="str">
        <f t="shared" si="89"/>
        <v xml:space="preserve">|  </v>
      </c>
      <c r="CM96" s="29" t="str">
        <f t="shared" si="90"/>
        <v xml:space="preserve">| [Link](/places/places\us_ca-ventura-mission-san-buenaventura) </v>
      </c>
      <c r="CN96" s="29" t="str">
        <f t="shared" si="91"/>
        <v xml:space="preserve">
| [](/places/places\us_ca-ventura-mission-san-buenaventura) | [US California](/tags/usa
- california) |  | [Link](/places/places\us_ca-ventura-mission-san-buenaventura) [Official site](http://www.sanbuenaventuramission.org/)| [Franciscian Missions in California](/tags/california-missions), [Order of Friars Minor (Fransiscans)](/tags/franciscans), [St. Junipero Serra, OFM](/tags/junipero-serra) |</v>
      </c>
    </row>
    <row r="97" spans="1:92" ht="25.5" x14ac:dyDescent="0.25">
      <c r="A97" s="167" t="s">
        <v>1317</v>
      </c>
      <c r="B97" s="24" t="s">
        <v>2481</v>
      </c>
      <c r="C97" s="24" t="s">
        <v>1874</v>
      </c>
      <c r="D97" s="24" t="s">
        <v>2281</v>
      </c>
      <c r="E97" s="15">
        <v>34.438290779208302</v>
      </c>
      <c r="F97" s="49">
        <v>-119.714078531515</v>
      </c>
      <c r="G97" s="24" t="s">
        <v>2261</v>
      </c>
      <c r="H97" s="53" t="s">
        <v>2261</v>
      </c>
      <c r="I97" s="24" t="s">
        <v>1802</v>
      </c>
      <c r="J97" s="24" t="b">
        <v>1</v>
      </c>
      <c r="L97" s="24" t="b">
        <v>1</v>
      </c>
      <c r="M97" s="24" t="s">
        <v>2315</v>
      </c>
      <c r="O97" s="15" t="s">
        <v>2333</v>
      </c>
      <c r="P97" s="15" t="s">
        <v>335</v>
      </c>
      <c r="Q97" s="60" t="s">
        <v>2344</v>
      </c>
      <c r="R97" s="15" t="s">
        <v>2354</v>
      </c>
      <c r="S97" s="64" t="s">
        <v>335</v>
      </c>
      <c r="T97" s="60" t="s">
        <v>2366</v>
      </c>
      <c r="U97" s="15" t="s">
        <v>2376</v>
      </c>
      <c r="V97" s="64" t="s">
        <v>335</v>
      </c>
      <c r="Z97" s="15" t="s">
        <v>2397</v>
      </c>
      <c r="AA97" s="15" t="s">
        <v>2391</v>
      </c>
      <c r="AB97" s="15" t="s">
        <v>1420</v>
      </c>
      <c r="AS97" s="154" t="b">
        <f t="shared" si="63"/>
        <v>1</v>
      </c>
      <c r="AT97" s="155" t="str">
        <f t="shared" si="64"/>
        <v>title: "Mission Santa Barbara"</v>
      </c>
      <c r="AU97" s="155" t="str">
        <f t="shared" si="65"/>
        <v>location: {lat: 34.4382907792083, lng: -119.714078531515}</v>
      </c>
      <c r="AV97" s="155" t="str">
        <f t="shared" si="66"/>
        <v>interest: local</v>
      </c>
      <c r="AW97" s="155" t="str">
        <f>"- "&amp;VLOOKUP(C97,'(Ref) Countries'!A:C,3,)</f>
        <v>- usa
- california</v>
      </c>
      <c r="AX97" s="155" t="str">
        <f t="shared" si="67"/>
        <v>- santa-barbara</v>
      </c>
      <c r="AY97" s="155" t="str">
        <f t="shared" si="68"/>
        <v>- churches</v>
      </c>
      <c r="AZ97" s="155" t="str">
        <f t="shared" si="69"/>
        <v/>
      </c>
      <c r="BA97" s="155" t="str">
        <f t="shared" si="70"/>
        <v>- holy-persons</v>
      </c>
      <c r="BB97" s="155" t="str">
        <f t="shared" si="71"/>
        <v>- california-missions</v>
      </c>
      <c r="BC97" s="155" t="str">
        <f t="shared" si="72"/>
        <v>- franciscans</v>
      </c>
      <c r="BD97" s="155" t="str">
        <f t="shared" si="73"/>
        <v>- communities</v>
      </c>
      <c r="BE97" s="155" t="str">
        <f t="shared" si="74"/>
        <v/>
      </c>
      <c r="BF97" s="155" t="str">
        <f t="shared" si="75"/>
        <v/>
      </c>
      <c r="BG97" s="155" t="str">
        <f t="shared" si="76"/>
        <v/>
      </c>
      <c r="BH97" s="155" t="str">
        <f t="shared" si="77"/>
        <v/>
      </c>
      <c r="BI97" s="155" t="str">
        <f t="shared" si="78"/>
        <v/>
      </c>
      <c r="BJ97" s="155" t="str">
        <f t="shared" si="79"/>
        <v/>
      </c>
      <c r="BK97" s="155" t="str">
        <f t="shared" si="80"/>
        <v/>
      </c>
      <c r="BL97" s="155" t="str">
        <f t="shared" si="81"/>
        <v xml:space="preserve">tags:
- usa
- california_x000D_
- santa-barbara_x000D_
- churches_x000D_
- holy-persons_x000D_
- california-missions_x000D_
- franciscans_x000D_
- communities_x000D_
</v>
      </c>
      <c r="BM97" s="158" t="str">
        <f t="shared" si="92"/>
        <v>[Official site](http://www.santabarbaramission.org/)</v>
      </c>
      <c r="BN97" s="158" t="str">
        <f t="shared" si="93"/>
        <v>[California Missions Foundation page](https://californiamissionsfoundation.org/mission-santa-barbara/)</v>
      </c>
      <c r="BO97" s="158" t="str">
        <f t="shared" si="94"/>
        <v>[Missions California page](https://www.missionscalifornia.com/missions/santa-barbara/)</v>
      </c>
      <c r="BP97" s="158" t="str">
        <f t="shared" si="95"/>
        <v/>
      </c>
      <c r="BQ97" s="155" t="str">
        <f t="shared" si="82"/>
        <v xml:space="preserve">* [Official site](http://www.santabarbaramission.org/)
* [California Missions Foundation page](https://californiamissionsfoundation.org/mission-santa-barbara/)
* [Missions California page](https://www.missionscalifornia.com/missions/santa-barbara/)
</v>
      </c>
      <c r="BR97" s="155" t="str">
        <f t="shared" si="83"/>
        <v/>
      </c>
      <c r="BS97" s="155" t="str">
        <f t="shared" si="84"/>
        <v/>
      </c>
      <c r="BT97" s="155" t="str">
        <f t="shared" si="85"/>
        <v/>
      </c>
      <c r="BU97" s="155" t="str">
        <f>IF(LEN(concat(BR97:BT97))&gt;0,concat("| ",BR97," | ",BS97," | ",BT97," |"),"")</f>
        <v/>
      </c>
      <c r="BV97" s="155" t="str">
        <f t="shared" si="86"/>
        <v/>
      </c>
      <c r="BW97" s="155"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55" t="str">
        <f>IF(LEN(N97)&gt;1,concatll("#### Author's Note",N97,"-"&amp;B97),"")</f>
        <v/>
      </c>
      <c r="BY97" s="155" t="s">
        <v>335</v>
      </c>
      <c r="BZ97" s="155" t="s">
        <v>335</v>
      </c>
      <c r="CA97" s="23" t="str">
        <f>IF(AS97,concatll(concatl("---",AT97:AV97,BL97,"---"),M97,BW97:BX97),"")</f>
        <v xml:space="preserve">---_x000D_
title: "Mission Santa Barbara"_x000D_
location: {lat: 34.4382907792083, lng: -119.714078531515}_x000D_
interest: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23" t="str">
        <f>IF(AS97,"places\"&amp;VLOOKUP(C97,'(Ref) Countries'!A:B,2,)&amp;IF(LEN(D97)&gt;1,"-"&amp;LOWER(SUBSTITUTE(D97," ","-")),"")&amp;"-"&amp;LOWER(SUBSTITUTE(SUBSTITUTE(H97," ","-"),".",""))&amp;".md","")</f>
        <v>places\us_ca-santa-barbara-mission-santa-barbara.md</v>
      </c>
      <c r="CC97" s="29" t="str">
        <f>IF(LEN(Z97)&gt;1,VLOOKUP(Z97,'Tag List'!$A:$B,2,),"")</f>
        <v>Franciscian Missions in California</v>
      </c>
      <c r="CD97" s="29" t="str">
        <f>IF(LEN(AA97)&gt;1,VLOOKUP(AA97,'Tag List'!$A:$B,2,),"")</f>
        <v>Order of Friars Minor (Fransiscans)</v>
      </c>
      <c r="CE97" s="29" t="str">
        <f>IF(LEN(AB97)&gt;1,VLOOKUP(AB97,'Tag List'!$A:$B,2,),"")</f>
        <v>Religious Communities</v>
      </c>
      <c r="CF97" s="29" t="str">
        <f>IF(LEN(Z97)&gt;1,GetTagPage(CC97,Z97),"")</f>
        <v>[Franciscian Missions in California](/tags/california-missions)</v>
      </c>
      <c r="CG97" s="29" t="str">
        <f>IF(LEN(AA97)&gt;1,GetTagPage(CD97,AA97),"")</f>
        <v>[Order of Friars Minor (Fransiscans)](/tags/franciscans)</v>
      </c>
      <c r="CH97" s="29" t="str">
        <f>IF(LEN(AB97)&gt;1,GetTagPage(CE97,AB97),"")</f>
        <v>[Religious Communities](/tags/communities)</v>
      </c>
      <c r="CI97" s="29" t="str">
        <f t="shared" si="87"/>
        <v xml:space="preserve">| [Franciscian Missions in California](/tags/california-missions), [Order of Friars Minor (Fransiscans)](/tags/franciscans), [Religious Communities](/tags/communities) </v>
      </c>
      <c r="CJ97" s="29" t="str">
        <f t="shared" si="88"/>
        <v xml:space="preserve">| [](/places/places\us_ca-santa-barbara-mission-santa-barbara) </v>
      </c>
      <c r="CK97" s="29" t="str">
        <f>"| "&amp;IF(AS97,GetTagPage(C97,VLOOKUP(C97,'(Ref) Countries'!A:C,3,)),C97)&amp; " "</f>
        <v xml:space="preserve">| [US California](/tags/usa
- california) </v>
      </c>
      <c r="CL97" s="29" t="str">
        <f t="shared" si="89"/>
        <v xml:space="preserve">|  </v>
      </c>
      <c r="CM97" s="29" t="str">
        <f t="shared" si="90"/>
        <v xml:space="preserve">| [Link](/places/places\us_ca-santa-barbara-mission-santa-barbara) </v>
      </c>
      <c r="CN97" s="29" t="str">
        <f t="shared" si="91"/>
        <v xml:space="preserve">
| [](/places/places\us_ca-santa-barbara-mission-santa-barbara) | [US California](/tags/usa
- california) |  | [Link](/places/places\us_ca-santa-barbara-mission-santa-barbara) [Official site](http://www.santabarbaramission.org/)| [Franciscian Missions in California](/tags/california-missions), [Order of Friars Minor (Fransiscans)](/tags/franciscans), [Religious Communities](/tags/communities) |</v>
      </c>
    </row>
    <row r="98" spans="1:92" ht="38.25" x14ac:dyDescent="0.25">
      <c r="A98" s="167" t="s">
        <v>1317</v>
      </c>
      <c r="B98" s="24" t="s">
        <v>2481</v>
      </c>
      <c r="C98" s="24" t="s">
        <v>1874</v>
      </c>
      <c r="D98" s="24" t="s">
        <v>2282</v>
      </c>
      <c r="E98" s="15">
        <v>34.669743501321904</v>
      </c>
      <c r="F98" s="49">
        <v>-120.420619002672</v>
      </c>
      <c r="G98" s="24" t="s">
        <v>2262</v>
      </c>
      <c r="H98" s="119" t="s">
        <v>2300</v>
      </c>
      <c r="I98" s="24" t="s">
        <v>1802</v>
      </c>
      <c r="L98" s="24" t="b">
        <v>1</v>
      </c>
      <c r="M98" s="116" t="s">
        <v>2396</v>
      </c>
      <c r="O98" s="15" t="s">
        <v>2334</v>
      </c>
      <c r="P98" s="15" t="s">
        <v>335</v>
      </c>
      <c r="Q98" s="60" t="s">
        <v>2344</v>
      </c>
      <c r="R98" s="15" t="s">
        <v>2355</v>
      </c>
      <c r="S98" s="64" t="s">
        <v>335</v>
      </c>
      <c r="T98" s="60" t="s">
        <v>2366</v>
      </c>
      <c r="U98" s="15" t="s">
        <v>2377</v>
      </c>
      <c r="V98" s="64" t="s">
        <v>335</v>
      </c>
      <c r="Z98" s="15" t="s">
        <v>2397</v>
      </c>
      <c r="AA98" s="15" t="s">
        <v>2391</v>
      </c>
      <c r="AB98" s="117" t="s">
        <v>2082</v>
      </c>
      <c r="AS98" s="154" t="b">
        <f t="shared" si="63"/>
        <v>1</v>
      </c>
      <c r="AT98" s="155" t="str">
        <f t="shared" si="64"/>
        <v>title: "Mission La Purisima Concepcion"</v>
      </c>
      <c r="AU98" s="155" t="str">
        <f t="shared" si="65"/>
        <v>location: {lat: 34.6697435013219, lng: -120.420619002672}</v>
      </c>
      <c r="AV98" s="155" t="str">
        <f t="shared" si="66"/>
        <v>interest: local</v>
      </c>
      <c r="AW98" s="155" t="str">
        <f>"- "&amp;VLOOKUP(C98,'(Ref) Countries'!A:C,3,)</f>
        <v>- usa
- california</v>
      </c>
      <c r="AX98" s="155" t="str">
        <f t="shared" si="67"/>
        <v>- lompoc</v>
      </c>
      <c r="AY98" s="155" t="str">
        <f t="shared" si="68"/>
        <v/>
      </c>
      <c r="AZ98" s="155" t="str">
        <f t="shared" si="69"/>
        <v/>
      </c>
      <c r="BA98" s="155" t="str">
        <f t="shared" si="70"/>
        <v>- holy-persons</v>
      </c>
      <c r="BB98" s="155" t="str">
        <f t="shared" si="71"/>
        <v>- california-missions</v>
      </c>
      <c r="BC98" s="155" t="str">
        <f t="shared" si="72"/>
        <v>- franciscans</v>
      </c>
      <c r="BD98" s="155" t="str">
        <f t="shared" si="73"/>
        <v>- closed</v>
      </c>
      <c r="BE98" s="155" t="str">
        <f t="shared" si="74"/>
        <v/>
      </c>
      <c r="BF98" s="155" t="str">
        <f t="shared" si="75"/>
        <v/>
      </c>
      <c r="BG98" s="155" t="str">
        <f t="shared" si="76"/>
        <v/>
      </c>
      <c r="BH98" s="155" t="str">
        <f t="shared" si="77"/>
        <v/>
      </c>
      <c r="BI98" s="155" t="str">
        <f t="shared" si="78"/>
        <v/>
      </c>
      <c r="BJ98" s="155" t="str">
        <f t="shared" si="79"/>
        <v/>
      </c>
      <c r="BK98" s="155" t="str">
        <f t="shared" si="80"/>
        <v/>
      </c>
      <c r="BL98" s="155" t="str">
        <f t="shared" si="81"/>
        <v xml:space="preserve">tags:
- usa
- california_x000D_
- lompoc_x000D_
- holy-persons_x000D_
- california-missions_x000D_
- franciscans_x000D_
- closed_x000D_
</v>
      </c>
      <c r="BM98" s="158" t="str">
        <f t="shared" si="92"/>
        <v>[Official site](http://www.lapurisimamission.org/)</v>
      </c>
      <c r="BN98" s="158" t="str">
        <f t="shared" si="93"/>
        <v>[California Missions Foundation page](https://californiamissionsfoundation.org/mission-la-purisima/)</v>
      </c>
      <c r="BO98" s="158" t="str">
        <f t="shared" si="94"/>
        <v>[Missions California page](https://www.missionscalifornia.com/missions/la-purisima-concepcion/)</v>
      </c>
      <c r="BP98" s="158" t="str">
        <f t="shared" si="95"/>
        <v/>
      </c>
      <c r="BQ98" s="155" t="str">
        <f t="shared" si="82"/>
        <v xml:space="preserve">* [Official site](http://www.lapurisimamission.org/)
* [California Missions Foundation page](https://californiamissionsfoundation.org/mission-la-purisima/)
* [Missions California page](https://www.missionscalifornia.com/missions/la-purisima-concepcion/)
</v>
      </c>
      <c r="BR98" s="155" t="str">
        <f t="shared" si="83"/>
        <v/>
      </c>
      <c r="BS98" s="155" t="str">
        <f t="shared" si="84"/>
        <v/>
      </c>
      <c r="BT98" s="155" t="str">
        <f t="shared" si="85"/>
        <v/>
      </c>
      <c r="BU98" s="155" t="str">
        <f>IF(LEN(concat(BR98:BT98))&gt;0,concat("| ",BR98," | ",BS98," | ",BT98," |"),"")</f>
        <v/>
      </c>
      <c r="BV98" s="155" t="str">
        <f t="shared" si="86"/>
        <v/>
      </c>
      <c r="BW98" s="155"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55" t="str">
        <f>IF(LEN(N98)&gt;1,concatll("#### Author's Note",N98,"-"&amp;B98),"")</f>
        <v/>
      </c>
      <c r="BY98" s="155" t="s">
        <v>335</v>
      </c>
      <c r="BZ98" s="155" t="s">
        <v>335</v>
      </c>
      <c r="CA98" s="23" t="str">
        <f>IF(AS98,concatll(concatl("---",AT98:AV98,BL98,"---"),M98,BW98:BX98),"")</f>
        <v xml:space="preserve">---_x000D_
title: "Mission La Purisima Concepcion"_x000D_
location: {lat: 34.6697435013219, lng: -120.420619002672}_x000D_
interest: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23" t="str">
        <f>IF(AS98,"places\"&amp;VLOOKUP(C98,'(Ref) Countries'!A:B,2,)&amp;IF(LEN(D98)&gt;1,"-"&amp;LOWER(SUBSTITUTE(D98," ","-")),"")&amp;"-"&amp;LOWER(SUBSTITUTE(SUBSTITUTE(H98," ","-"),".",""))&amp;".md","")</f>
        <v>places\us_ca-lompoc-mission-la-purisima.md</v>
      </c>
      <c r="CC98" s="29" t="str">
        <f>IF(LEN(Z98)&gt;1,VLOOKUP(Z98,'Tag List'!$A:$B,2,),"")</f>
        <v>Franciscian Missions in California</v>
      </c>
      <c r="CD98" s="29" t="str">
        <f>IF(LEN(AA98)&gt;1,VLOOKUP(AA98,'Tag List'!$A:$B,2,),"")</f>
        <v>Order of Friars Minor (Fransiscans)</v>
      </c>
      <c r="CE98" s="29" t="str">
        <f>IF(LEN(AB98)&gt;1,VLOOKUP(AB98,'Tag List'!$A:$B,2,),"")</f>
        <v>Closed or Deconsecrated Sites</v>
      </c>
      <c r="CF98" s="29" t="str">
        <f>IF(LEN(Z98)&gt;1,GetTagPage(CC98,Z98),"")</f>
        <v>[Franciscian Missions in California](/tags/california-missions)</v>
      </c>
      <c r="CG98" s="29" t="str">
        <f>IF(LEN(AA98)&gt;1,GetTagPage(CD98,AA98),"")</f>
        <v>[Order of Friars Minor (Fransiscans)](/tags/franciscans)</v>
      </c>
      <c r="CH98" s="29" t="str">
        <f>IF(LEN(AB98)&gt;1,GetTagPage(CE98,AB98),"")</f>
        <v>[Closed or Deconsecrated Sites](/tags/closed)</v>
      </c>
      <c r="CI98" s="29" t="str">
        <f t="shared" si="87"/>
        <v xml:space="preserve">| [Franciscian Missions in California](/tags/california-missions), [Order of Friars Minor (Fransiscans)](/tags/franciscans), [Closed or Deconsecrated Sites](/tags/closed) </v>
      </c>
      <c r="CJ98" s="29" t="str">
        <f t="shared" si="88"/>
        <v xml:space="preserve">| [](/places/places\us_ca-lompoc-mission-la-purisima) </v>
      </c>
      <c r="CK98" s="29" t="str">
        <f>"| "&amp;IF(AS98,GetTagPage(C98,VLOOKUP(C98,'(Ref) Countries'!A:C,3,)),C98)&amp; " "</f>
        <v xml:space="preserve">| [US California](/tags/usa
- california) </v>
      </c>
      <c r="CL98" s="29" t="str">
        <f t="shared" si="89"/>
        <v xml:space="preserve">|  </v>
      </c>
      <c r="CM98" s="29" t="str">
        <f t="shared" si="90"/>
        <v xml:space="preserve">| [Link](/places/places\us_ca-lompoc-mission-la-purisima) </v>
      </c>
      <c r="CN98" s="29" t="str">
        <f t="shared" si="91"/>
        <v xml:space="preserve">
| [](/places/places\us_ca-lompoc-mission-la-purisima) | [US California](/tags/usa
- california) |  | [Link](/places/places\us_ca-lompoc-mission-la-purisima) [Official site](http://www.lapurisimamission.org/)| [Franciscian Missions in California](/tags/california-missions), [Order of Friars Minor (Fransiscans)](/tags/franciscans), [Closed or Deconsecrated Sites](/tags/closed) |</v>
      </c>
    </row>
    <row r="99" spans="1:92" ht="25.5" x14ac:dyDescent="0.25">
      <c r="A99" s="167" t="s">
        <v>1317</v>
      </c>
      <c r="B99" s="24" t="s">
        <v>2481</v>
      </c>
      <c r="C99" s="24" t="s">
        <v>1874</v>
      </c>
      <c r="D99" s="24" t="s">
        <v>2283</v>
      </c>
      <c r="E99" s="15">
        <v>36.9781412595296</v>
      </c>
      <c r="F99" s="49">
        <v>-122.029494075624</v>
      </c>
      <c r="G99" s="24" t="s">
        <v>2263</v>
      </c>
      <c r="H99" s="53" t="s">
        <v>2263</v>
      </c>
      <c r="I99" s="24" t="s">
        <v>1802</v>
      </c>
      <c r="J99" s="24" t="b">
        <v>1</v>
      </c>
      <c r="L99" s="24" t="b">
        <v>1</v>
      </c>
      <c r="M99" s="24" t="s">
        <v>2316</v>
      </c>
      <c r="O99" s="15" t="s">
        <v>2335</v>
      </c>
      <c r="P99" s="15" t="s">
        <v>335</v>
      </c>
      <c r="Q99" s="60" t="s">
        <v>2344</v>
      </c>
      <c r="R99" s="15" t="s">
        <v>2356</v>
      </c>
      <c r="S99" s="64" t="s">
        <v>335</v>
      </c>
      <c r="T99" s="60" t="s">
        <v>2366</v>
      </c>
      <c r="U99" s="15" t="s">
        <v>2378</v>
      </c>
      <c r="V99" s="64" t="s">
        <v>335</v>
      </c>
      <c r="Z99" s="15" t="s">
        <v>2397</v>
      </c>
      <c r="AA99" s="15" t="s">
        <v>2391</v>
      </c>
      <c r="AS99" s="154" t="b">
        <f t="shared" si="63"/>
        <v>1</v>
      </c>
      <c r="AT99" s="155" t="str">
        <f t="shared" si="64"/>
        <v>title: "Mission Santa Cruz"</v>
      </c>
      <c r="AU99" s="155" t="str">
        <f t="shared" si="65"/>
        <v>location: {lat: 36.9781412595296, lng: -122.029494075624}</v>
      </c>
      <c r="AV99" s="155" t="str">
        <f t="shared" si="66"/>
        <v>interest: local</v>
      </c>
      <c r="AW99" s="155" t="str">
        <f>"- "&amp;VLOOKUP(C99,'(Ref) Countries'!A:C,3,)</f>
        <v>- usa
- california</v>
      </c>
      <c r="AX99" s="155" t="str">
        <f t="shared" si="67"/>
        <v>- santa-cruz</v>
      </c>
      <c r="AY99" s="155" t="str">
        <f t="shared" si="68"/>
        <v>- churches</v>
      </c>
      <c r="AZ99" s="155" t="str">
        <f t="shared" si="69"/>
        <v/>
      </c>
      <c r="BA99" s="155" t="str">
        <f t="shared" si="70"/>
        <v>- holy-persons</v>
      </c>
      <c r="BB99" s="155" t="str">
        <f t="shared" si="71"/>
        <v>- california-missions</v>
      </c>
      <c r="BC99" s="155" t="str">
        <f t="shared" si="72"/>
        <v>- franciscans</v>
      </c>
      <c r="BD99" s="155" t="str">
        <f t="shared" si="73"/>
        <v/>
      </c>
      <c r="BE99" s="155" t="str">
        <f t="shared" si="74"/>
        <v/>
      </c>
      <c r="BF99" s="155" t="str">
        <f t="shared" si="75"/>
        <v/>
      </c>
      <c r="BG99" s="155" t="str">
        <f t="shared" si="76"/>
        <v/>
      </c>
      <c r="BH99" s="155" t="str">
        <f t="shared" si="77"/>
        <v/>
      </c>
      <c r="BI99" s="155" t="str">
        <f t="shared" si="78"/>
        <v/>
      </c>
      <c r="BJ99" s="155" t="str">
        <f t="shared" si="79"/>
        <v/>
      </c>
      <c r="BK99" s="155" t="str">
        <f t="shared" si="80"/>
        <v/>
      </c>
      <c r="BL99" s="155" t="str">
        <f t="shared" si="81"/>
        <v xml:space="preserve">tags:
- usa
- california_x000D_
- santa-cruz_x000D_
- churches_x000D_
- holy-persons_x000D_
- california-missions_x000D_
- franciscans_x000D_
</v>
      </c>
      <c r="BM99" s="158" t="str">
        <f t="shared" si="92"/>
        <v>[Official site](http://www.holycrosssantacruz.com/mission-santa-cruz/)</v>
      </c>
      <c r="BN99" s="158" t="str">
        <f t="shared" si="93"/>
        <v>[California Missions Foundation page](https://californiamissionsfoundation.org/mission-santa-cruz/)</v>
      </c>
      <c r="BO99" s="158" t="str">
        <f t="shared" si="94"/>
        <v>[Missions California page](https://www.missionscalifornia.com/missions/santa-cruz/)</v>
      </c>
      <c r="BP99" s="158" t="str">
        <f t="shared" si="95"/>
        <v/>
      </c>
      <c r="BQ99" s="155" t="str">
        <f t="shared" si="82"/>
        <v xml:space="preserve">* [Official site](http://www.holycrosssantacruz.com/mission-santa-cruz/)
* [California Missions Foundation page](https://californiamissionsfoundation.org/mission-santa-cruz/)
* [Missions California page](https://www.missionscalifornia.com/missions/santa-cruz/)
</v>
      </c>
      <c r="BR99" s="155" t="str">
        <f t="shared" si="83"/>
        <v/>
      </c>
      <c r="BS99" s="155" t="str">
        <f t="shared" si="84"/>
        <v/>
      </c>
      <c r="BT99" s="155" t="str">
        <f t="shared" si="85"/>
        <v/>
      </c>
      <c r="BU99" s="155" t="str">
        <f>IF(LEN(concat(BR99:BT99))&gt;0,concat("| ",BR99," | ",BS99," | ",BT99," |"),"")</f>
        <v/>
      </c>
      <c r="BV99" s="155" t="str">
        <f t="shared" si="86"/>
        <v/>
      </c>
      <c r="BW99" s="155"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55" t="str">
        <f>IF(LEN(N99)&gt;1,concatll("#### Author's Note",N99,"-"&amp;B99),"")</f>
        <v/>
      </c>
      <c r="BY99" s="155" t="s">
        <v>335</v>
      </c>
      <c r="BZ99" s="155" t="s">
        <v>335</v>
      </c>
      <c r="CA99" s="23" t="str">
        <f>IF(AS99,concatll(concatl("---",AT99:AV99,BL99,"---"),M99,BW99:BX99),"")</f>
        <v xml:space="preserve">---_x000D_
title: "Mission Santa Cruz"_x000D_
location: {lat: 36.9781412595296, lng: -122.029494075624}_x000D_
interest: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23" t="str">
        <f>IF(AS99,"places\"&amp;VLOOKUP(C99,'(Ref) Countries'!A:B,2,)&amp;IF(LEN(D99)&gt;1,"-"&amp;LOWER(SUBSTITUTE(D99," ","-")),"")&amp;"-"&amp;LOWER(SUBSTITUTE(SUBSTITUTE(H99," ","-"),".",""))&amp;".md","")</f>
        <v>places\us_ca-santa-cruz-mission-santa-cruz.md</v>
      </c>
      <c r="CC99" s="29" t="str">
        <f>IF(LEN(Z99)&gt;1,VLOOKUP(Z99,'Tag List'!$A:$B,2,),"")</f>
        <v>Franciscian Missions in California</v>
      </c>
      <c r="CD99" s="29" t="str">
        <f>IF(LEN(AA99)&gt;1,VLOOKUP(AA99,'Tag List'!$A:$B,2,),"")</f>
        <v>Order of Friars Minor (Fransiscans)</v>
      </c>
      <c r="CE99" s="29" t="str">
        <f>IF(LEN(AB99)&gt;1,VLOOKUP(AB99,'Tag List'!$A:$B,2,),"")</f>
        <v/>
      </c>
      <c r="CF99" s="29" t="str">
        <f>IF(LEN(Z99)&gt;1,GetTagPage(CC99,Z99),"")</f>
        <v>[Franciscian Missions in California](/tags/california-missions)</v>
      </c>
      <c r="CG99" s="29" t="str">
        <f>IF(LEN(AA99)&gt;1,GetTagPage(CD99,AA99),"")</f>
        <v>[Order of Friars Minor (Fransiscans)](/tags/franciscans)</v>
      </c>
      <c r="CH99" s="29" t="str">
        <f>IF(LEN(AB99)&gt;1,GetTagPage(CE99,AB99),"")</f>
        <v/>
      </c>
      <c r="CI99" s="29" t="str">
        <f t="shared" si="87"/>
        <v xml:space="preserve">| [Franciscian Missions in California](/tags/california-missions), [Order of Friars Minor (Fransiscans)](/tags/franciscans) </v>
      </c>
      <c r="CJ99" s="29" t="str">
        <f t="shared" si="88"/>
        <v xml:space="preserve">| [](/places/places\us_ca-santa-cruz-mission-santa-cruz) </v>
      </c>
      <c r="CK99" s="29" t="str">
        <f>"| "&amp;IF(AS99,GetTagPage(C99,VLOOKUP(C99,'(Ref) Countries'!A:C,3,)),C99)&amp; " "</f>
        <v xml:space="preserve">| [US California](/tags/usa
- california) </v>
      </c>
      <c r="CL99" s="29" t="str">
        <f t="shared" si="89"/>
        <v xml:space="preserve">|  </v>
      </c>
      <c r="CM99" s="29" t="str">
        <f t="shared" si="90"/>
        <v xml:space="preserve">| [Link](/places/places\us_ca-santa-cruz-mission-santa-cruz) </v>
      </c>
      <c r="CN99" s="29" t="str">
        <f t="shared" si="91"/>
        <v xml:space="preserve">
| [](/places/places\us_ca-santa-cruz-mission-santa-cruz) | [US California](/tags/usa
- california) |  | [Link](/places/places\us_ca-santa-cruz-mission-santa-cruz) [Official site](http://www.holycrosssantacruz.com/mission-santa-cruz/)| [Franciscian Missions in California](/tags/california-missions), [Order of Friars Minor (Fransiscans)](/tags/franciscans) |</v>
      </c>
    </row>
    <row r="100" spans="1:92" ht="25.5" x14ac:dyDescent="0.25">
      <c r="A100" s="167" t="s">
        <v>1317</v>
      </c>
      <c r="B100" s="24" t="s">
        <v>2481</v>
      </c>
      <c r="C100" s="24" t="s">
        <v>1874</v>
      </c>
      <c r="D100" s="24" t="s">
        <v>2284</v>
      </c>
      <c r="E100" s="15">
        <v>36.404839082598102</v>
      </c>
      <c r="F100" s="49">
        <v>-121.35576157378701</v>
      </c>
      <c r="G100" s="24" t="s">
        <v>2264</v>
      </c>
      <c r="H100" s="119" t="s">
        <v>2305</v>
      </c>
      <c r="I100" s="24" t="s">
        <v>1802</v>
      </c>
      <c r="J100" s="24" t="b">
        <v>1</v>
      </c>
      <c r="L100" s="24" t="b">
        <v>1</v>
      </c>
      <c r="M100" s="24" t="s">
        <v>2317</v>
      </c>
      <c r="O100" s="15" t="s">
        <v>2336</v>
      </c>
      <c r="P100" s="15" t="s">
        <v>335</v>
      </c>
      <c r="Q100" s="60" t="s">
        <v>2344</v>
      </c>
      <c r="R100" s="15" t="s">
        <v>2357</v>
      </c>
      <c r="S100" s="64" t="s">
        <v>335</v>
      </c>
      <c r="T100" s="60" t="s">
        <v>2366</v>
      </c>
      <c r="U100" s="15" t="s">
        <v>2379</v>
      </c>
      <c r="V100" s="64" t="s">
        <v>335</v>
      </c>
      <c r="Z100" s="15" t="s">
        <v>2397</v>
      </c>
      <c r="AA100" s="15" t="s">
        <v>2391</v>
      </c>
      <c r="AS100" s="154" t="b">
        <f t="shared" si="63"/>
        <v>1</v>
      </c>
      <c r="AT100" s="155" t="str">
        <f t="shared" si="64"/>
        <v>title: "Mission Nuestra Senora de la Soledad (Mission Soledad)"</v>
      </c>
      <c r="AU100" s="155" t="str">
        <f t="shared" si="65"/>
        <v>location: {lat: 36.4048390825981, lng: -121.355761573787}</v>
      </c>
      <c r="AV100" s="155" t="str">
        <f t="shared" si="66"/>
        <v>interest: local</v>
      </c>
      <c r="AW100" s="155" t="str">
        <f>"- "&amp;VLOOKUP(C100,'(Ref) Countries'!A:C,3,)</f>
        <v>- usa
- california</v>
      </c>
      <c r="AX100" s="155" t="str">
        <f t="shared" si="67"/>
        <v>- soledad</v>
      </c>
      <c r="AY100" s="155" t="str">
        <f t="shared" si="68"/>
        <v>- churches</v>
      </c>
      <c r="AZ100" s="155" t="str">
        <f t="shared" si="69"/>
        <v/>
      </c>
      <c r="BA100" s="155" t="str">
        <f t="shared" si="70"/>
        <v>- holy-persons</v>
      </c>
      <c r="BB100" s="155" t="str">
        <f t="shared" si="71"/>
        <v>- california-missions</v>
      </c>
      <c r="BC100" s="155" t="str">
        <f t="shared" si="72"/>
        <v>- franciscans</v>
      </c>
      <c r="BD100" s="155" t="str">
        <f t="shared" si="73"/>
        <v/>
      </c>
      <c r="BE100" s="155" t="str">
        <f t="shared" si="74"/>
        <v/>
      </c>
      <c r="BF100" s="155" t="str">
        <f t="shared" si="75"/>
        <v/>
      </c>
      <c r="BG100" s="155" t="str">
        <f t="shared" si="76"/>
        <v/>
      </c>
      <c r="BH100" s="155" t="str">
        <f t="shared" si="77"/>
        <v/>
      </c>
      <c r="BI100" s="155" t="str">
        <f t="shared" si="78"/>
        <v/>
      </c>
      <c r="BJ100" s="155" t="str">
        <f t="shared" si="79"/>
        <v/>
      </c>
      <c r="BK100" s="155" t="str">
        <f t="shared" si="80"/>
        <v/>
      </c>
      <c r="BL100" s="155" t="str">
        <f t="shared" si="81"/>
        <v xml:space="preserve">tags:
- usa
- california_x000D_
- soledad_x000D_
- churches_x000D_
- holy-persons_x000D_
- california-missions_x000D_
- franciscans_x000D_
</v>
      </c>
      <c r="BM100" s="158" t="str">
        <f t="shared" si="92"/>
        <v>[Official site](http://missionsoledad.com/)</v>
      </c>
      <c r="BN100" s="158" t="str">
        <f t="shared" si="93"/>
        <v>[California Missions Foundation page](https://californiamissionsfoundation.org/mission-la-soledad/)</v>
      </c>
      <c r="BO100" s="158" t="str">
        <f t="shared" si="94"/>
        <v>[Missions California page](https://www.missionscalifornia.com/missions/nuestra-senora-de-la-soledad/)</v>
      </c>
      <c r="BP100" s="158" t="str">
        <f t="shared" si="95"/>
        <v/>
      </c>
      <c r="BQ100" s="155" t="str">
        <f t="shared" si="82"/>
        <v xml:space="preserve">* [Official site](http://missionsoledad.com/)
* [California Missions Foundation page](https://californiamissionsfoundation.org/mission-la-soledad/)
* [Missions California page](https://www.missionscalifornia.com/missions/nuestra-senora-de-la-soledad/)
</v>
      </c>
      <c r="BR100" s="155" t="str">
        <f t="shared" si="83"/>
        <v/>
      </c>
      <c r="BS100" s="155" t="str">
        <f t="shared" si="84"/>
        <v/>
      </c>
      <c r="BT100" s="155" t="str">
        <f t="shared" si="85"/>
        <v/>
      </c>
      <c r="BU100" s="155" t="str">
        <f>IF(LEN(concat(BR100:BT100))&gt;0,concat("| ",BR100," | ",BS100," | ",BT100," |"),"")</f>
        <v/>
      </c>
      <c r="BV100" s="155" t="str">
        <f t="shared" si="86"/>
        <v/>
      </c>
      <c r="BW100" s="155"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55" t="str">
        <f>IF(LEN(N100)&gt;1,concatll("#### Author's Note",N100,"-"&amp;B100),"")</f>
        <v/>
      </c>
      <c r="BY100" s="155" t="s">
        <v>335</v>
      </c>
      <c r="BZ100" s="155" t="s">
        <v>335</v>
      </c>
      <c r="CA100" s="23" t="str">
        <f>IF(AS100,concatll(concatl("---",AT100:AV100,BL100,"---"),M100,BW100:BX100),"")</f>
        <v xml:space="preserve">---_x000D_
title: "Mission Nuestra Senora de la Soledad (Mission Soledad)"_x000D_
location: {lat: 36.4048390825981, lng: -121.355761573787}_x000D_
interest: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23" t="str">
        <f>IF(AS100,"places\"&amp;VLOOKUP(C100,'(Ref) Countries'!A:B,2,)&amp;IF(LEN(D100)&gt;1,"-"&amp;LOWER(SUBSTITUTE(D100," ","-")),"")&amp;"-"&amp;LOWER(SUBSTITUTE(SUBSTITUTE(H100," ","-"),".",""))&amp;".md","")</f>
        <v>places\us_ca-soledad-mission-soledad.md</v>
      </c>
      <c r="CC100" s="29" t="str">
        <f>IF(LEN(Z100)&gt;1,VLOOKUP(Z100,'Tag List'!$A:$B,2,),"")</f>
        <v>Franciscian Missions in California</v>
      </c>
      <c r="CD100" s="29" t="str">
        <f>IF(LEN(AA100)&gt;1,VLOOKUP(AA100,'Tag List'!$A:$B,2,),"")</f>
        <v>Order of Friars Minor (Fransiscans)</v>
      </c>
      <c r="CE100" s="29" t="str">
        <f>IF(LEN(AB100)&gt;1,VLOOKUP(AB100,'Tag List'!$A:$B,2,),"")</f>
        <v/>
      </c>
      <c r="CF100" s="29" t="str">
        <f>IF(LEN(Z100)&gt;1,GetTagPage(CC100,Z100),"")</f>
        <v>[Franciscian Missions in California](/tags/california-missions)</v>
      </c>
      <c r="CG100" s="29" t="str">
        <f>IF(LEN(AA100)&gt;1,GetTagPage(CD100,AA100),"")</f>
        <v>[Order of Friars Minor (Fransiscans)](/tags/franciscans)</v>
      </c>
      <c r="CH100" s="29" t="str">
        <f>IF(LEN(AB100)&gt;1,GetTagPage(CE100,AB100),"")</f>
        <v/>
      </c>
      <c r="CI100" s="29" t="str">
        <f t="shared" si="87"/>
        <v xml:space="preserve">| [Franciscian Missions in California](/tags/california-missions), [Order of Friars Minor (Fransiscans)](/tags/franciscans) </v>
      </c>
      <c r="CJ100" s="29" t="str">
        <f t="shared" si="88"/>
        <v xml:space="preserve">| [](/places/places\us_ca-soledad-mission-soledad) </v>
      </c>
      <c r="CK100" s="29" t="str">
        <f>"| "&amp;IF(AS100,GetTagPage(C100,VLOOKUP(C100,'(Ref) Countries'!A:C,3,)),C100)&amp; " "</f>
        <v xml:space="preserve">| [US California](/tags/usa
- california) </v>
      </c>
      <c r="CL100" s="29" t="str">
        <f t="shared" si="89"/>
        <v xml:space="preserve">|  </v>
      </c>
      <c r="CM100" s="29" t="str">
        <f t="shared" si="90"/>
        <v xml:space="preserve">| [Link](/places/places\us_ca-soledad-mission-soledad) </v>
      </c>
      <c r="CN100" s="29" t="str">
        <f t="shared" si="91"/>
        <v xml:space="preserve">
| [](/places/places\us_ca-soledad-mission-soledad) | [US California](/tags/usa
- california) |  | [Link](/places/places\us_ca-soledad-mission-soledad) [Official site](http://missionsoledad.com/)| [Franciscian Missions in California](/tags/california-missions), [Order of Friars Minor (Fransiscans)](/tags/franciscans) |</v>
      </c>
    </row>
    <row r="101" spans="1:92" ht="25.5" x14ac:dyDescent="0.25">
      <c r="A101" s="167" t="s">
        <v>1317</v>
      </c>
      <c r="B101" s="24" t="s">
        <v>2481</v>
      </c>
      <c r="C101" s="24" t="s">
        <v>1874</v>
      </c>
      <c r="D101" s="24" t="s">
        <v>2285</v>
      </c>
      <c r="E101" s="15">
        <v>37.533403637449297</v>
      </c>
      <c r="F101" s="49">
        <v>-121.919695300919</v>
      </c>
      <c r="G101" s="24" t="s">
        <v>2265</v>
      </c>
      <c r="H101" s="53" t="s">
        <v>2265</v>
      </c>
      <c r="I101" s="24" t="s">
        <v>1802</v>
      </c>
      <c r="J101" s="24" t="b">
        <v>1</v>
      </c>
      <c r="L101" s="24" t="b">
        <v>1</v>
      </c>
      <c r="M101" s="24" t="s">
        <v>2318</v>
      </c>
      <c r="O101" s="15" t="s">
        <v>2337</v>
      </c>
      <c r="P101" s="15" t="s">
        <v>335</v>
      </c>
      <c r="Q101" s="60" t="s">
        <v>2344</v>
      </c>
      <c r="R101" s="15" t="s">
        <v>2358</v>
      </c>
      <c r="S101" s="64" t="s">
        <v>335</v>
      </c>
      <c r="T101" s="60" t="s">
        <v>2366</v>
      </c>
      <c r="U101" s="15" t="s">
        <v>2380</v>
      </c>
      <c r="V101" s="64" t="s">
        <v>335</v>
      </c>
      <c r="Z101" s="15" t="s">
        <v>2397</v>
      </c>
      <c r="AA101" s="15" t="s">
        <v>2391</v>
      </c>
      <c r="AS101" s="154" t="b">
        <f t="shared" si="63"/>
        <v>1</v>
      </c>
      <c r="AT101" s="155" t="str">
        <f t="shared" si="64"/>
        <v>title: "Mission San Jose"</v>
      </c>
      <c r="AU101" s="155" t="str">
        <f t="shared" si="65"/>
        <v>location: {lat: 37.5334036374493, lng: -121.919695300919}</v>
      </c>
      <c r="AV101" s="155" t="str">
        <f t="shared" si="66"/>
        <v>interest: local</v>
      </c>
      <c r="AW101" s="155" t="str">
        <f>"- "&amp;VLOOKUP(C101,'(Ref) Countries'!A:C,3,)</f>
        <v>- usa
- california</v>
      </c>
      <c r="AX101" s="155" t="str">
        <f t="shared" si="67"/>
        <v>- fremont</v>
      </c>
      <c r="AY101" s="155" t="str">
        <f t="shared" si="68"/>
        <v>- churches</v>
      </c>
      <c r="AZ101" s="155" t="str">
        <f t="shared" si="69"/>
        <v/>
      </c>
      <c r="BA101" s="155" t="str">
        <f t="shared" si="70"/>
        <v>- holy-persons</v>
      </c>
      <c r="BB101" s="155" t="str">
        <f t="shared" si="71"/>
        <v>- california-missions</v>
      </c>
      <c r="BC101" s="155" t="str">
        <f t="shared" si="72"/>
        <v>- franciscans</v>
      </c>
      <c r="BD101" s="155" t="str">
        <f t="shared" si="73"/>
        <v/>
      </c>
      <c r="BE101" s="155" t="str">
        <f t="shared" si="74"/>
        <v/>
      </c>
      <c r="BF101" s="155" t="str">
        <f t="shared" si="75"/>
        <v/>
      </c>
      <c r="BG101" s="155" t="str">
        <f t="shared" si="76"/>
        <v/>
      </c>
      <c r="BH101" s="155" t="str">
        <f t="shared" si="77"/>
        <v/>
      </c>
      <c r="BI101" s="155" t="str">
        <f t="shared" si="78"/>
        <v/>
      </c>
      <c r="BJ101" s="155" t="str">
        <f t="shared" si="79"/>
        <v/>
      </c>
      <c r="BK101" s="155" t="str">
        <f t="shared" si="80"/>
        <v/>
      </c>
      <c r="BL101" s="155" t="str">
        <f t="shared" si="81"/>
        <v xml:space="preserve">tags:
- usa
- california_x000D_
- fremont_x000D_
- churches_x000D_
- holy-persons_x000D_
- california-missions_x000D_
- franciscans_x000D_
</v>
      </c>
      <c r="BM101" s="158" t="str">
        <f t="shared" si="92"/>
        <v>[Official site](http://www.missionsanjose.org/)</v>
      </c>
      <c r="BN101" s="158" t="str">
        <f t="shared" si="93"/>
        <v>[California Missions Foundation page](https://californiamissionsfoundation.org/mission-san-jose/)</v>
      </c>
      <c r="BO101" s="158" t="str">
        <f t="shared" si="94"/>
        <v>[Missions California page](https://www.missionscalifornia.com/missions/san-jose/)</v>
      </c>
      <c r="BP101" s="158" t="str">
        <f t="shared" si="95"/>
        <v/>
      </c>
      <c r="BQ101" s="155" t="str">
        <f t="shared" si="82"/>
        <v xml:space="preserve">* [Official site](http://www.missionsanjose.org/)
* [California Missions Foundation page](https://californiamissionsfoundation.org/mission-san-jose/)
* [Missions California page](https://www.missionscalifornia.com/missions/san-jose/)
</v>
      </c>
      <c r="BR101" s="155" t="str">
        <f t="shared" si="83"/>
        <v/>
      </c>
      <c r="BS101" s="155" t="str">
        <f t="shared" si="84"/>
        <v/>
      </c>
      <c r="BT101" s="155" t="str">
        <f t="shared" si="85"/>
        <v/>
      </c>
      <c r="BU101" s="155" t="str">
        <f>IF(LEN(concat(BR101:BT101))&gt;0,concat("| ",BR101," | ",BS101," | ",BT101," |"),"")</f>
        <v/>
      </c>
      <c r="BV101" s="155" t="str">
        <f t="shared" si="86"/>
        <v/>
      </c>
      <c r="BW101" s="155"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55" t="str">
        <f>IF(LEN(N101)&gt;1,concatll("#### Author's Note",N101,"-"&amp;B101),"")</f>
        <v/>
      </c>
      <c r="BY101" s="155" t="s">
        <v>335</v>
      </c>
      <c r="BZ101" s="155" t="s">
        <v>335</v>
      </c>
      <c r="CA101" s="23" t="str">
        <f>IF(AS101,concatll(concatl("---",AT101:AV101,BL101,"---"),M101,BW101:BX101),"")</f>
        <v xml:space="preserve">---_x000D_
title: "Mission San Jose"_x000D_
location: {lat: 37.5334036374493, lng: -121.919695300919}_x000D_
interest: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23" t="str">
        <f>IF(AS101,"places\"&amp;VLOOKUP(C101,'(Ref) Countries'!A:B,2,)&amp;IF(LEN(D101)&gt;1,"-"&amp;LOWER(SUBSTITUTE(D101," ","-")),"")&amp;"-"&amp;LOWER(SUBSTITUTE(SUBSTITUTE(H101," ","-"),".",""))&amp;".md","")</f>
        <v>places\us_ca-fremont-mission-san-jose.md</v>
      </c>
      <c r="CC101" s="29" t="str">
        <f>IF(LEN(Z101)&gt;1,VLOOKUP(Z101,'Tag List'!$A:$B,2,),"")</f>
        <v>Franciscian Missions in California</v>
      </c>
      <c r="CD101" s="29" t="str">
        <f>IF(LEN(AA101)&gt;1,VLOOKUP(AA101,'Tag List'!$A:$B,2,),"")</f>
        <v>Order of Friars Minor (Fransiscans)</v>
      </c>
      <c r="CE101" s="29" t="str">
        <f>IF(LEN(AB101)&gt;1,VLOOKUP(AB101,'Tag List'!$A:$B,2,),"")</f>
        <v/>
      </c>
      <c r="CF101" s="29" t="str">
        <f>IF(LEN(Z101)&gt;1,GetTagPage(CC101,Z101),"")</f>
        <v>[Franciscian Missions in California](/tags/california-missions)</v>
      </c>
      <c r="CG101" s="29" t="str">
        <f>IF(LEN(AA101)&gt;1,GetTagPage(CD101,AA101),"")</f>
        <v>[Order of Friars Minor (Fransiscans)](/tags/franciscans)</v>
      </c>
      <c r="CH101" s="29" t="str">
        <f>IF(LEN(AB101)&gt;1,GetTagPage(CE101,AB101),"")</f>
        <v/>
      </c>
      <c r="CI101" s="29" t="str">
        <f t="shared" si="87"/>
        <v xml:space="preserve">| [Franciscian Missions in California](/tags/california-missions), [Order of Friars Minor (Fransiscans)](/tags/franciscans) </v>
      </c>
      <c r="CJ101" s="29" t="str">
        <f t="shared" si="88"/>
        <v xml:space="preserve">| [](/places/places\us_ca-fremont-mission-san-jose) </v>
      </c>
      <c r="CK101" s="29" t="str">
        <f>"| "&amp;IF(AS101,GetTagPage(C101,VLOOKUP(C101,'(Ref) Countries'!A:C,3,)),C101)&amp; " "</f>
        <v xml:space="preserve">| [US California](/tags/usa
- california) </v>
      </c>
      <c r="CL101" s="29" t="str">
        <f t="shared" si="89"/>
        <v xml:space="preserve">|  </v>
      </c>
      <c r="CM101" s="29" t="str">
        <f t="shared" si="90"/>
        <v xml:space="preserve">| [Link](/places/places\us_ca-fremont-mission-san-jose) </v>
      </c>
      <c r="CN101" s="29" t="str">
        <f t="shared" si="91"/>
        <v xml:space="preserve">
| [](/places/places\us_ca-fremont-mission-san-jose) | [US California](/tags/usa
- california) |  | [Link](/places/places\us_ca-fremont-mission-san-jose) [Official site](http://www.missionsanjose.org/)| [Franciscian Missions in California](/tags/california-missions), [Order of Friars Minor (Fransiscans)](/tags/franciscans) |</v>
      </c>
    </row>
    <row r="102" spans="1:92" ht="25.5" x14ac:dyDescent="0.25">
      <c r="A102" s="167" t="s">
        <v>1317</v>
      </c>
      <c r="B102" s="24" t="s">
        <v>2481</v>
      </c>
      <c r="C102" s="24" t="s">
        <v>1874</v>
      </c>
      <c r="D102" s="24" t="s">
        <v>2286</v>
      </c>
      <c r="E102" s="15">
        <v>36.845891014947597</v>
      </c>
      <c r="F102" s="49">
        <v>-121.53575268911899</v>
      </c>
      <c r="G102" s="24" t="s">
        <v>2266</v>
      </c>
      <c r="H102" s="53" t="s">
        <v>2266</v>
      </c>
      <c r="I102" s="24" t="s">
        <v>1802</v>
      </c>
      <c r="J102" s="24" t="b">
        <v>1</v>
      </c>
      <c r="L102" s="24" t="b">
        <v>1</v>
      </c>
      <c r="M102" s="24" t="s">
        <v>2319</v>
      </c>
      <c r="O102" s="15" t="s">
        <v>2338</v>
      </c>
      <c r="P102" s="15" t="s">
        <v>335</v>
      </c>
      <c r="Q102" s="60" t="s">
        <v>2344</v>
      </c>
      <c r="R102" s="15" t="s">
        <v>2359</v>
      </c>
      <c r="S102" s="64" t="s">
        <v>335</v>
      </c>
      <c r="T102" s="60" t="s">
        <v>2366</v>
      </c>
      <c r="U102" s="15" t="s">
        <v>2381</v>
      </c>
      <c r="V102" s="64" t="s">
        <v>335</v>
      </c>
      <c r="Z102" s="15" t="s">
        <v>2397</v>
      </c>
      <c r="AA102" s="15" t="s">
        <v>2391</v>
      </c>
      <c r="AS102" s="154" t="b">
        <f t="shared" ref="AS102:AS133" si="96">IF(OR(A102="Done",A102="In Progress"),TRUE)</f>
        <v>1</v>
      </c>
      <c r="AT102" s="155" t="str">
        <f t="shared" ref="AT102:AT133" si="97">"title: """&amp;G102&amp;""""</f>
        <v>title: "Mission San Juan Bautista"</v>
      </c>
      <c r="AU102" s="155" t="str">
        <f t="shared" ref="AU102:AU133" si="98">"location: {lat: "&amp;E102&amp;", lng: "&amp;F102&amp;"}"</f>
        <v>location: {lat: 36.8458910149476, lng: -121.535752689119}</v>
      </c>
      <c r="AV102" s="155" t="str">
        <f t="shared" ref="AV102:AV133" si="99">"interest: "&amp;I102</f>
        <v>interest: local</v>
      </c>
      <c r="AW102" s="155" t="str">
        <f>"- "&amp;VLOOKUP(C102,'(Ref) Countries'!A:C,3,)</f>
        <v>- usa
- california</v>
      </c>
      <c r="AX102" s="155" t="str">
        <f t="shared" ref="AX102:AX133" si="100">IF(LEN(D102)&gt;1,"- "&amp;LOWER(SUBSTITUTE(D102," ","-")),"")</f>
        <v>- san-juan-bautista</v>
      </c>
      <c r="AY102" s="155" t="str">
        <f t="shared" ref="AY102:AY133" si="101">IF(J102,"- churches","")</f>
        <v>- churches</v>
      </c>
      <c r="AZ102" s="155" t="str">
        <f t="shared" ref="AZ102:AZ133" si="102">IF(K102,"- marian-sites","")</f>
        <v/>
      </c>
      <c r="BA102" s="155" t="str">
        <f t="shared" ref="BA102:BA133" si="103">IF(L102,"- holy-persons","")</f>
        <v>- holy-persons</v>
      </c>
      <c r="BB102" s="155" t="str">
        <f t="shared" ref="BB102:BB133" si="104">IF(LEN(Z102)&gt;0,"- "&amp;Z102,"")</f>
        <v>- california-missions</v>
      </c>
      <c r="BC102" s="155" t="str">
        <f t="shared" ref="BC102:BC133" si="105">IF(LEN(AA102)&gt;0,"- "&amp;AA102,"")</f>
        <v>- franciscans</v>
      </c>
      <c r="BD102" s="155" t="str">
        <f t="shared" ref="BD102:BD133" si="106">IF(LEN(AB102)&gt;0,"- "&amp;AB102,"")</f>
        <v/>
      </c>
      <c r="BE102" s="155" t="str">
        <f t="shared" ref="BE102:BE133" si="107">IF(LEN(AC102)&gt;0,"- "&amp;AC102,"")</f>
        <v/>
      </c>
      <c r="BF102" s="155" t="str">
        <f t="shared" ref="BF102:BF133" si="108">IF(LEN(AD102)&gt;0,"- "&amp;AD102,"")</f>
        <v/>
      </c>
      <c r="BG102" s="155" t="str">
        <f t="shared" ref="BG102:BG133" si="109">IF(LEN(AE102)&gt;0,"- "&amp;AE102,"")</f>
        <v/>
      </c>
      <c r="BH102" s="155" t="str">
        <f t="shared" ref="BH102:BH133" si="110">IF(LEN(AF102)&gt;0,"- "&amp;AF102,"")</f>
        <v/>
      </c>
      <c r="BI102" s="155" t="str">
        <f t="shared" ref="BI102:BI133" si="111">IF(LEN(AG102)&gt;0,"- "&amp;AG102,"")</f>
        <v/>
      </c>
      <c r="BJ102" s="155" t="str">
        <f t="shared" ref="BJ102:BJ133" si="112">IF(LEN(AH102)&gt;0,"- "&amp;AH102,"")</f>
        <v/>
      </c>
      <c r="BK102" s="155" t="str">
        <f t="shared" ref="BK102:BK133" si="113">IF(LEN(AI102)&gt;0,"- "&amp;AI102,"")</f>
        <v/>
      </c>
      <c r="BL102" s="155" t="str">
        <f t="shared" ref="BL102:BL133" si="114">"tags:"&amp;CHAR(10)&amp;concatl(AW102:BK102)</f>
        <v xml:space="preserve">tags:
- usa
- california_x000D_
- san-juan-bautista_x000D_
- churches_x000D_
- holy-persons_x000D_
- california-missions_x000D_
- franciscans_x000D_
</v>
      </c>
      <c r="BM102" s="158" t="str">
        <f t="shared" si="92"/>
        <v>[Official site](http://www.oldmissionsjb.org/)</v>
      </c>
      <c r="BN102" s="158" t="str">
        <f t="shared" si="93"/>
        <v>[California Missions Foundation page](https://californiamissionsfoundation.org/mission-san-juan-bautista/)</v>
      </c>
      <c r="BO102" s="158" t="str">
        <f t="shared" si="94"/>
        <v>[Missions California page](https://www.missionscalifornia.com/missions/san-juan-bautista/)</v>
      </c>
      <c r="BP102" s="158" t="str">
        <f t="shared" si="95"/>
        <v/>
      </c>
      <c r="BQ102" s="155" t="str">
        <f t="shared" ref="BQ102:BQ133" si="115">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55" t="str">
        <f t="shared" ref="BR102:BR133" si="116">IF(LEN(AL102)&gt;0,TRIM(CONCATENATE("[Link](",AL102,") ",AM102)),"")</f>
        <v/>
      </c>
      <c r="BS102" s="155" t="str">
        <f t="shared" ref="BS102:BS133" si="117">IF(LEN(AN102)&gt;0,TRIM(CONCATENATE("[Link](",AN102,") ",AO102)),"")</f>
        <v/>
      </c>
      <c r="BT102" s="155" t="str">
        <f t="shared" ref="BT102:BT133" si="118">IF(LEN(AP102)&gt;0,TRIM(CONCATENATE("[Link](",AP102,") ",AQ102)),"")</f>
        <v/>
      </c>
      <c r="BU102" s="155" t="str">
        <f>IF(LEN(concat(BR102:BT102))&gt;0,concat("| ",BR102," | ",BS102," | ",BT102," |"),"")</f>
        <v/>
      </c>
      <c r="BV102" s="155" t="str">
        <f t="shared" ref="BV102:BV133" si="119">IF(K102,concatl("| The Real Presence | Miracle Hunter | MaryPages |","| --- | --- | --- |",BU102),"")</f>
        <v/>
      </c>
      <c r="BW102" s="155"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55" t="str">
        <f>IF(LEN(N102)&gt;1,concatll("#### Author's Note",N102,"-"&amp;B102),"")</f>
        <v/>
      </c>
      <c r="BY102" s="155" t="s">
        <v>335</v>
      </c>
      <c r="BZ102" s="155" t="s">
        <v>335</v>
      </c>
      <c r="CA102" s="23" t="str">
        <f>IF(AS102,concatll(concatl("---",AT102:AV102,BL102,"---"),M102,BW102:BX102),"")</f>
        <v xml:space="preserve">---_x000D_
title: "Mission San Juan Bautista"_x000D_
location: {lat: 36.8458910149476, lng: -121.535752689119}_x000D_
interest: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23" t="str">
        <f>IF(AS102,"places\"&amp;VLOOKUP(C102,'(Ref) Countries'!A:B,2,)&amp;IF(LEN(D102)&gt;1,"-"&amp;LOWER(SUBSTITUTE(D102," ","-")),"")&amp;"-"&amp;LOWER(SUBSTITUTE(SUBSTITUTE(H102," ","-"),".",""))&amp;".md","")</f>
        <v>places\us_ca-san-juan-bautista-mission-san-juan-bautista.md</v>
      </c>
      <c r="CC102" s="29" t="str">
        <f>IF(LEN(Z102)&gt;1,VLOOKUP(Z102,'Tag List'!$A:$B,2,),"")</f>
        <v>Franciscian Missions in California</v>
      </c>
      <c r="CD102" s="29" t="str">
        <f>IF(LEN(AA102)&gt;1,VLOOKUP(AA102,'Tag List'!$A:$B,2,),"")</f>
        <v>Order of Friars Minor (Fransiscans)</v>
      </c>
      <c r="CE102" s="29" t="str">
        <f>IF(LEN(AB102)&gt;1,VLOOKUP(AB102,'Tag List'!$A:$B,2,),"")</f>
        <v/>
      </c>
      <c r="CF102" s="29" t="str">
        <f>IF(LEN(Z102)&gt;1,GetTagPage(CC102,Z102),"")</f>
        <v>[Franciscian Missions in California](/tags/california-missions)</v>
      </c>
      <c r="CG102" s="29" t="str">
        <f>IF(LEN(AA102)&gt;1,GetTagPage(CD102,AA102),"")</f>
        <v>[Order of Friars Minor (Fransiscans)](/tags/franciscans)</v>
      </c>
      <c r="CH102" s="29" t="str">
        <f>IF(LEN(AB102)&gt;1,GetTagPage(CE102,AB102),"")</f>
        <v/>
      </c>
      <c r="CI102" s="29" t="str">
        <f t="shared" ref="CI102:CI133" si="120">"|"&amp;IF(LEN(CF102)&gt;1," "&amp;CF102,"")&amp;IF(LEN(CG102)&gt;1,", "&amp;CG102,"")&amp;IF(LEN(CH102)&gt;1,", "&amp;CH102,"")&amp;" "</f>
        <v xml:space="preserve">| [Franciscian Missions in California](/tags/california-missions), [Order of Friars Minor (Fransiscans)](/tags/franciscans) </v>
      </c>
      <c r="CJ102" s="29" t="str">
        <f t="shared" ref="CJ102:CJ133" si="121">"| "&amp;IF(AS102,"["&amp;AJ102&amp;"](/places/"&amp;SUBSTITUTE(CB102,".md","")&amp;")",AJ102)&amp;" "</f>
        <v xml:space="preserve">| [](/places/places\us_ca-san-juan-bautista-mission-san-juan-bautista) </v>
      </c>
      <c r="CK102" s="29" t="str">
        <f>"| "&amp;IF(AS102,GetTagPage(C102,VLOOKUP(C102,'(Ref) Countries'!A:C,3,)),C102)&amp; " "</f>
        <v xml:space="preserve">| [US California](/tags/usa
- california) </v>
      </c>
      <c r="CL102" s="29" t="str">
        <f t="shared" ref="CL102:CL133" si="122">"| "&amp;AK102&amp;" "</f>
        <v xml:space="preserve">|  </v>
      </c>
      <c r="CM102" s="29" t="str">
        <f t="shared" ref="CM102:CM133" si="123">"|"&amp;IF(AS102," [Link](/places/"&amp;SUBSTITUTE(CB102,".md","")&amp;")","")&amp;" "</f>
        <v xml:space="preserve">| [Link](/places/places\us_ca-san-juan-bautista-mission-san-juan-bautista) </v>
      </c>
      <c r="CN102" s="29" t="str">
        <f t="shared" ref="CN102:CN133" si="124">"
"&amp;CJ102&amp;CK102&amp;CL102&amp;CM102&amp;BM102&amp;BR102&amp;BS102&amp;BT102&amp;CI102&amp;"|"</f>
        <v xml:space="preserve">
| [](/places/places\us_ca-san-juan-bautista-mission-san-juan-bautista) | [US California](/tags/usa
- california) |  | [Link](/places/places\us_ca-san-juan-bautista-mission-san-juan-bautista) [Official site](http://www.oldmissionsjb.org/)| [Franciscian Missions in California](/tags/california-missions), [Order of Friars Minor (Fransiscans)](/tags/franciscans) |</v>
      </c>
    </row>
    <row r="103" spans="1:92" ht="25.5" x14ac:dyDescent="0.25">
      <c r="A103" s="167" t="s">
        <v>1317</v>
      </c>
      <c r="B103" s="24" t="s">
        <v>2481</v>
      </c>
      <c r="C103" s="24" t="s">
        <v>1874</v>
      </c>
      <c r="D103" s="24" t="s">
        <v>2287</v>
      </c>
      <c r="E103" s="15">
        <v>35.744934541386101</v>
      </c>
      <c r="F103" s="49">
        <v>-120.69716204497</v>
      </c>
      <c r="G103" s="24" t="s">
        <v>2267</v>
      </c>
      <c r="H103" s="119" t="s">
        <v>2301</v>
      </c>
      <c r="I103" s="24" t="s">
        <v>1802</v>
      </c>
      <c r="J103" s="24" t="b">
        <v>1</v>
      </c>
      <c r="L103" s="24" t="b">
        <v>1</v>
      </c>
      <c r="M103" s="24" t="s">
        <v>2320</v>
      </c>
      <c r="O103" s="15" t="s">
        <v>2339</v>
      </c>
      <c r="P103" s="15" t="s">
        <v>335</v>
      </c>
      <c r="Q103" s="60" t="s">
        <v>2344</v>
      </c>
      <c r="R103" s="15" t="s">
        <v>2360</v>
      </c>
      <c r="S103" s="64" t="s">
        <v>335</v>
      </c>
      <c r="T103" s="60" t="s">
        <v>2366</v>
      </c>
      <c r="U103" s="15" t="s">
        <v>2382</v>
      </c>
      <c r="V103" s="64" t="s">
        <v>335</v>
      </c>
      <c r="Z103" s="15" t="s">
        <v>2397</v>
      </c>
      <c r="AA103" s="15" t="s">
        <v>2391</v>
      </c>
      <c r="AS103" s="154" t="b">
        <f t="shared" si="96"/>
        <v>1</v>
      </c>
      <c r="AT103" s="155" t="str">
        <f t="shared" si="97"/>
        <v>title: "Mission San Miguel Arcangel"</v>
      </c>
      <c r="AU103" s="155" t="str">
        <f t="shared" si="98"/>
        <v>location: {lat: 35.7449345413861, lng: -120.69716204497}</v>
      </c>
      <c r="AV103" s="155" t="str">
        <f t="shared" si="99"/>
        <v>interest: local</v>
      </c>
      <c r="AW103" s="155" t="str">
        <f>"- "&amp;VLOOKUP(C103,'(Ref) Countries'!A:C,3,)</f>
        <v>- usa
- california</v>
      </c>
      <c r="AX103" s="155" t="str">
        <f t="shared" si="100"/>
        <v>- san-miguel</v>
      </c>
      <c r="AY103" s="155" t="str">
        <f t="shared" si="101"/>
        <v>- churches</v>
      </c>
      <c r="AZ103" s="155" t="str">
        <f t="shared" si="102"/>
        <v/>
      </c>
      <c r="BA103" s="155" t="str">
        <f t="shared" si="103"/>
        <v>- holy-persons</v>
      </c>
      <c r="BB103" s="155" t="str">
        <f t="shared" si="104"/>
        <v>- california-missions</v>
      </c>
      <c r="BC103" s="155" t="str">
        <f t="shared" si="105"/>
        <v>- franciscans</v>
      </c>
      <c r="BD103" s="155" t="str">
        <f t="shared" si="106"/>
        <v/>
      </c>
      <c r="BE103" s="155" t="str">
        <f t="shared" si="107"/>
        <v/>
      </c>
      <c r="BF103" s="155" t="str">
        <f t="shared" si="108"/>
        <v/>
      </c>
      <c r="BG103" s="155" t="str">
        <f t="shared" si="109"/>
        <v/>
      </c>
      <c r="BH103" s="155" t="str">
        <f t="shared" si="110"/>
        <v/>
      </c>
      <c r="BI103" s="155" t="str">
        <f t="shared" si="111"/>
        <v/>
      </c>
      <c r="BJ103" s="155" t="str">
        <f t="shared" si="112"/>
        <v/>
      </c>
      <c r="BK103" s="155" t="str">
        <f t="shared" si="113"/>
        <v/>
      </c>
      <c r="BL103" s="155" t="str">
        <f t="shared" si="114"/>
        <v xml:space="preserve">tags:
- usa
- california_x000D_
- san-miguel_x000D_
- churches_x000D_
- holy-persons_x000D_
- california-missions_x000D_
- franciscans_x000D_
</v>
      </c>
      <c r="BM103" s="158" t="str">
        <f t="shared" si="92"/>
        <v>[Official site](http://www.missionsanmiguel.org/)</v>
      </c>
      <c r="BN103" s="158" t="str">
        <f t="shared" si="93"/>
        <v>[California Missions Foundation page](https://californiamissionsfoundation.org/mission-san-miguel/)</v>
      </c>
      <c r="BO103" s="158" t="str">
        <f t="shared" si="94"/>
        <v>[Missions California page](https://www.missionscalifornia.com/missions/san-miguel-arcangel/)</v>
      </c>
      <c r="BP103" s="158" t="str">
        <f t="shared" si="95"/>
        <v/>
      </c>
      <c r="BQ103" s="155" t="str">
        <f t="shared" si="115"/>
        <v xml:space="preserve">* [Official site](http://www.missionsanmiguel.org/)
* [California Missions Foundation page](https://californiamissionsfoundation.org/mission-san-miguel/)
* [Missions California page](https://www.missionscalifornia.com/missions/san-miguel-arcangel/)
</v>
      </c>
      <c r="BR103" s="155" t="str">
        <f t="shared" si="116"/>
        <v/>
      </c>
      <c r="BS103" s="155" t="str">
        <f t="shared" si="117"/>
        <v/>
      </c>
      <c r="BT103" s="155" t="str">
        <f t="shared" si="118"/>
        <v/>
      </c>
      <c r="BU103" s="155" t="str">
        <f>IF(LEN(concat(BR103:BT103))&gt;0,concat("| ",BR103," | ",BS103," | ",BT103," |"),"")</f>
        <v/>
      </c>
      <c r="BV103" s="155" t="str">
        <f t="shared" si="119"/>
        <v/>
      </c>
      <c r="BW103" s="155"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55" t="str">
        <f>IF(LEN(N103)&gt;1,concatll("#### Author's Note",N103,"-"&amp;B103),"")</f>
        <v/>
      </c>
      <c r="BY103" s="155" t="s">
        <v>335</v>
      </c>
      <c r="BZ103" s="155" t="s">
        <v>335</v>
      </c>
      <c r="CA103" s="23" t="str">
        <f>IF(AS103,concatll(concatl("---",AT103:AV103,BL103,"---"),M103,BW103:BX103),"")</f>
        <v xml:space="preserve">---_x000D_
title: "Mission San Miguel Arcangel"_x000D_
location: {lat: 35.7449345413861, lng: -120.69716204497}_x000D_
interest: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23" t="str">
        <f>IF(AS103,"places\"&amp;VLOOKUP(C103,'(Ref) Countries'!A:B,2,)&amp;IF(LEN(D103)&gt;1,"-"&amp;LOWER(SUBSTITUTE(D103," ","-")),"")&amp;"-"&amp;LOWER(SUBSTITUTE(SUBSTITUTE(H103," ","-"),".",""))&amp;".md","")</f>
        <v>places\us_ca-san-miguel-mission-san-miguel.md</v>
      </c>
      <c r="CC103" s="29" t="str">
        <f>IF(LEN(Z103)&gt;1,VLOOKUP(Z103,'Tag List'!$A:$B,2,),"")</f>
        <v>Franciscian Missions in California</v>
      </c>
      <c r="CD103" s="29" t="str">
        <f>IF(LEN(AA103)&gt;1,VLOOKUP(AA103,'Tag List'!$A:$B,2,),"")</f>
        <v>Order of Friars Minor (Fransiscans)</v>
      </c>
      <c r="CE103" s="29" t="str">
        <f>IF(LEN(AB103)&gt;1,VLOOKUP(AB103,'Tag List'!$A:$B,2,),"")</f>
        <v/>
      </c>
      <c r="CF103" s="29" t="str">
        <f>IF(LEN(Z103)&gt;1,GetTagPage(CC103,Z103),"")</f>
        <v>[Franciscian Missions in California](/tags/california-missions)</v>
      </c>
      <c r="CG103" s="29" t="str">
        <f>IF(LEN(AA103)&gt;1,GetTagPage(CD103,AA103),"")</f>
        <v>[Order of Friars Minor (Fransiscans)](/tags/franciscans)</v>
      </c>
      <c r="CH103" s="29" t="str">
        <f>IF(LEN(AB103)&gt;1,GetTagPage(CE103,AB103),"")</f>
        <v/>
      </c>
      <c r="CI103" s="29" t="str">
        <f t="shared" si="120"/>
        <v xml:space="preserve">| [Franciscian Missions in California](/tags/california-missions), [Order of Friars Minor (Fransiscans)](/tags/franciscans) </v>
      </c>
      <c r="CJ103" s="29" t="str">
        <f t="shared" si="121"/>
        <v xml:space="preserve">| [](/places/places\us_ca-san-miguel-mission-san-miguel) </v>
      </c>
      <c r="CK103" s="29" t="str">
        <f>"| "&amp;IF(AS103,GetTagPage(C103,VLOOKUP(C103,'(Ref) Countries'!A:C,3,)),C103)&amp; " "</f>
        <v xml:space="preserve">| [US California](/tags/usa
- california) </v>
      </c>
      <c r="CL103" s="29" t="str">
        <f t="shared" si="122"/>
        <v xml:space="preserve">|  </v>
      </c>
      <c r="CM103" s="29" t="str">
        <f t="shared" si="123"/>
        <v xml:space="preserve">| [Link](/places/places\us_ca-san-miguel-mission-san-miguel) </v>
      </c>
      <c r="CN103" s="29" t="str">
        <f t="shared" si="124"/>
        <v xml:space="preserve">
| [](/places/places\us_ca-san-miguel-mission-san-miguel) | [US California](/tags/usa
- california) |  | [Link](/places/places\us_ca-san-miguel-mission-san-miguel) [Official site](http://www.missionsanmiguel.org/)| [Franciscian Missions in California](/tags/california-missions), [Order of Friars Minor (Fransiscans)](/tags/franciscans) |</v>
      </c>
    </row>
    <row r="104" spans="1:92" ht="25.5" x14ac:dyDescent="0.25">
      <c r="A104" s="167" t="s">
        <v>1317</v>
      </c>
      <c r="B104" s="24" t="s">
        <v>2481</v>
      </c>
      <c r="C104" s="24" t="s">
        <v>1874</v>
      </c>
      <c r="D104" s="24" t="s">
        <v>2288</v>
      </c>
      <c r="E104" s="15">
        <v>34.272871781930903</v>
      </c>
      <c r="F104" s="49">
        <v>-118.461632373847</v>
      </c>
      <c r="G104" s="24" t="s">
        <v>2268</v>
      </c>
      <c r="H104" s="119" t="s">
        <v>2302</v>
      </c>
      <c r="I104" s="24" t="s">
        <v>1802</v>
      </c>
      <c r="J104" s="24" t="b">
        <v>1</v>
      </c>
      <c r="L104" s="24" t="b">
        <v>1</v>
      </c>
      <c r="M104" s="24" t="s">
        <v>2321</v>
      </c>
      <c r="P104" s="15" t="s">
        <v>335</v>
      </c>
      <c r="Q104" s="60" t="s">
        <v>2344</v>
      </c>
      <c r="R104" s="15" t="s">
        <v>2361</v>
      </c>
      <c r="S104" s="64" t="s">
        <v>335</v>
      </c>
      <c r="T104" s="60" t="s">
        <v>2366</v>
      </c>
      <c r="U104" s="15" t="s">
        <v>2383</v>
      </c>
      <c r="V104" s="64" t="s">
        <v>335</v>
      </c>
      <c r="Z104" s="15" t="s">
        <v>2397</v>
      </c>
      <c r="AA104" s="15" t="s">
        <v>2391</v>
      </c>
      <c r="AS104" s="154" t="b">
        <f t="shared" si="96"/>
        <v>1</v>
      </c>
      <c r="AT104" s="155" t="str">
        <f t="shared" si="97"/>
        <v>title: "Mission San Fernando Rey de Espana"</v>
      </c>
      <c r="AU104" s="155" t="str">
        <f t="shared" si="98"/>
        <v>location: {lat: 34.2728717819309, lng: -118.461632373847}</v>
      </c>
      <c r="AV104" s="155" t="str">
        <f t="shared" si="99"/>
        <v>interest: local</v>
      </c>
      <c r="AW104" s="155" t="str">
        <f>"- "&amp;VLOOKUP(C104,'(Ref) Countries'!A:C,3,)</f>
        <v>- usa
- california</v>
      </c>
      <c r="AX104" s="155" t="str">
        <f t="shared" si="100"/>
        <v>- mission-hills</v>
      </c>
      <c r="AY104" s="155" t="str">
        <f t="shared" si="101"/>
        <v>- churches</v>
      </c>
      <c r="AZ104" s="155" t="str">
        <f t="shared" si="102"/>
        <v/>
      </c>
      <c r="BA104" s="155" t="str">
        <f t="shared" si="103"/>
        <v>- holy-persons</v>
      </c>
      <c r="BB104" s="155" t="str">
        <f t="shared" si="104"/>
        <v>- california-missions</v>
      </c>
      <c r="BC104" s="155" t="str">
        <f t="shared" si="105"/>
        <v>- franciscans</v>
      </c>
      <c r="BD104" s="155" t="str">
        <f t="shared" si="106"/>
        <v/>
      </c>
      <c r="BE104" s="155" t="str">
        <f t="shared" si="107"/>
        <v/>
      </c>
      <c r="BF104" s="155" t="str">
        <f t="shared" si="108"/>
        <v/>
      </c>
      <c r="BG104" s="155" t="str">
        <f t="shared" si="109"/>
        <v/>
      </c>
      <c r="BH104" s="155" t="str">
        <f t="shared" si="110"/>
        <v/>
      </c>
      <c r="BI104" s="155" t="str">
        <f t="shared" si="111"/>
        <v/>
      </c>
      <c r="BJ104" s="155" t="str">
        <f t="shared" si="112"/>
        <v/>
      </c>
      <c r="BK104" s="155" t="str">
        <f t="shared" si="113"/>
        <v/>
      </c>
      <c r="BL104" s="155" t="str">
        <f t="shared" si="114"/>
        <v xml:space="preserve">tags:
- usa
- california_x000D_
- mission-hills_x000D_
- churches_x000D_
- holy-persons_x000D_
- california-missions_x000D_
- franciscans_x000D_
</v>
      </c>
      <c r="BM104" s="158" t="str">
        <f t="shared" si="92"/>
        <v/>
      </c>
      <c r="BN104" s="158" t="str">
        <f t="shared" si="93"/>
        <v>[California Missions Foundation page](https://californiamissionsfoundation.org/mission-san-fernando/)</v>
      </c>
      <c r="BO104" s="158" t="str">
        <f t="shared" si="94"/>
        <v>[Missions California page](https://www.missionscalifornia.com/missions/san-fernando-rey-de-espana/)</v>
      </c>
      <c r="BP104" s="158" t="str">
        <f t="shared" si="95"/>
        <v/>
      </c>
      <c r="BQ104" s="155" t="str">
        <f t="shared" si="115"/>
        <v xml:space="preserve">* [California Missions Foundation page](https://californiamissionsfoundation.org/mission-san-fernando/)
* [Missions California page](https://www.missionscalifornia.com/missions/san-fernando-rey-de-espana/)
</v>
      </c>
      <c r="BR104" s="155" t="str">
        <f t="shared" si="116"/>
        <v/>
      </c>
      <c r="BS104" s="155" t="str">
        <f t="shared" si="117"/>
        <v/>
      </c>
      <c r="BT104" s="155" t="str">
        <f t="shared" si="118"/>
        <v/>
      </c>
      <c r="BU104" s="155" t="str">
        <f>IF(LEN(concat(BR104:BT104))&gt;0,concat("| ",BR104," | ",BS104," | ",BT104," |"),"")</f>
        <v/>
      </c>
      <c r="BV104" s="155" t="str">
        <f t="shared" si="119"/>
        <v/>
      </c>
      <c r="BW104" s="155"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55" t="str">
        <f>IF(LEN(N104)&gt;1,concatll("#### Author's Note",N104,"-"&amp;B104),"")</f>
        <v/>
      </c>
      <c r="BY104" s="155" t="s">
        <v>335</v>
      </c>
      <c r="BZ104" s="155" t="s">
        <v>335</v>
      </c>
      <c r="CA104" s="23" t="str">
        <f>IF(AS104,concatll(concatl("---",AT104:AV104,BL104,"---"),M104,BW104:BX104),"")</f>
        <v xml:space="preserve">---_x000D_
title: "Mission San Fernando Rey de Espana"_x000D_
location: {lat: 34.2728717819309, lng: -118.461632373847}_x000D_
interest: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23" t="str">
        <f>IF(AS104,"places\"&amp;VLOOKUP(C104,'(Ref) Countries'!A:B,2,)&amp;IF(LEN(D104)&gt;1,"-"&amp;LOWER(SUBSTITUTE(D104," ","-")),"")&amp;"-"&amp;LOWER(SUBSTITUTE(SUBSTITUTE(H104," ","-"),".",""))&amp;".md","")</f>
        <v>places\us_ca-mission-hills-mission-san-fernando.md</v>
      </c>
      <c r="CC104" s="29" t="str">
        <f>IF(LEN(Z104)&gt;1,VLOOKUP(Z104,'Tag List'!$A:$B,2,),"")</f>
        <v>Franciscian Missions in California</v>
      </c>
      <c r="CD104" s="29" t="str">
        <f>IF(LEN(AA104)&gt;1,VLOOKUP(AA104,'Tag List'!$A:$B,2,),"")</f>
        <v>Order of Friars Minor (Fransiscans)</v>
      </c>
      <c r="CE104" s="29" t="str">
        <f>IF(LEN(AB104)&gt;1,VLOOKUP(AB104,'Tag List'!$A:$B,2,),"")</f>
        <v/>
      </c>
      <c r="CF104" s="29" t="str">
        <f>IF(LEN(Z104)&gt;1,GetTagPage(CC104,Z104),"")</f>
        <v>[Franciscian Missions in California](/tags/california-missions)</v>
      </c>
      <c r="CG104" s="29" t="str">
        <f>IF(LEN(AA104)&gt;1,GetTagPage(CD104,AA104),"")</f>
        <v>[Order of Friars Minor (Fransiscans)](/tags/franciscans)</v>
      </c>
      <c r="CH104" s="29" t="str">
        <f>IF(LEN(AB104)&gt;1,GetTagPage(CE104,AB104),"")</f>
        <v/>
      </c>
      <c r="CI104" s="29" t="str">
        <f t="shared" si="120"/>
        <v xml:space="preserve">| [Franciscian Missions in California](/tags/california-missions), [Order of Friars Minor (Fransiscans)](/tags/franciscans) </v>
      </c>
      <c r="CJ104" s="29" t="str">
        <f t="shared" si="121"/>
        <v xml:space="preserve">| [](/places/places\us_ca-mission-hills-mission-san-fernando) </v>
      </c>
      <c r="CK104" s="29" t="str">
        <f>"| "&amp;IF(AS104,GetTagPage(C104,VLOOKUP(C104,'(Ref) Countries'!A:C,3,)),C104)&amp; " "</f>
        <v xml:space="preserve">| [US California](/tags/usa
- california) </v>
      </c>
      <c r="CL104" s="29" t="str">
        <f t="shared" si="122"/>
        <v xml:space="preserve">|  </v>
      </c>
      <c r="CM104" s="29" t="str">
        <f t="shared" si="123"/>
        <v xml:space="preserve">| [Link](/places/places\us_ca-mission-hills-mission-san-fernando) </v>
      </c>
      <c r="CN104" s="29" t="str">
        <f t="shared" si="124"/>
        <v xml:space="preserve">
| [](/places/places\us_ca-mission-hills-mission-san-fernando) | [US California](/tags/usa
- california) |  | [Link](/places/places\us_ca-mission-hills-mission-san-fernando) | [Franciscian Missions in California](/tags/california-missions), [Order of Friars Minor (Fransiscans)](/tags/franciscans) |</v>
      </c>
    </row>
    <row r="105" spans="1:92" ht="25.5" x14ac:dyDescent="0.25">
      <c r="A105" s="167" t="s">
        <v>1317</v>
      </c>
      <c r="B105" s="24" t="s">
        <v>2481</v>
      </c>
      <c r="C105" s="24" t="s">
        <v>1874</v>
      </c>
      <c r="D105" s="24" t="s">
        <v>2289</v>
      </c>
      <c r="E105" s="15">
        <v>33.232169550864199</v>
      </c>
      <c r="F105" s="49">
        <v>-117.31975640271099</v>
      </c>
      <c r="G105" s="24" t="s">
        <v>2269</v>
      </c>
      <c r="H105" s="119" t="s">
        <v>2298</v>
      </c>
      <c r="I105" s="24" t="s">
        <v>1802</v>
      </c>
      <c r="J105" s="24" t="b">
        <v>1</v>
      </c>
      <c r="L105" s="24" t="b">
        <v>1</v>
      </c>
      <c r="M105" s="116" t="s">
        <v>2395</v>
      </c>
      <c r="O105" s="15" t="s">
        <v>2340</v>
      </c>
      <c r="P105" s="15" t="s">
        <v>335</v>
      </c>
      <c r="Q105" s="60" t="s">
        <v>2344</v>
      </c>
      <c r="R105" s="15" t="s">
        <v>2362</v>
      </c>
      <c r="S105" s="64" t="s">
        <v>335</v>
      </c>
      <c r="T105" s="60" t="s">
        <v>2366</v>
      </c>
      <c r="U105" s="15" t="s">
        <v>2384</v>
      </c>
      <c r="V105" s="64" t="s">
        <v>335</v>
      </c>
      <c r="Z105" s="15" t="s">
        <v>2397</v>
      </c>
      <c r="AA105" s="15" t="s">
        <v>2391</v>
      </c>
      <c r="AB105" s="15" t="s">
        <v>1420</v>
      </c>
      <c r="AS105" s="154" t="b">
        <f t="shared" si="96"/>
        <v>1</v>
      </c>
      <c r="AT105" s="155" t="str">
        <f t="shared" si="97"/>
        <v>title: "Mission San Luis Rey de Francia"</v>
      </c>
      <c r="AU105" s="155" t="str">
        <f t="shared" si="98"/>
        <v>location: {lat: 33.2321695508642, lng: -117.319756402711}</v>
      </c>
      <c r="AV105" s="155" t="str">
        <f t="shared" si="99"/>
        <v>interest: local</v>
      </c>
      <c r="AW105" s="155" t="str">
        <f>"- "&amp;VLOOKUP(C105,'(Ref) Countries'!A:C,3,)</f>
        <v>- usa
- california</v>
      </c>
      <c r="AX105" s="155" t="str">
        <f t="shared" si="100"/>
        <v>- oceanside</v>
      </c>
      <c r="AY105" s="155" t="str">
        <f t="shared" si="101"/>
        <v>- churches</v>
      </c>
      <c r="AZ105" s="155" t="str">
        <f t="shared" si="102"/>
        <v/>
      </c>
      <c r="BA105" s="155" t="str">
        <f t="shared" si="103"/>
        <v>- holy-persons</v>
      </c>
      <c r="BB105" s="155" t="str">
        <f t="shared" si="104"/>
        <v>- california-missions</v>
      </c>
      <c r="BC105" s="155" t="str">
        <f t="shared" si="105"/>
        <v>- franciscans</v>
      </c>
      <c r="BD105" s="155" t="str">
        <f t="shared" si="106"/>
        <v>- communities</v>
      </c>
      <c r="BE105" s="155" t="str">
        <f t="shared" si="107"/>
        <v/>
      </c>
      <c r="BF105" s="155" t="str">
        <f t="shared" si="108"/>
        <v/>
      </c>
      <c r="BG105" s="155" t="str">
        <f t="shared" si="109"/>
        <v/>
      </c>
      <c r="BH105" s="155" t="str">
        <f t="shared" si="110"/>
        <v/>
      </c>
      <c r="BI105" s="155" t="str">
        <f t="shared" si="111"/>
        <v/>
      </c>
      <c r="BJ105" s="155" t="str">
        <f t="shared" si="112"/>
        <v/>
      </c>
      <c r="BK105" s="155" t="str">
        <f t="shared" si="113"/>
        <v/>
      </c>
      <c r="BL105" s="155" t="str">
        <f t="shared" si="114"/>
        <v xml:space="preserve">tags:
- usa
- california_x000D_
- oceanside_x000D_
- churches_x000D_
- holy-persons_x000D_
- california-missions_x000D_
- franciscans_x000D_
- communities_x000D_
</v>
      </c>
      <c r="BM105" s="158" t="str">
        <f t="shared" si="92"/>
        <v>[Official site](https://www.sanluisrey.org/)</v>
      </c>
      <c r="BN105" s="158" t="str">
        <f t="shared" si="93"/>
        <v>[California Missions Foundation page](https://californiamissionsfoundation.org/mission-san-luis-rey/)</v>
      </c>
      <c r="BO105" s="158" t="str">
        <f t="shared" si="94"/>
        <v>[Missions California page](https://www.missionscalifornia.com/missions/san-luis-rey-francia/)</v>
      </c>
      <c r="BP105" s="158" t="str">
        <f t="shared" si="95"/>
        <v/>
      </c>
      <c r="BQ105" s="155" t="str">
        <f t="shared" si="115"/>
        <v xml:space="preserve">* [Official site](https://www.sanluisrey.org/)
* [California Missions Foundation page](https://californiamissionsfoundation.org/mission-san-luis-rey/)
* [Missions California page](https://www.missionscalifornia.com/missions/san-luis-rey-francia/)
</v>
      </c>
      <c r="BR105" s="155" t="str">
        <f t="shared" si="116"/>
        <v/>
      </c>
      <c r="BS105" s="155" t="str">
        <f t="shared" si="117"/>
        <v/>
      </c>
      <c r="BT105" s="155" t="str">
        <f t="shared" si="118"/>
        <v/>
      </c>
      <c r="BU105" s="155" t="str">
        <f>IF(LEN(concat(BR105:BT105))&gt;0,concat("| ",BR105," | ",BS105," | ",BT105," |"),"")</f>
        <v/>
      </c>
      <c r="BV105" s="155" t="str">
        <f t="shared" si="119"/>
        <v/>
      </c>
      <c r="BW105" s="155"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55" t="str">
        <f>IF(LEN(N105)&gt;1,concatll("#### Author's Note",N105,"-"&amp;B105),"")</f>
        <v/>
      </c>
      <c r="BY105" s="155" t="s">
        <v>335</v>
      </c>
      <c r="BZ105" s="155" t="s">
        <v>335</v>
      </c>
      <c r="CA105" s="23" t="str">
        <f>IF(AS105,concatll(concatl("---",AT105:AV105,BL105,"---"),M105,BW105:BX105),"")</f>
        <v xml:space="preserve">---_x000D_
title: "Mission San Luis Rey de Francia"_x000D_
location: {lat: 33.2321695508642, lng: -117.319756402711}_x000D_
interest: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23" t="str">
        <f>IF(AS105,"places\"&amp;VLOOKUP(C105,'(Ref) Countries'!A:B,2,)&amp;IF(LEN(D105)&gt;1,"-"&amp;LOWER(SUBSTITUTE(D105," ","-")),"")&amp;"-"&amp;LOWER(SUBSTITUTE(SUBSTITUTE(H105," ","-"),".",""))&amp;".md","")</f>
        <v>places\us_ca-oceanside-mission-san-luis.md</v>
      </c>
      <c r="CC105" s="29" t="str">
        <f>IF(LEN(Z105)&gt;1,VLOOKUP(Z105,'Tag List'!$A:$B,2,),"")</f>
        <v>Franciscian Missions in California</v>
      </c>
      <c r="CD105" s="29" t="str">
        <f>IF(LEN(AA105)&gt;1,VLOOKUP(AA105,'Tag List'!$A:$B,2,),"")</f>
        <v>Order of Friars Minor (Fransiscans)</v>
      </c>
      <c r="CE105" s="29" t="str">
        <f>IF(LEN(AB105)&gt;1,VLOOKUP(AB105,'Tag List'!$A:$B,2,),"")</f>
        <v>Religious Communities</v>
      </c>
      <c r="CF105" s="29" t="str">
        <f>IF(LEN(Z105)&gt;1,GetTagPage(CC105,Z105),"")</f>
        <v>[Franciscian Missions in California](/tags/california-missions)</v>
      </c>
      <c r="CG105" s="29" t="str">
        <f>IF(LEN(AA105)&gt;1,GetTagPage(CD105,AA105),"")</f>
        <v>[Order of Friars Minor (Fransiscans)](/tags/franciscans)</v>
      </c>
      <c r="CH105" s="29" t="str">
        <f>IF(LEN(AB105)&gt;1,GetTagPage(CE105,AB105),"")</f>
        <v>[Religious Communities](/tags/communities)</v>
      </c>
      <c r="CI105" s="29" t="str">
        <f t="shared" si="120"/>
        <v xml:space="preserve">| [Franciscian Missions in California](/tags/california-missions), [Order of Friars Minor (Fransiscans)](/tags/franciscans), [Religious Communities](/tags/communities) </v>
      </c>
      <c r="CJ105" s="29" t="str">
        <f t="shared" si="121"/>
        <v xml:space="preserve">| [](/places/places\us_ca-oceanside-mission-san-luis) </v>
      </c>
      <c r="CK105" s="29" t="str">
        <f>"| "&amp;IF(AS105,GetTagPage(C105,VLOOKUP(C105,'(Ref) Countries'!A:C,3,)),C105)&amp; " "</f>
        <v xml:space="preserve">| [US California](/tags/usa
- california) </v>
      </c>
      <c r="CL105" s="29" t="str">
        <f t="shared" si="122"/>
        <v xml:space="preserve">|  </v>
      </c>
      <c r="CM105" s="29" t="str">
        <f t="shared" si="123"/>
        <v xml:space="preserve">| [Link](/places/places\us_ca-oceanside-mission-san-luis) </v>
      </c>
      <c r="CN105" s="29" t="str">
        <f t="shared" si="124"/>
        <v xml:space="preserve">
| [](/places/places\us_ca-oceanside-mission-san-luis) | [US California](/tags/usa
- california) |  | [Link](/places/places\us_ca-oceanside-mission-san-luis) [Official site](https://www.sanluisrey.org/)| [Franciscian Missions in California](/tags/california-missions), [Order of Friars Minor (Fransiscans)](/tags/franciscans), [Religious Communities](/tags/communities) |</v>
      </c>
    </row>
    <row r="106" spans="1:92" ht="25.5" x14ac:dyDescent="0.25">
      <c r="A106" s="167" t="s">
        <v>1317</v>
      </c>
      <c r="B106" s="24" t="s">
        <v>2481</v>
      </c>
      <c r="C106" s="24" t="s">
        <v>1874</v>
      </c>
      <c r="D106" s="24" t="s">
        <v>2290</v>
      </c>
      <c r="E106" s="15">
        <v>34.594730577400298</v>
      </c>
      <c r="F106" s="49">
        <v>-120.13640525849399</v>
      </c>
      <c r="G106" s="24" t="s">
        <v>2270</v>
      </c>
      <c r="H106" s="53" t="s">
        <v>2270</v>
      </c>
      <c r="I106" s="24" t="s">
        <v>1802</v>
      </c>
      <c r="J106" s="24" t="b">
        <v>1</v>
      </c>
      <c r="L106" s="24" t="b">
        <v>1</v>
      </c>
      <c r="M106" s="24" t="s">
        <v>2322</v>
      </c>
      <c r="O106" s="15" t="s">
        <v>2341</v>
      </c>
      <c r="P106" s="15" t="s">
        <v>335</v>
      </c>
      <c r="Q106" s="60" t="s">
        <v>2344</v>
      </c>
      <c r="R106" s="15" t="s">
        <v>2363</v>
      </c>
      <c r="S106" s="64" t="s">
        <v>335</v>
      </c>
      <c r="T106" s="60" t="s">
        <v>2366</v>
      </c>
      <c r="U106" s="15" t="s">
        <v>2385</v>
      </c>
      <c r="V106" s="64" t="s">
        <v>335</v>
      </c>
      <c r="Z106" s="15" t="s">
        <v>2397</v>
      </c>
      <c r="AA106" s="15" t="s">
        <v>2391</v>
      </c>
      <c r="AS106" s="154" t="b">
        <f t="shared" si="96"/>
        <v>1</v>
      </c>
      <c r="AT106" s="155" t="str">
        <f t="shared" si="97"/>
        <v>title: "Mission Santa Ines"</v>
      </c>
      <c r="AU106" s="155" t="str">
        <f t="shared" si="98"/>
        <v>location: {lat: 34.5947305774003, lng: -120.136405258494}</v>
      </c>
      <c r="AV106" s="155" t="str">
        <f t="shared" si="99"/>
        <v>interest: local</v>
      </c>
      <c r="AW106" s="155" t="str">
        <f>"- "&amp;VLOOKUP(C106,'(Ref) Countries'!A:C,3,)</f>
        <v>- usa
- california</v>
      </c>
      <c r="AX106" s="155" t="str">
        <f t="shared" si="100"/>
        <v>- solvang</v>
      </c>
      <c r="AY106" s="155" t="str">
        <f t="shared" si="101"/>
        <v>- churches</v>
      </c>
      <c r="AZ106" s="155" t="str">
        <f t="shared" si="102"/>
        <v/>
      </c>
      <c r="BA106" s="155" t="str">
        <f t="shared" si="103"/>
        <v>- holy-persons</v>
      </c>
      <c r="BB106" s="155" t="str">
        <f t="shared" si="104"/>
        <v>- california-missions</v>
      </c>
      <c r="BC106" s="155" t="str">
        <f t="shared" si="105"/>
        <v>- franciscans</v>
      </c>
      <c r="BD106" s="155" t="str">
        <f t="shared" si="106"/>
        <v/>
      </c>
      <c r="BE106" s="155" t="str">
        <f t="shared" si="107"/>
        <v/>
      </c>
      <c r="BF106" s="155" t="str">
        <f t="shared" si="108"/>
        <v/>
      </c>
      <c r="BG106" s="155" t="str">
        <f t="shared" si="109"/>
        <v/>
      </c>
      <c r="BH106" s="155" t="str">
        <f t="shared" si="110"/>
        <v/>
      </c>
      <c r="BI106" s="155" t="str">
        <f t="shared" si="111"/>
        <v/>
      </c>
      <c r="BJ106" s="155" t="str">
        <f t="shared" si="112"/>
        <v/>
      </c>
      <c r="BK106" s="155" t="str">
        <f t="shared" si="113"/>
        <v/>
      </c>
      <c r="BL106" s="155" t="str">
        <f t="shared" si="114"/>
        <v xml:space="preserve">tags:
- usa
- california_x000D_
- solvang_x000D_
- churches_x000D_
- holy-persons_x000D_
- california-missions_x000D_
- franciscans_x000D_
</v>
      </c>
      <c r="BM106" s="158" t="str">
        <f t="shared" si="92"/>
        <v>[Official site](https://missionsantaines.org/)</v>
      </c>
      <c r="BN106" s="158" t="str">
        <f t="shared" si="93"/>
        <v>[California Missions Foundation page](https://californiamissionsfoundation.org/mission-santa-ines/)</v>
      </c>
      <c r="BO106" s="158" t="str">
        <f t="shared" si="94"/>
        <v>[Missions California page](https://www.missionscalifornia.com/missions/santa-ines-virgen-y-martir/)</v>
      </c>
      <c r="BP106" s="158" t="str">
        <f t="shared" si="95"/>
        <v/>
      </c>
      <c r="BQ106" s="155" t="str">
        <f t="shared" si="115"/>
        <v xml:space="preserve">* [Official site](https://missionsantaines.org/)
* [California Missions Foundation page](https://californiamissionsfoundation.org/mission-santa-ines/)
* [Missions California page](https://www.missionscalifornia.com/missions/santa-ines-virgen-y-martir/)
</v>
      </c>
      <c r="BR106" s="155" t="str">
        <f t="shared" si="116"/>
        <v/>
      </c>
      <c r="BS106" s="155" t="str">
        <f t="shared" si="117"/>
        <v/>
      </c>
      <c r="BT106" s="155" t="str">
        <f t="shared" si="118"/>
        <v/>
      </c>
      <c r="BU106" s="155" t="str">
        <f>IF(LEN(concat(BR106:BT106))&gt;0,concat("| ",BR106," | ",BS106," | ",BT106," |"),"")</f>
        <v/>
      </c>
      <c r="BV106" s="155" t="str">
        <f t="shared" si="119"/>
        <v/>
      </c>
      <c r="BW106" s="155"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55" t="str">
        <f>IF(LEN(N106)&gt;1,concatll("#### Author's Note",N106,"-"&amp;B106),"")</f>
        <v/>
      </c>
      <c r="BY106" s="155" t="s">
        <v>335</v>
      </c>
      <c r="BZ106" s="155" t="s">
        <v>335</v>
      </c>
      <c r="CA106" s="23" t="str">
        <f>IF(AS106,concatll(concatl("---",AT106:AV106,BL106,"---"),M106,BW106:BX106),"")</f>
        <v xml:space="preserve">---_x000D_
title: "Mission Santa Ines"_x000D_
location: {lat: 34.5947305774003, lng: -120.136405258494}_x000D_
interest: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23" t="str">
        <f>IF(AS106,"places\"&amp;VLOOKUP(C106,'(Ref) Countries'!A:B,2,)&amp;IF(LEN(D106)&gt;1,"-"&amp;LOWER(SUBSTITUTE(D106," ","-")),"")&amp;"-"&amp;LOWER(SUBSTITUTE(SUBSTITUTE(H106," ","-"),".",""))&amp;".md","")</f>
        <v>places\us_ca-solvang-mission-santa-ines.md</v>
      </c>
      <c r="CC106" s="29" t="str">
        <f>IF(LEN(Z106)&gt;1,VLOOKUP(Z106,'Tag List'!$A:$B,2,),"")</f>
        <v>Franciscian Missions in California</v>
      </c>
      <c r="CD106" s="29" t="str">
        <f>IF(LEN(AA106)&gt;1,VLOOKUP(AA106,'Tag List'!$A:$B,2,),"")</f>
        <v>Order of Friars Minor (Fransiscans)</v>
      </c>
      <c r="CE106" s="29" t="str">
        <f>IF(LEN(AB106)&gt;1,VLOOKUP(AB106,'Tag List'!$A:$B,2,),"")</f>
        <v/>
      </c>
      <c r="CF106" s="29" t="str">
        <f>IF(LEN(Z106)&gt;1,GetTagPage(CC106,Z106),"")</f>
        <v>[Franciscian Missions in California](/tags/california-missions)</v>
      </c>
      <c r="CG106" s="29" t="str">
        <f>IF(LEN(AA106)&gt;1,GetTagPage(CD106,AA106),"")</f>
        <v>[Order of Friars Minor (Fransiscans)](/tags/franciscans)</v>
      </c>
      <c r="CH106" s="29" t="str">
        <f>IF(LEN(AB106)&gt;1,GetTagPage(CE106,AB106),"")</f>
        <v/>
      </c>
      <c r="CI106" s="29" t="str">
        <f t="shared" si="120"/>
        <v xml:space="preserve">| [Franciscian Missions in California](/tags/california-missions), [Order of Friars Minor (Fransiscans)](/tags/franciscans) </v>
      </c>
      <c r="CJ106" s="29" t="str">
        <f t="shared" si="121"/>
        <v xml:space="preserve">| [](/places/places\us_ca-solvang-mission-santa-ines) </v>
      </c>
      <c r="CK106" s="29" t="str">
        <f>"| "&amp;IF(AS106,GetTagPage(C106,VLOOKUP(C106,'(Ref) Countries'!A:C,3,)),C106)&amp; " "</f>
        <v xml:space="preserve">| [US California](/tags/usa
- california) </v>
      </c>
      <c r="CL106" s="29" t="str">
        <f t="shared" si="122"/>
        <v xml:space="preserve">|  </v>
      </c>
      <c r="CM106" s="29" t="str">
        <f t="shared" si="123"/>
        <v xml:space="preserve">| [Link](/places/places\us_ca-solvang-mission-santa-ines) </v>
      </c>
      <c r="CN106" s="29" t="str">
        <f t="shared" si="124"/>
        <v xml:space="preserve">
| [](/places/places\us_ca-solvang-mission-santa-ines) | [US California](/tags/usa
- california) |  | [Link](/places/places\us_ca-solvang-mission-santa-ines) [Official site](https://missionsantaines.org/)| [Franciscian Missions in California](/tags/california-missions), [Order of Friars Minor (Fransiscans)](/tags/franciscans) |</v>
      </c>
    </row>
    <row r="107" spans="1:92" ht="25.5" x14ac:dyDescent="0.25">
      <c r="A107" s="167" t="s">
        <v>1317</v>
      </c>
      <c r="B107" s="24" t="s">
        <v>2481</v>
      </c>
      <c r="C107" s="24" t="s">
        <v>1874</v>
      </c>
      <c r="D107" s="24" t="s">
        <v>2291</v>
      </c>
      <c r="E107" s="15">
        <v>37.974237142318998</v>
      </c>
      <c r="F107" s="49">
        <v>-122.52797457374101</v>
      </c>
      <c r="G107" s="116" t="s">
        <v>2306</v>
      </c>
      <c r="H107" s="119" t="s">
        <v>2303</v>
      </c>
      <c r="I107" s="24" t="s">
        <v>1802</v>
      </c>
      <c r="J107" s="24" t="b">
        <v>1</v>
      </c>
      <c r="L107" s="24" t="b">
        <v>1</v>
      </c>
      <c r="M107" s="24" t="s">
        <v>2323</v>
      </c>
      <c r="O107" s="15" t="s">
        <v>2342</v>
      </c>
      <c r="P107" s="15" t="s">
        <v>335</v>
      </c>
      <c r="Q107" s="60" t="s">
        <v>2344</v>
      </c>
      <c r="R107" s="15" t="s">
        <v>2364</v>
      </c>
      <c r="S107" s="64" t="s">
        <v>335</v>
      </c>
      <c r="T107" s="60" t="s">
        <v>2366</v>
      </c>
      <c r="U107" s="15" t="s">
        <v>2386</v>
      </c>
      <c r="V107" s="64" t="s">
        <v>335</v>
      </c>
      <c r="Z107" s="15" t="s">
        <v>2397</v>
      </c>
      <c r="AA107" s="15" t="s">
        <v>2391</v>
      </c>
      <c r="AS107" s="154" t="b">
        <f t="shared" si="96"/>
        <v>1</v>
      </c>
      <c r="AT107" s="155" t="str">
        <f t="shared" si="97"/>
        <v>title: "Mission San Rafael Arcangel"</v>
      </c>
      <c r="AU107" s="155" t="str">
        <f t="shared" si="98"/>
        <v>location: {lat: 37.974237142319, lng: -122.527974573741}</v>
      </c>
      <c r="AV107" s="155" t="str">
        <f t="shared" si="99"/>
        <v>interest: local</v>
      </c>
      <c r="AW107" s="155" t="str">
        <f>"- "&amp;VLOOKUP(C107,'(Ref) Countries'!A:C,3,)</f>
        <v>- usa
- california</v>
      </c>
      <c r="AX107" s="155" t="str">
        <f t="shared" si="100"/>
        <v>- san-rafael</v>
      </c>
      <c r="AY107" s="155" t="str">
        <f t="shared" si="101"/>
        <v>- churches</v>
      </c>
      <c r="AZ107" s="155" t="str">
        <f t="shared" si="102"/>
        <v/>
      </c>
      <c r="BA107" s="155" t="str">
        <f t="shared" si="103"/>
        <v>- holy-persons</v>
      </c>
      <c r="BB107" s="155" t="str">
        <f t="shared" si="104"/>
        <v>- california-missions</v>
      </c>
      <c r="BC107" s="155" t="str">
        <f t="shared" si="105"/>
        <v>- franciscans</v>
      </c>
      <c r="BD107" s="155" t="str">
        <f t="shared" si="106"/>
        <v/>
      </c>
      <c r="BE107" s="155" t="str">
        <f t="shared" si="107"/>
        <v/>
      </c>
      <c r="BF107" s="155" t="str">
        <f t="shared" si="108"/>
        <v/>
      </c>
      <c r="BG107" s="155" t="str">
        <f t="shared" si="109"/>
        <v/>
      </c>
      <c r="BH107" s="155" t="str">
        <f t="shared" si="110"/>
        <v/>
      </c>
      <c r="BI107" s="155" t="str">
        <f t="shared" si="111"/>
        <v/>
      </c>
      <c r="BJ107" s="155" t="str">
        <f t="shared" si="112"/>
        <v/>
      </c>
      <c r="BK107" s="155" t="str">
        <f t="shared" si="113"/>
        <v/>
      </c>
      <c r="BL107" s="155" t="str">
        <f t="shared" si="114"/>
        <v xml:space="preserve">tags:
- usa
- california_x000D_
- san-rafael_x000D_
- churches_x000D_
- holy-persons_x000D_
- california-missions_x000D_
- franciscans_x000D_
</v>
      </c>
      <c r="BM107" s="158" t="str">
        <f t="shared" si="92"/>
        <v>[Official site](http://saintraphael.com/)</v>
      </c>
      <c r="BN107" s="158" t="str">
        <f t="shared" si="93"/>
        <v>[California Missions Foundation page](https://californiamissionsfoundation.org/mission-san-rafael/)</v>
      </c>
      <c r="BO107" s="158" t="str">
        <f t="shared" si="94"/>
        <v>[Missions California page](https://www.missionscalifornia.com/missions/san-rafael-arcangel/)</v>
      </c>
      <c r="BP107" s="158" t="str">
        <f t="shared" si="95"/>
        <v/>
      </c>
      <c r="BQ107" s="155" t="str">
        <f t="shared" si="115"/>
        <v xml:space="preserve">* [Official site](http://saintraphael.com/)
* [California Missions Foundation page](https://californiamissionsfoundation.org/mission-san-rafael/)
* [Missions California page](https://www.missionscalifornia.com/missions/san-rafael-arcangel/)
</v>
      </c>
      <c r="BR107" s="155" t="str">
        <f t="shared" si="116"/>
        <v/>
      </c>
      <c r="BS107" s="155" t="str">
        <f t="shared" si="117"/>
        <v/>
      </c>
      <c r="BT107" s="155" t="str">
        <f t="shared" si="118"/>
        <v/>
      </c>
      <c r="BU107" s="155" t="str">
        <f>IF(LEN(concat(BR107:BT107))&gt;0,concat("| ",BR107," | ",BS107," | ",BT107," |"),"")</f>
        <v/>
      </c>
      <c r="BV107" s="155" t="str">
        <f t="shared" si="119"/>
        <v/>
      </c>
      <c r="BW107" s="155"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55" t="str">
        <f>IF(LEN(N107)&gt;1,concatll("#### Author's Note",N107,"-"&amp;B107),"")</f>
        <v/>
      </c>
      <c r="BY107" s="155" t="s">
        <v>335</v>
      </c>
      <c r="BZ107" s="155" t="s">
        <v>335</v>
      </c>
      <c r="CA107" s="23" t="str">
        <f>IF(AS107,concatll(concatl("---",AT107:AV107,BL107,"---"),M107,BW107:BX107),"")</f>
        <v xml:space="preserve">---_x000D_
title: "Mission San Rafael Arcangel"_x000D_
location: {lat: 37.974237142319, lng: -122.527974573741}_x000D_
interest: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23" t="str">
        <f>IF(AS107,"places\"&amp;VLOOKUP(C107,'(Ref) Countries'!A:B,2,)&amp;IF(LEN(D107)&gt;1,"-"&amp;LOWER(SUBSTITUTE(D107," ","-")),"")&amp;"-"&amp;LOWER(SUBSTITUTE(SUBSTITUTE(H107," ","-"),".",""))&amp;".md","")</f>
        <v>places\us_ca-san-rafael-mission-san-rafael.md</v>
      </c>
      <c r="CC107" s="29" t="str">
        <f>IF(LEN(Z107)&gt;1,VLOOKUP(Z107,'Tag List'!$A:$B,2,),"")</f>
        <v>Franciscian Missions in California</v>
      </c>
      <c r="CD107" s="29" t="str">
        <f>IF(LEN(AA107)&gt;1,VLOOKUP(AA107,'Tag List'!$A:$B,2,),"")</f>
        <v>Order of Friars Minor (Fransiscans)</v>
      </c>
      <c r="CE107" s="29" t="str">
        <f>IF(LEN(AB107)&gt;1,VLOOKUP(AB107,'Tag List'!$A:$B,2,),"")</f>
        <v/>
      </c>
      <c r="CF107" s="29" t="str">
        <f>IF(LEN(Z107)&gt;1,GetTagPage(CC107,Z107),"")</f>
        <v>[Franciscian Missions in California](/tags/california-missions)</v>
      </c>
      <c r="CG107" s="29" t="str">
        <f>IF(LEN(AA107)&gt;1,GetTagPage(CD107,AA107),"")</f>
        <v>[Order of Friars Minor (Fransiscans)](/tags/franciscans)</v>
      </c>
      <c r="CH107" s="29" t="str">
        <f>IF(LEN(AB107)&gt;1,GetTagPage(CE107,AB107),"")</f>
        <v/>
      </c>
      <c r="CI107" s="29" t="str">
        <f t="shared" si="120"/>
        <v xml:space="preserve">| [Franciscian Missions in California](/tags/california-missions), [Order of Friars Minor (Fransiscans)](/tags/franciscans) </v>
      </c>
      <c r="CJ107" s="29" t="str">
        <f t="shared" si="121"/>
        <v xml:space="preserve">| [](/places/places\us_ca-san-rafael-mission-san-rafael) </v>
      </c>
      <c r="CK107" s="29" t="str">
        <f>"| "&amp;IF(AS107,GetTagPage(C107,VLOOKUP(C107,'(Ref) Countries'!A:C,3,)),C107)&amp; " "</f>
        <v xml:space="preserve">| [US California](/tags/usa
- california) </v>
      </c>
      <c r="CL107" s="29" t="str">
        <f t="shared" si="122"/>
        <v xml:space="preserve">|  </v>
      </c>
      <c r="CM107" s="29" t="str">
        <f t="shared" si="123"/>
        <v xml:space="preserve">| [Link](/places/places\us_ca-san-rafael-mission-san-rafael) </v>
      </c>
      <c r="CN107" s="29" t="str">
        <f t="shared" si="124"/>
        <v xml:space="preserve">
| [](/places/places\us_ca-san-rafael-mission-san-rafael) | [US California](/tags/usa
- california) |  | [Link](/places/places\us_ca-san-rafael-mission-san-rafael) [Official site](http://saintraphael.com/)| [Franciscian Missions in California](/tags/california-missions), [Order of Friars Minor (Fransiscans)](/tags/franciscans) |</v>
      </c>
    </row>
    <row r="108" spans="1:92" ht="51" x14ac:dyDescent="0.25">
      <c r="A108" s="167" t="s">
        <v>1317</v>
      </c>
      <c r="B108" s="24" t="s">
        <v>2481</v>
      </c>
      <c r="C108" s="24" t="s">
        <v>1874</v>
      </c>
      <c r="D108" s="24" t="s">
        <v>2292</v>
      </c>
      <c r="E108" s="15">
        <v>38.293693030927699</v>
      </c>
      <c r="F108" s="49">
        <v>-122.45588850256701</v>
      </c>
      <c r="G108" s="24" t="s">
        <v>2271</v>
      </c>
      <c r="H108" s="53" t="s">
        <v>2271</v>
      </c>
      <c r="I108" s="24" t="s">
        <v>1802</v>
      </c>
      <c r="L108" s="24" t="b">
        <v>1</v>
      </c>
      <c r="M108" s="116" t="s">
        <v>2394</v>
      </c>
      <c r="O108" s="15" t="s">
        <v>2343</v>
      </c>
      <c r="P108" s="15" t="s">
        <v>335</v>
      </c>
      <c r="Q108" s="60" t="s">
        <v>2344</v>
      </c>
      <c r="R108" s="15" t="s">
        <v>2365</v>
      </c>
      <c r="S108" s="64" t="s">
        <v>335</v>
      </c>
      <c r="T108" s="60" t="s">
        <v>2366</v>
      </c>
      <c r="U108" s="15" t="s">
        <v>2387</v>
      </c>
      <c r="V108" s="64" t="s">
        <v>335</v>
      </c>
      <c r="Z108" s="15" t="s">
        <v>2397</v>
      </c>
      <c r="AA108" s="15" t="s">
        <v>2391</v>
      </c>
      <c r="AB108" s="15" t="s">
        <v>2082</v>
      </c>
      <c r="AS108" s="154" t="b">
        <f t="shared" si="96"/>
        <v>1</v>
      </c>
      <c r="AT108" s="155" t="str">
        <f t="shared" si="97"/>
        <v>title: "Mission San Francisco Solano"</v>
      </c>
      <c r="AU108" s="155" t="str">
        <f t="shared" si="98"/>
        <v>location: {lat: 38.2936930309277, lng: -122.455888502567}</v>
      </c>
      <c r="AV108" s="155" t="str">
        <f t="shared" si="99"/>
        <v>interest: local</v>
      </c>
      <c r="AW108" s="155" t="str">
        <f>"- "&amp;VLOOKUP(C108,'(Ref) Countries'!A:C,3,)</f>
        <v>- usa
- california</v>
      </c>
      <c r="AX108" s="155" t="str">
        <f t="shared" si="100"/>
        <v>- sonoma</v>
      </c>
      <c r="AY108" s="155" t="str">
        <f t="shared" si="101"/>
        <v/>
      </c>
      <c r="AZ108" s="155" t="str">
        <f t="shared" si="102"/>
        <v/>
      </c>
      <c r="BA108" s="155" t="str">
        <f t="shared" si="103"/>
        <v>- holy-persons</v>
      </c>
      <c r="BB108" s="155" t="str">
        <f t="shared" si="104"/>
        <v>- california-missions</v>
      </c>
      <c r="BC108" s="155" t="str">
        <f t="shared" si="105"/>
        <v>- franciscans</v>
      </c>
      <c r="BD108" s="155" t="str">
        <f t="shared" si="106"/>
        <v>- closed</v>
      </c>
      <c r="BE108" s="155" t="str">
        <f t="shared" si="107"/>
        <v/>
      </c>
      <c r="BF108" s="155" t="str">
        <f t="shared" si="108"/>
        <v/>
      </c>
      <c r="BG108" s="155" t="str">
        <f t="shared" si="109"/>
        <v/>
      </c>
      <c r="BH108" s="155" t="str">
        <f t="shared" si="110"/>
        <v/>
      </c>
      <c r="BI108" s="155" t="str">
        <f t="shared" si="111"/>
        <v/>
      </c>
      <c r="BJ108" s="155" t="str">
        <f t="shared" si="112"/>
        <v/>
      </c>
      <c r="BK108" s="155" t="str">
        <f t="shared" si="113"/>
        <v/>
      </c>
      <c r="BL108" s="155" t="str">
        <f t="shared" si="114"/>
        <v xml:space="preserve">tags:
- usa
- california_x000D_
- sonoma_x000D_
- holy-persons_x000D_
- california-missions_x000D_
- franciscans_x000D_
- closed_x000D_
</v>
      </c>
      <c r="BM108" s="158" t="str">
        <f t="shared" si="92"/>
        <v>[Official site](https://www.parks.ca.gov/?page_id=479)</v>
      </c>
      <c r="BN108" s="158" t="str">
        <f t="shared" si="93"/>
        <v>[California Missions Foundation page](https://californiamissionsfoundation.org/mission-san-francisco-solano/)</v>
      </c>
      <c r="BO108" s="158" t="str">
        <f t="shared" si="94"/>
        <v>[Missions California page](https://www.missionscalifornia.com/missions/san-francisco-solano/)</v>
      </c>
      <c r="BP108" s="158" t="str">
        <f t="shared" si="95"/>
        <v/>
      </c>
      <c r="BQ108" s="155" t="str">
        <f t="shared" si="115"/>
        <v xml:space="preserve">* [Official site](https://www.parks.ca.gov/?page_id=479)
* [California Missions Foundation page](https://californiamissionsfoundation.org/mission-san-francisco-solano/)
* [Missions California page](https://www.missionscalifornia.com/missions/san-francisco-solano/)
</v>
      </c>
      <c r="BR108" s="155" t="str">
        <f t="shared" si="116"/>
        <v/>
      </c>
      <c r="BS108" s="155" t="str">
        <f t="shared" si="117"/>
        <v/>
      </c>
      <c r="BT108" s="155" t="str">
        <f t="shared" si="118"/>
        <v/>
      </c>
      <c r="BU108" s="155" t="str">
        <f>IF(LEN(concat(BR108:BT108))&gt;0,concat("| ",BR108," | ",BS108," | ",BT108," |"),"")</f>
        <v/>
      </c>
      <c r="BV108" s="155" t="str">
        <f t="shared" si="119"/>
        <v/>
      </c>
      <c r="BW108" s="155"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55" t="str">
        <f>IF(LEN(N108)&gt;1,concatll("#### Author's Note",N108,"-"&amp;B108),"")</f>
        <v/>
      </c>
      <c r="BY108" s="155" t="s">
        <v>335</v>
      </c>
      <c r="BZ108" s="155" t="s">
        <v>335</v>
      </c>
      <c r="CA108" s="23" t="str">
        <f>IF(AS108,concatll(concatl("---",AT108:AV108,BL108,"---"),M108,BW108:BX108),"")</f>
        <v xml:space="preserve">---_x000D_
title: "Mission San Francisco Solano"_x000D_
location: {lat: 38.2936930309277, lng: -122.455888502567}_x000D_
interest: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23" t="str">
        <f>IF(AS108,"places\"&amp;VLOOKUP(C108,'(Ref) Countries'!A:B,2,)&amp;IF(LEN(D108)&gt;1,"-"&amp;LOWER(SUBSTITUTE(D108," ","-")),"")&amp;"-"&amp;LOWER(SUBSTITUTE(SUBSTITUTE(H108," ","-"),".",""))&amp;".md","")</f>
        <v>places\us_ca-sonoma-mission-san-francisco-solano.md</v>
      </c>
      <c r="CC108" s="29" t="str">
        <f>IF(LEN(Z108)&gt;1,VLOOKUP(Z108,'Tag List'!$A:$B,2,),"")</f>
        <v>Franciscian Missions in California</v>
      </c>
      <c r="CD108" s="29" t="str">
        <f>IF(LEN(AA108)&gt;1,VLOOKUP(AA108,'Tag List'!$A:$B,2,),"")</f>
        <v>Order of Friars Minor (Fransiscans)</v>
      </c>
      <c r="CE108" s="29" t="str">
        <f>IF(LEN(AB108)&gt;1,VLOOKUP(AB108,'Tag List'!$A:$B,2,),"")</f>
        <v>Closed or Deconsecrated Sites</v>
      </c>
      <c r="CF108" s="29" t="str">
        <f>IF(LEN(Z108)&gt;1,GetTagPage(CC108,Z108),"")</f>
        <v>[Franciscian Missions in California](/tags/california-missions)</v>
      </c>
      <c r="CG108" s="29" t="str">
        <f>IF(LEN(AA108)&gt;1,GetTagPage(CD108,AA108),"")</f>
        <v>[Order of Friars Minor (Fransiscans)](/tags/franciscans)</v>
      </c>
      <c r="CH108" s="29" t="str">
        <f>IF(LEN(AB108)&gt;1,GetTagPage(CE108,AB108),"")</f>
        <v>[Closed or Deconsecrated Sites](/tags/closed)</v>
      </c>
      <c r="CI108" s="29" t="str">
        <f t="shared" si="120"/>
        <v xml:space="preserve">| [Franciscian Missions in California](/tags/california-missions), [Order of Friars Minor (Fransiscans)](/tags/franciscans), [Closed or Deconsecrated Sites](/tags/closed) </v>
      </c>
      <c r="CJ108" s="29" t="str">
        <f t="shared" si="121"/>
        <v xml:space="preserve">| [](/places/places\us_ca-sonoma-mission-san-francisco-solano) </v>
      </c>
      <c r="CK108" s="29" t="str">
        <f>"| "&amp;IF(AS108,GetTagPage(C108,VLOOKUP(C108,'(Ref) Countries'!A:C,3,)),C108)&amp; " "</f>
        <v xml:space="preserve">| [US California](/tags/usa
- california) </v>
      </c>
      <c r="CL108" s="29" t="str">
        <f t="shared" si="122"/>
        <v xml:space="preserve">|  </v>
      </c>
      <c r="CM108" s="29" t="str">
        <f t="shared" si="123"/>
        <v xml:space="preserve">| [Link](/places/places\us_ca-sonoma-mission-san-francisco-solano) </v>
      </c>
      <c r="CN108" s="29" t="str">
        <f t="shared" si="124"/>
        <v xml:space="preserve">
| [](/places/places\us_ca-sonoma-mission-san-francisco-solano) | [US California](/tags/usa
- california) |  | [Link](/places/places\us_ca-sonoma-mission-san-francisco-solano) [Official site](https://www.parks.ca.gov/?page_id=479)| [Franciscian Missions in California](/tags/california-missions), [Order of Friars Minor (Fransiscans)](/tags/franciscans), [Closed or Deconsecrated Sites](/tags/closed) |</v>
      </c>
    </row>
    <row r="109" spans="1:92" ht="25.5" x14ac:dyDescent="0.25">
      <c r="A109" s="167" t="s">
        <v>1317</v>
      </c>
      <c r="B109" s="168" t="s">
        <v>2482</v>
      </c>
      <c r="C109" s="83" t="s">
        <v>1890</v>
      </c>
      <c r="D109" s="83" t="s">
        <v>1979</v>
      </c>
      <c r="E109" s="15">
        <v>39.679924</v>
      </c>
      <c r="F109" s="49">
        <v>-77.356055999999995</v>
      </c>
      <c r="G109" s="24" t="s">
        <v>385</v>
      </c>
      <c r="H109" s="90" t="s">
        <v>2455</v>
      </c>
      <c r="I109" s="83" t="s">
        <v>1802</v>
      </c>
      <c r="J109" s="24" t="b">
        <v>1</v>
      </c>
      <c r="L109" s="24" t="b">
        <v>1</v>
      </c>
      <c r="M109" s="83" t="s">
        <v>1987</v>
      </c>
      <c r="O109" s="15" t="s">
        <v>386</v>
      </c>
      <c r="P109" s="94" t="s">
        <v>335</v>
      </c>
      <c r="Z109" s="91" t="s">
        <v>1836</v>
      </c>
      <c r="AS109" s="154" t="b">
        <f t="shared" si="96"/>
        <v>1</v>
      </c>
      <c r="AT109" s="155" t="str">
        <f t="shared" si="97"/>
        <v>title: "Mount St. Mary's Seminary"</v>
      </c>
      <c r="AU109" s="155" t="str">
        <f t="shared" si="98"/>
        <v>location: {lat: 39.679924, lng: -77.356056}</v>
      </c>
      <c r="AV109" s="155" t="str">
        <f t="shared" si="99"/>
        <v>interest: local</v>
      </c>
      <c r="AW109" s="155" t="str">
        <f>"- "&amp;VLOOKUP(C109,'(Ref) Countries'!A:C,3,)</f>
        <v>- usa
- maryland</v>
      </c>
      <c r="AX109" s="155" t="str">
        <f t="shared" si="100"/>
        <v>- emmitsburg</v>
      </c>
      <c r="AY109" s="155" t="str">
        <f t="shared" si="101"/>
        <v>- churches</v>
      </c>
      <c r="AZ109" s="155" t="str">
        <f t="shared" si="102"/>
        <v/>
      </c>
      <c r="BA109" s="155" t="str">
        <f t="shared" si="103"/>
        <v>- holy-persons</v>
      </c>
      <c r="BB109" s="155" t="str">
        <f t="shared" si="104"/>
        <v>- stanley-rother</v>
      </c>
      <c r="BC109" s="155" t="str">
        <f t="shared" si="105"/>
        <v/>
      </c>
      <c r="BD109" s="155" t="str">
        <f t="shared" si="106"/>
        <v/>
      </c>
      <c r="BE109" s="155" t="str">
        <f t="shared" si="107"/>
        <v/>
      </c>
      <c r="BF109" s="155" t="str">
        <f t="shared" si="108"/>
        <v/>
      </c>
      <c r="BG109" s="155" t="str">
        <f t="shared" si="109"/>
        <v/>
      </c>
      <c r="BH109" s="155" t="str">
        <f t="shared" si="110"/>
        <v/>
      </c>
      <c r="BI109" s="155" t="str">
        <f t="shared" si="111"/>
        <v/>
      </c>
      <c r="BJ109" s="155" t="str">
        <f t="shared" si="112"/>
        <v/>
      </c>
      <c r="BK109" s="155" t="str">
        <f t="shared" si="113"/>
        <v/>
      </c>
      <c r="BL109" s="155" t="str">
        <f t="shared" si="114"/>
        <v xml:space="preserve">tags:
- usa
- maryland_x000D_
- emmitsburg_x000D_
- churches_x000D_
- holy-persons_x000D_
- stanley-rother_x000D_
</v>
      </c>
      <c r="BM109" s="158" t="str">
        <f t="shared" si="92"/>
        <v>[Official site](https://seminary.msmary.edu/)</v>
      </c>
      <c r="BN109" s="158" t="str">
        <f t="shared" si="93"/>
        <v/>
      </c>
      <c r="BO109" s="158" t="str">
        <f t="shared" si="94"/>
        <v/>
      </c>
      <c r="BP109" s="158" t="str">
        <f t="shared" si="95"/>
        <v/>
      </c>
      <c r="BQ109" s="155" t="str">
        <f t="shared" si="115"/>
        <v xml:space="preserve">* [Official site](https://seminary.msmary.edu/)
</v>
      </c>
      <c r="BR109" s="155" t="str">
        <f t="shared" si="116"/>
        <v/>
      </c>
      <c r="BS109" s="155" t="str">
        <f t="shared" si="117"/>
        <v/>
      </c>
      <c r="BT109" s="155" t="str">
        <f t="shared" si="118"/>
        <v/>
      </c>
      <c r="BU109" s="155" t="str">
        <f>IF(LEN(concat(BR109:BT109))&gt;0,concat("| ",BR109," | ",BS109," | ",BT109," |"),"")</f>
        <v/>
      </c>
      <c r="BV109" s="155" t="str">
        <f t="shared" si="119"/>
        <v/>
      </c>
      <c r="BW109" s="155" t="str">
        <f>IF(LEN(BQ109&amp;BV109)&gt;0,concatll("#### More Information",BQ109,BV109),"")</f>
        <v xml:space="preserve">#### More Information_x000D_
_x000D_
* [Official site](https://seminary.msmary.edu/)
_x000D_
_x000D_
</v>
      </c>
      <c r="BX109" s="155" t="str">
        <f>IF(LEN(N109)&gt;1,concatll("#### Author's Note",N109,"-"&amp;B109),"")</f>
        <v/>
      </c>
      <c r="BY109" s="155" t="s">
        <v>335</v>
      </c>
      <c r="BZ109" s="155" t="s">
        <v>335</v>
      </c>
      <c r="CA109" s="23" t="str">
        <f>IF(AS109,concatll(concatl("---",AT109:AV109,BL109,"---"),M109,BW109:BX109),"")</f>
        <v xml:space="preserve">---_x000D_
title: "Mount St. Mary's Seminary"_x000D_
location: {lat: 39.679924, lng: -77.356056}_x000D_
interest: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23" t="str">
        <f>IF(AS109,"places\"&amp;VLOOKUP(C109,'(Ref) Countries'!A:B,2,)&amp;IF(LEN(D109)&gt;1,"-"&amp;LOWER(SUBSTITUTE(D109," ","-")),"")&amp;"-"&amp;LOWER(SUBSTITUTE(SUBSTITUTE(H109," ","-"),".",""))&amp;".md","")</f>
        <v>places\us_md-emmitsburg-mount-st-marys-seminary.md</v>
      </c>
      <c r="CC109" s="29" t="str">
        <f>IF(LEN(Z109)&gt;1,VLOOKUP(Z109,'Tag List'!$A:$B,2,),"")</f>
        <v>Bl. Stanley Rother</v>
      </c>
      <c r="CD109" s="29" t="str">
        <f>IF(LEN(AA109)&gt;1,VLOOKUP(AA109,'Tag List'!$A:$B,2,),"")</f>
        <v/>
      </c>
      <c r="CE109" s="29" t="str">
        <f>IF(LEN(AB109)&gt;1,VLOOKUP(AB109,'Tag List'!$A:$B,2,),"")</f>
        <v/>
      </c>
      <c r="CF109" s="29" t="str">
        <f>IF(LEN(Z109)&gt;1,GetTagPage(CC109,Z109),"")</f>
        <v>[Bl. Stanley Rother](/tags/stanley-rother)</v>
      </c>
      <c r="CG109" s="29" t="str">
        <f>IF(LEN(AA109)&gt;1,GetTagPage(CD109,AA109),"")</f>
        <v/>
      </c>
      <c r="CH109" s="29" t="str">
        <f>IF(LEN(AB109)&gt;1,GetTagPage(CE109,AB109),"")</f>
        <v/>
      </c>
      <c r="CI109" s="29" t="str">
        <f t="shared" si="120"/>
        <v xml:space="preserve">| [Bl. Stanley Rother](/tags/stanley-rother) </v>
      </c>
      <c r="CJ109" s="29" t="str">
        <f t="shared" si="121"/>
        <v xml:space="preserve">| [](/places/places\us_md-emmitsburg-mount-st-marys-seminary) </v>
      </c>
      <c r="CK109" s="29" t="str">
        <f>"| "&amp;IF(AS109,GetTagPage(C109,VLOOKUP(C109,'(Ref) Countries'!A:C,3,)),C109)&amp; " "</f>
        <v xml:space="preserve">| [US Maryland](/tags/usa
- maryland) </v>
      </c>
      <c r="CL109" s="29" t="str">
        <f t="shared" si="122"/>
        <v xml:space="preserve">|  </v>
      </c>
      <c r="CM109" s="29" t="str">
        <f t="shared" si="123"/>
        <v xml:space="preserve">| [Link](/places/places\us_md-emmitsburg-mount-st-marys-seminary) </v>
      </c>
      <c r="CN109" s="29" t="str">
        <f t="shared" si="124"/>
        <v xml:space="preserve">
| [](/places/places\us_md-emmitsburg-mount-st-marys-seminary) | [US Maryland](/tags/usa
- maryland) |  | [Link](/places/places\us_md-emmitsburg-mount-st-marys-seminary) [Official site](https://seminary.msmary.edu/)| [Bl. Stanley Rother](/tags/stanley-rother) |</v>
      </c>
    </row>
    <row r="110" spans="1:92" ht="38.25" x14ac:dyDescent="0.25">
      <c r="A110" s="167" t="s">
        <v>1317</v>
      </c>
      <c r="B110" s="168" t="s">
        <v>2482</v>
      </c>
      <c r="C110" s="83" t="s">
        <v>1901</v>
      </c>
      <c r="D110" s="83" t="s">
        <v>1988</v>
      </c>
      <c r="E110" s="15">
        <v>35.6856315</v>
      </c>
      <c r="F110" s="49">
        <v>-105.93765930000001</v>
      </c>
      <c r="G110" s="24" t="s">
        <v>1989</v>
      </c>
      <c r="H110" s="90" t="s">
        <v>1990</v>
      </c>
      <c r="I110" s="83" t="s">
        <v>1737</v>
      </c>
      <c r="J110" s="24" t="b">
        <v>1</v>
      </c>
      <c r="L110" s="24" t="b">
        <v>1</v>
      </c>
      <c r="M110" s="83" t="s">
        <v>1991</v>
      </c>
      <c r="O110" s="15" t="s">
        <v>1992</v>
      </c>
      <c r="P110" s="15" t="s">
        <v>335</v>
      </c>
      <c r="Q110" s="106" t="s">
        <v>2112</v>
      </c>
      <c r="R110" s="15" t="s">
        <v>1993</v>
      </c>
      <c r="S110" s="93" t="s">
        <v>335</v>
      </c>
      <c r="Z110" s="91" t="s">
        <v>1994</v>
      </c>
      <c r="AS110" s="154" t="b">
        <f t="shared" si="96"/>
        <v>1</v>
      </c>
      <c r="AT110" s="155" t="str">
        <f t="shared" si="97"/>
        <v>title: "Loretto Chapel, Santa Fe, NM"</v>
      </c>
      <c r="AU110" s="155" t="str">
        <f t="shared" si="98"/>
        <v>location: {lat: 35.6856315, lng: -105.9376593}</v>
      </c>
      <c r="AV110" s="155" t="str">
        <f t="shared" si="99"/>
        <v>interest: regional</v>
      </c>
      <c r="AW110" s="155" t="str">
        <f>"- "&amp;VLOOKUP(C110,'(Ref) Countries'!A:C,3,)</f>
        <v>- usa
- new-mexico</v>
      </c>
      <c r="AX110" s="155" t="str">
        <f t="shared" si="100"/>
        <v>- santa-fe</v>
      </c>
      <c r="AY110" s="155" t="str">
        <f t="shared" si="101"/>
        <v>- churches</v>
      </c>
      <c r="AZ110" s="155" t="str">
        <f t="shared" si="102"/>
        <v/>
      </c>
      <c r="BA110" s="155" t="str">
        <f t="shared" si="103"/>
        <v>- holy-persons</v>
      </c>
      <c r="BB110" s="155" t="str">
        <f t="shared" si="104"/>
        <v>- joseph</v>
      </c>
      <c r="BC110" s="155" t="str">
        <f t="shared" si="105"/>
        <v/>
      </c>
      <c r="BD110" s="155" t="str">
        <f t="shared" si="106"/>
        <v/>
      </c>
      <c r="BE110" s="155" t="str">
        <f t="shared" si="107"/>
        <v/>
      </c>
      <c r="BF110" s="155" t="str">
        <f t="shared" si="108"/>
        <v/>
      </c>
      <c r="BG110" s="155" t="str">
        <f t="shared" si="109"/>
        <v/>
      </c>
      <c r="BH110" s="155" t="str">
        <f t="shared" si="110"/>
        <v/>
      </c>
      <c r="BI110" s="155" t="str">
        <f t="shared" si="111"/>
        <v/>
      </c>
      <c r="BJ110" s="155" t="str">
        <f t="shared" si="112"/>
        <v/>
      </c>
      <c r="BK110" s="155" t="str">
        <f t="shared" si="113"/>
        <v/>
      </c>
      <c r="BL110" s="155" t="str">
        <f t="shared" si="114"/>
        <v xml:space="preserve">tags:
- usa
- new-mexico_x000D_
- santa-fe_x000D_
- churches_x000D_
- holy-persons_x000D_
- joseph_x000D_
</v>
      </c>
      <c r="BM110" s="158" t="str">
        <f t="shared" si="92"/>
        <v>[Official site](https://www.lorettochapel.com)</v>
      </c>
      <c r="BN110" s="158" t="str">
        <f t="shared" si="93"/>
        <v>[Story of the staircase on the podcast *That's the Word*](https://thunderrock.org/story-extras/the-spiral-architect)</v>
      </c>
      <c r="BO110" s="158" t="str">
        <f t="shared" si="94"/>
        <v/>
      </c>
      <c r="BP110" s="158" t="str">
        <f t="shared" si="95"/>
        <v/>
      </c>
      <c r="BQ110" s="155" t="str">
        <f t="shared" si="115"/>
        <v xml:space="preserve">* [Official site](https://www.lorettochapel.com)
* [Story of the staircase on the podcast *That's the Word*](https://thunderrock.org/story-extras/the-spiral-architect)
</v>
      </c>
      <c r="BR110" s="155" t="str">
        <f t="shared" si="116"/>
        <v/>
      </c>
      <c r="BS110" s="155" t="str">
        <f t="shared" si="117"/>
        <v/>
      </c>
      <c r="BT110" s="155" t="str">
        <f t="shared" si="118"/>
        <v/>
      </c>
      <c r="BU110" s="155" t="str">
        <f>IF(LEN(concat(BR110:BT110))&gt;0,concat("| ",BR110," | ",BS110," | ",BT110," |"),"")</f>
        <v/>
      </c>
      <c r="BV110" s="155" t="str">
        <f t="shared" si="119"/>
        <v/>
      </c>
      <c r="BW110" s="155"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55" t="str">
        <f>IF(LEN(N110)&gt;1,concatll("#### Author's Note",N110,"-"&amp;B110),"")</f>
        <v/>
      </c>
      <c r="BY110" s="155" t="s">
        <v>335</v>
      </c>
      <c r="BZ110" s="155" t="s">
        <v>335</v>
      </c>
      <c r="CA110" s="23" t="str">
        <f>IF(AS110,concatll(concatl("---",AT110:AV110,BL110,"---"),M110,BW110:BX110),"")</f>
        <v xml:space="preserve">---_x000D_
title: "Loretto Chapel, Santa Fe, NM"_x000D_
location: {lat: 35.6856315, lng: -105.9376593}_x000D_
interest: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23" t="str">
        <f>IF(AS110,"places\"&amp;VLOOKUP(C110,'(Ref) Countries'!A:B,2,)&amp;IF(LEN(D110)&gt;1,"-"&amp;LOWER(SUBSTITUTE(D110," ","-")),"")&amp;"-"&amp;LOWER(SUBSTITUTE(SUBSTITUTE(H110," ","-"),".",""))&amp;".md","")</f>
        <v>places\us_nm-santa-fe-loretto-chapel.md</v>
      </c>
      <c r="CC110" s="29" t="str">
        <f>IF(LEN(Z110)&gt;1,VLOOKUP(Z110,'Tag List'!$A:$B,2,),"")</f>
        <v>St. Joseph</v>
      </c>
      <c r="CD110" s="29" t="str">
        <f>IF(LEN(AA110)&gt;1,VLOOKUP(AA110,'Tag List'!$A:$B,2,),"")</f>
        <v/>
      </c>
      <c r="CE110" s="29" t="str">
        <f>IF(LEN(AB110)&gt;1,VLOOKUP(AB110,'Tag List'!$A:$B,2,),"")</f>
        <v/>
      </c>
      <c r="CF110" s="29" t="str">
        <f>IF(LEN(Z110)&gt;1,GetTagPage(CC110,Z110),"")</f>
        <v>[St. Joseph](/tags/joseph)</v>
      </c>
      <c r="CG110" s="29" t="str">
        <f>IF(LEN(AA110)&gt;1,GetTagPage(CD110,AA110),"")</f>
        <v/>
      </c>
      <c r="CH110" s="29" t="str">
        <f>IF(LEN(AB110)&gt;1,GetTagPage(CE110,AB110),"")</f>
        <v/>
      </c>
      <c r="CI110" s="29" t="str">
        <f t="shared" si="120"/>
        <v xml:space="preserve">| [St. Joseph](/tags/joseph) </v>
      </c>
      <c r="CJ110" s="29" t="str">
        <f t="shared" si="121"/>
        <v xml:space="preserve">| [](/places/places\us_nm-santa-fe-loretto-chapel) </v>
      </c>
      <c r="CK110" s="29" t="str">
        <f>"| "&amp;IF(AS110,GetTagPage(C110,VLOOKUP(C110,'(Ref) Countries'!A:C,3,)),C110)&amp; " "</f>
        <v xml:space="preserve">| [US New Mexico](/tags/usa
- new-mexico) </v>
      </c>
      <c r="CL110" s="29" t="str">
        <f t="shared" si="122"/>
        <v xml:space="preserve">|  </v>
      </c>
      <c r="CM110" s="29" t="str">
        <f t="shared" si="123"/>
        <v xml:space="preserve">| [Link](/places/places\us_nm-santa-fe-loretto-chapel) </v>
      </c>
      <c r="CN110" s="29" t="str">
        <f t="shared" si="124"/>
        <v xml:space="preserve">
| [](/places/places\us_nm-santa-fe-loretto-chapel) | [US New Mexico](/tags/usa
- new-mexico) |  | [Link](/places/places\us_nm-santa-fe-loretto-chapel) [Official site](https://www.lorettochapel.com)| [St. Joseph](/tags/joseph) |</v>
      </c>
    </row>
    <row r="111" spans="1:92" ht="63.75" x14ac:dyDescent="0.25">
      <c r="A111" s="167" t="s">
        <v>1317</v>
      </c>
      <c r="B111" s="168" t="s">
        <v>2482</v>
      </c>
      <c r="C111" s="83" t="s">
        <v>1901</v>
      </c>
      <c r="D111" s="83" t="s">
        <v>1988</v>
      </c>
      <c r="E111" s="15">
        <v>35.989201000000001</v>
      </c>
      <c r="F111" s="49">
        <v>-105.93180220000001</v>
      </c>
      <c r="G111" s="24" t="s">
        <v>2000</v>
      </c>
      <c r="H111" s="90" t="s">
        <v>2001</v>
      </c>
      <c r="I111" s="83" t="s">
        <v>1737</v>
      </c>
      <c r="J111" s="24" t="b">
        <v>1</v>
      </c>
      <c r="M111" s="83" t="s">
        <v>1996</v>
      </c>
      <c r="P111" s="15" t="s">
        <v>335</v>
      </c>
      <c r="Q111" s="95" t="s">
        <v>1998</v>
      </c>
      <c r="R111" s="15" t="s">
        <v>1997</v>
      </c>
      <c r="S111" s="93" t="s">
        <v>335</v>
      </c>
      <c r="T111" s="106" t="s">
        <v>2113</v>
      </c>
      <c r="U111" s="15" t="s">
        <v>1999</v>
      </c>
      <c r="V111" s="93" t="s">
        <v>335</v>
      </c>
      <c r="Z111" s="91"/>
      <c r="AS111" s="154" t="b">
        <f t="shared" si="96"/>
        <v>1</v>
      </c>
      <c r="AT111" s="155" t="str">
        <f t="shared" si="97"/>
        <v>title: "Sanctuary of Chimayo (Santuario de Chimayo)"</v>
      </c>
      <c r="AU111" s="155" t="str">
        <f t="shared" si="98"/>
        <v>location: {lat: 35.989201, lng: -105.9318022}</v>
      </c>
      <c r="AV111" s="155" t="str">
        <f t="shared" si="99"/>
        <v>interest: regional</v>
      </c>
      <c r="AW111" s="155" t="str">
        <f>"- "&amp;VLOOKUP(C111,'(Ref) Countries'!A:C,3,)</f>
        <v>- usa
- new-mexico</v>
      </c>
      <c r="AX111" s="155" t="str">
        <f t="shared" si="100"/>
        <v>- santa-fe</v>
      </c>
      <c r="AY111" s="155" t="str">
        <f t="shared" si="101"/>
        <v>- churches</v>
      </c>
      <c r="AZ111" s="155" t="str">
        <f t="shared" si="102"/>
        <v/>
      </c>
      <c r="BA111" s="155" t="str">
        <f t="shared" si="103"/>
        <v/>
      </c>
      <c r="BB111" s="155" t="str">
        <f t="shared" si="104"/>
        <v/>
      </c>
      <c r="BC111" s="155" t="str">
        <f t="shared" si="105"/>
        <v/>
      </c>
      <c r="BD111" s="155" t="str">
        <f t="shared" si="106"/>
        <v/>
      </c>
      <c r="BE111" s="155" t="str">
        <f t="shared" si="107"/>
        <v/>
      </c>
      <c r="BF111" s="155" t="str">
        <f t="shared" si="108"/>
        <v/>
      </c>
      <c r="BG111" s="155" t="str">
        <f t="shared" si="109"/>
        <v/>
      </c>
      <c r="BH111" s="155" t="str">
        <f t="shared" si="110"/>
        <v/>
      </c>
      <c r="BI111" s="155" t="str">
        <f t="shared" si="111"/>
        <v/>
      </c>
      <c r="BJ111" s="155" t="str">
        <f t="shared" si="112"/>
        <v/>
      </c>
      <c r="BK111" s="155" t="str">
        <f t="shared" si="113"/>
        <v/>
      </c>
      <c r="BL111" s="155" t="str">
        <f t="shared" si="114"/>
        <v xml:space="preserve">tags:
- usa
- new-mexico_x000D_
- santa-fe_x000D_
- churches_x000D_
</v>
      </c>
      <c r="BM111" s="158" t="str">
        <f t="shared" si="92"/>
        <v/>
      </c>
      <c r="BN111" s="158" t="str">
        <f t="shared" si="93"/>
        <v>[Article from Catholic World Report](https://www.catholicworldreport.com/2023/04/07/visiting-el-santuario-de-chimayo-the-most-popular-pilgrimage-site-in-america/)</v>
      </c>
      <c r="BO111" s="158" t="str">
        <f t="shared" si="94"/>
        <v>[Story of the shrine on the podcast *That's the Word*](https://thunderrock.org/story-extras/take-the-hint)</v>
      </c>
      <c r="BP111" s="158" t="str">
        <f t="shared" si="95"/>
        <v/>
      </c>
      <c r="BQ111" s="155" t="str">
        <f t="shared" si="115"/>
        <v xml:space="preserve">* [Article from Catholic World Report](https://www.catholicworldreport.com/2023/04/07/visiting-el-santuario-de-chimayo-the-most-popular-pilgrimage-site-in-america/)
* [Story of the shrine on the podcast *That's the Word*](https://thunderrock.org/story-extras/take-the-hint)
</v>
      </c>
      <c r="BR111" s="155" t="str">
        <f t="shared" si="116"/>
        <v/>
      </c>
      <c r="BS111" s="155" t="str">
        <f t="shared" si="117"/>
        <v/>
      </c>
      <c r="BT111" s="155" t="str">
        <f t="shared" si="118"/>
        <v/>
      </c>
      <c r="BU111" s="155" t="str">
        <f>IF(LEN(concat(BR111:BT111))&gt;0,concat("| ",BR111," | ",BS111," | ",BT111," |"),"")</f>
        <v/>
      </c>
      <c r="BV111" s="155" t="str">
        <f t="shared" si="119"/>
        <v/>
      </c>
      <c r="BW111" s="155"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55" t="str">
        <f>IF(LEN(N111)&gt;1,concatll("#### Author's Note",N111,"-"&amp;B111),"")</f>
        <v/>
      </c>
      <c r="BY111" s="155" t="s">
        <v>335</v>
      </c>
      <c r="BZ111" s="155" t="s">
        <v>335</v>
      </c>
      <c r="CA111" s="23" t="str">
        <f>IF(AS111,concatll(concatl("---",AT111:AV111,BL111,"---"),M111,BW111:BX111),"")</f>
        <v xml:space="preserve">---_x000D_
title: "Sanctuary of Chimayo (Santuario de Chimayo)"_x000D_
location: {lat: 35.989201, lng: -105.9318022}_x000D_
interest: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23" t="str">
        <f>IF(AS111,"places\"&amp;VLOOKUP(C111,'(Ref) Countries'!A:B,2,)&amp;IF(LEN(D111)&gt;1,"-"&amp;LOWER(SUBSTITUTE(D111," ","-")),"")&amp;"-"&amp;LOWER(SUBSTITUTE(SUBSTITUTE(H111," ","-"),".",""))&amp;".md","")</f>
        <v>places\us_nm-santa-fe-santuario-de-chimayo.md</v>
      </c>
      <c r="CC111" s="29" t="str">
        <f>IF(LEN(Z111)&gt;1,VLOOKUP(Z111,'Tag List'!$A:$B,2,),"")</f>
        <v/>
      </c>
      <c r="CD111" s="29" t="str">
        <f>IF(LEN(AA111)&gt;1,VLOOKUP(AA111,'Tag List'!$A:$B,2,),"")</f>
        <v/>
      </c>
      <c r="CE111" s="29" t="str">
        <f>IF(LEN(AB111)&gt;1,VLOOKUP(AB111,'Tag List'!$A:$B,2,),"")</f>
        <v/>
      </c>
      <c r="CF111" s="29" t="str">
        <f>IF(LEN(Z111)&gt;1,GetTagPage(CC111,Z111),"")</f>
        <v/>
      </c>
      <c r="CG111" s="29" t="str">
        <f>IF(LEN(AA111)&gt;1,GetTagPage(CD111,AA111),"")</f>
        <v/>
      </c>
      <c r="CH111" s="29" t="str">
        <f>IF(LEN(AB111)&gt;1,GetTagPage(CE111,AB111),"")</f>
        <v/>
      </c>
      <c r="CI111" s="29" t="str">
        <f t="shared" si="120"/>
        <v xml:space="preserve">| </v>
      </c>
      <c r="CJ111" s="29" t="str">
        <f t="shared" si="121"/>
        <v xml:space="preserve">| [](/places/places\us_nm-santa-fe-santuario-de-chimayo) </v>
      </c>
      <c r="CK111" s="29" t="str">
        <f>"| "&amp;IF(AS111,GetTagPage(C111,VLOOKUP(C111,'(Ref) Countries'!A:C,3,)),C111)&amp; " "</f>
        <v xml:space="preserve">| [US New Mexico](/tags/usa
- new-mexico) </v>
      </c>
      <c r="CL111" s="29" t="str">
        <f t="shared" si="122"/>
        <v xml:space="preserve">|  </v>
      </c>
      <c r="CM111" s="29" t="str">
        <f t="shared" si="123"/>
        <v xml:space="preserve">| [Link](/places/places\us_nm-santa-fe-santuario-de-chimayo) </v>
      </c>
      <c r="CN111" s="29" t="str">
        <f t="shared" si="124"/>
        <v xml:space="preserve">
| [](/places/places\us_nm-santa-fe-santuario-de-chimayo) | [US New Mexico](/tags/usa
- new-mexico) |  | [Link](/places/places\us_nm-santa-fe-santuario-de-chimayo) | |</v>
      </c>
    </row>
    <row r="112" spans="1:92" ht="38.25" x14ac:dyDescent="0.25">
      <c r="A112" s="167" t="s">
        <v>1317</v>
      </c>
      <c r="B112" s="168" t="s">
        <v>2482</v>
      </c>
      <c r="C112" s="83" t="s">
        <v>1902</v>
      </c>
      <c r="E112" s="15">
        <v>42.9249911</v>
      </c>
      <c r="F112" s="49">
        <v>-74.302249200000006</v>
      </c>
      <c r="G112" s="83" t="s">
        <v>2014</v>
      </c>
      <c r="H112" s="53" t="s">
        <v>2002</v>
      </c>
      <c r="I112" s="24" t="s">
        <v>1737</v>
      </c>
      <c r="J112" s="24" t="b">
        <v>1</v>
      </c>
      <c r="L112" s="24" t="b">
        <v>1</v>
      </c>
      <c r="M112" s="83" t="s">
        <v>2012</v>
      </c>
      <c r="O112" s="15" t="s">
        <v>2015</v>
      </c>
      <c r="P112" s="15" t="s">
        <v>335</v>
      </c>
      <c r="Q112" s="60" t="s">
        <v>1998</v>
      </c>
      <c r="R112" s="15" t="s">
        <v>1997</v>
      </c>
      <c r="S112" s="64" t="s">
        <v>335</v>
      </c>
      <c r="T112" s="106" t="s">
        <v>2113</v>
      </c>
      <c r="U112" s="15" t="s">
        <v>1999</v>
      </c>
      <c r="V112" s="64" t="s">
        <v>335</v>
      </c>
      <c r="Z112" s="91" t="s">
        <v>2008</v>
      </c>
      <c r="AA112" s="15" t="s">
        <v>2003</v>
      </c>
      <c r="AB112" s="15" t="s">
        <v>2004</v>
      </c>
      <c r="AC112" s="15" t="s">
        <v>2005</v>
      </c>
      <c r="AD112" s="91" t="s">
        <v>2013</v>
      </c>
      <c r="AE112" s="91" t="s">
        <v>2033</v>
      </c>
      <c r="AS112" s="154" t="b">
        <f t="shared" si="96"/>
        <v>1</v>
      </c>
      <c r="AT112" s="155" t="str">
        <f t="shared" si="97"/>
        <v>title: "Shrine of Our Lady of Martyrs (National Shrine of the North American Martyrs)"</v>
      </c>
      <c r="AU112" s="155" t="str">
        <f t="shared" si="98"/>
        <v>location: {lat: 42.9249911, lng: -74.3022492}</v>
      </c>
      <c r="AV112" s="155" t="str">
        <f t="shared" si="99"/>
        <v>interest: regional</v>
      </c>
      <c r="AW112" s="155" t="str">
        <f>"- "&amp;VLOOKUP(C112,'(Ref) Countries'!A:C,3,)</f>
        <v>- usa
- new-york</v>
      </c>
      <c r="AX112" s="155" t="str">
        <f t="shared" si="100"/>
        <v/>
      </c>
      <c r="AY112" s="155" t="str">
        <f t="shared" si="101"/>
        <v>- churches</v>
      </c>
      <c r="AZ112" s="155" t="str">
        <f t="shared" si="102"/>
        <v/>
      </c>
      <c r="BA112" s="155" t="str">
        <f t="shared" si="103"/>
        <v>- holy-persons</v>
      </c>
      <c r="BB112" s="155" t="str">
        <f t="shared" si="104"/>
        <v>- canadian-martyrs</v>
      </c>
      <c r="BC112" s="155" t="str">
        <f t="shared" si="105"/>
        <v>- kateri-tekakwitha</v>
      </c>
      <c r="BD112" s="155" t="str">
        <f t="shared" si="106"/>
        <v>- isaac-jogues</v>
      </c>
      <c r="BE112" s="155" t="str">
        <f t="shared" si="107"/>
        <v>- rene-goupil</v>
      </c>
      <c r="BF112" s="155" t="str">
        <f t="shared" si="108"/>
        <v>- jean-de-lalande</v>
      </c>
      <c r="BG112" s="155" t="str">
        <f t="shared" si="109"/>
        <v>- jesuits</v>
      </c>
      <c r="BH112" s="155" t="str">
        <f t="shared" si="110"/>
        <v/>
      </c>
      <c r="BI112" s="155" t="str">
        <f t="shared" si="111"/>
        <v/>
      </c>
      <c r="BJ112" s="155" t="str">
        <f t="shared" si="112"/>
        <v/>
      </c>
      <c r="BK112" s="155" t="str">
        <f t="shared" si="113"/>
        <v/>
      </c>
      <c r="BL112" s="155" t="str">
        <f t="shared" si="114"/>
        <v xml:space="preserve">tags:
- usa
- new-york_x000D_
- churches_x000D_
- holy-persons_x000D_
- canadian-martyrs_x000D_
- kateri-tekakwitha_x000D_
- isaac-jogues_x000D_
- rene-goupil_x000D_
- jean-de-lalande_x000D_
- jesuits_x000D_
</v>
      </c>
      <c r="BM112" s="158" t="str">
        <f t="shared" si="92"/>
        <v>[Official site](https://www.ourladyofmartyrsshrine.org/)</v>
      </c>
      <c r="BN112" s="158" t="str">
        <f t="shared" si="93"/>
        <v>[Article from Catholic World Report](https://www.catholicworldreport.com/2023/04/07/visiting-el-santuario-de-chimayo-the-most-popular-pilgrimage-site-in-america/)</v>
      </c>
      <c r="BO112" s="158" t="str">
        <f t="shared" si="94"/>
        <v>[Story of the shrine on the podcast *That's the Word*](https://thunderrock.org/story-extras/take-the-hint)</v>
      </c>
      <c r="BP112" s="158" t="str">
        <f t="shared" si="95"/>
        <v/>
      </c>
      <c r="BQ112" s="155" t="str">
        <f t="shared" si="115"/>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55" t="str">
        <f t="shared" si="116"/>
        <v/>
      </c>
      <c r="BS112" s="155" t="str">
        <f t="shared" si="117"/>
        <v/>
      </c>
      <c r="BT112" s="155" t="str">
        <f t="shared" si="118"/>
        <v/>
      </c>
      <c r="BU112" s="155" t="str">
        <f>IF(LEN(concat(BR112:BT112))&gt;0,concat("| ",BR112," | ",BS112," | ",BT112," |"),"")</f>
        <v/>
      </c>
      <c r="BV112" s="155" t="str">
        <f t="shared" si="119"/>
        <v/>
      </c>
      <c r="BW112" s="155"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55" t="str">
        <f>IF(LEN(N112)&gt;1,concatll("#### Author's Note",N112,"-"&amp;B112),"")</f>
        <v/>
      </c>
      <c r="BY112" s="155" t="s">
        <v>335</v>
      </c>
      <c r="BZ112" s="155" t="s">
        <v>335</v>
      </c>
      <c r="CA112" s="23" t="str">
        <f>IF(AS112,concatll(concatl("---",AT112:AV112,BL112,"---"),M112,BW112:BX112),"")</f>
        <v xml:space="preserve">---_x000D_
title: "Shrine of Our Lady of Martyrs (National Shrine of the North American Martyrs)"_x000D_
location: {lat: 42.9249911, lng: -74.3022492}_x000D_
interest: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23" t="str">
        <f>IF(AS112,"places\"&amp;VLOOKUP(C112,'(Ref) Countries'!A:B,2,)&amp;IF(LEN(D112)&gt;1,"-"&amp;LOWER(SUBSTITUTE(D112," ","-")),"")&amp;"-"&amp;LOWER(SUBSTITUTE(SUBSTITUTE(H112," ","-"),".",""))&amp;".md","")</f>
        <v>places\us_ny-shrine-of-our-lady-of-martyrs.md</v>
      </c>
      <c r="CC112" s="29" t="str">
        <f>IF(LEN(Z112)&gt;1,VLOOKUP(Z112,'Tag List'!$A:$B,2,),"")</f>
        <v>Canadian Martyrs</v>
      </c>
      <c r="CD112" s="29" t="str">
        <f>IF(LEN(AA112)&gt;1,VLOOKUP(AA112,'Tag List'!$A:$B,2,),"")</f>
        <v>St. Kateri Tekakwitha</v>
      </c>
      <c r="CE112" s="29" t="str">
        <f>IF(LEN(AB112)&gt;1,VLOOKUP(AB112,'Tag List'!$A:$B,2,),"")</f>
        <v>St. Isaac Jogues, SJ</v>
      </c>
      <c r="CF112" s="29" t="str">
        <f>IF(LEN(Z112)&gt;1,GetTagPage(CC112,Z112),"")</f>
        <v>[Canadian Martyrs](/tags/canadian-martyrs)</v>
      </c>
      <c r="CG112" s="29" t="str">
        <f>IF(LEN(AA112)&gt;1,GetTagPage(CD112,AA112),"")</f>
        <v>[St. Kateri Tekakwitha](/tags/kateri-tekakwitha)</v>
      </c>
      <c r="CH112" s="29" t="str">
        <f>IF(LEN(AB112)&gt;1,GetTagPage(CE112,AB112),"")</f>
        <v>[St. Isaac Jogues, SJ](/tags/isaac-jogues)</v>
      </c>
      <c r="CI112" s="29" t="str">
        <f t="shared" si="120"/>
        <v xml:space="preserve">| [Canadian Martyrs](/tags/canadian-martyrs), [St. Kateri Tekakwitha](/tags/kateri-tekakwitha), [St. Isaac Jogues, SJ](/tags/isaac-jogues) </v>
      </c>
      <c r="CJ112" s="29" t="str">
        <f t="shared" si="121"/>
        <v xml:space="preserve">| [](/places/places\us_ny-shrine-of-our-lady-of-martyrs) </v>
      </c>
      <c r="CK112" s="29" t="str">
        <f>"| "&amp;IF(AS112,GetTagPage(C112,VLOOKUP(C112,'(Ref) Countries'!A:C,3,)),C112)&amp; " "</f>
        <v xml:space="preserve">| [US New York](/tags/usa
- new-york) </v>
      </c>
      <c r="CL112" s="29" t="str">
        <f t="shared" si="122"/>
        <v xml:space="preserve">|  </v>
      </c>
      <c r="CM112" s="29" t="str">
        <f t="shared" si="123"/>
        <v xml:space="preserve">| [Link](/places/places\us_ny-shrine-of-our-lady-of-martyrs) </v>
      </c>
      <c r="CN112" s="29" t="str">
        <f t="shared" si="124"/>
        <v xml:space="preserve">
| [](/places/places\us_ny-shrine-of-our-lady-of-martyrs) | [US New York](/tags/usa
- new-york) |  | [Link](/places/places\us_ny-shrine-of-our-lady-of-martyrs) [Official site](https://www.ourladyofmartyrsshrine.org/)| [Canadian Martyrs](/tags/canadian-martyrs), [St. Kateri Tekakwitha](/tags/kateri-tekakwitha), [St. Isaac Jogues, SJ](/tags/isaac-jogues) |</v>
      </c>
    </row>
    <row r="113" spans="1:92" ht="25.5" x14ac:dyDescent="0.25">
      <c r="A113" s="167" t="s">
        <v>1317</v>
      </c>
      <c r="B113" s="168" t="s">
        <v>2481</v>
      </c>
      <c r="C113" s="83" t="s">
        <v>1906</v>
      </c>
      <c r="D113" s="83" t="s">
        <v>1982</v>
      </c>
      <c r="E113" s="15">
        <v>35.728490299999997</v>
      </c>
      <c r="F113" s="49">
        <v>-97.975802000000002</v>
      </c>
      <c r="G113" s="83" t="s">
        <v>1980</v>
      </c>
      <c r="H113" s="90" t="s">
        <v>1981</v>
      </c>
      <c r="I113" s="83" t="s">
        <v>1802</v>
      </c>
      <c r="J113" s="24" t="b">
        <v>1</v>
      </c>
      <c r="L113" s="24" t="b">
        <v>1</v>
      </c>
      <c r="M113" s="24" t="s">
        <v>395</v>
      </c>
      <c r="O113" s="15" t="s">
        <v>394</v>
      </c>
      <c r="P113" s="15" t="s">
        <v>335</v>
      </c>
      <c r="Z113" s="15" t="s">
        <v>1836</v>
      </c>
      <c r="AS113" s="154" t="b">
        <f t="shared" si="96"/>
        <v>1</v>
      </c>
      <c r="AT113" s="155" t="str">
        <f t="shared" si="97"/>
        <v>title: "Holy Trinity Catholic Church, Okarche, OK"</v>
      </c>
      <c r="AU113" s="155" t="str">
        <f t="shared" si="98"/>
        <v>location: {lat: 35.7284903, lng: -97.975802}</v>
      </c>
      <c r="AV113" s="155" t="str">
        <f t="shared" si="99"/>
        <v>interest: local</v>
      </c>
      <c r="AW113" s="155" t="str">
        <f>"- "&amp;VLOOKUP(C113,'(Ref) Countries'!A:C,3,)</f>
        <v>- usa
- oklahoma</v>
      </c>
      <c r="AX113" s="155" t="str">
        <f t="shared" si="100"/>
        <v>- okarche</v>
      </c>
      <c r="AY113" s="155" t="str">
        <f t="shared" si="101"/>
        <v>- churches</v>
      </c>
      <c r="AZ113" s="155" t="str">
        <f t="shared" si="102"/>
        <v/>
      </c>
      <c r="BA113" s="155" t="str">
        <f t="shared" si="103"/>
        <v>- holy-persons</v>
      </c>
      <c r="BB113" s="155" t="str">
        <f t="shared" si="104"/>
        <v>- stanley-rother</v>
      </c>
      <c r="BC113" s="155" t="str">
        <f t="shared" si="105"/>
        <v/>
      </c>
      <c r="BD113" s="155" t="str">
        <f t="shared" si="106"/>
        <v/>
      </c>
      <c r="BE113" s="155" t="str">
        <f t="shared" si="107"/>
        <v/>
      </c>
      <c r="BF113" s="155" t="str">
        <f t="shared" si="108"/>
        <v/>
      </c>
      <c r="BG113" s="155" t="str">
        <f t="shared" si="109"/>
        <v/>
      </c>
      <c r="BH113" s="155" t="str">
        <f t="shared" si="110"/>
        <v/>
      </c>
      <c r="BI113" s="155" t="str">
        <f t="shared" si="111"/>
        <v/>
      </c>
      <c r="BJ113" s="155" t="str">
        <f t="shared" si="112"/>
        <v/>
      </c>
      <c r="BK113" s="155" t="str">
        <f t="shared" si="113"/>
        <v/>
      </c>
      <c r="BL113" s="155" t="str">
        <f t="shared" si="114"/>
        <v xml:space="preserve">tags:
- usa
- oklahoma_x000D_
- okarche_x000D_
- churches_x000D_
- holy-persons_x000D_
- stanley-rother_x000D_
</v>
      </c>
      <c r="BM113" s="158" t="str">
        <f t="shared" si="92"/>
        <v>[Official site](https://www.holytrinityok.org/)</v>
      </c>
      <c r="BN113" s="158" t="str">
        <f t="shared" si="93"/>
        <v/>
      </c>
      <c r="BO113" s="158" t="str">
        <f t="shared" si="94"/>
        <v/>
      </c>
      <c r="BP113" s="158" t="str">
        <f t="shared" si="95"/>
        <v/>
      </c>
      <c r="BQ113" s="155" t="str">
        <f t="shared" si="115"/>
        <v xml:space="preserve">* [Official site](https://www.holytrinityok.org/)
</v>
      </c>
      <c r="BR113" s="155" t="str">
        <f t="shared" si="116"/>
        <v/>
      </c>
      <c r="BS113" s="155" t="str">
        <f t="shared" si="117"/>
        <v/>
      </c>
      <c r="BT113" s="155" t="str">
        <f t="shared" si="118"/>
        <v/>
      </c>
      <c r="BU113" s="155" t="str">
        <f>IF(LEN(concat(BR113:BT113))&gt;0,concat("| ",BR113," | ",BS113," | ",BT113," |"),"")</f>
        <v/>
      </c>
      <c r="BV113" s="155" t="str">
        <f t="shared" si="119"/>
        <v/>
      </c>
      <c r="BW113" s="155" t="str">
        <f>IF(LEN(BQ113&amp;BV113)&gt;0,concatll("#### More Information",BQ113,BV113),"")</f>
        <v xml:space="preserve">#### More Information_x000D_
_x000D_
* [Official site](https://www.holytrinityok.org/)
_x000D_
_x000D_
</v>
      </c>
      <c r="BX113" s="155" t="str">
        <f>IF(LEN(N113)&gt;1,concatll("#### Author's Note",N113,"-"&amp;B113),"")</f>
        <v/>
      </c>
      <c r="BY113" s="155" t="s">
        <v>335</v>
      </c>
      <c r="BZ113" s="155" t="s">
        <v>335</v>
      </c>
      <c r="CA113" s="23" t="str">
        <f>IF(AS113,concatll(concatl("---",AT113:AV113,BL113,"---"),M113,BW113:BX113),"")</f>
        <v xml:space="preserve">---_x000D_
title: "Holy Trinity Catholic Church, Okarche, OK"_x000D_
location: {lat: 35.7284903, lng: -97.975802}_x000D_
interest: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23" t="str">
        <f>IF(AS113,"places\"&amp;VLOOKUP(C113,'(Ref) Countries'!A:B,2,)&amp;IF(LEN(D113)&gt;1,"-"&amp;LOWER(SUBSTITUTE(D113," ","-")),"")&amp;"-"&amp;LOWER(SUBSTITUTE(SUBSTITUTE(H113," ","-"),".",""))&amp;".md","")</f>
        <v>places\us_ok-okarche-holy-trinity.md</v>
      </c>
      <c r="CC113" s="29" t="str">
        <f>IF(LEN(Z113)&gt;1,VLOOKUP(Z113,'Tag List'!$A:$B,2,),"")</f>
        <v>Bl. Stanley Rother</v>
      </c>
      <c r="CD113" s="29" t="str">
        <f>IF(LEN(AA113)&gt;1,VLOOKUP(AA113,'Tag List'!$A:$B,2,),"")</f>
        <v/>
      </c>
      <c r="CE113" s="29" t="str">
        <f>IF(LEN(AB113)&gt;1,VLOOKUP(AB113,'Tag List'!$A:$B,2,),"")</f>
        <v/>
      </c>
      <c r="CF113" s="29" t="str">
        <f>IF(LEN(Z113)&gt;1,GetTagPage(CC113,Z113),"")</f>
        <v>[Bl. Stanley Rother](/tags/stanley-rother)</v>
      </c>
      <c r="CG113" s="29" t="str">
        <f>IF(LEN(AA113)&gt;1,GetTagPage(CD113,AA113),"")</f>
        <v/>
      </c>
      <c r="CH113" s="29" t="str">
        <f>IF(LEN(AB113)&gt;1,GetTagPage(CE113,AB113),"")</f>
        <v/>
      </c>
      <c r="CI113" s="29" t="str">
        <f t="shared" si="120"/>
        <v xml:space="preserve">| [Bl. Stanley Rother](/tags/stanley-rother) </v>
      </c>
      <c r="CJ113" s="29" t="str">
        <f t="shared" si="121"/>
        <v xml:space="preserve">| [](/places/places\us_ok-okarche-holy-trinity) </v>
      </c>
      <c r="CK113" s="29" t="str">
        <f>"| "&amp;IF(AS113,GetTagPage(C113,VLOOKUP(C113,'(Ref) Countries'!A:C,3,)),C113)&amp; " "</f>
        <v xml:space="preserve">| [US Oklahoma](/tags/usa
- oklahoma) </v>
      </c>
      <c r="CL113" s="29" t="str">
        <f t="shared" si="122"/>
        <v xml:space="preserve">|  </v>
      </c>
      <c r="CM113" s="29" t="str">
        <f t="shared" si="123"/>
        <v xml:space="preserve">| [Link](/places/places\us_ok-okarche-holy-trinity) </v>
      </c>
      <c r="CN113" s="29" t="str">
        <f t="shared" si="124"/>
        <v xml:space="preserve">
| [](/places/places\us_ok-okarche-holy-trinity) | [US Oklahoma](/tags/usa
- oklahoma) |  | [Link](/places/places\us_ok-okarche-holy-trinity) [Official site](https://www.holytrinityok.org/)| [Bl. Stanley Rother](/tags/stanley-rother) |</v>
      </c>
    </row>
    <row r="114" spans="1:92" ht="38.25" x14ac:dyDescent="0.25">
      <c r="A114" s="167" t="s">
        <v>1317</v>
      </c>
      <c r="B114" s="24" t="s">
        <v>2481</v>
      </c>
      <c r="C114" s="24" t="s">
        <v>1906</v>
      </c>
      <c r="D114" s="83" t="s">
        <v>1984</v>
      </c>
      <c r="E114" s="15">
        <v>35.375799999999998</v>
      </c>
      <c r="F114" s="49">
        <v>-97.497500000000002</v>
      </c>
      <c r="G114" s="24" t="s">
        <v>378</v>
      </c>
      <c r="H114" s="90" t="s">
        <v>1983</v>
      </c>
      <c r="I114" s="24" t="s">
        <v>1802</v>
      </c>
      <c r="J114" s="24" t="b">
        <v>1</v>
      </c>
      <c r="L114" s="24" t="b">
        <v>1</v>
      </c>
      <c r="M114" s="24" t="s">
        <v>1985</v>
      </c>
      <c r="O114" s="15" t="s">
        <v>379</v>
      </c>
      <c r="P114" s="15" t="s">
        <v>335</v>
      </c>
      <c r="Z114" s="15" t="s">
        <v>1836</v>
      </c>
      <c r="AS114" s="154" t="b">
        <f t="shared" si="96"/>
        <v>1</v>
      </c>
      <c r="AT114" s="155" t="str">
        <f t="shared" si="97"/>
        <v>title: "Blessed Stanley Rother Shrine"</v>
      </c>
      <c r="AU114" s="155" t="str">
        <f t="shared" si="98"/>
        <v>location: {lat: 35.3758, lng: -97.4975}</v>
      </c>
      <c r="AV114" s="155" t="str">
        <f t="shared" si="99"/>
        <v>interest: local</v>
      </c>
      <c r="AW114" s="155" t="str">
        <f>"- "&amp;VLOOKUP(C114,'(Ref) Countries'!A:C,3,)</f>
        <v>- usa
- oklahoma</v>
      </c>
      <c r="AX114" s="155" t="str">
        <f t="shared" si="100"/>
        <v>- oklahoma-city</v>
      </c>
      <c r="AY114" s="155" t="str">
        <f t="shared" si="101"/>
        <v>- churches</v>
      </c>
      <c r="AZ114" s="155" t="str">
        <f t="shared" si="102"/>
        <v/>
      </c>
      <c r="BA114" s="155" t="str">
        <f t="shared" si="103"/>
        <v>- holy-persons</v>
      </c>
      <c r="BB114" s="155" t="str">
        <f t="shared" si="104"/>
        <v>- stanley-rother</v>
      </c>
      <c r="BC114" s="155" t="str">
        <f t="shared" si="105"/>
        <v/>
      </c>
      <c r="BD114" s="155" t="str">
        <f t="shared" si="106"/>
        <v/>
      </c>
      <c r="BE114" s="155" t="str">
        <f t="shared" si="107"/>
        <v/>
      </c>
      <c r="BF114" s="155" t="str">
        <f t="shared" si="108"/>
        <v/>
      </c>
      <c r="BG114" s="155" t="str">
        <f t="shared" si="109"/>
        <v/>
      </c>
      <c r="BH114" s="155" t="str">
        <f t="shared" si="110"/>
        <v/>
      </c>
      <c r="BI114" s="155" t="str">
        <f t="shared" si="111"/>
        <v/>
      </c>
      <c r="BJ114" s="155" t="str">
        <f t="shared" si="112"/>
        <v/>
      </c>
      <c r="BK114" s="155" t="str">
        <f t="shared" si="113"/>
        <v/>
      </c>
      <c r="BL114" s="155" t="str">
        <f t="shared" si="114"/>
        <v xml:space="preserve">tags:
- usa
- oklahoma_x000D_
- oklahoma-city_x000D_
- churches_x000D_
- holy-persons_x000D_
- stanley-rother_x000D_
</v>
      </c>
      <c r="BM114" s="158" t="str">
        <f t="shared" si="92"/>
        <v>[Official site](https://www.rothershrine.org/)</v>
      </c>
      <c r="BN114" s="158" t="str">
        <f t="shared" si="93"/>
        <v/>
      </c>
      <c r="BO114" s="158" t="str">
        <f t="shared" si="94"/>
        <v/>
      </c>
      <c r="BP114" s="158" t="str">
        <f t="shared" si="95"/>
        <v/>
      </c>
      <c r="BQ114" s="155" t="str">
        <f t="shared" si="115"/>
        <v xml:space="preserve">* [Official site](https://www.rothershrine.org/)
</v>
      </c>
      <c r="BR114" s="155" t="str">
        <f t="shared" si="116"/>
        <v/>
      </c>
      <c r="BS114" s="155" t="str">
        <f t="shared" si="117"/>
        <v/>
      </c>
      <c r="BT114" s="155" t="str">
        <f t="shared" si="118"/>
        <v/>
      </c>
      <c r="BU114" s="155" t="str">
        <f>IF(LEN(concat(BR114:BT114))&gt;0,concat("| ",BR114," | ",BS114," | ",BT114," |"),"")</f>
        <v/>
      </c>
      <c r="BV114" s="155" t="str">
        <f t="shared" si="119"/>
        <v/>
      </c>
      <c r="BW114" s="155" t="str">
        <f>IF(LEN(BQ114&amp;BV114)&gt;0,concatll("#### More Information",BQ114,BV114),"")</f>
        <v xml:space="preserve">#### More Information_x000D_
_x000D_
* [Official site](https://www.rothershrine.org/)
_x000D_
_x000D_
</v>
      </c>
      <c r="BX114" s="155" t="str">
        <f>IF(LEN(N114)&gt;1,concatll("#### Author's Note",N114,"-"&amp;B114),"")</f>
        <v/>
      </c>
      <c r="BY114" s="155" t="s">
        <v>335</v>
      </c>
      <c r="BZ114" s="155" t="s">
        <v>335</v>
      </c>
      <c r="CA114" s="23" t="str">
        <f>IF(AS114,concatll(concatl("---",AT114:AV114,BL114,"---"),M114,BW114:BX114),"")</f>
        <v xml:space="preserve">---_x000D_
title: "Blessed Stanley Rother Shrine"_x000D_
location: {lat: 35.3758, lng: -97.4975}_x000D_
interest: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23" t="str">
        <f>IF(AS114,"places\"&amp;VLOOKUP(C114,'(Ref) Countries'!A:B,2,)&amp;IF(LEN(D114)&gt;1,"-"&amp;LOWER(SUBSTITUTE(D114," ","-")),"")&amp;"-"&amp;LOWER(SUBSTITUTE(SUBSTITUTE(H114," ","-"),".",""))&amp;".md","")</f>
        <v>places\us_ok-oklahoma-city-stanley-rother-shrine.md</v>
      </c>
      <c r="CC114" s="29" t="str">
        <f>IF(LEN(Z114)&gt;1,VLOOKUP(Z114,'Tag List'!$A:$B,2,),"")</f>
        <v>Bl. Stanley Rother</v>
      </c>
      <c r="CD114" s="29" t="str">
        <f>IF(LEN(AA114)&gt;1,VLOOKUP(AA114,'Tag List'!$A:$B,2,),"")</f>
        <v/>
      </c>
      <c r="CE114" s="29" t="str">
        <f>IF(LEN(AB114)&gt;1,VLOOKUP(AB114,'Tag List'!$A:$B,2,),"")</f>
        <v/>
      </c>
      <c r="CF114" s="29" t="str">
        <f>IF(LEN(Z114)&gt;1,GetTagPage(CC114,Z114),"")</f>
        <v>[Bl. Stanley Rother](/tags/stanley-rother)</v>
      </c>
      <c r="CG114" s="29" t="str">
        <f>IF(LEN(AA114)&gt;1,GetTagPage(CD114,AA114),"")</f>
        <v/>
      </c>
      <c r="CH114" s="29" t="str">
        <f>IF(LEN(AB114)&gt;1,GetTagPage(CE114,AB114),"")</f>
        <v/>
      </c>
      <c r="CI114" s="29" t="str">
        <f t="shared" si="120"/>
        <v xml:space="preserve">| [Bl. Stanley Rother](/tags/stanley-rother) </v>
      </c>
      <c r="CJ114" s="29" t="str">
        <f t="shared" si="121"/>
        <v xml:space="preserve">| [](/places/places\us_ok-oklahoma-city-stanley-rother-shrine) </v>
      </c>
      <c r="CK114" s="29" t="str">
        <f>"| "&amp;IF(AS114,GetTagPage(C114,VLOOKUP(C114,'(Ref) Countries'!A:C,3,)),C114)&amp; " "</f>
        <v xml:space="preserve">| [US Oklahoma](/tags/usa
- oklahoma) </v>
      </c>
      <c r="CL114" s="29" t="str">
        <f t="shared" si="122"/>
        <v xml:space="preserve">|  </v>
      </c>
      <c r="CM114" s="29" t="str">
        <f t="shared" si="123"/>
        <v xml:space="preserve">| [Link](/places/places\us_ok-oklahoma-city-stanley-rother-shrine) </v>
      </c>
      <c r="CN114" s="29" t="str">
        <f t="shared" si="124"/>
        <v xml:space="preserve">
| [](/places/places\us_ok-oklahoma-city-stanley-rother-shrine) | [US Oklahoma](/tags/usa
- oklahoma) |  | [Link](/places/places\us_ok-oklahoma-city-stanley-rother-shrine) [Official site](https://www.rothershrine.org/)| [Bl. Stanley Rother](/tags/stanley-rother) |</v>
      </c>
    </row>
    <row r="115" spans="1:92" ht="25.5" x14ac:dyDescent="0.25">
      <c r="A115" s="167" t="s">
        <v>1317</v>
      </c>
      <c r="B115" s="83" t="s">
        <v>2481</v>
      </c>
      <c r="C115" s="83" t="s">
        <v>1913</v>
      </c>
      <c r="D115" s="83" t="s">
        <v>1986</v>
      </c>
      <c r="E115" s="15">
        <v>29.454204000000001</v>
      </c>
      <c r="F115" s="49">
        <v>-98.545190000000005</v>
      </c>
      <c r="G115" s="83" t="s">
        <v>389</v>
      </c>
      <c r="H115" s="53" t="s">
        <v>389</v>
      </c>
      <c r="I115" s="24" t="s">
        <v>1802</v>
      </c>
      <c r="J115" s="24" t="b">
        <v>1</v>
      </c>
      <c r="L115" s="24" t="b">
        <v>1</v>
      </c>
      <c r="M115" s="83" t="s">
        <v>391</v>
      </c>
      <c r="O115" s="15" t="s">
        <v>390</v>
      </c>
      <c r="P115" s="15" t="s">
        <v>335</v>
      </c>
      <c r="Z115" s="15" t="s">
        <v>1836</v>
      </c>
      <c r="AS115" s="154" t="b">
        <f t="shared" si="96"/>
        <v>1</v>
      </c>
      <c r="AT115" s="155" t="str">
        <f t="shared" si="97"/>
        <v>title: "Assumption Seminary"</v>
      </c>
      <c r="AU115" s="155" t="str">
        <f t="shared" si="98"/>
        <v>location: {lat: 29.454204, lng: -98.54519}</v>
      </c>
      <c r="AV115" s="155" t="str">
        <f t="shared" si="99"/>
        <v>interest: local</v>
      </c>
      <c r="AW115" s="155" t="str">
        <f>"- "&amp;VLOOKUP(C115,'(Ref) Countries'!A:C,3,)</f>
        <v>- usa
- texas</v>
      </c>
      <c r="AX115" s="155" t="str">
        <f t="shared" si="100"/>
        <v>- san-antonio</v>
      </c>
      <c r="AY115" s="155" t="str">
        <f t="shared" si="101"/>
        <v>- churches</v>
      </c>
      <c r="AZ115" s="155" t="str">
        <f t="shared" si="102"/>
        <v/>
      </c>
      <c r="BA115" s="155" t="str">
        <f t="shared" si="103"/>
        <v>- holy-persons</v>
      </c>
      <c r="BB115" s="155" t="str">
        <f t="shared" si="104"/>
        <v>- stanley-rother</v>
      </c>
      <c r="BC115" s="155" t="str">
        <f t="shared" si="105"/>
        <v/>
      </c>
      <c r="BD115" s="155" t="str">
        <f t="shared" si="106"/>
        <v/>
      </c>
      <c r="BE115" s="155" t="str">
        <f t="shared" si="107"/>
        <v/>
      </c>
      <c r="BF115" s="155" t="str">
        <f t="shared" si="108"/>
        <v/>
      </c>
      <c r="BG115" s="155" t="str">
        <f t="shared" si="109"/>
        <v/>
      </c>
      <c r="BH115" s="155" t="str">
        <f t="shared" si="110"/>
        <v/>
      </c>
      <c r="BI115" s="155" t="str">
        <f t="shared" si="111"/>
        <v/>
      </c>
      <c r="BJ115" s="155" t="str">
        <f t="shared" si="112"/>
        <v/>
      </c>
      <c r="BK115" s="155" t="str">
        <f t="shared" si="113"/>
        <v/>
      </c>
      <c r="BL115" s="155" t="str">
        <f t="shared" si="114"/>
        <v xml:space="preserve">tags:
- usa
- texas_x000D_
- san-antonio_x000D_
- churches_x000D_
- holy-persons_x000D_
- stanley-rother_x000D_
</v>
      </c>
      <c r="BM115" s="158" t="str">
        <f t="shared" si="92"/>
        <v>[Official site](https://assumptionseminary.org/)</v>
      </c>
      <c r="BN115" s="158" t="str">
        <f t="shared" si="93"/>
        <v/>
      </c>
      <c r="BO115" s="158" t="str">
        <f t="shared" si="94"/>
        <v/>
      </c>
      <c r="BP115" s="158" t="str">
        <f t="shared" si="95"/>
        <v/>
      </c>
      <c r="BQ115" s="155" t="str">
        <f t="shared" si="115"/>
        <v xml:space="preserve">* [Official site](https://assumptionseminary.org/)
</v>
      </c>
      <c r="BR115" s="155" t="str">
        <f t="shared" si="116"/>
        <v/>
      </c>
      <c r="BS115" s="155" t="str">
        <f t="shared" si="117"/>
        <v/>
      </c>
      <c r="BT115" s="155" t="str">
        <f t="shared" si="118"/>
        <v/>
      </c>
      <c r="BU115" s="155" t="str">
        <f>IF(LEN(concat(BR115:BT115))&gt;0,concat("| ",BR115," | ",BS115," | ",BT115," |"),"")</f>
        <v/>
      </c>
      <c r="BV115" s="155" t="str">
        <f t="shared" si="119"/>
        <v/>
      </c>
      <c r="BW115" s="155" t="str">
        <f>IF(LEN(BQ115&amp;BV115)&gt;0,concatll("#### More Information",BQ115,BV115),"")</f>
        <v xml:space="preserve">#### More Information_x000D_
_x000D_
* [Official site](https://assumptionseminary.org/)
_x000D_
_x000D_
</v>
      </c>
      <c r="BX115" s="155" t="str">
        <f>IF(LEN(N115)&gt;1,concatll("#### Author's Note",N115,"-"&amp;B115),"")</f>
        <v/>
      </c>
      <c r="BY115" s="155" t="s">
        <v>335</v>
      </c>
      <c r="BZ115" s="155" t="s">
        <v>335</v>
      </c>
      <c r="CA115" s="23" t="str">
        <f>IF(AS115,concatll(concatl("---",AT115:AV115,BL115,"---"),M115,BW115:BX115),"")</f>
        <v xml:space="preserve">---_x000D_
title: "Assumption Seminary"_x000D_
location: {lat: 29.454204, lng: -98.54519}_x000D_
interest: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23" t="str">
        <f>IF(AS115,"places\"&amp;VLOOKUP(C115,'(Ref) Countries'!A:B,2,)&amp;IF(LEN(D115)&gt;1,"-"&amp;LOWER(SUBSTITUTE(D115," ","-")),"")&amp;"-"&amp;LOWER(SUBSTITUTE(SUBSTITUTE(H115," ","-"),".",""))&amp;".md","")</f>
        <v>places\us_tx-san-antonio-assumption-seminary.md</v>
      </c>
      <c r="CC115" s="29" t="str">
        <f>IF(LEN(Z115)&gt;1,VLOOKUP(Z115,'Tag List'!$A:$B,2,),"")</f>
        <v>Bl. Stanley Rother</v>
      </c>
      <c r="CD115" s="29" t="str">
        <f>IF(LEN(AA115)&gt;1,VLOOKUP(AA115,'Tag List'!$A:$B,2,),"")</f>
        <v/>
      </c>
      <c r="CE115" s="29" t="str">
        <f>IF(LEN(AB115)&gt;1,VLOOKUP(AB115,'Tag List'!$A:$B,2,),"")</f>
        <v/>
      </c>
      <c r="CF115" s="29" t="str">
        <f>IF(LEN(Z115)&gt;1,GetTagPage(CC115,Z115),"")</f>
        <v>[Bl. Stanley Rother](/tags/stanley-rother)</v>
      </c>
      <c r="CG115" s="29" t="str">
        <f>IF(LEN(AA115)&gt;1,GetTagPage(CD115,AA115),"")</f>
        <v/>
      </c>
      <c r="CH115" s="29" t="str">
        <f>IF(LEN(AB115)&gt;1,GetTagPage(CE115,AB115),"")</f>
        <v/>
      </c>
      <c r="CI115" s="29" t="str">
        <f t="shared" si="120"/>
        <v xml:space="preserve">| [Bl. Stanley Rother](/tags/stanley-rother) </v>
      </c>
      <c r="CJ115" s="29" t="str">
        <f t="shared" si="121"/>
        <v xml:space="preserve">| [](/places/places\us_tx-san-antonio-assumption-seminary) </v>
      </c>
      <c r="CK115" s="29" t="str">
        <f>"| "&amp;IF(AS115,GetTagPage(C115,VLOOKUP(C115,'(Ref) Countries'!A:C,3,)),C115)&amp; " "</f>
        <v xml:space="preserve">| [US Texas](/tags/usa
- texas) </v>
      </c>
      <c r="CL115" s="29" t="str">
        <f t="shared" si="122"/>
        <v xml:space="preserve">|  </v>
      </c>
      <c r="CM115" s="29" t="str">
        <f t="shared" si="123"/>
        <v xml:space="preserve">| [Link](/places/places\us_tx-san-antonio-assumption-seminary) </v>
      </c>
      <c r="CN115" s="29" t="str">
        <f t="shared" si="124"/>
        <v xml:space="preserve">
| [](/places/places\us_tx-san-antonio-assumption-seminary) | [US Texas](/tags/usa
- texas) |  | [Link](/places/places\us_tx-san-antonio-assumption-seminary) [Official site](https://assumptionseminary.org/)| [Bl. Stanley Rother](/tags/stanley-rother) |</v>
      </c>
    </row>
    <row r="116" spans="1:92" ht="25.5" x14ac:dyDescent="0.25">
      <c r="A116" s="167" t="s">
        <v>1317</v>
      </c>
      <c r="B116" s="168" t="s">
        <v>2482</v>
      </c>
      <c r="C116" s="83" t="s">
        <v>1913</v>
      </c>
      <c r="D116" s="83" t="s">
        <v>2016</v>
      </c>
      <c r="E116" s="15">
        <v>32.750999999999998</v>
      </c>
      <c r="F116" s="49">
        <v>-96.8159986</v>
      </c>
      <c r="G116" s="83" t="s">
        <v>2017</v>
      </c>
      <c r="H116" s="90" t="s">
        <v>2018</v>
      </c>
      <c r="I116" s="83" t="s">
        <v>1802</v>
      </c>
      <c r="J116" s="24" t="b">
        <v>1</v>
      </c>
      <c r="M116" s="24" t="s">
        <v>2019</v>
      </c>
      <c r="O116" s="91" t="s">
        <v>2030</v>
      </c>
      <c r="P116" s="94" t="s">
        <v>335</v>
      </c>
      <c r="Q116" s="95" t="s">
        <v>2029</v>
      </c>
      <c r="R116" s="15" t="s">
        <v>2020</v>
      </c>
      <c r="S116" s="93" t="s">
        <v>335</v>
      </c>
      <c r="AS116" s="154" t="b">
        <f t="shared" si="96"/>
        <v>1</v>
      </c>
      <c r="AT116" s="155" t="str">
        <f t="shared" si="97"/>
        <v>title: "Blessed Sacrament Catholic Church, Dallas, TX"</v>
      </c>
      <c r="AU116" s="155" t="str">
        <f t="shared" si="98"/>
        <v>location: {lat: 32.751, lng: -96.8159986}</v>
      </c>
      <c r="AV116" s="155" t="str">
        <f t="shared" si="99"/>
        <v>interest: local</v>
      </c>
      <c r="AW116" s="155" t="str">
        <f>"- "&amp;VLOOKUP(C116,'(Ref) Countries'!A:C,3,)</f>
        <v>- usa
- texas</v>
      </c>
      <c r="AX116" s="155" t="str">
        <f t="shared" si="100"/>
        <v>- dallas</v>
      </c>
      <c r="AY116" s="155" t="str">
        <f t="shared" si="101"/>
        <v>- churches</v>
      </c>
      <c r="AZ116" s="155" t="str">
        <f t="shared" si="102"/>
        <v/>
      </c>
      <c r="BA116" s="155" t="str">
        <f t="shared" si="103"/>
        <v/>
      </c>
      <c r="BB116" s="155" t="str">
        <f t="shared" si="104"/>
        <v/>
      </c>
      <c r="BC116" s="155" t="str">
        <f t="shared" si="105"/>
        <v/>
      </c>
      <c r="BD116" s="155" t="str">
        <f t="shared" si="106"/>
        <v/>
      </c>
      <c r="BE116" s="155" t="str">
        <f t="shared" si="107"/>
        <v/>
      </c>
      <c r="BF116" s="155" t="str">
        <f t="shared" si="108"/>
        <v/>
      </c>
      <c r="BG116" s="155" t="str">
        <f t="shared" si="109"/>
        <v/>
      </c>
      <c r="BH116" s="155" t="str">
        <f t="shared" si="110"/>
        <v/>
      </c>
      <c r="BI116" s="155" t="str">
        <f t="shared" si="111"/>
        <v/>
      </c>
      <c r="BJ116" s="155" t="str">
        <f t="shared" si="112"/>
        <v/>
      </c>
      <c r="BK116" s="155" t="str">
        <f t="shared" si="113"/>
        <v/>
      </c>
      <c r="BL116" s="155" t="str">
        <f t="shared" si="114"/>
        <v xml:space="preserve">tags:
- usa
- texas_x000D_
- dallas_x000D_
- churches_x000D_
</v>
      </c>
      <c r="BM116" s="158" t="str">
        <f t="shared" si="92"/>
        <v>[Official site](https://www.bsdallas.org/)</v>
      </c>
      <c r="BN116" s="158" t="str">
        <f t="shared" si="93"/>
        <v>[Parish history](https://www.bsdallas.org/about-our-parish)</v>
      </c>
      <c r="BO116" s="158" t="str">
        <f t="shared" si="94"/>
        <v/>
      </c>
      <c r="BP116" s="158" t="str">
        <f t="shared" si="95"/>
        <v/>
      </c>
      <c r="BQ116" s="155" t="str">
        <f t="shared" si="115"/>
        <v xml:space="preserve">* [Official site](https://www.bsdallas.org/)
* [Parish history](https://www.bsdallas.org/about-our-parish)
</v>
      </c>
      <c r="BR116" s="155" t="str">
        <f t="shared" si="116"/>
        <v/>
      </c>
      <c r="BS116" s="155" t="str">
        <f t="shared" si="117"/>
        <v/>
      </c>
      <c r="BT116" s="155" t="str">
        <f t="shared" si="118"/>
        <v/>
      </c>
      <c r="BU116" s="155" t="str">
        <f>IF(LEN(concat(BR116:BT116))&gt;0,concat("| ",BR116," | ",BS116," | ",BT116," |"),"")</f>
        <v/>
      </c>
      <c r="BV116" s="155" t="str">
        <f t="shared" si="119"/>
        <v/>
      </c>
      <c r="BW116" s="155" t="str">
        <f>IF(LEN(BQ116&amp;BV116)&gt;0,concatll("#### More Information",BQ116,BV116),"")</f>
        <v xml:space="preserve">#### More Information_x000D_
_x000D_
* [Official site](https://www.bsdallas.org/)
* [Parish history](https://www.bsdallas.org/about-our-parish)
_x000D_
_x000D_
</v>
      </c>
      <c r="BX116" s="155" t="str">
        <f>IF(LEN(N116)&gt;1,concatll("#### Author's Note",N116,"-"&amp;B116),"")</f>
        <v/>
      </c>
      <c r="BY116" s="155" t="s">
        <v>335</v>
      </c>
      <c r="BZ116" s="155" t="s">
        <v>335</v>
      </c>
      <c r="CA116" s="23" t="str">
        <f>IF(AS116,concatll(concatl("---",AT116:AV116,BL116,"---"),M116,BW116:BX116),"")</f>
        <v xml:space="preserve">---_x000D_
title: "Blessed Sacrament Catholic Church, Dallas, TX"_x000D_
location: {lat: 32.751, lng: -96.8159986}_x000D_
interest: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23" t="str">
        <f>IF(AS116,"places\"&amp;VLOOKUP(C116,'(Ref) Countries'!A:B,2,)&amp;IF(LEN(D116)&gt;1,"-"&amp;LOWER(SUBSTITUTE(D116," ","-")),"")&amp;"-"&amp;LOWER(SUBSTITUTE(SUBSTITUTE(H116," ","-"),".",""))&amp;".md","")</f>
        <v>places\us_tx-dallas-blessed-sacrament.md</v>
      </c>
      <c r="CC116" s="29" t="str">
        <f>IF(LEN(Z116)&gt;1,VLOOKUP(Z116,'Tag List'!$A:$B,2,),"")</f>
        <v/>
      </c>
      <c r="CD116" s="29" t="str">
        <f>IF(LEN(AA116)&gt;1,VLOOKUP(AA116,'Tag List'!$A:$B,2,),"")</f>
        <v/>
      </c>
      <c r="CE116" s="29" t="str">
        <f>IF(LEN(AB116)&gt;1,VLOOKUP(AB116,'Tag List'!$A:$B,2,),"")</f>
        <v/>
      </c>
      <c r="CF116" s="29" t="str">
        <f>IF(LEN(Z116)&gt;1,GetTagPage(CC116,Z116),"")</f>
        <v/>
      </c>
      <c r="CG116" s="29" t="str">
        <f>IF(LEN(AA116)&gt;1,GetTagPage(CD116,AA116),"")</f>
        <v/>
      </c>
      <c r="CH116" s="29" t="str">
        <f>IF(LEN(AB116)&gt;1,GetTagPage(CE116,AB116),"")</f>
        <v/>
      </c>
      <c r="CI116" s="29" t="str">
        <f t="shared" si="120"/>
        <v xml:space="preserve">| </v>
      </c>
      <c r="CJ116" s="29" t="str">
        <f t="shared" si="121"/>
        <v xml:space="preserve">| [](/places/places\us_tx-dallas-blessed-sacrament) </v>
      </c>
      <c r="CK116" s="29" t="str">
        <f>"| "&amp;IF(AS116,GetTagPage(C116,VLOOKUP(C116,'(Ref) Countries'!A:C,3,)),C116)&amp; " "</f>
        <v xml:space="preserve">| [US Texas](/tags/usa
- texas) </v>
      </c>
      <c r="CL116" s="29" t="str">
        <f t="shared" si="122"/>
        <v xml:space="preserve">|  </v>
      </c>
      <c r="CM116" s="29" t="str">
        <f t="shared" si="123"/>
        <v xml:space="preserve">| [Link](/places/places\us_tx-dallas-blessed-sacrament) </v>
      </c>
      <c r="CN116" s="29" t="str">
        <f t="shared" si="124"/>
        <v xml:space="preserve">
| [](/places/places\us_tx-dallas-blessed-sacrament) | [US Texas](/tags/usa
- texas) |  | [Link](/places/places\us_tx-dallas-blessed-sacrament) [Official site](https://www.bsdallas.org/)| |</v>
      </c>
    </row>
    <row r="117" spans="1:92" ht="89.25" x14ac:dyDescent="0.25">
      <c r="A117" s="167" t="s">
        <v>1317</v>
      </c>
      <c r="B117" s="24" t="s">
        <v>2482</v>
      </c>
      <c r="C117" s="24" t="s">
        <v>1913</v>
      </c>
      <c r="D117" s="24" t="s">
        <v>2016</v>
      </c>
      <c r="E117" s="15">
        <v>32.788515199999999</v>
      </c>
      <c r="F117" s="49">
        <v>-96.797780700000004</v>
      </c>
      <c r="G117" s="83" t="s">
        <v>2022</v>
      </c>
      <c r="H117" s="90" t="s">
        <v>2023</v>
      </c>
      <c r="I117" s="24" t="s">
        <v>1802</v>
      </c>
      <c r="J117" s="24" t="b">
        <v>1</v>
      </c>
      <c r="M117" s="83" t="s">
        <v>2021</v>
      </c>
      <c r="N117" s="177" t="s">
        <v>2517</v>
      </c>
      <c r="O117" s="15" t="s">
        <v>2024</v>
      </c>
      <c r="P117" s="94" t="s">
        <v>335</v>
      </c>
      <c r="AS117" s="154" t="b">
        <f t="shared" si="96"/>
        <v>1</v>
      </c>
      <c r="AT117" s="155" t="str">
        <f t="shared" si="97"/>
        <v>title: "National Shrine Cathedral of Our Lady of Guadalupe, Dallas, TX"</v>
      </c>
      <c r="AU117" s="155" t="str">
        <f t="shared" si="98"/>
        <v>location: {lat: 32.7885152, lng: -96.7977807}</v>
      </c>
      <c r="AV117" s="155" t="str">
        <f t="shared" si="99"/>
        <v>interest: local</v>
      </c>
      <c r="AW117" s="155" t="str">
        <f>"- "&amp;VLOOKUP(C117,'(Ref) Countries'!A:C,3,)</f>
        <v>- usa
- texas</v>
      </c>
      <c r="AX117" s="155" t="str">
        <f t="shared" si="100"/>
        <v>- dallas</v>
      </c>
      <c r="AY117" s="155" t="str">
        <f t="shared" si="101"/>
        <v>- churches</v>
      </c>
      <c r="AZ117" s="155" t="str">
        <f t="shared" si="102"/>
        <v/>
      </c>
      <c r="BA117" s="155" t="str">
        <f t="shared" si="103"/>
        <v/>
      </c>
      <c r="BB117" s="155" t="str">
        <f t="shared" si="104"/>
        <v/>
      </c>
      <c r="BC117" s="155" t="str">
        <f t="shared" si="105"/>
        <v/>
      </c>
      <c r="BD117" s="155" t="str">
        <f t="shared" si="106"/>
        <v/>
      </c>
      <c r="BE117" s="155" t="str">
        <f t="shared" si="107"/>
        <v/>
      </c>
      <c r="BF117" s="155" t="str">
        <f t="shared" si="108"/>
        <v/>
      </c>
      <c r="BG117" s="155" t="str">
        <f t="shared" si="109"/>
        <v/>
      </c>
      <c r="BH117" s="155" t="str">
        <f t="shared" si="110"/>
        <v/>
      </c>
      <c r="BI117" s="155" t="str">
        <f t="shared" si="111"/>
        <v/>
      </c>
      <c r="BJ117" s="155" t="str">
        <f t="shared" si="112"/>
        <v/>
      </c>
      <c r="BK117" s="155" t="str">
        <f t="shared" si="113"/>
        <v/>
      </c>
      <c r="BL117" s="155" t="str">
        <f t="shared" si="114"/>
        <v xml:space="preserve">tags:
- usa
- texas_x000D_
- dallas_x000D_
- churches_x000D_
</v>
      </c>
      <c r="BM117" s="158" t="str">
        <f t="shared" si="92"/>
        <v>[Official site](https://www.cathdal.org/cathedral)</v>
      </c>
      <c r="BN117" s="158" t="str">
        <f t="shared" si="93"/>
        <v/>
      </c>
      <c r="BO117" s="158" t="str">
        <f t="shared" si="94"/>
        <v/>
      </c>
      <c r="BP117" s="158" t="str">
        <f t="shared" si="95"/>
        <v/>
      </c>
      <c r="BQ117" s="155" t="str">
        <f t="shared" si="115"/>
        <v xml:space="preserve">* [Official site](https://www.cathdal.org/cathedral)
</v>
      </c>
      <c r="BR117" s="155" t="str">
        <f t="shared" si="116"/>
        <v/>
      </c>
      <c r="BS117" s="155" t="str">
        <f t="shared" si="117"/>
        <v/>
      </c>
      <c r="BT117" s="155" t="str">
        <f t="shared" si="118"/>
        <v/>
      </c>
      <c r="BU117" s="155" t="str">
        <f>IF(LEN(concat(BR117:BT117))&gt;0,concat("| ",BR117," | ",BS117," | ",BT117," |"),"")</f>
        <v/>
      </c>
      <c r="BV117" s="155" t="str">
        <f t="shared" si="119"/>
        <v/>
      </c>
      <c r="BW117" s="155" t="str">
        <f>IF(LEN(BQ117&amp;BV117)&gt;0,concatll("#### More Information",BQ117,BV117),"")</f>
        <v xml:space="preserve">#### More Information_x000D_
_x000D_
* [Official site](https://www.cathdal.org/cathedral)
_x000D_
_x000D_
</v>
      </c>
      <c r="BX117" s="155"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55" t="s">
        <v>335</v>
      </c>
      <c r="BZ117" s="155" t="s">
        <v>335</v>
      </c>
      <c r="CA117" s="23" t="str">
        <f>IF(AS117,concatll(concatl("---",AT117:AV117,BL117,"---"),M117,BW117:BX117),"")</f>
        <v xml:space="preserve">---_x000D_
title: "National Shrine Cathedral of Our Lady of Guadalupe, Dallas, TX"_x000D_
location: {lat: 32.7885152, lng: -96.7977807}_x000D_
interest: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23" t="str">
        <f>IF(AS117,"places\"&amp;VLOOKUP(C117,'(Ref) Countries'!A:B,2,)&amp;IF(LEN(D117)&gt;1,"-"&amp;LOWER(SUBSTITUTE(D117," ","-")),"")&amp;"-"&amp;LOWER(SUBSTITUTE(SUBSTITUTE(H117," ","-"),".",""))&amp;".md","")</f>
        <v>places\us_tx-dallas-guadalupe-cathedral.md</v>
      </c>
      <c r="CC117" s="29" t="str">
        <f>IF(LEN(Z117)&gt;1,VLOOKUP(Z117,'Tag List'!$A:$B,2,),"")</f>
        <v/>
      </c>
      <c r="CD117" s="29" t="str">
        <f>IF(LEN(AA117)&gt;1,VLOOKUP(AA117,'Tag List'!$A:$B,2,),"")</f>
        <v/>
      </c>
      <c r="CE117" s="29" t="str">
        <f>IF(LEN(AB117)&gt;1,VLOOKUP(AB117,'Tag List'!$A:$B,2,),"")</f>
        <v/>
      </c>
      <c r="CF117" s="29" t="str">
        <f>IF(LEN(Z117)&gt;1,GetTagPage(CC117,Z117),"")</f>
        <v/>
      </c>
      <c r="CG117" s="29" t="str">
        <f>IF(LEN(AA117)&gt;1,GetTagPage(CD117,AA117),"")</f>
        <v/>
      </c>
      <c r="CH117" s="29" t="str">
        <f>IF(LEN(AB117)&gt;1,GetTagPage(CE117,AB117),"")</f>
        <v/>
      </c>
      <c r="CI117" s="29" t="str">
        <f t="shared" si="120"/>
        <v xml:space="preserve">| </v>
      </c>
      <c r="CJ117" s="29" t="str">
        <f t="shared" si="121"/>
        <v xml:space="preserve">| [](/places/places\us_tx-dallas-guadalupe-cathedral) </v>
      </c>
      <c r="CK117" s="29" t="str">
        <f>"| "&amp;IF(AS117,GetTagPage(C117,VLOOKUP(C117,'(Ref) Countries'!A:C,3,)),C117)&amp; " "</f>
        <v xml:space="preserve">| [US Texas](/tags/usa
- texas) </v>
      </c>
      <c r="CL117" s="29" t="str">
        <f t="shared" si="122"/>
        <v xml:space="preserve">|  </v>
      </c>
      <c r="CM117" s="29" t="str">
        <f t="shared" si="123"/>
        <v xml:space="preserve">| [Link](/places/places\us_tx-dallas-guadalupe-cathedral) </v>
      </c>
      <c r="CN117" s="29" t="str">
        <f t="shared" si="124"/>
        <v xml:space="preserve">
| [](/places/places\us_tx-dallas-guadalupe-cathedral) | [US Texas](/tags/usa
- texas) |  | [Link](/places/places\us_tx-dallas-guadalupe-cathedral) [Official site](https://www.cathdal.org/cathedral)| |</v>
      </c>
    </row>
    <row r="118" spans="1:92" ht="25.5" x14ac:dyDescent="0.25">
      <c r="A118" s="167" t="s">
        <v>1317</v>
      </c>
      <c r="B118" s="24" t="s">
        <v>2482</v>
      </c>
      <c r="C118" s="24" t="s">
        <v>1913</v>
      </c>
      <c r="D118" s="24" t="s">
        <v>2016</v>
      </c>
      <c r="E118" s="15">
        <v>32.814570799999998</v>
      </c>
      <c r="F118" s="49">
        <v>-96.802842799999993</v>
      </c>
      <c r="G118" s="24" t="s">
        <v>2025</v>
      </c>
      <c r="H118" s="90" t="s">
        <v>1981</v>
      </c>
      <c r="I118" s="24" t="s">
        <v>1802</v>
      </c>
      <c r="J118" s="24" t="b">
        <v>1</v>
      </c>
      <c r="M118" s="83" t="s">
        <v>2026</v>
      </c>
      <c r="O118" s="91" t="s">
        <v>2027</v>
      </c>
      <c r="P118" s="94" t="s">
        <v>335</v>
      </c>
      <c r="Q118" s="95" t="s">
        <v>2029</v>
      </c>
      <c r="R118" s="15" t="s">
        <v>2028</v>
      </c>
      <c r="S118" s="93" t="s">
        <v>335</v>
      </c>
      <c r="Z118" s="91" t="s">
        <v>2031</v>
      </c>
      <c r="AS118" s="154" t="b">
        <f t="shared" si="96"/>
        <v>1</v>
      </c>
      <c r="AT118" s="155" t="str">
        <f t="shared" si="97"/>
        <v>title: "Holy Trinity Catholic Church, Dallas, TX"</v>
      </c>
      <c r="AU118" s="155" t="str">
        <f t="shared" si="98"/>
        <v>location: {lat: 32.8145708, lng: -96.8028428}</v>
      </c>
      <c r="AV118" s="155" t="str">
        <f t="shared" si="99"/>
        <v>interest: local</v>
      </c>
      <c r="AW118" s="155" t="str">
        <f>"- "&amp;VLOOKUP(C118,'(Ref) Countries'!A:C,3,)</f>
        <v>- usa
- texas</v>
      </c>
      <c r="AX118" s="155" t="str">
        <f t="shared" si="100"/>
        <v>- dallas</v>
      </c>
      <c r="AY118" s="155" t="str">
        <f t="shared" si="101"/>
        <v>- churches</v>
      </c>
      <c r="AZ118" s="155" t="str">
        <f t="shared" si="102"/>
        <v/>
      </c>
      <c r="BA118" s="155" t="str">
        <f t="shared" si="103"/>
        <v/>
      </c>
      <c r="BB118" s="155" t="str">
        <f t="shared" si="104"/>
        <v>- vincentians</v>
      </c>
      <c r="BC118" s="155" t="str">
        <f t="shared" si="105"/>
        <v/>
      </c>
      <c r="BD118" s="155" t="str">
        <f t="shared" si="106"/>
        <v/>
      </c>
      <c r="BE118" s="155" t="str">
        <f t="shared" si="107"/>
        <v/>
      </c>
      <c r="BF118" s="155" t="str">
        <f t="shared" si="108"/>
        <v/>
      </c>
      <c r="BG118" s="155" t="str">
        <f t="shared" si="109"/>
        <v/>
      </c>
      <c r="BH118" s="155" t="str">
        <f t="shared" si="110"/>
        <v/>
      </c>
      <c r="BI118" s="155" t="str">
        <f t="shared" si="111"/>
        <v/>
      </c>
      <c r="BJ118" s="155" t="str">
        <f t="shared" si="112"/>
        <v/>
      </c>
      <c r="BK118" s="155" t="str">
        <f t="shared" si="113"/>
        <v/>
      </c>
      <c r="BL118" s="155" t="str">
        <f t="shared" si="114"/>
        <v xml:space="preserve">tags:
- usa
- texas_x000D_
- dallas_x000D_
- churches_x000D_
- vincentians_x000D_
</v>
      </c>
      <c r="BM118" s="158" t="str">
        <f t="shared" si="92"/>
        <v>[Official site](https://htccd.org/)</v>
      </c>
      <c r="BN118" s="158" t="str">
        <f t="shared" si="93"/>
        <v>[Parish history](https://htccd.org/history)</v>
      </c>
      <c r="BO118" s="158" t="str">
        <f t="shared" si="94"/>
        <v/>
      </c>
      <c r="BP118" s="158" t="str">
        <f t="shared" si="95"/>
        <v/>
      </c>
      <c r="BQ118" s="155" t="str">
        <f t="shared" si="115"/>
        <v xml:space="preserve">* [Official site](https://htccd.org/)
* [Parish history](https://htccd.org/history)
</v>
      </c>
      <c r="BR118" s="155" t="str">
        <f t="shared" si="116"/>
        <v/>
      </c>
      <c r="BS118" s="155" t="str">
        <f t="shared" si="117"/>
        <v/>
      </c>
      <c r="BT118" s="155" t="str">
        <f t="shared" si="118"/>
        <v/>
      </c>
      <c r="BU118" s="155" t="str">
        <f>IF(LEN(concat(BR118:BT118))&gt;0,concat("| ",BR118," | ",BS118," | ",BT118," |"),"")</f>
        <v/>
      </c>
      <c r="BV118" s="155" t="str">
        <f t="shared" si="119"/>
        <v/>
      </c>
      <c r="BW118" s="155" t="str">
        <f>IF(LEN(BQ118&amp;BV118)&gt;0,concatll("#### More Information",BQ118,BV118),"")</f>
        <v xml:space="preserve">#### More Information_x000D_
_x000D_
* [Official site](https://htccd.org/)
* [Parish history](https://htccd.org/history)
_x000D_
_x000D_
</v>
      </c>
      <c r="BX118" s="155" t="str">
        <f>IF(LEN(N118)&gt;1,concatll("#### Author's Note",N118,"-"&amp;B118),"")</f>
        <v/>
      </c>
      <c r="BY118" s="155" t="s">
        <v>335</v>
      </c>
      <c r="BZ118" s="155" t="s">
        <v>335</v>
      </c>
      <c r="CA118" s="23" t="str">
        <f>IF(AS118,concatll(concatl("---",AT118:AV118,BL118,"---"),M118,BW118:BX118),"")</f>
        <v xml:space="preserve">---_x000D_
title: "Holy Trinity Catholic Church, Dallas, TX"_x000D_
location: {lat: 32.8145708, lng: -96.8028428}_x000D_
interest: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23" t="str">
        <f>IF(AS118,"places\"&amp;VLOOKUP(C118,'(Ref) Countries'!A:B,2,)&amp;IF(LEN(D118)&gt;1,"-"&amp;LOWER(SUBSTITUTE(D118," ","-")),"")&amp;"-"&amp;LOWER(SUBSTITUTE(SUBSTITUTE(H118," ","-"),".",""))&amp;".md","")</f>
        <v>places\us_tx-dallas-holy-trinity.md</v>
      </c>
      <c r="CC118" s="29" t="str">
        <f>IF(LEN(Z118)&gt;1,VLOOKUP(Z118,'Tag List'!$A:$B,2,),"")</f>
        <v>Congregation of the Mission (Vincentians)</v>
      </c>
      <c r="CD118" s="29" t="str">
        <f>IF(LEN(AA118)&gt;1,VLOOKUP(AA118,'Tag List'!$A:$B,2,),"")</f>
        <v/>
      </c>
      <c r="CE118" s="29" t="str">
        <f>IF(LEN(AB118)&gt;1,VLOOKUP(AB118,'Tag List'!$A:$B,2,),"")</f>
        <v/>
      </c>
      <c r="CF118" s="29" t="str">
        <f>IF(LEN(Z118)&gt;1,GetTagPage(CC118,Z118),"")</f>
        <v>[Congregation of the Mission (Vincentians)](/tags/vincentians)</v>
      </c>
      <c r="CG118" s="29" t="str">
        <f>IF(LEN(AA118)&gt;1,GetTagPage(CD118,AA118),"")</f>
        <v/>
      </c>
      <c r="CH118" s="29" t="str">
        <f>IF(LEN(AB118)&gt;1,GetTagPage(CE118,AB118),"")</f>
        <v/>
      </c>
      <c r="CI118" s="29" t="str">
        <f t="shared" si="120"/>
        <v xml:space="preserve">| [Congregation of the Mission (Vincentians)](/tags/vincentians) </v>
      </c>
      <c r="CJ118" s="29" t="str">
        <f t="shared" si="121"/>
        <v xml:space="preserve">| [](/places/places\us_tx-dallas-holy-trinity) </v>
      </c>
      <c r="CK118" s="29" t="str">
        <f>"| "&amp;IF(AS118,GetTagPage(C118,VLOOKUP(C118,'(Ref) Countries'!A:C,3,)),C118)&amp; " "</f>
        <v xml:space="preserve">| [US Texas](/tags/usa
- texas) </v>
      </c>
      <c r="CL118" s="29" t="str">
        <f t="shared" si="122"/>
        <v xml:space="preserve">|  </v>
      </c>
      <c r="CM118" s="29" t="str">
        <f t="shared" si="123"/>
        <v xml:space="preserve">| [Link](/places/places\us_tx-dallas-holy-trinity) </v>
      </c>
      <c r="CN118" s="29" t="str">
        <f t="shared" si="124"/>
        <v xml:space="preserve">
| [](/places/places\us_tx-dallas-holy-trinity) | [US Texas](/tags/usa
- texas) |  | [Link](/places/places\us_tx-dallas-holy-trinity) [Official site](https://htccd.org/)| [Congregation of the Mission (Vincentians)](/tags/vincentians) |</v>
      </c>
    </row>
    <row r="119" spans="1:92" ht="127.5" x14ac:dyDescent="0.25">
      <c r="A119" s="167" t="s">
        <v>1317</v>
      </c>
      <c r="B119" s="24" t="s">
        <v>2482</v>
      </c>
      <c r="C119" s="24" t="s">
        <v>1913</v>
      </c>
      <c r="D119" s="24" t="s">
        <v>2016</v>
      </c>
      <c r="E119" s="15">
        <v>32.792158999999998</v>
      </c>
      <c r="F119" s="49">
        <v>-96.806457199999997</v>
      </c>
      <c r="G119" s="83" t="s">
        <v>2035</v>
      </c>
      <c r="H119" s="90" t="s">
        <v>2036</v>
      </c>
      <c r="I119" s="24" t="s">
        <v>1802</v>
      </c>
      <c r="M119" s="83" t="s">
        <v>2037</v>
      </c>
      <c r="Q119" s="95" t="s">
        <v>2049</v>
      </c>
      <c r="R119" s="91" t="s">
        <v>2038</v>
      </c>
      <c r="S119" s="174" t="s">
        <v>2578</v>
      </c>
      <c r="T119" s="95" t="s">
        <v>2040</v>
      </c>
      <c r="U119" s="15" t="s">
        <v>2039</v>
      </c>
      <c r="V119" s="93" t="s">
        <v>335</v>
      </c>
      <c r="Z119" s="15" t="s">
        <v>2082</v>
      </c>
      <c r="AS119" s="154" t="b">
        <f t="shared" si="96"/>
        <v>1</v>
      </c>
      <c r="AT119" s="155" t="str">
        <f t="shared" si="97"/>
        <v>title: "Old Our Lady of Guadalupe Catholic Church, Dallas, TX"</v>
      </c>
      <c r="AU119" s="155" t="str">
        <f t="shared" si="98"/>
        <v>location: {lat: 32.792159, lng: -96.8064572}</v>
      </c>
      <c r="AV119" s="155" t="str">
        <f t="shared" si="99"/>
        <v>interest: local</v>
      </c>
      <c r="AW119" s="155" t="str">
        <f>"- "&amp;VLOOKUP(C119,'(Ref) Countries'!A:C,3,)</f>
        <v>- usa
- texas</v>
      </c>
      <c r="AX119" s="155" t="str">
        <f t="shared" si="100"/>
        <v>- dallas</v>
      </c>
      <c r="AY119" s="155" t="str">
        <f t="shared" si="101"/>
        <v/>
      </c>
      <c r="AZ119" s="155" t="str">
        <f t="shared" si="102"/>
        <v/>
      </c>
      <c r="BA119" s="155" t="str">
        <f t="shared" si="103"/>
        <v/>
      </c>
      <c r="BB119" s="155" t="str">
        <f t="shared" si="104"/>
        <v>- closed</v>
      </c>
      <c r="BC119" s="155" t="str">
        <f t="shared" si="105"/>
        <v/>
      </c>
      <c r="BD119" s="155" t="str">
        <f t="shared" si="106"/>
        <v/>
      </c>
      <c r="BE119" s="155" t="str">
        <f t="shared" si="107"/>
        <v/>
      </c>
      <c r="BF119" s="155" t="str">
        <f t="shared" si="108"/>
        <v/>
      </c>
      <c r="BG119" s="155" t="str">
        <f t="shared" si="109"/>
        <v/>
      </c>
      <c r="BH119" s="155" t="str">
        <f t="shared" si="110"/>
        <v/>
      </c>
      <c r="BI119" s="155" t="str">
        <f t="shared" si="111"/>
        <v/>
      </c>
      <c r="BJ119" s="155" t="str">
        <f t="shared" si="112"/>
        <v/>
      </c>
      <c r="BK119" s="155" t="str">
        <f t="shared" si="113"/>
        <v/>
      </c>
      <c r="BL119" s="155" t="str">
        <f t="shared" si="114"/>
        <v xml:space="preserve">tags:
- usa
- texas_x000D_
- dallas_x000D_
- closed_x000D_
</v>
      </c>
      <c r="BM119" s="158" t="str">
        <f t="shared" si="92"/>
        <v/>
      </c>
      <c r="BN119" s="158" t="str">
        <f t="shared" si="93"/>
        <v>[St. Ann preservation application](https://dallascityhall.com/departments/sustainabledevelopment/historicpreservation/HP%20Documents/Landmark%20Structures/St.%20Anns%20School%20Landmark%20Nomination.pdf) - Includes section on the church's history</v>
      </c>
      <c r="BO119" s="158" t="str">
        <f t="shared" si="94"/>
        <v>[About St. Ann restauraunt](https://www.saintanndallas.com/restaurant)</v>
      </c>
      <c r="BP119" s="158" t="str">
        <f t="shared" si="95"/>
        <v/>
      </c>
      <c r="BQ119" s="155" t="str">
        <f t="shared" si="115"/>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55" t="str">
        <f t="shared" si="116"/>
        <v/>
      </c>
      <c r="BS119" s="155" t="str">
        <f t="shared" si="117"/>
        <v/>
      </c>
      <c r="BT119" s="155" t="str">
        <f t="shared" si="118"/>
        <v/>
      </c>
      <c r="BU119" s="155" t="str">
        <f>IF(LEN(concat(BR119:BT119))&gt;0,concat("| ",BR119," | ",BS119," | ",BT119," |"),"")</f>
        <v/>
      </c>
      <c r="BV119" s="155" t="str">
        <f t="shared" si="119"/>
        <v/>
      </c>
      <c r="BW119" s="155"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55" t="str">
        <f>IF(LEN(N119)&gt;1,concatll("#### Author's Note",N119,"-"&amp;B119),"")</f>
        <v/>
      </c>
      <c r="BY119" s="155" t="s">
        <v>335</v>
      </c>
      <c r="BZ119" s="155" t="s">
        <v>335</v>
      </c>
      <c r="CA119" s="23" t="str">
        <f>IF(AS119,concatll(concatl("---",AT119:AV119,BL119,"---"),M119,BW119:BX119),"")</f>
        <v xml:space="preserve">---_x000D_
title: "Old Our Lady of Guadalupe Catholic Church, Dallas, TX"_x000D_
location: {lat: 32.792159, lng: -96.8064572}_x000D_
interest: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23" t="str">
        <f>IF(AS119,"places\"&amp;VLOOKUP(C119,'(Ref) Countries'!A:B,2,)&amp;IF(LEN(D119)&gt;1,"-"&amp;LOWER(SUBSTITUTE(D119," ","-")),"")&amp;"-"&amp;LOWER(SUBSTITUTE(SUBSTITUTE(H119," ","-"),".",""))&amp;".md","")</f>
        <v>places\us_tx-dallas-old-guadalupe.md</v>
      </c>
      <c r="CC119" s="29" t="str">
        <f>IF(LEN(Z119)&gt;1,VLOOKUP(Z119,'Tag List'!$A:$B,2,),"")</f>
        <v>Closed or Deconsecrated Sites</v>
      </c>
      <c r="CD119" s="29" t="str">
        <f>IF(LEN(AA119)&gt;1,VLOOKUP(AA119,'Tag List'!$A:$B,2,),"")</f>
        <v/>
      </c>
      <c r="CE119" s="29" t="str">
        <f>IF(LEN(AB119)&gt;1,VLOOKUP(AB119,'Tag List'!$A:$B,2,),"")</f>
        <v/>
      </c>
      <c r="CF119" s="29" t="str">
        <f>IF(LEN(Z119)&gt;1,GetTagPage(CC119,Z119),"")</f>
        <v>[Closed or Deconsecrated Sites](/tags/closed)</v>
      </c>
      <c r="CG119" s="29" t="str">
        <f>IF(LEN(AA119)&gt;1,GetTagPage(CD119,AA119),"")</f>
        <v/>
      </c>
      <c r="CH119" s="29" t="str">
        <f>IF(LEN(AB119)&gt;1,GetTagPage(CE119,AB119),"")</f>
        <v/>
      </c>
      <c r="CI119" s="29" t="str">
        <f t="shared" si="120"/>
        <v xml:space="preserve">| [Closed or Deconsecrated Sites](/tags/closed) </v>
      </c>
      <c r="CJ119" s="29" t="str">
        <f t="shared" si="121"/>
        <v xml:space="preserve">| [](/places/places\us_tx-dallas-old-guadalupe) </v>
      </c>
      <c r="CK119" s="29" t="str">
        <f>"| "&amp;IF(AS119,GetTagPage(C119,VLOOKUP(C119,'(Ref) Countries'!A:C,3,)),C119)&amp; " "</f>
        <v xml:space="preserve">| [US Texas](/tags/usa
- texas) </v>
      </c>
      <c r="CL119" s="29" t="str">
        <f t="shared" si="122"/>
        <v xml:space="preserve">|  </v>
      </c>
      <c r="CM119" s="29" t="str">
        <f t="shared" si="123"/>
        <v xml:space="preserve">| [Link](/places/places\us_tx-dallas-old-guadalupe) </v>
      </c>
      <c r="CN119" s="29" t="str">
        <f t="shared" si="124"/>
        <v xml:space="preserve">
| [](/places/places\us_tx-dallas-old-guadalupe) | [US Texas](/tags/usa
- texas) |  | [Link](/places/places\us_tx-dallas-old-guadalupe) | [Closed or Deconsecrated Sites](/tags/closed) |</v>
      </c>
    </row>
    <row r="120" spans="1:92" ht="63.75" x14ac:dyDescent="0.25">
      <c r="A120" s="167" t="s">
        <v>1317</v>
      </c>
      <c r="B120" s="24" t="s">
        <v>2482</v>
      </c>
      <c r="C120" s="24" t="s">
        <v>1913</v>
      </c>
      <c r="D120" s="24" t="s">
        <v>2016</v>
      </c>
      <c r="E120" s="15">
        <v>32.775131000000002</v>
      </c>
      <c r="F120" s="49">
        <v>-96.787789000000004</v>
      </c>
      <c r="G120" s="24" t="s">
        <v>2041</v>
      </c>
      <c r="H120" s="90" t="s">
        <v>2456</v>
      </c>
      <c r="I120" s="24" t="s">
        <v>1802</v>
      </c>
      <c r="M120" s="83" t="s">
        <v>2042</v>
      </c>
      <c r="Q120" s="95" t="s">
        <v>2043</v>
      </c>
      <c r="R120" s="15" t="s">
        <v>2044</v>
      </c>
      <c r="S120" s="93" t="s">
        <v>335</v>
      </c>
      <c r="Z120" s="15" t="s">
        <v>2082</v>
      </c>
      <c r="AS120" s="154" t="b">
        <f t="shared" si="96"/>
        <v>1</v>
      </c>
      <c r="AT120" s="155" t="str">
        <f t="shared" si="97"/>
        <v>title: "Old St. Patrick Catholic Church, Dallas, TX"</v>
      </c>
      <c r="AU120" s="155" t="str">
        <f t="shared" si="98"/>
        <v>location: {lat: 32.775131, lng: -96.787789}</v>
      </c>
      <c r="AV120" s="155" t="str">
        <f t="shared" si="99"/>
        <v>interest: local</v>
      </c>
      <c r="AW120" s="155" t="str">
        <f>"- "&amp;VLOOKUP(C120,'(Ref) Countries'!A:C,3,)</f>
        <v>- usa
- texas</v>
      </c>
      <c r="AX120" s="155" t="str">
        <f t="shared" si="100"/>
        <v>- dallas</v>
      </c>
      <c r="AY120" s="155" t="str">
        <f t="shared" si="101"/>
        <v/>
      </c>
      <c r="AZ120" s="155" t="str">
        <f t="shared" si="102"/>
        <v/>
      </c>
      <c r="BA120" s="155" t="str">
        <f t="shared" si="103"/>
        <v/>
      </c>
      <c r="BB120" s="155" t="str">
        <f t="shared" si="104"/>
        <v>- closed</v>
      </c>
      <c r="BC120" s="155" t="str">
        <f t="shared" si="105"/>
        <v/>
      </c>
      <c r="BD120" s="155" t="str">
        <f t="shared" si="106"/>
        <v/>
      </c>
      <c r="BE120" s="155" t="str">
        <f t="shared" si="107"/>
        <v/>
      </c>
      <c r="BF120" s="155" t="str">
        <f t="shared" si="108"/>
        <v/>
      </c>
      <c r="BG120" s="155" t="str">
        <f t="shared" si="109"/>
        <v/>
      </c>
      <c r="BH120" s="155" t="str">
        <f t="shared" si="110"/>
        <v/>
      </c>
      <c r="BI120" s="155" t="str">
        <f t="shared" si="111"/>
        <v/>
      </c>
      <c r="BJ120" s="155" t="str">
        <f t="shared" si="112"/>
        <v/>
      </c>
      <c r="BK120" s="155" t="str">
        <f t="shared" si="113"/>
        <v/>
      </c>
      <c r="BL120" s="155" t="str">
        <f t="shared" si="114"/>
        <v xml:space="preserve">tags:
- usa
- texas_x000D_
- dallas_x000D_
- closed_x000D_
</v>
      </c>
      <c r="BM120" s="158" t="str">
        <f t="shared" si="92"/>
        <v/>
      </c>
      <c r="BN120" s="158" t="str">
        <f t="shared" si="93"/>
        <v>[Article about St. Patrick](https://cityofdallaspreservation.wordpress.com/2018/03/16/the-old-st-patrick-roman-catholic-church-in-dallas-gone-but-not-forgotten)</v>
      </c>
      <c r="BO120" s="158" t="str">
        <f t="shared" si="94"/>
        <v/>
      </c>
      <c r="BP120" s="158" t="str">
        <f t="shared" si="95"/>
        <v/>
      </c>
      <c r="BQ120" s="155" t="str">
        <f t="shared" si="115"/>
        <v xml:space="preserve">* [Article about St. Patrick](https://cityofdallaspreservation.wordpress.com/2018/03/16/the-old-st-patrick-roman-catholic-church-in-dallas-gone-but-not-forgotten)
</v>
      </c>
      <c r="BR120" s="155" t="str">
        <f t="shared" si="116"/>
        <v/>
      </c>
      <c r="BS120" s="155" t="str">
        <f t="shared" si="117"/>
        <v/>
      </c>
      <c r="BT120" s="155" t="str">
        <f t="shared" si="118"/>
        <v/>
      </c>
      <c r="BU120" s="155" t="str">
        <f>IF(LEN(concat(BR120:BT120))&gt;0,concat("| ",BR120," | ",BS120," | ",BT120," |"),"")</f>
        <v/>
      </c>
      <c r="BV120" s="155" t="str">
        <f t="shared" si="119"/>
        <v/>
      </c>
      <c r="BW120" s="155"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55" t="str">
        <f>IF(LEN(N120)&gt;1,concatll("#### Author's Note",N120,"-"&amp;B120),"")</f>
        <v/>
      </c>
      <c r="BY120" s="155" t="s">
        <v>335</v>
      </c>
      <c r="BZ120" s="155" t="s">
        <v>335</v>
      </c>
      <c r="CA120" s="23" t="str">
        <f>IF(AS120,concatll(concatl("---",AT120:AV120,BL120,"---"),M120,BW120:BX120),"")</f>
        <v xml:space="preserve">---_x000D_
title: "Old St. Patrick Catholic Church, Dallas, TX"_x000D_
location: {lat: 32.775131, lng: -96.787789}_x000D_
interest: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23" t="str">
        <f>IF(AS120,"places\"&amp;VLOOKUP(C120,'(Ref) Countries'!A:B,2,)&amp;IF(LEN(D120)&gt;1,"-"&amp;LOWER(SUBSTITUTE(D120," ","-")),"")&amp;"-"&amp;LOWER(SUBSTITUTE(SUBSTITUTE(H120," ","-"),".",""))&amp;".md","")</f>
        <v>places\us_tx-dallas-old-st-patrick.md</v>
      </c>
      <c r="CC120" s="29" t="str">
        <f>IF(LEN(Z120)&gt;1,VLOOKUP(Z120,'Tag List'!$A:$B,2,),"")</f>
        <v>Closed or Deconsecrated Sites</v>
      </c>
      <c r="CD120" s="29" t="str">
        <f>IF(LEN(AA120)&gt;1,VLOOKUP(AA120,'Tag List'!$A:$B,2,),"")</f>
        <v/>
      </c>
      <c r="CE120" s="29" t="str">
        <f>IF(LEN(AB120)&gt;1,VLOOKUP(AB120,'Tag List'!$A:$B,2,),"")</f>
        <v/>
      </c>
      <c r="CF120" s="29" t="str">
        <f>IF(LEN(Z120)&gt;1,GetTagPage(CC120,Z120),"")</f>
        <v>[Closed or Deconsecrated Sites](/tags/closed)</v>
      </c>
      <c r="CG120" s="29" t="str">
        <f>IF(LEN(AA120)&gt;1,GetTagPage(CD120,AA120),"")</f>
        <v/>
      </c>
      <c r="CH120" s="29" t="str">
        <f>IF(LEN(AB120)&gt;1,GetTagPage(CE120,AB120),"")</f>
        <v/>
      </c>
      <c r="CI120" s="29" t="str">
        <f t="shared" si="120"/>
        <v xml:space="preserve">| [Closed or Deconsecrated Sites](/tags/closed) </v>
      </c>
      <c r="CJ120" s="29" t="str">
        <f t="shared" si="121"/>
        <v xml:space="preserve">| [](/places/places\us_tx-dallas-old-st-patrick) </v>
      </c>
      <c r="CK120" s="29" t="str">
        <f>"| "&amp;IF(AS120,GetTagPage(C120,VLOOKUP(C120,'(Ref) Countries'!A:C,3,)),C120)&amp; " "</f>
        <v xml:space="preserve">| [US Texas](/tags/usa
- texas) </v>
      </c>
      <c r="CL120" s="29" t="str">
        <f t="shared" si="122"/>
        <v xml:space="preserve">|  </v>
      </c>
      <c r="CM120" s="29" t="str">
        <f t="shared" si="123"/>
        <v xml:space="preserve">| [Link](/places/places\us_tx-dallas-old-st-patrick) </v>
      </c>
      <c r="CN120" s="29" t="str">
        <f t="shared" si="124"/>
        <v xml:space="preserve">
| [](/places/places\us_tx-dallas-old-st-patrick) | [US Texas](/tags/usa
- texas) |  | [Link](/places/places\us_tx-dallas-old-st-patrick) | [Closed or Deconsecrated Sites](/tags/closed) |</v>
      </c>
    </row>
    <row r="121" spans="1:92" ht="127.5" x14ac:dyDescent="0.25">
      <c r="A121" s="167" t="s">
        <v>1317</v>
      </c>
      <c r="B121" s="24" t="s">
        <v>2482</v>
      </c>
      <c r="C121" s="24" t="s">
        <v>1913</v>
      </c>
      <c r="D121" s="24" t="s">
        <v>2016</v>
      </c>
      <c r="E121" s="15">
        <v>32.795627000000003</v>
      </c>
      <c r="F121" s="49">
        <v>-96.782279000000003</v>
      </c>
      <c r="G121" s="83" t="s">
        <v>2045</v>
      </c>
      <c r="H121" s="90" t="s">
        <v>2046</v>
      </c>
      <c r="I121" s="24" t="s">
        <v>1802</v>
      </c>
      <c r="M121" s="83" t="s">
        <v>2047</v>
      </c>
      <c r="Q121" s="95" t="s">
        <v>2048</v>
      </c>
      <c r="R121" s="15" t="s">
        <v>2050</v>
      </c>
      <c r="S121" s="171" t="s">
        <v>2577</v>
      </c>
      <c r="T121" s="97" t="s">
        <v>2051</v>
      </c>
      <c r="U121" s="91" t="s">
        <v>2052</v>
      </c>
      <c r="V121" s="171" t="s">
        <v>2579</v>
      </c>
      <c r="W121" s="15" t="s">
        <v>2053</v>
      </c>
      <c r="X121" s="91" t="s">
        <v>2054</v>
      </c>
      <c r="Y121" s="100" t="s">
        <v>335</v>
      </c>
      <c r="Z121" s="15" t="s">
        <v>2082</v>
      </c>
      <c r="AS121" s="154" t="b">
        <f t="shared" si="96"/>
        <v>1</v>
      </c>
      <c r="AT121" s="155" t="str">
        <f t="shared" si="97"/>
        <v>title: "Old Ursuline Academy, Dallas, TX"</v>
      </c>
      <c r="AU121" s="155" t="str">
        <f t="shared" si="98"/>
        <v>location: {lat: 32.795627, lng: -96.782279}</v>
      </c>
      <c r="AV121" s="155" t="str">
        <f t="shared" si="99"/>
        <v>interest: local</v>
      </c>
      <c r="AW121" s="155" t="str">
        <f>"- "&amp;VLOOKUP(C121,'(Ref) Countries'!A:C,3,)</f>
        <v>- usa
- texas</v>
      </c>
      <c r="AX121" s="155" t="str">
        <f t="shared" si="100"/>
        <v>- dallas</v>
      </c>
      <c r="AY121" s="155" t="str">
        <f t="shared" si="101"/>
        <v/>
      </c>
      <c r="AZ121" s="155" t="str">
        <f t="shared" si="102"/>
        <v/>
      </c>
      <c r="BA121" s="155" t="str">
        <f t="shared" si="103"/>
        <v/>
      </c>
      <c r="BB121" s="155" t="str">
        <f t="shared" si="104"/>
        <v>- closed</v>
      </c>
      <c r="BC121" s="155" t="str">
        <f t="shared" si="105"/>
        <v/>
      </c>
      <c r="BD121" s="155" t="str">
        <f t="shared" si="106"/>
        <v/>
      </c>
      <c r="BE121" s="155" t="str">
        <f t="shared" si="107"/>
        <v/>
      </c>
      <c r="BF121" s="155" t="str">
        <f t="shared" si="108"/>
        <v/>
      </c>
      <c r="BG121" s="155" t="str">
        <f t="shared" si="109"/>
        <v/>
      </c>
      <c r="BH121" s="155" t="str">
        <f t="shared" si="110"/>
        <v/>
      </c>
      <c r="BI121" s="155" t="str">
        <f t="shared" si="111"/>
        <v/>
      </c>
      <c r="BJ121" s="155" t="str">
        <f t="shared" si="112"/>
        <v/>
      </c>
      <c r="BK121" s="155" t="str">
        <f t="shared" si="113"/>
        <v/>
      </c>
      <c r="BL121" s="155" t="str">
        <f t="shared" si="114"/>
        <v xml:space="preserve">tags:
- usa
- texas_x000D_
- dallas_x000D_
- closed_x000D_
</v>
      </c>
      <c r="BM121" s="158" t="str">
        <f t="shared" si="92"/>
        <v/>
      </c>
      <c r="BN121" s="158" t="str">
        <f t="shared" si="93"/>
        <v>[Ursuline history article](https://www.ursulinedallas.org/mission/heritage) - Includes pictures of this convent</v>
      </c>
      <c r="BO121" s="158" t="str">
        <f t="shared" si="94"/>
        <v>[Additional Ursuline history article](https://www.tshaonline.org/handbook/entries/ursuline-academy-dallas) - Includes pictures</v>
      </c>
      <c r="BP121" s="158" t="str">
        <f t="shared" si="95"/>
        <v>[Convent in the 1922 Sanborn map](https://maps.lib.utexas.edu/maps/sanborn/d-f/txu-sanborn-dallas-1922-315.jpg)</v>
      </c>
      <c r="BQ121" s="155" t="str">
        <f t="shared" si="115"/>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55" t="str">
        <f t="shared" si="116"/>
        <v/>
      </c>
      <c r="BS121" s="155" t="str">
        <f t="shared" si="117"/>
        <v/>
      </c>
      <c r="BT121" s="155" t="str">
        <f t="shared" si="118"/>
        <v/>
      </c>
      <c r="BU121" s="155" t="str">
        <f>IF(LEN(concat(BR121:BT121))&gt;0,concat("| ",BR121," | ",BS121," | ",BT121," |"),"")</f>
        <v/>
      </c>
      <c r="BV121" s="155" t="str">
        <f t="shared" si="119"/>
        <v/>
      </c>
      <c r="BW121" s="155"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55" t="str">
        <f>IF(LEN(N121)&gt;1,concatll("#### Author's Note",N121,"-"&amp;B121),"")</f>
        <v/>
      </c>
      <c r="BY121" s="155" t="s">
        <v>335</v>
      </c>
      <c r="BZ121" s="155" t="s">
        <v>335</v>
      </c>
      <c r="CA121" s="23" t="str">
        <f>IF(AS121,concatll(concatl("---",AT121:AV121,BL121,"---"),M121,BW121:BX121),"")</f>
        <v xml:space="preserve">---_x000D_
title: "Old Ursuline Academy, Dallas, TX"_x000D_
location: {lat: 32.795627, lng: -96.782279}_x000D_
interest: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23" t="str">
        <f>IF(AS121,"places\"&amp;VLOOKUP(C121,'(Ref) Countries'!A:B,2,)&amp;IF(LEN(D121)&gt;1,"-"&amp;LOWER(SUBSTITUTE(D121," ","-")),"")&amp;"-"&amp;LOWER(SUBSTITUTE(SUBSTITUTE(H121," ","-"),".",""))&amp;".md","")</f>
        <v>places\us_tx-dallas-old-ursuline.md</v>
      </c>
      <c r="CC121" s="29" t="str">
        <f>IF(LEN(Z121)&gt;1,VLOOKUP(Z121,'Tag List'!$A:$B,2,),"")</f>
        <v>Closed or Deconsecrated Sites</v>
      </c>
      <c r="CD121" s="29" t="str">
        <f>IF(LEN(AA121)&gt;1,VLOOKUP(AA121,'Tag List'!$A:$B,2,),"")</f>
        <v/>
      </c>
      <c r="CE121" s="29" t="str">
        <f>IF(LEN(AB121)&gt;1,VLOOKUP(AB121,'Tag List'!$A:$B,2,),"")</f>
        <v/>
      </c>
      <c r="CF121" s="29" t="str">
        <f>IF(LEN(Z121)&gt;1,GetTagPage(CC121,Z121),"")</f>
        <v>[Closed or Deconsecrated Sites](/tags/closed)</v>
      </c>
      <c r="CG121" s="29" t="str">
        <f>IF(LEN(AA121)&gt;1,GetTagPage(CD121,AA121),"")</f>
        <v/>
      </c>
      <c r="CH121" s="29" t="str">
        <f>IF(LEN(AB121)&gt;1,GetTagPage(CE121,AB121),"")</f>
        <v/>
      </c>
      <c r="CI121" s="29" t="str">
        <f t="shared" si="120"/>
        <v xml:space="preserve">| [Closed or Deconsecrated Sites](/tags/closed) </v>
      </c>
      <c r="CJ121" s="29" t="str">
        <f t="shared" si="121"/>
        <v xml:space="preserve">| [](/places/places\us_tx-dallas-old-ursuline) </v>
      </c>
      <c r="CK121" s="29" t="str">
        <f>"| "&amp;IF(AS121,GetTagPage(C121,VLOOKUP(C121,'(Ref) Countries'!A:C,3,)),C121)&amp; " "</f>
        <v xml:space="preserve">| [US Texas](/tags/usa
- texas) </v>
      </c>
      <c r="CL121" s="29" t="str">
        <f t="shared" si="122"/>
        <v xml:space="preserve">|  </v>
      </c>
      <c r="CM121" s="29" t="str">
        <f t="shared" si="123"/>
        <v xml:space="preserve">| [Link](/places/places\us_tx-dallas-old-ursuline) </v>
      </c>
      <c r="CN121" s="29" t="str">
        <f t="shared" si="124"/>
        <v xml:space="preserve">
| [](/places/places\us_tx-dallas-old-ursuline) | [US Texas](/tags/usa
- texas) |  | [Link](/places/places\us_tx-dallas-old-ursuline) | [Closed or Deconsecrated Sites](/tags/closed) |</v>
      </c>
    </row>
    <row r="122" spans="1:92" ht="102" x14ac:dyDescent="0.25">
      <c r="A122" s="167" t="s">
        <v>1317</v>
      </c>
      <c r="B122" s="24" t="s">
        <v>2482</v>
      </c>
      <c r="C122" s="24" t="s">
        <v>1913</v>
      </c>
      <c r="D122" s="24" t="s">
        <v>2016</v>
      </c>
      <c r="E122" s="15">
        <v>32.794211099999998</v>
      </c>
      <c r="F122" s="49">
        <v>-96.788927799999996</v>
      </c>
      <c r="G122" s="83" t="s">
        <v>2055</v>
      </c>
      <c r="H122" s="90" t="s">
        <v>2457</v>
      </c>
      <c r="I122" s="24" t="s">
        <v>1802</v>
      </c>
      <c r="M122" s="83" t="s">
        <v>2056</v>
      </c>
      <c r="Q122" s="95" t="s">
        <v>2057</v>
      </c>
      <c r="R122" s="15" t="s">
        <v>2058</v>
      </c>
      <c r="S122" s="93" t="s">
        <v>335</v>
      </c>
      <c r="T122" s="95" t="s">
        <v>2060</v>
      </c>
      <c r="U122" s="15" t="s">
        <v>2059</v>
      </c>
      <c r="V122" s="93" t="s">
        <v>335</v>
      </c>
      <c r="W122" s="91" t="s">
        <v>2061</v>
      </c>
      <c r="X122" s="94" t="s">
        <v>2062</v>
      </c>
      <c r="Y122" s="100" t="s">
        <v>335</v>
      </c>
      <c r="Z122" s="15" t="s">
        <v>2082</v>
      </c>
      <c r="AS122" s="154" t="b">
        <f t="shared" si="96"/>
        <v>1</v>
      </c>
      <c r="AT122" s="155" t="str">
        <f t="shared" si="97"/>
        <v>title: "Old St. Paul Sanitarium, Dallas, TX"</v>
      </c>
      <c r="AU122" s="155" t="str">
        <f t="shared" si="98"/>
        <v>location: {lat: 32.7942111, lng: -96.7889278}</v>
      </c>
      <c r="AV122" s="155" t="str">
        <f t="shared" si="99"/>
        <v>interest: local</v>
      </c>
      <c r="AW122" s="155" t="str">
        <f>"- "&amp;VLOOKUP(C122,'(Ref) Countries'!A:C,3,)</f>
        <v>- usa
- texas</v>
      </c>
      <c r="AX122" s="155" t="str">
        <f t="shared" si="100"/>
        <v>- dallas</v>
      </c>
      <c r="AY122" s="155" t="str">
        <f t="shared" si="101"/>
        <v/>
      </c>
      <c r="AZ122" s="155" t="str">
        <f t="shared" si="102"/>
        <v/>
      </c>
      <c r="BA122" s="155" t="str">
        <f t="shared" si="103"/>
        <v/>
      </c>
      <c r="BB122" s="155" t="str">
        <f t="shared" si="104"/>
        <v>- closed</v>
      </c>
      <c r="BC122" s="155" t="str">
        <f t="shared" si="105"/>
        <v/>
      </c>
      <c r="BD122" s="155" t="str">
        <f t="shared" si="106"/>
        <v/>
      </c>
      <c r="BE122" s="155" t="str">
        <f t="shared" si="107"/>
        <v/>
      </c>
      <c r="BF122" s="155" t="str">
        <f t="shared" si="108"/>
        <v/>
      </c>
      <c r="BG122" s="155" t="str">
        <f t="shared" si="109"/>
        <v/>
      </c>
      <c r="BH122" s="155" t="str">
        <f t="shared" si="110"/>
        <v/>
      </c>
      <c r="BI122" s="155" t="str">
        <f t="shared" si="111"/>
        <v/>
      </c>
      <c r="BJ122" s="155" t="str">
        <f t="shared" si="112"/>
        <v/>
      </c>
      <c r="BK122" s="155" t="str">
        <f t="shared" si="113"/>
        <v/>
      </c>
      <c r="BL122" s="155" t="str">
        <f t="shared" si="114"/>
        <v xml:space="preserve">tags:
- usa
- texas_x000D_
- dallas_x000D_
- closed_x000D_
</v>
      </c>
      <c r="BM122" s="158" t="str">
        <f t="shared" si="92"/>
        <v/>
      </c>
      <c r="BN122" s="158" t="str">
        <f t="shared" si="93"/>
        <v>[History of St. Paul Sanitarium](https://cityofdallaspreservation.wordpress.com/2020/04/01/st-pauls-sanitarium-in-dallas-tx/)</v>
      </c>
      <c r="BO122" s="158" t="str">
        <f t="shared" si="94"/>
        <v>[UT Southwestern pamphlet on St. Paul's history](https://www.utsouthwestern.edu/edumedia/edufiles/about_us/Giving/st-paul-mag-2015.pdf)</v>
      </c>
      <c r="BP122" s="158" t="str">
        <f t="shared" si="95"/>
        <v>[Sanitarium in the 1921 Sanborn map](https://maps.lib.utexas.edu/maps/sanborn/d-f/txu-sanborn-dallas-1921-38.jpg)</v>
      </c>
      <c r="BQ122" s="155" t="str">
        <f t="shared" si="115"/>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55" t="str">
        <f t="shared" si="116"/>
        <v/>
      </c>
      <c r="BS122" s="155" t="str">
        <f t="shared" si="117"/>
        <v/>
      </c>
      <c r="BT122" s="155" t="str">
        <f t="shared" si="118"/>
        <v/>
      </c>
      <c r="BU122" s="155" t="str">
        <f>IF(LEN(concat(BR122:BT122))&gt;0,concat("| ",BR122," | ",BS122," | ",BT122," |"),"")</f>
        <v/>
      </c>
      <c r="BV122" s="155" t="str">
        <f t="shared" si="119"/>
        <v/>
      </c>
      <c r="BW122" s="155"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55" t="str">
        <f>IF(LEN(N122)&gt;1,concatll("#### Author's Note",N122,"-"&amp;B122),"")</f>
        <v/>
      </c>
      <c r="BY122" s="155" t="s">
        <v>335</v>
      </c>
      <c r="BZ122" s="155" t="s">
        <v>335</v>
      </c>
      <c r="CA122" s="23" t="str">
        <f>IF(AS122,concatll(concatl("---",AT122:AV122,BL122,"---"),M122,BW122:BX122),"")</f>
        <v xml:space="preserve">---_x000D_
title: "Old St. Paul Sanitarium, Dallas, TX"_x000D_
location: {lat: 32.7942111, lng: -96.7889278}_x000D_
interest: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23" t="str">
        <f>IF(AS122,"places\"&amp;VLOOKUP(C122,'(Ref) Countries'!A:B,2,)&amp;IF(LEN(D122)&gt;1,"-"&amp;LOWER(SUBSTITUTE(D122," ","-")),"")&amp;"-"&amp;LOWER(SUBSTITUTE(SUBSTITUTE(H122," ","-"),".",""))&amp;".md","")</f>
        <v>places\us_tx-dallas-old-st-paul.md</v>
      </c>
      <c r="CC122" s="29" t="str">
        <f>IF(LEN(Z122)&gt;1,VLOOKUP(Z122,'Tag List'!$A:$B,2,),"")</f>
        <v>Closed or Deconsecrated Sites</v>
      </c>
      <c r="CD122" s="29" t="str">
        <f>IF(LEN(AA122)&gt;1,VLOOKUP(AA122,'Tag List'!$A:$B,2,),"")</f>
        <v/>
      </c>
      <c r="CE122" s="29" t="str">
        <f>IF(LEN(AB122)&gt;1,VLOOKUP(AB122,'Tag List'!$A:$B,2,),"")</f>
        <v/>
      </c>
      <c r="CF122" s="29" t="str">
        <f>IF(LEN(Z122)&gt;1,GetTagPage(CC122,Z122),"")</f>
        <v>[Closed or Deconsecrated Sites](/tags/closed)</v>
      </c>
      <c r="CG122" s="29" t="str">
        <f>IF(LEN(AA122)&gt;1,GetTagPage(CD122,AA122),"")</f>
        <v/>
      </c>
      <c r="CH122" s="29" t="str">
        <f>IF(LEN(AB122)&gt;1,GetTagPage(CE122,AB122),"")</f>
        <v/>
      </c>
      <c r="CI122" s="29" t="str">
        <f t="shared" si="120"/>
        <v xml:space="preserve">| [Closed or Deconsecrated Sites](/tags/closed) </v>
      </c>
      <c r="CJ122" s="29" t="str">
        <f t="shared" si="121"/>
        <v xml:space="preserve">| [](/places/places\us_tx-dallas-old-st-paul) </v>
      </c>
      <c r="CK122" s="29" t="str">
        <f>"| "&amp;IF(AS122,GetTagPage(C122,VLOOKUP(C122,'(Ref) Countries'!A:C,3,)),C122)&amp; " "</f>
        <v xml:space="preserve">| [US Texas](/tags/usa
- texas) </v>
      </c>
      <c r="CL122" s="29" t="str">
        <f t="shared" si="122"/>
        <v xml:space="preserve">|  </v>
      </c>
      <c r="CM122" s="29" t="str">
        <f t="shared" si="123"/>
        <v xml:space="preserve">| [Link](/places/places\us_tx-dallas-old-st-paul) </v>
      </c>
      <c r="CN122" s="29" t="str">
        <f t="shared" si="124"/>
        <v xml:space="preserve">
| [](/places/places\us_tx-dallas-old-st-paul) | [US Texas](/tags/usa
- texas) |  | [Link](/places/places\us_tx-dallas-old-st-paul) | [Closed or Deconsecrated Sites](/tags/closed) |</v>
      </c>
    </row>
    <row r="123" spans="1:92" ht="178.5" x14ac:dyDescent="0.25">
      <c r="A123" s="167" t="s">
        <v>1317</v>
      </c>
      <c r="B123" s="24" t="s">
        <v>2482</v>
      </c>
      <c r="C123" s="24" t="s">
        <v>1913</v>
      </c>
      <c r="D123" s="24" t="s">
        <v>2016</v>
      </c>
      <c r="E123" s="15">
        <v>32.814343000000001</v>
      </c>
      <c r="F123" s="49">
        <v>-96.801815099999999</v>
      </c>
      <c r="G123" s="83" t="s">
        <v>2063</v>
      </c>
      <c r="H123" s="90" t="s">
        <v>2064</v>
      </c>
      <c r="I123" s="24" t="s">
        <v>1802</v>
      </c>
      <c r="M123" s="83" t="s">
        <v>2065</v>
      </c>
      <c r="Q123" s="60" t="s">
        <v>2066</v>
      </c>
      <c r="R123" s="15" t="s">
        <v>2067</v>
      </c>
      <c r="S123" s="93" t="s">
        <v>335</v>
      </c>
      <c r="Z123" s="15" t="s">
        <v>2082</v>
      </c>
      <c r="AS123" s="154" t="b">
        <f t="shared" si="96"/>
        <v>1</v>
      </c>
      <c r="AT123" s="155" t="str">
        <f t="shared" si="97"/>
        <v>title: "Old Trinity College / Dallas University / Jesuit Dallas"</v>
      </c>
      <c r="AU123" s="155" t="str">
        <f t="shared" si="98"/>
        <v>location: {lat: 32.814343, lng: -96.8018151}</v>
      </c>
      <c r="AV123" s="155" t="str">
        <f t="shared" si="99"/>
        <v>interest: local</v>
      </c>
      <c r="AW123" s="155" t="str">
        <f>"- "&amp;VLOOKUP(C123,'(Ref) Countries'!A:C,3,)</f>
        <v>- usa
- texas</v>
      </c>
      <c r="AX123" s="155" t="str">
        <f t="shared" si="100"/>
        <v>- dallas</v>
      </c>
      <c r="AY123" s="155" t="str">
        <f t="shared" si="101"/>
        <v/>
      </c>
      <c r="AZ123" s="155" t="str">
        <f t="shared" si="102"/>
        <v/>
      </c>
      <c r="BA123" s="155" t="str">
        <f t="shared" si="103"/>
        <v/>
      </c>
      <c r="BB123" s="155" t="str">
        <f t="shared" si="104"/>
        <v>- closed</v>
      </c>
      <c r="BC123" s="155" t="str">
        <f t="shared" si="105"/>
        <v/>
      </c>
      <c r="BD123" s="155" t="str">
        <f t="shared" si="106"/>
        <v/>
      </c>
      <c r="BE123" s="155" t="str">
        <f t="shared" si="107"/>
        <v/>
      </c>
      <c r="BF123" s="155" t="str">
        <f t="shared" si="108"/>
        <v/>
      </c>
      <c r="BG123" s="155" t="str">
        <f t="shared" si="109"/>
        <v/>
      </c>
      <c r="BH123" s="155" t="str">
        <f t="shared" si="110"/>
        <v/>
      </c>
      <c r="BI123" s="155" t="str">
        <f t="shared" si="111"/>
        <v/>
      </c>
      <c r="BJ123" s="155" t="str">
        <f t="shared" si="112"/>
        <v/>
      </c>
      <c r="BK123" s="155" t="str">
        <f t="shared" si="113"/>
        <v/>
      </c>
      <c r="BL123" s="155" t="str">
        <f t="shared" si="114"/>
        <v xml:space="preserve">tags:
- usa
- texas_x000D_
- dallas_x000D_
- closed_x000D_
</v>
      </c>
      <c r="BM123" s="158" t="str">
        <f t="shared" si="92"/>
        <v/>
      </c>
      <c r="BN123" s="158" t="str">
        <f t="shared" si="93"/>
        <v>[School in the 1922 Sanborn map](https://maps.lib.utexas.edu/maps/sanborn/d-f/txu-sanborn-dallas-1921-287.jpg)</v>
      </c>
      <c r="BO123" s="158" t="str">
        <f t="shared" si="94"/>
        <v/>
      </c>
      <c r="BP123" s="158" t="str">
        <f t="shared" si="95"/>
        <v/>
      </c>
      <c r="BQ123" s="155" t="str">
        <f t="shared" si="115"/>
        <v xml:space="preserve">* [School in the 1922 Sanborn map](https://maps.lib.utexas.edu/maps/sanborn/d-f/txu-sanborn-dallas-1921-287.jpg)
</v>
      </c>
      <c r="BR123" s="155" t="str">
        <f t="shared" si="116"/>
        <v/>
      </c>
      <c r="BS123" s="155" t="str">
        <f t="shared" si="117"/>
        <v/>
      </c>
      <c r="BT123" s="155" t="str">
        <f t="shared" si="118"/>
        <v/>
      </c>
      <c r="BU123" s="155" t="str">
        <f>IF(LEN(concat(BR123:BT123))&gt;0,concat("| ",BR123," | ",BS123," | ",BT123," |"),"")</f>
        <v/>
      </c>
      <c r="BV123" s="155" t="str">
        <f t="shared" si="119"/>
        <v/>
      </c>
      <c r="BW123" s="155" t="str">
        <f>IF(LEN(BQ123&amp;BV123)&gt;0,concatll("#### More Information",BQ123,BV123),"")</f>
        <v xml:space="preserve">#### More Information_x000D_
_x000D_
* [School in the 1922 Sanborn map](https://maps.lib.utexas.edu/maps/sanborn/d-f/txu-sanborn-dallas-1921-287.jpg)
_x000D_
_x000D_
</v>
      </c>
      <c r="BX123" s="155" t="str">
        <f>IF(LEN(N123)&gt;1,concatll("#### Author's Note",N123,"-"&amp;B123),"")</f>
        <v/>
      </c>
      <c r="BY123" s="155" t="s">
        <v>335</v>
      </c>
      <c r="BZ123" s="155" t="s">
        <v>335</v>
      </c>
      <c r="CA123" s="23" t="str">
        <f>IF(AS123,concatll(concatl("---",AT123:AV123,BL123,"---"),M123,BW123:BX123),"")</f>
        <v xml:space="preserve">---_x000D_
title: "Old Trinity College / Dallas University / Jesuit Dallas"_x000D_
location: {lat: 32.814343, lng: -96.8018151}_x000D_
interest: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23" t="str">
        <f>IF(AS123,"places\"&amp;VLOOKUP(C123,'(Ref) Countries'!A:B,2,)&amp;IF(LEN(D123)&gt;1,"-"&amp;LOWER(SUBSTITUTE(D123," ","-")),"")&amp;"-"&amp;LOWER(SUBSTITUTE(SUBSTITUTE(H123," ","-"),".",""))&amp;".md","")</f>
        <v>places\us_tx-dallas-old-trinity-college.md</v>
      </c>
      <c r="CC123" s="29" t="str">
        <f>IF(LEN(Z123)&gt;1,VLOOKUP(Z123,'Tag List'!$A:$B,2,),"")</f>
        <v>Closed or Deconsecrated Sites</v>
      </c>
      <c r="CD123" s="29" t="str">
        <f>IF(LEN(AA123)&gt;1,VLOOKUP(AA123,'Tag List'!$A:$B,2,),"")</f>
        <v/>
      </c>
      <c r="CE123" s="29" t="str">
        <f>IF(LEN(AB123)&gt;1,VLOOKUP(AB123,'Tag List'!$A:$B,2,),"")</f>
        <v/>
      </c>
      <c r="CF123" s="29" t="str">
        <f>IF(LEN(Z123)&gt;1,GetTagPage(CC123,Z123),"")</f>
        <v>[Closed or Deconsecrated Sites](/tags/closed)</v>
      </c>
      <c r="CG123" s="29" t="str">
        <f>IF(LEN(AA123)&gt;1,GetTagPage(CD123,AA123),"")</f>
        <v/>
      </c>
      <c r="CH123" s="29" t="str">
        <f>IF(LEN(AB123)&gt;1,GetTagPage(CE123,AB123),"")</f>
        <v/>
      </c>
      <c r="CI123" s="29" t="str">
        <f t="shared" si="120"/>
        <v xml:space="preserve">| [Closed or Deconsecrated Sites](/tags/closed) </v>
      </c>
      <c r="CJ123" s="29" t="str">
        <f t="shared" si="121"/>
        <v xml:space="preserve">| [](/places/places\us_tx-dallas-old-trinity-college) </v>
      </c>
      <c r="CK123" s="29" t="str">
        <f>"| "&amp;IF(AS123,GetTagPage(C123,VLOOKUP(C123,'(Ref) Countries'!A:C,3,)),C123)&amp; " "</f>
        <v xml:space="preserve">| [US Texas](/tags/usa
- texas) </v>
      </c>
      <c r="CL123" s="29" t="str">
        <f t="shared" si="122"/>
        <v xml:space="preserve">|  </v>
      </c>
      <c r="CM123" s="29" t="str">
        <f t="shared" si="123"/>
        <v xml:space="preserve">| [Link](/places/places\us_tx-dallas-old-trinity-college) </v>
      </c>
      <c r="CN123" s="29" t="str">
        <f t="shared" si="124"/>
        <v xml:space="preserve">
| [](/places/places\us_tx-dallas-old-trinity-college) | [US Texas](/tags/usa
- texas) |  | [Link](/places/places\us_tx-dallas-old-trinity-college) | [Closed or Deconsecrated Sites](/tags/closed) |</v>
      </c>
    </row>
    <row r="124" spans="1:92" ht="127.5" x14ac:dyDescent="0.25">
      <c r="A124" s="167" t="s">
        <v>1317</v>
      </c>
      <c r="B124" s="24" t="s">
        <v>2482</v>
      </c>
      <c r="C124" s="24" t="s">
        <v>1913</v>
      </c>
      <c r="D124" s="24" t="s">
        <v>2016</v>
      </c>
      <c r="E124" s="15">
        <v>32.787603699999998</v>
      </c>
      <c r="F124" s="49">
        <v>-96.787011800000002</v>
      </c>
      <c r="G124" s="83" t="s">
        <v>2072</v>
      </c>
      <c r="H124" s="90" t="s">
        <v>2458</v>
      </c>
      <c r="I124" s="24" t="s">
        <v>1802</v>
      </c>
      <c r="M124" s="83" t="s">
        <v>2073</v>
      </c>
      <c r="Q124" s="60" t="s">
        <v>2074</v>
      </c>
      <c r="R124" s="15" t="s">
        <v>2075</v>
      </c>
      <c r="S124" s="93" t="s">
        <v>335</v>
      </c>
      <c r="T124" s="60" t="s">
        <v>2076</v>
      </c>
      <c r="U124" s="15" t="s">
        <v>2077</v>
      </c>
      <c r="V124" s="93" t="s">
        <v>335</v>
      </c>
      <c r="Z124" s="91" t="s">
        <v>2082</v>
      </c>
      <c r="AS124" s="154" t="b">
        <f t="shared" si="96"/>
        <v>1</v>
      </c>
      <c r="AT124" s="155" t="str">
        <f t="shared" si="97"/>
        <v>title: "Old St. Joseph Catholic Church, Dallas, TX"</v>
      </c>
      <c r="AU124" s="155" t="str">
        <f t="shared" si="98"/>
        <v>location: {lat: 32.7876037, lng: -96.7870118}</v>
      </c>
      <c r="AV124" s="155" t="str">
        <f t="shared" si="99"/>
        <v>interest: local</v>
      </c>
      <c r="AW124" s="155" t="str">
        <f>"- "&amp;VLOOKUP(C124,'(Ref) Countries'!A:C,3,)</f>
        <v>- usa
- texas</v>
      </c>
      <c r="AX124" s="155" t="str">
        <f t="shared" si="100"/>
        <v>- dallas</v>
      </c>
      <c r="AY124" s="155" t="str">
        <f t="shared" si="101"/>
        <v/>
      </c>
      <c r="AZ124" s="155" t="str">
        <f t="shared" si="102"/>
        <v/>
      </c>
      <c r="BA124" s="155" t="str">
        <f t="shared" si="103"/>
        <v/>
      </c>
      <c r="BB124" s="155" t="str">
        <f t="shared" si="104"/>
        <v>- closed</v>
      </c>
      <c r="BC124" s="155" t="str">
        <f t="shared" si="105"/>
        <v/>
      </c>
      <c r="BD124" s="155" t="str">
        <f t="shared" si="106"/>
        <v/>
      </c>
      <c r="BE124" s="155" t="str">
        <f t="shared" si="107"/>
        <v/>
      </c>
      <c r="BF124" s="155" t="str">
        <f t="shared" si="108"/>
        <v/>
      </c>
      <c r="BG124" s="155" t="str">
        <f t="shared" si="109"/>
        <v/>
      </c>
      <c r="BH124" s="155" t="str">
        <f t="shared" si="110"/>
        <v/>
      </c>
      <c r="BI124" s="155" t="str">
        <f t="shared" si="111"/>
        <v/>
      </c>
      <c r="BJ124" s="155" t="str">
        <f t="shared" si="112"/>
        <v/>
      </c>
      <c r="BK124" s="155" t="str">
        <f t="shared" si="113"/>
        <v/>
      </c>
      <c r="BL124" s="155" t="str">
        <f t="shared" si="114"/>
        <v xml:space="preserve">tags:
- usa
- texas_x000D_
- dallas_x000D_
- closed_x000D_
</v>
      </c>
      <c r="BM124" s="158" t="str">
        <f t="shared" si="92"/>
        <v/>
      </c>
      <c r="BN124" s="158" t="str">
        <f t="shared" si="93"/>
        <v>[Historical site nomination form](https://dallascityhall.com/departments/sustainabledevelopment/historicpreservation/HP%20Documents/Landmark%20Structures/St%20Josephs%20Catholic%20Church%20Landmark%20Nomination.pdf)</v>
      </c>
      <c r="BO124" s="158" t="str">
        <f t="shared" si="94"/>
        <v>[Historical site page](https://dallascityhall.com/departments/sustainabledevelopment/historicpreservation/Pages/St-Josephs-Catholic-Church-.aspx)</v>
      </c>
      <c r="BP124" s="158" t="str">
        <f t="shared" si="95"/>
        <v/>
      </c>
      <c r="BQ124" s="155" t="str">
        <f t="shared" si="115"/>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55" t="str">
        <f t="shared" si="116"/>
        <v/>
      </c>
      <c r="BS124" s="155" t="str">
        <f t="shared" si="117"/>
        <v/>
      </c>
      <c r="BT124" s="155" t="str">
        <f t="shared" si="118"/>
        <v/>
      </c>
      <c r="BU124" s="155" t="str">
        <f>IF(LEN(concat(BR124:BT124))&gt;0,concat("| ",BR124," | ",BS124," | ",BT124," |"),"")</f>
        <v/>
      </c>
      <c r="BV124" s="155" t="str">
        <f t="shared" si="119"/>
        <v/>
      </c>
      <c r="BW124" s="155"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55" t="str">
        <f>IF(LEN(N124)&gt;1,concatll("#### Author's Note",N124,"-"&amp;B124),"")</f>
        <v/>
      </c>
      <c r="BY124" s="155" t="s">
        <v>335</v>
      </c>
      <c r="BZ124" s="155" t="s">
        <v>335</v>
      </c>
      <c r="CA124" s="23" t="str">
        <f>IF(AS124,concatll(concatl("---",AT124:AV124,BL124,"---"),M124,BW124:BX124),"")</f>
        <v xml:space="preserve">---_x000D_
title: "Old St. Joseph Catholic Church, Dallas, TX"_x000D_
location: {lat: 32.7876037, lng: -96.7870118}_x000D_
interest: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23" t="str">
        <f>IF(AS124,"places\"&amp;VLOOKUP(C124,'(Ref) Countries'!A:B,2,)&amp;IF(LEN(D124)&gt;1,"-"&amp;LOWER(SUBSTITUTE(D124," ","-")),"")&amp;"-"&amp;LOWER(SUBSTITUTE(SUBSTITUTE(H124," ","-"),".",""))&amp;".md","")</f>
        <v>places\us_tx-dallas-old-st-joseph.md</v>
      </c>
      <c r="CC124" s="29" t="str">
        <f>IF(LEN(Z124)&gt;1,VLOOKUP(Z124,'Tag List'!$A:$B,2,),"")</f>
        <v>Closed or Deconsecrated Sites</v>
      </c>
      <c r="CD124" s="29" t="str">
        <f>IF(LEN(AA124)&gt;1,VLOOKUP(AA124,'Tag List'!$A:$B,2,),"")</f>
        <v/>
      </c>
      <c r="CE124" s="29" t="str">
        <f>IF(LEN(AB124)&gt;1,VLOOKUP(AB124,'Tag List'!$A:$B,2,),"")</f>
        <v/>
      </c>
      <c r="CF124" s="29" t="str">
        <f>IF(LEN(Z124)&gt;1,GetTagPage(CC124,Z124),"")</f>
        <v>[Closed or Deconsecrated Sites](/tags/closed)</v>
      </c>
      <c r="CG124" s="29" t="str">
        <f>IF(LEN(AA124)&gt;1,GetTagPage(CD124,AA124),"")</f>
        <v/>
      </c>
      <c r="CH124" s="29" t="str">
        <f>IF(LEN(AB124)&gt;1,GetTagPage(CE124,AB124),"")</f>
        <v/>
      </c>
      <c r="CI124" s="29" t="str">
        <f t="shared" si="120"/>
        <v xml:space="preserve">| [Closed or Deconsecrated Sites](/tags/closed) </v>
      </c>
      <c r="CJ124" s="29" t="str">
        <f t="shared" si="121"/>
        <v xml:space="preserve">| [](/places/places\us_tx-dallas-old-st-joseph) </v>
      </c>
      <c r="CK124" s="29" t="str">
        <f>"| "&amp;IF(AS124,GetTagPage(C124,VLOOKUP(C124,'(Ref) Countries'!A:C,3,)),C124)&amp; " "</f>
        <v xml:space="preserve">| [US Texas](/tags/usa
- texas) </v>
      </c>
      <c r="CL124" s="29" t="str">
        <f t="shared" si="122"/>
        <v xml:space="preserve">|  </v>
      </c>
      <c r="CM124" s="29" t="str">
        <f t="shared" si="123"/>
        <v xml:space="preserve">| [Link](/places/places\us_tx-dallas-old-st-joseph) </v>
      </c>
      <c r="CN124" s="29" t="str">
        <f t="shared" si="124"/>
        <v xml:space="preserve">
| [](/places/places\us_tx-dallas-old-st-joseph) | [US Texas](/tags/usa
- texas) |  | [Link](/places/places\us_tx-dallas-old-st-joseph) | [Closed or Deconsecrated Sites](/tags/closed) |</v>
      </c>
    </row>
    <row r="125" spans="1:92" ht="89.25" x14ac:dyDescent="0.25">
      <c r="A125" s="167" t="s">
        <v>1317</v>
      </c>
      <c r="B125" s="24" t="s">
        <v>2482</v>
      </c>
      <c r="C125" s="24" t="s">
        <v>1913</v>
      </c>
      <c r="D125" s="24" t="s">
        <v>2016</v>
      </c>
      <c r="E125" s="15">
        <v>32.788721000000002</v>
      </c>
      <c r="F125" s="49">
        <v>-96.772652600000001</v>
      </c>
      <c r="G125" s="24" t="s">
        <v>2068</v>
      </c>
      <c r="H125" s="90" t="s">
        <v>2459</v>
      </c>
      <c r="I125" s="24" t="s">
        <v>1802</v>
      </c>
      <c r="J125" s="24" t="b">
        <v>1</v>
      </c>
      <c r="M125" s="83" t="s">
        <v>2069</v>
      </c>
      <c r="O125" s="91" t="s">
        <v>2071</v>
      </c>
      <c r="P125" s="94" t="s">
        <v>335</v>
      </c>
      <c r="Q125" s="95" t="s">
        <v>2029</v>
      </c>
      <c r="R125" s="15" t="s">
        <v>2070</v>
      </c>
      <c r="S125" s="93" t="s">
        <v>335</v>
      </c>
      <c r="Z125" s="91"/>
      <c r="AS125" s="154" t="b">
        <f t="shared" si="96"/>
        <v>1</v>
      </c>
      <c r="AT125" s="155" t="str">
        <f t="shared" si="97"/>
        <v>title: "St. Edward the Confessor Catholic Church, Dallas, TX"</v>
      </c>
      <c r="AU125" s="155" t="str">
        <f t="shared" si="98"/>
        <v>location: {lat: 32.788721, lng: -96.7726526}</v>
      </c>
      <c r="AV125" s="155" t="str">
        <f t="shared" si="99"/>
        <v>interest: local</v>
      </c>
      <c r="AW125" s="155" t="str">
        <f>"- "&amp;VLOOKUP(C125,'(Ref) Countries'!A:C,3,)</f>
        <v>- usa
- texas</v>
      </c>
      <c r="AX125" s="155" t="str">
        <f t="shared" si="100"/>
        <v>- dallas</v>
      </c>
      <c r="AY125" s="155" t="str">
        <f t="shared" si="101"/>
        <v>- churches</v>
      </c>
      <c r="AZ125" s="155" t="str">
        <f t="shared" si="102"/>
        <v/>
      </c>
      <c r="BA125" s="155" t="str">
        <f t="shared" si="103"/>
        <v/>
      </c>
      <c r="BB125" s="155" t="str">
        <f t="shared" si="104"/>
        <v/>
      </c>
      <c r="BC125" s="155" t="str">
        <f t="shared" si="105"/>
        <v/>
      </c>
      <c r="BD125" s="155" t="str">
        <f t="shared" si="106"/>
        <v/>
      </c>
      <c r="BE125" s="155" t="str">
        <f t="shared" si="107"/>
        <v/>
      </c>
      <c r="BF125" s="155" t="str">
        <f t="shared" si="108"/>
        <v/>
      </c>
      <c r="BG125" s="155" t="str">
        <f t="shared" si="109"/>
        <v/>
      </c>
      <c r="BH125" s="155" t="str">
        <f t="shared" si="110"/>
        <v/>
      </c>
      <c r="BI125" s="155" t="str">
        <f t="shared" si="111"/>
        <v/>
      </c>
      <c r="BJ125" s="155" t="str">
        <f t="shared" si="112"/>
        <v/>
      </c>
      <c r="BK125" s="155" t="str">
        <f t="shared" si="113"/>
        <v/>
      </c>
      <c r="BL125" s="155" t="str">
        <f t="shared" si="114"/>
        <v xml:space="preserve">tags:
- usa
- texas_x000D_
- dallas_x000D_
- churches_x000D_
</v>
      </c>
      <c r="BM125" s="158" t="str">
        <f t="shared" si="92"/>
        <v>[Official site](https://stedwardparish.org/)</v>
      </c>
      <c r="BN125" s="158" t="str">
        <f t="shared" si="93"/>
        <v>[Parish history](https://stedwardparish.org/history-)</v>
      </c>
      <c r="BO125" s="158" t="str">
        <f t="shared" si="94"/>
        <v/>
      </c>
      <c r="BP125" s="158" t="str">
        <f t="shared" si="95"/>
        <v/>
      </c>
      <c r="BQ125" s="155" t="str">
        <f t="shared" si="115"/>
        <v xml:space="preserve">* [Official site](https://stedwardparish.org/)
* [Parish history](https://stedwardparish.org/history-)
</v>
      </c>
      <c r="BR125" s="155" t="str">
        <f t="shared" si="116"/>
        <v/>
      </c>
      <c r="BS125" s="155" t="str">
        <f t="shared" si="117"/>
        <v/>
      </c>
      <c r="BT125" s="155" t="str">
        <f t="shared" si="118"/>
        <v/>
      </c>
      <c r="BU125" s="155" t="str">
        <f>IF(LEN(concat(BR125:BT125))&gt;0,concat("| ",BR125," | ",BS125," | ",BT125," |"),"")</f>
        <v/>
      </c>
      <c r="BV125" s="155" t="str">
        <f t="shared" si="119"/>
        <v/>
      </c>
      <c r="BW125" s="155" t="str">
        <f>IF(LEN(BQ125&amp;BV125)&gt;0,concatll("#### More Information",BQ125,BV125),"")</f>
        <v xml:space="preserve">#### More Information_x000D_
_x000D_
* [Official site](https://stedwardparish.org/)
* [Parish history](https://stedwardparish.org/history-)
_x000D_
_x000D_
</v>
      </c>
      <c r="BX125" s="155" t="str">
        <f>IF(LEN(N125)&gt;1,concatll("#### Author's Note",N125,"-"&amp;B125),"")</f>
        <v/>
      </c>
      <c r="BY125" s="155" t="s">
        <v>335</v>
      </c>
      <c r="BZ125" s="155" t="s">
        <v>335</v>
      </c>
      <c r="CA125" s="23" t="str">
        <f>IF(AS125,concatll(concatl("---",AT125:AV125,BL125,"---"),M125,BW125:BX125),"")</f>
        <v xml:space="preserve">---_x000D_
title: "St. Edward the Confessor Catholic Church, Dallas, TX"_x000D_
location: {lat: 32.788721, lng: -96.7726526}_x000D_
interest: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23" t="str">
        <f>IF(AS125,"places\"&amp;VLOOKUP(C125,'(Ref) Countries'!A:B,2,)&amp;IF(LEN(D125)&gt;1,"-"&amp;LOWER(SUBSTITUTE(D125," ","-")),"")&amp;"-"&amp;LOWER(SUBSTITUTE(SUBSTITUTE(H125," ","-"),".",""))&amp;".md","")</f>
        <v>places\us_tx-dallas-st-edward.md</v>
      </c>
      <c r="CC125" s="29" t="str">
        <f>IF(LEN(Z125)&gt;1,VLOOKUP(Z125,'Tag List'!$A:$B,2,),"")</f>
        <v/>
      </c>
      <c r="CD125" s="29" t="str">
        <f>IF(LEN(AA125)&gt;1,VLOOKUP(AA125,'Tag List'!$A:$B,2,),"")</f>
        <v/>
      </c>
      <c r="CE125" s="29" t="str">
        <f>IF(LEN(AB125)&gt;1,VLOOKUP(AB125,'Tag List'!$A:$B,2,),"")</f>
        <v/>
      </c>
      <c r="CF125" s="29" t="str">
        <f>IF(LEN(Z125)&gt;1,GetTagPage(CC125,Z125),"")</f>
        <v/>
      </c>
      <c r="CG125" s="29" t="str">
        <f>IF(LEN(AA125)&gt;1,GetTagPage(CD125,AA125),"")</f>
        <v/>
      </c>
      <c r="CH125" s="29" t="str">
        <f>IF(LEN(AB125)&gt;1,GetTagPage(CE125,AB125),"")</f>
        <v/>
      </c>
      <c r="CI125" s="29" t="str">
        <f t="shared" si="120"/>
        <v xml:space="preserve">| </v>
      </c>
      <c r="CJ125" s="29" t="str">
        <f t="shared" si="121"/>
        <v xml:space="preserve">| [](/places/places\us_tx-dallas-st-edward) </v>
      </c>
      <c r="CK125" s="29" t="str">
        <f>"| "&amp;IF(AS125,GetTagPage(C125,VLOOKUP(C125,'(Ref) Countries'!A:C,3,)),C125)&amp; " "</f>
        <v xml:space="preserve">| [US Texas](/tags/usa
- texas) </v>
      </c>
      <c r="CL125" s="29" t="str">
        <f t="shared" si="122"/>
        <v xml:space="preserve">|  </v>
      </c>
      <c r="CM125" s="29" t="str">
        <f t="shared" si="123"/>
        <v xml:space="preserve">| [Link](/places/places\us_tx-dallas-st-edward) </v>
      </c>
      <c r="CN125" s="29" t="str">
        <f t="shared" si="124"/>
        <v xml:space="preserve">
| [](/places/places\us_tx-dallas-st-edward) | [US Texas](/tags/usa
- texas) |  | [Link](/places/places\us_tx-dallas-st-edward) [Official site](https://stedwardparish.org/)| |</v>
      </c>
    </row>
    <row r="126" spans="1:92" ht="25.5" x14ac:dyDescent="0.25">
      <c r="A126" s="167" t="s">
        <v>1317</v>
      </c>
      <c r="B126" s="24" t="s">
        <v>2482</v>
      </c>
      <c r="C126" s="24" t="s">
        <v>1913</v>
      </c>
      <c r="D126" s="24" t="s">
        <v>2016</v>
      </c>
      <c r="E126" s="15">
        <v>32.795037200000003</v>
      </c>
      <c r="F126" s="49">
        <v>-96.795031699999996</v>
      </c>
      <c r="G126" s="83" t="s">
        <v>2078</v>
      </c>
      <c r="H126" s="90" t="s">
        <v>2435</v>
      </c>
      <c r="I126" s="24" t="s">
        <v>1802</v>
      </c>
      <c r="J126" s="24" t="b">
        <v>1</v>
      </c>
      <c r="M126" s="83" t="s">
        <v>2079</v>
      </c>
      <c r="O126" s="91" t="s">
        <v>2081</v>
      </c>
      <c r="P126" s="94" t="s">
        <v>335</v>
      </c>
      <c r="Q126" s="60" t="s">
        <v>2029</v>
      </c>
      <c r="R126" s="15" t="s">
        <v>2080</v>
      </c>
      <c r="S126" s="93" t="s">
        <v>335</v>
      </c>
      <c r="AS126" s="154" t="b">
        <f t="shared" si="96"/>
        <v>1</v>
      </c>
      <c r="AT126" s="155" t="str">
        <f t="shared" si="97"/>
        <v>title: "St. Peter Catholic Church, Dallas, TX"</v>
      </c>
      <c r="AU126" s="155" t="str">
        <f t="shared" si="98"/>
        <v>location: {lat: 32.7950372, lng: -96.7950317}</v>
      </c>
      <c r="AV126" s="155" t="str">
        <f t="shared" si="99"/>
        <v>interest: local</v>
      </c>
      <c r="AW126" s="155" t="str">
        <f>"- "&amp;VLOOKUP(C126,'(Ref) Countries'!A:C,3,)</f>
        <v>- usa
- texas</v>
      </c>
      <c r="AX126" s="155" t="str">
        <f t="shared" si="100"/>
        <v>- dallas</v>
      </c>
      <c r="AY126" s="155" t="str">
        <f t="shared" si="101"/>
        <v>- churches</v>
      </c>
      <c r="AZ126" s="155" t="str">
        <f t="shared" si="102"/>
        <v/>
      </c>
      <c r="BA126" s="155" t="str">
        <f t="shared" si="103"/>
        <v/>
      </c>
      <c r="BB126" s="155" t="str">
        <f t="shared" si="104"/>
        <v/>
      </c>
      <c r="BC126" s="155" t="str">
        <f t="shared" si="105"/>
        <v/>
      </c>
      <c r="BD126" s="155" t="str">
        <f t="shared" si="106"/>
        <v/>
      </c>
      <c r="BE126" s="155" t="str">
        <f t="shared" si="107"/>
        <v/>
      </c>
      <c r="BF126" s="155" t="str">
        <f t="shared" si="108"/>
        <v/>
      </c>
      <c r="BG126" s="155" t="str">
        <f t="shared" si="109"/>
        <v/>
      </c>
      <c r="BH126" s="155" t="str">
        <f t="shared" si="110"/>
        <v/>
      </c>
      <c r="BI126" s="155" t="str">
        <f t="shared" si="111"/>
        <v/>
      </c>
      <c r="BJ126" s="155" t="str">
        <f t="shared" si="112"/>
        <v/>
      </c>
      <c r="BK126" s="155" t="str">
        <f t="shared" si="113"/>
        <v/>
      </c>
      <c r="BL126" s="155" t="str">
        <f t="shared" si="114"/>
        <v xml:space="preserve">tags:
- usa
- texas_x000D_
- dallas_x000D_
- churches_x000D_
</v>
      </c>
      <c r="BM126" s="158" t="str">
        <f t="shared" si="92"/>
        <v>[Official site](https://stpeterdal.com/)</v>
      </c>
      <c r="BN126" s="158" t="str">
        <f t="shared" si="93"/>
        <v>[Parish history](https://stpeterdal.com/about/#History)</v>
      </c>
      <c r="BO126" s="158" t="str">
        <f t="shared" si="94"/>
        <v/>
      </c>
      <c r="BP126" s="158" t="str">
        <f t="shared" si="95"/>
        <v/>
      </c>
      <c r="BQ126" s="155" t="str">
        <f t="shared" si="115"/>
        <v xml:space="preserve">* [Official site](https://stpeterdal.com/)
* [Parish history](https://stpeterdal.com/about/#History)
</v>
      </c>
      <c r="BR126" s="155" t="str">
        <f t="shared" si="116"/>
        <v/>
      </c>
      <c r="BS126" s="155" t="str">
        <f t="shared" si="117"/>
        <v/>
      </c>
      <c r="BT126" s="155" t="str">
        <f t="shared" si="118"/>
        <v/>
      </c>
      <c r="BU126" s="155" t="str">
        <f>IF(LEN(concat(BR126:BT126))&gt;0,concat("| ",BR126," | ",BS126," | ",BT126," |"),"")</f>
        <v/>
      </c>
      <c r="BV126" s="155" t="str">
        <f t="shared" si="119"/>
        <v/>
      </c>
      <c r="BW126" s="155" t="str">
        <f>IF(LEN(BQ126&amp;BV126)&gt;0,concatll("#### More Information",BQ126,BV126),"")</f>
        <v xml:space="preserve">#### More Information_x000D_
_x000D_
* [Official site](https://stpeterdal.com/)
* [Parish history](https://stpeterdal.com/about/#History)
_x000D_
_x000D_
</v>
      </c>
      <c r="BX126" s="155" t="str">
        <f>IF(LEN(N126)&gt;1,concatll("#### Author's Note",N126,"-"&amp;B126),"")</f>
        <v/>
      </c>
      <c r="BY126" s="155" t="s">
        <v>335</v>
      </c>
      <c r="BZ126" s="155" t="s">
        <v>335</v>
      </c>
      <c r="CA126" s="23" t="str">
        <f>IF(AS126,concatll(concatl("---",AT126:AV126,BL126,"---"),M126,BW126:BX126),"")</f>
        <v xml:space="preserve">---_x000D_
title: "St. Peter Catholic Church, Dallas, TX"_x000D_
location: {lat: 32.7950372, lng: -96.7950317}_x000D_
interest: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23" t="str">
        <f>IF(AS126,"places\"&amp;VLOOKUP(C126,'(Ref) Countries'!A:B,2,)&amp;IF(LEN(D126)&gt;1,"-"&amp;LOWER(SUBSTITUTE(D126," ","-")),"")&amp;"-"&amp;LOWER(SUBSTITUTE(SUBSTITUTE(H126," ","-"),".",""))&amp;".md","")</f>
        <v>places\us_tx-dallas-st-peter.md</v>
      </c>
      <c r="CC126" s="29" t="str">
        <f>IF(LEN(Z126)&gt;1,VLOOKUP(Z126,'Tag List'!$A:$B,2,),"")</f>
        <v/>
      </c>
      <c r="CD126" s="29" t="str">
        <f>IF(LEN(AA126)&gt;1,VLOOKUP(AA126,'Tag List'!$A:$B,2,),"")</f>
        <v/>
      </c>
      <c r="CE126" s="29" t="str">
        <f>IF(LEN(AB126)&gt;1,VLOOKUP(AB126,'Tag List'!$A:$B,2,),"")</f>
        <v/>
      </c>
      <c r="CF126" s="29" t="str">
        <f>IF(LEN(Z126)&gt;1,GetTagPage(CC126,Z126),"")</f>
        <v/>
      </c>
      <c r="CG126" s="29" t="str">
        <f>IF(LEN(AA126)&gt;1,GetTagPage(CD126,AA126),"")</f>
        <v/>
      </c>
      <c r="CH126" s="29" t="str">
        <f>IF(LEN(AB126)&gt;1,GetTagPage(CE126,AB126),"")</f>
        <v/>
      </c>
      <c r="CI126" s="29" t="str">
        <f t="shared" si="120"/>
        <v xml:space="preserve">| </v>
      </c>
      <c r="CJ126" s="29" t="str">
        <f t="shared" si="121"/>
        <v xml:space="preserve">| [](/places/places\us_tx-dallas-st-peter) </v>
      </c>
      <c r="CK126" s="29" t="str">
        <f>"| "&amp;IF(AS126,GetTagPage(C126,VLOOKUP(C126,'(Ref) Countries'!A:C,3,)),C126)&amp; " "</f>
        <v xml:space="preserve">| [US Texas](/tags/usa
- texas) </v>
      </c>
      <c r="CL126" s="29" t="str">
        <f t="shared" si="122"/>
        <v xml:space="preserve">|  </v>
      </c>
      <c r="CM126" s="29" t="str">
        <f t="shared" si="123"/>
        <v xml:space="preserve">| [Link](/places/places\us_tx-dallas-st-peter) </v>
      </c>
      <c r="CN126" s="29" t="str">
        <f t="shared" si="124"/>
        <v xml:space="preserve">
| [](/places/places\us_tx-dallas-st-peter) | [US Texas](/tags/usa
- texas) |  | [Link](/places/places\us_tx-dallas-st-peter) [Official site](https://stpeterdal.com/)| |</v>
      </c>
    </row>
    <row r="127" spans="1:92" ht="76.5" x14ac:dyDescent="0.25">
      <c r="A127" s="167" t="s">
        <v>1317</v>
      </c>
      <c r="B127" s="168" t="s">
        <v>2481</v>
      </c>
      <c r="C127" s="129" t="s">
        <v>2431</v>
      </c>
      <c r="E127" s="15">
        <v>41.902118788029298</v>
      </c>
      <c r="F127" s="49">
        <v>12.4539366999999</v>
      </c>
      <c r="G127" s="129" t="s">
        <v>2432</v>
      </c>
      <c r="H127" s="131" t="s">
        <v>2435</v>
      </c>
      <c r="I127" s="129" t="s">
        <v>1711</v>
      </c>
      <c r="M127" s="134" t="s">
        <v>2437</v>
      </c>
      <c r="O127" s="15" t="s">
        <v>2433</v>
      </c>
      <c r="P127" s="132" t="s">
        <v>335</v>
      </c>
      <c r="Z127" s="130" t="s">
        <v>2434</v>
      </c>
      <c r="AA127" s="170" t="s">
        <v>2537</v>
      </c>
      <c r="AS127" s="154" t="b">
        <f t="shared" si="96"/>
        <v>1</v>
      </c>
      <c r="AT127" s="155" t="str">
        <f t="shared" si="97"/>
        <v>title: "St. Peter's Basilica"</v>
      </c>
      <c r="AU127" s="155" t="str">
        <f t="shared" si="98"/>
        <v>location: {lat: 41.9021187880293, lng: 12.4539366999999}</v>
      </c>
      <c r="AV127" s="155" t="str">
        <f t="shared" si="99"/>
        <v>interest: global</v>
      </c>
      <c r="AW127" s="155" t="str">
        <f>"- "&amp;VLOOKUP(C127,'(Ref) Countries'!A:C,3,)</f>
        <v>- vatican
- rome</v>
      </c>
      <c r="AX127" s="155" t="str">
        <f t="shared" si="100"/>
        <v/>
      </c>
      <c r="AY127" s="155" t="str">
        <f t="shared" si="101"/>
        <v/>
      </c>
      <c r="AZ127" s="155" t="str">
        <f t="shared" si="102"/>
        <v/>
      </c>
      <c r="BA127" s="155" t="str">
        <f t="shared" si="103"/>
        <v/>
      </c>
      <c r="BB127" s="155" t="str">
        <f t="shared" si="104"/>
        <v>- peter</v>
      </c>
      <c r="BC127" s="155" t="str">
        <f t="shared" si="105"/>
        <v>- major-basilicas</v>
      </c>
      <c r="BD127" s="155" t="str">
        <f t="shared" si="106"/>
        <v/>
      </c>
      <c r="BE127" s="155" t="str">
        <f t="shared" si="107"/>
        <v/>
      </c>
      <c r="BF127" s="155" t="str">
        <f t="shared" si="108"/>
        <v/>
      </c>
      <c r="BG127" s="155" t="str">
        <f t="shared" si="109"/>
        <v/>
      </c>
      <c r="BH127" s="155" t="str">
        <f t="shared" si="110"/>
        <v/>
      </c>
      <c r="BI127" s="155" t="str">
        <f t="shared" si="111"/>
        <v/>
      </c>
      <c r="BJ127" s="155" t="str">
        <f t="shared" si="112"/>
        <v/>
      </c>
      <c r="BK127" s="155" t="str">
        <f t="shared" si="113"/>
        <v/>
      </c>
      <c r="BL127" s="155" t="str">
        <f t="shared" si="114"/>
        <v xml:space="preserve">tags:
- vatican
- rome_x000D_
- peter_x000D_
- major-basilicas_x000D_
</v>
      </c>
      <c r="BM127" s="158" t="str">
        <f t="shared" si="92"/>
        <v>[Official site](https://www.basilicasanpietro.va/en.html)</v>
      </c>
      <c r="BN127" s="158" t="str">
        <f t="shared" si="93"/>
        <v/>
      </c>
      <c r="BO127" s="158" t="str">
        <f t="shared" si="94"/>
        <v/>
      </c>
      <c r="BP127" s="158" t="str">
        <f t="shared" si="95"/>
        <v/>
      </c>
      <c r="BQ127" s="155" t="str">
        <f t="shared" si="115"/>
        <v xml:space="preserve">* [Official site](https://www.basilicasanpietro.va/en.html)
</v>
      </c>
      <c r="BR127" s="155" t="str">
        <f t="shared" si="116"/>
        <v/>
      </c>
      <c r="BS127" s="155" t="str">
        <f t="shared" si="117"/>
        <v/>
      </c>
      <c r="BT127" s="155" t="str">
        <f t="shared" si="118"/>
        <v/>
      </c>
      <c r="BU127" s="155" t="str">
        <f>IF(LEN(concat(BR127:BT127))&gt;0,concat("| ",BR127," | ",BS127," | ",BT127," |"),"")</f>
        <v/>
      </c>
      <c r="BV127" s="155" t="str">
        <f t="shared" si="119"/>
        <v/>
      </c>
      <c r="BW127" s="155" t="str">
        <f>IF(LEN(BQ127&amp;BV127)&gt;0,concatll("#### More Information",BQ127,BV127),"")</f>
        <v xml:space="preserve">#### More Information_x000D_
_x000D_
* [Official site](https://www.basilicasanpietro.va/en.html)
_x000D_
_x000D_
</v>
      </c>
      <c r="BX127" s="155" t="str">
        <f>IF(LEN(N127)&gt;1,concatll("#### Author's Note",N127,"-"&amp;B127),"")</f>
        <v/>
      </c>
      <c r="BY127" s="155" t="s">
        <v>335</v>
      </c>
      <c r="BZ127" s="155" t="s">
        <v>335</v>
      </c>
      <c r="CA127" s="23" t="str">
        <f>IF(AS127,concatll(concatl("---",AT127:AV127,BL127,"---"),M127,BW127:BX127),"")</f>
        <v xml:space="preserve">---_x000D_
title: "St. Peter's Basilica"_x000D_
location: {lat: 41.9021187880293, lng: 12.4539366999999}_x000D_
interest: global_x000D_
tags:
- vatican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23" t="str">
        <f>IF(AS127,"places\"&amp;VLOOKUP(C127,'(Ref) Countries'!A:B,2,)&amp;IF(LEN(D127)&gt;1,"-"&amp;LOWER(SUBSTITUTE(D127," ","-")),"")&amp;"-"&amp;LOWER(SUBSTITUTE(SUBSTITUTE(H127," ","-"),".",""))&amp;".md","")</f>
        <v>places\va-st-peter.md</v>
      </c>
      <c r="CC127" s="29" t="str">
        <f>IF(LEN(Z127)&gt;1,VLOOKUP(Z127,'Tag List'!$A:$B,2,),"")</f>
        <v>St. Peter</v>
      </c>
      <c r="CD127" s="29" t="e">
        <f>IF(LEN(AA127)&gt;1,VLOOKUP(AA127,'Tag List'!$A:$B,2,),"")</f>
        <v>#N/A</v>
      </c>
      <c r="CE127" s="29" t="str">
        <f>IF(LEN(AB127)&gt;1,VLOOKUP(AB127,'Tag List'!$A:$B,2,),"")</f>
        <v/>
      </c>
      <c r="CF127" s="29" t="str">
        <f>IF(LEN(Z127)&gt;1,GetTagPage(CC127,Z127),"")</f>
        <v>[St. Peter](/tags/peter)</v>
      </c>
      <c r="CG127" s="29" t="e">
        <f>IF(LEN(AA127)&gt;1,GetTagPage(CD127,AA127),"")</f>
        <v>#VALUE!</v>
      </c>
      <c r="CH127" s="29" t="str">
        <f>IF(LEN(AB127)&gt;1,GetTagPage(CE127,AB127),"")</f>
        <v/>
      </c>
      <c r="CI127" s="29" t="e">
        <f t="shared" si="120"/>
        <v>#VALUE!</v>
      </c>
      <c r="CJ127" s="29" t="str">
        <f t="shared" si="121"/>
        <v xml:space="preserve">| [](/places/places\va-st-peter) </v>
      </c>
      <c r="CK127" s="29" t="str">
        <f>"| "&amp;IF(AS127,GetTagPage(C127,VLOOKUP(C127,'(Ref) Countries'!A:C,3,)),C127)&amp; " "</f>
        <v xml:space="preserve">| [Vatican City](/tags/vatican
- rome) </v>
      </c>
      <c r="CL127" s="29" t="str">
        <f t="shared" si="122"/>
        <v xml:space="preserve">|  </v>
      </c>
      <c r="CM127" s="29" t="str">
        <f t="shared" si="123"/>
        <v xml:space="preserve">| [Link](/places/places\va-st-peter) </v>
      </c>
      <c r="CN127" s="29" t="e">
        <f t="shared" si="124"/>
        <v>#VALUE!</v>
      </c>
    </row>
    <row r="128" spans="1:92" ht="102" x14ac:dyDescent="0.25">
      <c r="A128" s="167" t="s">
        <v>1317</v>
      </c>
      <c r="B128" s="24" t="s">
        <v>2481</v>
      </c>
      <c r="C128" s="24" t="s">
        <v>737</v>
      </c>
      <c r="E128" s="15">
        <v>16.705491099922099</v>
      </c>
      <c r="F128" s="49">
        <v>107.19601082359701</v>
      </c>
      <c r="G128" s="24" t="s">
        <v>1366</v>
      </c>
      <c r="H128" s="53" t="s">
        <v>1366</v>
      </c>
      <c r="I128" s="24" t="s">
        <v>1711</v>
      </c>
      <c r="J128" s="40" t="b">
        <v>1</v>
      </c>
      <c r="K128" s="24" t="b">
        <v>1</v>
      </c>
      <c r="M128" s="24" t="s">
        <v>1365</v>
      </c>
      <c r="N128" s="177" t="s">
        <v>2518</v>
      </c>
      <c r="O128" s="15" t="s">
        <v>335</v>
      </c>
      <c r="P128" s="15" t="s">
        <v>335</v>
      </c>
      <c r="Z128" s="15" t="s">
        <v>335</v>
      </c>
      <c r="AJ128" s="85" t="s">
        <v>1272</v>
      </c>
      <c r="AK128" s="86">
        <v>1798</v>
      </c>
      <c r="AL128" s="15" t="s">
        <v>283</v>
      </c>
      <c r="AM128" s="15" t="s">
        <v>335</v>
      </c>
      <c r="AN128" s="15" t="s">
        <v>1364</v>
      </c>
      <c r="AO128" s="15" t="s">
        <v>335</v>
      </c>
      <c r="AP128" s="15" t="s">
        <v>1367</v>
      </c>
      <c r="AQ128" s="49" t="s">
        <v>335</v>
      </c>
      <c r="AS128" s="154" t="b">
        <f t="shared" si="96"/>
        <v>1</v>
      </c>
      <c r="AT128" s="155" t="str">
        <f t="shared" si="97"/>
        <v>title: "Basilica of Our Lady of La Vang"</v>
      </c>
      <c r="AU128" s="155" t="str">
        <f t="shared" si="98"/>
        <v>location: {lat: 16.7054910999221, lng: 107.196010823597}</v>
      </c>
      <c r="AV128" s="155" t="str">
        <f t="shared" si="99"/>
        <v>interest: global</v>
      </c>
      <c r="AW128" s="155" t="str">
        <f>"- "&amp;VLOOKUP(C128,'(Ref) Countries'!A:C,3,)</f>
        <v>- vietnam</v>
      </c>
      <c r="AX128" s="155" t="str">
        <f t="shared" si="100"/>
        <v/>
      </c>
      <c r="AY128" s="155" t="str">
        <f t="shared" si="101"/>
        <v>- churches</v>
      </c>
      <c r="AZ128" s="155" t="str">
        <f t="shared" si="102"/>
        <v>- marian-sites</v>
      </c>
      <c r="BA128" s="155" t="str">
        <f t="shared" si="103"/>
        <v/>
      </c>
      <c r="BB128" s="155" t="str">
        <f t="shared" si="104"/>
        <v/>
      </c>
      <c r="BC128" s="155" t="str">
        <f t="shared" si="105"/>
        <v/>
      </c>
      <c r="BD128" s="155" t="str">
        <f t="shared" si="106"/>
        <v/>
      </c>
      <c r="BE128" s="155" t="str">
        <f t="shared" si="107"/>
        <v/>
      </c>
      <c r="BF128" s="155" t="str">
        <f t="shared" si="108"/>
        <v/>
      </c>
      <c r="BG128" s="155" t="str">
        <f t="shared" si="109"/>
        <v/>
      </c>
      <c r="BH128" s="155" t="str">
        <f t="shared" si="110"/>
        <v/>
      </c>
      <c r="BI128" s="155" t="str">
        <f t="shared" si="111"/>
        <v/>
      </c>
      <c r="BJ128" s="155" t="str">
        <f t="shared" si="112"/>
        <v/>
      </c>
      <c r="BK128" s="155" t="str">
        <f t="shared" si="113"/>
        <v/>
      </c>
      <c r="BL128" s="155" t="str">
        <f t="shared" si="114"/>
        <v xml:space="preserve">tags:
- vietnam_x000D_
- churches_x000D_
- marian-sites_x000D_
</v>
      </c>
      <c r="BM128" s="158" t="str">
        <f t="shared" si="92"/>
        <v/>
      </c>
      <c r="BN128" s="158" t="str">
        <f t="shared" si="93"/>
        <v/>
      </c>
      <c r="BO128" s="158" t="str">
        <f t="shared" si="94"/>
        <v/>
      </c>
      <c r="BP128" s="158" t="str">
        <f t="shared" si="95"/>
        <v/>
      </c>
      <c r="BQ128" s="158" t="str">
        <f t="shared" si="115"/>
        <v/>
      </c>
      <c r="BR128" s="158" t="str">
        <f t="shared" si="116"/>
        <v>[Link](http://www.therealpresence.org/eucharst/misc/BVM/21_LAVANG_60x96.pdf)</v>
      </c>
      <c r="BS128" s="158" t="str">
        <f t="shared" si="117"/>
        <v>[Link](http://www.miraclehunter.com/marian_apparitions/approved_apparitions/lavang/index.html)</v>
      </c>
      <c r="BT128" s="158" t="str">
        <f t="shared" si="118"/>
        <v>[Link](https://www.marypages.com/la-vang-vietnam-en.html)</v>
      </c>
      <c r="BU128" s="158" t="str">
        <f>IF(LEN(concat(BR128:BT128))&gt;0,concat("| ",BR128," | ",BS128," | ",BT128," |"),"")</f>
        <v>| [Link](http://www.therealpresence.org/eucharst/misc/BVM/21_LAVANG_60x96.pdf) | [Link](http://www.miraclehunter.com/marian_apparitions/approved_apparitions/lavang/index.html) | [Link](https://www.marypages.com/la-vang-vietnam-en.html) |</v>
      </c>
      <c r="BV128" s="155" t="str">
        <f t="shared" si="119"/>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55"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55" t="str">
        <f>IF(LEN(N128)&gt;1,concatll("#### Author's Note",N128,"-"&amp;B128),"")</f>
        <v xml:space="preserve">#### Author's Note_x000D_
_x000D_
We can't find an official website or other social media page for the basilica.  If you know of one, please [contact us](/contact)._x000D_
_x000D_
-JMM_x000D_
_x000D_
</v>
      </c>
      <c r="BY128" s="155" t="s">
        <v>335</v>
      </c>
      <c r="BZ128" s="155" t="s">
        <v>335</v>
      </c>
      <c r="CA128" s="23" t="str">
        <f>IF(AS128,concatll(concatl("---",AT128:AV128,BL128,"---"),M128,BW128:BX128),"")</f>
        <v xml:space="preserve">---_x000D_
title: "Basilica of Our Lady of La Vang"_x000D_
location: {lat: 16.7054910999221, lng: 107.196010823597}_x000D_
interest: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23" t="str">
        <f>IF(AS128,"places\"&amp;VLOOKUP(C128,'(Ref) Countries'!A:B,2,)&amp;IF(LEN(D128)&gt;1,"-"&amp;LOWER(SUBSTITUTE(D128," ","-")),"")&amp;"-"&amp;LOWER(SUBSTITUTE(SUBSTITUTE(H128," ","-"),".",""))&amp;".md","")</f>
        <v>places\vn-basilica-of-our-lady-of-la-vang.md</v>
      </c>
      <c r="CC128" s="29" t="str">
        <f>IF(LEN(Z128)&gt;1,VLOOKUP(Z128,'Tag List'!$A:$B,2,),"")</f>
        <v/>
      </c>
      <c r="CD128" s="29" t="str">
        <f>IF(LEN(AA128)&gt;1,VLOOKUP(AA128,'Tag List'!$A:$B,2,),"")</f>
        <v/>
      </c>
      <c r="CE128" s="29" t="str">
        <f>IF(LEN(AB128)&gt;1,VLOOKUP(AB128,'Tag List'!$A:$B,2,),"")</f>
        <v/>
      </c>
      <c r="CF128" s="30" t="str">
        <f>IF(LEN(Z128)&gt;1,GetTagPage(CC128,Z128),"")</f>
        <v/>
      </c>
      <c r="CG128" s="30" t="str">
        <f>IF(LEN(AA128)&gt;1,GetTagPage(CD128,AA128),"")</f>
        <v/>
      </c>
      <c r="CH128" s="30" t="str">
        <f>IF(LEN(AB128)&gt;1,GetTagPage(CE128,AB128),"")</f>
        <v/>
      </c>
      <c r="CI128" s="30" t="str">
        <f t="shared" si="120"/>
        <v xml:space="preserve">| </v>
      </c>
      <c r="CJ128" s="30" t="str">
        <f t="shared" si="121"/>
        <v xml:space="preserve">| [La Vang](/places/places\vn-basilica-of-our-lady-of-la-vang) </v>
      </c>
      <c r="CK128" s="30" t="str">
        <f>"| "&amp;IF(AS128,GetTagPage(C128,VLOOKUP(C128,'(Ref) Countries'!A:C,3,)),C128)&amp; " "</f>
        <v xml:space="preserve">| [Vietnam](/tags/vietnam) </v>
      </c>
      <c r="CL128" s="30" t="str">
        <f t="shared" si="122"/>
        <v xml:space="preserve">| 1798 </v>
      </c>
      <c r="CM128" s="30" t="str">
        <f t="shared" si="123"/>
        <v xml:space="preserve">| [Link](/places/places\vn-basilica-of-our-lady-of-la-vang) </v>
      </c>
      <c r="CN128" s="29" t="str">
        <f t="shared" si="124"/>
        <v xml:space="preserve">
| [La Vang](/places/places\vn-basilica-of-our-lady-of-la-vang) | [Vietnam](/tags/vietnam) | 1798 | [Link](/places/places\vn-basilica-of-our-lady-of-la-vang) [Link](http://www.therealpresence.org/eucharst/misc/BVM/21_LAVANG_60x96.pdf)[Link](http://www.miraclehunter.com/marian_apparitions/approved_apparitions/lavang/index.html)[Link](https://www.marypages.com/la-vang-vietnam-en.html)| |</v>
      </c>
    </row>
    <row r="129" spans="1:92" ht="38.25" x14ac:dyDescent="0.25">
      <c r="A129" s="167" t="s">
        <v>1317</v>
      </c>
      <c r="B129" s="168" t="s">
        <v>2485</v>
      </c>
      <c r="C129" s="129" t="s">
        <v>737</v>
      </c>
      <c r="D129" s="24" t="s">
        <v>2445</v>
      </c>
      <c r="E129" s="15">
        <v>20.4247269</v>
      </c>
      <c r="F129" s="49">
        <v>106.1588304</v>
      </c>
      <c r="G129" s="129" t="s">
        <v>2438</v>
      </c>
      <c r="H129" s="139" t="s">
        <v>2447</v>
      </c>
      <c r="I129" s="140" t="s">
        <v>1802</v>
      </c>
      <c r="J129" s="24" t="b">
        <v>1</v>
      </c>
      <c r="L129" s="24" t="b">
        <v>1</v>
      </c>
      <c r="M129" s="140" t="s">
        <v>2446</v>
      </c>
      <c r="N129" s="177" t="s">
        <v>1330</v>
      </c>
      <c r="P129" s="132"/>
      <c r="Q129" s="60" t="s">
        <v>2440</v>
      </c>
      <c r="R129" s="15" t="s">
        <v>2439</v>
      </c>
      <c r="S129" s="137" t="s">
        <v>335</v>
      </c>
      <c r="Z129" s="130" t="s">
        <v>2441</v>
      </c>
      <c r="AA129" s="130" t="s">
        <v>2442</v>
      </c>
      <c r="AS129" s="154" t="b">
        <f t="shared" si="96"/>
        <v>1</v>
      </c>
      <c r="AT129" s="155" t="str">
        <f t="shared" si="97"/>
        <v>title: "Basilica of the Immaculate Conception at Ha Nam"</v>
      </c>
      <c r="AU129" s="155" t="str">
        <f t="shared" si="98"/>
        <v>location: {lat: 20.4247269, lng: 106.1588304}</v>
      </c>
      <c r="AV129" s="155" t="str">
        <f t="shared" si="99"/>
        <v>interest: local</v>
      </c>
      <c r="AW129" s="155" t="str">
        <f>"- "&amp;VLOOKUP(C129,'(Ref) Countries'!A:C,3,)</f>
        <v>- vietnam</v>
      </c>
      <c r="AX129" s="155" t="str">
        <f t="shared" si="100"/>
        <v>- ha-nam</v>
      </c>
      <c r="AY129" s="155" t="str">
        <f t="shared" si="101"/>
        <v>- churches</v>
      </c>
      <c r="AZ129" s="155" t="str">
        <f t="shared" si="102"/>
        <v/>
      </c>
      <c r="BA129" s="155" t="str">
        <f t="shared" si="103"/>
        <v>- holy-persons</v>
      </c>
      <c r="BB129" s="155" t="str">
        <f t="shared" si="104"/>
        <v>- vietnamese-martyrs</v>
      </c>
      <c r="BC129" s="155" t="str">
        <f t="shared" si="105"/>
        <v>- andrew-dung-lac</v>
      </c>
      <c r="BD129" s="155" t="str">
        <f t="shared" si="106"/>
        <v/>
      </c>
      <c r="BE129" s="155" t="str">
        <f t="shared" si="107"/>
        <v/>
      </c>
      <c r="BF129" s="155" t="str">
        <f t="shared" si="108"/>
        <v/>
      </c>
      <c r="BG129" s="155" t="str">
        <f t="shared" si="109"/>
        <v/>
      </c>
      <c r="BH129" s="155" t="str">
        <f t="shared" si="110"/>
        <v/>
      </c>
      <c r="BI129" s="155" t="str">
        <f t="shared" si="111"/>
        <v/>
      </c>
      <c r="BJ129" s="155" t="str">
        <f t="shared" si="112"/>
        <v/>
      </c>
      <c r="BK129" s="155" t="str">
        <f t="shared" si="113"/>
        <v/>
      </c>
      <c r="BL129" s="155" t="str">
        <f t="shared" si="114"/>
        <v xml:space="preserve">tags:
- vietnam_x000D_
- ha-nam_x000D_
- churches_x000D_
- holy-persons_x000D_
- vietnamese-martyrs_x000D_
- andrew-dung-lac_x000D_
</v>
      </c>
      <c r="BM129" s="158" t="str">
        <f t="shared" si="92"/>
        <v/>
      </c>
      <c r="BN129" s="158" t="str">
        <f t="shared" si="93"/>
        <v>[Saint Andrew Dung and Companions](https://mycatholic.life/saints/saints-of-the-liturgical-year/november-24-saint-andrew-dung-lac-and-his-companions-martyrs-memorial/)</v>
      </c>
      <c r="BO129" s="158" t="str">
        <f t="shared" si="94"/>
        <v/>
      </c>
      <c r="BP129" s="158" t="str">
        <f t="shared" si="95"/>
        <v/>
      </c>
      <c r="BQ129" s="155" t="str">
        <f t="shared" si="115"/>
        <v xml:space="preserve">* [Saint Andrew Dung and Companions](https://mycatholic.life/saints/saints-of-the-liturgical-year/november-24-saint-andrew-dung-lac-and-his-companions-martyrs-memorial/)
</v>
      </c>
      <c r="BR129" s="155" t="str">
        <f t="shared" si="116"/>
        <v/>
      </c>
      <c r="BS129" s="155" t="str">
        <f t="shared" si="117"/>
        <v/>
      </c>
      <c r="BT129" s="155" t="str">
        <f t="shared" si="118"/>
        <v/>
      </c>
      <c r="BU129" s="155" t="str">
        <f>IF(LEN(concat(BR129:BT129))&gt;0,concat("| ",BR129," | ",BS129," | ",BT129," |"),"")</f>
        <v/>
      </c>
      <c r="BV129" s="155" t="str">
        <f t="shared" si="119"/>
        <v/>
      </c>
      <c r="BW129" s="155"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55" t="str">
        <f>IF(LEN(N129)&gt;1,concatll("#### Author's Note",N129,"-"&amp;B129),"")</f>
        <v xml:space="preserve">#### Author's Note_x000D_
_x000D_
_Research in progress__x000D_
_x000D_
-NDS_x000D_
_x000D_
</v>
      </c>
      <c r="BY129" s="155" t="s">
        <v>335</v>
      </c>
      <c r="BZ129" s="155" t="s">
        <v>335</v>
      </c>
      <c r="CA129" s="23" t="str">
        <f>IF(AS129,concatll(concatl("---",AT129:AV129,BL129,"---"),M129,BW129:BX129),"")</f>
        <v xml:space="preserve">---_x000D_
title: "Basilica of the Immaculate Conception at Ha Nam"_x000D_
location: {lat: 20.4247269, lng: 106.1588304}_x000D_
interest: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23" t="str">
        <f>IF(AS129,"places\"&amp;VLOOKUP(C129,'(Ref) Countries'!A:B,2,)&amp;IF(LEN(D129)&gt;1,"-"&amp;LOWER(SUBSTITUTE(D129," ","-")),"")&amp;"-"&amp;LOWER(SUBSTITUTE(SUBSTITUTE(H129," ","-"),".",""))&amp;".md","")</f>
        <v>places\vn-ha-nam-basilica-of-the-immaculate-conception.md</v>
      </c>
      <c r="CC129" s="29" t="str">
        <f>IF(LEN(Z129)&gt;1,VLOOKUP(Z129,'Tag List'!$A:$B,2,),"")</f>
        <v>Vietnamese Martyrs</v>
      </c>
      <c r="CD129" s="29" t="str">
        <f>IF(LEN(AA129)&gt;1,VLOOKUP(AA129,'Tag List'!$A:$B,2,),"")</f>
        <v>St. Andrew Dung-Lac and Companions</v>
      </c>
      <c r="CE129" s="29" t="str">
        <f>IF(LEN(AB129)&gt;1,VLOOKUP(AB129,'Tag List'!$A:$B,2,),"")</f>
        <v/>
      </c>
      <c r="CF129" s="29" t="str">
        <f>IF(LEN(Z129)&gt;1,GetTagPage(CC129,Z129),"")</f>
        <v>[Vietnamese Martyrs](/tags/vietnamese-martyrs)</v>
      </c>
      <c r="CG129" s="29" t="str">
        <f>IF(LEN(AA129)&gt;1,GetTagPage(CD129,AA129),"")</f>
        <v>[St. Andrew Dung-Lac and Companions](/tags/andrew-dung-lac)</v>
      </c>
      <c r="CH129" s="29" t="str">
        <f>IF(LEN(AB129)&gt;1,GetTagPage(CE129,AB129),"")</f>
        <v/>
      </c>
      <c r="CI129" s="29" t="str">
        <f t="shared" si="120"/>
        <v xml:space="preserve">| [Vietnamese Martyrs](/tags/vietnamese-martyrs), [St. Andrew Dung-Lac and Companions](/tags/andrew-dung-lac) </v>
      </c>
      <c r="CJ129" s="29" t="str">
        <f t="shared" si="121"/>
        <v xml:space="preserve">| [](/places/places\vn-ha-nam-basilica-of-the-immaculate-conception) </v>
      </c>
      <c r="CK129" s="29" t="str">
        <f>"| "&amp;IF(AS129,GetTagPage(C129,VLOOKUP(C129,'(Ref) Countries'!A:C,3,)),C129)&amp; " "</f>
        <v xml:space="preserve">| [Vietnam](/tags/vietnam) </v>
      </c>
      <c r="CL129" s="29" t="str">
        <f t="shared" si="122"/>
        <v xml:space="preserve">|  </v>
      </c>
      <c r="CM129" s="29" t="str">
        <f t="shared" si="123"/>
        <v xml:space="preserve">| [Link](/places/places\vn-ha-nam-basilica-of-the-immaculate-conception) </v>
      </c>
      <c r="CN129" s="29" t="str">
        <f t="shared" si="124"/>
        <v xml:space="preserve">
| [](/places/places\vn-ha-nam-basilica-of-the-immaculate-conception) | [Vietnam](/tags/vietnam) |  | [Link](/places/places\vn-ha-nam-basilica-of-the-immaculate-conception) | [Vietnamese Martyrs](/tags/vietnamese-martyrs), [St. Andrew Dung-Lac and Companions](/tags/andrew-dung-lac) |</v>
      </c>
    </row>
    <row r="130" spans="1:92" x14ac:dyDescent="0.25">
      <c r="A130" s="167" t="s">
        <v>1046</v>
      </c>
      <c r="B130" s="24" t="s">
        <v>2481</v>
      </c>
      <c r="C130" s="24" t="s">
        <v>534</v>
      </c>
      <c r="E130" s="15">
        <v>20.050796521215599</v>
      </c>
      <c r="F130" s="49">
        <v>-75.948970548482805</v>
      </c>
      <c r="G130" s="24" t="s">
        <v>1313</v>
      </c>
      <c r="H130" s="53" t="s">
        <v>1314</v>
      </c>
      <c r="I130" s="24" t="s">
        <v>1711</v>
      </c>
      <c r="J130" s="40" t="b">
        <v>1</v>
      </c>
      <c r="K130" s="24" t="b">
        <v>1</v>
      </c>
      <c r="M130" s="24" t="s">
        <v>1330</v>
      </c>
      <c r="O130" s="15" t="s">
        <v>335</v>
      </c>
      <c r="P130" s="15" t="s">
        <v>335</v>
      </c>
      <c r="Z130" s="15" t="s">
        <v>335</v>
      </c>
      <c r="AJ130" s="85" t="s">
        <v>1311</v>
      </c>
      <c r="AK130" s="86">
        <v>1612</v>
      </c>
      <c r="AL130" s="15" t="s">
        <v>262</v>
      </c>
      <c r="AM130" s="15" t="s">
        <v>335</v>
      </c>
      <c r="AN130" s="15" t="s">
        <v>335</v>
      </c>
      <c r="AO130" s="15" t="s">
        <v>335</v>
      </c>
      <c r="AP130" s="15" t="s">
        <v>335</v>
      </c>
      <c r="AQ130" s="49" t="s">
        <v>335</v>
      </c>
      <c r="AS130" s="154" t="b">
        <f t="shared" si="96"/>
        <v>1</v>
      </c>
      <c r="AT130" s="155" t="str">
        <f t="shared" si="97"/>
        <v>title: "Basilica of Our Lady of Charity of El Cobre"</v>
      </c>
      <c r="AU130" s="155" t="str">
        <f t="shared" si="98"/>
        <v>location: {lat: 20.0507965212156, lng: -75.9489705484828}</v>
      </c>
      <c r="AV130" s="155" t="str">
        <f t="shared" si="99"/>
        <v>interest: global</v>
      </c>
      <c r="AW130" s="155" t="str">
        <f>"- "&amp;VLOOKUP(C130,'(Ref) Countries'!A:C,3,)</f>
        <v>- cuba</v>
      </c>
      <c r="AX130" s="155" t="str">
        <f t="shared" si="100"/>
        <v/>
      </c>
      <c r="AY130" s="155" t="str">
        <f t="shared" si="101"/>
        <v>- churches</v>
      </c>
      <c r="AZ130" s="155" t="str">
        <f t="shared" si="102"/>
        <v>- marian-sites</v>
      </c>
      <c r="BA130" s="155" t="str">
        <f t="shared" si="103"/>
        <v/>
      </c>
      <c r="BB130" s="155" t="str">
        <f t="shared" si="104"/>
        <v/>
      </c>
      <c r="BC130" s="155" t="str">
        <f t="shared" si="105"/>
        <v/>
      </c>
      <c r="BD130" s="155" t="str">
        <f t="shared" si="106"/>
        <v/>
      </c>
      <c r="BE130" s="155" t="str">
        <f t="shared" si="107"/>
        <v/>
      </c>
      <c r="BF130" s="155" t="str">
        <f t="shared" si="108"/>
        <v/>
      </c>
      <c r="BG130" s="155" t="str">
        <f t="shared" si="109"/>
        <v/>
      </c>
      <c r="BH130" s="155" t="str">
        <f t="shared" si="110"/>
        <v/>
      </c>
      <c r="BI130" s="155" t="str">
        <f t="shared" si="111"/>
        <v/>
      </c>
      <c r="BJ130" s="155" t="str">
        <f t="shared" si="112"/>
        <v/>
      </c>
      <c r="BK130" s="155" t="str">
        <f t="shared" si="113"/>
        <v/>
      </c>
      <c r="BL130" s="155" t="str">
        <f t="shared" si="114"/>
        <v xml:space="preserve">tags:
- cuba_x000D_
- churches_x000D_
- marian-sites_x000D_
</v>
      </c>
      <c r="BM130" s="158" t="str">
        <f t="shared" si="92"/>
        <v/>
      </c>
      <c r="BN130" s="158" t="str">
        <f t="shared" si="93"/>
        <v/>
      </c>
      <c r="BO130" s="158" t="str">
        <f t="shared" si="94"/>
        <v/>
      </c>
      <c r="BP130" s="158" t="str">
        <f t="shared" si="95"/>
        <v/>
      </c>
      <c r="BQ130" s="158" t="str">
        <f t="shared" si="115"/>
        <v/>
      </c>
      <c r="BR130" s="158" t="str">
        <f t="shared" si="116"/>
        <v>[Link](http://www.therealpresence.org/eucharst/misc/BVM/102_CUBA_96x96.pdf)</v>
      </c>
      <c r="BS130" s="158" t="str">
        <f t="shared" si="117"/>
        <v/>
      </c>
      <c r="BT130" s="158" t="str">
        <f t="shared" si="118"/>
        <v/>
      </c>
      <c r="BU130" s="158" t="str">
        <f>IF(LEN(concat(BR130:BT130))&gt;0,concat("| ",BR130," | ",BS130," | ",BT130," |"),"")</f>
        <v>| [Link](http://www.therealpresence.org/eucharst/misc/BVM/102_CUBA_96x96.pdf) |  |  |</v>
      </c>
      <c r="BV130" s="155" t="str">
        <f t="shared" si="119"/>
        <v xml:space="preserve">| The Real Presence | Miracle Hunter | MaryPages |_x000D_
| --- | --- | --- |_x000D_
| [Link](http://www.therealpresence.org/eucharst/misc/BVM/102_CUBA_96x96.pdf) |  |  |_x000D_
</v>
      </c>
      <c r="BW130" s="155"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55" t="str">
        <f>IF(LEN(N130)&gt;1,concatll("#### Author's Note",N130,"-"&amp;B130),"")</f>
        <v/>
      </c>
      <c r="BY130" s="155" t="s">
        <v>335</v>
      </c>
      <c r="BZ130" s="155" t="s">
        <v>335</v>
      </c>
      <c r="CA130" s="23" t="str">
        <f>IF(AS130,concatll(concatl("---",AT130:AV130,BL130,"---"),M130,BW130:BX130),"")</f>
        <v xml:space="preserve">---_x000D_
title: "Basilica of Our Lady of Charity of El Cobre"_x000D_
location: {lat: 20.0507965212156, lng: -75.9489705484828}_x000D_
interest: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23" t="str">
        <f>IF(AS130,"places\"&amp;VLOOKUP(C130,'(Ref) Countries'!A:B,2,)&amp;IF(LEN(D130)&gt;1,"-"&amp;LOWER(SUBSTITUTE(D130," ","-")),"")&amp;"-"&amp;LOWER(SUBSTITUTE(SUBSTITUTE(H130," ","-"),".",""))&amp;".md","")</f>
        <v>places\cu-basilica-of-el-cobre.md</v>
      </c>
      <c r="CC130" s="29" t="str">
        <f>IF(LEN(Z130)&gt;1,VLOOKUP(Z130,'Tag List'!$A:$B,2,),"")</f>
        <v/>
      </c>
      <c r="CD130" s="29" t="str">
        <f>IF(LEN(AA130)&gt;1,VLOOKUP(AA130,'Tag List'!$A:$B,2,),"")</f>
        <v/>
      </c>
      <c r="CE130" s="29" t="str">
        <f>IF(LEN(AB130)&gt;1,VLOOKUP(AB130,'Tag List'!$A:$B,2,),"")</f>
        <v/>
      </c>
      <c r="CF130" s="30" t="str">
        <f>IF(LEN(Z130)&gt;1,GetTagPage(CC130,Z130),"")</f>
        <v/>
      </c>
      <c r="CG130" s="30" t="str">
        <f>IF(LEN(AA130)&gt;1,GetTagPage(CD130,AA130),"")</f>
        <v/>
      </c>
      <c r="CH130" s="30" t="str">
        <f>IF(LEN(AB130)&gt;1,GetTagPage(CE130,AB130),"")</f>
        <v/>
      </c>
      <c r="CI130" s="30" t="str">
        <f t="shared" si="120"/>
        <v xml:space="preserve">| </v>
      </c>
      <c r="CJ130" s="30" t="str">
        <f t="shared" si="121"/>
        <v xml:space="preserve">| [El Cobre](/places/places\cu-basilica-of-el-cobre) </v>
      </c>
      <c r="CK130" s="30" t="str">
        <f>"| "&amp;IF(AS130,GetTagPage(C130,VLOOKUP(C130,'(Ref) Countries'!A:C,3,)),C130)&amp; " "</f>
        <v xml:space="preserve">| [Cuba](/tags/cuba) </v>
      </c>
      <c r="CL130" s="30" t="str">
        <f t="shared" si="122"/>
        <v xml:space="preserve">| 1612 </v>
      </c>
      <c r="CM130" s="30" t="str">
        <f t="shared" si="123"/>
        <v xml:space="preserve">| [Link](/places/places\cu-basilica-of-el-cobre) </v>
      </c>
      <c r="CN130" s="29" t="str">
        <f t="shared" si="124"/>
        <v xml:space="preserve">
| [El Cobre](/places/places\cu-basilica-of-el-cobre) | [Cuba](/tags/cuba) | 1612 | [Link](/places/places\cu-basilica-of-el-cobre) [Link](http://www.therealpresence.org/eucharst/misc/BVM/102_CUBA_96x96.pdf)| |</v>
      </c>
    </row>
    <row r="131" spans="1:92" x14ac:dyDescent="0.25">
      <c r="A131" s="167" t="s">
        <v>1046</v>
      </c>
      <c r="B131" s="24" t="s">
        <v>2481</v>
      </c>
      <c r="C131" s="24" t="s">
        <v>555</v>
      </c>
      <c r="E131" s="15">
        <v>46.982858987663199</v>
      </c>
      <c r="F131" s="49">
        <v>1.4171181142389</v>
      </c>
      <c r="G131" s="27" t="s">
        <v>1695</v>
      </c>
      <c r="H131" s="53" t="s">
        <v>1695</v>
      </c>
      <c r="I131" s="24" t="s">
        <v>1711</v>
      </c>
      <c r="J131" s="40" t="b">
        <v>1</v>
      </c>
      <c r="K131" s="24" t="b">
        <v>1</v>
      </c>
      <c r="M131" s="27" t="s">
        <v>1330</v>
      </c>
      <c r="O131" s="15" t="s">
        <v>1696</v>
      </c>
      <c r="P131" s="15" t="s">
        <v>335</v>
      </c>
      <c r="Z131" s="15" t="s">
        <v>335</v>
      </c>
      <c r="AJ131" s="85" t="s">
        <v>1280</v>
      </c>
      <c r="AK131" s="86">
        <v>1876</v>
      </c>
      <c r="AL131" s="15" t="s">
        <v>298</v>
      </c>
      <c r="AM131" s="15" t="s">
        <v>335</v>
      </c>
      <c r="AN131" s="15" t="s">
        <v>1697</v>
      </c>
      <c r="AO131" s="15" t="s">
        <v>335</v>
      </c>
      <c r="AP131" s="15" t="s">
        <v>1698</v>
      </c>
      <c r="AQ131" s="49" t="s">
        <v>335</v>
      </c>
      <c r="AS131" s="154" t="b">
        <f t="shared" si="96"/>
        <v>1</v>
      </c>
      <c r="AT131" s="155" t="str">
        <f t="shared" si="97"/>
        <v>title: "Sanctuary of Pellevoisin"</v>
      </c>
      <c r="AU131" s="155" t="str">
        <f t="shared" si="98"/>
        <v>location: {lat: 46.9828589876632, lng: 1.4171181142389}</v>
      </c>
      <c r="AV131" s="155" t="str">
        <f t="shared" si="99"/>
        <v>interest: global</v>
      </c>
      <c r="AW131" s="155" t="str">
        <f>"- "&amp;VLOOKUP(C131,'(Ref) Countries'!A:C,3,)</f>
        <v>- france</v>
      </c>
      <c r="AX131" s="155" t="str">
        <f t="shared" si="100"/>
        <v/>
      </c>
      <c r="AY131" s="155" t="str">
        <f t="shared" si="101"/>
        <v>- churches</v>
      </c>
      <c r="AZ131" s="155" t="str">
        <f t="shared" si="102"/>
        <v>- marian-sites</v>
      </c>
      <c r="BA131" s="155" t="str">
        <f t="shared" si="103"/>
        <v/>
      </c>
      <c r="BB131" s="155" t="str">
        <f t="shared" si="104"/>
        <v/>
      </c>
      <c r="BC131" s="155" t="str">
        <f t="shared" si="105"/>
        <v/>
      </c>
      <c r="BD131" s="155" t="str">
        <f t="shared" si="106"/>
        <v/>
      </c>
      <c r="BE131" s="155" t="str">
        <f t="shared" si="107"/>
        <v/>
      </c>
      <c r="BF131" s="155" t="str">
        <f t="shared" si="108"/>
        <v/>
      </c>
      <c r="BG131" s="155" t="str">
        <f t="shared" si="109"/>
        <v/>
      </c>
      <c r="BH131" s="155" t="str">
        <f t="shared" si="110"/>
        <v/>
      </c>
      <c r="BI131" s="155" t="str">
        <f t="shared" si="111"/>
        <v/>
      </c>
      <c r="BJ131" s="155" t="str">
        <f t="shared" si="112"/>
        <v/>
      </c>
      <c r="BK131" s="155" t="str">
        <f t="shared" si="113"/>
        <v/>
      </c>
      <c r="BL131" s="155" t="str">
        <f t="shared" si="114"/>
        <v xml:space="preserve">tags:
- france_x000D_
- churches_x000D_
- marian-sites_x000D_
</v>
      </c>
      <c r="BM131" s="158" t="str">
        <f t="shared" si="92"/>
        <v>[Official site](https://www.pellevoisin.net/)</v>
      </c>
      <c r="BN131" s="158" t="str">
        <f t="shared" si="93"/>
        <v/>
      </c>
      <c r="BO131" s="158" t="str">
        <f t="shared" si="94"/>
        <v/>
      </c>
      <c r="BP131" s="158" t="str">
        <f t="shared" si="95"/>
        <v/>
      </c>
      <c r="BQ131" s="158" t="str">
        <f t="shared" si="115"/>
        <v xml:space="preserve">* [Official site](https://www.pellevoisin.net/)
</v>
      </c>
      <c r="BR131" s="158" t="str">
        <f t="shared" si="116"/>
        <v>[Link](http://www.therealpresence.org/eucharst/misc/BVM/07_PELLEVOISIN_60x96.pdf)</v>
      </c>
      <c r="BS131" s="158" t="str">
        <f t="shared" si="117"/>
        <v>[Link](https://www.miraclehunter.com/marian_apparitions/approved_apparitions/pellevoisin/index.html)</v>
      </c>
      <c r="BT131" s="158" t="str">
        <f t="shared" si="118"/>
        <v>[Link](https://www.marypages.com/pellevoisin-france-en.html)</v>
      </c>
      <c r="BU131" s="158" t="str">
        <f>IF(LEN(concat(BR131:BT131))&gt;0,concat("| ",BR131," | ",BS131," | ",BT131," |"),"")</f>
        <v>| [Link](http://www.therealpresence.org/eucharst/misc/BVM/07_PELLEVOISIN_60x96.pdf) | [Link](https://www.miraclehunter.com/marian_apparitions/approved_apparitions/pellevoisin/index.html) | [Link](https://www.marypages.com/pellevoisin-france-en.html) |</v>
      </c>
      <c r="BV131" s="155" t="str">
        <f t="shared" si="119"/>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55"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55" t="str">
        <f>IF(LEN(N131)&gt;1,concatll("#### Author's Note",N131,"-"&amp;B131),"")</f>
        <v/>
      </c>
      <c r="BY131" s="155" t="s">
        <v>335</v>
      </c>
      <c r="BZ131" s="155" t="s">
        <v>335</v>
      </c>
      <c r="CA131" s="23" t="str">
        <f>IF(AS131,concatll(concatl("---",AT131:AV131,BL131,"---"),M131,BW131:BX131),"")</f>
        <v xml:space="preserve">---_x000D_
title: "Sanctuary of Pellevoisin"_x000D_
location: {lat: 46.9828589876632, lng: 1.4171181142389}_x000D_
interest: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23" t="str">
        <f>IF(AS131,"places\"&amp;VLOOKUP(C131,'(Ref) Countries'!A:B,2,)&amp;IF(LEN(D131)&gt;1,"-"&amp;LOWER(SUBSTITUTE(D131," ","-")),"")&amp;"-"&amp;LOWER(SUBSTITUTE(SUBSTITUTE(H131," ","-"),".",""))&amp;".md","")</f>
        <v>places\fr-sanctuary-of-pellevoisin.md</v>
      </c>
      <c r="CC131" s="29" t="str">
        <f>IF(LEN(Z131)&gt;1,VLOOKUP(Z131,'Tag List'!$A:$B,2,),"")</f>
        <v/>
      </c>
      <c r="CD131" s="29" t="str">
        <f>IF(LEN(AA131)&gt;1,VLOOKUP(AA131,'Tag List'!$A:$B,2,),"")</f>
        <v/>
      </c>
      <c r="CE131" s="29" t="str">
        <f>IF(LEN(AB131)&gt;1,VLOOKUP(AB131,'Tag List'!$A:$B,2,),"")</f>
        <v/>
      </c>
      <c r="CF131" s="30" t="str">
        <f>IF(LEN(Z131)&gt;1,GetTagPage(CC131,Z131),"")</f>
        <v/>
      </c>
      <c r="CG131" s="30" t="str">
        <f>IF(LEN(AA131)&gt;1,GetTagPage(CD131,AA131),"")</f>
        <v/>
      </c>
      <c r="CH131" s="30" t="str">
        <f>IF(LEN(AB131)&gt;1,GetTagPage(CE131,AB131),"")</f>
        <v/>
      </c>
      <c r="CI131" s="30" t="str">
        <f t="shared" si="120"/>
        <v xml:space="preserve">| </v>
      </c>
      <c r="CJ131" s="30" t="str">
        <f t="shared" si="121"/>
        <v xml:space="preserve">| [Pellovoisin](/places/places\fr-sanctuary-of-pellevoisin) </v>
      </c>
      <c r="CK131" s="30" t="str">
        <f>"| "&amp;IF(AS131,GetTagPage(C131,VLOOKUP(C131,'(Ref) Countries'!A:C,3,)),C131)&amp; " "</f>
        <v xml:space="preserve">| [France](/tags/france) </v>
      </c>
      <c r="CL131" s="30" t="str">
        <f t="shared" si="122"/>
        <v xml:space="preserve">| 1876 </v>
      </c>
      <c r="CM131" s="30" t="str">
        <f t="shared" si="123"/>
        <v xml:space="preserve">| [Link](/places/places\fr-sanctuary-of-pellevoisin) </v>
      </c>
      <c r="CN131" s="29" t="str">
        <f t="shared" si="124"/>
        <v xml:space="preserve">
| [Pellovoisin](/places/places\fr-sanctuary-of-pellevoisin) | [France](/tags/france)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2" ht="25.5" x14ac:dyDescent="0.25">
      <c r="A132" s="167" t="s">
        <v>1046</v>
      </c>
      <c r="B132" s="45" t="s">
        <v>2481</v>
      </c>
      <c r="C132" s="45" t="s">
        <v>540</v>
      </c>
      <c r="D132" s="83" t="s">
        <v>1828</v>
      </c>
      <c r="E132" s="15">
        <v>48.369192631907303</v>
      </c>
      <c r="F132" s="49">
        <v>10.8982826487021</v>
      </c>
      <c r="G132" s="45" t="s">
        <v>1720</v>
      </c>
      <c r="H132" s="58" t="s">
        <v>2460</v>
      </c>
      <c r="I132" s="24" t="s">
        <v>1711</v>
      </c>
      <c r="J132" s="40" t="b">
        <v>1</v>
      </c>
      <c r="K132" s="24" t="b">
        <v>1</v>
      </c>
      <c r="M132" s="45" t="s">
        <v>1724</v>
      </c>
      <c r="N132" s="177" t="s">
        <v>2519</v>
      </c>
      <c r="O132" s="15" t="s">
        <v>1723</v>
      </c>
      <c r="P132" s="15" t="s">
        <v>335</v>
      </c>
      <c r="Z132" s="24"/>
      <c r="AA132" s="24"/>
      <c r="AB132" s="24"/>
      <c r="AC132" s="24"/>
      <c r="AD132" s="24"/>
      <c r="AE132" s="24"/>
      <c r="AF132" s="24"/>
      <c r="AG132" s="24"/>
      <c r="AH132" s="24"/>
      <c r="AI132" s="24"/>
      <c r="AJ132" s="85" t="s">
        <v>1719</v>
      </c>
      <c r="AK132" s="88" t="s">
        <v>1405</v>
      </c>
      <c r="AL132" s="15" t="s">
        <v>335</v>
      </c>
      <c r="AM132" s="15" t="s">
        <v>335</v>
      </c>
      <c r="AN132" s="15" t="s">
        <v>1722</v>
      </c>
      <c r="AO132" s="15" t="s">
        <v>335</v>
      </c>
      <c r="AP132" s="15" t="s">
        <v>1721</v>
      </c>
      <c r="AQ132" s="49" t="s">
        <v>335</v>
      </c>
      <c r="AS132" s="154" t="b">
        <f t="shared" si="96"/>
        <v>1</v>
      </c>
      <c r="AT132" s="155" t="str">
        <f t="shared" si="97"/>
        <v>title: "St. Peter am Perlach (Mary Undoer of Knots)"</v>
      </c>
      <c r="AU132" s="155" t="str">
        <f t="shared" si="98"/>
        <v>location: {lat: 48.3691926319073, lng: 10.8982826487021}</v>
      </c>
      <c r="AV132" s="155" t="str">
        <f t="shared" si="99"/>
        <v>interest: global</v>
      </c>
      <c r="AW132" s="155" t="str">
        <f>"- "&amp;VLOOKUP(C132,'(Ref) Countries'!A:C,3,)</f>
        <v>- germany</v>
      </c>
      <c r="AX132" s="155" t="str">
        <f t="shared" si="100"/>
        <v>- augsburg</v>
      </c>
      <c r="AY132" s="155" t="str">
        <f t="shared" si="101"/>
        <v>- churches</v>
      </c>
      <c r="AZ132" s="155" t="str">
        <f t="shared" si="102"/>
        <v>- marian-sites</v>
      </c>
      <c r="BA132" s="155" t="str">
        <f t="shared" si="103"/>
        <v/>
      </c>
      <c r="BB132" s="155" t="str">
        <f t="shared" si="104"/>
        <v/>
      </c>
      <c r="BC132" s="155" t="str">
        <f t="shared" si="105"/>
        <v/>
      </c>
      <c r="BD132" s="155" t="str">
        <f t="shared" si="106"/>
        <v/>
      </c>
      <c r="BE132" s="155" t="str">
        <f t="shared" si="107"/>
        <v/>
      </c>
      <c r="BF132" s="155" t="str">
        <f t="shared" si="108"/>
        <v/>
      </c>
      <c r="BG132" s="155" t="str">
        <f t="shared" si="109"/>
        <v/>
      </c>
      <c r="BH132" s="155" t="str">
        <f t="shared" si="110"/>
        <v/>
      </c>
      <c r="BI132" s="155" t="str">
        <f t="shared" si="111"/>
        <v/>
      </c>
      <c r="BJ132" s="155" t="str">
        <f t="shared" si="112"/>
        <v/>
      </c>
      <c r="BK132" s="155" t="str">
        <f t="shared" si="113"/>
        <v/>
      </c>
      <c r="BL132" s="155" t="str">
        <f t="shared" si="114"/>
        <v xml:space="preserve">tags:
- germany_x000D_
- augsburg_x000D_
- churches_x000D_
- marian-sites_x000D_
</v>
      </c>
      <c r="BM132" s="158" t="str">
        <f t="shared" si="92"/>
        <v>[Official site](https://sankt-peter-am-perlach.de)</v>
      </c>
      <c r="BN132" s="158" t="str">
        <f t="shared" si="93"/>
        <v/>
      </c>
      <c r="BO132" s="158" t="str">
        <f t="shared" si="94"/>
        <v/>
      </c>
      <c r="BP132" s="158" t="str">
        <f t="shared" si="95"/>
        <v/>
      </c>
      <c r="BQ132" s="158" t="str">
        <f t="shared" si="115"/>
        <v xml:space="preserve">* [Official site](https://sankt-peter-am-perlach.de)
</v>
      </c>
      <c r="BR132" s="158" t="str">
        <f t="shared" si="116"/>
        <v/>
      </c>
      <c r="BS132" s="158" t="str">
        <f t="shared" si="117"/>
        <v>[Link](https://www.miraclehunter.com/news/francis/francis-marian-devotion.html)</v>
      </c>
      <c r="BT132" s="158" t="str">
        <f t="shared" si="118"/>
        <v>[Link](https://www.marypages.com/mary-undoer-of-knots.html)</v>
      </c>
      <c r="BU132" s="158" t="str">
        <f>IF(LEN(concat(BR132:BT132))&gt;0,concat("| ",BR132," | ",BS132," | ",BT132," |"),"")</f>
        <v>|  | [Link](https://www.miraclehunter.com/news/francis/francis-marian-devotion.html) | [Link](https://www.marypages.com/mary-undoer-of-knots.html) |</v>
      </c>
      <c r="BV132" s="155" t="str">
        <f t="shared" si="119"/>
        <v xml:space="preserve">| The Real Presence | Miracle Hunter | MaryPages |_x000D_
| --- | --- | --- |_x000D_
|  | [Link](https://www.miraclehunter.com/news/francis/francis-marian-devotion.html) | [Link](https://www.marypages.com/mary-undoer-of-knots.html) |_x000D_
</v>
      </c>
      <c r="BW132" s="155"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55" t="str">
        <f>IF(LEN(N132)&gt;1,concatll("#### Author's Note",N132,"-"&amp;B132),"")</f>
        <v xml:space="preserve">#### Author's Note_x000D_
_x000D_
Pope Francis has a special devotion to this image, explained in the Miracle Hunter link._x000D_
_x000D_
-JMM_x000D_
_x000D_
</v>
      </c>
      <c r="BY132" s="155" t="s">
        <v>335</v>
      </c>
      <c r="BZ132" s="155" t="s">
        <v>335</v>
      </c>
      <c r="CA132" s="23" t="str">
        <f>IF(AS132,concatll(concatl("---",AT132:AV132,BL132,"---"),M132,BW132:BX132),"")</f>
        <v xml:space="preserve">---_x000D_
title: "St. Peter am Perlach (Mary Undoer of Knots)"_x000D_
location: {lat: 48.3691926319073, lng: 10.8982826487021}_x000D_
interest: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23" t="str">
        <f>IF(AS132,"places\"&amp;VLOOKUP(C132,'(Ref) Countries'!A:B,2,)&amp;IF(LEN(D132)&gt;1,"-"&amp;LOWER(SUBSTITUTE(D132," ","-")),"")&amp;"-"&amp;LOWER(SUBSTITUTE(SUBSTITUTE(H132," ","-"),".",""))&amp;".md","")</f>
        <v>places\de-augsburg-st-peter-am-perlach.md</v>
      </c>
      <c r="CC132" s="28" t="str">
        <f>IF(LEN(Z132)&gt;1,VLOOKUP(Z132,'Tag List'!$A:$B,2,),"")</f>
        <v/>
      </c>
      <c r="CD132" s="28" t="str">
        <f>IF(LEN(AA132)&gt;1,VLOOKUP(AA132,'Tag List'!$A:$B,2,),"")</f>
        <v/>
      </c>
      <c r="CE132" s="28" t="str">
        <f>IF(LEN(AB132)&gt;1,VLOOKUP(AB132,'Tag List'!$A:$B,2,),"")</f>
        <v/>
      </c>
      <c r="CF132" s="30" t="str">
        <f>IF(LEN(Z132)&gt;1,GetTagPage(CC132,Z132),"")</f>
        <v/>
      </c>
      <c r="CG132" s="30" t="str">
        <f>IF(LEN(AA132)&gt;1,GetTagPage(CD132,AA132),"")</f>
        <v/>
      </c>
      <c r="CH132" s="30" t="str">
        <f>IF(LEN(AB132)&gt;1,GetTagPage(CE132,AB132),"")</f>
        <v/>
      </c>
      <c r="CI132" s="30" t="str">
        <f t="shared" si="120"/>
        <v xml:space="preserve">| </v>
      </c>
      <c r="CJ132" s="30" t="str">
        <f t="shared" si="121"/>
        <v xml:space="preserve">| [Augsberg](/places/places\de-augsburg-st-peter-am-perlach) </v>
      </c>
      <c r="CK132" s="30" t="str">
        <f>"| "&amp;IF(AS132,GetTagPage(C132,VLOOKUP(C132,'(Ref) Countries'!A:C,3,)),C132)&amp; " "</f>
        <v xml:space="preserve">| [Germany](/tags/germany) </v>
      </c>
      <c r="CL132" s="30" t="str">
        <f t="shared" si="122"/>
        <v xml:space="preserve">| c. 1700 </v>
      </c>
      <c r="CM132" s="30" t="str">
        <f t="shared" si="123"/>
        <v xml:space="preserve">| [Link](/places/places\de-augsburg-st-peter-am-perlach) </v>
      </c>
      <c r="CN132" s="29" t="str">
        <f t="shared" si="124"/>
        <v xml:space="preserve">
| [Augsberg](/places/places\de-augsburg-st-peter-am-perlach) | [Germany](/tags/germany) | c. 1700 | [Link](/places/places\de-augsburg-st-peter-am-perlach) [Official site](https://sankt-peter-am-perlach.de)[Link](https://www.miraclehunter.com/news/francis/francis-marian-devotion.html)[Link](https://www.marypages.com/mary-undoer-of-knots.html)| |</v>
      </c>
    </row>
    <row r="133" spans="1:92" ht="25.5" x14ac:dyDescent="0.25">
      <c r="A133" s="167" t="s">
        <v>1046</v>
      </c>
      <c r="B133" s="24" t="s">
        <v>2481</v>
      </c>
      <c r="C133" s="24" t="s">
        <v>2</v>
      </c>
      <c r="E133" s="15">
        <v>8.352427276057</v>
      </c>
      <c r="F133" s="49">
        <v>77.663576934286198</v>
      </c>
      <c r="G133" s="40" t="s">
        <v>1714</v>
      </c>
      <c r="H133" s="54" t="s">
        <v>1712</v>
      </c>
      <c r="I133" s="24" t="s">
        <v>1711</v>
      </c>
      <c r="J133" s="40" t="b">
        <v>1</v>
      </c>
      <c r="K133" s="24" t="b">
        <v>1</v>
      </c>
      <c r="M133" s="40" t="s">
        <v>1330</v>
      </c>
      <c r="O133" s="15" t="s">
        <v>1713</v>
      </c>
      <c r="P133" s="15" t="s">
        <v>335</v>
      </c>
      <c r="Z133" s="15" t="s">
        <v>335</v>
      </c>
      <c r="AJ133" s="85" t="s">
        <v>1292</v>
      </c>
      <c r="AK133" s="86">
        <v>1939</v>
      </c>
      <c r="AL133" s="15" t="s">
        <v>315</v>
      </c>
      <c r="AM133" s="15" t="s">
        <v>335</v>
      </c>
      <c r="AN133" s="15" t="s">
        <v>335</v>
      </c>
      <c r="AO133" s="15" t="s">
        <v>335</v>
      </c>
      <c r="AP133" s="15" t="s">
        <v>335</v>
      </c>
      <c r="AQ133" s="49" t="s">
        <v>335</v>
      </c>
      <c r="AS133" s="154" t="b">
        <f t="shared" si="96"/>
        <v>1</v>
      </c>
      <c r="AT133" s="155" t="str">
        <f t="shared" si="97"/>
        <v>title: "Athisaya Panimatha (Our Lady of Snows) Shrine, Kallikulam"</v>
      </c>
      <c r="AU133" s="155" t="str">
        <f t="shared" si="98"/>
        <v>location: {lat: 8.352427276057, lng: 77.6635769342862}</v>
      </c>
      <c r="AV133" s="155" t="str">
        <f t="shared" si="99"/>
        <v>interest: global</v>
      </c>
      <c r="AW133" s="155" t="str">
        <f>"- "&amp;VLOOKUP(C133,'(Ref) Countries'!A:C,3,)</f>
        <v>- india</v>
      </c>
      <c r="AX133" s="155" t="str">
        <f t="shared" si="100"/>
        <v/>
      </c>
      <c r="AY133" s="155" t="str">
        <f t="shared" si="101"/>
        <v>- churches</v>
      </c>
      <c r="AZ133" s="155" t="str">
        <f t="shared" si="102"/>
        <v>- marian-sites</v>
      </c>
      <c r="BA133" s="155" t="str">
        <f t="shared" si="103"/>
        <v/>
      </c>
      <c r="BB133" s="155" t="str">
        <f t="shared" si="104"/>
        <v/>
      </c>
      <c r="BC133" s="155" t="str">
        <f t="shared" si="105"/>
        <v/>
      </c>
      <c r="BD133" s="155" t="str">
        <f t="shared" si="106"/>
        <v/>
      </c>
      <c r="BE133" s="155" t="str">
        <f t="shared" si="107"/>
        <v/>
      </c>
      <c r="BF133" s="155" t="str">
        <f t="shared" si="108"/>
        <v/>
      </c>
      <c r="BG133" s="155" t="str">
        <f t="shared" si="109"/>
        <v/>
      </c>
      <c r="BH133" s="155" t="str">
        <f t="shared" si="110"/>
        <v/>
      </c>
      <c r="BI133" s="155" t="str">
        <f t="shared" si="111"/>
        <v/>
      </c>
      <c r="BJ133" s="155" t="str">
        <f t="shared" si="112"/>
        <v/>
      </c>
      <c r="BK133" s="155" t="str">
        <f t="shared" si="113"/>
        <v/>
      </c>
      <c r="BL133" s="155" t="str">
        <f t="shared" si="114"/>
        <v xml:space="preserve">tags:
- india_x000D_
- churches_x000D_
- marian-sites_x000D_
</v>
      </c>
      <c r="BM133" s="158" t="str">
        <f t="shared" si="92"/>
        <v>[Official site](https://www.athisayapanimatha.com/)</v>
      </c>
      <c r="BN133" s="158" t="str">
        <f t="shared" si="93"/>
        <v/>
      </c>
      <c r="BO133" s="158" t="str">
        <f t="shared" si="94"/>
        <v/>
      </c>
      <c r="BP133" s="158" t="str">
        <f t="shared" si="95"/>
        <v/>
      </c>
      <c r="BQ133" s="158" t="str">
        <f t="shared" si="115"/>
        <v xml:space="preserve">* [Official site](https://www.athisayapanimatha.com/)
</v>
      </c>
      <c r="BR133" s="158" t="str">
        <f t="shared" si="116"/>
        <v>[Link](http://www.therealpresence.org/eucharst/misc/BVM/128_KALLIKULAM_60x96.pdf)</v>
      </c>
      <c r="BS133" s="158" t="str">
        <f t="shared" si="117"/>
        <v/>
      </c>
      <c r="BT133" s="158" t="str">
        <f t="shared" si="118"/>
        <v/>
      </c>
      <c r="BU133" s="158" t="str">
        <f>IF(LEN(concat(BR133:BT133))&gt;0,concat("| ",BR133," | ",BS133," | ",BT133," |"),"")</f>
        <v>| [Link](http://www.therealpresence.org/eucharst/misc/BVM/128_KALLIKULAM_60x96.pdf) |  |  |</v>
      </c>
      <c r="BV133" s="155" t="str">
        <f t="shared" si="119"/>
        <v xml:space="preserve">| The Real Presence | Miracle Hunter | MaryPages |_x000D_
| --- | --- | --- |_x000D_
| [Link](http://www.therealpresence.org/eucharst/misc/BVM/128_KALLIKULAM_60x96.pdf) |  |  |_x000D_
</v>
      </c>
      <c r="BW133" s="155"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55" t="str">
        <f>IF(LEN(N133)&gt;1,concatll("#### Author's Note",N133,"-"&amp;B133),"")</f>
        <v/>
      </c>
      <c r="BY133" s="155" t="s">
        <v>335</v>
      </c>
      <c r="BZ133" s="155" t="s">
        <v>335</v>
      </c>
      <c r="CA133" s="23" t="str">
        <f>IF(AS133,concatll(concatl("---",AT133:AV133,BL133,"---"),M133,BW133:BX133),"")</f>
        <v xml:space="preserve">---_x000D_
title: "Athisaya Panimatha (Our Lady of Snows) Shrine, Kallikulam"_x000D_
location: {lat: 8.352427276057, lng: 77.6635769342862}_x000D_
interest: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23" t="str">
        <f>IF(AS133,"places\"&amp;VLOOKUP(C133,'(Ref) Countries'!A:B,2,)&amp;IF(LEN(D133)&gt;1,"-"&amp;LOWER(SUBSTITUTE(D133," ","-")),"")&amp;"-"&amp;LOWER(SUBSTITUTE(SUBSTITUTE(H133," ","-"),".",""))&amp;".md","")</f>
        <v>places\in-athisaya-panimatha-shrine.md</v>
      </c>
      <c r="CC133" s="29" t="str">
        <f>IF(LEN(Z133)&gt;1,VLOOKUP(Z133,'Tag List'!$A:$B,2,),"")</f>
        <v/>
      </c>
      <c r="CD133" s="29" t="str">
        <f>IF(LEN(AA133)&gt;1,VLOOKUP(AA133,'Tag List'!$A:$B,2,),"")</f>
        <v/>
      </c>
      <c r="CE133" s="29" t="str">
        <f>IF(LEN(AB133)&gt;1,VLOOKUP(AB133,'Tag List'!$A:$B,2,),"")</f>
        <v/>
      </c>
      <c r="CF133" s="30" t="str">
        <f>IF(LEN(Z133)&gt;1,GetTagPage(CC133,Z133),"")</f>
        <v/>
      </c>
      <c r="CG133" s="30" t="str">
        <f>IF(LEN(AA133)&gt;1,GetTagPage(CD133,AA133),"")</f>
        <v/>
      </c>
      <c r="CH133" s="30" t="str">
        <f>IF(LEN(AB133)&gt;1,GetTagPage(CE133,AB133),"")</f>
        <v/>
      </c>
      <c r="CI133" s="30" t="str">
        <f t="shared" si="120"/>
        <v xml:space="preserve">| </v>
      </c>
      <c r="CJ133" s="30" t="str">
        <f t="shared" si="121"/>
        <v xml:space="preserve">| [Kallikulam](/places/places\in-athisaya-panimatha-shrine) </v>
      </c>
      <c r="CK133" s="30" t="str">
        <f>"| "&amp;IF(AS133,GetTagPage(C133,VLOOKUP(C133,'(Ref) Countries'!A:C,3,)),C133)&amp; " "</f>
        <v xml:space="preserve">| [India](/tags/india) </v>
      </c>
      <c r="CL133" s="30" t="str">
        <f t="shared" si="122"/>
        <v xml:space="preserve">| 1939 </v>
      </c>
      <c r="CM133" s="30" t="str">
        <f t="shared" si="123"/>
        <v xml:space="preserve">| [Link](/places/places\in-athisaya-panimatha-shrine) </v>
      </c>
      <c r="CN133" s="29" t="str">
        <f t="shared" si="124"/>
        <v xml:space="preserve">
| [Kallikulam](/places/places\in-athisaya-panimatha-shrine) | [India](/tags/india) | 1939 | [Link](/places/places\in-athisaya-panimatha-shrine) [Official site](https://www.athisayapanimatha.com/)[Link](http://www.therealpresence.org/eucharst/misc/BVM/128_KALLIKULAM_60x96.pdf)| |</v>
      </c>
    </row>
    <row r="134" spans="1:92" x14ac:dyDescent="0.25">
      <c r="A134" s="167" t="s">
        <v>1046</v>
      </c>
      <c r="B134" s="24" t="s">
        <v>2481</v>
      </c>
      <c r="C134" s="24" t="s">
        <v>11</v>
      </c>
      <c r="D134" s="45" t="s">
        <v>1429</v>
      </c>
      <c r="E134" s="15">
        <v>38.141271460015901</v>
      </c>
      <c r="F134" s="49">
        <v>15.0456795824699</v>
      </c>
      <c r="G134" s="24" t="s">
        <v>1335</v>
      </c>
      <c r="H134" s="53" t="s">
        <v>1334</v>
      </c>
      <c r="I134" s="24" t="s">
        <v>1711</v>
      </c>
      <c r="J134" s="40" t="b">
        <v>1</v>
      </c>
      <c r="K134" s="24" t="b">
        <v>1</v>
      </c>
      <c r="M134" s="24" t="s">
        <v>1330</v>
      </c>
      <c r="O134" s="15" t="s">
        <v>1332</v>
      </c>
      <c r="P134" s="15" t="s">
        <v>335</v>
      </c>
      <c r="AJ134" s="85" t="s">
        <v>1178</v>
      </c>
      <c r="AK134" s="86" t="s">
        <v>1338</v>
      </c>
      <c r="AL134" s="15" t="s">
        <v>181</v>
      </c>
      <c r="AM134" s="15" t="s">
        <v>335</v>
      </c>
      <c r="AO134" s="15" t="s">
        <v>335</v>
      </c>
      <c r="AP134" s="15" t="s">
        <v>335</v>
      </c>
      <c r="AQ134" s="49" t="s">
        <v>335</v>
      </c>
      <c r="AS134" s="154" t="b">
        <f t="shared" ref="AS134:AS140" si="125">IF(OR(A134="Done",A134="In Progress"),TRUE)</f>
        <v>1</v>
      </c>
      <c r="AT134" s="155" t="str">
        <f t="shared" ref="AT134:AT140" si="126">"title: """&amp;G134&amp;""""</f>
        <v>title: "Sanctuary of Holy Mary of Tindari"</v>
      </c>
      <c r="AU134" s="155" t="str">
        <f t="shared" ref="AU134:AU140" si="127">"location: {lat: "&amp;E134&amp;", lng: "&amp;F134&amp;"}"</f>
        <v>location: {lat: 38.1412714600159, lng: 15.0456795824699}</v>
      </c>
      <c r="AV134" s="155" t="str">
        <f t="shared" ref="AV134:AV139" si="128">"interest: "&amp;I134</f>
        <v>interest: global</v>
      </c>
      <c r="AW134" s="155" t="str">
        <f>"- "&amp;VLOOKUP(C134,'(Ref) Countries'!A:C,3,)</f>
        <v>- italy</v>
      </c>
      <c r="AX134" s="155" t="str">
        <f t="shared" ref="AX134:AX140" si="129">IF(LEN(D134)&gt;1,"- "&amp;LOWER(SUBSTITUTE(D134," ","-")),"")</f>
        <v>- sicily</v>
      </c>
      <c r="AY134" s="155" t="str">
        <f t="shared" ref="AY134:AY140" si="130">IF(J134,"- churches","")</f>
        <v>- churches</v>
      </c>
      <c r="AZ134" s="155" t="str">
        <f t="shared" ref="AZ134:AZ140" si="131">IF(K134,"- marian-sites","")</f>
        <v>- marian-sites</v>
      </c>
      <c r="BA134" s="155" t="str">
        <f t="shared" ref="BA134:BA140" si="132">IF(L134,"- holy-persons","")</f>
        <v/>
      </c>
      <c r="BB134" s="155" t="str">
        <f t="shared" ref="BB134:BB140" si="133">IF(LEN(Z134)&gt;0,"- "&amp;Z134,"")</f>
        <v/>
      </c>
      <c r="BC134" s="155" t="str">
        <f t="shared" ref="BC134:BC140" si="134">IF(LEN(AA134)&gt;0,"- "&amp;AA134,"")</f>
        <v/>
      </c>
      <c r="BD134" s="155" t="str">
        <f t="shared" ref="BD134:BD140" si="135">IF(LEN(AB134)&gt;0,"- "&amp;AB134,"")</f>
        <v/>
      </c>
      <c r="BE134" s="155" t="str">
        <f t="shared" ref="BE134:BE140" si="136">IF(LEN(AC134)&gt;0,"- "&amp;AC134,"")</f>
        <v/>
      </c>
      <c r="BF134" s="155" t="str">
        <f t="shared" ref="BF134:BF140" si="137">IF(LEN(AD134)&gt;0,"- "&amp;AD134,"")</f>
        <v/>
      </c>
      <c r="BG134" s="155" t="str">
        <f t="shared" ref="BG134:BG140" si="138">IF(LEN(AE134)&gt;0,"- "&amp;AE134,"")</f>
        <v/>
      </c>
      <c r="BH134" s="155" t="str">
        <f t="shared" ref="BH134:BH140" si="139">IF(LEN(AF134)&gt;0,"- "&amp;AF134,"")</f>
        <v/>
      </c>
      <c r="BI134" s="155" t="str">
        <f t="shared" ref="BI134:BI140" si="140">IF(LEN(AG134)&gt;0,"- "&amp;AG134,"")</f>
        <v/>
      </c>
      <c r="BJ134" s="155" t="str">
        <f t="shared" ref="BJ134:BJ140" si="141">IF(LEN(AH134)&gt;0,"- "&amp;AH134,"")</f>
        <v/>
      </c>
      <c r="BK134" s="155" t="str">
        <f t="shared" ref="BK134:BK140" si="142">IF(LEN(AI134)&gt;0,"- "&amp;AI134,"")</f>
        <v/>
      </c>
      <c r="BL134" s="155" t="str">
        <f t="shared" ref="BL134:BL165" si="143">"tags:"&amp;CHAR(10)&amp;concatl(AW134:BK134)</f>
        <v xml:space="preserve">tags:
- italy_x000D_
- sicily_x000D_
- churches_x000D_
- marian-sites_x000D_
</v>
      </c>
      <c r="BM134" s="158" t="str">
        <f t="shared" si="92"/>
        <v>[Official site](https://santuariotindari.it/)</v>
      </c>
      <c r="BN134" s="158" t="str">
        <f t="shared" si="93"/>
        <v/>
      </c>
      <c r="BO134" s="158" t="str">
        <f t="shared" si="94"/>
        <v/>
      </c>
      <c r="BP134" s="158" t="str">
        <f t="shared" si="95"/>
        <v/>
      </c>
      <c r="BQ134" s="158" t="str">
        <f t="shared" ref="BQ134:BQ165" si="144">IF(LEN(BM134)&gt;0,"* "&amp;BM134&amp;CHAR(10),"")&amp;
IF(LEN(BN134)&gt;0,"* "&amp;BN134&amp;CHAR(10),"")&amp;
IF(LEN(BO134)&gt;0,"* "&amp;BO134&amp;CHAR(10),"")&amp;
IF(LEN(BP134)&gt;0,"* "&amp;BP134&amp;CHAR(10),"")</f>
        <v xml:space="preserve">* [Official site](https://santuariotindari.it/)
</v>
      </c>
      <c r="BR134" s="158" t="str">
        <f t="shared" ref="BR134:BR140" si="145">IF(LEN(AL134)&gt;0,TRIM(CONCATENATE("[Link](",AL134,") ",AM134)),"")</f>
        <v>[Link](http://www.therealpresence.org/eucharst/misc/BVM/90_TINDARI_60x96.pdf)</v>
      </c>
      <c r="BS134" s="158" t="str">
        <f t="shared" ref="BS134:BS140" si="146">IF(LEN(AN134)&gt;0,TRIM(CONCATENATE("[Link](",AN134,") ",AO134)),"")</f>
        <v/>
      </c>
      <c r="BT134" s="158" t="str">
        <f t="shared" ref="BT134:BT140" si="147">IF(LEN(AP134)&gt;0,TRIM(CONCATENATE("[Link](",AP134,") ",AQ134)),"")</f>
        <v/>
      </c>
      <c r="BU134" s="158" t="str">
        <f>IF(LEN(concat(BR134:BT134))&gt;0,concat("| ",BR134," | ",BS134," | ",BT134," |"),"")</f>
        <v>| [Link](http://www.therealpresence.org/eucharst/misc/BVM/90_TINDARI_60x96.pdf) |  |  |</v>
      </c>
      <c r="BV134" s="155" t="str">
        <f t="shared" ref="BV134:BV165" si="148">IF(K134,concatl("| The Real Presence | Miracle Hunter | MaryPages |","| --- | --- | --- |",BU134),"")</f>
        <v xml:space="preserve">| The Real Presence | Miracle Hunter | MaryPages |_x000D_
| --- | --- | --- |_x000D_
| [Link](http://www.therealpresence.org/eucharst/misc/BVM/90_TINDARI_60x96.pdf) |  |  |_x000D_
</v>
      </c>
      <c r="BW134" s="155"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55" t="str">
        <f>IF(LEN(N134)&gt;1,concatll("#### Author's Note",N134,"-"&amp;B134),"")</f>
        <v/>
      </c>
      <c r="BY134" s="155" t="s">
        <v>335</v>
      </c>
      <c r="BZ134" s="155" t="s">
        <v>335</v>
      </c>
      <c r="CA134" s="23" t="str">
        <f>IF(AS134,concatll(concatl("---",AT134:AV134,BL134,"---"),M134,BW134:BX134),"")</f>
        <v xml:space="preserve">---_x000D_
title: "Sanctuary of Holy Mary of Tindari"_x000D_
location: {lat: 38.1412714600159, lng: 15.0456795824699}_x000D_
interest: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23" t="str">
        <f>IF(AS134,"places\"&amp;VLOOKUP(C134,'(Ref) Countries'!A:B,2,)&amp;IF(LEN(D134)&gt;1,"-"&amp;LOWER(SUBSTITUTE(D134," ","-")),"")&amp;"-"&amp;LOWER(SUBSTITUTE(SUBSTITUTE(H134," ","-"),".",""))&amp;".md","")</f>
        <v>places\it-sicily-sanctuary-of-tindari.md</v>
      </c>
      <c r="CC134" s="29" t="str">
        <f>IF(LEN(Z134)&gt;1,VLOOKUP(Z134,'Tag List'!$A:$B,2,),"")</f>
        <v/>
      </c>
      <c r="CD134" s="29" t="str">
        <f>IF(LEN(AA134)&gt;1,VLOOKUP(AA134,'Tag List'!$A:$B,2,),"")</f>
        <v/>
      </c>
      <c r="CE134" s="29" t="str">
        <f>IF(LEN(AB134)&gt;1,VLOOKUP(AB134,'Tag List'!$A:$B,2,),"")</f>
        <v/>
      </c>
      <c r="CF134" s="30" t="str">
        <f>IF(LEN(Z134)&gt;1,GetTagPage(CC134,Z134),"")</f>
        <v/>
      </c>
      <c r="CG134" s="30" t="str">
        <f>IF(LEN(AA134)&gt;1,GetTagPage(CD134,AA134),"")</f>
        <v/>
      </c>
      <c r="CH134" s="30" t="str">
        <f>IF(LEN(AB134)&gt;1,GetTagPage(CE134,AB134),"")</f>
        <v/>
      </c>
      <c r="CI134" s="30" t="str">
        <f t="shared" ref="CI134:CI165" si="149">"|"&amp;IF(LEN(CF134)&gt;1," "&amp;CF134,"")&amp;IF(LEN(CG134)&gt;1,", "&amp;CG134,"")&amp;IF(LEN(CH134)&gt;1,", "&amp;CH134,"")&amp;" "</f>
        <v xml:space="preserve">| </v>
      </c>
      <c r="CJ134" s="30" t="str">
        <f t="shared" ref="CJ134:CJ140" si="150">"| "&amp;IF(AS134,"["&amp;AJ134&amp;"](/places/"&amp;SUBSTITUTE(CB134,".md","")&amp;")",AJ134)&amp;" "</f>
        <v xml:space="preserve">| [Tindari](/places/places\it-sicily-sanctuary-of-tindari) </v>
      </c>
      <c r="CK134" s="30" t="str">
        <f>"| "&amp;IF(AS134,GetTagPage(C134,VLOOKUP(C134,'(Ref) Countries'!A:C,3,)),C134)&amp; " "</f>
        <v xml:space="preserve">| [Italy](/tags/italy) </v>
      </c>
      <c r="CL134" s="30" t="str">
        <f t="shared" ref="CL134:CL140" si="151">"| "&amp;AK134&amp;" "</f>
        <v xml:space="preserve">| 5th or 6th Century </v>
      </c>
      <c r="CM134" s="30" t="str">
        <f t="shared" ref="CM134:CM140" si="152">"|"&amp;IF(AS134," [Link](/places/"&amp;SUBSTITUTE(CB134,".md","")&amp;")","")&amp;" "</f>
        <v xml:space="preserve">| [Link](/places/places\it-sicily-sanctuary-of-tindari) </v>
      </c>
      <c r="CN134" s="29" t="str">
        <f t="shared" ref="CN134:CN165" si="153">"
"&amp;CJ134&amp;CK134&amp;CL134&amp;CM134&amp;BM134&amp;BR134&amp;BS134&amp;BT134&amp;CI134&amp;"|"</f>
        <v xml:space="preserve">
| [Tindari](/places/places\it-sicily-sanctuary-of-tindari) | [Italy](/tags/italy) | 5th or 6th Century | [Link](/places/places\it-sicily-sanctuary-of-tindari) [Official site](https://santuariotindari.it/)[Link](http://www.therealpresence.org/eucharst/misc/BVM/90_TINDARI_60x96.pdf)| |</v>
      </c>
    </row>
    <row r="135" spans="1:92" x14ac:dyDescent="0.25">
      <c r="A135" s="167" t="s">
        <v>1046</v>
      </c>
      <c r="B135" s="24" t="s">
        <v>2481</v>
      </c>
      <c r="C135" s="24" t="s">
        <v>624</v>
      </c>
      <c r="E135" s="15">
        <v>36.0617520264557</v>
      </c>
      <c r="F135" s="49">
        <v>14.2153318855345</v>
      </c>
      <c r="G135" s="24" t="s">
        <v>1363</v>
      </c>
      <c r="H135" s="54" t="s">
        <v>1709</v>
      </c>
      <c r="I135" s="40" t="s">
        <v>1711</v>
      </c>
      <c r="J135" s="40" t="b">
        <v>1</v>
      </c>
      <c r="K135" s="24" t="b">
        <v>1</v>
      </c>
      <c r="M135" s="24" t="s">
        <v>1330</v>
      </c>
      <c r="O135" s="15" t="s">
        <v>1360</v>
      </c>
      <c r="P135" s="15" t="s">
        <v>335</v>
      </c>
      <c r="Z135" s="15" t="s">
        <v>335</v>
      </c>
      <c r="AJ135" s="85" t="s">
        <v>1240</v>
      </c>
      <c r="AK135" s="86">
        <v>1575</v>
      </c>
      <c r="AL135" s="15" t="s">
        <v>247</v>
      </c>
      <c r="AM135" s="15" t="s">
        <v>335</v>
      </c>
      <c r="AN135" s="15" t="s">
        <v>1361</v>
      </c>
      <c r="AO135" s="15" t="s">
        <v>335</v>
      </c>
      <c r="AP135" s="15" t="s">
        <v>1362</v>
      </c>
      <c r="AQ135" s="49" t="s">
        <v>335</v>
      </c>
      <c r="AS135" s="154" t="b">
        <f t="shared" si="125"/>
        <v>1</v>
      </c>
      <c r="AT135" s="155" t="str">
        <f t="shared" si="126"/>
        <v>title: "Basilica of the Blessed Virgin of Ta' Pinu"</v>
      </c>
      <c r="AU135" s="155" t="str">
        <f t="shared" si="127"/>
        <v>location: {lat: 36.0617520264557, lng: 14.2153318855345}</v>
      </c>
      <c r="AV135" s="155" t="str">
        <f t="shared" si="128"/>
        <v>interest: global</v>
      </c>
      <c r="AW135" s="155" t="str">
        <f>"- "&amp;VLOOKUP(C135,'(Ref) Countries'!A:C,3,)</f>
        <v>- malta</v>
      </c>
      <c r="AX135" s="155" t="str">
        <f t="shared" si="129"/>
        <v/>
      </c>
      <c r="AY135" s="155" t="str">
        <f t="shared" si="130"/>
        <v>- churches</v>
      </c>
      <c r="AZ135" s="155" t="str">
        <f t="shared" si="131"/>
        <v>- marian-sites</v>
      </c>
      <c r="BA135" s="155" t="str">
        <f t="shared" si="132"/>
        <v/>
      </c>
      <c r="BB135" s="155" t="str">
        <f t="shared" si="133"/>
        <v/>
      </c>
      <c r="BC135" s="155" t="str">
        <f t="shared" si="134"/>
        <v/>
      </c>
      <c r="BD135" s="155" t="str">
        <f t="shared" si="135"/>
        <v/>
      </c>
      <c r="BE135" s="155" t="str">
        <f t="shared" si="136"/>
        <v/>
      </c>
      <c r="BF135" s="155" t="str">
        <f t="shared" si="137"/>
        <v/>
      </c>
      <c r="BG135" s="155" t="str">
        <f t="shared" si="138"/>
        <v/>
      </c>
      <c r="BH135" s="155" t="str">
        <f t="shared" si="139"/>
        <v/>
      </c>
      <c r="BI135" s="155" t="str">
        <f t="shared" si="140"/>
        <v/>
      </c>
      <c r="BJ135" s="155" t="str">
        <f t="shared" si="141"/>
        <v/>
      </c>
      <c r="BK135" s="155" t="str">
        <f t="shared" si="142"/>
        <v/>
      </c>
      <c r="BL135" s="155" t="str">
        <f t="shared" si="143"/>
        <v xml:space="preserve">tags:
- malta_x000D_
- churches_x000D_
- marian-sites_x000D_
</v>
      </c>
      <c r="BM135" s="158" t="str">
        <f t="shared" ref="BM135:BM139" si="154">IF(LEN(O135)&gt;0,TRIM(CONCATENATE("[Official site](",O135,") ",IF(LEN(P135)&gt;0,"- "&amp;P135,P135))),"")</f>
        <v>[Official site](http://www.tapinu.org/)</v>
      </c>
      <c r="BN135" s="158" t="str">
        <f t="shared" ref="BN135:BN139" si="155">IF(LEN(R135)&gt;0,TRIM(CONCATENATE("["&amp;Q135&amp;"](",R135,") ",IF(LEN(S135)&gt;0,"- "&amp;S135,S135))),"")</f>
        <v/>
      </c>
      <c r="BO135" s="158" t="str">
        <f t="shared" ref="BO135:BO139" si="156">IF(LEN(U135)&gt;0,TRIM(CONCATENATE("["&amp;T135&amp;"](",U135,") ",IF(LEN(V135)&gt;0,"- "&amp;V135,V135))),"")</f>
        <v/>
      </c>
      <c r="BP135" s="158" t="str">
        <f t="shared" ref="BP135:BP139" si="157">IF(LEN(X135)&gt;0,TRIM(CONCATENATE("["&amp;W135&amp;"](",X135,") ",IF(LEN(Y135)&gt;0,"- "&amp;Y135,Y135))),"")</f>
        <v/>
      </c>
      <c r="BQ135" s="158" t="str">
        <f t="shared" si="144"/>
        <v xml:space="preserve">* [Official site](http://www.tapinu.org/)
</v>
      </c>
      <c r="BR135" s="158" t="str">
        <f t="shared" si="145"/>
        <v>[Link](http://www.therealpresence.org/eucharst/misc/BVM/140_GOZO_60x96.pdf)</v>
      </c>
      <c r="BS135" s="158" t="str">
        <f t="shared" si="146"/>
        <v>[Link](http://www.miraclehunter.com/marian_apparitions/approved_apparitions/tapinu/)</v>
      </c>
      <c r="BT135" s="158" t="str">
        <f t="shared" si="147"/>
        <v>[Link](https://www.marypages.com/ta-pinu-malta-en.html)</v>
      </c>
      <c r="BU135" s="158" t="str">
        <f>IF(LEN(concat(BR135:BT135))&gt;0,concat("| ",BR135," | ",BS135," | ",BT135," |"),"")</f>
        <v>| [Link](http://www.therealpresence.org/eucharst/misc/BVM/140_GOZO_60x96.pdf) | [Link](http://www.miraclehunter.com/marian_apparitions/approved_apparitions/tapinu/) | [Link](https://www.marypages.com/ta-pinu-malta-en.html) |</v>
      </c>
      <c r="BV135" s="155" t="str">
        <f t="shared" si="148"/>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55"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55" t="str">
        <f>IF(LEN(N135)&gt;1,concatll("#### Author's Note",N135,"-"&amp;B135),"")</f>
        <v/>
      </c>
      <c r="BY135" s="155" t="s">
        <v>335</v>
      </c>
      <c r="BZ135" s="155" t="s">
        <v>335</v>
      </c>
      <c r="CA135" s="23" t="str">
        <f>IF(AS135,concatll(concatl("---",AT135:AV135,BL135,"---"),M135,BW135:BX135),"")</f>
        <v xml:space="preserve">---_x000D_
title: "Basilica of the Blessed Virgin of Ta' Pinu"_x000D_
location: {lat: 36.0617520264557, lng: 14.2153318855345}_x000D_
interest: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23" t="str">
        <f>IF(AS135,"places\"&amp;VLOOKUP(C135,'(Ref) Countries'!A:B,2,)&amp;IF(LEN(D135)&gt;1,"-"&amp;LOWER(SUBSTITUTE(D135," ","-")),"")&amp;"-"&amp;LOWER(SUBSTITUTE(SUBSTITUTE(H135," ","-"),".",""))&amp;".md","")</f>
        <v>places\mt-basilica-of-ta-pinu.md</v>
      </c>
      <c r="CC135" s="29" t="str">
        <f>IF(LEN(Z135)&gt;1,VLOOKUP(Z135,'Tag List'!$A:$B,2,),"")</f>
        <v/>
      </c>
      <c r="CD135" s="29" t="str">
        <f>IF(LEN(AA135)&gt;1,VLOOKUP(AA135,'Tag List'!$A:$B,2,),"")</f>
        <v/>
      </c>
      <c r="CE135" s="29" t="str">
        <f>IF(LEN(AB135)&gt;1,VLOOKUP(AB135,'Tag List'!$A:$B,2,),"")</f>
        <v/>
      </c>
      <c r="CF135" s="30" t="str">
        <f>IF(LEN(Z135)&gt;1,GetTagPage(CC135,Z135),"")</f>
        <v/>
      </c>
      <c r="CG135" s="30" t="str">
        <f>IF(LEN(AA135)&gt;1,GetTagPage(CD135,AA135),"")</f>
        <v/>
      </c>
      <c r="CH135" s="30" t="str">
        <f>IF(LEN(AB135)&gt;1,GetTagPage(CE135,AB135),"")</f>
        <v/>
      </c>
      <c r="CI135" s="30" t="str">
        <f t="shared" si="149"/>
        <v xml:space="preserve">| </v>
      </c>
      <c r="CJ135" s="30" t="str">
        <f t="shared" si="150"/>
        <v xml:space="preserve">| [Gozo](/places/places\mt-basilica-of-ta-pinu) </v>
      </c>
      <c r="CK135" s="30" t="str">
        <f>"| "&amp;IF(AS135,GetTagPage(C135,VLOOKUP(C135,'(Ref) Countries'!A:C,3,)),C135)&amp; " "</f>
        <v xml:space="preserve">| [Malta](/tags/malta) </v>
      </c>
      <c r="CL135" s="30" t="str">
        <f t="shared" si="151"/>
        <v xml:space="preserve">| 1575 </v>
      </c>
      <c r="CM135" s="30" t="str">
        <f t="shared" si="152"/>
        <v xml:space="preserve">| [Link](/places/places\mt-basilica-of-ta-pinu) </v>
      </c>
      <c r="CN135" s="29" t="str">
        <f t="shared" si="153"/>
        <v xml:space="preserve">
| [Gozo](/places/places\mt-basilica-of-ta-pinu) | [Malta](/tags/malta) | 1575 | [Link](/places/places\mt-basilica-of-ta-pinu) [Official site](http://www.tapinu.org/)[Link](http://www.therealpresence.org/eucharst/misc/BVM/140_GOZO_60x96.pdf)[Link](http://www.miraclehunter.com/marian_apparitions/approved_apparitions/tapinu/)[Link](https://www.marypages.com/ta-pinu-malta-en.html)| |</v>
      </c>
    </row>
    <row r="136" spans="1:92" ht="25.5" x14ac:dyDescent="0.25">
      <c r="A136" s="167" t="s">
        <v>1046</v>
      </c>
      <c r="B136" s="24" t="s">
        <v>2481</v>
      </c>
      <c r="C136" s="24" t="s">
        <v>636</v>
      </c>
      <c r="E136" s="15">
        <v>12.250924807686999</v>
      </c>
      <c r="F136" s="49">
        <v>-85.378274608161107</v>
      </c>
      <c r="G136" s="24" t="s">
        <v>1343</v>
      </c>
      <c r="H136" s="53" t="s">
        <v>1342</v>
      </c>
      <c r="I136" s="24" t="s">
        <v>1711</v>
      </c>
      <c r="J136" s="40" t="b">
        <v>1</v>
      </c>
      <c r="K136" s="24" t="b">
        <v>1</v>
      </c>
      <c r="M136" s="24" t="s">
        <v>1330</v>
      </c>
      <c r="N136" s="177" t="s">
        <v>2520</v>
      </c>
      <c r="O136" s="15" t="s">
        <v>1344</v>
      </c>
      <c r="P136" s="15" t="s">
        <v>335</v>
      </c>
      <c r="Z136" s="15" t="s">
        <v>335</v>
      </c>
      <c r="AJ136" s="85" t="s">
        <v>1303</v>
      </c>
      <c r="AK136" s="86">
        <v>1980</v>
      </c>
      <c r="AL136" s="15" t="s">
        <v>327</v>
      </c>
      <c r="AM136" s="15" t="s">
        <v>335</v>
      </c>
      <c r="AN136" s="15" t="s">
        <v>1341</v>
      </c>
      <c r="AO136" s="15" t="s">
        <v>335</v>
      </c>
      <c r="AP136" s="15" t="s">
        <v>1340</v>
      </c>
      <c r="AQ136" s="49" t="s">
        <v>335</v>
      </c>
      <c r="AS136" s="154" t="b">
        <f t="shared" si="125"/>
        <v>1</v>
      </c>
      <c r="AT136" s="155" t="str">
        <f t="shared" si="126"/>
        <v>title: "National Sanctuary of Our Lady of Cuapa"</v>
      </c>
      <c r="AU136" s="155" t="str">
        <f t="shared" si="127"/>
        <v>location: {lat: 12.250924807687, lng: -85.3782746081611}</v>
      </c>
      <c r="AV136" s="155" t="str">
        <f t="shared" si="128"/>
        <v>interest: global</v>
      </c>
      <c r="AW136" s="155" t="str">
        <f>"- "&amp;VLOOKUP(C136,'(Ref) Countries'!A:C,3,)</f>
        <v>- nicaragua</v>
      </c>
      <c r="AX136" s="155" t="str">
        <f t="shared" si="129"/>
        <v/>
      </c>
      <c r="AY136" s="155" t="str">
        <f t="shared" si="130"/>
        <v>- churches</v>
      </c>
      <c r="AZ136" s="155" t="str">
        <f t="shared" si="131"/>
        <v>- marian-sites</v>
      </c>
      <c r="BA136" s="155" t="str">
        <f t="shared" si="132"/>
        <v/>
      </c>
      <c r="BB136" s="155" t="str">
        <f t="shared" si="133"/>
        <v/>
      </c>
      <c r="BC136" s="155" t="str">
        <f t="shared" si="134"/>
        <v/>
      </c>
      <c r="BD136" s="155" t="str">
        <f t="shared" si="135"/>
        <v/>
      </c>
      <c r="BE136" s="155" t="str">
        <f t="shared" si="136"/>
        <v/>
      </c>
      <c r="BF136" s="155" t="str">
        <f t="shared" si="137"/>
        <v/>
      </c>
      <c r="BG136" s="155" t="str">
        <f t="shared" si="138"/>
        <v/>
      </c>
      <c r="BH136" s="155" t="str">
        <f t="shared" si="139"/>
        <v/>
      </c>
      <c r="BI136" s="155" t="str">
        <f t="shared" si="140"/>
        <v/>
      </c>
      <c r="BJ136" s="155" t="str">
        <f t="shared" si="141"/>
        <v/>
      </c>
      <c r="BK136" s="155" t="str">
        <f t="shared" si="142"/>
        <v/>
      </c>
      <c r="BL136" s="155" t="str">
        <f t="shared" si="143"/>
        <v xml:space="preserve">tags:
- nicaragua_x000D_
- churches_x000D_
- marian-sites_x000D_
</v>
      </c>
      <c r="BM136" s="158" t="str">
        <f t="shared" si="154"/>
        <v>[Official site](https://www.facebook.com/SDVirgendeCuapa)</v>
      </c>
      <c r="BN136" s="158" t="str">
        <f t="shared" si="155"/>
        <v/>
      </c>
      <c r="BO136" s="158" t="str">
        <f t="shared" si="156"/>
        <v/>
      </c>
      <c r="BP136" s="158" t="str">
        <f t="shared" si="157"/>
        <v/>
      </c>
      <c r="BQ136" s="158" t="str">
        <f t="shared" si="144"/>
        <v xml:space="preserve">* [Official site](https://www.facebook.com/SDVirgendeCuapa)
</v>
      </c>
      <c r="BR136" s="158" t="str">
        <f t="shared" si="145"/>
        <v>[Link](http://www.therealpresence.org/eucharst/misc/BVM/16_CUAPA_60x96.pdf)</v>
      </c>
      <c r="BS136" s="158" t="str">
        <f t="shared" si="146"/>
        <v>[Link](http://www.miraclehunter.com/marian_apparitions/approved_apparitions/cuapa/index.html)</v>
      </c>
      <c r="BT136" s="158" t="str">
        <f t="shared" si="147"/>
        <v>[Link](https://www.marypages.com/our-lady-of-cuapa-also-known-as-our-lady-of-nicaragua-en.html)</v>
      </c>
      <c r="BU136" s="158" t="str">
        <f>IF(LEN(concat(BR136:BT136))&gt;0,concat("| ",BR136," | ",BS136," | ",BT136," |"),"")</f>
        <v>| [Link](http://www.therealpresence.org/eucharst/misc/BVM/16_CUAPA_60x96.pdf) | [Link](http://www.miraclehunter.com/marian_apparitions/approved_apparitions/cuapa/index.html) | [Link](https://www.marypages.com/our-lady-of-cuapa-also-known-as-our-lady-of-nicaragua-en.html) |</v>
      </c>
      <c r="BV136" s="155" t="str">
        <f t="shared" si="148"/>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55"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55" t="str">
        <f>IF(LEN(N136)&gt;1,concatll("#### Author's Note",N136,"-"&amp;B136),"")</f>
        <v xml:space="preserve">#### Author's Note_x000D_
_x000D_
We can't find an official website for the parish; their Facebook page has been listed for now._x000D_
_x000D_
-JMM_x000D_
_x000D_
</v>
      </c>
      <c r="BY136" s="155" t="s">
        <v>335</v>
      </c>
      <c r="BZ136" s="155" t="s">
        <v>335</v>
      </c>
      <c r="CA136" s="23" t="str">
        <f>IF(AS136,concatll(concatl("---",AT136:AV136,BL136,"---"),M136,BW136:BX136),"")</f>
        <v xml:space="preserve">---_x000D_
title: "National Sanctuary of Our Lady of Cuapa"_x000D_
location: {lat: 12.250924807687, lng: -85.3782746081611}_x000D_
interest: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23" t="str">
        <f>IF(AS136,"places\"&amp;VLOOKUP(C136,'(Ref) Countries'!A:B,2,)&amp;IF(LEN(D136)&gt;1,"-"&amp;LOWER(SUBSTITUTE(D136," ","-")),"")&amp;"-"&amp;LOWER(SUBSTITUTE(SUBSTITUTE(H136," ","-"),".",""))&amp;".md","")</f>
        <v>places\ni-sanctuary-of-our-lady-of-cuapa.md</v>
      </c>
      <c r="CC136" s="29" t="str">
        <f>IF(LEN(Z136)&gt;1,VLOOKUP(Z136,'Tag List'!$A:$B,2,),"")</f>
        <v/>
      </c>
      <c r="CD136" s="29" t="str">
        <f>IF(LEN(AA136)&gt;1,VLOOKUP(AA136,'Tag List'!$A:$B,2,),"")</f>
        <v/>
      </c>
      <c r="CE136" s="29" t="str">
        <f>IF(LEN(AB136)&gt;1,VLOOKUP(AB136,'Tag List'!$A:$B,2,),"")</f>
        <v/>
      </c>
      <c r="CF136" s="30" t="str">
        <f>IF(LEN(Z136)&gt;1,GetTagPage(CC136,Z136),"")</f>
        <v/>
      </c>
      <c r="CG136" s="30" t="str">
        <f>IF(LEN(AA136)&gt;1,GetTagPage(CD136,AA136),"")</f>
        <v/>
      </c>
      <c r="CH136" s="30" t="str">
        <f>IF(LEN(AB136)&gt;1,GetTagPage(CE136,AB136),"")</f>
        <v/>
      </c>
      <c r="CI136" s="30" t="str">
        <f t="shared" si="149"/>
        <v xml:space="preserve">| </v>
      </c>
      <c r="CJ136" s="30" t="str">
        <f t="shared" si="150"/>
        <v xml:space="preserve">| [Cuapa](/places/places\ni-sanctuary-of-our-lady-of-cuapa) </v>
      </c>
      <c r="CK136" s="30" t="str">
        <f>"| "&amp;IF(AS136,GetTagPage(C136,VLOOKUP(C136,'(Ref) Countries'!A:C,3,)),C136)&amp; " "</f>
        <v xml:space="preserve">| [Nicaragua](/tags/nicaragua) </v>
      </c>
      <c r="CL136" s="30" t="str">
        <f t="shared" si="151"/>
        <v xml:space="preserve">| 1980 </v>
      </c>
      <c r="CM136" s="30" t="str">
        <f t="shared" si="152"/>
        <v xml:space="preserve">| [Link](/places/places\ni-sanctuary-of-our-lady-of-cuapa) </v>
      </c>
      <c r="CN136" s="29" t="str">
        <f t="shared" si="153"/>
        <v xml:space="preserve">
| [Cuapa](/places/places\ni-sanctuary-of-our-lady-of-cuapa) | [Nicaragua](/tags/nicaragua)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2" ht="25.5" x14ac:dyDescent="0.25">
      <c r="A137" s="167" t="s">
        <v>1046</v>
      </c>
      <c r="B137" s="24" t="s">
        <v>2481</v>
      </c>
      <c r="C137" s="24" t="s">
        <v>647</v>
      </c>
      <c r="E137" s="15">
        <v>13.882181522598099</v>
      </c>
      <c r="F137" s="49">
        <v>120.92027885535801</v>
      </c>
      <c r="G137" s="24" t="s">
        <v>1369</v>
      </c>
      <c r="H137" s="53" t="s">
        <v>1370</v>
      </c>
      <c r="I137" s="24" t="s">
        <v>1711</v>
      </c>
      <c r="J137" s="40" t="b">
        <v>1</v>
      </c>
      <c r="K137" s="24" t="b">
        <v>1</v>
      </c>
      <c r="M137" s="24" t="s">
        <v>1330</v>
      </c>
      <c r="N137" s="177" t="s">
        <v>2521</v>
      </c>
      <c r="O137" s="15" t="s">
        <v>1372</v>
      </c>
      <c r="P137" s="15" t="s">
        <v>335</v>
      </c>
      <c r="Z137" s="15" t="s">
        <v>335</v>
      </c>
      <c r="AJ137" s="85" t="s">
        <v>1250</v>
      </c>
      <c r="AK137" s="86">
        <v>1603</v>
      </c>
      <c r="AL137" s="15" t="s">
        <v>257</v>
      </c>
      <c r="AM137" s="15" t="s">
        <v>335</v>
      </c>
      <c r="AN137" s="15" t="s">
        <v>1371</v>
      </c>
      <c r="AO137" s="15" t="s">
        <v>335</v>
      </c>
      <c r="AP137" s="15" t="s">
        <v>335</v>
      </c>
      <c r="AQ137" s="49" t="s">
        <v>335</v>
      </c>
      <c r="AS137" s="154" t="b">
        <f t="shared" si="125"/>
        <v>1</v>
      </c>
      <c r="AT137" s="155" t="str">
        <f t="shared" si="126"/>
        <v>title: "Archdiocesan Shrine of Our Lady of Caysasay"</v>
      </c>
      <c r="AU137" s="155" t="str">
        <f t="shared" si="127"/>
        <v>location: {lat: 13.8821815225981, lng: 120.920278855358}</v>
      </c>
      <c r="AV137" s="155" t="str">
        <f t="shared" si="128"/>
        <v>interest: global</v>
      </c>
      <c r="AW137" s="155" t="str">
        <f>"- "&amp;VLOOKUP(C137,'(Ref) Countries'!A:C,3,)</f>
        <v>- philippines</v>
      </c>
      <c r="AX137" s="155" t="str">
        <f t="shared" si="129"/>
        <v/>
      </c>
      <c r="AY137" s="155" t="str">
        <f t="shared" si="130"/>
        <v>- churches</v>
      </c>
      <c r="AZ137" s="155" t="str">
        <f t="shared" si="131"/>
        <v>- marian-sites</v>
      </c>
      <c r="BA137" s="155" t="str">
        <f t="shared" si="132"/>
        <v/>
      </c>
      <c r="BB137" s="155" t="str">
        <f t="shared" si="133"/>
        <v/>
      </c>
      <c r="BC137" s="155" t="str">
        <f t="shared" si="134"/>
        <v/>
      </c>
      <c r="BD137" s="155" t="str">
        <f t="shared" si="135"/>
        <v/>
      </c>
      <c r="BE137" s="155" t="str">
        <f t="shared" si="136"/>
        <v/>
      </c>
      <c r="BF137" s="155" t="str">
        <f t="shared" si="137"/>
        <v/>
      </c>
      <c r="BG137" s="155" t="str">
        <f t="shared" si="138"/>
        <v/>
      </c>
      <c r="BH137" s="155" t="str">
        <f t="shared" si="139"/>
        <v/>
      </c>
      <c r="BI137" s="155" t="str">
        <f t="shared" si="140"/>
        <v/>
      </c>
      <c r="BJ137" s="155" t="str">
        <f t="shared" si="141"/>
        <v/>
      </c>
      <c r="BK137" s="155" t="str">
        <f t="shared" si="142"/>
        <v/>
      </c>
      <c r="BL137" s="155" t="str">
        <f t="shared" si="143"/>
        <v xml:space="preserve">tags:
- philippines_x000D_
- churches_x000D_
- marian-sites_x000D_
</v>
      </c>
      <c r="BM137" s="158" t="str">
        <f t="shared" si="154"/>
        <v>[Official site](https://www.facebook.com/CaysasayTaal)</v>
      </c>
      <c r="BN137" s="158" t="str">
        <f t="shared" si="155"/>
        <v/>
      </c>
      <c r="BO137" s="158" t="str">
        <f t="shared" si="156"/>
        <v/>
      </c>
      <c r="BP137" s="158" t="str">
        <f t="shared" si="157"/>
        <v/>
      </c>
      <c r="BQ137" s="158" t="str">
        <f t="shared" si="144"/>
        <v xml:space="preserve">* [Official site](https://www.facebook.com/CaysasayTaal)
</v>
      </c>
      <c r="BR137" s="158" t="str">
        <f t="shared" si="145"/>
        <v>[Link](http://www.therealpresence.org/eucharst/misc/BVM/94_CAYSASAY_60x96.pdf)</v>
      </c>
      <c r="BS137" s="158" t="str">
        <f t="shared" si="146"/>
        <v>[Link](http://www.miraclehunter.com/marian_apparitions/approved_apparitions/caysasay/index.html)</v>
      </c>
      <c r="BT137" s="158" t="str">
        <f t="shared" si="147"/>
        <v/>
      </c>
      <c r="BU137" s="158" t="str">
        <f>IF(LEN(concat(BR137:BT137))&gt;0,concat("| ",BR137," | ",BS137," | ",BT137," |"),"")</f>
        <v>| [Link](http://www.therealpresence.org/eucharst/misc/BVM/94_CAYSASAY_60x96.pdf) | [Link](http://www.miraclehunter.com/marian_apparitions/approved_apparitions/caysasay/index.html) |  |</v>
      </c>
      <c r="BV137" s="155" t="str">
        <f t="shared" si="148"/>
        <v xml:space="preserve">| The Real Presence | Miracle Hunter | MaryPages |_x000D_
| --- | --- | --- |_x000D_
| [Link](http://www.therealpresence.org/eucharst/misc/BVM/94_CAYSASAY_60x96.pdf) | [Link](http://www.miraclehunter.com/marian_apparitions/approved_apparitions/caysasay/index.html) |  |_x000D_
</v>
      </c>
      <c r="BW137" s="155"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55" t="str">
        <f>IF(LEN(N137)&gt;1,concatll("#### Author's Note",N137,"-"&amp;B137),"")</f>
        <v xml:space="preserve">#### Author's Note_x000D_
_x000D_
The Facebook page appears to be the official site._x000D_
_x000D_
-JMM_x000D_
_x000D_
</v>
      </c>
      <c r="BY137" s="155" t="s">
        <v>335</v>
      </c>
      <c r="BZ137" s="155" t="s">
        <v>335</v>
      </c>
      <c r="CA137" s="23" t="str">
        <f>IF(AS137,concatll(concatl("---",AT137:AV137,BL137,"---"),M137,BW137:BX137),"")</f>
        <v xml:space="preserve">---_x000D_
title: "Archdiocesan Shrine of Our Lady of Caysasay"_x000D_
location: {lat: 13.8821815225981, lng: 120.920278855358}_x000D_
interest: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23" t="str">
        <f>IF(AS137,"places\"&amp;VLOOKUP(C137,'(Ref) Countries'!A:B,2,)&amp;IF(LEN(D137)&gt;1,"-"&amp;LOWER(SUBSTITUTE(D137," ","-")),"")&amp;"-"&amp;LOWER(SUBSTITUTE(SUBSTITUTE(H137," ","-"),".",""))&amp;".md","")</f>
        <v>places\ph-shrine-of-our-lady-of-caysasay.md</v>
      </c>
      <c r="CC137" s="29" t="str">
        <f>IF(LEN(Z137)&gt;1,VLOOKUP(Z137,'Tag List'!$A:$B,2,),"")</f>
        <v/>
      </c>
      <c r="CD137" s="29" t="str">
        <f>IF(LEN(AA137)&gt;1,VLOOKUP(AA137,'Tag List'!$A:$B,2,),"")</f>
        <v/>
      </c>
      <c r="CE137" s="29" t="str">
        <f>IF(LEN(AB137)&gt;1,VLOOKUP(AB137,'Tag List'!$A:$B,2,),"")</f>
        <v/>
      </c>
      <c r="CF137" s="30" t="str">
        <f>IF(LEN(Z137)&gt;1,GetTagPage(CC137,Z137),"")</f>
        <v/>
      </c>
      <c r="CG137" s="30" t="str">
        <f>IF(LEN(AA137)&gt;1,GetTagPage(CD137,AA137),"")</f>
        <v/>
      </c>
      <c r="CH137" s="30" t="str">
        <f>IF(LEN(AB137)&gt;1,GetTagPage(CE137,AB137),"")</f>
        <v/>
      </c>
      <c r="CI137" s="30" t="str">
        <f t="shared" si="149"/>
        <v xml:space="preserve">| </v>
      </c>
      <c r="CJ137" s="30" t="str">
        <f t="shared" si="150"/>
        <v xml:space="preserve">| [Caysasay](/places/places\ph-shrine-of-our-lady-of-caysasay) </v>
      </c>
      <c r="CK137" s="30" t="str">
        <f>"| "&amp;IF(AS137,GetTagPage(C137,VLOOKUP(C137,'(Ref) Countries'!A:C,3,)),C137)&amp; " "</f>
        <v xml:space="preserve">| [Philippines](/tags/philippines) </v>
      </c>
      <c r="CL137" s="30" t="str">
        <f t="shared" si="151"/>
        <v xml:space="preserve">| 1603 </v>
      </c>
      <c r="CM137" s="30" t="str">
        <f t="shared" si="152"/>
        <v xml:space="preserve">| [Link](/places/places\ph-shrine-of-our-lady-of-caysasay) </v>
      </c>
      <c r="CN137" s="29" t="str">
        <f t="shared" si="153"/>
        <v xml:space="preserve">
| [Caysasay](/places/places\ph-shrine-of-our-lady-of-caysasay) | [Philippines](/tags/philippines) | 1603 | [Link](/places/places\ph-shrine-of-our-lady-of-caysasay) [Official site](https://www.facebook.com/CaysasayTaal)[Link](http://www.therealpresence.org/eucharst/misc/BVM/94_CAYSASAY_60x96.pdf)[Link](http://www.miraclehunter.com/marian_apparitions/approved_apparitions/caysasay/index.html)| |</v>
      </c>
    </row>
    <row r="138" spans="1:92" ht="25.5" x14ac:dyDescent="0.25">
      <c r="A138" s="167" t="s">
        <v>1046</v>
      </c>
      <c r="B138" s="24" t="s">
        <v>2481</v>
      </c>
      <c r="C138" s="24" t="s">
        <v>703</v>
      </c>
      <c r="E138" s="15">
        <v>-27.855349035650701</v>
      </c>
      <c r="F138" s="49">
        <v>31.453787971164701</v>
      </c>
      <c r="G138" s="24" t="s">
        <v>1315</v>
      </c>
      <c r="H138" s="53" t="s">
        <v>1315</v>
      </c>
      <c r="I138" s="24" t="s">
        <v>1711</v>
      </c>
      <c r="J138" s="40" t="b">
        <v>1</v>
      </c>
      <c r="K138" s="24" t="b">
        <v>1</v>
      </c>
      <c r="M138" s="24" t="s">
        <v>1330</v>
      </c>
      <c r="N138" s="55"/>
      <c r="O138" s="15" t="s">
        <v>1331</v>
      </c>
      <c r="P138" s="48" t="s">
        <v>1795</v>
      </c>
      <c r="Q138" s="60" t="s">
        <v>1796</v>
      </c>
      <c r="R138" s="15" t="s">
        <v>1793</v>
      </c>
      <c r="Z138" s="15" t="s">
        <v>1316</v>
      </c>
      <c r="AJ138" s="85" t="s">
        <v>1300</v>
      </c>
      <c r="AK138" s="86" t="s">
        <v>1172</v>
      </c>
      <c r="AL138" s="15" t="s">
        <v>323</v>
      </c>
      <c r="AM138" s="15" t="s">
        <v>335</v>
      </c>
      <c r="AN138" s="15" t="s">
        <v>335</v>
      </c>
      <c r="AO138" s="15" t="s">
        <v>335</v>
      </c>
      <c r="AP138" s="15" t="s">
        <v>335</v>
      </c>
      <c r="AQ138" s="49" t="s">
        <v>335</v>
      </c>
      <c r="AS138" s="154" t="b">
        <f t="shared" si="125"/>
        <v>1</v>
      </c>
      <c r="AT138" s="155" t="str">
        <f t="shared" si="126"/>
        <v>title: "Ngome Marian Shrine"</v>
      </c>
      <c r="AU138" s="155" t="str">
        <f t="shared" si="127"/>
        <v>location: {lat: -27.8553490356507, lng: 31.4537879711647}</v>
      </c>
      <c r="AV138" s="155" t="str">
        <f t="shared" si="128"/>
        <v>interest: global</v>
      </c>
      <c r="AW138" s="155" t="str">
        <f>"- "&amp;VLOOKUP(C138,'(Ref) Countries'!A:C,3,)</f>
        <v>- south-africa</v>
      </c>
      <c r="AX138" s="155" t="str">
        <f t="shared" si="129"/>
        <v/>
      </c>
      <c r="AY138" s="155" t="str">
        <f t="shared" si="130"/>
        <v>- churches</v>
      </c>
      <c r="AZ138" s="155" t="str">
        <f t="shared" si="131"/>
        <v>- marian-sites</v>
      </c>
      <c r="BA138" s="155" t="str">
        <f t="shared" si="132"/>
        <v/>
      </c>
      <c r="BB138" s="155" t="str">
        <f t="shared" si="133"/>
        <v>- reinolda-may</v>
      </c>
      <c r="BC138" s="155" t="str">
        <f t="shared" si="134"/>
        <v/>
      </c>
      <c r="BD138" s="155" t="str">
        <f t="shared" si="135"/>
        <v/>
      </c>
      <c r="BE138" s="155" t="str">
        <f t="shared" si="136"/>
        <v/>
      </c>
      <c r="BF138" s="155" t="str">
        <f t="shared" si="137"/>
        <v/>
      </c>
      <c r="BG138" s="155" t="str">
        <f t="shared" si="138"/>
        <v/>
      </c>
      <c r="BH138" s="155" t="str">
        <f t="shared" si="139"/>
        <v/>
      </c>
      <c r="BI138" s="155" t="str">
        <f t="shared" si="140"/>
        <v/>
      </c>
      <c r="BJ138" s="155" t="str">
        <f t="shared" si="141"/>
        <v/>
      </c>
      <c r="BK138" s="155" t="str">
        <f t="shared" si="142"/>
        <v/>
      </c>
      <c r="BL138" s="155" t="str">
        <f t="shared" si="143"/>
        <v xml:space="preserve">tags:
- south-africa_x000D_
- churches_x000D_
- marian-sites_x000D_
- reinolda-may_x000D_
</v>
      </c>
      <c r="BM138" s="158" t="str">
        <f t="shared" si="154"/>
        <v>[Official site](http://www.ngome.co.za/) - (note: website not active at time of writing)</v>
      </c>
      <c r="BN138" s="158" t="str">
        <f t="shared" si="155"/>
        <v>[Official Facebook page](https://www.facebook.com/ngomemarianshrine/)</v>
      </c>
      <c r="BO138" s="158" t="str">
        <f t="shared" si="156"/>
        <v/>
      </c>
      <c r="BP138" s="158" t="str">
        <f t="shared" si="157"/>
        <v/>
      </c>
      <c r="BQ138" s="158" t="str">
        <f t="shared" si="144"/>
        <v xml:space="preserve">* [Official site](http://www.ngome.co.za/) - (note: website not active at time of writing)
* [Official Facebook page](https://www.facebook.com/ngomemarianshrine/)
</v>
      </c>
      <c r="BR138" s="158" t="str">
        <f t="shared" si="145"/>
        <v>[Link](http://www.therealpresence.org/eucharst/misc/BVM/124_NGOME_140x96.pdf)</v>
      </c>
      <c r="BS138" s="158" t="str">
        <f t="shared" si="146"/>
        <v/>
      </c>
      <c r="BT138" s="158" t="str">
        <f t="shared" si="147"/>
        <v/>
      </c>
      <c r="BU138" s="158" t="str">
        <f>IF(LEN(concat(BR138:BT138))&gt;0,concat("| ",BR138," | ",BS138," | ",BT138," |"),"")</f>
        <v>| [Link](http://www.therealpresence.org/eucharst/misc/BVM/124_NGOME_140x96.pdf) |  |  |</v>
      </c>
      <c r="BV138" s="155" t="str">
        <f t="shared" si="148"/>
        <v xml:space="preserve">| The Real Presence | Miracle Hunter | MaryPages |_x000D_
| --- | --- | --- |_x000D_
| [Link](http://www.therealpresence.org/eucharst/misc/BVM/124_NGOME_140x96.pdf) |  |  |_x000D_
</v>
      </c>
      <c r="BW138" s="155"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55" t="str">
        <f>IF(LEN(N138)&gt;1,concatll("#### Author's Note",N138,"-"&amp;B138),"")</f>
        <v/>
      </c>
      <c r="BY138" s="155" t="s">
        <v>335</v>
      </c>
      <c r="BZ138" s="155" t="s">
        <v>335</v>
      </c>
      <c r="CA138" s="23" t="str">
        <f>IF(AS138,concatll(concatl("---",AT138:AV138,BL138,"---"),M138,BW138:BX138),"")</f>
        <v xml:space="preserve">---_x000D_
title: "Ngome Marian Shrine"_x000D_
location: {lat: -27.8553490356507, lng: 31.4537879711647}_x000D_
interest: global_x000D_
tags:
- south-africa_x000D_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23" t="str">
        <f>IF(AS138,"places\"&amp;VLOOKUP(C138,'(Ref) Countries'!A:B,2,)&amp;IF(LEN(D138)&gt;1,"-"&amp;LOWER(SUBSTITUTE(D138," ","-")),"")&amp;"-"&amp;LOWER(SUBSTITUTE(SUBSTITUTE(H138," ","-"),".",""))&amp;".md","")</f>
        <v>places\za-ngome-marian-shrine.md</v>
      </c>
      <c r="CC138" s="29" t="str">
        <f>IF(LEN(Z138)&gt;1,VLOOKUP(Z138,'Tag List'!$A:$B,2,),"")</f>
        <v>S.D. Reinolda May, OSB</v>
      </c>
      <c r="CD138" s="29" t="str">
        <f>IF(LEN(AA138)&gt;1,VLOOKUP(AA138,'Tag List'!$A:$B,2,),"")</f>
        <v/>
      </c>
      <c r="CE138" s="29" t="str">
        <f>IF(LEN(AB138)&gt;1,VLOOKUP(AB138,'Tag List'!$A:$B,2,),"")</f>
        <v/>
      </c>
      <c r="CF138" s="30" t="str">
        <f>IF(LEN(Z138)&gt;1,GetTagPage(CC138,Z138),"")</f>
        <v>[S.D. Reinolda May, OSB](/tags/reinolda-may)</v>
      </c>
      <c r="CG138" s="30" t="str">
        <f>IF(LEN(AA138)&gt;1,GetTagPage(CD138,AA138),"")</f>
        <v/>
      </c>
      <c r="CH138" s="30" t="str">
        <f>IF(LEN(AB138)&gt;1,GetTagPage(CE138,AB138),"")</f>
        <v/>
      </c>
      <c r="CI138" s="30" t="str">
        <f t="shared" si="149"/>
        <v xml:space="preserve">| [S.D. Reinolda May, OSB](/tags/reinolda-may) </v>
      </c>
      <c r="CJ138" s="30" t="str">
        <f t="shared" si="150"/>
        <v xml:space="preserve">| [Ngome](/places/places\za-ngome-marian-shrine) </v>
      </c>
      <c r="CK138" s="30" t="str">
        <f>"| "&amp;IF(AS138,GetTagPage(C138,VLOOKUP(C138,'(Ref) Countries'!A:C,3,)),C138)&amp; " "</f>
        <v xml:space="preserve">| [South Africa](/tags/south-africa) </v>
      </c>
      <c r="CL138" s="30" t="str">
        <f t="shared" si="151"/>
        <v xml:space="preserve">| 1955-1971 </v>
      </c>
      <c r="CM138" s="30" t="str">
        <f t="shared" si="152"/>
        <v xml:space="preserve">| [Link](/places/places\za-ngome-marian-shrine) </v>
      </c>
      <c r="CN138" s="29" t="str">
        <f t="shared" si="153"/>
        <v xml:space="preserve">
| [Ngome](/places/places\za-ngome-marian-shrine) | [South Africa](/tags/south-africa) | 1955-1971 | [Link](/places/places\za-ngome-marian-shrine) [Official site](http://www.ngome.co.za/) - (note: website not active at time of writing)[Link](http://www.therealpresence.org/eucharst/misc/BVM/124_NGOME_140x96.pdf)| [S.D. Reinolda May, OSB](/tags/reinolda-may) |</v>
      </c>
    </row>
    <row r="139" spans="1:92" ht="76.5" x14ac:dyDescent="0.25">
      <c r="A139" s="167" t="s">
        <v>1046</v>
      </c>
      <c r="B139" s="24" t="s">
        <v>2481</v>
      </c>
      <c r="C139" s="24" t="s">
        <v>732</v>
      </c>
      <c r="E139" s="15">
        <v>52.880559553822799</v>
      </c>
      <c r="F139" s="49">
        <v>0.85276071534114095</v>
      </c>
      <c r="G139" s="24" t="s">
        <v>1350</v>
      </c>
      <c r="H139" s="53" t="s">
        <v>333</v>
      </c>
      <c r="I139" s="24" t="s">
        <v>1711</v>
      </c>
      <c r="J139" s="40" t="b">
        <v>1</v>
      </c>
      <c r="K139" s="24" t="b">
        <v>1</v>
      </c>
      <c r="M139" s="24" t="s">
        <v>1348</v>
      </c>
      <c r="O139" s="15" t="s">
        <v>1349</v>
      </c>
      <c r="P139" s="15" t="s">
        <v>335</v>
      </c>
      <c r="Z139" s="15" t="s">
        <v>335</v>
      </c>
      <c r="AJ139" s="85" t="s">
        <v>1179</v>
      </c>
      <c r="AK139" s="86" t="s">
        <v>1060</v>
      </c>
      <c r="AL139" s="15" t="s">
        <v>183</v>
      </c>
      <c r="AM139" s="15" t="s">
        <v>335</v>
      </c>
      <c r="AN139" s="15" t="s">
        <v>1347</v>
      </c>
      <c r="AO139" s="15" t="s">
        <v>335</v>
      </c>
      <c r="AP139" s="15" t="s">
        <v>1351</v>
      </c>
      <c r="AQ139" s="49" t="s">
        <v>335</v>
      </c>
      <c r="AS139" s="154" t="b">
        <f t="shared" si="125"/>
        <v>1</v>
      </c>
      <c r="AT139" s="155" t="str">
        <f t="shared" si="126"/>
        <v>title: "Catholic National Shrine and Basilica of Our Lady of Walsingham"</v>
      </c>
      <c r="AU139" s="155" t="str">
        <f t="shared" si="127"/>
        <v>location: {lat: 52.8805595538228, lng: 0.852760715341141}</v>
      </c>
      <c r="AV139" s="155" t="str">
        <f t="shared" si="128"/>
        <v>interest: global</v>
      </c>
      <c r="AW139" s="155" t="str">
        <f>"- "&amp;VLOOKUP(C139,'(Ref) Countries'!A:C,3,)</f>
        <v>- uk</v>
      </c>
      <c r="AX139" s="155" t="str">
        <f t="shared" si="129"/>
        <v/>
      </c>
      <c r="AY139" s="155" t="str">
        <f t="shared" si="130"/>
        <v>- churches</v>
      </c>
      <c r="AZ139" s="155" t="str">
        <f t="shared" si="131"/>
        <v>- marian-sites</v>
      </c>
      <c r="BA139" s="155" t="str">
        <f t="shared" si="132"/>
        <v/>
      </c>
      <c r="BB139" s="155" t="str">
        <f t="shared" si="133"/>
        <v/>
      </c>
      <c r="BC139" s="155" t="str">
        <f t="shared" si="134"/>
        <v/>
      </c>
      <c r="BD139" s="155" t="str">
        <f t="shared" si="135"/>
        <v/>
      </c>
      <c r="BE139" s="155" t="str">
        <f t="shared" si="136"/>
        <v/>
      </c>
      <c r="BF139" s="155" t="str">
        <f t="shared" si="137"/>
        <v/>
      </c>
      <c r="BG139" s="155" t="str">
        <f t="shared" si="138"/>
        <v/>
      </c>
      <c r="BH139" s="155" t="str">
        <f t="shared" si="139"/>
        <v/>
      </c>
      <c r="BI139" s="155" t="str">
        <f t="shared" si="140"/>
        <v/>
      </c>
      <c r="BJ139" s="155" t="str">
        <f t="shared" si="141"/>
        <v/>
      </c>
      <c r="BK139" s="155" t="str">
        <f t="shared" si="142"/>
        <v/>
      </c>
      <c r="BL139" s="155" t="str">
        <f t="shared" si="143"/>
        <v xml:space="preserve">tags:
- uk_x000D_
- churches_x000D_
- marian-sites_x000D_
</v>
      </c>
      <c r="BM139" s="158" t="str">
        <f t="shared" si="154"/>
        <v>[Official site](https://www.walsingham.org.uk/)</v>
      </c>
      <c r="BN139" s="158" t="str">
        <f t="shared" si="155"/>
        <v/>
      </c>
      <c r="BO139" s="158" t="str">
        <f t="shared" si="156"/>
        <v/>
      </c>
      <c r="BP139" s="158" t="str">
        <f t="shared" si="157"/>
        <v/>
      </c>
      <c r="BQ139" s="158" t="str">
        <f t="shared" si="144"/>
        <v xml:space="preserve">* [Official site](https://www.walsingham.org.uk/)
</v>
      </c>
      <c r="BR139" s="158" t="str">
        <f t="shared" si="145"/>
        <v>[Link](http://www.therealpresence.org/eucharst/misc/BVM/153_WALSINGHAM_60x96.pdf)</v>
      </c>
      <c r="BS139" s="158" t="str">
        <f t="shared" si="146"/>
        <v>[Link](https://www.miraclehunter.com/marian_apparitions/approved_apparitions/walsingham/index.html)</v>
      </c>
      <c r="BT139" s="158" t="str">
        <f t="shared" si="147"/>
        <v>[Link](https://www.marypages.com/our-lady-of-walsingham-en.html)</v>
      </c>
      <c r="BU139" s="158" t="str">
        <f>IF(LEN(concat(BR139:BT139))&gt;0,concat("| ",BR139," | ",BS139," | ",BT139," |"),"")</f>
        <v>| [Link](http://www.therealpresence.org/eucharst/misc/BVM/153_WALSINGHAM_60x96.pdf) | [Link](https://www.miraclehunter.com/marian_apparitions/approved_apparitions/walsingham/index.html) | [Link](https://www.marypages.com/our-lady-of-walsingham-en.html) |</v>
      </c>
      <c r="BV139" s="155" t="str">
        <f t="shared" si="148"/>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55"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55" t="str">
        <f>IF(LEN(N139)&gt;1,concatll("#### Author's Note",N139,"-"&amp;B139),"")</f>
        <v/>
      </c>
      <c r="BY139" s="155" t="s">
        <v>335</v>
      </c>
      <c r="BZ139" s="155" t="s">
        <v>335</v>
      </c>
      <c r="CA139" s="23" t="str">
        <f>IF(AS139,concatll(concatl("---",AT139:AV139,BL139,"---"),M139,BW139:BX139),"")</f>
        <v xml:space="preserve">---_x000D_
title: "Catholic National Shrine and Basilica of Our Lady of Walsingham"_x000D_
location: {lat: 52.8805595538228, lng: 0.852760715341141}_x000D_
interest: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23" t="str">
        <f>IF(AS139,"places\"&amp;VLOOKUP(C139,'(Ref) Countries'!A:B,2,)&amp;IF(LEN(D139)&gt;1,"-"&amp;LOWER(SUBSTITUTE(D139," ","-")),"")&amp;"-"&amp;LOWER(SUBSTITUTE(SUBSTITUTE(H139," ","-"),".",""))&amp;".md","")</f>
        <v>places\gb-basilica-of-our-lady-of-walsingham.md</v>
      </c>
      <c r="CC139" s="29" t="str">
        <f>IF(LEN(Z139)&gt;1,VLOOKUP(Z139,'Tag List'!$A:$B,2,),"")</f>
        <v/>
      </c>
      <c r="CD139" s="29" t="str">
        <f>IF(LEN(AA139)&gt;1,VLOOKUP(AA139,'Tag List'!$A:$B,2,),"")</f>
        <v/>
      </c>
      <c r="CE139" s="29" t="str">
        <f>IF(LEN(AB139)&gt;1,VLOOKUP(AB139,'Tag List'!$A:$B,2,),"")</f>
        <v/>
      </c>
      <c r="CF139" s="30" t="str">
        <f>IF(LEN(Z139)&gt;1,GetTagPage(CC139,Z139),"")</f>
        <v/>
      </c>
      <c r="CG139" s="30" t="str">
        <f>IF(LEN(AA139)&gt;1,GetTagPage(CD139,AA139),"")</f>
        <v/>
      </c>
      <c r="CH139" s="30" t="str">
        <f>IF(LEN(AB139)&gt;1,GetTagPage(CE139,AB139),"")</f>
        <v/>
      </c>
      <c r="CI139" s="30" t="str">
        <f t="shared" si="149"/>
        <v xml:space="preserve">| </v>
      </c>
      <c r="CJ139" s="30" t="str">
        <f t="shared" si="150"/>
        <v xml:space="preserve">| [Walsingham](/places/places\gb-basilica-of-our-lady-of-walsingham) </v>
      </c>
      <c r="CK139" s="30" t="str">
        <f>"| "&amp;IF(AS139,GetTagPage(C139,VLOOKUP(C139,'(Ref) Countries'!A:C,3,)),C139)&amp; " "</f>
        <v xml:space="preserve">| [United Kingdom](/tags/uk) </v>
      </c>
      <c r="CL139" s="30" t="str">
        <f t="shared" si="151"/>
        <v xml:space="preserve">| 11th Century </v>
      </c>
      <c r="CM139" s="30" t="str">
        <f t="shared" si="152"/>
        <v xml:space="preserve">| [Link](/places/places\gb-basilica-of-our-lady-of-walsingham) </v>
      </c>
      <c r="CN139" s="29" t="str">
        <f t="shared" si="153"/>
        <v xml:space="preserve">
| [Walsingham](/places/places\gb-basilica-of-our-lady-of-walsingham) | [United Kingdom](/tags/uk)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2" x14ac:dyDescent="0.25">
      <c r="G140" s="32"/>
      <c r="H140" s="57"/>
      <c r="I140" s="32"/>
      <c r="J140" s="40"/>
      <c r="M140" s="47"/>
      <c r="O140" s="141"/>
      <c r="AJ140" s="142"/>
      <c r="AK140" s="143"/>
      <c r="AL140" s="141"/>
      <c r="AM140" s="141"/>
      <c r="AN140" s="141"/>
      <c r="AO140" s="141"/>
      <c r="AP140" s="141"/>
      <c r="AQ140" s="144"/>
      <c r="BM140" s="158"/>
      <c r="BN140" s="158"/>
      <c r="BO140" s="158"/>
      <c r="BP140" s="158"/>
      <c r="BQ140" s="158"/>
      <c r="BR140" s="158"/>
      <c r="BS140" s="158"/>
      <c r="BT140" s="158"/>
      <c r="BU140" s="158"/>
      <c r="CB140" s="23"/>
      <c r="CF140" s="30"/>
      <c r="CG140" s="30"/>
      <c r="CH140" s="30"/>
      <c r="CI140" s="30"/>
      <c r="CJ140" s="30"/>
      <c r="CK140" s="30"/>
      <c r="CL140" s="30"/>
      <c r="CM140" s="30"/>
    </row>
    <row r="141" spans="1:92" x14ac:dyDescent="0.25">
      <c r="CB141" s="23"/>
    </row>
  </sheetData>
  <autoFilter ref="A5:CT140" xr:uid="{A598B8B3-DE60-41C5-96BA-7CC5FA9AD3BE}">
    <sortState xmlns:xlrd2="http://schemas.microsoft.com/office/spreadsheetml/2017/richdata2" ref="A6:CT141">
      <sortCondition ref="A5:A135"/>
    </sortState>
  </autoFilter>
  <conditionalFormatting sqref="AJ1:AQ1048576">
    <cfRule type="expression" dxfId="5" priority="108">
      <formula>IF(AND($A1&lt;&gt;0,$K1=0),TRUE,FALSE)</formula>
    </cfRule>
  </conditionalFormatting>
  <conditionalFormatting sqref="A1:AQ1048576">
    <cfRule type="expression" dxfId="4" priority="102" stopIfTrue="1">
      <formula>IF($A1="New (change to Done when complete)",TRUE,FALSE)</formula>
    </cfRule>
    <cfRule type="expression" dxfId="3" priority="103" stopIfTrue="1">
      <formula>IF($A1="Blocked",TRUE,FALSE)</formula>
    </cfRule>
    <cfRule type="expression" dxfId="2" priority="104">
      <formula>IF(AND(LEN($A1)&gt;0,$A1&lt;&gt;"Done",$A1&lt;&gt;"Status"),TRUE,FALSE)</formula>
    </cfRule>
  </conditionalFormatting>
  <conditionalFormatting sqref="B1:AQ1048576">
    <cfRule type="expression" dxfId="1" priority="1">
      <formula>IF(B1=B$1,TRUE,FALSE)</formula>
    </cfRule>
  </conditionalFormatting>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C1:C1048576</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E7" activePane="bottomRight" state="frozen"/>
      <selection pane="topRight" activeCell="G1" sqref="G1"/>
      <selection pane="bottomLeft" activeCell="A2" sqref="A2"/>
      <selection pane="bottomRight" activeCell="A30" sqref="A30"/>
    </sheetView>
  </sheetViews>
  <sheetFormatPr defaultColWidth="9.140625" defaultRowHeight="12.75" x14ac:dyDescent="0.25"/>
  <cols>
    <col min="1" max="1" width="12.85546875" style="167" bestFit="1" customWidth="1"/>
    <col min="2" max="2" width="7.85546875" style="24" customWidth="1"/>
    <col min="3" max="3" width="25.7109375" style="53" bestFit="1" customWidth="1"/>
    <col min="4" max="4" width="48.140625" style="24" bestFit="1" customWidth="1"/>
    <col min="5" max="5" width="20.85546875" style="53" bestFit="1" customWidth="1"/>
    <col min="6" max="6" width="69" style="24" customWidth="1"/>
    <col min="7" max="7" width="45.5703125" style="53" customWidth="1"/>
    <col min="8" max="8" width="11.5703125" style="60" bestFit="1" customWidth="1"/>
    <col min="9" max="9" width="10.28515625" style="15" bestFit="1" customWidth="1"/>
    <col min="10" max="10" width="14.85546875" style="64" bestFit="1" customWidth="1"/>
    <col min="11" max="11" width="11.5703125" style="60" bestFit="1" customWidth="1"/>
    <col min="12" max="12" width="10.28515625" style="15" bestFit="1" customWidth="1"/>
    <col min="13" max="13" width="14.85546875" style="64" bestFit="1" customWidth="1"/>
    <col min="14" max="14" width="11.5703125" style="15" bestFit="1" customWidth="1"/>
    <col min="15" max="15" width="10.28515625" style="15" bestFit="1" customWidth="1"/>
    <col min="16" max="16" width="14.85546875" style="49" bestFit="1" customWidth="1"/>
    <col min="17" max="17" width="4.5703125" style="159" bestFit="1" customWidth="1"/>
    <col min="18" max="18" width="9" style="154" bestFit="1" customWidth="1"/>
    <col min="19" max="19" width="10.28515625" style="155" bestFit="1" customWidth="1"/>
    <col min="20" max="23" width="7.140625" style="155" customWidth="1"/>
    <col min="24" max="78" width="9.140625" style="155"/>
    <col min="79" max="79" width="38.7109375" style="23" customWidth="1"/>
    <col min="80" max="80" width="38.7109375" style="31" customWidth="1"/>
    <col min="81" max="16384" width="9.140625" style="15"/>
  </cols>
  <sheetData>
    <row r="1" spans="1:80" ht="51" x14ac:dyDescent="0.25">
      <c r="A1" s="167" t="s">
        <v>2479</v>
      </c>
      <c r="B1" s="168" t="s">
        <v>2480</v>
      </c>
      <c r="C1" s="177" t="s">
        <v>2550</v>
      </c>
      <c r="D1" s="164" t="s">
        <v>2464</v>
      </c>
      <c r="E1" s="177" t="s">
        <v>2552</v>
      </c>
      <c r="F1" s="168" t="s">
        <v>2563</v>
      </c>
      <c r="G1" s="177" t="s">
        <v>2553</v>
      </c>
      <c r="H1" s="169" t="s">
        <v>2487</v>
      </c>
      <c r="I1" s="170" t="s">
        <v>2488</v>
      </c>
      <c r="J1" s="171" t="s">
        <v>2489</v>
      </c>
      <c r="K1" s="172" t="s">
        <v>335</v>
      </c>
      <c r="L1" s="173" t="s">
        <v>335</v>
      </c>
      <c r="M1" s="174" t="s">
        <v>335</v>
      </c>
      <c r="N1" s="173" t="s">
        <v>335</v>
      </c>
      <c r="O1" s="173" t="s">
        <v>335</v>
      </c>
      <c r="P1" s="175" t="s">
        <v>335</v>
      </c>
      <c r="Q1" s="180" t="s">
        <v>335</v>
      </c>
      <c r="R1" s="154" t="b">
        <f t="shared" ref="R1" si="0">IF(OR(A1="Done",A1="In Progress"),TRUE)</f>
        <v>0</v>
      </c>
      <c r="S1" s="155" t="str">
        <f t="shared" ref="S1" si="1">"title: """&amp;D1&amp;""""</f>
        <v>title: "Page Title (what will display on website)"</v>
      </c>
      <c r="T1" s="155" t="str">
        <f>IF(LEN(I1)&gt;0,TRIM(CONCATENATE("["&amp;H1&amp;"](",I1,") ",IF(LEN(J1)&gt;0,"- "&amp;J1,J1))),"")</f>
        <v>[Link Name](Link URL) - Link Comment</v>
      </c>
      <c r="U1" s="155" t="str">
        <f>IF(LEN(L1)&gt;0,TRIM(CONCATENATE("["&amp;K1&amp;"](",L1,") ",IF(LEN(M1)&gt;0,"- "&amp;M1,M1))),"")</f>
        <v/>
      </c>
      <c r="V1" s="155" t="str">
        <f>IF(LEN(O1)&gt;0,TRIM(CONCATENATE("["&amp;N1&amp;"](",O1,") ",IF(LEN(P1)&gt;0,"- "&amp;P1,P1))),"")</f>
        <v/>
      </c>
      <c r="W1" s="155" t="str">
        <f t="shared" ref="W1" si="2">IF(LEN(T1)&gt;0,"* "&amp;T1&amp;CHAR(10),"")&amp;
IF(LEN(U1)&gt;0,"* "&amp;U1&amp;CHAR(10),"")&amp;
IF(LEN(V1)&gt;0,"* "&amp;V1&amp;CHAR(10),"")</f>
        <v xml:space="preserve">* [Link Name](Link URL) - Link Comment
</v>
      </c>
      <c r="X1" s="155" t="str">
        <f>IF(LEN(W1)&gt;0,concatl("#### More Information",W1),"")</f>
        <v xml:space="preserve">#### More Information_x000D_
* [Link Name](Link URL) - Link Comment
_x000D_
</v>
      </c>
      <c r="Y1" s="155" t="str">
        <f>IF(LEN(G1)&gt;1,concatll("#### Author's Note",G1,"-"&amp;B1),"")</f>
        <v xml:space="preserve">#### Author's Note_x000D_
_x000D_
Non-referenceable information which you've found, or any other opinions/preferences (optional)_x000D_
_x000D_
-Your Initials_x000D_
_x000D_
</v>
      </c>
      <c r="BZ1" s="158"/>
      <c r="CA1" s="23" t="str">
        <f>IF(R1,concatll(concatl("---",S1,"---"),"*A collection of sites associated with this topic.*","#### Background",F1,X1,Y1),"")</f>
        <v/>
      </c>
      <c r="CB1" s="31" t="str">
        <f t="shared" ref="CB1" si="3">IF(R1,"tags\"&amp;C1&amp;"\_index.md","")</f>
        <v/>
      </c>
    </row>
    <row r="2" spans="1:80" x14ac:dyDescent="0.25">
      <c r="P2" s="163"/>
    </row>
    <row r="5" spans="1:80" s="67" customFormat="1" ht="26.25" thickBot="1" x14ac:dyDescent="0.3">
      <c r="A5" s="146" t="s">
        <v>1318</v>
      </c>
      <c r="B5" s="146" t="s">
        <v>2484</v>
      </c>
      <c r="C5" s="148" t="s">
        <v>1423</v>
      </c>
      <c r="D5" s="146" t="s">
        <v>1424</v>
      </c>
      <c r="E5" s="148" t="s">
        <v>2084</v>
      </c>
      <c r="F5" s="146" t="s">
        <v>2562</v>
      </c>
      <c r="G5" s="148" t="s">
        <v>367</v>
      </c>
      <c r="H5" s="149" t="s">
        <v>1753</v>
      </c>
      <c r="I5" s="145" t="s">
        <v>1754</v>
      </c>
      <c r="J5" s="150" t="s">
        <v>2475</v>
      </c>
      <c r="K5" s="149" t="s">
        <v>1757</v>
      </c>
      <c r="L5" s="145" t="s">
        <v>1758</v>
      </c>
      <c r="M5" s="150" t="s">
        <v>2476</v>
      </c>
      <c r="N5" s="145" t="s">
        <v>1760</v>
      </c>
      <c r="O5" s="145" t="s">
        <v>1761</v>
      </c>
      <c r="P5" s="147" t="s">
        <v>2477</v>
      </c>
      <c r="Q5" s="160" t="s">
        <v>335</v>
      </c>
      <c r="R5" s="156" t="s">
        <v>1450</v>
      </c>
      <c r="S5" s="157" t="s">
        <v>996</v>
      </c>
      <c r="T5" s="157" t="s">
        <v>1782</v>
      </c>
      <c r="U5" s="157" t="s">
        <v>1783</v>
      </c>
      <c r="V5" s="157" t="s">
        <v>1784</v>
      </c>
      <c r="W5" s="157" t="s">
        <v>1789</v>
      </c>
      <c r="X5" s="157" t="s">
        <v>2232</v>
      </c>
      <c r="Y5" s="157" t="s">
        <v>1779</v>
      </c>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c r="BS5" s="157"/>
      <c r="BT5" s="157"/>
      <c r="BU5" s="157"/>
      <c r="BV5" s="157"/>
      <c r="BW5" s="157"/>
      <c r="BX5" s="157"/>
      <c r="BY5" s="157"/>
      <c r="BZ5" s="176"/>
      <c r="CA5" s="77" t="s">
        <v>1786</v>
      </c>
      <c r="CB5" s="76" t="s">
        <v>986</v>
      </c>
    </row>
    <row r="6" spans="1:80" ht="76.5" x14ac:dyDescent="0.25">
      <c r="A6" s="167" t="s">
        <v>1317</v>
      </c>
      <c r="B6" s="168" t="s">
        <v>2481</v>
      </c>
      <c r="C6" s="177" t="s">
        <v>2537</v>
      </c>
      <c r="D6" s="168" t="s">
        <v>2536</v>
      </c>
      <c r="E6" s="53" t="s">
        <v>2086</v>
      </c>
      <c r="F6" s="168" t="s">
        <v>2538</v>
      </c>
      <c r="G6" s="177"/>
      <c r="H6" s="169" t="s">
        <v>2542</v>
      </c>
      <c r="I6" s="15" t="s">
        <v>2543</v>
      </c>
      <c r="J6" s="64" t="s">
        <v>335</v>
      </c>
      <c r="K6" s="60" t="s">
        <v>335</v>
      </c>
      <c r="L6" s="15" t="s">
        <v>335</v>
      </c>
      <c r="M6" s="64" t="s">
        <v>335</v>
      </c>
      <c r="N6" s="15" t="s">
        <v>335</v>
      </c>
      <c r="O6" s="15" t="s">
        <v>335</v>
      </c>
      <c r="P6" s="49" t="s">
        <v>335</v>
      </c>
      <c r="R6" s="154" t="b">
        <f t="shared" ref="R6:R17" si="4">IF(OR(A6="Done",A6="In Progress"),TRUE)</f>
        <v>1</v>
      </c>
      <c r="S6" s="155" t="str">
        <f t="shared" ref="S6:S17" si="5">"title: """&amp;D6&amp;""""</f>
        <v>title: "Major Basilicas"</v>
      </c>
      <c r="T6" s="158" t="str">
        <f>IF(LEN(I6)&gt;0,TRIM(CONCATENATE("["&amp;H6&amp;"](",I6,") ",IF(LEN(J6)&gt;0,"- "&amp;J6,J6))),"")</f>
        <v>[Vatican List of Major Basilicas](https://www.vatican.va/various/basiliche/index_en.html)</v>
      </c>
      <c r="U6" s="158" t="str">
        <f>IF(LEN(L6)&gt;0,TRIM(CONCATENATE("["&amp;K6&amp;"](",L6,") ",IF(LEN(M6)&gt;0,"- "&amp;M6,M6))),"")</f>
        <v/>
      </c>
      <c r="V6" s="158" t="str">
        <f>IF(LEN(O6)&gt;0,TRIM(CONCATENATE("["&amp;N6&amp;"](",O6,") ",IF(LEN(P6)&gt;0,"- "&amp;P6,P6))),"")</f>
        <v/>
      </c>
      <c r="W6" s="158" t="str">
        <f t="shared" ref="W6:W16" si="6">IF(LEN(T6)&gt;0,"* "&amp;T6&amp;CHAR(10),"")&amp;
IF(LEN(U6)&gt;0,"* "&amp;U6&amp;CHAR(10),"")&amp;
IF(LEN(V6)&gt;0,"* "&amp;V6&amp;CHAR(10),"")</f>
        <v xml:space="preserve">* [Vatican List of Major Basilicas](https://www.vatican.va/various/basiliche/index_en.html)
</v>
      </c>
      <c r="X6" s="155" t="str">
        <f>IF(LEN(W6)&gt;0,concatl("#### More Information",W6),"")</f>
        <v xml:space="preserve">#### More Information_x000D_
* [Vatican List of Major Basilicas](https://www.vatican.va/various/basiliche/index_en.html)
_x000D_
</v>
      </c>
      <c r="Y6" s="155" t="str">
        <f>IF(LEN(G6)&gt;1,concatll("#### Author's Note",G6,"-"&amp;B6),"")</f>
        <v/>
      </c>
      <c r="CA6" s="23" t="str">
        <f>IF(R6,concatll(concatl("---",S6,"---"),"*A collection of sites associated with this topic.*","#### Background",F6,X6,Y6),"")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23" t="str">
        <f t="shared" ref="CB6:CB67" si="7">IF(R6,"tags\"&amp;C6&amp;"\_index.md","")</f>
        <v>tags\major-basilicas\_index.md</v>
      </c>
    </row>
    <row r="7" spans="1:80" x14ac:dyDescent="0.25">
      <c r="C7" s="178" t="s">
        <v>1420</v>
      </c>
      <c r="D7" s="24" t="s">
        <v>1433</v>
      </c>
      <c r="E7" s="53" t="s">
        <v>2086</v>
      </c>
      <c r="H7" s="59" t="s">
        <v>335</v>
      </c>
      <c r="I7" s="16" t="s">
        <v>335</v>
      </c>
      <c r="J7" s="63" t="s">
        <v>335</v>
      </c>
      <c r="K7" s="59" t="s">
        <v>335</v>
      </c>
      <c r="L7" s="16" t="s">
        <v>335</v>
      </c>
      <c r="M7" s="63" t="s">
        <v>335</v>
      </c>
      <c r="N7" s="16" t="s">
        <v>335</v>
      </c>
      <c r="O7" s="16" t="s">
        <v>335</v>
      </c>
      <c r="P7" s="50" t="s">
        <v>335</v>
      </c>
      <c r="R7" s="154" t="b">
        <f t="shared" si="4"/>
        <v>0</v>
      </c>
      <c r="S7" s="155" t="str">
        <f t="shared" si="5"/>
        <v>title: "Religious Communities"</v>
      </c>
      <c r="T7" s="158" t="str">
        <f t="shared" ref="T7:T66" si="8">IF(LEN(I7)&gt;0,TRIM(CONCATENATE("["&amp;H7&amp;"](",I7,") ",IF(LEN(J7)&gt;0,"- "&amp;J7,J7))),"")</f>
        <v/>
      </c>
      <c r="U7" s="158" t="str">
        <f t="shared" ref="U7:U66" si="9">IF(LEN(L7)&gt;0,TRIM(CONCATENATE("["&amp;K7&amp;"](",L7,") ",IF(LEN(M7)&gt;0,"- "&amp;M7,M7))),"")</f>
        <v/>
      </c>
      <c r="V7" s="158" t="str">
        <f t="shared" ref="V7:V66" si="10">IF(LEN(O7)&gt;0,TRIM(CONCATENATE("["&amp;N7&amp;"](",O7,") ",IF(LEN(P7)&gt;0,"- "&amp;P7,P7))),"")</f>
        <v/>
      </c>
      <c r="W7" s="158" t="str">
        <f t="shared" si="6"/>
        <v/>
      </c>
      <c r="X7" s="155" t="str">
        <f t="shared" ref="X7:X66" si="11">IF(LEN(W7)&gt;0,concatl("#### More Information",W7),"")</f>
        <v/>
      </c>
      <c r="Y7" s="155" t="str">
        <f>IF(LEN(G7)&gt;1,concatll("#### Author's Note",G7,"-"&amp;B7),"")</f>
        <v/>
      </c>
      <c r="CA7" s="23" t="str">
        <f>IF(R7,concatll(concatl("---",S7,"---"),"*A collection of sites associated with this topic.*","#### Background",F7,X7,Y7),"")</f>
        <v/>
      </c>
      <c r="CB7" s="23" t="str">
        <f t="shared" si="7"/>
        <v/>
      </c>
    </row>
    <row r="8" spans="1:80" x14ac:dyDescent="0.25">
      <c r="B8" s="168"/>
      <c r="C8" s="53" t="s">
        <v>1829</v>
      </c>
      <c r="D8" s="45" t="s">
        <v>1830</v>
      </c>
      <c r="E8" s="58" t="s">
        <v>2086</v>
      </c>
      <c r="F8" s="45"/>
      <c r="H8" s="60" t="s">
        <v>335</v>
      </c>
      <c r="I8" s="15" t="s">
        <v>335</v>
      </c>
      <c r="J8" s="64" t="s">
        <v>335</v>
      </c>
      <c r="K8" s="60" t="s">
        <v>335</v>
      </c>
      <c r="L8" s="15" t="s">
        <v>335</v>
      </c>
      <c r="M8" s="64" t="s">
        <v>335</v>
      </c>
      <c r="N8" s="15" t="s">
        <v>335</v>
      </c>
      <c r="O8" s="15" t="s">
        <v>335</v>
      </c>
      <c r="P8" s="49" t="s">
        <v>335</v>
      </c>
      <c r="R8" s="154" t="b">
        <f t="shared" si="4"/>
        <v>0</v>
      </c>
      <c r="S8" s="155" t="str">
        <f t="shared" si="5"/>
        <v>title: "Protestant Reformation"</v>
      </c>
      <c r="T8" s="158" t="str">
        <f t="shared" si="8"/>
        <v/>
      </c>
      <c r="U8" s="158" t="str">
        <f t="shared" si="9"/>
        <v/>
      </c>
      <c r="V8" s="158" t="str">
        <f t="shared" si="10"/>
        <v/>
      </c>
      <c r="W8" s="158" t="str">
        <f t="shared" si="6"/>
        <v/>
      </c>
      <c r="X8" s="155" t="str">
        <f t="shared" si="11"/>
        <v/>
      </c>
      <c r="Y8" s="155" t="str">
        <f>IF(LEN(G8)&gt;1,concatll("#### Author's Note",G8,"-"&amp;B8),"")</f>
        <v/>
      </c>
      <c r="CA8" s="23" t="str">
        <f>IF(R8,concatll(concatl("---",S8,"---"),"*A collection of sites associated with this topic.*","#### Background",F8,X8,Y8),"")</f>
        <v/>
      </c>
      <c r="CB8" s="23" t="str">
        <f t="shared" si="7"/>
        <v/>
      </c>
    </row>
    <row r="9" spans="1:80" x14ac:dyDescent="0.25">
      <c r="C9" s="53" t="s">
        <v>2082</v>
      </c>
      <c r="D9" s="83" t="s">
        <v>2083</v>
      </c>
      <c r="E9" s="90" t="s">
        <v>2086</v>
      </c>
      <c r="F9" s="83"/>
      <c r="G9" s="177"/>
      <c r="H9" s="60" t="s">
        <v>335</v>
      </c>
      <c r="I9" s="15" t="s">
        <v>335</v>
      </c>
      <c r="J9" s="64" t="s">
        <v>335</v>
      </c>
      <c r="K9" s="60" t="s">
        <v>335</v>
      </c>
      <c r="L9" s="15" t="s">
        <v>335</v>
      </c>
      <c r="M9" s="64" t="s">
        <v>335</v>
      </c>
      <c r="N9" s="15" t="s">
        <v>335</v>
      </c>
      <c r="O9" s="15" t="s">
        <v>335</v>
      </c>
      <c r="P9" s="49" t="s">
        <v>335</v>
      </c>
      <c r="R9" s="154" t="b">
        <f t="shared" si="4"/>
        <v>0</v>
      </c>
      <c r="S9" s="155" t="str">
        <f t="shared" si="5"/>
        <v>title: "Closed or Deconsecrated Sites"</v>
      </c>
      <c r="T9" s="158" t="str">
        <f t="shared" si="8"/>
        <v/>
      </c>
      <c r="U9" s="158" t="str">
        <f t="shared" si="9"/>
        <v/>
      </c>
      <c r="V9" s="158" t="str">
        <f t="shared" si="10"/>
        <v/>
      </c>
      <c r="W9" s="155" t="str">
        <f t="shared" si="6"/>
        <v/>
      </c>
      <c r="X9" s="155" t="str">
        <f t="shared" si="11"/>
        <v/>
      </c>
      <c r="Y9" s="155" t="str">
        <f>IF(LEN(G9)&gt;1,concatll("#### Author's Note",G9,"-"&amp;B9),"")</f>
        <v/>
      </c>
      <c r="CA9" s="23" t="str">
        <f>IF(R9,concatll(concatl("---",S9,"---"),"*A collection of sites associated with this topic.*","#### Background",F9,X9,Y9),"")</f>
        <v/>
      </c>
      <c r="CB9" s="23" t="str">
        <f t="shared" si="7"/>
        <v/>
      </c>
    </row>
    <row r="10" spans="1:80" x14ac:dyDescent="0.25">
      <c r="C10" s="53" t="s">
        <v>2249</v>
      </c>
      <c r="D10" s="41" t="s">
        <v>2250</v>
      </c>
      <c r="E10" s="56" t="s">
        <v>2086</v>
      </c>
      <c r="G10" s="177"/>
      <c r="H10" s="82" t="s">
        <v>335</v>
      </c>
      <c r="I10" s="34" t="s">
        <v>335</v>
      </c>
      <c r="J10" s="115" t="s">
        <v>335</v>
      </c>
      <c r="K10" s="61" t="s">
        <v>335</v>
      </c>
      <c r="L10" s="34" t="s">
        <v>335</v>
      </c>
      <c r="M10" s="65" t="s">
        <v>335</v>
      </c>
      <c r="N10" s="34" t="s">
        <v>335</v>
      </c>
      <c r="O10" s="34" t="s">
        <v>335</v>
      </c>
      <c r="P10" s="98" t="s">
        <v>335</v>
      </c>
      <c r="R10" s="154" t="b">
        <f t="shared" si="4"/>
        <v>0</v>
      </c>
      <c r="S10" s="155" t="str">
        <f t="shared" si="5"/>
        <v>title: "English Martyrs"</v>
      </c>
      <c r="T10" s="158" t="str">
        <f t="shared" si="8"/>
        <v/>
      </c>
      <c r="U10" s="158" t="str">
        <f t="shared" si="9"/>
        <v/>
      </c>
      <c r="V10" s="158" t="str">
        <f t="shared" si="10"/>
        <v/>
      </c>
      <c r="W10" s="158" t="str">
        <f t="shared" si="6"/>
        <v/>
      </c>
      <c r="X10" s="155" t="str">
        <f t="shared" si="11"/>
        <v/>
      </c>
      <c r="Y10" s="155" t="str">
        <f>IF(LEN(G10)&gt;1,concatll("#### Author's Note",G10,"-"&amp;B10),"")</f>
        <v/>
      </c>
      <c r="CA10" s="23" t="str">
        <f>IF(R10,concatll(concatl("---",S10,"---"),"*A collection of sites associated with this topic.*","#### Background",F10,X10,Y10),"")</f>
        <v/>
      </c>
      <c r="CB10" s="23" t="str">
        <f t="shared" si="7"/>
        <v/>
      </c>
    </row>
    <row r="11" spans="1:80" x14ac:dyDescent="0.25">
      <c r="C11" s="53" t="s">
        <v>2388</v>
      </c>
      <c r="D11" s="41" t="s">
        <v>2389</v>
      </c>
      <c r="E11" s="53" t="s">
        <v>2086</v>
      </c>
      <c r="F11" s="41"/>
      <c r="H11" s="60" t="s">
        <v>335</v>
      </c>
      <c r="I11" s="15" t="s">
        <v>335</v>
      </c>
      <c r="J11" s="64" t="s">
        <v>335</v>
      </c>
      <c r="K11" s="60" t="s">
        <v>335</v>
      </c>
      <c r="L11" s="15" t="s">
        <v>335</v>
      </c>
      <c r="M11" s="64" t="s">
        <v>335</v>
      </c>
      <c r="N11" s="15" t="s">
        <v>335</v>
      </c>
      <c r="O11" s="15" t="s">
        <v>335</v>
      </c>
      <c r="P11" s="49" t="s">
        <v>335</v>
      </c>
      <c r="R11" s="154" t="b">
        <f t="shared" si="4"/>
        <v>0</v>
      </c>
      <c r="S11" s="155" t="str">
        <f t="shared" si="5"/>
        <v>title: "Sites Related to Educational Institutions"</v>
      </c>
      <c r="T11" s="158" t="str">
        <f t="shared" si="8"/>
        <v/>
      </c>
      <c r="U11" s="158" t="str">
        <f t="shared" si="9"/>
        <v/>
      </c>
      <c r="V11" s="158" t="str">
        <f t="shared" si="10"/>
        <v/>
      </c>
      <c r="W11" s="158" t="str">
        <f t="shared" si="6"/>
        <v/>
      </c>
      <c r="X11" s="155" t="str">
        <f t="shared" si="11"/>
        <v/>
      </c>
      <c r="Y11" s="155" t="str">
        <f>IF(LEN(G11)&gt;1,concatll("#### Author's Note",G11,"-"&amp;B11),"")</f>
        <v/>
      </c>
      <c r="CA11" s="23" t="str">
        <f>IF(R11,concatll(concatl("---",S11,"---"),"*A collection of sites associated with this topic.*","#### Background",F11,X11,Y11),"")</f>
        <v/>
      </c>
      <c r="CB11" s="23" t="str">
        <f t="shared" si="7"/>
        <v/>
      </c>
    </row>
    <row r="12" spans="1:80" x14ac:dyDescent="0.25">
      <c r="B12" s="168"/>
      <c r="C12" s="103" t="s">
        <v>2391</v>
      </c>
      <c r="D12" s="101" t="s">
        <v>2392</v>
      </c>
      <c r="E12" s="103" t="s">
        <v>2086</v>
      </c>
      <c r="F12" s="101"/>
      <c r="H12" s="60" t="s">
        <v>335</v>
      </c>
      <c r="I12" s="15" t="s">
        <v>335</v>
      </c>
      <c r="J12" s="64" t="s">
        <v>335</v>
      </c>
      <c r="K12" s="60" t="s">
        <v>335</v>
      </c>
      <c r="L12" s="15" t="s">
        <v>335</v>
      </c>
      <c r="M12" s="64" t="s">
        <v>335</v>
      </c>
      <c r="N12" s="15" t="s">
        <v>335</v>
      </c>
      <c r="O12" s="15" t="s">
        <v>335</v>
      </c>
      <c r="P12" s="49" t="s">
        <v>335</v>
      </c>
      <c r="R12" s="154" t="b">
        <f t="shared" si="4"/>
        <v>0</v>
      </c>
      <c r="S12" s="155" t="str">
        <f t="shared" si="5"/>
        <v>title: "Order of Friars Minor (Fransiscans)"</v>
      </c>
      <c r="T12" s="158" t="str">
        <f t="shared" si="8"/>
        <v/>
      </c>
      <c r="U12" s="158" t="str">
        <f t="shared" si="9"/>
        <v/>
      </c>
      <c r="V12" s="158" t="str">
        <f t="shared" si="10"/>
        <v/>
      </c>
      <c r="W12" s="155" t="str">
        <f t="shared" si="6"/>
        <v/>
      </c>
      <c r="X12" s="155" t="str">
        <f t="shared" si="11"/>
        <v/>
      </c>
      <c r="Y12" s="155" t="str">
        <f>IF(LEN(G12)&gt;1,concatll("#### Author's Note",G12,"-"&amp;B12),"")</f>
        <v/>
      </c>
      <c r="CA12" s="23" t="str">
        <f>IF(R12,concatll(concatl("---",S12,"---"),"*A collection of sites associated with this topic.*","#### Background",F12,X12,Y12),"")</f>
        <v/>
      </c>
      <c r="CB12" s="23" t="str">
        <f t="shared" si="7"/>
        <v/>
      </c>
    </row>
    <row r="13" spans="1:80" x14ac:dyDescent="0.25">
      <c r="C13" s="53" t="s">
        <v>2397</v>
      </c>
      <c r="D13" s="101" t="s">
        <v>2398</v>
      </c>
      <c r="E13" s="103" t="s">
        <v>2086</v>
      </c>
      <c r="F13" s="101"/>
      <c r="H13" s="106" t="s">
        <v>335</v>
      </c>
      <c r="I13" s="15" t="s">
        <v>335</v>
      </c>
      <c r="J13" s="107" t="s">
        <v>335</v>
      </c>
      <c r="K13" s="60" t="s">
        <v>335</v>
      </c>
      <c r="L13" s="15" t="s">
        <v>335</v>
      </c>
      <c r="M13" s="64" t="s">
        <v>335</v>
      </c>
      <c r="N13" s="15" t="s">
        <v>335</v>
      </c>
      <c r="O13" s="15" t="s">
        <v>335</v>
      </c>
      <c r="P13" s="49" t="s">
        <v>335</v>
      </c>
      <c r="R13" s="154" t="b">
        <f t="shared" si="4"/>
        <v>0</v>
      </c>
      <c r="S13" s="155" t="str">
        <f t="shared" si="5"/>
        <v>title: "Franciscian Missions in California"</v>
      </c>
      <c r="T13" s="158" t="str">
        <f t="shared" si="8"/>
        <v/>
      </c>
      <c r="U13" s="158" t="str">
        <f t="shared" si="9"/>
        <v/>
      </c>
      <c r="V13" s="158" t="str">
        <f t="shared" si="10"/>
        <v/>
      </c>
      <c r="W13" s="155" t="str">
        <f t="shared" si="6"/>
        <v/>
      </c>
      <c r="X13" s="155" t="str">
        <f t="shared" si="11"/>
        <v/>
      </c>
      <c r="Y13" s="155" t="str">
        <f>IF(LEN(G13)&gt;1,concatll("#### Author's Note",G13,"-"&amp;B13),"")</f>
        <v/>
      </c>
      <c r="CA13" s="23" t="str">
        <f>IF(R13,concatll(concatl("---",S13,"---"),"*A collection of sites associated with this topic.*","#### Background",F13,X13,Y13),"")</f>
        <v/>
      </c>
      <c r="CB13" s="23" t="str">
        <f t="shared" si="7"/>
        <v/>
      </c>
    </row>
    <row r="14" spans="1:80" x14ac:dyDescent="0.25">
      <c r="C14" s="103" t="s">
        <v>2421</v>
      </c>
      <c r="D14" s="101" t="s">
        <v>2422</v>
      </c>
      <c r="E14" s="53" t="s">
        <v>2086</v>
      </c>
      <c r="F14" s="101"/>
      <c r="H14" s="60" t="s">
        <v>335</v>
      </c>
      <c r="I14" s="15" t="s">
        <v>335</v>
      </c>
      <c r="J14" s="64" t="s">
        <v>335</v>
      </c>
      <c r="K14" s="60" t="s">
        <v>335</v>
      </c>
      <c r="L14" s="15" t="s">
        <v>335</v>
      </c>
      <c r="M14" s="64" t="s">
        <v>335</v>
      </c>
      <c r="N14" s="15" t="s">
        <v>335</v>
      </c>
      <c r="O14" s="15" t="s">
        <v>335</v>
      </c>
      <c r="P14" s="49" t="s">
        <v>335</v>
      </c>
      <c r="R14" s="154" t="b">
        <f t="shared" si="4"/>
        <v>0</v>
      </c>
      <c r="S14" s="155" t="str">
        <f t="shared" si="5"/>
        <v>title: "Sites Related to the Twelve Apostles"</v>
      </c>
      <c r="T14" s="158" t="str">
        <f t="shared" si="8"/>
        <v/>
      </c>
      <c r="U14" s="158" t="str">
        <f t="shared" si="9"/>
        <v/>
      </c>
      <c r="V14" s="158" t="str">
        <f t="shared" si="10"/>
        <v/>
      </c>
      <c r="W14" s="155" t="str">
        <f t="shared" si="6"/>
        <v/>
      </c>
      <c r="X14" s="155" t="str">
        <f t="shared" si="11"/>
        <v/>
      </c>
      <c r="Y14" s="155" t="str">
        <f>IF(LEN(G14)&gt;1,concatll("#### Author's Note",G14,"-"&amp;B14),"")</f>
        <v/>
      </c>
      <c r="CA14" s="23" t="str">
        <f>IF(R14,concatll(concatl("---",S14,"---"),"*A collection of sites associated with this topic.*","#### Background",F14,X14,Y14),"")</f>
        <v/>
      </c>
      <c r="CB14" s="23" t="str">
        <f t="shared" si="7"/>
        <v/>
      </c>
    </row>
    <row r="15" spans="1:80" x14ac:dyDescent="0.25">
      <c r="B15" s="168"/>
      <c r="C15" s="177" t="s">
        <v>2524</v>
      </c>
      <c r="D15" s="40" t="s">
        <v>1735</v>
      </c>
      <c r="E15" s="177" t="s">
        <v>2526</v>
      </c>
      <c r="F15" s="40"/>
      <c r="G15" s="177"/>
      <c r="H15" s="60" t="s">
        <v>335</v>
      </c>
      <c r="I15" s="15" t="s">
        <v>335</v>
      </c>
      <c r="J15" s="64" t="s">
        <v>335</v>
      </c>
      <c r="K15" s="60" t="s">
        <v>335</v>
      </c>
      <c r="L15" s="15" t="s">
        <v>335</v>
      </c>
      <c r="M15" s="64" t="s">
        <v>335</v>
      </c>
      <c r="N15" s="15" t="s">
        <v>335</v>
      </c>
      <c r="O15" s="15" t="s">
        <v>335</v>
      </c>
      <c r="P15" s="49" t="s">
        <v>335</v>
      </c>
      <c r="R15" s="154" t="b">
        <f t="shared" si="4"/>
        <v>0</v>
      </c>
      <c r="S15" s="155" t="str">
        <f t="shared" si="5"/>
        <v>title: "Our Lady of Grace"</v>
      </c>
      <c r="T15" s="158" t="str">
        <f t="shared" si="8"/>
        <v/>
      </c>
      <c r="U15" s="158" t="str">
        <f t="shared" si="9"/>
        <v/>
      </c>
      <c r="V15" s="158" t="str">
        <f t="shared" si="10"/>
        <v/>
      </c>
      <c r="W15" s="158" t="str">
        <f t="shared" si="6"/>
        <v/>
      </c>
      <c r="X15" s="155" t="str">
        <f t="shared" si="11"/>
        <v/>
      </c>
      <c r="Y15" s="155" t="str">
        <f>IF(LEN(G15)&gt;1,concatll("#### Author's Note",G15,"-"&amp;B15),"")</f>
        <v/>
      </c>
      <c r="CA15" s="23" t="str">
        <f>IF(R15,concatll(concatl("---",S15,"---"),"*A collection of sites associated with this topic.*","#### Background",F15,X15,Y15),"")</f>
        <v/>
      </c>
      <c r="CB15" s="23" t="str">
        <f t="shared" si="7"/>
        <v/>
      </c>
    </row>
    <row r="16" spans="1:80" x14ac:dyDescent="0.25">
      <c r="B16" s="168"/>
      <c r="C16" s="177" t="s">
        <v>2525</v>
      </c>
      <c r="D16" s="24" t="s">
        <v>1736</v>
      </c>
      <c r="E16" s="53" t="s">
        <v>2526</v>
      </c>
      <c r="F16" s="116"/>
      <c r="H16" s="60" t="s">
        <v>335</v>
      </c>
      <c r="I16" s="15" t="s">
        <v>335</v>
      </c>
      <c r="J16" s="64" t="s">
        <v>335</v>
      </c>
      <c r="K16" s="60" t="s">
        <v>335</v>
      </c>
      <c r="L16" s="15" t="s">
        <v>335</v>
      </c>
      <c r="M16" s="64" t="s">
        <v>335</v>
      </c>
      <c r="N16" s="15" t="s">
        <v>335</v>
      </c>
      <c r="O16" s="15" t="s">
        <v>335</v>
      </c>
      <c r="P16" s="49" t="s">
        <v>335</v>
      </c>
      <c r="R16" s="154" t="b">
        <f t="shared" si="4"/>
        <v>0</v>
      </c>
      <c r="S16" s="155" t="str">
        <f t="shared" si="5"/>
        <v>title: "Our Lady of Ipswich"</v>
      </c>
      <c r="T16" s="158" t="str">
        <f t="shared" si="8"/>
        <v/>
      </c>
      <c r="U16" s="158" t="str">
        <f t="shared" si="9"/>
        <v/>
      </c>
      <c r="V16" s="158" t="str">
        <f t="shared" si="10"/>
        <v/>
      </c>
      <c r="W16" s="155" t="str">
        <f t="shared" si="6"/>
        <v/>
      </c>
      <c r="X16" s="155" t="str">
        <f t="shared" si="11"/>
        <v/>
      </c>
      <c r="Y16" s="155" t="str">
        <f>IF(LEN(G16)&gt;1,concatll("#### Author's Note",G16,"-"&amp;B16),"")</f>
        <v/>
      </c>
      <c r="CA16" s="23" t="str">
        <f>IF(R16,concatll(concatl("---",S16,"---"),"*A collection of sites associated with this topic.*","#### Background",F16,X16,Y16),"")</f>
        <v/>
      </c>
      <c r="CB16" s="23" t="str">
        <f t="shared" si="7"/>
        <v/>
      </c>
    </row>
    <row r="17" spans="1:80" x14ac:dyDescent="0.25">
      <c r="A17" s="167" t="s">
        <v>1317</v>
      </c>
      <c r="B17" s="168" t="s">
        <v>2481</v>
      </c>
      <c r="C17" s="177" t="s">
        <v>2530</v>
      </c>
      <c r="D17" s="168" t="s">
        <v>2531</v>
      </c>
      <c r="E17" s="57" t="s">
        <v>1732</v>
      </c>
      <c r="F17" s="168" t="s">
        <v>2532</v>
      </c>
      <c r="H17" s="172" t="s">
        <v>335</v>
      </c>
      <c r="I17" s="173" t="s">
        <v>335</v>
      </c>
      <c r="J17" s="174" t="s">
        <v>335</v>
      </c>
      <c r="K17" s="172" t="s">
        <v>335</v>
      </c>
      <c r="L17" s="173" t="s">
        <v>335</v>
      </c>
      <c r="M17" s="174" t="s">
        <v>335</v>
      </c>
      <c r="N17" s="173" t="s">
        <v>335</v>
      </c>
      <c r="O17" s="173" t="s">
        <v>335</v>
      </c>
      <c r="P17" s="175" t="s">
        <v>335</v>
      </c>
      <c r="R17" s="154" t="b">
        <f>IF(OR(A17="Done",A17="In Progress"),TRUE)</f>
        <v>1</v>
      </c>
      <c r="S17" s="155" t="str">
        <f>"title: """&amp;D17&amp;""""</f>
        <v>title: "St. James the Great"</v>
      </c>
      <c r="T17" s="158" t="str">
        <f t="shared" si="8"/>
        <v/>
      </c>
      <c r="U17" s="158" t="str">
        <f t="shared" si="9"/>
        <v/>
      </c>
      <c r="V17" s="158" t="str">
        <f t="shared" si="10"/>
        <v/>
      </c>
      <c r="W17" s="158" t="str">
        <f>IF(LEN(T17)&gt;0,"* "&amp;T17&amp;CHAR(10),"")&amp;
IF(LEN(U17)&gt;0,"* "&amp;U17&amp;CHAR(10),"")&amp;
IF(LEN(V17)&gt;0,"* "&amp;V17&amp;CHAR(10),"")</f>
        <v/>
      </c>
      <c r="X17" s="155" t="str">
        <f t="shared" si="11"/>
        <v/>
      </c>
      <c r="Y17" s="155" t="str">
        <f>IF(LEN(G17)&gt;1,concatll("#### Author's Note",G17,"-"&amp;B17),"")</f>
        <v/>
      </c>
      <c r="BZ17" s="158"/>
      <c r="CA17" s="23" t="str">
        <f>IF(R17,concatll(concatl("---",S17,"---"),"*A collection of sites associated with this topic.*","#### Background",F17,X17,Y17),"")</f>
        <v xml:space="preserve">---_x000D_
title: "St. James the Great"_x000D_
---_x000D_
_x000D_
_x000D_
*A collection of sites associated with this topic.*_x000D_
_x000D_
#### Background_x000D_
_x000D_
One of the Twelve Apostles, and the patron Saint of Spain._x000D_
_x000D_
</v>
      </c>
      <c r="CB17" s="23" t="str">
        <f t="shared" si="7"/>
        <v>tags\james-great\_index.md</v>
      </c>
    </row>
    <row r="18" spans="1:80" ht="63.75" x14ac:dyDescent="0.25">
      <c r="A18" s="167" t="s">
        <v>1317</v>
      </c>
      <c r="B18" s="168" t="s">
        <v>2481</v>
      </c>
      <c r="C18" s="53" t="s">
        <v>1413</v>
      </c>
      <c r="D18" s="24" t="s">
        <v>1430</v>
      </c>
      <c r="E18" s="53" t="s">
        <v>1732</v>
      </c>
      <c r="F18" s="168" t="s">
        <v>2544</v>
      </c>
      <c r="G18" s="177"/>
      <c r="H18" s="82" t="s">
        <v>335</v>
      </c>
      <c r="I18" s="15" t="s">
        <v>335</v>
      </c>
      <c r="J18" s="64" t="s">
        <v>335</v>
      </c>
      <c r="K18" s="60" t="s">
        <v>335</v>
      </c>
      <c r="L18" s="15" t="s">
        <v>335</v>
      </c>
      <c r="M18" s="64" t="s">
        <v>335</v>
      </c>
      <c r="N18" s="15" t="s">
        <v>335</v>
      </c>
      <c r="O18" s="15" t="s">
        <v>335</v>
      </c>
      <c r="P18" s="49" t="s">
        <v>335</v>
      </c>
      <c r="R18" s="154" t="b">
        <f t="shared" ref="R18:R67" si="12">IF(OR(A18="Done",A18="In Progress"),TRUE)</f>
        <v>1</v>
      </c>
      <c r="S18" s="155" t="str">
        <f t="shared" ref="S18:S67" si="13">"title: """&amp;D18&amp;""""</f>
        <v>title: "Pope St. John Paul II"</v>
      </c>
      <c r="T18" s="158" t="str">
        <f t="shared" si="8"/>
        <v/>
      </c>
      <c r="U18" s="158" t="str">
        <f t="shared" si="9"/>
        <v/>
      </c>
      <c r="V18" s="158" t="str">
        <f t="shared" si="10"/>
        <v/>
      </c>
      <c r="W18" s="158" t="str">
        <f t="shared" ref="W18:W67" si="14">IF(LEN(T18)&gt;0,"* "&amp;T18&amp;CHAR(10),"")&amp;
IF(LEN(U18)&gt;0,"* "&amp;U18&amp;CHAR(10),"")&amp;
IF(LEN(V18)&gt;0,"* "&amp;V18&amp;CHAR(10),"")</f>
        <v/>
      </c>
      <c r="X18" s="155" t="str">
        <f t="shared" si="11"/>
        <v/>
      </c>
      <c r="Y18" s="155" t="str">
        <f>IF(LEN(G18)&gt;1,concatll("#### Author's Note",G18,"-"&amp;B18),"")</f>
        <v/>
      </c>
      <c r="BZ18" s="158"/>
      <c r="CA18" s="23" t="str">
        <f>IF(R18,concatll(concatl("---",S18,"---"),"*A collection of sites associated with this topic.*","#### Background",F18,X18,Y18),"")</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8" s="23" t="str">
        <f t="shared" si="7"/>
        <v>tags\john-paul-ii\_index.md</v>
      </c>
    </row>
    <row r="19" spans="1:80" ht="51" x14ac:dyDescent="0.25">
      <c r="A19" s="167" t="s">
        <v>1317</v>
      </c>
      <c r="B19" s="168" t="s">
        <v>2481</v>
      </c>
      <c r="C19" s="53" t="s">
        <v>484</v>
      </c>
      <c r="D19" s="24" t="s">
        <v>1431</v>
      </c>
      <c r="E19" s="53" t="s">
        <v>1732</v>
      </c>
      <c r="F19" s="168" t="s">
        <v>2545</v>
      </c>
      <c r="G19" s="177"/>
      <c r="H19" s="60" t="s">
        <v>335</v>
      </c>
      <c r="I19" s="15" t="s">
        <v>335</v>
      </c>
      <c r="J19" s="64" t="s">
        <v>335</v>
      </c>
      <c r="K19" s="60" t="s">
        <v>335</v>
      </c>
      <c r="L19" s="15" t="s">
        <v>335</v>
      </c>
      <c r="M19" s="64" t="s">
        <v>335</v>
      </c>
      <c r="N19" s="15" t="s">
        <v>335</v>
      </c>
      <c r="O19" s="15" t="s">
        <v>335</v>
      </c>
      <c r="P19" s="49" t="s">
        <v>335</v>
      </c>
      <c r="R19" s="154" t="b">
        <f t="shared" si="12"/>
        <v>1</v>
      </c>
      <c r="S19" s="155" t="str">
        <f t="shared" si="13"/>
        <v>title: "St. Juan Diego"</v>
      </c>
      <c r="T19" s="158" t="str">
        <f t="shared" si="8"/>
        <v/>
      </c>
      <c r="U19" s="158" t="str">
        <f t="shared" si="9"/>
        <v/>
      </c>
      <c r="V19" s="158" t="str">
        <f t="shared" si="10"/>
        <v/>
      </c>
      <c r="W19" s="158" t="str">
        <f t="shared" si="14"/>
        <v/>
      </c>
      <c r="X19" s="155" t="str">
        <f t="shared" si="11"/>
        <v/>
      </c>
      <c r="Y19" s="155" t="str">
        <f>IF(LEN(G19)&gt;1,concatll("#### Author's Note",G19,"-"&amp;B19),"")</f>
        <v/>
      </c>
      <c r="BZ19" s="158"/>
      <c r="CA19" s="23" t="str">
        <f>IF(R19,concatll(concatl("---",S19,"---"),"*A collection of sites associated with this topic.*","#### Background",F19,X19,Y19),"")</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19" s="23" t="str">
        <f t="shared" si="7"/>
        <v>tags\juan-diego\_index.md</v>
      </c>
    </row>
    <row r="20" spans="1:80" x14ac:dyDescent="0.25">
      <c r="C20" s="53" t="s">
        <v>485</v>
      </c>
      <c r="D20" s="24" t="s">
        <v>2087</v>
      </c>
      <c r="E20" s="53" t="s">
        <v>1732</v>
      </c>
      <c r="G20" s="177"/>
      <c r="H20" s="60" t="s">
        <v>335</v>
      </c>
      <c r="I20" s="15" t="s">
        <v>335</v>
      </c>
      <c r="J20" s="64" t="s">
        <v>335</v>
      </c>
      <c r="K20" s="60" t="s">
        <v>335</v>
      </c>
      <c r="L20" s="15" t="s">
        <v>335</v>
      </c>
      <c r="M20" s="64" t="s">
        <v>335</v>
      </c>
      <c r="N20" s="15" t="s">
        <v>335</v>
      </c>
      <c r="O20" s="15" t="s">
        <v>335</v>
      </c>
      <c r="P20" s="49" t="s">
        <v>335</v>
      </c>
      <c r="R20" s="154" t="b">
        <f t="shared" si="12"/>
        <v>0</v>
      </c>
      <c r="S20" s="155" t="str">
        <f t="shared" si="13"/>
        <v>title: "Ven. Benoite Rencurel"</v>
      </c>
      <c r="T20" s="158" t="str">
        <f t="shared" si="8"/>
        <v/>
      </c>
      <c r="U20" s="158" t="str">
        <f t="shared" si="9"/>
        <v/>
      </c>
      <c r="V20" s="158" t="str">
        <f t="shared" si="10"/>
        <v/>
      </c>
      <c r="W20" s="158" t="str">
        <f t="shared" si="14"/>
        <v/>
      </c>
      <c r="X20" s="155" t="str">
        <f t="shared" si="11"/>
        <v/>
      </c>
      <c r="Y20" s="155" t="str">
        <f>IF(LEN(G20)&gt;1,concatll("#### Author's Note",G20,"-"&amp;B20),"")</f>
        <v/>
      </c>
      <c r="BZ20" s="158"/>
      <c r="CA20" s="23" t="str">
        <f>IF(R20,concatll(concatl("---",S20,"---"),"*A collection of sites associated with this topic.*","#### Background",F20,X20,Y20),"")</f>
        <v/>
      </c>
      <c r="CB20" s="23" t="str">
        <f t="shared" si="7"/>
        <v/>
      </c>
    </row>
    <row r="21" spans="1:80" x14ac:dyDescent="0.25">
      <c r="B21" s="27"/>
      <c r="C21" s="58" t="s">
        <v>486</v>
      </c>
      <c r="D21" s="24" t="s">
        <v>1432</v>
      </c>
      <c r="E21" s="53" t="s">
        <v>1732</v>
      </c>
      <c r="F21" s="45"/>
      <c r="G21" s="177"/>
      <c r="H21" s="60" t="s">
        <v>335</v>
      </c>
      <c r="I21" s="15" t="s">
        <v>335</v>
      </c>
      <c r="J21" s="64" t="s">
        <v>335</v>
      </c>
      <c r="K21" s="60" t="s">
        <v>335</v>
      </c>
      <c r="L21" s="15" t="s">
        <v>335</v>
      </c>
      <c r="M21" s="64" t="s">
        <v>335</v>
      </c>
      <c r="N21" s="15" t="s">
        <v>335</v>
      </c>
      <c r="O21" s="15" t="s">
        <v>335</v>
      </c>
      <c r="P21" s="49" t="s">
        <v>335</v>
      </c>
      <c r="R21" s="154" t="b">
        <f t="shared" si="12"/>
        <v>0</v>
      </c>
      <c r="S21" s="155" t="str">
        <f t="shared" si="13"/>
        <v>title: "St. Catherine Laboure"</v>
      </c>
      <c r="T21" s="158" t="str">
        <f t="shared" si="8"/>
        <v/>
      </c>
      <c r="U21" s="158" t="str">
        <f t="shared" si="9"/>
        <v/>
      </c>
      <c r="V21" s="158" t="str">
        <f t="shared" si="10"/>
        <v/>
      </c>
      <c r="W21" s="158" t="str">
        <f t="shared" si="14"/>
        <v/>
      </c>
      <c r="X21" s="155" t="str">
        <f t="shared" si="11"/>
        <v/>
      </c>
      <c r="Y21" s="155" t="str">
        <f>IF(LEN(G21)&gt;1,concatll("#### Author's Note",G21,"-"&amp;B21),"")</f>
        <v/>
      </c>
      <c r="BZ21" s="158"/>
      <c r="CA21" s="23" t="str">
        <f>IF(R21,concatll(concatl("---",S21,"---"),"*A collection of sites associated with this topic.*","#### Background",F21,X21,Y21),"")</f>
        <v/>
      </c>
      <c r="CB21" s="23" t="str">
        <f t="shared" si="7"/>
        <v/>
      </c>
    </row>
    <row r="22" spans="1:80" x14ac:dyDescent="0.25">
      <c r="C22" s="53" t="s">
        <v>487</v>
      </c>
      <c r="D22" s="24" t="s">
        <v>2411</v>
      </c>
      <c r="E22" s="53" t="s">
        <v>1732</v>
      </c>
      <c r="H22" s="60" t="s">
        <v>335</v>
      </c>
      <c r="I22" s="15" t="s">
        <v>335</v>
      </c>
      <c r="J22" s="64" t="s">
        <v>335</v>
      </c>
      <c r="K22" s="60" t="s">
        <v>335</v>
      </c>
      <c r="L22" s="15" t="s">
        <v>335</v>
      </c>
      <c r="M22" s="64" t="s">
        <v>335</v>
      </c>
      <c r="N22" s="15" t="s">
        <v>335</v>
      </c>
      <c r="O22" s="15" t="s">
        <v>335</v>
      </c>
      <c r="P22" s="49" t="s">
        <v>335</v>
      </c>
      <c r="R22" s="154" t="b">
        <f t="shared" si="12"/>
        <v>0</v>
      </c>
      <c r="S22" s="155" t="str">
        <f t="shared" si="13"/>
        <v>title: "Fr. Marie-Alphonse Ratisbonne, NDS"</v>
      </c>
      <c r="T22" s="158" t="str">
        <f t="shared" si="8"/>
        <v/>
      </c>
      <c r="U22" s="158" t="str">
        <f t="shared" si="9"/>
        <v/>
      </c>
      <c r="V22" s="158" t="str">
        <f t="shared" si="10"/>
        <v/>
      </c>
      <c r="W22" s="158" t="str">
        <f t="shared" si="14"/>
        <v/>
      </c>
      <c r="X22" s="155" t="str">
        <f t="shared" si="11"/>
        <v/>
      </c>
      <c r="Y22" s="155" t="str">
        <f>IF(LEN(G22)&gt;1,concatll("#### Author's Note",G22,"-"&amp;B22),"")</f>
        <v/>
      </c>
      <c r="BZ22" s="158"/>
      <c r="CA22" s="23" t="str">
        <f>IF(R22,concatll(concatl("---",S22,"---"),"*A collection of sites associated with this topic.*","#### Background",F22,X22,Y22),"")</f>
        <v/>
      </c>
      <c r="CB22" s="23" t="str">
        <f t="shared" si="7"/>
        <v/>
      </c>
    </row>
    <row r="23" spans="1:80" x14ac:dyDescent="0.25">
      <c r="C23" s="53" t="s">
        <v>488</v>
      </c>
      <c r="D23" s="24" t="s">
        <v>1434</v>
      </c>
      <c r="E23" s="53" t="s">
        <v>1732</v>
      </c>
      <c r="H23" s="60" t="s">
        <v>335</v>
      </c>
      <c r="I23" s="15" t="s">
        <v>335</v>
      </c>
      <c r="J23" s="64" t="s">
        <v>335</v>
      </c>
      <c r="K23" s="60" t="s">
        <v>335</v>
      </c>
      <c r="L23" s="15" t="s">
        <v>335</v>
      </c>
      <c r="M23" s="64" t="s">
        <v>335</v>
      </c>
      <c r="N23" s="15" t="s">
        <v>335</v>
      </c>
      <c r="O23" s="15" t="s">
        <v>335</v>
      </c>
      <c r="P23" s="49" t="s">
        <v>335</v>
      </c>
      <c r="R23" s="154" t="b">
        <f t="shared" si="12"/>
        <v>0</v>
      </c>
      <c r="S23" s="155" t="str">
        <f t="shared" si="13"/>
        <v>title: "St. Bernadette of Lourdes"</v>
      </c>
      <c r="T23" s="158" t="str">
        <f t="shared" si="8"/>
        <v/>
      </c>
      <c r="U23" s="158" t="str">
        <f t="shared" si="9"/>
        <v/>
      </c>
      <c r="V23" s="158" t="str">
        <f t="shared" si="10"/>
        <v/>
      </c>
      <c r="W23" s="158" t="str">
        <f t="shared" si="14"/>
        <v/>
      </c>
      <c r="X23" s="155" t="str">
        <f t="shared" si="11"/>
        <v/>
      </c>
      <c r="Y23" s="155" t="str">
        <f>IF(LEN(G23)&gt;1,concatll("#### Author's Note",G23,"-"&amp;B23),"")</f>
        <v/>
      </c>
      <c r="BZ23" s="158"/>
      <c r="CA23" s="23" t="str">
        <f>IF(R23,concatll(concatl("---",S23,"---"),"*A collection of sites associated with this topic.*","#### Background",F23,X23,Y23),"")</f>
        <v/>
      </c>
      <c r="CB23" s="23" t="str">
        <f t="shared" si="7"/>
        <v/>
      </c>
    </row>
    <row r="24" spans="1:80" x14ac:dyDescent="0.25">
      <c r="C24" s="53" t="s">
        <v>1421</v>
      </c>
      <c r="D24" s="24" t="s">
        <v>1435</v>
      </c>
      <c r="E24" s="53" t="s">
        <v>1732</v>
      </c>
      <c r="H24" s="60" t="s">
        <v>335</v>
      </c>
      <c r="I24" s="15" t="s">
        <v>335</v>
      </c>
      <c r="J24" s="64" t="s">
        <v>335</v>
      </c>
      <c r="K24" s="60" t="s">
        <v>335</v>
      </c>
      <c r="L24" s="15" t="s">
        <v>335</v>
      </c>
      <c r="M24" s="64" t="s">
        <v>335</v>
      </c>
      <c r="N24" s="15" t="s">
        <v>335</v>
      </c>
      <c r="O24" s="15" t="s">
        <v>335</v>
      </c>
      <c r="P24" s="49" t="s">
        <v>335</v>
      </c>
      <c r="R24" s="154" t="b">
        <f t="shared" si="12"/>
        <v>0</v>
      </c>
      <c r="S24" s="155" t="str">
        <f t="shared" si="13"/>
        <v>title: "Bl. Lucia dos Santos"</v>
      </c>
      <c r="T24" s="158" t="str">
        <f t="shared" si="8"/>
        <v/>
      </c>
      <c r="U24" s="158" t="str">
        <f t="shared" si="9"/>
        <v/>
      </c>
      <c r="V24" s="158" t="str">
        <f t="shared" si="10"/>
        <v/>
      </c>
      <c r="W24" s="158" t="str">
        <f t="shared" si="14"/>
        <v/>
      </c>
      <c r="X24" s="155" t="str">
        <f t="shared" si="11"/>
        <v/>
      </c>
      <c r="Y24" s="155" t="str">
        <f>IF(LEN(G24)&gt;1,concatll("#### Author's Note",G24,"-"&amp;B24),"")</f>
        <v/>
      </c>
      <c r="BZ24" s="158"/>
      <c r="CA24" s="23" t="str">
        <f>IF(R24,concatll(concatl("---",S24,"---"),"*A collection of sites associated with this topic.*","#### Background",F24,X24,Y24),"")</f>
        <v/>
      </c>
      <c r="CB24" s="23" t="str">
        <f t="shared" si="7"/>
        <v/>
      </c>
    </row>
    <row r="25" spans="1:80" x14ac:dyDescent="0.25">
      <c r="B25" s="168"/>
      <c r="C25" s="90" t="s">
        <v>1316</v>
      </c>
      <c r="D25" s="24" t="s">
        <v>2088</v>
      </c>
      <c r="E25" s="90" t="s">
        <v>1732</v>
      </c>
      <c r="F25" s="83"/>
      <c r="G25" s="177"/>
      <c r="H25" s="60" t="s">
        <v>335</v>
      </c>
      <c r="I25" s="15" t="s">
        <v>335</v>
      </c>
      <c r="J25" s="64" t="s">
        <v>335</v>
      </c>
      <c r="K25" s="60" t="s">
        <v>335</v>
      </c>
      <c r="L25" s="15" t="s">
        <v>335</v>
      </c>
      <c r="M25" s="64" t="s">
        <v>335</v>
      </c>
      <c r="N25" s="15" t="s">
        <v>335</v>
      </c>
      <c r="O25" s="15" t="s">
        <v>335</v>
      </c>
      <c r="P25" s="49" t="s">
        <v>335</v>
      </c>
      <c r="R25" s="154" t="b">
        <f t="shared" si="12"/>
        <v>0</v>
      </c>
      <c r="S25" s="155" t="str">
        <f t="shared" si="13"/>
        <v>title: "S.D. Reinolda May, OSB"</v>
      </c>
      <c r="T25" s="158" t="str">
        <f t="shared" si="8"/>
        <v/>
      </c>
      <c r="U25" s="158" t="str">
        <f t="shared" si="9"/>
        <v/>
      </c>
      <c r="V25" s="158" t="str">
        <f t="shared" si="10"/>
        <v/>
      </c>
      <c r="W25" s="158" t="str">
        <f t="shared" si="14"/>
        <v/>
      </c>
      <c r="X25" s="155" t="str">
        <f t="shared" si="11"/>
        <v/>
      </c>
      <c r="Y25" s="155" t="str">
        <f>IF(LEN(G25)&gt;1,concatll("#### Author's Note",G25,"-"&amp;B25),"")</f>
        <v/>
      </c>
      <c r="BZ25" s="158"/>
      <c r="CA25" s="23" t="str">
        <f>IF(R25,concatll(concatl("---",S25,"---"),"*A collection of sites associated with this topic.*","#### Background",F25,X25,Y25),"")</f>
        <v/>
      </c>
      <c r="CB25" s="23" t="str">
        <f t="shared" si="7"/>
        <v/>
      </c>
    </row>
    <row r="26" spans="1:80" x14ac:dyDescent="0.25">
      <c r="B26" s="168"/>
      <c r="C26" s="53" t="s">
        <v>1422</v>
      </c>
      <c r="D26" s="83" t="s">
        <v>1436</v>
      </c>
      <c r="E26" s="90" t="s">
        <v>1732</v>
      </c>
      <c r="F26" s="83"/>
      <c r="H26" s="60" t="s">
        <v>335</v>
      </c>
      <c r="I26" s="15" t="s">
        <v>335</v>
      </c>
      <c r="J26" s="64" t="s">
        <v>335</v>
      </c>
      <c r="K26" s="60" t="s">
        <v>335</v>
      </c>
      <c r="L26" s="15" t="s">
        <v>335</v>
      </c>
      <c r="M26" s="64" t="s">
        <v>335</v>
      </c>
      <c r="N26" s="15" t="s">
        <v>335</v>
      </c>
      <c r="O26" s="15" t="s">
        <v>335</v>
      </c>
      <c r="P26" s="49" t="s">
        <v>335</v>
      </c>
      <c r="R26" s="154" t="b">
        <f t="shared" si="12"/>
        <v>0</v>
      </c>
      <c r="S26" s="155" t="str">
        <f t="shared" si="13"/>
        <v>title: "Sts. Francisco and Jacinta Marto"</v>
      </c>
      <c r="T26" s="158" t="str">
        <f t="shared" si="8"/>
        <v/>
      </c>
      <c r="U26" s="158" t="str">
        <f t="shared" si="9"/>
        <v/>
      </c>
      <c r="V26" s="158" t="str">
        <f t="shared" si="10"/>
        <v/>
      </c>
      <c r="W26" s="158" t="str">
        <f t="shared" si="14"/>
        <v/>
      </c>
      <c r="X26" s="155" t="str">
        <f t="shared" si="11"/>
        <v/>
      </c>
      <c r="Y26" s="155" t="str">
        <f>IF(LEN(G26)&gt;1,concatll("#### Author's Note",G26,"-"&amp;B26),"")</f>
        <v/>
      </c>
      <c r="BZ26" s="158"/>
      <c r="CA26" s="23" t="str">
        <f>IF(R26,concatll(concatl("---",S26,"---"),"*A collection of sites associated with this topic.*","#### Background",F26,X26,Y26),"")</f>
        <v/>
      </c>
      <c r="CB26" s="23" t="str">
        <f t="shared" si="7"/>
        <v/>
      </c>
    </row>
    <row r="27" spans="1:80" x14ac:dyDescent="0.25">
      <c r="C27" s="53" t="s">
        <v>1699</v>
      </c>
      <c r="D27" s="24" t="s">
        <v>2412</v>
      </c>
      <c r="E27" s="90" t="s">
        <v>1732</v>
      </c>
      <c r="G27" s="177"/>
      <c r="H27" s="60" t="s">
        <v>335</v>
      </c>
      <c r="I27" s="15" t="s">
        <v>335</v>
      </c>
      <c r="J27" s="64" t="s">
        <v>335</v>
      </c>
      <c r="K27" s="60" t="s">
        <v>335</v>
      </c>
      <c r="L27" s="15" t="s">
        <v>335</v>
      </c>
      <c r="M27" s="64" t="s">
        <v>335</v>
      </c>
      <c r="N27" s="15" t="s">
        <v>335</v>
      </c>
      <c r="O27" s="15" t="s">
        <v>335</v>
      </c>
      <c r="P27" s="49" t="s">
        <v>335</v>
      </c>
      <c r="R27" s="154" t="b">
        <f t="shared" si="12"/>
        <v>0</v>
      </c>
      <c r="S27" s="155" t="str">
        <f t="shared" si="13"/>
        <v>title: "St. Vincent de Paul, CM"</v>
      </c>
      <c r="T27" s="158" t="str">
        <f t="shared" si="8"/>
        <v/>
      </c>
      <c r="U27" s="158" t="str">
        <f t="shared" si="9"/>
        <v/>
      </c>
      <c r="V27" s="158" t="str">
        <f t="shared" si="10"/>
        <v/>
      </c>
      <c r="W27" s="158" t="str">
        <f t="shared" si="14"/>
        <v/>
      </c>
      <c r="X27" s="155" t="str">
        <f t="shared" si="11"/>
        <v/>
      </c>
      <c r="Y27" s="155" t="str">
        <f>IF(LEN(G27)&gt;1,concatll("#### Author's Note",G27,"-"&amp;B27),"")</f>
        <v/>
      </c>
      <c r="BZ27" s="158"/>
      <c r="CA27" s="23" t="str">
        <f>IF(R27,concatll(concatl("---",S27,"---"),"*A collection of sites associated with this topic.*","#### Background",F27,X27,Y27),"")</f>
        <v/>
      </c>
      <c r="CB27" s="23" t="str">
        <f t="shared" si="7"/>
        <v/>
      </c>
    </row>
    <row r="28" spans="1:80" x14ac:dyDescent="0.25">
      <c r="C28" s="53" t="s">
        <v>1716</v>
      </c>
      <c r="D28" s="24" t="s">
        <v>2413</v>
      </c>
      <c r="E28" s="90" t="s">
        <v>1732</v>
      </c>
      <c r="F28" s="83"/>
      <c r="G28" s="177"/>
      <c r="H28" s="60" t="s">
        <v>335</v>
      </c>
      <c r="I28" s="15" t="s">
        <v>335</v>
      </c>
      <c r="J28" s="64" t="s">
        <v>335</v>
      </c>
      <c r="K28" s="60" t="s">
        <v>335</v>
      </c>
      <c r="L28" s="15" t="s">
        <v>335</v>
      </c>
      <c r="M28" s="64" t="s">
        <v>335</v>
      </c>
      <c r="N28" s="15" t="s">
        <v>335</v>
      </c>
      <c r="O28" s="15" t="s">
        <v>335</v>
      </c>
      <c r="P28" s="49" t="s">
        <v>335</v>
      </c>
      <c r="R28" s="154" t="b">
        <f t="shared" si="12"/>
        <v>0</v>
      </c>
      <c r="S28" s="155" t="str">
        <f t="shared" si="13"/>
        <v>title: "St. Louise de Marillac, DC"</v>
      </c>
      <c r="T28" s="158" t="str">
        <f t="shared" si="8"/>
        <v/>
      </c>
      <c r="U28" s="158" t="str">
        <f t="shared" si="9"/>
        <v/>
      </c>
      <c r="V28" s="158" t="str">
        <f t="shared" si="10"/>
        <v/>
      </c>
      <c r="W28" s="158" t="str">
        <f t="shared" si="14"/>
        <v/>
      </c>
      <c r="X28" s="155" t="str">
        <f t="shared" si="11"/>
        <v/>
      </c>
      <c r="Y28" s="155" t="str">
        <f>IF(LEN(G28)&gt;1,concatll("#### Author's Note",G28,"-"&amp;B28),"")</f>
        <v/>
      </c>
      <c r="BZ28" s="158"/>
      <c r="CA28" s="23" t="str">
        <f>IF(R28,concatll(concatl("---",S28,"---"),"*A collection of sites associated with this topic.*","#### Background",F28,X28,Y28),"")</f>
        <v/>
      </c>
      <c r="CB28" s="23" t="str">
        <f t="shared" si="7"/>
        <v/>
      </c>
    </row>
    <row r="29" spans="1:80" x14ac:dyDescent="0.25">
      <c r="B29" s="168"/>
      <c r="C29" s="90" t="s">
        <v>1717</v>
      </c>
      <c r="D29" s="83" t="s">
        <v>2415</v>
      </c>
      <c r="E29" s="90" t="s">
        <v>1732</v>
      </c>
      <c r="F29" s="83"/>
      <c r="H29" s="60" t="s">
        <v>335</v>
      </c>
      <c r="I29" s="15" t="s">
        <v>335</v>
      </c>
      <c r="J29" s="64" t="s">
        <v>335</v>
      </c>
      <c r="K29" s="60" t="s">
        <v>335</v>
      </c>
      <c r="L29" s="15" t="s">
        <v>335</v>
      </c>
      <c r="M29" s="64" t="s">
        <v>335</v>
      </c>
      <c r="N29" s="15" t="s">
        <v>335</v>
      </c>
      <c r="O29" s="15" t="s">
        <v>335</v>
      </c>
      <c r="P29" s="49" t="s">
        <v>335</v>
      </c>
      <c r="R29" s="154" t="b">
        <f t="shared" si="12"/>
        <v>0</v>
      </c>
      <c r="S29" s="155" t="str">
        <f t="shared" si="13"/>
        <v>title: "St. Jean-Gabriel Perboyre, CM"</v>
      </c>
      <c r="T29" s="158" t="str">
        <f t="shared" si="8"/>
        <v/>
      </c>
      <c r="U29" s="158" t="str">
        <f t="shared" si="9"/>
        <v/>
      </c>
      <c r="V29" s="158" t="str">
        <f t="shared" si="10"/>
        <v/>
      </c>
      <c r="W29" s="158" t="str">
        <f t="shared" si="14"/>
        <v/>
      </c>
      <c r="X29" s="155" t="str">
        <f t="shared" si="11"/>
        <v/>
      </c>
      <c r="Y29" s="155" t="str">
        <f>IF(LEN(G29)&gt;1,concatll("#### Author's Note",G29,"-"&amp;B29),"")</f>
        <v/>
      </c>
      <c r="BZ29" s="158"/>
      <c r="CA29" s="23" t="str">
        <f>IF(R29,concatll(concatl("---",S29,"---"),"*A collection of sites associated with this topic.*","#### Background",F29,X29,Y29),"")</f>
        <v/>
      </c>
      <c r="CB29" s="23" t="str">
        <f t="shared" si="7"/>
        <v/>
      </c>
    </row>
    <row r="30" spans="1:80" ht="76.5" x14ac:dyDescent="0.25">
      <c r="A30" s="167" t="s">
        <v>1317</v>
      </c>
      <c r="B30" s="168" t="s">
        <v>2482</v>
      </c>
      <c r="C30" s="179" t="s">
        <v>1730</v>
      </c>
      <c r="D30" s="32" t="s">
        <v>1731</v>
      </c>
      <c r="E30" s="57" t="s">
        <v>1732</v>
      </c>
      <c r="F30" s="168" t="s">
        <v>2565</v>
      </c>
      <c r="H30" s="172" t="s">
        <v>2568</v>
      </c>
      <c r="I30" s="16" t="s">
        <v>2566</v>
      </c>
      <c r="J30" s="174" t="s">
        <v>2567</v>
      </c>
      <c r="K30" s="59" t="s">
        <v>335</v>
      </c>
      <c r="L30" s="16" t="s">
        <v>335</v>
      </c>
      <c r="M30" s="63" t="s">
        <v>335</v>
      </c>
      <c r="N30" s="16" t="s">
        <v>335</v>
      </c>
      <c r="O30" s="16" t="s">
        <v>335</v>
      </c>
      <c r="P30" s="50" t="s">
        <v>335</v>
      </c>
      <c r="R30" s="154" t="b">
        <f t="shared" si="12"/>
        <v>1</v>
      </c>
      <c r="S30" s="155" t="str">
        <f t="shared" si="13"/>
        <v>title: "St. Maria Goretti"</v>
      </c>
      <c r="T30" s="158" t="str">
        <f t="shared" si="8"/>
        <v>[National Catholic Register Article](https://www.ncregister.com/blog/in-the-footsteps-of-st-maria-goretti) - An article about St. Maria Goretti's life and pilgrimage sites</v>
      </c>
      <c r="U30" s="158" t="str">
        <f t="shared" si="9"/>
        <v/>
      </c>
      <c r="V30" s="158" t="str">
        <f t="shared" si="10"/>
        <v/>
      </c>
      <c r="W30" s="158" t="str">
        <f t="shared" si="14"/>
        <v xml:space="preserve">* [National Catholic Register Article](https://www.ncregister.com/blog/in-the-footsteps-of-st-maria-goretti) - An article about St. Maria Goretti's life and pilgrimage sites
</v>
      </c>
      <c r="X30" s="155" t="str">
        <f t="shared" si="11"/>
        <v xml:space="preserve">#### More Information_x000D_
* [National Catholic Register Article](https://www.ncregister.com/blog/in-the-footsteps-of-st-maria-goretti) - An article about St. Maria Goretti's life and pilgrimage sites
_x000D_
</v>
      </c>
      <c r="Y30" s="155" t="str">
        <f>IF(LEN(G30)&gt;1,concatll("#### Author's Note",G30,"-"&amp;B30),"")</f>
        <v/>
      </c>
      <c r="BZ30" s="158"/>
      <c r="CA30" s="23" t="str">
        <f>IF(R30,concatll(concatl("---",S30,"---"),"*A collection of sites associated with this topic.*","#### Background",F30,X30,Y30),"")</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0" s="23" t="str">
        <f t="shared" si="7"/>
        <v>tags\maria-goretti\_index.md</v>
      </c>
    </row>
    <row r="31" spans="1:80" x14ac:dyDescent="0.25">
      <c r="A31" s="167" t="s">
        <v>2564</v>
      </c>
      <c r="B31" s="168" t="s">
        <v>2482</v>
      </c>
      <c r="C31" s="53" t="s">
        <v>1742</v>
      </c>
      <c r="D31" s="24" t="s">
        <v>2416</v>
      </c>
      <c r="E31" s="53" t="s">
        <v>1732</v>
      </c>
      <c r="G31" s="177"/>
      <c r="H31" s="169" t="s">
        <v>2572</v>
      </c>
      <c r="I31" s="170" t="s">
        <v>2571</v>
      </c>
      <c r="J31" s="171" t="s">
        <v>2573</v>
      </c>
      <c r="K31" s="60" t="s">
        <v>335</v>
      </c>
      <c r="L31" s="15" t="s">
        <v>335</v>
      </c>
      <c r="M31" s="64" t="s">
        <v>335</v>
      </c>
      <c r="N31" s="15" t="s">
        <v>335</v>
      </c>
      <c r="O31" s="15" t="s">
        <v>335</v>
      </c>
      <c r="P31" s="49" t="s">
        <v>335</v>
      </c>
      <c r="R31" s="154" t="b">
        <f t="shared" si="12"/>
        <v>0</v>
      </c>
      <c r="S31" s="155" t="str">
        <f t="shared" si="13"/>
        <v>title: "Bl. Pier Giorgio Frassati, TOSD"</v>
      </c>
      <c r="T31" s="158" t="str">
        <f t="shared" si="8"/>
        <v>[FrassatiUSA Travel Guide](https://frassatiusa.org/visit-italy) - A good guide for following in the footsteps of Bl. Pier Giorgio Frassati</v>
      </c>
      <c r="U31" s="158" t="str">
        <f t="shared" si="9"/>
        <v/>
      </c>
      <c r="V31" s="158" t="str">
        <f t="shared" si="10"/>
        <v/>
      </c>
      <c r="W31" s="158" t="str">
        <f t="shared" si="14"/>
        <v xml:space="preserve">* [FrassatiUSA Travel Guide](https://frassatiusa.org/visit-italy) - A good guide for following in the footsteps of Bl. Pier Giorgio Frassati
</v>
      </c>
      <c r="X31" s="155" t="str">
        <f t="shared" si="11"/>
        <v xml:space="preserve">#### More Information_x000D_
* [FrassatiUSA Travel Guide](https://frassatiusa.org/visit-italy) - A good guide for following in the footsteps of Bl. Pier Giorgio Frassati
_x000D_
</v>
      </c>
      <c r="Y31" s="155" t="str">
        <f>IF(LEN(G31)&gt;1,concatll("#### Author's Note",G31,"-"&amp;B31),"")</f>
        <v/>
      </c>
      <c r="BZ31" s="158"/>
      <c r="CA31" s="23" t="str">
        <f>IF(R31,concatll(concatl("---",S31,"---"),"*A collection of sites associated with this topic.*","#### Background",F31,X31,Y31),"")</f>
        <v/>
      </c>
      <c r="CB31" s="23" t="str">
        <f t="shared" si="7"/>
        <v/>
      </c>
    </row>
    <row r="32" spans="1:80" x14ac:dyDescent="0.25">
      <c r="B32" s="27"/>
      <c r="C32" s="58" t="s">
        <v>1809</v>
      </c>
      <c r="D32" s="24" t="s">
        <v>1811</v>
      </c>
      <c r="E32" s="53" t="s">
        <v>1732</v>
      </c>
      <c r="H32" s="60" t="s">
        <v>335</v>
      </c>
      <c r="I32" s="15" t="s">
        <v>335</v>
      </c>
      <c r="J32" s="64" t="s">
        <v>335</v>
      </c>
      <c r="K32" s="60" t="s">
        <v>335</v>
      </c>
      <c r="L32" s="15" t="s">
        <v>335</v>
      </c>
      <c r="M32" s="64" t="s">
        <v>335</v>
      </c>
      <c r="N32" s="15" t="s">
        <v>335</v>
      </c>
      <c r="O32" s="15" t="s">
        <v>335</v>
      </c>
      <c r="P32" s="49" t="s">
        <v>335</v>
      </c>
      <c r="R32" s="154" t="b">
        <f t="shared" si="12"/>
        <v>0</v>
      </c>
      <c r="S32" s="155" t="str">
        <f t="shared" si="13"/>
        <v>title: "St. Ulrich"</v>
      </c>
      <c r="T32" s="158" t="str">
        <f t="shared" si="8"/>
        <v/>
      </c>
      <c r="U32" s="158" t="str">
        <f t="shared" si="9"/>
        <v/>
      </c>
      <c r="V32" s="158" t="str">
        <f t="shared" si="10"/>
        <v/>
      </c>
      <c r="W32" s="158" t="str">
        <f t="shared" si="14"/>
        <v/>
      </c>
      <c r="X32" s="155" t="str">
        <f t="shared" si="11"/>
        <v/>
      </c>
      <c r="Y32" s="155" t="str">
        <f>IF(LEN(G32)&gt;1,concatll("#### Author's Note",G32,"-"&amp;B32),"")</f>
        <v/>
      </c>
      <c r="BZ32" s="158"/>
      <c r="CA32" s="23" t="str">
        <f>IF(R32,concatll(concatl("---",S32,"---"),"*A collection of sites associated with this topic.*","#### Background",F32,X32,Y32),"")</f>
        <v/>
      </c>
      <c r="CB32" s="23" t="str">
        <f t="shared" si="7"/>
        <v/>
      </c>
    </row>
    <row r="33" spans="1:80" x14ac:dyDescent="0.25">
      <c r="C33" s="53" t="s">
        <v>1810</v>
      </c>
      <c r="D33" s="83" t="s">
        <v>1812</v>
      </c>
      <c r="E33" s="53" t="s">
        <v>1732</v>
      </c>
      <c r="H33" s="60" t="s">
        <v>335</v>
      </c>
      <c r="I33" s="15" t="s">
        <v>335</v>
      </c>
      <c r="J33" s="64" t="s">
        <v>335</v>
      </c>
      <c r="K33" s="60" t="s">
        <v>335</v>
      </c>
      <c r="L33" s="15" t="s">
        <v>335</v>
      </c>
      <c r="M33" s="64" t="s">
        <v>335</v>
      </c>
      <c r="N33" s="15" t="s">
        <v>335</v>
      </c>
      <c r="O33" s="15" t="s">
        <v>335</v>
      </c>
      <c r="P33" s="49" t="s">
        <v>335</v>
      </c>
      <c r="R33" s="154" t="b">
        <f t="shared" si="12"/>
        <v>0</v>
      </c>
      <c r="S33" s="155" t="str">
        <f t="shared" si="13"/>
        <v>title: "St. Afra"</v>
      </c>
      <c r="T33" s="158" t="str">
        <f t="shared" si="8"/>
        <v/>
      </c>
      <c r="U33" s="158" t="str">
        <f t="shared" si="9"/>
        <v/>
      </c>
      <c r="V33" s="158" t="str">
        <f t="shared" si="10"/>
        <v/>
      </c>
      <c r="W33" s="158" t="str">
        <f t="shared" si="14"/>
        <v/>
      </c>
      <c r="X33" s="155" t="str">
        <f t="shared" si="11"/>
        <v/>
      </c>
      <c r="Y33" s="155" t="str">
        <f>IF(LEN(G33)&gt;1,concatll("#### Author's Note",G33,"-"&amp;B33),"")</f>
        <v/>
      </c>
      <c r="BZ33" s="158"/>
      <c r="CA33" s="23" t="str">
        <f>IF(R33,concatll(concatl("---",S33,"---"),"*A collection of sites associated with this topic.*","#### Background",F33,X33,Y33),"")</f>
        <v/>
      </c>
      <c r="CB33" s="23" t="str">
        <f t="shared" si="7"/>
        <v/>
      </c>
    </row>
    <row r="34" spans="1:80" x14ac:dyDescent="0.25">
      <c r="C34" s="58" t="s">
        <v>1813</v>
      </c>
      <c r="D34" s="24" t="s">
        <v>1814</v>
      </c>
      <c r="E34" s="53" t="s">
        <v>1732</v>
      </c>
      <c r="F34" s="45"/>
      <c r="H34" s="60" t="s">
        <v>335</v>
      </c>
      <c r="I34" s="15" t="s">
        <v>335</v>
      </c>
      <c r="J34" s="64" t="s">
        <v>335</v>
      </c>
      <c r="K34" s="60" t="s">
        <v>335</v>
      </c>
      <c r="L34" s="15" t="s">
        <v>335</v>
      </c>
      <c r="M34" s="64" t="s">
        <v>335</v>
      </c>
      <c r="N34" s="15" t="s">
        <v>335</v>
      </c>
      <c r="O34" s="15" t="s">
        <v>335</v>
      </c>
      <c r="P34" s="49" t="s">
        <v>335</v>
      </c>
      <c r="R34" s="154" t="b">
        <f t="shared" si="12"/>
        <v>0</v>
      </c>
      <c r="S34" s="155" t="str">
        <f t="shared" si="13"/>
        <v>title: "St. Simpert"</v>
      </c>
      <c r="T34" s="158" t="str">
        <f t="shared" si="8"/>
        <v/>
      </c>
      <c r="U34" s="158" t="str">
        <f t="shared" si="9"/>
        <v/>
      </c>
      <c r="V34" s="158" t="str">
        <f t="shared" si="10"/>
        <v/>
      </c>
      <c r="W34" s="158" t="str">
        <f t="shared" si="14"/>
        <v/>
      </c>
      <c r="X34" s="155" t="str">
        <f t="shared" si="11"/>
        <v/>
      </c>
      <c r="Y34" s="155" t="str">
        <f>IF(LEN(G34)&gt;1,concatll("#### Author's Note",G34,"-"&amp;B34),"")</f>
        <v/>
      </c>
      <c r="BZ34" s="158"/>
      <c r="CA34" s="23" t="str">
        <f>IF(R34,concatll(concatl("---",S34,"---"),"*A collection of sites associated with this topic.*","#### Background",F34,X34,Y34),"")</f>
        <v/>
      </c>
      <c r="CB34" s="23" t="str">
        <f t="shared" si="7"/>
        <v/>
      </c>
    </row>
    <row r="35" spans="1:80" x14ac:dyDescent="0.25">
      <c r="B35" s="168"/>
      <c r="C35" s="90" t="s">
        <v>1819</v>
      </c>
      <c r="D35" s="83" t="s">
        <v>1820</v>
      </c>
      <c r="E35" s="90" t="s">
        <v>1732</v>
      </c>
      <c r="F35" s="45"/>
      <c r="G35" s="177"/>
      <c r="H35" s="82" t="s">
        <v>335</v>
      </c>
      <c r="I35" s="35" t="s">
        <v>335</v>
      </c>
      <c r="J35" s="93" t="s">
        <v>335</v>
      </c>
      <c r="K35" s="62" t="s">
        <v>335</v>
      </c>
      <c r="L35" s="35" t="s">
        <v>335</v>
      </c>
      <c r="M35" s="66" t="s">
        <v>335</v>
      </c>
      <c r="N35" s="35" t="s">
        <v>335</v>
      </c>
      <c r="O35" s="35" t="s">
        <v>335</v>
      </c>
      <c r="P35" s="99" t="s">
        <v>335</v>
      </c>
      <c r="R35" s="154" t="b">
        <f t="shared" si="12"/>
        <v>0</v>
      </c>
      <c r="S35" s="155" t="str">
        <f t="shared" si="13"/>
        <v>title: "St. Peter Canisius"</v>
      </c>
      <c r="T35" s="158" t="str">
        <f t="shared" si="8"/>
        <v/>
      </c>
      <c r="U35" s="158" t="str">
        <f t="shared" si="9"/>
        <v/>
      </c>
      <c r="V35" s="158" t="str">
        <f t="shared" si="10"/>
        <v/>
      </c>
      <c r="W35" s="158" t="str">
        <f t="shared" si="14"/>
        <v/>
      </c>
      <c r="X35" s="155" t="str">
        <f t="shared" si="11"/>
        <v/>
      </c>
      <c r="Y35" s="155" t="str">
        <f>IF(LEN(G35)&gt;1,concatll("#### Author's Note",G35,"-"&amp;B35),"")</f>
        <v/>
      </c>
      <c r="BZ35" s="158"/>
      <c r="CA35" s="23" t="str">
        <f>IF(R35,concatll(concatl("---",S35,"---"),"*A collection of sites associated with this topic.*","#### Background",F35,X35,Y35),"")</f>
        <v/>
      </c>
      <c r="CB35" s="23" t="str">
        <f t="shared" si="7"/>
        <v/>
      </c>
    </row>
    <row r="36" spans="1:80" ht="76.5" x14ac:dyDescent="0.25">
      <c r="A36" s="167" t="s">
        <v>1317</v>
      </c>
      <c r="B36" s="168" t="s">
        <v>2481</v>
      </c>
      <c r="C36" s="90" t="s">
        <v>1836</v>
      </c>
      <c r="D36" s="83" t="s">
        <v>1837</v>
      </c>
      <c r="E36" s="90" t="s">
        <v>1732</v>
      </c>
      <c r="F36" s="168" t="s">
        <v>2580</v>
      </c>
      <c r="G36" s="90"/>
      <c r="H36" s="169" t="s">
        <v>2574</v>
      </c>
      <c r="I36" s="15" t="s">
        <v>2575</v>
      </c>
      <c r="J36" s="64" t="s">
        <v>335</v>
      </c>
      <c r="K36" s="60" t="s">
        <v>335</v>
      </c>
      <c r="L36" s="15" t="s">
        <v>335</v>
      </c>
      <c r="M36" s="64" t="s">
        <v>335</v>
      </c>
      <c r="N36" s="15" t="s">
        <v>335</v>
      </c>
      <c r="O36" s="15" t="s">
        <v>335</v>
      </c>
      <c r="P36" s="49" t="s">
        <v>335</v>
      </c>
      <c r="R36" s="154" t="b">
        <f t="shared" si="12"/>
        <v>1</v>
      </c>
      <c r="S36" s="155" t="str">
        <f t="shared" si="13"/>
        <v>title: "Bl. Stanley Rother"</v>
      </c>
      <c r="T36" s="158" t="str">
        <f t="shared" si="8"/>
        <v>[Archdiocese of Oklahoma City's page on Bl. Stanley Rother](https://archokc.org/stanleyrother)</v>
      </c>
      <c r="U36" s="158" t="str">
        <f t="shared" si="9"/>
        <v/>
      </c>
      <c r="V36" s="158" t="str">
        <f t="shared" si="10"/>
        <v/>
      </c>
      <c r="W36" s="158" t="str">
        <f t="shared" si="14"/>
        <v xml:space="preserve">* [Archdiocese of Oklahoma City's page on Bl. Stanley Rother](https://archokc.org/stanleyrother)
</v>
      </c>
      <c r="X36" s="155" t="str">
        <f t="shared" si="11"/>
        <v xml:space="preserve">#### More Information_x000D_
* [Archdiocese of Oklahoma City's page on Bl. Stanley Rother](https://archokc.org/stanleyrother)
_x000D_
</v>
      </c>
      <c r="Y36" s="155" t="str">
        <f>IF(LEN(G36)&gt;1,concatll("#### Author's Note",G36,"-"&amp;B36),"")</f>
        <v/>
      </c>
      <c r="BZ36" s="158"/>
      <c r="CA36" s="23" t="str">
        <f>IF(R36,concatll(concatl("---",S36,"---"),"*A collection of sites associated with this topic.*","#### Background",F36,X36,Y36),"")</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v>
      </c>
      <c r="CB36" s="23" t="str">
        <f t="shared" si="7"/>
        <v>tags\stanley-rother\_index.md</v>
      </c>
    </row>
    <row r="37" spans="1:80" ht="38.25" x14ac:dyDescent="0.25">
      <c r="A37" s="167" t="s">
        <v>1317</v>
      </c>
      <c r="B37" s="168" t="s">
        <v>2482</v>
      </c>
      <c r="C37" s="53" t="s">
        <v>1860</v>
      </c>
      <c r="D37" s="24" t="s">
        <v>1861</v>
      </c>
      <c r="E37" s="90" t="s">
        <v>1732</v>
      </c>
      <c r="F37" s="168" t="s">
        <v>2569</v>
      </c>
      <c r="G37" s="177" t="s">
        <v>2570</v>
      </c>
      <c r="H37" s="60" t="s">
        <v>335</v>
      </c>
      <c r="I37" s="15" t="s">
        <v>335</v>
      </c>
      <c r="J37" s="64" t="s">
        <v>335</v>
      </c>
      <c r="K37" s="60" t="s">
        <v>335</v>
      </c>
      <c r="L37" s="15" t="s">
        <v>335</v>
      </c>
      <c r="M37" s="64" t="s">
        <v>335</v>
      </c>
      <c r="N37" s="15" t="s">
        <v>335</v>
      </c>
      <c r="O37" s="15" t="s">
        <v>335</v>
      </c>
      <c r="P37" s="49" t="s">
        <v>335</v>
      </c>
      <c r="R37" s="154" t="b">
        <f t="shared" si="12"/>
        <v>1</v>
      </c>
      <c r="S37" s="155" t="str">
        <f t="shared" si="13"/>
        <v>title: "Bl. Miguel Pro, SJ"</v>
      </c>
      <c r="T37" s="158" t="str">
        <f t="shared" si="8"/>
        <v/>
      </c>
      <c r="U37" s="158" t="str">
        <f t="shared" si="9"/>
        <v/>
      </c>
      <c r="V37" s="158" t="str">
        <f t="shared" si="10"/>
        <v/>
      </c>
      <c r="W37" s="158" t="str">
        <f t="shared" si="14"/>
        <v/>
      </c>
      <c r="X37" s="155" t="str">
        <f t="shared" si="11"/>
        <v/>
      </c>
      <c r="Y37" s="155" t="str">
        <f>IF(LEN(G37)&gt;1,concatll("#### Author's Note",G37,"-"&amp;B37),"")</f>
        <v xml:space="preserve">#### Author's Note_x000D_
_x000D_
A great book on his life is Fr. M.D. Forrest's Life of Father Pro._x000D_
_x000D_
-JPY_x000D_
_x000D_
</v>
      </c>
      <c r="BZ37" s="158"/>
      <c r="CA37" s="23" t="str">
        <f>IF(R37,concatll(concatl("---",S37,"---"),"*A collection of sites associated with this topic.*","#### Background",F37,X37,Y37),"")</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7" s="23" t="str">
        <f t="shared" si="7"/>
        <v>tags\miguel-pro\_index.md</v>
      </c>
    </row>
    <row r="38" spans="1:80" x14ac:dyDescent="0.25">
      <c r="C38" s="53" t="s">
        <v>1977</v>
      </c>
      <c r="D38" s="83" t="s">
        <v>1978</v>
      </c>
      <c r="E38" s="90" t="s">
        <v>1732</v>
      </c>
      <c r="F38" s="83"/>
      <c r="H38" s="60" t="s">
        <v>335</v>
      </c>
      <c r="I38" s="15" t="s">
        <v>335</v>
      </c>
      <c r="J38" s="64" t="s">
        <v>335</v>
      </c>
      <c r="K38" s="60" t="s">
        <v>335</v>
      </c>
      <c r="L38" s="15" t="s">
        <v>335</v>
      </c>
      <c r="M38" s="64" t="s">
        <v>335</v>
      </c>
      <c r="N38" s="15" t="s">
        <v>335</v>
      </c>
      <c r="O38" s="15" t="s">
        <v>335</v>
      </c>
      <c r="P38" s="49" t="s">
        <v>335</v>
      </c>
      <c r="R38" s="154" t="b">
        <f t="shared" si="12"/>
        <v>0</v>
      </c>
      <c r="S38" s="155" t="str">
        <f t="shared" si="13"/>
        <v>title: "Mother Agnes Hart"</v>
      </c>
      <c r="T38" s="158" t="str">
        <f t="shared" si="8"/>
        <v/>
      </c>
      <c r="U38" s="158" t="str">
        <f t="shared" si="9"/>
        <v/>
      </c>
      <c r="V38" s="158" t="str">
        <f t="shared" si="10"/>
        <v/>
      </c>
      <c r="W38" s="158" t="str">
        <f t="shared" si="14"/>
        <v/>
      </c>
      <c r="X38" s="155" t="str">
        <f t="shared" si="11"/>
        <v/>
      </c>
      <c r="Y38" s="155" t="str">
        <f>IF(LEN(G38)&gt;1,concatll("#### Author's Note",G38,"-"&amp;B38),"")</f>
        <v/>
      </c>
      <c r="BZ38" s="158"/>
      <c r="CA38" s="23" t="str">
        <f>IF(R38,concatll(concatl("---",S38,"---"),"*A collection of sites associated with this topic.*","#### Background",F38,X38,Y38),"")</f>
        <v/>
      </c>
      <c r="CB38" s="23" t="str">
        <f t="shared" si="7"/>
        <v/>
      </c>
    </row>
    <row r="39" spans="1:80" x14ac:dyDescent="0.25">
      <c r="B39" s="83"/>
      <c r="C39" s="90" t="s">
        <v>1994</v>
      </c>
      <c r="D39" s="83" t="s">
        <v>1995</v>
      </c>
      <c r="E39" s="53" t="s">
        <v>1732</v>
      </c>
      <c r="F39" s="83"/>
      <c r="H39" s="60" t="s">
        <v>335</v>
      </c>
      <c r="I39" s="15" t="s">
        <v>335</v>
      </c>
      <c r="J39" s="64" t="s">
        <v>335</v>
      </c>
      <c r="K39" s="60" t="s">
        <v>335</v>
      </c>
      <c r="L39" s="15" t="s">
        <v>335</v>
      </c>
      <c r="M39" s="64" t="s">
        <v>335</v>
      </c>
      <c r="N39" s="15" t="s">
        <v>335</v>
      </c>
      <c r="O39" s="15" t="s">
        <v>335</v>
      </c>
      <c r="P39" s="49" t="s">
        <v>335</v>
      </c>
      <c r="R39" s="154" t="b">
        <f t="shared" si="12"/>
        <v>0</v>
      </c>
      <c r="S39" s="155" t="str">
        <f t="shared" si="13"/>
        <v>title: "St. Joseph"</v>
      </c>
      <c r="T39" s="158" t="str">
        <f t="shared" si="8"/>
        <v/>
      </c>
      <c r="U39" s="158" t="str">
        <f t="shared" si="9"/>
        <v/>
      </c>
      <c r="V39" s="158" t="str">
        <f t="shared" si="10"/>
        <v/>
      </c>
      <c r="W39" s="158" t="str">
        <f t="shared" si="14"/>
        <v/>
      </c>
      <c r="X39" s="155" t="str">
        <f t="shared" si="11"/>
        <v/>
      </c>
      <c r="Y39" s="155" t="str">
        <f>IF(LEN(G39)&gt;1,concatll("#### Author's Note",G39,"-"&amp;B39),"")</f>
        <v/>
      </c>
      <c r="BZ39" s="158"/>
      <c r="CA39" s="23" t="str">
        <f>IF(R39,concatll(concatl("---",S39,"---"),"*A collection of sites associated with this topic.*","#### Background",F39,X39,Y39),"")</f>
        <v/>
      </c>
      <c r="CB39" s="23" t="str">
        <f t="shared" si="7"/>
        <v/>
      </c>
    </row>
    <row r="40" spans="1:80" x14ac:dyDescent="0.25">
      <c r="B40" s="83"/>
      <c r="C40" s="90" t="s">
        <v>2003</v>
      </c>
      <c r="D40" s="83" t="s">
        <v>2006</v>
      </c>
      <c r="E40" s="90" t="s">
        <v>1732</v>
      </c>
      <c r="H40" s="60" t="s">
        <v>335</v>
      </c>
      <c r="I40" s="15" t="s">
        <v>335</v>
      </c>
      <c r="J40" s="64" t="s">
        <v>335</v>
      </c>
      <c r="K40" s="60" t="s">
        <v>335</v>
      </c>
      <c r="L40" s="15" t="s">
        <v>335</v>
      </c>
      <c r="M40" s="64" t="s">
        <v>335</v>
      </c>
      <c r="N40" s="15" t="s">
        <v>335</v>
      </c>
      <c r="O40" s="15" t="s">
        <v>335</v>
      </c>
      <c r="P40" s="49" t="s">
        <v>335</v>
      </c>
      <c r="R40" s="154" t="b">
        <f t="shared" si="12"/>
        <v>0</v>
      </c>
      <c r="S40" s="155" t="str">
        <f t="shared" si="13"/>
        <v>title: "St. Kateri Tekakwitha"</v>
      </c>
      <c r="T40" s="158" t="str">
        <f t="shared" si="8"/>
        <v/>
      </c>
      <c r="U40" s="158" t="str">
        <f t="shared" si="9"/>
        <v/>
      </c>
      <c r="V40" s="158" t="str">
        <f t="shared" si="10"/>
        <v/>
      </c>
      <c r="W40" s="158" t="str">
        <f t="shared" si="14"/>
        <v/>
      </c>
      <c r="X40" s="155" t="str">
        <f t="shared" si="11"/>
        <v/>
      </c>
      <c r="Y40" s="155" t="str">
        <f>IF(LEN(G40)&gt;1,concatll("#### Author's Note",G40,"-"&amp;B40),"")</f>
        <v/>
      </c>
      <c r="BZ40" s="158"/>
      <c r="CA40" s="23" t="str">
        <f>IF(R40,concatll(concatl("---",S40,"---"),"*A collection of sites associated with this topic.*","#### Background",F40,X40,Y40),"")</f>
        <v/>
      </c>
      <c r="CB40" s="23" t="str">
        <f t="shared" si="7"/>
        <v/>
      </c>
    </row>
    <row r="41" spans="1:80" x14ac:dyDescent="0.25">
      <c r="B41" s="83"/>
      <c r="C41" s="90" t="s">
        <v>2004</v>
      </c>
      <c r="D41" s="83" t="s">
        <v>2007</v>
      </c>
      <c r="E41" s="90" t="s">
        <v>1732</v>
      </c>
      <c r="F41" s="83"/>
      <c r="H41" s="60" t="s">
        <v>335</v>
      </c>
      <c r="I41" s="15" t="s">
        <v>335</v>
      </c>
      <c r="J41" s="64" t="s">
        <v>335</v>
      </c>
      <c r="K41" s="60" t="s">
        <v>335</v>
      </c>
      <c r="L41" s="15" t="s">
        <v>335</v>
      </c>
      <c r="M41" s="64" t="s">
        <v>335</v>
      </c>
      <c r="N41" s="15" t="s">
        <v>335</v>
      </c>
      <c r="O41" s="15" t="s">
        <v>335</v>
      </c>
      <c r="P41" s="49" t="s">
        <v>335</v>
      </c>
      <c r="R41" s="154" t="b">
        <f t="shared" si="12"/>
        <v>0</v>
      </c>
      <c r="S41" s="155" t="str">
        <f t="shared" si="13"/>
        <v>title: "St. Isaac Jogues, SJ"</v>
      </c>
      <c r="T41" s="158" t="str">
        <f t="shared" si="8"/>
        <v/>
      </c>
      <c r="U41" s="158" t="str">
        <f t="shared" si="9"/>
        <v/>
      </c>
      <c r="V41" s="158" t="str">
        <f t="shared" si="10"/>
        <v/>
      </c>
      <c r="W41" s="158" t="str">
        <f t="shared" si="14"/>
        <v/>
      </c>
      <c r="X41" s="155" t="str">
        <f t="shared" si="11"/>
        <v/>
      </c>
      <c r="Y41" s="155" t="str">
        <f>IF(LEN(G41)&gt;1,concatll("#### Author's Note",G41,"-"&amp;B41),"")</f>
        <v/>
      </c>
      <c r="BZ41" s="158"/>
      <c r="CA41" s="23" t="str">
        <f>IF(R41,concatll(concatl("---",S41,"---"),"*A collection of sites associated with this topic.*","#### Background",F41,X41,Y41),"")</f>
        <v/>
      </c>
      <c r="CB41" s="23" t="str">
        <f t="shared" si="7"/>
        <v/>
      </c>
    </row>
    <row r="42" spans="1:80" x14ac:dyDescent="0.25">
      <c r="C42" s="53" t="s">
        <v>2005</v>
      </c>
      <c r="D42" s="24" t="s">
        <v>2010</v>
      </c>
      <c r="E42" s="53" t="s">
        <v>1732</v>
      </c>
      <c r="H42" s="60" t="s">
        <v>335</v>
      </c>
      <c r="I42" s="15" t="s">
        <v>335</v>
      </c>
      <c r="J42" s="64" t="s">
        <v>335</v>
      </c>
      <c r="K42" s="60" t="s">
        <v>335</v>
      </c>
      <c r="L42" s="15" t="s">
        <v>335</v>
      </c>
      <c r="M42" s="64" t="s">
        <v>335</v>
      </c>
      <c r="N42" s="15" t="s">
        <v>335</v>
      </c>
      <c r="O42" s="15" t="s">
        <v>335</v>
      </c>
      <c r="P42" s="49" t="s">
        <v>335</v>
      </c>
      <c r="R42" s="154" t="b">
        <f t="shared" si="12"/>
        <v>0</v>
      </c>
      <c r="S42" s="155" t="str">
        <f t="shared" si="13"/>
        <v>title: "St. Rene Goupil, SJ"</v>
      </c>
      <c r="T42" s="158" t="str">
        <f t="shared" si="8"/>
        <v/>
      </c>
      <c r="U42" s="158" t="str">
        <f t="shared" si="9"/>
        <v/>
      </c>
      <c r="V42" s="158" t="str">
        <f t="shared" si="10"/>
        <v/>
      </c>
      <c r="W42" s="158" t="str">
        <f t="shared" si="14"/>
        <v/>
      </c>
      <c r="X42" s="155" t="str">
        <f t="shared" si="11"/>
        <v/>
      </c>
      <c r="Y42" s="155" t="str">
        <f>IF(LEN(G42)&gt;1,concatll("#### Author's Note",G42,"-"&amp;B42),"")</f>
        <v/>
      </c>
      <c r="BZ42" s="158"/>
      <c r="CA42" s="23" t="str">
        <f>IF(R42,concatll(concatl("---",S42,"---"),"*A collection of sites associated with this topic.*","#### Background",F42,X42,Y42),"")</f>
        <v/>
      </c>
      <c r="CB42" s="23" t="str">
        <f t="shared" si="7"/>
        <v/>
      </c>
    </row>
    <row r="43" spans="1:80" x14ac:dyDescent="0.25">
      <c r="C43" s="53" t="s">
        <v>2013</v>
      </c>
      <c r="D43" s="24" t="s">
        <v>2011</v>
      </c>
      <c r="E43" s="53" t="s">
        <v>1732</v>
      </c>
      <c r="G43" s="177"/>
      <c r="H43" s="60" t="s">
        <v>335</v>
      </c>
      <c r="I43" s="15" t="s">
        <v>335</v>
      </c>
      <c r="J43" s="64" t="s">
        <v>335</v>
      </c>
      <c r="K43" s="60" t="s">
        <v>335</v>
      </c>
      <c r="L43" s="15" t="s">
        <v>335</v>
      </c>
      <c r="M43" s="64" t="s">
        <v>335</v>
      </c>
      <c r="N43" s="15" t="s">
        <v>335</v>
      </c>
      <c r="O43" s="15" t="s">
        <v>335</v>
      </c>
      <c r="P43" s="49" t="s">
        <v>335</v>
      </c>
      <c r="R43" s="154" t="b">
        <f t="shared" si="12"/>
        <v>0</v>
      </c>
      <c r="S43" s="155" t="str">
        <f t="shared" si="13"/>
        <v>title: "St. Jean de Lalande, SJ"</v>
      </c>
      <c r="T43" s="158" t="str">
        <f t="shared" si="8"/>
        <v/>
      </c>
      <c r="U43" s="158" t="str">
        <f t="shared" si="9"/>
        <v/>
      </c>
      <c r="V43" s="158" t="str">
        <f t="shared" si="10"/>
        <v/>
      </c>
      <c r="W43" s="158" t="str">
        <f t="shared" si="14"/>
        <v/>
      </c>
      <c r="X43" s="155" t="str">
        <f t="shared" si="11"/>
        <v/>
      </c>
      <c r="Y43" s="155" t="str">
        <f>IF(LEN(G43)&gt;1,concatll("#### Author's Note",G43,"-"&amp;B43),"")</f>
        <v/>
      </c>
      <c r="BZ43" s="158"/>
      <c r="CA43" s="23" t="str">
        <f>IF(R43,concatll(concatl("---",S43,"---"),"*A collection of sites associated with this topic.*","#### Background",F43,X43,Y43),"")</f>
        <v/>
      </c>
      <c r="CB43" s="23" t="str">
        <f t="shared" si="7"/>
        <v/>
      </c>
    </row>
    <row r="44" spans="1:80" x14ac:dyDescent="0.25">
      <c r="C44" s="58" t="s">
        <v>2008</v>
      </c>
      <c r="D44" s="24" t="s">
        <v>2009</v>
      </c>
      <c r="E44" s="53" t="s">
        <v>1732</v>
      </c>
      <c r="H44" s="60" t="s">
        <v>335</v>
      </c>
      <c r="I44" s="15" t="s">
        <v>335</v>
      </c>
      <c r="J44" s="64" t="s">
        <v>335</v>
      </c>
      <c r="K44" s="60" t="s">
        <v>335</v>
      </c>
      <c r="L44" s="15" t="s">
        <v>335</v>
      </c>
      <c r="M44" s="64" t="s">
        <v>335</v>
      </c>
      <c r="N44" s="15" t="s">
        <v>335</v>
      </c>
      <c r="O44" s="15" t="s">
        <v>335</v>
      </c>
      <c r="P44" s="49" t="s">
        <v>335</v>
      </c>
      <c r="R44" s="154" t="b">
        <f t="shared" si="12"/>
        <v>0</v>
      </c>
      <c r="S44" s="155" t="str">
        <f t="shared" si="13"/>
        <v>title: "Canadian Martyrs"</v>
      </c>
      <c r="T44" s="158" t="str">
        <f t="shared" si="8"/>
        <v/>
      </c>
      <c r="U44" s="158" t="str">
        <f t="shared" si="9"/>
        <v/>
      </c>
      <c r="V44" s="158" t="str">
        <f t="shared" si="10"/>
        <v/>
      </c>
      <c r="W44" s="158" t="str">
        <f t="shared" si="14"/>
        <v/>
      </c>
      <c r="X44" s="155" t="str">
        <f t="shared" si="11"/>
        <v/>
      </c>
      <c r="Y44" s="155" t="str">
        <f>IF(LEN(G44)&gt;1,concatll("#### Author's Note",G44,"-"&amp;B44),"")</f>
        <v/>
      </c>
      <c r="BZ44" s="158"/>
      <c r="CA44" s="23" t="str">
        <f>IF(R44,concatll(concatl("---",S44,"---"),"*A collection of sites associated with this topic.*","#### Background",F44,X44,Y44),"")</f>
        <v/>
      </c>
      <c r="CB44" s="23" t="str">
        <f t="shared" si="7"/>
        <v/>
      </c>
    </row>
    <row r="45" spans="1:80" x14ac:dyDescent="0.25">
      <c r="B45" s="27"/>
      <c r="C45" s="53" t="s">
        <v>2100</v>
      </c>
      <c r="D45" s="27" t="s">
        <v>2101</v>
      </c>
      <c r="E45" s="53" t="s">
        <v>1732</v>
      </c>
      <c r="F45" s="27"/>
      <c r="G45" s="177"/>
      <c r="H45" s="60" t="s">
        <v>335</v>
      </c>
      <c r="I45" s="15" t="s">
        <v>335</v>
      </c>
      <c r="J45" s="64" t="s">
        <v>335</v>
      </c>
      <c r="K45" s="60" t="s">
        <v>335</v>
      </c>
      <c r="L45" s="15" t="s">
        <v>335</v>
      </c>
      <c r="M45" s="64" t="s">
        <v>335</v>
      </c>
      <c r="N45" s="15" t="s">
        <v>335</v>
      </c>
      <c r="O45" s="15" t="s">
        <v>335</v>
      </c>
      <c r="P45" s="49" t="s">
        <v>335</v>
      </c>
      <c r="R45" s="154" t="b">
        <f t="shared" si="12"/>
        <v>0</v>
      </c>
      <c r="S45" s="155" t="str">
        <f t="shared" si="13"/>
        <v>title: "St. Teresa of Avila, OCD"</v>
      </c>
      <c r="T45" s="158" t="str">
        <f t="shared" si="8"/>
        <v/>
      </c>
      <c r="U45" s="158" t="str">
        <f t="shared" si="9"/>
        <v/>
      </c>
      <c r="V45" s="158" t="str">
        <f t="shared" si="10"/>
        <v/>
      </c>
      <c r="W45" s="158" t="str">
        <f t="shared" si="14"/>
        <v/>
      </c>
      <c r="X45" s="155" t="str">
        <f t="shared" si="11"/>
        <v/>
      </c>
      <c r="Y45" s="155" t="str">
        <f>IF(LEN(G45)&gt;1,concatll("#### Author's Note",G45,"-"&amp;B45),"")</f>
        <v/>
      </c>
      <c r="BZ45" s="158"/>
      <c r="CA45" s="23" t="str">
        <f>IF(R45,concatll(concatl("---",S45,"---"),"*A collection of sites associated with this topic.*","#### Background",F45,X45,Y45),"")</f>
        <v/>
      </c>
      <c r="CB45" s="23" t="str">
        <f t="shared" si="7"/>
        <v/>
      </c>
    </row>
    <row r="46" spans="1:80" x14ac:dyDescent="0.25">
      <c r="C46" s="53" t="s">
        <v>2099</v>
      </c>
      <c r="D46" s="83" t="s">
        <v>2102</v>
      </c>
      <c r="E46" s="53" t="s">
        <v>1732</v>
      </c>
      <c r="G46" s="177"/>
      <c r="H46" s="60" t="s">
        <v>335</v>
      </c>
      <c r="I46" s="15" t="s">
        <v>335</v>
      </c>
      <c r="J46" s="64" t="s">
        <v>335</v>
      </c>
      <c r="K46" s="60" t="s">
        <v>335</v>
      </c>
      <c r="L46" s="15" t="s">
        <v>335</v>
      </c>
      <c r="M46" s="64" t="s">
        <v>335</v>
      </c>
      <c r="N46" s="15" t="s">
        <v>335</v>
      </c>
      <c r="O46" s="15" t="s">
        <v>335</v>
      </c>
      <c r="P46" s="49" t="s">
        <v>335</v>
      </c>
      <c r="R46" s="154" t="b">
        <f t="shared" si="12"/>
        <v>0</v>
      </c>
      <c r="S46" s="155" t="str">
        <f t="shared" si="13"/>
        <v>title: "St. John of the Cross, OCD"</v>
      </c>
      <c r="T46" s="158" t="str">
        <f t="shared" si="8"/>
        <v/>
      </c>
      <c r="U46" s="158" t="str">
        <f t="shared" si="9"/>
        <v/>
      </c>
      <c r="V46" s="158" t="str">
        <f t="shared" si="10"/>
        <v/>
      </c>
      <c r="W46" s="158" t="str">
        <f t="shared" si="14"/>
        <v/>
      </c>
      <c r="X46" s="155" t="str">
        <f t="shared" si="11"/>
        <v/>
      </c>
      <c r="Y46" s="155" t="str">
        <f>IF(LEN(G46)&gt;1,concatll("#### Author's Note",G46,"-"&amp;B46),"")</f>
        <v/>
      </c>
      <c r="BZ46" s="158"/>
      <c r="CA46" s="23" t="str">
        <f>IF(R46,concatll(concatl("---",S46,"---"),"*A collection of sites associated with this topic.*","#### Background",F46,X46,Y46),"")</f>
        <v/>
      </c>
      <c r="CB46" s="23" t="str">
        <f t="shared" si="7"/>
        <v/>
      </c>
    </row>
    <row r="47" spans="1:80" x14ac:dyDescent="0.25">
      <c r="C47" s="53" t="s">
        <v>2201</v>
      </c>
      <c r="D47" s="24" t="s">
        <v>2202</v>
      </c>
      <c r="E47" s="53" t="s">
        <v>1732</v>
      </c>
      <c r="H47" s="60" t="s">
        <v>335</v>
      </c>
      <c r="I47" s="15" t="s">
        <v>335</v>
      </c>
      <c r="J47" s="64" t="s">
        <v>335</v>
      </c>
      <c r="K47" s="60" t="s">
        <v>335</v>
      </c>
      <c r="L47" s="15" t="s">
        <v>335</v>
      </c>
      <c r="M47" s="64" t="s">
        <v>335</v>
      </c>
      <c r="N47" s="15" t="s">
        <v>335</v>
      </c>
      <c r="O47" s="15" t="s">
        <v>335</v>
      </c>
      <c r="P47" s="49" t="s">
        <v>335</v>
      </c>
      <c r="R47" s="154" t="b">
        <f t="shared" si="12"/>
        <v>0</v>
      </c>
      <c r="S47" s="155" t="str">
        <f t="shared" si="13"/>
        <v>title: "St. Vincent"</v>
      </c>
      <c r="T47" s="158" t="str">
        <f t="shared" si="8"/>
        <v/>
      </c>
      <c r="U47" s="158" t="str">
        <f t="shared" si="9"/>
        <v/>
      </c>
      <c r="V47" s="158" t="str">
        <f t="shared" si="10"/>
        <v/>
      </c>
      <c r="W47" s="158" t="str">
        <f t="shared" si="14"/>
        <v/>
      </c>
      <c r="X47" s="155" t="str">
        <f t="shared" si="11"/>
        <v/>
      </c>
      <c r="Y47" s="155" t="str">
        <f>IF(LEN(G47)&gt;1,concatll("#### Author's Note",G47,"-"&amp;B47),"")</f>
        <v/>
      </c>
      <c r="BZ47" s="158"/>
      <c r="CA47" s="23" t="str">
        <f>IF(R47,concatll(concatl("---",S47,"---"),"*A collection of sites associated with this topic.*","#### Background",F47,X47,Y47),"")</f>
        <v/>
      </c>
      <c r="CB47" s="23" t="str">
        <f t="shared" si="7"/>
        <v/>
      </c>
    </row>
    <row r="48" spans="1:80" x14ac:dyDescent="0.25">
      <c r="C48" s="53" t="s">
        <v>2203</v>
      </c>
      <c r="D48" s="27" t="s">
        <v>2204</v>
      </c>
      <c r="E48" s="53" t="s">
        <v>1732</v>
      </c>
      <c r="F48" s="27"/>
      <c r="H48" s="60" t="s">
        <v>335</v>
      </c>
      <c r="I48" s="15" t="s">
        <v>335</v>
      </c>
      <c r="J48" s="64" t="s">
        <v>335</v>
      </c>
      <c r="K48" s="60" t="s">
        <v>335</v>
      </c>
      <c r="L48" s="15" t="s">
        <v>335</v>
      </c>
      <c r="M48" s="64" t="s">
        <v>335</v>
      </c>
      <c r="N48" s="15" t="s">
        <v>335</v>
      </c>
      <c r="O48" s="15" t="s">
        <v>335</v>
      </c>
      <c r="P48" s="49" t="s">
        <v>335</v>
      </c>
      <c r="R48" s="154" t="b">
        <f t="shared" si="12"/>
        <v>0</v>
      </c>
      <c r="S48" s="155" t="str">
        <f t="shared" si="13"/>
        <v>title: "St. Sabina"</v>
      </c>
      <c r="T48" s="158" t="str">
        <f t="shared" si="8"/>
        <v/>
      </c>
      <c r="U48" s="158" t="str">
        <f t="shared" si="9"/>
        <v/>
      </c>
      <c r="V48" s="158" t="str">
        <f t="shared" si="10"/>
        <v/>
      </c>
      <c r="W48" s="158" t="str">
        <f t="shared" si="14"/>
        <v/>
      </c>
      <c r="X48" s="155" t="str">
        <f t="shared" si="11"/>
        <v/>
      </c>
      <c r="Y48" s="155" t="str">
        <f>IF(LEN(G48)&gt;1,concatll("#### Author's Note",G48,"-"&amp;B48),"")</f>
        <v/>
      </c>
      <c r="BZ48" s="158"/>
      <c r="CA48" s="23" t="str">
        <f>IF(R48,concatll(concatl("---",S48,"---"),"*A collection of sites associated with this topic.*","#### Background",F48,X48,Y48),"")</f>
        <v/>
      </c>
      <c r="CB48" s="23" t="str">
        <f t="shared" si="7"/>
        <v/>
      </c>
    </row>
    <row r="49" spans="1:80" x14ac:dyDescent="0.25">
      <c r="C49" s="53" t="s">
        <v>2205</v>
      </c>
      <c r="D49" s="24" t="s">
        <v>2206</v>
      </c>
      <c r="E49" s="53" t="s">
        <v>1732</v>
      </c>
      <c r="H49" s="60" t="s">
        <v>335</v>
      </c>
      <c r="I49" s="15" t="s">
        <v>335</v>
      </c>
      <c r="J49" s="64" t="s">
        <v>335</v>
      </c>
      <c r="K49" s="60" t="s">
        <v>335</v>
      </c>
      <c r="L49" s="15" t="s">
        <v>335</v>
      </c>
      <c r="M49" s="64" t="s">
        <v>335</v>
      </c>
      <c r="N49" s="15" t="s">
        <v>335</v>
      </c>
      <c r="O49" s="15" t="s">
        <v>335</v>
      </c>
      <c r="P49" s="49" t="s">
        <v>335</v>
      </c>
      <c r="R49" s="154" t="b">
        <f t="shared" si="12"/>
        <v>0</v>
      </c>
      <c r="S49" s="155" t="str">
        <f t="shared" si="13"/>
        <v>title: "St. Cristeta"</v>
      </c>
      <c r="T49" s="158" t="str">
        <f t="shared" si="8"/>
        <v/>
      </c>
      <c r="U49" s="158" t="str">
        <f t="shared" si="9"/>
        <v/>
      </c>
      <c r="V49" s="158" t="str">
        <f t="shared" si="10"/>
        <v/>
      </c>
      <c r="W49" s="158" t="str">
        <f t="shared" si="14"/>
        <v/>
      </c>
      <c r="X49" s="155" t="str">
        <f t="shared" si="11"/>
        <v/>
      </c>
      <c r="Y49" s="155" t="str">
        <f>IF(LEN(G49)&gt;1,concatll("#### Author's Note",G49,"-"&amp;B49),"")</f>
        <v/>
      </c>
      <c r="BZ49" s="158"/>
      <c r="CA49" s="23" t="str">
        <f>IF(R49,concatll(concatl("---",S49,"---"),"*A collection of sites associated with this topic.*","#### Background",F49,X49,Y49),"")</f>
        <v/>
      </c>
      <c r="CB49" s="23" t="str">
        <f t="shared" si="7"/>
        <v/>
      </c>
    </row>
    <row r="50" spans="1:80" x14ac:dyDescent="0.25">
      <c r="C50" s="53" t="s">
        <v>2237</v>
      </c>
      <c r="D50" s="24" t="s">
        <v>2238</v>
      </c>
      <c r="E50" s="53" t="s">
        <v>1732</v>
      </c>
      <c r="H50" s="60" t="s">
        <v>335</v>
      </c>
      <c r="I50" s="15" t="s">
        <v>335</v>
      </c>
      <c r="J50" s="64" t="s">
        <v>335</v>
      </c>
      <c r="K50" s="60" t="s">
        <v>335</v>
      </c>
      <c r="L50" s="15" t="s">
        <v>335</v>
      </c>
      <c r="M50" s="64" t="s">
        <v>335</v>
      </c>
      <c r="N50" s="15" t="s">
        <v>335</v>
      </c>
      <c r="O50" s="15" t="s">
        <v>335</v>
      </c>
      <c r="P50" s="49" t="s">
        <v>335</v>
      </c>
      <c r="R50" s="154" t="b">
        <f t="shared" si="12"/>
        <v>0</v>
      </c>
      <c r="S50" s="155" t="str">
        <f t="shared" si="13"/>
        <v>title: "St. Pelagius the Hermit"</v>
      </c>
      <c r="T50" s="158" t="str">
        <f t="shared" si="8"/>
        <v/>
      </c>
      <c r="U50" s="158" t="str">
        <f t="shared" si="9"/>
        <v/>
      </c>
      <c r="V50" s="158" t="str">
        <f t="shared" si="10"/>
        <v/>
      </c>
      <c r="W50" s="158" t="str">
        <f t="shared" si="14"/>
        <v/>
      </c>
      <c r="X50" s="155" t="str">
        <f t="shared" si="11"/>
        <v/>
      </c>
      <c r="Y50" s="155" t="str">
        <f>IF(LEN(G50)&gt;1,concatll("#### Author's Note",G50,"-"&amp;B50),"")</f>
        <v/>
      </c>
      <c r="BZ50" s="158"/>
      <c r="CA50" s="23" t="str">
        <f>IF(R50,concatll(concatl("---",S50,"---"),"*A collection of sites associated with this topic.*","#### Background",F50,X50,Y50),"")</f>
        <v/>
      </c>
      <c r="CB50" s="23" t="str">
        <f t="shared" si="7"/>
        <v/>
      </c>
    </row>
    <row r="51" spans="1:80" x14ac:dyDescent="0.25">
      <c r="C51" s="126" t="s">
        <v>2390</v>
      </c>
      <c r="D51" s="24" t="s">
        <v>2410</v>
      </c>
      <c r="E51" s="53" t="s">
        <v>1732</v>
      </c>
      <c r="F51" s="47"/>
      <c r="G51" s="177"/>
      <c r="H51" s="80" t="s">
        <v>335</v>
      </c>
      <c r="I51" s="79" t="s">
        <v>335</v>
      </c>
      <c r="J51" s="81" t="s">
        <v>335</v>
      </c>
      <c r="K51" s="59" t="s">
        <v>335</v>
      </c>
      <c r="L51" s="16" t="s">
        <v>335</v>
      </c>
      <c r="M51" s="63" t="s">
        <v>335</v>
      </c>
      <c r="N51" s="16" t="s">
        <v>335</v>
      </c>
      <c r="O51" s="16" t="s">
        <v>335</v>
      </c>
      <c r="P51" s="50" t="s">
        <v>335</v>
      </c>
      <c r="Q51" s="161"/>
      <c r="R51" s="154" t="b">
        <f t="shared" si="12"/>
        <v>0</v>
      </c>
      <c r="S51" s="155" t="str">
        <f t="shared" si="13"/>
        <v>title: "St. Junipero Serra, OFM"</v>
      </c>
      <c r="T51" s="158" t="str">
        <f t="shared" si="8"/>
        <v/>
      </c>
      <c r="U51" s="158" t="str">
        <f t="shared" si="9"/>
        <v/>
      </c>
      <c r="V51" s="158" t="str">
        <f t="shared" si="10"/>
        <v/>
      </c>
      <c r="W51" s="158" t="str">
        <f t="shared" si="14"/>
        <v/>
      </c>
      <c r="X51" s="155" t="str">
        <f t="shared" si="11"/>
        <v/>
      </c>
      <c r="Y51" s="155" t="str">
        <f>IF(LEN(G51)&gt;1,concatll("#### Author's Note",G51,"-"&amp;B51),"")</f>
        <v/>
      </c>
      <c r="BZ51" s="158"/>
      <c r="CA51" s="23" t="str">
        <f>IF(R51,concatll(concatl("---",S51,"---"),"*A collection of sites associated with this topic.*","#### Background",F51,X51,Y51),"")</f>
        <v/>
      </c>
      <c r="CB51" s="23" t="str">
        <f t="shared" si="7"/>
        <v/>
      </c>
    </row>
    <row r="52" spans="1:80" x14ac:dyDescent="0.25">
      <c r="C52" s="53" t="s">
        <v>2403</v>
      </c>
      <c r="D52" s="101" t="s">
        <v>2409</v>
      </c>
      <c r="E52" s="53" t="s">
        <v>1732</v>
      </c>
      <c r="F52" s="101"/>
      <c r="H52" s="60" t="s">
        <v>335</v>
      </c>
      <c r="I52" s="15" t="s">
        <v>335</v>
      </c>
      <c r="J52" s="64" t="s">
        <v>335</v>
      </c>
      <c r="K52" s="60" t="s">
        <v>335</v>
      </c>
      <c r="L52" s="15" t="s">
        <v>335</v>
      </c>
      <c r="M52" s="64" t="s">
        <v>335</v>
      </c>
      <c r="N52" s="15" t="s">
        <v>335</v>
      </c>
      <c r="O52" s="15" t="s">
        <v>335</v>
      </c>
      <c r="P52" s="49" t="s">
        <v>335</v>
      </c>
      <c r="R52" s="154" t="b">
        <f t="shared" si="12"/>
        <v>0</v>
      </c>
      <c r="S52" s="155" t="str">
        <f t="shared" si="13"/>
        <v>title: "St. Joseph Vaz, CO"</v>
      </c>
      <c r="T52" s="158" t="str">
        <f t="shared" si="8"/>
        <v/>
      </c>
      <c r="U52" s="158" t="str">
        <f t="shared" si="9"/>
        <v/>
      </c>
      <c r="V52" s="158" t="str">
        <f t="shared" si="10"/>
        <v/>
      </c>
      <c r="W52" s="158" t="str">
        <f t="shared" si="14"/>
        <v/>
      </c>
      <c r="X52" s="155" t="str">
        <f t="shared" si="11"/>
        <v/>
      </c>
      <c r="Y52" s="155" t="str">
        <f>IF(LEN(G52)&gt;1,concatll("#### Author's Note",G52,"-"&amp;B52),"")</f>
        <v/>
      </c>
      <c r="BZ52" s="158"/>
      <c r="CA52" s="23" t="str">
        <f>IF(R52,concatll(concatl("---",S52,"---"),"*A collection of sites associated with this topic.*","#### Background",F52,X52,Y52),"")</f>
        <v/>
      </c>
      <c r="CB52" s="23" t="str">
        <f t="shared" si="7"/>
        <v/>
      </c>
    </row>
    <row r="53" spans="1:80" x14ac:dyDescent="0.25">
      <c r="C53" s="112" t="s">
        <v>2423</v>
      </c>
      <c r="D53" s="111" t="s">
        <v>2424</v>
      </c>
      <c r="E53" s="53" t="s">
        <v>1732</v>
      </c>
      <c r="F53" s="101"/>
      <c r="H53" s="60" t="s">
        <v>335</v>
      </c>
      <c r="I53" s="15" t="s">
        <v>335</v>
      </c>
      <c r="J53" s="64" t="s">
        <v>335</v>
      </c>
      <c r="K53" s="60" t="s">
        <v>335</v>
      </c>
      <c r="L53" s="15" t="s">
        <v>335</v>
      </c>
      <c r="M53" s="64" t="s">
        <v>335</v>
      </c>
      <c r="N53" s="15" t="s">
        <v>335</v>
      </c>
      <c r="O53" s="15" t="s">
        <v>335</v>
      </c>
      <c r="P53" s="49" t="s">
        <v>335</v>
      </c>
      <c r="R53" s="154" t="b">
        <f t="shared" si="12"/>
        <v>0</v>
      </c>
      <c r="S53" s="155" t="str">
        <f t="shared" si="13"/>
        <v>title: "St. John the Apostle"</v>
      </c>
      <c r="T53" s="158" t="str">
        <f t="shared" si="8"/>
        <v/>
      </c>
      <c r="U53" s="158" t="str">
        <f t="shared" si="9"/>
        <v/>
      </c>
      <c r="V53" s="158" t="str">
        <f t="shared" si="10"/>
        <v/>
      </c>
      <c r="W53" s="158" t="str">
        <f t="shared" si="14"/>
        <v/>
      </c>
      <c r="X53" s="155" t="str">
        <f t="shared" si="11"/>
        <v/>
      </c>
      <c r="Y53" s="155" t="str">
        <f>IF(LEN(G53)&gt;1,concatll("#### Author's Note",G53,"-"&amp;B53),"")</f>
        <v/>
      </c>
      <c r="BZ53" s="158"/>
      <c r="CA53" s="23" t="str">
        <f>IF(R53,concatll(concatl("---",S53,"---"),"*A collection of sites associated with this topic.*","#### Background",F53,X53,Y53),"")</f>
        <v/>
      </c>
      <c r="CB53" s="23" t="str">
        <f t="shared" si="7"/>
        <v/>
      </c>
    </row>
    <row r="54" spans="1:80" x14ac:dyDescent="0.25">
      <c r="C54" s="103" t="s">
        <v>2426</v>
      </c>
      <c r="D54" s="101" t="s">
        <v>2427</v>
      </c>
      <c r="E54" s="53" t="s">
        <v>1732</v>
      </c>
      <c r="F54" s="101"/>
      <c r="H54" s="60" t="s">
        <v>335</v>
      </c>
      <c r="I54" s="15" t="s">
        <v>335</v>
      </c>
      <c r="J54" s="64" t="s">
        <v>335</v>
      </c>
      <c r="K54" s="60" t="s">
        <v>335</v>
      </c>
      <c r="L54" s="15" t="s">
        <v>335</v>
      </c>
      <c r="M54" s="64" t="s">
        <v>335</v>
      </c>
      <c r="N54" s="15" t="s">
        <v>335</v>
      </c>
      <c r="O54" s="15" t="s">
        <v>335</v>
      </c>
      <c r="P54" s="49" t="s">
        <v>335</v>
      </c>
      <c r="R54" s="154" t="b">
        <f t="shared" si="12"/>
        <v>0</v>
      </c>
      <c r="S54" s="155" t="str">
        <f t="shared" si="13"/>
        <v>title: "Bl. Anne Catherine Emmerich"</v>
      </c>
      <c r="T54" s="158" t="str">
        <f t="shared" si="8"/>
        <v/>
      </c>
      <c r="U54" s="158" t="str">
        <f t="shared" si="9"/>
        <v/>
      </c>
      <c r="V54" s="158" t="str">
        <f t="shared" si="10"/>
        <v/>
      </c>
      <c r="W54" s="158" t="str">
        <f t="shared" si="14"/>
        <v/>
      </c>
      <c r="X54" s="155" t="str">
        <f t="shared" si="11"/>
        <v/>
      </c>
      <c r="Y54" s="155" t="str">
        <f>IF(LEN(G54)&gt;1,concatll("#### Author's Note",G54,"-"&amp;B54),"")</f>
        <v/>
      </c>
      <c r="BZ54" s="158"/>
      <c r="CA54" s="23" t="str">
        <f>IF(R54,concatll(concatl("---",S54,"---"),"*A collection of sites associated with this topic.*","#### Background",F54,X54,Y54),"")</f>
        <v/>
      </c>
      <c r="CB54" s="23" t="str">
        <f t="shared" si="7"/>
        <v/>
      </c>
    </row>
    <row r="55" spans="1:80" x14ac:dyDescent="0.25">
      <c r="C55" s="103" t="s">
        <v>2434</v>
      </c>
      <c r="D55" s="101" t="s">
        <v>2435</v>
      </c>
      <c r="E55" s="103" t="s">
        <v>1732</v>
      </c>
      <c r="F55" s="101"/>
      <c r="H55" s="106" t="s">
        <v>335</v>
      </c>
      <c r="I55" s="15" t="s">
        <v>335</v>
      </c>
      <c r="J55" s="107" t="s">
        <v>335</v>
      </c>
      <c r="K55" s="60" t="s">
        <v>335</v>
      </c>
      <c r="L55" s="15" t="s">
        <v>335</v>
      </c>
      <c r="M55" s="64" t="s">
        <v>335</v>
      </c>
      <c r="N55" s="15" t="s">
        <v>335</v>
      </c>
      <c r="O55" s="15" t="s">
        <v>335</v>
      </c>
      <c r="P55" s="49" t="s">
        <v>335</v>
      </c>
      <c r="R55" s="154" t="b">
        <f t="shared" si="12"/>
        <v>0</v>
      </c>
      <c r="S55" s="155" t="str">
        <f t="shared" si="13"/>
        <v>title: "St. Peter"</v>
      </c>
      <c r="T55" s="158" t="str">
        <f t="shared" si="8"/>
        <v/>
      </c>
      <c r="U55" s="158" t="str">
        <f t="shared" si="9"/>
        <v/>
      </c>
      <c r="V55" s="158" t="str">
        <f t="shared" si="10"/>
        <v/>
      </c>
      <c r="W55" s="158" t="str">
        <f t="shared" si="14"/>
        <v/>
      </c>
      <c r="X55" s="155" t="str">
        <f t="shared" si="11"/>
        <v/>
      </c>
      <c r="Y55" s="155" t="str">
        <f>IF(LEN(G55)&gt;1,concatll("#### Author's Note",G55,"-"&amp;B55),"")</f>
        <v/>
      </c>
      <c r="BZ55" s="158"/>
      <c r="CA55" s="23" t="str">
        <f>IF(R55,concatll(concatl("---",S55,"---"),"*A collection of sites associated with this topic.*","#### Background",F55,X55,Y55),"")</f>
        <v/>
      </c>
      <c r="CB55" s="23" t="str">
        <f t="shared" si="7"/>
        <v/>
      </c>
    </row>
    <row r="56" spans="1:80" x14ac:dyDescent="0.25">
      <c r="A56" s="167" t="s">
        <v>2564</v>
      </c>
      <c r="B56" s="24" t="s">
        <v>2485</v>
      </c>
      <c r="C56" s="103" t="s">
        <v>2441</v>
      </c>
      <c r="D56" s="101" t="s">
        <v>2443</v>
      </c>
      <c r="E56" s="177" t="s">
        <v>1732</v>
      </c>
      <c r="F56" s="101"/>
      <c r="H56" s="60" t="s">
        <v>335</v>
      </c>
      <c r="I56" s="15" t="s">
        <v>335</v>
      </c>
      <c r="J56" s="64" t="s">
        <v>335</v>
      </c>
      <c r="K56" s="60" t="s">
        <v>335</v>
      </c>
      <c r="L56" s="15" t="s">
        <v>335</v>
      </c>
      <c r="M56" s="64" t="s">
        <v>335</v>
      </c>
      <c r="N56" s="15" t="s">
        <v>335</v>
      </c>
      <c r="O56" s="15" t="s">
        <v>335</v>
      </c>
      <c r="P56" s="49" t="s">
        <v>335</v>
      </c>
      <c r="R56" s="154" t="b">
        <f t="shared" si="12"/>
        <v>0</v>
      </c>
      <c r="S56" s="155" t="str">
        <f t="shared" si="13"/>
        <v>title: "Vietnamese Martyrs"</v>
      </c>
      <c r="T56" s="158" t="str">
        <f t="shared" si="8"/>
        <v/>
      </c>
      <c r="U56" s="158" t="str">
        <f t="shared" si="9"/>
        <v/>
      </c>
      <c r="V56" s="158" t="str">
        <f t="shared" si="10"/>
        <v/>
      </c>
      <c r="W56" s="158" t="str">
        <f t="shared" si="14"/>
        <v/>
      </c>
      <c r="X56" s="155" t="str">
        <f t="shared" si="11"/>
        <v/>
      </c>
      <c r="Y56" s="155" t="str">
        <f>IF(LEN(G56)&gt;1,concatll("#### Author's Note",G56,"-"&amp;B56),"")</f>
        <v/>
      </c>
      <c r="BZ56" s="158"/>
      <c r="CA56" s="23" t="str">
        <f>IF(R56,concatll(concatl("---",S56,"---"),"*A collection of sites associated with this topic.*","#### Background",F56,X56,Y56),"")</f>
        <v/>
      </c>
      <c r="CB56" s="23" t="str">
        <f t="shared" si="7"/>
        <v/>
      </c>
    </row>
    <row r="57" spans="1:80" x14ac:dyDescent="0.25">
      <c r="A57" s="167" t="s">
        <v>2564</v>
      </c>
      <c r="B57" s="168" t="s">
        <v>2485</v>
      </c>
      <c r="C57" s="103" t="s">
        <v>2442</v>
      </c>
      <c r="D57" s="111" t="s">
        <v>2444</v>
      </c>
      <c r="E57" s="103" t="s">
        <v>1732</v>
      </c>
      <c r="F57" s="101"/>
      <c r="H57" s="106" t="s">
        <v>335</v>
      </c>
      <c r="I57" s="15" t="s">
        <v>335</v>
      </c>
      <c r="J57" s="64" t="s">
        <v>335</v>
      </c>
      <c r="K57" s="60" t="s">
        <v>335</v>
      </c>
      <c r="L57" s="15" t="s">
        <v>335</v>
      </c>
      <c r="M57" s="64" t="s">
        <v>335</v>
      </c>
      <c r="N57" s="15" t="s">
        <v>335</v>
      </c>
      <c r="O57" s="15" t="s">
        <v>335</v>
      </c>
      <c r="P57" s="49" t="s">
        <v>335</v>
      </c>
      <c r="R57" s="154" t="b">
        <f t="shared" si="12"/>
        <v>0</v>
      </c>
      <c r="S57" s="155" t="str">
        <f t="shared" si="13"/>
        <v>title: "St. Andrew Dung-Lac and Companions"</v>
      </c>
      <c r="T57" s="158" t="str">
        <f t="shared" si="8"/>
        <v/>
      </c>
      <c r="U57" s="158" t="str">
        <f t="shared" si="9"/>
        <v/>
      </c>
      <c r="V57" s="158" t="str">
        <f t="shared" si="10"/>
        <v/>
      </c>
      <c r="W57" s="158" t="str">
        <f t="shared" si="14"/>
        <v/>
      </c>
      <c r="X57" s="155" t="str">
        <f t="shared" si="11"/>
        <v/>
      </c>
      <c r="Y57" s="155" t="str">
        <f>IF(LEN(G57)&gt;1,concatll("#### Author's Note",G57,"-"&amp;B57),"")</f>
        <v/>
      </c>
      <c r="BZ57" s="158"/>
      <c r="CA57" s="23" t="str">
        <f>IF(R57,concatll(concatl("---",S57,"---"),"*A collection of sites associated with this topic.*","#### Background",F57,X57,Y57),"")</f>
        <v/>
      </c>
      <c r="CB57" s="23" t="str">
        <f t="shared" si="7"/>
        <v/>
      </c>
    </row>
    <row r="58" spans="1:80" x14ac:dyDescent="0.25">
      <c r="C58" s="53" t="s">
        <v>2031</v>
      </c>
      <c r="D58" s="24" t="s">
        <v>2032</v>
      </c>
      <c r="E58" s="90" t="s">
        <v>2089</v>
      </c>
      <c r="F58" s="83"/>
      <c r="H58" s="60" t="s">
        <v>335</v>
      </c>
      <c r="I58" s="15" t="s">
        <v>335</v>
      </c>
      <c r="J58" s="64" t="s">
        <v>335</v>
      </c>
      <c r="K58" s="60" t="s">
        <v>335</v>
      </c>
      <c r="L58" s="15" t="s">
        <v>335</v>
      </c>
      <c r="M58" s="64" t="s">
        <v>335</v>
      </c>
      <c r="N58" s="15" t="s">
        <v>335</v>
      </c>
      <c r="O58" s="15" t="s">
        <v>335</v>
      </c>
      <c r="P58" s="49" t="s">
        <v>335</v>
      </c>
      <c r="R58" s="154" t="b">
        <f t="shared" si="12"/>
        <v>0</v>
      </c>
      <c r="S58" s="155" t="str">
        <f t="shared" si="13"/>
        <v>title: "Congregation of the Mission (Vincentians)"</v>
      </c>
      <c r="T58" s="158" t="str">
        <f t="shared" si="8"/>
        <v/>
      </c>
      <c r="U58" s="158" t="str">
        <f t="shared" si="9"/>
        <v/>
      </c>
      <c r="V58" s="158" t="str">
        <f t="shared" si="10"/>
        <v/>
      </c>
      <c r="W58" s="158" t="str">
        <f t="shared" si="14"/>
        <v/>
      </c>
      <c r="X58" s="155" t="str">
        <f t="shared" si="11"/>
        <v/>
      </c>
      <c r="Y58" s="155" t="str">
        <f>IF(LEN(G58)&gt;1,concatll("#### Author's Note",G58,"-"&amp;B58),"")</f>
        <v/>
      </c>
      <c r="BZ58" s="158"/>
      <c r="CA58" s="23" t="str">
        <f>IF(R58,concatll(concatl("---",S58,"---"),"*A collection of sites associated with this topic.*","#### Background",F58,X58,Y58),"")</f>
        <v/>
      </c>
      <c r="CB58" s="23" t="str">
        <f t="shared" si="7"/>
        <v/>
      </c>
    </row>
    <row r="59" spans="1:80" x14ac:dyDescent="0.25">
      <c r="C59" s="53" t="s">
        <v>2033</v>
      </c>
      <c r="D59" s="83" t="s">
        <v>2034</v>
      </c>
      <c r="E59" s="90" t="s">
        <v>2089</v>
      </c>
      <c r="F59" s="83"/>
      <c r="G59" s="177"/>
      <c r="H59" s="60" t="s">
        <v>335</v>
      </c>
      <c r="I59" s="15" t="s">
        <v>335</v>
      </c>
      <c r="J59" s="64" t="s">
        <v>335</v>
      </c>
      <c r="K59" s="60" t="s">
        <v>335</v>
      </c>
      <c r="L59" s="15" t="s">
        <v>335</v>
      </c>
      <c r="M59" s="64" t="s">
        <v>335</v>
      </c>
      <c r="N59" s="15" t="s">
        <v>335</v>
      </c>
      <c r="O59" s="15" t="s">
        <v>335</v>
      </c>
      <c r="P59" s="49" t="s">
        <v>335</v>
      </c>
      <c r="R59" s="154" t="b">
        <f t="shared" si="12"/>
        <v>0</v>
      </c>
      <c r="S59" s="155" t="str">
        <f t="shared" si="13"/>
        <v>title: "Society of Jesus (Jesuits)"</v>
      </c>
      <c r="T59" s="158" t="str">
        <f t="shared" si="8"/>
        <v/>
      </c>
      <c r="U59" s="158" t="str">
        <f t="shared" si="9"/>
        <v/>
      </c>
      <c r="V59" s="158" t="str">
        <f t="shared" si="10"/>
        <v/>
      </c>
      <c r="W59" s="158" t="str">
        <f t="shared" si="14"/>
        <v/>
      </c>
      <c r="X59" s="155" t="str">
        <f t="shared" si="11"/>
        <v/>
      </c>
      <c r="Y59" s="155" t="str">
        <f>IF(LEN(G59)&gt;1,concatll("#### Author's Note",G59,"-"&amp;B59),"")</f>
        <v/>
      </c>
      <c r="BZ59" s="158"/>
      <c r="CA59" s="23" t="str">
        <f>IF(R59,concatll(concatl("---",S59,"---"),"*A collection of sites associated with this topic.*","#### Background",F59,X59,Y59),"")</f>
        <v/>
      </c>
      <c r="CB59" s="23" t="str">
        <f t="shared" si="7"/>
        <v/>
      </c>
    </row>
    <row r="60" spans="1:80" x14ac:dyDescent="0.25">
      <c r="C60" s="53" t="s">
        <v>2096</v>
      </c>
      <c r="D60" s="24" t="s">
        <v>2097</v>
      </c>
      <c r="E60" s="53" t="s">
        <v>2089</v>
      </c>
      <c r="H60" s="60" t="s">
        <v>335</v>
      </c>
      <c r="I60" s="15" t="s">
        <v>335</v>
      </c>
      <c r="J60" s="64" t="s">
        <v>335</v>
      </c>
      <c r="K60" s="60" t="s">
        <v>335</v>
      </c>
      <c r="L60" s="15" t="s">
        <v>335</v>
      </c>
      <c r="M60" s="64" t="s">
        <v>335</v>
      </c>
      <c r="N60" s="15" t="s">
        <v>335</v>
      </c>
      <c r="O60" s="15" t="s">
        <v>335</v>
      </c>
      <c r="P60" s="49" t="s">
        <v>335</v>
      </c>
      <c r="R60" s="154" t="b">
        <f t="shared" si="12"/>
        <v>0</v>
      </c>
      <c r="S60" s="155" t="str">
        <f t="shared" si="13"/>
        <v>title: "Discalced Carmelites (Order of Discalced Carmelites)"</v>
      </c>
      <c r="T60" s="158" t="str">
        <f t="shared" si="8"/>
        <v/>
      </c>
      <c r="U60" s="158" t="str">
        <f t="shared" si="9"/>
        <v/>
      </c>
      <c r="V60" s="158" t="str">
        <f t="shared" si="10"/>
        <v/>
      </c>
      <c r="W60" s="158" t="str">
        <f t="shared" si="14"/>
        <v/>
      </c>
      <c r="X60" s="155" t="str">
        <f t="shared" si="11"/>
        <v/>
      </c>
      <c r="Y60" s="155" t="str">
        <f>IF(LEN(G60)&gt;1,concatll("#### Author's Note",G60,"-"&amp;B60),"")</f>
        <v/>
      </c>
      <c r="BZ60" s="158"/>
      <c r="CA60" s="23" t="str">
        <f>IF(R60,concatll(concatl("---",S60,"---"),"*A collection of sites associated with this topic.*","#### Background",F60,X60,Y60),"")</f>
        <v/>
      </c>
      <c r="CB60" s="23" t="str">
        <f t="shared" si="7"/>
        <v/>
      </c>
    </row>
    <row r="61" spans="1:80" x14ac:dyDescent="0.25">
      <c r="C61" s="53" t="s">
        <v>2095</v>
      </c>
      <c r="D61" s="24" t="s">
        <v>2098</v>
      </c>
      <c r="E61" s="53" t="s">
        <v>2089</v>
      </c>
      <c r="F61" s="40"/>
      <c r="G61" s="177"/>
      <c r="H61" s="60" t="s">
        <v>335</v>
      </c>
      <c r="I61" s="15" t="s">
        <v>335</v>
      </c>
      <c r="J61" s="64" t="s">
        <v>335</v>
      </c>
      <c r="K61" s="60" t="s">
        <v>335</v>
      </c>
      <c r="L61" s="15" t="s">
        <v>335</v>
      </c>
      <c r="M61" s="64" t="s">
        <v>335</v>
      </c>
      <c r="N61" s="15" t="s">
        <v>335</v>
      </c>
      <c r="O61" s="15" t="s">
        <v>335</v>
      </c>
      <c r="P61" s="49" t="s">
        <v>335</v>
      </c>
      <c r="R61" s="154" t="b">
        <f t="shared" si="12"/>
        <v>0</v>
      </c>
      <c r="S61" s="155" t="str">
        <f t="shared" si="13"/>
        <v>title: "Carmelites (Carmelites of the Ancient Observance)"</v>
      </c>
      <c r="T61" s="158" t="str">
        <f t="shared" si="8"/>
        <v/>
      </c>
      <c r="U61" s="158" t="str">
        <f t="shared" si="9"/>
        <v/>
      </c>
      <c r="V61" s="158" t="str">
        <f t="shared" si="10"/>
        <v/>
      </c>
      <c r="W61" s="158" t="str">
        <f t="shared" si="14"/>
        <v/>
      </c>
      <c r="X61" s="155" t="str">
        <f t="shared" si="11"/>
        <v/>
      </c>
      <c r="Y61" s="155" t="str">
        <f>IF(LEN(G61)&gt;1,concatll("#### Author's Note",G61,"-"&amp;B61),"")</f>
        <v/>
      </c>
      <c r="BZ61" s="158"/>
      <c r="CA61" s="23" t="str">
        <f>IF(R61,concatll(concatl("---",S61,"---"),"*A collection of sites associated with this topic.*","#### Background",F61,X61,Y61),"")</f>
        <v/>
      </c>
      <c r="CB61" s="23" t="str">
        <f t="shared" si="7"/>
        <v/>
      </c>
    </row>
    <row r="62" spans="1:80" x14ac:dyDescent="0.25">
      <c r="C62" s="53" t="s">
        <v>2133</v>
      </c>
      <c r="D62" s="24" t="s">
        <v>2134</v>
      </c>
      <c r="E62" s="53" t="s">
        <v>2089</v>
      </c>
      <c r="H62" s="60" t="s">
        <v>335</v>
      </c>
      <c r="I62" s="15" t="s">
        <v>335</v>
      </c>
      <c r="J62" s="64" t="s">
        <v>335</v>
      </c>
      <c r="K62" s="60" t="s">
        <v>335</v>
      </c>
      <c r="L62" s="15" t="s">
        <v>335</v>
      </c>
      <c r="M62" s="64" t="s">
        <v>335</v>
      </c>
      <c r="N62" s="15" t="s">
        <v>335</v>
      </c>
      <c r="O62" s="15" t="s">
        <v>335</v>
      </c>
      <c r="P62" s="49" t="s">
        <v>335</v>
      </c>
      <c r="R62" s="154" t="b">
        <f t="shared" si="12"/>
        <v>0</v>
      </c>
      <c r="S62" s="155" t="str">
        <f t="shared" si="13"/>
        <v>title: "Order of the Immaculate Conception (Conceptionists)"</v>
      </c>
      <c r="T62" s="158" t="str">
        <f t="shared" si="8"/>
        <v/>
      </c>
      <c r="U62" s="158" t="str">
        <f t="shared" si="9"/>
        <v/>
      </c>
      <c r="V62" s="158" t="str">
        <f t="shared" si="10"/>
        <v/>
      </c>
      <c r="W62" s="158" t="str">
        <f t="shared" si="14"/>
        <v/>
      </c>
      <c r="X62" s="155" t="str">
        <f t="shared" si="11"/>
        <v/>
      </c>
      <c r="Y62" s="155" t="str">
        <f>IF(LEN(G62)&gt;1,concatll("#### Author's Note",G62,"-"&amp;B62),"")</f>
        <v/>
      </c>
      <c r="BZ62" s="158"/>
      <c r="CA62" s="23" t="str">
        <f>IF(R62,concatll(concatl("---",S62,"---"),"*A collection of sites associated with this topic.*","#### Background",F62,X62,Y62),"")</f>
        <v/>
      </c>
      <c r="CB62" s="23" t="str">
        <f t="shared" si="7"/>
        <v/>
      </c>
    </row>
    <row r="63" spans="1:80" x14ac:dyDescent="0.25">
      <c r="C63" s="103" t="s">
        <v>2407</v>
      </c>
      <c r="D63" s="101" t="s">
        <v>2408</v>
      </c>
      <c r="E63" s="53" t="s">
        <v>2089</v>
      </c>
      <c r="F63" s="101"/>
      <c r="H63" s="106" t="s">
        <v>335</v>
      </c>
      <c r="I63" s="15" t="s">
        <v>335</v>
      </c>
      <c r="J63" s="107" t="s">
        <v>335</v>
      </c>
      <c r="K63" s="106" t="s">
        <v>335</v>
      </c>
      <c r="L63" s="15" t="s">
        <v>335</v>
      </c>
      <c r="M63" s="64" t="s">
        <v>335</v>
      </c>
      <c r="N63" s="104" t="s">
        <v>335</v>
      </c>
      <c r="O63" s="15" t="s">
        <v>335</v>
      </c>
      <c r="P63" s="49" t="s">
        <v>335</v>
      </c>
      <c r="R63" s="154" t="b">
        <f t="shared" si="12"/>
        <v>0</v>
      </c>
      <c r="S63" s="155" t="str">
        <f t="shared" si="13"/>
        <v>title: "Oratory of St. Philip Neri (Oratorians)"</v>
      </c>
      <c r="T63" s="158" t="str">
        <f t="shared" si="8"/>
        <v/>
      </c>
      <c r="U63" s="158" t="str">
        <f t="shared" si="9"/>
        <v/>
      </c>
      <c r="V63" s="158" t="str">
        <f t="shared" si="10"/>
        <v/>
      </c>
      <c r="W63" s="158" t="str">
        <f t="shared" si="14"/>
        <v/>
      </c>
      <c r="X63" s="155" t="str">
        <f t="shared" si="11"/>
        <v/>
      </c>
      <c r="Y63" s="155" t="str">
        <f>IF(LEN(G63)&gt;1,concatll("#### Author's Note",G63,"-"&amp;B63),"")</f>
        <v/>
      </c>
      <c r="BZ63" s="158"/>
      <c r="CA63" s="23" t="str">
        <f>IF(R63,concatll(concatl("---",S63,"---"),"*A collection of sites associated with this topic.*","#### Background",F63,X63,Y63),"")</f>
        <v/>
      </c>
      <c r="CB63" s="23" t="str">
        <f t="shared" si="7"/>
        <v/>
      </c>
    </row>
    <row r="64" spans="1:80" ht="51" x14ac:dyDescent="0.25">
      <c r="A64" s="167" t="s">
        <v>1317</v>
      </c>
      <c r="B64" s="168" t="s">
        <v>2481</v>
      </c>
      <c r="C64" s="90" t="s">
        <v>2085</v>
      </c>
      <c r="D64" s="83" t="s">
        <v>1426</v>
      </c>
      <c r="E64" s="177" t="s">
        <v>2523</v>
      </c>
      <c r="F64" s="168" t="s">
        <v>2527</v>
      </c>
      <c r="G64" s="177"/>
      <c r="H64" s="169" t="s">
        <v>2528</v>
      </c>
      <c r="I64" s="15" t="s">
        <v>2529</v>
      </c>
      <c r="K64" s="60" t="s">
        <v>335</v>
      </c>
      <c r="L64" s="15" t="s">
        <v>335</v>
      </c>
      <c r="M64" s="64" t="s">
        <v>335</v>
      </c>
      <c r="N64" s="15" t="s">
        <v>335</v>
      </c>
      <c r="O64" s="15" t="s">
        <v>335</v>
      </c>
      <c r="P64" s="49" t="s">
        <v>335</v>
      </c>
      <c r="R64" s="154" t="b">
        <f t="shared" si="12"/>
        <v>1</v>
      </c>
      <c r="S64" s="155" t="str">
        <f t="shared" si="13"/>
        <v>title: "Camino de Santiago"</v>
      </c>
      <c r="T64" s="158" t="str">
        <f t="shared" si="8"/>
        <v>[UNESCO World Heritage List Entry](https://whc.unesco.org/en/list/669/)</v>
      </c>
      <c r="U64" s="158" t="str">
        <f t="shared" si="9"/>
        <v/>
      </c>
      <c r="V64" s="158" t="str">
        <f t="shared" si="10"/>
        <v/>
      </c>
      <c r="W64" s="158" t="str">
        <f t="shared" si="14"/>
        <v xml:space="preserve">* [UNESCO World Heritage List Entry](https://whc.unesco.org/en/list/669/)
</v>
      </c>
      <c r="X64" s="155" t="str">
        <f t="shared" si="11"/>
        <v xml:space="preserve">#### More Information_x000D_
* [UNESCO World Heritage List Entry](https://whc.unesco.org/en/list/669/)
_x000D_
</v>
      </c>
      <c r="Y64" s="155" t="str">
        <f>IF(LEN(G64)&gt;1,concatll("#### Author's Note",G64,"-"&amp;B64),"")</f>
        <v/>
      </c>
      <c r="BZ64" s="158"/>
      <c r="CA64" s="23" t="str">
        <f>IF(R64,concatll(concatl("---",S64,"---"),"*A collection of sites associated with this topic.*","#### Background",F64,X64,Y64),"")</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4" s="23" t="str">
        <f t="shared" si="7"/>
        <v>tags\camino\_index.md</v>
      </c>
    </row>
    <row r="65" spans="1:80" ht="38.25" x14ac:dyDescent="0.25">
      <c r="A65" s="167" t="s">
        <v>1317</v>
      </c>
      <c r="B65" s="24" t="s">
        <v>2481</v>
      </c>
      <c r="C65" s="53" t="s">
        <v>1399</v>
      </c>
      <c r="D65" s="83" t="s">
        <v>1427</v>
      </c>
      <c r="E65" s="90" t="s">
        <v>2090</v>
      </c>
      <c r="F65" s="168" t="s">
        <v>2533</v>
      </c>
      <c r="G65" s="177"/>
      <c r="H65" s="169" t="s">
        <v>2535</v>
      </c>
      <c r="I65" s="15" t="s">
        <v>2534</v>
      </c>
      <c r="J65" s="64" t="s">
        <v>335</v>
      </c>
      <c r="K65" s="60" t="s">
        <v>335</v>
      </c>
      <c r="L65" s="15" t="s">
        <v>335</v>
      </c>
      <c r="M65" s="64" t="s">
        <v>335</v>
      </c>
      <c r="N65" s="15" t="s">
        <v>335</v>
      </c>
      <c r="O65" s="15" t="s">
        <v>335</v>
      </c>
      <c r="P65" s="49" t="s">
        <v>335</v>
      </c>
      <c r="R65" s="154" t="b">
        <f t="shared" si="12"/>
        <v>1</v>
      </c>
      <c r="S65" s="155" t="str">
        <f t="shared" si="13"/>
        <v>title: "Syro-Malabar Church"</v>
      </c>
      <c r="T65" s="158" t="str">
        <f t="shared" si="8"/>
        <v>[Official Site](https://syromalabarchurch.in/)</v>
      </c>
      <c r="U65" s="158" t="str">
        <f t="shared" si="9"/>
        <v/>
      </c>
      <c r="V65" s="158" t="str">
        <f t="shared" si="10"/>
        <v/>
      </c>
      <c r="W65" s="158" t="str">
        <f t="shared" si="14"/>
        <v xml:space="preserve">* [Official Site](https://syromalabarchurch.in/)
</v>
      </c>
      <c r="X65" s="155" t="str">
        <f t="shared" si="11"/>
        <v xml:space="preserve">#### More Information_x000D_
* [Official Site](https://syromalabarchurch.in/)
_x000D_
</v>
      </c>
      <c r="Y65" s="155" t="str">
        <f>IF(LEN(G65)&gt;1,concatll("#### Author's Note",G65,"-"&amp;B65),"")</f>
        <v/>
      </c>
      <c r="BZ65" s="158"/>
      <c r="CA65" s="23" t="str">
        <f>IF(R65,concatll(concatl("---",S65,"---"),"*A collection of sites associated with this topic.*","#### Background",F65,X65,Y65),"")</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5" s="23" t="str">
        <f t="shared" si="7"/>
        <v>tags\syro-malabar\_index.md</v>
      </c>
    </row>
    <row r="66" spans="1:80" ht="25.5" x14ac:dyDescent="0.25">
      <c r="A66" s="167" t="s">
        <v>1317</v>
      </c>
      <c r="B66" s="168" t="s">
        <v>2481</v>
      </c>
      <c r="C66" s="177" t="s">
        <v>2546</v>
      </c>
      <c r="D66" s="168" t="s">
        <v>2551</v>
      </c>
      <c r="E66" s="177" t="s">
        <v>2086</v>
      </c>
      <c r="F66" s="168" t="s">
        <v>2547</v>
      </c>
      <c r="H66" s="169" t="s">
        <v>2548</v>
      </c>
      <c r="I66" s="15" t="s">
        <v>2549</v>
      </c>
      <c r="J66" s="171" t="s">
        <v>2554</v>
      </c>
      <c r="K66" s="60" t="s">
        <v>335</v>
      </c>
      <c r="L66" s="15" t="s">
        <v>335</v>
      </c>
      <c r="M66" s="64" t="s">
        <v>335</v>
      </c>
      <c r="N66" s="15" t="s">
        <v>335</v>
      </c>
      <c r="O66" s="15" t="s">
        <v>335</v>
      </c>
      <c r="P66" s="49" t="s">
        <v>335</v>
      </c>
      <c r="Q66" s="159" t="s">
        <v>335</v>
      </c>
      <c r="R66" s="154" t="b">
        <f t="shared" si="12"/>
        <v>1</v>
      </c>
      <c r="S66" s="155" t="str">
        <f t="shared" si="13"/>
        <v>title: "Active Churches"</v>
      </c>
      <c r="T66" s="158" t="str">
        <f t="shared" si="8"/>
        <v>[MassTimes.org](https://masstimes.org/) - Database of known service times for actively-operating churches</v>
      </c>
      <c r="U66" s="158" t="str">
        <f t="shared" si="9"/>
        <v/>
      </c>
      <c r="V66" s="158" t="str">
        <f t="shared" si="10"/>
        <v/>
      </c>
      <c r="W66" s="155" t="str">
        <f t="shared" si="14"/>
        <v xml:space="preserve">* [MassTimes.org](https://masstimes.org/) - Database of known service times for actively-operating churches
</v>
      </c>
      <c r="X66" s="155" t="str">
        <f t="shared" si="11"/>
        <v xml:space="preserve">#### More Information_x000D_
* [MassTimes.org](https://masstimes.org/) - Database of known service times for actively-operating churches
_x000D_
</v>
      </c>
      <c r="Y66" s="155" t="str">
        <f>IF(LEN(G66)&gt;1,concatll("#### Author's Note",G66,"-"&amp;B66),"")</f>
        <v/>
      </c>
      <c r="CA66" s="23" t="str">
        <f>IF(R66,concatll(concatl("---",S66,"---"),"*A collection of sites associated with this topic.*","#### Background",F66,X66,Y66),"")</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66" s="23" t="str">
        <f t="shared" si="7"/>
        <v>tags\churches\_index.md</v>
      </c>
    </row>
    <row r="67" spans="1:80" x14ac:dyDescent="0.25">
      <c r="C67" s="177"/>
      <c r="D67" s="168"/>
      <c r="E67" s="177"/>
      <c r="F67" s="168"/>
      <c r="H67" s="169"/>
      <c r="J67" s="171"/>
      <c r="CB67" s="23"/>
    </row>
    <row r="68" spans="1:80" x14ac:dyDescent="0.25">
      <c r="C68" s="103"/>
      <c r="D68" s="111"/>
      <c r="F68" s="101"/>
      <c r="H68" s="106"/>
      <c r="J68" s="107"/>
      <c r="K68" s="106"/>
      <c r="M68" s="108"/>
      <c r="N68" s="104"/>
      <c r="CB68" s="23"/>
    </row>
    <row r="69" spans="1:80" x14ac:dyDescent="0.25">
      <c r="C69" s="103"/>
      <c r="D69" s="111"/>
      <c r="F69" s="101"/>
      <c r="H69" s="106"/>
      <c r="J69" s="107"/>
      <c r="CB69" s="23"/>
    </row>
    <row r="70" spans="1:80" x14ac:dyDescent="0.25">
      <c r="C70" s="103"/>
      <c r="D70" s="101"/>
      <c r="F70" s="101"/>
      <c r="H70" s="106"/>
      <c r="J70" s="107"/>
      <c r="K70" s="106"/>
      <c r="M70" s="107"/>
      <c r="CB70" s="23"/>
    </row>
    <row r="71" spans="1:80" x14ac:dyDescent="0.25">
      <c r="C71" s="112"/>
      <c r="D71" s="111"/>
      <c r="F71" s="101"/>
      <c r="H71" s="106"/>
      <c r="J71" s="107"/>
      <c r="CB71" s="23"/>
    </row>
    <row r="72" spans="1:80" x14ac:dyDescent="0.25">
      <c r="C72" s="103"/>
      <c r="D72" s="111"/>
      <c r="E72" s="103"/>
      <c r="F72" s="101"/>
      <c r="H72" s="106"/>
      <c r="CB72" s="23"/>
    </row>
    <row r="73" spans="1:80" x14ac:dyDescent="0.25">
      <c r="C73" s="103"/>
      <c r="D73" s="111"/>
      <c r="F73" s="101"/>
      <c r="G73" s="177"/>
      <c r="H73" s="106"/>
      <c r="CB73" s="23"/>
    </row>
    <row r="74" spans="1:80" x14ac:dyDescent="0.25">
      <c r="C74" s="103"/>
      <c r="D74" s="101"/>
      <c r="F74" s="101"/>
      <c r="H74" s="106"/>
      <c r="CB74" s="23"/>
    </row>
    <row r="75" spans="1:80" x14ac:dyDescent="0.25">
      <c r="C75" s="103"/>
      <c r="D75" s="111"/>
      <c r="F75" s="101"/>
      <c r="G75" s="177"/>
      <c r="H75" s="106"/>
      <c r="K75" s="109"/>
      <c r="CB75" s="23"/>
    </row>
    <row r="76" spans="1:80" x14ac:dyDescent="0.25">
      <c r="C76" s="103"/>
      <c r="D76" s="101"/>
      <c r="E76" s="103"/>
      <c r="F76" s="101"/>
      <c r="CB76" s="23"/>
    </row>
    <row r="77" spans="1:80" x14ac:dyDescent="0.25">
      <c r="D77" s="101"/>
      <c r="E77" s="103"/>
      <c r="F77" s="101"/>
      <c r="CB77" s="23"/>
    </row>
    <row r="78" spans="1:80" x14ac:dyDescent="0.25">
      <c r="F78" s="101"/>
      <c r="G78" s="177"/>
      <c r="CB78" s="23"/>
    </row>
    <row r="79" spans="1:80" x14ac:dyDescent="0.25">
      <c r="C79" s="103"/>
      <c r="D79" s="101"/>
      <c r="E79" s="103"/>
      <c r="F79" s="101"/>
      <c r="CB79" s="23"/>
    </row>
    <row r="80" spans="1:80" x14ac:dyDescent="0.25">
      <c r="C80" s="103"/>
      <c r="D80" s="101"/>
      <c r="E80" s="103"/>
      <c r="F80" s="101"/>
      <c r="CB80" s="23"/>
    </row>
    <row r="81" spans="2:80" x14ac:dyDescent="0.25">
      <c r="C81" s="103"/>
      <c r="D81" s="101"/>
      <c r="E81" s="103"/>
      <c r="F81" s="101"/>
      <c r="H81" s="106"/>
      <c r="CB81" s="23"/>
    </row>
    <row r="82" spans="2:80" x14ac:dyDescent="0.25">
      <c r="C82" s="112"/>
      <c r="D82" s="111"/>
      <c r="E82" s="112"/>
      <c r="F82" s="153"/>
      <c r="CB82" s="23"/>
    </row>
    <row r="83" spans="2:80" x14ac:dyDescent="0.25">
      <c r="D83" s="124"/>
      <c r="F83" s="124"/>
      <c r="G83" s="177"/>
      <c r="CB83" s="23"/>
    </row>
    <row r="84" spans="2:80" x14ac:dyDescent="0.25">
      <c r="D84" s="124"/>
      <c r="F84" s="124"/>
      <c r="CB84" s="23"/>
    </row>
    <row r="85" spans="2:80" x14ac:dyDescent="0.25">
      <c r="B85" s="124"/>
      <c r="C85" s="126"/>
      <c r="D85" s="124"/>
      <c r="E85" s="126"/>
      <c r="F85" s="153"/>
      <c r="CB85" s="23"/>
    </row>
    <row r="86" spans="2:80" x14ac:dyDescent="0.25">
      <c r="B86" s="168"/>
      <c r="C86" s="119"/>
      <c r="D86" s="116"/>
      <c r="F86" s="116"/>
      <c r="CB86" s="23"/>
    </row>
    <row r="87" spans="2:80" x14ac:dyDescent="0.25">
      <c r="B87" s="83"/>
      <c r="C87" s="90"/>
      <c r="E87" s="90"/>
      <c r="F87" s="83"/>
      <c r="H87" s="106"/>
      <c r="J87" s="93"/>
      <c r="CB87" s="23"/>
    </row>
    <row r="88" spans="2:80" x14ac:dyDescent="0.25">
      <c r="B88" s="168"/>
      <c r="E88" s="119"/>
      <c r="H88" s="120"/>
      <c r="K88" s="120"/>
      <c r="M88" s="121"/>
      <c r="CB88" s="23"/>
    </row>
    <row r="89" spans="2:80" x14ac:dyDescent="0.25">
      <c r="E89" s="119"/>
      <c r="F89" s="116"/>
      <c r="CB89" s="23"/>
    </row>
    <row r="90" spans="2:80" x14ac:dyDescent="0.25">
      <c r="E90" s="119"/>
      <c r="CB90" s="23"/>
    </row>
    <row r="91" spans="2:80" x14ac:dyDescent="0.25">
      <c r="E91" s="119"/>
      <c r="CB91" s="23"/>
    </row>
    <row r="92" spans="2:80" x14ac:dyDescent="0.25">
      <c r="E92" s="119"/>
      <c r="CB92" s="23"/>
    </row>
    <row r="93" spans="2:80" x14ac:dyDescent="0.25">
      <c r="E93" s="119"/>
      <c r="CB93" s="23"/>
    </row>
    <row r="94" spans="2:80" x14ac:dyDescent="0.25">
      <c r="CB94" s="23"/>
    </row>
    <row r="95" spans="2:80" x14ac:dyDescent="0.25">
      <c r="E95" s="119"/>
      <c r="CB95" s="23"/>
    </row>
    <row r="96" spans="2:80" x14ac:dyDescent="0.25">
      <c r="CB96" s="23"/>
    </row>
    <row r="97" spans="2:80" x14ac:dyDescent="0.25">
      <c r="CB97" s="23"/>
    </row>
    <row r="98" spans="2:80" x14ac:dyDescent="0.25">
      <c r="E98" s="119"/>
      <c r="F98" s="116"/>
      <c r="CB98" s="23"/>
    </row>
    <row r="99" spans="2:80" x14ac:dyDescent="0.25">
      <c r="CB99" s="23"/>
    </row>
    <row r="100" spans="2:80" x14ac:dyDescent="0.25">
      <c r="E100" s="119"/>
      <c r="CB100" s="23"/>
    </row>
    <row r="101" spans="2:80" x14ac:dyDescent="0.25">
      <c r="CB101" s="23"/>
    </row>
    <row r="102" spans="2:80" x14ac:dyDescent="0.25">
      <c r="CB102" s="23"/>
    </row>
    <row r="103" spans="2:80" x14ac:dyDescent="0.25">
      <c r="E103" s="119"/>
      <c r="CB103" s="23"/>
    </row>
    <row r="104" spans="2:80" x14ac:dyDescent="0.25">
      <c r="E104" s="119"/>
      <c r="CB104" s="23"/>
    </row>
    <row r="105" spans="2:80" x14ac:dyDescent="0.25">
      <c r="E105" s="119"/>
      <c r="F105" s="116"/>
      <c r="CB105" s="23"/>
    </row>
    <row r="106" spans="2:80" x14ac:dyDescent="0.25">
      <c r="CB106" s="23"/>
    </row>
    <row r="107" spans="2:80" x14ac:dyDescent="0.25">
      <c r="D107" s="116"/>
      <c r="E107" s="119"/>
      <c r="CB107" s="23"/>
    </row>
    <row r="108" spans="2:80" x14ac:dyDescent="0.25">
      <c r="F108" s="116"/>
      <c r="CB108" s="23"/>
    </row>
    <row r="109" spans="2:80" x14ac:dyDescent="0.25">
      <c r="B109" s="168"/>
      <c r="C109" s="90"/>
      <c r="E109" s="90"/>
      <c r="F109" s="83"/>
      <c r="CB109" s="23"/>
    </row>
    <row r="110" spans="2:80" x14ac:dyDescent="0.25">
      <c r="B110" s="168"/>
      <c r="C110" s="90"/>
      <c r="E110" s="90"/>
      <c r="F110" s="83"/>
      <c r="H110" s="106"/>
      <c r="J110" s="93"/>
      <c r="CB110" s="23"/>
    </row>
    <row r="111" spans="2:80" x14ac:dyDescent="0.25">
      <c r="B111" s="168"/>
      <c r="C111" s="90"/>
      <c r="E111" s="90"/>
      <c r="F111" s="83"/>
      <c r="H111" s="95"/>
      <c r="J111" s="93"/>
      <c r="K111" s="106"/>
      <c r="M111" s="93"/>
      <c r="CB111" s="23"/>
    </row>
    <row r="112" spans="2:80" x14ac:dyDescent="0.25">
      <c r="B112" s="168"/>
      <c r="D112" s="83"/>
      <c r="F112" s="83"/>
      <c r="K112" s="106"/>
      <c r="CB112" s="23"/>
    </row>
    <row r="113" spans="2:80" x14ac:dyDescent="0.25">
      <c r="B113" s="168"/>
      <c r="C113" s="90"/>
      <c r="D113" s="83"/>
      <c r="E113" s="90"/>
      <c r="CB113" s="23"/>
    </row>
    <row r="114" spans="2:80" x14ac:dyDescent="0.25">
      <c r="C114" s="90"/>
      <c r="E114" s="90"/>
      <c r="CB114" s="23"/>
    </row>
    <row r="115" spans="2:80" x14ac:dyDescent="0.25">
      <c r="B115" s="83"/>
      <c r="C115" s="90"/>
      <c r="D115" s="83"/>
      <c r="F115" s="83"/>
      <c r="CB115" s="23"/>
    </row>
    <row r="116" spans="2:80" x14ac:dyDescent="0.25">
      <c r="B116" s="168"/>
      <c r="C116" s="90"/>
      <c r="D116" s="83"/>
      <c r="E116" s="90"/>
      <c r="H116" s="95"/>
      <c r="J116" s="93"/>
      <c r="CB116" s="23"/>
    </row>
    <row r="117" spans="2:80" x14ac:dyDescent="0.25">
      <c r="D117" s="83"/>
      <c r="E117" s="90"/>
      <c r="F117" s="83"/>
      <c r="G117" s="177"/>
      <c r="CB117" s="23"/>
    </row>
    <row r="118" spans="2:80" x14ac:dyDescent="0.25">
      <c r="E118" s="90"/>
      <c r="F118" s="83"/>
      <c r="H118" s="95"/>
      <c r="J118" s="93"/>
      <c r="CB118" s="23"/>
    </row>
    <row r="119" spans="2:80" x14ac:dyDescent="0.25">
      <c r="D119" s="83"/>
      <c r="E119" s="90"/>
      <c r="F119" s="83"/>
      <c r="H119" s="95"/>
      <c r="I119" s="91"/>
      <c r="J119" s="93"/>
      <c r="K119" s="95"/>
      <c r="M119" s="93"/>
      <c r="CB119" s="23"/>
    </row>
    <row r="120" spans="2:80" x14ac:dyDescent="0.25">
      <c r="E120" s="90"/>
      <c r="F120" s="83"/>
      <c r="H120" s="95"/>
      <c r="J120" s="93"/>
      <c r="CB120" s="23"/>
    </row>
    <row r="121" spans="2:80" x14ac:dyDescent="0.25">
      <c r="D121" s="83"/>
      <c r="E121" s="90"/>
      <c r="F121" s="83"/>
      <c r="H121" s="95"/>
      <c r="J121" s="96"/>
      <c r="K121" s="97"/>
      <c r="L121" s="91"/>
      <c r="M121" s="96"/>
      <c r="O121" s="91"/>
      <c r="P121" s="100"/>
      <c r="CB121" s="23"/>
    </row>
    <row r="122" spans="2:80" x14ac:dyDescent="0.25">
      <c r="D122" s="83"/>
      <c r="E122" s="90"/>
      <c r="F122" s="83"/>
      <c r="H122" s="95"/>
      <c r="J122" s="93"/>
      <c r="K122" s="95"/>
      <c r="M122" s="93"/>
      <c r="N122" s="91"/>
      <c r="O122" s="94"/>
      <c r="P122" s="100"/>
      <c r="CB122" s="23"/>
    </row>
    <row r="123" spans="2:80" x14ac:dyDescent="0.25">
      <c r="D123" s="83"/>
      <c r="E123" s="90"/>
      <c r="F123" s="83"/>
      <c r="J123" s="93"/>
      <c r="CB123" s="23"/>
    </row>
    <row r="124" spans="2:80" x14ac:dyDescent="0.25">
      <c r="D124" s="83"/>
      <c r="E124" s="90"/>
      <c r="F124" s="83"/>
      <c r="J124" s="93"/>
      <c r="M124" s="93"/>
      <c r="CB124" s="23"/>
    </row>
    <row r="125" spans="2:80" x14ac:dyDescent="0.25">
      <c r="E125" s="90"/>
      <c r="F125" s="83"/>
      <c r="H125" s="95"/>
      <c r="J125" s="93"/>
      <c r="CB125" s="23"/>
    </row>
    <row r="126" spans="2:80" x14ac:dyDescent="0.25">
      <c r="D126" s="83"/>
      <c r="E126" s="90"/>
      <c r="F126" s="83"/>
      <c r="J126" s="93"/>
      <c r="CB126" s="23"/>
    </row>
    <row r="127" spans="2:80" x14ac:dyDescent="0.25">
      <c r="B127" s="168"/>
      <c r="D127" s="129"/>
      <c r="E127" s="131"/>
      <c r="F127" s="134"/>
      <c r="CB127" s="23"/>
    </row>
    <row r="128" spans="2:80" x14ac:dyDescent="0.25">
      <c r="G128" s="177"/>
      <c r="T128" s="158"/>
      <c r="U128" s="158"/>
      <c r="V128" s="158"/>
      <c r="W128" s="158"/>
      <c r="CB128" s="23"/>
    </row>
    <row r="129" spans="2:80" x14ac:dyDescent="0.25">
      <c r="B129" s="168"/>
      <c r="D129" s="129"/>
      <c r="E129" s="139"/>
      <c r="F129" s="140"/>
      <c r="G129" s="177"/>
      <c r="J129" s="137"/>
      <c r="CB129" s="23"/>
    </row>
    <row r="130" spans="2:80" x14ac:dyDescent="0.25">
      <c r="T130" s="158"/>
      <c r="U130" s="158"/>
      <c r="V130" s="158"/>
      <c r="W130" s="158"/>
      <c r="CB130" s="23"/>
    </row>
    <row r="131" spans="2:80" x14ac:dyDescent="0.25">
      <c r="D131" s="27"/>
      <c r="F131" s="27"/>
      <c r="T131" s="158"/>
      <c r="U131" s="158"/>
      <c r="V131" s="158"/>
      <c r="W131" s="158"/>
      <c r="CB131" s="23"/>
    </row>
    <row r="132" spans="2:80" x14ac:dyDescent="0.25">
      <c r="B132" s="45"/>
      <c r="C132" s="90"/>
      <c r="D132" s="45"/>
      <c r="E132" s="58"/>
      <c r="F132" s="45"/>
      <c r="G132" s="177"/>
      <c r="T132" s="158"/>
      <c r="U132" s="158"/>
      <c r="V132" s="158"/>
      <c r="W132" s="158"/>
      <c r="CB132" s="23"/>
    </row>
    <row r="133" spans="2:80" x14ac:dyDescent="0.25">
      <c r="D133" s="40"/>
      <c r="E133" s="54"/>
      <c r="F133" s="40"/>
      <c r="T133" s="158"/>
      <c r="U133" s="158"/>
      <c r="V133" s="158"/>
      <c r="W133" s="158"/>
      <c r="CB133" s="23"/>
    </row>
    <row r="134" spans="2:80" x14ac:dyDescent="0.25">
      <c r="C134" s="58"/>
      <c r="T134" s="158"/>
      <c r="U134" s="158"/>
      <c r="V134" s="158"/>
      <c r="W134" s="158"/>
      <c r="CB134" s="23"/>
    </row>
    <row r="135" spans="2:80" x14ac:dyDescent="0.25">
      <c r="E135" s="54"/>
      <c r="T135" s="158"/>
      <c r="U135" s="158"/>
      <c r="V135" s="158"/>
      <c r="W135" s="158"/>
      <c r="CB135" s="23"/>
    </row>
    <row r="136" spans="2:80" x14ac:dyDescent="0.25">
      <c r="G136" s="177"/>
      <c r="T136" s="158"/>
      <c r="U136" s="158"/>
      <c r="V136" s="158"/>
      <c r="W136" s="158"/>
      <c r="CB136" s="23"/>
    </row>
    <row r="137" spans="2:80" x14ac:dyDescent="0.25">
      <c r="G137" s="177"/>
      <c r="T137" s="158"/>
      <c r="U137" s="158"/>
      <c r="V137" s="158"/>
      <c r="W137" s="158"/>
      <c r="CB137" s="23"/>
    </row>
    <row r="138" spans="2:80" x14ac:dyDescent="0.25">
      <c r="G138" s="55"/>
      <c r="T138" s="158"/>
      <c r="U138" s="158"/>
      <c r="V138" s="158"/>
      <c r="W138" s="158"/>
      <c r="CB138" s="23"/>
    </row>
    <row r="139" spans="2:80" x14ac:dyDescent="0.25">
      <c r="T139" s="158"/>
      <c r="U139" s="158"/>
      <c r="V139" s="158"/>
      <c r="W139" s="158"/>
      <c r="CB139" s="23"/>
    </row>
    <row r="140" spans="2:80" x14ac:dyDescent="0.25">
      <c r="D140" s="32"/>
      <c r="E140" s="57"/>
      <c r="F140" s="47"/>
      <c r="T140" s="158"/>
      <c r="U140" s="158"/>
      <c r="V140" s="158"/>
      <c r="W140" s="158"/>
      <c r="CB140" s="23"/>
    </row>
    <row r="141" spans="2:80" x14ac:dyDescent="0.25">
      <c r="CB141" s="23"/>
    </row>
  </sheetData>
  <autoFilter ref="A5:CB140" xr:uid="{A598B8B3-DE60-41C5-96BA-7CC5FA9AD3BE}">
    <sortState xmlns:xlrd2="http://schemas.microsoft.com/office/spreadsheetml/2017/richdata2" ref="A6:CB140">
      <sortCondition ref="E5:E140"/>
    </sortState>
  </autoFilter>
  <conditionalFormatting sqref="A1:P1048576">
    <cfRule type="expression" dxfId="14" priority="3" stopIfTrue="1">
      <formula>IF($A1="New (change to Done when complete)",TRUE,FALSE)</formula>
    </cfRule>
    <cfRule type="expression" dxfId="13" priority="4" stopIfTrue="1">
      <formula>IF($A1="Blocked",TRUE,FALSE)</formula>
    </cfRule>
    <cfRule type="expression" dxfId="12" priority="5">
      <formula>IF(AND(LEN($A1)&gt;0,$A1&lt;&gt;"Done",$A1&lt;&gt;"Status"),TRUE,FALSE)</formula>
    </cfRule>
  </conditionalFormatting>
  <conditionalFormatting sqref="B1:P1048576">
    <cfRule type="expression" dxfId="11"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2"/>
  <sheetViews>
    <sheetView tabSelected="1" workbookViewId="0">
      <pane ySplit="1" topLeftCell="A2" activePane="bottomLeft" state="frozen"/>
      <selection pane="bottomLeft" activeCell="C11" sqref="C11"/>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1423</v>
      </c>
      <c r="B1" s="20" t="s">
        <v>1424</v>
      </c>
      <c r="C1" s="20" t="s">
        <v>2084</v>
      </c>
    </row>
    <row r="2" spans="1:5" x14ac:dyDescent="0.2">
      <c r="A2" s="21" t="s">
        <v>1032</v>
      </c>
      <c r="B2" s="21" t="s">
        <v>1425</v>
      </c>
      <c r="C2" s="92" t="s">
        <v>1732</v>
      </c>
    </row>
    <row r="3" spans="1:5" x14ac:dyDescent="0.2">
      <c r="A3" s="92" t="s">
        <v>2085</v>
      </c>
      <c r="B3" s="21" t="s">
        <v>1426</v>
      </c>
    </row>
    <row r="4" spans="1:5" x14ac:dyDescent="0.2">
      <c r="A4" s="21" t="s">
        <v>1399</v>
      </c>
      <c r="B4" s="21" t="s">
        <v>1427</v>
      </c>
      <c r="C4" s="21" t="s">
        <v>2090</v>
      </c>
    </row>
    <row r="5" spans="1:5" x14ac:dyDescent="0.2">
      <c r="A5" s="21" t="s">
        <v>995</v>
      </c>
      <c r="B5" s="21" t="s">
        <v>1428</v>
      </c>
      <c r="C5" s="21" t="s">
        <v>2086</v>
      </c>
    </row>
    <row r="6" spans="1:5" x14ac:dyDescent="0.2">
      <c r="A6" s="21" t="s">
        <v>1413</v>
      </c>
      <c r="B6" s="21" t="s">
        <v>1430</v>
      </c>
      <c r="C6" s="92" t="s">
        <v>1732</v>
      </c>
    </row>
    <row r="7" spans="1:5" x14ac:dyDescent="0.2">
      <c r="A7" s="21" t="s">
        <v>484</v>
      </c>
      <c r="B7" s="21" t="s">
        <v>1431</v>
      </c>
      <c r="C7" s="92" t="s">
        <v>1732</v>
      </c>
    </row>
    <row r="8" spans="1:5" x14ac:dyDescent="0.2">
      <c r="A8" s="21" t="s">
        <v>1420</v>
      </c>
      <c r="B8" s="21" t="s">
        <v>1433</v>
      </c>
      <c r="C8" s="92" t="s">
        <v>2086</v>
      </c>
    </row>
    <row r="9" spans="1:5" x14ac:dyDescent="0.2">
      <c r="A9" s="21" t="s">
        <v>485</v>
      </c>
      <c r="B9" s="92" t="s">
        <v>2087</v>
      </c>
      <c r="C9" s="92" t="s">
        <v>1732</v>
      </c>
    </row>
    <row r="10" spans="1:5" x14ac:dyDescent="0.2">
      <c r="A10" s="21" t="s">
        <v>486</v>
      </c>
      <c r="B10" s="21" t="s">
        <v>1432</v>
      </c>
      <c r="C10" s="92" t="s">
        <v>1732</v>
      </c>
    </row>
    <row r="11" spans="1:5" x14ac:dyDescent="0.2">
      <c r="A11" s="21" t="s">
        <v>487</v>
      </c>
      <c r="B11" s="123" t="s">
        <v>2411</v>
      </c>
      <c r="C11" s="92" t="s">
        <v>1732</v>
      </c>
      <c r="E11" s="21" t="s">
        <v>2399</v>
      </c>
    </row>
    <row r="12" spans="1:5" x14ac:dyDescent="0.2">
      <c r="A12" s="21" t="s">
        <v>488</v>
      </c>
      <c r="B12" s="21" t="s">
        <v>1434</v>
      </c>
      <c r="C12" s="92" t="s">
        <v>1732</v>
      </c>
    </row>
    <row r="13" spans="1:5" x14ac:dyDescent="0.2">
      <c r="A13" s="21" t="s">
        <v>1421</v>
      </c>
      <c r="B13" s="21" t="s">
        <v>1435</v>
      </c>
      <c r="C13" s="92" t="s">
        <v>1732</v>
      </c>
    </row>
    <row r="14" spans="1:5" x14ac:dyDescent="0.2">
      <c r="A14" s="21" t="s">
        <v>1316</v>
      </c>
      <c r="B14" s="92" t="s">
        <v>2088</v>
      </c>
      <c r="C14" s="92" t="s">
        <v>1732</v>
      </c>
    </row>
    <row r="15" spans="1:5" x14ac:dyDescent="0.2">
      <c r="A15" s="21" t="s">
        <v>1015</v>
      </c>
      <c r="B15" s="21" t="s">
        <v>1437</v>
      </c>
      <c r="C15" s="92" t="s">
        <v>2090</v>
      </c>
    </row>
    <row r="16" spans="1:5" x14ac:dyDescent="0.2">
      <c r="A16" s="21" t="s">
        <v>1422</v>
      </c>
      <c r="B16" s="21" t="s">
        <v>1436</v>
      </c>
      <c r="C16" s="92" t="s">
        <v>1732</v>
      </c>
    </row>
    <row r="17" spans="1:5" x14ac:dyDescent="0.2">
      <c r="A17" s="21" t="s">
        <v>1699</v>
      </c>
      <c r="B17" s="123" t="s">
        <v>2412</v>
      </c>
      <c r="C17" s="21" t="s">
        <v>1732</v>
      </c>
    </row>
    <row r="18" spans="1:5" x14ac:dyDescent="0.2">
      <c r="A18" s="21" t="s">
        <v>1716</v>
      </c>
      <c r="B18" s="123" t="s">
        <v>2413</v>
      </c>
      <c r="C18" s="21" t="s">
        <v>1732</v>
      </c>
    </row>
    <row r="19" spans="1:5" x14ac:dyDescent="0.2">
      <c r="A19" s="21" t="s">
        <v>1717</v>
      </c>
      <c r="B19" s="123" t="s">
        <v>2415</v>
      </c>
      <c r="C19" s="21" t="s">
        <v>1732</v>
      </c>
      <c r="E19" s="21" t="s">
        <v>2414</v>
      </c>
    </row>
    <row r="20" spans="1:5" x14ac:dyDescent="0.2">
      <c r="A20" s="21" t="s">
        <v>1730</v>
      </c>
      <c r="B20" s="22" t="s">
        <v>1731</v>
      </c>
      <c r="C20" s="21" t="s">
        <v>1732</v>
      </c>
    </row>
    <row r="21" spans="1:5" x14ac:dyDescent="0.2">
      <c r="A21" s="21" t="s">
        <v>1734</v>
      </c>
      <c r="B21" s="22" t="s">
        <v>1735</v>
      </c>
    </row>
    <row r="22" spans="1:5" x14ac:dyDescent="0.2">
      <c r="A22" s="22" t="s">
        <v>1733</v>
      </c>
      <c r="B22" s="22" t="s">
        <v>1736</v>
      </c>
    </row>
    <row r="23" spans="1:5" x14ac:dyDescent="0.2">
      <c r="A23" s="21" t="s">
        <v>1742</v>
      </c>
      <c r="B23" s="123" t="s">
        <v>2416</v>
      </c>
      <c r="C23" s="21" t="s">
        <v>1732</v>
      </c>
    </row>
    <row r="24" spans="1:5" x14ac:dyDescent="0.2">
      <c r="A24" s="92" t="s">
        <v>1809</v>
      </c>
      <c r="B24" s="92" t="s">
        <v>1811</v>
      </c>
      <c r="C24" s="21" t="s">
        <v>1732</v>
      </c>
    </row>
    <row r="25" spans="1:5" x14ac:dyDescent="0.2">
      <c r="A25" s="92" t="s">
        <v>1810</v>
      </c>
      <c r="B25" s="92" t="s">
        <v>1812</v>
      </c>
      <c r="C25" s="21" t="s">
        <v>1732</v>
      </c>
    </row>
    <row r="26" spans="1:5" x14ac:dyDescent="0.2">
      <c r="A26" s="92" t="s">
        <v>1813</v>
      </c>
      <c r="B26" s="92" t="s">
        <v>1814</v>
      </c>
      <c r="C26" s="21" t="s">
        <v>1732</v>
      </c>
    </row>
    <row r="27" spans="1:5" x14ac:dyDescent="0.2">
      <c r="A27" s="21" t="s">
        <v>1819</v>
      </c>
      <c r="B27" s="92" t="s">
        <v>1820</v>
      </c>
      <c r="C27" s="21" t="s">
        <v>1732</v>
      </c>
    </row>
    <row r="28" spans="1:5" x14ac:dyDescent="0.2">
      <c r="A28" s="92" t="s">
        <v>1829</v>
      </c>
      <c r="B28" s="92" t="s">
        <v>1830</v>
      </c>
      <c r="C28" s="92" t="s">
        <v>2086</v>
      </c>
    </row>
    <row r="29" spans="1:5" x14ac:dyDescent="0.2">
      <c r="A29" s="21" t="s">
        <v>1836</v>
      </c>
      <c r="B29" s="92" t="s">
        <v>1837</v>
      </c>
      <c r="C29" s="21" t="s">
        <v>1732</v>
      </c>
    </row>
    <row r="30" spans="1:5" x14ac:dyDescent="0.2">
      <c r="A30" s="92" t="s">
        <v>1860</v>
      </c>
      <c r="B30" s="92" t="s">
        <v>1861</v>
      </c>
      <c r="C30" s="21" t="s">
        <v>1732</v>
      </c>
    </row>
    <row r="31" spans="1:5" x14ac:dyDescent="0.2">
      <c r="A31" s="92" t="s">
        <v>1977</v>
      </c>
      <c r="B31" s="92" t="s">
        <v>1978</v>
      </c>
      <c r="C31" s="21" t="s">
        <v>1732</v>
      </c>
    </row>
    <row r="32" spans="1:5" x14ac:dyDescent="0.2">
      <c r="A32" s="92" t="s">
        <v>1994</v>
      </c>
      <c r="B32" s="92" t="s">
        <v>1995</v>
      </c>
      <c r="C32" s="21" t="s">
        <v>1732</v>
      </c>
    </row>
    <row r="33" spans="1:5" x14ac:dyDescent="0.2">
      <c r="A33" s="21" t="s">
        <v>2003</v>
      </c>
      <c r="B33" s="92" t="s">
        <v>2006</v>
      </c>
      <c r="C33" s="21" t="s">
        <v>1732</v>
      </c>
    </row>
    <row r="34" spans="1:5" x14ac:dyDescent="0.2">
      <c r="A34" s="21" t="s">
        <v>2004</v>
      </c>
      <c r="B34" s="92" t="s">
        <v>2007</v>
      </c>
      <c r="C34" s="21" t="s">
        <v>1732</v>
      </c>
    </row>
    <row r="35" spans="1:5" x14ac:dyDescent="0.2">
      <c r="A35" s="21" t="s">
        <v>2005</v>
      </c>
      <c r="B35" s="92" t="s">
        <v>2010</v>
      </c>
      <c r="C35" s="21" t="s">
        <v>1732</v>
      </c>
    </row>
    <row r="36" spans="1:5" x14ac:dyDescent="0.2">
      <c r="A36" s="92" t="s">
        <v>2013</v>
      </c>
      <c r="B36" s="92" t="s">
        <v>2011</v>
      </c>
      <c r="C36" s="21" t="s">
        <v>1732</v>
      </c>
    </row>
    <row r="37" spans="1:5" x14ac:dyDescent="0.2">
      <c r="A37" s="92" t="s">
        <v>2008</v>
      </c>
      <c r="B37" s="92" t="s">
        <v>2009</v>
      </c>
      <c r="C37" s="21" t="s">
        <v>2086</v>
      </c>
    </row>
    <row r="38" spans="1:5" x14ac:dyDescent="0.2">
      <c r="A38" s="92" t="s">
        <v>2031</v>
      </c>
      <c r="B38" s="92" t="s">
        <v>2032</v>
      </c>
      <c r="C38" s="92" t="s">
        <v>2089</v>
      </c>
    </row>
    <row r="39" spans="1:5" x14ac:dyDescent="0.2">
      <c r="A39" s="92" t="s">
        <v>2033</v>
      </c>
      <c r="B39" s="92" t="s">
        <v>2034</v>
      </c>
      <c r="C39" s="92" t="s">
        <v>2089</v>
      </c>
    </row>
    <row r="40" spans="1:5" x14ac:dyDescent="0.2">
      <c r="A40" s="92" t="s">
        <v>2082</v>
      </c>
      <c r="B40" s="92" t="s">
        <v>2083</v>
      </c>
      <c r="C40" s="92" t="s">
        <v>2086</v>
      </c>
    </row>
    <row r="41" spans="1:5" x14ac:dyDescent="0.2">
      <c r="A41" s="105" t="s">
        <v>2096</v>
      </c>
      <c r="B41" s="105" t="s">
        <v>2097</v>
      </c>
      <c r="C41" s="105" t="s">
        <v>2089</v>
      </c>
    </row>
    <row r="42" spans="1:5" x14ac:dyDescent="0.2">
      <c r="A42" s="105" t="s">
        <v>2095</v>
      </c>
      <c r="B42" s="105" t="s">
        <v>2098</v>
      </c>
      <c r="C42" s="105" t="s">
        <v>2089</v>
      </c>
    </row>
    <row r="43" spans="1:5" x14ac:dyDescent="0.2">
      <c r="A43" s="105" t="s">
        <v>2100</v>
      </c>
      <c r="B43" s="105" t="s">
        <v>2101</v>
      </c>
      <c r="C43" s="105" t="s">
        <v>1732</v>
      </c>
      <c r="E43" s="21" t="s">
        <v>2160</v>
      </c>
    </row>
    <row r="44" spans="1:5" x14ac:dyDescent="0.2">
      <c r="A44" s="105" t="s">
        <v>2099</v>
      </c>
      <c r="B44" s="105" t="s">
        <v>2102</v>
      </c>
      <c r="C44" s="21" t="s">
        <v>1732</v>
      </c>
    </row>
    <row r="45" spans="1:5" x14ac:dyDescent="0.2">
      <c r="A45" s="105" t="s">
        <v>2133</v>
      </c>
      <c r="B45" s="105" t="s">
        <v>2134</v>
      </c>
      <c r="C45" s="105" t="s">
        <v>2089</v>
      </c>
    </row>
    <row r="46" spans="1:5" x14ac:dyDescent="0.2">
      <c r="A46" s="105" t="s">
        <v>2201</v>
      </c>
      <c r="B46" s="105" t="s">
        <v>2202</v>
      </c>
      <c r="C46" s="105" t="s">
        <v>1732</v>
      </c>
    </row>
    <row r="47" spans="1:5" x14ac:dyDescent="0.2">
      <c r="A47" s="105" t="s">
        <v>2203</v>
      </c>
      <c r="B47" s="105" t="s">
        <v>2204</v>
      </c>
      <c r="C47" s="105" t="s">
        <v>1732</v>
      </c>
    </row>
    <row r="48" spans="1:5" x14ac:dyDescent="0.2">
      <c r="A48" s="105" t="s">
        <v>2205</v>
      </c>
      <c r="B48" s="105" t="s">
        <v>2206</v>
      </c>
      <c r="C48" s="105" t="s">
        <v>1732</v>
      </c>
    </row>
    <row r="49" spans="1:3" x14ac:dyDescent="0.2">
      <c r="A49" s="113" t="s">
        <v>2237</v>
      </c>
      <c r="B49" s="113" t="s">
        <v>2238</v>
      </c>
      <c r="C49" s="113" t="s">
        <v>1732</v>
      </c>
    </row>
    <row r="50" spans="1:3" x14ac:dyDescent="0.2">
      <c r="A50" s="118" t="s">
        <v>2249</v>
      </c>
      <c r="B50" s="118" t="s">
        <v>2250</v>
      </c>
      <c r="C50" s="118" t="s">
        <v>2086</v>
      </c>
    </row>
    <row r="51" spans="1:3" x14ac:dyDescent="0.2">
      <c r="A51" s="118" t="s">
        <v>2388</v>
      </c>
      <c r="B51" s="118" t="s">
        <v>2389</v>
      </c>
      <c r="C51" s="118" t="s">
        <v>2086</v>
      </c>
    </row>
    <row r="52" spans="1:3" x14ac:dyDescent="0.2">
      <c r="A52" s="118" t="s">
        <v>2390</v>
      </c>
      <c r="B52" s="123" t="s">
        <v>2410</v>
      </c>
      <c r="C52" s="118" t="s">
        <v>1732</v>
      </c>
    </row>
    <row r="53" spans="1:3" x14ac:dyDescent="0.2">
      <c r="A53" s="118" t="s">
        <v>2391</v>
      </c>
      <c r="B53" s="118" t="s">
        <v>2392</v>
      </c>
      <c r="C53" s="118" t="s">
        <v>2086</v>
      </c>
    </row>
    <row r="54" spans="1:3" x14ac:dyDescent="0.2">
      <c r="A54" s="118" t="s">
        <v>2397</v>
      </c>
      <c r="B54" s="118" t="s">
        <v>2398</v>
      </c>
      <c r="C54" s="118" t="s">
        <v>2086</v>
      </c>
    </row>
    <row r="55" spans="1:3" x14ac:dyDescent="0.2">
      <c r="A55" s="118" t="s">
        <v>2403</v>
      </c>
      <c r="B55" s="123" t="s">
        <v>2409</v>
      </c>
      <c r="C55" s="118" t="s">
        <v>1732</v>
      </c>
    </row>
    <row r="56" spans="1:3" x14ac:dyDescent="0.2">
      <c r="A56" s="123" t="s">
        <v>2407</v>
      </c>
      <c r="B56" s="123" t="s">
        <v>2408</v>
      </c>
      <c r="C56" s="123" t="s">
        <v>2089</v>
      </c>
    </row>
    <row r="57" spans="1:3" x14ac:dyDescent="0.2">
      <c r="A57" s="127" t="s">
        <v>2421</v>
      </c>
      <c r="B57" s="127" t="s">
        <v>2422</v>
      </c>
      <c r="C57" s="127" t="s">
        <v>2086</v>
      </c>
    </row>
    <row r="58" spans="1:3" x14ac:dyDescent="0.2">
      <c r="A58" s="127" t="s">
        <v>2423</v>
      </c>
      <c r="B58" s="127" t="s">
        <v>2424</v>
      </c>
      <c r="C58" s="127" t="s">
        <v>1732</v>
      </c>
    </row>
    <row r="59" spans="1:3" x14ac:dyDescent="0.2">
      <c r="A59" s="127" t="s">
        <v>2426</v>
      </c>
      <c r="B59" s="127" t="s">
        <v>2427</v>
      </c>
      <c r="C59" s="127" t="s">
        <v>1732</v>
      </c>
    </row>
    <row r="60" spans="1:3" x14ac:dyDescent="0.2">
      <c r="A60" s="133" t="s">
        <v>2434</v>
      </c>
      <c r="B60" s="133" t="s">
        <v>2435</v>
      </c>
      <c r="C60" s="133" t="s">
        <v>1732</v>
      </c>
    </row>
    <row r="61" spans="1:3" x14ac:dyDescent="0.2">
      <c r="A61" s="136" t="s">
        <v>2441</v>
      </c>
      <c r="B61" s="136" t="s">
        <v>2443</v>
      </c>
      <c r="C61" s="138" t="s">
        <v>2086</v>
      </c>
    </row>
    <row r="62" spans="1:3" x14ac:dyDescent="0.2">
      <c r="A62" s="136" t="s">
        <v>2442</v>
      </c>
      <c r="B62" s="136" t="s">
        <v>2444</v>
      </c>
      <c r="C62" s="136" t="s">
        <v>1732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91" activePane="bottomLeft" state="frozen"/>
      <selection pane="bottomLeft" activeCell="A302" sqref="A302"/>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483</v>
      </c>
      <c r="B1" s="14" t="s">
        <v>2091</v>
      </c>
      <c r="C1" s="14" t="s">
        <v>337</v>
      </c>
    </row>
    <row r="2" spans="1:3" x14ac:dyDescent="0.25">
      <c r="A2" s="15" t="s">
        <v>489</v>
      </c>
      <c r="B2" s="15" t="s">
        <v>738</v>
      </c>
      <c r="C2" s="15" t="s">
        <v>1453</v>
      </c>
    </row>
    <row r="3" spans="1:3" x14ac:dyDescent="0.25">
      <c r="A3" s="15" t="s">
        <v>490</v>
      </c>
      <c r="B3" s="15" t="s">
        <v>739</v>
      </c>
      <c r="C3" s="16" t="s">
        <v>1454</v>
      </c>
    </row>
    <row r="4" spans="1:3" x14ac:dyDescent="0.25">
      <c r="A4" s="15" t="s">
        <v>491</v>
      </c>
      <c r="B4" s="15" t="s">
        <v>740</v>
      </c>
      <c r="C4" s="15" t="s">
        <v>1455</v>
      </c>
    </row>
    <row r="5" spans="1:3" x14ac:dyDescent="0.25">
      <c r="A5" s="15" t="s">
        <v>492</v>
      </c>
      <c r="B5" s="15" t="s">
        <v>741</v>
      </c>
      <c r="C5" s="16" t="s">
        <v>1456</v>
      </c>
    </row>
    <row r="6" spans="1:3" x14ac:dyDescent="0.25">
      <c r="A6" s="15" t="s">
        <v>493</v>
      </c>
      <c r="B6" s="15" t="s">
        <v>742</v>
      </c>
      <c r="C6" s="15" t="s">
        <v>1457</v>
      </c>
    </row>
    <row r="7" spans="1:3" x14ac:dyDescent="0.25">
      <c r="A7" s="15" t="s">
        <v>494</v>
      </c>
      <c r="B7" s="15" t="s">
        <v>743</v>
      </c>
      <c r="C7" s="15" t="s">
        <v>1458</v>
      </c>
    </row>
    <row r="8" spans="1:3" x14ac:dyDescent="0.25">
      <c r="A8" s="15" t="s">
        <v>495</v>
      </c>
      <c r="B8" s="15" t="s">
        <v>744</v>
      </c>
      <c r="C8" s="15" t="s">
        <v>1459</v>
      </c>
    </row>
    <row r="9" spans="1:3" x14ac:dyDescent="0.25">
      <c r="A9" s="15" t="s">
        <v>496</v>
      </c>
      <c r="B9" s="15" t="s">
        <v>745</v>
      </c>
      <c r="C9" s="15" t="s">
        <v>1460</v>
      </c>
    </row>
    <row r="10" spans="1:3" x14ac:dyDescent="0.25">
      <c r="A10" s="15" t="s">
        <v>497</v>
      </c>
      <c r="B10" s="15" t="s">
        <v>746</v>
      </c>
      <c r="C10" s="15" t="s">
        <v>1461</v>
      </c>
    </row>
    <row r="11" spans="1:3" x14ac:dyDescent="0.25">
      <c r="A11" s="15" t="s">
        <v>498</v>
      </c>
      <c r="B11" s="15" t="s">
        <v>747</v>
      </c>
      <c r="C11" s="15" t="s">
        <v>1462</v>
      </c>
    </row>
    <row r="12" spans="1:3" x14ac:dyDescent="0.25">
      <c r="A12" s="15" t="s">
        <v>499</v>
      </c>
      <c r="B12" s="15" t="s">
        <v>748</v>
      </c>
      <c r="C12" s="16" t="s">
        <v>1463</v>
      </c>
    </row>
    <row r="13" spans="1:3" x14ac:dyDescent="0.25">
      <c r="A13" s="15" t="s">
        <v>500</v>
      </c>
      <c r="B13" s="15" t="s">
        <v>749</v>
      </c>
      <c r="C13" s="15" t="s">
        <v>1464</v>
      </c>
    </row>
    <row r="14" spans="1:3" x14ac:dyDescent="0.25">
      <c r="A14" s="15" t="s">
        <v>501</v>
      </c>
      <c r="B14" s="15" t="s">
        <v>750</v>
      </c>
      <c r="C14" s="15" t="s">
        <v>1465</v>
      </c>
    </row>
    <row r="15" spans="1:3" x14ac:dyDescent="0.25">
      <c r="A15" s="15" t="s">
        <v>502</v>
      </c>
      <c r="B15" s="15" t="s">
        <v>751</v>
      </c>
      <c r="C15" s="15" t="s">
        <v>1466</v>
      </c>
    </row>
    <row r="16" spans="1:3" x14ac:dyDescent="0.25">
      <c r="A16" s="15" t="s">
        <v>731</v>
      </c>
      <c r="B16" s="15" t="s">
        <v>752</v>
      </c>
      <c r="C16" s="16" t="s">
        <v>1467</v>
      </c>
    </row>
    <row r="17" spans="1:3" x14ac:dyDescent="0.25">
      <c r="A17" s="15" t="s">
        <v>503</v>
      </c>
      <c r="B17" s="15" t="s">
        <v>753</v>
      </c>
      <c r="C17" s="15" t="s">
        <v>1468</v>
      </c>
    </row>
    <row r="18" spans="1:3" x14ac:dyDescent="0.25">
      <c r="A18" s="15" t="s">
        <v>504</v>
      </c>
      <c r="B18" s="15" t="s">
        <v>754</v>
      </c>
      <c r="C18" s="16" t="s">
        <v>1469</v>
      </c>
    </row>
    <row r="19" spans="1:3" x14ac:dyDescent="0.25">
      <c r="A19" s="15" t="s">
        <v>505</v>
      </c>
      <c r="B19" s="15" t="s">
        <v>755</v>
      </c>
      <c r="C19" s="15" t="s">
        <v>1470</v>
      </c>
    </row>
    <row r="20" spans="1:3" x14ac:dyDescent="0.25">
      <c r="A20" s="15" t="s">
        <v>506</v>
      </c>
      <c r="B20" s="15" t="s">
        <v>756</v>
      </c>
      <c r="C20" s="15" t="s">
        <v>1471</v>
      </c>
    </row>
    <row r="21" spans="1:3" x14ac:dyDescent="0.25">
      <c r="A21" s="15" t="s">
        <v>507</v>
      </c>
      <c r="B21" s="15" t="s">
        <v>757</v>
      </c>
      <c r="C21" s="15" t="s">
        <v>1472</v>
      </c>
    </row>
    <row r="22" spans="1:3" x14ac:dyDescent="0.25">
      <c r="A22" s="15" t="s">
        <v>508</v>
      </c>
      <c r="B22" s="15" t="s">
        <v>758</v>
      </c>
      <c r="C22" s="16" t="s">
        <v>1473</v>
      </c>
    </row>
    <row r="23" spans="1:3" x14ac:dyDescent="0.25">
      <c r="A23" s="15" t="s">
        <v>509</v>
      </c>
      <c r="B23" s="15" t="s">
        <v>759</v>
      </c>
      <c r="C23" s="15" t="s">
        <v>1474</v>
      </c>
    </row>
    <row r="24" spans="1:3" x14ac:dyDescent="0.25">
      <c r="A24" s="15" t="s">
        <v>510</v>
      </c>
      <c r="B24" s="15" t="s">
        <v>760</v>
      </c>
      <c r="C24" s="15" t="s">
        <v>1475</v>
      </c>
    </row>
    <row r="25" spans="1:3" x14ac:dyDescent="0.25">
      <c r="A25" s="15" t="s">
        <v>511</v>
      </c>
      <c r="B25" s="15" t="s">
        <v>761</v>
      </c>
      <c r="C25" s="15" t="s">
        <v>1476</v>
      </c>
    </row>
    <row r="26" spans="1:3" x14ac:dyDescent="0.25">
      <c r="A26" s="15" t="s">
        <v>512</v>
      </c>
      <c r="B26" s="15" t="s">
        <v>762</v>
      </c>
      <c r="C26" s="15" t="s">
        <v>1477</v>
      </c>
    </row>
    <row r="27" spans="1:3" x14ac:dyDescent="0.25">
      <c r="A27" s="15" t="s">
        <v>730</v>
      </c>
      <c r="B27" s="15" t="s">
        <v>763</v>
      </c>
      <c r="C27" s="16" t="s">
        <v>1478</v>
      </c>
    </row>
    <row r="28" spans="1:3" x14ac:dyDescent="0.25">
      <c r="A28" s="15" t="s">
        <v>513</v>
      </c>
      <c r="B28" s="15" t="s">
        <v>764</v>
      </c>
      <c r="C28" s="15" t="s">
        <v>1479</v>
      </c>
    </row>
    <row r="29" spans="1:3" x14ac:dyDescent="0.25">
      <c r="A29" s="15" t="s">
        <v>514</v>
      </c>
      <c r="B29" s="15" t="s">
        <v>765</v>
      </c>
      <c r="C29" s="16" t="s">
        <v>1480</v>
      </c>
    </row>
    <row r="30" spans="1:3" x14ac:dyDescent="0.25">
      <c r="A30" s="15" t="s">
        <v>706</v>
      </c>
      <c r="B30" s="15" t="s">
        <v>766</v>
      </c>
      <c r="C30" s="15" t="s">
        <v>1481</v>
      </c>
    </row>
    <row r="31" spans="1:3" x14ac:dyDescent="0.25">
      <c r="A31" s="15" t="s">
        <v>515</v>
      </c>
      <c r="B31" s="15" t="s">
        <v>767</v>
      </c>
      <c r="C31" s="16" t="s">
        <v>1482</v>
      </c>
    </row>
    <row r="32" spans="1:3" x14ac:dyDescent="0.25">
      <c r="A32" s="15" t="s">
        <v>516</v>
      </c>
      <c r="B32" s="15" t="s">
        <v>768</v>
      </c>
      <c r="C32" s="15" t="s">
        <v>1483</v>
      </c>
    </row>
    <row r="33" spans="1:3" x14ac:dyDescent="0.25">
      <c r="A33" s="15" t="s">
        <v>517</v>
      </c>
      <c r="B33" s="15" t="s">
        <v>769</v>
      </c>
      <c r="C33" s="15" t="s">
        <v>1484</v>
      </c>
    </row>
    <row r="34" spans="1:3" x14ac:dyDescent="0.25">
      <c r="A34" s="15" t="s">
        <v>518</v>
      </c>
      <c r="B34" s="15" t="s">
        <v>770</v>
      </c>
      <c r="C34" s="15" t="s">
        <v>1485</v>
      </c>
    </row>
    <row r="35" spans="1:3" x14ac:dyDescent="0.25">
      <c r="A35" s="15" t="s">
        <v>519</v>
      </c>
      <c r="B35" s="15" t="s">
        <v>771</v>
      </c>
      <c r="C35" s="16" t="s">
        <v>1486</v>
      </c>
    </row>
    <row r="36" spans="1:3" x14ac:dyDescent="0.25">
      <c r="A36" s="15" t="s">
        <v>520</v>
      </c>
      <c r="B36" s="15" t="s">
        <v>772</v>
      </c>
      <c r="C36" s="15" t="s">
        <v>1487</v>
      </c>
    </row>
    <row r="37" spans="1:3" x14ac:dyDescent="0.25">
      <c r="A37" s="15" t="s">
        <v>521</v>
      </c>
      <c r="B37" s="15" t="s">
        <v>773</v>
      </c>
      <c r="C37" s="15" t="s">
        <v>1488</v>
      </c>
    </row>
    <row r="38" spans="1:3" x14ac:dyDescent="0.25">
      <c r="A38" s="15" t="s">
        <v>522</v>
      </c>
      <c r="B38" s="15" t="s">
        <v>774</v>
      </c>
      <c r="C38" s="15" t="s">
        <v>1489</v>
      </c>
    </row>
    <row r="39" spans="1:3" x14ac:dyDescent="0.25">
      <c r="A39" s="15" t="s">
        <v>523</v>
      </c>
      <c r="B39" s="15" t="s">
        <v>775</v>
      </c>
      <c r="C39" s="15" t="s">
        <v>1490</v>
      </c>
    </row>
    <row r="40" spans="1:3" x14ac:dyDescent="0.25">
      <c r="A40" s="15" t="s">
        <v>524</v>
      </c>
      <c r="B40" s="15" t="s">
        <v>776</v>
      </c>
      <c r="C40" s="16" t="s">
        <v>1491</v>
      </c>
    </row>
    <row r="41" spans="1:3" x14ac:dyDescent="0.25">
      <c r="A41" s="15" t="s">
        <v>707</v>
      </c>
      <c r="B41" s="15" t="s">
        <v>777</v>
      </c>
      <c r="C41" s="16" t="s">
        <v>1492</v>
      </c>
    </row>
    <row r="42" spans="1:3" x14ac:dyDescent="0.25">
      <c r="A42" s="15" t="s">
        <v>525</v>
      </c>
      <c r="B42" s="15" t="s">
        <v>778</v>
      </c>
      <c r="C42" s="16" t="s">
        <v>1493</v>
      </c>
    </row>
    <row r="43" spans="1:3" x14ac:dyDescent="0.25">
      <c r="A43" s="15" t="s">
        <v>526</v>
      </c>
      <c r="B43" s="15" t="s">
        <v>779</v>
      </c>
      <c r="C43" s="15" t="s">
        <v>1494</v>
      </c>
    </row>
    <row r="44" spans="1:3" x14ac:dyDescent="0.25">
      <c r="A44" s="15" t="s">
        <v>527</v>
      </c>
      <c r="B44" s="15" t="s">
        <v>780</v>
      </c>
      <c r="C44" s="15" t="s">
        <v>1495</v>
      </c>
    </row>
    <row r="45" spans="1:3" x14ac:dyDescent="0.25">
      <c r="A45" s="15" t="s">
        <v>729</v>
      </c>
      <c r="B45" s="15" t="s">
        <v>781</v>
      </c>
      <c r="C45" s="16" t="s">
        <v>1496</v>
      </c>
    </row>
    <row r="46" spans="1:3" x14ac:dyDescent="0.25">
      <c r="A46" s="15" t="s">
        <v>528</v>
      </c>
      <c r="B46" s="15" t="s">
        <v>782</v>
      </c>
      <c r="C46" s="16" t="s">
        <v>1497</v>
      </c>
    </row>
    <row r="47" spans="1:3" x14ac:dyDescent="0.25">
      <c r="A47" s="15" t="s">
        <v>529</v>
      </c>
      <c r="B47" s="15" t="s">
        <v>783</v>
      </c>
      <c r="C47" s="15" t="s">
        <v>1498</v>
      </c>
    </row>
    <row r="48" spans="1:3" x14ac:dyDescent="0.25">
      <c r="A48" s="15" t="s">
        <v>530</v>
      </c>
      <c r="B48" s="15" t="s">
        <v>784</v>
      </c>
      <c r="C48" s="15" t="s">
        <v>1499</v>
      </c>
    </row>
    <row r="49" spans="1:3" x14ac:dyDescent="0.25">
      <c r="A49" s="15" t="s">
        <v>531</v>
      </c>
      <c r="B49" s="15" t="s">
        <v>785</v>
      </c>
      <c r="C49" s="15" t="s">
        <v>1500</v>
      </c>
    </row>
    <row r="50" spans="1:3" x14ac:dyDescent="0.25">
      <c r="A50" s="15" t="s">
        <v>532</v>
      </c>
      <c r="B50" s="15" t="s">
        <v>786</v>
      </c>
      <c r="C50" s="15" t="s">
        <v>1501</v>
      </c>
    </row>
    <row r="51" spans="1:3" x14ac:dyDescent="0.25">
      <c r="A51" s="15" t="s">
        <v>533</v>
      </c>
      <c r="B51" s="15" t="s">
        <v>787</v>
      </c>
      <c r="C51" s="16" t="s">
        <v>1502</v>
      </c>
    </row>
    <row r="52" spans="1:3" x14ac:dyDescent="0.25">
      <c r="A52" s="15" t="s">
        <v>534</v>
      </c>
      <c r="B52" s="15" t="s">
        <v>788</v>
      </c>
      <c r="C52" s="15" t="s">
        <v>1503</v>
      </c>
    </row>
    <row r="53" spans="1:3" x14ac:dyDescent="0.25">
      <c r="A53" s="15" t="s">
        <v>535</v>
      </c>
      <c r="B53" s="15" t="s">
        <v>789</v>
      </c>
      <c r="C53" s="16" t="s">
        <v>1504</v>
      </c>
    </row>
    <row r="54" spans="1:3" x14ac:dyDescent="0.25">
      <c r="A54" s="15" t="s">
        <v>536</v>
      </c>
      <c r="B54" s="15" t="s">
        <v>790</v>
      </c>
      <c r="C54" s="15" t="s">
        <v>1505</v>
      </c>
    </row>
    <row r="55" spans="1:3" x14ac:dyDescent="0.25">
      <c r="A55" s="15" t="s">
        <v>537</v>
      </c>
      <c r="B55" s="15" t="s">
        <v>791</v>
      </c>
      <c r="C55" s="16" t="s">
        <v>1506</v>
      </c>
    </row>
    <row r="56" spans="1:3" x14ac:dyDescent="0.25">
      <c r="A56" s="15" t="s">
        <v>538</v>
      </c>
      <c r="B56" s="15" t="s">
        <v>792</v>
      </c>
      <c r="C56" s="15" t="s">
        <v>1507</v>
      </c>
    </row>
    <row r="57" spans="1:3" x14ac:dyDescent="0.25">
      <c r="A57" s="15" t="s">
        <v>539</v>
      </c>
      <c r="B57" s="15" t="s">
        <v>793</v>
      </c>
      <c r="C57" s="15" t="s">
        <v>1508</v>
      </c>
    </row>
    <row r="58" spans="1:3" x14ac:dyDescent="0.25">
      <c r="A58" s="15" t="s">
        <v>540</v>
      </c>
      <c r="B58" s="15" t="s">
        <v>794</v>
      </c>
      <c r="C58" s="15" t="s">
        <v>1509</v>
      </c>
    </row>
    <row r="59" spans="1:3" x14ac:dyDescent="0.25">
      <c r="A59" s="15" t="s">
        <v>541</v>
      </c>
      <c r="B59" s="15" t="s">
        <v>795</v>
      </c>
      <c r="C59" s="15" t="s">
        <v>1510</v>
      </c>
    </row>
    <row r="60" spans="1:3" x14ac:dyDescent="0.25">
      <c r="A60" s="15" t="s">
        <v>542</v>
      </c>
      <c r="B60" s="15" t="s">
        <v>796</v>
      </c>
      <c r="C60" s="15" t="s">
        <v>1511</v>
      </c>
    </row>
    <row r="61" spans="1:3" x14ac:dyDescent="0.25">
      <c r="A61" s="15" t="s">
        <v>543</v>
      </c>
      <c r="B61" s="15" t="s">
        <v>797</v>
      </c>
      <c r="C61" s="15" t="s">
        <v>1512</v>
      </c>
    </row>
    <row r="62" spans="1:3" x14ac:dyDescent="0.25">
      <c r="A62" s="15" t="s">
        <v>544</v>
      </c>
      <c r="B62" s="15" t="s">
        <v>798</v>
      </c>
      <c r="C62" s="16" t="s">
        <v>1513</v>
      </c>
    </row>
    <row r="63" spans="1:3" x14ac:dyDescent="0.25">
      <c r="A63" s="15" t="s">
        <v>545</v>
      </c>
      <c r="B63" s="15" t="s">
        <v>799</v>
      </c>
      <c r="C63" s="15" t="s">
        <v>1514</v>
      </c>
    </row>
    <row r="64" spans="1:3" x14ac:dyDescent="0.25">
      <c r="A64" s="15" t="s">
        <v>546</v>
      </c>
      <c r="B64" s="15" t="s">
        <v>800</v>
      </c>
      <c r="C64" s="15" t="s">
        <v>1515</v>
      </c>
    </row>
    <row r="65" spans="1:3" x14ac:dyDescent="0.25">
      <c r="A65" s="15" t="s">
        <v>547</v>
      </c>
      <c r="B65" s="15" t="s">
        <v>801</v>
      </c>
      <c r="C65" s="15" t="s">
        <v>1516</v>
      </c>
    </row>
    <row r="66" spans="1:3" x14ac:dyDescent="0.25">
      <c r="A66" s="15" t="s">
        <v>21</v>
      </c>
      <c r="B66" s="15" t="s">
        <v>802</v>
      </c>
      <c r="C66" s="15" t="s">
        <v>1517</v>
      </c>
    </row>
    <row r="67" spans="1:3" x14ac:dyDescent="0.25">
      <c r="A67" s="15" t="s">
        <v>548</v>
      </c>
      <c r="B67" s="15" t="s">
        <v>803</v>
      </c>
      <c r="C67" s="16" t="s">
        <v>1518</v>
      </c>
    </row>
    <row r="68" spans="1:3" x14ac:dyDescent="0.25">
      <c r="A68" s="15" t="s">
        <v>549</v>
      </c>
      <c r="B68" s="15" t="s">
        <v>804</v>
      </c>
      <c r="C68" s="15" t="s">
        <v>1519</v>
      </c>
    </row>
    <row r="69" spans="1:3" x14ac:dyDescent="0.25">
      <c r="A69" s="15" t="s">
        <v>550</v>
      </c>
      <c r="B69" s="15" t="s">
        <v>805</v>
      </c>
      <c r="C69" s="15" t="s">
        <v>1520</v>
      </c>
    </row>
    <row r="70" spans="1:3" x14ac:dyDescent="0.25">
      <c r="A70" s="15" t="s">
        <v>551</v>
      </c>
      <c r="B70" s="15" t="s">
        <v>806</v>
      </c>
      <c r="C70" s="15" t="s">
        <v>1521</v>
      </c>
    </row>
    <row r="71" spans="1:3" x14ac:dyDescent="0.25">
      <c r="A71" s="15" t="s">
        <v>552</v>
      </c>
      <c r="B71" s="15" t="s">
        <v>807</v>
      </c>
      <c r="C71" s="15" t="s">
        <v>1522</v>
      </c>
    </row>
    <row r="72" spans="1:3" x14ac:dyDescent="0.25">
      <c r="A72" s="15" t="s">
        <v>553</v>
      </c>
      <c r="B72" s="15" t="s">
        <v>808</v>
      </c>
      <c r="C72" s="15" t="s">
        <v>1523</v>
      </c>
    </row>
    <row r="73" spans="1:3" x14ac:dyDescent="0.25">
      <c r="A73" s="15" t="s">
        <v>708</v>
      </c>
      <c r="B73" s="15" t="s">
        <v>809</v>
      </c>
      <c r="C73" s="16" t="s">
        <v>1524</v>
      </c>
    </row>
    <row r="74" spans="1:3" x14ac:dyDescent="0.25">
      <c r="A74" s="15" t="s">
        <v>709</v>
      </c>
      <c r="B74" s="15" t="s">
        <v>810</v>
      </c>
      <c r="C74" s="15" t="s">
        <v>1525</v>
      </c>
    </row>
    <row r="75" spans="1:3" x14ac:dyDescent="0.25">
      <c r="A75" s="15" t="s">
        <v>554</v>
      </c>
      <c r="B75" s="15" t="s">
        <v>811</v>
      </c>
      <c r="C75" s="16" t="s">
        <v>1526</v>
      </c>
    </row>
    <row r="76" spans="1:3" x14ac:dyDescent="0.25">
      <c r="A76" s="15" t="s">
        <v>555</v>
      </c>
      <c r="B76" s="15" t="s">
        <v>812</v>
      </c>
      <c r="C76" s="15" t="s">
        <v>1440</v>
      </c>
    </row>
    <row r="77" spans="1:3" x14ac:dyDescent="0.25">
      <c r="A77" s="15" t="s">
        <v>556</v>
      </c>
      <c r="B77" s="15" t="s">
        <v>813</v>
      </c>
      <c r="C77" s="15" t="s">
        <v>1527</v>
      </c>
    </row>
    <row r="78" spans="1:3" x14ac:dyDescent="0.25">
      <c r="A78" s="15" t="s">
        <v>732</v>
      </c>
      <c r="B78" s="15" t="s">
        <v>814</v>
      </c>
      <c r="C78" s="16" t="s">
        <v>1438</v>
      </c>
    </row>
    <row r="79" spans="1:3" x14ac:dyDescent="0.25">
      <c r="A79" s="15" t="s">
        <v>557</v>
      </c>
      <c r="B79" s="15" t="s">
        <v>815</v>
      </c>
      <c r="C79" s="15" t="s">
        <v>1528</v>
      </c>
    </row>
    <row r="80" spans="1:3" x14ac:dyDescent="0.25">
      <c r="A80" s="15" t="s">
        <v>558</v>
      </c>
      <c r="B80" s="15" t="s">
        <v>816</v>
      </c>
      <c r="C80" s="15" t="s">
        <v>1529</v>
      </c>
    </row>
    <row r="81" spans="1:3" x14ac:dyDescent="0.25">
      <c r="A81" s="15" t="s">
        <v>559</v>
      </c>
      <c r="B81" s="15" t="s">
        <v>817</v>
      </c>
      <c r="C81" s="16" t="s">
        <v>1530</v>
      </c>
    </row>
    <row r="82" spans="1:3" x14ac:dyDescent="0.25">
      <c r="A82" s="15" t="s">
        <v>560</v>
      </c>
      <c r="B82" s="15" t="s">
        <v>818</v>
      </c>
      <c r="C82" s="15" t="s">
        <v>1531</v>
      </c>
    </row>
    <row r="83" spans="1:3" x14ac:dyDescent="0.25">
      <c r="A83" s="15" t="s">
        <v>561</v>
      </c>
      <c r="B83" s="15" t="s">
        <v>819</v>
      </c>
      <c r="C83" s="15" t="s">
        <v>1532</v>
      </c>
    </row>
    <row r="84" spans="1:3" x14ac:dyDescent="0.25">
      <c r="A84" s="15" t="s">
        <v>562</v>
      </c>
      <c r="B84" s="15" t="s">
        <v>820</v>
      </c>
      <c r="C84" s="15" t="s">
        <v>1533</v>
      </c>
    </row>
    <row r="85" spans="1:3" x14ac:dyDescent="0.25">
      <c r="A85" s="15" t="s">
        <v>563</v>
      </c>
      <c r="B85" s="15" t="s">
        <v>821</v>
      </c>
      <c r="C85" s="15" t="s">
        <v>1534</v>
      </c>
    </row>
    <row r="86" spans="1:3" x14ac:dyDescent="0.25">
      <c r="A86" s="15" t="s">
        <v>564</v>
      </c>
      <c r="B86" s="15" t="s">
        <v>822</v>
      </c>
      <c r="C86" s="15" t="s">
        <v>1535</v>
      </c>
    </row>
    <row r="87" spans="1:3" x14ac:dyDescent="0.25">
      <c r="A87" s="15" t="s">
        <v>565</v>
      </c>
      <c r="B87" s="15" t="s">
        <v>823</v>
      </c>
      <c r="C87" s="15" t="s">
        <v>1536</v>
      </c>
    </row>
    <row r="88" spans="1:3" x14ac:dyDescent="0.25">
      <c r="A88" s="15" t="s">
        <v>566</v>
      </c>
      <c r="B88" s="15" t="s">
        <v>824</v>
      </c>
      <c r="C88" s="15" t="s">
        <v>1537</v>
      </c>
    </row>
    <row r="89" spans="1:3" x14ac:dyDescent="0.25">
      <c r="A89" s="15" t="s">
        <v>567</v>
      </c>
      <c r="B89" s="15" t="s">
        <v>825</v>
      </c>
      <c r="C89" s="16" t="s">
        <v>1538</v>
      </c>
    </row>
    <row r="90" spans="1:3" x14ac:dyDescent="0.25">
      <c r="A90" s="15" t="s">
        <v>568</v>
      </c>
      <c r="B90" s="15" t="s">
        <v>826</v>
      </c>
      <c r="C90" s="15" t="s">
        <v>1539</v>
      </c>
    </row>
    <row r="91" spans="1:3" x14ac:dyDescent="0.25">
      <c r="A91" s="15" t="s">
        <v>569</v>
      </c>
      <c r="B91" s="15" t="s">
        <v>827</v>
      </c>
      <c r="C91" s="16" t="s">
        <v>1540</v>
      </c>
    </row>
    <row r="92" spans="1:3" x14ac:dyDescent="0.25">
      <c r="A92" s="15" t="s">
        <v>570</v>
      </c>
      <c r="B92" s="15" t="s">
        <v>828</v>
      </c>
      <c r="C92" s="15" t="s">
        <v>1541</v>
      </c>
    </row>
    <row r="93" spans="1:3" x14ac:dyDescent="0.25">
      <c r="A93" s="15" t="s">
        <v>571</v>
      </c>
      <c r="B93" s="15" t="s">
        <v>829</v>
      </c>
      <c r="C93" s="15" t="s">
        <v>1542</v>
      </c>
    </row>
    <row r="94" spans="1:3" x14ac:dyDescent="0.25">
      <c r="A94" s="15" t="s">
        <v>572</v>
      </c>
      <c r="B94" s="15" t="s">
        <v>830</v>
      </c>
      <c r="C94" s="15" t="s">
        <v>1543</v>
      </c>
    </row>
    <row r="95" spans="1:3" x14ac:dyDescent="0.25">
      <c r="A95" s="15" t="s">
        <v>573</v>
      </c>
      <c r="B95" s="15" t="s">
        <v>831</v>
      </c>
      <c r="C95" s="15" t="s">
        <v>1544</v>
      </c>
    </row>
    <row r="96" spans="1:3" x14ac:dyDescent="0.25">
      <c r="A96" s="15" t="s">
        <v>574</v>
      </c>
      <c r="B96" s="15" t="s">
        <v>832</v>
      </c>
      <c r="C96" s="16" t="s">
        <v>1545</v>
      </c>
    </row>
    <row r="97" spans="1:3" x14ac:dyDescent="0.25">
      <c r="A97" s="15" t="s">
        <v>575</v>
      </c>
      <c r="B97" s="15" t="s">
        <v>833</v>
      </c>
      <c r="C97" s="16" t="s">
        <v>1546</v>
      </c>
    </row>
    <row r="98" spans="1:3" x14ac:dyDescent="0.25">
      <c r="A98" s="15" t="s">
        <v>576</v>
      </c>
      <c r="B98" s="15" t="s">
        <v>834</v>
      </c>
      <c r="C98" s="15" t="s">
        <v>1547</v>
      </c>
    </row>
    <row r="99" spans="1:3" x14ac:dyDescent="0.25">
      <c r="A99" s="15" t="s">
        <v>577</v>
      </c>
      <c r="B99" s="15" t="s">
        <v>835</v>
      </c>
      <c r="C99" s="15" t="s">
        <v>1548</v>
      </c>
    </row>
    <row r="100" spans="1:3" x14ac:dyDescent="0.25">
      <c r="A100" s="15" t="s">
        <v>578</v>
      </c>
      <c r="B100" s="15" t="s">
        <v>836</v>
      </c>
      <c r="C100" s="15" t="s">
        <v>1549</v>
      </c>
    </row>
    <row r="101" spans="1:3" x14ac:dyDescent="0.25">
      <c r="A101" s="15" t="s">
        <v>579</v>
      </c>
      <c r="B101" s="15" t="s">
        <v>837</v>
      </c>
      <c r="C101" s="15" t="s">
        <v>1550</v>
      </c>
    </row>
    <row r="102" spans="1:3" x14ac:dyDescent="0.25">
      <c r="A102" s="15" t="s">
        <v>580</v>
      </c>
      <c r="B102" s="15" t="s">
        <v>450</v>
      </c>
      <c r="C102" s="15" t="s">
        <v>1551</v>
      </c>
    </row>
    <row r="103" spans="1:3" x14ac:dyDescent="0.25">
      <c r="A103" s="15" t="s">
        <v>581</v>
      </c>
      <c r="B103" s="15" t="s">
        <v>838</v>
      </c>
      <c r="C103" s="15" t="s">
        <v>1552</v>
      </c>
    </row>
    <row r="104" spans="1:3" x14ac:dyDescent="0.25">
      <c r="A104" s="15" t="s">
        <v>582</v>
      </c>
      <c r="B104" s="15" t="s">
        <v>839</v>
      </c>
      <c r="C104" s="15" t="s">
        <v>1553</v>
      </c>
    </row>
    <row r="105" spans="1:3" x14ac:dyDescent="0.25">
      <c r="A105" s="15" t="s">
        <v>583</v>
      </c>
      <c r="B105" s="15" t="s">
        <v>840</v>
      </c>
      <c r="C105" s="16" t="s">
        <v>1554</v>
      </c>
    </row>
    <row r="106" spans="1:3" x14ac:dyDescent="0.25">
      <c r="A106" s="15" t="s">
        <v>2</v>
      </c>
      <c r="B106" s="15" t="s">
        <v>841</v>
      </c>
      <c r="C106" s="15" t="s">
        <v>1555</v>
      </c>
    </row>
    <row r="107" spans="1:3" x14ac:dyDescent="0.25">
      <c r="A107" s="15" t="s">
        <v>584</v>
      </c>
      <c r="B107" s="15" t="s">
        <v>842</v>
      </c>
      <c r="C107" s="16" t="s">
        <v>1556</v>
      </c>
    </row>
    <row r="108" spans="1:3" x14ac:dyDescent="0.25">
      <c r="A108" s="15" t="s">
        <v>585</v>
      </c>
      <c r="B108" s="15" t="s">
        <v>843</v>
      </c>
      <c r="C108" s="15" t="s">
        <v>1557</v>
      </c>
    </row>
    <row r="109" spans="1:3" x14ac:dyDescent="0.25">
      <c r="A109" s="15" t="s">
        <v>710</v>
      </c>
      <c r="B109" s="15" t="s">
        <v>844</v>
      </c>
      <c r="C109" s="15" t="s">
        <v>1558</v>
      </c>
    </row>
    <row r="110" spans="1:3" x14ac:dyDescent="0.25">
      <c r="A110" s="15" t="s">
        <v>586</v>
      </c>
      <c r="B110" s="15" t="s">
        <v>845</v>
      </c>
      <c r="C110" s="15" t="s">
        <v>1559</v>
      </c>
    </row>
    <row r="111" spans="1:3" x14ac:dyDescent="0.25">
      <c r="A111" s="15" t="s">
        <v>11</v>
      </c>
      <c r="B111" s="15" t="s">
        <v>846</v>
      </c>
      <c r="C111" s="15" t="s">
        <v>1439</v>
      </c>
    </row>
    <row r="112" spans="1:3" x14ac:dyDescent="0.25">
      <c r="A112" s="15" t="s">
        <v>587</v>
      </c>
      <c r="B112" s="15" t="s">
        <v>847</v>
      </c>
      <c r="C112" s="15" t="s">
        <v>1560</v>
      </c>
    </row>
    <row r="113" spans="1:3" x14ac:dyDescent="0.25">
      <c r="A113" s="15" t="s">
        <v>588</v>
      </c>
      <c r="B113" s="15" t="s">
        <v>848</v>
      </c>
      <c r="C113" s="15" t="s">
        <v>1561</v>
      </c>
    </row>
    <row r="114" spans="1:3" x14ac:dyDescent="0.25">
      <c r="A114" s="15" t="s">
        <v>589</v>
      </c>
      <c r="B114" s="15" t="s">
        <v>849</v>
      </c>
      <c r="C114" s="15" t="s">
        <v>1562</v>
      </c>
    </row>
    <row r="115" spans="1:3" x14ac:dyDescent="0.25">
      <c r="A115" s="15" t="s">
        <v>590</v>
      </c>
      <c r="B115" s="15" t="s">
        <v>850</v>
      </c>
      <c r="C115" s="15" t="s">
        <v>1563</v>
      </c>
    </row>
    <row r="116" spans="1:3" x14ac:dyDescent="0.25">
      <c r="A116" s="15" t="s">
        <v>591</v>
      </c>
      <c r="B116" s="15" t="s">
        <v>851</v>
      </c>
      <c r="C116" s="15" t="s">
        <v>1564</v>
      </c>
    </row>
    <row r="117" spans="1:3" x14ac:dyDescent="0.25">
      <c r="A117" s="15" t="s">
        <v>592</v>
      </c>
      <c r="B117" s="15" t="s">
        <v>852</v>
      </c>
      <c r="C117" s="15" t="s">
        <v>1565</v>
      </c>
    </row>
    <row r="118" spans="1:3" x14ac:dyDescent="0.25">
      <c r="A118" s="15" t="s">
        <v>593</v>
      </c>
      <c r="B118" s="15" t="s">
        <v>853</v>
      </c>
      <c r="C118" s="15" t="s">
        <v>1566</v>
      </c>
    </row>
    <row r="119" spans="1:3" x14ac:dyDescent="0.25">
      <c r="A119" s="15" t="s">
        <v>594</v>
      </c>
      <c r="B119" s="15" t="s">
        <v>854</v>
      </c>
      <c r="C119" s="15" t="s">
        <v>1567</v>
      </c>
    </row>
    <row r="120" spans="1:3" x14ac:dyDescent="0.25">
      <c r="A120" s="15" t="s">
        <v>595</v>
      </c>
      <c r="B120" s="15" t="s">
        <v>855</v>
      </c>
      <c r="C120" s="15" t="s">
        <v>1568</v>
      </c>
    </row>
    <row r="121" spans="1:3" x14ac:dyDescent="0.25">
      <c r="A121" s="15" t="s">
        <v>596</v>
      </c>
      <c r="B121" s="15" t="s">
        <v>856</v>
      </c>
      <c r="C121" s="16" t="s">
        <v>1569</v>
      </c>
    </row>
    <row r="122" spans="1:3" x14ac:dyDescent="0.25">
      <c r="A122" s="15" t="s">
        <v>711</v>
      </c>
      <c r="B122" s="15" t="s">
        <v>857</v>
      </c>
      <c r="C122" s="16" t="s">
        <v>1570</v>
      </c>
    </row>
    <row r="123" spans="1:3" x14ac:dyDescent="0.25">
      <c r="A123" s="15" t="s">
        <v>717</v>
      </c>
      <c r="B123" s="15" t="s">
        <v>858</v>
      </c>
      <c r="C123" s="16" t="s">
        <v>1571</v>
      </c>
    </row>
    <row r="124" spans="1:3" x14ac:dyDescent="0.25">
      <c r="A124" s="15" t="s">
        <v>597</v>
      </c>
      <c r="B124" s="15" t="s">
        <v>859</v>
      </c>
      <c r="C124" s="15" t="s">
        <v>1572</v>
      </c>
    </row>
    <row r="125" spans="1:3" x14ac:dyDescent="0.25">
      <c r="A125" s="15" t="s">
        <v>598</v>
      </c>
      <c r="B125" s="15" t="s">
        <v>860</v>
      </c>
      <c r="C125" s="16" t="s">
        <v>1573</v>
      </c>
    </row>
    <row r="126" spans="1:3" x14ac:dyDescent="0.25">
      <c r="A126" s="15" t="s">
        <v>599</v>
      </c>
      <c r="B126" s="15" t="s">
        <v>861</v>
      </c>
      <c r="C126" s="15" t="s">
        <v>1574</v>
      </c>
    </row>
    <row r="127" spans="1:3" x14ac:dyDescent="0.25">
      <c r="A127" s="15" t="s">
        <v>733</v>
      </c>
      <c r="B127" s="15" t="s">
        <v>862</v>
      </c>
      <c r="C127" s="15" t="s">
        <v>1575</v>
      </c>
    </row>
    <row r="128" spans="1:3" x14ac:dyDescent="0.25">
      <c r="A128" s="15" t="s">
        <v>481</v>
      </c>
      <c r="B128" s="15" t="s">
        <v>863</v>
      </c>
      <c r="C128" s="15" t="s">
        <v>1576</v>
      </c>
    </row>
    <row r="129" spans="1:3" x14ac:dyDescent="0.25">
      <c r="A129" s="15" t="s">
        <v>600</v>
      </c>
      <c r="B129" s="15" t="s">
        <v>864</v>
      </c>
      <c r="C129" s="16" t="s">
        <v>1577</v>
      </c>
    </row>
    <row r="130" spans="1:3" x14ac:dyDescent="0.25">
      <c r="A130" s="15" t="s">
        <v>601</v>
      </c>
      <c r="B130" s="15" t="s">
        <v>865</v>
      </c>
      <c r="C130" s="15" t="s">
        <v>1578</v>
      </c>
    </row>
    <row r="131" spans="1:3" x14ac:dyDescent="0.25">
      <c r="A131" s="15" t="s">
        <v>602</v>
      </c>
      <c r="B131" s="15" t="s">
        <v>866</v>
      </c>
      <c r="C131" s="16" t="s">
        <v>1579</v>
      </c>
    </row>
    <row r="132" spans="1:3" x14ac:dyDescent="0.25">
      <c r="A132" s="15" t="s">
        <v>603</v>
      </c>
      <c r="B132" s="15" t="s">
        <v>867</v>
      </c>
      <c r="C132" s="15" t="s">
        <v>1580</v>
      </c>
    </row>
    <row r="133" spans="1:3" x14ac:dyDescent="0.25">
      <c r="A133" s="15" t="s">
        <v>604</v>
      </c>
      <c r="B133" s="15" t="s">
        <v>868</v>
      </c>
      <c r="C133" s="15" t="s">
        <v>1581</v>
      </c>
    </row>
    <row r="134" spans="1:3" x14ac:dyDescent="0.25">
      <c r="A134" s="15" t="s">
        <v>605</v>
      </c>
      <c r="B134" s="15" t="s">
        <v>869</v>
      </c>
      <c r="C134" s="15" t="s">
        <v>1582</v>
      </c>
    </row>
    <row r="135" spans="1:3" x14ac:dyDescent="0.25">
      <c r="A135" s="15" t="s">
        <v>606</v>
      </c>
      <c r="B135" s="15" t="s">
        <v>870</v>
      </c>
      <c r="C135" s="15" t="s">
        <v>1583</v>
      </c>
    </row>
    <row r="136" spans="1:3" x14ac:dyDescent="0.25">
      <c r="A136" s="15" t="s">
        <v>607</v>
      </c>
      <c r="B136" s="15" t="s">
        <v>871</v>
      </c>
      <c r="C136" s="15" t="s">
        <v>1584</v>
      </c>
    </row>
    <row r="137" spans="1:3" x14ac:dyDescent="0.25">
      <c r="A137" s="15" t="s">
        <v>608</v>
      </c>
      <c r="B137" s="15" t="s">
        <v>872</v>
      </c>
      <c r="C137" s="15" t="s">
        <v>1585</v>
      </c>
    </row>
    <row r="138" spans="1:3" x14ac:dyDescent="0.25">
      <c r="A138" s="15" t="s">
        <v>609</v>
      </c>
      <c r="B138" s="15" t="s">
        <v>873</v>
      </c>
      <c r="C138" s="15" t="s">
        <v>1586</v>
      </c>
    </row>
    <row r="139" spans="1:3" x14ac:dyDescent="0.25">
      <c r="A139" s="15" t="s">
        <v>610</v>
      </c>
      <c r="B139" s="15" t="s">
        <v>874</v>
      </c>
      <c r="C139" s="15" t="s">
        <v>1587</v>
      </c>
    </row>
    <row r="140" spans="1:3" x14ac:dyDescent="0.25">
      <c r="A140" s="15" t="s">
        <v>718</v>
      </c>
      <c r="B140" s="15" t="s">
        <v>875</v>
      </c>
      <c r="C140" s="15" t="s">
        <v>1588</v>
      </c>
    </row>
    <row r="141" spans="1:3" x14ac:dyDescent="0.25">
      <c r="A141" s="15" t="s">
        <v>611</v>
      </c>
      <c r="B141" s="15" t="s">
        <v>876</v>
      </c>
      <c r="C141" s="15" t="s">
        <v>1589</v>
      </c>
    </row>
    <row r="142" spans="1:3" x14ac:dyDescent="0.25">
      <c r="A142" s="15" t="s">
        <v>712</v>
      </c>
      <c r="B142" s="15" t="s">
        <v>877</v>
      </c>
      <c r="C142" s="16" t="s">
        <v>1590</v>
      </c>
    </row>
    <row r="143" spans="1:3" x14ac:dyDescent="0.25">
      <c r="A143" s="15" t="s">
        <v>612</v>
      </c>
      <c r="B143" s="15" t="s">
        <v>878</v>
      </c>
      <c r="C143" s="15" t="s">
        <v>1591</v>
      </c>
    </row>
    <row r="144" spans="1:3" x14ac:dyDescent="0.25">
      <c r="A144" s="15" t="s">
        <v>613</v>
      </c>
      <c r="B144" s="15" t="s">
        <v>879</v>
      </c>
      <c r="C144" s="16" t="s">
        <v>1592</v>
      </c>
    </row>
    <row r="145" spans="1:3" x14ac:dyDescent="0.25">
      <c r="A145" s="15" t="s">
        <v>614</v>
      </c>
      <c r="B145" s="15" t="s">
        <v>880</v>
      </c>
      <c r="C145" s="16" t="s">
        <v>1593</v>
      </c>
    </row>
    <row r="146" spans="1:3" x14ac:dyDescent="0.25">
      <c r="A146" s="15" t="s">
        <v>615</v>
      </c>
      <c r="B146" s="15" t="s">
        <v>881</v>
      </c>
      <c r="C146" s="15" t="s">
        <v>1594</v>
      </c>
    </row>
    <row r="147" spans="1:3" x14ac:dyDescent="0.25">
      <c r="A147" s="15" t="s">
        <v>616</v>
      </c>
      <c r="B147" s="15" t="s">
        <v>882</v>
      </c>
      <c r="C147" s="15" t="s">
        <v>1595</v>
      </c>
    </row>
    <row r="148" spans="1:3" x14ac:dyDescent="0.25">
      <c r="A148" s="15" t="s">
        <v>617</v>
      </c>
      <c r="B148" s="15" t="s">
        <v>883</v>
      </c>
      <c r="C148" s="15" t="s">
        <v>1596</v>
      </c>
    </row>
    <row r="149" spans="1:3" x14ac:dyDescent="0.25">
      <c r="A149" s="15" t="s">
        <v>618</v>
      </c>
      <c r="B149" s="15" t="s">
        <v>884</v>
      </c>
      <c r="C149" s="15" t="s">
        <v>1597</v>
      </c>
    </row>
    <row r="150" spans="1:3" x14ac:dyDescent="0.25">
      <c r="A150" s="15" t="s">
        <v>620</v>
      </c>
      <c r="B150" s="15" t="s">
        <v>885</v>
      </c>
      <c r="C150" s="16" t="s">
        <v>1598</v>
      </c>
    </row>
    <row r="151" spans="1:3" x14ac:dyDescent="0.25">
      <c r="A151" s="15" t="s">
        <v>621</v>
      </c>
      <c r="B151" s="15" t="s">
        <v>886</v>
      </c>
      <c r="C151" s="15" t="s">
        <v>1599</v>
      </c>
    </row>
    <row r="152" spans="1:3" x14ac:dyDescent="0.25">
      <c r="A152" s="15" t="s">
        <v>622</v>
      </c>
      <c r="B152" s="15" t="s">
        <v>887</v>
      </c>
      <c r="C152" s="15" t="s">
        <v>1600</v>
      </c>
    </row>
    <row r="153" spans="1:3" x14ac:dyDescent="0.25">
      <c r="A153" s="15" t="s">
        <v>623</v>
      </c>
      <c r="B153" s="15" t="s">
        <v>888</v>
      </c>
      <c r="C153" s="15" t="s">
        <v>1601</v>
      </c>
    </row>
    <row r="154" spans="1:3" x14ac:dyDescent="0.25">
      <c r="A154" s="15" t="s">
        <v>624</v>
      </c>
      <c r="B154" s="15" t="s">
        <v>889</v>
      </c>
      <c r="C154" s="15" t="s">
        <v>1602</v>
      </c>
    </row>
    <row r="155" spans="1:3" x14ac:dyDescent="0.25">
      <c r="A155" s="15" t="s">
        <v>625</v>
      </c>
      <c r="B155" s="15" t="s">
        <v>890</v>
      </c>
      <c r="C155" s="15" t="s">
        <v>1603</v>
      </c>
    </row>
    <row r="156" spans="1:3" x14ac:dyDescent="0.25">
      <c r="A156" s="15" t="s">
        <v>626</v>
      </c>
      <c r="B156" s="15" t="s">
        <v>891</v>
      </c>
      <c r="C156" s="15" t="s">
        <v>1604</v>
      </c>
    </row>
    <row r="157" spans="1:3" x14ac:dyDescent="0.25">
      <c r="A157" s="15" t="s">
        <v>627</v>
      </c>
      <c r="B157" s="15" t="s">
        <v>892</v>
      </c>
      <c r="C157" s="15" t="s">
        <v>1605</v>
      </c>
    </row>
    <row r="158" spans="1:3" x14ac:dyDescent="0.25">
      <c r="A158" s="15" t="s">
        <v>628</v>
      </c>
      <c r="B158" s="15" t="s">
        <v>893</v>
      </c>
      <c r="C158" s="15" t="s">
        <v>1606</v>
      </c>
    </row>
    <row r="159" spans="1:3" x14ac:dyDescent="0.25">
      <c r="A159" s="15" t="s">
        <v>629</v>
      </c>
      <c r="B159" s="15" t="s">
        <v>894</v>
      </c>
      <c r="C159" s="15" t="s">
        <v>1607</v>
      </c>
    </row>
    <row r="160" spans="1:3" x14ac:dyDescent="0.25">
      <c r="A160" s="15" t="s">
        <v>630</v>
      </c>
      <c r="B160" s="15" t="s">
        <v>895</v>
      </c>
      <c r="C160" s="15" t="s">
        <v>1608</v>
      </c>
    </row>
    <row r="161" spans="1:3" x14ac:dyDescent="0.25">
      <c r="A161" s="15" t="s">
        <v>631</v>
      </c>
      <c r="B161" s="15" t="s">
        <v>896</v>
      </c>
      <c r="C161" s="15" t="s">
        <v>1609</v>
      </c>
    </row>
    <row r="162" spans="1:3" x14ac:dyDescent="0.25">
      <c r="A162" s="15" t="s">
        <v>632</v>
      </c>
      <c r="B162" s="15" t="s">
        <v>897</v>
      </c>
      <c r="C162" s="16" t="s">
        <v>1610</v>
      </c>
    </row>
    <row r="163" spans="1:3" x14ac:dyDescent="0.25">
      <c r="A163" s="15" t="s">
        <v>633</v>
      </c>
      <c r="B163" s="15" t="s">
        <v>898</v>
      </c>
      <c r="C163" s="15" t="s">
        <v>1611</v>
      </c>
    </row>
    <row r="164" spans="1:3" x14ac:dyDescent="0.25">
      <c r="A164" s="15" t="s">
        <v>634</v>
      </c>
      <c r="B164" s="15" t="s">
        <v>899</v>
      </c>
      <c r="C164" s="16" t="s">
        <v>1612</v>
      </c>
    </row>
    <row r="165" spans="1:3" x14ac:dyDescent="0.25">
      <c r="A165" s="15" t="s">
        <v>635</v>
      </c>
      <c r="B165" s="15" t="s">
        <v>900</v>
      </c>
      <c r="C165" s="15" t="s">
        <v>1613</v>
      </c>
    </row>
    <row r="166" spans="1:3" x14ac:dyDescent="0.25">
      <c r="A166" s="15" t="s">
        <v>636</v>
      </c>
      <c r="B166" s="15" t="s">
        <v>901</v>
      </c>
      <c r="C166" s="15" t="s">
        <v>1614</v>
      </c>
    </row>
    <row r="167" spans="1:3" x14ac:dyDescent="0.25">
      <c r="A167" s="15" t="s">
        <v>719</v>
      </c>
      <c r="B167" s="15" t="s">
        <v>902</v>
      </c>
      <c r="C167" s="15" t="s">
        <v>1615</v>
      </c>
    </row>
    <row r="168" spans="1:3" x14ac:dyDescent="0.25">
      <c r="A168" s="15" t="s">
        <v>637</v>
      </c>
      <c r="B168" s="15" t="s">
        <v>903</v>
      </c>
      <c r="C168" s="15" t="s">
        <v>1616</v>
      </c>
    </row>
    <row r="169" spans="1:3" x14ac:dyDescent="0.25">
      <c r="A169" s="15" t="s">
        <v>638</v>
      </c>
      <c r="B169" s="15" t="s">
        <v>904</v>
      </c>
      <c r="C169" s="15" t="s">
        <v>1617</v>
      </c>
    </row>
    <row r="170" spans="1:3" x14ac:dyDescent="0.25">
      <c r="A170" s="15" t="s">
        <v>639</v>
      </c>
      <c r="B170" s="15" t="s">
        <v>905</v>
      </c>
      <c r="C170" s="15" t="s">
        <v>1618</v>
      </c>
    </row>
    <row r="171" spans="1:3" x14ac:dyDescent="0.25">
      <c r="A171" s="15" t="s">
        <v>640</v>
      </c>
      <c r="B171" s="15" t="s">
        <v>906</v>
      </c>
      <c r="C171" s="15" t="s">
        <v>1619</v>
      </c>
    </row>
    <row r="172" spans="1:3" x14ac:dyDescent="0.25">
      <c r="A172" s="15" t="s">
        <v>641</v>
      </c>
      <c r="B172" s="15" t="s">
        <v>907</v>
      </c>
      <c r="C172" s="16" t="s">
        <v>1620</v>
      </c>
    </row>
    <row r="173" spans="1:3" x14ac:dyDescent="0.25">
      <c r="A173" s="15" t="s">
        <v>642</v>
      </c>
      <c r="B173" s="15" t="s">
        <v>908</v>
      </c>
      <c r="C173" s="15" t="s">
        <v>1621</v>
      </c>
    </row>
    <row r="174" spans="1:3" x14ac:dyDescent="0.25">
      <c r="A174" s="15" t="s">
        <v>643</v>
      </c>
      <c r="B174" s="15" t="s">
        <v>909</v>
      </c>
      <c r="C174" s="15" t="s">
        <v>1622</v>
      </c>
    </row>
    <row r="175" spans="1:3" x14ac:dyDescent="0.25">
      <c r="A175" s="15" t="s">
        <v>644</v>
      </c>
      <c r="B175" s="15" t="s">
        <v>910</v>
      </c>
      <c r="C175" s="15" t="s">
        <v>1623</v>
      </c>
    </row>
    <row r="176" spans="1:3" x14ac:dyDescent="0.25">
      <c r="A176" s="15" t="s">
        <v>645</v>
      </c>
      <c r="B176" s="15" t="s">
        <v>911</v>
      </c>
      <c r="C176" s="16" t="s">
        <v>1624</v>
      </c>
    </row>
    <row r="177" spans="1:3" x14ac:dyDescent="0.25">
      <c r="A177" s="15" t="s">
        <v>646</v>
      </c>
      <c r="B177" s="15" t="s">
        <v>912</v>
      </c>
      <c r="C177" s="16" t="s">
        <v>1625</v>
      </c>
    </row>
    <row r="178" spans="1:3" x14ac:dyDescent="0.25">
      <c r="A178" s="15" t="s">
        <v>647</v>
      </c>
      <c r="B178" s="15" t="s">
        <v>913</v>
      </c>
      <c r="C178" s="15" t="s">
        <v>1626</v>
      </c>
    </row>
    <row r="179" spans="1:3" x14ac:dyDescent="0.25">
      <c r="A179" s="15" t="s">
        <v>648</v>
      </c>
      <c r="B179" s="15" t="s">
        <v>914</v>
      </c>
      <c r="C179" s="15" t="s">
        <v>1627</v>
      </c>
    </row>
    <row r="180" spans="1:3" x14ac:dyDescent="0.25">
      <c r="A180" s="15" t="s">
        <v>649</v>
      </c>
      <c r="B180" s="15" t="s">
        <v>915</v>
      </c>
      <c r="C180" s="15" t="s">
        <v>1442</v>
      </c>
    </row>
    <row r="181" spans="1:3" x14ac:dyDescent="0.25">
      <c r="A181" s="15" t="s">
        <v>650</v>
      </c>
      <c r="B181" s="15" t="s">
        <v>916</v>
      </c>
      <c r="C181" s="16" t="s">
        <v>1628</v>
      </c>
    </row>
    <row r="182" spans="1:3" x14ac:dyDescent="0.25">
      <c r="A182" s="15" t="s">
        <v>651</v>
      </c>
      <c r="B182" s="15" t="s">
        <v>917</v>
      </c>
      <c r="C182" s="15" t="s">
        <v>1629</v>
      </c>
    </row>
    <row r="183" spans="1:3" x14ac:dyDescent="0.25">
      <c r="A183" s="15" t="s">
        <v>652</v>
      </c>
      <c r="B183" s="15" t="s">
        <v>918</v>
      </c>
      <c r="C183" s="16" t="s">
        <v>1630</v>
      </c>
    </row>
    <row r="184" spans="1:3" x14ac:dyDescent="0.25">
      <c r="A184" s="15" t="s">
        <v>720</v>
      </c>
      <c r="B184" s="15" t="s">
        <v>919</v>
      </c>
      <c r="C184" s="15" t="s">
        <v>1631</v>
      </c>
    </row>
    <row r="185" spans="1:3" x14ac:dyDescent="0.25">
      <c r="A185" s="15" t="s">
        <v>653</v>
      </c>
      <c r="B185" s="15" t="s">
        <v>920</v>
      </c>
      <c r="C185" s="15" t="s">
        <v>1441</v>
      </c>
    </row>
    <row r="186" spans="1:3" x14ac:dyDescent="0.25">
      <c r="A186" s="15" t="s">
        <v>654</v>
      </c>
      <c r="B186" s="15" t="s">
        <v>921</v>
      </c>
      <c r="C186" s="15" t="s">
        <v>1632</v>
      </c>
    </row>
    <row r="187" spans="1:3" x14ac:dyDescent="0.25">
      <c r="A187" s="15" t="s">
        <v>655</v>
      </c>
      <c r="B187" s="15" t="s">
        <v>922</v>
      </c>
      <c r="C187" s="15" t="s">
        <v>1633</v>
      </c>
    </row>
    <row r="188" spans="1:3" x14ac:dyDescent="0.25">
      <c r="A188" s="15" t="s">
        <v>656</v>
      </c>
      <c r="B188" s="15" t="s">
        <v>923</v>
      </c>
      <c r="C188" s="15" t="s">
        <v>1634</v>
      </c>
    </row>
    <row r="189" spans="1:3" x14ac:dyDescent="0.25">
      <c r="A189" s="15" t="s">
        <v>657</v>
      </c>
      <c r="B189" s="15" t="s">
        <v>924</v>
      </c>
      <c r="C189" s="15" t="s">
        <v>1635</v>
      </c>
    </row>
    <row r="190" spans="1:3" x14ac:dyDescent="0.25">
      <c r="A190" s="15" t="s">
        <v>658</v>
      </c>
      <c r="B190" s="15" t="s">
        <v>925</v>
      </c>
      <c r="C190" s="15" t="s">
        <v>1636</v>
      </c>
    </row>
    <row r="191" spans="1:3" x14ac:dyDescent="0.25">
      <c r="A191" s="15" t="s">
        <v>659</v>
      </c>
      <c r="B191" s="15" t="s">
        <v>926</v>
      </c>
      <c r="C191" s="15" t="s">
        <v>1637</v>
      </c>
    </row>
    <row r="192" spans="1:3" x14ac:dyDescent="0.25">
      <c r="A192" s="15" t="s">
        <v>734</v>
      </c>
      <c r="B192" s="15" t="s">
        <v>927</v>
      </c>
      <c r="C192" s="15" t="s">
        <v>1638</v>
      </c>
    </row>
    <row r="193" spans="1:3" x14ac:dyDescent="0.25">
      <c r="A193" s="15" t="s">
        <v>480</v>
      </c>
      <c r="B193" s="15" t="s">
        <v>928</v>
      </c>
      <c r="C193" s="15" t="s">
        <v>1639</v>
      </c>
    </row>
    <row r="194" spans="1:3" x14ac:dyDescent="0.25">
      <c r="A194" s="15" t="s">
        <v>660</v>
      </c>
      <c r="B194" s="15" t="s">
        <v>929</v>
      </c>
      <c r="C194" s="16" t="s">
        <v>1640</v>
      </c>
    </row>
    <row r="195" spans="1:3" x14ac:dyDescent="0.25">
      <c r="A195" s="15" t="s">
        <v>661</v>
      </c>
      <c r="B195" s="15" t="s">
        <v>930</v>
      </c>
      <c r="C195" s="16" t="s">
        <v>1641</v>
      </c>
    </row>
    <row r="196" spans="1:3" x14ac:dyDescent="0.25">
      <c r="A196" s="15" t="s">
        <v>662</v>
      </c>
      <c r="B196" s="15" t="s">
        <v>931</v>
      </c>
      <c r="C196" s="15" t="s">
        <v>1642</v>
      </c>
    </row>
    <row r="197" spans="1:3" x14ac:dyDescent="0.25">
      <c r="A197" s="15" t="s">
        <v>663</v>
      </c>
      <c r="B197" s="15" t="s">
        <v>932</v>
      </c>
      <c r="C197" s="15" t="s">
        <v>1643</v>
      </c>
    </row>
    <row r="198" spans="1:3" x14ac:dyDescent="0.25">
      <c r="A198" s="15" t="s">
        <v>664</v>
      </c>
      <c r="B198" s="15" t="s">
        <v>933</v>
      </c>
      <c r="C198" s="15" t="s">
        <v>1644</v>
      </c>
    </row>
    <row r="199" spans="1:3" x14ac:dyDescent="0.25">
      <c r="A199" s="15" t="s">
        <v>665</v>
      </c>
      <c r="B199" s="15" t="s">
        <v>934</v>
      </c>
      <c r="C199" s="15" t="s">
        <v>1645</v>
      </c>
    </row>
    <row r="200" spans="1:3" x14ac:dyDescent="0.25">
      <c r="A200" s="15" t="s">
        <v>666</v>
      </c>
      <c r="B200" s="15" t="s">
        <v>935</v>
      </c>
      <c r="C200" s="16" t="s">
        <v>1646</v>
      </c>
    </row>
    <row r="201" spans="1:3" x14ac:dyDescent="0.25">
      <c r="A201" s="15" t="s">
        <v>667</v>
      </c>
      <c r="B201" s="15" t="s">
        <v>936</v>
      </c>
      <c r="C201" s="15" t="s">
        <v>1647</v>
      </c>
    </row>
    <row r="202" spans="1:3" x14ac:dyDescent="0.25">
      <c r="A202" s="15" t="s">
        <v>668</v>
      </c>
      <c r="B202" s="15" t="s">
        <v>937</v>
      </c>
      <c r="C202" s="16" t="s">
        <v>1648</v>
      </c>
    </row>
    <row r="203" spans="1:3" x14ac:dyDescent="0.25">
      <c r="A203" s="15" t="s">
        <v>669</v>
      </c>
      <c r="B203" s="15" t="s">
        <v>938</v>
      </c>
      <c r="C203" s="15" t="s">
        <v>1649</v>
      </c>
    </row>
    <row r="204" spans="1:3" x14ac:dyDescent="0.25">
      <c r="A204" s="15" t="s">
        <v>670</v>
      </c>
      <c r="B204" s="15" t="s">
        <v>939</v>
      </c>
      <c r="C204" s="16" t="s">
        <v>1650</v>
      </c>
    </row>
    <row r="205" spans="1:3" x14ac:dyDescent="0.25">
      <c r="A205" s="15" t="s">
        <v>671</v>
      </c>
      <c r="B205" s="15" t="s">
        <v>940</v>
      </c>
      <c r="C205" s="16" t="s">
        <v>1651</v>
      </c>
    </row>
    <row r="206" spans="1:3" x14ac:dyDescent="0.25">
      <c r="A206" s="15" t="s">
        <v>672</v>
      </c>
      <c r="B206" s="15" t="s">
        <v>941</v>
      </c>
      <c r="C206" s="15" t="s">
        <v>1652</v>
      </c>
    </row>
    <row r="207" spans="1:3" x14ac:dyDescent="0.25">
      <c r="A207" s="15" t="s">
        <v>673</v>
      </c>
      <c r="B207" s="15" t="s">
        <v>942</v>
      </c>
      <c r="C207" s="15" t="s">
        <v>1653</v>
      </c>
    </row>
    <row r="208" spans="1:3" x14ac:dyDescent="0.25">
      <c r="A208" s="15" t="s">
        <v>674</v>
      </c>
      <c r="B208" s="15" t="s">
        <v>943</v>
      </c>
      <c r="C208" s="15" t="s">
        <v>1654</v>
      </c>
    </row>
    <row r="209" spans="1:3" x14ac:dyDescent="0.25">
      <c r="A209" s="15" t="s">
        <v>675</v>
      </c>
      <c r="B209" s="15" t="s">
        <v>944</v>
      </c>
      <c r="C209" s="16" t="s">
        <v>1655</v>
      </c>
    </row>
    <row r="210" spans="1:3" x14ac:dyDescent="0.25">
      <c r="A210" s="15" t="s">
        <v>676</v>
      </c>
      <c r="B210" s="15" t="s">
        <v>945</v>
      </c>
      <c r="C210" s="16" t="s">
        <v>1656</v>
      </c>
    </row>
    <row r="211" spans="1:3" x14ac:dyDescent="0.25">
      <c r="A211" s="15" t="s">
        <v>677</v>
      </c>
      <c r="B211" s="15" t="s">
        <v>946</v>
      </c>
      <c r="C211" s="16" t="s">
        <v>1657</v>
      </c>
    </row>
    <row r="212" spans="1:3" x14ac:dyDescent="0.25">
      <c r="A212" s="15" t="s">
        <v>713</v>
      </c>
      <c r="B212" s="15" t="s">
        <v>947</v>
      </c>
      <c r="C212" s="16" t="s">
        <v>1658</v>
      </c>
    </row>
    <row r="213" spans="1:3" x14ac:dyDescent="0.25">
      <c r="A213" s="15" t="s">
        <v>735</v>
      </c>
      <c r="B213" s="15" t="s">
        <v>948</v>
      </c>
      <c r="C213" s="15" t="s">
        <v>1659</v>
      </c>
    </row>
    <row r="214" spans="1:3" x14ac:dyDescent="0.25">
      <c r="A214" s="15" t="s">
        <v>678</v>
      </c>
      <c r="B214" s="15" t="s">
        <v>949</v>
      </c>
      <c r="C214" s="15" t="s">
        <v>1660</v>
      </c>
    </row>
    <row r="215" spans="1:3" x14ac:dyDescent="0.25">
      <c r="A215" s="15" t="s">
        <v>736</v>
      </c>
      <c r="B215" s="15" t="s">
        <v>950</v>
      </c>
      <c r="C215" s="16" t="s">
        <v>1661</v>
      </c>
    </row>
    <row r="216" spans="1:3" x14ac:dyDescent="0.25">
      <c r="A216" s="15" t="s">
        <v>679</v>
      </c>
      <c r="B216" s="15" t="s">
        <v>951</v>
      </c>
      <c r="C216" s="15" t="s">
        <v>1662</v>
      </c>
    </row>
    <row r="217" spans="1:3" x14ac:dyDescent="0.25">
      <c r="A217" s="15" t="s">
        <v>680</v>
      </c>
      <c r="B217" s="15" t="s">
        <v>952</v>
      </c>
      <c r="C217" s="16" t="s">
        <v>1663</v>
      </c>
    </row>
    <row r="218" spans="1:3" x14ac:dyDescent="0.25">
      <c r="A218" s="15" t="s">
        <v>681</v>
      </c>
      <c r="B218" s="15" t="s">
        <v>953</v>
      </c>
      <c r="C218" s="15" t="s">
        <v>1664</v>
      </c>
    </row>
    <row r="219" spans="1:3" x14ac:dyDescent="0.25">
      <c r="A219" s="15" t="s">
        <v>682</v>
      </c>
      <c r="B219" s="15" t="s">
        <v>954</v>
      </c>
      <c r="C219" s="15" t="s">
        <v>1665</v>
      </c>
    </row>
    <row r="220" spans="1:3" x14ac:dyDescent="0.25">
      <c r="A220" s="15" t="s">
        <v>683</v>
      </c>
      <c r="B220" s="15" t="s">
        <v>955</v>
      </c>
      <c r="C220" s="15" t="s">
        <v>1666</v>
      </c>
    </row>
    <row r="221" spans="1:3" x14ac:dyDescent="0.25">
      <c r="A221" s="15" t="s">
        <v>684</v>
      </c>
      <c r="B221" s="15" t="s">
        <v>956</v>
      </c>
      <c r="C221" s="15" t="s">
        <v>1667</v>
      </c>
    </row>
    <row r="222" spans="1:3" x14ac:dyDescent="0.25">
      <c r="A222" s="15" t="s">
        <v>685</v>
      </c>
      <c r="B222" s="15" t="s">
        <v>957</v>
      </c>
      <c r="C222" s="15" t="s">
        <v>1668</v>
      </c>
    </row>
    <row r="223" spans="1:3" x14ac:dyDescent="0.25">
      <c r="A223" s="15" t="s">
        <v>686</v>
      </c>
      <c r="B223" s="15" t="s">
        <v>958</v>
      </c>
      <c r="C223" s="15" t="s">
        <v>1669</v>
      </c>
    </row>
    <row r="224" spans="1:3" x14ac:dyDescent="0.25">
      <c r="A224" s="15" t="s">
        <v>687</v>
      </c>
      <c r="B224" s="15" t="s">
        <v>959</v>
      </c>
      <c r="C224" s="15" t="s">
        <v>1670</v>
      </c>
    </row>
    <row r="225" spans="1:3" x14ac:dyDescent="0.25">
      <c r="A225" s="15" t="s">
        <v>688</v>
      </c>
      <c r="B225" s="15" t="s">
        <v>960</v>
      </c>
      <c r="C225" s="15" t="s">
        <v>1671</v>
      </c>
    </row>
    <row r="226" spans="1:3" x14ac:dyDescent="0.25">
      <c r="A226" s="125" t="s">
        <v>2417</v>
      </c>
      <c r="B226" s="15" t="s">
        <v>961</v>
      </c>
      <c r="C226" s="125" t="s">
        <v>2418</v>
      </c>
    </row>
    <row r="227" spans="1:3" x14ac:dyDescent="0.25">
      <c r="A227" s="15" t="s">
        <v>689</v>
      </c>
      <c r="B227" s="15" t="s">
        <v>962</v>
      </c>
      <c r="C227" s="16" t="s">
        <v>1672</v>
      </c>
    </row>
    <row r="228" spans="1:3" x14ac:dyDescent="0.25">
      <c r="A228" s="15" t="s">
        <v>690</v>
      </c>
      <c r="B228" s="15" t="s">
        <v>963</v>
      </c>
      <c r="C228" s="15" t="s">
        <v>1673</v>
      </c>
    </row>
    <row r="229" spans="1:3" x14ac:dyDescent="0.25">
      <c r="A229" s="15" t="s">
        <v>721</v>
      </c>
      <c r="B229" s="15" t="s">
        <v>964</v>
      </c>
      <c r="C229" s="15" t="s">
        <v>1674</v>
      </c>
    </row>
    <row r="230" spans="1:3" x14ac:dyDescent="0.25">
      <c r="A230" s="15" t="s">
        <v>722</v>
      </c>
      <c r="B230" s="15" t="s">
        <v>965</v>
      </c>
      <c r="C230" s="15" t="s">
        <v>1675</v>
      </c>
    </row>
    <row r="231" spans="1:3" x14ac:dyDescent="0.25">
      <c r="A231" s="15" t="s">
        <v>691</v>
      </c>
      <c r="B231" s="15" t="s">
        <v>966</v>
      </c>
      <c r="C231" s="15" t="s">
        <v>1676</v>
      </c>
    </row>
    <row r="232" spans="1:3" x14ac:dyDescent="0.25">
      <c r="A232" s="15" t="s">
        <v>692</v>
      </c>
      <c r="B232" s="15" t="s">
        <v>967</v>
      </c>
      <c r="C232" s="15" t="s">
        <v>1677</v>
      </c>
    </row>
    <row r="233" spans="1:3" x14ac:dyDescent="0.25">
      <c r="A233" s="15" t="s">
        <v>693</v>
      </c>
      <c r="B233" s="15" t="s">
        <v>968</v>
      </c>
      <c r="C233" s="16" t="s">
        <v>1678</v>
      </c>
    </row>
    <row r="234" spans="1:3" x14ac:dyDescent="0.25">
      <c r="A234" s="15" t="s">
        <v>695</v>
      </c>
      <c r="B234" s="15" t="s">
        <v>970</v>
      </c>
      <c r="C234" s="15" t="s">
        <v>1680</v>
      </c>
    </row>
    <row r="235" spans="1:3" x14ac:dyDescent="0.25">
      <c r="A235" s="15" t="s">
        <v>696</v>
      </c>
      <c r="B235" s="15" t="s">
        <v>971</v>
      </c>
      <c r="C235" s="15" t="s">
        <v>1681</v>
      </c>
    </row>
    <row r="236" spans="1:3" x14ac:dyDescent="0.25">
      <c r="A236" s="130" t="s">
        <v>2431</v>
      </c>
      <c r="B236" s="15" t="s">
        <v>972</v>
      </c>
      <c r="C236" s="132" t="s">
        <v>2436</v>
      </c>
    </row>
    <row r="237" spans="1:3" x14ac:dyDescent="0.25">
      <c r="A237" s="15" t="s">
        <v>697</v>
      </c>
      <c r="B237" s="15" t="s">
        <v>973</v>
      </c>
      <c r="C237" s="16" t="s">
        <v>1682</v>
      </c>
    </row>
    <row r="238" spans="1:3" x14ac:dyDescent="0.25">
      <c r="A238" s="15" t="s">
        <v>714</v>
      </c>
      <c r="B238" s="15" t="s">
        <v>974</v>
      </c>
      <c r="C238" s="15" t="s">
        <v>1683</v>
      </c>
    </row>
    <row r="239" spans="1:3" x14ac:dyDescent="0.25">
      <c r="A239" s="15" t="s">
        <v>715</v>
      </c>
      <c r="B239" s="15" t="s">
        <v>975</v>
      </c>
      <c r="C239" s="16" t="s">
        <v>1684</v>
      </c>
    </row>
    <row r="240" spans="1:3" x14ac:dyDescent="0.25">
      <c r="A240" s="15" t="s">
        <v>716</v>
      </c>
      <c r="B240" s="15" t="s">
        <v>976</v>
      </c>
      <c r="C240" s="16" t="s">
        <v>1685</v>
      </c>
    </row>
    <row r="241" spans="1:3" x14ac:dyDescent="0.25">
      <c r="A241" s="15" t="s">
        <v>737</v>
      </c>
      <c r="B241" s="15" t="s">
        <v>977</v>
      </c>
      <c r="C241" s="15" t="s">
        <v>1686</v>
      </c>
    </row>
    <row r="242" spans="1:3" x14ac:dyDescent="0.25">
      <c r="A242" s="15" t="s">
        <v>698</v>
      </c>
      <c r="B242" s="15" t="s">
        <v>978</v>
      </c>
      <c r="C242" s="15" t="s">
        <v>1687</v>
      </c>
    </row>
    <row r="243" spans="1:3" x14ac:dyDescent="0.25">
      <c r="A243" s="15" t="s">
        <v>699</v>
      </c>
      <c r="B243" s="15" t="s">
        <v>979</v>
      </c>
      <c r="C243" s="16" t="s">
        <v>1688</v>
      </c>
    </row>
    <row r="244" spans="1:3" x14ac:dyDescent="0.25">
      <c r="A244" s="15" t="s">
        <v>700</v>
      </c>
      <c r="B244" s="15" t="s">
        <v>980</v>
      </c>
      <c r="C244" s="15" t="s">
        <v>1689</v>
      </c>
    </row>
    <row r="245" spans="1:3" x14ac:dyDescent="0.25">
      <c r="A245" s="15" t="s">
        <v>701</v>
      </c>
      <c r="B245" s="15" t="s">
        <v>981</v>
      </c>
      <c r="C245" s="15" t="s">
        <v>1690</v>
      </c>
    </row>
    <row r="246" spans="1:3" x14ac:dyDescent="0.25">
      <c r="A246" s="15" t="s">
        <v>702</v>
      </c>
      <c r="B246" s="15" t="s">
        <v>982</v>
      </c>
      <c r="C246" s="15" t="s">
        <v>1691</v>
      </c>
    </row>
    <row r="247" spans="1:3" x14ac:dyDescent="0.25">
      <c r="A247" s="15" t="s">
        <v>703</v>
      </c>
      <c r="B247" s="15" t="s">
        <v>983</v>
      </c>
      <c r="C247" s="16" t="s">
        <v>1692</v>
      </c>
    </row>
    <row r="248" spans="1:3" x14ac:dyDescent="0.25">
      <c r="A248" s="15" t="s">
        <v>704</v>
      </c>
      <c r="B248" s="15" t="s">
        <v>984</v>
      </c>
      <c r="C248" s="15" t="s">
        <v>1693</v>
      </c>
    </row>
    <row r="249" spans="1:3" x14ac:dyDescent="0.25">
      <c r="A249" s="15" t="s">
        <v>705</v>
      </c>
      <c r="B249" s="15" t="s">
        <v>985</v>
      </c>
      <c r="C249" s="15" t="s">
        <v>1694</v>
      </c>
    </row>
    <row r="250" spans="1:3" x14ac:dyDescent="0.25">
      <c r="A250" s="15" t="s">
        <v>694</v>
      </c>
      <c r="B250" s="15" t="s">
        <v>969</v>
      </c>
      <c r="C250" s="16" t="s">
        <v>1679</v>
      </c>
    </row>
    <row r="251" spans="1:3" x14ac:dyDescent="0.25">
      <c r="A251" s="15" t="s">
        <v>1871</v>
      </c>
      <c r="B251" s="15" t="s">
        <v>1921</v>
      </c>
      <c r="C251" s="23" t="str">
        <f>"usa"&amp;CHAR(10)&amp;"- "&amp;SUBSTITUTE(LOWER(MID(A251,4,LEN(A251)))," ","-")</f>
        <v>usa
- alabama</v>
      </c>
    </row>
    <row r="252" spans="1:3" x14ac:dyDescent="0.25">
      <c r="A252" s="15" t="s">
        <v>1872</v>
      </c>
      <c r="B252" s="15" t="s">
        <v>1922</v>
      </c>
      <c r="C252" s="23" t="str">
        <f t="shared" ref="C252:C301" si="0">"usa"&amp;CHAR(10)&amp;"- "&amp;SUBSTITUTE(LOWER(MID(A252,4,LEN(A252)))," ","-")</f>
        <v>usa
- alaska</v>
      </c>
    </row>
    <row r="253" spans="1:3" x14ac:dyDescent="0.25">
      <c r="A253" s="15" t="s">
        <v>1873</v>
      </c>
      <c r="B253" s="15" t="s">
        <v>1923</v>
      </c>
      <c r="C253" s="23" t="str">
        <f t="shared" si="0"/>
        <v>usa
- arizona</v>
      </c>
    </row>
    <row r="254" spans="1:3" x14ac:dyDescent="0.25">
      <c r="A254" s="15" t="s">
        <v>1870</v>
      </c>
      <c r="B254" s="15" t="s">
        <v>1924</v>
      </c>
      <c r="C254" s="23" t="str">
        <f t="shared" si="0"/>
        <v>usa
- arkansas</v>
      </c>
    </row>
    <row r="255" spans="1:3" x14ac:dyDescent="0.25">
      <c r="A255" s="15" t="s">
        <v>1874</v>
      </c>
      <c r="B255" s="15" t="s">
        <v>1925</v>
      </c>
      <c r="C255" s="23" t="str">
        <f t="shared" si="0"/>
        <v>usa
- california</v>
      </c>
    </row>
    <row r="256" spans="1:3" x14ac:dyDescent="0.25">
      <c r="A256" s="15" t="s">
        <v>1875</v>
      </c>
      <c r="B256" s="15" t="s">
        <v>1926</v>
      </c>
      <c r="C256" s="23" t="str">
        <f t="shared" si="0"/>
        <v>usa
- colorado</v>
      </c>
    </row>
    <row r="257" spans="1:3" x14ac:dyDescent="0.25">
      <c r="A257" s="15" t="s">
        <v>1876</v>
      </c>
      <c r="B257" s="15" t="s">
        <v>1927</v>
      </c>
      <c r="C257" s="23" t="str">
        <f t="shared" si="0"/>
        <v>usa
- connecticut</v>
      </c>
    </row>
    <row r="258" spans="1:3" x14ac:dyDescent="0.25">
      <c r="A258" s="15" t="s">
        <v>1877</v>
      </c>
      <c r="B258" s="15" t="s">
        <v>1928</v>
      </c>
      <c r="C258" s="23" t="str">
        <f t="shared" si="0"/>
        <v>usa
- delaware</v>
      </c>
    </row>
    <row r="259" spans="1:3" x14ac:dyDescent="0.25">
      <c r="A259" s="15" t="s">
        <v>1878</v>
      </c>
      <c r="B259" s="15" t="s">
        <v>1929</v>
      </c>
      <c r="C259" s="23" t="str">
        <f t="shared" si="0"/>
        <v>usa
- dc</v>
      </c>
    </row>
    <row r="260" spans="1:3" x14ac:dyDescent="0.25">
      <c r="A260" s="15" t="s">
        <v>1879</v>
      </c>
      <c r="B260" s="15" t="s">
        <v>1930</v>
      </c>
      <c r="C260" s="23" t="str">
        <f t="shared" si="0"/>
        <v>usa
- florida</v>
      </c>
    </row>
    <row r="261" spans="1:3" x14ac:dyDescent="0.25">
      <c r="A261" s="15" t="s">
        <v>1880</v>
      </c>
      <c r="B261" s="15" t="s">
        <v>1931</v>
      </c>
      <c r="C261" s="23" t="str">
        <f t="shared" si="0"/>
        <v>usa
- georgia</v>
      </c>
    </row>
    <row r="262" spans="1:3" x14ac:dyDescent="0.25">
      <c r="A262" s="15" t="s">
        <v>1881</v>
      </c>
      <c r="B262" s="15" t="s">
        <v>1932</v>
      </c>
      <c r="C262" s="23" t="str">
        <f t="shared" si="0"/>
        <v>usa
- hawaii</v>
      </c>
    </row>
    <row r="263" spans="1:3" x14ac:dyDescent="0.25">
      <c r="A263" s="15" t="s">
        <v>1882</v>
      </c>
      <c r="B263" s="15" t="s">
        <v>1933</v>
      </c>
      <c r="C263" s="23" t="str">
        <f t="shared" si="0"/>
        <v>usa
- idaho</v>
      </c>
    </row>
    <row r="264" spans="1:3" x14ac:dyDescent="0.25">
      <c r="A264" s="15" t="s">
        <v>1883</v>
      </c>
      <c r="B264" s="15" t="s">
        <v>1934</v>
      </c>
      <c r="C264" s="23" t="str">
        <f t="shared" si="0"/>
        <v>usa
- illinois</v>
      </c>
    </row>
    <row r="265" spans="1:3" x14ac:dyDescent="0.25">
      <c r="A265" s="15" t="s">
        <v>1884</v>
      </c>
      <c r="B265" s="15" t="s">
        <v>1935</v>
      </c>
      <c r="C265" s="23" t="str">
        <f t="shared" si="0"/>
        <v>usa
- indiana</v>
      </c>
    </row>
    <row r="266" spans="1:3" x14ac:dyDescent="0.25">
      <c r="A266" s="15" t="s">
        <v>1885</v>
      </c>
      <c r="B266" s="15" t="s">
        <v>1936</v>
      </c>
      <c r="C266" s="23" t="str">
        <f t="shared" si="0"/>
        <v>usa
- iowa</v>
      </c>
    </row>
    <row r="267" spans="1:3" x14ac:dyDescent="0.25">
      <c r="A267" s="15" t="s">
        <v>1886</v>
      </c>
      <c r="B267" s="15" t="s">
        <v>1937</v>
      </c>
      <c r="C267" s="23" t="str">
        <f t="shared" si="0"/>
        <v>usa
- kansas</v>
      </c>
    </row>
    <row r="268" spans="1:3" x14ac:dyDescent="0.25">
      <c r="A268" s="15" t="s">
        <v>1887</v>
      </c>
      <c r="B268" s="15" t="s">
        <v>1938</v>
      </c>
      <c r="C268" s="23" t="str">
        <f t="shared" si="0"/>
        <v>usa
- kentucky</v>
      </c>
    </row>
    <row r="269" spans="1:3" x14ac:dyDescent="0.25">
      <c r="A269" s="15" t="s">
        <v>1888</v>
      </c>
      <c r="B269" s="15" t="s">
        <v>1939</v>
      </c>
      <c r="C269" s="23" t="str">
        <f t="shared" si="0"/>
        <v>usa
- louisiana</v>
      </c>
    </row>
    <row r="270" spans="1:3" x14ac:dyDescent="0.25">
      <c r="A270" s="15" t="s">
        <v>1889</v>
      </c>
      <c r="B270" s="15" t="s">
        <v>1940</v>
      </c>
      <c r="C270" s="23" t="str">
        <f t="shared" si="0"/>
        <v>usa
- maine</v>
      </c>
    </row>
    <row r="271" spans="1:3" x14ac:dyDescent="0.25">
      <c r="A271" s="15" t="s">
        <v>1890</v>
      </c>
      <c r="B271" s="15" t="s">
        <v>1941</v>
      </c>
      <c r="C271" s="23" t="str">
        <f t="shared" si="0"/>
        <v>usa
- maryland</v>
      </c>
    </row>
    <row r="272" spans="1:3" x14ac:dyDescent="0.25">
      <c r="A272" s="15" t="s">
        <v>1891</v>
      </c>
      <c r="B272" s="15" t="s">
        <v>1942</v>
      </c>
      <c r="C272" s="23" t="str">
        <f t="shared" si="0"/>
        <v>usa
- massachusetts</v>
      </c>
    </row>
    <row r="273" spans="1:3" x14ac:dyDescent="0.25">
      <c r="A273" s="15" t="s">
        <v>1892</v>
      </c>
      <c r="B273" s="15" t="s">
        <v>1943</v>
      </c>
      <c r="C273" s="23" t="str">
        <f t="shared" si="0"/>
        <v>usa
- michigan</v>
      </c>
    </row>
    <row r="274" spans="1:3" x14ac:dyDescent="0.25">
      <c r="A274" s="15" t="s">
        <v>1893</v>
      </c>
      <c r="B274" s="15" t="s">
        <v>1944</v>
      </c>
      <c r="C274" s="23" t="str">
        <f t="shared" si="0"/>
        <v>usa
- minnesota</v>
      </c>
    </row>
    <row r="275" spans="1:3" x14ac:dyDescent="0.25">
      <c r="A275" s="15" t="s">
        <v>1894</v>
      </c>
      <c r="B275" s="15" t="s">
        <v>1945</v>
      </c>
      <c r="C275" s="23" t="str">
        <f t="shared" si="0"/>
        <v>usa
- mississippi</v>
      </c>
    </row>
    <row r="276" spans="1:3" x14ac:dyDescent="0.25">
      <c r="A276" s="15" t="s">
        <v>1895</v>
      </c>
      <c r="B276" s="15" t="s">
        <v>1946</v>
      </c>
      <c r="C276" s="23" t="str">
        <f t="shared" si="0"/>
        <v>usa
- missouri</v>
      </c>
    </row>
    <row r="277" spans="1:3" x14ac:dyDescent="0.25">
      <c r="A277" s="15" t="s">
        <v>1896</v>
      </c>
      <c r="B277" s="15" t="s">
        <v>1947</v>
      </c>
      <c r="C277" s="23" t="str">
        <f t="shared" si="0"/>
        <v>usa
- montana</v>
      </c>
    </row>
    <row r="278" spans="1:3" x14ac:dyDescent="0.25">
      <c r="A278" s="15" t="s">
        <v>1897</v>
      </c>
      <c r="B278" s="15" t="s">
        <v>1948</v>
      </c>
      <c r="C278" s="23" t="str">
        <f t="shared" si="0"/>
        <v>usa
- nebraska</v>
      </c>
    </row>
    <row r="279" spans="1:3" x14ac:dyDescent="0.25">
      <c r="A279" s="15" t="s">
        <v>1898</v>
      </c>
      <c r="B279" s="15" t="s">
        <v>1949</v>
      </c>
      <c r="C279" s="23" t="str">
        <f t="shared" si="0"/>
        <v>usa
- nevada</v>
      </c>
    </row>
    <row r="280" spans="1:3" x14ac:dyDescent="0.25">
      <c r="A280" s="15" t="s">
        <v>1899</v>
      </c>
      <c r="B280" s="15" t="s">
        <v>1950</v>
      </c>
      <c r="C280" s="23" t="str">
        <f t="shared" si="0"/>
        <v>usa
- new-hampshire</v>
      </c>
    </row>
    <row r="281" spans="1:3" x14ac:dyDescent="0.25">
      <c r="A281" s="15" t="s">
        <v>1900</v>
      </c>
      <c r="B281" s="15" t="s">
        <v>1951</v>
      </c>
      <c r="C281" s="23" t="str">
        <f t="shared" si="0"/>
        <v>usa
- new-jersey</v>
      </c>
    </row>
    <row r="282" spans="1:3" x14ac:dyDescent="0.25">
      <c r="A282" s="15" t="s">
        <v>1901</v>
      </c>
      <c r="B282" s="15" t="s">
        <v>1952</v>
      </c>
      <c r="C282" s="23" t="str">
        <f t="shared" si="0"/>
        <v>usa
- new-mexico</v>
      </c>
    </row>
    <row r="283" spans="1:3" x14ac:dyDescent="0.25">
      <c r="A283" s="15" t="s">
        <v>1902</v>
      </c>
      <c r="B283" s="15" t="s">
        <v>1953</v>
      </c>
      <c r="C283" s="23" t="str">
        <f t="shared" si="0"/>
        <v>usa
- new-york</v>
      </c>
    </row>
    <row r="284" spans="1:3" x14ac:dyDescent="0.25">
      <c r="A284" s="15" t="s">
        <v>1903</v>
      </c>
      <c r="B284" s="15" t="s">
        <v>1954</v>
      </c>
      <c r="C284" s="23" t="str">
        <f t="shared" si="0"/>
        <v>usa
- north-carolina</v>
      </c>
    </row>
    <row r="285" spans="1:3" x14ac:dyDescent="0.25">
      <c r="A285" s="15" t="s">
        <v>1904</v>
      </c>
      <c r="B285" s="15" t="s">
        <v>1955</v>
      </c>
      <c r="C285" s="23" t="str">
        <f t="shared" si="0"/>
        <v>usa
- north-dakota</v>
      </c>
    </row>
    <row r="286" spans="1:3" x14ac:dyDescent="0.25">
      <c r="A286" s="15" t="s">
        <v>1905</v>
      </c>
      <c r="B286" s="15" t="s">
        <v>1956</v>
      </c>
      <c r="C286" s="23" t="str">
        <f t="shared" si="0"/>
        <v>usa
- ohio</v>
      </c>
    </row>
    <row r="287" spans="1:3" x14ac:dyDescent="0.25">
      <c r="A287" s="15" t="s">
        <v>1906</v>
      </c>
      <c r="B287" s="15" t="s">
        <v>1957</v>
      </c>
      <c r="C287" s="23" t="str">
        <f t="shared" si="0"/>
        <v>usa
- oklahoma</v>
      </c>
    </row>
    <row r="288" spans="1:3" x14ac:dyDescent="0.25">
      <c r="A288" s="15" t="s">
        <v>1907</v>
      </c>
      <c r="B288" s="15" t="s">
        <v>1958</v>
      </c>
      <c r="C288" s="23" t="str">
        <f t="shared" si="0"/>
        <v>usa
- oregon</v>
      </c>
    </row>
    <row r="289" spans="1:3" x14ac:dyDescent="0.25">
      <c r="A289" s="15" t="s">
        <v>1908</v>
      </c>
      <c r="B289" s="15" t="s">
        <v>1959</v>
      </c>
      <c r="C289" s="23" t="str">
        <f t="shared" si="0"/>
        <v>usa
- pennsylvania</v>
      </c>
    </row>
    <row r="290" spans="1:3" x14ac:dyDescent="0.25">
      <c r="A290" s="15" t="s">
        <v>1909</v>
      </c>
      <c r="B290" s="15" t="s">
        <v>1960</v>
      </c>
      <c r="C290" s="23" t="str">
        <f t="shared" si="0"/>
        <v>usa
- rhode-island</v>
      </c>
    </row>
    <row r="291" spans="1:3" x14ac:dyDescent="0.25">
      <c r="A291" s="15" t="s">
        <v>1910</v>
      </c>
      <c r="B291" s="15" t="s">
        <v>1961</v>
      </c>
      <c r="C291" s="23" t="str">
        <f t="shared" si="0"/>
        <v>usa
- south-carolina</v>
      </c>
    </row>
    <row r="292" spans="1:3" x14ac:dyDescent="0.25">
      <c r="A292" s="15" t="s">
        <v>1911</v>
      </c>
      <c r="B292" s="15" t="s">
        <v>1962</v>
      </c>
      <c r="C292" s="23" t="str">
        <f t="shared" si="0"/>
        <v>usa
- south-dakota</v>
      </c>
    </row>
    <row r="293" spans="1:3" x14ac:dyDescent="0.25">
      <c r="A293" s="15" t="s">
        <v>1912</v>
      </c>
      <c r="B293" s="15" t="s">
        <v>1963</v>
      </c>
      <c r="C293" s="23" t="str">
        <f t="shared" si="0"/>
        <v>usa
- tennessee</v>
      </c>
    </row>
    <row r="294" spans="1:3" x14ac:dyDescent="0.25">
      <c r="A294" s="15" t="s">
        <v>1913</v>
      </c>
      <c r="B294" s="15" t="s">
        <v>1964</v>
      </c>
      <c r="C294" s="23" t="str">
        <f t="shared" si="0"/>
        <v>usa
- texas</v>
      </c>
    </row>
    <row r="295" spans="1:3" x14ac:dyDescent="0.25">
      <c r="A295" s="15" t="s">
        <v>1914</v>
      </c>
      <c r="B295" s="15" t="s">
        <v>1965</v>
      </c>
      <c r="C295" s="23" t="str">
        <f t="shared" si="0"/>
        <v>usa
- utah</v>
      </c>
    </row>
    <row r="296" spans="1:3" x14ac:dyDescent="0.25">
      <c r="A296" s="15" t="s">
        <v>1915</v>
      </c>
      <c r="B296" s="15" t="s">
        <v>1966</v>
      </c>
      <c r="C296" s="23" t="str">
        <f t="shared" si="0"/>
        <v>usa
- vermont</v>
      </c>
    </row>
    <row r="297" spans="1:3" x14ac:dyDescent="0.25">
      <c r="A297" s="15" t="s">
        <v>1916</v>
      </c>
      <c r="B297" s="15" t="s">
        <v>1967</v>
      </c>
      <c r="C297" s="23" t="str">
        <f t="shared" si="0"/>
        <v>usa
- virginia</v>
      </c>
    </row>
    <row r="298" spans="1:3" x14ac:dyDescent="0.25">
      <c r="A298" s="15" t="s">
        <v>1917</v>
      </c>
      <c r="B298" s="15" t="s">
        <v>1968</v>
      </c>
      <c r="C298" s="23" t="str">
        <f t="shared" si="0"/>
        <v>usa
- washington</v>
      </c>
    </row>
    <row r="299" spans="1:3" x14ac:dyDescent="0.25">
      <c r="A299" s="15" t="s">
        <v>1918</v>
      </c>
      <c r="B299" s="15" t="s">
        <v>1969</v>
      </c>
      <c r="C299" s="23" t="str">
        <f t="shared" si="0"/>
        <v>usa
- west-virginia</v>
      </c>
    </row>
    <row r="300" spans="1:3" x14ac:dyDescent="0.25">
      <c r="A300" s="15" t="s">
        <v>1919</v>
      </c>
      <c r="B300" s="15" t="s">
        <v>1970</v>
      </c>
      <c r="C300" s="23" t="str">
        <f t="shared" si="0"/>
        <v>usa
- wisconsin</v>
      </c>
    </row>
    <row r="301" spans="1:3" x14ac:dyDescent="0.25">
      <c r="A301" s="15" t="s">
        <v>1920</v>
      </c>
      <c r="B301" s="15" t="s">
        <v>1971</v>
      </c>
      <c r="C301" s="23" t="str">
        <f t="shared" si="0"/>
        <v>usa
- wyoming</v>
      </c>
    </row>
    <row r="302" spans="1:3" x14ac:dyDescent="0.25">
      <c r="A302" s="135"/>
      <c r="C302" s="135"/>
    </row>
  </sheetData>
  <autoFilter ref="A1:C249" xr:uid="{64B53212-52F5-4A7D-9FB7-1079DAE6F64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Z63" activePane="bottomRight" state="frozen"/>
      <selection pane="topRight" activeCell="B1" sqref="B1"/>
      <selection pane="bottomLeft" activeCell="A2" sqref="A2"/>
      <selection pane="bottomRight" activeCell="AJ1" sqref="AJ1"/>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89" bestFit="1" customWidth="1"/>
    <col min="36" max="36" width="21" style="86"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1318</v>
      </c>
      <c r="B1" s="68" t="s">
        <v>483</v>
      </c>
      <c r="C1" s="67" t="s">
        <v>1718</v>
      </c>
      <c r="D1" s="73" t="s">
        <v>339</v>
      </c>
      <c r="E1" s="74" t="s">
        <v>340</v>
      </c>
      <c r="F1" s="68" t="s">
        <v>725</v>
      </c>
      <c r="G1" s="70" t="s">
        <v>726</v>
      </c>
      <c r="H1" s="67" t="s">
        <v>1710</v>
      </c>
      <c r="I1" s="67" t="s">
        <v>1773</v>
      </c>
      <c r="J1" s="67" t="s">
        <v>1744</v>
      </c>
      <c r="K1" s="67" t="s">
        <v>1732</v>
      </c>
      <c r="L1" s="68" t="s">
        <v>165</v>
      </c>
      <c r="M1" s="70" t="s">
        <v>367</v>
      </c>
      <c r="N1" s="67" t="s">
        <v>1755</v>
      </c>
      <c r="O1" s="67" t="s">
        <v>1752</v>
      </c>
      <c r="P1" s="71" t="s">
        <v>1753</v>
      </c>
      <c r="Q1" s="67" t="s">
        <v>1754</v>
      </c>
      <c r="R1" s="72" t="s">
        <v>1756</v>
      </c>
      <c r="S1" s="71" t="s">
        <v>1757</v>
      </c>
      <c r="T1" s="67" t="s">
        <v>1758</v>
      </c>
      <c r="U1" s="72" t="s">
        <v>1759</v>
      </c>
      <c r="V1" s="67" t="s">
        <v>1760</v>
      </c>
      <c r="W1" s="67" t="s">
        <v>1761</v>
      </c>
      <c r="X1" s="74" t="s">
        <v>1762</v>
      </c>
      <c r="Y1" s="67" t="s">
        <v>1414</v>
      </c>
      <c r="Z1" s="67" t="s">
        <v>1416</v>
      </c>
      <c r="AA1" s="67" t="s">
        <v>1418</v>
      </c>
      <c r="AB1" s="67" t="s">
        <v>1745</v>
      </c>
      <c r="AC1" s="67" t="s">
        <v>1746</v>
      </c>
      <c r="AD1" s="67" t="s">
        <v>1747</v>
      </c>
      <c r="AE1" s="67" t="s">
        <v>1748</v>
      </c>
      <c r="AF1" s="67" t="s">
        <v>1749</v>
      </c>
      <c r="AG1" s="67" t="s">
        <v>1750</v>
      </c>
      <c r="AH1" s="67" t="s">
        <v>1751</v>
      </c>
      <c r="AI1" s="84" t="s">
        <v>1744</v>
      </c>
      <c r="AJ1" s="69" t="s">
        <v>163</v>
      </c>
      <c r="AK1" s="67" t="s">
        <v>332</v>
      </c>
      <c r="AL1" s="67" t="s">
        <v>1322</v>
      </c>
      <c r="AM1" s="67" t="s">
        <v>334</v>
      </c>
      <c r="AN1" s="67" t="s">
        <v>1323</v>
      </c>
      <c r="AO1" s="67" t="s">
        <v>348</v>
      </c>
      <c r="AP1" s="74" t="s">
        <v>1324</v>
      </c>
    </row>
    <row r="2" spans="1:42" x14ac:dyDescent="0.25">
      <c r="B2" s="24" t="s">
        <v>550</v>
      </c>
      <c r="H2" s="15" t="s">
        <v>1711</v>
      </c>
      <c r="I2" s="25" t="b">
        <v>1</v>
      </c>
      <c r="J2" s="15" t="b">
        <v>1</v>
      </c>
      <c r="N2" s="15" t="s">
        <v>335</v>
      </c>
      <c r="O2" s="15" t="s">
        <v>335</v>
      </c>
      <c r="Y2" s="39"/>
      <c r="Z2" s="39"/>
      <c r="AA2" s="39"/>
      <c r="AB2" s="39"/>
      <c r="AC2" s="39"/>
      <c r="AD2" s="39"/>
      <c r="AE2" s="39"/>
      <c r="AF2" s="39"/>
      <c r="AG2" s="39"/>
      <c r="AH2" s="39"/>
      <c r="AI2" s="85" t="s">
        <v>623</v>
      </c>
      <c r="AJ2" s="86" t="s">
        <v>1059</v>
      </c>
      <c r="AK2" s="15" t="s">
        <v>182</v>
      </c>
      <c r="AL2" s="15" t="s">
        <v>335</v>
      </c>
      <c r="AM2" s="15" t="s">
        <v>335</v>
      </c>
      <c r="AN2" s="15" t="s">
        <v>335</v>
      </c>
      <c r="AO2" s="15" t="s">
        <v>335</v>
      </c>
      <c r="AP2" s="49" t="s">
        <v>335</v>
      </c>
    </row>
    <row r="3" spans="1:42" x14ac:dyDescent="0.25">
      <c r="B3" s="24" t="s">
        <v>11</v>
      </c>
      <c r="H3" s="15" t="s">
        <v>1711</v>
      </c>
      <c r="I3" s="25" t="b">
        <v>1</v>
      </c>
      <c r="J3" s="15" t="b">
        <v>1</v>
      </c>
      <c r="N3" s="15" t="s">
        <v>335</v>
      </c>
      <c r="O3" s="15" t="s">
        <v>335</v>
      </c>
      <c r="Y3" s="15" t="s">
        <v>335</v>
      </c>
      <c r="AI3" s="85" t="s">
        <v>1180</v>
      </c>
      <c r="AJ3" s="86">
        <v>1000</v>
      </c>
      <c r="AK3" s="15" t="s">
        <v>184</v>
      </c>
      <c r="AL3" s="15" t="s">
        <v>335</v>
      </c>
      <c r="AM3" s="15" t="s">
        <v>335</v>
      </c>
      <c r="AN3" s="15" t="s">
        <v>335</v>
      </c>
      <c r="AO3" s="15" t="s">
        <v>335</v>
      </c>
      <c r="AP3" s="49" t="s">
        <v>335</v>
      </c>
    </row>
    <row r="4" spans="1:42" x14ac:dyDescent="0.25">
      <c r="B4" s="24" t="s">
        <v>11</v>
      </c>
      <c r="H4" s="15" t="s">
        <v>1711</v>
      </c>
      <c r="I4" s="25" t="b">
        <v>1</v>
      </c>
      <c r="J4" s="15" t="b">
        <v>1</v>
      </c>
      <c r="N4" s="15" t="s">
        <v>335</v>
      </c>
      <c r="O4" s="15" t="s">
        <v>335</v>
      </c>
      <c r="Y4" s="15" t="s">
        <v>335</v>
      </c>
      <c r="AI4" s="85" t="s">
        <v>1181</v>
      </c>
      <c r="AJ4" s="86">
        <v>1001</v>
      </c>
      <c r="AK4" s="15" t="s">
        <v>185</v>
      </c>
      <c r="AL4" s="15" t="s">
        <v>335</v>
      </c>
      <c r="AM4" s="15" t="s">
        <v>335</v>
      </c>
      <c r="AN4" s="15" t="s">
        <v>335</v>
      </c>
      <c r="AO4" s="15" t="s">
        <v>335</v>
      </c>
      <c r="AP4" s="49" t="s">
        <v>335</v>
      </c>
    </row>
    <row r="5" spans="1:42" x14ac:dyDescent="0.25">
      <c r="B5" s="24" t="s">
        <v>555</v>
      </c>
      <c r="H5" s="15" t="s">
        <v>1711</v>
      </c>
      <c r="I5" s="25" t="b">
        <v>1</v>
      </c>
      <c r="J5" s="15" t="b">
        <v>1</v>
      </c>
      <c r="N5" s="15" t="s">
        <v>335</v>
      </c>
      <c r="O5" s="15" t="s">
        <v>335</v>
      </c>
      <c r="Y5" s="15" t="s">
        <v>335</v>
      </c>
      <c r="AI5" s="85" t="s">
        <v>1182</v>
      </c>
      <c r="AJ5" s="86">
        <v>1105</v>
      </c>
      <c r="AK5" s="15" t="s">
        <v>186</v>
      </c>
      <c r="AL5" s="15" t="s">
        <v>335</v>
      </c>
      <c r="AM5" s="15" t="s">
        <v>335</v>
      </c>
      <c r="AN5" s="15" t="s">
        <v>335</v>
      </c>
      <c r="AO5" s="15" t="s">
        <v>335</v>
      </c>
      <c r="AP5" s="49" t="s">
        <v>335</v>
      </c>
    </row>
    <row r="6" spans="1:42" x14ac:dyDescent="0.25">
      <c r="B6" s="24" t="s">
        <v>653</v>
      </c>
      <c r="H6" s="15" t="s">
        <v>1711</v>
      </c>
      <c r="I6" s="25" t="b">
        <v>1</v>
      </c>
      <c r="J6" s="15" t="b">
        <v>1</v>
      </c>
      <c r="N6" s="15" t="s">
        <v>335</v>
      </c>
      <c r="O6" s="15" t="s">
        <v>335</v>
      </c>
      <c r="Y6" s="15" t="s">
        <v>335</v>
      </c>
      <c r="AI6" s="85" t="s">
        <v>1183</v>
      </c>
      <c r="AJ6" s="86">
        <v>1182</v>
      </c>
      <c r="AK6" s="15" t="s">
        <v>187</v>
      </c>
      <c r="AL6" s="15" t="s">
        <v>335</v>
      </c>
      <c r="AM6" s="15" t="s">
        <v>335</v>
      </c>
      <c r="AN6" s="15" t="s">
        <v>335</v>
      </c>
      <c r="AO6" s="15" t="s">
        <v>335</v>
      </c>
      <c r="AP6" s="49" t="s">
        <v>335</v>
      </c>
    </row>
    <row r="7" spans="1:42" x14ac:dyDescent="0.25">
      <c r="B7" s="24" t="s">
        <v>11</v>
      </c>
      <c r="H7" s="15" t="s">
        <v>1711</v>
      </c>
      <c r="I7" s="25" t="b">
        <v>1</v>
      </c>
      <c r="J7" s="15" t="b">
        <v>1</v>
      </c>
      <c r="N7" s="15" t="s">
        <v>335</v>
      </c>
      <c r="O7" s="15" t="s">
        <v>335</v>
      </c>
      <c r="Y7" s="15" t="s">
        <v>335</v>
      </c>
      <c r="AI7" s="85" t="s">
        <v>1185</v>
      </c>
      <c r="AJ7" s="86">
        <v>1216</v>
      </c>
      <c r="AK7" s="15" t="s">
        <v>189</v>
      </c>
      <c r="AL7" s="15" t="s">
        <v>335</v>
      </c>
      <c r="AM7" s="15" t="s">
        <v>335</v>
      </c>
      <c r="AN7" s="15" t="s">
        <v>335</v>
      </c>
      <c r="AO7" s="15" t="s">
        <v>335</v>
      </c>
      <c r="AP7" s="49" t="s">
        <v>335</v>
      </c>
    </row>
    <row r="8" spans="1:42" x14ac:dyDescent="0.25">
      <c r="B8" s="24" t="s">
        <v>653</v>
      </c>
      <c r="H8" s="15" t="s">
        <v>1711</v>
      </c>
      <c r="I8" s="25" t="b">
        <v>1</v>
      </c>
      <c r="J8" s="15" t="b">
        <v>1</v>
      </c>
      <c r="N8" s="15" t="s">
        <v>335</v>
      </c>
      <c r="O8" s="15" t="s">
        <v>335</v>
      </c>
      <c r="Y8" s="15" t="s">
        <v>335</v>
      </c>
      <c r="AI8" s="85" t="s">
        <v>1186</v>
      </c>
      <c r="AJ8" s="86">
        <v>1220</v>
      </c>
      <c r="AK8" s="15" t="s">
        <v>190</v>
      </c>
      <c r="AL8" s="15" t="s">
        <v>335</v>
      </c>
      <c r="AM8" s="15" t="s">
        <v>335</v>
      </c>
      <c r="AN8" s="15" t="s">
        <v>335</v>
      </c>
      <c r="AO8" s="15" t="s">
        <v>335</v>
      </c>
      <c r="AP8" s="49" t="s">
        <v>335</v>
      </c>
    </row>
    <row r="9" spans="1:42" x14ac:dyDescent="0.25">
      <c r="B9" s="24" t="s">
        <v>550</v>
      </c>
      <c r="H9" s="15" t="s">
        <v>1711</v>
      </c>
      <c r="I9" s="25" t="b">
        <v>1</v>
      </c>
      <c r="J9" s="15" t="b">
        <v>1</v>
      </c>
      <c r="N9" s="15" t="s">
        <v>335</v>
      </c>
      <c r="O9" s="15" t="s">
        <v>335</v>
      </c>
      <c r="Y9" s="15" t="s">
        <v>335</v>
      </c>
      <c r="AI9" s="85" t="s">
        <v>1187</v>
      </c>
      <c r="AJ9" s="86">
        <v>1222</v>
      </c>
      <c r="AK9" s="15" t="s">
        <v>191</v>
      </c>
      <c r="AL9" s="15" t="s">
        <v>335</v>
      </c>
      <c r="AM9" s="15" t="s">
        <v>335</v>
      </c>
      <c r="AN9" s="15" t="s">
        <v>335</v>
      </c>
      <c r="AO9" s="15" t="s">
        <v>335</v>
      </c>
      <c r="AP9" s="49" t="s">
        <v>335</v>
      </c>
    </row>
    <row r="10" spans="1:42" x14ac:dyDescent="0.25">
      <c r="B10" s="24" t="s">
        <v>11</v>
      </c>
      <c r="H10" s="15" t="s">
        <v>1711</v>
      </c>
      <c r="I10" s="25" t="b">
        <v>1</v>
      </c>
      <c r="J10" s="15" t="b">
        <v>1</v>
      </c>
      <c r="N10" s="15" t="s">
        <v>335</v>
      </c>
      <c r="O10" s="15" t="s">
        <v>335</v>
      </c>
      <c r="Y10" s="15" t="s">
        <v>335</v>
      </c>
      <c r="AI10" s="85" t="s">
        <v>1188</v>
      </c>
      <c r="AJ10" s="86">
        <v>1233</v>
      </c>
      <c r="AK10" s="15" t="s">
        <v>192</v>
      </c>
      <c r="AL10" s="15" t="s">
        <v>335</v>
      </c>
      <c r="AM10" s="15" t="s">
        <v>335</v>
      </c>
      <c r="AN10" s="15" t="s">
        <v>335</v>
      </c>
      <c r="AO10" s="15" t="s">
        <v>335</v>
      </c>
      <c r="AP10" s="49" t="s">
        <v>335</v>
      </c>
    </row>
    <row r="11" spans="1:42" ht="25.5" x14ac:dyDescent="0.25">
      <c r="B11" s="24" t="s">
        <v>732</v>
      </c>
      <c r="H11" s="15" t="s">
        <v>1711</v>
      </c>
      <c r="I11" s="25" t="b">
        <v>1</v>
      </c>
      <c r="J11" s="15" t="b">
        <v>1</v>
      </c>
      <c r="N11" s="15" t="s">
        <v>335</v>
      </c>
      <c r="O11" s="15" t="s">
        <v>335</v>
      </c>
      <c r="Y11" s="15" t="s">
        <v>335</v>
      </c>
      <c r="AI11" s="85" t="s">
        <v>1189</v>
      </c>
      <c r="AJ11" s="86">
        <v>1251</v>
      </c>
      <c r="AK11" s="15" t="s">
        <v>193</v>
      </c>
      <c r="AL11" s="15" t="s">
        <v>335</v>
      </c>
      <c r="AM11" s="15" t="s">
        <v>335</v>
      </c>
      <c r="AN11" s="15" t="s">
        <v>335</v>
      </c>
      <c r="AO11" s="15" t="s">
        <v>335</v>
      </c>
      <c r="AP11" s="49" t="s">
        <v>335</v>
      </c>
    </row>
    <row r="12" spans="1:42" x14ac:dyDescent="0.25">
      <c r="B12" s="27" t="s">
        <v>11</v>
      </c>
      <c r="C12" s="35" t="s">
        <v>999</v>
      </c>
      <c r="H12" s="15" t="s">
        <v>1711</v>
      </c>
      <c r="I12" s="25" t="b">
        <v>1</v>
      </c>
      <c r="J12" s="15" t="b">
        <v>1</v>
      </c>
      <c r="N12" s="15" t="s">
        <v>335</v>
      </c>
      <c r="O12" s="15" t="s">
        <v>335</v>
      </c>
      <c r="Y12" s="39"/>
      <c r="AI12" s="85" t="s">
        <v>1305</v>
      </c>
      <c r="AJ12" s="86">
        <v>1256</v>
      </c>
      <c r="AK12" s="15" t="s">
        <v>194</v>
      </c>
      <c r="AL12" s="15" t="s">
        <v>335</v>
      </c>
      <c r="AM12" s="15" t="s">
        <v>335</v>
      </c>
      <c r="AN12" s="15" t="s">
        <v>335</v>
      </c>
      <c r="AO12" s="15" t="s">
        <v>335</v>
      </c>
      <c r="AP12" s="49" t="s">
        <v>335</v>
      </c>
    </row>
    <row r="13" spans="1:42" x14ac:dyDescent="0.25">
      <c r="B13" s="24" t="s">
        <v>11</v>
      </c>
      <c r="H13" s="15" t="s">
        <v>1711</v>
      </c>
      <c r="I13" s="25" t="b">
        <v>1</v>
      </c>
      <c r="J13" s="15" t="b">
        <v>1</v>
      </c>
      <c r="N13" s="15" t="s">
        <v>335</v>
      </c>
      <c r="O13" s="15" t="s">
        <v>335</v>
      </c>
      <c r="Y13" s="15" t="s">
        <v>335</v>
      </c>
      <c r="AI13" s="85" t="s">
        <v>1190</v>
      </c>
      <c r="AJ13" s="86">
        <v>1310</v>
      </c>
      <c r="AK13" s="15" t="s">
        <v>195</v>
      </c>
      <c r="AL13" s="15" t="s">
        <v>335</v>
      </c>
      <c r="AM13" s="15" t="s">
        <v>335</v>
      </c>
      <c r="AN13" s="15" t="s">
        <v>335</v>
      </c>
      <c r="AO13" s="15" t="s">
        <v>335</v>
      </c>
      <c r="AP13" s="49" t="s">
        <v>335</v>
      </c>
    </row>
    <row r="14" spans="1:42" x14ac:dyDescent="0.25">
      <c r="B14" s="24" t="s">
        <v>11</v>
      </c>
      <c r="H14" s="15" t="s">
        <v>1711</v>
      </c>
      <c r="I14" s="25" t="b">
        <v>1</v>
      </c>
      <c r="J14" s="15" t="b">
        <v>1</v>
      </c>
      <c r="N14" s="15" t="s">
        <v>335</v>
      </c>
      <c r="O14" s="15" t="s">
        <v>335</v>
      </c>
      <c r="Y14" s="15" t="s">
        <v>335</v>
      </c>
      <c r="AI14" s="85" t="s">
        <v>1191</v>
      </c>
      <c r="AJ14" s="86">
        <v>1336</v>
      </c>
      <c r="AK14" s="15" t="s">
        <v>196</v>
      </c>
      <c r="AL14" s="15" t="s">
        <v>335</v>
      </c>
      <c r="AM14" s="15" t="s">
        <v>335</v>
      </c>
      <c r="AN14" s="15" t="s">
        <v>335</v>
      </c>
      <c r="AO14" s="15" t="s">
        <v>335</v>
      </c>
      <c r="AP14" s="49" t="s">
        <v>335</v>
      </c>
    </row>
    <row r="15" spans="1:42" x14ac:dyDescent="0.25">
      <c r="B15" s="24" t="s">
        <v>11</v>
      </c>
      <c r="H15" s="15" t="s">
        <v>1711</v>
      </c>
      <c r="I15" s="25" t="b">
        <v>1</v>
      </c>
      <c r="J15" s="15" t="b">
        <v>1</v>
      </c>
      <c r="N15" s="15" t="s">
        <v>335</v>
      </c>
      <c r="O15" s="15" t="s">
        <v>335</v>
      </c>
      <c r="Y15" s="15" t="s">
        <v>335</v>
      </c>
      <c r="AI15" s="85" t="s">
        <v>1192</v>
      </c>
      <c r="AJ15" s="86">
        <v>1350</v>
      </c>
      <c r="AK15" s="15" t="s">
        <v>197</v>
      </c>
      <c r="AL15" s="15" t="s">
        <v>335</v>
      </c>
      <c r="AM15" s="15" t="s">
        <v>335</v>
      </c>
      <c r="AN15" s="15" t="s">
        <v>335</v>
      </c>
      <c r="AO15" s="15" t="s">
        <v>335</v>
      </c>
      <c r="AP15" s="49" t="s">
        <v>335</v>
      </c>
    </row>
    <row r="16" spans="1:42" x14ac:dyDescent="0.25">
      <c r="B16" s="24" t="s">
        <v>11</v>
      </c>
      <c r="H16" s="15" t="s">
        <v>1711</v>
      </c>
      <c r="I16" s="25" t="b">
        <v>1</v>
      </c>
      <c r="J16" s="15" t="b">
        <v>1</v>
      </c>
      <c r="N16" s="15" t="s">
        <v>335</v>
      </c>
      <c r="O16" s="15" t="s">
        <v>335</v>
      </c>
      <c r="Y16" s="15" t="s">
        <v>335</v>
      </c>
      <c r="AI16" s="85" t="s">
        <v>1194</v>
      </c>
      <c r="AJ16" s="86">
        <v>1420</v>
      </c>
      <c r="AK16" s="15" t="s">
        <v>199</v>
      </c>
      <c r="AL16" s="15" t="s">
        <v>335</v>
      </c>
      <c r="AM16" s="15" t="s">
        <v>335</v>
      </c>
      <c r="AN16" s="15" t="s">
        <v>335</v>
      </c>
      <c r="AO16" s="15" t="s">
        <v>335</v>
      </c>
      <c r="AP16" s="49" t="s">
        <v>335</v>
      </c>
    </row>
    <row r="17" spans="2:42" x14ac:dyDescent="0.25">
      <c r="B17" s="24" t="s">
        <v>550</v>
      </c>
      <c r="H17" s="15" t="s">
        <v>1711</v>
      </c>
      <c r="I17" s="25" t="b">
        <v>1</v>
      </c>
      <c r="J17" s="15" t="b">
        <v>1</v>
      </c>
      <c r="N17" s="15" t="s">
        <v>335</v>
      </c>
      <c r="O17" s="15" t="s">
        <v>335</v>
      </c>
      <c r="Y17" s="15" t="s">
        <v>335</v>
      </c>
      <c r="AI17" s="85" t="s">
        <v>1195</v>
      </c>
      <c r="AJ17" s="86">
        <v>1420</v>
      </c>
      <c r="AK17" s="15" t="s">
        <v>200</v>
      </c>
      <c r="AL17" s="15" t="s">
        <v>335</v>
      </c>
      <c r="AM17" s="15" t="s">
        <v>335</v>
      </c>
      <c r="AN17" s="15" t="s">
        <v>335</v>
      </c>
      <c r="AO17" s="15" t="s">
        <v>335</v>
      </c>
      <c r="AP17" s="49" t="s">
        <v>335</v>
      </c>
    </row>
    <row r="18" spans="2:42" x14ac:dyDescent="0.25">
      <c r="B18" s="24" t="s">
        <v>11</v>
      </c>
      <c r="H18" s="15" t="s">
        <v>1711</v>
      </c>
      <c r="I18" s="25" t="b">
        <v>1</v>
      </c>
      <c r="J18" s="15" t="b">
        <v>1</v>
      </c>
      <c r="N18" s="15" t="s">
        <v>335</v>
      </c>
      <c r="O18" s="15" t="s">
        <v>335</v>
      </c>
      <c r="Y18" s="15" t="s">
        <v>335</v>
      </c>
      <c r="AI18" s="85" t="s">
        <v>1196</v>
      </c>
      <c r="AJ18" s="86" t="s">
        <v>1076</v>
      </c>
      <c r="AK18" s="15" t="s">
        <v>201</v>
      </c>
      <c r="AL18" s="15" t="s">
        <v>335</v>
      </c>
      <c r="AM18" s="15" t="s">
        <v>335</v>
      </c>
      <c r="AN18" s="15" t="s">
        <v>335</v>
      </c>
      <c r="AO18" s="15" t="s">
        <v>335</v>
      </c>
      <c r="AP18" s="49" t="s">
        <v>335</v>
      </c>
    </row>
    <row r="19" spans="2:42" x14ac:dyDescent="0.25">
      <c r="B19" s="24" t="s">
        <v>11</v>
      </c>
      <c r="H19" s="15" t="s">
        <v>1711</v>
      </c>
      <c r="I19" s="25" t="b">
        <v>1</v>
      </c>
      <c r="J19" s="15" t="b">
        <v>1</v>
      </c>
      <c r="N19" s="15" t="s">
        <v>335</v>
      </c>
      <c r="O19" s="15" t="s">
        <v>335</v>
      </c>
      <c r="Y19" s="15" t="s">
        <v>335</v>
      </c>
      <c r="AI19" s="85" t="s">
        <v>1197</v>
      </c>
      <c r="AJ19" s="86">
        <v>1432</v>
      </c>
      <c r="AK19" s="15" t="s">
        <v>202</v>
      </c>
      <c r="AL19" s="15" t="s">
        <v>335</v>
      </c>
      <c r="AM19" s="15" t="s">
        <v>335</v>
      </c>
      <c r="AN19" s="15" t="s">
        <v>335</v>
      </c>
      <c r="AO19" s="15" t="s">
        <v>335</v>
      </c>
      <c r="AP19" s="49" t="s">
        <v>335</v>
      </c>
    </row>
    <row r="20" spans="2:42" x14ac:dyDescent="0.25">
      <c r="B20" s="24" t="s">
        <v>11</v>
      </c>
      <c r="H20" s="15" t="s">
        <v>1711</v>
      </c>
      <c r="I20" s="25" t="b">
        <v>1</v>
      </c>
      <c r="J20" s="15" t="b">
        <v>1</v>
      </c>
      <c r="N20" s="15" t="s">
        <v>335</v>
      </c>
      <c r="O20" s="15" t="s">
        <v>335</v>
      </c>
      <c r="Y20" s="15" t="s">
        <v>335</v>
      </c>
      <c r="AI20" s="85" t="s">
        <v>1198</v>
      </c>
      <c r="AJ20" s="86">
        <v>1440</v>
      </c>
      <c r="AK20" s="15" t="s">
        <v>203</v>
      </c>
      <c r="AL20" s="15" t="s">
        <v>335</v>
      </c>
      <c r="AM20" s="15" t="s">
        <v>335</v>
      </c>
      <c r="AN20" s="15" t="s">
        <v>335</v>
      </c>
      <c r="AO20" s="15" t="s">
        <v>335</v>
      </c>
      <c r="AP20" s="49" t="s">
        <v>335</v>
      </c>
    </row>
    <row r="21" spans="2:42" x14ac:dyDescent="0.25">
      <c r="B21" s="24" t="s">
        <v>550</v>
      </c>
      <c r="H21" s="15" t="s">
        <v>1711</v>
      </c>
      <c r="I21" s="25" t="b">
        <v>1</v>
      </c>
      <c r="J21" s="15" t="b">
        <v>1</v>
      </c>
      <c r="N21" s="15" t="s">
        <v>335</v>
      </c>
      <c r="O21" s="15" t="s">
        <v>335</v>
      </c>
      <c r="Y21" s="15" t="s">
        <v>335</v>
      </c>
      <c r="AI21" s="85" t="s">
        <v>1199</v>
      </c>
      <c r="AJ21" s="86">
        <v>1443</v>
      </c>
      <c r="AK21" s="15" t="s">
        <v>204</v>
      </c>
      <c r="AL21" s="15" t="s">
        <v>335</v>
      </c>
      <c r="AM21" s="15" t="s">
        <v>335</v>
      </c>
      <c r="AN21" s="15" t="s">
        <v>335</v>
      </c>
      <c r="AO21" s="15" t="s">
        <v>335</v>
      </c>
      <c r="AP21" s="49" t="s">
        <v>335</v>
      </c>
    </row>
    <row r="22" spans="2:42" x14ac:dyDescent="0.25">
      <c r="B22" s="24" t="s">
        <v>11</v>
      </c>
      <c r="H22" s="15" t="s">
        <v>1711</v>
      </c>
      <c r="I22" s="25" t="b">
        <v>1</v>
      </c>
      <c r="J22" s="15" t="b">
        <v>1</v>
      </c>
      <c r="N22" s="15" t="s">
        <v>335</v>
      </c>
      <c r="O22" s="15" t="s">
        <v>335</v>
      </c>
      <c r="Y22" s="15" t="s">
        <v>335</v>
      </c>
      <c r="AI22" s="85" t="s">
        <v>1310</v>
      </c>
      <c r="AJ22" s="86" t="s">
        <v>1309</v>
      </c>
      <c r="AK22" s="15" t="s">
        <v>205</v>
      </c>
      <c r="AL22" s="15" t="s">
        <v>335</v>
      </c>
      <c r="AM22" s="15" t="s">
        <v>335</v>
      </c>
      <c r="AN22" s="15" t="s">
        <v>335</v>
      </c>
      <c r="AO22" s="15" t="s">
        <v>335</v>
      </c>
      <c r="AP22" s="49" t="s">
        <v>335</v>
      </c>
    </row>
    <row r="23" spans="2:42" x14ac:dyDescent="0.25">
      <c r="B23" s="24" t="s">
        <v>11</v>
      </c>
      <c r="H23" s="15" t="s">
        <v>1711</v>
      </c>
      <c r="I23" s="25" t="b">
        <v>1</v>
      </c>
      <c r="J23" s="15" t="b">
        <v>1</v>
      </c>
      <c r="N23" s="15" t="s">
        <v>335</v>
      </c>
      <c r="O23" s="15" t="s">
        <v>335</v>
      </c>
      <c r="Y23" s="15" t="s">
        <v>335</v>
      </c>
      <c r="AI23" s="85" t="s">
        <v>1200</v>
      </c>
      <c r="AJ23" s="86">
        <v>1453</v>
      </c>
      <c r="AK23" s="15" t="s">
        <v>206</v>
      </c>
      <c r="AL23" s="15" t="s">
        <v>335</v>
      </c>
      <c r="AM23" s="15" t="s">
        <v>335</v>
      </c>
      <c r="AN23" s="15" t="s">
        <v>335</v>
      </c>
      <c r="AO23" s="15" t="s">
        <v>335</v>
      </c>
      <c r="AP23" s="49" t="s">
        <v>335</v>
      </c>
    </row>
    <row r="24" spans="2:42" x14ac:dyDescent="0.25">
      <c r="B24" s="24" t="s">
        <v>11</v>
      </c>
      <c r="H24" s="15" t="s">
        <v>1711</v>
      </c>
      <c r="I24" s="25" t="b">
        <v>1</v>
      </c>
      <c r="J24" s="15" t="b">
        <v>1</v>
      </c>
      <c r="N24" s="15" t="s">
        <v>335</v>
      </c>
      <c r="O24" s="15" t="s">
        <v>335</v>
      </c>
      <c r="Y24" s="15" t="s">
        <v>335</v>
      </c>
      <c r="AI24" s="85" t="s">
        <v>1201</v>
      </c>
      <c r="AJ24" s="86">
        <v>1462</v>
      </c>
      <c r="AK24" s="15" t="s">
        <v>207</v>
      </c>
      <c r="AL24" s="15" t="s">
        <v>335</v>
      </c>
      <c r="AM24" s="15" t="s">
        <v>335</v>
      </c>
      <c r="AN24" s="15" t="s">
        <v>335</v>
      </c>
      <c r="AO24" s="15" t="s">
        <v>335</v>
      </c>
      <c r="AP24" s="49" t="s">
        <v>335</v>
      </c>
    </row>
    <row r="25" spans="2:42" x14ac:dyDescent="0.25">
      <c r="B25" s="24" t="s">
        <v>11</v>
      </c>
      <c r="H25" s="15" t="s">
        <v>1711</v>
      </c>
      <c r="I25" s="25" t="b">
        <v>1</v>
      </c>
      <c r="J25" s="15" t="b">
        <v>1</v>
      </c>
      <c r="N25" s="15" t="s">
        <v>335</v>
      </c>
      <c r="O25" s="15" t="s">
        <v>335</v>
      </c>
      <c r="Y25" s="15" t="s">
        <v>335</v>
      </c>
      <c r="AI25" s="85" t="s">
        <v>1202</v>
      </c>
      <c r="AJ25" s="86">
        <v>1467</v>
      </c>
      <c r="AK25" s="15" t="s">
        <v>208</v>
      </c>
      <c r="AL25" s="15" t="s">
        <v>335</v>
      </c>
      <c r="AM25" s="15" t="s">
        <v>335</v>
      </c>
      <c r="AN25" s="15" t="s">
        <v>335</v>
      </c>
      <c r="AO25" s="15" t="s">
        <v>335</v>
      </c>
      <c r="AP25" s="49" t="s">
        <v>335</v>
      </c>
    </row>
    <row r="26" spans="2:42" x14ac:dyDescent="0.25">
      <c r="B26" s="24" t="s">
        <v>11</v>
      </c>
      <c r="H26" s="15" t="s">
        <v>1711</v>
      </c>
      <c r="I26" s="25" t="b">
        <v>1</v>
      </c>
      <c r="J26" s="15" t="b">
        <v>1</v>
      </c>
      <c r="N26" s="15" t="s">
        <v>335</v>
      </c>
      <c r="O26" s="15" t="s">
        <v>335</v>
      </c>
      <c r="Y26" s="15" t="s">
        <v>335</v>
      </c>
      <c r="AI26" s="85" t="s">
        <v>1203</v>
      </c>
      <c r="AJ26" s="86">
        <v>1470</v>
      </c>
      <c r="AK26" s="15" t="s">
        <v>209</v>
      </c>
      <c r="AL26" s="15" t="s">
        <v>335</v>
      </c>
      <c r="AM26" s="15" t="s">
        <v>335</v>
      </c>
      <c r="AN26" s="15" t="s">
        <v>335</v>
      </c>
      <c r="AO26" s="15" t="s">
        <v>335</v>
      </c>
      <c r="AP26" s="49" t="s">
        <v>335</v>
      </c>
    </row>
    <row r="27" spans="2:42" x14ac:dyDescent="0.25">
      <c r="B27" s="24" t="s">
        <v>11</v>
      </c>
      <c r="H27" s="15" t="s">
        <v>1711</v>
      </c>
      <c r="I27" s="25" t="b">
        <v>1</v>
      </c>
      <c r="J27" s="15" t="b">
        <v>1</v>
      </c>
      <c r="N27" s="15" t="s">
        <v>335</v>
      </c>
      <c r="O27" s="15" t="s">
        <v>335</v>
      </c>
      <c r="Y27" s="15" t="s">
        <v>335</v>
      </c>
      <c r="AI27" s="85" t="s">
        <v>1204</v>
      </c>
      <c r="AJ27" s="86">
        <v>1480</v>
      </c>
      <c r="AK27" s="15" t="s">
        <v>210</v>
      </c>
      <c r="AL27" s="15" t="s">
        <v>335</v>
      </c>
      <c r="AM27" s="15" t="s">
        <v>335</v>
      </c>
      <c r="AN27" s="15" t="s">
        <v>335</v>
      </c>
      <c r="AO27" s="15" t="s">
        <v>335</v>
      </c>
      <c r="AP27" s="49" t="s">
        <v>335</v>
      </c>
    </row>
    <row r="28" spans="2:42" x14ac:dyDescent="0.25">
      <c r="B28" s="24" t="s">
        <v>550</v>
      </c>
      <c r="H28" s="15" t="s">
        <v>1711</v>
      </c>
      <c r="I28" s="25" t="b">
        <v>1</v>
      </c>
      <c r="J28" s="15" t="b">
        <v>1</v>
      </c>
      <c r="N28" s="15" t="s">
        <v>335</v>
      </c>
      <c r="O28" s="15" t="s">
        <v>335</v>
      </c>
      <c r="Y28" s="15" t="s">
        <v>335</v>
      </c>
      <c r="AI28" s="85" t="s">
        <v>1205</v>
      </c>
      <c r="AJ28" s="86">
        <v>1481</v>
      </c>
      <c r="AK28" s="15" t="s">
        <v>211</v>
      </c>
      <c r="AL28" s="15" t="s">
        <v>335</v>
      </c>
      <c r="AM28" s="15" t="s">
        <v>335</v>
      </c>
      <c r="AN28" s="15" t="s">
        <v>335</v>
      </c>
      <c r="AO28" s="15" t="s">
        <v>335</v>
      </c>
      <c r="AP28" s="49" t="s">
        <v>335</v>
      </c>
    </row>
    <row r="29" spans="2:42" x14ac:dyDescent="0.25">
      <c r="B29" s="24" t="s">
        <v>11</v>
      </c>
      <c r="H29" s="15" t="s">
        <v>1711</v>
      </c>
      <c r="I29" s="25" t="b">
        <v>1</v>
      </c>
      <c r="J29" s="15" t="b">
        <v>1</v>
      </c>
      <c r="N29" s="15" t="s">
        <v>335</v>
      </c>
      <c r="O29" s="15" t="s">
        <v>335</v>
      </c>
      <c r="Y29" s="15" t="s">
        <v>335</v>
      </c>
      <c r="AI29" s="85" t="s">
        <v>1206</v>
      </c>
      <c r="AJ29" s="86">
        <v>1483</v>
      </c>
      <c r="AK29" s="15" t="s">
        <v>212</v>
      </c>
      <c r="AL29" s="15" t="s">
        <v>335</v>
      </c>
      <c r="AM29" s="15" t="s">
        <v>335</v>
      </c>
      <c r="AN29" s="15" t="s">
        <v>335</v>
      </c>
      <c r="AO29" s="15" t="s">
        <v>335</v>
      </c>
      <c r="AP29" s="49" t="s">
        <v>335</v>
      </c>
    </row>
    <row r="30" spans="2:42" x14ac:dyDescent="0.25">
      <c r="B30" s="24" t="s">
        <v>550</v>
      </c>
      <c r="H30" s="15" t="s">
        <v>1711</v>
      </c>
      <c r="I30" s="25" t="b">
        <v>1</v>
      </c>
      <c r="J30" s="15" t="b">
        <v>1</v>
      </c>
      <c r="N30" s="15" t="s">
        <v>335</v>
      </c>
      <c r="O30" s="15" t="s">
        <v>335</v>
      </c>
      <c r="Y30" s="15" t="s">
        <v>335</v>
      </c>
      <c r="AI30" s="85" t="s">
        <v>1207</v>
      </c>
      <c r="AJ30" s="86">
        <v>1484</v>
      </c>
      <c r="AK30" s="15" t="s">
        <v>213</v>
      </c>
      <c r="AL30" s="15" t="s">
        <v>335</v>
      </c>
      <c r="AM30" s="15" t="s">
        <v>335</v>
      </c>
      <c r="AN30" s="15" t="s">
        <v>335</v>
      </c>
      <c r="AO30" s="15" t="s">
        <v>335</v>
      </c>
      <c r="AP30" s="49" t="s">
        <v>335</v>
      </c>
    </row>
    <row r="31" spans="2:42" x14ac:dyDescent="0.25">
      <c r="B31" s="24" t="s">
        <v>11</v>
      </c>
      <c r="H31" s="15" t="s">
        <v>1711</v>
      </c>
      <c r="I31" s="25" t="b">
        <v>1</v>
      </c>
      <c r="J31" s="15" t="b">
        <v>1</v>
      </c>
      <c r="N31" s="15" t="s">
        <v>335</v>
      </c>
      <c r="O31" s="15" t="s">
        <v>335</v>
      </c>
      <c r="Y31" s="15" t="s">
        <v>335</v>
      </c>
      <c r="AI31" s="85" t="s">
        <v>1208</v>
      </c>
      <c r="AJ31" s="86">
        <v>1484</v>
      </c>
      <c r="AK31" s="15" t="s">
        <v>214</v>
      </c>
      <c r="AL31" s="15" t="s">
        <v>335</v>
      </c>
      <c r="AM31" s="15" t="s">
        <v>335</v>
      </c>
      <c r="AN31" s="15" t="s">
        <v>335</v>
      </c>
      <c r="AO31" s="15" t="s">
        <v>335</v>
      </c>
      <c r="AP31" s="49" t="s">
        <v>335</v>
      </c>
    </row>
    <row r="32" spans="2:42" x14ac:dyDescent="0.25">
      <c r="B32" s="24" t="s">
        <v>11</v>
      </c>
      <c r="H32" s="15" t="s">
        <v>1711</v>
      </c>
      <c r="I32" s="25" t="b">
        <v>1</v>
      </c>
      <c r="J32" s="15" t="b">
        <v>1</v>
      </c>
      <c r="N32" s="15" t="s">
        <v>335</v>
      </c>
      <c r="O32" s="15" t="s">
        <v>335</v>
      </c>
      <c r="Y32" s="15" t="s">
        <v>335</v>
      </c>
      <c r="AI32" s="85" t="s">
        <v>1209</v>
      </c>
      <c r="AJ32" s="86">
        <v>1490</v>
      </c>
      <c r="AK32" s="15" t="s">
        <v>215</v>
      </c>
      <c r="AL32" s="15" t="s">
        <v>335</v>
      </c>
      <c r="AM32" s="15" t="s">
        <v>335</v>
      </c>
      <c r="AN32" s="15" t="s">
        <v>335</v>
      </c>
      <c r="AO32" s="15" t="s">
        <v>335</v>
      </c>
      <c r="AP32" s="49" t="s">
        <v>335</v>
      </c>
    </row>
    <row r="33" spans="2:42" x14ac:dyDescent="0.25">
      <c r="B33" s="24" t="s">
        <v>555</v>
      </c>
      <c r="H33" s="15" t="s">
        <v>1711</v>
      </c>
      <c r="I33" s="25" t="b">
        <v>1</v>
      </c>
      <c r="J33" s="15" t="b">
        <v>1</v>
      </c>
      <c r="N33" s="15" t="s">
        <v>335</v>
      </c>
      <c r="O33" s="15" t="s">
        <v>335</v>
      </c>
      <c r="Y33" s="15" t="s">
        <v>335</v>
      </c>
      <c r="AI33" s="85" t="s">
        <v>1210</v>
      </c>
      <c r="AJ33" s="86">
        <v>1491</v>
      </c>
      <c r="AK33" s="15" t="s">
        <v>216</v>
      </c>
      <c r="AL33" s="15" t="s">
        <v>335</v>
      </c>
      <c r="AM33" s="15" t="s">
        <v>335</v>
      </c>
      <c r="AN33" s="15" t="s">
        <v>335</v>
      </c>
      <c r="AO33" s="15" t="s">
        <v>335</v>
      </c>
      <c r="AP33" s="49" t="s">
        <v>335</v>
      </c>
    </row>
    <row r="34" spans="2:42" x14ac:dyDescent="0.25">
      <c r="B34" s="24" t="s">
        <v>11</v>
      </c>
      <c r="H34" s="15" t="s">
        <v>1711</v>
      </c>
      <c r="I34" s="25" t="b">
        <v>1</v>
      </c>
      <c r="J34" s="15" t="b">
        <v>1</v>
      </c>
      <c r="N34" s="15" t="s">
        <v>335</v>
      </c>
      <c r="O34" s="15" t="s">
        <v>335</v>
      </c>
      <c r="Y34" s="15" t="s">
        <v>335</v>
      </c>
      <c r="AI34" s="85" t="s">
        <v>1211</v>
      </c>
      <c r="AJ34" s="86">
        <v>1492</v>
      </c>
      <c r="AK34" s="15" t="s">
        <v>217</v>
      </c>
      <c r="AL34" s="15" t="s">
        <v>335</v>
      </c>
      <c r="AM34" s="15" t="s">
        <v>335</v>
      </c>
      <c r="AN34" s="15" t="s">
        <v>335</v>
      </c>
      <c r="AO34" s="15" t="s">
        <v>335</v>
      </c>
      <c r="AP34" s="49" t="s">
        <v>335</v>
      </c>
    </row>
    <row r="35" spans="2:42" x14ac:dyDescent="0.25">
      <c r="B35" s="24" t="s">
        <v>11</v>
      </c>
      <c r="H35" s="15" t="s">
        <v>1711</v>
      </c>
      <c r="I35" s="25" t="b">
        <v>1</v>
      </c>
      <c r="J35" s="15" t="b">
        <v>1</v>
      </c>
      <c r="N35" s="15" t="s">
        <v>335</v>
      </c>
      <c r="O35" s="15" t="s">
        <v>335</v>
      </c>
      <c r="Y35" s="15" t="s">
        <v>335</v>
      </c>
      <c r="AI35" s="85" t="s">
        <v>1212</v>
      </c>
      <c r="AJ35" s="86">
        <v>1494</v>
      </c>
      <c r="AK35" s="15" t="s">
        <v>218</v>
      </c>
      <c r="AL35" s="15" t="s">
        <v>335</v>
      </c>
      <c r="AM35" s="15" t="s">
        <v>335</v>
      </c>
      <c r="AN35" s="15" t="s">
        <v>335</v>
      </c>
      <c r="AO35" s="15" t="s">
        <v>335</v>
      </c>
      <c r="AP35" s="49" t="s">
        <v>335</v>
      </c>
    </row>
    <row r="36" spans="2:42" x14ac:dyDescent="0.25">
      <c r="B36" s="24" t="s">
        <v>11</v>
      </c>
      <c r="H36" s="15" t="s">
        <v>1711</v>
      </c>
      <c r="I36" s="25" t="b">
        <v>1</v>
      </c>
      <c r="J36" s="15" t="b">
        <v>1</v>
      </c>
      <c r="N36" s="15" t="s">
        <v>335</v>
      </c>
      <c r="O36" s="15" t="s">
        <v>335</v>
      </c>
      <c r="Y36" s="15" t="s">
        <v>335</v>
      </c>
      <c r="AI36" s="85" t="s">
        <v>1213</v>
      </c>
      <c r="AJ36" s="86">
        <v>1496</v>
      </c>
      <c r="AK36" s="15" t="s">
        <v>219</v>
      </c>
      <c r="AL36" s="15" t="s">
        <v>335</v>
      </c>
      <c r="AM36" s="15" t="s">
        <v>335</v>
      </c>
      <c r="AN36" s="15" t="s">
        <v>335</v>
      </c>
      <c r="AO36" s="15" t="s">
        <v>335</v>
      </c>
      <c r="AP36" s="49" t="s">
        <v>335</v>
      </c>
    </row>
    <row r="37" spans="2:42" x14ac:dyDescent="0.25">
      <c r="B37" s="24" t="s">
        <v>11</v>
      </c>
      <c r="H37" s="15" t="s">
        <v>1711</v>
      </c>
      <c r="I37" s="25" t="b">
        <v>1</v>
      </c>
      <c r="J37" s="15" t="b">
        <v>1</v>
      </c>
      <c r="N37" s="15" t="s">
        <v>335</v>
      </c>
      <c r="O37" s="15" t="s">
        <v>335</v>
      </c>
      <c r="Y37" s="15" t="s">
        <v>335</v>
      </c>
      <c r="AI37" s="85" t="s">
        <v>1214</v>
      </c>
      <c r="AJ37" s="86" t="s">
        <v>1093</v>
      </c>
      <c r="AK37" s="15" t="s">
        <v>220</v>
      </c>
      <c r="AL37" s="15" t="s">
        <v>335</v>
      </c>
      <c r="AM37" s="15" t="s">
        <v>335</v>
      </c>
      <c r="AN37" s="15" t="s">
        <v>335</v>
      </c>
      <c r="AO37" s="15" t="s">
        <v>335</v>
      </c>
      <c r="AP37" s="49" t="s">
        <v>335</v>
      </c>
    </row>
    <row r="38" spans="2:42" x14ac:dyDescent="0.25">
      <c r="B38" s="24" t="s">
        <v>529</v>
      </c>
      <c r="H38" s="15" t="s">
        <v>1711</v>
      </c>
      <c r="I38" s="25" t="b">
        <v>1</v>
      </c>
      <c r="J38" s="15" t="b">
        <v>1</v>
      </c>
      <c r="N38" s="15" t="s">
        <v>335</v>
      </c>
      <c r="O38" s="15" t="s">
        <v>335</v>
      </c>
      <c r="Y38" s="15" t="s">
        <v>335</v>
      </c>
      <c r="AI38" s="85" t="s">
        <v>1216</v>
      </c>
      <c r="AJ38" s="86" t="s">
        <v>1093</v>
      </c>
      <c r="AK38" s="15" t="s">
        <v>222</v>
      </c>
      <c r="AL38" s="15" t="s">
        <v>335</v>
      </c>
      <c r="AM38" s="15" t="s">
        <v>335</v>
      </c>
      <c r="AN38" s="15" t="s">
        <v>335</v>
      </c>
      <c r="AO38" s="15" t="s">
        <v>335</v>
      </c>
      <c r="AP38" s="49" t="s">
        <v>335</v>
      </c>
    </row>
    <row r="39" spans="2:42" x14ac:dyDescent="0.25">
      <c r="B39" s="24" t="s">
        <v>500</v>
      </c>
      <c r="H39" s="15" t="s">
        <v>1711</v>
      </c>
      <c r="I39" s="25" t="b">
        <v>1</v>
      </c>
      <c r="J39" s="15" t="b">
        <v>1</v>
      </c>
      <c r="N39" s="15" t="s">
        <v>335</v>
      </c>
      <c r="O39" s="15" t="s">
        <v>335</v>
      </c>
      <c r="Y39" s="15" t="s">
        <v>335</v>
      </c>
      <c r="AI39" s="85" t="s">
        <v>1217</v>
      </c>
      <c r="AJ39" s="86" t="s">
        <v>1093</v>
      </c>
      <c r="AK39" s="15" t="s">
        <v>223</v>
      </c>
      <c r="AL39" s="15" t="s">
        <v>335</v>
      </c>
      <c r="AM39" s="15" t="s">
        <v>335</v>
      </c>
      <c r="AN39" s="15" t="s">
        <v>335</v>
      </c>
      <c r="AO39" s="15" t="s">
        <v>335</v>
      </c>
      <c r="AP39" s="49" t="s">
        <v>335</v>
      </c>
    </row>
    <row r="40" spans="2:42" x14ac:dyDescent="0.25">
      <c r="B40" s="24" t="s">
        <v>11</v>
      </c>
      <c r="H40" s="15" t="s">
        <v>1711</v>
      </c>
      <c r="I40" s="25" t="b">
        <v>1</v>
      </c>
      <c r="J40" s="15" t="b">
        <v>1</v>
      </c>
      <c r="N40" s="15" t="s">
        <v>335</v>
      </c>
      <c r="O40" s="15" t="s">
        <v>335</v>
      </c>
      <c r="Y40" s="15" t="s">
        <v>335</v>
      </c>
      <c r="AI40" s="85" t="s">
        <v>1218</v>
      </c>
      <c r="AJ40" s="86">
        <v>1504</v>
      </c>
      <c r="AK40" s="15" t="s">
        <v>224</v>
      </c>
      <c r="AL40" s="15" t="s">
        <v>335</v>
      </c>
      <c r="AM40" s="15" t="s">
        <v>335</v>
      </c>
      <c r="AN40" s="15" t="s">
        <v>335</v>
      </c>
      <c r="AO40" s="15" t="s">
        <v>335</v>
      </c>
      <c r="AP40" s="49" t="s">
        <v>335</v>
      </c>
    </row>
    <row r="41" spans="2:42" x14ac:dyDescent="0.25">
      <c r="B41" s="24" t="s">
        <v>11</v>
      </c>
      <c r="H41" s="15" t="s">
        <v>1711</v>
      </c>
      <c r="I41" s="25" t="b">
        <v>1</v>
      </c>
      <c r="J41" s="15" t="b">
        <v>1</v>
      </c>
      <c r="N41" s="15" t="s">
        <v>335</v>
      </c>
      <c r="O41" s="15" t="s">
        <v>335</v>
      </c>
      <c r="Y41" s="15" t="s">
        <v>335</v>
      </c>
      <c r="AI41" s="85" t="s">
        <v>1219</v>
      </c>
      <c r="AJ41" s="86">
        <v>1510</v>
      </c>
      <c r="AK41" s="15" t="s">
        <v>225</v>
      </c>
      <c r="AL41" s="15" t="s">
        <v>335</v>
      </c>
      <c r="AM41" s="15" t="s">
        <v>335</v>
      </c>
      <c r="AN41" s="15" t="s">
        <v>335</v>
      </c>
      <c r="AO41" s="15" t="s">
        <v>335</v>
      </c>
      <c r="AP41" s="49" t="s">
        <v>335</v>
      </c>
    </row>
    <row r="42" spans="2:42" x14ac:dyDescent="0.25">
      <c r="B42" s="24" t="s">
        <v>11</v>
      </c>
      <c r="H42" s="15" t="s">
        <v>1711</v>
      </c>
      <c r="I42" s="25" t="b">
        <v>1</v>
      </c>
      <c r="J42" s="15" t="b">
        <v>1</v>
      </c>
      <c r="N42" s="15" t="s">
        <v>335</v>
      </c>
      <c r="O42" s="15" t="s">
        <v>335</v>
      </c>
      <c r="Y42" s="15" t="s">
        <v>335</v>
      </c>
      <c r="AI42" s="85" t="s">
        <v>1220</v>
      </c>
      <c r="AJ42" s="86">
        <v>1510</v>
      </c>
      <c r="AK42" s="15" t="s">
        <v>226</v>
      </c>
      <c r="AL42" s="15" t="s">
        <v>335</v>
      </c>
      <c r="AM42" s="15" t="s">
        <v>335</v>
      </c>
      <c r="AN42" s="15" t="s">
        <v>335</v>
      </c>
      <c r="AO42" s="15" t="s">
        <v>335</v>
      </c>
      <c r="AP42" s="49" t="s">
        <v>335</v>
      </c>
    </row>
    <row r="43" spans="2:42" x14ac:dyDescent="0.25">
      <c r="B43" s="24" t="s">
        <v>11</v>
      </c>
      <c r="H43" s="15" t="s">
        <v>1711</v>
      </c>
      <c r="I43" s="25" t="b">
        <v>1</v>
      </c>
      <c r="J43" s="15" t="b">
        <v>1</v>
      </c>
      <c r="N43" s="15" t="s">
        <v>335</v>
      </c>
      <c r="O43" s="15" t="s">
        <v>335</v>
      </c>
      <c r="Y43" s="15" t="s">
        <v>335</v>
      </c>
      <c r="AI43" s="85" t="s">
        <v>1221</v>
      </c>
      <c r="AJ43" s="86">
        <v>1510</v>
      </c>
      <c r="AK43" s="15" t="s">
        <v>227</v>
      </c>
      <c r="AL43" s="15" t="s">
        <v>335</v>
      </c>
      <c r="AM43" s="15" t="s">
        <v>335</v>
      </c>
      <c r="AN43" s="15" t="s">
        <v>335</v>
      </c>
      <c r="AO43" s="15" t="s">
        <v>335</v>
      </c>
      <c r="AP43" s="49" t="s">
        <v>335</v>
      </c>
    </row>
    <row r="44" spans="2:42" x14ac:dyDescent="0.25">
      <c r="B44" s="24" t="s">
        <v>649</v>
      </c>
      <c r="H44" s="15" t="s">
        <v>1711</v>
      </c>
      <c r="I44" s="25" t="b">
        <v>1</v>
      </c>
      <c r="J44" s="15" t="b">
        <v>1</v>
      </c>
      <c r="N44" s="15" t="s">
        <v>335</v>
      </c>
      <c r="O44" s="15" t="s">
        <v>335</v>
      </c>
      <c r="Y44" s="15" t="s">
        <v>335</v>
      </c>
      <c r="AI44" s="85" t="s">
        <v>1222</v>
      </c>
      <c r="AJ44" s="86">
        <v>1513</v>
      </c>
      <c r="AK44" s="15" t="s">
        <v>228</v>
      </c>
      <c r="AL44" s="15" t="s">
        <v>335</v>
      </c>
      <c r="AM44" s="15" t="s">
        <v>335</v>
      </c>
      <c r="AN44" s="15" t="s">
        <v>335</v>
      </c>
      <c r="AO44" s="15" t="s">
        <v>335</v>
      </c>
      <c r="AP44" s="49" t="s">
        <v>335</v>
      </c>
    </row>
    <row r="45" spans="2:42" x14ac:dyDescent="0.25">
      <c r="B45" s="24" t="s">
        <v>555</v>
      </c>
      <c r="H45" s="15" t="s">
        <v>1711</v>
      </c>
      <c r="I45" s="25" t="b">
        <v>1</v>
      </c>
      <c r="J45" s="15" t="b">
        <v>1</v>
      </c>
      <c r="N45" s="15" t="s">
        <v>335</v>
      </c>
      <c r="O45" s="15" t="s">
        <v>335</v>
      </c>
      <c r="Y45" s="15" t="s">
        <v>335</v>
      </c>
      <c r="AI45" s="85" t="s">
        <v>1223</v>
      </c>
      <c r="AJ45" s="86">
        <v>1515</v>
      </c>
      <c r="AK45" s="15" t="s">
        <v>229</v>
      </c>
      <c r="AL45" s="15" t="s">
        <v>335</v>
      </c>
      <c r="AM45" s="15" t="s">
        <v>335</v>
      </c>
      <c r="AN45" s="15" t="s">
        <v>335</v>
      </c>
      <c r="AO45" s="15" t="s">
        <v>335</v>
      </c>
      <c r="AP45" s="49" t="s">
        <v>335</v>
      </c>
    </row>
    <row r="46" spans="2:42" x14ac:dyDescent="0.25">
      <c r="B46" s="24" t="s">
        <v>11</v>
      </c>
      <c r="H46" s="15" t="s">
        <v>1711</v>
      </c>
      <c r="I46" s="25" t="b">
        <v>1</v>
      </c>
      <c r="J46" s="15" t="b">
        <v>1</v>
      </c>
      <c r="N46" s="15" t="s">
        <v>335</v>
      </c>
      <c r="O46" s="15" t="s">
        <v>335</v>
      </c>
      <c r="Y46" s="15" t="s">
        <v>335</v>
      </c>
      <c r="AI46" s="85" t="s">
        <v>1224</v>
      </c>
      <c r="AJ46" s="86">
        <v>1519</v>
      </c>
      <c r="AK46" s="15" t="s">
        <v>230</v>
      </c>
      <c r="AL46" s="15" t="s">
        <v>335</v>
      </c>
      <c r="AM46" s="15" t="s">
        <v>335</v>
      </c>
      <c r="AN46" s="15" t="s">
        <v>335</v>
      </c>
      <c r="AO46" s="15" t="s">
        <v>335</v>
      </c>
      <c r="AP46" s="49" t="s">
        <v>335</v>
      </c>
    </row>
    <row r="47" spans="2:42" x14ac:dyDescent="0.25">
      <c r="B47" s="24" t="s">
        <v>555</v>
      </c>
      <c r="H47" s="15" t="s">
        <v>1711</v>
      </c>
      <c r="I47" s="25" t="b">
        <v>1</v>
      </c>
      <c r="J47" s="15" t="b">
        <v>1</v>
      </c>
      <c r="N47" s="15" t="s">
        <v>335</v>
      </c>
      <c r="O47" s="15" t="s">
        <v>335</v>
      </c>
      <c r="Y47" s="15" t="s">
        <v>335</v>
      </c>
      <c r="AI47" s="85" t="s">
        <v>1225</v>
      </c>
      <c r="AJ47" s="86" t="s">
        <v>1099</v>
      </c>
      <c r="AK47" s="15" t="s">
        <v>231</v>
      </c>
      <c r="AL47" s="15" t="s">
        <v>335</v>
      </c>
      <c r="AM47" s="15" t="s">
        <v>335</v>
      </c>
      <c r="AN47" s="15" t="s">
        <v>335</v>
      </c>
      <c r="AO47" s="15" t="s">
        <v>335</v>
      </c>
      <c r="AP47" s="49" t="s">
        <v>335</v>
      </c>
    </row>
    <row r="48" spans="2:42" x14ac:dyDescent="0.25">
      <c r="B48" s="24" t="s">
        <v>11</v>
      </c>
      <c r="H48" s="15" t="s">
        <v>1711</v>
      </c>
      <c r="I48" s="25" t="b">
        <v>1</v>
      </c>
      <c r="J48" s="15" t="b">
        <v>1</v>
      </c>
      <c r="N48" s="15" t="s">
        <v>335</v>
      </c>
      <c r="O48" s="15" t="s">
        <v>335</v>
      </c>
      <c r="Y48" s="15" t="s">
        <v>335</v>
      </c>
      <c r="AI48" s="85" t="s">
        <v>1226</v>
      </c>
      <c r="AJ48" s="86">
        <v>1521</v>
      </c>
      <c r="AK48" s="15" t="s">
        <v>232</v>
      </c>
      <c r="AL48" s="15" t="s">
        <v>335</v>
      </c>
      <c r="AM48" s="15" t="s">
        <v>335</v>
      </c>
      <c r="AN48" s="15" t="s">
        <v>335</v>
      </c>
      <c r="AO48" s="15" t="s">
        <v>335</v>
      </c>
      <c r="AP48" s="49" t="s">
        <v>335</v>
      </c>
    </row>
    <row r="49" spans="2:42" x14ac:dyDescent="0.25">
      <c r="B49" s="24" t="s">
        <v>11</v>
      </c>
      <c r="H49" s="15" t="s">
        <v>1711</v>
      </c>
      <c r="I49" s="25" t="b">
        <v>1</v>
      </c>
      <c r="J49" s="15" t="b">
        <v>1</v>
      </c>
      <c r="N49" s="15" t="s">
        <v>335</v>
      </c>
      <c r="O49" s="15" t="s">
        <v>335</v>
      </c>
      <c r="Y49" s="15" t="s">
        <v>335</v>
      </c>
      <c r="AI49" s="85" t="s">
        <v>1227</v>
      </c>
      <c r="AJ49" s="86">
        <v>1521</v>
      </c>
      <c r="AK49" s="15" t="s">
        <v>233</v>
      </c>
      <c r="AL49" s="15" t="s">
        <v>335</v>
      </c>
      <c r="AM49" s="15" t="s">
        <v>335</v>
      </c>
      <c r="AN49" s="15" t="s">
        <v>335</v>
      </c>
      <c r="AO49" s="15" t="s">
        <v>335</v>
      </c>
      <c r="AP49" s="49" t="s">
        <v>335</v>
      </c>
    </row>
    <row r="50" spans="2:42" x14ac:dyDescent="0.25">
      <c r="B50" s="24" t="s">
        <v>11</v>
      </c>
      <c r="H50" s="15" t="s">
        <v>1711</v>
      </c>
      <c r="I50" s="25" t="b">
        <v>1</v>
      </c>
      <c r="J50" s="15" t="b">
        <v>1</v>
      </c>
      <c r="N50" s="15" t="s">
        <v>335</v>
      </c>
      <c r="O50" s="15" t="s">
        <v>335</v>
      </c>
      <c r="Y50" s="15" t="s">
        <v>335</v>
      </c>
      <c r="AI50" s="85" t="s">
        <v>1228</v>
      </c>
      <c r="AJ50" s="86">
        <v>1525</v>
      </c>
      <c r="AK50" s="15" t="s">
        <v>234</v>
      </c>
      <c r="AL50" s="15" t="s">
        <v>335</v>
      </c>
      <c r="AM50" s="15" t="s">
        <v>335</v>
      </c>
      <c r="AN50" s="15" t="s">
        <v>335</v>
      </c>
      <c r="AO50" s="15" t="s">
        <v>335</v>
      </c>
      <c r="AP50" s="49" t="s">
        <v>335</v>
      </c>
    </row>
    <row r="51" spans="2:42" x14ac:dyDescent="0.25">
      <c r="B51" s="24" t="s">
        <v>11</v>
      </c>
      <c r="H51" s="15" t="s">
        <v>1711</v>
      </c>
      <c r="I51" s="25" t="b">
        <v>1</v>
      </c>
      <c r="J51" s="15" t="b">
        <v>1</v>
      </c>
      <c r="N51" s="15" t="s">
        <v>335</v>
      </c>
      <c r="O51" s="15" t="s">
        <v>335</v>
      </c>
      <c r="Y51" s="15" t="s">
        <v>335</v>
      </c>
      <c r="AI51" s="85" t="s">
        <v>1229</v>
      </c>
      <c r="AJ51" s="86">
        <v>1528</v>
      </c>
      <c r="AK51" s="15" t="s">
        <v>235</v>
      </c>
      <c r="AL51" s="15" t="s">
        <v>335</v>
      </c>
      <c r="AM51" s="15" t="s">
        <v>335</v>
      </c>
      <c r="AN51" s="15" t="s">
        <v>335</v>
      </c>
      <c r="AO51" s="15" t="s">
        <v>335</v>
      </c>
      <c r="AP51" s="49" t="s">
        <v>335</v>
      </c>
    </row>
    <row r="52" spans="2:42" x14ac:dyDescent="0.25">
      <c r="B52" s="24" t="s">
        <v>11</v>
      </c>
      <c r="H52" s="15" t="s">
        <v>1711</v>
      </c>
      <c r="I52" s="25" t="b">
        <v>1</v>
      </c>
      <c r="J52" s="15" t="b">
        <v>1</v>
      </c>
      <c r="N52" s="15" t="s">
        <v>335</v>
      </c>
      <c r="O52" s="15" t="s">
        <v>335</v>
      </c>
      <c r="Y52" s="15" t="s">
        <v>335</v>
      </c>
      <c r="AI52" s="85" t="s">
        <v>1230</v>
      </c>
      <c r="AJ52" s="86">
        <v>1536</v>
      </c>
      <c r="AK52" s="15" t="s">
        <v>237</v>
      </c>
      <c r="AL52" s="15" t="s">
        <v>335</v>
      </c>
      <c r="AM52" s="15" t="s">
        <v>335</v>
      </c>
      <c r="AN52" s="15" t="s">
        <v>335</v>
      </c>
      <c r="AO52" s="15" t="s">
        <v>335</v>
      </c>
      <c r="AP52" s="49" t="s">
        <v>335</v>
      </c>
    </row>
    <row r="53" spans="2:42" x14ac:dyDescent="0.25">
      <c r="B53" s="24" t="s">
        <v>628</v>
      </c>
      <c r="H53" s="15" t="s">
        <v>1711</v>
      </c>
      <c r="I53" s="25" t="b">
        <v>1</v>
      </c>
      <c r="J53" s="15" t="b">
        <v>1</v>
      </c>
      <c r="N53" s="15" t="s">
        <v>335</v>
      </c>
      <c r="O53" s="15" t="s">
        <v>335</v>
      </c>
      <c r="Y53" s="15" t="s">
        <v>335</v>
      </c>
      <c r="AI53" s="85" t="s">
        <v>1232</v>
      </c>
      <c r="AJ53" s="86">
        <v>1541</v>
      </c>
      <c r="AK53" s="15" t="s">
        <v>239</v>
      </c>
      <c r="AL53" s="15" t="s">
        <v>335</v>
      </c>
      <c r="AM53" s="15" t="s">
        <v>335</v>
      </c>
      <c r="AN53" s="15" t="s">
        <v>335</v>
      </c>
      <c r="AO53" s="15" t="s">
        <v>335</v>
      </c>
      <c r="AP53" s="49" t="s">
        <v>335</v>
      </c>
    </row>
    <row r="54" spans="2:42" x14ac:dyDescent="0.25">
      <c r="B54" s="24" t="s">
        <v>11</v>
      </c>
      <c r="H54" s="15" t="s">
        <v>1711</v>
      </c>
      <c r="I54" s="25" t="b">
        <v>1</v>
      </c>
      <c r="J54" s="15" t="b">
        <v>1</v>
      </c>
      <c r="N54" s="15" t="s">
        <v>335</v>
      </c>
      <c r="O54" s="15" t="s">
        <v>335</v>
      </c>
      <c r="Y54" s="15" t="s">
        <v>335</v>
      </c>
      <c r="AI54" s="85" t="s">
        <v>1233</v>
      </c>
      <c r="AJ54" s="86">
        <v>1543</v>
      </c>
      <c r="AK54" s="15" t="s">
        <v>240</v>
      </c>
      <c r="AL54" s="15" t="s">
        <v>335</v>
      </c>
      <c r="AM54" s="15" t="s">
        <v>335</v>
      </c>
      <c r="AN54" s="15" t="s">
        <v>335</v>
      </c>
      <c r="AO54" s="15" t="s">
        <v>335</v>
      </c>
      <c r="AP54" s="49" t="s">
        <v>335</v>
      </c>
    </row>
    <row r="55" spans="2:42" x14ac:dyDescent="0.25">
      <c r="B55" s="24" t="s">
        <v>11</v>
      </c>
      <c r="H55" s="15" t="s">
        <v>1711</v>
      </c>
      <c r="I55" s="25" t="b">
        <v>1</v>
      </c>
      <c r="J55" s="15" t="b">
        <v>1</v>
      </c>
      <c r="N55" s="15" t="s">
        <v>335</v>
      </c>
      <c r="O55" s="15" t="s">
        <v>335</v>
      </c>
      <c r="Y55" s="15" t="s">
        <v>335</v>
      </c>
      <c r="AI55" s="85" t="s">
        <v>1234</v>
      </c>
      <c r="AJ55" s="86">
        <v>1553</v>
      </c>
      <c r="AK55" s="15" t="s">
        <v>241</v>
      </c>
      <c r="AL55" s="15" t="s">
        <v>335</v>
      </c>
      <c r="AM55" s="15" t="s">
        <v>335</v>
      </c>
      <c r="AN55" s="15" t="s">
        <v>335</v>
      </c>
      <c r="AO55" s="15" t="s">
        <v>335</v>
      </c>
      <c r="AP55" s="49" t="s">
        <v>335</v>
      </c>
    </row>
    <row r="56" spans="2:42" x14ac:dyDescent="0.25">
      <c r="B56" s="24" t="s">
        <v>11</v>
      </c>
      <c r="H56" s="15" t="s">
        <v>1711</v>
      </c>
      <c r="I56" s="25" t="b">
        <v>1</v>
      </c>
      <c r="J56" s="15" t="b">
        <v>1</v>
      </c>
      <c r="N56" s="15" t="s">
        <v>335</v>
      </c>
      <c r="O56" s="15" t="s">
        <v>335</v>
      </c>
      <c r="Y56" s="15" t="s">
        <v>335</v>
      </c>
      <c r="AI56" s="85" t="s">
        <v>1235</v>
      </c>
      <c r="AJ56" s="86">
        <v>1555</v>
      </c>
      <c r="AK56" s="15" t="s">
        <v>242</v>
      </c>
      <c r="AL56" s="15" t="s">
        <v>335</v>
      </c>
      <c r="AM56" s="15" t="s">
        <v>335</v>
      </c>
      <c r="AN56" s="15" t="s">
        <v>335</v>
      </c>
      <c r="AO56" s="15" t="s">
        <v>335</v>
      </c>
      <c r="AP56" s="49" t="s">
        <v>335</v>
      </c>
    </row>
    <row r="57" spans="2:42" x14ac:dyDescent="0.25">
      <c r="B57" s="24" t="s">
        <v>11</v>
      </c>
      <c r="H57" s="15" t="s">
        <v>1711</v>
      </c>
      <c r="I57" s="25" t="b">
        <v>1</v>
      </c>
      <c r="J57" s="15" t="b">
        <v>1</v>
      </c>
      <c r="N57" s="15" t="s">
        <v>335</v>
      </c>
      <c r="O57" s="15" t="s">
        <v>335</v>
      </c>
      <c r="Y57" s="15" t="s">
        <v>335</v>
      </c>
      <c r="AI57" s="85" t="s">
        <v>1236</v>
      </c>
      <c r="AJ57" s="86">
        <v>1556</v>
      </c>
      <c r="AK57" s="15" t="s">
        <v>243</v>
      </c>
      <c r="AL57" s="15" t="s">
        <v>335</v>
      </c>
      <c r="AM57" s="15" t="s">
        <v>335</v>
      </c>
      <c r="AN57" s="15" t="s">
        <v>335</v>
      </c>
      <c r="AO57" s="15" t="s">
        <v>335</v>
      </c>
      <c r="AP57" s="49" t="s">
        <v>335</v>
      </c>
    </row>
    <row r="58" spans="2:42" x14ac:dyDescent="0.25">
      <c r="B58" s="24" t="s">
        <v>11</v>
      </c>
      <c r="H58" s="15" t="s">
        <v>1711</v>
      </c>
      <c r="I58" s="25" t="b">
        <v>1</v>
      </c>
      <c r="J58" s="15" t="b">
        <v>1</v>
      </c>
      <c r="N58" s="15" t="s">
        <v>335</v>
      </c>
      <c r="O58" s="15" t="s">
        <v>335</v>
      </c>
      <c r="Y58" s="15" t="s">
        <v>335</v>
      </c>
      <c r="AI58" s="85" t="s">
        <v>1237</v>
      </c>
      <c r="AJ58" s="86">
        <v>1557</v>
      </c>
      <c r="AK58" s="15" t="s">
        <v>244</v>
      </c>
      <c r="AL58" s="15" t="s">
        <v>335</v>
      </c>
      <c r="AM58" s="15" t="s">
        <v>335</v>
      </c>
      <c r="AN58" s="15" t="s">
        <v>335</v>
      </c>
      <c r="AO58" s="15" t="s">
        <v>335</v>
      </c>
      <c r="AP58" s="49" t="s">
        <v>335</v>
      </c>
    </row>
    <row r="59" spans="2:42" x14ac:dyDescent="0.25">
      <c r="B59" s="24" t="s">
        <v>11</v>
      </c>
      <c r="H59" s="15" t="s">
        <v>1711</v>
      </c>
      <c r="I59" s="25" t="b">
        <v>1</v>
      </c>
      <c r="J59" s="15" t="b">
        <v>1</v>
      </c>
      <c r="N59" s="15" t="s">
        <v>335</v>
      </c>
      <c r="O59" s="15" t="s">
        <v>335</v>
      </c>
      <c r="Y59" s="15" t="s">
        <v>335</v>
      </c>
      <c r="AI59" s="85" t="s">
        <v>1238</v>
      </c>
      <c r="AJ59" s="86">
        <v>1558</v>
      </c>
      <c r="AK59" s="15" t="s">
        <v>245</v>
      </c>
      <c r="AL59" s="15" t="s">
        <v>335</v>
      </c>
      <c r="AM59" s="15" t="s">
        <v>335</v>
      </c>
      <c r="AN59" s="15" t="s">
        <v>335</v>
      </c>
      <c r="AO59" s="15" t="s">
        <v>335</v>
      </c>
      <c r="AP59" s="49" t="s">
        <v>335</v>
      </c>
    </row>
    <row r="60" spans="2:42" x14ac:dyDescent="0.25">
      <c r="B60" s="24" t="s">
        <v>11</v>
      </c>
      <c r="H60" s="15" t="s">
        <v>1711</v>
      </c>
      <c r="I60" s="25" t="b">
        <v>1</v>
      </c>
      <c r="J60" s="15" t="b">
        <v>1</v>
      </c>
      <c r="N60" s="15" t="s">
        <v>335</v>
      </c>
      <c r="O60" s="15" t="s">
        <v>335</v>
      </c>
      <c r="Y60" s="15" t="s">
        <v>335</v>
      </c>
      <c r="AI60" s="85" t="s">
        <v>1239</v>
      </c>
      <c r="AJ60" s="86">
        <v>1562</v>
      </c>
      <c r="AK60" s="15" t="s">
        <v>246</v>
      </c>
      <c r="AL60" s="15" t="s">
        <v>335</v>
      </c>
      <c r="AM60" s="15" t="s">
        <v>335</v>
      </c>
      <c r="AN60" s="15" t="s">
        <v>335</v>
      </c>
      <c r="AO60" s="15" t="s">
        <v>335</v>
      </c>
      <c r="AP60" s="49" t="s">
        <v>335</v>
      </c>
    </row>
    <row r="61" spans="2:42" x14ac:dyDescent="0.25">
      <c r="B61" s="24" t="s">
        <v>11</v>
      </c>
      <c r="H61" s="15" t="s">
        <v>1711</v>
      </c>
      <c r="I61" s="25" t="b">
        <v>1</v>
      </c>
      <c r="J61" s="15" t="b">
        <v>1</v>
      </c>
      <c r="N61" s="15" t="s">
        <v>335</v>
      </c>
      <c r="O61" s="15" t="s">
        <v>335</v>
      </c>
      <c r="Y61" s="15" t="s">
        <v>335</v>
      </c>
      <c r="AI61" s="85" t="s">
        <v>1241</v>
      </c>
      <c r="AJ61" s="86">
        <v>1576</v>
      </c>
      <c r="AK61" s="15" t="s">
        <v>248</v>
      </c>
      <c r="AL61" s="15" t="s">
        <v>335</v>
      </c>
      <c r="AM61" s="15" t="s">
        <v>335</v>
      </c>
      <c r="AN61" s="15" t="s">
        <v>335</v>
      </c>
      <c r="AO61" s="15" t="s">
        <v>335</v>
      </c>
      <c r="AP61" s="49" t="s">
        <v>335</v>
      </c>
    </row>
    <row r="62" spans="2:42" x14ac:dyDescent="0.25">
      <c r="B62" s="24" t="s">
        <v>11</v>
      </c>
      <c r="H62" s="15" t="s">
        <v>1711</v>
      </c>
      <c r="I62" s="25" t="b">
        <v>1</v>
      </c>
      <c r="J62" s="15" t="b">
        <v>1</v>
      </c>
      <c r="N62" s="15" t="s">
        <v>335</v>
      </c>
      <c r="O62" s="15" t="s">
        <v>335</v>
      </c>
      <c r="Y62" s="15" t="s">
        <v>335</v>
      </c>
      <c r="AI62" s="85" t="s">
        <v>1242</v>
      </c>
      <c r="AJ62" s="86">
        <v>1583</v>
      </c>
      <c r="AK62" s="15" t="s">
        <v>249</v>
      </c>
      <c r="AL62" s="15" t="s">
        <v>335</v>
      </c>
      <c r="AM62" s="15" t="s">
        <v>335</v>
      </c>
      <c r="AN62" s="15" t="s">
        <v>335</v>
      </c>
      <c r="AO62" s="15" t="s">
        <v>335</v>
      </c>
      <c r="AP62" s="49" t="s">
        <v>335</v>
      </c>
    </row>
    <row r="63" spans="2:42" x14ac:dyDescent="0.25">
      <c r="B63" s="24" t="s">
        <v>532</v>
      </c>
      <c r="H63" s="15" t="s">
        <v>1711</v>
      </c>
      <c r="I63" s="25" t="b">
        <v>1</v>
      </c>
      <c r="J63" s="15" t="b">
        <v>1</v>
      </c>
      <c r="N63" s="15" t="s">
        <v>335</v>
      </c>
      <c r="O63" s="15" t="s">
        <v>335</v>
      </c>
      <c r="Y63" s="15" t="s">
        <v>335</v>
      </c>
      <c r="AI63" s="85" t="s">
        <v>1243</v>
      </c>
      <c r="AJ63" s="86">
        <v>1586</v>
      </c>
      <c r="AK63" s="15" t="s">
        <v>250</v>
      </c>
      <c r="AL63" s="15" t="s">
        <v>335</v>
      </c>
      <c r="AM63" s="15" t="s">
        <v>335</v>
      </c>
      <c r="AN63" s="15" t="s">
        <v>335</v>
      </c>
      <c r="AO63" s="15" t="s">
        <v>335</v>
      </c>
      <c r="AP63" s="49" t="s">
        <v>335</v>
      </c>
    </row>
    <row r="64" spans="2:42" x14ac:dyDescent="0.25">
      <c r="B64" s="24" t="s">
        <v>546</v>
      </c>
      <c r="H64" s="15" t="s">
        <v>1711</v>
      </c>
      <c r="I64" s="25" t="b">
        <v>1</v>
      </c>
      <c r="J64" s="15" t="b">
        <v>1</v>
      </c>
      <c r="N64" s="15" t="s">
        <v>335</v>
      </c>
      <c r="O64" s="15" t="s">
        <v>335</v>
      </c>
      <c r="Y64" s="15" t="s">
        <v>335</v>
      </c>
      <c r="AI64" s="85" t="s">
        <v>1244</v>
      </c>
      <c r="AJ64" s="86">
        <v>1586</v>
      </c>
      <c r="AK64" s="15" t="s">
        <v>251</v>
      </c>
      <c r="AL64" s="15" t="s">
        <v>335</v>
      </c>
      <c r="AM64" s="15" t="s">
        <v>335</v>
      </c>
      <c r="AN64" s="15" t="s">
        <v>335</v>
      </c>
      <c r="AO64" s="15" t="s">
        <v>335</v>
      </c>
      <c r="AP64" s="49" t="s">
        <v>335</v>
      </c>
    </row>
    <row r="65" spans="2:42" x14ac:dyDescent="0.25">
      <c r="B65" s="24" t="s">
        <v>546</v>
      </c>
      <c r="H65" s="15" t="s">
        <v>1711</v>
      </c>
      <c r="I65" s="25" t="b">
        <v>1</v>
      </c>
      <c r="J65" s="15" t="b">
        <v>1</v>
      </c>
      <c r="N65" s="15" t="s">
        <v>335</v>
      </c>
      <c r="O65" s="15" t="s">
        <v>335</v>
      </c>
      <c r="Y65" s="15" t="s">
        <v>335</v>
      </c>
      <c r="AI65" s="85" t="s">
        <v>1245</v>
      </c>
      <c r="AJ65" s="86" t="s">
        <v>1117</v>
      </c>
      <c r="AK65" s="15" t="s">
        <v>252</v>
      </c>
      <c r="AL65" s="15" t="s">
        <v>335</v>
      </c>
      <c r="AM65" s="15" t="s">
        <v>335</v>
      </c>
      <c r="AN65" s="15" t="s">
        <v>335</v>
      </c>
      <c r="AO65" s="15" t="s">
        <v>335</v>
      </c>
      <c r="AP65" s="49" t="s">
        <v>335</v>
      </c>
    </row>
    <row r="66" spans="2:42" x14ac:dyDescent="0.25">
      <c r="B66" s="24" t="s">
        <v>11</v>
      </c>
      <c r="H66" s="15" t="s">
        <v>1711</v>
      </c>
      <c r="I66" s="25" t="b">
        <v>1</v>
      </c>
      <c r="J66" s="15" t="b">
        <v>1</v>
      </c>
      <c r="N66" s="15" t="s">
        <v>335</v>
      </c>
      <c r="O66" s="15" t="s">
        <v>335</v>
      </c>
      <c r="Y66" s="15" t="s">
        <v>335</v>
      </c>
      <c r="AI66" s="85" t="s">
        <v>1246</v>
      </c>
      <c r="AJ66" s="86">
        <v>1597</v>
      </c>
      <c r="AK66" s="15" t="s">
        <v>253</v>
      </c>
      <c r="AL66" s="15" t="s">
        <v>335</v>
      </c>
      <c r="AM66" s="15" t="s">
        <v>335</v>
      </c>
      <c r="AN66" s="15" t="s">
        <v>335</v>
      </c>
      <c r="AO66" s="15" t="s">
        <v>335</v>
      </c>
      <c r="AP66" s="49" t="s">
        <v>335</v>
      </c>
    </row>
    <row r="67" spans="2:42" x14ac:dyDescent="0.25">
      <c r="B67" s="24" t="s">
        <v>655</v>
      </c>
      <c r="H67" s="15" t="s">
        <v>1711</v>
      </c>
      <c r="I67" s="25" t="b">
        <v>1</v>
      </c>
      <c r="J67" s="15" t="b">
        <v>1</v>
      </c>
      <c r="N67" s="15" t="s">
        <v>335</v>
      </c>
      <c r="O67" s="15" t="s">
        <v>335</v>
      </c>
      <c r="Y67" s="15" t="s">
        <v>335</v>
      </c>
      <c r="AI67" s="85" t="s">
        <v>1249</v>
      </c>
      <c r="AJ67" s="86" t="s">
        <v>1120</v>
      </c>
      <c r="AK67" s="15" t="s">
        <v>256</v>
      </c>
      <c r="AL67" s="15" t="s">
        <v>335</v>
      </c>
      <c r="AM67" s="15" t="s">
        <v>335</v>
      </c>
      <c r="AN67" s="15" t="s">
        <v>335</v>
      </c>
      <c r="AO67" s="15" t="s">
        <v>335</v>
      </c>
      <c r="AP67" s="49" t="s">
        <v>335</v>
      </c>
    </row>
    <row r="68" spans="2:42" x14ac:dyDescent="0.25">
      <c r="B68" s="24" t="s">
        <v>555</v>
      </c>
      <c r="H68" s="15" t="s">
        <v>1711</v>
      </c>
      <c r="I68" s="25" t="b">
        <v>1</v>
      </c>
      <c r="J68" s="15" t="b">
        <v>1</v>
      </c>
      <c r="N68" s="15" t="s">
        <v>335</v>
      </c>
      <c r="O68" s="15" t="s">
        <v>335</v>
      </c>
      <c r="Y68" s="15" t="s">
        <v>335</v>
      </c>
      <c r="AI68" s="85" t="s">
        <v>1247</v>
      </c>
      <c r="AJ68" s="87" t="s">
        <v>1406</v>
      </c>
      <c r="AK68" s="15" t="s">
        <v>254</v>
      </c>
      <c r="AL68" s="15" t="s">
        <v>335</v>
      </c>
      <c r="AM68" s="15" t="s">
        <v>335</v>
      </c>
      <c r="AN68" s="15" t="s">
        <v>335</v>
      </c>
      <c r="AO68" s="15" t="s">
        <v>335</v>
      </c>
      <c r="AP68" s="49" t="s">
        <v>335</v>
      </c>
    </row>
    <row r="69" spans="2:42" x14ac:dyDescent="0.25">
      <c r="B69" s="24" t="s">
        <v>11</v>
      </c>
      <c r="H69" s="15" t="s">
        <v>1711</v>
      </c>
      <c r="I69" s="25" t="b">
        <v>1</v>
      </c>
      <c r="J69" s="15" t="b">
        <v>1</v>
      </c>
      <c r="N69" s="15" t="s">
        <v>335</v>
      </c>
      <c r="O69" s="15" t="s">
        <v>335</v>
      </c>
      <c r="Y69" s="15" t="s">
        <v>335</v>
      </c>
      <c r="AI69" s="85" t="s">
        <v>1252</v>
      </c>
      <c r="AJ69" s="86">
        <v>1607</v>
      </c>
      <c r="AK69" s="15" t="s">
        <v>259</v>
      </c>
      <c r="AL69" s="15" t="s">
        <v>335</v>
      </c>
      <c r="AM69" s="15" t="s">
        <v>335</v>
      </c>
      <c r="AN69" s="15" t="s">
        <v>335</v>
      </c>
      <c r="AO69" s="15" t="s">
        <v>335</v>
      </c>
      <c r="AP69" s="49" t="s">
        <v>335</v>
      </c>
    </row>
    <row r="70" spans="2:42" x14ac:dyDescent="0.25">
      <c r="B70" s="24" t="s">
        <v>11</v>
      </c>
      <c r="H70" s="15" t="s">
        <v>1711</v>
      </c>
      <c r="I70" s="25" t="b">
        <v>1</v>
      </c>
      <c r="J70" s="15" t="b">
        <v>1</v>
      </c>
      <c r="N70" s="15" t="s">
        <v>335</v>
      </c>
      <c r="O70" s="15" t="s">
        <v>335</v>
      </c>
      <c r="Y70" s="15" t="s">
        <v>335</v>
      </c>
      <c r="AI70" s="85" t="s">
        <v>1254</v>
      </c>
      <c r="AJ70" s="86">
        <v>1616</v>
      </c>
      <c r="AK70" s="15" t="s">
        <v>263</v>
      </c>
      <c r="AL70" s="15" t="s">
        <v>335</v>
      </c>
      <c r="AM70" s="15" t="s">
        <v>335</v>
      </c>
      <c r="AN70" s="15" t="s">
        <v>335</v>
      </c>
      <c r="AO70" s="15" t="s">
        <v>335</v>
      </c>
      <c r="AP70" s="49" t="s">
        <v>335</v>
      </c>
    </row>
    <row r="71" spans="2:42" x14ac:dyDescent="0.25">
      <c r="B71" s="24" t="s">
        <v>500</v>
      </c>
      <c r="H71" s="15" t="s">
        <v>1711</v>
      </c>
      <c r="I71" s="25" t="b">
        <v>1</v>
      </c>
      <c r="J71" s="15" t="b">
        <v>1</v>
      </c>
      <c r="N71" s="15" t="s">
        <v>335</v>
      </c>
      <c r="O71" s="15" t="s">
        <v>335</v>
      </c>
      <c r="Y71" s="15" t="s">
        <v>335</v>
      </c>
      <c r="AI71" s="85" t="s">
        <v>1255</v>
      </c>
      <c r="AJ71" s="86">
        <v>1633</v>
      </c>
      <c r="AK71" s="15" t="s">
        <v>264</v>
      </c>
      <c r="AL71" s="15" t="s">
        <v>335</v>
      </c>
      <c r="AM71" s="15" t="s">
        <v>335</v>
      </c>
      <c r="AN71" s="15" t="s">
        <v>335</v>
      </c>
      <c r="AO71" s="15" t="s">
        <v>335</v>
      </c>
      <c r="AP71" s="49" t="s">
        <v>335</v>
      </c>
    </row>
    <row r="72" spans="2:42" ht="25.5" x14ac:dyDescent="0.25">
      <c r="B72" s="24" t="s">
        <v>533</v>
      </c>
      <c r="H72" s="15" t="s">
        <v>1711</v>
      </c>
      <c r="I72" s="25" t="b">
        <v>1</v>
      </c>
      <c r="J72" s="15" t="b">
        <v>1</v>
      </c>
      <c r="N72" s="15" t="s">
        <v>335</v>
      </c>
      <c r="O72" s="15" t="s">
        <v>335</v>
      </c>
      <c r="Y72" s="15" t="s">
        <v>335</v>
      </c>
      <c r="AI72" s="85" t="s">
        <v>1256</v>
      </c>
      <c r="AJ72" s="86">
        <v>1635</v>
      </c>
      <c r="AK72" s="15" t="s">
        <v>265</v>
      </c>
      <c r="AL72" s="15" t="s">
        <v>335</v>
      </c>
      <c r="AM72" s="15" t="s">
        <v>335</v>
      </c>
      <c r="AN72" s="15" t="s">
        <v>335</v>
      </c>
      <c r="AO72" s="15" t="s">
        <v>335</v>
      </c>
      <c r="AP72" s="49" t="s">
        <v>335</v>
      </c>
    </row>
    <row r="73" spans="2:42" x14ac:dyDescent="0.25">
      <c r="B73" s="24" t="s">
        <v>540</v>
      </c>
      <c r="H73" s="15" t="s">
        <v>1711</v>
      </c>
      <c r="I73" s="25" t="b">
        <v>1</v>
      </c>
      <c r="J73" s="15" t="b">
        <v>1</v>
      </c>
      <c r="N73" s="15" t="s">
        <v>335</v>
      </c>
      <c r="O73" s="15" t="s">
        <v>335</v>
      </c>
      <c r="Y73" s="15" t="s">
        <v>335</v>
      </c>
      <c r="AI73" s="85" t="s">
        <v>1257</v>
      </c>
      <c r="AJ73" s="86">
        <v>1641</v>
      </c>
      <c r="AK73" s="15" t="s">
        <v>266</v>
      </c>
      <c r="AL73" s="15" t="s">
        <v>335</v>
      </c>
      <c r="AM73" s="15" t="s">
        <v>335</v>
      </c>
      <c r="AN73" s="15" t="s">
        <v>335</v>
      </c>
      <c r="AO73" s="15" t="s">
        <v>335</v>
      </c>
      <c r="AP73" s="49" t="s">
        <v>335</v>
      </c>
    </row>
    <row r="74" spans="2:42" x14ac:dyDescent="0.25">
      <c r="B74" s="24" t="s">
        <v>555</v>
      </c>
      <c r="H74" s="15" t="s">
        <v>1711</v>
      </c>
      <c r="I74" s="25" t="b">
        <v>1</v>
      </c>
      <c r="J74" s="15" t="b">
        <v>1</v>
      </c>
      <c r="N74" s="15" t="s">
        <v>335</v>
      </c>
      <c r="O74" s="15" t="s">
        <v>335</v>
      </c>
      <c r="Y74" s="15" t="s">
        <v>335</v>
      </c>
      <c r="AI74" s="85" t="s">
        <v>1258</v>
      </c>
      <c r="AJ74" s="86">
        <v>1649</v>
      </c>
      <c r="AK74" s="15" t="s">
        <v>267</v>
      </c>
      <c r="AL74" s="15" t="s">
        <v>335</v>
      </c>
      <c r="AM74" s="15" t="s">
        <v>335</v>
      </c>
      <c r="AN74" s="15" t="s">
        <v>335</v>
      </c>
      <c r="AO74" s="15" t="s">
        <v>335</v>
      </c>
      <c r="AP74" s="49" t="s">
        <v>335</v>
      </c>
    </row>
    <row r="75" spans="2:42" x14ac:dyDescent="0.25">
      <c r="B75" s="24" t="s">
        <v>714</v>
      </c>
      <c r="H75" s="15" t="s">
        <v>1711</v>
      </c>
      <c r="I75" s="25" t="b">
        <v>1</v>
      </c>
      <c r="J75" s="15" t="b">
        <v>1</v>
      </c>
      <c r="N75" s="15" t="s">
        <v>335</v>
      </c>
      <c r="O75" s="15" t="s">
        <v>335</v>
      </c>
      <c r="Y75" s="15" t="s">
        <v>335</v>
      </c>
      <c r="AI75" s="85" t="s">
        <v>1259</v>
      </c>
      <c r="AJ75" s="86">
        <v>1651</v>
      </c>
      <c r="AK75" s="15" t="s">
        <v>268</v>
      </c>
      <c r="AL75" s="15" t="s">
        <v>335</v>
      </c>
      <c r="AM75" s="15" t="s">
        <v>335</v>
      </c>
      <c r="AN75" s="15" t="s">
        <v>335</v>
      </c>
      <c r="AO75" s="15" t="s">
        <v>335</v>
      </c>
      <c r="AP75" s="49" t="s">
        <v>335</v>
      </c>
    </row>
    <row r="76" spans="2:42" x14ac:dyDescent="0.25">
      <c r="B76" s="24" t="s">
        <v>555</v>
      </c>
      <c r="H76" s="15" t="s">
        <v>1711</v>
      </c>
      <c r="I76" s="25" t="b">
        <v>1</v>
      </c>
      <c r="J76" s="15" t="b">
        <v>1</v>
      </c>
      <c r="N76" s="15" t="s">
        <v>335</v>
      </c>
      <c r="O76" s="15" t="s">
        <v>335</v>
      </c>
      <c r="Y76" s="15" t="s">
        <v>335</v>
      </c>
      <c r="AI76" s="85" t="s">
        <v>1260</v>
      </c>
      <c r="AJ76" s="86">
        <v>1652</v>
      </c>
      <c r="AK76" s="15" t="s">
        <v>269</v>
      </c>
      <c r="AL76" s="15" t="s">
        <v>335</v>
      </c>
      <c r="AM76" s="15" t="s">
        <v>335</v>
      </c>
      <c r="AN76" s="15" t="s">
        <v>335</v>
      </c>
      <c r="AO76" s="15" t="s">
        <v>335</v>
      </c>
      <c r="AP76" s="49" t="s">
        <v>335</v>
      </c>
    </row>
    <row r="77" spans="2:42" x14ac:dyDescent="0.25">
      <c r="B77" s="24" t="s">
        <v>11</v>
      </c>
      <c r="H77" s="15" t="s">
        <v>1711</v>
      </c>
      <c r="I77" s="25" t="b">
        <v>1</v>
      </c>
      <c r="J77" s="15" t="b">
        <v>1</v>
      </c>
      <c r="N77" s="15" t="s">
        <v>335</v>
      </c>
      <c r="O77" s="15" t="s">
        <v>335</v>
      </c>
      <c r="Y77" s="15" t="s">
        <v>335</v>
      </c>
      <c r="AI77" s="85" t="s">
        <v>1261</v>
      </c>
      <c r="AJ77" s="86">
        <v>1655</v>
      </c>
      <c r="AK77" s="15" t="s">
        <v>270</v>
      </c>
      <c r="AL77" s="15" t="s">
        <v>335</v>
      </c>
      <c r="AM77" s="15" t="s">
        <v>335</v>
      </c>
      <c r="AN77" s="15" t="s">
        <v>335</v>
      </c>
      <c r="AO77" s="15" t="s">
        <v>335</v>
      </c>
      <c r="AP77" s="49" t="s">
        <v>335</v>
      </c>
    </row>
    <row r="78" spans="2:42" x14ac:dyDescent="0.25">
      <c r="B78" s="24" t="s">
        <v>11</v>
      </c>
      <c r="H78" s="15" t="s">
        <v>1711</v>
      </c>
      <c r="I78" s="25" t="b">
        <v>1</v>
      </c>
      <c r="J78" s="15" t="b">
        <v>1</v>
      </c>
      <c r="N78" s="15" t="s">
        <v>335</v>
      </c>
      <c r="O78" s="15" t="s">
        <v>335</v>
      </c>
      <c r="Y78" s="15" t="s">
        <v>335</v>
      </c>
      <c r="AI78" s="85" t="s">
        <v>1262</v>
      </c>
      <c r="AJ78" s="86">
        <v>1671</v>
      </c>
      <c r="AK78" s="15" t="s">
        <v>272</v>
      </c>
      <c r="AL78" s="15" t="s">
        <v>335</v>
      </c>
      <c r="AM78" s="15" t="s">
        <v>335</v>
      </c>
      <c r="AN78" s="15" t="s">
        <v>335</v>
      </c>
      <c r="AO78" s="15" t="s">
        <v>335</v>
      </c>
      <c r="AP78" s="49" t="s">
        <v>335</v>
      </c>
    </row>
    <row r="79" spans="2:42" x14ac:dyDescent="0.25">
      <c r="B79" s="24" t="s">
        <v>579</v>
      </c>
      <c r="H79" s="15" t="s">
        <v>1711</v>
      </c>
      <c r="I79" s="25" t="b">
        <v>1</v>
      </c>
      <c r="J79" s="15" t="b">
        <v>1</v>
      </c>
      <c r="N79" s="15" t="s">
        <v>335</v>
      </c>
      <c r="O79" s="15" t="s">
        <v>335</v>
      </c>
      <c r="Y79" s="15" t="s">
        <v>335</v>
      </c>
      <c r="AI79" s="85" t="s">
        <v>1263</v>
      </c>
      <c r="AJ79" s="86" t="s">
        <v>1134</v>
      </c>
      <c r="AK79" s="15" t="s">
        <v>273</v>
      </c>
      <c r="AL79" s="15" t="s">
        <v>335</v>
      </c>
      <c r="AM79" s="15" t="s">
        <v>335</v>
      </c>
      <c r="AN79" s="15" t="s">
        <v>335</v>
      </c>
      <c r="AO79" s="15" t="s">
        <v>335</v>
      </c>
      <c r="AP79" s="49" t="s">
        <v>335</v>
      </c>
    </row>
    <row r="80" spans="2:42" x14ac:dyDescent="0.25">
      <c r="B80" s="24" t="s">
        <v>706</v>
      </c>
      <c r="H80" s="15" t="s">
        <v>1711</v>
      </c>
      <c r="I80" s="25" t="b">
        <v>1</v>
      </c>
      <c r="J80" s="15" t="b">
        <v>1</v>
      </c>
      <c r="N80" s="15" t="s">
        <v>335</v>
      </c>
      <c r="O80" s="15" t="s">
        <v>335</v>
      </c>
      <c r="Y80" s="15" t="s">
        <v>335</v>
      </c>
      <c r="AI80" s="85" t="s">
        <v>1264</v>
      </c>
      <c r="AJ80" s="86" t="s">
        <v>1135</v>
      </c>
      <c r="AK80" s="15" t="s">
        <v>274</v>
      </c>
      <c r="AL80" s="15" t="s">
        <v>335</v>
      </c>
      <c r="AM80" s="15" t="s">
        <v>335</v>
      </c>
      <c r="AN80" s="15" t="s">
        <v>335</v>
      </c>
      <c r="AO80" s="15" t="s">
        <v>335</v>
      </c>
      <c r="AP80" s="49" t="s">
        <v>335</v>
      </c>
    </row>
    <row r="81" spans="2:42" x14ac:dyDescent="0.25">
      <c r="B81" s="24" t="s">
        <v>706</v>
      </c>
      <c r="H81" s="15" t="s">
        <v>1711</v>
      </c>
      <c r="I81" s="25" t="b">
        <v>1</v>
      </c>
      <c r="J81" s="15" t="b">
        <v>1</v>
      </c>
      <c r="N81" s="15" t="s">
        <v>335</v>
      </c>
      <c r="O81" s="15" t="s">
        <v>335</v>
      </c>
      <c r="Y81" s="15" t="s">
        <v>335</v>
      </c>
      <c r="AI81" s="85" t="s">
        <v>1265</v>
      </c>
      <c r="AJ81" s="87" t="s">
        <v>1405</v>
      </c>
      <c r="AK81" s="15" t="s">
        <v>275</v>
      </c>
      <c r="AL81" s="15" t="s">
        <v>335</v>
      </c>
      <c r="AM81" s="15" t="s">
        <v>335</v>
      </c>
      <c r="AN81" s="15" t="s">
        <v>335</v>
      </c>
      <c r="AO81" s="15" t="s">
        <v>335</v>
      </c>
      <c r="AP81" s="49" t="s">
        <v>335</v>
      </c>
    </row>
    <row r="82" spans="2:42" x14ac:dyDescent="0.25">
      <c r="B82" s="24" t="s">
        <v>11</v>
      </c>
      <c r="H82" s="15" t="s">
        <v>1711</v>
      </c>
      <c r="I82" s="25" t="b">
        <v>1</v>
      </c>
      <c r="J82" s="15" t="b">
        <v>1</v>
      </c>
      <c r="N82" s="15" t="s">
        <v>335</v>
      </c>
      <c r="O82" s="15" t="s">
        <v>335</v>
      </c>
      <c r="Y82" s="15" t="s">
        <v>335</v>
      </c>
      <c r="AI82" s="85" t="s">
        <v>1266</v>
      </c>
      <c r="AJ82" s="86">
        <v>1716</v>
      </c>
      <c r="AK82" s="15" t="s">
        <v>276</v>
      </c>
      <c r="AL82" s="15" t="s">
        <v>335</v>
      </c>
      <c r="AM82" s="15" t="s">
        <v>335</v>
      </c>
      <c r="AN82" s="15" t="s">
        <v>335</v>
      </c>
      <c r="AO82" s="15" t="s">
        <v>335</v>
      </c>
      <c r="AP82" s="49" t="s">
        <v>335</v>
      </c>
    </row>
    <row r="83" spans="2:42" x14ac:dyDescent="0.25">
      <c r="B83" s="24" t="s">
        <v>516</v>
      </c>
      <c r="H83" s="15" t="s">
        <v>1711</v>
      </c>
      <c r="I83" s="25" t="b">
        <v>1</v>
      </c>
      <c r="J83" s="15" t="b">
        <v>1</v>
      </c>
      <c r="N83" s="15" t="s">
        <v>335</v>
      </c>
      <c r="O83" s="15" t="s">
        <v>335</v>
      </c>
      <c r="Y83" s="15" t="s">
        <v>335</v>
      </c>
      <c r="AI83" s="85" t="s">
        <v>1267</v>
      </c>
      <c r="AJ83" s="86">
        <v>1717</v>
      </c>
      <c r="AK83" s="15" t="s">
        <v>277</v>
      </c>
      <c r="AL83" s="15" t="s">
        <v>335</v>
      </c>
      <c r="AM83" s="15" t="s">
        <v>335</v>
      </c>
      <c r="AN83" s="15" t="s">
        <v>335</v>
      </c>
      <c r="AO83" s="15" t="s">
        <v>335</v>
      </c>
      <c r="AP83" s="49" t="s">
        <v>335</v>
      </c>
    </row>
    <row r="84" spans="2:42" x14ac:dyDescent="0.25">
      <c r="B84" s="24" t="s">
        <v>11</v>
      </c>
      <c r="H84" s="15" t="s">
        <v>1711</v>
      </c>
      <c r="I84" s="25" t="b">
        <v>1</v>
      </c>
      <c r="J84" s="15" t="b">
        <v>1</v>
      </c>
      <c r="N84" s="15" t="s">
        <v>335</v>
      </c>
      <c r="O84" s="15" t="s">
        <v>335</v>
      </c>
      <c r="Y84" s="15" t="s">
        <v>335</v>
      </c>
      <c r="AI84" s="85" t="s">
        <v>1268</v>
      </c>
      <c r="AJ84" s="86" t="s">
        <v>1139</v>
      </c>
      <c r="AK84" s="15" t="s">
        <v>278</v>
      </c>
      <c r="AL84" s="15" t="s">
        <v>335</v>
      </c>
      <c r="AM84" s="15" t="s">
        <v>335</v>
      </c>
      <c r="AN84" s="15" t="s">
        <v>335</v>
      </c>
      <c r="AO84" s="15" t="s">
        <v>335</v>
      </c>
      <c r="AP84" s="49" t="s">
        <v>335</v>
      </c>
    </row>
    <row r="85" spans="2:42" x14ac:dyDescent="0.25">
      <c r="B85" s="24" t="s">
        <v>11</v>
      </c>
      <c r="C85" s="35" t="s">
        <v>999</v>
      </c>
      <c r="H85" s="15" t="s">
        <v>1711</v>
      </c>
      <c r="I85" s="25" t="b">
        <v>1</v>
      </c>
      <c r="J85" s="15" t="b">
        <v>1</v>
      </c>
      <c r="N85" s="15" t="s">
        <v>335</v>
      </c>
      <c r="O85" s="15" t="s">
        <v>335</v>
      </c>
      <c r="Y85" s="39"/>
      <c r="AI85" s="85" t="s">
        <v>1307</v>
      </c>
      <c r="AJ85" s="86">
        <v>1740</v>
      </c>
      <c r="AK85" s="15" t="s">
        <v>279</v>
      </c>
      <c r="AL85" s="15" t="s">
        <v>335</v>
      </c>
      <c r="AM85" s="15" t="s">
        <v>335</v>
      </c>
      <c r="AN85" s="15" t="s">
        <v>335</v>
      </c>
      <c r="AO85" s="15" t="s">
        <v>335</v>
      </c>
      <c r="AP85" s="49" t="s">
        <v>335</v>
      </c>
    </row>
    <row r="86" spans="2:42" x14ac:dyDescent="0.25">
      <c r="B86" s="24" t="s">
        <v>706</v>
      </c>
      <c r="H86" s="15" t="s">
        <v>1711</v>
      </c>
      <c r="I86" s="25" t="b">
        <v>1</v>
      </c>
      <c r="J86" s="15" t="b">
        <v>1</v>
      </c>
      <c r="N86" s="15" t="s">
        <v>335</v>
      </c>
      <c r="O86" s="15" t="s">
        <v>335</v>
      </c>
      <c r="Y86" s="15" t="s">
        <v>335</v>
      </c>
      <c r="AI86" s="85" t="s">
        <v>1269</v>
      </c>
      <c r="AJ86" s="86">
        <v>1750</v>
      </c>
      <c r="AK86" s="15" t="s">
        <v>280</v>
      </c>
      <c r="AL86" s="15" t="s">
        <v>335</v>
      </c>
      <c r="AM86" s="15" t="s">
        <v>335</v>
      </c>
      <c r="AN86" s="15" t="s">
        <v>335</v>
      </c>
      <c r="AO86" s="15" t="s">
        <v>335</v>
      </c>
      <c r="AP86" s="49" t="s">
        <v>335</v>
      </c>
    </row>
    <row r="87" spans="2:42" x14ac:dyDescent="0.25">
      <c r="B87" s="24" t="s">
        <v>500</v>
      </c>
      <c r="H87" s="15" t="s">
        <v>1711</v>
      </c>
      <c r="I87" s="25" t="b">
        <v>1</v>
      </c>
      <c r="J87" s="15" t="b">
        <v>1</v>
      </c>
      <c r="N87" s="15" t="s">
        <v>335</v>
      </c>
      <c r="O87" s="15" t="s">
        <v>335</v>
      </c>
      <c r="Y87" s="15" t="s">
        <v>335</v>
      </c>
      <c r="AI87" s="85" t="s">
        <v>1271</v>
      </c>
      <c r="AJ87" s="86">
        <v>1797</v>
      </c>
      <c r="AK87" s="15" t="s">
        <v>282</v>
      </c>
      <c r="AL87" s="15" t="s">
        <v>335</v>
      </c>
      <c r="AM87" s="15" t="s">
        <v>335</v>
      </c>
      <c r="AN87" s="15" t="s">
        <v>335</v>
      </c>
      <c r="AO87" s="15" t="s">
        <v>335</v>
      </c>
      <c r="AP87" s="49" t="s">
        <v>335</v>
      </c>
    </row>
    <row r="88" spans="2:42" x14ac:dyDescent="0.25">
      <c r="B88" s="24" t="s">
        <v>555</v>
      </c>
      <c r="H88" s="15" t="s">
        <v>1711</v>
      </c>
      <c r="I88" s="25" t="b">
        <v>1</v>
      </c>
      <c r="J88" s="15" t="b">
        <v>1</v>
      </c>
      <c r="N88" s="15" t="s">
        <v>335</v>
      </c>
      <c r="O88" s="15" t="s">
        <v>335</v>
      </c>
      <c r="Y88" s="15" t="s">
        <v>335</v>
      </c>
      <c r="AI88" s="85" t="s">
        <v>1273</v>
      </c>
      <c r="AJ88" s="86">
        <v>1803</v>
      </c>
      <c r="AK88" s="15" t="s">
        <v>284</v>
      </c>
      <c r="AL88" s="15" t="s">
        <v>335</v>
      </c>
      <c r="AM88" s="15" t="s">
        <v>335</v>
      </c>
      <c r="AN88" s="15" t="s">
        <v>335</v>
      </c>
      <c r="AO88" s="15" t="s">
        <v>335</v>
      </c>
      <c r="AP88" s="49" t="s">
        <v>335</v>
      </c>
    </row>
    <row r="89" spans="2:42" x14ac:dyDescent="0.25">
      <c r="B89" s="24" t="s">
        <v>11</v>
      </c>
      <c r="H89" s="15" t="s">
        <v>1711</v>
      </c>
      <c r="I89" s="25" t="b">
        <v>1</v>
      </c>
      <c r="J89" s="15" t="b">
        <v>1</v>
      </c>
      <c r="N89" s="15" t="s">
        <v>335</v>
      </c>
      <c r="O89" s="15" t="s">
        <v>335</v>
      </c>
      <c r="Y89" s="15" t="s">
        <v>335</v>
      </c>
      <c r="AI89" s="85" t="s">
        <v>1274</v>
      </c>
      <c r="AJ89" s="86">
        <v>1853</v>
      </c>
      <c r="AK89" s="15" t="s">
        <v>289</v>
      </c>
      <c r="AL89" s="15" t="s">
        <v>335</v>
      </c>
      <c r="AM89" s="15" t="s">
        <v>335</v>
      </c>
      <c r="AN89" s="15" t="s">
        <v>335</v>
      </c>
      <c r="AO89" s="15" t="s">
        <v>335</v>
      </c>
      <c r="AP89" s="49" t="s">
        <v>335</v>
      </c>
    </row>
    <row r="90" spans="2:42" x14ac:dyDescent="0.25">
      <c r="B90" s="24" t="s">
        <v>11</v>
      </c>
      <c r="H90" s="15" t="s">
        <v>1711</v>
      </c>
      <c r="I90" s="25" t="b">
        <v>1</v>
      </c>
      <c r="J90" s="15" t="b">
        <v>1</v>
      </c>
      <c r="N90" s="15" t="s">
        <v>335</v>
      </c>
      <c r="O90" s="15" t="s">
        <v>335</v>
      </c>
      <c r="Y90" s="15" t="s">
        <v>335</v>
      </c>
      <c r="AI90" s="85" t="s">
        <v>1275</v>
      </c>
      <c r="AJ90" s="86" t="s">
        <v>1147</v>
      </c>
      <c r="AK90" s="15" t="s">
        <v>290</v>
      </c>
      <c r="AL90" s="15" t="s">
        <v>335</v>
      </c>
      <c r="AM90" s="15" t="s">
        <v>335</v>
      </c>
      <c r="AN90" s="15" t="s">
        <v>335</v>
      </c>
      <c r="AO90" s="15" t="s">
        <v>335</v>
      </c>
      <c r="AP90" s="49" t="s">
        <v>335</v>
      </c>
    </row>
    <row r="91" spans="2:42" ht="38.25" x14ac:dyDescent="0.25">
      <c r="B91" s="24" t="s">
        <v>694</v>
      </c>
      <c r="H91" s="15" t="s">
        <v>1711</v>
      </c>
      <c r="I91" s="25" t="b">
        <v>1</v>
      </c>
      <c r="J91" s="15" t="b">
        <v>1</v>
      </c>
      <c r="N91" s="15" t="s">
        <v>335</v>
      </c>
      <c r="O91" s="15" t="s">
        <v>335</v>
      </c>
      <c r="Y91" s="15" t="s">
        <v>335</v>
      </c>
      <c r="AI91" s="85" t="s">
        <v>1276</v>
      </c>
      <c r="AJ91" s="86">
        <v>1859</v>
      </c>
      <c r="AK91" s="15" t="s">
        <v>292</v>
      </c>
      <c r="AL91" s="15" t="s">
        <v>335</v>
      </c>
      <c r="AM91" s="15" t="s">
        <v>335</v>
      </c>
      <c r="AN91" s="15" t="s">
        <v>335</v>
      </c>
      <c r="AO91" s="15" t="s">
        <v>335</v>
      </c>
      <c r="AP91" s="49" t="s">
        <v>335</v>
      </c>
    </row>
    <row r="92" spans="2:42" x14ac:dyDescent="0.25">
      <c r="B92" s="24" t="s">
        <v>11</v>
      </c>
      <c r="H92" s="15" t="s">
        <v>1711</v>
      </c>
      <c r="I92" s="25" t="b">
        <v>1</v>
      </c>
      <c r="J92" s="15" t="b">
        <v>1</v>
      </c>
      <c r="N92" s="15" t="s">
        <v>335</v>
      </c>
      <c r="O92" s="15" t="s">
        <v>335</v>
      </c>
      <c r="Y92" s="15" t="s">
        <v>335</v>
      </c>
      <c r="AI92" s="85" t="s">
        <v>1277</v>
      </c>
      <c r="AJ92" s="86">
        <v>1861</v>
      </c>
      <c r="AK92" s="15" t="s">
        <v>293</v>
      </c>
      <c r="AL92" s="15" t="s">
        <v>335</v>
      </c>
      <c r="AM92" s="15" t="s">
        <v>335</v>
      </c>
      <c r="AN92" s="15" t="s">
        <v>335</v>
      </c>
      <c r="AO92" s="15" t="s">
        <v>335</v>
      </c>
      <c r="AP92" s="49" t="s">
        <v>335</v>
      </c>
    </row>
    <row r="93" spans="2:42" x14ac:dyDescent="0.25">
      <c r="B93" s="24" t="s">
        <v>555</v>
      </c>
      <c r="H93" s="15" t="s">
        <v>1711</v>
      </c>
      <c r="I93" s="25" t="b">
        <v>1</v>
      </c>
      <c r="J93" s="15" t="b">
        <v>1</v>
      </c>
      <c r="N93" s="15" t="s">
        <v>335</v>
      </c>
      <c r="O93" s="15" t="s">
        <v>335</v>
      </c>
      <c r="Y93" s="15" t="s">
        <v>335</v>
      </c>
      <c r="AI93" s="85" t="s">
        <v>1278</v>
      </c>
      <c r="AJ93" s="86">
        <v>1873</v>
      </c>
      <c r="AK93" s="15" t="s">
        <v>296</v>
      </c>
      <c r="AL93" s="15" t="s">
        <v>335</v>
      </c>
      <c r="AM93" s="15" t="s">
        <v>335</v>
      </c>
      <c r="AN93" s="15" t="s">
        <v>335</v>
      </c>
      <c r="AO93" s="15" t="s">
        <v>335</v>
      </c>
      <c r="AP93" s="49" t="s">
        <v>335</v>
      </c>
    </row>
    <row r="94" spans="2:42" x14ac:dyDescent="0.25">
      <c r="B94" s="24" t="s">
        <v>11</v>
      </c>
      <c r="H94" s="15" t="s">
        <v>1711</v>
      </c>
      <c r="I94" s="25" t="b">
        <v>1</v>
      </c>
      <c r="J94" s="15" t="b">
        <v>1</v>
      </c>
      <c r="N94" s="15" t="s">
        <v>335</v>
      </c>
      <c r="O94" s="15" t="s">
        <v>335</v>
      </c>
      <c r="Y94" s="15" t="s">
        <v>335</v>
      </c>
      <c r="AI94" s="85" t="s">
        <v>1279</v>
      </c>
      <c r="AJ94" s="86">
        <v>1875</v>
      </c>
      <c r="AK94" s="15" t="s">
        <v>297</v>
      </c>
      <c r="AL94" s="15" t="s">
        <v>335</v>
      </c>
      <c r="AM94" s="15" t="s">
        <v>335</v>
      </c>
      <c r="AN94" s="15" t="s">
        <v>335</v>
      </c>
      <c r="AO94" s="15" t="s">
        <v>335</v>
      </c>
      <c r="AP94" s="49" t="s">
        <v>335</v>
      </c>
    </row>
    <row r="95" spans="2:42" x14ac:dyDescent="0.25">
      <c r="B95" s="24" t="s">
        <v>11</v>
      </c>
      <c r="H95" s="15" t="s">
        <v>1711</v>
      </c>
      <c r="I95" s="25" t="b">
        <v>1</v>
      </c>
      <c r="J95" s="15" t="b">
        <v>1</v>
      </c>
      <c r="N95" s="15" t="s">
        <v>335</v>
      </c>
      <c r="O95" s="15" t="s">
        <v>335</v>
      </c>
      <c r="Y95" s="15" t="s">
        <v>335</v>
      </c>
      <c r="AI95" s="85" t="s">
        <v>1281</v>
      </c>
      <c r="AJ95" s="86">
        <v>1888</v>
      </c>
      <c r="AK95" s="15" t="s">
        <v>301</v>
      </c>
      <c r="AL95" s="15" t="s">
        <v>335</v>
      </c>
      <c r="AM95" s="15" t="s">
        <v>335</v>
      </c>
      <c r="AN95" s="15" t="s">
        <v>335</v>
      </c>
      <c r="AO95" s="15" t="s">
        <v>335</v>
      </c>
      <c r="AP95" s="49" t="s">
        <v>335</v>
      </c>
    </row>
    <row r="96" spans="2:42" x14ac:dyDescent="0.25">
      <c r="B96" s="24" t="s">
        <v>649</v>
      </c>
      <c r="H96" s="15" t="s">
        <v>1711</v>
      </c>
      <c r="I96" s="25" t="b">
        <v>1</v>
      </c>
      <c r="J96" s="15" t="b">
        <v>1</v>
      </c>
      <c r="N96" s="15" t="s">
        <v>335</v>
      </c>
      <c r="O96" s="15" t="s">
        <v>335</v>
      </c>
      <c r="Y96" s="15" t="s">
        <v>335</v>
      </c>
      <c r="AI96" s="85" t="s">
        <v>1282</v>
      </c>
      <c r="AJ96" s="86">
        <v>1894</v>
      </c>
      <c r="AK96" s="15" t="s">
        <v>302</v>
      </c>
      <c r="AL96" s="15" t="s">
        <v>335</v>
      </c>
      <c r="AM96" s="15" t="s">
        <v>335</v>
      </c>
      <c r="AN96" s="15" t="s">
        <v>335</v>
      </c>
      <c r="AO96" s="15" t="s">
        <v>335</v>
      </c>
      <c r="AP96" s="49" t="s">
        <v>335</v>
      </c>
    </row>
    <row r="97" spans="2:42" x14ac:dyDescent="0.25">
      <c r="B97" s="24" t="s">
        <v>714</v>
      </c>
      <c r="H97" s="15" t="s">
        <v>1711</v>
      </c>
      <c r="I97" s="25" t="b">
        <v>1</v>
      </c>
      <c r="J97" s="15" t="b">
        <v>1</v>
      </c>
      <c r="N97" s="15" t="s">
        <v>335</v>
      </c>
      <c r="O97" s="15" t="s">
        <v>335</v>
      </c>
      <c r="Y97" s="15" t="s">
        <v>335</v>
      </c>
      <c r="AI97" s="85" t="s">
        <v>1283</v>
      </c>
      <c r="AJ97" s="87" t="s">
        <v>1407</v>
      </c>
      <c r="AK97" s="15" t="s">
        <v>303</v>
      </c>
      <c r="AL97" s="15" t="s">
        <v>335</v>
      </c>
      <c r="AM97" s="15" t="s">
        <v>335</v>
      </c>
      <c r="AN97" s="15" t="s">
        <v>335</v>
      </c>
      <c r="AO97" s="15" t="s">
        <v>335</v>
      </c>
      <c r="AP97" s="49" t="s">
        <v>335</v>
      </c>
    </row>
    <row r="98" spans="2:42" x14ac:dyDescent="0.25">
      <c r="B98" s="24" t="s">
        <v>531</v>
      </c>
      <c r="H98" s="15" t="s">
        <v>1711</v>
      </c>
      <c r="I98" s="25" t="b">
        <v>1</v>
      </c>
      <c r="J98" s="15" t="b">
        <v>1</v>
      </c>
      <c r="N98" s="15" t="s">
        <v>335</v>
      </c>
      <c r="O98" s="15" t="s">
        <v>335</v>
      </c>
      <c r="Y98" s="15" t="s">
        <v>335</v>
      </c>
      <c r="AI98" s="85" t="s">
        <v>1284</v>
      </c>
      <c r="AJ98" s="86" t="s">
        <v>1156</v>
      </c>
      <c r="AK98" s="15" t="s">
        <v>304</v>
      </c>
      <c r="AL98" s="15" t="s">
        <v>335</v>
      </c>
      <c r="AM98" s="15" t="s">
        <v>335</v>
      </c>
      <c r="AN98" s="15" t="s">
        <v>335</v>
      </c>
      <c r="AO98" s="15" t="s">
        <v>335</v>
      </c>
      <c r="AP98" s="49" t="s">
        <v>335</v>
      </c>
    </row>
    <row r="99" spans="2:42" x14ac:dyDescent="0.25">
      <c r="B99" s="24" t="s">
        <v>11</v>
      </c>
      <c r="H99" s="15" t="s">
        <v>1711</v>
      </c>
      <c r="I99" s="25" t="b">
        <v>1</v>
      </c>
      <c r="J99" s="15" t="b">
        <v>1</v>
      </c>
      <c r="N99" s="15" t="s">
        <v>335</v>
      </c>
      <c r="O99" s="15" t="s">
        <v>335</v>
      </c>
      <c r="Y99" s="15" t="s">
        <v>335</v>
      </c>
      <c r="AI99" s="85" t="s">
        <v>1285</v>
      </c>
      <c r="AJ99" s="86">
        <v>1918</v>
      </c>
      <c r="AK99" s="15" t="s">
        <v>306</v>
      </c>
      <c r="AL99" s="15" t="s">
        <v>335</v>
      </c>
      <c r="AM99" s="15" t="s">
        <v>335</v>
      </c>
      <c r="AN99" s="15" t="s">
        <v>335</v>
      </c>
      <c r="AO99" s="15" t="s">
        <v>335</v>
      </c>
      <c r="AP99" s="49" t="s">
        <v>335</v>
      </c>
    </row>
    <row r="100" spans="2:42" x14ac:dyDescent="0.25">
      <c r="B100" s="24" t="s">
        <v>11</v>
      </c>
      <c r="H100" s="15" t="s">
        <v>1711</v>
      </c>
      <c r="I100" s="25" t="b">
        <v>1</v>
      </c>
      <c r="J100" s="15" t="b">
        <v>1</v>
      </c>
      <c r="N100" s="15" t="s">
        <v>335</v>
      </c>
      <c r="O100" s="15" t="s">
        <v>335</v>
      </c>
      <c r="Y100" s="15" t="s">
        <v>335</v>
      </c>
      <c r="AI100" s="85" t="s">
        <v>1286</v>
      </c>
      <c r="AJ100" s="86">
        <v>1924</v>
      </c>
      <c r="AK100" s="15" t="s">
        <v>307</v>
      </c>
      <c r="AL100" s="15" t="s">
        <v>335</v>
      </c>
      <c r="AM100" s="15" t="s">
        <v>335</v>
      </c>
      <c r="AN100" s="15" t="s">
        <v>335</v>
      </c>
      <c r="AO100" s="15" t="s">
        <v>335</v>
      </c>
      <c r="AP100" s="49" t="s">
        <v>335</v>
      </c>
    </row>
    <row r="101" spans="2:42" x14ac:dyDescent="0.25">
      <c r="B101" s="24" t="s">
        <v>550</v>
      </c>
      <c r="H101" s="15" t="s">
        <v>1711</v>
      </c>
      <c r="I101" s="25" t="b">
        <v>1</v>
      </c>
      <c r="J101" s="15" t="b">
        <v>1</v>
      </c>
      <c r="N101" s="15" t="s">
        <v>335</v>
      </c>
      <c r="O101" s="15" t="s">
        <v>335</v>
      </c>
      <c r="Y101" s="15" t="s">
        <v>335</v>
      </c>
      <c r="AI101" s="85" t="s">
        <v>1287</v>
      </c>
      <c r="AJ101" s="87" t="s">
        <v>1159</v>
      </c>
      <c r="AK101" s="15" t="s">
        <v>308</v>
      </c>
      <c r="AL101" s="15" t="s">
        <v>335</v>
      </c>
      <c r="AM101" s="15" t="s">
        <v>335</v>
      </c>
      <c r="AN101" s="15" t="s">
        <v>335</v>
      </c>
      <c r="AO101" s="15" t="s">
        <v>335</v>
      </c>
      <c r="AP101" s="49" t="s">
        <v>335</v>
      </c>
    </row>
    <row r="102" spans="2:42" x14ac:dyDescent="0.25">
      <c r="B102" s="24" t="s">
        <v>516</v>
      </c>
      <c r="H102" s="15" t="s">
        <v>1711</v>
      </c>
      <c r="I102" s="25" t="b">
        <v>1</v>
      </c>
      <c r="J102" s="15" t="b">
        <v>1</v>
      </c>
      <c r="N102" s="15" t="s">
        <v>335</v>
      </c>
      <c r="O102" s="15" t="s">
        <v>335</v>
      </c>
      <c r="Y102" s="15" t="s">
        <v>335</v>
      </c>
      <c r="AI102" s="85" t="s">
        <v>1288</v>
      </c>
      <c r="AJ102" s="86">
        <v>1929</v>
      </c>
      <c r="AK102" s="15" t="s">
        <v>309</v>
      </c>
      <c r="AL102" s="15" t="s">
        <v>335</v>
      </c>
      <c r="AM102" s="15" t="s">
        <v>335</v>
      </c>
      <c r="AN102" s="15" t="s">
        <v>335</v>
      </c>
      <c r="AO102" s="15" t="s">
        <v>335</v>
      </c>
      <c r="AP102" s="49" t="s">
        <v>335</v>
      </c>
    </row>
    <row r="103" spans="2:42" x14ac:dyDescent="0.25">
      <c r="B103" s="24" t="s">
        <v>507</v>
      </c>
      <c r="D103" s="52">
        <v>50.108666599999999</v>
      </c>
      <c r="E103" s="49">
        <v>4.9609611999999998</v>
      </c>
      <c r="F103" s="43" t="s">
        <v>344</v>
      </c>
      <c r="G103" s="78"/>
      <c r="H103" s="44" t="s">
        <v>1711</v>
      </c>
      <c r="I103" s="25" t="b">
        <v>1</v>
      </c>
      <c r="J103" s="15" t="b">
        <v>1</v>
      </c>
      <c r="N103" s="15" t="s">
        <v>345</v>
      </c>
      <c r="O103" s="15" t="s">
        <v>335</v>
      </c>
      <c r="Y103" s="16" t="s">
        <v>335</v>
      </c>
      <c r="Z103" s="16"/>
      <c r="AA103" s="16"/>
      <c r="AB103" s="16"/>
      <c r="AC103" s="16"/>
      <c r="AD103" s="16"/>
      <c r="AE103" s="16"/>
      <c r="AF103" s="16"/>
      <c r="AG103" s="16"/>
      <c r="AH103" s="16"/>
      <c r="AI103" s="85" t="s">
        <v>989</v>
      </c>
      <c r="AJ103" s="86">
        <v>1932</v>
      </c>
      <c r="AK103" s="15" t="s">
        <v>310</v>
      </c>
      <c r="AL103" s="15" t="s">
        <v>335</v>
      </c>
      <c r="AM103" s="15" t="s">
        <v>335</v>
      </c>
      <c r="AN103" s="15" t="s">
        <v>335</v>
      </c>
      <c r="AO103" s="15" t="s">
        <v>335</v>
      </c>
      <c r="AP103" s="49" t="s">
        <v>335</v>
      </c>
    </row>
    <row r="104" spans="2:42" x14ac:dyDescent="0.25">
      <c r="B104" s="24" t="s">
        <v>507</v>
      </c>
      <c r="D104" s="52">
        <v>50.538244800000001</v>
      </c>
      <c r="E104" s="49">
        <v>5.7507225999999996</v>
      </c>
      <c r="F104" s="43" t="s">
        <v>341</v>
      </c>
      <c r="G104" s="78"/>
      <c r="H104" s="44" t="s">
        <v>1711</v>
      </c>
      <c r="I104" s="25" t="b">
        <v>1</v>
      </c>
      <c r="J104" s="15" t="b">
        <v>1</v>
      </c>
      <c r="N104" s="15" t="s">
        <v>342</v>
      </c>
      <c r="O104" s="15" t="s">
        <v>335</v>
      </c>
      <c r="Y104" s="16" t="s">
        <v>335</v>
      </c>
      <c r="Z104" s="16"/>
      <c r="AA104" s="16"/>
      <c r="AB104" s="16"/>
      <c r="AC104" s="16"/>
      <c r="AD104" s="16"/>
      <c r="AE104" s="16"/>
      <c r="AF104" s="16"/>
      <c r="AG104" s="16"/>
      <c r="AH104" s="16"/>
      <c r="AI104" s="85" t="s">
        <v>988</v>
      </c>
      <c r="AJ104" s="86">
        <v>1933</v>
      </c>
      <c r="AK104" s="15" t="s">
        <v>311</v>
      </c>
      <c r="AL104" s="15" t="s">
        <v>335</v>
      </c>
      <c r="AM104" s="15" t="s">
        <v>335</v>
      </c>
      <c r="AN104" s="15" t="s">
        <v>335</v>
      </c>
      <c r="AO104" s="15" t="s">
        <v>335</v>
      </c>
      <c r="AP104" s="49" t="s">
        <v>335</v>
      </c>
    </row>
    <row r="105" spans="2:42" x14ac:dyDescent="0.25">
      <c r="B105" s="24" t="s">
        <v>516</v>
      </c>
      <c r="H105" s="15" t="s">
        <v>1711</v>
      </c>
      <c r="I105" s="25" t="b">
        <v>1</v>
      </c>
      <c r="J105" s="15" t="b">
        <v>1</v>
      </c>
      <c r="N105" s="15" t="s">
        <v>335</v>
      </c>
      <c r="O105" s="15" t="s">
        <v>335</v>
      </c>
      <c r="Y105" s="15" t="s">
        <v>335</v>
      </c>
      <c r="AI105" s="85" t="s">
        <v>1289</v>
      </c>
      <c r="AJ105" s="86">
        <v>1936</v>
      </c>
      <c r="AK105" s="15" t="s">
        <v>312</v>
      </c>
      <c r="AL105" s="15" t="s">
        <v>335</v>
      </c>
      <c r="AM105" s="15" t="s">
        <v>335</v>
      </c>
      <c r="AN105" s="15" t="s">
        <v>335</v>
      </c>
      <c r="AO105" s="15" t="s">
        <v>335</v>
      </c>
      <c r="AP105" s="49" t="s">
        <v>335</v>
      </c>
    </row>
    <row r="106" spans="2:42" x14ac:dyDescent="0.25">
      <c r="B106" s="24" t="s">
        <v>540</v>
      </c>
      <c r="H106" s="15" t="s">
        <v>1711</v>
      </c>
      <c r="I106" s="25" t="b">
        <v>1</v>
      </c>
      <c r="J106" s="15" t="b">
        <v>1</v>
      </c>
      <c r="N106" s="15" t="s">
        <v>335</v>
      </c>
      <c r="O106" s="15" t="s">
        <v>335</v>
      </c>
      <c r="Y106" s="15" t="s">
        <v>335</v>
      </c>
      <c r="AI106" s="85" t="s">
        <v>1290</v>
      </c>
      <c r="AJ106" s="87" t="s">
        <v>1162</v>
      </c>
      <c r="AK106" s="15" t="s">
        <v>313</v>
      </c>
      <c r="AL106" s="15" t="s">
        <v>335</v>
      </c>
      <c r="AM106" s="15" t="s">
        <v>335</v>
      </c>
      <c r="AN106" s="15" t="s">
        <v>335</v>
      </c>
      <c r="AO106" s="15" t="s">
        <v>335</v>
      </c>
      <c r="AP106" s="49" t="s">
        <v>335</v>
      </c>
    </row>
    <row r="107" spans="2:42" x14ac:dyDescent="0.25">
      <c r="B107" s="24" t="s">
        <v>11</v>
      </c>
      <c r="H107" s="15" t="s">
        <v>1711</v>
      </c>
      <c r="I107" s="25" t="b">
        <v>1</v>
      </c>
      <c r="J107" s="15" t="b">
        <v>1</v>
      </c>
      <c r="N107" s="15" t="s">
        <v>335</v>
      </c>
      <c r="O107" s="15" t="s">
        <v>335</v>
      </c>
      <c r="Y107" s="15" t="s">
        <v>335</v>
      </c>
      <c r="AI107" s="85" t="s">
        <v>1291</v>
      </c>
      <c r="AJ107" s="87" t="s">
        <v>1163</v>
      </c>
      <c r="AK107" s="15" t="s">
        <v>314</v>
      </c>
      <c r="AL107" s="15" t="s">
        <v>335</v>
      </c>
      <c r="AM107" s="15" t="s">
        <v>335</v>
      </c>
      <c r="AN107" s="15" t="s">
        <v>335</v>
      </c>
      <c r="AO107" s="15" t="s">
        <v>335</v>
      </c>
      <c r="AP107" s="49" t="s">
        <v>335</v>
      </c>
    </row>
    <row r="108" spans="2:42" x14ac:dyDescent="0.25">
      <c r="B108" s="24" t="s">
        <v>540</v>
      </c>
      <c r="H108" s="15" t="s">
        <v>1711</v>
      </c>
      <c r="I108" s="25" t="b">
        <v>1</v>
      </c>
      <c r="J108" s="15" t="b">
        <v>1</v>
      </c>
      <c r="N108" s="15" t="s">
        <v>335</v>
      </c>
      <c r="O108" s="15" t="s">
        <v>335</v>
      </c>
      <c r="Y108" s="15" t="s">
        <v>335</v>
      </c>
      <c r="AI108" s="85" t="s">
        <v>1293</v>
      </c>
      <c r="AJ108" s="87" t="s">
        <v>1165</v>
      </c>
      <c r="AK108" s="15" t="s">
        <v>316</v>
      </c>
      <c r="AL108" s="15" t="s">
        <v>335</v>
      </c>
      <c r="AM108" s="15" t="s">
        <v>335</v>
      </c>
      <c r="AN108" s="15" t="s">
        <v>335</v>
      </c>
      <c r="AO108" s="15" t="s">
        <v>335</v>
      </c>
      <c r="AP108" s="49" t="s">
        <v>335</v>
      </c>
    </row>
    <row r="109" spans="2:42" x14ac:dyDescent="0.25">
      <c r="B109" s="24" t="s">
        <v>649</v>
      </c>
      <c r="H109" s="15" t="s">
        <v>1711</v>
      </c>
      <c r="I109" s="25" t="b">
        <v>1</v>
      </c>
      <c r="J109" s="15" t="b">
        <v>1</v>
      </c>
      <c r="N109" s="15" t="s">
        <v>335</v>
      </c>
      <c r="O109" s="15" t="s">
        <v>335</v>
      </c>
      <c r="Y109" s="15" t="s">
        <v>335</v>
      </c>
      <c r="AI109" s="85" t="s">
        <v>1294</v>
      </c>
      <c r="AJ109" s="86">
        <v>1943</v>
      </c>
      <c r="AK109" s="15" t="s">
        <v>317</v>
      </c>
      <c r="AL109" s="15" t="s">
        <v>335</v>
      </c>
      <c r="AM109" s="15" t="s">
        <v>335</v>
      </c>
      <c r="AN109" s="15" t="s">
        <v>335</v>
      </c>
      <c r="AO109" s="15" t="s">
        <v>335</v>
      </c>
      <c r="AP109" s="49" t="s">
        <v>335</v>
      </c>
    </row>
    <row r="110" spans="2:42" x14ac:dyDescent="0.25">
      <c r="B110" s="24" t="s">
        <v>550</v>
      </c>
      <c r="H110" s="15" t="s">
        <v>1711</v>
      </c>
      <c r="I110" s="25" t="b">
        <v>1</v>
      </c>
      <c r="J110" s="15" t="b">
        <v>1</v>
      </c>
      <c r="N110" s="15" t="s">
        <v>335</v>
      </c>
      <c r="O110" s="15" t="s">
        <v>335</v>
      </c>
      <c r="Y110" s="15" t="s">
        <v>335</v>
      </c>
      <c r="AI110" s="85" t="s">
        <v>1295</v>
      </c>
      <c r="AJ110" s="86">
        <v>1945</v>
      </c>
      <c r="AK110" s="15" t="s">
        <v>318</v>
      </c>
      <c r="AL110" s="15" t="s">
        <v>335</v>
      </c>
      <c r="AM110" s="15" t="s">
        <v>335</v>
      </c>
      <c r="AN110" s="15" t="s">
        <v>335</v>
      </c>
      <c r="AO110" s="15" t="s">
        <v>335</v>
      </c>
      <c r="AP110" s="49" t="s">
        <v>335</v>
      </c>
    </row>
    <row r="111" spans="2:42" x14ac:dyDescent="0.25">
      <c r="B111" s="24" t="s">
        <v>555</v>
      </c>
      <c r="H111" s="15" t="s">
        <v>1711</v>
      </c>
      <c r="I111" s="25" t="b">
        <v>1</v>
      </c>
      <c r="J111" s="15" t="b">
        <v>1</v>
      </c>
      <c r="N111" s="15" t="s">
        <v>335</v>
      </c>
      <c r="O111" s="15" t="s">
        <v>335</v>
      </c>
      <c r="Y111" s="15" t="s">
        <v>335</v>
      </c>
      <c r="AI111" s="85" t="s">
        <v>1296</v>
      </c>
      <c r="AJ111" s="86">
        <v>1947</v>
      </c>
      <c r="AK111" s="15" t="s">
        <v>319</v>
      </c>
      <c r="AL111" s="15" t="s">
        <v>335</v>
      </c>
      <c r="AM111" s="15" t="s">
        <v>335</v>
      </c>
      <c r="AN111" s="15" t="s">
        <v>335</v>
      </c>
      <c r="AO111" s="15" t="s">
        <v>335</v>
      </c>
      <c r="AP111" s="49" t="s">
        <v>335</v>
      </c>
    </row>
    <row r="112" spans="2:42" x14ac:dyDescent="0.25">
      <c r="B112" s="24" t="s">
        <v>540</v>
      </c>
      <c r="H112" s="15" t="s">
        <v>1711</v>
      </c>
      <c r="I112" s="25" t="b">
        <v>1</v>
      </c>
      <c r="J112" s="15" t="b">
        <v>1</v>
      </c>
      <c r="N112" s="15" t="s">
        <v>335</v>
      </c>
      <c r="O112" s="15" t="s">
        <v>335</v>
      </c>
      <c r="Y112" s="15" t="s">
        <v>335</v>
      </c>
      <c r="AI112" s="85" t="s">
        <v>1297</v>
      </c>
      <c r="AJ112" s="87" t="s">
        <v>1169</v>
      </c>
      <c r="AK112" s="15" t="s">
        <v>320</v>
      </c>
      <c r="AL112" s="15" t="s">
        <v>335</v>
      </c>
      <c r="AM112" s="15" t="s">
        <v>335</v>
      </c>
      <c r="AN112" s="15" t="s">
        <v>335</v>
      </c>
      <c r="AO112" s="15" t="s">
        <v>335</v>
      </c>
      <c r="AP112" s="49" t="s">
        <v>335</v>
      </c>
    </row>
    <row r="113" spans="1:42" x14ac:dyDescent="0.25">
      <c r="B113" s="24" t="s">
        <v>11</v>
      </c>
      <c r="H113" s="15" t="s">
        <v>1711</v>
      </c>
      <c r="I113" s="25" t="b">
        <v>1</v>
      </c>
      <c r="J113" s="15" t="b">
        <v>1</v>
      </c>
      <c r="N113" s="15" t="s">
        <v>335</v>
      </c>
      <c r="O113" s="15" t="s">
        <v>335</v>
      </c>
      <c r="Y113" s="15" t="s">
        <v>335</v>
      </c>
      <c r="AI113" s="85" t="s">
        <v>1298</v>
      </c>
      <c r="AJ113" s="86">
        <v>1951</v>
      </c>
      <c r="AK113" s="15" t="s">
        <v>321</v>
      </c>
      <c r="AL113" s="15" t="s">
        <v>335</v>
      </c>
      <c r="AM113" s="15" t="s">
        <v>335</v>
      </c>
      <c r="AN113" s="15" t="s">
        <v>335</v>
      </c>
      <c r="AO113" s="15" t="s">
        <v>335</v>
      </c>
      <c r="AP113" s="49" t="s">
        <v>335</v>
      </c>
    </row>
    <row r="114" spans="1:42" x14ac:dyDescent="0.25">
      <c r="B114" s="24" t="s">
        <v>11</v>
      </c>
      <c r="H114" s="15" t="s">
        <v>1711</v>
      </c>
      <c r="I114" s="25" t="b">
        <v>1</v>
      </c>
      <c r="J114" s="15" t="b">
        <v>1</v>
      </c>
      <c r="N114" s="15" t="s">
        <v>335</v>
      </c>
      <c r="O114" s="15" t="s">
        <v>335</v>
      </c>
      <c r="Y114" s="15" t="s">
        <v>335</v>
      </c>
      <c r="AI114" s="85" t="s">
        <v>1299</v>
      </c>
      <c r="AJ114" s="86">
        <v>1953</v>
      </c>
      <c r="AK114" s="15" t="s">
        <v>322</v>
      </c>
      <c r="AL114" s="15" t="s">
        <v>335</v>
      </c>
      <c r="AM114" s="15" t="s">
        <v>335</v>
      </c>
      <c r="AN114" s="15" t="s">
        <v>335</v>
      </c>
      <c r="AO114" s="15" t="s">
        <v>335</v>
      </c>
      <c r="AP114" s="49" t="s">
        <v>335</v>
      </c>
    </row>
    <row r="115" spans="1:42" ht="38.25" x14ac:dyDescent="0.25">
      <c r="B115" s="24" t="s">
        <v>694</v>
      </c>
      <c r="H115" s="15" t="s">
        <v>1711</v>
      </c>
      <c r="I115" s="25" t="b">
        <v>1</v>
      </c>
      <c r="J115" s="15" t="b">
        <v>1</v>
      </c>
      <c r="N115" s="15" t="s">
        <v>335</v>
      </c>
      <c r="O115" s="15" t="s">
        <v>335</v>
      </c>
      <c r="Y115" s="15" t="s">
        <v>335</v>
      </c>
      <c r="AI115" s="85" t="s">
        <v>1301</v>
      </c>
      <c r="AJ115" s="86" t="s">
        <v>1173</v>
      </c>
      <c r="AK115" s="15" t="s">
        <v>324</v>
      </c>
      <c r="AL115" s="15" t="s">
        <v>335</v>
      </c>
      <c r="AM115" s="15" t="s">
        <v>335</v>
      </c>
      <c r="AN115" s="15" t="s">
        <v>335</v>
      </c>
      <c r="AO115" s="15" t="s">
        <v>335</v>
      </c>
      <c r="AP115" s="49" t="s">
        <v>335</v>
      </c>
    </row>
    <row r="116" spans="1:42" ht="102" x14ac:dyDescent="0.25">
      <c r="A116" s="14" t="s">
        <v>1319</v>
      </c>
      <c r="B116" s="24" t="s">
        <v>717</v>
      </c>
      <c r="D116" s="52">
        <v>37.204861473063303</v>
      </c>
      <c r="E116" s="49">
        <v>126.81640992516</v>
      </c>
      <c r="F116" s="41" t="s">
        <v>1390</v>
      </c>
      <c r="G116" s="53" t="s">
        <v>1390</v>
      </c>
      <c r="H116" s="15" t="s">
        <v>1711</v>
      </c>
      <c r="I116" s="25" t="b">
        <v>1</v>
      </c>
      <c r="J116" s="15" t="b">
        <v>1</v>
      </c>
      <c r="L116" s="41" t="s">
        <v>1330</v>
      </c>
      <c r="M116" s="55" t="s">
        <v>1725</v>
      </c>
      <c r="N116" s="15" t="s">
        <v>335</v>
      </c>
      <c r="O116" s="15" t="s">
        <v>335</v>
      </c>
      <c r="Y116" s="15" t="s">
        <v>335</v>
      </c>
      <c r="AI116" s="85" t="s">
        <v>1304</v>
      </c>
      <c r="AJ116" s="86">
        <v>1984</v>
      </c>
      <c r="AK116" s="15" t="s">
        <v>329</v>
      </c>
      <c r="AL116" s="15" t="s">
        <v>335</v>
      </c>
      <c r="AM116" s="15" t="s">
        <v>335</v>
      </c>
      <c r="AN116" s="15" t="s">
        <v>335</v>
      </c>
      <c r="AO116" s="15" t="s">
        <v>335</v>
      </c>
      <c r="AP116" s="49" t="s">
        <v>335</v>
      </c>
    </row>
    <row r="117" spans="1:42" ht="51" x14ac:dyDescent="0.25">
      <c r="A117" s="14" t="s">
        <v>1319</v>
      </c>
      <c r="B117" s="24" t="s">
        <v>635</v>
      </c>
      <c r="D117" s="52">
        <v>7.2085798653578497</v>
      </c>
      <c r="E117" s="49">
        <v>7.8115900693840503</v>
      </c>
      <c r="F117" s="24" t="s">
        <v>1039</v>
      </c>
      <c r="G117" s="53" t="s">
        <v>1040</v>
      </c>
      <c r="H117" s="15" t="s">
        <v>1711</v>
      </c>
      <c r="I117" s="25" t="b">
        <v>1</v>
      </c>
      <c r="J117" s="15" t="b">
        <v>1</v>
      </c>
      <c r="L117" s="24" t="s">
        <v>1042</v>
      </c>
      <c r="N117" s="15" t="s">
        <v>1038</v>
      </c>
      <c r="O117" s="15" t="s">
        <v>335</v>
      </c>
      <c r="Y117" s="15" t="s">
        <v>335</v>
      </c>
      <c r="AI117" s="85" t="s">
        <v>1044</v>
      </c>
      <c r="AJ117" s="86" t="s">
        <v>1043</v>
      </c>
      <c r="AK117" s="15" t="s">
        <v>330</v>
      </c>
      <c r="AL117" s="15" t="s">
        <v>335</v>
      </c>
      <c r="AM117" s="15" t="s">
        <v>1041</v>
      </c>
      <c r="AN117" s="15" t="s">
        <v>335</v>
      </c>
      <c r="AO117" s="15" t="s">
        <v>335</v>
      </c>
      <c r="AP117" s="49" t="s">
        <v>335</v>
      </c>
    </row>
    <row r="118" spans="1:42" x14ac:dyDescent="0.25">
      <c r="A118" s="14" t="s">
        <v>1319</v>
      </c>
      <c r="B118" s="24" t="s">
        <v>481</v>
      </c>
      <c r="D118" s="52">
        <v>34.149450392589202</v>
      </c>
      <c r="E118" s="49">
        <v>36.1356779618907</v>
      </c>
      <c r="F118" s="24" t="s">
        <v>1037</v>
      </c>
      <c r="G118" s="53" t="s">
        <v>1037</v>
      </c>
      <c r="H118" s="15" t="s">
        <v>1711</v>
      </c>
      <c r="I118" s="25" t="b">
        <v>1</v>
      </c>
      <c r="J118" s="15" t="b">
        <v>1</v>
      </c>
      <c r="N118" s="15" t="s">
        <v>335</v>
      </c>
      <c r="O118" s="15" t="s">
        <v>335</v>
      </c>
      <c r="Y118" s="15" t="s">
        <v>335</v>
      </c>
      <c r="AI118" s="85" t="s">
        <v>1045</v>
      </c>
      <c r="AJ118" s="86">
        <v>2004</v>
      </c>
      <c r="AK118" s="15" t="s">
        <v>331</v>
      </c>
      <c r="AL118" s="15" t="s">
        <v>335</v>
      </c>
      <c r="AM118" s="15" t="s">
        <v>335</v>
      </c>
      <c r="AN118" s="15" t="s">
        <v>335</v>
      </c>
      <c r="AO118" s="15" t="s">
        <v>335</v>
      </c>
      <c r="AP118" s="49" t="s">
        <v>335</v>
      </c>
    </row>
    <row r="119" spans="1:42" x14ac:dyDescent="0.25">
      <c r="I119" s="25" t="b">
        <v>1</v>
      </c>
      <c r="J119" s="15" t="b">
        <v>1</v>
      </c>
      <c r="O119" s="15" t="s">
        <v>335</v>
      </c>
      <c r="AI119" s="89" t="s">
        <v>1034</v>
      </c>
      <c r="AK119" s="15" t="s">
        <v>335</v>
      </c>
      <c r="AL119" s="15" t="s">
        <v>335</v>
      </c>
      <c r="AM119" s="15" t="s">
        <v>335</v>
      </c>
      <c r="AN119" s="15" t="s">
        <v>335</v>
      </c>
      <c r="AO119" s="15" t="s">
        <v>335</v>
      </c>
      <c r="AP119" s="49" t="s">
        <v>335</v>
      </c>
    </row>
    <row r="120" spans="1:42" x14ac:dyDescent="0.25">
      <c r="I120" s="25" t="b">
        <v>1</v>
      </c>
      <c r="J120" s="15" t="b">
        <v>1</v>
      </c>
      <c r="O120" s="15" t="s">
        <v>335</v>
      </c>
      <c r="AI120" s="89" t="s">
        <v>1035</v>
      </c>
      <c r="AK120" s="15" t="s">
        <v>335</v>
      </c>
      <c r="AL120" s="15" t="s">
        <v>335</v>
      </c>
      <c r="AM120" s="15" t="s">
        <v>335</v>
      </c>
      <c r="AN120" s="15" t="s">
        <v>335</v>
      </c>
      <c r="AO120" s="15" t="s">
        <v>335</v>
      </c>
      <c r="AP120" s="49" t="s">
        <v>335</v>
      </c>
    </row>
    <row r="121" spans="1:42" x14ac:dyDescent="0.25">
      <c r="I121" s="25" t="b">
        <v>1</v>
      </c>
      <c r="J121" s="15" t="b">
        <v>1</v>
      </c>
      <c r="O121" s="15" t="s">
        <v>335</v>
      </c>
      <c r="AI121" s="89" t="s">
        <v>1036</v>
      </c>
      <c r="AK121" s="15" t="s">
        <v>335</v>
      </c>
      <c r="AL121" s="15" t="s">
        <v>335</v>
      </c>
      <c r="AM121" s="15" t="s">
        <v>335</v>
      </c>
      <c r="AN121" s="15" t="s">
        <v>335</v>
      </c>
      <c r="AO121" s="15" t="s">
        <v>335</v>
      </c>
      <c r="AP121" s="49" t="s">
        <v>335</v>
      </c>
    </row>
    <row r="122" spans="1:42" ht="25.5" x14ac:dyDescent="0.25">
      <c r="A122" s="14" t="s">
        <v>1319</v>
      </c>
      <c r="B122" s="24" t="s">
        <v>667</v>
      </c>
      <c r="D122" s="52">
        <v>46.329000000000001</v>
      </c>
      <c r="E122" s="49">
        <v>14.2324</v>
      </c>
      <c r="F122" s="24" t="s">
        <v>1388</v>
      </c>
      <c r="G122" s="53" t="s">
        <v>1384</v>
      </c>
      <c r="I122" s="25" t="b">
        <v>1</v>
      </c>
      <c r="J122" s="15" t="b">
        <v>1</v>
      </c>
      <c r="L122" s="24" t="s">
        <v>1389</v>
      </c>
      <c r="N122" s="15" t="s">
        <v>1387</v>
      </c>
      <c r="O122" s="15" t="s">
        <v>335</v>
      </c>
      <c r="AK122" s="15" t="s">
        <v>335</v>
      </c>
      <c r="AL122" s="15" t="s">
        <v>335</v>
      </c>
      <c r="AM122" s="15" t="s">
        <v>335</v>
      </c>
      <c r="AN122" s="15" t="s">
        <v>335</v>
      </c>
      <c r="AO122" s="15" t="s">
        <v>335</v>
      </c>
    </row>
    <row r="123" spans="1:42" x14ac:dyDescent="0.25">
      <c r="B123" s="24" t="s">
        <v>11</v>
      </c>
      <c r="C123" s="35" t="s">
        <v>999</v>
      </c>
      <c r="F123" s="24" t="s">
        <v>1392</v>
      </c>
      <c r="I123" s="25" t="b">
        <v>1</v>
      </c>
      <c r="J123" s="15" t="b">
        <v>1</v>
      </c>
      <c r="L123" s="24" t="s">
        <v>1391</v>
      </c>
      <c r="O123" s="15" t="s">
        <v>335</v>
      </c>
      <c r="AK123" s="15" t="s">
        <v>335</v>
      </c>
      <c r="AL123" s="15" t="s">
        <v>335</v>
      </c>
      <c r="AM123" s="15" t="s">
        <v>335</v>
      </c>
      <c r="AN123" s="15" t="s">
        <v>335</v>
      </c>
      <c r="AO123" s="15" t="s">
        <v>335</v>
      </c>
    </row>
    <row r="124" spans="1:42" x14ac:dyDescent="0.25">
      <c r="A124" s="14" t="s">
        <v>1319</v>
      </c>
      <c r="I124" s="25" t="b">
        <v>1</v>
      </c>
      <c r="J124" s="15" t="b">
        <v>1</v>
      </c>
      <c r="O124" s="15" t="s">
        <v>1703</v>
      </c>
      <c r="AI124" s="89" t="s">
        <v>1701</v>
      </c>
      <c r="AK124" s="15" t="s">
        <v>335</v>
      </c>
      <c r="AL124" s="15" t="s">
        <v>335</v>
      </c>
      <c r="AM124" s="15" t="s">
        <v>335</v>
      </c>
      <c r="AN124" s="15" t="s">
        <v>335</v>
      </c>
      <c r="AO124" s="15" t="s">
        <v>335</v>
      </c>
    </row>
  </sheetData>
  <autoFilter ref="A1:AT124" xr:uid="{A598B8B3-DE60-41C5-96BA-7CC5FA9AD3BE}"/>
  <phoneticPr fontId="29" type="noConversion"/>
  <conditionalFormatting sqref="A1:AP1048576">
    <cfRule type="expression" dxfId="10" priority="9">
      <formula>IF($A1="Blocked",TRUE,FALSE)</formula>
    </cfRule>
    <cfRule type="expression" dxfId="9" priority="10">
      <formula>IF($A1="In Progress",TRUE,FALSE)</formula>
    </cfRule>
    <cfRule type="expression" dxfId="8" priority="31">
      <formula>IF($A1="Done",TRUE,FALSE)</formula>
    </cfRule>
  </conditionalFormatting>
  <conditionalFormatting sqref="AI1:AP1048576">
    <cfRule type="expression" dxfId="7"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1393</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177</v>
      </c>
      <c r="B1" s="20" t="s">
        <v>483</v>
      </c>
      <c r="C1" s="20" t="s">
        <v>163</v>
      </c>
    </row>
    <row r="2" spans="1:6" x14ac:dyDescent="0.2">
      <c r="A2" s="1" t="s">
        <v>1033</v>
      </c>
      <c r="B2" s="1" t="s">
        <v>550</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1177</v>
      </c>
      <c r="F3" s="1" t="s">
        <v>555</v>
      </c>
    </row>
    <row r="4" spans="1:6" x14ac:dyDescent="0.2">
      <c r="A4" s="1" t="s">
        <v>1306</v>
      </c>
      <c r="B4" s="1" t="s">
        <v>727</v>
      </c>
      <c r="C4" s="1">
        <v>352</v>
      </c>
      <c r="D4" s="1" t="e">
        <f t="shared" si="0"/>
        <v>#VALUE!</v>
      </c>
      <c r="E4" s="1" t="e">
        <v>#VALUE!</v>
      </c>
    </row>
    <row r="5" spans="1:6" x14ac:dyDescent="0.2">
      <c r="A5" s="1" t="str">
        <f t="shared" ref="A5:A59" si="1">E5</f>
        <v>Tindari</v>
      </c>
      <c r="B5" s="1" t="str">
        <f t="shared" ref="B5:B17" si="2">F5</f>
        <v>Italy</v>
      </c>
      <c r="C5" s="1" t="s">
        <v>1058</v>
      </c>
      <c r="D5" s="1" t="e">
        <f t="shared" si="0"/>
        <v>#VALUE!</v>
      </c>
      <c r="E5" s="1" t="s">
        <v>1178</v>
      </c>
      <c r="F5" s="1" t="s">
        <v>11</v>
      </c>
    </row>
    <row r="6" spans="1:6" x14ac:dyDescent="0.2">
      <c r="A6" s="1" t="str">
        <f t="shared" si="1"/>
        <v>Montserrat</v>
      </c>
      <c r="B6" s="1" t="str">
        <f t="shared" si="2"/>
        <v>Spain</v>
      </c>
      <c r="C6" s="1" t="s">
        <v>1059</v>
      </c>
      <c r="D6" s="1" t="e">
        <f t="shared" si="0"/>
        <v>#VALUE!</v>
      </c>
      <c r="E6" s="1" t="s">
        <v>623</v>
      </c>
      <c r="F6" s="1" t="s">
        <v>550</v>
      </c>
    </row>
    <row r="7" spans="1:6" x14ac:dyDescent="0.2">
      <c r="A7" s="1" t="str">
        <f t="shared" si="1"/>
        <v>Walsingham</v>
      </c>
      <c r="B7" s="1" t="str">
        <f t="shared" si="2"/>
        <v>United Kingdom</v>
      </c>
      <c r="C7" s="1" t="s">
        <v>1060</v>
      </c>
      <c r="D7" s="1" t="e">
        <f t="shared" si="0"/>
        <v>#VALUE!</v>
      </c>
      <c r="E7" s="1" t="s">
        <v>1179</v>
      </c>
      <c r="F7" s="1" t="s">
        <v>732</v>
      </c>
    </row>
    <row r="8" spans="1:6" x14ac:dyDescent="0.2">
      <c r="A8" s="1" t="str">
        <f t="shared" si="1"/>
        <v>Montefortino</v>
      </c>
      <c r="B8" s="1" t="str">
        <f t="shared" si="2"/>
        <v>Italy</v>
      </c>
      <c r="C8" s="1" t="s">
        <v>1061</v>
      </c>
      <c r="D8" s="1" t="e">
        <f t="shared" si="0"/>
        <v>#VALUE!</v>
      </c>
      <c r="E8" s="1" t="s">
        <v>1180</v>
      </c>
      <c r="F8" s="1" t="s">
        <v>11</v>
      </c>
    </row>
    <row r="9" spans="1:6" x14ac:dyDescent="0.2">
      <c r="A9" s="1" t="str">
        <f t="shared" si="1"/>
        <v>Foggia</v>
      </c>
      <c r="B9" s="1" t="str">
        <f t="shared" si="2"/>
        <v>Italy</v>
      </c>
      <c r="C9" s="1" t="s">
        <v>1062</v>
      </c>
      <c r="D9" s="1" t="e">
        <f t="shared" si="0"/>
        <v>#VALUE!</v>
      </c>
      <c r="E9" s="1" t="s">
        <v>1181</v>
      </c>
      <c r="F9" s="1" t="s">
        <v>11</v>
      </c>
    </row>
    <row r="10" spans="1:6" x14ac:dyDescent="0.2">
      <c r="A10" s="1" t="str">
        <f t="shared" si="1"/>
        <v>Arras</v>
      </c>
      <c r="B10" s="1" t="str">
        <f t="shared" si="2"/>
        <v>France</v>
      </c>
      <c r="C10" s="1" t="s">
        <v>1063</v>
      </c>
      <c r="D10" s="1" t="e">
        <f t="shared" si="0"/>
        <v>#VALUE!</v>
      </c>
      <c r="E10" s="1" t="s">
        <v>1182</v>
      </c>
      <c r="F10" s="1" t="s">
        <v>555</v>
      </c>
    </row>
    <row r="11" spans="1:6" x14ac:dyDescent="0.2">
      <c r="A11" s="1" t="str">
        <f t="shared" si="1"/>
        <v>Nazaré</v>
      </c>
      <c r="B11" s="1" t="str">
        <f t="shared" si="2"/>
        <v>Portugal</v>
      </c>
      <c r="C11" s="1" t="s">
        <v>1064</v>
      </c>
      <c r="D11" s="1" t="e">
        <f t="shared" si="0"/>
        <v>#VALUE!</v>
      </c>
      <c r="E11" s="1" t="s">
        <v>1183</v>
      </c>
      <c r="F11" s="1" t="s">
        <v>653</v>
      </c>
    </row>
    <row r="12" spans="1:6" x14ac:dyDescent="0.2">
      <c r="A12" s="1" t="str">
        <f t="shared" si="1"/>
        <v>Swieta Lipka</v>
      </c>
      <c r="B12" s="1" t="str">
        <f t="shared" si="2"/>
        <v>Poland</v>
      </c>
      <c r="C12" s="1" t="s">
        <v>1065</v>
      </c>
      <c r="D12" s="1" t="e">
        <f t="shared" si="0"/>
        <v>#VALUE!</v>
      </c>
      <c r="E12" s="1" t="s">
        <v>1184</v>
      </c>
      <c r="F12" s="1" t="s">
        <v>649</v>
      </c>
    </row>
    <row r="13" spans="1:6" x14ac:dyDescent="0.2">
      <c r="A13" s="1" t="str">
        <f t="shared" si="1"/>
        <v>Assisi</v>
      </c>
      <c r="B13" s="1" t="str">
        <f t="shared" si="2"/>
        <v>Italy</v>
      </c>
      <c r="C13" s="1" t="s">
        <v>1066</v>
      </c>
      <c r="D13" s="1" t="e">
        <f t="shared" si="0"/>
        <v>#VALUE!</v>
      </c>
      <c r="E13" s="1" t="s">
        <v>1185</v>
      </c>
      <c r="F13" s="1" t="s">
        <v>11</v>
      </c>
    </row>
    <row r="14" spans="1:6" x14ac:dyDescent="0.2">
      <c r="A14" s="1" t="str">
        <f t="shared" si="1"/>
        <v>Arcos de Valdevez</v>
      </c>
      <c r="B14" s="1" t="str">
        <f t="shared" si="2"/>
        <v>Portugal</v>
      </c>
      <c r="C14" s="1" t="s">
        <v>1067</v>
      </c>
      <c r="D14" s="1" t="e">
        <f t="shared" si="0"/>
        <v>#VALUE!</v>
      </c>
      <c r="E14" s="1" t="s">
        <v>1186</v>
      </c>
      <c r="F14" s="1" t="s">
        <v>653</v>
      </c>
    </row>
    <row r="15" spans="1:6" x14ac:dyDescent="0.2">
      <c r="A15" s="1" t="str">
        <f t="shared" si="1"/>
        <v>Cortes</v>
      </c>
      <c r="B15" s="1" t="str">
        <f t="shared" si="2"/>
        <v>Spain</v>
      </c>
      <c r="C15" s="1" t="s">
        <v>1068</v>
      </c>
      <c r="D15" s="1" t="e">
        <f t="shared" si="0"/>
        <v>#VALUE!</v>
      </c>
      <c r="E15" s="1" t="s">
        <v>1187</v>
      </c>
      <c r="F15" s="1" t="s">
        <v>550</v>
      </c>
    </row>
    <row r="16" spans="1:6" x14ac:dyDescent="0.2">
      <c r="A16" s="1" t="str">
        <f t="shared" si="1"/>
        <v>Florence</v>
      </c>
      <c r="B16" s="1" t="str">
        <f t="shared" si="2"/>
        <v>Italy</v>
      </c>
      <c r="C16" s="1" t="s">
        <v>1069</v>
      </c>
      <c r="D16" s="1" t="e">
        <f t="shared" si="0"/>
        <v>#VALUE!</v>
      </c>
      <c r="E16" s="1" t="s">
        <v>1188</v>
      </c>
      <c r="F16" s="1" t="s">
        <v>11</v>
      </c>
    </row>
    <row r="17" spans="1:6" x14ac:dyDescent="0.2">
      <c r="A17" s="1" t="str">
        <f t="shared" si="1"/>
        <v>Aylesford</v>
      </c>
      <c r="B17" s="1" t="str">
        <f t="shared" si="2"/>
        <v>United Kingdom</v>
      </c>
      <c r="C17" s="1" t="s">
        <v>1070</v>
      </c>
      <c r="D17" s="1" t="e">
        <f t="shared" si="0"/>
        <v>#VALUE!</v>
      </c>
      <c r="E17" s="1" t="s">
        <v>1189</v>
      </c>
      <c r="F17" s="1" t="s">
        <v>732</v>
      </c>
    </row>
    <row r="18" spans="1:6" x14ac:dyDescent="0.2">
      <c r="A18" s="1" t="str">
        <f t="shared" si="1"/>
        <v>Rome (Santa Maria in Via)</v>
      </c>
      <c r="B18" s="1" t="s">
        <v>727</v>
      </c>
      <c r="C18" s="1" t="s">
        <v>1071</v>
      </c>
      <c r="D18" s="1" t="e">
        <f t="shared" si="0"/>
        <v>#VALUE!</v>
      </c>
      <c r="E18" s="1" t="s">
        <v>1305</v>
      </c>
      <c r="F18" s="1" t="s">
        <v>11</v>
      </c>
    </row>
    <row r="19" spans="1:6" x14ac:dyDescent="0.2">
      <c r="A19" s="1" t="str">
        <f t="shared" si="1"/>
        <v>The Holy House of Nazareth at Loreto </v>
      </c>
      <c r="B19" s="1" t="str">
        <f t="shared" ref="B19:B59" si="3">F19</f>
        <v>Italy</v>
      </c>
      <c r="C19" s="1" t="s">
        <v>1072</v>
      </c>
      <c r="D19" s="1" t="e">
        <f t="shared" si="0"/>
        <v>#VALUE!</v>
      </c>
      <c r="E19" s="1" t="s">
        <v>1190</v>
      </c>
      <c r="F19" s="1" t="s">
        <v>11</v>
      </c>
    </row>
    <row r="20" spans="1:6" x14ac:dyDescent="0.2">
      <c r="A20" s="1" t="str">
        <f t="shared" si="1"/>
        <v>Bra</v>
      </c>
      <c r="B20" s="1" t="str">
        <f t="shared" si="3"/>
        <v>Italy</v>
      </c>
      <c r="C20" s="1" t="s">
        <v>1073</v>
      </c>
      <c r="D20" s="1" t="e">
        <f t="shared" si="0"/>
        <v>#VALUE!</v>
      </c>
      <c r="E20" s="1" t="s">
        <v>1191</v>
      </c>
      <c r="F20" s="1" t="s">
        <v>11</v>
      </c>
    </row>
    <row r="21" spans="1:6" x14ac:dyDescent="0.2">
      <c r="A21" s="1" t="str">
        <f t="shared" si="1"/>
        <v>Roverano</v>
      </c>
      <c r="B21" s="1" t="str">
        <f t="shared" si="3"/>
        <v>Italy</v>
      </c>
      <c r="C21" s="1" t="s">
        <v>1074</v>
      </c>
      <c r="D21" s="1" t="e">
        <f t="shared" si="0"/>
        <v>#VALUE!</v>
      </c>
      <c r="E21" s="1" t="s">
        <v>1192</v>
      </c>
      <c r="F21" s="1" t="s">
        <v>11</v>
      </c>
    </row>
    <row r="22" spans="1:6" x14ac:dyDescent="0.2">
      <c r="A22" s="1" t="str">
        <f t="shared" si="1"/>
        <v>Valverdo Di Rezzato</v>
      </c>
      <c r="B22" s="1" t="str">
        <f t="shared" si="3"/>
        <v>Italy</v>
      </c>
      <c r="C22" s="1" t="s">
        <v>1308</v>
      </c>
      <c r="D22" s="1" t="e">
        <f t="shared" si="0"/>
        <v>#VALUE!</v>
      </c>
      <c r="E22" s="1" t="s">
        <v>1193</v>
      </c>
      <c r="F22" s="1" t="s">
        <v>11</v>
      </c>
    </row>
    <row r="23" spans="1:6" x14ac:dyDescent="0.2">
      <c r="A23" s="1" t="str">
        <f t="shared" si="1"/>
        <v>Castel Godego</v>
      </c>
      <c r="B23" s="1" t="str">
        <f t="shared" si="3"/>
        <v>Italy</v>
      </c>
      <c r="C23" s="1" t="s">
        <v>1075</v>
      </c>
      <c r="D23" s="1" t="e">
        <f t="shared" si="0"/>
        <v>#VALUE!</v>
      </c>
      <c r="E23" s="1" t="s">
        <v>1194</v>
      </c>
      <c r="F23" s="1" t="s">
        <v>11</v>
      </c>
    </row>
    <row r="24" spans="1:6" x14ac:dyDescent="0.2">
      <c r="A24" s="1" t="str">
        <f t="shared" si="1"/>
        <v>Cordoba</v>
      </c>
      <c r="B24" s="1" t="str">
        <f t="shared" si="3"/>
        <v>Spain</v>
      </c>
      <c r="C24" s="1" t="s">
        <v>1075</v>
      </c>
      <c r="D24" s="1" t="e">
        <f t="shared" si="0"/>
        <v>#VALUE!</v>
      </c>
      <c r="E24" s="1" t="s">
        <v>1195</v>
      </c>
      <c r="F24" s="1" t="s">
        <v>550</v>
      </c>
    </row>
    <row r="25" spans="1:6" x14ac:dyDescent="0.2">
      <c r="A25" s="1" t="str">
        <f t="shared" si="1"/>
        <v>Monte Berico</v>
      </c>
      <c r="B25" s="1" t="str">
        <f t="shared" si="3"/>
        <v>Italy</v>
      </c>
      <c r="C25" s="1" t="s">
        <v>1076</v>
      </c>
      <c r="D25" s="1" t="e">
        <f t="shared" si="0"/>
        <v>#VALUE!</v>
      </c>
      <c r="E25" s="1" t="s">
        <v>1196</v>
      </c>
      <c r="F25" s="1" t="s">
        <v>11</v>
      </c>
    </row>
    <row r="26" spans="1:6" x14ac:dyDescent="0.2">
      <c r="A26" s="1" t="str">
        <f t="shared" si="1"/>
        <v>Caravaggio</v>
      </c>
      <c r="B26" s="1" t="str">
        <f t="shared" si="3"/>
        <v>Italy</v>
      </c>
      <c r="C26" s="1" t="s">
        <v>1077</v>
      </c>
      <c r="D26" s="1" t="e">
        <f t="shared" si="0"/>
        <v>#VALUE!</v>
      </c>
      <c r="E26" s="1" t="s">
        <v>1197</v>
      </c>
      <c r="F26" s="1" t="s">
        <v>11</v>
      </c>
    </row>
    <row r="27" spans="1:6" x14ac:dyDescent="0.2">
      <c r="A27" s="1" t="str">
        <f t="shared" si="1"/>
        <v>Desenzano Di Albino</v>
      </c>
      <c r="B27" s="1" t="str">
        <f t="shared" si="3"/>
        <v>Italy</v>
      </c>
      <c r="C27" s="1" t="s">
        <v>1078</v>
      </c>
      <c r="D27" s="1" t="e">
        <f t="shared" si="0"/>
        <v>#VALUE!</v>
      </c>
      <c r="E27" s="1" t="s">
        <v>1198</v>
      </c>
      <c r="F27" s="1" t="s">
        <v>11</v>
      </c>
    </row>
    <row r="28" spans="1:6" x14ac:dyDescent="0.2">
      <c r="A28" s="1" t="str">
        <f t="shared" si="1"/>
        <v>Fuerteventura</v>
      </c>
      <c r="B28" s="1" t="str">
        <f t="shared" si="3"/>
        <v>Spain</v>
      </c>
      <c r="C28" s="1" t="s">
        <v>1079</v>
      </c>
      <c r="D28" s="1" t="e">
        <f t="shared" si="0"/>
        <v>#VALUE!</v>
      </c>
      <c r="E28" s="1" t="s">
        <v>1199</v>
      </c>
      <c r="F28" s="1" t="s">
        <v>550</v>
      </c>
    </row>
    <row r="29" spans="1:6" x14ac:dyDescent="0.2">
      <c r="A29" s="1" t="str">
        <f t="shared" si="1"/>
        <v>Sant'Anastasia</v>
      </c>
      <c r="B29" s="1" t="str">
        <f t="shared" si="3"/>
        <v>Italy</v>
      </c>
      <c r="C29" s="1" t="s">
        <v>1309</v>
      </c>
      <c r="D29" s="1" t="e">
        <f t="shared" si="0"/>
        <v>#VALUE!</v>
      </c>
      <c r="E29" s="1" t="s">
        <v>1310</v>
      </c>
      <c r="F29" s="1" t="s">
        <v>11</v>
      </c>
    </row>
    <row r="30" spans="1:6" x14ac:dyDescent="0.2">
      <c r="A30" s="1" t="str">
        <f t="shared" si="1"/>
        <v>Ghisalba</v>
      </c>
      <c r="B30" s="1" t="str">
        <f t="shared" si="3"/>
        <v>Italy</v>
      </c>
      <c r="C30" s="1" t="s">
        <v>1080</v>
      </c>
      <c r="D30" s="1" t="e">
        <f t="shared" si="0"/>
        <v>#VALUE!</v>
      </c>
      <c r="E30" s="1" t="s">
        <v>1200</v>
      </c>
      <c r="F30" s="1" t="s">
        <v>11</v>
      </c>
    </row>
    <row r="31" spans="1:6" x14ac:dyDescent="0.2">
      <c r="A31" s="1" t="str">
        <f t="shared" si="1"/>
        <v>Garlasco</v>
      </c>
      <c r="B31" s="1" t="str">
        <f t="shared" si="3"/>
        <v>Italy</v>
      </c>
      <c r="C31" s="1" t="s">
        <v>1081</v>
      </c>
      <c r="D31" s="1" t="e">
        <f t="shared" si="0"/>
        <v>#VALUE!</v>
      </c>
      <c r="E31" s="1" t="s">
        <v>1201</v>
      </c>
      <c r="F31" s="1" t="s">
        <v>11</v>
      </c>
    </row>
    <row r="32" spans="1:6" x14ac:dyDescent="0.2">
      <c r="A32" s="1" t="str">
        <f t="shared" si="1"/>
        <v>Genazzano</v>
      </c>
      <c r="B32" s="1" t="str">
        <f t="shared" si="3"/>
        <v>Italy</v>
      </c>
      <c r="C32" s="1" t="s">
        <v>1082</v>
      </c>
      <c r="D32" s="1" t="e">
        <f t="shared" si="0"/>
        <v>#VALUE!</v>
      </c>
      <c r="E32" s="1" t="s">
        <v>1202</v>
      </c>
      <c r="F32" s="1" t="s">
        <v>11</v>
      </c>
    </row>
    <row r="33" spans="1:6" x14ac:dyDescent="0.2">
      <c r="A33" s="1" t="str">
        <f t="shared" si="1"/>
        <v>Badia Di Cava</v>
      </c>
      <c r="B33" s="1" t="str">
        <f t="shared" si="3"/>
        <v>Italy</v>
      </c>
      <c r="C33" s="1" t="s">
        <v>1083</v>
      </c>
      <c r="D33" s="1" t="e">
        <f t="shared" si="0"/>
        <v>#VALUE!</v>
      </c>
      <c r="E33" s="1" t="s">
        <v>1203</v>
      </c>
      <c r="F33" s="1" t="s">
        <v>11</v>
      </c>
    </row>
    <row r="34" spans="1:6" x14ac:dyDescent="0.2">
      <c r="A34" s="1" t="str">
        <f t="shared" si="1"/>
        <v>Boccadirio</v>
      </c>
      <c r="B34" s="1" t="str">
        <f t="shared" si="3"/>
        <v>Italy</v>
      </c>
      <c r="C34" s="1" t="s">
        <v>1084</v>
      </c>
      <c r="D34" s="1" t="e">
        <f t="shared" si="0"/>
        <v>#VALUE!</v>
      </c>
      <c r="E34" s="1" t="s">
        <v>1204</v>
      </c>
      <c r="F34" s="1" t="s">
        <v>11</v>
      </c>
    </row>
    <row r="35" spans="1:6" x14ac:dyDescent="0.2">
      <c r="A35" s="1" t="str">
        <f t="shared" si="1"/>
        <v>Teror</v>
      </c>
      <c r="B35" s="1" t="str">
        <f t="shared" si="3"/>
        <v>Spain</v>
      </c>
      <c r="C35" s="1" t="s">
        <v>1085</v>
      </c>
      <c r="D35" s="1" t="e">
        <f t="shared" si="0"/>
        <v>#VALUE!</v>
      </c>
      <c r="E35" s="1" t="s">
        <v>1205</v>
      </c>
      <c r="F35" s="1" t="s">
        <v>550</v>
      </c>
    </row>
    <row r="36" spans="1:6" x14ac:dyDescent="0.2">
      <c r="A36" s="1" t="str">
        <f t="shared" si="1"/>
        <v>Imola</v>
      </c>
      <c r="B36" s="1" t="str">
        <f t="shared" si="3"/>
        <v>Italy</v>
      </c>
      <c r="C36" s="1" t="s">
        <v>1086</v>
      </c>
      <c r="D36" s="1" t="e">
        <f t="shared" si="0"/>
        <v>#VALUE!</v>
      </c>
      <c r="E36" s="1" t="s">
        <v>1206</v>
      </c>
      <c r="F36" s="1" t="s">
        <v>11</v>
      </c>
    </row>
    <row r="37" spans="1:6" x14ac:dyDescent="0.2">
      <c r="A37" s="1" t="str">
        <f t="shared" si="1"/>
        <v>Agres</v>
      </c>
      <c r="B37" s="1" t="str">
        <f t="shared" si="3"/>
        <v>Spain</v>
      </c>
      <c r="C37" s="1" t="s">
        <v>1087</v>
      </c>
      <c r="D37" s="1" t="e">
        <f t="shared" si="0"/>
        <v>#VALUE!</v>
      </c>
      <c r="E37" s="1" t="s">
        <v>1207</v>
      </c>
      <c r="F37" s="1" t="s">
        <v>550</v>
      </c>
    </row>
    <row r="38" spans="1:6" x14ac:dyDescent="0.2">
      <c r="A38" s="1" t="str">
        <f t="shared" si="1"/>
        <v>Pontassieve</v>
      </c>
      <c r="B38" s="1" t="str">
        <f t="shared" si="3"/>
        <v>Italy</v>
      </c>
      <c r="C38" s="1" t="s">
        <v>1087</v>
      </c>
      <c r="D38" s="1" t="e">
        <f t="shared" si="0"/>
        <v>#VALUE!</v>
      </c>
      <c r="E38" s="1" t="s">
        <v>1208</v>
      </c>
      <c r="F38" s="1" t="s">
        <v>11</v>
      </c>
    </row>
    <row r="39" spans="1:6" x14ac:dyDescent="0.2">
      <c r="A39" s="1" t="str">
        <f t="shared" si="1"/>
        <v>Genoa</v>
      </c>
      <c r="B39" s="1" t="str">
        <f t="shared" si="3"/>
        <v>Italy</v>
      </c>
      <c r="C39" s="1" t="s">
        <v>1088</v>
      </c>
      <c r="D39" s="1" t="e">
        <f t="shared" si="0"/>
        <v>#VALUE!</v>
      </c>
      <c r="E39" s="1" t="s">
        <v>1209</v>
      </c>
      <c r="F39" s="1" t="s">
        <v>11</v>
      </c>
    </row>
    <row r="40" spans="1:6" x14ac:dyDescent="0.2">
      <c r="A40" s="1" t="str">
        <f t="shared" si="1"/>
        <v>Trois-Epis</v>
      </c>
      <c r="B40" s="1" t="str">
        <f t="shared" si="3"/>
        <v>France</v>
      </c>
      <c r="C40" s="1" t="s">
        <v>1089</v>
      </c>
      <c r="D40" s="1" t="e">
        <f t="shared" si="0"/>
        <v>#VALUE!</v>
      </c>
      <c r="E40" s="1" t="s">
        <v>1210</v>
      </c>
      <c r="F40" s="1" t="s">
        <v>555</v>
      </c>
    </row>
    <row r="41" spans="1:6" x14ac:dyDescent="0.2">
      <c r="A41" s="1" t="str">
        <f t="shared" si="1"/>
        <v>Gallivaggio</v>
      </c>
      <c r="B41" s="1" t="str">
        <f t="shared" si="3"/>
        <v>Italy</v>
      </c>
      <c r="C41" s="1" t="s">
        <v>1090</v>
      </c>
      <c r="D41" s="1" t="e">
        <f t="shared" si="0"/>
        <v>#VALUE!</v>
      </c>
      <c r="E41" s="1" t="s">
        <v>1211</v>
      </c>
      <c r="F41" s="1" t="s">
        <v>11</v>
      </c>
    </row>
    <row r="42" spans="1:6" x14ac:dyDescent="0.2">
      <c r="A42" s="1" t="str">
        <f t="shared" si="1"/>
        <v>Re</v>
      </c>
      <c r="B42" s="1" t="str">
        <f t="shared" si="3"/>
        <v>Italy</v>
      </c>
      <c r="C42" s="1" t="s">
        <v>1091</v>
      </c>
      <c r="D42" s="1" t="e">
        <f t="shared" si="0"/>
        <v>#VALUE!</v>
      </c>
      <c r="E42" s="1" t="s">
        <v>1212</v>
      </c>
      <c r="F42" s="1" t="s">
        <v>11</v>
      </c>
    </row>
    <row r="43" spans="1:6" x14ac:dyDescent="0.2">
      <c r="A43" s="1" t="str">
        <f t="shared" si="1"/>
        <v>Bettola</v>
      </c>
      <c r="B43" s="1" t="str">
        <f t="shared" si="3"/>
        <v>Italy</v>
      </c>
      <c r="C43" s="1" t="s">
        <v>1092</v>
      </c>
      <c r="D43" s="1" t="e">
        <f t="shared" si="0"/>
        <v>#VALUE!</v>
      </c>
      <c r="E43" s="1" t="s">
        <v>1213</v>
      </c>
      <c r="F43" s="1" t="s">
        <v>11</v>
      </c>
    </row>
    <row r="44" spans="1:6" x14ac:dyDescent="0.2">
      <c r="A44" s="1" t="str">
        <f t="shared" si="1"/>
        <v>Molare</v>
      </c>
      <c r="B44" s="1" t="str">
        <f t="shared" si="3"/>
        <v>Italy</v>
      </c>
      <c r="C44" s="1" t="s">
        <v>1093</v>
      </c>
      <c r="D44" s="1" t="e">
        <f t="shared" si="0"/>
        <v>#VALUE!</v>
      </c>
      <c r="E44" s="1" t="s">
        <v>1214</v>
      </c>
      <c r="F44" s="1" t="s">
        <v>11</v>
      </c>
    </row>
    <row r="45" spans="1:6" x14ac:dyDescent="0.2">
      <c r="A45" s="1" t="str">
        <f t="shared" si="1"/>
        <v>Vailankanni</v>
      </c>
      <c r="B45" s="1" t="str">
        <f t="shared" si="3"/>
        <v>India</v>
      </c>
      <c r="C45" s="1" t="s">
        <v>1093</v>
      </c>
      <c r="D45" s="1" t="e">
        <f t="shared" si="0"/>
        <v>#VALUE!</v>
      </c>
      <c r="E45" s="1" t="s">
        <v>1215</v>
      </c>
      <c r="F45" s="1" t="s">
        <v>2</v>
      </c>
    </row>
    <row r="46" spans="1:6" x14ac:dyDescent="0.2">
      <c r="A46" s="1" t="str">
        <f t="shared" si="1"/>
        <v>Andacollo</v>
      </c>
      <c r="B46" s="1" t="str">
        <f t="shared" si="3"/>
        <v>Chile</v>
      </c>
      <c r="C46" s="1" t="s">
        <v>1093</v>
      </c>
      <c r="D46" s="1" t="e">
        <f t="shared" si="0"/>
        <v>#VALUE!</v>
      </c>
      <c r="E46" s="1" t="s">
        <v>1216</v>
      </c>
      <c r="F46" s="1" t="s">
        <v>529</v>
      </c>
    </row>
    <row r="47" spans="1:6" x14ac:dyDescent="0.2">
      <c r="A47" s="1" t="str">
        <f t="shared" si="1"/>
        <v>Luggau</v>
      </c>
      <c r="B47" s="1" t="str">
        <f t="shared" si="3"/>
        <v>Austria</v>
      </c>
      <c r="C47" s="1" t="s">
        <v>1093</v>
      </c>
      <c r="D47" s="1" t="e">
        <f t="shared" si="0"/>
        <v>#VALUE!</v>
      </c>
      <c r="E47" s="1" t="s">
        <v>1217</v>
      </c>
      <c r="F47" s="1" t="s">
        <v>500</v>
      </c>
    </row>
    <row r="48" spans="1:6" x14ac:dyDescent="0.2">
      <c r="A48" s="1" t="str">
        <f t="shared" si="1"/>
        <v>Tirano</v>
      </c>
      <c r="B48" s="1" t="str">
        <f t="shared" si="3"/>
        <v>Italy</v>
      </c>
      <c r="C48" s="1" t="s">
        <v>1094</v>
      </c>
      <c r="D48" s="1" t="e">
        <f t="shared" si="0"/>
        <v>#VALUE!</v>
      </c>
      <c r="E48" s="1" t="s">
        <v>1218</v>
      </c>
      <c r="F48" s="1" t="s">
        <v>11</v>
      </c>
    </row>
    <row r="49" spans="1:6" x14ac:dyDescent="0.2">
      <c r="A49" s="1" t="str">
        <f t="shared" si="1"/>
        <v>Motta Di Livenza</v>
      </c>
      <c r="B49" s="1" t="str">
        <f t="shared" si="3"/>
        <v>Italy</v>
      </c>
      <c r="C49" s="1" t="s">
        <v>1095</v>
      </c>
      <c r="D49" s="1" t="e">
        <f t="shared" si="0"/>
        <v>#VALUE!</v>
      </c>
      <c r="E49" s="1" t="s">
        <v>1219</v>
      </c>
      <c r="F49" s="1" t="s">
        <v>11</v>
      </c>
    </row>
    <row r="50" spans="1:6" x14ac:dyDescent="0.2">
      <c r="A50" s="1" t="str">
        <f t="shared" si="1"/>
        <v>Peschiera Sul Garda</v>
      </c>
      <c r="B50" s="1" t="str">
        <f t="shared" si="3"/>
        <v>Italy</v>
      </c>
      <c r="C50" s="1" t="s">
        <v>1095</v>
      </c>
      <c r="D50" s="1" t="e">
        <f t="shared" si="0"/>
        <v>#VALUE!</v>
      </c>
      <c r="E50" s="1" t="s">
        <v>1220</v>
      </c>
      <c r="F50" s="1" t="s">
        <v>11</v>
      </c>
    </row>
    <row r="51" spans="1:6" x14ac:dyDescent="0.2">
      <c r="A51" s="1" t="str">
        <f t="shared" si="1"/>
        <v>Bergamo</v>
      </c>
      <c r="B51" s="1" t="str">
        <f t="shared" si="3"/>
        <v>Italy</v>
      </c>
      <c r="C51" s="1" t="s">
        <v>1095</v>
      </c>
      <c r="D51" s="1" t="e">
        <f t="shared" si="0"/>
        <v>#VALUE!</v>
      </c>
      <c r="E51" s="1" t="s">
        <v>1221</v>
      </c>
      <c r="F51" s="1" t="s">
        <v>11</v>
      </c>
    </row>
    <row r="52" spans="1:6" x14ac:dyDescent="0.2">
      <c r="A52" s="1" t="str">
        <f t="shared" si="1"/>
        <v>Rzeszów</v>
      </c>
      <c r="B52" s="1" t="str">
        <f t="shared" si="3"/>
        <v>Poland</v>
      </c>
      <c r="C52" s="1" t="s">
        <v>1096</v>
      </c>
      <c r="D52" s="1" t="e">
        <f t="shared" si="0"/>
        <v>#VALUE!</v>
      </c>
      <c r="E52" s="1" t="s">
        <v>1222</v>
      </c>
      <c r="F52" s="1" t="s">
        <v>649</v>
      </c>
    </row>
    <row r="53" spans="1:6" x14ac:dyDescent="0.2">
      <c r="A53" s="1" t="str">
        <f t="shared" si="1"/>
        <v>Garaison</v>
      </c>
      <c r="B53" s="1" t="str">
        <f t="shared" si="3"/>
        <v>France</v>
      </c>
      <c r="C53" s="1" t="s">
        <v>1097</v>
      </c>
      <c r="D53" s="1" t="e">
        <f t="shared" si="0"/>
        <v>#VALUE!</v>
      </c>
      <c r="E53" s="1" t="s">
        <v>1223</v>
      </c>
      <c r="F53" s="1" t="s">
        <v>555</v>
      </c>
    </row>
    <row r="54" spans="1:6" x14ac:dyDescent="0.2">
      <c r="A54" s="1" t="str">
        <f t="shared" si="1"/>
        <v>Adro</v>
      </c>
      <c r="B54" s="1" t="str">
        <f t="shared" si="3"/>
        <v>Italy</v>
      </c>
      <c r="C54" s="1" t="s">
        <v>1098</v>
      </c>
      <c r="D54" s="1" t="e">
        <f t="shared" si="0"/>
        <v>#VALUE!</v>
      </c>
      <c r="E54" s="1" t="s">
        <v>1224</v>
      </c>
      <c r="F54" s="1" t="s">
        <v>11</v>
      </c>
    </row>
    <row r="55" spans="1:6" x14ac:dyDescent="0.2">
      <c r="A55" s="1" t="str">
        <f t="shared" si="1"/>
        <v>Cotignac</v>
      </c>
      <c r="B55" s="1" t="str">
        <f t="shared" si="3"/>
        <v>France</v>
      </c>
      <c r="C55" s="1" t="s">
        <v>1099</v>
      </c>
      <c r="D55" s="1" t="e">
        <f t="shared" si="0"/>
        <v>#VALUE!</v>
      </c>
      <c r="E55" s="1" t="s">
        <v>1225</v>
      </c>
      <c r="F55" s="1" t="s">
        <v>555</v>
      </c>
    </row>
    <row r="56" spans="1:6" x14ac:dyDescent="0.2">
      <c r="A56" s="1" t="str">
        <f t="shared" si="1"/>
        <v>Cori</v>
      </c>
      <c r="B56" s="1" t="str">
        <f t="shared" si="3"/>
        <v>Italy</v>
      </c>
      <c r="C56" s="1" t="s">
        <v>1100</v>
      </c>
      <c r="D56" s="1" t="e">
        <f t="shared" si="0"/>
        <v>#VALUE!</v>
      </c>
      <c r="E56" s="1" t="s">
        <v>1226</v>
      </c>
      <c r="F56" s="1" t="s">
        <v>11</v>
      </c>
    </row>
    <row r="57" spans="1:6" x14ac:dyDescent="0.2">
      <c r="A57" s="1" t="str">
        <f t="shared" si="1"/>
        <v>Cussanio</v>
      </c>
      <c r="B57" s="1" t="str">
        <f t="shared" si="3"/>
        <v>Italy</v>
      </c>
      <c r="C57" s="1" t="s">
        <v>1100</v>
      </c>
      <c r="D57" s="1" t="e">
        <f t="shared" si="0"/>
        <v>#VALUE!</v>
      </c>
      <c r="E57" s="1" t="s">
        <v>1227</v>
      </c>
      <c r="F57" s="1" t="s">
        <v>11</v>
      </c>
    </row>
    <row r="58" spans="1:6" x14ac:dyDescent="0.2">
      <c r="A58" s="1" t="str">
        <f t="shared" si="1"/>
        <v>Crescentino</v>
      </c>
      <c r="B58" s="1" t="str">
        <f t="shared" si="3"/>
        <v>Italy</v>
      </c>
      <c r="C58" s="1" t="s">
        <v>1101</v>
      </c>
      <c r="D58" s="1" t="e">
        <f t="shared" si="0"/>
        <v>#VALUE!</v>
      </c>
      <c r="E58" s="1" t="s">
        <v>1228</v>
      </c>
      <c r="F58" s="1" t="s">
        <v>11</v>
      </c>
    </row>
    <row r="59" spans="1:6" x14ac:dyDescent="0.2">
      <c r="A59" s="1" t="str">
        <f t="shared" si="1"/>
        <v>Ornavasso</v>
      </c>
      <c r="B59" s="1" t="str">
        <f t="shared" si="3"/>
        <v>Italy</v>
      </c>
      <c r="C59" s="1" t="s">
        <v>1102</v>
      </c>
      <c r="D59" s="1" t="e">
        <f t="shared" si="0"/>
        <v>#VALUE!</v>
      </c>
      <c r="E59" s="1" t="s">
        <v>1229</v>
      </c>
      <c r="F59" s="1" t="s">
        <v>11</v>
      </c>
    </row>
    <row r="60" spans="1:6" x14ac:dyDescent="0.2">
      <c r="A60" s="1" t="s">
        <v>1000</v>
      </c>
      <c r="B60" s="1" t="s">
        <v>628</v>
      </c>
      <c r="C60" s="1">
        <v>1531</v>
      </c>
      <c r="D60" s="1" t="e">
        <f t="shared" si="0"/>
        <v>#VALUE!</v>
      </c>
      <c r="E60" s="1" t="e">
        <v>#VALUE!</v>
      </c>
    </row>
    <row r="61" spans="1:6" x14ac:dyDescent="0.2">
      <c r="A61" s="1" t="str">
        <f t="shared" ref="A61:A72" si="4">E61</f>
        <v>Savona</v>
      </c>
      <c r="B61" s="1" t="str">
        <f t="shared" ref="B61:B72" si="5">F61</f>
        <v>Italy</v>
      </c>
      <c r="C61" s="1" t="s">
        <v>1103</v>
      </c>
      <c r="D61" s="1" t="e">
        <f t="shared" si="0"/>
        <v>#VALUE!</v>
      </c>
      <c r="E61" s="1" t="s">
        <v>1230</v>
      </c>
      <c r="F61" s="1" t="s">
        <v>11</v>
      </c>
    </row>
    <row r="62" spans="1:6" x14ac:dyDescent="0.2">
      <c r="A62" s="1" t="str">
        <f t="shared" si="4"/>
        <v>Sveta Gora</v>
      </c>
      <c r="B62" s="1" t="str">
        <f t="shared" si="5"/>
        <v>Slovenia</v>
      </c>
      <c r="C62" s="1" t="s">
        <v>1104</v>
      </c>
      <c r="D62" s="1" t="e">
        <f t="shared" si="0"/>
        <v>#VALUE!</v>
      </c>
      <c r="E62" s="1" t="s">
        <v>1231</v>
      </c>
      <c r="F62" s="1" t="s">
        <v>667</v>
      </c>
    </row>
    <row r="63" spans="1:6" x14ac:dyDescent="0.2">
      <c r="A63" s="1" t="str">
        <f t="shared" si="4"/>
        <v>Ocotlán</v>
      </c>
      <c r="B63" s="1" t="str">
        <f t="shared" si="5"/>
        <v>Mexico</v>
      </c>
      <c r="C63" s="1" t="s">
        <v>1105</v>
      </c>
      <c r="D63" s="1" t="e">
        <f t="shared" si="0"/>
        <v>#VALUE!</v>
      </c>
      <c r="E63" s="1" t="s">
        <v>1232</v>
      </c>
      <c r="F63" s="1" t="s">
        <v>628</v>
      </c>
    </row>
    <row r="64" spans="1:6" x14ac:dyDescent="0.2">
      <c r="A64" s="1" t="str">
        <f t="shared" si="4"/>
        <v>Vacciago</v>
      </c>
      <c r="B64" s="1" t="str">
        <f t="shared" si="5"/>
        <v>Italy</v>
      </c>
      <c r="C64" s="1" t="s">
        <v>1106</v>
      </c>
      <c r="D64" s="1" t="e">
        <f t="shared" si="0"/>
        <v>#VALUE!</v>
      </c>
      <c r="E64" s="1" t="s">
        <v>1233</v>
      </c>
      <c r="F64" s="1" t="s">
        <v>11</v>
      </c>
    </row>
    <row r="65" spans="1:6" x14ac:dyDescent="0.2">
      <c r="A65" s="1" t="str">
        <f t="shared" si="4"/>
        <v>Pietralba</v>
      </c>
      <c r="B65" s="1" t="str">
        <f t="shared" si="5"/>
        <v>Italy</v>
      </c>
      <c r="C65" s="1" t="s">
        <v>1107</v>
      </c>
      <c r="D65" s="1" t="e">
        <f t="shared" si="0"/>
        <v>#VALUE!</v>
      </c>
      <c r="E65" s="1" t="s">
        <v>1234</v>
      </c>
      <c r="F65" s="1" t="s">
        <v>11</v>
      </c>
    </row>
    <row r="66" spans="1:6" x14ac:dyDescent="0.2">
      <c r="A66" s="1" t="str">
        <f t="shared" si="4"/>
        <v>Corbetta</v>
      </c>
      <c r="B66" s="1" t="str">
        <f t="shared" si="5"/>
        <v>Italy</v>
      </c>
      <c r="C66" s="1" t="s">
        <v>1108</v>
      </c>
      <c r="D66" s="1" t="e">
        <f t="shared" si="0"/>
        <v>#VALUE!</v>
      </c>
      <c r="E66" s="1" t="s">
        <v>1235</v>
      </c>
      <c r="F66" s="1" t="s">
        <v>11</v>
      </c>
    </row>
    <row r="67" spans="1:6" x14ac:dyDescent="0.2">
      <c r="A67" s="1" t="str">
        <f t="shared" si="4"/>
        <v>Arcola</v>
      </c>
      <c r="B67" s="1" t="str">
        <f t="shared" si="5"/>
        <v>Italy</v>
      </c>
      <c r="C67" s="1" t="s">
        <v>1109</v>
      </c>
      <c r="D67" s="1" t="e">
        <f t="shared" ref="D67:D130" si="6">MID(A67,FIND(". ",A67)+2,LEN(A67))</f>
        <v>#VALUE!</v>
      </c>
      <c r="E67" s="1" t="s">
        <v>1236</v>
      </c>
      <c r="F67" s="1" t="s">
        <v>11</v>
      </c>
    </row>
    <row r="68" spans="1:6" x14ac:dyDescent="0.2">
      <c r="A68" s="1" t="str">
        <f t="shared" si="4"/>
        <v>Giulianova</v>
      </c>
      <c r="B68" s="1" t="str">
        <f t="shared" si="5"/>
        <v>Italy</v>
      </c>
      <c r="C68" s="1" t="s">
        <v>1110</v>
      </c>
      <c r="D68" s="1" t="e">
        <f t="shared" si="6"/>
        <v>#VALUE!</v>
      </c>
      <c r="E68" s="1" t="s">
        <v>1237</v>
      </c>
      <c r="F68" s="1" t="s">
        <v>11</v>
      </c>
    </row>
    <row r="69" spans="1:6" x14ac:dyDescent="0.2">
      <c r="A69" s="1" t="str">
        <f t="shared" si="4"/>
        <v>Gerosa</v>
      </c>
      <c r="B69" s="1" t="str">
        <f t="shared" si="5"/>
        <v>Italy</v>
      </c>
      <c r="C69" s="1" t="s">
        <v>1111</v>
      </c>
      <c r="D69" s="1" t="e">
        <f t="shared" si="6"/>
        <v>#VALUE!</v>
      </c>
      <c r="E69" s="1" t="s">
        <v>1238</v>
      </c>
      <c r="F69" s="1" t="s">
        <v>11</v>
      </c>
    </row>
    <row r="70" spans="1:6" x14ac:dyDescent="0.2">
      <c r="A70" s="1" t="str">
        <f t="shared" si="4"/>
        <v>Moncrivello</v>
      </c>
      <c r="B70" s="1" t="str">
        <f t="shared" si="5"/>
        <v>Italy</v>
      </c>
      <c r="C70" s="1" t="s">
        <v>1112</v>
      </c>
      <c r="D70" s="1" t="e">
        <f t="shared" si="6"/>
        <v>#VALUE!</v>
      </c>
      <c r="E70" s="1" t="s">
        <v>1239</v>
      </c>
      <c r="F70" s="1" t="s">
        <v>11</v>
      </c>
    </row>
    <row r="71" spans="1:6" x14ac:dyDescent="0.2">
      <c r="A71" s="1" t="str">
        <f t="shared" si="4"/>
        <v>Gozo</v>
      </c>
      <c r="B71" s="1" t="str">
        <f t="shared" si="5"/>
        <v>Malta</v>
      </c>
      <c r="C71" s="1" t="s">
        <v>1113</v>
      </c>
      <c r="D71" s="1" t="e">
        <f t="shared" si="6"/>
        <v>#VALUE!</v>
      </c>
      <c r="E71" s="1" t="s">
        <v>1240</v>
      </c>
      <c r="F71" s="1" t="s">
        <v>624</v>
      </c>
    </row>
    <row r="72" spans="1:6" x14ac:dyDescent="0.2">
      <c r="A72" s="1" t="str">
        <f t="shared" si="4"/>
        <v>Casalbordino</v>
      </c>
      <c r="B72" s="1" t="str">
        <f t="shared" si="5"/>
        <v>Italy</v>
      </c>
      <c r="C72" s="1" t="s">
        <v>1114</v>
      </c>
      <c r="D72" s="1" t="e">
        <f t="shared" si="6"/>
        <v>#VALUE!</v>
      </c>
      <c r="E72" s="1" t="s">
        <v>1241</v>
      </c>
      <c r="F72" s="1" t="s">
        <v>11</v>
      </c>
    </row>
    <row r="73" spans="1:6" x14ac:dyDescent="0.2">
      <c r="A73" s="1" t="s">
        <v>1047</v>
      </c>
      <c r="B73" s="1" t="s">
        <v>649</v>
      </c>
      <c r="C73" s="1">
        <v>1578</v>
      </c>
      <c r="D73" s="1" t="e">
        <f t="shared" si="6"/>
        <v>#VALUE!</v>
      </c>
      <c r="E73" s="1" t="e">
        <v>#VALUE!</v>
      </c>
    </row>
    <row r="74" spans="1:6" x14ac:dyDescent="0.2">
      <c r="A74" s="1" t="str">
        <f t="shared" ref="A74:A84" si="7">E74</f>
        <v>Lumarzo</v>
      </c>
      <c r="B74" s="1" t="str">
        <f t="shared" ref="B74:B84" si="8">F74</f>
        <v>Italy</v>
      </c>
      <c r="C74" s="1" t="s">
        <v>1115</v>
      </c>
      <c r="D74" s="1" t="e">
        <f t="shared" si="6"/>
        <v>#VALUE!</v>
      </c>
      <c r="E74" s="1" t="s">
        <v>1242</v>
      </c>
      <c r="F74" s="1" t="s">
        <v>11</v>
      </c>
    </row>
    <row r="75" spans="1:6" x14ac:dyDescent="0.2">
      <c r="A75" s="1" t="str">
        <f t="shared" si="7"/>
        <v>Chiquinquirá</v>
      </c>
      <c r="B75" s="1" t="str">
        <f t="shared" si="8"/>
        <v>Colombia</v>
      </c>
      <c r="C75" s="1" t="s">
        <v>1116</v>
      </c>
      <c r="D75" s="1" t="e">
        <f t="shared" si="6"/>
        <v>#VALUE!</v>
      </c>
      <c r="E75" s="1" t="s">
        <v>1243</v>
      </c>
      <c r="F75" s="1" t="s">
        <v>532</v>
      </c>
    </row>
    <row r="76" spans="1:6" x14ac:dyDescent="0.2">
      <c r="A76" s="1" t="str">
        <f t="shared" si="7"/>
        <v>Quinche</v>
      </c>
      <c r="B76" s="1" t="str">
        <f t="shared" si="8"/>
        <v>Ecuador</v>
      </c>
      <c r="C76" s="1" t="s">
        <v>1116</v>
      </c>
      <c r="D76" s="1" t="e">
        <f t="shared" si="6"/>
        <v>#VALUE!</v>
      </c>
      <c r="E76" s="1" t="s">
        <v>1244</v>
      </c>
      <c r="F76" s="1" t="s">
        <v>546</v>
      </c>
    </row>
    <row r="77" spans="1:6" x14ac:dyDescent="0.2">
      <c r="A77" s="1" t="str">
        <f t="shared" si="7"/>
        <v>Quito</v>
      </c>
      <c r="B77" s="1" t="str">
        <f t="shared" si="8"/>
        <v>Ecuador</v>
      </c>
      <c r="C77" s="1" t="s">
        <v>1117</v>
      </c>
      <c r="D77" s="1" t="e">
        <f t="shared" si="6"/>
        <v>#VALUE!</v>
      </c>
      <c r="E77" s="1" t="s">
        <v>1245</v>
      </c>
      <c r="F77" s="1" t="s">
        <v>546</v>
      </c>
    </row>
    <row r="78" spans="1:6" x14ac:dyDescent="0.2">
      <c r="A78" s="1" t="str">
        <f t="shared" si="7"/>
        <v>Rapallo</v>
      </c>
      <c r="B78" s="1" t="str">
        <f t="shared" si="8"/>
        <v>Italy</v>
      </c>
      <c r="C78" s="1" t="s">
        <v>1118</v>
      </c>
      <c r="D78" s="1" t="e">
        <f t="shared" si="6"/>
        <v>#VALUE!</v>
      </c>
      <c r="E78" s="1" t="s">
        <v>1246</v>
      </c>
      <c r="F78" s="1" t="s">
        <v>11</v>
      </c>
    </row>
    <row r="79" spans="1:6" x14ac:dyDescent="0.2">
      <c r="A79" s="1" t="str">
        <f t="shared" si="7"/>
        <v>Bétharram</v>
      </c>
      <c r="B79" s="1" t="str">
        <f t="shared" si="8"/>
        <v>France</v>
      </c>
      <c r="C79" s="1" t="s">
        <v>1119</v>
      </c>
      <c r="D79" s="1" t="e">
        <f t="shared" si="6"/>
        <v>#VALUE!</v>
      </c>
      <c r="E79" s="1" t="s">
        <v>1247</v>
      </c>
      <c r="F79" s="1" t="s">
        <v>555</v>
      </c>
    </row>
    <row r="80" spans="1:6" x14ac:dyDescent="0.2">
      <c r="A80" s="1" t="str">
        <f t="shared" si="7"/>
        <v>Luján</v>
      </c>
      <c r="B80" s="1" t="str">
        <f t="shared" si="8"/>
        <v>Argentina</v>
      </c>
      <c r="C80" s="1" t="s">
        <v>1120</v>
      </c>
      <c r="D80" s="1" t="e">
        <f t="shared" si="6"/>
        <v>#VALUE!</v>
      </c>
      <c r="E80" s="1" t="s">
        <v>1248</v>
      </c>
      <c r="F80" s="1" t="s">
        <v>498</v>
      </c>
    </row>
    <row r="81" spans="1:6" x14ac:dyDescent="0.2">
      <c r="A81" s="1" t="str">
        <f t="shared" si="7"/>
        <v>Caacupé</v>
      </c>
      <c r="B81" s="1" t="str">
        <f t="shared" si="8"/>
        <v>Paraguay</v>
      </c>
      <c r="C81" s="1" t="s">
        <v>1120</v>
      </c>
      <c r="D81" s="1" t="e">
        <f t="shared" si="6"/>
        <v>#VALUE!</v>
      </c>
      <c r="E81" s="1" t="s">
        <v>1249</v>
      </c>
      <c r="F81" s="1" t="s">
        <v>655</v>
      </c>
    </row>
    <row r="82" spans="1:6" x14ac:dyDescent="0.2">
      <c r="A82" s="1" t="str">
        <f t="shared" si="7"/>
        <v>Caysasay</v>
      </c>
      <c r="B82" s="1" t="str">
        <f t="shared" si="8"/>
        <v>Philippines</v>
      </c>
      <c r="C82" s="1" t="s">
        <v>1121</v>
      </c>
      <c r="D82" s="1" t="e">
        <f t="shared" si="6"/>
        <v>#VALUE!</v>
      </c>
      <c r="E82" s="1" t="s">
        <v>1250</v>
      </c>
      <c r="F82" s="1" t="s">
        <v>647</v>
      </c>
    </row>
    <row r="83" spans="1:6" x14ac:dyDescent="0.2">
      <c r="A83" s="1" t="str">
        <f t="shared" si="7"/>
        <v>Doroszló</v>
      </c>
      <c r="B83" s="1" t="str">
        <f t="shared" si="8"/>
        <v>Serbia</v>
      </c>
      <c r="C83" s="1" t="s">
        <v>1121</v>
      </c>
      <c r="D83" s="1" t="e">
        <f t="shared" si="6"/>
        <v>#VALUE!</v>
      </c>
      <c r="E83" s="1" t="s">
        <v>1251</v>
      </c>
      <c r="F83" s="1" t="s">
        <v>659</v>
      </c>
    </row>
    <row r="84" spans="1:6" x14ac:dyDescent="0.2">
      <c r="A84" s="1" t="str">
        <f t="shared" si="7"/>
        <v>Ardesio</v>
      </c>
      <c r="B84" s="1" t="str">
        <f t="shared" si="8"/>
        <v>Italy</v>
      </c>
      <c r="C84" s="1" t="s">
        <v>1122</v>
      </c>
      <c r="D84" s="1" t="e">
        <f t="shared" si="6"/>
        <v>#VALUE!</v>
      </c>
      <c r="E84" s="1" t="s">
        <v>1252</v>
      </c>
      <c r="F84" s="1" t="s">
        <v>11</v>
      </c>
    </row>
    <row r="85" spans="1:6" x14ac:dyDescent="0.2">
      <c r="A85" s="1" t="s">
        <v>1001</v>
      </c>
      <c r="B85" s="1" t="s">
        <v>605</v>
      </c>
      <c r="C85" s="1">
        <v>1608</v>
      </c>
      <c r="D85" s="1" t="e">
        <f t="shared" si="6"/>
        <v>#VALUE!</v>
      </c>
      <c r="E85" s="1" t="e">
        <v>#VALUE!</v>
      </c>
    </row>
    <row r="86" spans="1:6" x14ac:dyDescent="0.2">
      <c r="A86" s="1" t="str">
        <f t="shared" ref="A86:A95" si="9">E86</f>
        <v>Manaoag</v>
      </c>
      <c r="B86" s="1" t="str">
        <f t="shared" ref="B86:B95" si="10">F86</f>
        <v>Philippines</v>
      </c>
      <c r="C86" s="1" t="s">
        <v>1123</v>
      </c>
      <c r="D86" s="1" t="e">
        <f t="shared" si="6"/>
        <v>#VALUE!</v>
      </c>
      <c r="E86" s="1" t="s">
        <v>1253</v>
      </c>
      <c r="F86" s="1" t="s">
        <v>647</v>
      </c>
    </row>
    <row r="87" spans="1:6" x14ac:dyDescent="0.2">
      <c r="A87" s="1" t="str">
        <f t="shared" si="9"/>
        <v>El Cobre</v>
      </c>
      <c r="B87" s="1" t="str">
        <f t="shared" si="10"/>
        <v>Cuba</v>
      </c>
      <c r="C87" s="1" t="s">
        <v>1124</v>
      </c>
      <c r="D87" s="1" t="e">
        <f t="shared" si="6"/>
        <v>#VALUE!</v>
      </c>
      <c r="E87" s="1" t="s">
        <v>1311</v>
      </c>
      <c r="F87" s="1" t="s">
        <v>534</v>
      </c>
    </row>
    <row r="88" spans="1:6" x14ac:dyDescent="0.2">
      <c r="A88" s="1" t="str">
        <f t="shared" si="9"/>
        <v>San Salvatore Monferrato</v>
      </c>
      <c r="B88" s="1" t="str">
        <f t="shared" si="10"/>
        <v>Italy</v>
      </c>
      <c r="C88" s="1" t="s">
        <v>1125</v>
      </c>
      <c r="D88" s="1" t="e">
        <f t="shared" si="6"/>
        <v>#VALUE!</v>
      </c>
      <c r="E88" s="1" t="s">
        <v>1254</v>
      </c>
      <c r="F88" s="1" t="s">
        <v>11</v>
      </c>
    </row>
    <row r="89" spans="1:6" x14ac:dyDescent="0.2">
      <c r="A89" s="1" t="str">
        <f t="shared" si="9"/>
        <v>Marbach</v>
      </c>
      <c r="B89" s="1" t="str">
        <f t="shared" si="10"/>
        <v>Austria</v>
      </c>
      <c r="C89" s="1" t="s">
        <v>1126</v>
      </c>
      <c r="D89" s="1" t="e">
        <f t="shared" si="6"/>
        <v>#VALUE!</v>
      </c>
      <c r="E89" s="1" t="s">
        <v>1255</v>
      </c>
      <c r="F89" s="1" t="s">
        <v>500</v>
      </c>
    </row>
    <row r="90" spans="1:6" x14ac:dyDescent="0.2">
      <c r="A90" s="1" t="str">
        <f t="shared" si="9"/>
        <v>Cartago</v>
      </c>
      <c r="B90" s="1" t="str">
        <f t="shared" si="10"/>
        <v>Costa Rica</v>
      </c>
      <c r="C90" s="1" t="s">
        <v>1127</v>
      </c>
      <c r="D90" s="1" t="e">
        <f t="shared" si="6"/>
        <v>#VALUE!</v>
      </c>
      <c r="E90" s="1" t="s">
        <v>1256</v>
      </c>
      <c r="F90" s="1" t="s">
        <v>533</v>
      </c>
    </row>
    <row r="91" spans="1:6" x14ac:dyDescent="0.2">
      <c r="A91" s="1" t="str">
        <f t="shared" si="9"/>
        <v>Kevelaer</v>
      </c>
      <c r="B91" s="1" t="str">
        <f t="shared" si="10"/>
        <v>Germany</v>
      </c>
      <c r="C91" s="1" t="s">
        <v>1128</v>
      </c>
      <c r="D91" s="1" t="e">
        <f t="shared" si="6"/>
        <v>#VALUE!</v>
      </c>
      <c r="E91" s="1" t="s">
        <v>1257</v>
      </c>
      <c r="F91" s="1" t="s">
        <v>540</v>
      </c>
    </row>
    <row r="92" spans="1:6" x14ac:dyDescent="0.2">
      <c r="A92" s="1" t="str">
        <f t="shared" si="9"/>
        <v>Plantées</v>
      </c>
      <c r="B92" s="1" t="str">
        <f t="shared" si="10"/>
        <v>France</v>
      </c>
      <c r="C92" s="1" t="s">
        <v>1129</v>
      </c>
      <c r="D92" s="1" t="e">
        <f t="shared" si="6"/>
        <v>#VALUE!</v>
      </c>
      <c r="E92" s="1" t="s">
        <v>1258</v>
      </c>
      <c r="F92" s="1" t="s">
        <v>555</v>
      </c>
    </row>
    <row r="93" spans="1:6" x14ac:dyDescent="0.2">
      <c r="A93" s="1" t="str">
        <f t="shared" si="9"/>
        <v>Guanare</v>
      </c>
      <c r="B93" s="1" t="str">
        <f t="shared" si="10"/>
        <v>Venezuela</v>
      </c>
      <c r="C93" s="1" t="s">
        <v>1130</v>
      </c>
      <c r="D93" s="1" t="e">
        <f t="shared" si="6"/>
        <v>#VALUE!</v>
      </c>
      <c r="E93" s="1" t="s">
        <v>1259</v>
      </c>
      <c r="F93" s="1" t="s">
        <v>714</v>
      </c>
    </row>
    <row r="94" spans="1:6" x14ac:dyDescent="0.2">
      <c r="A94" s="1" t="str">
        <f t="shared" si="9"/>
        <v>La Prenessaye</v>
      </c>
      <c r="B94" s="1" t="str">
        <f t="shared" si="10"/>
        <v>France</v>
      </c>
      <c r="C94" s="1" t="s">
        <v>1131</v>
      </c>
      <c r="D94" s="1" t="e">
        <f t="shared" si="6"/>
        <v>#VALUE!</v>
      </c>
      <c r="E94" s="1" t="s">
        <v>1260</v>
      </c>
      <c r="F94" s="1" t="s">
        <v>555</v>
      </c>
    </row>
    <row r="95" spans="1:6" x14ac:dyDescent="0.2">
      <c r="A95" s="1" t="str">
        <f t="shared" si="9"/>
        <v>Pieve Di Tagliamento</v>
      </c>
      <c r="B95" s="1" t="str">
        <f t="shared" si="10"/>
        <v>Italy</v>
      </c>
      <c r="C95" s="1" t="s">
        <v>1132</v>
      </c>
      <c r="D95" s="1" t="e">
        <f t="shared" si="6"/>
        <v>#VALUE!</v>
      </c>
      <c r="E95" s="1" t="s">
        <v>1261</v>
      </c>
      <c r="F95" s="1" t="s">
        <v>11</v>
      </c>
    </row>
    <row r="96" spans="1:6" x14ac:dyDescent="0.2">
      <c r="A96" s="1" t="s">
        <v>1004</v>
      </c>
      <c r="B96" s="1" t="s">
        <v>555</v>
      </c>
      <c r="C96" s="1" t="s">
        <v>1007</v>
      </c>
      <c r="D96" s="1" t="e">
        <f t="shared" si="6"/>
        <v>#VALUE!</v>
      </c>
      <c r="E96" s="1" t="e">
        <v>#VALUE!</v>
      </c>
    </row>
    <row r="97" spans="1:6" x14ac:dyDescent="0.2">
      <c r="A97" s="1" t="str">
        <f t="shared" ref="A97:A109" si="11">E97</f>
        <v>San Bartolomeo Al Mare</v>
      </c>
      <c r="B97" s="1" t="str">
        <f t="shared" ref="B97:B103" si="12">F97</f>
        <v>Italy</v>
      </c>
      <c r="C97" s="1" t="s">
        <v>1133</v>
      </c>
      <c r="D97" s="1" t="e">
        <f t="shared" si="6"/>
        <v>#VALUE!</v>
      </c>
      <c r="E97" s="1" t="s">
        <v>1262</v>
      </c>
      <c r="F97" s="1" t="s">
        <v>11</v>
      </c>
    </row>
    <row r="98" spans="1:6" x14ac:dyDescent="0.2">
      <c r="A98" s="1" t="str">
        <f t="shared" si="11"/>
        <v>Máriapócs and Gyõr</v>
      </c>
      <c r="B98" s="1" t="str">
        <f t="shared" si="12"/>
        <v>Hungary</v>
      </c>
      <c r="C98" s="1" t="s">
        <v>1134</v>
      </c>
      <c r="D98" s="1" t="e">
        <f t="shared" si="6"/>
        <v>#VALUE!</v>
      </c>
      <c r="E98" s="1" t="s">
        <v>1263</v>
      </c>
      <c r="F98" s="1" t="s">
        <v>579</v>
      </c>
    </row>
    <row r="99" spans="1:6" x14ac:dyDescent="0.2">
      <c r="A99" s="1" t="str">
        <f t="shared" si="11"/>
        <v>Cotoca</v>
      </c>
      <c r="B99" s="1" t="str">
        <f t="shared" si="12"/>
        <v>Bolivia</v>
      </c>
      <c r="C99" s="1" t="s">
        <v>1135</v>
      </c>
      <c r="D99" s="1" t="e">
        <f t="shared" si="6"/>
        <v>#VALUE!</v>
      </c>
      <c r="E99" s="1" t="s">
        <v>1264</v>
      </c>
      <c r="F99" s="1" t="s">
        <v>706</v>
      </c>
    </row>
    <row r="100" spans="1:6" x14ac:dyDescent="0.2">
      <c r="A100" s="1" t="str">
        <f t="shared" si="11"/>
        <v>Quillacollo</v>
      </c>
      <c r="B100" s="1" t="str">
        <f t="shared" si="12"/>
        <v>Bolivia</v>
      </c>
      <c r="C100" s="1" t="s">
        <v>1136</v>
      </c>
      <c r="D100" s="1" t="e">
        <f t="shared" si="6"/>
        <v>#VALUE!</v>
      </c>
      <c r="E100" s="1" t="s">
        <v>1265</v>
      </c>
      <c r="F100" s="1" t="s">
        <v>706</v>
      </c>
    </row>
    <row r="101" spans="1:6" x14ac:dyDescent="0.2">
      <c r="A101" s="1" t="str">
        <f t="shared" si="11"/>
        <v>Pellestrina</v>
      </c>
      <c r="B101" s="1" t="str">
        <f t="shared" si="12"/>
        <v>Italy</v>
      </c>
      <c r="C101" s="1" t="s">
        <v>1137</v>
      </c>
      <c r="D101" s="1" t="e">
        <f t="shared" si="6"/>
        <v>#VALUE!</v>
      </c>
      <c r="E101" s="1" t="s">
        <v>1266</v>
      </c>
      <c r="F101" s="1" t="s">
        <v>11</v>
      </c>
    </row>
    <row r="102" spans="1:6" x14ac:dyDescent="0.2">
      <c r="A102" s="1" t="str">
        <f t="shared" si="11"/>
        <v>Vale Do Paraíba</v>
      </c>
      <c r="B102" s="1" t="str">
        <f t="shared" si="12"/>
        <v>Brazil</v>
      </c>
      <c r="C102" s="1" t="s">
        <v>1138</v>
      </c>
      <c r="D102" s="1" t="e">
        <f t="shared" si="6"/>
        <v>#VALUE!</v>
      </c>
      <c r="E102" s="1" t="s">
        <v>1267</v>
      </c>
      <c r="F102" s="1" t="s">
        <v>516</v>
      </c>
    </row>
    <row r="103" spans="1:6" x14ac:dyDescent="0.2">
      <c r="A103" s="1" t="str">
        <f t="shared" si="11"/>
        <v>Montagnaga Di Pine’</v>
      </c>
      <c r="B103" s="1" t="str">
        <f t="shared" si="12"/>
        <v>Italy</v>
      </c>
      <c r="C103" s="1" t="s">
        <v>1139</v>
      </c>
      <c r="D103" s="1" t="e">
        <f t="shared" si="6"/>
        <v>#VALUE!</v>
      </c>
      <c r="E103" s="1" t="s">
        <v>1268</v>
      </c>
      <c r="F103" s="1" t="s">
        <v>11</v>
      </c>
    </row>
    <row r="104" spans="1:6" x14ac:dyDescent="0.2">
      <c r="A104" s="1" t="str">
        <f t="shared" si="11"/>
        <v>Rome (Our Lady of Divine Love)</v>
      </c>
      <c r="B104" s="1" t="s">
        <v>727</v>
      </c>
      <c r="C104" s="1" t="s">
        <v>1140</v>
      </c>
      <c r="D104" s="1" t="e">
        <f t="shared" si="6"/>
        <v>#VALUE!</v>
      </c>
      <c r="E104" s="1" t="s">
        <v>1307</v>
      </c>
      <c r="F104" s="1" t="s">
        <v>11</v>
      </c>
    </row>
    <row r="105" spans="1:6" x14ac:dyDescent="0.2">
      <c r="A105" s="1" t="str">
        <f t="shared" si="11"/>
        <v>Chaguaya</v>
      </c>
      <c r="B105" s="1" t="str">
        <f>F105</f>
        <v>Bolivia</v>
      </c>
      <c r="C105" s="1" t="s">
        <v>1141</v>
      </c>
      <c r="D105" s="1" t="e">
        <f t="shared" si="6"/>
        <v>#VALUE!</v>
      </c>
      <c r="E105" s="1" t="s">
        <v>1269</v>
      </c>
      <c r="F105" s="1" t="s">
        <v>706</v>
      </c>
    </row>
    <row r="106" spans="1:6" x14ac:dyDescent="0.2">
      <c r="A106" s="1" t="str">
        <f t="shared" si="11"/>
        <v>Las Lajas</v>
      </c>
      <c r="B106" s="1" t="str">
        <f>F106</f>
        <v>Colombia</v>
      </c>
      <c r="C106" s="1" t="s">
        <v>1142</v>
      </c>
      <c r="D106" s="1" t="e">
        <f t="shared" si="6"/>
        <v>#VALUE!</v>
      </c>
      <c r="E106" s="1" t="s">
        <v>1270</v>
      </c>
      <c r="F106" s="1" t="s">
        <v>532</v>
      </c>
    </row>
    <row r="107" spans="1:6" x14ac:dyDescent="0.2">
      <c r="A107" s="1" t="str">
        <f t="shared" si="11"/>
        <v>Absam</v>
      </c>
      <c r="B107" s="1" t="str">
        <f>F107</f>
        <v>Austria</v>
      </c>
      <c r="C107" s="1" t="s">
        <v>1143</v>
      </c>
      <c r="D107" s="1" t="e">
        <f t="shared" si="6"/>
        <v>#VALUE!</v>
      </c>
      <c r="E107" s="1" t="s">
        <v>1271</v>
      </c>
      <c r="F107" s="1" t="s">
        <v>500</v>
      </c>
    </row>
    <row r="108" spans="1:6" x14ac:dyDescent="0.2">
      <c r="A108" s="1" t="str">
        <f t="shared" si="11"/>
        <v>La Vang</v>
      </c>
      <c r="B108" s="1" t="str">
        <f>F108</f>
        <v>Vietnam</v>
      </c>
      <c r="C108" s="1" t="s">
        <v>1144</v>
      </c>
      <c r="D108" s="1" t="e">
        <f t="shared" si="6"/>
        <v>#VALUE!</v>
      </c>
      <c r="E108" s="1" t="s">
        <v>1272</v>
      </c>
      <c r="F108" s="1" t="s">
        <v>737</v>
      </c>
    </row>
    <row r="109" spans="1:6" x14ac:dyDescent="0.2">
      <c r="A109" s="1" t="str">
        <f t="shared" si="11"/>
        <v>Ornans</v>
      </c>
      <c r="B109" s="1" t="str">
        <f>F109</f>
        <v>France</v>
      </c>
      <c r="C109" s="1" t="s">
        <v>1145</v>
      </c>
      <c r="D109" s="1" t="e">
        <f t="shared" si="6"/>
        <v>#VALUE!</v>
      </c>
      <c r="E109" s="1" t="s">
        <v>1273</v>
      </c>
      <c r="F109" s="1" t="s">
        <v>555</v>
      </c>
    </row>
    <row r="110" spans="1:6" x14ac:dyDescent="0.2">
      <c r="A110" s="1" t="s">
        <v>1016</v>
      </c>
      <c r="B110" s="1" t="s">
        <v>649</v>
      </c>
      <c r="C110" s="1" t="s">
        <v>1017</v>
      </c>
      <c r="D110" s="1" t="e">
        <f t="shared" si="6"/>
        <v>#VALUE!</v>
      </c>
      <c r="E110" s="1" t="e">
        <v>#VALUE!</v>
      </c>
    </row>
    <row r="111" spans="1:6" x14ac:dyDescent="0.2">
      <c r="A111" s="1" t="s">
        <v>1020</v>
      </c>
      <c r="B111" s="1" t="s">
        <v>728</v>
      </c>
      <c r="C111" s="1">
        <v>1830</v>
      </c>
      <c r="D111" s="1" t="e">
        <f t="shared" si="6"/>
        <v>#VALUE!</v>
      </c>
      <c r="E111" s="1" t="e">
        <v>#VALUE!</v>
      </c>
    </row>
    <row r="112" spans="1:6" x14ac:dyDescent="0.2">
      <c r="A112" s="1" t="s">
        <v>999</v>
      </c>
      <c r="B112" s="1" t="s">
        <v>727</v>
      </c>
      <c r="C112" s="1">
        <v>1842</v>
      </c>
      <c r="D112" s="1" t="e">
        <f t="shared" si="6"/>
        <v>#VALUE!</v>
      </c>
      <c r="E112" s="1" t="e">
        <v>#VALUE!</v>
      </c>
    </row>
    <row r="113" spans="1:6" x14ac:dyDescent="0.2">
      <c r="A113" s="1" t="s">
        <v>1021</v>
      </c>
      <c r="B113" s="1" t="s">
        <v>555</v>
      </c>
      <c r="C113" s="1">
        <v>1846</v>
      </c>
      <c r="D113" s="1" t="e">
        <f t="shared" si="6"/>
        <v>#VALUE!</v>
      </c>
      <c r="E113" s="1" t="e">
        <v>#VALUE!</v>
      </c>
    </row>
    <row r="114" spans="1:6" x14ac:dyDescent="0.2">
      <c r="A114" s="1" t="str">
        <f>E114</f>
        <v>Cerreto Di Sorano</v>
      </c>
      <c r="B114" s="1" t="str">
        <f>F114</f>
        <v>Italy</v>
      </c>
      <c r="C114" s="1" t="s">
        <v>1146</v>
      </c>
      <c r="D114" s="1" t="e">
        <f t="shared" si="6"/>
        <v>#VALUE!</v>
      </c>
      <c r="E114" s="1" t="s">
        <v>1274</v>
      </c>
      <c r="F114" s="1" t="s">
        <v>11</v>
      </c>
    </row>
    <row r="115" spans="1:6" x14ac:dyDescent="0.2">
      <c r="A115" s="1" t="str">
        <f>E115</f>
        <v>Porzus Degli Slavi</v>
      </c>
      <c r="B115" s="1" t="str">
        <f>F115</f>
        <v>Italy</v>
      </c>
      <c r="C115" s="1" t="s">
        <v>1147</v>
      </c>
      <c r="D115" s="1" t="e">
        <f t="shared" si="6"/>
        <v>#VALUE!</v>
      </c>
      <c r="E115" s="1" t="s">
        <v>1275</v>
      </c>
      <c r="F115" s="1" t="s">
        <v>11</v>
      </c>
    </row>
    <row r="116" spans="1:6" x14ac:dyDescent="0.2">
      <c r="A116" s="1" t="s">
        <v>994</v>
      </c>
      <c r="B116" s="1" t="s">
        <v>555</v>
      </c>
      <c r="C116" s="1">
        <v>1858</v>
      </c>
      <c r="D116" s="1" t="e">
        <f t="shared" si="6"/>
        <v>#VALUE!</v>
      </c>
      <c r="E116" s="1" t="e">
        <v>#VALUE!</v>
      </c>
    </row>
    <row r="117" spans="1:6" x14ac:dyDescent="0.2">
      <c r="A117" s="1" t="str">
        <f>E117</f>
        <v>Champion</v>
      </c>
      <c r="B117" s="1" t="str">
        <f>F117</f>
        <v>United States of America</v>
      </c>
      <c r="C117" s="1" t="s">
        <v>1148</v>
      </c>
      <c r="D117" s="1" t="e">
        <f t="shared" si="6"/>
        <v>#VALUE!</v>
      </c>
      <c r="E117" s="1" t="s">
        <v>1276</v>
      </c>
      <c r="F117" s="1" t="s">
        <v>694</v>
      </c>
    </row>
    <row r="118" spans="1:6" x14ac:dyDescent="0.2">
      <c r="A118" s="1" t="str">
        <f>E118</f>
        <v>Montefalco</v>
      </c>
      <c r="B118" s="1" t="str">
        <f>F118</f>
        <v>Italy</v>
      </c>
      <c r="C118" s="1" t="s">
        <v>1149</v>
      </c>
      <c r="D118" s="1" t="e">
        <f t="shared" si="6"/>
        <v>#VALUE!</v>
      </c>
      <c r="E118" s="1" t="s">
        <v>1277</v>
      </c>
      <c r="F118" s="1" t="s">
        <v>11</v>
      </c>
    </row>
    <row r="119" spans="1:6" x14ac:dyDescent="0.2">
      <c r="A119" s="1" t="s">
        <v>992</v>
      </c>
      <c r="B119" s="1" t="s">
        <v>539</v>
      </c>
      <c r="C119" s="1">
        <v>1866</v>
      </c>
      <c r="D119" s="1" t="e">
        <f t="shared" si="6"/>
        <v>#VALUE!</v>
      </c>
      <c r="E119" s="1" t="e">
        <v>#VALUE!</v>
      </c>
    </row>
    <row r="120" spans="1:6" x14ac:dyDescent="0.2">
      <c r="A120" s="1" t="s">
        <v>993</v>
      </c>
      <c r="B120" s="1" t="s">
        <v>555</v>
      </c>
      <c r="C120" s="1">
        <v>1871</v>
      </c>
      <c r="D120" s="1" t="e">
        <f t="shared" si="6"/>
        <v>#VALUE!</v>
      </c>
      <c r="E120" s="1" t="e">
        <v>#VALUE!</v>
      </c>
    </row>
    <row r="121" spans="1:6" x14ac:dyDescent="0.2">
      <c r="A121" s="1" t="str">
        <f t="shared" ref="A121:B123" si="13">E121</f>
        <v>Saint Bauzille de la Sylve</v>
      </c>
      <c r="B121" s="1" t="str">
        <f t="shared" si="13"/>
        <v>France</v>
      </c>
      <c r="C121" s="1" t="s">
        <v>1150</v>
      </c>
      <c r="D121" s="1" t="e">
        <f t="shared" si="6"/>
        <v>#VALUE!</v>
      </c>
      <c r="E121" s="1" t="s">
        <v>1278</v>
      </c>
      <c r="F121" s="1" t="s">
        <v>555</v>
      </c>
    </row>
    <row r="122" spans="1:6" x14ac:dyDescent="0.2">
      <c r="A122" s="1" t="str">
        <f t="shared" si="13"/>
        <v>Pompei</v>
      </c>
      <c r="B122" s="1" t="str">
        <f t="shared" si="13"/>
        <v>Italy</v>
      </c>
      <c r="C122" s="1" t="s">
        <v>1151</v>
      </c>
      <c r="D122" s="1" t="e">
        <f t="shared" si="6"/>
        <v>#VALUE!</v>
      </c>
      <c r="E122" s="1" t="s">
        <v>1279</v>
      </c>
      <c r="F122" s="1" t="s">
        <v>11</v>
      </c>
    </row>
    <row r="123" spans="1:6" x14ac:dyDescent="0.2">
      <c r="A123" s="1" t="str">
        <f t="shared" si="13"/>
        <v>Pellovoisin</v>
      </c>
      <c r="B123" s="1" t="str">
        <f t="shared" si="13"/>
        <v>France</v>
      </c>
      <c r="C123" s="1" t="s">
        <v>1152</v>
      </c>
      <c r="D123" s="1" t="e">
        <f t="shared" si="6"/>
        <v>#VALUE!</v>
      </c>
      <c r="E123" s="1" t="s">
        <v>1280</v>
      </c>
      <c r="F123" s="1" t="s">
        <v>555</v>
      </c>
    </row>
    <row r="124" spans="1:6" x14ac:dyDescent="0.2">
      <c r="A124" s="1" t="s">
        <v>991</v>
      </c>
      <c r="B124" s="1" t="s">
        <v>649</v>
      </c>
      <c r="C124" s="1">
        <v>1877</v>
      </c>
      <c r="D124" s="1" t="e">
        <f t="shared" si="6"/>
        <v>#VALUE!</v>
      </c>
      <c r="E124" s="1" t="e">
        <v>#VALUE!</v>
      </c>
    </row>
    <row r="125" spans="1:6" x14ac:dyDescent="0.2">
      <c r="A125" s="1" t="s">
        <v>990</v>
      </c>
      <c r="B125" s="1" t="s">
        <v>581</v>
      </c>
      <c r="C125" s="1">
        <v>1879</v>
      </c>
      <c r="D125" s="1" t="e">
        <f t="shared" si="6"/>
        <v>#VALUE!</v>
      </c>
      <c r="E125" s="1" t="e">
        <v>#VALUE!</v>
      </c>
    </row>
    <row r="126" spans="1:6" x14ac:dyDescent="0.2">
      <c r="A126" s="1" t="str">
        <f t="shared" ref="A126:B129" si="14">E126</f>
        <v>Castelpetroso</v>
      </c>
      <c r="B126" s="1" t="str">
        <f t="shared" si="14"/>
        <v>Italy</v>
      </c>
      <c r="C126" s="1" t="s">
        <v>1153</v>
      </c>
      <c r="D126" s="1" t="e">
        <f t="shared" si="6"/>
        <v>#VALUE!</v>
      </c>
      <c r="E126" s="1" t="s">
        <v>1281</v>
      </c>
      <c r="F126" s="1" t="s">
        <v>11</v>
      </c>
    </row>
    <row r="127" spans="1:6" x14ac:dyDescent="0.2">
      <c r="A127" s="1" t="str">
        <f t="shared" si="14"/>
        <v>Szczyrk</v>
      </c>
      <c r="B127" s="1" t="str">
        <f t="shared" si="14"/>
        <v>Poland</v>
      </c>
      <c r="C127" s="1" t="s">
        <v>1154</v>
      </c>
      <c r="D127" s="1" t="e">
        <f t="shared" si="6"/>
        <v>#VALUE!</v>
      </c>
      <c r="E127" s="1" t="s">
        <v>1282</v>
      </c>
      <c r="F127" s="1" t="s">
        <v>649</v>
      </c>
    </row>
    <row r="128" spans="1:6" x14ac:dyDescent="0.2">
      <c r="A128" s="1" t="str">
        <f t="shared" si="14"/>
        <v>Betania</v>
      </c>
      <c r="B128" s="1" t="str">
        <f t="shared" si="14"/>
        <v>Venezuela</v>
      </c>
      <c r="C128" s="1" t="s">
        <v>1155</v>
      </c>
      <c r="D128" s="1" t="e">
        <f t="shared" si="6"/>
        <v>#VALUE!</v>
      </c>
      <c r="E128" s="1" t="s">
        <v>1283</v>
      </c>
      <c r="F128" s="1" t="s">
        <v>714</v>
      </c>
    </row>
    <row r="129" spans="1:6" x14ac:dyDescent="0.2">
      <c r="A129" s="1" t="str">
        <f t="shared" si="14"/>
        <v>Dong Lu</v>
      </c>
      <c r="B129" s="1" t="str">
        <f t="shared" si="14"/>
        <v>China</v>
      </c>
      <c r="C129" s="1" t="s">
        <v>1156</v>
      </c>
      <c r="D129" s="1" t="e">
        <f t="shared" si="6"/>
        <v>#VALUE!</v>
      </c>
      <c r="E129" s="1" t="s">
        <v>1284</v>
      </c>
      <c r="F129" s="1" t="s">
        <v>531</v>
      </c>
    </row>
    <row r="130" spans="1:6" x14ac:dyDescent="0.2">
      <c r="A130" s="1" t="s">
        <v>723</v>
      </c>
      <c r="B130" s="1" t="s">
        <v>653</v>
      </c>
      <c r="C130" s="1">
        <v>1916</v>
      </c>
      <c r="D130" s="1" t="e">
        <f t="shared" si="6"/>
        <v>#VALUE!</v>
      </c>
      <c r="E130" s="1" t="e">
        <v>#VALUE!</v>
      </c>
    </row>
    <row r="131" spans="1:6" x14ac:dyDescent="0.2">
      <c r="A131" s="1" t="str">
        <f t="shared" ref="A131:B134" si="15">E131</f>
        <v>Turin</v>
      </c>
      <c r="B131" s="1" t="str">
        <f t="shared" si="15"/>
        <v>Italy</v>
      </c>
      <c r="C131" s="1" t="s">
        <v>1157</v>
      </c>
      <c r="D131" s="1" t="e">
        <f t="shared" ref="D131:D154" si="16">MID(A131,FIND(". ",A131)+2,LEN(A131))</f>
        <v>#VALUE!</v>
      </c>
      <c r="E131" s="1" t="s">
        <v>1285</v>
      </c>
      <c r="F131" s="1" t="s">
        <v>11</v>
      </c>
    </row>
    <row r="132" spans="1:6" x14ac:dyDescent="0.2">
      <c r="A132" s="1" t="str">
        <f t="shared" si="15"/>
        <v>Cernusco Sul Naviglio</v>
      </c>
      <c r="B132" s="1" t="str">
        <f t="shared" si="15"/>
        <v>Italy</v>
      </c>
      <c r="C132" s="1" t="s">
        <v>1158</v>
      </c>
      <c r="D132" s="1" t="e">
        <f t="shared" si="16"/>
        <v>#VALUE!</v>
      </c>
      <c r="E132" s="1" t="s">
        <v>1286</v>
      </c>
      <c r="F132" s="1" t="s">
        <v>11</v>
      </c>
    </row>
    <row r="133" spans="1:6" x14ac:dyDescent="0.2">
      <c r="A133" s="1" t="str">
        <f t="shared" si="15"/>
        <v>Pontevedra and Tuy</v>
      </c>
      <c r="B133" s="1" t="str">
        <f t="shared" si="15"/>
        <v>Spain</v>
      </c>
      <c r="C133" s="1" t="s">
        <v>1159</v>
      </c>
      <c r="D133" s="1" t="e">
        <f t="shared" si="16"/>
        <v>#VALUE!</v>
      </c>
      <c r="E133" s="1" t="s">
        <v>1287</v>
      </c>
      <c r="F133" s="1" t="s">
        <v>550</v>
      </c>
    </row>
    <row r="134" spans="1:6" x14ac:dyDescent="0.2">
      <c r="A134" s="1" t="str">
        <f t="shared" si="15"/>
        <v>Campiñas</v>
      </c>
      <c r="B134" s="1" t="str">
        <f t="shared" si="15"/>
        <v>Brazil</v>
      </c>
      <c r="C134" s="1" t="s">
        <v>1160</v>
      </c>
      <c r="D134" s="1" t="e">
        <f t="shared" si="16"/>
        <v>#VALUE!</v>
      </c>
      <c r="E134" s="1" t="s">
        <v>1288</v>
      </c>
      <c r="F134" s="1" t="s">
        <v>516</v>
      </c>
    </row>
    <row r="135" spans="1:6" x14ac:dyDescent="0.2">
      <c r="A135" s="1" t="s">
        <v>989</v>
      </c>
      <c r="B135" s="1" t="s">
        <v>507</v>
      </c>
      <c r="C135" s="1">
        <v>1932</v>
      </c>
      <c r="D135" s="1" t="e">
        <f t="shared" si="16"/>
        <v>#VALUE!</v>
      </c>
      <c r="E135" s="1" t="e">
        <v>#VALUE!</v>
      </c>
    </row>
    <row r="136" spans="1:6" x14ac:dyDescent="0.2">
      <c r="A136" s="1" t="s">
        <v>988</v>
      </c>
      <c r="B136" s="1" t="s">
        <v>507</v>
      </c>
      <c r="C136" s="1">
        <v>1933</v>
      </c>
      <c r="D136" s="1" t="e">
        <f t="shared" si="16"/>
        <v>#VALUE!</v>
      </c>
      <c r="E136" s="1" t="e">
        <v>#VALUE!</v>
      </c>
    </row>
    <row r="137" spans="1:6" x14ac:dyDescent="0.2">
      <c r="A137" s="1" t="str">
        <f t="shared" ref="A137:A149" si="17">E137</f>
        <v>Pesqueira</v>
      </c>
      <c r="B137" s="1" t="str">
        <f t="shared" ref="B137:B149" si="18">F137</f>
        <v>Brazil</v>
      </c>
      <c r="C137" s="1" t="s">
        <v>1161</v>
      </c>
      <c r="D137" s="1" t="e">
        <f t="shared" si="16"/>
        <v>#VALUE!</v>
      </c>
      <c r="E137" s="1" t="s">
        <v>1289</v>
      </c>
      <c r="F137" s="1" t="s">
        <v>516</v>
      </c>
    </row>
    <row r="138" spans="1:6" x14ac:dyDescent="0.2">
      <c r="A138" s="1" t="str">
        <f t="shared" si="17"/>
        <v>Heede</v>
      </c>
      <c r="B138" s="1" t="str">
        <f t="shared" si="18"/>
        <v>Germany</v>
      </c>
      <c r="C138" s="1" t="s">
        <v>1162</v>
      </c>
      <c r="D138" s="1" t="e">
        <f t="shared" si="16"/>
        <v>#VALUE!</v>
      </c>
      <c r="E138" s="1" t="s">
        <v>1290</v>
      </c>
      <c r="F138" s="1" t="s">
        <v>540</v>
      </c>
    </row>
    <row r="139" spans="1:6" x14ac:dyDescent="0.2">
      <c r="A139" s="1" t="str">
        <f t="shared" si="17"/>
        <v>Milan</v>
      </c>
      <c r="B139" s="1" t="str">
        <f t="shared" si="18"/>
        <v>Italy</v>
      </c>
      <c r="C139" s="1" t="s">
        <v>1163</v>
      </c>
      <c r="D139" s="1" t="e">
        <f t="shared" si="16"/>
        <v>#VALUE!</v>
      </c>
      <c r="E139" s="1" t="s">
        <v>1291</v>
      </c>
      <c r="F139" s="1" t="s">
        <v>11</v>
      </c>
    </row>
    <row r="140" spans="1:6" x14ac:dyDescent="0.2">
      <c r="A140" s="1" t="str">
        <f t="shared" si="17"/>
        <v>Kallikulam</v>
      </c>
      <c r="B140" s="1" t="str">
        <f t="shared" si="18"/>
        <v>India</v>
      </c>
      <c r="C140" s="1" t="s">
        <v>1164</v>
      </c>
      <c r="D140" s="1" t="e">
        <f t="shared" si="16"/>
        <v>#VALUE!</v>
      </c>
      <c r="E140" s="1" t="s">
        <v>1292</v>
      </c>
      <c r="F140" s="1" t="s">
        <v>2</v>
      </c>
    </row>
    <row r="141" spans="1:6" x14ac:dyDescent="0.2">
      <c r="A141" s="1" t="str">
        <f t="shared" si="17"/>
        <v>Pfaffenhofen Marienfried</v>
      </c>
      <c r="B141" s="1" t="str">
        <f t="shared" si="18"/>
        <v>Germany</v>
      </c>
      <c r="C141" s="1" t="s">
        <v>1165</v>
      </c>
      <c r="D141" s="1" t="e">
        <f t="shared" si="16"/>
        <v>#VALUE!</v>
      </c>
      <c r="E141" s="1" t="s">
        <v>1293</v>
      </c>
      <c r="F141" s="1" t="s">
        <v>540</v>
      </c>
    </row>
    <row r="142" spans="1:6" x14ac:dyDescent="0.2">
      <c r="A142" s="1" t="str">
        <f t="shared" si="17"/>
        <v>Siekierki</v>
      </c>
      <c r="B142" s="1" t="str">
        <f t="shared" si="18"/>
        <v>Poland</v>
      </c>
      <c r="C142" s="1" t="s">
        <v>1166</v>
      </c>
      <c r="D142" s="1" t="e">
        <f t="shared" si="16"/>
        <v>#VALUE!</v>
      </c>
      <c r="E142" s="1" t="s">
        <v>1294</v>
      </c>
      <c r="F142" s="1" t="s">
        <v>649</v>
      </c>
    </row>
    <row r="143" spans="1:6" x14ac:dyDescent="0.2">
      <c r="A143" s="1" t="str">
        <f t="shared" si="17"/>
        <v>La Codosera</v>
      </c>
      <c r="B143" s="1" t="str">
        <f t="shared" si="18"/>
        <v>Spain</v>
      </c>
      <c r="C143" s="1" t="s">
        <v>1167</v>
      </c>
      <c r="D143" s="1" t="e">
        <f t="shared" si="16"/>
        <v>#VALUE!</v>
      </c>
      <c r="E143" s="1" t="s">
        <v>1295</v>
      </c>
      <c r="F143" s="1" t="s">
        <v>550</v>
      </c>
    </row>
    <row r="144" spans="1:6" x14ac:dyDescent="0.2">
      <c r="A144" s="1" t="str">
        <f t="shared" si="17"/>
        <v>Île-Bouchard</v>
      </c>
      <c r="B144" s="1" t="str">
        <f t="shared" si="18"/>
        <v>France</v>
      </c>
      <c r="C144" s="1" t="s">
        <v>1168</v>
      </c>
      <c r="D144" s="1" t="e">
        <f t="shared" si="16"/>
        <v>#VALUE!</v>
      </c>
      <c r="E144" s="1" t="s">
        <v>1296</v>
      </c>
      <c r="F144" s="1" t="s">
        <v>555</v>
      </c>
    </row>
    <row r="145" spans="1:6" x14ac:dyDescent="0.2">
      <c r="A145" s="1" t="str">
        <f t="shared" si="17"/>
        <v>Heroldsbach</v>
      </c>
      <c r="B145" s="1" t="str">
        <f t="shared" si="18"/>
        <v>Germany</v>
      </c>
      <c r="C145" s="1" t="s">
        <v>1169</v>
      </c>
      <c r="D145" s="1" t="e">
        <f t="shared" si="16"/>
        <v>#VALUE!</v>
      </c>
      <c r="E145" s="1" t="s">
        <v>1297</v>
      </c>
      <c r="F145" s="1" t="s">
        <v>540</v>
      </c>
    </row>
    <row r="146" spans="1:6" x14ac:dyDescent="0.2">
      <c r="A146" s="1" t="str">
        <f t="shared" si="17"/>
        <v>Rogorotto</v>
      </c>
      <c r="B146" s="1" t="str">
        <f t="shared" si="18"/>
        <v>Italy</v>
      </c>
      <c r="C146" s="1" t="s">
        <v>1170</v>
      </c>
      <c r="D146" s="1" t="e">
        <f t="shared" si="16"/>
        <v>#VALUE!</v>
      </c>
      <c r="E146" s="1" t="s">
        <v>1298</v>
      </c>
      <c r="F146" s="1" t="s">
        <v>11</v>
      </c>
    </row>
    <row r="147" spans="1:6" x14ac:dyDescent="0.2">
      <c r="A147" s="1" t="str">
        <f t="shared" si="17"/>
        <v>Syracuse</v>
      </c>
      <c r="B147" s="1" t="str">
        <f t="shared" si="18"/>
        <v>Italy</v>
      </c>
      <c r="C147" s="1" t="s">
        <v>1171</v>
      </c>
      <c r="D147" s="1" t="e">
        <f t="shared" si="16"/>
        <v>#VALUE!</v>
      </c>
      <c r="E147" s="1" t="s">
        <v>1299</v>
      </c>
      <c r="F147" s="1" t="s">
        <v>11</v>
      </c>
    </row>
    <row r="148" spans="1:6" x14ac:dyDescent="0.2">
      <c r="A148" s="1" t="str">
        <f t="shared" si="17"/>
        <v>Ngome</v>
      </c>
      <c r="B148" s="1" t="str">
        <f t="shared" si="18"/>
        <v>South Africa</v>
      </c>
      <c r="C148" s="1" t="s">
        <v>1172</v>
      </c>
      <c r="D148" s="1" t="e">
        <f t="shared" si="16"/>
        <v>#VALUE!</v>
      </c>
      <c r="E148" s="1" t="s">
        <v>1300</v>
      </c>
      <c r="F148" s="1" t="s">
        <v>703</v>
      </c>
    </row>
    <row r="149" spans="1:6" x14ac:dyDescent="0.2">
      <c r="A149" s="1" t="str">
        <f t="shared" si="17"/>
        <v>Fostoria</v>
      </c>
      <c r="B149" s="1" t="str">
        <f t="shared" si="18"/>
        <v>United States of America</v>
      </c>
      <c r="C149" s="1" t="s">
        <v>1173</v>
      </c>
      <c r="D149" s="1" t="e">
        <f t="shared" si="16"/>
        <v>#VALUE!</v>
      </c>
      <c r="E149" s="1" t="s">
        <v>1301</v>
      </c>
      <c r="F149" s="1" t="s">
        <v>694</v>
      </c>
    </row>
    <row r="150" spans="1:6" x14ac:dyDescent="0.2">
      <c r="A150" s="1" t="s">
        <v>1025</v>
      </c>
      <c r="B150" s="1" t="s">
        <v>21</v>
      </c>
      <c r="C150" s="1" t="s">
        <v>1008</v>
      </c>
      <c r="D150" s="1" t="e">
        <f t="shared" si="16"/>
        <v>#VALUE!</v>
      </c>
      <c r="E150" s="1" t="e">
        <v>#VALUE!</v>
      </c>
    </row>
    <row r="151" spans="1:6" x14ac:dyDescent="0.2">
      <c r="A151" s="1" t="str">
        <f>E151</f>
        <v>Akita</v>
      </c>
      <c r="B151" s="1" t="str">
        <f>F151</f>
        <v>Japan</v>
      </c>
      <c r="C151" s="1" t="s">
        <v>1174</v>
      </c>
      <c r="D151" s="1" t="e">
        <f t="shared" si="16"/>
        <v>#VALUE!</v>
      </c>
      <c r="E151" s="1" t="s">
        <v>1302</v>
      </c>
      <c r="F151" s="1" t="s">
        <v>590</v>
      </c>
    </row>
    <row r="152" spans="1:6" x14ac:dyDescent="0.2">
      <c r="A152" s="1" t="str">
        <f>E152</f>
        <v>Cuapa</v>
      </c>
      <c r="B152" s="1" t="str">
        <f>F152</f>
        <v>Nicaragua</v>
      </c>
      <c r="C152" s="1" t="s">
        <v>1175</v>
      </c>
      <c r="D152" s="1" t="e">
        <f t="shared" si="16"/>
        <v>#VALUE!</v>
      </c>
      <c r="E152" s="1" t="s">
        <v>1303</v>
      </c>
      <c r="F152" s="1" t="s">
        <v>636</v>
      </c>
    </row>
    <row r="153" spans="1:6" x14ac:dyDescent="0.2">
      <c r="A153" s="1" t="s">
        <v>482</v>
      </c>
      <c r="B153" s="1" t="s">
        <v>480</v>
      </c>
      <c r="C153" s="1">
        <v>1981</v>
      </c>
      <c r="D153" s="1" t="e">
        <f t="shared" si="16"/>
        <v>#VALUE!</v>
      </c>
      <c r="E153" s="1" t="e">
        <v>#VALUE!</v>
      </c>
    </row>
    <row r="154" spans="1:6" x14ac:dyDescent="0.2">
      <c r="A154" s="1" t="str">
        <f>E154</f>
        <v>Namyang</v>
      </c>
      <c r="B154" s="1" t="str">
        <f>F154</f>
        <v>South Korea</v>
      </c>
      <c r="C154" s="1" t="s">
        <v>1176</v>
      </c>
      <c r="D154" s="1" t="e">
        <f t="shared" si="16"/>
        <v>#VALUE!</v>
      </c>
      <c r="E154" s="1" t="s">
        <v>1304</v>
      </c>
      <c r="F154" s="1" t="s">
        <v>717</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49</vt:i4>
      </vt:variant>
    </vt:vector>
  </HeadingPairs>
  <TitlesOfParts>
    <vt:vector size="57" baseType="lpstr">
      <vt:lpstr>WP Site</vt:lpstr>
      <vt:lpstr>Places</vt:lpstr>
      <vt:lpstr>Tags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2024-03-03T18:28:27Z</dcterms:modified>
</cp:coreProperties>
</file>