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noeld\OneDrive\Documents\GitHub\orbis-dei.github.io\"/>
    </mc:Choice>
  </mc:AlternateContent>
  <xr:revisionPtr revIDLastSave="0" documentId="13_ncr:1_{DB4C9537-446A-40BE-B5A7-086E6ED6C14A}" xr6:coauthVersionLast="47" xr6:coauthVersionMax="47" xr10:uidLastSave="{00000000-0000-0000-0000-000000000000}"/>
  <bookViews>
    <workbookView xWindow="-103" yWindow="-103" windowWidth="21600" windowHeight="13749" firstSheet="1" activeTab="1" xr2:uid="{8DFEE2B0-96F0-470A-9396-053C4BBAF42B}"/>
  </bookViews>
  <sheets>
    <sheet name="WP Site" sheetId="4" state="hidden" r:id="rId1"/>
    <sheet name="Live Sites" sheetId="11" r:id="rId2"/>
    <sheet name="Tag List" sheetId="10" r:id="rId3"/>
    <sheet name="(Ref) Countries" sheetId="5" r:id="rId4"/>
    <sheet name="Draft Sites" sheetId="3" r:id="rId5"/>
    <sheet name="Sheet1" sheetId="1" r:id="rId6"/>
    <sheet name="Sheet7" sheetId="8" r:id="rId7"/>
  </sheets>
  <functionGroups builtInGroupCount="19"/>
  <definedNames>
    <definedName name="_xlnm._FilterDatabase" localSheetId="3" hidden="1">'(Ref) Countries'!$A$1:$C$249</definedName>
    <definedName name="_xlnm._FilterDatabase" localSheetId="4" hidden="1">'Draft Sites'!$A$1:$AT$124</definedName>
    <definedName name="_xlnm._FilterDatabase" localSheetId="1" hidden="1">'Live Sites'!$A$1:$CQ$130</definedName>
    <definedName name="_xlnm._FilterDatabase" localSheetId="5" hidden="1">Sheet1!$B$1:$G$66</definedName>
    <definedName name="_xlnm._FilterDatabase" localSheetId="6" hidden="1">Sheet7!$A$1:$F$154</definedName>
    <definedName name="adana" localSheetId="5">Sheet1!$C$27</definedName>
    <definedName name="alexandria" localSheetId="5">Sheet1!$C$9</definedName>
    <definedName name="athos" localSheetId="5">Sheet1!$C$62</definedName>
    <definedName name="behuard" localSheetId="5">Sheet1!$C$18</definedName>
    <definedName name="benevento" localSheetId="5">Sheet1!$C$42</definedName>
    <definedName name="bolougne" localSheetId="5">Sheet1!$C$38</definedName>
    <definedName name="caesarea" localSheetId="5">Sheet1!$C$13</definedName>
    <definedName name="canterbury980" localSheetId="5">Sheet1!$C$65</definedName>
    <definedName name="castelnuovo" localSheetId="5">Sheet1!$C$60</definedName>
    <definedName name="clermont" localSheetId="5">Sheet1!$C$43</definedName>
    <definedName name="cologne" localSheetId="5">Sheet1!$C$63</definedName>
    <definedName name="constantinople" localSheetId="5">Sheet1!$C$20</definedName>
    <definedName name="constantinople714" localSheetId="5">Sheet1!$C$46</definedName>
    <definedName name="corbie" localSheetId="5">Sheet1!$C$54</definedName>
    <definedName name="corentin" localSheetId="5">Sheet1!$C$21</definedName>
    <definedName name="egypt" localSheetId="5">Sheet1!$C$17</definedName>
    <definedName name="ensiedeln" localSheetId="5">Sheet1!$C$59</definedName>
    <definedName name="ephesus" localSheetId="5">Sheet1!$C$2</definedName>
    <definedName name="evesham" localSheetId="5">Sheet1!$C$45</definedName>
    <definedName name="farfa" localSheetId="5">Sheet1!$C$48</definedName>
    <definedName name="galla" localSheetId="5">Sheet1!$C$28</definedName>
    <definedName name="gargano" localSheetId="5">Sheet1!$C$22</definedName>
    <definedName name="genoa" localSheetId="5">Sheet1!$C$33</definedName>
    <definedName name="giudicaele" localSheetId="5">Sheet1!$C$39</definedName>
    <definedName name="gregoryoftours" localSheetId="5">Sheet1!$C$29</definedName>
    <definedName name="gualdotadino" localSheetId="5">Sheet1!$C$32</definedName>
    <definedName name="hainault" localSheetId="5">Sheet1!$C$40</definedName>
    <definedName name="herford" localSheetId="5">Sheet1!$C$61</definedName>
    <definedName name="india" localSheetId="5">Sheet1!$C$3</definedName>
    <definedName name="italy300" localSheetId="5">Sheet1!$C$7</definedName>
    <definedName name="kuravilangad" localSheetId="5">Sheet1!$C$11</definedName>
    <definedName name="lepuy" localSheetId="5">Sheet1!#REF!</definedName>
    <definedName name="maastricht" localSheetId="5">Sheet1!$C$49</definedName>
    <definedName name="mainz" localSheetId="5">Sheet1!$C$51</definedName>
    <definedName name="montreuil" localSheetId="5">Sheet1!$C$52</definedName>
    <definedName name="myra" localSheetId="5">Sheet1!$C$10</definedName>
    <definedName name="neocaesarea" localSheetId="5">Sheet1!$C$5</definedName>
    <definedName name="Patmos" localSheetId="5">Sheet1!$C$4</definedName>
    <definedName name="picciano" localSheetId="5">Sheet1!$C$66</definedName>
    <definedName name="propezzano" localSheetId="5">Sheet1!$C$47</definedName>
    <definedName name="reims" localSheetId="5">Sheet1!$C$58</definedName>
    <definedName name="rome258" localSheetId="5">Sheet1!#REF!</definedName>
    <definedName name="rome526" localSheetId="5">Sheet1!$C$24</definedName>
    <definedName name="rosenthal" localSheetId="5">Sheet1!$C$53</definedName>
    <definedName name="savoy" localSheetId="5">Sheet1!$C$50</definedName>
    <definedName name="sicea" localSheetId="5">Sheet1!$C$23</definedName>
    <definedName name="spoleto" localSheetId="5">Sheet1!$C$30</definedName>
    <definedName name="tagaste" localSheetId="5">Sheet1!$C$15</definedName>
    <definedName name="toledo" localSheetId="5">Sheet1!$C$41</definedName>
    <definedName name="tolouse" localSheetId="5">Sheet1!$C$55</definedName>
    <definedName name="tours" localSheetId="5">Sheet1!$C$14</definedName>
    <definedName name="zaragoza" localSheetId="5">Sheet1!#REF!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I135" i="11" l="1"/>
  <c r="CE135" i="11"/>
  <c r="CB135" i="11"/>
  <c r="CA135" i="11"/>
  <c r="BZ135" i="11"/>
  <c r="BY135" i="11"/>
  <c r="CJ135" i="11" s="1"/>
  <c r="BU135" i="11"/>
  <c r="BS135" i="11"/>
  <c r="BR135" i="11"/>
  <c r="BQ135" i="11"/>
  <c r="BO135" i="11"/>
  <c r="BN135" i="11"/>
  <c r="BM135" i="11"/>
  <c r="BL135" i="11"/>
  <c r="BP135" i="11" s="1"/>
  <c r="BJ135" i="11"/>
  <c r="BI135" i="11"/>
  <c r="BH135" i="11"/>
  <c r="BG135" i="11"/>
  <c r="BF135" i="11"/>
  <c r="BE135" i="11"/>
  <c r="BD135" i="11"/>
  <c r="BC135" i="11"/>
  <c r="BB135" i="11"/>
  <c r="BA135" i="11"/>
  <c r="AZ135" i="11"/>
  <c r="AY135" i="11"/>
  <c r="AU135" i="11"/>
  <c r="AS135" i="11"/>
  <c r="AR135" i="11"/>
  <c r="CI134" i="11"/>
  <c r="CE134" i="11"/>
  <c r="CB134" i="11"/>
  <c r="CA134" i="11"/>
  <c r="BZ134" i="11"/>
  <c r="BW134" i="11"/>
  <c r="BU134" i="11"/>
  <c r="BS134" i="11"/>
  <c r="BR134" i="11"/>
  <c r="BQ134" i="11"/>
  <c r="BO134" i="11"/>
  <c r="BN134" i="11"/>
  <c r="BM134" i="11"/>
  <c r="BL134" i="11"/>
  <c r="BJ134" i="11"/>
  <c r="BI134" i="11"/>
  <c r="BH134" i="11"/>
  <c r="BG134" i="11"/>
  <c r="BF134" i="11"/>
  <c r="BE134" i="11"/>
  <c r="BD134" i="11"/>
  <c r="BC134" i="11"/>
  <c r="BB134" i="11"/>
  <c r="BA134" i="11"/>
  <c r="AZ134" i="11"/>
  <c r="AY134" i="11"/>
  <c r="AX134" i="11"/>
  <c r="AW134" i="11"/>
  <c r="AV134" i="11"/>
  <c r="AU134" i="11"/>
  <c r="AT134" i="11"/>
  <c r="AS134" i="11"/>
  <c r="AR134" i="11"/>
  <c r="BY134" i="11" s="1"/>
  <c r="CG134" i="11" s="1"/>
  <c r="CI133" i="11"/>
  <c r="CD133" i="11"/>
  <c r="CB133" i="11"/>
  <c r="CA133" i="11"/>
  <c r="BZ133" i="11"/>
  <c r="BS133" i="11"/>
  <c r="BR133" i="11"/>
  <c r="BQ133" i="11"/>
  <c r="BO133" i="11"/>
  <c r="BN133" i="11"/>
  <c r="BM133" i="11"/>
  <c r="BL133" i="11"/>
  <c r="BJ133" i="11"/>
  <c r="BI133" i="11"/>
  <c r="BH133" i="11"/>
  <c r="BG133" i="11"/>
  <c r="BF133" i="11"/>
  <c r="BE133" i="11"/>
  <c r="BD133" i="11"/>
  <c r="BC133" i="11"/>
  <c r="BB133" i="11"/>
  <c r="BA133" i="11"/>
  <c r="AZ133" i="11"/>
  <c r="AY133" i="11"/>
  <c r="AX133" i="11"/>
  <c r="AW133" i="11"/>
  <c r="AV133" i="11"/>
  <c r="AU133" i="11"/>
  <c r="AT133" i="11"/>
  <c r="AS133" i="11"/>
  <c r="AR133" i="11"/>
  <c r="CI132" i="11"/>
  <c r="CE132" i="11"/>
  <c r="CB132" i="11"/>
  <c r="CA132" i="11"/>
  <c r="BZ132" i="11"/>
  <c r="BS132" i="11"/>
  <c r="BR132" i="11"/>
  <c r="BQ132" i="11"/>
  <c r="BO132" i="11"/>
  <c r="BN132" i="11"/>
  <c r="BM132" i="11"/>
  <c r="BL132" i="11"/>
  <c r="BJ132" i="11"/>
  <c r="BI132" i="11"/>
  <c r="BH132" i="11"/>
  <c r="BG132" i="11"/>
  <c r="BF132" i="11"/>
  <c r="BE132" i="11"/>
  <c r="BD132" i="11"/>
  <c r="BC132" i="11"/>
  <c r="BB132" i="11"/>
  <c r="BA132" i="11"/>
  <c r="AZ132" i="11"/>
  <c r="AY132" i="11"/>
  <c r="AX132" i="11"/>
  <c r="AW132" i="11"/>
  <c r="AV132" i="11"/>
  <c r="AU132" i="11"/>
  <c r="AT132" i="11"/>
  <c r="AS132" i="11"/>
  <c r="AR132" i="11"/>
  <c r="CI131" i="11"/>
  <c r="CB131" i="11"/>
  <c r="CA131" i="11"/>
  <c r="BZ131" i="11"/>
  <c r="BW131" i="11"/>
  <c r="BU131" i="11"/>
  <c r="BS131" i="11"/>
  <c r="BR131" i="11"/>
  <c r="BQ131" i="11"/>
  <c r="BO131" i="11"/>
  <c r="BN131" i="11"/>
  <c r="BM131" i="11"/>
  <c r="BL131" i="11"/>
  <c r="BJ131" i="11"/>
  <c r="BI131" i="11"/>
  <c r="BH131" i="11"/>
  <c r="BG131" i="11"/>
  <c r="BF131" i="11"/>
  <c r="BE131" i="11"/>
  <c r="BD131" i="11"/>
  <c r="BC131" i="11"/>
  <c r="BB131" i="11"/>
  <c r="BA131" i="11"/>
  <c r="AZ131" i="11"/>
  <c r="AY131" i="11"/>
  <c r="AX131" i="11"/>
  <c r="AW131" i="11"/>
  <c r="AV131" i="11"/>
  <c r="AU131" i="11"/>
  <c r="AT131" i="11"/>
  <c r="AS131" i="11"/>
  <c r="AR131" i="11"/>
  <c r="CI130" i="11"/>
  <c r="CE130" i="11"/>
  <c r="CB130" i="11"/>
  <c r="CA130" i="11"/>
  <c r="BZ130" i="11"/>
  <c r="BW130" i="11"/>
  <c r="BU130" i="11"/>
  <c r="BS130" i="11"/>
  <c r="BR130" i="11"/>
  <c r="BQ130" i="11"/>
  <c r="BO130" i="11"/>
  <c r="BN130" i="11"/>
  <c r="BM130" i="11"/>
  <c r="BL130" i="11"/>
  <c r="BJ130" i="11"/>
  <c r="BI130" i="11"/>
  <c r="BH130" i="11"/>
  <c r="BG130" i="11"/>
  <c r="BF130" i="11"/>
  <c r="BE130" i="11"/>
  <c r="BD130" i="11"/>
  <c r="BC130" i="11"/>
  <c r="BB130" i="11"/>
  <c r="BA130" i="11"/>
  <c r="AZ130" i="11"/>
  <c r="AY130" i="11"/>
  <c r="AX130" i="11"/>
  <c r="AW130" i="11"/>
  <c r="AV130" i="11"/>
  <c r="AU130" i="11"/>
  <c r="AT130" i="11"/>
  <c r="AS130" i="11"/>
  <c r="AR130" i="11"/>
  <c r="CI129" i="11"/>
  <c r="CB129" i="11"/>
  <c r="CA129" i="11"/>
  <c r="BZ129" i="11"/>
  <c r="BW129" i="11"/>
  <c r="BU129" i="11"/>
  <c r="BS129" i="11"/>
  <c r="BR129" i="11"/>
  <c r="BQ129" i="11"/>
  <c r="BO129" i="11"/>
  <c r="BN129" i="11"/>
  <c r="BM129" i="11"/>
  <c r="BL129" i="11"/>
  <c r="BJ129" i="11"/>
  <c r="BI129" i="11"/>
  <c r="BH129" i="11"/>
  <c r="BG129" i="11"/>
  <c r="BF129" i="11"/>
  <c r="BE129" i="11"/>
  <c r="BD129" i="11"/>
  <c r="BC129" i="11"/>
  <c r="BB129" i="11"/>
  <c r="BA129" i="11"/>
  <c r="AZ129" i="11"/>
  <c r="AY129" i="11"/>
  <c r="AX129" i="11"/>
  <c r="AW129" i="11"/>
  <c r="AU129" i="11"/>
  <c r="AT129" i="11"/>
  <c r="AS129" i="11"/>
  <c r="AR129" i="11"/>
  <c r="CI128" i="11"/>
  <c r="CE128" i="11"/>
  <c r="CB128" i="11"/>
  <c r="CA128" i="11"/>
  <c r="BZ128" i="11"/>
  <c r="BW128" i="11"/>
  <c r="BU128" i="11"/>
  <c r="BS128" i="11"/>
  <c r="BR128" i="11"/>
  <c r="BQ128" i="11"/>
  <c r="BO128" i="11"/>
  <c r="BN128" i="11"/>
  <c r="BM128" i="11"/>
  <c r="BL128" i="11"/>
  <c r="BJ128" i="11"/>
  <c r="BI128" i="11"/>
  <c r="BH128" i="11"/>
  <c r="BG128" i="11"/>
  <c r="BF128" i="11"/>
  <c r="BE128" i="11"/>
  <c r="BD128" i="11"/>
  <c r="BC128" i="11"/>
  <c r="BB128" i="11"/>
  <c r="BA128" i="11"/>
  <c r="AZ128" i="11"/>
  <c r="AY128" i="11"/>
  <c r="AX128" i="11"/>
  <c r="AW128" i="11"/>
  <c r="AU128" i="11"/>
  <c r="AT128" i="11"/>
  <c r="AS128" i="11"/>
  <c r="AR128" i="11"/>
  <c r="CI127" i="11"/>
  <c r="CE127" i="11"/>
  <c r="CB127" i="11"/>
  <c r="CA127" i="11"/>
  <c r="BZ127" i="11"/>
  <c r="BW127" i="11"/>
  <c r="BU127" i="11"/>
  <c r="BS127" i="11"/>
  <c r="BR127" i="11"/>
  <c r="BQ127" i="11"/>
  <c r="BO127" i="11"/>
  <c r="BN127" i="11"/>
  <c r="BM127" i="11"/>
  <c r="BL127" i="11"/>
  <c r="BJ127" i="11"/>
  <c r="BI127" i="11"/>
  <c r="BH127" i="11"/>
  <c r="BG127" i="11"/>
  <c r="BF127" i="11"/>
  <c r="BE127" i="11"/>
  <c r="BD127" i="11"/>
  <c r="BC127" i="11"/>
  <c r="BB127" i="11"/>
  <c r="BA127" i="11"/>
  <c r="AZ127" i="11"/>
  <c r="AY127" i="11"/>
  <c r="AX127" i="11"/>
  <c r="AW127" i="11"/>
  <c r="AU127" i="11"/>
  <c r="AT127" i="11"/>
  <c r="AS127" i="11"/>
  <c r="AR127" i="11"/>
  <c r="CI126" i="11"/>
  <c r="CB126" i="11"/>
  <c r="CA126" i="11"/>
  <c r="BZ126" i="11"/>
  <c r="BW126" i="11"/>
  <c r="BU126" i="11"/>
  <c r="BS126" i="11"/>
  <c r="BR126" i="11"/>
  <c r="BQ126" i="11"/>
  <c r="BO126" i="11"/>
  <c r="BN126" i="11"/>
  <c r="BM126" i="11"/>
  <c r="BL126" i="11"/>
  <c r="BJ126" i="11"/>
  <c r="BI126" i="11"/>
  <c r="BH126" i="11"/>
  <c r="BG126" i="11"/>
  <c r="BF126" i="11"/>
  <c r="BE126" i="11"/>
  <c r="BD126" i="11"/>
  <c r="BC126" i="11"/>
  <c r="BB126" i="11"/>
  <c r="BA126" i="11"/>
  <c r="AZ126" i="11"/>
  <c r="AY126" i="11"/>
  <c r="AX126" i="11"/>
  <c r="AW126" i="11"/>
  <c r="AU126" i="11"/>
  <c r="AT126" i="11"/>
  <c r="AS126" i="11"/>
  <c r="AR126" i="11"/>
  <c r="CI125" i="11"/>
  <c r="CE125" i="11"/>
  <c r="CB125" i="11"/>
  <c r="CA125" i="11"/>
  <c r="BZ125" i="11"/>
  <c r="BW125" i="11"/>
  <c r="BU125" i="11"/>
  <c r="BS125" i="11"/>
  <c r="BR125" i="11"/>
  <c r="BQ125" i="11"/>
  <c r="BO125" i="11"/>
  <c r="BN125" i="11"/>
  <c r="BM125" i="11"/>
  <c r="BL125" i="11"/>
  <c r="BJ125" i="11"/>
  <c r="BI125" i="11"/>
  <c r="BH125" i="11"/>
  <c r="BG125" i="11"/>
  <c r="BF125" i="11"/>
  <c r="BE125" i="11"/>
  <c r="BD125" i="11"/>
  <c r="BC125" i="11"/>
  <c r="BB125" i="11"/>
  <c r="BA125" i="11"/>
  <c r="AZ125" i="11"/>
  <c r="AY125" i="11"/>
  <c r="AX125" i="11"/>
  <c r="AW125" i="11"/>
  <c r="AU125" i="11"/>
  <c r="AT125" i="11"/>
  <c r="AS125" i="11"/>
  <c r="AR125" i="11"/>
  <c r="CI124" i="11"/>
  <c r="CE124" i="11"/>
  <c r="CB124" i="11"/>
  <c r="CA124" i="11"/>
  <c r="BZ124" i="11"/>
  <c r="BW124" i="11"/>
  <c r="BU124" i="11"/>
  <c r="BS124" i="11"/>
  <c r="BR124" i="11"/>
  <c r="BQ124" i="11"/>
  <c r="BO124" i="11"/>
  <c r="BN124" i="11"/>
  <c r="BM124" i="11"/>
  <c r="BL124" i="11"/>
  <c r="BJ124" i="11"/>
  <c r="BI124" i="11"/>
  <c r="BH124" i="11"/>
  <c r="BG124" i="11"/>
  <c r="BF124" i="11"/>
  <c r="BE124" i="11"/>
  <c r="BD124" i="11"/>
  <c r="BC124" i="11"/>
  <c r="BB124" i="11"/>
  <c r="BA124" i="11"/>
  <c r="AZ124" i="11"/>
  <c r="AY124" i="11"/>
  <c r="AX124" i="11"/>
  <c r="AW124" i="11"/>
  <c r="AU124" i="11"/>
  <c r="AT124" i="11"/>
  <c r="AS124" i="11"/>
  <c r="AR124" i="11"/>
  <c r="CI123" i="11"/>
  <c r="CE123" i="11"/>
  <c r="CB123" i="11"/>
  <c r="CA123" i="11"/>
  <c r="BZ123" i="11"/>
  <c r="BW123" i="11"/>
  <c r="BU123" i="11"/>
  <c r="BS123" i="11"/>
  <c r="BR123" i="11"/>
  <c r="BQ123" i="11"/>
  <c r="BO123" i="11"/>
  <c r="BN123" i="11"/>
  <c r="BM123" i="11"/>
  <c r="BL123" i="11"/>
  <c r="BJ123" i="11"/>
  <c r="BI123" i="11"/>
  <c r="BH123" i="11"/>
  <c r="BG123" i="11"/>
  <c r="BF123" i="11"/>
  <c r="BE123" i="11"/>
  <c r="BD123" i="11"/>
  <c r="BC123" i="11"/>
  <c r="BB123" i="11"/>
  <c r="BA123" i="11"/>
  <c r="AZ123" i="11"/>
  <c r="AY123" i="11"/>
  <c r="AX123" i="11"/>
  <c r="AW123" i="11"/>
  <c r="AU123" i="11"/>
  <c r="AT123" i="11"/>
  <c r="AS123" i="11"/>
  <c r="AR123" i="11"/>
  <c r="CI122" i="11"/>
  <c r="CE122" i="11"/>
  <c r="CB122" i="11"/>
  <c r="CA122" i="11"/>
  <c r="BZ122" i="11"/>
  <c r="BW122" i="11"/>
  <c r="BU122" i="11"/>
  <c r="BS122" i="11"/>
  <c r="BR122" i="11"/>
  <c r="BQ122" i="11"/>
  <c r="BO122" i="11"/>
  <c r="BN122" i="11"/>
  <c r="BM122" i="11"/>
  <c r="BL122" i="11"/>
  <c r="BJ122" i="11"/>
  <c r="BI122" i="11"/>
  <c r="BH122" i="11"/>
  <c r="BG122" i="11"/>
  <c r="BF122" i="11"/>
  <c r="BE122" i="11"/>
  <c r="BD122" i="11"/>
  <c r="BC122" i="11"/>
  <c r="BB122" i="11"/>
  <c r="BA122" i="11"/>
  <c r="AZ122" i="11"/>
  <c r="AY122" i="11"/>
  <c r="AX122" i="11"/>
  <c r="AW122" i="11"/>
  <c r="AU122" i="11"/>
  <c r="AT122" i="11"/>
  <c r="AS122" i="11"/>
  <c r="AR122" i="11"/>
  <c r="CI121" i="11"/>
  <c r="CE121" i="11"/>
  <c r="CB121" i="11"/>
  <c r="CA121" i="11"/>
  <c r="BZ121" i="11"/>
  <c r="BW121" i="11"/>
  <c r="BU121" i="11"/>
  <c r="BS121" i="11"/>
  <c r="BR121" i="11"/>
  <c r="BQ121" i="11"/>
  <c r="BO121" i="11"/>
  <c r="BN121" i="11"/>
  <c r="BM121" i="11"/>
  <c r="BL121" i="11"/>
  <c r="BJ121" i="11"/>
  <c r="BI121" i="11"/>
  <c r="BH121" i="11"/>
  <c r="BG121" i="11"/>
  <c r="BF121" i="11"/>
  <c r="BE121" i="11"/>
  <c r="BD121" i="11"/>
  <c r="BC121" i="11"/>
  <c r="BB121" i="11"/>
  <c r="BA121" i="11"/>
  <c r="AZ121" i="11"/>
  <c r="AY121" i="11"/>
  <c r="AX121" i="11"/>
  <c r="AW121" i="11"/>
  <c r="AU121" i="11"/>
  <c r="AT121" i="11"/>
  <c r="AS121" i="11"/>
  <c r="AR121" i="11"/>
  <c r="CI120" i="11"/>
  <c r="CE120" i="11"/>
  <c r="CB120" i="11"/>
  <c r="CA120" i="11"/>
  <c r="BZ120" i="11"/>
  <c r="BW120" i="11"/>
  <c r="BU120" i="11"/>
  <c r="BS120" i="11"/>
  <c r="BR120" i="11"/>
  <c r="BQ120" i="11"/>
  <c r="BO120" i="11"/>
  <c r="BN120" i="11"/>
  <c r="BM120" i="11"/>
  <c r="BL120" i="11"/>
  <c r="BJ120" i="11"/>
  <c r="BI120" i="11"/>
  <c r="BH120" i="11"/>
  <c r="BG120" i="11"/>
  <c r="BF120" i="11"/>
  <c r="BE120" i="11"/>
  <c r="BD120" i="11"/>
  <c r="BC120" i="11"/>
  <c r="BB120" i="11"/>
  <c r="BA120" i="11"/>
  <c r="AZ120" i="11"/>
  <c r="AY120" i="11"/>
  <c r="AX120" i="11"/>
  <c r="AW120" i="11"/>
  <c r="AU120" i="11"/>
  <c r="AT120" i="11"/>
  <c r="AS120" i="11"/>
  <c r="AR120" i="11"/>
  <c r="CI119" i="11"/>
  <c r="CB119" i="11"/>
  <c r="CA119" i="11"/>
  <c r="BZ119" i="11"/>
  <c r="BW119" i="11"/>
  <c r="BU119" i="11"/>
  <c r="BS119" i="11"/>
  <c r="BR119" i="11"/>
  <c r="BQ119" i="11"/>
  <c r="BO119" i="11"/>
  <c r="BN119" i="11"/>
  <c r="BM119" i="11"/>
  <c r="BL119" i="11"/>
  <c r="BJ119" i="11"/>
  <c r="BI119" i="11"/>
  <c r="BH119" i="11"/>
  <c r="BG119" i="11"/>
  <c r="BF119" i="11"/>
  <c r="BE119" i="11"/>
  <c r="BD119" i="11"/>
  <c r="BC119" i="11"/>
  <c r="BB119" i="11"/>
  <c r="BA119" i="11"/>
  <c r="AZ119" i="11"/>
  <c r="AY119" i="11"/>
  <c r="AX119" i="11"/>
  <c r="AW119" i="11"/>
  <c r="AU119" i="11"/>
  <c r="AT119" i="11"/>
  <c r="AS119" i="11"/>
  <c r="AR119" i="11"/>
  <c r="CI118" i="11"/>
  <c r="CB118" i="11"/>
  <c r="CA118" i="11"/>
  <c r="BZ118" i="11"/>
  <c r="BW118" i="11"/>
  <c r="BU118" i="11"/>
  <c r="BS118" i="11"/>
  <c r="BR118" i="11"/>
  <c r="BQ118" i="11"/>
  <c r="BO118" i="11"/>
  <c r="BN118" i="11"/>
  <c r="BM118" i="11"/>
  <c r="BL118" i="11"/>
  <c r="BJ118" i="11"/>
  <c r="BI118" i="11"/>
  <c r="BH118" i="11"/>
  <c r="BG118" i="11"/>
  <c r="BF118" i="11"/>
  <c r="BE118" i="11"/>
  <c r="BD118" i="11"/>
  <c r="BC118" i="11"/>
  <c r="BB118" i="11"/>
  <c r="BA118" i="11"/>
  <c r="AZ118" i="11"/>
  <c r="AY118" i="11"/>
  <c r="AX118" i="11"/>
  <c r="AW118" i="11"/>
  <c r="AU118" i="11"/>
  <c r="AT118" i="11"/>
  <c r="AS118" i="11"/>
  <c r="AR118" i="11"/>
  <c r="CI117" i="11"/>
  <c r="CB117" i="11"/>
  <c r="CA117" i="11"/>
  <c r="BZ117" i="11"/>
  <c r="BW117" i="11"/>
  <c r="BU117" i="11"/>
  <c r="BS117" i="11"/>
  <c r="BR117" i="11"/>
  <c r="BQ117" i="11"/>
  <c r="BO117" i="11"/>
  <c r="BN117" i="11"/>
  <c r="BM117" i="11"/>
  <c r="BL117" i="11"/>
  <c r="BJ117" i="11"/>
  <c r="BI117" i="11"/>
  <c r="BH117" i="11"/>
  <c r="BG117" i="11"/>
  <c r="BF117" i="11"/>
  <c r="BE117" i="11"/>
  <c r="BD117" i="11"/>
  <c r="BC117" i="11"/>
  <c r="BB117" i="11"/>
  <c r="BA117" i="11"/>
  <c r="AZ117" i="11"/>
  <c r="AY117" i="11"/>
  <c r="AX117" i="11"/>
  <c r="AW117" i="11"/>
  <c r="AU117" i="11"/>
  <c r="AT117" i="11"/>
  <c r="AS117" i="11"/>
  <c r="AR117" i="11"/>
  <c r="CI116" i="11"/>
  <c r="CB116" i="11"/>
  <c r="CA116" i="11"/>
  <c r="BZ116" i="11"/>
  <c r="BW116" i="11"/>
  <c r="BU116" i="11"/>
  <c r="BS116" i="11"/>
  <c r="BR116" i="11"/>
  <c r="BQ116" i="11"/>
  <c r="BO116" i="11"/>
  <c r="BN116" i="11"/>
  <c r="BM116" i="11"/>
  <c r="BL116" i="11"/>
  <c r="BJ116" i="11"/>
  <c r="BI116" i="11"/>
  <c r="BH116" i="11"/>
  <c r="BG116" i="11"/>
  <c r="BF116" i="11"/>
  <c r="BE116" i="11"/>
  <c r="BD116" i="11"/>
  <c r="BC116" i="11"/>
  <c r="BB116" i="11"/>
  <c r="BA116" i="11"/>
  <c r="AZ116" i="11"/>
  <c r="AY116" i="11"/>
  <c r="AX116" i="11"/>
  <c r="AW116" i="11"/>
  <c r="AU116" i="11"/>
  <c r="AT116" i="11"/>
  <c r="AS116" i="11"/>
  <c r="AR116" i="11"/>
  <c r="CI115" i="11"/>
  <c r="CB115" i="11"/>
  <c r="CA115" i="11"/>
  <c r="BZ115" i="11"/>
  <c r="BW115" i="11"/>
  <c r="BU115" i="11"/>
  <c r="BS115" i="11"/>
  <c r="BR115" i="11"/>
  <c r="BQ115" i="11"/>
  <c r="BO115" i="11"/>
  <c r="BN115" i="11"/>
  <c r="BM115" i="11"/>
  <c r="BL115" i="11"/>
  <c r="BJ115" i="11"/>
  <c r="BI115" i="11"/>
  <c r="BH115" i="11"/>
  <c r="BG115" i="11"/>
  <c r="BF115" i="11"/>
  <c r="BE115" i="11"/>
  <c r="BD115" i="11"/>
  <c r="BC115" i="11"/>
  <c r="BB115" i="11"/>
  <c r="BA115" i="11"/>
  <c r="AZ115" i="11"/>
  <c r="AY115" i="11"/>
  <c r="AX115" i="11"/>
  <c r="AW115" i="11"/>
  <c r="AU115" i="11"/>
  <c r="AT115" i="11"/>
  <c r="AS115" i="11"/>
  <c r="AR115" i="11"/>
  <c r="CI114" i="11"/>
  <c r="CB114" i="11"/>
  <c r="CA114" i="11"/>
  <c r="BZ114" i="11"/>
  <c r="BW114" i="11"/>
  <c r="BU114" i="11"/>
  <c r="BS114" i="11"/>
  <c r="BR114" i="11"/>
  <c r="BQ114" i="11"/>
  <c r="BO114" i="11"/>
  <c r="BN114" i="11"/>
  <c r="BM114" i="11"/>
  <c r="BL114" i="11"/>
  <c r="BJ114" i="11"/>
  <c r="BI114" i="11"/>
  <c r="BH114" i="11"/>
  <c r="BG114" i="11"/>
  <c r="BF114" i="11"/>
  <c r="BE114" i="11"/>
  <c r="BD114" i="11"/>
  <c r="BC114" i="11"/>
  <c r="BB114" i="11"/>
  <c r="BA114" i="11"/>
  <c r="AZ114" i="11"/>
  <c r="AY114" i="11"/>
  <c r="AX114" i="11"/>
  <c r="AW114" i="11"/>
  <c r="AU114" i="11"/>
  <c r="AT114" i="11"/>
  <c r="AS114" i="11"/>
  <c r="AR114" i="11"/>
  <c r="CI113" i="11"/>
  <c r="CB113" i="11"/>
  <c r="CA113" i="11"/>
  <c r="BZ113" i="11"/>
  <c r="BW113" i="11"/>
  <c r="BU113" i="11"/>
  <c r="BS113" i="11"/>
  <c r="BR113" i="11"/>
  <c r="BQ113" i="11"/>
  <c r="BO113" i="11"/>
  <c r="BN113" i="11"/>
  <c r="BM113" i="11"/>
  <c r="BL113" i="11"/>
  <c r="BJ113" i="11"/>
  <c r="BI113" i="11"/>
  <c r="BH113" i="11"/>
  <c r="BG113" i="11"/>
  <c r="BF113" i="11"/>
  <c r="BE113" i="11"/>
  <c r="BD113" i="11"/>
  <c r="BC113" i="11"/>
  <c r="BB113" i="11"/>
  <c r="BA113" i="11"/>
  <c r="AZ113" i="11"/>
  <c r="AY113" i="11"/>
  <c r="AX113" i="11"/>
  <c r="AW113" i="11"/>
  <c r="AU113" i="11"/>
  <c r="AT113" i="11"/>
  <c r="AS113" i="11"/>
  <c r="AR113" i="11"/>
  <c r="CI112" i="11"/>
  <c r="CB112" i="11"/>
  <c r="CA112" i="11"/>
  <c r="BZ112" i="11"/>
  <c r="BW112" i="11"/>
  <c r="BU112" i="11"/>
  <c r="BS112" i="11"/>
  <c r="BR112" i="11"/>
  <c r="BQ112" i="11"/>
  <c r="BO112" i="11"/>
  <c r="BN112" i="11"/>
  <c r="BM112" i="11"/>
  <c r="BL112" i="11"/>
  <c r="BJ112" i="11"/>
  <c r="BI112" i="11"/>
  <c r="BH112" i="11"/>
  <c r="BG112" i="11"/>
  <c r="BF112" i="11"/>
  <c r="BE112" i="11"/>
  <c r="BD112" i="11"/>
  <c r="BC112" i="11"/>
  <c r="BB112" i="11"/>
  <c r="BA112" i="11"/>
  <c r="AZ112" i="11"/>
  <c r="AY112" i="11"/>
  <c r="AX112" i="11"/>
  <c r="AW112" i="11"/>
  <c r="AU112" i="11"/>
  <c r="AT112" i="11"/>
  <c r="AS112" i="11"/>
  <c r="AR112" i="11"/>
  <c r="CI111" i="11"/>
  <c r="CB111" i="11"/>
  <c r="CA111" i="11"/>
  <c r="BZ111" i="11"/>
  <c r="BW111" i="11"/>
  <c r="BU111" i="11"/>
  <c r="BS111" i="11"/>
  <c r="BR111" i="11"/>
  <c r="BQ111" i="11"/>
  <c r="BO111" i="11"/>
  <c r="BN111" i="11"/>
  <c r="BM111" i="11"/>
  <c r="BL111" i="11"/>
  <c r="BJ111" i="11"/>
  <c r="BI111" i="11"/>
  <c r="BH111" i="11"/>
  <c r="BG111" i="11"/>
  <c r="BF111" i="11"/>
  <c r="BE111" i="11"/>
  <c r="BD111" i="11"/>
  <c r="BC111" i="11"/>
  <c r="BB111" i="11"/>
  <c r="BA111" i="11"/>
  <c r="AZ111" i="11"/>
  <c r="AY111" i="11"/>
  <c r="AX111" i="11"/>
  <c r="AW111" i="11"/>
  <c r="AU111" i="11"/>
  <c r="AT111" i="11"/>
  <c r="AS111" i="11"/>
  <c r="AR111" i="11"/>
  <c r="CI110" i="11"/>
  <c r="CB110" i="11"/>
  <c r="CA110" i="11"/>
  <c r="BZ110" i="11"/>
  <c r="BW110" i="11"/>
  <c r="BU110" i="11"/>
  <c r="BS110" i="11"/>
  <c r="BR110" i="11"/>
  <c r="BQ110" i="11"/>
  <c r="BO110" i="11"/>
  <c r="BN110" i="11"/>
  <c r="BM110" i="11"/>
  <c r="BL110" i="11"/>
  <c r="BJ110" i="11"/>
  <c r="BI110" i="11"/>
  <c r="BH110" i="11"/>
  <c r="BG110" i="11"/>
  <c r="BF110" i="11"/>
  <c r="BE110" i="11"/>
  <c r="BD110" i="11"/>
  <c r="BC110" i="11"/>
  <c r="BB110" i="11"/>
  <c r="BA110" i="11"/>
  <c r="AZ110" i="11"/>
  <c r="AY110" i="11"/>
  <c r="AX110" i="11"/>
  <c r="AW110" i="11"/>
  <c r="AU110" i="11"/>
  <c r="AT110" i="11"/>
  <c r="AS110" i="11"/>
  <c r="AR110" i="11"/>
  <c r="CI109" i="11"/>
  <c r="CB109" i="11"/>
  <c r="CA109" i="11"/>
  <c r="BZ109" i="11"/>
  <c r="BW109" i="11"/>
  <c r="BU109" i="11"/>
  <c r="BS109" i="11"/>
  <c r="BR109" i="11"/>
  <c r="BQ109" i="11"/>
  <c r="BO109" i="11"/>
  <c r="BN109" i="11"/>
  <c r="BM109" i="11"/>
  <c r="BL109" i="11"/>
  <c r="BJ109" i="11"/>
  <c r="BI109" i="11"/>
  <c r="BH109" i="11"/>
  <c r="BG109" i="11"/>
  <c r="BF109" i="11"/>
  <c r="BE109" i="11"/>
  <c r="BD109" i="11"/>
  <c r="BC109" i="11"/>
  <c r="BB109" i="11"/>
  <c r="BA109" i="11"/>
  <c r="AZ109" i="11"/>
  <c r="AY109" i="11"/>
  <c r="AX109" i="11"/>
  <c r="AW109" i="11"/>
  <c r="AU109" i="11"/>
  <c r="AT109" i="11"/>
  <c r="AS109" i="11"/>
  <c r="AR109" i="11"/>
  <c r="CI108" i="11"/>
  <c r="CB108" i="11"/>
  <c r="CA108" i="11"/>
  <c r="BZ108" i="11"/>
  <c r="BW108" i="11"/>
  <c r="BU108" i="11"/>
  <c r="BS108" i="11"/>
  <c r="BR108" i="11"/>
  <c r="BQ108" i="11"/>
  <c r="BO108" i="11"/>
  <c r="BN108" i="11"/>
  <c r="BM108" i="11"/>
  <c r="BL108" i="11"/>
  <c r="BJ108" i="11"/>
  <c r="BI108" i="11"/>
  <c r="BH108" i="11"/>
  <c r="BG108" i="11"/>
  <c r="BF108" i="11"/>
  <c r="BE108" i="11"/>
  <c r="BD108" i="11"/>
  <c r="BC108" i="11"/>
  <c r="BB108" i="11"/>
  <c r="BA108" i="11"/>
  <c r="AZ108" i="11"/>
  <c r="AY108" i="11"/>
  <c r="AX108" i="11"/>
  <c r="AW108" i="11"/>
  <c r="AV108" i="11"/>
  <c r="AU108" i="11"/>
  <c r="AT108" i="11"/>
  <c r="AS108" i="11"/>
  <c r="AR108" i="11"/>
  <c r="CI107" i="11"/>
  <c r="CB107" i="11"/>
  <c r="CA107" i="11"/>
  <c r="BZ107" i="11"/>
  <c r="BW107" i="11"/>
  <c r="BU107" i="11"/>
  <c r="BS107" i="11"/>
  <c r="BR107" i="11"/>
  <c r="BQ107" i="11"/>
  <c r="BO107" i="11"/>
  <c r="BN107" i="11"/>
  <c r="BM107" i="11"/>
  <c r="BL107" i="11"/>
  <c r="BJ107" i="11"/>
  <c r="BI107" i="11"/>
  <c r="BH107" i="11"/>
  <c r="BG107" i="11"/>
  <c r="BF107" i="11"/>
  <c r="BE107" i="11"/>
  <c r="BD107" i="11"/>
  <c r="BC107" i="11"/>
  <c r="BB107" i="11"/>
  <c r="BA107" i="11"/>
  <c r="AZ107" i="11"/>
  <c r="AY107" i="11"/>
  <c r="AX107" i="11"/>
  <c r="AW107" i="11"/>
  <c r="AV107" i="11"/>
  <c r="AU107" i="11"/>
  <c r="AT107" i="11"/>
  <c r="AS107" i="11"/>
  <c r="AR107" i="11"/>
  <c r="CI106" i="11"/>
  <c r="CB106" i="11"/>
  <c r="CA106" i="11"/>
  <c r="BZ106" i="11"/>
  <c r="BW106" i="11"/>
  <c r="BU106" i="11"/>
  <c r="BS106" i="11"/>
  <c r="BR106" i="11"/>
  <c r="BQ106" i="11"/>
  <c r="BO106" i="11"/>
  <c r="BN106" i="11"/>
  <c r="BM106" i="11"/>
  <c r="BL106" i="11"/>
  <c r="BJ106" i="11"/>
  <c r="BI106" i="11"/>
  <c r="BH106" i="11"/>
  <c r="BG106" i="11"/>
  <c r="BF106" i="11"/>
  <c r="BE106" i="11"/>
  <c r="BD106" i="11"/>
  <c r="BC106" i="11"/>
  <c r="BB106" i="11"/>
  <c r="BA106" i="11"/>
  <c r="AZ106" i="11"/>
  <c r="AY106" i="11"/>
  <c r="AX106" i="11"/>
  <c r="AW106" i="11"/>
  <c r="AV106" i="11"/>
  <c r="AU106" i="11"/>
  <c r="AT106" i="11"/>
  <c r="AS106" i="11"/>
  <c r="AR106" i="11"/>
  <c r="CI105" i="11"/>
  <c r="CB105" i="11"/>
  <c r="CA105" i="11"/>
  <c r="BZ105" i="11"/>
  <c r="BW105" i="11"/>
  <c r="BU105" i="11"/>
  <c r="BS105" i="11"/>
  <c r="BR105" i="11"/>
  <c r="BQ105" i="11"/>
  <c r="BO105" i="11"/>
  <c r="BN105" i="11"/>
  <c r="BM105" i="11"/>
  <c r="BL105" i="11"/>
  <c r="BJ105" i="11"/>
  <c r="BI105" i="11"/>
  <c r="BH105" i="11"/>
  <c r="BG105" i="11"/>
  <c r="BF105" i="11"/>
  <c r="BE105" i="11"/>
  <c r="BD105" i="11"/>
  <c r="BC105" i="11"/>
  <c r="BB105" i="11"/>
  <c r="BA105" i="11"/>
  <c r="AZ105" i="11"/>
  <c r="AY105" i="11"/>
  <c r="AX105" i="11"/>
  <c r="AW105" i="11"/>
  <c r="AV105" i="11"/>
  <c r="AU105" i="11"/>
  <c r="AT105" i="11"/>
  <c r="AS105" i="11"/>
  <c r="AR105" i="11"/>
  <c r="CI104" i="11"/>
  <c r="CB104" i="11"/>
  <c r="CA104" i="11"/>
  <c r="BZ104" i="11"/>
  <c r="BU104" i="11"/>
  <c r="BS104" i="11"/>
  <c r="BR104" i="11"/>
  <c r="BQ104" i="11"/>
  <c r="BO104" i="11"/>
  <c r="BN104" i="11"/>
  <c r="BM104" i="11"/>
  <c r="BL104" i="11"/>
  <c r="BJ104" i="11"/>
  <c r="BI104" i="11"/>
  <c r="BH104" i="11"/>
  <c r="BG104" i="11"/>
  <c r="BF104" i="11"/>
  <c r="BE104" i="11"/>
  <c r="BD104" i="11"/>
  <c r="BC104" i="11"/>
  <c r="BB104" i="11"/>
  <c r="BA104" i="11"/>
  <c r="AZ104" i="11"/>
  <c r="AY104" i="11"/>
  <c r="AX104" i="11"/>
  <c r="AW104" i="11"/>
  <c r="AV104" i="11"/>
  <c r="AU104" i="11"/>
  <c r="AT104" i="11"/>
  <c r="AS104" i="11"/>
  <c r="AR104" i="11"/>
  <c r="BY104" i="11" s="1"/>
  <c r="CG104" i="11" s="1"/>
  <c r="CI103" i="11"/>
  <c r="CB103" i="11"/>
  <c r="CA103" i="11"/>
  <c r="BZ103" i="11"/>
  <c r="BU103" i="11"/>
  <c r="BS103" i="11"/>
  <c r="BR103" i="11"/>
  <c r="BQ103" i="11"/>
  <c r="BO103" i="11"/>
  <c r="BN103" i="11"/>
  <c r="BM103" i="11"/>
  <c r="BL103" i="11"/>
  <c r="BJ103" i="11"/>
  <c r="BI103" i="11"/>
  <c r="BH103" i="11"/>
  <c r="BG103" i="11"/>
  <c r="BF103" i="11"/>
  <c r="BE103" i="11"/>
  <c r="BD103" i="11"/>
  <c r="BC103" i="11"/>
  <c r="BB103" i="11"/>
  <c r="BA103" i="11"/>
  <c r="AZ103" i="11"/>
  <c r="AY103" i="11"/>
  <c r="AX103" i="11"/>
  <c r="AW103" i="11"/>
  <c r="AV103" i="11"/>
  <c r="AU103" i="11"/>
  <c r="AT103" i="11"/>
  <c r="AS103" i="11"/>
  <c r="AR103" i="11"/>
  <c r="CI102" i="11"/>
  <c r="CB102" i="11"/>
  <c r="CA102" i="11"/>
  <c r="BZ102" i="11"/>
  <c r="BW102" i="11"/>
  <c r="BU102" i="11"/>
  <c r="BS102" i="11"/>
  <c r="BR102" i="11"/>
  <c r="BQ102" i="11"/>
  <c r="BO102" i="11"/>
  <c r="BN102" i="11"/>
  <c r="BM102" i="11"/>
  <c r="BL102" i="11"/>
  <c r="BJ102" i="11"/>
  <c r="BI102" i="11"/>
  <c r="BH102" i="11"/>
  <c r="BG102" i="11"/>
  <c r="BF102" i="11"/>
  <c r="BE102" i="11"/>
  <c r="BD102" i="11"/>
  <c r="BC102" i="11"/>
  <c r="BB102" i="11"/>
  <c r="BA102" i="11"/>
  <c r="AZ102" i="11"/>
  <c r="AY102" i="11"/>
  <c r="AX102" i="11"/>
  <c r="AW102" i="11"/>
  <c r="AV102" i="11"/>
  <c r="AU102" i="11"/>
  <c r="AT102" i="11"/>
  <c r="AS102" i="11"/>
  <c r="AR102" i="11"/>
  <c r="CI101" i="11"/>
  <c r="CE101" i="11"/>
  <c r="CD101" i="11"/>
  <c r="CC101" i="11"/>
  <c r="CB101" i="11"/>
  <c r="CA101" i="11"/>
  <c r="BZ101" i="11"/>
  <c r="BW101" i="11"/>
  <c r="BU101" i="11"/>
  <c r="BS101" i="11"/>
  <c r="BR101" i="11"/>
  <c r="BQ101" i="11"/>
  <c r="BO101" i="11"/>
  <c r="BN101" i="11"/>
  <c r="BM101" i="11"/>
  <c r="BL101" i="11"/>
  <c r="BJ101" i="11"/>
  <c r="BI101" i="11"/>
  <c r="BH101" i="11"/>
  <c r="BG101" i="11"/>
  <c r="BF101" i="11"/>
  <c r="BE101" i="11"/>
  <c r="BD101" i="11"/>
  <c r="BC101" i="11"/>
  <c r="BB101" i="11"/>
  <c r="BA101" i="11"/>
  <c r="AZ101" i="11"/>
  <c r="AY101" i="11"/>
  <c r="AX101" i="11"/>
  <c r="AW101" i="11"/>
  <c r="AV101" i="11"/>
  <c r="AU101" i="11"/>
  <c r="AT101" i="11"/>
  <c r="AS101" i="11"/>
  <c r="AR101" i="11"/>
  <c r="CI100" i="11"/>
  <c r="CB100" i="11"/>
  <c r="CA100" i="11"/>
  <c r="BZ100" i="11"/>
  <c r="BU100" i="11"/>
  <c r="BS100" i="11"/>
  <c r="BR100" i="11"/>
  <c r="BQ100" i="11"/>
  <c r="BO100" i="11"/>
  <c r="BN100" i="11"/>
  <c r="BM100" i="11"/>
  <c r="BL100" i="11"/>
  <c r="BJ100" i="11"/>
  <c r="BI100" i="11"/>
  <c r="BH100" i="11"/>
  <c r="BG100" i="11"/>
  <c r="BF100" i="11"/>
  <c r="BE100" i="11"/>
  <c r="BD100" i="11"/>
  <c r="BC100" i="11"/>
  <c r="BB100" i="11"/>
  <c r="BA100" i="11"/>
  <c r="AZ100" i="11"/>
  <c r="AY100" i="11"/>
  <c r="AX100" i="11"/>
  <c r="AW100" i="11"/>
  <c r="AV100" i="11"/>
  <c r="AU100" i="11"/>
  <c r="AT100" i="11"/>
  <c r="AS100" i="11"/>
  <c r="AR100" i="11"/>
  <c r="CI99" i="11"/>
  <c r="CB99" i="11"/>
  <c r="CA99" i="11"/>
  <c r="BZ99" i="11"/>
  <c r="BW99" i="11"/>
  <c r="BU99" i="11"/>
  <c r="BS99" i="11"/>
  <c r="BR99" i="11"/>
  <c r="BQ99" i="11"/>
  <c r="BO99" i="11"/>
  <c r="BN99" i="11"/>
  <c r="BM99" i="11"/>
  <c r="BL99" i="11"/>
  <c r="BJ99" i="11"/>
  <c r="BI99" i="11"/>
  <c r="BH99" i="11"/>
  <c r="BG99" i="11"/>
  <c r="BF99" i="11"/>
  <c r="BE99" i="11"/>
  <c r="BD99" i="11"/>
  <c r="BC99" i="11"/>
  <c r="BB99" i="11"/>
  <c r="BA99" i="11"/>
  <c r="AZ99" i="11"/>
  <c r="AY99" i="11"/>
  <c r="AX99" i="11"/>
  <c r="AW99" i="11"/>
  <c r="AV99" i="11"/>
  <c r="AU99" i="11"/>
  <c r="AT99" i="11"/>
  <c r="AS99" i="11"/>
  <c r="AR99" i="11"/>
  <c r="CI98" i="11"/>
  <c r="CB98" i="11"/>
  <c r="CA98" i="11"/>
  <c r="BZ98" i="11"/>
  <c r="BU98" i="11"/>
  <c r="BS98" i="11"/>
  <c r="BR98" i="11"/>
  <c r="BQ98" i="11"/>
  <c r="BO98" i="11"/>
  <c r="BN98" i="11"/>
  <c r="BM98" i="11"/>
  <c r="BL98" i="11"/>
  <c r="BJ98" i="11"/>
  <c r="BI98" i="11"/>
  <c r="BH98" i="11"/>
  <c r="BG98" i="11"/>
  <c r="BF98" i="11"/>
  <c r="BE98" i="11"/>
  <c r="BD98" i="11"/>
  <c r="BC98" i="11"/>
  <c r="BB98" i="11"/>
  <c r="BA98" i="11"/>
  <c r="AZ98" i="11"/>
  <c r="AY98" i="11"/>
  <c r="AX98" i="11"/>
  <c r="AW98" i="11"/>
  <c r="AV98" i="11"/>
  <c r="AU98" i="11"/>
  <c r="AT98" i="11"/>
  <c r="AS98" i="11"/>
  <c r="AR98" i="11"/>
  <c r="BY98" i="11" s="1"/>
  <c r="CG98" i="11" s="1"/>
  <c r="CI97" i="11"/>
  <c r="CB97" i="11"/>
  <c r="CA97" i="11"/>
  <c r="BZ97" i="11"/>
  <c r="BW97" i="11"/>
  <c r="BU97" i="11"/>
  <c r="BS97" i="11"/>
  <c r="BR97" i="11"/>
  <c r="BQ97" i="11"/>
  <c r="BO97" i="11"/>
  <c r="BN97" i="11"/>
  <c r="BM97" i="11"/>
  <c r="BL97" i="11"/>
  <c r="BJ97" i="11"/>
  <c r="BI97" i="11"/>
  <c r="BH97" i="11"/>
  <c r="BG97" i="11"/>
  <c r="BF97" i="11"/>
  <c r="BE97" i="11"/>
  <c r="BD97" i="11"/>
  <c r="BC97" i="11"/>
  <c r="BB97" i="11"/>
  <c r="BA97" i="11"/>
  <c r="AZ97" i="11"/>
  <c r="AY97" i="11"/>
  <c r="AX97" i="11"/>
  <c r="AW97" i="11"/>
  <c r="AV97" i="11"/>
  <c r="AU97" i="11"/>
  <c r="AT97" i="11"/>
  <c r="AS97" i="11"/>
  <c r="AR97" i="11"/>
  <c r="CI96" i="11"/>
  <c r="CB96" i="11"/>
  <c r="CA96" i="11"/>
  <c r="BZ96" i="11"/>
  <c r="BW96" i="11"/>
  <c r="BU96" i="11"/>
  <c r="BS96" i="11"/>
  <c r="BR96" i="11"/>
  <c r="BQ96" i="11"/>
  <c r="BO96" i="11"/>
  <c r="BN96" i="11"/>
  <c r="BM96" i="11"/>
  <c r="BL96" i="11"/>
  <c r="BJ96" i="11"/>
  <c r="BI96" i="11"/>
  <c r="BH96" i="11"/>
  <c r="BG96" i="11"/>
  <c r="BF96" i="11"/>
  <c r="BE96" i="11"/>
  <c r="BD96" i="11"/>
  <c r="BC96" i="11"/>
  <c r="BB96" i="11"/>
  <c r="BA96" i="11"/>
  <c r="AZ96" i="11"/>
  <c r="AY96" i="11"/>
  <c r="AX96" i="11"/>
  <c r="AW96" i="11"/>
  <c r="AV96" i="11"/>
  <c r="AU96" i="11"/>
  <c r="AT96" i="11"/>
  <c r="AS96" i="11"/>
  <c r="AR96" i="11"/>
  <c r="CI95" i="11"/>
  <c r="CB95" i="11"/>
  <c r="CA95" i="11"/>
  <c r="BZ95" i="11"/>
  <c r="BW95" i="11"/>
  <c r="BU95" i="11"/>
  <c r="BS95" i="11"/>
  <c r="BR95" i="11"/>
  <c r="BQ95" i="11"/>
  <c r="BO95" i="11"/>
  <c r="BN95" i="11"/>
  <c r="BM95" i="11"/>
  <c r="BL95" i="11"/>
  <c r="BJ95" i="11"/>
  <c r="BI95" i="11"/>
  <c r="BH95" i="11"/>
  <c r="BG95" i="11"/>
  <c r="BF95" i="11"/>
  <c r="BE95" i="11"/>
  <c r="BD95" i="11"/>
  <c r="BC95" i="11"/>
  <c r="BB95" i="11"/>
  <c r="BA95" i="11"/>
  <c r="AZ95" i="11"/>
  <c r="AY95" i="11"/>
  <c r="AX95" i="11"/>
  <c r="AW95" i="11"/>
  <c r="AV95" i="11"/>
  <c r="AU95" i="11"/>
  <c r="AT95" i="11"/>
  <c r="AS95" i="11"/>
  <c r="AR95" i="11"/>
  <c r="CI94" i="11"/>
  <c r="CB94" i="11"/>
  <c r="CA94" i="11"/>
  <c r="BZ94" i="11"/>
  <c r="BW94" i="11"/>
  <c r="BU94" i="11"/>
  <c r="BS94" i="11"/>
  <c r="BR94" i="11"/>
  <c r="BQ94" i="11"/>
  <c r="BO94" i="11"/>
  <c r="BN94" i="11"/>
  <c r="BM94" i="11"/>
  <c r="BL94" i="11"/>
  <c r="BJ94" i="11"/>
  <c r="BI94" i="11"/>
  <c r="BH94" i="11"/>
  <c r="BG94" i="11"/>
  <c r="BF94" i="11"/>
  <c r="BE94" i="11"/>
  <c r="BD94" i="11"/>
  <c r="BC94" i="11"/>
  <c r="BB94" i="11"/>
  <c r="BA94" i="11"/>
  <c r="AZ94" i="11"/>
  <c r="AY94" i="11"/>
  <c r="AX94" i="11"/>
  <c r="AW94" i="11"/>
  <c r="AV94" i="11"/>
  <c r="AU94" i="11"/>
  <c r="AT94" i="11"/>
  <c r="AS94" i="11"/>
  <c r="AR94" i="11"/>
  <c r="CI93" i="11"/>
  <c r="CB93" i="11"/>
  <c r="CA93" i="11"/>
  <c r="BZ93" i="11"/>
  <c r="BW93" i="11"/>
  <c r="BU93" i="11"/>
  <c r="BS93" i="11"/>
  <c r="BR93" i="11"/>
  <c r="BQ93" i="11"/>
  <c r="BO93" i="11"/>
  <c r="BN93" i="11"/>
  <c r="BM93" i="11"/>
  <c r="BL93" i="11"/>
  <c r="BJ93" i="11"/>
  <c r="BI93" i="11"/>
  <c r="BH93" i="11"/>
  <c r="BG93" i="11"/>
  <c r="BF93" i="11"/>
  <c r="BE93" i="11"/>
  <c r="BD93" i="11"/>
  <c r="BC93" i="11"/>
  <c r="BB93" i="11"/>
  <c r="BA93" i="11"/>
  <c r="AZ93" i="11"/>
  <c r="AY93" i="11"/>
  <c r="AX93" i="11"/>
  <c r="AW93" i="11"/>
  <c r="AV93" i="11"/>
  <c r="AU93" i="11"/>
  <c r="AT93" i="11"/>
  <c r="AS93" i="11"/>
  <c r="AR93" i="11"/>
  <c r="CI92" i="11"/>
  <c r="CB92" i="11"/>
  <c r="CA92" i="11"/>
  <c r="BZ92" i="11"/>
  <c r="BW92" i="11"/>
  <c r="BU92" i="11"/>
  <c r="BS92" i="11"/>
  <c r="BR92" i="11"/>
  <c r="BQ92" i="11"/>
  <c r="BO92" i="11"/>
  <c r="BN92" i="11"/>
  <c r="BM92" i="11"/>
  <c r="BL92" i="11"/>
  <c r="BJ92" i="11"/>
  <c r="BI92" i="11"/>
  <c r="BH92" i="11"/>
  <c r="BG92" i="11"/>
  <c r="BF92" i="11"/>
  <c r="BE92" i="11"/>
  <c r="BD92" i="11"/>
  <c r="BC92" i="11"/>
  <c r="BB92" i="11"/>
  <c r="BA92" i="11"/>
  <c r="AZ92" i="11"/>
  <c r="AY92" i="11"/>
  <c r="AX92" i="11"/>
  <c r="AW92" i="11"/>
  <c r="AV92" i="11"/>
  <c r="AU92" i="11"/>
  <c r="AT92" i="11"/>
  <c r="AS92" i="11"/>
  <c r="AR92" i="11"/>
  <c r="CI91" i="11"/>
  <c r="CB91" i="11"/>
  <c r="CA91" i="11"/>
  <c r="BZ91" i="11"/>
  <c r="BW91" i="11"/>
  <c r="BU91" i="11"/>
  <c r="BS91" i="11"/>
  <c r="BR91" i="11"/>
  <c r="BQ91" i="11"/>
  <c r="BO91" i="11"/>
  <c r="BN91" i="11"/>
  <c r="BM91" i="11"/>
  <c r="BL91" i="11"/>
  <c r="BJ91" i="11"/>
  <c r="BI91" i="11"/>
  <c r="BH91" i="11"/>
  <c r="BG91" i="11"/>
  <c r="BF91" i="11"/>
  <c r="BE91" i="11"/>
  <c r="BD91" i="11"/>
  <c r="BC91" i="11"/>
  <c r="BB91" i="11"/>
  <c r="BA91" i="11"/>
  <c r="AZ91" i="11"/>
  <c r="AY91" i="11"/>
  <c r="AX91" i="11"/>
  <c r="AW91" i="11"/>
  <c r="AV91" i="11"/>
  <c r="AU91" i="11"/>
  <c r="AT91" i="11"/>
  <c r="AS91" i="11"/>
  <c r="AR91" i="11"/>
  <c r="CI90" i="11"/>
  <c r="CB90" i="11"/>
  <c r="CA90" i="11"/>
  <c r="BZ90" i="11"/>
  <c r="BW90" i="11"/>
  <c r="BU90" i="11"/>
  <c r="BS90" i="11"/>
  <c r="BR90" i="11"/>
  <c r="BQ90" i="11"/>
  <c r="BO90" i="11"/>
  <c r="BN90" i="11"/>
  <c r="BM90" i="11"/>
  <c r="BL90" i="11"/>
  <c r="BJ90" i="11"/>
  <c r="BI90" i="11"/>
  <c r="BH90" i="11"/>
  <c r="BG90" i="11"/>
  <c r="BF90" i="11"/>
  <c r="BE90" i="11"/>
  <c r="BD90" i="11"/>
  <c r="BC90" i="11"/>
  <c r="BB90" i="11"/>
  <c r="BA90" i="11"/>
  <c r="AZ90" i="11"/>
  <c r="AY90" i="11"/>
  <c r="AX90" i="11"/>
  <c r="AW90" i="11"/>
  <c r="AV90" i="11"/>
  <c r="AU90" i="11"/>
  <c r="AT90" i="11"/>
  <c r="AS90" i="11"/>
  <c r="AR90" i="11"/>
  <c r="CI89" i="11"/>
  <c r="CB89" i="11"/>
  <c r="CA89" i="11"/>
  <c r="BZ89" i="11"/>
  <c r="BW89" i="11"/>
  <c r="BU89" i="11"/>
  <c r="BS89" i="11"/>
  <c r="BR89" i="11"/>
  <c r="BQ89" i="11"/>
  <c r="BO89" i="11"/>
  <c r="BN89" i="11"/>
  <c r="BM89" i="11"/>
  <c r="BL89" i="11"/>
  <c r="BJ89" i="11"/>
  <c r="BI89" i="11"/>
  <c r="BH89" i="11"/>
  <c r="BG89" i="11"/>
  <c r="BF89" i="11"/>
  <c r="BE89" i="11"/>
  <c r="BD89" i="11"/>
  <c r="BC89" i="11"/>
  <c r="BB89" i="11"/>
  <c r="BA89" i="11"/>
  <c r="AZ89" i="11"/>
  <c r="AY89" i="11"/>
  <c r="AX89" i="11"/>
  <c r="AW89" i="11"/>
  <c r="AV89" i="11"/>
  <c r="AU89" i="11"/>
  <c r="AT89" i="11"/>
  <c r="AS89" i="11"/>
  <c r="AR89" i="11"/>
  <c r="CI88" i="11"/>
  <c r="CB88" i="11"/>
  <c r="CA88" i="11"/>
  <c r="BZ88" i="11"/>
  <c r="BW88" i="11"/>
  <c r="BU88" i="11"/>
  <c r="BS88" i="11"/>
  <c r="BR88" i="11"/>
  <c r="BQ88" i="11"/>
  <c r="BO88" i="11"/>
  <c r="BN88" i="11"/>
  <c r="BM88" i="11"/>
  <c r="BL88" i="11"/>
  <c r="BJ88" i="11"/>
  <c r="BI88" i="11"/>
  <c r="BH88" i="11"/>
  <c r="BG88" i="11"/>
  <c r="BF88" i="11"/>
  <c r="BE88" i="11"/>
  <c r="BD88" i="11"/>
  <c r="BC88" i="11"/>
  <c r="BB88" i="11"/>
  <c r="BA88" i="11"/>
  <c r="AZ88" i="11"/>
  <c r="AY88" i="11"/>
  <c r="AX88" i="11"/>
  <c r="AW88" i="11"/>
  <c r="AV88" i="11"/>
  <c r="AU88" i="11"/>
  <c r="AT88" i="11"/>
  <c r="AS88" i="11"/>
  <c r="AR88" i="11"/>
  <c r="CI87" i="11"/>
  <c r="CB87" i="11"/>
  <c r="CA87" i="11"/>
  <c r="BZ87" i="11"/>
  <c r="BW87" i="11"/>
  <c r="BU87" i="11"/>
  <c r="BS87" i="11"/>
  <c r="BR87" i="11"/>
  <c r="BQ87" i="11"/>
  <c r="BO87" i="11"/>
  <c r="BN87" i="11"/>
  <c r="BM87" i="11"/>
  <c r="BL87" i="11"/>
  <c r="BJ87" i="11"/>
  <c r="BI87" i="11"/>
  <c r="BH87" i="11"/>
  <c r="BG87" i="11"/>
  <c r="BF87" i="11"/>
  <c r="BE87" i="11"/>
  <c r="BD87" i="11"/>
  <c r="BC87" i="11"/>
  <c r="BB87" i="11"/>
  <c r="BA87" i="11"/>
  <c r="AZ87" i="11"/>
  <c r="AY87" i="11"/>
  <c r="AX87" i="11"/>
  <c r="AW87" i="11"/>
  <c r="AV87" i="11"/>
  <c r="AU87" i="11"/>
  <c r="AT87" i="11"/>
  <c r="AS87" i="11"/>
  <c r="AR87" i="11"/>
  <c r="CI86" i="11"/>
  <c r="CB86" i="11"/>
  <c r="CA86" i="11"/>
  <c r="BZ86" i="11"/>
  <c r="BW86" i="11"/>
  <c r="BU86" i="11"/>
  <c r="BS86" i="11"/>
  <c r="BR86" i="11"/>
  <c r="BQ86" i="11"/>
  <c r="BO86" i="11"/>
  <c r="BN86" i="11"/>
  <c r="BM86" i="11"/>
  <c r="BL86" i="11"/>
  <c r="BJ86" i="11"/>
  <c r="BI86" i="11"/>
  <c r="BH86" i="11"/>
  <c r="BG86" i="11"/>
  <c r="BF86" i="11"/>
  <c r="BE86" i="11"/>
  <c r="BD86" i="11"/>
  <c r="BC86" i="11"/>
  <c r="BB86" i="11"/>
  <c r="BA86" i="11"/>
  <c r="AZ86" i="11"/>
  <c r="AY86" i="11"/>
  <c r="AX86" i="11"/>
  <c r="AW86" i="11"/>
  <c r="AV86" i="11"/>
  <c r="AU86" i="11"/>
  <c r="AT86" i="11"/>
  <c r="AS86" i="11"/>
  <c r="AR86" i="11"/>
  <c r="CI85" i="11"/>
  <c r="CB85" i="11"/>
  <c r="CA85" i="11"/>
  <c r="BZ85" i="11"/>
  <c r="BW85" i="11"/>
  <c r="BU85" i="11"/>
  <c r="BS85" i="11"/>
  <c r="BR85" i="11"/>
  <c r="BQ85" i="11"/>
  <c r="BO85" i="11"/>
  <c r="BN85" i="11"/>
  <c r="BM85" i="11"/>
  <c r="BL85" i="11"/>
  <c r="BJ85" i="11"/>
  <c r="BI85" i="11"/>
  <c r="BH85" i="11"/>
  <c r="BG85" i="11"/>
  <c r="BF85" i="11"/>
  <c r="BE85" i="11"/>
  <c r="BD85" i="11"/>
  <c r="BC85" i="11"/>
  <c r="BB85" i="11"/>
  <c r="BA85" i="11"/>
  <c r="AZ85" i="11"/>
  <c r="AY85" i="11"/>
  <c r="AX85" i="11"/>
  <c r="AW85" i="11"/>
  <c r="AV85" i="11"/>
  <c r="AU85" i="11"/>
  <c r="AT85" i="11"/>
  <c r="AS85" i="11"/>
  <c r="AR85" i="11"/>
  <c r="CI84" i="11"/>
  <c r="CB84" i="11"/>
  <c r="CA84" i="11"/>
  <c r="BZ84" i="11"/>
  <c r="BW84" i="11"/>
  <c r="BU84" i="11"/>
  <c r="BS84" i="11"/>
  <c r="BR84" i="11"/>
  <c r="BQ84" i="11"/>
  <c r="BO84" i="11"/>
  <c r="BN84" i="11"/>
  <c r="BM84" i="11"/>
  <c r="BL84" i="11"/>
  <c r="BJ84" i="11"/>
  <c r="BI84" i="11"/>
  <c r="BH84" i="11"/>
  <c r="BG84" i="11"/>
  <c r="BF84" i="11"/>
  <c r="BE84" i="11"/>
  <c r="BD84" i="11"/>
  <c r="BC84" i="11"/>
  <c r="BB84" i="11"/>
  <c r="BA84" i="11"/>
  <c r="AZ84" i="11"/>
  <c r="AY84" i="11"/>
  <c r="AX84" i="11"/>
  <c r="AW84" i="11"/>
  <c r="AV84" i="11"/>
  <c r="AU84" i="11"/>
  <c r="AT84" i="11"/>
  <c r="AS84" i="11"/>
  <c r="AR84" i="11"/>
  <c r="CI83" i="11"/>
  <c r="CB83" i="11"/>
  <c r="CA83" i="11"/>
  <c r="BZ83" i="11"/>
  <c r="BW83" i="11"/>
  <c r="BU83" i="11"/>
  <c r="BS83" i="11"/>
  <c r="BR83" i="11"/>
  <c r="BQ83" i="11"/>
  <c r="BO83" i="11"/>
  <c r="BN83" i="11"/>
  <c r="BM83" i="11"/>
  <c r="BL83" i="11"/>
  <c r="BJ83" i="11"/>
  <c r="BI83" i="11"/>
  <c r="BH83" i="11"/>
  <c r="BG83" i="11"/>
  <c r="BF83" i="11"/>
  <c r="BE83" i="11"/>
  <c r="BD83" i="11"/>
  <c r="BC83" i="11"/>
  <c r="BB83" i="11"/>
  <c r="BA83" i="11"/>
  <c r="AZ83" i="11"/>
  <c r="AY83" i="11"/>
  <c r="AX83" i="11"/>
  <c r="AW83" i="11"/>
  <c r="AV83" i="11"/>
  <c r="AU83" i="11"/>
  <c r="AT83" i="11"/>
  <c r="AS83" i="11"/>
  <c r="AR83" i="11"/>
  <c r="CI82" i="11"/>
  <c r="CB82" i="11"/>
  <c r="CA82" i="11"/>
  <c r="BZ82" i="11"/>
  <c r="BW82" i="11"/>
  <c r="BU82" i="11"/>
  <c r="BS82" i="11"/>
  <c r="BR82" i="11"/>
  <c r="BQ82" i="11"/>
  <c r="BO82" i="11"/>
  <c r="BN82" i="11"/>
  <c r="BM82" i="11"/>
  <c r="BL82" i="11"/>
  <c r="BJ82" i="11"/>
  <c r="BI82" i="11"/>
  <c r="BH82" i="11"/>
  <c r="BG82" i="11"/>
  <c r="BF82" i="11"/>
  <c r="BE82" i="11"/>
  <c r="BD82" i="11"/>
  <c r="BC82" i="11"/>
  <c r="BB82" i="11"/>
  <c r="BA82" i="11"/>
  <c r="AZ82" i="11"/>
  <c r="AY82" i="11"/>
  <c r="AX82" i="11"/>
  <c r="AW82" i="11"/>
  <c r="AV82" i="11"/>
  <c r="AU82" i="11"/>
  <c r="AT82" i="11"/>
  <c r="AS82" i="11"/>
  <c r="AR82" i="11"/>
  <c r="CI81" i="11"/>
  <c r="CE81" i="11"/>
  <c r="CD81" i="11"/>
  <c r="CC81" i="11"/>
  <c r="CB81" i="11"/>
  <c r="CA81" i="11"/>
  <c r="BZ81" i="11"/>
  <c r="BW81" i="11"/>
  <c r="BU81" i="11"/>
  <c r="BS81" i="11"/>
  <c r="BR81" i="11"/>
  <c r="BQ81" i="11"/>
  <c r="BO81" i="11"/>
  <c r="BN81" i="11"/>
  <c r="BM81" i="11"/>
  <c r="BL81" i="11"/>
  <c r="BJ81" i="11"/>
  <c r="BI81" i="11"/>
  <c r="BH81" i="11"/>
  <c r="BG81" i="11"/>
  <c r="BF81" i="11"/>
  <c r="BE81" i="11"/>
  <c r="BD81" i="11"/>
  <c r="BC81" i="11"/>
  <c r="BB81" i="11"/>
  <c r="BA81" i="11"/>
  <c r="AZ81" i="11"/>
  <c r="AY81" i="11"/>
  <c r="AX81" i="11"/>
  <c r="AW81" i="11"/>
  <c r="AU81" i="11"/>
  <c r="AT81" i="11"/>
  <c r="AS81" i="11"/>
  <c r="AR81" i="11"/>
  <c r="CI79" i="11"/>
  <c r="CE79" i="11"/>
  <c r="CD79" i="11"/>
  <c r="CB79" i="11"/>
  <c r="CA79" i="11"/>
  <c r="BZ79" i="11"/>
  <c r="BW79" i="11"/>
  <c r="BU79" i="11"/>
  <c r="BS79" i="11"/>
  <c r="BR79" i="11"/>
  <c r="BQ79" i="11"/>
  <c r="BO79" i="11"/>
  <c r="BN79" i="11"/>
  <c r="BM79" i="11"/>
  <c r="BL79" i="11"/>
  <c r="BJ79" i="11"/>
  <c r="BI79" i="11"/>
  <c r="BH79" i="11"/>
  <c r="BG79" i="11"/>
  <c r="BF79" i="11"/>
  <c r="BE79" i="11"/>
  <c r="BD79" i="11"/>
  <c r="BC79" i="11"/>
  <c r="BB79" i="11"/>
  <c r="BA79" i="11"/>
  <c r="AZ79" i="11"/>
  <c r="AY79" i="11"/>
  <c r="AX79" i="11"/>
  <c r="AW79" i="11"/>
  <c r="AU79" i="11"/>
  <c r="AT79" i="11"/>
  <c r="AS79" i="11"/>
  <c r="AR79" i="11"/>
  <c r="CI80" i="11"/>
  <c r="CE80" i="11"/>
  <c r="CD80" i="11"/>
  <c r="CB80" i="11"/>
  <c r="CA80" i="11"/>
  <c r="BZ80" i="11"/>
  <c r="BW80" i="11"/>
  <c r="BU80" i="11"/>
  <c r="BS80" i="11"/>
  <c r="BR80" i="11"/>
  <c r="BQ80" i="11"/>
  <c r="BO80" i="11"/>
  <c r="BN80" i="11"/>
  <c r="BM80" i="11"/>
  <c r="BL80" i="11"/>
  <c r="BJ80" i="11"/>
  <c r="BI80" i="11"/>
  <c r="BH80" i="11"/>
  <c r="BG80" i="11"/>
  <c r="BF80" i="11"/>
  <c r="BE80" i="11"/>
  <c r="BD80" i="11"/>
  <c r="BC80" i="11"/>
  <c r="BB80" i="11"/>
  <c r="BA80" i="11"/>
  <c r="AZ80" i="11"/>
  <c r="AY80" i="11"/>
  <c r="AX80" i="11"/>
  <c r="AW80" i="11"/>
  <c r="AU80" i="11"/>
  <c r="AT80" i="11"/>
  <c r="AS80" i="11"/>
  <c r="AR80" i="11"/>
  <c r="CI78" i="11"/>
  <c r="CE78" i="11"/>
  <c r="CD78" i="11"/>
  <c r="CB78" i="11"/>
  <c r="CA78" i="11"/>
  <c r="BZ78" i="11"/>
  <c r="BW78" i="11"/>
  <c r="BU78" i="11"/>
  <c r="BS78" i="11"/>
  <c r="BR78" i="11"/>
  <c r="BQ78" i="11"/>
  <c r="BO78" i="11"/>
  <c r="BN78" i="11"/>
  <c r="BM78" i="11"/>
  <c r="BL78" i="11"/>
  <c r="BJ78" i="11"/>
  <c r="BI78" i="11"/>
  <c r="BH78" i="11"/>
  <c r="BG78" i="11"/>
  <c r="BF78" i="11"/>
  <c r="BE78" i="11"/>
  <c r="BD78" i="11"/>
  <c r="BC78" i="11"/>
  <c r="BB78" i="11"/>
  <c r="BA78" i="11"/>
  <c r="AZ78" i="11"/>
  <c r="AY78" i="11"/>
  <c r="AX78" i="11"/>
  <c r="AW78" i="11"/>
  <c r="AU78" i="11"/>
  <c r="AT78" i="11"/>
  <c r="AS78" i="11"/>
  <c r="AR78" i="11"/>
  <c r="CI77" i="11"/>
  <c r="CE77" i="11"/>
  <c r="CD77" i="11"/>
  <c r="CB77" i="11"/>
  <c r="CA77" i="11"/>
  <c r="BZ77" i="11"/>
  <c r="BW77" i="11"/>
  <c r="BU77" i="11"/>
  <c r="BS77" i="11"/>
  <c r="BR77" i="11"/>
  <c r="BQ77" i="11"/>
  <c r="BO77" i="11"/>
  <c r="BN77" i="11"/>
  <c r="BM77" i="11"/>
  <c r="BL77" i="11"/>
  <c r="BJ77" i="11"/>
  <c r="BI77" i="11"/>
  <c r="BH77" i="11"/>
  <c r="BG77" i="11"/>
  <c r="BF77" i="11"/>
  <c r="BE77" i="11"/>
  <c r="BD77" i="11"/>
  <c r="BC77" i="11"/>
  <c r="BB77" i="11"/>
  <c r="BA77" i="11"/>
  <c r="AZ77" i="11"/>
  <c r="AY77" i="11"/>
  <c r="AX77" i="11"/>
  <c r="AW77" i="11"/>
  <c r="AU77" i="11"/>
  <c r="AT77" i="11"/>
  <c r="AS77" i="11"/>
  <c r="AR77" i="11"/>
  <c r="CI76" i="11"/>
  <c r="CE76" i="11"/>
  <c r="CD76" i="11"/>
  <c r="CB76" i="11"/>
  <c r="CA76" i="11"/>
  <c r="BZ76" i="11"/>
  <c r="BW76" i="11"/>
  <c r="BU76" i="11"/>
  <c r="BS76" i="11"/>
  <c r="BR76" i="11"/>
  <c r="BQ76" i="11"/>
  <c r="BO76" i="11"/>
  <c r="BN76" i="11"/>
  <c r="BM76" i="11"/>
  <c r="BL76" i="11"/>
  <c r="BJ76" i="11"/>
  <c r="BI76" i="11"/>
  <c r="BH76" i="11"/>
  <c r="BG76" i="11"/>
  <c r="BF76" i="11"/>
  <c r="BE76" i="11"/>
  <c r="BD76" i="11"/>
  <c r="BC76" i="11"/>
  <c r="BB76" i="11"/>
  <c r="BA76" i="11"/>
  <c r="AZ76" i="11"/>
  <c r="AY76" i="11"/>
  <c r="AX76" i="11"/>
  <c r="AW76" i="11"/>
  <c r="AU76" i="11"/>
  <c r="AT76" i="11"/>
  <c r="AS76" i="11"/>
  <c r="AR76" i="11"/>
  <c r="CI75" i="11"/>
  <c r="CE75" i="11"/>
  <c r="CD75" i="11"/>
  <c r="CB75" i="11"/>
  <c r="CA75" i="11"/>
  <c r="BZ75" i="11"/>
  <c r="BW75" i="11"/>
  <c r="BU75" i="11"/>
  <c r="BS75" i="11"/>
  <c r="BR75" i="11"/>
  <c r="BQ75" i="11"/>
  <c r="BO75" i="11"/>
  <c r="BN75" i="11"/>
  <c r="BM75" i="11"/>
  <c r="BL75" i="11"/>
  <c r="BJ75" i="11"/>
  <c r="BI75" i="11"/>
  <c r="BH75" i="11"/>
  <c r="BG75" i="11"/>
  <c r="BF75" i="11"/>
  <c r="BE75" i="11"/>
  <c r="BD75" i="11"/>
  <c r="BC75" i="11"/>
  <c r="BB75" i="11"/>
  <c r="BA75" i="11"/>
  <c r="AZ75" i="11"/>
  <c r="AY75" i="11"/>
  <c r="AX75" i="11"/>
  <c r="AW75" i="11"/>
  <c r="AU75" i="11"/>
  <c r="AT75" i="11"/>
  <c r="AS75" i="11"/>
  <c r="AR75" i="11"/>
  <c r="CI74" i="11"/>
  <c r="CE74" i="11"/>
  <c r="CD74" i="11"/>
  <c r="CB74" i="11"/>
  <c r="CA74" i="11"/>
  <c r="BZ74" i="11"/>
  <c r="BW74" i="11"/>
  <c r="BU74" i="11"/>
  <c r="BS74" i="11"/>
  <c r="BR74" i="11"/>
  <c r="BQ74" i="11"/>
  <c r="BO74" i="11"/>
  <c r="BN74" i="11"/>
  <c r="BM74" i="11"/>
  <c r="BL74" i="11"/>
  <c r="BJ74" i="11"/>
  <c r="BI74" i="11"/>
  <c r="BH74" i="11"/>
  <c r="BG74" i="11"/>
  <c r="BF74" i="11"/>
  <c r="BE74" i="11"/>
  <c r="BD74" i="11"/>
  <c r="BC74" i="11"/>
  <c r="BB74" i="11"/>
  <c r="BA74" i="11"/>
  <c r="AZ74" i="11"/>
  <c r="AY74" i="11"/>
  <c r="AX74" i="11"/>
  <c r="AW74" i="11"/>
  <c r="AU74" i="11"/>
  <c r="AT74" i="11"/>
  <c r="AS74" i="11"/>
  <c r="AR74" i="11"/>
  <c r="CI73" i="11"/>
  <c r="CE73" i="11"/>
  <c r="CD73" i="11"/>
  <c r="CB73" i="11"/>
  <c r="CA73" i="11"/>
  <c r="BZ73" i="11"/>
  <c r="BW73" i="11"/>
  <c r="BU73" i="11"/>
  <c r="BS73" i="11"/>
  <c r="BR73" i="11"/>
  <c r="BQ73" i="11"/>
  <c r="BO73" i="11"/>
  <c r="BN73" i="11"/>
  <c r="BM73" i="11"/>
  <c r="BL73" i="11"/>
  <c r="BJ73" i="11"/>
  <c r="BI73" i="11"/>
  <c r="BH73" i="11"/>
  <c r="BG73" i="11"/>
  <c r="BF73" i="11"/>
  <c r="BE73" i="11"/>
  <c r="BD73" i="11"/>
  <c r="BC73" i="11"/>
  <c r="BB73" i="11"/>
  <c r="BA73" i="11"/>
  <c r="AZ73" i="11"/>
  <c r="AY73" i="11"/>
  <c r="AX73" i="11"/>
  <c r="AW73" i="11"/>
  <c r="AU73" i="11"/>
  <c r="AT73" i="11"/>
  <c r="AS73" i="11"/>
  <c r="AR73" i="11"/>
  <c r="CI72" i="11"/>
  <c r="CE72" i="11"/>
  <c r="CD72" i="11"/>
  <c r="CC72" i="11"/>
  <c r="CB72" i="11"/>
  <c r="CA72" i="11"/>
  <c r="BZ72" i="11"/>
  <c r="BU72" i="11"/>
  <c r="BS72" i="11"/>
  <c r="BR72" i="11"/>
  <c r="BQ72" i="11"/>
  <c r="BO72" i="11"/>
  <c r="BN72" i="11"/>
  <c r="BM72" i="11"/>
  <c r="BL72" i="11"/>
  <c r="BJ72" i="11"/>
  <c r="BI72" i="11"/>
  <c r="BH72" i="11"/>
  <c r="BG72" i="11"/>
  <c r="BF72" i="11"/>
  <c r="BE72" i="11"/>
  <c r="BD72" i="11"/>
  <c r="BC72" i="11"/>
  <c r="BB72" i="11"/>
  <c r="BA72" i="11"/>
  <c r="AZ72" i="11"/>
  <c r="AY72" i="11"/>
  <c r="AX72" i="11"/>
  <c r="AW72" i="11"/>
  <c r="AU72" i="11"/>
  <c r="AT72" i="11"/>
  <c r="AS72" i="11"/>
  <c r="AR72" i="11"/>
  <c r="CI71" i="11"/>
  <c r="CB71" i="11"/>
  <c r="CA71" i="11"/>
  <c r="BZ71" i="11"/>
  <c r="BW71" i="11"/>
  <c r="BU71" i="11"/>
  <c r="BS71" i="11"/>
  <c r="BR71" i="11"/>
  <c r="BQ71" i="11"/>
  <c r="BO71" i="11"/>
  <c r="BN71" i="11"/>
  <c r="BM71" i="11"/>
  <c r="BL71" i="11"/>
  <c r="BJ71" i="11"/>
  <c r="BI71" i="11"/>
  <c r="BH71" i="11"/>
  <c r="BG71" i="11"/>
  <c r="BF71" i="11"/>
  <c r="BE71" i="11"/>
  <c r="BD71" i="11"/>
  <c r="BC71" i="11"/>
  <c r="BB71" i="11"/>
  <c r="BA71" i="11"/>
  <c r="AZ71" i="11"/>
  <c r="AY71" i="11"/>
  <c r="AX71" i="11"/>
  <c r="AW71" i="11"/>
  <c r="AU71" i="11"/>
  <c r="AT71" i="11"/>
  <c r="AS71" i="11"/>
  <c r="AR71" i="11"/>
  <c r="CI70" i="11"/>
  <c r="CB70" i="11"/>
  <c r="CA70" i="11"/>
  <c r="BZ70" i="11"/>
  <c r="BW70" i="11"/>
  <c r="BU70" i="11"/>
  <c r="BS70" i="11"/>
  <c r="BR70" i="11"/>
  <c r="BQ70" i="11"/>
  <c r="BO70" i="11"/>
  <c r="BN70" i="11"/>
  <c r="BM70" i="11"/>
  <c r="BL70" i="11"/>
  <c r="BJ70" i="11"/>
  <c r="BI70" i="11"/>
  <c r="BH70" i="11"/>
  <c r="BG70" i="11"/>
  <c r="BF70" i="11"/>
  <c r="BE70" i="11"/>
  <c r="BD70" i="11"/>
  <c r="BC70" i="11"/>
  <c r="BB70" i="11"/>
  <c r="BA70" i="11"/>
  <c r="AZ70" i="11"/>
  <c r="AY70" i="11"/>
  <c r="AX70" i="11"/>
  <c r="AW70" i="11"/>
  <c r="AU70" i="11"/>
  <c r="AT70" i="11"/>
  <c r="AS70" i="11"/>
  <c r="AR70" i="11"/>
  <c r="CI69" i="11"/>
  <c r="CE69" i="11"/>
  <c r="CD69" i="11"/>
  <c r="CB69" i="11"/>
  <c r="CA69" i="11"/>
  <c r="BZ69" i="11"/>
  <c r="BW69" i="11"/>
  <c r="BU69" i="11"/>
  <c r="BS69" i="11"/>
  <c r="BR69" i="11"/>
  <c r="BQ69" i="11"/>
  <c r="BO69" i="11"/>
  <c r="BN69" i="11"/>
  <c r="BM69" i="11"/>
  <c r="BL69" i="11"/>
  <c r="BJ69" i="11"/>
  <c r="BI69" i="11"/>
  <c r="BH69" i="11"/>
  <c r="BG69" i="11"/>
  <c r="BF69" i="11"/>
  <c r="BE69" i="11"/>
  <c r="BD69" i="11"/>
  <c r="BC69" i="11"/>
  <c r="BB69" i="11"/>
  <c r="BA69" i="11"/>
  <c r="AZ69" i="11"/>
  <c r="AY69" i="11"/>
  <c r="AX69" i="11"/>
  <c r="AW69" i="11"/>
  <c r="AU69" i="11"/>
  <c r="AT69" i="11"/>
  <c r="AS69" i="11"/>
  <c r="AR69" i="11"/>
  <c r="CI68" i="11"/>
  <c r="CE68" i="11"/>
  <c r="CD68" i="11"/>
  <c r="CB68" i="11"/>
  <c r="CA68" i="11"/>
  <c r="BZ68" i="11"/>
  <c r="BW68" i="11"/>
  <c r="BU68" i="11"/>
  <c r="BS68" i="11"/>
  <c r="BR68" i="11"/>
  <c r="BQ68" i="11"/>
  <c r="BO68" i="11"/>
  <c r="BN68" i="11"/>
  <c r="BM68" i="11"/>
  <c r="BL68" i="11"/>
  <c r="BJ68" i="11"/>
  <c r="BI68" i="11"/>
  <c r="BH68" i="11"/>
  <c r="BG68" i="11"/>
  <c r="BF68" i="11"/>
  <c r="BE68" i="11"/>
  <c r="BD68" i="11"/>
  <c r="BC68" i="11"/>
  <c r="BB68" i="11"/>
  <c r="BA68" i="11"/>
  <c r="AZ68" i="11"/>
  <c r="AY68" i="11"/>
  <c r="AX68" i="11"/>
  <c r="AW68" i="11"/>
  <c r="AU68" i="11"/>
  <c r="AT68" i="11"/>
  <c r="AS68" i="11"/>
  <c r="AR68" i="11"/>
  <c r="CI67" i="11"/>
  <c r="CE67" i="11"/>
  <c r="CD67" i="11"/>
  <c r="CB67" i="11"/>
  <c r="CA67" i="11"/>
  <c r="BZ67" i="11"/>
  <c r="BW67" i="11"/>
  <c r="BU67" i="11"/>
  <c r="BS67" i="11"/>
  <c r="BR67" i="11"/>
  <c r="BQ67" i="11"/>
  <c r="BO67" i="11"/>
  <c r="BN67" i="11"/>
  <c r="BM67" i="11"/>
  <c r="BL67" i="11"/>
  <c r="BJ67" i="11"/>
  <c r="BI67" i="11"/>
  <c r="BH67" i="11"/>
  <c r="BG67" i="11"/>
  <c r="BF67" i="11"/>
  <c r="BE67" i="11"/>
  <c r="BD67" i="11"/>
  <c r="BC67" i="11"/>
  <c r="BB67" i="11"/>
  <c r="BA67" i="11"/>
  <c r="AZ67" i="11"/>
  <c r="AY67" i="11"/>
  <c r="AX67" i="11"/>
  <c r="AW67" i="11"/>
  <c r="AU67" i="11"/>
  <c r="AT67" i="11"/>
  <c r="AS67" i="11"/>
  <c r="AR67" i="11"/>
  <c r="CI66" i="11"/>
  <c r="CE66" i="11"/>
  <c r="CD66" i="11"/>
  <c r="CB66" i="11"/>
  <c r="CA66" i="11"/>
  <c r="BZ66" i="11"/>
  <c r="BW66" i="11"/>
  <c r="BU66" i="11"/>
  <c r="BS66" i="11"/>
  <c r="BR66" i="11"/>
  <c r="BQ66" i="11"/>
  <c r="BO66" i="11"/>
  <c r="BN66" i="11"/>
  <c r="BM66" i="11"/>
  <c r="BL66" i="11"/>
  <c r="BJ66" i="11"/>
  <c r="BI66" i="11"/>
  <c r="BH66" i="11"/>
  <c r="BG66" i="11"/>
  <c r="BF66" i="11"/>
  <c r="BE66" i="11"/>
  <c r="BD66" i="11"/>
  <c r="BC66" i="11"/>
  <c r="BB66" i="11"/>
  <c r="BA66" i="11"/>
  <c r="AZ66" i="11"/>
  <c r="AY66" i="11"/>
  <c r="AX66" i="11"/>
  <c r="AW66" i="11"/>
  <c r="AU66" i="11"/>
  <c r="AT66" i="11"/>
  <c r="AS66" i="11"/>
  <c r="AR66" i="11"/>
  <c r="CI65" i="11"/>
  <c r="CE65" i="11"/>
  <c r="CD65" i="11"/>
  <c r="CB65" i="11"/>
  <c r="CA65" i="11"/>
  <c r="BZ65" i="11"/>
  <c r="BW65" i="11"/>
  <c r="BU65" i="11"/>
  <c r="BS65" i="11"/>
  <c r="BR65" i="11"/>
  <c r="BQ65" i="11"/>
  <c r="BO65" i="11"/>
  <c r="BN65" i="11"/>
  <c r="BM65" i="11"/>
  <c r="BL65" i="11"/>
  <c r="BJ65" i="11"/>
  <c r="BI65" i="11"/>
  <c r="BH65" i="11"/>
  <c r="BG65" i="11"/>
  <c r="BF65" i="11"/>
  <c r="BE65" i="11"/>
  <c r="BD65" i="11"/>
  <c r="BC65" i="11"/>
  <c r="BB65" i="11"/>
  <c r="BA65" i="11"/>
  <c r="AZ65" i="11"/>
  <c r="AY65" i="11"/>
  <c r="AX65" i="11"/>
  <c r="AW65" i="11"/>
  <c r="AU65" i="11"/>
  <c r="AT65" i="11"/>
  <c r="AS65" i="11"/>
  <c r="AR65" i="11"/>
  <c r="CI64" i="11"/>
  <c r="CE64" i="11"/>
  <c r="CD64" i="11"/>
  <c r="CB64" i="11"/>
  <c r="CA64" i="11"/>
  <c r="BZ64" i="11"/>
  <c r="BW64" i="11"/>
  <c r="BU64" i="11"/>
  <c r="BS64" i="11"/>
  <c r="BR64" i="11"/>
  <c r="BQ64" i="11"/>
  <c r="BO64" i="11"/>
  <c r="BN64" i="11"/>
  <c r="BM64" i="11"/>
  <c r="BL64" i="11"/>
  <c r="BJ64" i="11"/>
  <c r="BI64" i="11"/>
  <c r="BH64" i="11"/>
  <c r="BG64" i="11"/>
  <c r="BF64" i="11"/>
  <c r="BE64" i="11"/>
  <c r="BD64" i="11"/>
  <c r="BC64" i="11"/>
  <c r="BB64" i="11"/>
  <c r="BA64" i="11"/>
  <c r="AZ64" i="11"/>
  <c r="AY64" i="11"/>
  <c r="AX64" i="11"/>
  <c r="AW64" i="11"/>
  <c r="AU64" i="11"/>
  <c r="AT64" i="11"/>
  <c r="AS64" i="11"/>
  <c r="AR64" i="11"/>
  <c r="BY64" i="11" s="1"/>
  <c r="CG64" i="11" s="1"/>
  <c r="C252" i="5"/>
  <c r="C253" i="5"/>
  <c r="C254" i="5"/>
  <c r="AV63" i="11" s="1"/>
  <c r="C255" i="5"/>
  <c r="AV123" i="11" s="1"/>
  <c r="C256" i="5"/>
  <c r="C257" i="5"/>
  <c r="C258" i="5"/>
  <c r="C259" i="5"/>
  <c r="C260" i="5"/>
  <c r="C261" i="5"/>
  <c r="C262" i="5"/>
  <c r="C263" i="5"/>
  <c r="C264" i="5"/>
  <c r="C265" i="5"/>
  <c r="C266" i="5"/>
  <c r="C267" i="5"/>
  <c r="C268" i="5"/>
  <c r="C269" i="5"/>
  <c r="C270" i="5"/>
  <c r="C271" i="5"/>
  <c r="AV64" i="11" s="1"/>
  <c r="C272" i="5"/>
  <c r="C273" i="5"/>
  <c r="C274" i="5"/>
  <c r="C275" i="5"/>
  <c r="C276" i="5"/>
  <c r="C277" i="5"/>
  <c r="C278" i="5"/>
  <c r="C279" i="5"/>
  <c r="C280" i="5"/>
  <c r="C281" i="5"/>
  <c r="C282" i="5"/>
  <c r="AV69" i="11" s="1"/>
  <c r="C283" i="5"/>
  <c r="AV70" i="11" s="1"/>
  <c r="C284" i="5"/>
  <c r="C285" i="5"/>
  <c r="C286" i="5"/>
  <c r="C287" i="5"/>
  <c r="AV65" i="11" s="1"/>
  <c r="C288" i="5"/>
  <c r="C289" i="5"/>
  <c r="C290" i="5"/>
  <c r="C291" i="5"/>
  <c r="C292" i="5"/>
  <c r="C293" i="5"/>
  <c r="C294" i="5"/>
  <c r="AV80" i="11" s="1"/>
  <c r="C295" i="5"/>
  <c r="C296" i="5"/>
  <c r="C297" i="5"/>
  <c r="C298" i="5"/>
  <c r="C299" i="5"/>
  <c r="C300" i="5"/>
  <c r="C301" i="5"/>
  <c r="C251" i="5"/>
  <c r="CI63" i="11"/>
  <c r="CE63" i="11"/>
  <c r="CD63" i="11"/>
  <c r="CB63" i="11"/>
  <c r="CA63" i="11"/>
  <c r="BZ63" i="11"/>
  <c r="BW63" i="11"/>
  <c r="BU63" i="11"/>
  <c r="BS63" i="11"/>
  <c r="BR63" i="11"/>
  <c r="BQ63" i="11"/>
  <c r="BO63" i="11"/>
  <c r="BN63" i="11"/>
  <c r="BM63" i="11"/>
  <c r="BL63" i="11"/>
  <c r="BJ63" i="11"/>
  <c r="BI63" i="11"/>
  <c r="BH63" i="11"/>
  <c r="BG63" i="11"/>
  <c r="BF63" i="11"/>
  <c r="BE63" i="11"/>
  <c r="BD63" i="11"/>
  <c r="BC63" i="11"/>
  <c r="BB63" i="11"/>
  <c r="BA63" i="11"/>
  <c r="AZ63" i="11"/>
  <c r="AY63" i="11"/>
  <c r="AX63" i="11"/>
  <c r="AW63" i="11"/>
  <c r="AU63" i="11"/>
  <c r="AT63" i="11"/>
  <c r="AS63" i="11"/>
  <c r="AR63" i="11"/>
  <c r="CI62" i="11"/>
  <c r="CE62" i="11"/>
  <c r="CD62" i="11"/>
  <c r="CB62" i="11"/>
  <c r="CA62" i="11"/>
  <c r="BZ62" i="11"/>
  <c r="BU62" i="11"/>
  <c r="BS62" i="11"/>
  <c r="BR62" i="11"/>
  <c r="BQ62" i="11"/>
  <c r="BO62" i="11"/>
  <c r="BN62" i="11"/>
  <c r="BM62" i="11"/>
  <c r="BL62" i="11"/>
  <c r="BJ62" i="11"/>
  <c r="BI62" i="11"/>
  <c r="BH62" i="11"/>
  <c r="BG62" i="11"/>
  <c r="BF62" i="11"/>
  <c r="BE62" i="11"/>
  <c r="BD62" i="11"/>
  <c r="BC62" i="11"/>
  <c r="BB62" i="11"/>
  <c r="BA62" i="11"/>
  <c r="AZ62" i="11"/>
  <c r="AY62" i="11"/>
  <c r="AX62" i="11"/>
  <c r="AW62" i="11"/>
  <c r="AV62" i="11"/>
  <c r="AU62" i="11"/>
  <c r="AT62" i="11"/>
  <c r="AS62" i="11"/>
  <c r="AR62" i="11"/>
  <c r="CI61" i="11"/>
  <c r="CE61" i="11"/>
  <c r="CB61" i="11"/>
  <c r="CA61" i="11"/>
  <c r="BZ61" i="11"/>
  <c r="BU61" i="11"/>
  <c r="BS61" i="11"/>
  <c r="BR61" i="11"/>
  <c r="BQ61" i="11"/>
  <c r="BO61" i="11"/>
  <c r="BN61" i="11"/>
  <c r="BM61" i="11"/>
  <c r="BL61" i="11"/>
  <c r="BJ61" i="11"/>
  <c r="BI61" i="11"/>
  <c r="BH61" i="11"/>
  <c r="BG61" i="11"/>
  <c r="BF61" i="11"/>
  <c r="BE61" i="11"/>
  <c r="BD61" i="11"/>
  <c r="BC61" i="11"/>
  <c r="BB61" i="11"/>
  <c r="BA61" i="11"/>
  <c r="AZ61" i="11"/>
  <c r="AY61" i="11"/>
  <c r="AX61" i="11"/>
  <c r="AW61" i="11"/>
  <c r="AV61" i="11"/>
  <c r="AU61" i="11"/>
  <c r="AT61" i="11"/>
  <c r="AS61" i="11"/>
  <c r="AR61" i="11"/>
  <c r="CI60" i="11"/>
  <c r="CE60" i="11"/>
  <c r="CB60" i="11"/>
  <c r="CA60" i="11"/>
  <c r="BZ60" i="11"/>
  <c r="BU60" i="11"/>
  <c r="BS60" i="11"/>
  <c r="BR60" i="11"/>
  <c r="BQ60" i="11"/>
  <c r="BO60" i="11"/>
  <c r="BN60" i="11"/>
  <c r="BM60" i="11"/>
  <c r="BL60" i="11"/>
  <c r="BJ60" i="11"/>
  <c r="BI60" i="11"/>
  <c r="BH60" i="11"/>
  <c r="BG60" i="11"/>
  <c r="BF60" i="11"/>
  <c r="BE60" i="11"/>
  <c r="BD60" i="11"/>
  <c r="BC60" i="11"/>
  <c r="BB60" i="11"/>
  <c r="BA60" i="11"/>
  <c r="AZ60" i="11"/>
  <c r="AY60" i="11"/>
  <c r="AX60" i="11"/>
  <c r="AW60" i="11"/>
  <c r="AV60" i="11"/>
  <c r="AU60" i="11"/>
  <c r="AT60" i="11"/>
  <c r="AS60" i="11"/>
  <c r="AR60" i="11"/>
  <c r="CI59" i="11"/>
  <c r="CE59" i="11"/>
  <c r="CB59" i="11"/>
  <c r="CA59" i="11"/>
  <c r="BZ59" i="11"/>
  <c r="BW59" i="11"/>
  <c r="BS59" i="11"/>
  <c r="BR59" i="11"/>
  <c r="BQ59" i="11"/>
  <c r="BO59" i="11"/>
  <c r="BN59" i="11"/>
  <c r="BM59" i="11"/>
  <c r="BL59" i="11"/>
  <c r="BJ59" i="11"/>
  <c r="BI59" i="11"/>
  <c r="BH59" i="11"/>
  <c r="BG59" i="11"/>
  <c r="BF59" i="11"/>
  <c r="BE59" i="11"/>
  <c r="BD59" i="11"/>
  <c r="BC59" i="11"/>
  <c r="BB59" i="11"/>
  <c r="BA59" i="11"/>
  <c r="AZ59" i="11"/>
  <c r="AY59" i="11"/>
  <c r="AX59" i="11"/>
  <c r="AW59" i="11"/>
  <c r="AV59" i="11"/>
  <c r="AU59" i="11"/>
  <c r="AT59" i="11"/>
  <c r="AS59" i="11"/>
  <c r="AR59" i="11"/>
  <c r="CI58" i="11"/>
  <c r="CE58" i="11"/>
  <c r="CD58" i="11"/>
  <c r="CB58" i="11"/>
  <c r="CA58" i="11"/>
  <c r="BZ58" i="11"/>
  <c r="BW58" i="11"/>
  <c r="BU58" i="11"/>
  <c r="BS58" i="11"/>
  <c r="BR58" i="11"/>
  <c r="BQ58" i="11"/>
  <c r="BO58" i="11"/>
  <c r="BN58" i="11"/>
  <c r="BM58" i="11"/>
  <c r="BL58" i="11"/>
  <c r="BJ58" i="11"/>
  <c r="BI58" i="11"/>
  <c r="BH58" i="11"/>
  <c r="BG58" i="11"/>
  <c r="BF58" i="11"/>
  <c r="BE58" i="11"/>
  <c r="BD58" i="11"/>
  <c r="BC58" i="11"/>
  <c r="BB58" i="11"/>
  <c r="BA58" i="11"/>
  <c r="AZ58" i="11"/>
  <c r="AY58" i="11"/>
  <c r="AX58" i="11"/>
  <c r="AW58" i="11"/>
  <c r="AV58" i="11"/>
  <c r="AU58" i="11"/>
  <c r="AT58" i="11"/>
  <c r="AS58" i="11"/>
  <c r="AR58" i="11"/>
  <c r="CI57" i="11"/>
  <c r="CE57" i="11"/>
  <c r="CD57" i="11"/>
  <c r="CB57" i="11"/>
  <c r="CA57" i="11"/>
  <c r="BZ57" i="11"/>
  <c r="BW57" i="11"/>
  <c r="BU57" i="11"/>
  <c r="BS57" i="11"/>
  <c r="BR57" i="11"/>
  <c r="BQ57" i="11"/>
  <c r="BO57" i="11"/>
  <c r="BN57" i="11"/>
  <c r="BM57" i="11"/>
  <c r="BL57" i="11"/>
  <c r="BJ57" i="11"/>
  <c r="BI57" i="11"/>
  <c r="BH57" i="11"/>
  <c r="BG57" i="11"/>
  <c r="BF57" i="11"/>
  <c r="BE57" i="11"/>
  <c r="BD57" i="11"/>
  <c r="BC57" i="11"/>
  <c r="BB57" i="11"/>
  <c r="BA57" i="11"/>
  <c r="AZ57" i="11"/>
  <c r="AY57" i="11"/>
  <c r="AX57" i="11"/>
  <c r="AW57" i="11"/>
  <c r="AV57" i="11"/>
  <c r="AU57" i="11"/>
  <c r="AT57" i="11"/>
  <c r="AS57" i="11"/>
  <c r="AR57" i="11"/>
  <c r="CI56" i="11"/>
  <c r="CE56" i="11"/>
  <c r="CD56" i="11"/>
  <c r="CB56" i="11"/>
  <c r="CA56" i="11"/>
  <c r="BZ56" i="11"/>
  <c r="BW56" i="11"/>
  <c r="BU56" i="11"/>
  <c r="BS56" i="11"/>
  <c r="BR56" i="11"/>
  <c r="BQ56" i="11"/>
  <c r="BO56" i="11"/>
  <c r="BN56" i="11"/>
  <c r="BM56" i="11"/>
  <c r="BL56" i="11"/>
  <c r="BJ56" i="11"/>
  <c r="BI56" i="11"/>
  <c r="BH56" i="11"/>
  <c r="BG56" i="11"/>
  <c r="BF56" i="11"/>
  <c r="BE56" i="11"/>
  <c r="BD56" i="11"/>
  <c r="BC56" i="11"/>
  <c r="BB56" i="11"/>
  <c r="BA56" i="11"/>
  <c r="AZ56" i="11"/>
  <c r="AY56" i="11"/>
  <c r="AX56" i="11"/>
  <c r="AW56" i="11"/>
  <c r="AV56" i="11"/>
  <c r="AU56" i="11"/>
  <c r="AT56" i="11"/>
  <c r="AS56" i="11"/>
  <c r="AR56" i="11"/>
  <c r="CI55" i="11"/>
  <c r="CE55" i="11"/>
  <c r="CD55" i="11"/>
  <c r="CB55" i="11"/>
  <c r="CA55" i="11"/>
  <c r="BZ55" i="11"/>
  <c r="BW55" i="11"/>
  <c r="BU55" i="11"/>
  <c r="BS55" i="11"/>
  <c r="BR55" i="11"/>
  <c r="BQ55" i="11"/>
  <c r="BO55" i="11"/>
  <c r="BN55" i="11"/>
  <c r="BM55" i="11"/>
  <c r="BL55" i="11"/>
  <c r="BJ55" i="11"/>
  <c r="BI55" i="11"/>
  <c r="BH55" i="11"/>
  <c r="BG55" i="11"/>
  <c r="BF55" i="11"/>
  <c r="BE55" i="11"/>
  <c r="BD55" i="11"/>
  <c r="BC55" i="11"/>
  <c r="BB55" i="11"/>
  <c r="BA55" i="11"/>
  <c r="AZ55" i="11"/>
  <c r="AY55" i="11"/>
  <c r="AX55" i="11"/>
  <c r="AW55" i="11"/>
  <c r="AV55" i="11"/>
  <c r="AU55" i="11"/>
  <c r="AT55" i="11"/>
  <c r="AS55" i="11"/>
  <c r="AR55" i="11"/>
  <c r="CI54" i="11"/>
  <c r="CE54" i="11"/>
  <c r="CD54" i="11"/>
  <c r="CB54" i="11"/>
  <c r="CA54" i="11"/>
  <c r="BZ54" i="11"/>
  <c r="BW54" i="11"/>
  <c r="BU54" i="11"/>
  <c r="BS54" i="11"/>
  <c r="BR54" i="11"/>
  <c r="BQ54" i="11"/>
  <c r="BO54" i="11"/>
  <c r="BN54" i="11"/>
  <c r="BM54" i="11"/>
  <c r="BL54" i="11"/>
  <c r="BJ54" i="11"/>
  <c r="BI54" i="11"/>
  <c r="BH54" i="11"/>
  <c r="BG54" i="11"/>
  <c r="BF54" i="11"/>
  <c r="BE54" i="11"/>
  <c r="BD54" i="11"/>
  <c r="BC54" i="11"/>
  <c r="BB54" i="11"/>
  <c r="BA54" i="11"/>
  <c r="AZ54" i="11"/>
  <c r="AY54" i="11"/>
  <c r="AX54" i="11"/>
  <c r="AW54" i="11"/>
  <c r="AV54" i="11"/>
  <c r="AU54" i="11"/>
  <c r="AT54" i="11"/>
  <c r="AS54" i="11"/>
  <c r="AR54" i="11"/>
  <c r="CI53" i="11"/>
  <c r="CE53" i="11"/>
  <c r="CB53" i="11"/>
  <c r="CA53" i="11"/>
  <c r="BZ53" i="11"/>
  <c r="BU53" i="11"/>
  <c r="BS53" i="11"/>
  <c r="BR53" i="11"/>
  <c r="BQ53" i="11"/>
  <c r="BO53" i="11"/>
  <c r="BN53" i="11"/>
  <c r="BM53" i="11"/>
  <c r="BL53" i="11"/>
  <c r="BJ53" i="11"/>
  <c r="BI53" i="11"/>
  <c r="BH53" i="11"/>
  <c r="BG53" i="11"/>
  <c r="BF53" i="11"/>
  <c r="BE53" i="11"/>
  <c r="BD53" i="11"/>
  <c r="BC53" i="11"/>
  <c r="BB53" i="11"/>
  <c r="BA53" i="11"/>
  <c r="AZ53" i="11"/>
  <c r="AY53" i="11"/>
  <c r="AX53" i="11"/>
  <c r="AW53" i="11"/>
  <c r="AV53" i="11"/>
  <c r="AU53" i="11"/>
  <c r="AT53" i="11"/>
  <c r="AS53" i="11"/>
  <c r="AR53" i="11"/>
  <c r="CI52" i="11"/>
  <c r="CB52" i="11"/>
  <c r="CA52" i="11"/>
  <c r="BZ52" i="11"/>
  <c r="BU52" i="11"/>
  <c r="BS52" i="11"/>
  <c r="BR52" i="11"/>
  <c r="BQ52" i="11"/>
  <c r="BO52" i="11"/>
  <c r="BN52" i="11"/>
  <c r="BM52" i="11"/>
  <c r="BL52" i="11"/>
  <c r="BJ52" i="11"/>
  <c r="BI52" i="11"/>
  <c r="BH52" i="11"/>
  <c r="BG52" i="11"/>
  <c r="BF52" i="11"/>
  <c r="BE52" i="11"/>
  <c r="BD52" i="11"/>
  <c r="BC52" i="11"/>
  <c r="BB52" i="11"/>
  <c r="BA52" i="11"/>
  <c r="AZ52" i="11"/>
  <c r="AY52" i="11"/>
  <c r="AX52" i="11"/>
  <c r="AW52" i="11"/>
  <c r="AV52" i="11"/>
  <c r="AU52" i="11"/>
  <c r="AT52" i="11"/>
  <c r="AS52" i="11"/>
  <c r="AR52" i="11"/>
  <c r="CI51" i="11"/>
  <c r="CB51" i="11"/>
  <c r="CA51" i="11"/>
  <c r="BZ51" i="11"/>
  <c r="BU51" i="11"/>
  <c r="BS51" i="11"/>
  <c r="BR51" i="11"/>
  <c r="BQ51" i="11"/>
  <c r="BO51" i="11"/>
  <c r="BN51" i="11"/>
  <c r="BM51" i="11"/>
  <c r="BL51" i="11"/>
  <c r="BJ51" i="11"/>
  <c r="BI51" i="11"/>
  <c r="BH51" i="11"/>
  <c r="BG51" i="11"/>
  <c r="BF51" i="11"/>
  <c r="BE51" i="11"/>
  <c r="BD51" i="11"/>
  <c r="BC51" i="11"/>
  <c r="BB51" i="11"/>
  <c r="BA51" i="11"/>
  <c r="AZ51" i="11"/>
  <c r="AY51" i="11"/>
  <c r="AX51" i="11"/>
  <c r="AW51" i="11"/>
  <c r="AV51" i="11"/>
  <c r="AU51" i="11"/>
  <c r="AT51" i="11"/>
  <c r="AS51" i="11"/>
  <c r="AR51" i="11"/>
  <c r="CI50" i="11"/>
  <c r="CB50" i="11"/>
  <c r="CA50" i="11"/>
  <c r="BZ50" i="11"/>
  <c r="BU50" i="11"/>
  <c r="BS50" i="11"/>
  <c r="BR50" i="11"/>
  <c r="BQ50" i="11"/>
  <c r="BO50" i="11"/>
  <c r="BN50" i="11"/>
  <c r="BM50" i="11"/>
  <c r="BL50" i="11"/>
  <c r="BJ50" i="11"/>
  <c r="BI50" i="11"/>
  <c r="BH50" i="11"/>
  <c r="BG50" i="11"/>
  <c r="BF50" i="11"/>
  <c r="BE50" i="11"/>
  <c r="BD50" i="11"/>
  <c r="BC50" i="11"/>
  <c r="BB50" i="11"/>
  <c r="BA50" i="11"/>
  <c r="AZ50" i="11"/>
  <c r="AY50" i="11"/>
  <c r="AX50" i="11"/>
  <c r="AW50" i="11"/>
  <c r="AV50" i="11"/>
  <c r="AU50" i="11"/>
  <c r="AT50" i="11"/>
  <c r="AS50" i="11"/>
  <c r="AR50" i="11"/>
  <c r="BY50" i="11" s="1"/>
  <c r="CG50" i="11" s="1"/>
  <c r="CI49" i="11"/>
  <c r="CB49" i="11"/>
  <c r="CA49" i="11"/>
  <c r="BZ49" i="11"/>
  <c r="BW49" i="11"/>
  <c r="BU49" i="11"/>
  <c r="BS49" i="11"/>
  <c r="BR49" i="11"/>
  <c r="BQ49" i="11"/>
  <c r="BO49" i="11"/>
  <c r="BN49" i="11"/>
  <c r="BM49" i="11"/>
  <c r="BL49" i="11"/>
  <c r="BJ49" i="11"/>
  <c r="BI49" i="11"/>
  <c r="BH49" i="11"/>
  <c r="BG49" i="11"/>
  <c r="BF49" i="11"/>
  <c r="BE49" i="11"/>
  <c r="BD49" i="11"/>
  <c r="BC49" i="11"/>
  <c r="BB49" i="11"/>
  <c r="BA49" i="11"/>
  <c r="AZ49" i="11"/>
  <c r="AY49" i="11"/>
  <c r="AX49" i="11"/>
  <c r="AW49" i="11"/>
  <c r="AV49" i="11"/>
  <c r="AU49" i="11"/>
  <c r="AT49" i="11"/>
  <c r="AS49" i="11"/>
  <c r="AR49" i="11"/>
  <c r="CI48" i="11"/>
  <c r="CB48" i="11"/>
  <c r="CA48" i="11"/>
  <c r="BZ48" i="11"/>
  <c r="BU48" i="11"/>
  <c r="BS48" i="11"/>
  <c r="BR48" i="11"/>
  <c r="BQ48" i="11"/>
  <c r="BO48" i="11"/>
  <c r="BN48" i="11"/>
  <c r="BM48" i="11"/>
  <c r="BL48" i="11"/>
  <c r="BJ48" i="11"/>
  <c r="BI48" i="11"/>
  <c r="BH48" i="11"/>
  <c r="BG48" i="11"/>
  <c r="BF48" i="11"/>
  <c r="BE48" i="11"/>
  <c r="BD48" i="11"/>
  <c r="BC48" i="11"/>
  <c r="BB48" i="11"/>
  <c r="BA48" i="11"/>
  <c r="AZ48" i="11"/>
  <c r="AY48" i="11"/>
  <c r="AX48" i="11"/>
  <c r="AW48" i="11"/>
  <c r="AV48" i="11"/>
  <c r="AU48" i="11"/>
  <c r="AT48" i="11"/>
  <c r="AS48" i="11"/>
  <c r="AR48" i="11"/>
  <c r="CI47" i="11"/>
  <c r="CE47" i="11"/>
  <c r="CD47" i="11"/>
  <c r="CC47" i="11"/>
  <c r="CB47" i="11"/>
  <c r="CA47" i="11"/>
  <c r="BZ47" i="11"/>
  <c r="BU47" i="11"/>
  <c r="BS47" i="11"/>
  <c r="BR47" i="11"/>
  <c r="BQ47" i="11"/>
  <c r="BO47" i="11"/>
  <c r="BN47" i="11"/>
  <c r="BM47" i="11"/>
  <c r="BL47" i="11"/>
  <c r="BJ47" i="11"/>
  <c r="BI47" i="11"/>
  <c r="BH47" i="11"/>
  <c r="BG47" i="11"/>
  <c r="BF47" i="11"/>
  <c r="BE47" i="11"/>
  <c r="BD47" i="11"/>
  <c r="BC47" i="11"/>
  <c r="BB47" i="11"/>
  <c r="BA47" i="11"/>
  <c r="AZ47" i="11"/>
  <c r="AY47" i="11"/>
  <c r="AX47" i="11"/>
  <c r="AW47" i="11"/>
  <c r="AV47" i="11"/>
  <c r="AU47" i="11"/>
  <c r="AT47" i="11"/>
  <c r="AS47" i="11"/>
  <c r="AR47" i="11"/>
  <c r="BY47" i="11" s="1"/>
  <c r="CG47" i="11" s="1"/>
  <c r="AR46" i="11"/>
  <c r="BY46" i="11" s="1"/>
  <c r="CG46" i="11" s="1"/>
  <c r="AS46" i="11"/>
  <c r="AT46" i="11"/>
  <c r="AU46" i="11"/>
  <c r="AV46" i="11"/>
  <c r="AW46" i="11"/>
  <c r="AX46" i="11"/>
  <c r="AY46" i="11"/>
  <c r="AZ46" i="11"/>
  <c r="BA46" i="11"/>
  <c r="BB46" i="11"/>
  <c r="BC46" i="11"/>
  <c r="BD46" i="11"/>
  <c r="BE46" i="11"/>
  <c r="BF46" i="11"/>
  <c r="BG46" i="11"/>
  <c r="BH46" i="11"/>
  <c r="BI46" i="11"/>
  <c r="BJ46" i="11"/>
  <c r="BL46" i="11"/>
  <c r="BM46" i="11"/>
  <c r="BN46" i="11"/>
  <c r="BO46" i="11"/>
  <c r="BQ46" i="11"/>
  <c r="BR46" i="11"/>
  <c r="BS46" i="11"/>
  <c r="BU46" i="11"/>
  <c r="BZ46" i="11"/>
  <c r="CA46" i="11"/>
  <c r="CB46" i="11"/>
  <c r="CC46" i="11"/>
  <c r="CD46" i="11"/>
  <c r="CE46" i="11"/>
  <c r="CI46" i="11"/>
  <c r="CI45" i="11"/>
  <c r="CE45" i="11"/>
  <c r="CD45" i="11"/>
  <c r="CB45" i="11"/>
  <c r="CA45" i="11"/>
  <c r="BZ45" i="11"/>
  <c r="BW45" i="11"/>
  <c r="BS45" i="11"/>
  <c r="BR45" i="11"/>
  <c r="BQ45" i="11"/>
  <c r="BO45" i="11"/>
  <c r="BN45" i="11"/>
  <c r="BM45" i="11"/>
  <c r="BL45" i="11"/>
  <c r="BJ45" i="11"/>
  <c r="BI45" i="11"/>
  <c r="BH45" i="11"/>
  <c r="BG45" i="11"/>
  <c r="BF45" i="11"/>
  <c r="BE45" i="11"/>
  <c r="BD45" i="11"/>
  <c r="BC45" i="11"/>
  <c r="BB45" i="11"/>
  <c r="BA45" i="11"/>
  <c r="AZ45" i="11"/>
  <c r="AY45" i="11"/>
  <c r="AX45" i="11"/>
  <c r="AW45" i="11"/>
  <c r="AV45" i="11"/>
  <c r="AU45" i="11"/>
  <c r="AT45" i="11"/>
  <c r="AS45" i="11"/>
  <c r="AR45" i="11"/>
  <c r="CI44" i="11"/>
  <c r="CB44" i="11"/>
  <c r="CA44" i="11"/>
  <c r="BZ44" i="11"/>
  <c r="BS44" i="11"/>
  <c r="BR44" i="11"/>
  <c r="BQ44" i="11"/>
  <c r="BO44" i="11"/>
  <c r="BN44" i="11"/>
  <c r="BM44" i="11"/>
  <c r="BL44" i="11"/>
  <c r="BJ44" i="11"/>
  <c r="BI44" i="11"/>
  <c r="BH44" i="11"/>
  <c r="BG44" i="11"/>
  <c r="BF44" i="11"/>
  <c r="BE44" i="11"/>
  <c r="BD44" i="11"/>
  <c r="BC44" i="11"/>
  <c r="BB44" i="11"/>
  <c r="BA44" i="11"/>
  <c r="AZ44" i="11"/>
  <c r="AY44" i="11"/>
  <c r="AX44" i="11"/>
  <c r="AW44" i="11"/>
  <c r="AV44" i="11"/>
  <c r="AU44" i="11"/>
  <c r="AT44" i="11"/>
  <c r="AS44" i="11"/>
  <c r="AR44" i="11"/>
  <c r="CI43" i="11"/>
  <c r="CE43" i="11"/>
  <c r="CD43" i="11"/>
  <c r="CC43" i="11"/>
  <c r="CB43" i="11"/>
  <c r="CA43" i="11"/>
  <c r="BZ43" i="11"/>
  <c r="BS43" i="11"/>
  <c r="BR43" i="11"/>
  <c r="BQ43" i="11"/>
  <c r="BO43" i="11"/>
  <c r="BN43" i="11"/>
  <c r="BM43" i="11"/>
  <c r="BL43" i="11"/>
  <c r="BJ43" i="11"/>
  <c r="BI43" i="11"/>
  <c r="BH43" i="11"/>
  <c r="BG43" i="11"/>
  <c r="BF43" i="11"/>
  <c r="BE43" i="11"/>
  <c r="BD43" i="11"/>
  <c r="BC43" i="11"/>
  <c r="BB43" i="11"/>
  <c r="BA43" i="11"/>
  <c r="AZ43" i="11"/>
  <c r="AY43" i="11"/>
  <c r="AX43" i="11"/>
  <c r="AW43" i="11"/>
  <c r="AV43" i="11"/>
  <c r="AU43" i="11"/>
  <c r="AT43" i="11"/>
  <c r="AS43" i="11"/>
  <c r="AR43" i="11"/>
  <c r="CI42" i="11"/>
  <c r="CE42" i="11"/>
  <c r="CB42" i="11"/>
  <c r="CA42" i="11"/>
  <c r="BZ42" i="11"/>
  <c r="BW42" i="11"/>
  <c r="BS42" i="11"/>
  <c r="BR42" i="11"/>
  <c r="BQ42" i="11"/>
  <c r="BO42" i="11"/>
  <c r="BN42" i="11"/>
  <c r="BM42" i="11"/>
  <c r="BL42" i="11"/>
  <c r="BJ42" i="11"/>
  <c r="BI42" i="11"/>
  <c r="BH42" i="11"/>
  <c r="BG42" i="11"/>
  <c r="BF42" i="11"/>
  <c r="BE42" i="11"/>
  <c r="BD42" i="11"/>
  <c r="BC42" i="11"/>
  <c r="BB42" i="11"/>
  <c r="BA42" i="11"/>
  <c r="AZ42" i="11"/>
  <c r="AY42" i="11"/>
  <c r="AX42" i="11"/>
  <c r="AW42" i="11"/>
  <c r="AV42" i="11"/>
  <c r="AU42" i="11"/>
  <c r="AT42" i="11"/>
  <c r="AS42" i="11"/>
  <c r="AR42" i="11"/>
  <c r="CI41" i="11"/>
  <c r="CE41" i="11"/>
  <c r="CD41" i="11"/>
  <c r="CC41" i="11"/>
  <c r="CB41" i="11"/>
  <c r="CA41" i="11"/>
  <c r="BZ41" i="11"/>
  <c r="BW41" i="11"/>
  <c r="BS41" i="11"/>
  <c r="BR41" i="11"/>
  <c r="BQ41" i="11"/>
  <c r="BO41" i="11"/>
  <c r="BN41" i="11"/>
  <c r="BM41" i="11"/>
  <c r="BL41" i="11"/>
  <c r="BJ41" i="11"/>
  <c r="BI41" i="11"/>
  <c r="BH41" i="11"/>
  <c r="BG41" i="11"/>
  <c r="BF41" i="11"/>
  <c r="BE41" i="11"/>
  <c r="BD41" i="11"/>
  <c r="BC41" i="11"/>
  <c r="BB41" i="11"/>
  <c r="BA41" i="11"/>
  <c r="AZ41" i="11"/>
  <c r="AY41" i="11"/>
  <c r="AX41" i="11"/>
  <c r="AW41" i="11"/>
  <c r="AV41" i="11"/>
  <c r="AU41" i="11"/>
  <c r="AT41" i="11"/>
  <c r="AS41" i="11"/>
  <c r="AR41" i="11"/>
  <c r="CI40" i="11"/>
  <c r="CE40" i="11"/>
  <c r="CD40" i="11"/>
  <c r="CC40" i="11"/>
  <c r="CB40" i="11"/>
  <c r="CA40" i="11"/>
  <c r="BZ40" i="11"/>
  <c r="BS40" i="11"/>
  <c r="BR40" i="11"/>
  <c r="BQ40" i="11"/>
  <c r="BO40" i="11"/>
  <c r="BN40" i="11"/>
  <c r="BM40" i="11"/>
  <c r="BL40" i="11"/>
  <c r="BJ40" i="11"/>
  <c r="BI40" i="11"/>
  <c r="BH40" i="11"/>
  <c r="BG40" i="11"/>
  <c r="BF40" i="11"/>
  <c r="BE40" i="11"/>
  <c r="BD40" i="11"/>
  <c r="BC40" i="11"/>
  <c r="BB40" i="11"/>
  <c r="BA40" i="11"/>
  <c r="AZ40" i="11"/>
  <c r="AY40" i="11"/>
  <c r="AX40" i="11"/>
  <c r="AW40" i="11"/>
  <c r="AV40" i="11"/>
  <c r="AU40" i="11"/>
  <c r="AT40" i="11"/>
  <c r="AS40" i="11"/>
  <c r="AR40" i="11"/>
  <c r="CI39" i="11"/>
  <c r="CE39" i="11"/>
  <c r="CD39" i="11"/>
  <c r="CC39" i="11"/>
  <c r="CB39" i="11"/>
  <c r="CA39" i="11"/>
  <c r="BZ39" i="11"/>
  <c r="BW39" i="11"/>
  <c r="BS39" i="11"/>
  <c r="BR39" i="11"/>
  <c r="BQ39" i="11"/>
  <c r="BO39" i="11"/>
  <c r="BN39" i="11"/>
  <c r="BM39" i="11"/>
  <c r="BL39" i="11"/>
  <c r="BJ39" i="11"/>
  <c r="BI39" i="11"/>
  <c r="BH39" i="11"/>
  <c r="BG39" i="11"/>
  <c r="BF39" i="11"/>
  <c r="BE39" i="11"/>
  <c r="BD39" i="11"/>
  <c r="BC39" i="11"/>
  <c r="BB39" i="11"/>
  <c r="BA39" i="11"/>
  <c r="AZ39" i="11"/>
  <c r="AY39" i="11"/>
  <c r="AX39" i="11"/>
  <c r="AW39" i="11"/>
  <c r="AV39" i="11"/>
  <c r="AU39" i="11"/>
  <c r="AT39" i="11"/>
  <c r="AS39" i="11"/>
  <c r="AR39" i="11"/>
  <c r="CI38" i="11"/>
  <c r="CE38" i="11"/>
  <c r="CD38" i="11"/>
  <c r="CB38" i="11"/>
  <c r="CA38" i="11"/>
  <c r="BZ38" i="11"/>
  <c r="BS38" i="11"/>
  <c r="BR38" i="11"/>
  <c r="BQ38" i="11"/>
  <c r="BO38" i="11"/>
  <c r="BN38" i="11"/>
  <c r="BM38" i="11"/>
  <c r="BL38" i="11"/>
  <c r="BJ38" i="11"/>
  <c r="BI38" i="11"/>
  <c r="BH38" i="11"/>
  <c r="BG38" i="11"/>
  <c r="BF38" i="11"/>
  <c r="BE38" i="11"/>
  <c r="BD38" i="11"/>
  <c r="BC38" i="11"/>
  <c r="BB38" i="11"/>
  <c r="BA38" i="11"/>
  <c r="AZ38" i="11"/>
  <c r="AY38" i="11"/>
  <c r="AX38" i="11"/>
  <c r="AW38" i="11"/>
  <c r="AV38" i="11"/>
  <c r="AU38" i="11"/>
  <c r="AT38" i="11"/>
  <c r="AS38" i="11"/>
  <c r="AR38" i="11"/>
  <c r="CI37" i="11"/>
  <c r="CE37" i="11"/>
  <c r="CD37" i="11"/>
  <c r="CB37" i="11"/>
  <c r="CA37" i="11"/>
  <c r="BZ37" i="11"/>
  <c r="BW37" i="11"/>
  <c r="BS37" i="11"/>
  <c r="BR37" i="11"/>
  <c r="BQ37" i="11"/>
  <c r="BO37" i="11"/>
  <c r="BN37" i="11"/>
  <c r="BM37" i="11"/>
  <c r="BL37" i="11"/>
  <c r="BJ37" i="11"/>
  <c r="BI37" i="11"/>
  <c r="BH37" i="11"/>
  <c r="BG37" i="11"/>
  <c r="BF37" i="11"/>
  <c r="BE37" i="11"/>
  <c r="BD37" i="11"/>
  <c r="BC37" i="11"/>
  <c r="BB37" i="11"/>
  <c r="BA37" i="11"/>
  <c r="AZ37" i="11"/>
  <c r="AY37" i="11"/>
  <c r="AX37" i="11"/>
  <c r="AW37" i="11"/>
  <c r="AV37" i="11"/>
  <c r="AU37" i="11"/>
  <c r="AT37" i="11"/>
  <c r="AS37" i="11"/>
  <c r="AR37" i="11"/>
  <c r="CI36" i="11"/>
  <c r="CE36" i="11"/>
  <c r="CD36" i="11"/>
  <c r="CC36" i="11"/>
  <c r="CB36" i="11"/>
  <c r="CA36" i="11"/>
  <c r="BZ36" i="11"/>
  <c r="BW36" i="11"/>
  <c r="BS36" i="11"/>
  <c r="BR36" i="11"/>
  <c r="BQ36" i="11"/>
  <c r="BO36" i="11"/>
  <c r="BN36" i="11"/>
  <c r="BM36" i="11"/>
  <c r="BL36" i="11"/>
  <c r="BJ36" i="11"/>
  <c r="BI36" i="11"/>
  <c r="BH36" i="11"/>
  <c r="BG36" i="11"/>
  <c r="BF36" i="11"/>
  <c r="BE36" i="11"/>
  <c r="BD36" i="11"/>
  <c r="BC36" i="11"/>
  <c r="BB36" i="11"/>
  <c r="BA36" i="11"/>
  <c r="AZ36" i="11"/>
  <c r="AY36" i="11"/>
  <c r="AX36" i="11"/>
  <c r="AW36" i="11"/>
  <c r="AV36" i="11"/>
  <c r="AU36" i="11"/>
  <c r="AT36" i="11"/>
  <c r="AS36" i="11"/>
  <c r="AR36" i="11"/>
  <c r="CI35" i="11"/>
  <c r="CE35" i="11"/>
  <c r="CB35" i="11"/>
  <c r="CA35" i="11"/>
  <c r="BZ35" i="11"/>
  <c r="BW35" i="11"/>
  <c r="BS35" i="11"/>
  <c r="BR35" i="11"/>
  <c r="BQ35" i="11"/>
  <c r="BO35" i="11"/>
  <c r="BN35" i="11"/>
  <c r="BM35" i="11"/>
  <c r="BL35" i="11"/>
  <c r="BJ35" i="11"/>
  <c r="BI35" i="11"/>
  <c r="BH35" i="11"/>
  <c r="BG35" i="11"/>
  <c r="BF35" i="11"/>
  <c r="BE35" i="11"/>
  <c r="BD35" i="11"/>
  <c r="BC35" i="11"/>
  <c r="BB35" i="11"/>
  <c r="BA35" i="11"/>
  <c r="AZ35" i="11"/>
  <c r="AY35" i="11"/>
  <c r="AX35" i="11"/>
  <c r="AW35" i="11"/>
  <c r="AV35" i="11"/>
  <c r="AU35" i="11"/>
  <c r="AT35" i="11"/>
  <c r="AS35" i="11"/>
  <c r="AR35" i="11"/>
  <c r="CI34" i="11"/>
  <c r="CE34" i="11"/>
  <c r="CD34" i="11"/>
  <c r="CC34" i="11"/>
  <c r="CB34" i="11"/>
  <c r="CA34" i="11"/>
  <c r="BZ34" i="11"/>
  <c r="BS34" i="11"/>
  <c r="BR34" i="11"/>
  <c r="BQ34" i="11"/>
  <c r="BO34" i="11"/>
  <c r="BN34" i="11"/>
  <c r="BM34" i="11"/>
  <c r="BL34" i="11"/>
  <c r="BJ34" i="11"/>
  <c r="BI34" i="11"/>
  <c r="BH34" i="11"/>
  <c r="BG34" i="11"/>
  <c r="BF34" i="11"/>
  <c r="BE34" i="11"/>
  <c r="BD34" i="11"/>
  <c r="BC34" i="11"/>
  <c r="BB34" i="11"/>
  <c r="BA34" i="11"/>
  <c r="AZ34" i="11"/>
  <c r="AY34" i="11"/>
  <c r="AX34" i="11"/>
  <c r="AW34" i="11"/>
  <c r="AV34" i="11"/>
  <c r="AU34" i="11"/>
  <c r="AT34" i="11"/>
  <c r="AS34" i="11"/>
  <c r="AR34" i="11"/>
  <c r="CI33" i="11"/>
  <c r="CE33" i="11"/>
  <c r="CD33" i="11"/>
  <c r="CC33" i="11"/>
  <c r="CB33" i="11"/>
  <c r="CA33" i="11"/>
  <c r="BZ33" i="11"/>
  <c r="BW33" i="11"/>
  <c r="BS33" i="11"/>
  <c r="BR33" i="11"/>
  <c r="BQ33" i="11"/>
  <c r="BO33" i="11"/>
  <c r="BN33" i="11"/>
  <c r="BM33" i="11"/>
  <c r="BL33" i="11"/>
  <c r="BJ33" i="11"/>
  <c r="BI33" i="11"/>
  <c r="BH33" i="11"/>
  <c r="BG33" i="11"/>
  <c r="BF33" i="11"/>
  <c r="BE33" i="11"/>
  <c r="BD33" i="11"/>
  <c r="BC33" i="11"/>
  <c r="BB33" i="11"/>
  <c r="BA33" i="11"/>
  <c r="AZ33" i="11"/>
  <c r="AY33" i="11"/>
  <c r="AX33" i="11"/>
  <c r="AW33" i="11"/>
  <c r="AV33" i="11"/>
  <c r="AU33" i="11"/>
  <c r="AT33" i="11"/>
  <c r="AS33" i="11"/>
  <c r="AR33" i="11"/>
  <c r="BY33" i="11" s="1"/>
  <c r="CG33" i="11" s="1"/>
  <c r="CI32" i="11"/>
  <c r="CE32" i="11"/>
  <c r="CD32" i="11"/>
  <c r="CC32" i="11"/>
  <c r="CB32" i="11"/>
  <c r="CA32" i="11"/>
  <c r="BZ32" i="11"/>
  <c r="BW32" i="11"/>
  <c r="BS32" i="11"/>
  <c r="BR32" i="11"/>
  <c r="BQ32" i="11"/>
  <c r="BO32" i="11"/>
  <c r="BN32" i="11"/>
  <c r="BM32" i="11"/>
  <c r="BL32" i="11"/>
  <c r="BJ32" i="11"/>
  <c r="BI32" i="11"/>
  <c r="BH32" i="11"/>
  <c r="BG32" i="11"/>
  <c r="BF32" i="11"/>
  <c r="BE32" i="11"/>
  <c r="BD32" i="11"/>
  <c r="BC32" i="11"/>
  <c r="BB32" i="11"/>
  <c r="BA32" i="11"/>
  <c r="AZ32" i="11"/>
  <c r="AY32" i="11"/>
  <c r="AX32" i="11"/>
  <c r="AW32" i="11"/>
  <c r="AV32" i="11"/>
  <c r="AU32" i="11"/>
  <c r="AT32" i="11"/>
  <c r="AS32" i="11"/>
  <c r="AR32" i="11"/>
  <c r="BY32" i="11" s="1"/>
  <c r="CJ32" i="11" s="1"/>
  <c r="CI31" i="11"/>
  <c r="CE31" i="11"/>
  <c r="CD31" i="11"/>
  <c r="CC31" i="11"/>
  <c r="CB31" i="11"/>
  <c r="CA31" i="11"/>
  <c r="BZ31" i="11"/>
  <c r="BW31" i="11"/>
  <c r="BS31" i="11"/>
  <c r="BR31" i="11"/>
  <c r="BQ31" i="11"/>
  <c r="BO31" i="11"/>
  <c r="BN31" i="11"/>
  <c r="BM31" i="11"/>
  <c r="BL31" i="11"/>
  <c r="BJ31" i="11"/>
  <c r="BI31" i="11"/>
  <c r="BH31" i="11"/>
  <c r="BG31" i="11"/>
  <c r="BF31" i="11"/>
  <c r="BE31" i="11"/>
  <c r="BD31" i="11"/>
  <c r="BC31" i="11"/>
  <c r="BB31" i="11"/>
  <c r="BA31" i="11"/>
  <c r="AZ31" i="11"/>
  <c r="AY31" i="11"/>
  <c r="AX31" i="11"/>
  <c r="AW31" i="11"/>
  <c r="AV31" i="11"/>
  <c r="AU31" i="11"/>
  <c r="AT31" i="11"/>
  <c r="AS31" i="11"/>
  <c r="AR31" i="11"/>
  <c r="CI30" i="11"/>
  <c r="CE30" i="11"/>
  <c r="CD30" i="11"/>
  <c r="CC30" i="11"/>
  <c r="CB30" i="11"/>
  <c r="CA30" i="11"/>
  <c r="BZ30" i="11"/>
  <c r="BS30" i="11"/>
  <c r="BR30" i="11"/>
  <c r="BQ30" i="11"/>
  <c r="BO30" i="11"/>
  <c r="BN30" i="11"/>
  <c r="BM30" i="11"/>
  <c r="BL30" i="11"/>
  <c r="BJ30" i="11"/>
  <c r="BI30" i="11"/>
  <c r="BH30" i="11"/>
  <c r="BG30" i="11"/>
  <c r="BF30" i="11"/>
  <c r="BE30" i="11"/>
  <c r="BD30" i="11"/>
  <c r="BC30" i="11"/>
  <c r="BB30" i="11"/>
  <c r="BA30" i="11"/>
  <c r="AZ30" i="11"/>
  <c r="AY30" i="11"/>
  <c r="AX30" i="11"/>
  <c r="AW30" i="11"/>
  <c r="AV30" i="11"/>
  <c r="AU30" i="11"/>
  <c r="AT30" i="11"/>
  <c r="AS30" i="11"/>
  <c r="AR30" i="11"/>
  <c r="CI29" i="11"/>
  <c r="CE29" i="11"/>
  <c r="CD29" i="11"/>
  <c r="CB29" i="11"/>
  <c r="CA29" i="11"/>
  <c r="BZ29" i="11"/>
  <c r="BW29" i="11"/>
  <c r="BS29" i="11"/>
  <c r="BR29" i="11"/>
  <c r="BQ29" i="11"/>
  <c r="BO29" i="11"/>
  <c r="BN29" i="11"/>
  <c r="BM29" i="11"/>
  <c r="BL29" i="11"/>
  <c r="BJ29" i="11"/>
  <c r="BI29" i="11"/>
  <c r="BH29" i="11"/>
  <c r="BG29" i="11"/>
  <c r="BF29" i="11"/>
  <c r="BE29" i="11"/>
  <c r="BD29" i="11"/>
  <c r="BC29" i="11"/>
  <c r="BB29" i="11"/>
  <c r="BA29" i="11"/>
  <c r="AZ29" i="11"/>
  <c r="AY29" i="11"/>
  <c r="AX29" i="11"/>
  <c r="AW29" i="11"/>
  <c r="AV29" i="11"/>
  <c r="AU29" i="11"/>
  <c r="AT29" i="11"/>
  <c r="AS29" i="11"/>
  <c r="AR29" i="11"/>
  <c r="CI28" i="11"/>
  <c r="CE28" i="11"/>
  <c r="CD28" i="11"/>
  <c r="CC28" i="11"/>
  <c r="CB28" i="11"/>
  <c r="CA28" i="11"/>
  <c r="BZ28" i="11"/>
  <c r="BW28" i="11"/>
  <c r="BS28" i="11"/>
  <c r="BR28" i="11"/>
  <c r="BQ28" i="11"/>
  <c r="BO28" i="11"/>
  <c r="BN28" i="11"/>
  <c r="BM28" i="11"/>
  <c r="BL28" i="11"/>
  <c r="BJ28" i="11"/>
  <c r="BI28" i="11"/>
  <c r="BH28" i="11"/>
  <c r="BG28" i="11"/>
  <c r="BF28" i="11"/>
  <c r="BE28" i="11"/>
  <c r="BD28" i="11"/>
  <c r="BC28" i="11"/>
  <c r="BB28" i="11"/>
  <c r="BA28" i="11"/>
  <c r="AZ28" i="11"/>
  <c r="AY28" i="11"/>
  <c r="AX28" i="11"/>
  <c r="AW28" i="11"/>
  <c r="AV28" i="11"/>
  <c r="AU28" i="11"/>
  <c r="AT28" i="11"/>
  <c r="AS28" i="11"/>
  <c r="AR28" i="11"/>
  <c r="CI27" i="11"/>
  <c r="CE27" i="11"/>
  <c r="CD27" i="11"/>
  <c r="CB27" i="11"/>
  <c r="CA27" i="11"/>
  <c r="BZ27" i="11"/>
  <c r="BW27" i="11"/>
  <c r="BS27" i="11"/>
  <c r="BR27" i="11"/>
  <c r="BQ27" i="11"/>
  <c r="BO27" i="11"/>
  <c r="BN27" i="11"/>
  <c r="BM27" i="11"/>
  <c r="BL27" i="11"/>
  <c r="BJ27" i="11"/>
  <c r="BI27" i="11"/>
  <c r="BH27" i="11"/>
  <c r="BG27" i="11"/>
  <c r="BF27" i="11"/>
  <c r="BE27" i="11"/>
  <c r="BD27" i="11"/>
  <c r="BC27" i="11"/>
  <c r="BB27" i="11"/>
  <c r="BA27" i="11"/>
  <c r="AZ27" i="11"/>
  <c r="AY27" i="11"/>
  <c r="AX27" i="11"/>
  <c r="AW27" i="11"/>
  <c r="AV27" i="11"/>
  <c r="AU27" i="11"/>
  <c r="AT27" i="11"/>
  <c r="AS27" i="11"/>
  <c r="AR27" i="11"/>
  <c r="CI26" i="11"/>
  <c r="CB26" i="11"/>
  <c r="CA26" i="11"/>
  <c r="BZ26" i="11"/>
  <c r="BS26" i="11"/>
  <c r="BR26" i="11"/>
  <c r="BQ26" i="11"/>
  <c r="BO26" i="11"/>
  <c r="BN26" i="11"/>
  <c r="BM26" i="11"/>
  <c r="BL26" i="11"/>
  <c r="BJ26" i="11"/>
  <c r="BI26" i="11"/>
  <c r="BH26" i="11"/>
  <c r="BG26" i="11"/>
  <c r="BF26" i="11"/>
  <c r="BE26" i="11"/>
  <c r="BD26" i="11"/>
  <c r="BC26" i="11"/>
  <c r="BB26" i="11"/>
  <c r="BA26" i="11"/>
  <c r="AZ26" i="11"/>
  <c r="AY26" i="11"/>
  <c r="AX26" i="11"/>
  <c r="AW26" i="11"/>
  <c r="AV26" i="11"/>
  <c r="AU26" i="11"/>
  <c r="AT26" i="11"/>
  <c r="AS26" i="11"/>
  <c r="AR26" i="11"/>
  <c r="CI25" i="11"/>
  <c r="CE25" i="11"/>
  <c r="CD25" i="11"/>
  <c r="CC25" i="11"/>
  <c r="CB25" i="11"/>
  <c r="CA25" i="11"/>
  <c r="BZ25" i="11"/>
  <c r="BW25" i="11"/>
  <c r="BS25" i="11"/>
  <c r="BR25" i="11"/>
  <c r="BQ25" i="11"/>
  <c r="BO25" i="11"/>
  <c r="BN25" i="11"/>
  <c r="BM25" i="11"/>
  <c r="BL25" i="11"/>
  <c r="BJ25" i="11"/>
  <c r="BI25" i="11"/>
  <c r="BH25" i="11"/>
  <c r="BG25" i="11"/>
  <c r="BF25" i="11"/>
  <c r="BE25" i="11"/>
  <c r="BD25" i="11"/>
  <c r="BC25" i="11"/>
  <c r="BB25" i="11"/>
  <c r="BA25" i="11"/>
  <c r="AZ25" i="11"/>
  <c r="AY25" i="11"/>
  <c r="AX25" i="11"/>
  <c r="AW25" i="11"/>
  <c r="AV25" i="11"/>
  <c r="AU25" i="11"/>
  <c r="AT25" i="11"/>
  <c r="AS25" i="11"/>
  <c r="AR25" i="11"/>
  <c r="CI24" i="11"/>
  <c r="CE24" i="11"/>
  <c r="CD24" i="11"/>
  <c r="CC24" i="11"/>
  <c r="CB24" i="11"/>
  <c r="CA24" i="11"/>
  <c r="BZ24" i="11"/>
  <c r="BS24" i="11"/>
  <c r="BR24" i="11"/>
  <c r="BQ24" i="11"/>
  <c r="BO24" i="11"/>
  <c r="BN24" i="11"/>
  <c r="BM24" i="11"/>
  <c r="BL24" i="11"/>
  <c r="BJ24" i="11"/>
  <c r="BI24" i="11"/>
  <c r="BH24" i="11"/>
  <c r="BG24" i="11"/>
  <c r="BF24" i="11"/>
  <c r="BE24" i="11"/>
  <c r="BD24" i="11"/>
  <c r="BC24" i="11"/>
  <c r="BB24" i="11"/>
  <c r="BA24" i="11"/>
  <c r="AZ24" i="11"/>
  <c r="AY24" i="11"/>
  <c r="AX24" i="11"/>
  <c r="AW24" i="11"/>
  <c r="AV24" i="11"/>
  <c r="AU24" i="11"/>
  <c r="AT24" i="11"/>
  <c r="AS24" i="11"/>
  <c r="AR24" i="11"/>
  <c r="CI23" i="11"/>
  <c r="CE23" i="11"/>
  <c r="CD23" i="11"/>
  <c r="CC23" i="11"/>
  <c r="CB23" i="11"/>
  <c r="CA23" i="11"/>
  <c r="BZ23" i="11"/>
  <c r="BS23" i="11"/>
  <c r="BR23" i="11"/>
  <c r="BQ23" i="11"/>
  <c r="BO23" i="11"/>
  <c r="BN23" i="11"/>
  <c r="BM23" i="11"/>
  <c r="BL23" i="11"/>
  <c r="BJ23" i="11"/>
  <c r="BI23" i="11"/>
  <c r="BH23" i="11"/>
  <c r="BG23" i="11"/>
  <c r="BF23" i="11"/>
  <c r="BE23" i="11"/>
  <c r="BD23" i="11"/>
  <c r="BC23" i="11"/>
  <c r="BB23" i="11"/>
  <c r="BA23" i="11"/>
  <c r="AZ23" i="11"/>
  <c r="AY23" i="11"/>
  <c r="AX23" i="11"/>
  <c r="AW23" i="11"/>
  <c r="AV23" i="11"/>
  <c r="AU23" i="11"/>
  <c r="AT23" i="11"/>
  <c r="AS23" i="11"/>
  <c r="AR23" i="11"/>
  <c r="CI22" i="11"/>
  <c r="CE22" i="11"/>
  <c r="CD22" i="11"/>
  <c r="CB22" i="11"/>
  <c r="CA22" i="11"/>
  <c r="BZ22" i="11"/>
  <c r="BS22" i="11"/>
  <c r="BR22" i="11"/>
  <c r="BQ22" i="11"/>
  <c r="BO22" i="11"/>
  <c r="BN22" i="11"/>
  <c r="BM22" i="11"/>
  <c r="BL22" i="11"/>
  <c r="BJ22" i="11"/>
  <c r="BI22" i="11"/>
  <c r="BH22" i="11"/>
  <c r="BG22" i="11"/>
  <c r="BF22" i="11"/>
  <c r="BE22" i="11"/>
  <c r="BD22" i="11"/>
  <c r="BC22" i="11"/>
  <c r="BB22" i="11"/>
  <c r="BA22" i="11"/>
  <c r="AZ22" i="11"/>
  <c r="AY22" i="11"/>
  <c r="AX22" i="11"/>
  <c r="AW22" i="11"/>
  <c r="AV22" i="11"/>
  <c r="AU22" i="11"/>
  <c r="AT22" i="11"/>
  <c r="AS22" i="11"/>
  <c r="AR22" i="11"/>
  <c r="CI21" i="11"/>
  <c r="CE21" i="11"/>
  <c r="CD21" i="11"/>
  <c r="CC21" i="11"/>
  <c r="CB21" i="11"/>
  <c r="CA21" i="11"/>
  <c r="BZ21" i="11"/>
  <c r="BW21" i="11"/>
  <c r="BS21" i="11"/>
  <c r="BR21" i="11"/>
  <c r="BQ21" i="11"/>
  <c r="BO21" i="11"/>
  <c r="BN21" i="11"/>
  <c r="BM21" i="11"/>
  <c r="BL21" i="11"/>
  <c r="BJ21" i="11"/>
  <c r="BI21" i="11"/>
  <c r="BH21" i="11"/>
  <c r="BG21" i="11"/>
  <c r="BF21" i="11"/>
  <c r="BE21" i="11"/>
  <c r="BD21" i="11"/>
  <c r="BC21" i="11"/>
  <c r="BB21" i="11"/>
  <c r="BA21" i="11"/>
  <c r="AZ21" i="11"/>
  <c r="AY21" i="11"/>
  <c r="AX21" i="11"/>
  <c r="AW21" i="11"/>
  <c r="AV21" i="11"/>
  <c r="AU21" i="11"/>
  <c r="AT21" i="11"/>
  <c r="AS21" i="11"/>
  <c r="AR21" i="11"/>
  <c r="CI20" i="11"/>
  <c r="CE20" i="11"/>
  <c r="CD20" i="11"/>
  <c r="CC20" i="11"/>
  <c r="CB20" i="11"/>
  <c r="CA20" i="11"/>
  <c r="BZ20" i="11"/>
  <c r="BW20" i="11"/>
  <c r="BS20" i="11"/>
  <c r="BR20" i="11"/>
  <c r="BQ20" i="11"/>
  <c r="BO20" i="11"/>
  <c r="BN20" i="11"/>
  <c r="BM20" i="11"/>
  <c r="BL20" i="11"/>
  <c r="BJ20" i="11"/>
  <c r="BI20" i="11"/>
  <c r="BH20" i="11"/>
  <c r="BG20" i="11"/>
  <c r="BF20" i="11"/>
  <c r="BE20" i="11"/>
  <c r="BD20" i="11"/>
  <c r="BC20" i="11"/>
  <c r="BB20" i="11"/>
  <c r="BA20" i="11"/>
  <c r="AZ20" i="11"/>
  <c r="AY20" i="11"/>
  <c r="AX20" i="11"/>
  <c r="AW20" i="11"/>
  <c r="AV20" i="11"/>
  <c r="AU20" i="11"/>
  <c r="AT20" i="11"/>
  <c r="AS20" i="11"/>
  <c r="AR20" i="11"/>
  <c r="CI19" i="11"/>
  <c r="CE19" i="11"/>
  <c r="CD19" i="11"/>
  <c r="CC19" i="11"/>
  <c r="CB19" i="11"/>
  <c r="CA19" i="11"/>
  <c r="BZ19" i="11"/>
  <c r="BS19" i="11"/>
  <c r="BR19" i="11"/>
  <c r="BQ19" i="11"/>
  <c r="BO19" i="11"/>
  <c r="BN19" i="11"/>
  <c r="BM19" i="11"/>
  <c r="BL19" i="11"/>
  <c r="BJ19" i="11"/>
  <c r="BI19" i="11"/>
  <c r="BH19" i="11"/>
  <c r="BG19" i="11"/>
  <c r="BF19" i="11"/>
  <c r="BE19" i="11"/>
  <c r="BD19" i="11"/>
  <c r="BC19" i="11"/>
  <c r="BB19" i="11"/>
  <c r="BA19" i="11"/>
  <c r="AZ19" i="11"/>
  <c r="AY19" i="11"/>
  <c r="AX19" i="11"/>
  <c r="AW19" i="11"/>
  <c r="AV19" i="11"/>
  <c r="AU19" i="11"/>
  <c r="AT19" i="11"/>
  <c r="AS19" i="11"/>
  <c r="AR19" i="11"/>
  <c r="CI18" i="11"/>
  <c r="CE18" i="11"/>
  <c r="CD18" i="11"/>
  <c r="CC18" i="11"/>
  <c r="CB18" i="11"/>
  <c r="CA18" i="11"/>
  <c r="BZ18" i="11"/>
  <c r="BS18" i="11"/>
  <c r="BR18" i="11"/>
  <c r="BQ18" i="11"/>
  <c r="BO18" i="11"/>
  <c r="BN18" i="11"/>
  <c r="BM18" i="11"/>
  <c r="BL18" i="11"/>
  <c r="BJ18" i="11"/>
  <c r="BI18" i="11"/>
  <c r="BH18" i="11"/>
  <c r="BG18" i="11"/>
  <c r="BF18" i="11"/>
  <c r="BE18" i="11"/>
  <c r="BD18" i="11"/>
  <c r="BC18" i="11"/>
  <c r="BB18" i="11"/>
  <c r="BA18" i="11"/>
  <c r="AZ18" i="11"/>
  <c r="AY18" i="11"/>
  <c r="AX18" i="11"/>
  <c r="AW18" i="11"/>
  <c r="AV18" i="11"/>
  <c r="AU18" i="11"/>
  <c r="AT18" i="11"/>
  <c r="AS18" i="11"/>
  <c r="AR18" i="11"/>
  <c r="CI17" i="11"/>
  <c r="CE17" i="11"/>
  <c r="CD17" i="11"/>
  <c r="CC17" i="11"/>
  <c r="CB17" i="11"/>
  <c r="CA17" i="11"/>
  <c r="BZ17" i="11"/>
  <c r="BS17" i="11"/>
  <c r="BR17" i="11"/>
  <c r="BQ17" i="11"/>
  <c r="BO17" i="11"/>
  <c r="BN17" i="11"/>
  <c r="BM17" i="11"/>
  <c r="BL17" i="11"/>
  <c r="BJ17" i="11"/>
  <c r="BI17" i="11"/>
  <c r="BH17" i="11"/>
  <c r="BG17" i="11"/>
  <c r="BF17" i="11"/>
  <c r="BE17" i="11"/>
  <c r="BD17" i="11"/>
  <c r="BC17" i="11"/>
  <c r="BB17" i="11"/>
  <c r="BA17" i="11"/>
  <c r="AZ17" i="11"/>
  <c r="AY17" i="11"/>
  <c r="AX17" i="11"/>
  <c r="AW17" i="11"/>
  <c r="AV17" i="11"/>
  <c r="AU17" i="11"/>
  <c r="AT17" i="11"/>
  <c r="AS17" i="11"/>
  <c r="AR17" i="11"/>
  <c r="CI16" i="11"/>
  <c r="CE16" i="11"/>
  <c r="CD16" i="11"/>
  <c r="CC16" i="11"/>
  <c r="CB16" i="11"/>
  <c r="CA16" i="11"/>
  <c r="BZ16" i="11"/>
  <c r="BW16" i="11"/>
  <c r="BS16" i="11"/>
  <c r="BR16" i="11"/>
  <c r="BQ16" i="11"/>
  <c r="BO16" i="11"/>
  <c r="BN16" i="11"/>
  <c r="BM16" i="11"/>
  <c r="BL16" i="11"/>
  <c r="BJ16" i="11"/>
  <c r="BI16" i="11"/>
  <c r="BH16" i="11"/>
  <c r="BG16" i="11"/>
  <c r="BF16" i="11"/>
  <c r="BE16" i="11"/>
  <c r="BD16" i="11"/>
  <c r="BC16" i="11"/>
  <c r="BB16" i="11"/>
  <c r="BA16" i="11"/>
  <c r="AZ16" i="11"/>
  <c r="AY16" i="11"/>
  <c r="AX16" i="11"/>
  <c r="AW16" i="11"/>
  <c r="AV16" i="11"/>
  <c r="AU16" i="11"/>
  <c r="AT16" i="11"/>
  <c r="AS16" i="11"/>
  <c r="AR16" i="11"/>
  <c r="CI15" i="11"/>
  <c r="CE15" i="11"/>
  <c r="CB15" i="11"/>
  <c r="CA15" i="11"/>
  <c r="BZ15" i="11"/>
  <c r="BS15" i="11"/>
  <c r="BR15" i="11"/>
  <c r="BQ15" i="11"/>
  <c r="BO15" i="11"/>
  <c r="BN15" i="11"/>
  <c r="BM15" i="11"/>
  <c r="BL15" i="11"/>
  <c r="BJ15" i="11"/>
  <c r="BI15" i="11"/>
  <c r="BH15" i="11"/>
  <c r="BG15" i="11"/>
  <c r="BF15" i="11"/>
  <c r="BE15" i="11"/>
  <c r="BD15" i="11"/>
  <c r="BC15" i="11"/>
  <c r="BB15" i="11"/>
  <c r="BA15" i="11"/>
  <c r="AZ15" i="11"/>
  <c r="AY15" i="11"/>
  <c r="AX15" i="11"/>
  <c r="AW15" i="11"/>
  <c r="AV15" i="11"/>
  <c r="AU15" i="11"/>
  <c r="AT15" i="11"/>
  <c r="AS15" i="11"/>
  <c r="AR15" i="11"/>
  <c r="CI14" i="11"/>
  <c r="CE14" i="11"/>
  <c r="CD14" i="11"/>
  <c r="CC14" i="11"/>
  <c r="CB14" i="11"/>
  <c r="CA14" i="11"/>
  <c r="BZ14" i="11"/>
  <c r="BW14" i="11"/>
  <c r="BS14" i="11"/>
  <c r="BR14" i="11"/>
  <c r="BQ14" i="11"/>
  <c r="BO14" i="11"/>
  <c r="BN14" i="11"/>
  <c r="BM14" i="11"/>
  <c r="BL14" i="11"/>
  <c r="BJ14" i="11"/>
  <c r="BI14" i="11"/>
  <c r="BH14" i="11"/>
  <c r="BG14" i="11"/>
  <c r="BF14" i="11"/>
  <c r="BE14" i="11"/>
  <c r="BD14" i="11"/>
  <c r="BC14" i="11"/>
  <c r="BB14" i="11"/>
  <c r="BA14" i="11"/>
  <c r="AZ14" i="11"/>
  <c r="AY14" i="11"/>
  <c r="AX14" i="11"/>
  <c r="AW14" i="11"/>
  <c r="AV14" i="11"/>
  <c r="AU14" i="11"/>
  <c r="AT14" i="11"/>
  <c r="AS14" i="11"/>
  <c r="AR14" i="11"/>
  <c r="CI13" i="11"/>
  <c r="CE13" i="11"/>
  <c r="CD13" i="11"/>
  <c r="CC13" i="11"/>
  <c r="CB13" i="11"/>
  <c r="CA13" i="11"/>
  <c r="BZ13" i="11"/>
  <c r="BW13" i="11"/>
  <c r="BS13" i="11"/>
  <c r="BR13" i="11"/>
  <c r="BQ13" i="11"/>
  <c r="BO13" i="11"/>
  <c r="BN13" i="11"/>
  <c r="BM13" i="11"/>
  <c r="BL13" i="11"/>
  <c r="BJ13" i="11"/>
  <c r="BI13" i="11"/>
  <c r="BH13" i="11"/>
  <c r="BG13" i="11"/>
  <c r="BF13" i="11"/>
  <c r="BE13" i="11"/>
  <c r="BD13" i="11"/>
  <c r="BC13" i="11"/>
  <c r="BB13" i="11"/>
  <c r="BA13" i="11"/>
  <c r="AZ13" i="11"/>
  <c r="AY13" i="11"/>
  <c r="AX13" i="11"/>
  <c r="AW13" i="11"/>
  <c r="AV13" i="11"/>
  <c r="AU13" i="11"/>
  <c r="AT13" i="11"/>
  <c r="AS13" i="11"/>
  <c r="AR13" i="11"/>
  <c r="CI12" i="11"/>
  <c r="CE12" i="11"/>
  <c r="CD12" i="11"/>
  <c r="CB12" i="11"/>
  <c r="CA12" i="11"/>
  <c r="BZ12" i="11"/>
  <c r="BW12" i="11"/>
  <c r="BS12" i="11"/>
  <c r="BR12" i="11"/>
  <c r="BQ12" i="11"/>
  <c r="BO12" i="11"/>
  <c r="BN12" i="11"/>
  <c r="BM12" i="11"/>
  <c r="BL12" i="11"/>
  <c r="BJ12" i="11"/>
  <c r="BI12" i="11"/>
  <c r="BH12" i="11"/>
  <c r="BG12" i="11"/>
  <c r="BF12" i="11"/>
  <c r="BE12" i="11"/>
  <c r="BD12" i="11"/>
  <c r="BC12" i="11"/>
  <c r="BB12" i="11"/>
  <c r="BA12" i="11"/>
  <c r="AZ12" i="11"/>
  <c r="AY12" i="11"/>
  <c r="AX12" i="11"/>
  <c r="AW12" i="11"/>
  <c r="AV12" i="11"/>
  <c r="AU12" i="11"/>
  <c r="AT12" i="11"/>
  <c r="AS12" i="11"/>
  <c r="AR12" i="11"/>
  <c r="CI11" i="11"/>
  <c r="CE11" i="11"/>
  <c r="CD11" i="11"/>
  <c r="CC11" i="11"/>
  <c r="CB11" i="11"/>
  <c r="CA11" i="11"/>
  <c r="BZ11" i="11"/>
  <c r="BS11" i="11"/>
  <c r="BR11" i="11"/>
  <c r="BQ11" i="11"/>
  <c r="BO11" i="11"/>
  <c r="BN11" i="11"/>
  <c r="BM11" i="11"/>
  <c r="BL11" i="11"/>
  <c r="BJ11" i="11"/>
  <c r="BI11" i="11"/>
  <c r="BH11" i="11"/>
  <c r="BG11" i="11"/>
  <c r="BF11" i="11"/>
  <c r="BE11" i="11"/>
  <c r="BD11" i="11"/>
  <c r="BC11" i="11"/>
  <c r="BB11" i="11"/>
  <c r="BA11" i="11"/>
  <c r="AZ11" i="11"/>
  <c r="AY11" i="11"/>
  <c r="AX11" i="11"/>
  <c r="AW11" i="11"/>
  <c r="AV11" i="11"/>
  <c r="AU11" i="11"/>
  <c r="AT11" i="11"/>
  <c r="AS11" i="11"/>
  <c r="AR11" i="11"/>
  <c r="CI10" i="11"/>
  <c r="CE10" i="11"/>
  <c r="CD10" i="11"/>
  <c r="CB10" i="11"/>
  <c r="CA10" i="11"/>
  <c r="BZ10" i="11"/>
  <c r="BS10" i="11"/>
  <c r="BR10" i="11"/>
  <c r="BQ10" i="11"/>
  <c r="BO10" i="11"/>
  <c r="BN10" i="11"/>
  <c r="BM10" i="11"/>
  <c r="BL10" i="11"/>
  <c r="BJ10" i="11"/>
  <c r="BI10" i="11"/>
  <c r="BH10" i="11"/>
  <c r="BG10" i="11"/>
  <c r="BF10" i="11"/>
  <c r="BE10" i="11"/>
  <c r="BD10" i="11"/>
  <c r="BC10" i="11"/>
  <c r="BB10" i="11"/>
  <c r="BA10" i="11"/>
  <c r="AZ10" i="11"/>
  <c r="AY10" i="11"/>
  <c r="AX10" i="11"/>
  <c r="AW10" i="11"/>
  <c r="AV10" i="11"/>
  <c r="AU10" i="11"/>
  <c r="AT10" i="11"/>
  <c r="AS10" i="11"/>
  <c r="AR10" i="11"/>
  <c r="CI9" i="11"/>
  <c r="CE9" i="11"/>
  <c r="CD9" i="11"/>
  <c r="CC9" i="11"/>
  <c r="CB9" i="11"/>
  <c r="CA9" i="11"/>
  <c r="BZ9" i="11"/>
  <c r="BW9" i="11"/>
  <c r="BS9" i="11"/>
  <c r="BR9" i="11"/>
  <c r="BQ9" i="11"/>
  <c r="BO9" i="11"/>
  <c r="BN9" i="11"/>
  <c r="BM9" i="11"/>
  <c r="BL9" i="11"/>
  <c r="BJ9" i="11"/>
  <c r="BI9" i="11"/>
  <c r="BH9" i="11"/>
  <c r="BG9" i="11"/>
  <c r="BF9" i="11"/>
  <c r="BE9" i="11"/>
  <c r="BD9" i="11"/>
  <c r="BC9" i="11"/>
  <c r="BB9" i="11"/>
  <c r="BA9" i="11"/>
  <c r="AZ9" i="11"/>
  <c r="AY9" i="11"/>
  <c r="AX9" i="11"/>
  <c r="AW9" i="11"/>
  <c r="AV9" i="11"/>
  <c r="AU9" i="11"/>
  <c r="AT9" i="11"/>
  <c r="AS9" i="11"/>
  <c r="AR9" i="11"/>
  <c r="CI8" i="11"/>
  <c r="CE8" i="11"/>
  <c r="CD8" i="11"/>
  <c r="CC8" i="11"/>
  <c r="CB8" i="11"/>
  <c r="CA8" i="11"/>
  <c r="BZ8" i="11"/>
  <c r="BS8" i="11"/>
  <c r="BR8" i="11"/>
  <c r="BQ8" i="11"/>
  <c r="BO8" i="11"/>
  <c r="BN8" i="11"/>
  <c r="BM8" i="11"/>
  <c r="BL8" i="11"/>
  <c r="BJ8" i="11"/>
  <c r="BI8" i="11"/>
  <c r="BH8" i="11"/>
  <c r="BG8" i="11"/>
  <c r="BF8" i="11"/>
  <c r="BE8" i="11"/>
  <c r="BD8" i="11"/>
  <c r="BC8" i="11"/>
  <c r="BB8" i="11"/>
  <c r="BA8" i="11"/>
  <c r="AZ8" i="11"/>
  <c r="AY8" i="11"/>
  <c r="AX8" i="11"/>
  <c r="AW8" i="11"/>
  <c r="AV8" i="11"/>
  <c r="AU8" i="11"/>
  <c r="AT8" i="11"/>
  <c r="AS8" i="11"/>
  <c r="AR8" i="11"/>
  <c r="CI7" i="11"/>
  <c r="CE7" i="11"/>
  <c r="CD7" i="11"/>
  <c r="CC7" i="11"/>
  <c r="CB7" i="11"/>
  <c r="CA7" i="11"/>
  <c r="BZ7" i="11"/>
  <c r="BW7" i="11"/>
  <c r="BS7" i="11"/>
  <c r="BR7" i="11"/>
  <c r="BQ7" i="11"/>
  <c r="BO7" i="11"/>
  <c r="BN7" i="11"/>
  <c r="BM7" i="11"/>
  <c r="BL7" i="11"/>
  <c r="BJ7" i="11"/>
  <c r="BI7" i="11"/>
  <c r="BH7" i="11"/>
  <c r="BG7" i="11"/>
  <c r="BF7" i="11"/>
  <c r="BE7" i="11"/>
  <c r="BD7" i="11"/>
  <c r="BC7" i="11"/>
  <c r="BB7" i="11"/>
  <c r="BA7" i="11"/>
  <c r="AZ7" i="11"/>
  <c r="AY7" i="11"/>
  <c r="AX7" i="11"/>
  <c r="AW7" i="11"/>
  <c r="AV7" i="11"/>
  <c r="AU7" i="11"/>
  <c r="AT7" i="11"/>
  <c r="AS7" i="11"/>
  <c r="AR7" i="11"/>
  <c r="CI6" i="11"/>
  <c r="CE6" i="11"/>
  <c r="CD6" i="11"/>
  <c r="CC6" i="11"/>
  <c r="CB6" i="11"/>
  <c r="CA6" i="11"/>
  <c r="BZ6" i="11"/>
  <c r="BW6" i="11"/>
  <c r="BS6" i="11"/>
  <c r="BR6" i="11"/>
  <c r="BQ6" i="11"/>
  <c r="BO6" i="11"/>
  <c r="BN6" i="11"/>
  <c r="BM6" i="11"/>
  <c r="BL6" i="11"/>
  <c r="BJ6" i="11"/>
  <c r="BI6" i="11"/>
  <c r="BH6" i="11"/>
  <c r="BG6" i="11"/>
  <c r="BF6" i="11"/>
  <c r="BE6" i="11"/>
  <c r="BD6" i="11"/>
  <c r="BC6" i="11"/>
  <c r="BB6" i="11"/>
  <c r="BA6" i="11"/>
  <c r="AZ6" i="11"/>
  <c r="AY6" i="11"/>
  <c r="AX6" i="11"/>
  <c r="AW6" i="11"/>
  <c r="AV6" i="11"/>
  <c r="AU6" i="11"/>
  <c r="AT6" i="11"/>
  <c r="AS6" i="11"/>
  <c r="AR6" i="11"/>
  <c r="CI5" i="11"/>
  <c r="CE5" i="11"/>
  <c r="CD5" i="11"/>
  <c r="CB5" i="11"/>
  <c r="CA5" i="11"/>
  <c r="BZ5" i="11"/>
  <c r="BW5" i="11"/>
  <c r="BS5" i="11"/>
  <c r="BR5" i="11"/>
  <c r="BQ5" i="11"/>
  <c r="BO5" i="11"/>
  <c r="BN5" i="11"/>
  <c r="BM5" i="11"/>
  <c r="BL5" i="11"/>
  <c r="BJ5" i="11"/>
  <c r="BI5" i="11"/>
  <c r="BH5" i="11"/>
  <c r="BG5" i="11"/>
  <c r="BF5" i="11"/>
  <c r="BE5" i="11"/>
  <c r="BD5" i="11"/>
  <c r="BC5" i="11"/>
  <c r="BB5" i="11"/>
  <c r="BA5" i="11"/>
  <c r="AZ5" i="11"/>
  <c r="AY5" i="11"/>
  <c r="AX5" i="11"/>
  <c r="AW5" i="11"/>
  <c r="AV5" i="11"/>
  <c r="AU5" i="11"/>
  <c r="AT5" i="11"/>
  <c r="AS5" i="11"/>
  <c r="AR5" i="11"/>
  <c r="CI4" i="11"/>
  <c r="CE4" i="11"/>
  <c r="CD4" i="11"/>
  <c r="CB4" i="11"/>
  <c r="CA4" i="11"/>
  <c r="BZ4" i="11"/>
  <c r="BW4" i="11"/>
  <c r="BS4" i="11"/>
  <c r="BR4" i="11"/>
  <c r="BQ4" i="11"/>
  <c r="BO4" i="11"/>
  <c r="BN4" i="11"/>
  <c r="BM4" i="11"/>
  <c r="BL4" i="11"/>
  <c r="BJ4" i="11"/>
  <c r="BI4" i="11"/>
  <c r="BH4" i="11"/>
  <c r="BG4" i="11"/>
  <c r="BF4" i="11"/>
  <c r="BE4" i="11"/>
  <c r="BD4" i="11"/>
  <c r="BC4" i="11"/>
  <c r="BB4" i="11"/>
  <c r="BA4" i="11"/>
  <c r="AZ4" i="11"/>
  <c r="AY4" i="11"/>
  <c r="AX4" i="11"/>
  <c r="AW4" i="11"/>
  <c r="AV4" i="11"/>
  <c r="AU4" i="11"/>
  <c r="AT4" i="11"/>
  <c r="AS4" i="11"/>
  <c r="AR4" i="11"/>
  <c r="CI3" i="11"/>
  <c r="CE3" i="11"/>
  <c r="CD3" i="11"/>
  <c r="CB3" i="11"/>
  <c r="CA3" i="11"/>
  <c r="BZ3" i="11"/>
  <c r="BW3" i="11"/>
  <c r="BS3" i="11"/>
  <c r="BR3" i="11"/>
  <c r="BQ3" i="11"/>
  <c r="BO3" i="11"/>
  <c r="BN3" i="11"/>
  <c r="BM3" i="11"/>
  <c r="BL3" i="11"/>
  <c r="BJ3" i="11"/>
  <c r="BI3" i="11"/>
  <c r="BH3" i="11"/>
  <c r="BG3" i="11"/>
  <c r="BF3" i="11"/>
  <c r="BE3" i="11"/>
  <c r="BD3" i="11"/>
  <c r="BC3" i="11"/>
  <c r="BB3" i="11"/>
  <c r="BA3" i="11"/>
  <c r="AZ3" i="11"/>
  <c r="AY3" i="11"/>
  <c r="AX3" i="11"/>
  <c r="AW3" i="11"/>
  <c r="AV3" i="11"/>
  <c r="AU3" i="11"/>
  <c r="AT3" i="11"/>
  <c r="AS3" i="11"/>
  <c r="AR3" i="11"/>
  <c r="CI2" i="11"/>
  <c r="CE2" i="11"/>
  <c r="CB2" i="11"/>
  <c r="CA2" i="11"/>
  <c r="BZ2" i="11"/>
  <c r="BS2" i="11"/>
  <c r="BR2" i="11"/>
  <c r="BQ2" i="11"/>
  <c r="BO2" i="11"/>
  <c r="BN2" i="11"/>
  <c r="BM2" i="11"/>
  <c r="BL2" i="11"/>
  <c r="BJ2" i="11"/>
  <c r="BI2" i="11"/>
  <c r="BH2" i="11"/>
  <c r="BG2" i="11"/>
  <c r="BF2" i="11"/>
  <c r="BE2" i="11"/>
  <c r="BD2" i="11"/>
  <c r="BC2" i="11"/>
  <c r="BB2" i="11"/>
  <c r="BA2" i="11"/>
  <c r="AZ2" i="11"/>
  <c r="AY2" i="11"/>
  <c r="AX2" i="11"/>
  <c r="AW2" i="11"/>
  <c r="AV2" i="11"/>
  <c r="AU2" i="11"/>
  <c r="AT2" i="11"/>
  <c r="AS2" i="11"/>
  <c r="AR2" i="11"/>
  <c r="A154" i="8"/>
  <c r="A152" i="8"/>
  <c r="A151" i="8"/>
  <c r="A149" i="8"/>
  <c r="D149" i="8" s="1"/>
  <c r="A148" i="8"/>
  <c r="D148" i="8" s="1"/>
  <c r="A147" i="8"/>
  <c r="D147" i="8" s="1"/>
  <c r="A146" i="8"/>
  <c r="A145" i="8"/>
  <c r="D145" i="8" s="1"/>
  <c r="A144" i="8"/>
  <c r="A143" i="8"/>
  <c r="A142" i="8"/>
  <c r="A141" i="8"/>
  <c r="D141" i="8" s="1"/>
  <c r="A140" i="8"/>
  <c r="D140" i="8" s="1"/>
  <c r="A139" i="8"/>
  <c r="D139" i="8" s="1"/>
  <c r="A138" i="8"/>
  <c r="A137" i="8"/>
  <c r="D137" i="8" s="1"/>
  <c r="A134" i="8"/>
  <c r="A133" i="8"/>
  <c r="A132" i="8"/>
  <c r="A131" i="8"/>
  <c r="D131" i="8" s="1"/>
  <c r="A129" i="8"/>
  <c r="D129" i="8" s="1"/>
  <c r="A128" i="8"/>
  <c r="D128" i="8" s="1"/>
  <c r="A127" i="8"/>
  <c r="A126" i="8"/>
  <c r="D126" i="8" s="1"/>
  <c r="A123" i="8"/>
  <c r="A122" i="8"/>
  <c r="A121" i="8"/>
  <c r="A118" i="8"/>
  <c r="D118" i="8" s="1"/>
  <c r="A117" i="8"/>
  <c r="D117" i="8" s="1"/>
  <c r="A115" i="8"/>
  <c r="D115" i="8" s="1"/>
  <c r="A114" i="8"/>
  <c r="A109" i="8"/>
  <c r="D109" i="8" s="1"/>
  <c r="A108" i="8"/>
  <c r="A107" i="8"/>
  <c r="D107" i="8" s="1"/>
  <c r="A106" i="8"/>
  <c r="A105" i="8"/>
  <c r="D105" i="8" s="1"/>
  <c r="A104" i="8"/>
  <c r="D104" i="8" s="1"/>
  <c r="A103" i="8"/>
  <c r="D103" i="8" s="1"/>
  <c r="A102" i="8"/>
  <c r="A101" i="8"/>
  <c r="D101" i="8" s="1"/>
  <c r="A100" i="8"/>
  <c r="A99" i="8"/>
  <c r="A98" i="8"/>
  <c r="A97" i="8"/>
  <c r="D97" i="8" s="1"/>
  <c r="A95" i="8"/>
  <c r="D95" i="8" s="1"/>
  <c r="A94" i="8"/>
  <c r="D94" i="8" s="1"/>
  <c r="A93" i="8"/>
  <c r="A92" i="8"/>
  <c r="D92" i="8" s="1"/>
  <c r="A91" i="8"/>
  <c r="A90" i="8"/>
  <c r="A89" i="8"/>
  <c r="A88" i="8"/>
  <c r="D88" i="8" s="1"/>
  <c r="A87" i="8"/>
  <c r="D87" i="8" s="1"/>
  <c r="A86" i="8"/>
  <c r="D86" i="8" s="1"/>
  <c r="A84" i="8"/>
  <c r="A83" i="8"/>
  <c r="D83" i="8" s="1"/>
  <c r="A82" i="8"/>
  <c r="A81" i="8"/>
  <c r="A80" i="8"/>
  <c r="A79" i="8"/>
  <c r="D79" i="8" s="1"/>
  <c r="A78" i="8"/>
  <c r="D78" i="8" s="1"/>
  <c r="A77" i="8"/>
  <c r="D77" i="8" s="1"/>
  <c r="A76" i="8"/>
  <c r="A75" i="8"/>
  <c r="D75" i="8" s="1"/>
  <c r="A74" i="8"/>
  <c r="A72" i="8"/>
  <c r="A71" i="8"/>
  <c r="A70" i="8"/>
  <c r="D70" i="8" s="1"/>
  <c r="A69" i="8"/>
  <c r="D69" i="8" s="1"/>
  <c r="A68" i="8"/>
  <c r="D68" i="8" s="1"/>
  <c r="A67" i="8"/>
  <c r="A66" i="8"/>
  <c r="D66" i="8" s="1"/>
  <c r="A65" i="8"/>
  <c r="A64" i="8"/>
  <c r="A63" i="8"/>
  <c r="A62" i="8"/>
  <c r="D62" i="8" s="1"/>
  <c r="A61" i="8"/>
  <c r="D61" i="8" s="1"/>
  <c r="A59" i="8"/>
  <c r="D59" i="8" s="1"/>
  <c r="A58" i="8"/>
  <c r="A57" i="8"/>
  <c r="D57" i="8" s="1"/>
  <c r="A56" i="8"/>
  <c r="A55" i="8"/>
  <c r="D55" i="8" s="1"/>
  <c r="A54" i="8"/>
  <c r="A53" i="8"/>
  <c r="D53" i="8" s="1"/>
  <c r="A52" i="8"/>
  <c r="A51" i="8"/>
  <c r="D51" i="8" s="1"/>
  <c r="A50" i="8"/>
  <c r="A49" i="8"/>
  <c r="D49" i="8" s="1"/>
  <c r="A48" i="8"/>
  <c r="A47" i="8"/>
  <c r="A46" i="8"/>
  <c r="A45" i="8"/>
  <c r="D45" i="8" s="1"/>
  <c r="A44" i="8"/>
  <c r="D44" i="8" s="1"/>
  <c r="A43" i="8"/>
  <c r="D43" i="8" s="1"/>
  <c r="A42" i="8"/>
  <c r="A41" i="8"/>
  <c r="D41" i="8" s="1"/>
  <c r="A40" i="8"/>
  <c r="A39" i="8"/>
  <c r="A38" i="8"/>
  <c r="A37" i="8"/>
  <c r="D37" i="8" s="1"/>
  <c r="A36" i="8"/>
  <c r="D36" i="8" s="1"/>
  <c r="A35" i="8"/>
  <c r="D35" i="8" s="1"/>
  <c r="A34" i="8"/>
  <c r="A33" i="8"/>
  <c r="D33" i="8" s="1"/>
  <c r="A32" i="8"/>
  <c r="A31" i="8"/>
  <c r="A30" i="8"/>
  <c r="A29" i="8"/>
  <c r="D29" i="8" s="1"/>
  <c r="A28" i="8"/>
  <c r="D28" i="8" s="1"/>
  <c r="A27" i="8"/>
  <c r="D27" i="8" s="1"/>
  <c r="A26" i="8"/>
  <c r="A25" i="8"/>
  <c r="D25" i="8" s="1"/>
  <c r="A24" i="8"/>
  <c r="A23" i="8"/>
  <c r="D23" i="8" s="1"/>
  <c r="A22" i="8"/>
  <c r="A21" i="8"/>
  <c r="D21" i="8" s="1"/>
  <c r="A20" i="8"/>
  <c r="D20" i="8" s="1"/>
  <c r="A19" i="8"/>
  <c r="D19" i="8" s="1"/>
  <c r="A18" i="8"/>
  <c r="A17" i="8"/>
  <c r="D17" i="8" s="1"/>
  <c r="A16" i="8"/>
  <c r="A15" i="8"/>
  <c r="D15" i="8" s="1"/>
  <c r="A14" i="8"/>
  <c r="A13" i="8"/>
  <c r="D13" i="8" s="1"/>
  <c r="A12" i="8"/>
  <c r="D12" i="8" s="1"/>
  <c r="A11" i="8"/>
  <c r="A10" i="8"/>
  <c r="A9" i="8"/>
  <c r="A8" i="8"/>
  <c r="A7" i="8"/>
  <c r="D7" i="8" s="1"/>
  <c r="A6" i="8"/>
  <c r="A5" i="8"/>
  <c r="D5" i="8" s="1"/>
  <c r="A3" i="8"/>
  <c r="D3" i="8" s="1"/>
  <c r="D9" i="8"/>
  <c r="B154" i="8"/>
  <c r="B152" i="8"/>
  <c r="B151" i="8"/>
  <c r="B149" i="8"/>
  <c r="B148" i="8"/>
  <c r="B147" i="8"/>
  <c r="B146" i="8"/>
  <c r="B145" i="8"/>
  <c r="B144" i="8"/>
  <c r="B143" i="8"/>
  <c r="B142" i="8"/>
  <c r="B141" i="8"/>
  <c r="B140" i="8"/>
  <c r="B139" i="8"/>
  <c r="B138" i="8"/>
  <c r="B137" i="8"/>
  <c r="B134" i="8"/>
  <c r="B133" i="8"/>
  <c r="B132" i="8"/>
  <c r="B131" i="8"/>
  <c r="B129" i="8"/>
  <c r="B128" i="8"/>
  <c r="B127" i="8"/>
  <c r="B126" i="8"/>
  <c r="B123" i="8"/>
  <c r="B122" i="8"/>
  <c r="B121" i="8"/>
  <c r="B118" i="8"/>
  <c r="B117" i="8"/>
  <c r="B115" i="8"/>
  <c r="B114" i="8"/>
  <c r="B109" i="8"/>
  <c r="B108" i="8"/>
  <c r="B107" i="8"/>
  <c r="B106" i="8"/>
  <c r="B105" i="8"/>
  <c r="B103" i="8"/>
  <c r="B102" i="8"/>
  <c r="B101" i="8"/>
  <c r="B100" i="8"/>
  <c r="B99" i="8"/>
  <c r="B98" i="8"/>
  <c r="B97" i="8"/>
  <c r="B95" i="8"/>
  <c r="B94" i="8"/>
  <c r="B93" i="8"/>
  <c r="B92" i="8"/>
  <c r="B91" i="8"/>
  <c r="B90" i="8"/>
  <c r="B89" i="8"/>
  <c r="B88" i="8"/>
  <c r="B87" i="8"/>
  <c r="B86" i="8"/>
  <c r="B84" i="8"/>
  <c r="B83" i="8"/>
  <c r="B82" i="8"/>
  <c r="B81" i="8"/>
  <c r="B80" i="8"/>
  <c r="B79" i="8"/>
  <c r="B78" i="8"/>
  <c r="B77" i="8"/>
  <c r="B76" i="8"/>
  <c r="B75" i="8"/>
  <c r="B74" i="8"/>
  <c r="B72" i="8"/>
  <c r="B71" i="8"/>
  <c r="B70" i="8"/>
  <c r="B69" i="8"/>
  <c r="B68" i="8"/>
  <c r="B67" i="8"/>
  <c r="B66" i="8"/>
  <c r="B65" i="8"/>
  <c r="B64" i="8"/>
  <c r="B63" i="8"/>
  <c r="B62" i="8"/>
  <c r="B61"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7" i="8"/>
  <c r="B16" i="8"/>
  <c r="B15" i="8"/>
  <c r="B14" i="8"/>
  <c r="B13" i="8"/>
  <c r="B12" i="8"/>
  <c r="B11" i="8"/>
  <c r="B10" i="8"/>
  <c r="B9" i="8"/>
  <c r="B8" i="8"/>
  <c r="B7" i="8"/>
  <c r="B6" i="8"/>
  <c r="B5" i="8"/>
  <c r="B3" i="8"/>
  <c r="D4" i="8"/>
  <c r="D6" i="8"/>
  <c r="D8" i="8"/>
  <c r="D10" i="8"/>
  <c r="D11" i="8"/>
  <c r="D14" i="8"/>
  <c r="D16" i="8"/>
  <c r="D18" i="8"/>
  <c r="D22" i="8"/>
  <c r="D24" i="8"/>
  <c r="D26" i="8"/>
  <c r="D30" i="8"/>
  <c r="D31" i="8"/>
  <c r="D32" i="8"/>
  <c r="D34" i="8"/>
  <c r="D38" i="8"/>
  <c r="D39" i="8"/>
  <c r="D40" i="8"/>
  <c r="D42" i="8"/>
  <c r="D46" i="8"/>
  <c r="D47" i="8"/>
  <c r="D48" i="8"/>
  <c r="D50" i="8"/>
  <c r="D52" i="8"/>
  <c r="D54" i="8"/>
  <c r="D56" i="8"/>
  <c r="D58" i="8"/>
  <c r="D60" i="8"/>
  <c r="D63" i="8"/>
  <c r="D64" i="8"/>
  <c r="D65" i="8"/>
  <c r="D67" i="8"/>
  <c r="D71" i="8"/>
  <c r="D72" i="8"/>
  <c r="D73" i="8"/>
  <c r="D74" i="8"/>
  <c r="D76" i="8"/>
  <c r="D80" i="8"/>
  <c r="D81" i="8"/>
  <c r="D82" i="8"/>
  <c r="D84" i="8"/>
  <c r="D85" i="8"/>
  <c r="D89" i="8"/>
  <c r="D90" i="8"/>
  <c r="D91" i="8"/>
  <c r="D93" i="8"/>
  <c r="D96" i="8"/>
  <c r="D98" i="8"/>
  <c r="D99" i="8"/>
  <c r="D100" i="8"/>
  <c r="D102" i="8"/>
  <c r="D106" i="8"/>
  <c r="D108" i="8"/>
  <c r="D110" i="8"/>
  <c r="D111" i="8"/>
  <c r="D112" i="8"/>
  <c r="D113" i="8"/>
  <c r="D114" i="8"/>
  <c r="D116" i="8"/>
  <c r="D119" i="8"/>
  <c r="D120" i="8"/>
  <c r="D121" i="8"/>
  <c r="D122" i="8"/>
  <c r="D123" i="8"/>
  <c r="D124" i="8"/>
  <c r="D125" i="8"/>
  <c r="D127" i="8"/>
  <c r="D130" i="8"/>
  <c r="D132" i="8"/>
  <c r="D133" i="8"/>
  <c r="D134" i="8"/>
  <c r="D135" i="8"/>
  <c r="D136" i="8"/>
  <c r="D138" i="8"/>
  <c r="D142" i="8"/>
  <c r="D143" i="8"/>
  <c r="D144" i="8"/>
  <c r="D146" i="8"/>
  <c r="D150" i="8"/>
  <c r="D151" i="8"/>
  <c r="D152" i="8"/>
  <c r="D153" i="8"/>
  <c r="D154" i="8"/>
  <c r="D2" i="8"/>
  <c r="CC80" i="11"/>
  <c r="CC71" i="11"/>
  <c r="CE71" i="11"/>
  <c r="CD71" i="11"/>
  <c r="CC69" i="11"/>
  <c r="BW62" i="11"/>
  <c r="BW53" i="11"/>
  <c r="CD53" i="11"/>
  <c r="CE50" i="11"/>
  <c r="CD50" i="11"/>
  <c r="CD49" i="11"/>
  <c r="CE49" i="11"/>
  <c r="BW48" i="11"/>
  <c r="CE106" i="11"/>
  <c r="CE105" i="11"/>
  <c r="BW104" i="11"/>
  <c r="CE97" i="11"/>
  <c r="CE108" i="11"/>
  <c r="CD108" i="11"/>
  <c r="BW133" i="11"/>
  <c r="CD132" i="11"/>
  <c r="CD15" i="11"/>
  <c r="CD42" i="11"/>
  <c r="CE133" i="11"/>
  <c r="CC135" i="11"/>
  <c r="BT135" i="11"/>
  <c r="BK135" i="11"/>
  <c r="BW135" i="11"/>
  <c r="CD135" i="11"/>
  <c r="BV135" i="11"/>
  <c r="BT32" i="11"/>
  <c r="BT125" i="11"/>
  <c r="BT13" i="11"/>
  <c r="BW26" i="11"/>
  <c r="BT44" i="11"/>
  <c r="BT54" i="11"/>
  <c r="BW103" i="11"/>
  <c r="BW2" i="11"/>
  <c r="BT89" i="11"/>
  <c r="BT78" i="11"/>
  <c r="BT52" i="11"/>
  <c r="BT72" i="11"/>
  <c r="BT75" i="11"/>
  <c r="BW44" i="11"/>
  <c r="BT63" i="11"/>
  <c r="BT51" i="11"/>
  <c r="BT99" i="11"/>
  <c r="BT42" i="11"/>
  <c r="BT116" i="11"/>
  <c r="BT57" i="11"/>
  <c r="BT133" i="11"/>
  <c r="BT131" i="11"/>
  <c r="CD114" i="11"/>
  <c r="CC27" i="11"/>
  <c r="CD98" i="11"/>
  <c r="CC56" i="11"/>
  <c r="CC37" i="11"/>
  <c r="CC35" i="11"/>
  <c r="CC22" i="11"/>
  <c r="CC127" i="11"/>
  <c r="CD130" i="11"/>
  <c r="CE93" i="11"/>
  <c r="CC89" i="11"/>
  <c r="CC4" i="11"/>
  <c r="CC55" i="11"/>
  <c r="CE52" i="11"/>
  <c r="CE87" i="11"/>
  <c r="CC51" i="11"/>
  <c r="CC124" i="11"/>
  <c r="CD90" i="11"/>
  <c r="CC68" i="11"/>
  <c r="CD117" i="11"/>
  <c r="CE110" i="11"/>
  <c r="CC67" i="11"/>
  <c r="CE100" i="11"/>
  <c r="CC91" i="11"/>
  <c r="CH104" i="11"/>
  <c r="CH98" i="11"/>
  <c r="BK17" i="11"/>
  <c r="BK3" i="11"/>
  <c r="BK99" i="11"/>
  <c r="BK15" i="11"/>
  <c r="BK95" i="11"/>
  <c r="CH76" i="11"/>
  <c r="CH70" i="11"/>
  <c r="CH63" i="11"/>
  <c r="BK28" i="11"/>
  <c r="BK45" i="11"/>
  <c r="BK12" i="11"/>
  <c r="CH114" i="11"/>
  <c r="CH62" i="11"/>
  <c r="CH88" i="11"/>
  <c r="BK6" i="11"/>
  <c r="BK35" i="11"/>
  <c r="BK16" i="11"/>
  <c r="CH78" i="11"/>
  <c r="BK133" i="11"/>
  <c r="BK90" i="11"/>
  <c r="BK18" i="11"/>
  <c r="CH11" i="11"/>
  <c r="BK20" i="11"/>
  <c r="CH17" i="11"/>
  <c r="CH26" i="11"/>
  <c r="BT29" i="11"/>
  <c r="BT126" i="11"/>
  <c r="BT117" i="11"/>
  <c r="BT10" i="11"/>
  <c r="CE96" i="11"/>
  <c r="CD89" i="11"/>
  <c r="CD94" i="11"/>
  <c r="CC61" i="11"/>
  <c r="CD86" i="11"/>
  <c r="CC121" i="11"/>
  <c r="CE89" i="11"/>
  <c r="CH52" i="11"/>
  <c r="BK19" i="11"/>
  <c r="BK106" i="11"/>
  <c r="BK91" i="11"/>
  <c r="BK94" i="11"/>
  <c r="BT20" i="11"/>
  <c r="BT31" i="11"/>
  <c r="BT79" i="11"/>
  <c r="BT91" i="11"/>
  <c r="BT7" i="11"/>
  <c r="BT12" i="11"/>
  <c r="BT113" i="11"/>
  <c r="BW17" i="11"/>
  <c r="BT80" i="11"/>
  <c r="BW18" i="11"/>
  <c r="BT4" i="11"/>
  <c r="BT82" i="11"/>
  <c r="BW24" i="11"/>
  <c r="BW15" i="11"/>
  <c r="BW98" i="11"/>
  <c r="BT105" i="11"/>
  <c r="BW19" i="11"/>
  <c r="BT28" i="11"/>
  <c r="BT109" i="11"/>
  <c r="BW8" i="11"/>
  <c r="CE111" i="11"/>
  <c r="CC112" i="11"/>
  <c r="CE26" i="11"/>
  <c r="CC103" i="11"/>
  <c r="CC128" i="11"/>
  <c r="CC60" i="11"/>
  <c r="CE98" i="11"/>
  <c r="CD116" i="11"/>
  <c r="CC98" i="11"/>
  <c r="CD93" i="11"/>
  <c r="CC106" i="11"/>
  <c r="CE82" i="11"/>
  <c r="CE90" i="11"/>
  <c r="CC88" i="11"/>
  <c r="CD91" i="11"/>
  <c r="CE44" i="11"/>
  <c r="CC116" i="11"/>
  <c r="CC129" i="11"/>
  <c r="CC97" i="11"/>
  <c r="CD127" i="11"/>
  <c r="CD102" i="11"/>
  <c r="CC114" i="11"/>
  <c r="CE99" i="11"/>
  <c r="CC76" i="11"/>
  <c r="BK103" i="11"/>
  <c r="CH71" i="11"/>
  <c r="BK97" i="11"/>
  <c r="BK25" i="11"/>
  <c r="CH10" i="11"/>
  <c r="CH7" i="11"/>
  <c r="BK21" i="11"/>
  <c r="CH5" i="11"/>
  <c r="CH21" i="11"/>
  <c r="CH72" i="11"/>
  <c r="CH79" i="11"/>
  <c r="BK37" i="11"/>
  <c r="BK54" i="11"/>
  <c r="BK24" i="11"/>
  <c r="BK53" i="11"/>
  <c r="BK65" i="11"/>
  <c r="BK40" i="11"/>
  <c r="CH81" i="11"/>
  <c r="BK131" i="11"/>
  <c r="BK36" i="11"/>
  <c r="BK82" i="11"/>
  <c r="BK123" i="11"/>
  <c r="CE131" i="11"/>
  <c r="CH128" i="11"/>
  <c r="BT48" i="11"/>
  <c r="CE51" i="11"/>
  <c r="CH12" i="11"/>
  <c r="BW51" i="11"/>
  <c r="BT98" i="11"/>
  <c r="BT33" i="11"/>
  <c r="BW22" i="11"/>
  <c r="BW60" i="11"/>
  <c r="BT124" i="11"/>
  <c r="BT34" i="11"/>
  <c r="BT6" i="11"/>
  <c r="BT61" i="11"/>
  <c r="BT123" i="11"/>
  <c r="BT100" i="11"/>
  <c r="BW50" i="11"/>
  <c r="BT25" i="11"/>
  <c r="BT114" i="11"/>
  <c r="BW34" i="11"/>
  <c r="BT27" i="11"/>
  <c r="BT87" i="11"/>
  <c r="BU34" i="11"/>
  <c r="BT67" i="11"/>
  <c r="CD134" i="11"/>
  <c r="CC73" i="11"/>
  <c r="CD84" i="11"/>
  <c r="CC75" i="11"/>
  <c r="CC108" i="11"/>
  <c r="CD113" i="11"/>
  <c r="CD70" i="11"/>
  <c r="CC85" i="11"/>
  <c r="CD125" i="11"/>
  <c r="CE115" i="11"/>
  <c r="CD88" i="11"/>
  <c r="CC117" i="11"/>
  <c r="CD103" i="11"/>
  <c r="CC107" i="11"/>
  <c r="CC87" i="11"/>
  <c r="CC110" i="11"/>
  <c r="CC42" i="11"/>
  <c r="CD119" i="11"/>
  <c r="CC86" i="11"/>
  <c r="CC109" i="11"/>
  <c r="CE94" i="11"/>
  <c r="CD121" i="11"/>
  <c r="CE114" i="11"/>
  <c r="CC78" i="11"/>
  <c r="CD124" i="11"/>
  <c r="CH69" i="11"/>
  <c r="CH29" i="11"/>
  <c r="BK49" i="11"/>
  <c r="BK57" i="11"/>
  <c r="CH116" i="11"/>
  <c r="CH132" i="11"/>
  <c r="BK38" i="11"/>
  <c r="BK44" i="11"/>
  <c r="CH27" i="11"/>
  <c r="CH58" i="11"/>
  <c r="BK132" i="11"/>
  <c r="CH56" i="11"/>
  <c r="BK13" i="11"/>
  <c r="BK41" i="11"/>
  <c r="BK96" i="11"/>
  <c r="CH102" i="11"/>
  <c r="BK2" i="11"/>
  <c r="BK64" i="11"/>
  <c r="CH82" i="11"/>
  <c r="CH100" i="11"/>
  <c r="BK29" i="11"/>
  <c r="CH115" i="11"/>
  <c r="BW38" i="11"/>
  <c r="BT66" i="11"/>
  <c r="BT36" i="11"/>
  <c r="BT15" i="11"/>
  <c r="BW46" i="11"/>
  <c r="CD106" i="11"/>
  <c r="CC44" i="11"/>
  <c r="CC10" i="11"/>
  <c r="CC3" i="11"/>
  <c r="CH19" i="11"/>
  <c r="CH134" i="11"/>
  <c r="BW52" i="11"/>
  <c r="BT19" i="11"/>
  <c r="BT59" i="11"/>
  <c r="BT128" i="11"/>
  <c r="BT92" i="11"/>
  <c r="BT120" i="11"/>
  <c r="BT56" i="11"/>
  <c r="BT37" i="11"/>
  <c r="BT106" i="11"/>
  <c r="BT22" i="11"/>
  <c r="BT17" i="11"/>
  <c r="BW30" i="11"/>
  <c r="BT47" i="11"/>
  <c r="BT85" i="11"/>
  <c r="BT5" i="11"/>
  <c r="BT119" i="11"/>
  <c r="BT21" i="11"/>
  <c r="BT69" i="11"/>
  <c r="BW43" i="11"/>
  <c r="BT77" i="11"/>
  <c r="BW132" i="11"/>
  <c r="CC134" i="11"/>
  <c r="CD96" i="11"/>
  <c r="CC120" i="11"/>
  <c r="CD97" i="11"/>
  <c r="CE107" i="11"/>
  <c r="CD99" i="11"/>
  <c r="CC90" i="11"/>
  <c r="CD104" i="11"/>
  <c r="CD26" i="11"/>
  <c r="CE95" i="11"/>
  <c r="CC105" i="11"/>
  <c r="CC54" i="11"/>
  <c r="CD60" i="11"/>
  <c r="CD48" i="11"/>
  <c r="CD122" i="11"/>
  <c r="CC49" i="11"/>
  <c r="CD44" i="11"/>
  <c r="CC113" i="11"/>
  <c r="CC77" i="11"/>
  <c r="CC26" i="11"/>
  <c r="CC58" i="11"/>
  <c r="CC79" i="11"/>
  <c r="CC2" i="11"/>
  <c r="CC93" i="11"/>
  <c r="CD83" i="11"/>
  <c r="BK42" i="11"/>
  <c r="CH53" i="11"/>
  <c r="CH86" i="11"/>
  <c r="BK100" i="11"/>
  <c r="BK93" i="11"/>
  <c r="BK70" i="11"/>
  <c r="CH24" i="11"/>
  <c r="BK108" i="11"/>
  <c r="BK86" i="11"/>
  <c r="BK14" i="11"/>
  <c r="BK33" i="11"/>
  <c r="CH59" i="11"/>
  <c r="BK105" i="11"/>
  <c r="CH77" i="11"/>
  <c r="BK9" i="11"/>
  <c r="CH35" i="11"/>
  <c r="BK134" i="11"/>
  <c r="BW23" i="11"/>
  <c r="BW11" i="11"/>
  <c r="BT71" i="11"/>
  <c r="BT39" i="11"/>
  <c r="CC94" i="11"/>
  <c r="CC99" i="11"/>
  <c r="CC126" i="11"/>
  <c r="CD129" i="11"/>
  <c r="CE84" i="11"/>
  <c r="BK89" i="11"/>
  <c r="CH61" i="11"/>
  <c r="BW61" i="11"/>
  <c r="BT49" i="11"/>
  <c r="BT11" i="11"/>
  <c r="BT40" i="11"/>
  <c r="BT23" i="11"/>
  <c r="BT96" i="11"/>
  <c r="BU23" i="11"/>
  <c r="BT70" i="11"/>
  <c r="BT8" i="11"/>
  <c r="BT118" i="11"/>
  <c r="BT14" i="11"/>
  <c r="BT108" i="11"/>
  <c r="BT46" i="11"/>
  <c r="BT121" i="11"/>
  <c r="BT65" i="11"/>
  <c r="BW10" i="11"/>
  <c r="BT102" i="11"/>
  <c r="BT26" i="11"/>
  <c r="CC132" i="11"/>
  <c r="CC63" i="11"/>
  <c r="CD112" i="11"/>
  <c r="CE102" i="11"/>
  <c r="CD105" i="11"/>
  <c r="CE112" i="11"/>
  <c r="CE117" i="11"/>
  <c r="CC57" i="11"/>
  <c r="CD35" i="11"/>
  <c r="CE126" i="11"/>
  <c r="CC83" i="11"/>
  <c r="CE85" i="11"/>
  <c r="CC12" i="11"/>
  <c r="CC50" i="11"/>
  <c r="CC115" i="11"/>
  <c r="CC92" i="11"/>
  <c r="CC131" i="11"/>
  <c r="CE83" i="11"/>
  <c r="CD115" i="11"/>
  <c r="CC48" i="11"/>
  <c r="CC15" i="11"/>
  <c r="CE113" i="11"/>
  <c r="CD128" i="11"/>
  <c r="CC119" i="11"/>
  <c r="CC59" i="11"/>
  <c r="CH84" i="11"/>
  <c r="CH117" i="11"/>
  <c r="BK11" i="11"/>
  <c r="BK34" i="11"/>
  <c r="CH90" i="11"/>
  <c r="BK83" i="11"/>
  <c r="CH14" i="11"/>
  <c r="CH34" i="11"/>
  <c r="CH74" i="11"/>
  <c r="BK22" i="11"/>
  <c r="CH118" i="11"/>
  <c r="CH51" i="11"/>
  <c r="CH122" i="11"/>
  <c r="CH65" i="11"/>
  <c r="BK130" i="11"/>
  <c r="CH49" i="11"/>
  <c r="BK4" i="11"/>
  <c r="CH80" i="11"/>
  <c r="BT45" i="11"/>
  <c r="CD111" i="11"/>
  <c r="BK27" i="11"/>
  <c r="BK58" i="11"/>
  <c r="CH94" i="11"/>
  <c r="BT130" i="11"/>
  <c r="BT93" i="11"/>
  <c r="BW47" i="11"/>
  <c r="BT83" i="11"/>
  <c r="BT95" i="11"/>
  <c r="BW100" i="11"/>
  <c r="BT16" i="11"/>
  <c r="BT41" i="11"/>
  <c r="BT73" i="11"/>
  <c r="BT18" i="11"/>
  <c r="BU18" i="11" s="1"/>
  <c r="BW72" i="11"/>
  <c r="BT86" i="11"/>
  <c r="BT94" i="11"/>
  <c r="BT58" i="11"/>
  <c r="BT88" i="11"/>
  <c r="BT38" i="11"/>
  <c r="BU38" i="11" s="1"/>
  <c r="BT127" i="11"/>
  <c r="BT97" i="11"/>
  <c r="BT60" i="11"/>
  <c r="BT115" i="11"/>
  <c r="BT104" i="11"/>
  <c r="BT132" i="11"/>
  <c r="BU132" i="11" s="1"/>
  <c r="CC96" i="11"/>
  <c r="CC66" i="11"/>
  <c r="CE86" i="11"/>
  <c r="CC122" i="11"/>
  <c r="CD51" i="11"/>
  <c r="CC65" i="11"/>
  <c r="CE92" i="11"/>
  <c r="CC130" i="11"/>
  <c r="CC62" i="11"/>
  <c r="CD61" i="11"/>
  <c r="CE109" i="11"/>
  <c r="CE119" i="11"/>
  <c r="CC125" i="11"/>
  <c r="CE70" i="11"/>
  <c r="CD118" i="11"/>
  <c r="CC100" i="11"/>
  <c r="CD2" i="11"/>
  <c r="CD92" i="11"/>
  <c r="CE116" i="11"/>
  <c r="CE129" i="11"/>
  <c r="CC53" i="11"/>
  <c r="CC38" i="11"/>
  <c r="CC29" i="11"/>
  <c r="CD126" i="11"/>
  <c r="CC84" i="11"/>
  <c r="BK46" i="11"/>
  <c r="BK59" i="11"/>
  <c r="BK63" i="11"/>
  <c r="CH124" i="11"/>
  <c r="BK48" i="11"/>
  <c r="BK98" i="11"/>
  <c r="CH96" i="11"/>
  <c r="BK52" i="11"/>
  <c r="CH73" i="11"/>
  <c r="BK56" i="11"/>
  <c r="BK26" i="11"/>
  <c r="CH130" i="11"/>
  <c r="BK31" i="11"/>
  <c r="CH54" i="11"/>
  <c r="CH111" i="11"/>
  <c r="BK60" i="11"/>
  <c r="BK32" i="11"/>
  <c r="BK10" i="11"/>
  <c r="CH133" i="11"/>
  <c r="BW40" i="11"/>
  <c r="CE48" i="11"/>
  <c r="CH106" i="11"/>
  <c r="BK85" i="11"/>
  <c r="CH103" i="11"/>
  <c r="BT43" i="11"/>
  <c r="BT110" i="11"/>
  <c r="BT64" i="11"/>
  <c r="BT76" i="11"/>
  <c r="BT101" i="11"/>
  <c r="BT74" i="11"/>
  <c r="BT24" i="11"/>
  <c r="BU24" i="11" s="1"/>
  <c r="BT112" i="11"/>
  <c r="BT111" i="11"/>
  <c r="BT68" i="11"/>
  <c r="BT35" i="11"/>
  <c r="BT50" i="11"/>
  <c r="BT30" i="11"/>
  <c r="BT53" i="11"/>
  <c r="BT84" i="11"/>
  <c r="BT103" i="11"/>
  <c r="BT90" i="11"/>
  <c r="BT2" i="11"/>
  <c r="BT55" i="11"/>
  <c r="BT81" i="11"/>
  <c r="BT122" i="11"/>
  <c r="BT129" i="11"/>
  <c r="CC45" i="11"/>
  <c r="CE118" i="11"/>
  <c r="CD120" i="11"/>
  <c r="CD110" i="11"/>
  <c r="CC70" i="11"/>
  <c r="CC104" i="11"/>
  <c r="CD85" i="11"/>
  <c r="CC64" i="11"/>
  <c r="CE104" i="11"/>
  <c r="CD82" i="11"/>
  <c r="CD95" i="11"/>
  <c r="CD100" i="11"/>
  <c r="CC118" i="11"/>
  <c r="CE103" i="11"/>
  <c r="CC82" i="11"/>
  <c r="CC111" i="11"/>
  <c r="CD123" i="11"/>
  <c r="CD87" i="11"/>
  <c r="CC102" i="11"/>
  <c r="CD109" i="11"/>
  <c r="CE91" i="11"/>
  <c r="CD107" i="11"/>
  <c r="CC74" i="11"/>
  <c r="CC5" i="11"/>
  <c r="CD131" i="11"/>
  <c r="CH75" i="11"/>
  <c r="CH113" i="11"/>
  <c r="CH48" i="11"/>
  <c r="BK101" i="11"/>
  <c r="CH126" i="11"/>
  <c r="BK55" i="11"/>
  <c r="BK62" i="11"/>
  <c r="BK47" i="11"/>
  <c r="BK69" i="11"/>
  <c r="BK102" i="11"/>
  <c r="BK107" i="11"/>
  <c r="BK39" i="11"/>
  <c r="BK80" i="11"/>
  <c r="BK51" i="11"/>
  <c r="BK61" i="11"/>
  <c r="BK88" i="11"/>
  <c r="CH60" i="11"/>
  <c r="BK104" i="11"/>
  <c r="CH120" i="11"/>
  <c r="BK23" i="11"/>
  <c r="CH67" i="11"/>
  <c r="CC133" i="11"/>
  <c r="BK84" i="11"/>
  <c r="CH23" i="11"/>
  <c r="BK5" i="11"/>
  <c r="CH68" i="11"/>
  <c r="BK8" i="11"/>
  <c r="BT134" i="11"/>
  <c r="CH107" i="11"/>
  <c r="BK87" i="11"/>
  <c r="BT107" i="11"/>
  <c r="BT62" i="11"/>
  <c r="BT9" i="11"/>
  <c r="BT3" i="11"/>
  <c r="CE88" i="11"/>
  <c r="CD59" i="11"/>
  <c r="CC95" i="11"/>
  <c r="CC123" i="11"/>
  <c r="CD52" i="11"/>
  <c r="CC52" i="11"/>
  <c r="BK7" i="11"/>
  <c r="BK30" i="11"/>
  <c r="BK50" i="11"/>
  <c r="BK92" i="11"/>
  <c r="CH92" i="11"/>
  <c r="BK43" i="11"/>
  <c r="BX135" i="11"/>
  <c r="CH135" i="11"/>
  <c r="CF135" i="11" l="1"/>
  <c r="CG135" i="11"/>
  <c r="CK135" i="11" s="1"/>
  <c r="BP131" i="11"/>
  <c r="BV131" i="11" s="1"/>
  <c r="BP132" i="11"/>
  <c r="BU133" i="11"/>
  <c r="BP134" i="11"/>
  <c r="BP133" i="11"/>
  <c r="AV68" i="11"/>
  <c r="CF134" i="11"/>
  <c r="CJ134" i="11"/>
  <c r="CF133" i="11"/>
  <c r="BY133" i="11"/>
  <c r="CJ133" i="11" s="1"/>
  <c r="CF132" i="11"/>
  <c r="BY132" i="11"/>
  <c r="CG132" i="11" s="1"/>
  <c r="CF131" i="11"/>
  <c r="BY131" i="11"/>
  <c r="CJ131" i="11" s="1"/>
  <c r="BP130" i="11"/>
  <c r="CF130" i="11"/>
  <c r="BY130" i="11"/>
  <c r="CG130" i="11" s="1"/>
  <c r="AV66" i="11"/>
  <c r="AV71" i="11"/>
  <c r="AV72" i="11"/>
  <c r="AV76" i="11"/>
  <c r="AV79" i="11"/>
  <c r="AV124" i="11"/>
  <c r="AV125" i="11"/>
  <c r="AV67" i="11"/>
  <c r="AV73" i="11"/>
  <c r="AV77" i="11"/>
  <c r="AV81" i="11"/>
  <c r="AV126" i="11"/>
  <c r="AV127" i="11"/>
  <c r="BP115" i="11"/>
  <c r="BP116" i="11"/>
  <c r="AV128" i="11"/>
  <c r="AV74" i="11"/>
  <c r="AV78" i="11"/>
  <c r="AV109" i="11"/>
  <c r="AV110" i="11"/>
  <c r="AV111" i="11"/>
  <c r="AV112" i="11"/>
  <c r="AV113" i="11"/>
  <c r="AV114" i="11"/>
  <c r="AV115" i="11"/>
  <c r="AV116" i="11"/>
  <c r="AV117" i="11"/>
  <c r="AV118" i="11"/>
  <c r="AV119" i="11"/>
  <c r="AV120" i="11"/>
  <c r="AV129" i="11"/>
  <c r="AV121" i="11"/>
  <c r="AV75" i="11"/>
  <c r="AV122" i="11"/>
  <c r="BP123" i="11"/>
  <c r="CF110" i="11"/>
  <c r="CF113" i="11"/>
  <c r="CF117" i="11"/>
  <c r="CF118" i="11"/>
  <c r="CF121" i="11"/>
  <c r="CF125" i="11"/>
  <c r="CF129" i="11"/>
  <c r="CF115" i="11"/>
  <c r="CF112" i="11"/>
  <c r="CF119" i="11"/>
  <c r="CF123" i="11"/>
  <c r="CF127" i="11"/>
  <c r="CF128" i="11"/>
  <c r="CF114" i="11"/>
  <c r="CF111" i="11"/>
  <c r="CF126" i="11"/>
  <c r="CF124" i="11"/>
  <c r="CF122" i="11"/>
  <c r="CF120" i="11"/>
  <c r="CF116" i="11"/>
  <c r="BP121" i="11"/>
  <c r="BP129" i="11"/>
  <c r="BP112" i="11"/>
  <c r="BP113" i="11"/>
  <c r="BP119" i="11"/>
  <c r="BP120" i="11"/>
  <c r="BP127" i="11"/>
  <c r="BP128" i="11"/>
  <c r="BP114" i="11"/>
  <c r="BP122" i="11"/>
  <c r="BP110" i="11"/>
  <c r="BP111" i="11"/>
  <c r="BP117" i="11"/>
  <c r="BP125" i="11"/>
  <c r="BY113" i="11"/>
  <c r="CG113" i="11" s="1"/>
  <c r="BP109" i="11"/>
  <c r="BY111" i="11"/>
  <c r="CJ111" i="11" s="1"/>
  <c r="BY119" i="11"/>
  <c r="CG119" i="11" s="1"/>
  <c r="BY127" i="11"/>
  <c r="CG127" i="11" s="1"/>
  <c r="BY115" i="11"/>
  <c r="CJ115" i="11" s="1"/>
  <c r="BY117" i="11"/>
  <c r="CJ117" i="11" s="1"/>
  <c r="BY121" i="11"/>
  <c r="CJ121" i="11" s="1"/>
  <c r="BP124" i="11"/>
  <c r="BY129" i="11"/>
  <c r="CJ129" i="11" s="1"/>
  <c r="BP118" i="11"/>
  <c r="BY123" i="11"/>
  <c r="CJ123" i="11" s="1"/>
  <c r="BP126" i="11"/>
  <c r="BY110" i="11"/>
  <c r="CJ110" i="11" s="1"/>
  <c r="BY112" i="11"/>
  <c r="CJ112" i="11" s="1"/>
  <c r="BY114" i="11"/>
  <c r="CJ114" i="11" s="1"/>
  <c r="BY116" i="11"/>
  <c r="CJ116" i="11" s="1"/>
  <c r="BY118" i="11"/>
  <c r="CG118" i="11" s="1"/>
  <c r="BY125" i="11"/>
  <c r="CJ125" i="11" s="1"/>
  <c r="BY120" i="11"/>
  <c r="CJ120" i="11" s="1"/>
  <c r="BY122" i="11"/>
  <c r="CJ122" i="11" s="1"/>
  <c r="BY124" i="11"/>
  <c r="CJ124" i="11" s="1"/>
  <c r="BY126" i="11"/>
  <c r="CG126" i="11" s="1"/>
  <c r="BY128" i="11"/>
  <c r="CJ128" i="11" s="1"/>
  <c r="BY109" i="11"/>
  <c r="CG109" i="11" s="1"/>
  <c r="CF109" i="11"/>
  <c r="BP103" i="11"/>
  <c r="BV103" i="11" s="1"/>
  <c r="BP101" i="11"/>
  <c r="BP105" i="11"/>
  <c r="BP86" i="11"/>
  <c r="BV86" i="11" s="1"/>
  <c r="BP93" i="11"/>
  <c r="BP94" i="11"/>
  <c r="BP104" i="11"/>
  <c r="BY107" i="11"/>
  <c r="CG107" i="11" s="1"/>
  <c r="BP108" i="11"/>
  <c r="CF108" i="11"/>
  <c r="BY108" i="11"/>
  <c r="CG108" i="11" s="1"/>
  <c r="BP107" i="11"/>
  <c r="CF107" i="11"/>
  <c r="BP106" i="11"/>
  <c r="BY105" i="11"/>
  <c r="CG105" i="11" s="1"/>
  <c r="CF106" i="11"/>
  <c r="BY106" i="11"/>
  <c r="CG106" i="11" s="1"/>
  <c r="CF105" i="11"/>
  <c r="CJ104" i="11"/>
  <c r="CF104" i="11"/>
  <c r="CF103" i="11"/>
  <c r="BY103" i="11"/>
  <c r="CJ103" i="11" s="1"/>
  <c r="BY86" i="11"/>
  <c r="CG86" i="11" s="1"/>
  <c r="BP87" i="11"/>
  <c r="BV87" i="11" s="1"/>
  <c r="BP88" i="11"/>
  <c r="BV88" i="11" s="1"/>
  <c r="BY94" i="11"/>
  <c r="CG94" i="11" s="1"/>
  <c r="BP95" i="11"/>
  <c r="BP96" i="11"/>
  <c r="BP82" i="11"/>
  <c r="BY88" i="11"/>
  <c r="CG88" i="11" s="1"/>
  <c r="BP89" i="11"/>
  <c r="BP90" i="11"/>
  <c r="BY96" i="11"/>
  <c r="CG96" i="11" s="1"/>
  <c r="BP97" i="11"/>
  <c r="BP98" i="11"/>
  <c r="BP99" i="11"/>
  <c r="BP100" i="11"/>
  <c r="BY82" i="11"/>
  <c r="CG82" i="11" s="1"/>
  <c r="BP83" i="11"/>
  <c r="BP84" i="11"/>
  <c r="BY90" i="11"/>
  <c r="CG90" i="11" s="1"/>
  <c r="BP91" i="11"/>
  <c r="BP92" i="11"/>
  <c r="BV92" i="11" s="1"/>
  <c r="CJ98" i="11"/>
  <c r="BY84" i="11"/>
  <c r="CG84" i="11" s="1"/>
  <c r="BY92" i="11"/>
  <c r="CG92" i="11" s="1"/>
  <c r="BP102" i="11"/>
  <c r="BP85" i="11"/>
  <c r="CF101" i="11"/>
  <c r="CF102" i="11"/>
  <c r="BY102" i="11"/>
  <c r="CG102" i="11" s="1"/>
  <c r="CF86" i="11"/>
  <c r="CF88" i="11"/>
  <c r="CF90" i="11"/>
  <c r="CF92" i="11"/>
  <c r="CF94" i="11"/>
  <c r="CF96" i="11"/>
  <c r="CF98" i="11"/>
  <c r="CF100" i="11"/>
  <c r="CF84" i="11"/>
  <c r="CF82" i="11"/>
  <c r="CF83" i="11"/>
  <c r="CF85" i="11"/>
  <c r="CF87" i="11"/>
  <c r="CF89" i="11"/>
  <c r="CF91" i="11"/>
  <c r="CF93" i="11"/>
  <c r="CF95" i="11"/>
  <c r="CF97" i="11"/>
  <c r="CF99" i="11"/>
  <c r="BY100" i="11"/>
  <c r="CG100" i="11" s="1"/>
  <c r="BY83" i="11"/>
  <c r="CJ83" i="11" s="1"/>
  <c r="BY85" i="11"/>
  <c r="CG85" i="11" s="1"/>
  <c r="BY87" i="11"/>
  <c r="CG87" i="11" s="1"/>
  <c r="BY89" i="11"/>
  <c r="CG89" i="11" s="1"/>
  <c r="BY91" i="11"/>
  <c r="CJ91" i="11" s="1"/>
  <c r="BY93" i="11"/>
  <c r="CG93" i="11" s="1"/>
  <c r="BY95" i="11"/>
  <c r="CJ95" i="11" s="1"/>
  <c r="BY97" i="11"/>
  <c r="CG97" i="11" s="1"/>
  <c r="BY99" i="11"/>
  <c r="CJ99" i="11" s="1"/>
  <c r="BY101" i="11"/>
  <c r="CG101" i="11" s="1"/>
  <c r="BU59" i="11"/>
  <c r="BP52" i="11"/>
  <c r="BV52" i="11" s="1"/>
  <c r="BP81" i="11"/>
  <c r="BP77" i="11"/>
  <c r="BP62" i="11"/>
  <c r="BV62" i="11" s="1"/>
  <c r="BP49" i="11"/>
  <c r="BP50" i="11"/>
  <c r="BV50" i="11" s="1"/>
  <c r="BP51" i="11"/>
  <c r="BP55" i="11"/>
  <c r="BP57" i="11"/>
  <c r="BV57" i="11" s="1"/>
  <c r="BP59" i="11"/>
  <c r="BP67" i="11"/>
  <c r="BP76" i="11"/>
  <c r="BP79" i="11"/>
  <c r="BP48" i="11"/>
  <c r="BP60" i="11"/>
  <c r="BV60" i="11" s="1"/>
  <c r="BP64" i="11"/>
  <c r="BP75" i="11"/>
  <c r="BP80" i="11"/>
  <c r="BP47" i="11"/>
  <c r="BP53" i="11"/>
  <c r="BV53" i="11" s="1"/>
  <c r="BP54" i="11"/>
  <c r="BV54" i="11" s="1"/>
  <c r="BP56" i="11"/>
  <c r="BV56" i="11" s="1"/>
  <c r="BP58" i="11"/>
  <c r="BV58" i="11" s="1"/>
  <c r="BP61" i="11"/>
  <c r="BV61" i="11" s="1"/>
  <c r="BP70" i="11"/>
  <c r="BP72" i="11"/>
  <c r="BP74" i="11"/>
  <c r="CF75" i="11"/>
  <c r="BP78" i="11"/>
  <c r="CF80" i="11"/>
  <c r="CF72" i="11"/>
  <c r="CF77" i="11"/>
  <c r="CF81" i="11"/>
  <c r="CF76" i="11"/>
  <c r="CF79" i="11"/>
  <c r="CF74" i="11"/>
  <c r="CF78" i="11"/>
  <c r="CF73" i="11"/>
  <c r="BP73" i="11"/>
  <c r="BY73" i="11"/>
  <c r="CJ73" i="11" s="1"/>
  <c r="BY75" i="11"/>
  <c r="CJ75" i="11" s="1"/>
  <c r="BY77" i="11"/>
  <c r="CJ77" i="11" s="1"/>
  <c r="BY80" i="11"/>
  <c r="CG80" i="11" s="1"/>
  <c r="BY81" i="11"/>
  <c r="CJ81" i="11" s="1"/>
  <c r="BY72" i="11"/>
  <c r="CG72" i="11" s="1"/>
  <c r="BY74" i="11"/>
  <c r="CG74" i="11" s="1"/>
  <c r="BY76" i="11"/>
  <c r="CJ76" i="11" s="1"/>
  <c r="BY78" i="11"/>
  <c r="CG78" i="11" s="1"/>
  <c r="BY79" i="11"/>
  <c r="CG79" i="11" s="1"/>
  <c r="BP71" i="11"/>
  <c r="CF71" i="11"/>
  <c r="BY71" i="11"/>
  <c r="CG71" i="11" s="1"/>
  <c r="CF70" i="11"/>
  <c r="BY70" i="11"/>
  <c r="CG70" i="11" s="1"/>
  <c r="BP69" i="11"/>
  <c r="CF69" i="11"/>
  <c r="BY69" i="11"/>
  <c r="CG69" i="11" s="1"/>
  <c r="BP68" i="11"/>
  <c r="CF68" i="11"/>
  <c r="BY68" i="11"/>
  <c r="CJ68" i="11" s="1"/>
  <c r="CF67" i="11"/>
  <c r="BY67" i="11"/>
  <c r="CG67" i="11" s="1"/>
  <c r="BP65" i="11"/>
  <c r="BP66" i="11"/>
  <c r="CF66" i="11"/>
  <c r="BY66" i="11"/>
  <c r="CJ66" i="11" s="1"/>
  <c r="CF65" i="11"/>
  <c r="BY65" i="11"/>
  <c r="CG65" i="11" s="1"/>
  <c r="CJ64" i="11"/>
  <c r="CF64" i="11"/>
  <c r="BP63" i="11"/>
  <c r="CF63" i="11"/>
  <c r="BY63" i="11"/>
  <c r="CG63" i="11" s="1"/>
  <c r="CF62" i="11"/>
  <c r="BY62" i="11"/>
  <c r="CG62" i="11" s="1"/>
  <c r="CF61" i="11"/>
  <c r="BY61" i="11"/>
  <c r="CG61" i="11" s="1"/>
  <c r="CF60" i="11"/>
  <c r="BY60" i="11"/>
  <c r="CG60" i="11" s="1"/>
  <c r="CF59" i="11"/>
  <c r="BY59" i="11"/>
  <c r="CJ59" i="11" s="1"/>
  <c r="CF54" i="11"/>
  <c r="CF56" i="11"/>
  <c r="CF58" i="11"/>
  <c r="CF55" i="11"/>
  <c r="CF57" i="11"/>
  <c r="BY54" i="11"/>
  <c r="CJ54" i="11" s="1"/>
  <c r="BY56" i="11"/>
  <c r="CG56" i="11" s="1"/>
  <c r="BY58" i="11"/>
  <c r="CJ58" i="11" s="1"/>
  <c r="BY55" i="11"/>
  <c r="CJ55" i="11" s="1"/>
  <c r="BY57" i="11"/>
  <c r="CG57" i="11" s="1"/>
  <c r="CF53" i="11"/>
  <c r="BY53" i="11"/>
  <c r="CG53" i="11" s="1"/>
  <c r="CF52" i="11"/>
  <c r="BY52" i="11"/>
  <c r="CG52" i="11" s="1"/>
  <c r="CF51" i="11"/>
  <c r="BY51" i="11"/>
  <c r="CG51" i="11" s="1"/>
  <c r="CJ50" i="11"/>
  <c r="CF50" i="11"/>
  <c r="CF49" i="11"/>
  <c r="BY49" i="11"/>
  <c r="CG49" i="11" s="1"/>
  <c r="CF46" i="11"/>
  <c r="CF47" i="11"/>
  <c r="CF48" i="11"/>
  <c r="BY48" i="11"/>
  <c r="CG48" i="11" s="1"/>
  <c r="CJ46" i="11"/>
  <c r="BP46" i="11"/>
  <c r="CJ47" i="11"/>
  <c r="CF30" i="11"/>
  <c r="CF39" i="11"/>
  <c r="CF16" i="11"/>
  <c r="CF8" i="11"/>
  <c r="BP20" i="11"/>
  <c r="BP23" i="11"/>
  <c r="CF43" i="11"/>
  <c r="BP5" i="11"/>
  <c r="CF7" i="11"/>
  <c r="CF36" i="11"/>
  <c r="BP35" i="11"/>
  <c r="BP14" i="11"/>
  <c r="CF19" i="11"/>
  <c r="CF34" i="11"/>
  <c r="CF9" i="11"/>
  <c r="BP32" i="11"/>
  <c r="CF32" i="11"/>
  <c r="CF40" i="11"/>
  <c r="BP9" i="11"/>
  <c r="BP13" i="11"/>
  <c r="CF20" i="11"/>
  <c r="CF24" i="11"/>
  <c r="CF28" i="11"/>
  <c r="BP6" i="11"/>
  <c r="CF6" i="11"/>
  <c r="BP12" i="11"/>
  <c r="CF13" i="11"/>
  <c r="BP2" i="11"/>
  <c r="BP3" i="11"/>
  <c r="BP11" i="11"/>
  <c r="BP4" i="11"/>
  <c r="BP7" i="11"/>
  <c r="BP8" i="11"/>
  <c r="CF14" i="11"/>
  <c r="CF17" i="11"/>
  <c r="CF18" i="11"/>
  <c r="BP22" i="11"/>
  <c r="BP26" i="11"/>
  <c r="BP31" i="11"/>
  <c r="CF31" i="11"/>
  <c r="BP40" i="11"/>
  <c r="BP44" i="11"/>
  <c r="BP16" i="11"/>
  <c r="BP24" i="11"/>
  <c r="BP29" i="11"/>
  <c r="BP34" i="11"/>
  <c r="BP36" i="11"/>
  <c r="BP37" i="11"/>
  <c r="BP38" i="11"/>
  <c r="BP39" i="11"/>
  <c r="BP45" i="11"/>
  <c r="BP21" i="11"/>
  <c r="CF21" i="11"/>
  <c r="CF23" i="11"/>
  <c r="BP25" i="11"/>
  <c r="CF25" i="11"/>
  <c r="BP27" i="11"/>
  <c r="BP30" i="11"/>
  <c r="CF33" i="11"/>
  <c r="BP41" i="11"/>
  <c r="CF41" i="11"/>
  <c r="BP42" i="11"/>
  <c r="BP43" i="11"/>
  <c r="CF3" i="11"/>
  <c r="CF5" i="11"/>
  <c r="CF2" i="11"/>
  <c r="CF4" i="11"/>
  <c r="CF10" i="11"/>
  <c r="CF12" i="11"/>
  <c r="CF22" i="11"/>
  <c r="CF27" i="11"/>
  <c r="CF29" i="11"/>
  <c r="CF15" i="11"/>
  <c r="CF26" i="11"/>
  <c r="CF35" i="11"/>
  <c r="CF42" i="11"/>
  <c r="CF37" i="11"/>
  <c r="CF38" i="11"/>
  <c r="CF44" i="11"/>
  <c r="CF45" i="11"/>
  <c r="BY3" i="11"/>
  <c r="CG3" i="11" s="1"/>
  <c r="BY4" i="11"/>
  <c r="CG4" i="11" s="1"/>
  <c r="BY6" i="11"/>
  <c r="CG6" i="11" s="1"/>
  <c r="BY2" i="11"/>
  <c r="CJ2" i="11" s="1"/>
  <c r="BY8" i="11"/>
  <c r="CG8" i="11" s="1"/>
  <c r="BP10" i="11"/>
  <c r="BY20" i="11"/>
  <c r="CG20" i="11" s="1"/>
  <c r="BY5" i="11"/>
  <c r="CG5" i="11" s="1"/>
  <c r="BY7" i="11"/>
  <c r="CG7" i="11" s="1"/>
  <c r="CF11" i="11"/>
  <c r="BY9" i="11"/>
  <c r="CJ9" i="11" s="1"/>
  <c r="BY18" i="11"/>
  <c r="CG18" i="11" s="1"/>
  <c r="BY11" i="11"/>
  <c r="CJ11" i="11" s="1"/>
  <c r="BY12" i="11"/>
  <c r="CJ12" i="11" s="1"/>
  <c r="BY13" i="11"/>
  <c r="CG13" i="11" s="1"/>
  <c r="BP15" i="11"/>
  <c r="BP19" i="11"/>
  <c r="BY10" i="11"/>
  <c r="CG10" i="11" s="1"/>
  <c r="BY16" i="11"/>
  <c r="CG16" i="11" s="1"/>
  <c r="BY19" i="11"/>
  <c r="CG19" i="11" s="1"/>
  <c r="BY25" i="11"/>
  <c r="CJ25" i="11" s="1"/>
  <c r="BP17" i="11"/>
  <c r="BY31" i="11"/>
  <c r="CG31" i="11" s="1"/>
  <c r="BY15" i="11"/>
  <c r="CJ15" i="11" s="1"/>
  <c r="BY17" i="11"/>
  <c r="CJ17" i="11" s="1"/>
  <c r="BP18" i="11"/>
  <c r="BY21" i="11"/>
  <c r="CJ21" i="11" s="1"/>
  <c r="BP28" i="11"/>
  <c r="BY30" i="11"/>
  <c r="CG30" i="11" s="1"/>
  <c r="BY24" i="11"/>
  <c r="CG24" i="11" s="1"/>
  <c r="BY27" i="11"/>
  <c r="CG27" i="11" s="1"/>
  <c r="BY28" i="11"/>
  <c r="CG28" i="11" s="1"/>
  <c r="CG32" i="11"/>
  <c r="BY26" i="11"/>
  <c r="CG26" i="11" s="1"/>
  <c r="BY39" i="11"/>
  <c r="CJ39" i="11" s="1"/>
  <c r="BY42" i="11"/>
  <c r="CG42" i="11" s="1"/>
  <c r="BY44" i="11"/>
  <c r="CJ44" i="11" s="1"/>
  <c r="BY14" i="11"/>
  <c r="CJ14" i="11" s="1"/>
  <c r="BY22" i="11"/>
  <c r="CJ22" i="11" s="1"/>
  <c r="BY23" i="11"/>
  <c r="CJ23" i="11" s="1"/>
  <c r="BY29" i="11"/>
  <c r="CJ29" i="11" s="1"/>
  <c r="BY37" i="11"/>
  <c r="CJ37" i="11" s="1"/>
  <c r="CJ33" i="11"/>
  <c r="BP33" i="11"/>
  <c r="BY43" i="11"/>
  <c r="BY34" i="11"/>
  <c r="CJ34" i="11" s="1"/>
  <c r="BY36" i="11"/>
  <c r="CJ36" i="11" s="1"/>
  <c r="BY35" i="11"/>
  <c r="CJ35" i="11" s="1"/>
  <c r="BY38" i="11"/>
  <c r="CG38" i="11" s="1"/>
  <c r="BY40" i="11"/>
  <c r="CJ40" i="11" s="1"/>
  <c r="BY41" i="11"/>
  <c r="BY45" i="11"/>
  <c r="CG45" i="11" s="1"/>
  <c r="J4" i="4"/>
  <c r="J5" i="4"/>
  <c r="J6" i="4"/>
  <c r="J7" i="4"/>
  <c r="J8" i="4"/>
  <c r="J9" i="4"/>
  <c r="J10" i="4"/>
  <c r="J11" i="4"/>
  <c r="J12" i="4"/>
  <c r="J13" i="4"/>
  <c r="J14" i="4"/>
  <c r="J15" i="4"/>
  <c r="J16" i="4"/>
  <c r="J17" i="4"/>
  <c r="J18" i="4"/>
  <c r="J19" i="4"/>
  <c r="J20" i="4"/>
  <c r="J21" i="4"/>
  <c r="J22" i="4"/>
  <c r="J23" i="4"/>
  <c r="BV108" i="11"/>
  <c r="BV133" i="11"/>
  <c r="BK68" i="11"/>
  <c r="BV112" i="11"/>
  <c r="BV110" i="11"/>
  <c r="BV126" i="11"/>
  <c r="BV105" i="11"/>
  <c r="BV95" i="11"/>
  <c r="BV98" i="11"/>
  <c r="BV75" i="11"/>
  <c r="BV70" i="11"/>
  <c r="BU22" i="11"/>
  <c r="BV124" i="11"/>
  <c r="BV99" i="11"/>
  <c r="BV46" i="11"/>
  <c r="BV71" i="11"/>
  <c r="BV109" i="11"/>
  <c r="BV117" i="11"/>
  <c r="BV107" i="11"/>
  <c r="BV79" i="11"/>
  <c r="BU17" i="11"/>
  <c r="BU14" i="11"/>
  <c r="BV77" i="11"/>
  <c r="BU32" i="11"/>
  <c r="BX92" i="11"/>
  <c r="BK110" i="11"/>
  <c r="CH101" i="11"/>
  <c r="CH89" i="11"/>
  <c r="CH125" i="11"/>
  <c r="CH37" i="11"/>
  <c r="BK76" i="11"/>
  <c r="CH85" i="11"/>
  <c r="BX103" i="11"/>
  <c r="BK75" i="11"/>
  <c r="CH123" i="11"/>
  <c r="CH6" i="11"/>
  <c r="CH50" i="11"/>
  <c r="BV134" i="11"/>
  <c r="BU28" i="11"/>
  <c r="BU43" i="11"/>
  <c r="BV68" i="11"/>
  <c r="BU40" i="11"/>
  <c r="BU30" i="11"/>
  <c r="BV116" i="11"/>
  <c r="BV64" i="11"/>
  <c r="BV80" i="11"/>
  <c r="BV104" i="11"/>
  <c r="BU12" i="11"/>
  <c r="BU5" i="11"/>
  <c r="BU9" i="11"/>
  <c r="BU41" i="11"/>
  <c r="CH30" i="11"/>
  <c r="CH25" i="11"/>
  <c r="BX64" i="11"/>
  <c r="CH99" i="11"/>
  <c r="BK129" i="11"/>
  <c r="CH32" i="11"/>
  <c r="BX50" i="11"/>
  <c r="CH64" i="11"/>
  <c r="CH97" i="11"/>
  <c r="BK124" i="11"/>
  <c r="CH121" i="11"/>
  <c r="BX133" i="11"/>
  <c r="BK71" i="11"/>
  <c r="BX58" i="11"/>
  <c r="BX60" i="11"/>
  <c r="BX98" i="11"/>
  <c r="BV83" i="11"/>
  <c r="BU31" i="11"/>
  <c r="BV120" i="11"/>
  <c r="BU36" i="11"/>
  <c r="BV118" i="11"/>
  <c r="BV76" i="11"/>
  <c r="BU27" i="11"/>
  <c r="BV34" i="11"/>
  <c r="BV127" i="11"/>
  <c r="BV82" i="11"/>
  <c r="BU42" i="11"/>
  <c r="BV106" i="11"/>
  <c r="BV69" i="11"/>
  <c r="BK115" i="11"/>
  <c r="CH87" i="11"/>
  <c r="BK122" i="11"/>
  <c r="CH108" i="11"/>
  <c r="CH112" i="11"/>
  <c r="CH66" i="11"/>
  <c r="CH57" i="11"/>
  <c r="CH127" i="11"/>
  <c r="BV18" i="11"/>
  <c r="BU8" i="11"/>
  <c r="BV65" i="11"/>
  <c r="BX65" i="11" s="1"/>
  <c r="BU37" i="11"/>
  <c r="BV38" i="11"/>
  <c r="BU45" i="11"/>
  <c r="BU20" i="11"/>
  <c r="BV89" i="11"/>
  <c r="BV122" i="11"/>
  <c r="BU2" i="11"/>
  <c r="BU11" i="11"/>
  <c r="BV66" i="11"/>
  <c r="BV63" i="11"/>
  <c r="BX53" i="11"/>
  <c r="BK72" i="11"/>
  <c r="CH13" i="11"/>
  <c r="CH55" i="11"/>
  <c r="BX62" i="11"/>
  <c r="CH46" i="11"/>
  <c r="BK128" i="11"/>
  <c r="BK77" i="11"/>
  <c r="CH47" i="11"/>
  <c r="CH105" i="11"/>
  <c r="CH42" i="11"/>
  <c r="BK79" i="11"/>
  <c r="BK119" i="11"/>
  <c r="BK126" i="11"/>
  <c r="BX131" i="11"/>
  <c r="CH44" i="11"/>
  <c r="BX108" i="11"/>
  <c r="BK111" i="11"/>
  <c r="CH119" i="11"/>
  <c r="BU6" i="11"/>
  <c r="BU4" i="11"/>
  <c r="BV119" i="11"/>
  <c r="BU16" i="11"/>
  <c r="BU7" i="11"/>
  <c r="BU35" i="11"/>
  <c r="BV100" i="11"/>
  <c r="BV90" i="11"/>
  <c r="BV24" i="11"/>
  <c r="BV111" i="11"/>
  <c r="BV115" i="11"/>
  <c r="BX115" i="11" s="1"/>
  <c r="BV93" i="11"/>
  <c r="BV129" i="11"/>
  <c r="CH36" i="11"/>
  <c r="BX87" i="11"/>
  <c r="CH9" i="11"/>
  <c r="CH83" i="11"/>
  <c r="CH110" i="11"/>
  <c r="BK73" i="11"/>
  <c r="BK78" i="11"/>
  <c r="CH8" i="11"/>
  <c r="BK113" i="11"/>
  <c r="CH41" i="11"/>
  <c r="CH109" i="11"/>
  <c r="BV130" i="11"/>
  <c r="BX130" i="11" s="1"/>
  <c r="BV101" i="11"/>
  <c r="BV67" i="11"/>
  <c r="BV102" i="11"/>
  <c r="BX102" i="11" s="1"/>
  <c r="BV23" i="11"/>
  <c r="BU21" i="11"/>
  <c r="BU3" i="11"/>
  <c r="BV85" i="11"/>
  <c r="BV48" i="11"/>
  <c r="BV51" i="11"/>
  <c r="BV81" i="11"/>
  <c r="BU44" i="11"/>
  <c r="BV96" i="11"/>
  <c r="BX57" i="11"/>
  <c r="CH91" i="11"/>
  <c r="BK125" i="11"/>
  <c r="CH33" i="11"/>
  <c r="CH22" i="11"/>
  <c r="BK116" i="11"/>
  <c r="BX61" i="11"/>
  <c r="CH95" i="11"/>
  <c r="CH18" i="11"/>
  <c r="CH39" i="11"/>
  <c r="BX52" i="11"/>
  <c r="BK112" i="11"/>
  <c r="CH3" i="11"/>
  <c r="BX75" i="11"/>
  <c r="CH45" i="11"/>
  <c r="BU29" i="11"/>
  <c r="BV121" i="11"/>
  <c r="BV78" i="11"/>
  <c r="BU25" i="11"/>
  <c r="BU26" i="11"/>
  <c r="BU19" i="11"/>
  <c r="BU15" i="11"/>
  <c r="BV113" i="11"/>
  <c r="BV94" i="11"/>
  <c r="BV73" i="11"/>
  <c r="BV84" i="11"/>
  <c r="BV49" i="11"/>
  <c r="BV72" i="11"/>
  <c r="BX72" i="11" s="1"/>
  <c r="BV132" i="11"/>
  <c r="CH129" i="11"/>
  <c r="BK67" i="11"/>
  <c r="CH43" i="11"/>
  <c r="CH131" i="11"/>
  <c r="CH93" i="11"/>
  <c r="BX93" i="11"/>
  <c r="CH40" i="11"/>
  <c r="CH15" i="11"/>
  <c r="BK117" i="11"/>
  <c r="BK120" i="11"/>
  <c r="BX54" i="11"/>
  <c r="BU39" i="11"/>
  <c r="BV55" i="11"/>
  <c r="BX55" i="11" s="1"/>
  <c r="BV123" i="11"/>
  <c r="BX123" i="11" s="1"/>
  <c r="BV91" i="11"/>
  <c r="BU13" i="11"/>
  <c r="BU33" i="11"/>
  <c r="BV97" i="11"/>
  <c r="BU10" i="11"/>
  <c r="BV47" i="11"/>
  <c r="BV125" i="11"/>
  <c r="BV74" i="11"/>
  <c r="BV114" i="11"/>
  <c r="BV128" i="11"/>
  <c r="BX132" i="11"/>
  <c r="BX56" i="11"/>
  <c r="BK74" i="11"/>
  <c r="BK118" i="11"/>
  <c r="BK81" i="11"/>
  <c r="BX74" i="11"/>
  <c r="BX83" i="11"/>
  <c r="BK109" i="11"/>
  <c r="CH4" i="11"/>
  <c r="BK114" i="11"/>
  <c r="CH28" i="11"/>
  <c r="BK121" i="11"/>
  <c r="CH38" i="11"/>
  <c r="BX84" i="11"/>
  <c r="BK66" i="11"/>
  <c r="CH31" i="11"/>
  <c r="BX85" i="11"/>
  <c r="CH20" i="11"/>
  <c r="CH2" i="11"/>
  <c r="BK127" i="11"/>
  <c r="CH16" i="11"/>
  <c r="BX86" i="11"/>
  <c r="BX88" i="11"/>
  <c r="BX69" i="11"/>
  <c r="BX134" i="11"/>
  <c r="CK134" i="11" l="1"/>
  <c r="CG133" i="11"/>
  <c r="CK133" i="11" s="1"/>
  <c r="CJ132" i="11"/>
  <c r="CK132" i="11" s="1"/>
  <c r="CG131" i="11"/>
  <c r="CK131" i="11" s="1"/>
  <c r="CJ130" i="11"/>
  <c r="CK130" i="11" s="1"/>
  <c r="BV59" i="11"/>
  <c r="CJ119" i="11"/>
  <c r="CK119" i="11" s="1"/>
  <c r="CJ118" i="11"/>
  <c r="CK118" i="11" s="1"/>
  <c r="CG112" i="11"/>
  <c r="CK112" i="11" s="1"/>
  <c r="CJ113" i="11"/>
  <c r="CK113" i="11" s="1"/>
  <c r="CG114" i="11"/>
  <c r="CK114" i="11" s="1"/>
  <c r="CG110" i="11"/>
  <c r="CK110" i="11" s="1"/>
  <c r="CG123" i="11"/>
  <c r="CK123" i="11" s="1"/>
  <c r="CG122" i="11"/>
  <c r="CK122" i="11" s="1"/>
  <c r="CG115" i="11"/>
  <c r="CK115" i="11" s="1"/>
  <c r="CG111" i="11"/>
  <c r="CK111" i="11" s="1"/>
  <c r="CJ126" i="11"/>
  <c r="CK126" i="11" s="1"/>
  <c r="CG128" i="11"/>
  <c r="CK128" i="11" s="1"/>
  <c r="CG120" i="11"/>
  <c r="CK120" i="11" s="1"/>
  <c r="CG125" i="11"/>
  <c r="CK125" i="11" s="1"/>
  <c r="CG116" i="11"/>
  <c r="CK116" i="11" s="1"/>
  <c r="CG124" i="11"/>
  <c r="CK124" i="11" s="1"/>
  <c r="CG129" i="11"/>
  <c r="CK129" i="11" s="1"/>
  <c r="CG117" i="11"/>
  <c r="CK117" i="11" s="1"/>
  <c r="CJ127" i="11"/>
  <c r="CK127" i="11" s="1"/>
  <c r="CG121" i="11"/>
  <c r="CK121" i="11" s="1"/>
  <c r="CJ109" i="11"/>
  <c r="CK109" i="11" s="1"/>
  <c r="CJ92" i="11"/>
  <c r="CK92" i="11" s="1"/>
  <c r="CJ107" i="11"/>
  <c r="CK107" i="11" s="1"/>
  <c r="CJ108" i="11"/>
  <c r="CK108" i="11" s="1"/>
  <c r="CK98" i="11"/>
  <c r="CG103" i="11"/>
  <c r="CK103" i="11" s="1"/>
  <c r="CJ105" i="11"/>
  <c r="CK105" i="11" s="1"/>
  <c r="CJ106" i="11"/>
  <c r="CK106" i="11" s="1"/>
  <c r="CK104" i="11"/>
  <c r="CJ85" i="11"/>
  <c r="CK85" i="11" s="1"/>
  <c r="CJ90" i="11"/>
  <c r="CK90" i="11" s="1"/>
  <c r="CJ82" i="11"/>
  <c r="CK82" i="11" s="1"/>
  <c r="CJ96" i="11"/>
  <c r="CK96" i="11" s="1"/>
  <c r="CJ88" i="11"/>
  <c r="CK88" i="11" s="1"/>
  <c r="CJ84" i="11"/>
  <c r="CK84" i="11" s="1"/>
  <c r="CJ94" i="11"/>
  <c r="CK94" i="11" s="1"/>
  <c r="CJ86" i="11"/>
  <c r="CK86" i="11" s="1"/>
  <c r="CJ102" i="11"/>
  <c r="CK102" i="11" s="1"/>
  <c r="CJ100" i="11"/>
  <c r="CK100" i="11" s="1"/>
  <c r="CJ87" i="11"/>
  <c r="CK87" i="11" s="1"/>
  <c r="CG83" i="11"/>
  <c r="CK83" i="11" s="1"/>
  <c r="CJ101" i="11"/>
  <c r="CK101" i="11" s="1"/>
  <c r="CJ97" i="11"/>
  <c r="CK97" i="11" s="1"/>
  <c r="CJ93" i="11"/>
  <c r="CK93" i="11" s="1"/>
  <c r="CJ89" i="11"/>
  <c r="CK89" i="11" s="1"/>
  <c r="CG95" i="11"/>
  <c r="CK95" i="11" s="1"/>
  <c r="CG91" i="11"/>
  <c r="CK91" i="11" s="1"/>
  <c r="CG99" i="11"/>
  <c r="CK99" i="11" s="1"/>
  <c r="CJ74" i="11"/>
  <c r="CK74" i="11" s="1"/>
  <c r="CG81" i="11"/>
  <c r="CK81" i="11" s="1"/>
  <c r="CG76" i="11"/>
  <c r="CK76" i="11" s="1"/>
  <c r="CJ80" i="11"/>
  <c r="CK80" i="11" s="1"/>
  <c r="CG77" i="11"/>
  <c r="CK77" i="11" s="1"/>
  <c r="CG73" i="11"/>
  <c r="CK73" i="11" s="1"/>
  <c r="CJ78" i="11"/>
  <c r="CK78" i="11" s="1"/>
  <c r="CJ79" i="11"/>
  <c r="CK79" i="11" s="1"/>
  <c r="CJ72" i="11"/>
  <c r="CK72" i="11" s="1"/>
  <c r="CG75" i="11"/>
  <c r="CK75" i="11" s="1"/>
  <c r="CJ71" i="11"/>
  <c r="CK71" i="11" s="1"/>
  <c r="CJ70" i="11"/>
  <c r="CK70" i="11" s="1"/>
  <c r="CJ69" i="11"/>
  <c r="CK69" i="11" s="1"/>
  <c r="CG68" i="11"/>
  <c r="CK68" i="11" s="1"/>
  <c r="CJ67" i="11"/>
  <c r="CK67" i="11" s="1"/>
  <c r="CG66" i="11"/>
  <c r="CK66" i="11" s="1"/>
  <c r="CJ65" i="11"/>
  <c r="CK65" i="11" s="1"/>
  <c r="CK64" i="11"/>
  <c r="CJ63" i="11"/>
  <c r="CK63" i="11" s="1"/>
  <c r="CJ62" i="11"/>
  <c r="CK62" i="11" s="1"/>
  <c r="CJ61" i="11"/>
  <c r="CK61" i="11" s="1"/>
  <c r="CJ60" i="11"/>
  <c r="CK60" i="11" s="1"/>
  <c r="CG59" i="11"/>
  <c r="CK59" i="11" s="1"/>
  <c r="CJ57" i="11"/>
  <c r="CK57" i="11" s="1"/>
  <c r="CG58" i="11"/>
  <c r="CK58" i="11" s="1"/>
  <c r="CG54" i="11"/>
  <c r="CK54" i="11" s="1"/>
  <c r="CG55" i="11"/>
  <c r="CK55" i="11" s="1"/>
  <c r="CJ56" i="11"/>
  <c r="CK56" i="11" s="1"/>
  <c r="CJ53" i="11"/>
  <c r="CK53" i="11" s="1"/>
  <c r="CJ52" i="11"/>
  <c r="CK52" i="11" s="1"/>
  <c r="CK46" i="11"/>
  <c r="CJ51" i="11"/>
  <c r="CK51" i="11" s="1"/>
  <c r="CK50" i="11"/>
  <c r="CJ49" i="11"/>
  <c r="CK49" i="11" s="1"/>
  <c r="CJ48" i="11"/>
  <c r="CK48" i="11" s="1"/>
  <c r="CK47" i="11"/>
  <c r="CJ27" i="11"/>
  <c r="CK27" i="11" s="1"/>
  <c r="CJ28" i="11"/>
  <c r="CK28" i="11" s="1"/>
  <c r="CJ4" i="11"/>
  <c r="CK4" i="11" s="1"/>
  <c r="CJ26" i="11"/>
  <c r="CK26" i="11" s="1"/>
  <c r="CJ3" i="11"/>
  <c r="CK3" i="11" s="1"/>
  <c r="CG9" i="11"/>
  <c r="CK9" i="11" s="1"/>
  <c r="CJ24" i="11"/>
  <c r="CK24" i="11" s="1"/>
  <c r="CJ5" i="11"/>
  <c r="CK5" i="11" s="1"/>
  <c r="CJ8" i="11"/>
  <c r="CK8" i="11" s="1"/>
  <c r="CG34" i="11"/>
  <c r="CK34" i="11" s="1"/>
  <c r="CG15" i="11"/>
  <c r="CK15" i="11" s="1"/>
  <c r="CK33" i="11"/>
  <c r="CG17" i="11"/>
  <c r="CK17" i="11" s="1"/>
  <c r="CJ6" i="11"/>
  <c r="CK6" i="11" s="1"/>
  <c r="CJ38" i="11"/>
  <c r="CJ42" i="11"/>
  <c r="CK42" i="11" s="1"/>
  <c r="CG21" i="11"/>
  <c r="CK21" i="11" s="1"/>
  <c r="CG12" i="11"/>
  <c r="CK12" i="11" s="1"/>
  <c r="CG35" i="11"/>
  <c r="CK35" i="11" s="1"/>
  <c r="CG25" i="11"/>
  <c r="CK25" i="11" s="1"/>
  <c r="CG22" i="11"/>
  <c r="CK22" i="11" s="1"/>
  <c r="CG39" i="11"/>
  <c r="CK39" i="11" s="1"/>
  <c r="CG29" i="11"/>
  <c r="CK29" i="11" s="1"/>
  <c r="CJ31" i="11"/>
  <c r="CK31" i="11" s="1"/>
  <c r="CJ45" i="11"/>
  <c r="CK45" i="11" s="1"/>
  <c r="CG41" i="11"/>
  <c r="CJ41" i="11"/>
  <c r="CJ43" i="11"/>
  <c r="CG43" i="11"/>
  <c r="CG40" i="11"/>
  <c r="CK40" i="11" s="1"/>
  <c r="CG36" i="11"/>
  <c r="CK36" i="11" s="1"/>
  <c r="CG37" i="11"/>
  <c r="CK37" i="11" s="1"/>
  <c r="CG23" i="11"/>
  <c r="CK23" i="11" s="1"/>
  <c r="CG14" i="11"/>
  <c r="CK14" i="11" s="1"/>
  <c r="CJ19" i="11"/>
  <c r="CK19" i="11" s="1"/>
  <c r="CJ16" i="11"/>
  <c r="CK16" i="11" s="1"/>
  <c r="CG11" i="11"/>
  <c r="CK11" i="11" s="1"/>
  <c r="CJ10" i="11"/>
  <c r="CK10" i="11" s="1"/>
  <c r="CJ18" i="11"/>
  <c r="CK18" i="11" s="1"/>
  <c r="CJ7" i="11"/>
  <c r="CK7" i="11" s="1"/>
  <c r="CG44" i="11"/>
  <c r="CK44" i="11" s="1"/>
  <c r="CK32" i="11"/>
  <c r="CJ30" i="11"/>
  <c r="CK30" i="11" s="1"/>
  <c r="CJ13" i="11"/>
  <c r="CK13" i="11" s="1"/>
  <c r="CJ20" i="11"/>
  <c r="CK20" i="11" s="1"/>
  <c r="CG2" i="11"/>
  <c r="CK2" i="11" s="1"/>
  <c r="CK38" i="11"/>
  <c r="BX66" i="11"/>
  <c r="BV29" i="11"/>
  <c r="BV5" i="11"/>
  <c r="BV14" i="11"/>
  <c r="BV43" i="11"/>
  <c r="BV22" i="11"/>
  <c r="BX113" i="11"/>
  <c r="BX48" i="11"/>
  <c r="BX51" i="11"/>
  <c r="BX68" i="11"/>
  <c r="BX81" i="11"/>
  <c r="BX43" i="11"/>
  <c r="BX129" i="11"/>
  <c r="BX116" i="11"/>
  <c r="BV17" i="11"/>
  <c r="BV44" i="11"/>
  <c r="BV40" i="11"/>
  <c r="BV30" i="11"/>
  <c r="BV28" i="11"/>
  <c r="BX28" i="11" s="1"/>
  <c r="BX122" i="11"/>
  <c r="BX40" i="11"/>
  <c r="BX78" i="11"/>
  <c r="BX89" i="11"/>
  <c r="BX117" i="11"/>
  <c r="BX59" i="11"/>
  <c r="BX91" i="11"/>
  <c r="BX23" i="11"/>
  <c r="BX96" i="11"/>
  <c r="BX127" i="11"/>
  <c r="BX100" i="11"/>
  <c r="BX111" i="11"/>
  <c r="BV6" i="11"/>
  <c r="BV16" i="11"/>
  <c r="BX16" i="11" s="1"/>
  <c r="BV27" i="11"/>
  <c r="BV33" i="11"/>
  <c r="BV35" i="11"/>
  <c r="BX105" i="11"/>
  <c r="BX97" i="11"/>
  <c r="BX121" i="11"/>
  <c r="BX70" i="11"/>
  <c r="BX94" i="11"/>
  <c r="BX24" i="11"/>
  <c r="BX107" i="11"/>
  <c r="BX125" i="11"/>
  <c r="BX79" i="11"/>
  <c r="BV31" i="11"/>
  <c r="BV11" i="11"/>
  <c r="BX114" i="11"/>
  <c r="BX126" i="11"/>
  <c r="BV39" i="11"/>
  <c r="BV9" i="11"/>
  <c r="BV36" i="11"/>
  <c r="BV20" i="11"/>
  <c r="BV8" i="11"/>
  <c r="BX95" i="11"/>
  <c r="BX82" i="11"/>
  <c r="BX18" i="11"/>
  <c r="BV37" i="11"/>
  <c r="BV21" i="11"/>
  <c r="BX34" i="11"/>
  <c r="BX47" i="11"/>
  <c r="BX119" i="11"/>
  <c r="BV10" i="11"/>
  <c r="BX10" i="11" s="1"/>
  <c r="BV42" i="11"/>
  <c r="BV7" i="11"/>
  <c r="BV41" i="11"/>
  <c r="BV15" i="11"/>
  <c r="BX90" i="11"/>
  <c r="BX46" i="11"/>
  <c r="BX76" i="11"/>
  <c r="BX112" i="11"/>
  <c r="BX67" i="11"/>
  <c r="BX101" i="11"/>
  <c r="BX120" i="11"/>
  <c r="BX104" i="11"/>
  <c r="BX6" i="11"/>
  <c r="BX128" i="11"/>
  <c r="BV26" i="11"/>
  <c r="BV12" i="11"/>
  <c r="BV32" i="11"/>
  <c r="BV2" i="11"/>
  <c r="BV25" i="11"/>
  <c r="BX49" i="11"/>
  <c r="BX38" i="11"/>
  <c r="BX29" i="11"/>
  <c r="BX109" i="11"/>
  <c r="BX63" i="11"/>
  <c r="BX99" i="11"/>
  <c r="BX80" i="11"/>
  <c r="BX118" i="11"/>
  <c r="BX106" i="11"/>
  <c r="BX124" i="11"/>
  <c r="BV3" i="11"/>
  <c r="BV45" i="11"/>
  <c r="BX45" i="11" s="1"/>
  <c r="BV13" i="11"/>
  <c r="BV19" i="11"/>
  <c r="BV4" i="11"/>
  <c r="BX36" i="11"/>
  <c r="BX110" i="11"/>
  <c r="BX73" i="11"/>
  <c r="BX77" i="11"/>
  <c r="BX71" i="11"/>
  <c r="CK41" i="11" l="1"/>
  <c r="CK43" i="11"/>
  <c r="BX25" i="11"/>
  <c r="BX4" i="11"/>
  <c r="BX2" i="11"/>
  <c r="BX31" i="11"/>
  <c r="BX13" i="11"/>
  <c r="BX5" i="11"/>
  <c r="BX15" i="11"/>
  <c r="BX27" i="11"/>
  <c r="BX35" i="11"/>
  <c r="BX17" i="11"/>
  <c r="BX20" i="11"/>
  <c r="BX44" i="11"/>
  <c r="BX9" i="11"/>
  <c r="BX7" i="11"/>
  <c r="BX19" i="11"/>
  <c r="BX8" i="11"/>
  <c r="BX12" i="11"/>
  <c r="BX32" i="11"/>
  <c r="BX41" i="11"/>
  <c r="BX33" i="11"/>
  <c r="BX37" i="11"/>
  <c r="BX26" i="11"/>
  <c r="BX42" i="11"/>
  <c r="BX22" i="11"/>
  <c r="BX21" i="11"/>
  <c r="BX30" i="11"/>
  <c r="BX14" i="11"/>
  <c r="BX39" i="11"/>
  <c r="BX3" i="11"/>
  <c r="BX11" i="11"/>
</calcChain>
</file>

<file path=xl/sharedStrings.xml><?xml version="1.0" encoding="utf-8"?>
<sst xmlns="http://schemas.openxmlformats.org/spreadsheetml/2006/main" count="5371" uniqueCount="2505">
  <si>
    <t>ca. 48</t>
  </si>
  <si>
    <t>Ephesus, Asia Minor (Turkey)</t>
  </si>
  <si>
    <t>India</t>
  </si>
  <si>
    <t>Patmos (Greece)</t>
  </si>
  <si>
    <t>Kuravilangad (India)</t>
  </si>
  <si>
    <t>Neocaesarea (Asia Minor)</t>
  </si>
  <si>
    <t>ca. 250</t>
  </si>
  <si>
    <t>Lenola (Italy)</t>
  </si>
  <si>
    <t>Rome (Italy)</t>
  </si>
  <si>
    <t>ca. 300</t>
  </si>
  <si>
    <t>Edessa</t>
  </si>
  <si>
    <t>Italy</t>
  </si>
  <si>
    <t>Alexandria</t>
  </si>
  <si>
    <t>Myra, Lycia (Asia Minor)</t>
  </si>
  <si>
    <t>ca. 350</t>
  </si>
  <si>
    <t>Island of St. Nicholas (Italy)</t>
  </si>
  <si>
    <t>Caesarea (Asia Minor)</t>
  </si>
  <si>
    <t>Tours (France)</t>
  </si>
  <si>
    <t>Tagaste (Algeria)</t>
  </si>
  <si>
    <t>ca. 400</t>
  </si>
  <si>
    <t>Constantinople</t>
  </si>
  <si>
    <t>Egypt</t>
  </si>
  <si>
    <t>Behuard (France)</t>
  </si>
  <si>
    <t>450?</t>
  </si>
  <si>
    <t>Agde, Hérault, diocese of Montpelier (France)</t>
  </si>
  <si>
    <t>ca. 490</t>
  </si>
  <si>
    <t>Gargano, Naples (Italy)</t>
  </si>
  <si>
    <t>500?</t>
  </si>
  <si>
    <t>Sicea, Galatia (Turkey)</t>
  </si>
  <si>
    <t>Adana (Cilicia</t>
  </si>
  <si>
    <t>c. 550</t>
  </si>
  <si>
    <t>Spoleto (Italy)</t>
  </si>
  <si>
    <t>In 552 the Madonna would have appeared to a child jew to motivate, successfully, to shy away from the ill-treatment of his father. The child and his mother were expected to baptize after the event.</t>
  </si>
  <si>
    <t>Gualdo Tadino (Italy)</t>
  </si>
  <si>
    <t>Genoa (Italy)</t>
  </si>
  <si>
    <t>5th century</t>
  </si>
  <si>
    <t>Evesham, Worcestershire, England, UK</t>
  </si>
  <si>
    <t>In the 600s, a swineherd named Eoves saw an apparition of three women singing psalms and heavenly melodies. He told Bishop Egwin, who went the next day to the same place and saw the same vision. Bishop Egwin knew that the woman holding an open book and golden cross was the blessed Virgin. She made a sign of blessing with the cross and then her two maids disappeared. Egwin promised to build a shrine to Our Lady on the site of his vision. The shrine, destroyed under Henry VIII, has been revived, and a pilgrimage established on the second Sunday in June.</t>
  </si>
  <si>
    <t>6th century</t>
  </si>
  <si>
    <t>Saydnaya, Syria</t>
  </si>
  <si>
    <t>According to tradition, the Our Lady of Saydnaya Patriarchal Monastery was built by the Emperor Justinian I (527-65).  Legend relates that while the emperor was hunting in the Qalamoun region, he saw a vision of the Virgin Mary, who ordered him to build a convent on the high rock upon which she was standing.  The next day, Justinian began work on the foundations of the convent of Saydnaya, and when it was completed, the emperor’s sister Theodosia became its first superior.</t>
  </si>
  <si>
    <t>Constantinople (Turkey)</t>
  </si>
  <si>
    <t>Boulogne (France)</t>
  </si>
  <si>
    <t>Hainault, Flanders</t>
  </si>
  <si>
    <t>August 15, 660</t>
  </si>
  <si>
    <t>Toledo (Spain)</t>
  </si>
  <si>
    <t>Benevento (Italy)</t>
  </si>
  <si>
    <t>Clermont-Ferramd (France)</t>
  </si>
  <si>
    <t>6th c.</t>
  </si>
  <si>
    <t>Bonito (Italy)</t>
  </si>
  <si>
    <t>Evesham (England)</t>
  </si>
  <si>
    <t>Propezzano (Italy)</t>
  </si>
  <si>
    <t>Farfa (Italy)</t>
  </si>
  <si>
    <t>Maastricht (Germany)</t>
  </si>
  <si>
    <t>Savoy</t>
  </si>
  <si>
    <t>Mainz (Germany)</t>
  </si>
  <si>
    <t>Montreuil (France)</t>
  </si>
  <si>
    <t>c. 800</t>
  </si>
  <si>
    <t>Rosenthal (Germany)</t>
  </si>
  <si>
    <t>c. 810</t>
  </si>
  <si>
    <t>Corbie (France)</t>
  </si>
  <si>
    <t>Toulouse (France)</t>
  </si>
  <si>
    <t>ca. 900</t>
  </si>
  <si>
    <t>Blacherne (Istanbul)</t>
  </si>
  <si>
    <t>Reims (France)</t>
  </si>
  <si>
    <t>September 13, 948</t>
  </si>
  <si>
    <t>Einsiedeln (Switzerland)</t>
  </si>
  <si>
    <t>c. 950</t>
  </si>
  <si>
    <t>Herford (Germany)</t>
  </si>
  <si>
    <t>Mt. Athos (Greece)</t>
  </si>
  <si>
    <t>Cologne (Germany)</t>
  </si>
  <si>
    <t>Sion Les Saintos (France)</t>
  </si>
  <si>
    <t>Canterbury (England)</t>
  </si>
  <si>
    <t>PICCIANO (Italy)</t>
  </si>
  <si>
    <t>Visionary: Corentin</t>
  </si>
  <si>
    <t>Visionary: Pope Gelasio I</t>
  </si>
  <si>
    <t>Visionary: Pope John I</t>
  </si>
  <si>
    <t>Visionary: St. Dosithée</t>
  </si>
  <si>
    <t>Visionary: St. Melaine</t>
  </si>
  <si>
    <t>Visionary: St. Galla</t>
  </si>
  <si>
    <t>Visionary: St. Gregory of Tours (ca. 538 - v. 594)</t>
  </si>
  <si>
    <t>Visionary: Narsete</t>
  </si>
  <si>
    <t>Visionary: Patriarch Sergius</t>
  </si>
  <si>
    <t>Visionary: St. Giudicaele</t>
  </si>
  <si>
    <t>Visionary: Audrade of Sens</t>
  </si>
  <si>
    <t>Visionary: Fr. Gerhard</t>
  </si>
  <si>
    <t>https://it.wikipedia.org/wiki/Madonna_di_Costantinopoli</t>
  </si>
  <si>
    <t>http://www.wherewewalked.info</t>
  </si>
  <si>
    <t>http://www.teramonews.com/</t>
  </si>
  <si>
    <t>http://www.salvemariaregina.info</t>
  </si>
  <si>
    <t>Visionaries: The Apostles
According to some legends, the Holy Virgin Mary appeared to the apostles, three days after her Assumption into heaven. Clad in a bright light than the sun, she turned to them that they had begged for his help and protection from heaven: "I'll stay with you in eternity." Whether Mary rested in Ephesus or Jerusalem remains a controversial issue.</t>
  </si>
  <si>
    <t>https://www.miraclehunter.com/marian_apparitions/approved_apparitions/zaragoza/index.html</t>
  </si>
  <si>
    <t>Visionary: St. Thomas (Apostle)
According to some legends, the Holy Virgin Mary appeared to the St. Thomas in India, after her Assumption into heaven.</t>
  </si>
  <si>
    <t>Visionary: St. John the Evangelist
Title: The Woman Clothed in the Sun
According to some legends, St. John the Evengelist received a vision of the Virgin Mary before he composed the Book of Revelation.</t>
  </si>
  <si>
    <t>https://www.miraclehunter.com/marian_apparitions/approved_apparitions/neocaesarea/index.html</t>
  </si>
  <si>
    <t>https://www.miraclehunter.com/marian_apparitions/approved_apparitions/lepuy/index.html</t>
  </si>
  <si>
    <t>Visionary: St. Paterno (an Egyptian monk)
While passing through on the way to visit the graves of St. Peter and Paul, an Egyptian monk St. Paterno was brought to a secret community of persecuted Christians to help them bury those who died in a massacre at the hands of Emperor Decius. That night, Our Lady and Child appeared to him in a vision.</t>
  </si>
  <si>
    <t>https://www.miraclehunter.com/marian_apparitions/approved_apparitions/lenola/index.html</t>
  </si>
  <si>
    <t>https://www.miraclehunter.com/marian_apparitions/approved_apparitions/alexandria/index.html</t>
  </si>
  <si>
    <t>Visionary: St. Nicholas of Bari (the Miracle Worker) (c.270 - 345)
One of the most revered Orthodox saints, the healer Nicholas, Bishop of Myra, in Lycia (Asia Minor) in the first half of the fourth century, also known in Italy as Nicholas of Bari.
He would receive, according to tradition, two apparitions of the Virgin Mary, the first prior to his ordination, and the second during the celebration of a Holy Mass at the end of the Council of Nicaea. The two appearances urged him to fulfill his spiritual mission. In this council he was very committed to support the doctrine of the divinity of Christ.</t>
  </si>
  <si>
    <t>https://www.miraclehunter.com/marian_apparitions/approved_apparitions/myra/index.html</t>
  </si>
  <si>
    <t>http://kuravilangadpally.com/</t>
  </si>
  <si>
    <t>Visionary: a pious hermit
Title: Santa Maria a Mare
Towards the middle of the fourth century the Holy Virgin appeared to a pious hermit who had retired to the island to show him the place where he had buried a treasure with which he had to build him a church. The hermit, fearing a demonic temptation, did not obey. The Virgin appeared to him again, ordering him to obey. The hermit then dug at the place indicated and found a jeweled crown and vessels containing pieces of silver and gold. With the coins, he built the church, and crowned with a diadem found a statue of Madonna made raised above the altar.</t>
  </si>
  <si>
    <t>https://www.miraclehunter.com/marian_apparitions/approved_apparitions/rome/index.html</t>
  </si>
  <si>
    <t>Visionary: St. Basil (Bishop) (330 - 379)
Title: Sovereign Mediatrix of her Son Jesus
The Roman emperor Julian the Apostate, had decided to destroy, as soon as he returned from the war against the Persians, the Church of St. Basil, one of the leading bishops and theologians of the time. Then the Virgin Mary appeared to Basil, as "sovereign mediator of His Son Jesus," promising to protect him from the anger of the Roman emperor.The emperor was not able to implement his plans for he died on the battlefield in the third year of his reign.</t>
  </si>
  <si>
    <t>https://www.miraclehunter.com/marian_apparitions/approved_apparitions/caesarea/index.html</t>
  </si>
  <si>
    <t>Visionary: St. Martin of Tours
Sulpicius Severus (+ ca. 420), and inspired writer, columnist, in his biography of St. Martin of Tours (316/7-397), reports that he would often receive the grace of the apparitions of the Blessed Virgin Mary, especially by when it had become, in 371, bishop of Tours. The biographer says that Mary was acting against St. Martin in a dual capacity: as a queen and as a real mother.</t>
  </si>
  <si>
    <t>https://www.miraclehunter.com/marian_apparitions/approved_apparitions/tours/index.html</t>
  </si>
  <si>
    <t>Visionary: St. Monica (332-387)
The Virgin appeared to St. Monica (332-387), the mother of St. Augustine, consoling in her afflictions, and noted that she had to dress in her state of widowhood.</t>
  </si>
  <si>
    <t>https://www.miraclehunter.com/marian_apparitions/approved_apparitions/tagaste/index.html</t>
  </si>
  <si>
    <t>Title: Hodegetria
Visionaries: two blind people
The Hodegetria takes its name from the miracle of the blind and the monastery of Hodegium in Constantinople. According to legend, the Blessed Mother appeared to two blind people in Constantinople, took them by the hand and showed them the way or guided them to the monastery of Hodegium where she restored their sight. Since that time, the blind and all those who suffer eye disorders have come to wash their eyes in the waters from a spring near the church. Although distinctly Eastern, the Virgin Hodegetria has been and remains one of the preferred images of the West.</t>
  </si>
  <si>
    <t>Visionary: St. Mary of Egypt
According to her Life (not verified) written by the Palestinian hermit St. Zosima (V century), quoted by Alfonso Liguori, 52-53, she would have lived at the court of Alexandria working as an actress. At age thirty, she went to Jerusalem, where she converted during the feast of the Holy Cross. A irresistible force prevented the four times in a row to enter the Church of the Holy Sepulchre. An interior light touched her: she realized that she was rejected by the Lord for her sins. "I look up towards an image of the Virgin and began to pray: O Mother of God! Have pity on a poor sinner! You are the refuge of sinners, for the love of Jesus, your Son, help me! Immediately you hear an inner voice say: Well, since you turned to me and I want to convert, enter the church: the door will no longer closed for you. She did penance in church then return before the image of Mary. "My sovereign, here I am at your orders; where you want me to do penance? - depart, cross the Jordan, and find the place of your rest," She retired to the desert of Transjordan, which was found by two disciples of St. Cyriac.</t>
  </si>
  <si>
    <t>Visionary: St. Maurilius (364 - 435)
On the tiny island of Behuard, not far from the city of Angers lived Maurilio the hermit, who later became also bishop of this city. Around the year 431, he had an apparition of the Virgin Mary who showed him the spiritual path to follow. In gratitude Maurilio built on the spot a church dedicated to Mary, which has since become the destination of many pilgrimages.
Source: http://www.latheotokos.it</t>
  </si>
  <si>
    <t>http://www.latheotokos.it</t>
  </si>
  <si>
    <t>Visionary: monk
Title: Notre Dame de l’Agenouillade (Our Lady of the Kneeling)
With dating uncertain (around 450) the Virgin appeared on top of a rock to a monk of Saint-Severe from Syria, after an earthquake. According to the legend, the rock retained traces of the knees of the apparition. Hundreds of faithful venerate Our Lady of the Genuflection. In 1583, a convent of cappuchins was constructed at the location. But the sanctuary was destroyed in 1789, then it was taken over by the White Penitents in the 18th century.</t>
  </si>
  <si>
    <t>https://www.miraclehunter.com/marian_apparitions/approved_apparitions/agde/index.html</t>
  </si>
  <si>
    <t>Visionary: Emperor Leo I
Title: Our Lady of the Golden Fountain
According to legend, Emperor Leo I (457-474) one day while still a soldier, was leading a blind man walking around of town, when suddenly he heard a voice coming from above and saw the Holy Virgin. She predicted that he would become emperor and that the blind man regained his sight. She also asked him to erect a shrine in her honor. As the Holy Virgin had predicted, he became emperor and the blind man regained his sight. Leo I, to honor the promise made to the Mother of God, immediately built a large church on the site of the apparition.
In 455 , according to legend, the future emperor Leo I , as a soldier , was accompanying a blind person in a walk out of town, when he first heard a voice calling from above, then saw the Virgin Mary. The appearance would have predicted his future election to the imperial throne and the healing of the blind from their disability, and he urged the erection of a sanctuary in his name. After the fulfillment of prophecies , Leo built a church on the site of the reported Mariophany.</t>
  </si>
  <si>
    <t>Visionary: St. Theodore of Sicea (Bishop)
A native of Galatia, son of an imperial official, became a monk in Jerusalem. He was the victim of a poisoning attempt. The Virgin appears to him in a dream, reveals the name of the guilty man, puts in his hands three pills for him to reject the poison and then disappears. He was consecrated bishop in 590 of Anastasiopolis. He was canonized in 613.</t>
  </si>
  <si>
    <t>Visionary: St. Theophilus of Adana (The Penitent)
Saint Theophilus the Penitent, or Theophilus of Adana (died ca. 538), was a cleric in the sixth century Church who is said to have made a deal with the devil to gain an ecclesiastical position as bishop.
Years later, fearful for his soul, Theophilus repented and prayed to the Virgin for forgiveness. After forty days of fasting, the Virgin appeared to him and verbally chastised him. Theophilus begged forgiveness and Mary promised to intercede with God. He then fasted a further thirty days, at which time Mary appeared to him again, and granted him Absolution. However, Satan was unwilling to relinquish his hold over Theophilus, and it was a further three days before Theophilus awoke to find the damning contract on his chest. He then took the contract to the legitimate bishop and confessed all that he had done. The bishop burned the document, and Theophilus expired, out of sheer joy to be free from the burden of his contract.</t>
  </si>
  <si>
    <t>Visionary: St. Isaac of Spoleto
Isaac fled to Italy from his native Syria to escape life under the Monophysite heretics who denied that Christ had two natures (divine and human). Upon arriving in Spoleto, he obtained permission to remain in one of the city’s churches after dark in order to pray in the quiet of the night. He continued thus in prayer for three days and nights until a sacristan of the church, jealous of his piety, accused him of hypocrisy, struck him, and drove him away. The ill-tempered sacristan then fell under demonic possession. St. Isaac had stretched himself upon the body of his assailant. "Isaac is driving me out !" exclaimed the evil spirit, thus disclosing to the inhabitants of Spoleto the identity of the stranger. It was only through Isaac’s prayers that the demon was finally expelled. The townsfolk, convinced that they had in their midst a very holy man, offered him presents and would have built him a monastery, but he refused all gifts and retired to a cave on Monte Luco to live as a hermit. In his solitude he experienced a vision of the Blessed Virgin Mary, who instructed him to begin accepting followers to be trained in the religious life. Isaac subsequently established at Mount Luco a laura, a community of hermits, each living in his own cell, but regularly assembling for divine worship. He served as the community’s abbot. Saint Gregory the Great speaks of Isaac’s penchant for humor in sometimes yielding to “extreme joviality.”
All that we know of St. Isaac is derived from the third book of the Dialogues of St. Gregory.</t>
  </si>
  <si>
    <t>Catholic.org</t>
  </si>
  <si>
    <t>Title: Our Lady of the Vineyards
Visionary: Arghenta
Formerly outside the city walls of Genoa, the majestic "Santuario delle Santa Maria delle Vigne" takes its name from vineyards in the midst of which was first erected a chapel to the Virgin, with her appearance to a certain Lady Argenta in the sixth century. The seer, built a small chapel, the first step towards the current sanctuary.</t>
  </si>
  <si>
    <t>https://www.miraclehunter.com/marian_apparitions/approved_apparitions/genoa/index.html</t>
  </si>
  <si>
    <t>http://antiochpatriarchate.org/en/page/our-lady-of-saydnaya-patriarchal-monastery/146/</t>
  </si>
  <si>
    <t>Visionaries: St. Leo the Great
Title: Life-Giving Spring of the Most Holy Theotokos
Feast Day: May 10
There once was a beautiful church in Constantinople dedicated to the Mother of God, which had been built in the fifth century by the holy Emper...or Leo the Great (January 20) in the Seven Towers district.
Before becoming emperor, Leo was walking in a wooded area where he met a blind man who was thirsty and asked Leo to help him find water. Though he agreed to search for water, he was unable to find any. Suddenly, he heard a voice telling him that there was water nearby. He looked again, but still could not find the water. Then he heard the voice saying “Emperor Leo, go into the deepest part of the woods, and you will find water there. Take some of the cloudy water in your hands and give it to the blind man to drink.Then take the clay and put it on his eyes. Then you shall know who I am.” Leo obeyed these instructions, and the blind man regained his sight. Later, St Leo became emperor, just as the Theotokos had prophesied.
Leo built a church over the site at his own expense, and the water continued to work miraculous cures. Therefore, it was called “The Life-Giving Spring.”
After the Fall of Constantinople in 1453, the church was torn down by the Moslems, and the stones were used to build a mosque. Only a small chapel remained at the site of the church. Twenty-five steps led down into the chapel, which had a window in the roof to let the light in. The holy Spring was still there, surrounded by a railing.
After the Greek Revolution in 1821, even this little chapel was destroyed and the Spring was buried under the rubble. Christians later obtained permission to rebuild the chapel, and work began in July of 1833. While workmen were clearing the ground, they uncovered the foundations of the earlier church. The Sultan allowed them to build not just a chapel, but a new and beautiful church on the foundations of the old one.
Construction began on September 14, 1833, and was completed on December 30, 1834. Patriarch Constantine II consecrated the church on February 2, 1835, dedicating it to the Most Holy Theotokos.
The Turks desecrated and destroyed the church again on September 6, 1955. A smaller church now stands on the site, and the waters of the Life-Giving Spring continue to work miracles.
There is also a Life-Giving Spring Icon of the Most Holy Theotokos which is commemorated on April 4.
KONTAKION Tone 8
O most favored by God, you confer on me the healing of your grace from your inexhaustible Spring. Therefore, since you gave birth incomprehensibly to the Word, I implore you to refresh me with the dew of your grace that I might cry to you: Hail, O Water of salvation.</t>
  </si>
  <si>
    <t>https://www.miraclehunter.com/marian_apparitions/approved_apparitions/boulogne/index.html</t>
  </si>
  <si>
    <t>Visionaries: A crowd
Title: Our Lady of Boulogne (statue)
Feast: February 23
A rudderless ship without a crew was carrying a statue of the Virgin Mary and Child Jesus and landed at Boulogne, France. According to the legend, Mary appeared to the people gathered near the ship and announced that she had chosen the city as a place of grace. Pilgrimage to Our Lady of Boulogne is also related to the Marian devotion of Godfrey of Bouillon who, having gone on pilgrimage to Boulogne, he offered his crown of Jerusalem to the Mother of God. The ancient miraculous statue was destroyed during the French Revolution, only a hand of Mary was saved but it was still venerated. In 1866 a new cathedral was erected where it a copy of the statue of Mary was placed, revered as the "Star of the Sea."</t>
  </si>
  <si>
    <t>Visionary: St. Aldegonde of Maubeuge (c. 639–684)
La Vita prima Aldegundis (published and translated by Michel Rouche, Maubeuge, 1989) contains messages and visions of the Virgin that insist on her taking the role of the holy bride of Christ: "Thou shalt have no other husband but the Lord... The Lord has been married for eternity so that you receive this incorruptible crown: Then she saw Him adorned with wedding robes" (quoted by Jean Heuclin "The Marian cult in Gaul during the The High Middle Ages" La Devotion mariale de l'an mil a nos jous. Etudes reunies par Bruno Bethouart et Alain Lottin, artois Presses Universite, 2005, 70)</t>
  </si>
  <si>
    <t>https://www.miraclehunter.com/marian_apparitions/approved_apparitions/toledo/index.html</t>
  </si>
  <si>
    <t>Visionary: St. Ildefonso (607 - January 23, 667), Archbishop of Toledo (657-667)
Ildefonso, Archbishop of Toledo (657-667), had a strong Marian devotion and was a staunch defender of the true Christian faith. On the feast day of the Assumption of the Virgin Mary, in the early morning Ildefonso came in with some priests in the Cathedral of Toledo, and found it was, surprisingly, lit up. On the gate of the chapel, Mary praised the religious fervor of the bishop and handed him a valuable garment as a symbol of his protection. For a long time in the diocese of Toledo a special celebration was held to commemorate this apparition.</t>
  </si>
  <si>
    <t>Visionary: St. Barabatus (+682)
In 1663, the Virgin appeared to him under the walls of the besieged city of Constantine II, Eastern Roman Emperor (641-668), according to unverified sources, taken from the legend, 1999, 266.</t>
  </si>
  <si>
    <t>https://www.miraclehunter.com/marian_apparitions/approved_apparitions/benevento/index.html</t>
  </si>
  <si>
    <t>Title: Our Lady of the Snow
Visionary: St. Bonitus, bishop of Clermont-Ferrand
St. Bonitus, a devotee to the Blessed Virgin Mary, succeeded his elder brother in the episcopal office of Clermont. One morning after a night spent in prayer vigil, he saw the Mother of God with a large throng of angels and saints in his presence to celebrate the Sacrifice of the Mass. Two years later the bishop of Clermont retired permanently in the abbey of Manlieu, where he died in 710.
According to some uplifting stories of the thirteenth century, St.. Bonet saw the Virgin in 684 or 700, while praying alone in a church dedicated to St Michael. Sausseret reprints the facts reported in the bottom of a letter: "the guards closed the doors. St. Bonit, full of joy for a chance to give free rein to his mercy from that moment, lay prostrate on the floor of the bathroom of the temple with his tears. But as soon as he had been in this position, you feel suddenly come down from heaven and filled with the sounds of harmony. He saw, at the same time, all heavenly choirs fill the sacred area with this light and enter a multitude that his faith had blessed him with. There were, in fact, legions of angels and saints, who composed a the procession for their Queen, mother of Jesus Christ, who appeared after them, seated on a throne carried by seraphim and similar to a queen that a large honor guard precedes and accompanies [...] All these immortal beings continued along the main nave and when they came in front of 'main altar, some of them asked who among them would say the mass. Then the Blessed Virgin spoke up and said, 'Here Bonit, we seek you my faithful servant and excellent bishop, and worthy of fulfilling this holy function "
Some blessed then, obeying the order that she had just given detachment from others and went to the holy bishop who was trembling. Taken by the hand,he accompanied the choir. The saints clothed him in a pontifical ornaments and then he began to say mass with glorified beings as assistants [...] When Mass was over, the Holy Virgin, left him.&gt;&gt; (I, 118-120). Reliable historical sources are almost non-existent: Sausseret cites the reports of Surius, which in turn is based on oral testimony of two successor to Bonet.</t>
  </si>
  <si>
    <t>https://www.miraclehunter.com/marian_apparitions/approved_apparitions/bonito/index.html</t>
  </si>
  <si>
    <t>Visionaries: Some farmers
The modern shrine of the Blessed Mary of the Snow stands on the site where according to tradition in the late sixth century she had appeared to some farmers as a sweet female figure holding a baby. On her appearance, the oxen knelt. The figure, suspended in the air, was bathed in bright light and was accompanied by angels and archangels who sang sweet music. It was the Madonna. Since then devotion to the apparitions have continued.</t>
  </si>
  <si>
    <t>Visionary: St. Egwin (of Rochester), bishop of Worcester
The Bishop of Worcester, Saint Egwin, loved to retire to prayer in the quiet solitude of Evesham. One day, while the Bishop was drawing near to meditation, he saw the Blessed Virgin Mary with a court of angels, with a book in her left hand and a cross in her right hand. Bishop Egwin gratitude founded a convent in Evesham, on the site of the apparition and consecrated the church to the Immaculate Conception, Mother of God and Ever-Virgin Mary. In this place the Marian cult is still alive.
Charged with being overly strict by his clergy, Egwin went to Rome. Upon his return to England, he founded Eversham Monastery with the aid of the kingdom of Mercia. A vision of Mary prompted this founding. In 709, Egwin returned to Rome, accompanied by King Cenred of Mercia and King Offa of the East Saxons.</t>
  </si>
  <si>
    <t>Visionary: Mother of St. Stephen the Younger
in the early years of their marriage, the parents of St. Stephen the Younger (+ 764) had no children. The mother of Stephen decided to turn to the Mother of God and begged to be blessed with this great joy. With the hope to obtain this grace, the woman, animated by sincere fervor within, frequently went to pray in a church in Constantinople. One day, the Mother of God, moved with compassion, appeared to her and told her: "Your suffering is over, your prayer will be answered." In fact, the same year she gave birth to a son, Stephen, and consecrated him to God. He became a priest and a staunch defender of the faith. Stephen was especially active in the controversy concerning images under the Emperor Constantine The Iconoclast. He suffered martyrdom in 764.</t>
  </si>
  <si>
    <t>Visionary: Three Archbishops on the way back from the Holy Land
The legend is that three archbishop returning from the Holy Land stopped to rest, hanging their bags on a dogwood. When they tried to take them back to continue the journey the tree grew enormously and prevented them from taking their luggage. Fallen into a deep sleep, all three had the same dream: the Virgin showed them a model of a chapel and begged them to build one in her honor that place. So it was that they decided to build the altar in a church setting where the dogwood grew. Hearing about the miracle, Pope Gregory II went there and May 10 of that year, and consecrated the altar of the church.
Source: Article by Sergio Scacchia - 5.18.2007 - http://www.teramonews.com/</t>
  </si>
  <si>
    <t>Visionary: St. Thomas of Farfa
A native of Maurienne in Savoy, he went to Jerusalem with two companions. One night, he prayed at the Holy Sepulchre. The Virgin appears and tells him to return to the West. He then went to Italy where he became a hermit. The sources of this tale are not verifiable.</t>
  </si>
  <si>
    <t>Visionary: St. Hubert of Maastricht
Hubert of Maastricht (the saint, bishop of Maastricht, 727) In the 705-706 or so, the Virgin would appear, when the bishop's seat moved from Maastricht to Liege, according to unverified sources reported by Gamba, 1999, 267. According to legends that have spread from the end of the fourteenth century, he would have converted after a miraculous vision of a deer wearing a light cross between its horns. This story, in fact, comes from an early Christian text from the second century, told by a Roman officer, Eucstachio, who was martyred under the Emperor Trajan (23-117). The legend of the animal "Crucifer" was adapted from John of Damascus in the seventh century, then taken up by Jacopo da Varazze, in his Golden Legend (1261-1266).</t>
  </si>
  <si>
    <t>Visionary: St. Marino
Marino (saint, blessed, martyr, +731). A native of Savoy, became a hermit and attracted many followers. He thought about retiring to a secret location. One night, the Virgin, accompanied by the twelve apostles, appeared in his sleep, to help him survive his extreme loneliness. He died under the blows of the Saracens.</t>
  </si>
  <si>
    <t>Visionary: St. Boniface, Archbishop of Mainz
St. Boniface, "the apostle of the Germans" (672-754), was born in Windfrid at Crediton, in Devonshire, ordained to be a priest in 710, the metropolitan of the Beyond-Rhine (723), legate of Pope (738) Archbishop of Mainz (747), founder of the Abbey of Fulda, and regarded as the apostle of Germany. while he was absorbed in contemplation of a miraculous icon of the Mother of God hanging from an oak tree, heard Mary's voice say: "The trunk of this oak tree is to remain forever my portrait. " The circumstances of the occurrence and other details remain unknown.</t>
  </si>
  <si>
    <t>Visionary: St. Opportuna
Opportuna (saint, blessed, abbess of Ameneches, +766). Of Norman origin, the sister of St. Crodegando, bishop of Sees, heard her childhood God's call to renounce the world. Seeking her parents' permission to become religious, "Let me now follow the ways of my holy Lord and Mary, Mother of God. I refuse to join the children of other mothers, except that the Virgin conceived, growth remains Virgen: (AASS t. II-III, 222, n. 3) Shortly before her death, at the Norman monastery Montreuil, of which she was abbess, " St. Cecilia and St. Lucia appeared " Mary, Virgin most pure, wait your arrival so that you be united in heaven with her Son that you loved with all your heart in the world. Crowned with a crown of glory, your lamp access, you must come to the meeting of the Bridegroom [...]&gt;&gt; Iibid. 230 n.19) During her agony, she said: "Here is my Lord, the Blessed Virgin Mary, to whom I entrust you, that you will not see again for a long time in this world ". And stretching out her arms as if she wanted to embrace the Mother of God, herholy soul was freed from the flesh" (ibid. 230-231 n. 20) This story is dated to the first half of the ninth century.</t>
  </si>
  <si>
    <t>Visionary: Luciano Cerna and others
During the Saxon wars, a general of Charlemagne pitched camp near Ostro. In this place stood a woman in royal robes that wandered around the camp. Even after the departure of the soldiers were repeatedly observed its presence in the surrounding fields and meadows. The lady was seen once even by the noble Luciano Cerna during the chase, chased the man rode up to a linden tree where he discovered, full of surprise, a statue of the Blessed Virgin. In this place he built a chapel and placed it inside the statue that was revered. The image shows Mary with Child, in her right hand while holding a pear, the Child, in turn, holds an apple. The statue of the Virgin Mary has a golden royal robe interwoven with flowers, wearing a purple-red cape trimmed with gold and decorated with lilies on her head a beautiful crown of roses. The monastery of Maria Stella cirstercense became famous thanks to direct asset pilgrimage to "our beloved Lady of lime. The healings and answered prayers attest to the vitality of faith in this place.</t>
  </si>
  <si>
    <t>Visionary: St. Anscario, monk of Corbie, archbishop of Hamburg then bishop of Bremen (801-865)
St. Anscario was born in 801 in Picardy, near Corbie. In his youth the Blessed Virgin Mary appeared to him, urging him to devote his earthly life in the service of Catholicism. Anscario actively was engaged in apostolate, especially in Scandinavian countries. He was a teacher at the monastery school of Corvey, Monaco Benedictine, bishop of Hamburg (from 831) and Bremen (from 845). He was among the first evangelizers of Sweden and Denmark and, since 827, was known as "the apostle of the North." In 852, Anscario converted King Olaf of Sweden to the Catholic faith, thus promoting the spread of Catholicism in these lands. Pope Gregory IV appointed him legate of the Holy See for the whole of Scandinavia. He often retired to the monastary to meditate, but was also was very active in charitable and spiritual work. He died in Bremen in 865.</t>
  </si>
  <si>
    <t>Visionary: Gondislave
The holy archbishop of Toulouse, Gondisalve, received the grace of some of the apparitions of the Virgin Mary. Once, during the celebration of Holy Mass, the Mother of God appeared to him and expressed the desire of spreading the doctrine of the Immaculate Conception and the institution of a party concerned. Gondisalve dedicated to this task the rest of his life.</t>
  </si>
  <si>
    <t>http://amdn.vps1.spikly.com/qui-est-marie/1-octobre-orthodoxe-pokrov-protection-de-la-mere-de-dieu</t>
  </si>
  <si>
    <t>Visionary: Andrew and Epiphanius
The Russians attacked Blacherne in the year 860 but fled before the relic of Mary's cloak and they asked the missionaries for their country. 
In the next century (X century), to Blacherne, the Virgin appeared to Andrew, a Foolishness for Christ of Slavic origin, and his disciple Epiphanius. 
Hence the Orthodox feast of the "Protection of the Mother of God" celebrated on 1 October (14 per schedule Julian used by the Orthodox Churches of Slavic rite).  For a long time, the two seers saw the veil shine above the crowd, to which refers the Slavonic liturgy from 1 October (Pokrov).</t>
  </si>
  <si>
    <t xml:space="preserve">Visionary: St. Konrad, Bishop of Konstanz
Title: Our Lady of Einsiedeln
In 934, St. Eberhard of Strasbourg, arrived and set about building a large monastery and Church, the latter enclosing and protecting the hermit and martyr Meinrad's holy little chapel, which was only eight and a half yards long by six yards wide. When this work was completed in the summer of 948, Eberhard, having become the first Abbot of Einsiedeln, invited St. Konrad, the Bishop of Konstanz, to consecrate and dedicate the Chapel of Our Lady of the Hermits. St. Konrad's party, which included the Bishop of Augsburg and many princes and knights of the German Empire, arrived at the hermitage in the Dark Wood, on the eve of the Feast of the Exaltation of the Holy Cross. The holy Bishop of Konstanz retired to his room early in the evening in order to rest after the trip. However, despite his fatigue, he did not fail to get up, as was his custom, before midnight, and to go with several religious to pray in the chapel which he was due to consecrate the next morning. While he was fervently beseeching the Blessed Virgin to accept this holy shrine and to make it henceforth a center of pilgrimages where for centuries and centuries she would heal and help her suffering children, suddenly, at exactly midnight, St. Konrad and those with him began to hear the sound of many harmonious voices, chanting a melody of heavenly beauty. Looking up, he saw with amazement that the sanctuary of the chapel was filled with a brilliant light that made everything clearer than the brightest noonday sun, and that the altar was completely illuminated as for a solemn festival. Then he saw coming down from Heaven a magnificent procession of Angels under the leadership of St. Michael the Archangel. Some of them formed the choir and were chanting celestial psalms, while others bearing swinging golden censers took their places before the altar.
After the angels came St. Peter, St. Matthew, St. Mark, St. Luke, and St. John, St. Gregory, St. Augustine and St. Ambrose. Then came, vested as deacon and subdeacon, the Martyr-Saints Lawrence and Stephen. And finally, as High Priest, arrayed in pontifical vestments and wearing a violet chasuble, there appeared in all the splendor of His Divinity, Our Lord and Savior Jesus Christ. Then, as a breathtaking climax, just before God the Son began the Mass that was to consecrate this holy shrine forever to His Immaculate Mother, Mary herself took her place above the altar of her chapel, radiant with dazzling glory and attended by her train of angelic spirits! In speechless awe, St. Konrad followed every detail of this extraordinary Mass. He observed with rapt attention that the solemn ceremony was performed in the minutest particulars according to the ritual prescribed by the Church for the consecration of a temple, except that, at the Sanctus, the angels sang: "Holy God, have mercy on us in the court of the Glorious Virgin! Blessed be the Son of Mary Who has come to this place and Who is to reign for ages of ages!" More than an hour later, having formally dedicated the shrine to His Blessed Mother under the title of Our Lady of the Hermits, the King of Kings returned in all His majesty to Heaven with His distinguished company of Saints and Angels. The beautiful living Virgin vanished too, leaving in her place the lovely statue. The singing ceased. The bright light was magically extinguished. And soon the newly consecrated shrine was, to all outward appearances, exactly as it had been before. The saintly Bishop of Konstanz, however, remained kneeling for hours in ecstatic meditation over the marvels which he had just witnessed. Later that morning, when all the dignitaries had assembled, and after he had kept them waiting quite a while, he was politely informed that it was time for him to begin the dedication ceremony. Still deeply moved, he firmly declared that the chapel had already been miraculously consecrated by God Himself during the night. But when the Abbot Eberhard and the other officials refused to accept this story, and insisted that the ceremony for which so many persons had come together should start at once, St. Konrad yielded. Then another striking supernatural intervention took place: as the Bishop put his foot on the first altar step, the great Church was suddenly filled with a strong and impressive voice which everyone present heard exclaim three times: "Stop! Stop, Brother! This Chapel has been Divinely consecrated!"
Later on, a full investigation of these extraordinary events was undertaken by the highest civil and ecclesiastical authorities, and in the year 964, in the presence of the German Emperor Otto and of St. Konrad the Bishop, His Holiness Pope Leo VIII issued a bull confirming the miraculous dedication.
</t>
  </si>
  <si>
    <t>Visionaries: Cantelnovese townsperson
Title: Madonna delle Colture (Our Lady of the Crops)
Commemorated: January 15th
Santa Maria della Petrara is the mother church of the town of Castelnuovo di Conza in the province of Salerno in the region of Campania in southwest Italy.* It succeeded the Church of San Nicola around the tenth century. The site of present-day Castelnuovo dates back to antiquity. The name “Petrara” stems from an ancient village perched on a promontory with caverns and caves. The legend of Castelnuovo recounts that the Blessed Mother appeared to a Cantelnovese man or woman on the path and asked for a piece of ‘unfit’ bread. It is said the person went to his/her house and took a piece of leaven dough ‘smeared with oil or paste’ and offered it to the Madonna. It is said that the Lady asked that an image of her be placed in a church built on the spot. A statue was crafted depicting the Madonna with a piece of bread in her hand, a genuine product of the earth. So was born the image of Madonna delle Colture and the church of Santa Maria della Petrara, a title by which Our Lady is also known, as well as Maria della Petrara. The title is also quite popular in Syria where she is commemorated annually on January 15th. *Not far from Castelnuovo is the Benedictine monastery of St. Menna that plays prominently in the town’s early history. Castelnuovo was hit by the earthquake of January 14, 1466, and was at the epicenter of the earthquake of November 23, 1980.</t>
  </si>
  <si>
    <t>https://www.miraclehunter.com/marian_apparitions/approved_apparitions/herford/index.html</t>
  </si>
  <si>
    <t>Visionary: A beggar
Title: Our Lady of the Cross
A beggar who passed a convent suddenly heard someone call his name, turned and saw, to his great emotion, the Blessed Virgin Mary! The Mother of God reassured him with the sign of the cross after a blessing and then gave him the task of going to the monastery with a message of repentance and conversion. Madonna also sent the proof to say that this appearance would be seen a white dove on the wooden cross erected by the beggar in front of the convent. The abbess and nuns were convinced of the authenticity of the message when they saw the white dove perched on the cross. On the site of the apparition a church was later built, consecrated in 1011 by the Bishop of Paderborn, with the name of Our Lady of the Cross. Herford became a famous place of pilgrimage.</t>
  </si>
  <si>
    <t>Visionaries: St. Peter the Anthonite (Hermits on Mt. Athos)
Peter the Hesychast Aghiorita settled on the holy mountain in 681. Peter was a greek who was a soldier in the imperial court in Constantinople. After being a prisoner of the Arabs voted for the monastic life and went to Rome. One night he dreamed the Blessed Virgin Mary who told him that Mount Athos would become a monastic center. Guided by the mystical force of this vision, Peter went on the holy mountain where he lived for fifty years, until his death in a cave.
Abraham, who in 952 took the name of Athanasius, is considered the founder of monasticism cenobite on Mount Athos, was born in 925-30. in Trabzon on the Black Sea coast in his long stay in Constantinople, he had the opportunity to make friends with the brothers Leo and Nicephorus Phocas.
In 957, under a pseudonym, Athanasius settled on Mount Athos with an old hermit. He lived as a hermit in a first time and faced heavy temptations. One day the Virgin appeared to him and lifted him from these difficulties, consoling him and exhorting him not to leave the Mount and not fail in his monastic vocation. Inspired by this apparition, Athanasius devoted himself with greater zeal to understand the significance of its spiritual mission. Some time later, supported by the emperor,he beca,e the first superior of this monastery, which was established according to the Benedictine rule.</t>
  </si>
  <si>
    <t>Visionary: Herman I - Archbishop of Cologne
The Holy Virgin Mary appeared to the deacon Hermann von Bonn. In this apparition, he was inspired to become archbishop of Cologne, succeeding Bruno I. Unfortunately he fell astray and was deposed.</t>
  </si>
  <si>
    <t>http://www.catholic-hierarchy.org/diocese/dt520.html</t>
  </si>
  <si>
    <t>Visionary: St. Geraud (935-April 23, 994)
The Blessed Virgin Mary appeared on a hill to St. Geraud, Bishop of Toul, and manifest a desire to see that place in a church dedicated to her veneration. Saint Geraud fulfilled the desire of Mary as he built a Marian shrine on the site. The Bishop of Toul showed a tireless charitable and apostolic zeal; was canonized in 1050 by Pope Leo IX.</t>
  </si>
  <si>
    <t>Visionary: St. Dustin (909-988)
One night, while St. Dustin (909-988), archbishop of Canterbury since 960, visited the cathedral to pray, the Virgin Mary appeared to him with a heavenly choir. The Angels and the Saints sang hymns of praise and accompanied the bishop to the entrance of the cathedral, then disappeared. Dustano belonged to the Benedictine Order, devoted himself to the reform of the Church of England and to the renewal of monastic life.</t>
  </si>
  <si>
    <t>Visionary: A shepherd
Title: Our Lady of Picciano
Shortly before the year 1000, the Holy Virgin appeared on the branches of an oak to a shepherd of Abruzzo, looking for his lost cow found her kneeling at the foot of the tree. The church was built to commemorate the event in 1200, although there is evidence dating back to that time.</t>
  </si>
  <si>
    <t>MH</t>
  </si>
  <si>
    <t>Source</t>
  </si>
  <si>
    <r>
      <t>684</t>
    </r>
    <r>
      <rPr>
        <sz val="10"/>
        <color rgb="FF000000"/>
        <rFont val="Arial"/>
        <family val="2"/>
      </rPr>
      <t> </t>
    </r>
    <r>
      <rPr>
        <b/>
        <sz val="10"/>
        <color rgb="FF000000"/>
        <rFont val="Arial"/>
        <family val="2"/>
      </rPr>
      <t>or 700</t>
    </r>
  </si>
  <si>
    <r>
      <t>708</t>
    </r>
    <r>
      <rPr>
        <sz val="10"/>
        <color rgb="FF000000"/>
        <rFont val="Arial"/>
        <family val="2"/>
      </rPr>
      <t> </t>
    </r>
    <r>
      <rPr>
        <b/>
        <sz val="10"/>
        <color rgb="FF000000"/>
        <rFont val="Arial"/>
        <family val="2"/>
      </rPr>
      <t>or 717</t>
    </r>
  </si>
  <si>
    <r>
      <t>Castelnuovo di Conza</t>
    </r>
    <r>
      <rPr>
        <sz val="10"/>
        <color rgb="FF000000"/>
        <rFont val="Arial"/>
        <family val="2"/>
      </rPr>
      <t>,</t>
    </r>
    <r>
      <rPr>
        <b/>
        <sz val="10"/>
        <color rgb="FF000000"/>
        <rFont val="Arial"/>
        <family val="2"/>
      </rPr>
      <t> Salerno, Campania (Italy)</t>
    </r>
  </si>
  <si>
    <t>Year</t>
  </si>
  <si>
    <t>Location</t>
  </si>
  <si>
    <t>Description</t>
  </si>
  <si>
    <t>MH Description</t>
  </si>
  <si>
    <t>X</t>
  </si>
  <si>
    <t>?</t>
  </si>
  <si>
    <t>Visionary: St. Gregory the Wonder-Worker (213 ca.- 270)
The Virgin Mary and the Apostle John would appeared to St. Gregory the Wonderworker (213-270), before he was ordained bishop of Neocaesarea. The apostle, at the urging of Mary, would provide all the necessary clarifications to the Saint around the theological issues, particularly on the mystery of the Trinity, then the subject of strong controversy.</t>
  </si>
  <si>
    <t>Visionary: St. Alessio
According to an unverifiable medieval legend, Alessio, born in Rome around 350, in a senatorial family, received an apparition of the Virgin in a church in Edessa. The apparition called his name and prclaimed him a "man of God". The first account of the life and miracle of Alessio appeared in the west in the 10th century. The cult of St. Alessio was supressed in 1969.</t>
  </si>
  <si>
    <t>Visionary: St. Julian of Antioch, the "Poor Man", the Hospitaller (Martyr)
A personality of historic uncertainty, he promised on his wedding day to live in virginity with the future saint Basilissa. Being "both in prayer, their room trembled, then an overwhelming light appeared. Two choirs then appeared in the room, one of a great multitude of saints, manned by our Lord and Savior Jesus Christ, the other of innumerable virgins who had in their midst the Virgin of Virgins, Mother of God" according to Ribadeneira (according to Legende Doree of Jacopo da Varazze). This legendary tale has no trustworthy historical foundation.</t>
  </si>
  <si>
    <t>Visionary: St. Catherine of Alexandria
Legend says that St. Catherine of Alexandria studied philosophy when she was young as was fashionable in Alexandria's high society. During the course of her studies she learned about Christ. Then Catherine was converted by a vision of Our Lady and the Holy Child. She refused marriage to an emperor because Christ had already appeared to her in person and placed his gold ring on her finger (like St. Catherine of Siena). She later received a vision of Christ in prison.</t>
  </si>
  <si>
    <t>Title</t>
  </si>
  <si>
    <t>Found</t>
  </si>
  <si>
    <t>Santa Maria Maggiore (Our Lady of the Snows)</t>
  </si>
  <si>
    <t>https://www.vatican.va/various/basiliche/sm_maggiore/index_en.html</t>
  </si>
  <si>
    <t>https://www.marypages.com/our-lady-of-the-snows-en.html</t>
  </si>
  <si>
    <t>Site</t>
  </si>
  <si>
    <t>http://www.therealpresence.org/eucharst/misc/BVM/09_ZARAGOZA_60x96.pdf</t>
  </si>
  <si>
    <t>http://www.therealpresence.org/eucharst/misc/BVM/68_LE_PUY_60x96.pdf</t>
  </si>
  <si>
    <t>http://www.therealpresence.org/eucharst/misc/BVM/117_ROMA_60x96.pdf</t>
  </si>
  <si>
    <t>http://www.therealpresence.org/eucharst/misc/BVM/90_TINDARI_60x96.pdf</t>
  </si>
  <si>
    <t>http://www.therealpresence.org/eucharst/misc/BVM/121_MONTSERRAT_60x96.pdf</t>
  </si>
  <si>
    <t>http://www.therealpresence.org/eucharst/misc/BVM/153_WALSINGHAM_60x96.pdf</t>
  </si>
  <si>
    <t>http://www.therealpresence.org/eucharst/misc/BVM/80_MONTEFORTINO_60x96.pdf</t>
  </si>
  <si>
    <t>http://www.therealpresence.org/eucharst/misc/BVM/86_FOGGIA_60x96.pdf</t>
  </si>
  <si>
    <t>http://www.therealpresence.org/eucharst/misc/BVM/37_ARRAS_60x96.pdf</t>
  </si>
  <si>
    <t>http://www.therealpresence.org/eucharst/misc/BVM/123_NAZARE_96x96.pdf</t>
  </si>
  <si>
    <t>http://www.therealpresence.org/eucharst/misc/BVM/138_SWIETA_LIPKA_60x96.pdf</t>
  </si>
  <si>
    <t>http://www.therealpresence.org/eucharst/misc/BVM/38_ASSISI_60x96.pdf</t>
  </si>
  <si>
    <t>http://www.therealpresence.org/eucharst/misc/BVM/136_ARCOS_60x96.pdf</t>
  </si>
  <si>
    <t>http://www.therealpresence.org/eucharst/misc/BVM/35_CORTES_60x96.pdf</t>
  </si>
  <si>
    <t>http://www.therealpresence.org/eucharst/misc/BVM/18_FIRENZE_60x96.pdf</t>
  </si>
  <si>
    <t>http://www.therealpresence.org/eucharst/misc/BVM/05_AYLESFORD_60x96.pdf</t>
  </si>
  <si>
    <t>http://www.therealpresence.org/eucharst/misc/BVM/133_ROMA_POZZO_60x96.pdf</t>
  </si>
  <si>
    <t>http://www.therealpresence.org/eucharst/misc/BVM/148_LORETO_140x96.pdf</t>
  </si>
  <si>
    <t>http://www.therealpresence.org/eucharst/misc/BVM/44_BRA_60x96.pdf</t>
  </si>
  <si>
    <t>http://www.therealpresence.org/eucharst/misc/BVM/74_ROVERANO_60x96.pdf</t>
  </si>
  <si>
    <t>http://www.therealpresence.org/eucharst/misc/BVM/13_VALVERDE_60x96.pdf</t>
  </si>
  <si>
    <t>http://www.therealpresence.org/eucharst/misc/BVM/43_CASTEL_GODEGO_60x96.pdf</t>
  </si>
  <si>
    <t>http://www.therealpresence.org/eucharst/misc/BVM/100_CORDOBA_60x96.pdf</t>
  </si>
  <si>
    <t>http://www.therealpresence.org/eucharst/misc/BVM/58_MONTE_BERICO_60x96.pdf</t>
  </si>
  <si>
    <t>http://www.therealpresence.org/eucharst/misc/BVM/15_CARAVAGGIO_60x96.pdf</t>
  </si>
  <si>
    <t>http://www.therealpresence.org/eucharst/misc/BVM/50_DESENZANO_DI_ALBINO_60x96.pd.pdf</t>
  </si>
  <si>
    <t>http://www.therealpresence.org/eucharst/misc/BVM/105_FUERTEVENTURA_60x96.pdf</t>
  </si>
  <si>
    <t>http://www.therealpresence.org/eucharst/misc/BVM/115_S_ANASTASIA_96x96.pdf</t>
  </si>
  <si>
    <t>http://www.therealpresence.org/eucharst/misc/BVM/45_GHISALBA_60x96.pdf</t>
  </si>
  <si>
    <t>http://www.therealpresence.org/eucharst/misc/BVM/72_GARLASCO_60x96.pdf</t>
  </si>
  <si>
    <t>http://www.therealpresence.org/eucharst/misc/BVM/71_GENAZZANO_60x96.pdf</t>
  </si>
  <si>
    <t>http://www.therealpresence.org/eucharst/misc/BVM/75_BADIA_DI_CAVA_60x96.pdf</t>
  </si>
  <si>
    <t>http://www.therealpresence.org/eucharst/misc/BVM/42_BOCCADIRIO_60x96.pdf</t>
  </si>
  <si>
    <t>http://www.therealpresence.org/eucharst/misc/BVM/106_TEROR_60x96.pdf</t>
  </si>
  <si>
    <t>http://www.therealpresence.org/eucharst/misc/BVM/49_IMOLA_60x96.pdf</t>
  </si>
  <si>
    <t>http://www.therealpresence.org/eucharst/misc/BVM/67_AGRES_60x96.pdf</t>
  </si>
  <si>
    <t>http://www.therealpresence.org/eucharst/misc/BVM/55_MADONNA_DEL_SASSO_60x96.pdf</t>
  </si>
  <si>
    <t>http://www.therealpresence.org/eucharst/misc/BVM/64_GENOVA_60x96.pdf</t>
  </si>
  <si>
    <t>http://www.therealpresence.org/eucharst/misc/BVM/24_TROIS_EPIS_60x96.pdf</t>
  </si>
  <si>
    <t>http://www.therealpresence.org/eucharst/misc/BVM/51_GALLIVAGGIO_60x96.pdf</t>
  </si>
  <si>
    <t>http://www.therealpresence.org/eucharst/misc/BVM/87_RE_60x96.pdf</t>
  </si>
  <si>
    <t>http://www.therealpresence.org/eucharst/misc/BVM/47_BETTOLA_60x96.pdf</t>
  </si>
  <si>
    <t>http://www.therealpresence.org/eucharst/misc/BVM/65_MOLARE_60x96.pdf</t>
  </si>
  <si>
    <t>http://www.therealpresence.org/eucharst/misc/BVM/32_VAILANKANNI_60x96.pdf</t>
  </si>
  <si>
    <t>http://www.therealpresence.org/eucharst/misc/BVM/98_ANDACOLLO_CILE_60x96.pdf</t>
  </si>
  <si>
    <t>http://www.therealpresence.org/eucharst/misc/BVM/111_LUGGAU_60x96.pdf</t>
  </si>
  <si>
    <t>http://www.therealpresence.org/eucharst/misc/BVM/79_TIRANO_96x96.pdf</t>
  </si>
  <si>
    <t>http://www.therealpresence.org/eucharst/misc/BVM/122_MOTTA_DI_LIV_96x96.pdf</t>
  </si>
  <si>
    <t>http://www.therealpresence.org/eucharst/misc/BVM/66_PESCHIERA_S-GARDA_60x96.pdf</t>
  </si>
  <si>
    <t>http://www.therealpresence.org/eucharst/misc/BVM/41_BERGAMO_60x96.pdf</t>
  </si>
  <si>
    <t>http://www.therealpresence.org/eucharst/misc/BVM/134_RZESZOW_96x96.pdf</t>
  </si>
  <si>
    <t>http://www.therealpresence.org/eucharst/misc/BVM/84_GARAISON_60x96.pdf</t>
  </si>
  <si>
    <t>http://www.therealpresence.org/eucharst/misc/BVM/34_ADRO_60x96.pdf</t>
  </si>
  <si>
    <t>http://www.therealpresence.org/eucharst/misc/BVM/83_COTIGNAC_60x96.pdf</t>
  </si>
  <si>
    <t>http://www.therealpresence.org/eucharst/misc/BVM/114_CORI_60x96.pdf</t>
  </si>
  <si>
    <t>http://www.therealpresence.org/eucharst/misc/BVM/48_CUSSANIO_60x96.pdf</t>
  </si>
  <si>
    <t>http://www.therealpresence.org/eucharst/misc/BVM/53_CRESCENTINO_60x96.pdf</t>
  </si>
  <si>
    <t>http://www.therealpresence.org/eucharst/misc/BVM/81_ORNAVASSO_60x96.pdf</t>
  </si>
  <si>
    <t>http://www.therealpresence.org/eucharst/misc/BVM/70_GUADALUPE_96x96.pdf</t>
  </si>
  <si>
    <t>http://www.therealpresence.org/eucharst/misc/BVM/29_SAVONA_60x96.pdf</t>
  </si>
  <si>
    <t>http://www.therealpresence.org/eucharst/misc/BVM/137_SVETA_GORA_60x96.pdf</t>
  </si>
  <si>
    <t>http://www.therealpresence.org/eucharst/misc/BVM/127_OCOTLAN_96x96.pdf</t>
  </si>
  <si>
    <t>http://www.therealpresence.org/eucharst/misc/BVM/116_VACCIAGO_60x96.pdf</t>
  </si>
  <si>
    <t>http://www.therealpresence.org/eucharst/misc/BVM/60_PIETRALBA_96x96.pdf</t>
  </si>
  <si>
    <t>http://www.therealpresence.org/eucharst/misc/BVM/10_CORBETTA_60x96.pdf</t>
  </si>
  <si>
    <t>http://www.therealpresence.org/eucharst/misc/BVM/02_ARCOLA_60x96.pdf</t>
  </si>
  <si>
    <t>http://www.therealpresence.org/eucharst/misc/BVM/56_GIULIANOVA_96x96.pdf</t>
  </si>
  <si>
    <t>http://www.therealpresence.org/eucharst/misc/BVM/62_GEROSA_60x96.pdf</t>
  </si>
  <si>
    <t>http://www.therealpresence.org/eucharst/misc/BVM/141_MONCRIVELLO_60x96.pdf</t>
  </si>
  <si>
    <t>http://www.therealpresence.org/eucharst/misc/BVM/140_GOZO_60x96.pdf</t>
  </si>
  <si>
    <t>http://www.therealpresence.org/eucharst/misc/BVM/52_CASALBORDINO_60x96.pdf</t>
  </si>
  <si>
    <t>http://www.therealpresence.org/eucharst/misc/BVM/129_LUMARZO_60x96.pdf</t>
  </si>
  <si>
    <t>http://www.therealpresence.org/eucharst/misc/BVM/97_CHIQUINQUIRA_96x96.pdf</t>
  </si>
  <si>
    <t>http://www.therealpresence.org/eucharst/misc/BVM/131_QUINCHE_60x96.pdf</t>
  </si>
  <si>
    <t>http://www.therealpresence.org/eucharst/misc/BVM/132_QUITO_96x96.pdf</t>
  </si>
  <si>
    <t>http://www.therealpresence.org/eucharst/misc/BVM/120_RAPALLO_60x96.pdf</t>
  </si>
  <si>
    <t>http://www.therealpresence.org/eucharst/misc/BVM/61_BETHARRAM_60x96.pdf</t>
  </si>
  <si>
    <t>http://www.therealpresence.org/eucharst/misc/BVM/112_LUJAN_96x96.pdf</t>
  </si>
  <si>
    <t>http://www.therealpresence.org/eucharst/misc/BVM/92_CAACUPE_96x96.pdf</t>
  </si>
  <si>
    <t>http://www.therealpresence.org/eucharst/misc/BVM/94_CAYSASAY_60x96.pdf</t>
  </si>
  <si>
    <t>http://www.therealpresence.org/eucharst/misc/BVM/104_DOROSZLO_60x96.pdf</t>
  </si>
  <si>
    <t>http://www.therealpresence.org/eucharst/misc/BVM/36_ARDESIO_60x96.pdf</t>
  </si>
  <si>
    <t>http://www.therealpresence.org/eucharst/misc/BVM/57_SILUVA_96x96.pdf</t>
  </si>
  <si>
    <t>http://www.therealpresence.org/eucharst/misc/BVM/88_MANAOAG_60x96.pdf</t>
  </si>
  <si>
    <t>http://www.therealpresence.org/eucharst/misc/BVM/102_CUBA_96x96.pdf</t>
  </si>
  <si>
    <t>http://www.therealpresence.org/eucharst/misc/BVM/22_MONFERRATO_60x96.pdf</t>
  </si>
  <si>
    <t>http://www.therealpresence.org/eucharst/misc/BVM/118_MARBACH_60x96.pdf</t>
  </si>
  <si>
    <t>http://www.therealpresence.org/eucharst/misc/BVM/101_CARTAGO_60x96.pdf</t>
  </si>
  <si>
    <t>http://www.therealpresence.org/eucharst/misc/BVM/107_KEVELAER_96x96.pdf</t>
  </si>
  <si>
    <t>http://www.therealpresence.org/eucharst/misc/BVM/125_PLANTEES_60x96.pdf</t>
  </si>
  <si>
    <t>http://www.therealpresence.org/eucharst/misc/BVM/14_GUANARE_60x96.pdf</t>
  </si>
  <si>
    <t>http://www.therealpresence.org/eucharst/misc/BVM/108_LA_PRENESSAYE_60x96.pdf</t>
  </si>
  <si>
    <t>http://www.therealpresence.org/eucharst/misc/BVM/08_PIEVE_DI_TAGLIAM_60x96.pdf</t>
  </si>
  <si>
    <t>http://www.therealpresence.org/eucharst/misc/BVM/69_LAUS_140x96.pdf</t>
  </si>
  <si>
    <t>http://www.therealpresence.org/eucharst/misc/BVM/54_SAN_BARTOLOMEO_60x96.pdf</t>
  </si>
  <si>
    <t>http://www.therealpresence.org/eucharst/misc/BVM/145_GYOR_96x96.pdf</t>
  </si>
  <si>
    <t>http://www.therealpresence.org/eucharst/misc/BVM/73_COTOCA_60x96.pdf</t>
  </si>
  <si>
    <t>http://www.therealpresence.org/eucharst/misc/BVM/142_QUILLACOLLO_60x96.pdf</t>
  </si>
  <si>
    <t>http://www.therealpresence.org/eucharst/misc/BVM/130_PELLESTRINA_96x96.pdf</t>
  </si>
  <si>
    <t>http://www.therealpresence.org/eucharst/misc/BVM/77_VALE_DO_PARAIBA_60x96.pdf</t>
  </si>
  <si>
    <t>http://www.therealpresence.org/eucharst/misc/BVM/59_MONTAGNAGA_96x96.pdf</t>
  </si>
  <si>
    <t>http://www.therealpresence.org/eucharst/misc/BVM/17_DIVINO_AMORE_60x96.pdf</t>
  </si>
  <si>
    <t>http://www.therealpresence.org/eucharst/misc/BVM/95_CHAGUAYA_60x96.pdf</t>
  </si>
  <si>
    <t>http://www.therealpresence.org/eucharst/misc/BVM/109_LAJAS_96x96.pdf</t>
  </si>
  <si>
    <t>http://www.therealpresence.org/eucharst/misc/BVM/33_ABSAM_60x96.pdf</t>
  </si>
  <si>
    <t>http://www.therealpresence.org/eucharst/misc/BVM/21_LAVANG_60x96.pdf</t>
  </si>
  <si>
    <t>http://www.therealpresence.org/eucharst/misc/BVM/126_ORNANS_60x96.pdf</t>
  </si>
  <si>
    <t>http://www.therealpresence.org/eucharst/misc/BVM/110_LICHEN_96x96.pdf</t>
  </si>
  <si>
    <t>http://www.therealpresence.org/eucharst/misc/BVM/06_PARIGI_60x96.pdf</t>
  </si>
  <si>
    <t>http://www.therealpresence.org/eucharst/misc/BVM/23_ROMA_60x96.pdf</t>
  </si>
  <si>
    <t>http://www.therealpresence.org/eucharst/misc/BVM/30_LA_SALETTE_96x96.pdf</t>
  </si>
  <si>
    <t>http://www.therealpresence.org/eucharst/misc/BVM/03_BORGO_CERRETO_60x96.pdf</t>
  </si>
  <si>
    <t>http://www.therealpresence.org/eucharst/misc/BVM/27_PORZUS_60x96.pdf</t>
  </si>
  <si>
    <t>http://www.therealpresence.org/eucharst/misc/BVM/40_LOURDES_140x96.pdf</t>
  </si>
  <si>
    <t>http://www.therealpresence.org/eucharst/misc/BVM/96_CHAMPION_140x96.pdf</t>
  </si>
  <si>
    <t>http://www.therealpresence.org/eucharst/misc/BVM/12_MONTEFALCO_60x96.pdf</t>
  </si>
  <si>
    <t>http://www.therealpresence.org/eucharst/misc/BVM/89_FILIPOV_96x96.pdf</t>
  </si>
  <si>
    <t>http://www.therealpresence.org/eucharst/misc/BVM/26_PONTMAIN_60x96.pdf</t>
  </si>
  <si>
    <t>http://www.therealpresence.org/eucharst/misc/BVM/135_S_BAUZILLE_96x96.pdf</t>
  </si>
  <si>
    <t>http://www.therealpresence.org/eucharst/misc/BVM/25_POMPEI_96x96.pdf</t>
  </si>
  <si>
    <t>http://www.therealpresence.org/eucharst/misc/BVM/07_PELLEVOISIN_60x96.pdf</t>
  </si>
  <si>
    <t>http://www.therealpresence.org/eucharst/misc/BVM/85_GIETRZALD_96x96.pdf</t>
  </si>
  <si>
    <t>http://www.therealpresence.org/eucharst/misc/BVM/63_KNOCK_60x96.pdf</t>
  </si>
  <si>
    <t>http://www.therealpresence.org/eucharst/misc/BVM/82_CASTELPETROSO_60x96.pdf</t>
  </si>
  <si>
    <t>http://www.therealpresence.org/eucharst/misc/BVM/139_SZCZYRK_60x96.pdf</t>
  </si>
  <si>
    <t>http://www.therealpresence.org/eucharst/misc/BVM/91_BETANIA_96x96.pdf</t>
  </si>
  <si>
    <t>http://www.therealpresence.org/eucharst/misc/BVM/103_DONG_LU_96x96.pdf</t>
  </si>
  <si>
    <t>http://www.therealpresence.org/eucharst/misc/BVM/154_FATIMA_96x96_1.pdf</t>
  </si>
  <si>
    <t>http://www.therealpresence.org/eucharst/misc/BVM/46_TORINO_60x96.pdf</t>
  </si>
  <si>
    <t>http://www.therealpresence.org/eucharst/misc/BVM/04_CERNUSCO_60x96.pdf</t>
  </si>
  <si>
    <t>http://www.therealpresence.org/eucharst/misc/BVM/31_PONTEVEDRA_96x96.pdf</t>
  </si>
  <si>
    <t>http://www.therealpresence.org/eucharst/misc/BVM/93_CAMPINAS_140x96.pdf</t>
  </si>
  <si>
    <t>http://www.therealpresence.org/eucharst/misc/BVM/11_BEAURAING_60x96.pdf</t>
  </si>
  <si>
    <t>http://www.therealpresence.org/eucharst/misc/BVM/39_BANNEAUX_96x96.pdf</t>
  </si>
  <si>
    <t>http://www.therealpresence.org/eucharst/misc/BVM/151_PESQUEIRA_140x96.pdf</t>
  </si>
  <si>
    <t>http://www.therealpresence.org/eucharst/misc/BVM/146_HEEDE_140x96.pdf</t>
  </si>
  <si>
    <t>http://www.therealpresence.org/eucharst/misc/BVM/119_MILANO_96x96.pdf</t>
  </si>
  <si>
    <t>http://www.therealpresence.org/eucharst/misc/BVM/128_KALLIKULAM_60x96.pdf</t>
  </si>
  <si>
    <t>http://www.therealpresence.org/eucharst/misc/BVM/149_MARIENFRIED_140x96.pdf</t>
  </si>
  <si>
    <t>http://www.therealpresence.org/eucharst/misc/BVM/152_SIEKIERKI_96x96.pdf</t>
  </si>
  <si>
    <t>http://www.therealpresence.org/eucharst/misc/BVM/99_CODOSERA_140x96.pdf</t>
  </si>
  <si>
    <t>http://www.therealpresence.org/eucharst/misc/BVM/19_ILE_BOUCHARD_96x96.pdf</t>
  </si>
  <si>
    <t>http://www.therealpresence.org/eucharst/misc/BVM/147_HEROLDSBACH_140x96.pdf</t>
  </si>
  <si>
    <t>http://www.therealpresence.org/eucharst/misc/BVM/113_ROGOROTTO_60x96.pdf</t>
  </si>
  <si>
    <t>http://www.therealpresence.org/eucharst/misc/BVM/28_SIRACUSA_60x96.pdf</t>
  </si>
  <si>
    <t>http://www.therealpresence.org/eucharst/misc/BVM/124_NGOME_140x96.pdf</t>
  </si>
  <si>
    <t>http://www.therealpresence.org/eucharst/misc/BVM/150_FOSTORIA_140x96.pdf</t>
  </si>
  <si>
    <t>http://www.therealpresence.org/eucharst/misc/BVM/144_ZEITUN_96x96.pdf</t>
  </si>
  <si>
    <t>http://www.therealpresence.org/eucharst/misc/BVM/01_AKITA_60x96.pdf</t>
  </si>
  <si>
    <t>http://www.therealpresence.org/eucharst/misc/BVM/16_CUAPA_60x96.pdf</t>
  </si>
  <si>
    <t>http://www.therealpresence.org/eucharst/misc/BVM/20_KIBEHO_96x96.pdf</t>
  </si>
  <si>
    <t>http://www.therealpresence.org/eucharst/misc/BVM/143_NAMYANG_96x96.pdf</t>
  </si>
  <si>
    <t>http://www.therealpresence.org/eucharst/misc/BVM/76_AOKPE_140x96.pdf</t>
  </si>
  <si>
    <t>http://www.therealpresence.org/eucharst/misc/BVM/78_BECHWAT_60x96.pdf</t>
  </si>
  <si>
    <t>The Real Presence</t>
  </si>
  <si>
    <t>Basilica of Our Lady of Walsingham</t>
  </si>
  <si>
    <t>Miracle Hunter</t>
  </si>
  <si>
    <t/>
  </si>
  <si>
    <t>In 47 AD, Our Lady appeared to a recent Christian convert, in a chapel built few years before on a high mountain. This woman was plagued by a serious illness and no doctor had been able to help.  The Blessed Mother, during her appearance, completely cured her.</t>
  </si>
  <si>
    <t>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papal basilicas.</t>
  </si>
  <si>
    <t>Tags</t>
  </si>
  <si>
    <t>https://kibeho-sanctuary.com/</t>
  </si>
  <si>
    <t>Lat</t>
  </si>
  <si>
    <t>Lng</t>
  </si>
  <si>
    <t>Our Lady of Banneux, Virgin of the Poor</t>
  </si>
  <si>
    <t>https://banneux-nd.be/</t>
  </si>
  <si>
    <t>Our Lady of Kibeho, Mother of the Word</t>
  </si>
  <si>
    <t>The Virgin with the Golden Heart</t>
  </si>
  <si>
    <t>https://sanctuairedebeauraing.be/</t>
  </si>
  <si>
    <t>Knock Shrine (Our Lady of Knock)</t>
  </si>
  <si>
    <t>https://www.knockshrine.ie/</t>
  </si>
  <si>
    <t>MaryPages</t>
  </si>
  <si>
    <t>http://www.miraclehunter.com/marian_apparitions/approved_apparitions/knock/index.html</t>
  </si>
  <si>
    <t>https://www.marypages.com/knock-(ireland)-en.html</t>
  </si>
  <si>
    <t>Our Lady of Gietrzwald</t>
  </si>
  <si>
    <t>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t>
  </si>
  <si>
    <t>https://www.marypages.com/giertzwald-(poland)-en.html</t>
  </si>
  <si>
    <t>http://www.miraclehunter.com/marian_apparitions/approved_apparitions/gietrzwald/index.html</t>
  </si>
  <si>
    <t>https://sanktuariummaryjne.pl/</t>
  </si>
  <si>
    <t>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t>
  </si>
  <si>
    <t>https://www.miraclehunter.com/marian_apparitions/approved_apparitions/kibeho_rwanda/index.html</t>
  </si>
  <si>
    <t>https://www.marypages.com/kibeho-(rwanda)-en.html</t>
  </si>
  <si>
    <t>In 1871, during the Franco-Prussian War, Mary appeared on a farm to students at the nearby convent school.  Her message was written on a banner that unfurled from her feet: "But pray my children. God will hear you in a short time. My Son allows Himself to be moved by compassion."</t>
  </si>
  <si>
    <t>https://www.miraclehunter.com/marian_apparitions/approved_apparitions/pontmain/index.html)</t>
  </si>
  <si>
    <t>https://www.marypages.com/pontmain-(france)-en.html</t>
  </si>
  <si>
    <t>https://sanctuaire-pontmain.com/</t>
  </si>
  <si>
    <t>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t>
  </si>
  <si>
    <t>https://www.miraclehunter.com/marian_apparitions/approved_apparitions/filippsdorf/index.html</t>
  </si>
  <si>
    <t>http://cz.poutni-mista-sluknovsko.cz/bazilika-minor-panny-marie-pomocnice-krestanu-filipov.html</t>
  </si>
  <si>
    <t>Basilica of Our Lady Help of Christians</t>
  </si>
  <si>
    <t>Author's Note</t>
  </si>
  <si>
    <t>Our Lady of Zion</t>
  </si>
  <si>
    <t>Our Lady of the Miraculous Medal</t>
  </si>
  <si>
    <t>Our Lady of La Salette</t>
  </si>
  <si>
    <t>Our Lady of Lourdes</t>
  </si>
  <si>
    <t>Our Lady of Siluva</t>
  </si>
  <si>
    <t>Our Lady of Consolation</t>
  </si>
  <si>
    <t>Our Lady of Licheń</t>
  </si>
  <si>
    <t>https://www.lichen.pl/</t>
  </si>
  <si>
    <t>a:2:{s:10:"hover_icon";s:74:"//orbisdei.org/wp-content/plugins/wp-google-maps/images/spotlight-poi3.png";s:12:"hover_retina";s:1:"0";}</t>
  </si>
  <si>
    <t>2, 3</t>
  </si>
  <si>
    <t>Blessed Stanley Rother Shrine</t>
  </si>
  <si>
    <t>https://www.rothershrine.org/</t>
  </si>
  <si>
    <t>The shrine was dedicated on February 17, 2023 with the Most Rev. Paul S. Coakley, Archbishop of Oklahoma City presiding.  The service was attended by 37 bishops, 147 priests, and hundreds of other religious and pilgrims.</t>
  </si>
  <si>
    <t>Blessed Stanley Rother Shrine, Southeast 89th Street, Oklahoma City, OK, USA</t>
  </si>
  <si>
    <t>St. James the Apostle Church</t>
  </si>
  <si>
    <t>Bl. Stanley Rother ministered to the native Tzâ€™utujil people of Guatemala for years at St. James the Apostle church, on the shores of Lake Atitlan.  This is where he was martyred on July 28, 1981.</t>
  </si>
  <si>
    <t>IGLESIA CATÃ“LICA SANTIAGO APÃ“STOL, Santiago AtitlÃ¡n, Guatemala</t>
  </si>
  <si>
    <t>Mount St. Mary's Seminary</t>
  </si>
  <si>
    <t>https://seminary.msmary.edu/</t>
  </si>
  <si>
    <t>Bl. Stanley Rother completed his studies at Mount Saint Maryâ€™s Seminary and was ordained a priest on May 25, 1963.</t>
  </si>
  <si>
    <t>Mount St. Maryâ€™s Seminary, Old Emmitsburg Road, Emmitsburg, MD, USA</t>
  </si>
  <si>
    <t>Assumption Seminary</t>
  </si>
  <si>
    <t>https://assumptionseminary.org/</t>
  </si>
  <si>
    <t>Bl. Stanley Rother was accepted as a seminarian and began his studies at Assumption Seminary.</t>
  </si>
  <si>
    <t>Assumption Seminary, West Woodlawn Avenue, San Antonio, TX, USA</t>
  </si>
  <si>
    <t>Holy Trinity Catholic Church</t>
  </si>
  <si>
    <t>https://www.holytrinityok.org/</t>
  </si>
  <si>
    <t>Bl. Stanley Rother was a parishioner at Holy Trinity Catholic Church, where he received his sacraments and studied at Holy Trinity Catholic School.</t>
  </si>
  <si>
    <t>Holy Trinity Catholic Church, Missouri Avenue, Okarche, OK, USA</t>
  </si>
  <si>
    <t>1, 3</t>
  </si>
  <si>
    <t>Shrine of Our Lady of Kibeho</t>
  </si>
  <si>
    <t>Sanctuaire de Notre-Dame de Banneux / Vierge des Pauvres</t>
  </si>
  <si>
    <t>Sanctuaire Notre-Dame de Beauraing / Vierge au CÅ“ur d'Or</t>
  </si>
  <si>
    <t>Our Lady of Knock</t>
  </si>
  <si>
    <t>Knock Shrine</t>
  </si>
  <si>
    <t>Bazylika Narodzenia NMP w GietrzwaÅ‚dzie</t>
  </si>
  <si>
    <t>Our Lady of Hope, Madonna of the Crucifix</t>
  </si>
  <si>
    <t>https://www.sanctuaire-pontmain.com/</t>
  </si>
  <si>
    <t>Sanctuaire Notre-Dame de Pontmain</t>
  </si>
  <si>
    <t>Our Lady Help of Christians</t>
  </si>
  <si>
    <t>https://cz.poutni-mista-sluknovsko.cz/</t>
  </si>
  <si>
    <t>Bazilika Panny Marie Pomocnice kÅ™esÅ¥anÅ¯</t>
  </si>
  <si>
    <t>https://lasalette.cef.fr/</t>
  </si>
  <si>
    <t>Sanctuaire Notre-Dame de la Salette</t>
  </si>
  <si>
    <t>https://www.madonnadelmiracolo.it/</t>
  </si>
  <si>
    <t>Basilica di Sant'Andrea delle Fratte</t>
  </si>
  <si>
    <t>https://www.chapellenotredamedelamedaillemiraculeuse.com/</t>
  </si>
  <si>
    <t>Chapelle Notre-Dame-de-la-MÃ©daille-Miraculeuse</t>
  </si>
  <si>
    <t>Our Lady of Laus, Our Lady of Happy Meetings</t>
  </si>
  <si>
    <t>https://www.sanctuaire-notredamedulaus.com/</t>
  </si>
  <si>
    <t>Sanctuaire Notre-Dame du Laus</t>
  </si>
  <si>
    <t>https://www.ourladyofsiluva.org/</t>
  </si>
  <si>
    <t>Å iluvos Å vÄ. MergelÄ—s Marijos ApsireiÅ¡kimo koplyÄia</t>
  </si>
  <si>
    <t>https://lezajsk.bernardyni.pl/</t>
  </si>
  <si>
    <t>Bazylika Zwiastowania NajÅ›wiÄ™tszej Maryi Panny w LeÅ¼ajsku</t>
  </si>
  <si>
    <t>Our Lady of Fatima</t>
  </si>
  <si>
    <t>https://www.fatima.pt/</t>
  </si>
  <si>
    <t>SantuÃ¡rio de FÃ¡tima</t>
  </si>
  <si>
    <t>https://www.lourdes-france.org/</t>
  </si>
  <si>
    <t>Basilique Notre Dame du Rosaire</t>
  </si>
  <si>
    <t>Our Lady of Guadalupe</t>
  </si>
  <si>
    <t>https://virgendeguadalupe.org.mx/</t>
  </si>
  <si>
    <t>Basilica of Our Lady of Guadalupe</t>
  </si>
  <si>
    <t>layergroup</t>
  </si>
  <si>
    <t>other_data</t>
  </si>
  <si>
    <t>sticky</t>
  </si>
  <si>
    <t>did</t>
  </si>
  <si>
    <t>type</t>
  </si>
  <si>
    <t>retina</t>
  </si>
  <si>
    <t>approved</t>
  </si>
  <si>
    <t>category</t>
  </si>
  <si>
    <t>infoopen</t>
  </si>
  <si>
    <t>title</t>
  </si>
  <si>
    <t>anim</t>
  </si>
  <si>
    <t>lng</t>
  </si>
  <si>
    <t>lat</t>
  </si>
  <si>
    <t>icon</t>
  </si>
  <si>
    <t>link</t>
  </si>
  <si>
    <t>pic</t>
  </si>
  <si>
    <t>description</t>
  </si>
  <si>
    <t>address</t>
  </si>
  <si>
    <t>map_id</t>
  </si>
  <si>
    <t>id</t>
  </si>
  <si>
    <t>In December 1531, the Virgin Mary appeared to St. Juan Diego and his uncle.  The miraculous image imprinted on Juan Diego's tilma is on display at the Basilica of Our Lady of Guadalupe, which is the most-visited Catholic shrine in the world.</t>
  </si>
  <si>
    <t>https://www.miraclehunter.com/marian_apparitions/approved_apparitions/guadalupe/index.html</t>
  </si>
  <si>
    <t>https://www.marypages.com/guadalupe-(mexico).html</t>
  </si>
  <si>
    <t>https://www.miraclehunter.com/marian_apparitions/approved_apparitions/lejask/index.html</t>
  </si>
  <si>
    <t>https://www.miraclehunter.com/marian_apparitions/approved_apparitions/rome1842/index.html</t>
  </si>
  <si>
    <t>https://www.marypages.com/rome-(itali%C3%AB).html</t>
  </si>
  <si>
    <t>Chapel of Our Lady of the Miraculous Medal</t>
  </si>
  <si>
    <t>https://www.marypages.com/paris-(france)-en.html</t>
  </si>
  <si>
    <t>https://www.miraclehunter.com/marian_apparitions/approved_apparitions/ruedubac/index.html</t>
  </si>
  <si>
    <t>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t>
  </si>
  <si>
    <t>https://www.marypages.com/our-lady-of-siluva-en.html</t>
  </si>
  <si>
    <t>https://www.miraclehunter.com/marian_apparitions/approved_apparitions/siluva/index.html</t>
  </si>
  <si>
    <t>In a series of apparitions in 1858, the Virgin Mary appeared to St. Bernadette Soubirous.  The stream of holy water which St. Bernadette uncovered has become a well-known source of healing, and Lourdes is now a major pilgrimage destination.</t>
  </si>
  <si>
    <t>https://www.miraclehunter.com/marian_apparitions/approved_apparitions/lourdes/index.html</t>
  </si>
  <si>
    <t>https://www.marypages.com/lourdes-(frankrijk)-1858/</t>
  </si>
  <si>
    <t>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t>
  </si>
  <si>
    <t>https://www.miraclehunter.com/marian_apparitions/approved_apparitions/laus/index.html</t>
  </si>
  <si>
    <t>https://www.marypages.com/laus-(france)-en.html</t>
  </si>
  <si>
    <t>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t>
  </si>
  <si>
    <t>https://www.miraclehunter.com/marian_apparitions/approved_apparitions/fatima/index.html</t>
  </si>
  <si>
    <t>https://www.marypages.com/fatima-(portugal)-1917.html</t>
  </si>
  <si>
    <t>Sanctuary of Our Lady of Gietrzwałd</t>
  </si>
  <si>
    <t>In 1846, the Blessed Virgin Mary appeared to 11-year-old Maximin Giraud and 14-year-old Melanie Calvat-Mathieu while they tended sheep in a small French Alpine village.  Her appearance in sorrow and tears called for conversion and repentance.</t>
  </si>
  <si>
    <t>https://www.miraclehunter.com/marian_apparitions/approved_apparitions/lasalette/index.html</t>
  </si>
  <si>
    <t>https://www.marypages.com/la-salette-(france)-en.html</t>
  </si>
  <si>
    <t>Sanctuary of Pontmain (Mother of Hope)</t>
  </si>
  <si>
    <t>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t>
  </si>
  <si>
    <t>https://www.marypages.com/lichen-(poland)-holy-mother-of-sorrow-en.html</t>
  </si>
  <si>
    <t>Shrine of Our Lady of Kibeho (Mother of the Word)</t>
  </si>
  <si>
    <t>Rwanda</t>
  </si>
  <si>
    <t>Lebanon</t>
  </si>
  <si>
    <t>Kibeho</t>
  </si>
  <si>
    <t>Country</t>
  </si>
  <si>
    <t>juan-diego</t>
  </si>
  <si>
    <t>benoite-rencurel</t>
  </si>
  <si>
    <t>catherine-laboure</t>
  </si>
  <si>
    <t>marie-alphonse-ratisbonne</t>
  </si>
  <si>
    <t>bernadette-soubirous</t>
  </si>
  <si>
    <t>Andorra</t>
  </si>
  <si>
    <t>United Arab Emirates</t>
  </si>
  <si>
    <t>Afghanistan</t>
  </si>
  <si>
    <t>Antigua and Barbuda</t>
  </si>
  <si>
    <t>Anguilla</t>
  </si>
  <si>
    <t>Albania</t>
  </si>
  <si>
    <t>Armenia</t>
  </si>
  <si>
    <t>Angola</t>
  </si>
  <si>
    <t>Antarctica</t>
  </si>
  <si>
    <t>Argentina</t>
  </si>
  <si>
    <t>American Samoa</t>
  </si>
  <si>
    <t>Austria</t>
  </si>
  <si>
    <t>Australia</t>
  </si>
  <si>
    <t>Aruba</t>
  </si>
  <si>
    <t>Azerbaijan</t>
  </si>
  <si>
    <t>Bosnia and Herzegovina</t>
  </si>
  <si>
    <t>Barbados</t>
  </si>
  <si>
    <t>Bangladesh</t>
  </si>
  <si>
    <t>Belgium</t>
  </si>
  <si>
    <t>Burkina Faso</t>
  </si>
  <si>
    <t>Bulgaria</t>
  </si>
  <si>
    <t>Bahrain</t>
  </si>
  <si>
    <t>Burundi</t>
  </si>
  <si>
    <t>Benin</t>
  </si>
  <si>
    <t>Bermuda</t>
  </si>
  <si>
    <t>Brunei Darussalam</t>
  </si>
  <si>
    <t>Bonaire, Sint Eustatius and Saba</t>
  </si>
  <si>
    <t>Brazil</t>
  </si>
  <si>
    <t>Bahamas</t>
  </si>
  <si>
    <t>Bhutan</t>
  </si>
  <si>
    <t>Bouvet Island</t>
  </si>
  <si>
    <t>Botswana</t>
  </si>
  <si>
    <t>Belarus</t>
  </si>
  <si>
    <t>Belize</t>
  </si>
  <si>
    <t>Canada</t>
  </si>
  <si>
    <t>Cocos (Keeling) Islands</t>
  </si>
  <si>
    <t>Central African Republic</t>
  </si>
  <si>
    <t>Congo</t>
  </si>
  <si>
    <t>Switzerland</t>
  </si>
  <si>
    <t>Cook Islands</t>
  </si>
  <si>
    <t>Chile</t>
  </si>
  <si>
    <t>Cameroon</t>
  </si>
  <si>
    <t>China</t>
  </si>
  <si>
    <t>Colombia</t>
  </si>
  <si>
    <t>Costa Rica</t>
  </si>
  <si>
    <t>Cuba</t>
  </si>
  <si>
    <t>Cabo Verde</t>
  </si>
  <si>
    <t>Curaçao</t>
  </si>
  <si>
    <t>Christmas Island</t>
  </si>
  <si>
    <t>Cyprus</t>
  </si>
  <si>
    <t>Czechia</t>
  </si>
  <si>
    <t>Germany</t>
  </si>
  <si>
    <t>Djibouti</t>
  </si>
  <si>
    <t>Denmark</t>
  </si>
  <si>
    <t>Dominica</t>
  </si>
  <si>
    <t>Dominican Republic</t>
  </si>
  <si>
    <t>Algeria</t>
  </si>
  <si>
    <t>Ecuador</t>
  </si>
  <si>
    <t>Estonia</t>
  </si>
  <si>
    <t>Western Sahara</t>
  </si>
  <si>
    <t>Eritrea</t>
  </si>
  <si>
    <t>Spain</t>
  </si>
  <si>
    <t>Ethiopia</t>
  </si>
  <si>
    <t>Finland</t>
  </si>
  <si>
    <t>Fiji</t>
  </si>
  <si>
    <t>Faroe Islands</t>
  </si>
  <si>
    <t>France</t>
  </si>
  <si>
    <t>Gabon</t>
  </si>
  <si>
    <t>Grenada</t>
  </si>
  <si>
    <t>Georgia</t>
  </si>
  <si>
    <t>French Guiana</t>
  </si>
  <si>
    <t>Guernsey</t>
  </si>
  <si>
    <t>Ghana</t>
  </si>
  <si>
    <t>Gibraltar</t>
  </si>
  <si>
    <t>Greenland</t>
  </si>
  <si>
    <t>Gambia</t>
  </si>
  <si>
    <t>Guinea</t>
  </si>
  <si>
    <t>Guadeloupe</t>
  </si>
  <si>
    <t>Equatorial Guinea</t>
  </si>
  <si>
    <t>Greece</t>
  </si>
  <si>
    <t>South Georgia and the South Sandwich Islands</t>
  </si>
  <si>
    <t>Guatemala</t>
  </si>
  <si>
    <t>Guam</t>
  </si>
  <si>
    <t>Guinea-Bissau</t>
  </si>
  <si>
    <t>Guyana</t>
  </si>
  <si>
    <t>Hong Kong</t>
  </si>
  <si>
    <t>Heard Island and McDonald Islands</t>
  </si>
  <si>
    <t>Honduras</t>
  </si>
  <si>
    <t>Croatia</t>
  </si>
  <si>
    <t>Haiti</t>
  </si>
  <si>
    <t>Hungary</t>
  </si>
  <si>
    <t>Indonesia</t>
  </si>
  <si>
    <t>Ireland</t>
  </si>
  <si>
    <t>Israel</t>
  </si>
  <si>
    <t>Isle of Man</t>
  </si>
  <si>
    <t>British Indian Ocean Territory</t>
  </si>
  <si>
    <t>Iraq</t>
  </si>
  <si>
    <t>Iceland</t>
  </si>
  <si>
    <t>Jersey</t>
  </si>
  <si>
    <t>Jamaica</t>
  </si>
  <si>
    <t>Jordan</t>
  </si>
  <si>
    <t>Japan</t>
  </si>
  <si>
    <t>Kenya</t>
  </si>
  <si>
    <t>Kyrgyzstan</t>
  </si>
  <si>
    <t>Cambodia</t>
  </si>
  <si>
    <t>Kiribati</t>
  </si>
  <si>
    <t>Comoros</t>
  </si>
  <si>
    <t>Saint Kitts and Nevis</t>
  </si>
  <si>
    <t>Kuwait</t>
  </si>
  <si>
    <t>Cayman Islands</t>
  </si>
  <si>
    <t>Kazakhstan</t>
  </si>
  <si>
    <t>Saint Lucia</t>
  </si>
  <si>
    <t>Liechtenstein</t>
  </si>
  <si>
    <t>Sri Lanka</t>
  </si>
  <si>
    <t>Liberia</t>
  </si>
  <si>
    <t>Lesotho</t>
  </si>
  <si>
    <t>Lithuania</t>
  </si>
  <si>
    <t>Luxembourg</t>
  </si>
  <si>
    <t>Latvia</t>
  </si>
  <si>
    <t>Libya</t>
  </si>
  <si>
    <t>Morocco</t>
  </si>
  <si>
    <t>Monaco</t>
  </si>
  <si>
    <t>Montenegro</t>
  </si>
  <si>
    <t>Madagascar</t>
  </si>
  <si>
    <t>Marshall Islands</t>
  </si>
  <si>
    <t>North Macedonia</t>
  </si>
  <si>
    <t>Mali</t>
  </si>
  <si>
    <t>Myanmar</t>
  </si>
  <si>
    <t>Mongolia</t>
  </si>
  <si>
    <t>Macao</t>
  </si>
  <si>
    <t>MP</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</si>
  <si>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</si>
  <si>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</si>
  <si>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</si>
  <si>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</si>
  <si>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</si>
  <si>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</si>
  <si>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</si>
  <si>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</si>
  <si>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</si>
  <si>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</si>
  <si>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</si>
  <si>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</si>
  <si>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</si>
  <si>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</si>
  <si>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</si>
  <si>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</si>
  <si>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</si>
  <si>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Norway</t>
  </si>
  <si>
    <t>Nepal</t>
  </si>
  <si>
    <t>Nauru</t>
  </si>
  <si>
    <t>Niue</t>
  </si>
  <si>
    <t>New Zealand</t>
  </si>
  <si>
    <t>Oman</t>
  </si>
  <si>
    <t>Panama</t>
  </si>
  <si>
    <t>Peru</t>
  </si>
  <si>
    <t>French Polynesia</t>
  </si>
  <si>
    <t>Papua New Guinea</t>
  </si>
  <si>
    <t>Philippines</t>
  </si>
  <si>
    <t>Pakistan</t>
  </si>
  <si>
    <t>Poland</t>
  </si>
  <si>
    <t>Saint Pierre and Miquelon</t>
  </si>
  <si>
    <t>Pitcairn</t>
  </si>
  <si>
    <t>Puerto Rico</t>
  </si>
  <si>
    <t>Portugal</t>
  </si>
  <si>
    <t>Palau</t>
  </si>
  <si>
    <t>Paraguay</t>
  </si>
  <si>
    <t>Qatar</t>
  </si>
  <si>
    <t>Réunion</t>
  </si>
  <si>
    <t>Romania</t>
  </si>
  <si>
    <t>Serbia</t>
  </si>
  <si>
    <t>Saudi Arabia</t>
  </si>
  <si>
    <t>Solomon Islands</t>
  </si>
  <si>
    <t>Seychelles</t>
  </si>
  <si>
    <t>Sudan</t>
  </si>
  <si>
    <t>Sweden</t>
  </si>
  <si>
    <t>Singapore</t>
  </si>
  <si>
    <t>Saint Helena, Ascension and Tristan da Cunha</t>
  </si>
  <si>
    <t>Slovenia</t>
  </si>
  <si>
    <t>Svalbard and Jan Mayen</t>
  </si>
  <si>
    <t>Slovakia</t>
  </si>
  <si>
    <t>Sierra Leone</t>
  </si>
  <si>
    <t>San Marino</t>
  </si>
  <si>
    <t>Senegal</t>
  </si>
  <si>
    <t>Somalia</t>
  </si>
  <si>
    <t>Suriname</t>
  </si>
  <si>
    <t>South Sudan</t>
  </si>
  <si>
    <t>Sao Tome and Principe</t>
  </si>
  <si>
    <t>El Salvador</t>
  </si>
  <si>
    <t>Eswatini</t>
  </si>
  <si>
    <t>Chad</t>
  </si>
  <si>
    <t>French Southern Territories</t>
  </si>
  <si>
    <t>Togo</t>
  </si>
  <si>
    <t>Thailand</t>
  </si>
  <si>
    <t>Tajikistan</t>
  </si>
  <si>
    <t>Tokelau</t>
  </si>
  <si>
    <t>Timor-Leste</t>
  </si>
  <si>
    <t>Turkmenistan</t>
  </si>
  <si>
    <t>Tunisia</t>
  </si>
  <si>
    <t>Tonga</t>
  </si>
  <si>
    <t>Trinidad and Tobago</t>
  </si>
  <si>
    <t>Tuvalu</t>
  </si>
  <si>
    <t>Ukraine</t>
  </si>
  <si>
    <t>Uganda</t>
  </si>
  <si>
    <t>United States Minor Outlying Islands</t>
  </si>
  <si>
    <t>United States of America</t>
  </si>
  <si>
    <t>Uruguay</t>
  </si>
  <si>
    <t>Uzbekistan</t>
  </si>
  <si>
    <t>Saint Vincent and the Grenadines</t>
  </si>
  <si>
    <t>Vanuatu</t>
  </si>
  <si>
    <t>Wallis and Futuna</t>
  </si>
  <si>
    <t>Samoa</t>
  </si>
  <si>
    <t>Yemen</t>
  </si>
  <si>
    <t>Mayotte</t>
  </si>
  <si>
    <t>South Africa</t>
  </si>
  <si>
    <t>Zambia</t>
  </si>
  <si>
    <t>Zimbabwe</t>
  </si>
  <si>
    <t>Bolivia</t>
  </si>
  <si>
    <t>Democratic Republic of the Congo</t>
  </si>
  <si>
    <t>Falkland Islands</t>
  </si>
  <si>
    <t>Micronesia</t>
  </si>
  <si>
    <t>Iran</t>
  </si>
  <si>
    <t>North Korea</t>
  </si>
  <si>
    <t>Saint Martin</t>
  </si>
  <si>
    <t>Sint Maarten</t>
  </si>
  <si>
    <t>Venezuela</t>
  </si>
  <si>
    <t>British Virgin Islands</t>
  </si>
  <si>
    <t>US Virgin Islands</t>
  </si>
  <si>
    <t>South Korea</t>
  </si>
  <si>
    <t>Moldova</t>
  </si>
  <si>
    <t>Netherlands</t>
  </si>
  <si>
    <t>Palestine</t>
  </si>
  <si>
    <t>Taiwan</t>
  </si>
  <si>
    <t>Tanzania</t>
  </si>
  <si>
    <t>Fatima</t>
  </si>
  <si>
    <t>Shrine of Fatima</t>
  </si>
  <si>
    <t>Full Title</t>
  </si>
  <si>
    <t>Short Title</t>
  </si>
  <si>
    <t>S Maria Maggiore</t>
  </si>
  <si>
    <t>Italy-Rome</t>
  </si>
  <si>
    <t>France-Paris</t>
  </si>
  <si>
    <t>Cote d'Ivoire</t>
  </si>
  <si>
    <t>Saint Barthelemy</t>
  </si>
  <si>
    <t>Aland Islands</t>
  </si>
  <si>
    <t>United Kingdom</t>
  </si>
  <si>
    <t>Laos</t>
  </si>
  <si>
    <t>Russia</t>
  </si>
  <si>
    <t>Syria</t>
  </si>
  <si>
    <t>Turks and Caicos</t>
  </si>
  <si>
    <t>Vietnam</t>
  </si>
  <si>
    <t>ad</t>
  </si>
  <si>
    <t>ae</t>
  </si>
  <si>
    <t>af</t>
  </si>
  <si>
    <t>ag</t>
  </si>
  <si>
    <t>ai</t>
  </si>
  <si>
    <t>al</t>
  </si>
  <si>
    <t>am</t>
  </si>
  <si>
    <t>ao</t>
  </si>
  <si>
    <t>aq</t>
  </si>
  <si>
    <t>ar</t>
  </si>
  <si>
    <t>as</t>
  </si>
  <si>
    <t>at</t>
  </si>
  <si>
    <t>au</t>
  </si>
  <si>
    <t>aw</t>
  </si>
  <si>
    <t>ax</t>
  </si>
  <si>
    <t>az</t>
  </si>
  <si>
    <t>ba</t>
  </si>
  <si>
    <t>bb</t>
  </si>
  <si>
    <t>bd</t>
  </si>
  <si>
    <t>be</t>
  </si>
  <si>
    <t>bf</t>
  </si>
  <si>
    <t>bg</t>
  </si>
  <si>
    <t>bh</t>
  </si>
  <si>
    <t>bi</t>
  </si>
  <si>
    <t>bj</t>
  </si>
  <si>
    <t>bl</t>
  </si>
  <si>
    <t>bm</t>
  </si>
  <si>
    <t>bn</t>
  </si>
  <si>
    <t>bo</t>
  </si>
  <si>
    <t>bq</t>
  </si>
  <si>
    <t>br</t>
  </si>
  <si>
    <t>bs</t>
  </si>
  <si>
    <t>bt</t>
  </si>
  <si>
    <t>bv</t>
  </si>
  <si>
    <t>bw</t>
  </si>
  <si>
    <t>by</t>
  </si>
  <si>
    <t>bz</t>
  </si>
  <si>
    <t>ca</t>
  </si>
  <si>
    <t>cc</t>
  </si>
  <si>
    <t>cd</t>
  </si>
  <si>
    <t>cf</t>
  </si>
  <si>
    <t>cg</t>
  </si>
  <si>
    <t>ch</t>
  </si>
  <si>
    <t>ci</t>
  </si>
  <si>
    <t>ck</t>
  </si>
  <si>
    <t>cl</t>
  </si>
  <si>
    <t>cm</t>
  </si>
  <si>
    <t>cn</t>
  </si>
  <si>
    <t>co</t>
  </si>
  <si>
    <t>cr</t>
  </si>
  <si>
    <t>cu</t>
  </si>
  <si>
    <t>cv</t>
  </si>
  <si>
    <t>cw</t>
  </si>
  <si>
    <t>cx</t>
  </si>
  <si>
    <t>cy</t>
  </si>
  <si>
    <t>cz</t>
  </si>
  <si>
    <t>de</t>
  </si>
  <si>
    <t>dj</t>
  </si>
  <si>
    <t>dk</t>
  </si>
  <si>
    <t>dm</t>
  </si>
  <si>
    <t>do</t>
  </si>
  <si>
    <t>dz</t>
  </si>
  <si>
    <t>ec</t>
  </si>
  <si>
    <t>ee</t>
  </si>
  <si>
    <t>eg</t>
  </si>
  <si>
    <t>eh</t>
  </si>
  <si>
    <t>er</t>
  </si>
  <si>
    <t>es</t>
  </si>
  <si>
    <t>et</t>
  </si>
  <si>
    <t>fi</t>
  </si>
  <si>
    <t>fj</t>
  </si>
  <si>
    <t>fk</t>
  </si>
  <si>
    <t>fm</t>
  </si>
  <si>
    <t>fo</t>
  </si>
  <si>
    <t>fr</t>
  </si>
  <si>
    <t>ga</t>
  </si>
  <si>
    <t>gb</t>
  </si>
  <si>
    <t>gd</t>
  </si>
  <si>
    <t>ge</t>
  </si>
  <si>
    <t>gf</t>
  </si>
  <si>
    <t>gg</t>
  </si>
  <si>
    <t>gh</t>
  </si>
  <si>
    <t>gi</t>
  </si>
  <si>
    <t>gl</t>
  </si>
  <si>
    <t>gm</t>
  </si>
  <si>
    <t>gn</t>
  </si>
  <si>
    <t>gp</t>
  </si>
  <si>
    <t>gq</t>
  </si>
  <si>
    <t>gr</t>
  </si>
  <si>
    <t>gs</t>
  </si>
  <si>
    <t>gt</t>
  </si>
  <si>
    <t>gu</t>
  </si>
  <si>
    <t>gw</t>
  </si>
  <si>
    <t>gy</t>
  </si>
  <si>
    <t>hk</t>
  </si>
  <si>
    <t>hm</t>
  </si>
  <si>
    <t>hn</t>
  </si>
  <si>
    <t>hr</t>
  </si>
  <si>
    <t>ht</t>
  </si>
  <si>
    <t>hu</t>
  </si>
  <si>
    <t>ie</t>
  </si>
  <si>
    <t>il</t>
  </si>
  <si>
    <t>im</t>
  </si>
  <si>
    <t>in</t>
  </si>
  <si>
    <t>io</t>
  </si>
  <si>
    <t>iq</t>
  </si>
  <si>
    <t>ir</t>
  </si>
  <si>
    <t>is</t>
  </si>
  <si>
    <t>it</t>
  </si>
  <si>
    <t>je</t>
  </si>
  <si>
    <t>jm</t>
  </si>
  <si>
    <t>jo</t>
  </si>
  <si>
    <t>jp</t>
  </si>
  <si>
    <t>ke</t>
  </si>
  <si>
    <t>kg</t>
  </si>
  <si>
    <t>kh</t>
  </si>
  <si>
    <t>ki</t>
  </si>
  <si>
    <t>km</t>
  </si>
  <si>
    <t>kn</t>
  </si>
  <si>
    <t>kp</t>
  </si>
  <si>
    <t>kr</t>
  </si>
  <si>
    <t>kw</t>
  </si>
  <si>
    <t>ky</t>
  </si>
  <si>
    <t>kz</t>
  </si>
  <si>
    <t>la</t>
  </si>
  <si>
    <t>lb</t>
  </si>
  <si>
    <t>lc</t>
  </si>
  <si>
    <t>li</t>
  </si>
  <si>
    <t>lk</t>
  </si>
  <si>
    <t>lr</t>
  </si>
  <si>
    <t>ls</t>
  </si>
  <si>
    <t>lt</t>
  </si>
  <si>
    <t>lu</t>
  </si>
  <si>
    <t>lv</t>
  </si>
  <si>
    <t>ly</t>
  </si>
  <si>
    <t>ma</t>
  </si>
  <si>
    <t>mc</t>
  </si>
  <si>
    <t>md</t>
  </si>
  <si>
    <t>me</t>
  </si>
  <si>
    <t>mf</t>
  </si>
  <si>
    <t>mg</t>
  </si>
  <si>
    <t>mh</t>
  </si>
  <si>
    <t>mk</t>
  </si>
  <si>
    <t>ml</t>
  </si>
  <si>
    <t>mm</t>
  </si>
  <si>
    <t>mn</t>
  </si>
  <si>
    <t>mo</t>
  </si>
  <si>
    <t>mp</t>
  </si>
  <si>
    <t>mq</t>
  </si>
  <si>
    <t>mr</t>
  </si>
  <si>
    <t>ms</t>
  </si>
  <si>
    <t>mt</t>
  </si>
  <si>
    <t>mu</t>
  </si>
  <si>
    <t>mv</t>
  </si>
  <si>
    <t>mw</t>
  </si>
  <si>
    <t>mx</t>
  </si>
  <si>
    <t>my</t>
  </si>
  <si>
    <t>mz</t>
  </si>
  <si>
    <t>na</t>
  </si>
  <si>
    <t>nc</t>
  </si>
  <si>
    <t>ne</t>
  </si>
  <si>
    <t>nf</t>
  </si>
  <si>
    <t>ng</t>
  </si>
  <si>
    <t>ni</t>
  </si>
  <si>
    <t>nl</t>
  </si>
  <si>
    <t>no</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</si>
  <si>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</si>
  <si>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</si>
  <si>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</si>
  <si>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</si>
  <si>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</si>
  <si>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</si>
  <si>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</si>
  <si>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</si>
  <si>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</si>
  <si>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</si>
  <si>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</si>
  <si>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</si>
  <si>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</si>
  <si>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</si>
  <si>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</si>
  <si>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</si>
  <si>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</si>
  <si>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</si>
  <si>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</si>
  <si>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</si>
  <si>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</si>
  <si>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</si>
  <si>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</si>
  <si>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</si>
  <si>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</si>
  <si>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sa</t>
  </si>
  <si>
    <t>sb</t>
  </si>
  <si>
    <t>sc</t>
  </si>
  <si>
    <t>sd</t>
  </si>
  <si>
    <t>se</t>
  </si>
  <si>
    <t>sg</t>
  </si>
  <si>
    <t>sh</t>
  </si>
  <si>
    <t>si</t>
  </si>
  <si>
    <t>sj</t>
  </si>
  <si>
    <t>sk</t>
  </si>
  <si>
    <t>sl</t>
  </si>
  <si>
    <t>sm</t>
  </si>
  <si>
    <t>sn</t>
  </si>
  <si>
    <t>so</t>
  </si>
  <si>
    <t>sr</t>
  </si>
  <si>
    <t>ss</t>
  </si>
  <si>
    <t>st</t>
  </si>
  <si>
    <t>sv</t>
  </si>
  <si>
    <t>sx</t>
  </si>
  <si>
    <t>sy</t>
  </si>
  <si>
    <t>sz</t>
  </si>
  <si>
    <t>tc</t>
  </si>
  <si>
    <t>td</t>
  </si>
  <si>
    <t>tf</t>
  </si>
  <si>
    <t>tg</t>
  </si>
  <si>
    <t>th</t>
  </si>
  <si>
    <t>tj</t>
  </si>
  <si>
    <t>tk</t>
  </si>
  <si>
    <t>tl</t>
  </si>
  <si>
    <t>tm</t>
  </si>
  <si>
    <t>tn</t>
  </si>
  <si>
    <t>to</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</si>
  <si>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</si>
  <si>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</si>
  <si>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</si>
  <si>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</si>
  <si>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</si>
  <si>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</si>
  <si>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</si>
  <si>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</si>
  <si>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</si>
  <si>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</si>
  <si>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</si>
  <si>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</si>
  <si>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</si>
  <si>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</si>
  <si>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</si>
  <si>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</si>
  <si>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</si>
  <si>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</si>
  <si>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</si>
  <si>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</si>
  <si>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</si>
  <si>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</si>
  <si>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</si>
  <si>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</si>
  <si>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</si>
  <si>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Filename</t>
  </si>
  <si>
    <t>Sanctuary of Pontmain</t>
  </si>
  <si>
    <t>Banneux</t>
  </si>
  <si>
    <t>Beauraing</t>
  </si>
  <si>
    <t>Knock</t>
  </si>
  <si>
    <t>Gietrzwald</t>
  </si>
  <si>
    <t>Filipov</t>
  </si>
  <si>
    <t>Pontmain</t>
  </si>
  <si>
    <t>Lourdes</t>
  </si>
  <si>
    <t>papal-basilicas</t>
  </si>
  <si>
    <t>Page Title</t>
  </si>
  <si>
    <t>In 1879, 15 individuals witnessed the figures of Mary, Joseph, John the Evangelist, and a lamb and cross atop an altar, all enveloped in a bright light outside the local church.  The imagery is unique to Knock and holds eschatological significance for Catholics.</t>
  </si>
  <si>
    <t>OS</t>
  </si>
  <si>
    <t>Rome</t>
  </si>
  <si>
    <t>Guadalupe</t>
  </si>
  <si>
    <t>Šiluva</t>
  </si>
  <si>
    <t>Basilica of the Nativity of the Blessed Virgin Mary</t>
  </si>
  <si>
    <t>https://siluva.lt/</t>
  </si>
  <si>
    <t>Laus</t>
  </si>
  <si>
    <t>Sanctuary of Our Lady of Laus</t>
  </si>
  <si>
    <t>Sanctuary of Our Lady of Lourdes</t>
  </si>
  <si>
    <t>1664-1718</t>
  </si>
  <si>
    <t>1968-1970</t>
  </si>
  <si>
    <t>Virgin Mary Church in Zeitoun</t>
  </si>
  <si>
    <t>Virgin Mary Church in Zeitoun (Our Lady of Zeitoun, Our Lady of Light)</t>
  </si>
  <si>
    <t>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t>
  </si>
  <si>
    <t>https://www.miraclehunter.com/marian_apparitions/approved_apparitions/zeitun/index.html</t>
  </si>
  <si>
    <t>https://www.marypages.com/zeitoen-ca%C3%AFro-(egypt)-en.html</t>
  </si>
  <si>
    <t>https://www.stmaryztn.org/saintmary/en/</t>
  </si>
  <si>
    <t>coptic</t>
  </si>
  <si>
    <t>Licheń</t>
  </si>
  <si>
    <t>1813-1850</t>
  </si>
  <si>
    <t>Basilica of Our Lady of Licheń (Holy Mother of Sorrows, Queen of Poland)</t>
  </si>
  <si>
    <t>Basilica of Our Lady of Lichen</t>
  </si>
  <si>
    <t>Paris</t>
  </si>
  <si>
    <t>La Salette</t>
  </si>
  <si>
    <t>Sanctuary of Our Lady of La Salette</t>
  </si>
  <si>
    <t>Sant'Andrea delle Fratte (Shrine of Our Lady of the Miracle, Our Lady of Zion)</t>
  </si>
  <si>
    <t>Sant Andrea delle Fratte</t>
  </si>
  <si>
    <t>Zeitoun</t>
  </si>
  <si>
    <t>Basilica of the Nativity of the Blessed Virgin Mary (Our Lady of Siluva)</t>
  </si>
  <si>
    <t>Sanctuary of Our Lady of the Rosary of Fatima</t>
  </si>
  <si>
    <t>Cathedral-Basilica of Our Lady of the Pillar</t>
  </si>
  <si>
    <t>Cathedral Basilica of Our Lady of the Pillar</t>
  </si>
  <si>
    <t>https://catedraldezaragoza.es/basilica/</t>
  </si>
  <si>
    <t>https://www.marypages.com/our-lady-of-the-pillar.html</t>
  </si>
  <si>
    <t>james-greater</t>
  </si>
  <si>
    <t>Zaragoza</t>
  </si>
  <si>
    <t>Our Lady of Vladimir</t>
  </si>
  <si>
    <t>Our Lady of Altötting</t>
  </si>
  <si>
    <t>Our Lady of Noorieh Monastery</t>
  </si>
  <si>
    <t>Sanctuary of Our Lady of Bechouat</t>
  </si>
  <si>
    <t>https://www.ourladyofaokpe.com/</t>
  </si>
  <si>
    <t>Shrine of Our Lady of Aokpe (Mediatrix of all Graces)</t>
  </si>
  <si>
    <t>Shrine of Our Lady of Aokpe</t>
  </si>
  <si>
    <t>http://www.miraclehunter.com/marian_apparitions/approved_apparitions/aokpe/index.html</t>
  </si>
  <si>
    <t>The Virgin Mary began appearing in October 1992 to a twelve-year-old girl Christiana Agbo in Aokpe located in the small village in a remote area of Nigeria.  Over the years, visible miracles such as solar phenomena and a Eucharistic miracle took place at the site.</t>
  </si>
  <si>
    <t>1992-2004</t>
  </si>
  <si>
    <t>Aokpe</t>
  </si>
  <si>
    <t>Bechouat</t>
  </si>
  <si>
    <t>In Progress</t>
  </si>
  <si>
    <t>Leżajsk</t>
  </si>
  <si>
    <t>Basilica of the Annunciation of the Blessed Virgin Mary</t>
  </si>
  <si>
    <t>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t>
  </si>
  <si>
    <t>Czestochowa</t>
  </si>
  <si>
    <t>Unknown</t>
  </si>
  <si>
    <t>Jasna Gora Monastery (Our Lady of Czestochowa)</t>
  </si>
  <si>
    <t>Jasna Gora Monastery</t>
  </si>
  <si>
    <t>https://jasnagora.pl/</t>
  </si>
  <si>
    <t>https://www.miraclehunter.com/marian_apparitions/approved_apparitions/czestochowa/</t>
  </si>
  <si>
    <t>https://www.marypages.com/czestochowa-(poland)-en.html</t>
  </si>
  <si>
    <t>The Monastery of Jasna Gora in Częstochowa, Poland, is the third-largest Catholic pilgrimage site in the world.  Home to the beloved miraculous icon of Our Lady of Częstochowa, the monastery is also the national shrine of Poland and a pillar of Polish Catholicism.</t>
  </si>
  <si>
    <t>5th and 6th Centuries</t>
  </si>
  <si>
    <t>9th Century</t>
  </si>
  <si>
    <t>11th Century</t>
  </si>
  <si>
    <t>1000</t>
  </si>
  <si>
    <t>1001</t>
  </si>
  <si>
    <t>1105</t>
  </si>
  <si>
    <t>1182</t>
  </si>
  <si>
    <t>13th Century</t>
  </si>
  <si>
    <t>1216</t>
  </si>
  <si>
    <t>1220</t>
  </si>
  <si>
    <t>1222</t>
  </si>
  <si>
    <t>1233</t>
  </si>
  <si>
    <t>1251</t>
  </si>
  <si>
    <t>1256</t>
  </si>
  <si>
    <t>1310</t>
  </si>
  <si>
    <t>1336</t>
  </si>
  <si>
    <t>1350</t>
  </si>
  <si>
    <t>1420</t>
  </si>
  <si>
    <t>1426-1428</t>
  </si>
  <si>
    <t>1432</t>
  </si>
  <si>
    <t>1440</t>
  </si>
  <si>
    <t>1443</t>
  </si>
  <si>
    <t>1453</t>
  </si>
  <si>
    <t>1462</t>
  </si>
  <si>
    <t>1467</t>
  </si>
  <si>
    <t>1470</t>
  </si>
  <si>
    <t>1480</t>
  </si>
  <si>
    <t>1481</t>
  </si>
  <si>
    <t>1483</t>
  </si>
  <si>
    <t>1484</t>
  </si>
  <si>
    <t>1490</t>
  </si>
  <si>
    <t>1491</t>
  </si>
  <si>
    <t>1492</t>
  </si>
  <si>
    <t>1494</t>
  </si>
  <si>
    <t>1496</t>
  </si>
  <si>
    <t>16th Century</t>
  </si>
  <si>
    <t>1504</t>
  </si>
  <si>
    <t>1510</t>
  </si>
  <si>
    <t>1513</t>
  </si>
  <si>
    <t>1515</t>
  </si>
  <si>
    <t>1519</t>
  </si>
  <si>
    <t>1519-1637</t>
  </si>
  <si>
    <t>1521</t>
  </si>
  <si>
    <t>1525</t>
  </si>
  <si>
    <t>1528</t>
  </si>
  <si>
    <t>1536</t>
  </si>
  <si>
    <t>1539</t>
  </si>
  <si>
    <t>1541</t>
  </si>
  <si>
    <t>1543</t>
  </si>
  <si>
    <t>1553</t>
  </si>
  <si>
    <t>1555</t>
  </si>
  <si>
    <t>1556</t>
  </si>
  <si>
    <t>1557</t>
  </si>
  <si>
    <t>1558</t>
  </si>
  <si>
    <t>1562</t>
  </si>
  <si>
    <t>1575</t>
  </si>
  <si>
    <t>1576</t>
  </si>
  <si>
    <t>1583</t>
  </si>
  <si>
    <t>1586</t>
  </si>
  <si>
    <t>1594-1634</t>
  </si>
  <si>
    <t>1597</t>
  </si>
  <si>
    <t>about the 17th Century</t>
  </si>
  <si>
    <t>17th Century</t>
  </si>
  <si>
    <t>1603</t>
  </si>
  <si>
    <t>1607</t>
  </si>
  <si>
    <t>1610</t>
  </si>
  <si>
    <t>1612</t>
  </si>
  <si>
    <t>1616</t>
  </si>
  <si>
    <t>1633</t>
  </si>
  <si>
    <t>1635</t>
  </si>
  <si>
    <t>1641</t>
  </si>
  <si>
    <t>1649</t>
  </si>
  <si>
    <t>1651</t>
  </si>
  <si>
    <t>1652</t>
  </si>
  <si>
    <t>1655</t>
  </si>
  <si>
    <t>1671</t>
  </si>
  <si>
    <t>1696-1697</t>
  </si>
  <si>
    <t>Late 18th Century</t>
  </si>
  <si>
    <t>circa 1700</t>
  </si>
  <si>
    <t>1716</t>
  </si>
  <si>
    <t>1717</t>
  </si>
  <si>
    <t>1729-1730</t>
  </si>
  <si>
    <t>1740</t>
  </si>
  <si>
    <t>1750</t>
  </si>
  <si>
    <t>1754</t>
  </si>
  <si>
    <t>1797</t>
  </si>
  <si>
    <t>1798</t>
  </si>
  <si>
    <t>1803</t>
  </si>
  <si>
    <t>1853</t>
  </si>
  <si>
    <t>1855-1856</t>
  </si>
  <si>
    <t>1859</t>
  </si>
  <si>
    <t>1861</t>
  </si>
  <si>
    <t>1873</t>
  </si>
  <si>
    <t>1875</t>
  </si>
  <si>
    <t>1876</t>
  </si>
  <si>
    <t>1888</t>
  </si>
  <si>
    <t>1894</t>
  </si>
  <si>
    <t>20th and 21st Centuries</t>
  </si>
  <si>
    <t>1900 and 1995</t>
  </si>
  <si>
    <t>1918</t>
  </si>
  <si>
    <t>1924</t>
  </si>
  <si>
    <t>1925-1926-1929</t>
  </si>
  <si>
    <t>1929</t>
  </si>
  <si>
    <t>1936</t>
  </si>
  <si>
    <t>1937-1940</t>
  </si>
  <si>
    <t>1938-1945</t>
  </si>
  <si>
    <t>1939</t>
  </si>
  <si>
    <t>1940-1946</t>
  </si>
  <si>
    <t>1943</t>
  </si>
  <si>
    <t>1945</t>
  </si>
  <si>
    <t>1947</t>
  </si>
  <si>
    <t>1949-1952</t>
  </si>
  <si>
    <t>1951</t>
  </si>
  <si>
    <t>1953</t>
  </si>
  <si>
    <t>1955-1971</t>
  </si>
  <si>
    <t>1956-1959</t>
  </si>
  <si>
    <t>1973</t>
  </si>
  <si>
    <t>1980</t>
  </si>
  <si>
    <t>1984</t>
  </si>
  <si>
    <t>Le Puy En Velay</t>
  </si>
  <si>
    <t>Tindari</t>
  </si>
  <si>
    <t>Walsingham</t>
  </si>
  <si>
    <t>Montefortino</t>
  </si>
  <si>
    <t>Foggia</t>
  </si>
  <si>
    <t>Arras</t>
  </si>
  <si>
    <t>Nazaré</t>
  </si>
  <si>
    <t>Swieta Lipka</t>
  </si>
  <si>
    <t>Assisi</t>
  </si>
  <si>
    <t>Arcos de Valdevez</t>
  </si>
  <si>
    <t>Cortes</t>
  </si>
  <si>
    <t>Florence</t>
  </si>
  <si>
    <t>Aylesford</t>
  </si>
  <si>
    <t>The Holy House of Nazareth at Loreto </t>
  </si>
  <si>
    <t>Bra</t>
  </si>
  <si>
    <t>Roverano</t>
  </si>
  <si>
    <t>Valverdo Di Rezzato</t>
  </si>
  <si>
    <t>Castel Godego</t>
  </si>
  <si>
    <t>Cordoba</t>
  </si>
  <si>
    <t>Monte Berico</t>
  </si>
  <si>
    <t>Caravaggio</t>
  </si>
  <si>
    <t>Desenzano Di Albino</t>
  </si>
  <si>
    <t>Fuerteventura</t>
  </si>
  <si>
    <t>Ghisalba</t>
  </si>
  <si>
    <t>Garlasco</t>
  </si>
  <si>
    <t>Genazzano</t>
  </si>
  <si>
    <t>Badia Di Cava</t>
  </si>
  <si>
    <t>Boccadirio</t>
  </si>
  <si>
    <t>Teror</t>
  </si>
  <si>
    <t>Imola</t>
  </si>
  <si>
    <t>Agres</t>
  </si>
  <si>
    <t>Pontassieve</t>
  </si>
  <si>
    <t>Genoa</t>
  </si>
  <si>
    <t>Trois-Epis</t>
  </si>
  <si>
    <t>Gallivaggio</t>
  </si>
  <si>
    <t>Re</t>
  </si>
  <si>
    <t>Bettola</t>
  </si>
  <si>
    <t>Molare</t>
  </si>
  <si>
    <t>Vailankanni</t>
  </si>
  <si>
    <t>Andacollo</t>
  </si>
  <si>
    <t>Luggau</t>
  </si>
  <si>
    <t>Tirano</t>
  </si>
  <si>
    <t>Motta Di Livenza</t>
  </si>
  <si>
    <t>Peschiera Sul Garda</t>
  </si>
  <si>
    <t>Bergamo</t>
  </si>
  <si>
    <t>Rzeszów</t>
  </si>
  <si>
    <t>Garaison</t>
  </si>
  <si>
    <t>Adro</t>
  </si>
  <si>
    <t>Cotignac</t>
  </si>
  <si>
    <t>Cori</t>
  </si>
  <si>
    <t>Cussanio</t>
  </si>
  <si>
    <t>Crescentino</t>
  </si>
  <si>
    <t>Ornavasso</t>
  </si>
  <si>
    <t>Savona</t>
  </si>
  <si>
    <t>Sveta Gora</t>
  </si>
  <si>
    <t>Ocotlán</t>
  </si>
  <si>
    <t>Vacciago</t>
  </si>
  <si>
    <t>Pietralba</t>
  </si>
  <si>
    <t>Corbetta</t>
  </si>
  <si>
    <t>Arcola</t>
  </si>
  <si>
    <t>Giulianova</t>
  </si>
  <si>
    <t>Gerosa</t>
  </si>
  <si>
    <t>Moncrivello</t>
  </si>
  <si>
    <t>Gozo</t>
  </si>
  <si>
    <t>Casalbordino</t>
  </si>
  <si>
    <t>Lumarzo</t>
  </si>
  <si>
    <t>Chiquinquirá</t>
  </si>
  <si>
    <t>Quinche</t>
  </si>
  <si>
    <t>Quito</t>
  </si>
  <si>
    <t>Rapallo</t>
  </si>
  <si>
    <t>Bétharram</t>
  </si>
  <si>
    <t>Luján</t>
  </si>
  <si>
    <t>Caacupé</t>
  </si>
  <si>
    <t>Caysasay</t>
  </si>
  <si>
    <t>Doroszló</t>
  </si>
  <si>
    <t>Ardesio</t>
  </si>
  <si>
    <t>Manaoag</t>
  </si>
  <si>
    <t>San Salvatore Monferrato</t>
  </si>
  <si>
    <t>Marbach</t>
  </si>
  <si>
    <t>Cartago</t>
  </si>
  <si>
    <t>Kevelaer</t>
  </si>
  <si>
    <t>Plantées</t>
  </si>
  <si>
    <t>Guanare</t>
  </si>
  <si>
    <t>La Prenessaye</t>
  </si>
  <si>
    <t>Pieve Di Tagliamento</t>
  </si>
  <si>
    <t>San Bartolomeo Al Mare</t>
  </si>
  <si>
    <t>Máriapócs and Gyõr</t>
  </si>
  <si>
    <t>Cotoca</t>
  </si>
  <si>
    <t>Quillacollo</t>
  </si>
  <si>
    <t>Pellestrina</t>
  </si>
  <si>
    <t>Vale Do Paraíba</t>
  </si>
  <si>
    <t>Montagnaga Di Pine’</t>
  </si>
  <si>
    <t>Chaguaya</t>
  </si>
  <si>
    <t>Las Lajas</t>
  </si>
  <si>
    <t>Absam</t>
  </si>
  <si>
    <t>La Vang</t>
  </si>
  <si>
    <t>Ornans</t>
  </si>
  <si>
    <t>Cerreto Di Sorano</t>
  </si>
  <si>
    <t>Porzus Degli Slavi</t>
  </si>
  <si>
    <t>Champion</t>
  </si>
  <si>
    <t>Montefalco</t>
  </si>
  <si>
    <t>Saint Bauzille de la Sylve</t>
  </si>
  <si>
    <t>Pompei</t>
  </si>
  <si>
    <t>Pellovoisin</t>
  </si>
  <si>
    <t>Castelpetroso</t>
  </si>
  <si>
    <t>Szczyrk</t>
  </si>
  <si>
    <t>Betania</t>
  </si>
  <si>
    <t>Dong Lu</t>
  </si>
  <si>
    <t>Turin</t>
  </si>
  <si>
    <t>Cernusco Sul Naviglio</t>
  </si>
  <si>
    <t>Pontevedra and Tuy</t>
  </si>
  <si>
    <t>Campiñas</t>
  </si>
  <si>
    <t>Pesqueira</t>
  </si>
  <si>
    <t>Heede</t>
  </si>
  <si>
    <t>Milan</t>
  </si>
  <si>
    <t>Kallikulam</t>
  </si>
  <si>
    <t>Pfaffenhofen Marienfried</t>
  </si>
  <si>
    <t>Siekierki</t>
  </si>
  <si>
    <t>La Codosera</t>
  </si>
  <si>
    <t>Île-Bouchard</t>
  </si>
  <si>
    <t>Heroldsbach</t>
  </si>
  <si>
    <t>Rogorotto</t>
  </si>
  <si>
    <t>Syracuse</t>
  </si>
  <si>
    <t>Ngome</t>
  </si>
  <si>
    <t>Fostoria</t>
  </si>
  <si>
    <t>Akita</t>
  </si>
  <si>
    <t>Cuapa</t>
  </si>
  <si>
    <t>Namyang</t>
  </si>
  <si>
    <t>Rome (Santa Maria in Via)</t>
  </si>
  <si>
    <t>Rome (Santa Maria Maggiore)</t>
  </si>
  <si>
    <t>Rome (Our Lady of Divine Love)</t>
  </si>
  <si>
    <t>1399, 1711</t>
  </si>
  <si>
    <t>1450, 1589</t>
  </si>
  <si>
    <t>Sant'Anastasia</t>
  </si>
  <si>
    <t>El Cobre</t>
  </si>
  <si>
    <t>Swieta Lipka Sanctuary</t>
  </si>
  <si>
    <t>Basilica of Our Lady of Charity of El Cobre</t>
  </si>
  <si>
    <t>Basilica of El Cobre</t>
  </si>
  <si>
    <t>Ngome Marian Shrine</t>
  </si>
  <si>
    <t>reinolda-may</t>
  </si>
  <si>
    <t>Done</t>
  </si>
  <si>
    <t>Status</t>
  </si>
  <si>
    <t>Blocked</t>
  </si>
  <si>
    <t>https://www.swlipka.pl/</t>
  </si>
  <si>
    <t>http://www.miraclehunter.com/marian_apparitions/approved_apparitions/apparitions_1200-1299.html</t>
  </si>
  <si>
    <t>The Real Presence Supplement</t>
  </si>
  <si>
    <t>Miracle Hunter Supplement</t>
  </si>
  <si>
    <t>MaryPages Supplement</t>
  </si>
  <si>
    <t>, [Link](http://www.therealpresence.org/eucharst/misc/BVM/154_FATIMA_140x96_2.pdf), [Link](http://www.therealpresence.org/eucharst/misc/BVM/154_FATIMA_96x96_3.pdf)</t>
  </si>
  <si>
    <t>http://www.miraclehunter.com/marian_apparitions/approved_apparitions/guaitara/index.html</t>
  </si>
  <si>
    <t>National Shrine Basilica of Our Lady of Las Lajas</t>
  </si>
  <si>
    <t>Basilica of Our Lady of Las Lajas</t>
  </si>
  <si>
    <t>https://www.laslajas.org/</t>
  </si>
  <si>
    <t>_Research in progress_</t>
  </si>
  <si>
    <t>http://www.ngome.co.za/</t>
  </si>
  <si>
    <t>https://santuariotindari.it/</t>
  </si>
  <si>
    <t xml:space="preserve"> (Search for "Swieta Lipka")</t>
  </si>
  <si>
    <t>Sanctuary of Tindari</t>
  </si>
  <si>
    <t>Sanctuary of Holy Mary of Tindari</t>
  </si>
  <si>
    <t>Cathedral of Our Lady of Puy</t>
  </si>
  <si>
    <t>https://www.cathedraledupuy.org/</t>
  </si>
  <si>
    <t>5th or 6th Century</t>
  </si>
  <si>
    <t>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t>
  </si>
  <si>
    <t>https://www.marypages.com/our-lady-of-cuapa-also-known-as-our-lady-of-nicaragua-en.html</t>
  </si>
  <si>
    <t>http://www.miraclehunter.com/marian_apparitions/approved_apparitions/cuapa/index.html</t>
  </si>
  <si>
    <t>Sanctuary of Our Lady of Cuapa</t>
  </si>
  <si>
    <t>National Sanctuary of Our Lady of Cuapa</t>
  </si>
  <si>
    <t>https://www.facebook.com/SDVirgendeCuapa</t>
  </si>
  <si>
    <t>https://www.marypages.com/akita-(japan)-en.html</t>
  </si>
  <si>
    <t>https://www.miraclehunter.com/marian_apparitions/approved_apparitions/akita/index.html</t>
  </si>
  <si>
    <t>https://www.miraclehunter.com/marian_apparitions/approved_apparitions/walsingham/index.html</t>
  </si>
  <si>
    <t>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t>
  </si>
  <si>
    <t>https://www.walsingham.org.uk/</t>
  </si>
  <si>
    <t>Catholic National Shrine and Basilica of Our Lady of Walsingham</t>
  </si>
  <si>
    <t>https://www.marypages.com/our-lady-of-walsingham-en.html</t>
  </si>
  <si>
    <t>Seitai Hoshikai (Our Lady of Akita)</t>
  </si>
  <si>
    <t>Seitai Hoshikai</t>
  </si>
  <si>
    <t>https://www.seitaihoshikai.com/</t>
  </si>
  <si>
    <t>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t>
  </si>
  <si>
    <t>https://www.miraclehunter.com/marian_apparitions/approved_apparitions/apparitions_1700-1799.html</t>
  </si>
  <si>
    <t xml:space="preserve"> (Search for "Valverde")</t>
  </si>
  <si>
    <t>Valverde Di Rezzato</t>
  </si>
  <si>
    <t>https://www.uprezzatovirle.it/santuario-valverde</t>
  </si>
  <si>
    <t>http://www.tapinu.org/</t>
  </si>
  <si>
    <t>http://www.miraclehunter.com/marian_apparitions/approved_apparitions/tapinu/</t>
  </si>
  <si>
    <t>https://www.marypages.com/ta-pinu-malta-en.html</t>
  </si>
  <si>
    <t>Basilica of the Blessed Virgin of Ta' Pinu</t>
  </si>
  <si>
    <t>http://www.miraclehunter.com/marian_apparitions/approved_apparitions/lavang/index.html</t>
  </si>
  <si>
    <t>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t>
  </si>
  <si>
    <t>Basilica of Our Lady of La Vang</t>
  </si>
  <si>
    <t>https://www.marypages.com/la-vang-vietnam-en.html</t>
  </si>
  <si>
    <t>Sister Agnes Sasagawa received visions of an angel and messages emanating from a wooden statue of Our Lady which wept 101 times, including one instance which was broadcast on Japanese national television in December 1973.</t>
  </si>
  <si>
    <t>Archdiocesan Shrine of Our Lady of Caysasay</t>
  </si>
  <si>
    <t>Shrine of Our Lady of Caysasay</t>
  </si>
  <si>
    <t>http://www.miraclehunter.com/marian_apparitions/approved_apparitions/caysasay/index.html</t>
  </si>
  <si>
    <t>https://www.facebook.com/CaysasayTaal</t>
  </si>
  <si>
    <t>Minor Basilica of Our Lady of the Rosary of Manaoag</t>
  </si>
  <si>
    <t>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Señora de Manaoag, or Apo Baket as known to the local townspeople).</t>
  </si>
  <si>
    <t>Basilica of Our Lady of the Rosary of Manaoag</t>
  </si>
  <si>
    <t>https://www.manaoagminorbasilica.org/</t>
  </si>
  <si>
    <t>https://www.miraclehunter.com/marian_apparitions/approved_apparitions/manaoag/index.html</t>
  </si>
  <si>
    <t>Basilica of the Holy Mother of God</t>
  </si>
  <si>
    <t>https://svetagora.si/</t>
  </si>
  <si>
    <t>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t>
  </si>
  <si>
    <t>https://www.miraclehunter.com/marian_apparitions/approved_apparitions/apparitions_1500-1599.html</t>
  </si>
  <si>
    <t xml:space="preserve"> (Search "Sveta Gora")</t>
  </si>
  <si>
    <t xml:space="preserve"> (Search "Doroszlo")</t>
  </si>
  <si>
    <t>Diocesan Shrine of Mary, Help of Christians</t>
  </si>
  <si>
    <t>Shrine of Mary Help of Christians</t>
  </si>
  <si>
    <t>In 1792, the Virgin Mary appeared to a blind man, advising him to bathe his eyes in a miraculous fountain.  Upon his healing, a chapel was built and was eventually expanded to a larger church.</t>
  </si>
  <si>
    <t>https://szentkut.eu/</t>
  </si>
  <si>
    <t>https://marija.si/</t>
  </si>
  <si>
    <t>National Shrine of Mary Help of Christians at Brezje</t>
  </si>
  <si>
    <t>"1863 After several miraculous healings, pilgrimage to Brezje becomes widely popular making the church too small to welcome all the pilgrims"</t>
  </si>
  <si>
    <t>Shrine of Our Lady of the Rosary of Namyang</t>
  </si>
  <si>
    <t>https://en.wikipedia.org/wiki/Santa_Maria_della_Pace</t>
  </si>
  <si>
    <t>Santa Maria della Pace</t>
  </si>
  <si>
    <t>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t>
  </si>
  <si>
    <t>Kuravilangad</t>
  </si>
  <si>
    <t>Major Archiepiscopal Marth Mariam Archdeacon Pilgrim Church at Kuravilangad</t>
  </si>
  <si>
    <t>Marth Mariam Archdeacon Pilgrim Church at Kuravilangad</t>
  </si>
  <si>
    <t>https://www.miraclehunter.com/marian_apparitions/approved_apparitions/apparitions_0040-0999.html</t>
  </si>
  <si>
    <t xml:space="preserve"> (Search "Kuravilangad")</t>
  </si>
  <si>
    <t>syro-malabar</t>
  </si>
  <si>
    <t>Basilica of Our Lady of Lujan</t>
  </si>
  <si>
    <t>https://santuariodelujan.org.ar/</t>
  </si>
  <si>
    <t>http://www.miraclehunter.com/miraculous_images/icons_1600-1699.html</t>
  </si>
  <si>
    <t xml:space="preserve"> (Search "Lujan")</t>
  </si>
  <si>
    <t>Our Lady of Grace and St. Maria Goretti</t>
  </si>
  <si>
    <t>c. 1700</t>
  </si>
  <si>
    <t>c. 17th Century</t>
  </si>
  <si>
    <t>20th-21st Centuries</t>
  </si>
  <si>
    <t>Ludzmierz</t>
  </si>
  <si>
    <t>c. 1400</t>
  </si>
  <si>
    <t>Sanctuary of Our Lady Queen of Podhale</t>
  </si>
  <si>
    <t>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t>
  </si>
  <si>
    <t>ps://www.mbludzm.pl/</t>
  </si>
  <si>
    <t>john-paul-ii</t>
  </si>
  <si>
    <t>Additional Tag 1</t>
  </si>
  <si>
    <t>AT1 Name</t>
  </si>
  <si>
    <t>Additional Tag 2</t>
  </si>
  <si>
    <t>AT2 Name</t>
  </si>
  <si>
    <t>Additional Tag 3</t>
  </si>
  <si>
    <t>AT3 Name</t>
  </si>
  <si>
    <t>communities</t>
  </si>
  <si>
    <t>lucia-dos-santos</t>
  </si>
  <si>
    <t>francisco-and-jacinta-marto</t>
  </si>
  <si>
    <t>Tag</t>
  </si>
  <si>
    <t>Name</t>
  </si>
  <si>
    <t>St. James the Greater</t>
  </si>
  <si>
    <t>Camino de Santiago</t>
  </si>
  <si>
    <t>Syro-Malabar Church</t>
  </si>
  <si>
    <t>Papal Basilicas</t>
  </si>
  <si>
    <t>Sicily</t>
  </si>
  <si>
    <t>Pope St. John Paul II</t>
  </si>
  <si>
    <t>St. Juan Diego</t>
  </si>
  <si>
    <t>St. Catherine Laboure</t>
  </si>
  <si>
    <t>Religious Communities</t>
  </si>
  <si>
    <t>St. Bernadette of Lourdes</t>
  </si>
  <si>
    <t>Bl. Lucia dos Santos</t>
  </si>
  <si>
    <t>Sts. Francisco and Jacinta Marto</t>
  </si>
  <si>
    <t>Coptic Church</t>
  </si>
  <si>
    <t>uk</t>
  </si>
  <si>
    <t>italy</t>
  </si>
  <si>
    <t>france</t>
  </si>
  <si>
    <t>portugal</t>
  </si>
  <si>
    <t>poland</t>
  </si>
  <si>
    <t>AT Pages</t>
  </si>
  <si>
    <t>AT1 Page</t>
  </si>
  <si>
    <t>AT2 Page</t>
  </si>
  <si>
    <t>AT3 Page</t>
  </si>
  <si>
    <t>All Cols</t>
  </si>
  <si>
    <t>S</t>
  </si>
  <si>
    <t>C</t>
  </si>
  <si>
    <t>Ready</t>
  </si>
  <si>
    <t>Y</t>
  </si>
  <si>
    <t>OD</t>
  </si>
  <si>
    <t>andorra</t>
  </si>
  <si>
    <t>uae</t>
  </si>
  <si>
    <t>afghanistan</t>
  </si>
  <si>
    <t>antigua-barbuda</t>
  </si>
  <si>
    <t>anguilla</t>
  </si>
  <si>
    <t>albania</t>
  </si>
  <si>
    <t>armenia</t>
  </si>
  <si>
    <t>angola</t>
  </si>
  <si>
    <t>antarctica</t>
  </si>
  <si>
    <t>argentina</t>
  </si>
  <si>
    <t>american-samoa</t>
  </si>
  <si>
    <t>austria</t>
  </si>
  <si>
    <t>australia</t>
  </si>
  <si>
    <t>aruba</t>
  </si>
  <si>
    <t>aland-islands</t>
  </si>
  <si>
    <t>azerbaijan</t>
  </si>
  <si>
    <t>bosnia-herzegovina</t>
  </si>
  <si>
    <t>barbados</t>
  </si>
  <si>
    <t>bangladesh</t>
  </si>
  <si>
    <t>belgium</t>
  </si>
  <si>
    <t>burkina-faso</t>
  </si>
  <si>
    <t>bulgaria</t>
  </si>
  <si>
    <t>bahrain</t>
  </si>
  <si>
    <t>burundi</t>
  </si>
  <si>
    <t>benin</t>
  </si>
  <si>
    <t>saint-barthelemy</t>
  </si>
  <si>
    <t>bermuda</t>
  </si>
  <si>
    <t>brunei</t>
  </si>
  <si>
    <t>bolivia</t>
  </si>
  <si>
    <t>bonaire</t>
  </si>
  <si>
    <t>brazil</t>
  </si>
  <si>
    <t>bahamas</t>
  </si>
  <si>
    <t>bhutan</t>
  </si>
  <si>
    <t>bouvet-island</t>
  </si>
  <si>
    <t>botswana</t>
  </si>
  <si>
    <t>belarus</t>
  </si>
  <si>
    <t>belize</t>
  </si>
  <si>
    <t>canada</t>
  </si>
  <si>
    <t>cocos-islands</t>
  </si>
  <si>
    <t>drc</t>
  </si>
  <si>
    <t>central-african-republic</t>
  </si>
  <si>
    <t>congo</t>
  </si>
  <si>
    <t>switzerland</t>
  </si>
  <si>
    <t>ivory-coast</t>
  </si>
  <si>
    <t>cook-islands</t>
  </si>
  <si>
    <t>chile</t>
  </si>
  <si>
    <t>cameroon</t>
  </si>
  <si>
    <t>china</t>
  </si>
  <si>
    <t>colombia</t>
  </si>
  <si>
    <t>costa-rica</t>
  </si>
  <si>
    <t>cuba</t>
  </si>
  <si>
    <t>cabo-verde</t>
  </si>
  <si>
    <t>curaçao</t>
  </si>
  <si>
    <t>christmas-island</t>
  </si>
  <si>
    <t>cyprus</t>
  </si>
  <si>
    <t>czechia</t>
  </si>
  <si>
    <t>germany</t>
  </si>
  <si>
    <t>djibouti</t>
  </si>
  <si>
    <t>denmark</t>
  </si>
  <si>
    <t>dominica</t>
  </si>
  <si>
    <t>dominican-republic</t>
  </si>
  <si>
    <t>algeria</t>
  </si>
  <si>
    <t>ecuador</t>
  </si>
  <si>
    <t>estonia</t>
  </si>
  <si>
    <t>egypt</t>
  </si>
  <si>
    <t>western-sahara</t>
  </si>
  <si>
    <t>eritrea</t>
  </si>
  <si>
    <t>spain</t>
  </si>
  <si>
    <t>ethiopia</t>
  </si>
  <si>
    <t>finland</t>
  </si>
  <si>
    <t>fiji</t>
  </si>
  <si>
    <t>falkland-islands</t>
  </si>
  <si>
    <t>micronesia</t>
  </si>
  <si>
    <t>faroe-islands</t>
  </si>
  <si>
    <t>gabon</t>
  </si>
  <si>
    <t>grenada</t>
  </si>
  <si>
    <t>georgia</t>
  </si>
  <si>
    <t>french-guiana</t>
  </si>
  <si>
    <t>guernsey</t>
  </si>
  <si>
    <t>ghana</t>
  </si>
  <si>
    <t>gibraltar</t>
  </si>
  <si>
    <t>greenland</t>
  </si>
  <si>
    <t>gambia</t>
  </si>
  <si>
    <t>guinea</t>
  </si>
  <si>
    <t>guadeloupe</t>
  </si>
  <si>
    <t>equatorial-guinea</t>
  </si>
  <si>
    <t>greece</t>
  </si>
  <si>
    <t>south-georgia</t>
  </si>
  <si>
    <t>guatemala</t>
  </si>
  <si>
    <t>guam</t>
  </si>
  <si>
    <t>guinea-bissau</t>
  </si>
  <si>
    <t>guyana</t>
  </si>
  <si>
    <t>hong-kong</t>
  </si>
  <si>
    <t>heard-island</t>
  </si>
  <si>
    <t>honduras</t>
  </si>
  <si>
    <t>croatia</t>
  </si>
  <si>
    <t>haiti</t>
  </si>
  <si>
    <t>hungary</t>
  </si>
  <si>
    <t>indonesia</t>
  </si>
  <si>
    <t>ireland</t>
  </si>
  <si>
    <t>israel</t>
  </si>
  <si>
    <t>isle-of-man</t>
  </si>
  <si>
    <t>india</t>
  </si>
  <si>
    <t>biot</t>
  </si>
  <si>
    <t>iraq</t>
  </si>
  <si>
    <t>iran</t>
  </si>
  <si>
    <t>iceland</t>
  </si>
  <si>
    <t>jersey</t>
  </si>
  <si>
    <t>jamaica</t>
  </si>
  <si>
    <t>jordan</t>
  </si>
  <si>
    <t>japan</t>
  </si>
  <si>
    <t>kenya</t>
  </si>
  <si>
    <t>kyrgyzstan</t>
  </si>
  <si>
    <t>cambodia</t>
  </si>
  <si>
    <t>kiribati</t>
  </si>
  <si>
    <t>comoros</t>
  </si>
  <si>
    <t>kitts-nevis</t>
  </si>
  <si>
    <t>north-korea</t>
  </si>
  <si>
    <t>south-korea</t>
  </si>
  <si>
    <t>kuwait</t>
  </si>
  <si>
    <t>cayman-islands</t>
  </si>
  <si>
    <t>kazakhstan</t>
  </si>
  <si>
    <t>laos</t>
  </si>
  <si>
    <t>lebanon</t>
  </si>
  <si>
    <t>saint-lucia</t>
  </si>
  <si>
    <t>liechtenstein</t>
  </si>
  <si>
    <t>sri-lanka</t>
  </si>
  <si>
    <t>liberia</t>
  </si>
  <si>
    <t>lesotho</t>
  </si>
  <si>
    <t>lithuania</t>
  </si>
  <si>
    <t>luxembourg</t>
  </si>
  <si>
    <t>latvia</t>
  </si>
  <si>
    <t>libya</t>
  </si>
  <si>
    <t>morocco</t>
  </si>
  <si>
    <t>monaco</t>
  </si>
  <si>
    <t>moldova</t>
  </si>
  <si>
    <t>montenegro</t>
  </si>
  <si>
    <t>saint-martin</t>
  </si>
  <si>
    <t>madagascar</t>
  </si>
  <si>
    <t>marshall-islands</t>
  </si>
  <si>
    <t>north-macedonia</t>
  </si>
  <si>
    <t>mali</t>
  </si>
  <si>
    <t>myanmar</t>
  </si>
  <si>
    <t>mongolia</t>
  </si>
  <si>
    <t>macao</t>
  </si>
  <si>
    <t>northern-mariana-islands</t>
  </si>
  <si>
    <t>martinique</t>
  </si>
  <si>
    <t>mauritania</t>
  </si>
  <si>
    <t>montserrat</t>
  </si>
  <si>
    <t>malta</t>
  </si>
  <si>
    <t>mauritius</t>
  </si>
  <si>
    <t>maldives</t>
  </si>
  <si>
    <t>malawi</t>
  </si>
  <si>
    <t>mexico</t>
  </si>
  <si>
    <t>malaysia</t>
  </si>
  <si>
    <t>mozambique</t>
  </si>
  <si>
    <t>namibia</t>
  </si>
  <si>
    <t>new-caledonia</t>
  </si>
  <si>
    <t>niger</t>
  </si>
  <si>
    <t>norfolk-island</t>
  </si>
  <si>
    <t>nigeria</t>
  </si>
  <si>
    <t>nicaragua</t>
  </si>
  <si>
    <t>netherlands</t>
  </si>
  <si>
    <t>norway</t>
  </si>
  <si>
    <t>nepal</t>
  </si>
  <si>
    <t>nauru</t>
  </si>
  <si>
    <t>niue</t>
  </si>
  <si>
    <t>new-zealand</t>
  </si>
  <si>
    <t>oman</t>
  </si>
  <si>
    <t>panama</t>
  </si>
  <si>
    <t>peru</t>
  </si>
  <si>
    <t>french-polynesia</t>
  </si>
  <si>
    <t>png</t>
  </si>
  <si>
    <t>philippines</t>
  </si>
  <si>
    <t>pakistan</t>
  </si>
  <si>
    <t>saint-pierre-miquelon</t>
  </si>
  <si>
    <t>pitcairn</t>
  </si>
  <si>
    <t>puerto-rico</t>
  </si>
  <si>
    <t>palestine</t>
  </si>
  <si>
    <t>palau</t>
  </si>
  <si>
    <t>paraguay</t>
  </si>
  <si>
    <t>qatar</t>
  </si>
  <si>
    <t>réunion</t>
  </si>
  <si>
    <t>romania</t>
  </si>
  <si>
    <t>serbia</t>
  </si>
  <si>
    <t>russia</t>
  </si>
  <si>
    <t>rwanda</t>
  </si>
  <si>
    <t>saudi-arabia</t>
  </si>
  <si>
    <t>solomon-islands</t>
  </si>
  <si>
    <t>seychelles</t>
  </si>
  <si>
    <t>sudan</t>
  </si>
  <si>
    <t>sweden</t>
  </si>
  <si>
    <t>singapore</t>
  </si>
  <si>
    <t>saint-helena</t>
  </si>
  <si>
    <t>slovenia</t>
  </si>
  <si>
    <t>svalbard</t>
  </si>
  <si>
    <t>slovakia</t>
  </si>
  <si>
    <t>sierra-leone</t>
  </si>
  <si>
    <t>san-marino</t>
  </si>
  <si>
    <t>senegal</t>
  </si>
  <si>
    <t>somalia</t>
  </si>
  <si>
    <t>suriname</t>
  </si>
  <si>
    <t>south-sudan</t>
  </si>
  <si>
    <t>sao-tome-principe</t>
  </si>
  <si>
    <t>el-salvador</t>
  </si>
  <si>
    <t>sint-maarten</t>
  </si>
  <si>
    <t>syria</t>
  </si>
  <si>
    <t>eswatini</t>
  </si>
  <si>
    <t>turks-caicos</t>
  </si>
  <si>
    <t>chad</t>
  </si>
  <si>
    <t>french-southern-territories</t>
  </si>
  <si>
    <t>togo</t>
  </si>
  <si>
    <t>thailand</t>
  </si>
  <si>
    <t>tajikistan</t>
  </si>
  <si>
    <t>tokelau</t>
  </si>
  <si>
    <t>timor-leste</t>
  </si>
  <si>
    <t>turkmenistan</t>
  </si>
  <si>
    <t>tunisia</t>
  </si>
  <si>
    <t>tonga</t>
  </si>
  <si>
    <t>trinidad-tobago</t>
  </si>
  <si>
    <t>tuvalu</t>
  </si>
  <si>
    <t>taiwan</t>
  </si>
  <si>
    <t>tanzania</t>
  </si>
  <si>
    <t>ukraine</t>
  </si>
  <si>
    <t>uganda</t>
  </si>
  <si>
    <t>us-minor-outlying-islands</t>
  </si>
  <si>
    <t>usa</t>
  </si>
  <si>
    <t>uruguay</t>
  </si>
  <si>
    <t>uzbekistan</t>
  </si>
  <si>
    <t>saint-vincent-grenadines</t>
  </si>
  <si>
    <t>venezuela</t>
  </si>
  <si>
    <t>bvi</t>
  </si>
  <si>
    <t>usvi</t>
  </si>
  <si>
    <t>vietnam</t>
  </si>
  <si>
    <t>vanuatu</t>
  </si>
  <si>
    <t>wallis-futuna</t>
  </si>
  <si>
    <t>samoa</t>
  </si>
  <si>
    <t>yemen</t>
  </si>
  <si>
    <t>mayotte</t>
  </si>
  <si>
    <t>south-africa</t>
  </si>
  <si>
    <t>zambia</t>
  </si>
  <si>
    <t>zimbabwe</t>
  </si>
  <si>
    <t>Sanctuary of Pellevoisin</t>
  </si>
  <si>
    <t>https://www.pellevoisin.net/</t>
  </si>
  <si>
    <t>https://www.miraclehunter.com/marian_apparitions/approved_apparitions/pellevoisin/index.html</t>
  </si>
  <si>
    <t>https://www.marypages.com/pellevoisin-france-en.html</t>
  </si>
  <si>
    <t>vincent-de-paul</t>
  </si>
  <si>
    <t>Basilica of Our Lady of Good Health</t>
  </si>
  <si>
    <t>Our Lady of the Good Event</t>
  </si>
  <si>
    <t>https://www.velankannichurch.com/</t>
  </si>
  <si>
    <t>https://en.wikipedia.org/wiki/Our_Lady_of_the_Good_Event</t>
  </si>
  <si>
    <t>https://www.miraclehunter.com/marian_apparitions/approved_apparitions/vailankanni/</t>
  </si>
  <si>
    <t>According to tradition, there have been multiple apparitions of the Blessed Virgin Mary at Velankanni, also known as Our Lady of Good Health.  As tradition would have it, the first of many apparitions occured to a young boy who was delivering buttermilk.</t>
  </si>
  <si>
    <t>https://www.marypages.com/vailankanni-(india)-en.html</t>
  </si>
  <si>
    <t>Basilica of Our Lady of Good Health (Our Lady of Velankanni)</t>
  </si>
  <si>
    <t>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t>
  </si>
  <si>
    <t>Basilica of Ta Pinu</t>
  </si>
  <si>
    <t>Level</t>
  </si>
  <si>
    <t>global</t>
  </si>
  <si>
    <t>Athisaya Panimatha Shrine</t>
  </si>
  <si>
    <t>https://www.athisayapanimatha.com/</t>
  </si>
  <si>
    <t>Athisaya Panimatha (Our Lady of Snows) Shrine, Kallikulam</t>
  </si>
  <si>
    <t>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t>
  </si>
  <si>
    <t>louise-de-marillac</t>
  </si>
  <si>
    <t>jean-gabriel-perboyre</t>
  </si>
  <si>
    <t>Region/City</t>
  </si>
  <si>
    <t>Augsberg</t>
  </si>
  <si>
    <t>St. Peter am Perlach (Mary Undoer of Knots)</t>
  </si>
  <si>
    <t>St Peter am Perlach</t>
  </si>
  <si>
    <t>https://www.marypages.com/mary-undoer-of-knots.html</t>
  </si>
  <si>
    <t>https://www.miraclehunter.com/news/francis/francis-marian-devotion.html</t>
  </si>
  <si>
    <t>https://sankt-peter-am-perlach.de</t>
  </si>
  <si>
    <t>Home of the image Our Lady Undoer of Knots.</t>
  </si>
  <si>
    <t>Unfortunately many modern visitors to the cathedral are more interested in its rooftop views, so it's important to be specific when asking for accurate information about services.  The cathedral website lists their service schedule [here](https://catedraldezaragoza.es/culto/).
-JMM</t>
  </si>
  <si>
    <t>Because of the Jesuit influence, there are noticeable similarities to the Chiesa del Gesù in Rome, both in decoration and function.  The image of Our Blessed Mother behind the altar is covered after each mass, similar to some Jesuit churches in Rome.
-JMM</t>
  </si>
  <si>
    <t>Some good information on [Catholic Shrine Basilica](https://catholicshrinebasilica.com/sanctuary-of-our-lady-of-ludzmierz-poland/).
-JMM</t>
  </si>
  <si>
    <t>The monastery has published an excellent history of the shrine [here](https://lezajsk.bernardyni.pl/historia/) (in Polish).
-JMM</t>
  </si>
  <si>
    <t>The Facebook page appears to be the official site.
-JMM</t>
  </si>
  <si>
    <t>At the time of this miracle the land belonged to Hungary; a few sources still refer to the site as Hungarian.  The two potential official pages listed may not be accurate; please [contact us](/contact) if you have any better information.
-JMM</t>
  </si>
  <si>
    <t>Additional info and a good history [here](https://www.ourladyofsiluva.org/our_lady/).
-JMM</t>
  </si>
  <si>
    <t>One of the most picturesque apparition sites to visit!  The road between Laus and nearby [La Salette](/places/fr-sanctuary-of-our-lady-of-la-salette) winds through the French Alpine countryside.
-JMM</t>
  </si>
  <si>
    <t>We can't find an official website or other social media page for the basilica.  If you know of one, please [contact us](/contact).
-JMM</t>
  </si>
  <si>
    <t>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t>
  </si>
  <si>
    <t>Thanks to the testimonies of the visionaries, pilgrims today can experience a very accurate representation of the original apparition.  The statues have been placed in the same place as the apparition, in front of the church wall and slightly above ground level.
-JMM</t>
  </si>
  <si>
    <t>You can read the statement issued by the Papal Residence in Cairo [here](https://www.stmaryztn.org/saintmary/en/apparition-story/papal-statment).
-JMM</t>
  </si>
  <si>
    <t>We can't find an official website for the parish; their Facebook page has been listed for now.
-JMM</t>
  </si>
  <si>
    <t>We were unable to find an official page which is still live; there is an unofficial Facebook page [here](https://www.facebook.com/pages/The-Shrine-of-Our-Lady-of-the-Rosary-of-Namyang/243668322481803).  Please [contact us](/contact) if you know the correct link!
-JMM</t>
  </si>
  <si>
    <t>Pope Francis has a special devotion to this image, explained in the Miracle Hunter link.
-JPY</t>
  </si>
  <si>
    <t>An Indonesian parish of the same name also has a [good history](https://velangkanni.com/en/about-annai-velangkanni/) of the apparition.
-NDS</t>
  </si>
  <si>
    <t>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t>
  </si>
  <si>
    <t>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t>
  </si>
  <si>
    <t>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t>
  </si>
  <si>
    <t>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t>
  </si>
  <si>
    <t xml:space="preserve"> (Search "Ipswich")</t>
  </si>
  <si>
    <t>http://www.santuarionettuno.it/</t>
  </si>
  <si>
    <t>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t>
  </si>
  <si>
    <t>maria-goretti</t>
  </si>
  <si>
    <t>St. Maria Goretti</t>
  </si>
  <si>
    <t>Holy Persons</t>
  </si>
  <si>
    <t>our-lady-of-ipswich</t>
  </si>
  <si>
    <t>our-lady-of-grace</t>
  </si>
  <si>
    <t>Our Lady of Grace</t>
  </si>
  <si>
    <t>Our Lady of Ipswich</t>
  </si>
  <si>
    <t>regional</t>
  </si>
  <si>
    <t>Mexico City</t>
  </si>
  <si>
    <t>Sanctuary of Oropa</t>
  </si>
  <si>
    <t>Sanctuary of Oropa (Black Madonna of Oropa)</t>
  </si>
  <si>
    <t>https://www.santuariodioropa.it/en/</t>
  </si>
  <si>
    <t>pier-giorgio-frassati</t>
  </si>
  <si>
    <t>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t>
  </si>
  <si>
    <t>Marian Site</t>
  </si>
  <si>
    <t>Additional Tag 4</t>
  </si>
  <si>
    <t>Additional Tag 5</t>
  </si>
  <si>
    <t>Additional Tag 6</t>
  </si>
  <si>
    <t>Additional Tag 7</t>
  </si>
  <si>
    <t>Additional Tag 8</t>
  </si>
  <si>
    <t>Additional Tag 9</t>
  </si>
  <si>
    <t>Additional Tag 10</t>
  </si>
  <si>
    <t>Official Site Comment</t>
  </si>
  <si>
    <t>Link 1 Name</t>
  </si>
  <si>
    <t>Link 1 URL</t>
  </si>
  <si>
    <t>Official Site URL</t>
  </si>
  <si>
    <t>Link 1 Description</t>
  </si>
  <si>
    <t>Link 2 Name</t>
  </si>
  <si>
    <t>Link 2 URL</t>
  </si>
  <si>
    <t>Link 2 Description</t>
  </si>
  <si>
    <t>Link 3 Name</t>
  </si>
  <si>
    <t>Link 3 URL</t>
  </si>
  <si>
    <t>Link 3 Description</t>
  </si>
  <si>
    <t>AT1</t>
  </si>
  <si>
    <t>AT2</t>
  </si>
  <si>
    <t>AT3</t>
  </si>
  <si>
    <t>AT4</t>
  </si>
  <si>
    <t>AT5</t>
  </si>
  <si>
    <t>AT6</t>
  </si>
  <si>
    <t>AT7</t>
  </si>
  <si>
    <t>AT8</t>
  </si>
  <si>
    <t>AT9</t>
  </si>
  <si>
    <t>AT10</t>
  </si>
  <si>
    <t>Church</t>
  </si>
  <si>
    <t>MS</t>
  </si>
  <si>
    <t>HP</t>
  </si>
  <si>
    <t>Ch</t>
  </si>
  <si>
    <t>Co</t>
  </si>
  <si>
    <t>Ci</t>
  </si>
  <si>
    <t>AN</t>
  </si>
  <si>
    <t>MST</t>
  </si>
  <si>
    <t>RP</t>
  </si>
  <si>
    <t>AL1</t>
  </si>
  <si>
    <t>AL2</t>
  </si>
  <si>
    <t>AL3</t>
  </si>
  <si>
    <t>MSL</t>
  </si>
  <si>
    <t>Page Content</t>
  </si>
  <si>
    <t>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t>
  </si>
  <si>
    <t>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t>
  </si>
  <si>
    <t>ALL</t>
  </si>
  <si>
    <t>https://doroszlo.net/</t>
  </si>
  <si>
    <t>Additional site</t>
  </si>
  <si>
    <t>https://www.facebook.com/poutnimistofilipov</t>
  </si>
  <si>
    <t>https://www.facebook.com/ngomemarianshrine/</t>
  </si>
  <si>
    <t>https://www.facebook.com/profile.php?id=100069705631532</t>
  </si>
  <si>
    <t>(note: website not active at time of writing)</t>
  </si>
  <si>
    <t>Official Facebook page</t>
  </si>
  <si>
    <t>Basilica of the Annunciation of the Blessed Virgin Mary (Our Lady of Lezajsk, Lady of Consolation)</t>
  </si>
  <si>
    <t>St. Michael and St. Gudula Cathedral (Brussels Cathedral)</t>
  </si>
  <si>
    <t>This church has the most awesome pulpit I have ever seen.
-JPY</t>
  </si>
  <si>
    <t>https://www.cathedralisbruxellensis.be/</t>
  </si>
  <si>
    <t>Brussels</t>
  </si>
  <si>
    <t>St. Catherine's Church</t>
  </si>
  <si>
    <t>St Catherine</t>
  </si>
  <si>
    <t>local</t>
  </si>
  <si>
    <t>Historic church in the former Port of Brussels, before the docks were covered over.</t>
  </si>
  <si>
    <t>As of 2023, this church has tons of confession times.
-JPY</t>
  </si>
  <si>
    <t>Cathedral</t>
  </si>
  <si>
    <t>National church of Belgium.  St. Gudula's relics were kept here until they were destroyed during the Reformation.</t>
  </si>
  <si>
    <t>Diocesan Museum of St. Afra</t>
  </si>
  <si>
    <t>Diocesan Museum</t>
  </si>
  <si>
    <t>https://www.museum-st-afra.de/en/</t>
  </si>
  <si>
    <t>ulrich</t>
  </si>
  <si>
    <t>afra</t>
  </si>
  <si>
    <t>St. Ulrich</t>
  </si>
  <si>
    <t>St. Afra</t>
  </si>
  <si>
    <t>simpert</t>
  </si>
  <si>
    <t>St. Simpert</t>
  </si>
  <si>
    <t>Museum of the Diocese of Augsburg, featuring vestments and other items owned by St. Ulrich.  Also presents history of Sts. Afra and Simpert, also of the Diocese of Augsburg.</t>
  </si>
  <si>
    <t>Cathedral of the Diocese of Augsburg.  St. Peter Canisius was appointed the "cathedral preacher" here in 1559.</t>
  </si>
  <si>
    <t>Augsburg Cathedral (Augsburgur Dom)</t>
  </si>
  <si>
    <t>https://bistum-augsburg.de/Bistum/Unser-Bistum/Kathedrale/Hoher-Dom</t>
  </si>
  <si>
    <t>peter-canisius</t>
  </si>
  <si>
    <t>St. Peter Canisius</t>
  </si>
  <si>
    <t>Former Residence of the Prince-Bishop of Augsburg</t>
  </si>
  <si>
    <t>Prince-Bishop Residence</t>
  </si>
  <si>
    <t>This building is on the site where the Diet of Augsburg in 1530 took place, where the Augsburg Confession was presented.</t>
  </si>
  <si>
    <t>Let us pray for Christian unity and for our Protestant brethern to come to the True Faith.
-JPY</t>
  </si>
  <si>
    <t>Basilica of Sts. Ulrich and Afra</t>
  </si>
  <si>
    <t>Basilica of Sts Ulrich and Afra</t>
  </si>
  <si>
    <t>Site of the martyrdom of St. Afra and burial place of Sts. Afra, Ulrich (the first canonized saint) and Simpert (778-807).</t>
  </si>
  <si>
    <t>Sts. Ulrich and Afra are buried in the crypt beneath the high altar.  You can reach them with some steep stairs on either side of the high altar.  St. Simpert's tomb is in a chapel along the right side of the nave.
-JPY</t>
  </si>
  <si>
    <t>https://ulrich-afra-anton.de</t>
  </si>
  <si>
    <t>Augsburg</t>
  </si>
  <si>
    <t>reformation</t>
  </si>
  <si>
    <t>Protestant Reformation</t>
  </si>
  <si>
    <t>St. Vincent De Paul Chapel</t>
  </si>
  <si>
    <t>St Vincent De Paul Chapel</t>
  </si>
  <si>
    <t>Vincentian church housing the relics of Sts. Vincent de Paul and Jean-Gabriel Perboyre.  St. Vincent de Paul's heart is nearby at the more famous [Miraculous Medal Chapel](/places/fr-paris-chapel-of-our-lady-of-the-miraculous-medal).</t>
  </si>
  <si>
    <t>An incredibly beautiful sanctuary of prayer, just a short walk from the often crowded Miraculous Medal Chapel.
-JMM</t>
  </si>
  <si>
    <t>Church of St. James the Apostle (Iglesia Santiago Apostol)</t>
  </si>
  <si>
    <t>Iglesia Santiago Apostol</t>
  </si>
  <si>
    <t>Atitlan</t>
  </si>
  <si>
    <t>stanley-rother</t>
  </si>
  <si>
    <t>Bl. Stanley Rother</t>
  </si>
  <si>
    <t>Bl. Stanley Rother ministered to the native Tz'utujil people of Guatemala for years at St. James the Apostle church, on the shores of Lake Atitlan.  He was martyred in the rectory on July 28, 1981.</t>
  </si>
  <si>
    <t>Corinaldo</t>
  </si>
  <si>
    <t>Church of St. Francis, Corinaldo</t>
  </si>
  <si>
    <t>Church of St Francis</t>
  </si>
  <si>
    <t>This was the Gorettis' parish church when they lived in Corinaldo.  Here Luigi and Assunta Goretti were married and St. Maria Goretti baptized.  The font where she was baptized is still preserved in the church.</t>
  </si>
  <si>
    <t>Birthplace of St. Maria Goretti</t>
  </si>
  <si>
    <t>Birthplace of St Maria Goretti</t>
  </si>
  <si>
    <t>Here St. Maria Goretti was born on October 16, 1890.</t>
  </si>
  <si>
    <t>Sanctuary of St Maria Goretti</t>
  </si>
  <si>
    <t>https://www.santamariagoretti.it/home/</t>
  </si>
  <si>
    <t>Diocesan Sanctuary of St. Maria Goretti</t>
  </si>
  <si>
    <t>This church is the final resting place for St. Maria Goretti's mother, Assunta, and her repentant murderer, Alessandro Serenelli.  There is also a relic of Maria's arm here.</t>
  </si>
  <si>
    <t>La Ferriere</t>
  </si>
  <si>
    <t>Goretti House</t>
  </si>
  <si>
    <t>Here St. Maria Goretti lived with her family and where she was martyred, stabbed by Alessandro Serenelli.  She died the next day in a hospital in Nettuno.  Today it is a museum.</t>
  </si>
  <si>
    <t>Nettuno</t>
  </si>
  <si>
    <t>Statue of St. Maria Goretti</t>
  </si>
  <si>
    <t>Basilica of Our Lady of Graces and St. Maria Goretti</t>
  </si>
  <si>
    <t>Basilica of Our Lady of Graces</t>
  </si>
  <si>
    <t>Statue of St Maria Goretti</t>
  </si>
  <si>
    <t>A statue of St. Maria Goretti in Nettuno, the town where she died.</t>
  </si>
  <si>
    <t>St Maria Goretti Tent of Pardon</t>
  </si>
  <si>
    <t>The "Tent of Pardon" is the site where, [according to the National Catholic Register](https://www.ncregister.com/blog/in-the-footsteps-of-st-maria-goretti), St. Maria Goretti lay dying in Nettuno.  It was here that she forgave her murderer, and may also be the place of her death.</t>
  </si>
  <si>
    <t>Sanctuary of Our Lady of Valverde</t>
  </si>
  <si>
    <t>Church of the Holy Family (La Sagrada Familia), Mexico City</t>
  </si>
  <si>
    <t>La Sagrada Familia</t>
  </si>
  <si>
    <t>This church, aside from being incredibly beautiful, is where Bl. Miguel Pro's remains are kept, to the right of the main altar.  His funeral procession passed in front of this church, though we are not sure if he had a funeral here.</t>
  </si>
  <si>
    <t>miguel-pro</t>
  </si>
  <si>
    <t>Bl. Miguel Pro, SJ</t>
  </si>
  <si>
    <t>Miguel Pro Martyrdom Site</t>
  </si>
  <si>
    <t>At this site, where an outdoor short stairway stands on the lottery building, is the site where Bl. Miguel Pro was martyred by firing squad.  These buildings were all built since that time.</t>
  </si>
  <si>
    <t>Across the street, a bit above head level, is a commemerative plaque on the restaurant.  The restaurant is owned by a Catholic family who provide information on Bl. Miguel Pro.
-JPY</t>
  </si>
  <si>
    <t>Site of Bl. Miguel Pro's Martyrdom</t>
  </si>
  <si>
    <t>Museum of Bl. Miguel Agustin Pro</t>
  </si>
  <si>
    <t>Miguel Pro Museum</t>
  </si>
  <si>
    <t>This museum contains many of Bl. Miguel Pro's personal belongings, including cassocks, vestments, the suit he was shot in, and the cot where he slept the night before his martyrdom.
The location of Fr. Pro's arrest appears to be unknown, but the location of his martyrdom is known.</t>
  </si>
  <si>
    <t>The hours are rather strange: certain days of the week in the middle of the day.  The entrance is to the left of the entrance to La Sagrada Familia.  The gift shop is also excellent.
-JPY</t>
  </si>
  <si>
    <t>St. Maria Goretti Tent of Pardon (Tenda del Perdono)</t>
  </si>
  <si>
    <t>St. Mary Catholic Church, Pine Bluff, AR</t>
  </si>
  <si>
    <t>St Mary</t>
  </si>
  <si>
    <t>US Arkansas</t>
  </si>
  <si>
    <t>US Alabama</t>
  </si>
  <si>
    <t>US Alaska</t>
  </si>
  <si>
    <t>US Arizona</t>
  </si>
  <si>
    <t>US California</t>
  </si>
  <si>
    <t>US Colorado</t>
  </si>
  <si>
    <t>US Connecticut</t>
  </si>
  <si>
    <t>US Delaware</t>
  </si>
  <si>
    <t>US DC</t>
  </si>
  <si>
    <t>US Florida</t>
  </si>
  <si>
    <t>US Georgia</t>
  </si>
  <si>
    <t>US Hawaii</t>
  </si>
  <si>
    <t>US Idaho</t>
  </si>
  <si>
    <t>US Illinois</t>
  </si>
  <si>
    <t>US Indiana</t>
  </si>
  <si>
    <t>US Iowa</t>
  </si>
  <si>
    <t>US Kansas</t>
  </si>
  <si>
    <t>US Kentucky</t>
  </si>
  <si>
    <t>US Louisiana</t>
  </si>
  <si>
    <t>US Maine</t>
  </si>
  <si>
    <t>US Maryland</t>
  </si>
  <si>
    <t>US Massachusetts</t>
  </si>
  <si>
    <t>US Michigan</t>
  </si>
  <si>
    <t>US Minnesota</t>
  </si>
  <si>
    <t>US Mississippi</t>
  </si>
  <si>
    <t>US Missouri</t>
  </si>
  <si>
    <t>US Montana</t>
  </si>
  <si>
    <t>US Nebraska</t>
  </si>
  <si>
    <t>US Nevada</t>
  </si>
  <si>
    <t>US New Hampshire</t>
  </si>
  <si>
    <t>US New Jersey</t>
  </si>
  <si>
    <t>US New Mexico</t>
  </si>
  <si>
    <t>US New York</t>
  </si>
  <si>
    <t>US North Carolina</t>
  </si>
  <si>
    <t>US North Dakota</t>
  </si>
  <si>
    <t>US Ohio</t>
  </si>
  <si>
    <t>US Oklahoma</t>
  </si>
  <si>
    <t>US Oregon</t>
  </si>
  <si>
    <t>US Pennsylvania</t>
  </si>
  <si>
    <t>US Rhode Island</t>
  </si>
  <si>
    <t>US South Carolina</t>
  </si>
  <si>
    <t>US South Dakota</t>
  </si>
  <si>
    <t>US Tennessee</t>
  </si>
  <si>
    <t>US Texas</t>
  </si>
  <si>
    <t>US Utah</t>
  </si>
  <si>
    <t>US Vermont</t>
  </si>
  <si>
    <t>US Virginia</t>
  </si>
  <si>
    <t>US Washington</t>
  </si>
  <si>
    <t>US West Virginia</t>
  </si>
  <si>
    <t>US Wisconsin</t>
  </si>
  <si>
    <t>US Wyoming</t>
  </si>
  <si>
    <t>us_al</t>
  </si>
  <si>
    <t>us_ak</t>
  </si>
  <si>
    <t>us_az</t>
  </si>
  <si>
    <t>us_ar</t>
  </si>
  <si>
    <t>us_ca</t>
  </si>
  <si>
    <t>us_co</t>
  </si>
  <si>
    <t>us_ct</t>
  </si>
  <si>
    <t>us_de</t>
  </si>
  <si>
    <t>us_dc</t>
  </si>
  <si>
    <t>us_fl</t>
  </si>
  <si>
    <t>us_ga</t>
  </si>
  <si>
    <t>us_hi</t>
  </si>
  <si>
    <t>us_id</t>
  </si>
  <si>
    <t>us_il</t>
  </si>
  <si>
    <t>us_in</t>
  </si>
  <si>
    <t>us_ia</t>
  </si>
  <si>
    <t>us_ks</t>
  </si>
  <si>
    <t>us_ky</t>
  </si>
  <si>
    <t>us_la</t>
  </si>
  <si>
    <t>us_me</t>
  </si>
  <si>
    <t>us_md</t>
  </si>
  <si>
    <t>us_ma</t>
  </si>
  <si>
    <t>us_mi</t>
  </si>
  <si>
    <t>us_mn</t>
  </si>
  <si>
    <t>us_ms</t>
  </si>
  <si>
    <t>us_mo</t>
  </si>
  <si>
    <t>us_mt</t>
  </si>
  <si>
    <t>us_ne</t>
  </si>
  <si>
    <t>us_nv</t>
  </si>
  <si>
    <t>us_nh</t>
  </si>
  <si>
    <t>us_nj</t>
  </si>
  <si>
    <t>us_nm</t>
  </si>
  <si>
    <t>us_ny</t>
  </si>
  <si>
    <t>us_nc</t>
  </si>
  <si>
    <t>us_nd</t>
  </si>
  <si>
    <t>us_oh</t>
  </si>
  <si>
    <t>us_ok</t>
  </si>
  <si>
    <t>us_or</t>
  </si>
  <si>
    <t>us_pa</t>
  </si>
  <si>
    <t>us_ri</t>
  </si>
  <si>
    <t>us_sc</t>
  </si>
  <si>
    <t>us_sd</t>
  </si>
  <si>
    <t>us_tn</t>
  </si>
  <si>
    <t>us_tx</t>
  </si>
  <si>
    <t>us_ut</t>
  </si>
  <si>
    <t>us_vt</t>
  </si>
  <si>
    <t>us_va</t>
  </si>
  <si>
    <t>us_wa</t>
  </si>
  <si>
    <t>us_wv</t>
  </si>
  <si>
    <t>us_wi</t>
  </si>
  <si>
    <t>us_wy</t>
  </si>
  <si>
    <t>Pine Bluff</t>
  </si>
  <si>
    <t>Oldest Catholic church in Arkansas, originally built on a barge in the Arkansas River in 1782 to combat the threat of flooding by the river.  The cemetery behind the church is the final resting place for Mother Agnes Hart, a nun whose body was later found to be incorrupt.</t>
  </si>
  <si>
    <t>https://www.stjosephpinebluff.org/st-mary-catholic-church.html</t>
  </si>
  <si>
    <t>(now under the care of nearby St. Joseph Parish)</t>
  </si>
  <si>
    <t>https://americancatholichistory.org/old-st-mary-pine-bluff-arkansas/</t>
  </si>
  <si>
    <t>agnes-hart</t>
  </si>
  <si>
    <t>Mother Agnes Hart</t>
  </si>
  <si>
    <t>Emmitsburg</t>
  </si>
  <si>
    <t>Mount St Marys Seminary</t>
  </si>
  <si>
    <t>Holy Trinity Catholic Church, Okarche, OK</t>
  </si>
  <si>
    <t>Holy Trinity</t>
  </si>
  <si>
    <t>Okarche</t>
  </si>
  <si>
    <t>Stanley Rother Shrine</t>
  </si>
  <si>
    <t>Oklahoma City</t>
  </si>
  <si>
    <t>The shrine was dedicated on February 17, 2023 with the Most Rev. Paul S. Coakley, Archbishop of Oklahoma City presiding. The service was attended by 37 bishops, 147 priests, and hundreds of other religious and pilgrims.</t>
  </si>
  <si>
    <t>San Antonio</t>
  </si>
  <si>
    <t>Bl. Stanley Rother completed his studies at Mount Saint Mary's Seminary and was ordained a priest on May 25, 1963.</t>
  </si>
  <si>
    <t>Santa Fe</t>
  </si>
  <si>
    <t>Loretto Chapel, Santa Fe, NM</t>
  </si>
  <si>
    <t>Loretto Chapel</t>
  </si>
  <si>
    <t>According to tradition, when the architect failed to provide a way to get to the new choir loft, the architecturally-impressive spiral staircase was built by St. Joseph himself.</t>
  </si>
  <si>
    <t>https://www.lorettochapel.com</t>
  </si>
  <si>
    <t>https://thunderrock.org/story-extras/the-spiral-architect</t>
  </si>
  <si>
    <t>joseph</t>
  </si>
  <si>
    <t>St. Joseph</t>
  </si>
  <si>
    <t>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t>
  </si>
  <si>
    <t>https://www.catholicworldreport.com/2023/04/07/visiting-el-santuario-de-chimayo-the-most-popular-pilgrimage-site-in-america/</t>
  </si>
  <si>
    <t>Article from Catholic World Report</t>
  </si>
  <si>
    <t>https://thunderrock.org/story-extras/take-the-hint</t>
  </si>
  <si>
    <t>Sanctuary of Chimayo (Santuario de Chimayo)</t>
  </si>
  <si>
    <t>Santuario de Chimayo</t>
  </si>
  <si>
    <t>Shrine of Our Lady of Martyrs</t>
  </si>
  <si>
    <t>kateri-tekakwitha</t>
  </si>
  <si>
    <t>isaac-jogues</t>
  </si>
  <si>
    <t>rene-goupil</t>
  </si>
  <si>
    <t>St. Kateri Tekakwitha</t>
  </si>
  <si>
    <t>St. Isaac Jogues, SJ</t>
  </si>
  <si>
    <t>canadian-martyrs</t>
  </si>
  <si>
    <t>Canadian Martyrs</t>
  </si>
  <si>
    <t>St. Rene Goupil, SJ</t>
  </si>
  <si>
    <t>St. Jean de Lalande, SJ</t>
  </si>
  <si>
    <t>Built on the site of the Mohawk village of Ossernenon, where Sts. Isaac Jogues, Rene Goupil, and Jean de Lalande were martyred, and where St. Kateri Tekakwitha was born.</t>
  </si>
  <si>
    <t>jean-de-lalande</t>
  </si>
  <si>
    <t>Shrine of Our Lady of Martyrs (National Shrine of the North American Martyrs)</t>
  </si>
  <si>
    <t>https://www.ourladyofmartyrsshrine.org/</t>
  </si>
  <si>
    <t>Dallas</t>
  </si>
  <si>
    <t>Blessed Sacrament Catholic Church, Dallas, TX</t>
  </si>
  <si>
    <t>Blessed Sacrament</t>
  </si>
  <si>
    <t>Second oldest parish in the city of Dallas, but established when Oak Cliff was a separate city.</t>
  </si>
  <si>
    <t>https://www.bsdallas.org/about-our-parish</t>
  </si>
  <si>
    <t>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t>
  </si>
  <si>
    <t>National Shrine Cathedral of Our Lady of Guadalupe, Dallas, TX</t>
  </si>
  <si>
    <t>Guadalupe Cathedral</t>
  </si>
  <si>
    <t>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t>
  </si>
  <si>
    <t>https://www.cathdal.org/cathedral</t>
  </si>
  <si>
    <t>Holy Trinity Catholic Church, Dallas, TX</t>
  </si>
  <si>
    <t>Founded and staffed by the Vincentians, who also staffed Trinity College/Dallas University across the street.</t>
  </si>
  <si>
    <t>https://htccd.org/</t>
  </si>
  <si>
    <t>https://htccd.org/history</t>
  </si>
  <si>
    <t>Parish history</t>
  </si>
  <si>
    <t>https://www.bsdallas.org/</t>
  </si>
  <si>
    <t>vincentians</t>
  </si>
  <si>
    <t>Congregation of the Mission (Vincentians)</t>
  </si>
  <si>
    <t>jesuits</t>
  </si>
  <si>
    <t>Society of Jesus (Jesuits)</t>
  </si>
  <si>
    <t>Old Our Lady of Guadalupe Catholic Church, Dallas, TX</t>
  </si>
  <si>
    <t>Old Guadalupe</t>
  </si>
  <si>
    <t>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t>
  </si>
  <si>
    <t>https://dallascityhall.com/departments/sustainabledevelopment/historicpreservation/HP%20Documents/Landmark%20Structures/St.%20Anns%20School%20Landmark%20Nomination.pdf</t>
  </si>
  <si>
    <t>https://www.saintanndallas.com/restaurant</t>
  </si>
  <si>
    <t>About St. Ann restauraunt</t>
  </si>
  <si>
    <t>Old St. Patrick Catholic Church, Dallas, TX</t>
  </si>
  <si>
    <t>Old St Patrick</t>
  </si>
  <si>
    <t>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t>
  </si>
  <si>
    <t>Article about St. Patrick</t>
  </si>
  <si>
    <t>https://cityofdallaspreservation.wordpress.com/2018/03/16/the-old-st-patrick-roman-catholic-church-in-dallas-gone-but-not-forgotten</t>
  </si>
  <si>
    <t>Old Ursuline Academy, Dallas, TX</t>
  </si>
  <si>
    <t>Old Ursuline</t>
  </si>
  <si>
    <t>Original site of Ursuline Academy and the Ursuline Convent.  It is unclear why this building was demolished.
![Ursuline academy](https://www.ursulinedallas.org/uploaded/images/mission/1882_OldUrsuline.jpg)
![Ursuline academy](https://www.tshaonline.org/images/handbook/entries/DD/Dallas%20ursuline%20aerial.jpg)</t>
  </si>
  <si>
    <t>Ursuline history article</t>
  </si>
  <si>
    <t>(includes pictures of this convent)</t>
  </si>
  <si>
    <t>St. Ann preservation application</t>
  </si>
  <si>
    <t>(including section on the church's history)</t>
  </si>
  <si>
    <t>https://www.ursulinedallas.org/mission/heritage</t>
  </si>
  <si>
    <t>Additional Ursuline history article</t>
  </si>
  <si>
    <t>https://www.tshaonline.org/handbook/entries/ursuline-academy-dallas</t>
  </si>
  <si>
    <t>(includes pictures)</t>
  </si>
  <si>
    <t>Convent in the 1922 Sanborn map</t>
  </si>
  <si>
    <t>https://maps.lib.utexas.edu/maps/sanborn/d-f/txu-sanborn-dallas-1922-315.jpg</t>
  </si>
  <si>
    <t>Old St. Paul Sanitarium, Dallas, TX</t>
  </si>
  <si>
    <t>Old St Paul</t>
  </si>
  <si>
    <t>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t>
  </si>
  <si>
    <t>History of St. Paul Sanitarium</t>
  </si>
  <si>
    <t>https://cityofdallaspreservation.wordpress.com/2020/04/01/st-pauls-sanitarium-in-dallas-tx/</t>
  </si>
  <si>
    <t>https://www.utsouthwestern.edu/edumedia/edufiles/about_us/Giving/st-paul-mag-2015.pdf</t>
  </si>
  <si>
    <t>UT Southwestern pamphlet on St. Paul's history</t>
  </si>
  <si>
    <t>Sanitarium in the 1921 Sanborn map</t>
  </si>
  <si>
    <t>https://maps.lib.utexas.edu/maps/sanborn/d-f/txu-sanborn-dallas-1921-38.jpg</t>
  </si>
  <si>
    <t>Old Trinity College / Dallas University / Jesuit Dallas</t>
  </si>
  <si>
    <t>Old Trinity College</t>
  </si>
  <si>
    <t>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t>
  </si>
  <si>
    <t>School in the 1922 Sanborn map</t>
  </si>
  <si>
    <t>https://maps.lib.utexas.edu/maps/sanborn/d-f/txu-sanborn-dallas-1921-287.jpg</t>
  </si>
  <si>
    <t>St. Edward the Confessor Catholic Church, Dallas, TX</t>
  </si>
  <si>
    <t>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t>
  </si>
  <si>
    <t>St Edward</t>
  </si>
  <si>
    <t>https://stedwardparish.org/history-</t>
  </si>
  <si>
    <t>https://stedwardparish.org/</t>
  </si>
  <si>
    <t>Old St. Joseph Catholic Church, Dallas, TX</t>
  </si>
  <si>
    <t>Old St Joseph</t>
  </si>
  <si>
    <t>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t>
  </si>
  <si>
    <t>Historical site nomination form</t>
  </si>
  <si>
    <t>https://dallascityhall.com/departments/sustainabledevelopment/historicpreservation/HP%20Documents/Landmark%20Structures/St%20Josephs%20Catholic%20Church%20Landmark%20Nomination.pdf</t>
  </si>
  <si>
    <t>Historical site page</t>
  </si>
  <si>
    <t>https://dallascityhall.com/departments/sustainabledevelopment/historicpreservation/Pages/St-Josephs-Catholic-Church-.aspx</t>
  </si>
  <si>
    <t>St. Peter Catholic Church, Dallas, TX</t>
  </si>
  <si>
    <t>St Peter</t>
  </si>
  <si>
    <t>The first black parish in Dallas, founded in 1905, is now home to the area's Polish community.</t>
  </si>
  <si>
    <t>https://stpeterdal.com/about/#History</t>
  </si>
  <si>
    <t>https://stpeterdal.com/</t>
  </si>
  <si>
    <t>closed</t>
  </si>
  <si>
    <t>Closed or Deconsecrated Sites</t>
  </si>
  <si>
    <t>Type</t>
  </si>
  <si>
    <t>camino</t>
  </si>
  <si>
    <t>Category</t>
  </si>
  <si>
    <t>Ven. Benoite Rencurel</t>
  </si>
  <si>
    <t>S.D. Reinolda May, OSB</t>
  </si>
  <si>
    <t>Order</t>
  </si>
  <si>
    <t>Religion</t>
  </si>
  <si>
    <t>Page Prefix</t>
  </si>
  <si>
    <t>Avila</t>
  </si>
  <si>
    <t>This 17th-century church, run by the Discalced Carmelites, marks the spot where St Teresa of Avila is believed to have been born. The church houses a museum dedicated to her life and works.</t>
  </si>
  <si>
    <t>https://www.teresadejesus.com/</t>
  </si>
  <si>
    <t>carmelites</t>
  </si>
  <si>
    <t>discalced-carmelites</t>
  </si>
  <si>
    <t>Discalced Carmelites (Order of Discalced Carmelites)</t>
  </si>
  <si>
    <t>Carmelites (Carmelites of the Ancient Observance)</t>
  </si>
  <si>
    <t>john-cross</t>
  </si>
  <si>
    <t>teresa-avila</t>
  </si>
  <si>
    <t>St. Teresa of Avila, OCD</t>
  </si>
  <si>
    <t>St. John of the Cross, OCD</t>
  </si>
  <si>
    <t>Avila tourism site</t>
  </si>
  <si>
    <t>https://www.avilaturismo.com/en/monatery-of-la-encarnacion</t>
  </si>
  <si>
    <t>Convento de San Jose</t>
  </si>
  <si>
    <t>Monasterio de La Encarnacion</t>
  </si>
  <si>
    <t>Monastery of the Incarnation (Monasterio de La Encarnacion)</t>
  </si>
  <si>
    <t>https://www.avilaturismo.com/en/convent-and-church-of-san-jose</t>
  </si>
  <si>
    <t>http://www.sanjosedeavila.es/</t>
  </si>
  <si>
    <t>Monasterio de las Batuecas</t>
  </si>
  <si>
    <t>https://monasteriodelasbatuecas.wordpress.com/</t>
  </si>
  <si>
    <t>Story of the staircase on the podcast *That's the Word*</t>
  </si>
  <si>
    <t>Story of the shrine on the podcast *That's the Word*</t>
  </si>
  <si>
    <t>*American Catholic History* podcast episode on St. Mary</t>
  </si>
  <si>
    <t>Convento de La Anunciacion</t>
  </si>
  <si>
    <t>Information in English</t>
  </si>
  <si>
    <t>https://www.carmelitasalba.org/wp-content/themes/Florida_child_theme/images/carmus-ingles-web.pdf</t>
  </si>
  <si>
    <t>https://carmelitasalba.org/</t>
  </si>
  <si>
    <t>Convento de San Jose, Avila</t>
  </si>
  <si>
    <t>Medina del Campo</t>
  </si>
  <si>
    <t>Convento de San Jose, Medina del Campo</t>
  </si>
  <si>
    <t>Malagon</t>
  </si>
  <si>
    <t>Convento de San Jose, Malagon</t>
  </si>
  <si>
    <t>Convento de Santa Teresa</t>
  </si>
  <si>
    <t>Valladolid</t>
  </si>
  <si>
    <t>Casa Natal Santa Teresa de Jesus</t>
  </si>
  <si>
    <t>Church and birthplace of St. Teresa of Jesus (Casa Natal Santa Teresa de Jesus)</t>
  </si>
  <si>
    <t>Toledo</t>
  </si>
  <si>
    <t>Convento de San Jose, Toledo</t>
  </si>
  <si>
    <t>Convento del Carmen</t>
  </si>
  <si>
    <t>Convento del Carmen, Pastrana</t>
  </si>
  <si>
    <t>Pastrana</t>
  </si>
  <si>
    <t>conceptionists</t>
  </si>
  <si>
    <t>Order of the Immaculate Conception (Conceptionists)</t>
  </si>
  <si>
    <t>Pastrana tourism site</t>
  </si>
  <si>
    <t>https://turismo.pastrana.org/destino-pastrana/monumentos-pastrana-visitas-culturales/convento-del-carmen/</t>
  </si>
  <si>
    <t>The third of 17 communities founded by St. Teresa of Avila, in 1568.</t>
  </si>
  <si>
    <t>The first of 17 communities founded by St. Teresa of Avila, in 1562. Visitors can explore the church, cloister, and St. Teresa's cell, now a chapel dedicated to prayer.</t>
  </si>
  <si>
    <t>The fourth of 17 communities founded by St. Teresa of Avila, in 1568.</t>
  </si>
  <si>
    <t>The fifth of 17 communities founded by St. Teresa of Avila, in 1569.</t>
  </si>
  <si>
    <t>The eigth of 17 communities founded by St. Teresa of Avila, in 1571, and also the place of her death in 1582.  Today the main altarpiece houses St. Teresa's incorrupt heart and arm.</t>
  </si>
  <si>
    <t>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t>
  </si>
  <si>
    <t>Alba de Tormes</t>
  </si>
  <si>
    <t>Segovia</t>
  </si>
  <si>
    <t>Convento de San Jose, Segovia</t>
  </si>
  <si>
    <t>The ninth of 17 communities founded by St. Teresa of Avila, in 1574.</t>
  </si>
  <si>
    <t>Beas de Segura</t>
  </si>
  <si>
    <t>Monasterio de San Jose del Salvador</t>
  </si>
  <si>
    <t>Sierra de Segura tourism site</t>
  </si>
  <si>
    <t>https://lasierradesegura.org/parajes-naturales/convento-de-las-carmelitas-descalzas-de-san-jose-del-salvador/</t>
  </si>
  <si>
    <t>Wikipedia</t>
  </si>
  <si>
    <t>https://es.wikipedia.org/wiki/Convento_de_Carmelitas_Descalzas_(Beas_de_Segura)</t>
  </si>
  <si>
    <t>Significant amounts of information of the associated Wikipedia page</t>
  </si>
  <si>
    <t>The tenth of 17 communities founded by St. Teresa of Avila, in 1575.</t>
  </si>
  <si>
    <t>Seville</t>
  </si>
  <si>
    <t>Convento de San Jose del Carmen</t>
  </si>
  <si>
    <t>The eleventh of 17 communities founded by St. Teresa of Avila, in 1575.  This convent does not appear open to the public.</t>
  </si>
  <si>
    <t>Seville tourism site</t>
  </si>
  <si>
    <t>https://www.turismosevilla.org/en/what-see-and-do/heritage/monuments/san-jose-conventual-church-las-teresas</t>
  </si>
  <si>
    <t>https://www.helpfellowship.org/map_of_foundations.htm</t>
  </si>
  <si>
    <t>Caravaca</t>
  </si>
  <si>
    <t>Convento de San Jose, Caravaca de la Cruz</t>
  </si>
  <si>
    <t>Article from Murcia Today</t>
  </si>
  <si>
    <t>https://murciatoday.com/the-convent_church-of-san-jose-in-caravaca-de-la-cruz_34175-a.html</t>
  </si>
  <si>
    <t>Caravaca tourism site</t>
  </si>
  <si>
    <t>https://www.turismocaravaca.com/blog/church-and-convent-san-jose-of-madres-carmelitas/</t>
  </si>
  <si>
    <t>The twelvth of 17 communities founded by St. Teresa of Avila, in 1576.</t>
  </si>
  <si>
    <t>Convento de Santa Ana</t>
  </si>
  <si>
    <t>Villanueva de la Jara</t>
  </si>
  <si>
    <t>The thirteenth of 17 communities founded by St. Teresa of Avila, in 1580.</t>
  </si>
  <si>
    <t>Villanueva de la Jara offical site</t>
  </si>
  <si>
    <t>https://www.villanuevadelajara.eu/english/the-footprints-of-st-teresa-of-jesus-in-villanueva-de-la-jara/</t>
  </si>
  <si>
    <t>Palencia</t>
  </si>
  <si>
    <t>The fourteenth of 17 communities founded by St. Teresa of Avila, in 1580.  It is likely the original convent is no longer in existence, though a church remains.</t>
  </si>
  <si>
    <t>Palencia tourism site</t>
  </si>
  <si>
    <t>https://turismo.aytopalencia.es/en/poi/church-san-bernardo</t>
  </si>
  <si>
    <t>Soria</t>
  </si>
  <si>
    <t>Iglesia de San Bernardo</t>
  </si>
  <si>
    <t>Convento de Nuestra Senora del Carmen</t>
  </si>
  <si>
    <t>Soria tourism site</t>
  </si>
  <si>
    <t>https://www.turismosoria.es/en/what-to-see/monuments/convent-of-el-carmen/</t>
  </si>
  <si>
    <t>It's unclear which church is associated with the original convent - the one pinpointed on this article, or the nearby Iglesia de Santa Maria la Mayor (as noted, possibly incorrectly, on Soria's tourism site).  Regardless, the convent is still actively functioning.
-JMM</t>
  </si>
  <si>
    <t>The fifteenth of 17 communities founded by St. Teresa of Avila, in 1581.</t>
  </si>
  <si>
    <t>Granada</t>
  </si>
  <si>
    <t>Convento de San Jose, Granada</t>
  </si>
  <si>
    <t>http://www.carmelitasdescalzasgranada.es/</t>
  </si>
  <si>
    <t>https://federacionvirgendelcarmen.wordpress.com/conventos/convento-de-san-jose-granada/</t>
  </si>
  <si>
    <t>Information from the Federacion Virgen del Carmen</t>
  </si>
  <si>
    <t>The sixteenth of 17 communities founded by St. Teresa of Avila, in 1582.  Co-founded with St. John of the Cross.</t>
  </si>
  <si>
    <t>Burgos</t>
  </si>
  <si>
    <t>Convento de San Jose y Santa Ana</t>
  </si>
  <si>
    <t>The last of 17 communities founded by St. Teresa of Avila, in 1582.</t>
  </si>
  <si>
    <t>Many of the websites associated with this site were not working at time of writing.
-JMM</t>
  </si>
  <si>
    <t>https://turismo.aytoburgos.es/cultura-y-patrimonio1/-/asset_publisher/PMC541iCzJ73/content/convento-de-san-jos%25C3%25A9-y-santa-ana</t>
  </si>
  <si>
    <t>Burgos tourism site</t>
  </si>
  <si>
    <t>https://catedralavila.es/</t>
  </si>
  <si>
    <t>Construction on the cathedral first began in the 12th century and continued up until the 17th century.  As part of the Old Town of Avila, it was inscribed as a UNESCO World Heritage site in 1985.</t>
  </si>
  <si>
    <t>Avila Cathedral (Catedral del Salvador)</t>
  </si>
  <si>
    <t>Basilica of Sts. Vincent, Sabina and Cristeta (San Vicente de Avila)</t>
  </si>
  <si>
    <t>San Vincente</t>
  </si>
  <si>
    <t>This basilica is built on traditional burial site of Saint Vincent, a young deacon martyred for his faith in the 4th century under the reign of Diocletian.  The church houses his relics and those of fellow martyrs Sts. Sabina and Cristeta.</t>
  </si>
  <si>
    <t>https://basilicasanvicente.es/</t>
  </si>
  <si>
    <t>vincent</t>
  </si>
  <si>
    <t>St. Vincent</t>
  </si>
  <si>
    <t>sabina</t>
  </si>
  <si>
    <t>St. Sabina</t>
  </si>
  <si>
    <t>cristeta</t>
  </si>
  <si>
    <t>St. Cristeta</t>
  </si>
  <si>
    <t>Castila y Leon tourism site</t>
  </si>
  <si>
    <t>https://www.turismocastillayleon.com/en/art-culture-heritage/museums/teresian-museum-san-jose-medina-del-campo-m-m-carmelitas</t>
  </si>
  <si>
    <t>Medina del Campo tourism site</t>
  </si>
  <si>
    <t>http://medinadelcampo.es/lo-indispensable/donde-la-historia-cobra-vida/23-lo-indispensable/donde-la-historia-cobra-vida/367-convento-san-juan-de-la-cruz-ruta-teresiana</t>
  </si>
  <si>
    <t>The second of 17 communities founded by St. Teresa of Avila, in 1567, and also where she met and influenced St. John of the Cross.
Now houses a museum.</t>
  </si>
  <si>
    <t>Duruelo</t>
  </si>
  <si>
    <t>Monastery of Duruelo</t>
  </si>
  <si>
    <t>Monastery</t>
  </si>
  <si>
    <t>The first monastery established by St. John of the Cross and Fr. Antonio of Jesus in 1568, using a small farmhouse which had been donated to St. Teresa of Avila.  Soon the community outgrew the building, and moved to Mancera de Abajo in 1570, then Avila in 1600.</t>
  </si>
  <si>
    <t>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
-JMM</t>
  </si>
  <si>
    <t>Convent of St. John of the Cross (Convento de San Juan de la Cruz)</t>
  </si>
  <si>
    <t>Convento de San Juan de la Cruz</t>
  </si>
  <si>
    <t>St. John of the Cross founded the convent in 1588 and led the community as prior until 1591.  His head and body are located in a side chapel.
Although no longer an active monastery, the site serves as a sanctuary for spiritual exercises.  Pope St. John Paul II visited the site in 1982.</t>
  </si>
  <si>
    <t>https://sanjuandelacruzsegovia.com/</t>
  </si>
  <si>
    <t>Ubeda</t>
  </si>
  <si>
    <t>Oratory of St. John of the Cross (Oratorio de San Juan de la Cruz)</t>
  </si>
  <si>
    <t>Oratorio de San Juan de la Cruz</t>
  </si>
  <si>
    <t>In 1591, St. John of the Cross died here, the site of a former monastery.  Today, there is a chapel housing his relics (a hand and leg) and a museum related to his life.</t>
  </si>
  <si>
    <t>https://www.sanjuandelacruzubeda.com/</t>
  </si>
  <si>
    <t>Fontiveros</t>
  </si>
  <si>
    <t>Church of the Birthplace of St. John of the Cross (Iglesia Casa Natal de San Juan de la Cruz)</t>
  </si>
  <si>
    <t>Iglesia Casa Natal de San Juan de la Cruz</t>
  </si>
  <si>
    <t>Church in the town of St. John of the Cross's birth</t>
  </si>
  <si>
    <t>https://www.turismocastillayleon.com/en/art-culture-heritage/monuments/churches-chapels/church-san-juan-de-la-cruz-house-natal</t>
  </si>
  <si>
    <t>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t>
  </si>
  <si>
    <t>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t>
  </si>
  <si>
    <t>MI</t>
  </si>
  <si>
    <t>Santiago de Compostela</t>
  </si>
  <si>
    <t>http://catedraldesantiago.es/</t>
  </si>
  <si>
    <t>Metropolitan Archcathedral Basilica of Santiago de Compostela (Catedral de Santiago)</t>
  </si>
  <si>
    <t>Catedral de Santiago</t>
  </si>
  <si>
    <t>pelagius</t>
  </si>
  <si>
    <t>St. Pelagius the Hermit</t>
  </si>
  <si>
    <t>Convento de Santa Teresa, Valladolid</t>
  </si>
  <si>
    <t>Convent of the Anunciation (Convento de La Anunciacion), Alba de Tormes</t>
  </si>
  <si>
    <t>Monasterio de San Jose del Salvador, Beas</t>
  </si>
  <si>
    <t>Convento de San Jose del Carmen (Las Teresas), Seville</t>
  </si>
  <si>
    <t>Convento de Santa Ana, Villanueva de la Jara</t>
  </si>
  <si>
    <t>St. Bernard Church (Iglesia de San Bernardo), Palencia</t>
  </si>
  <si>
    <t>Convent of our Lady of Carmen (Convento de Nuestra Senora del Carmen), Soria</t>
  </si>
  <si>
    <t>Convento de San Jose y Santa Ana, Burgos</t>
  </si>
  <si>
    <t>Site of Tyburn Tree</t>
  </si>
  <si>
    <t>Westminster</t>
  </si>
  <si>
    <t>english-martyrs</t>
  </si>
  <si>
    <t>English Martyrs</t>
  </si>
  <si>
    <t>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t>
  </si>
  <si>
    <t>Mission San Diego de Alcala</t>
  </si>
  <si>
    <t>Mission San Carlos Borromeo de Carmelo</t>
  </si>
  <si>
    <t>Mission San Antonio de Padua</t>
  </si>
  <si>
    <t>Mission San Gabriel Arcangel</t>
  </si>
  <si>
    <t>Mission San Luis Obispo de Tolosa</t>
  </si>
  <si>
    <t>Mission San Francisco de Asis (Mission Dolores)</t>
  </si>
  <si>
    <t>Mission San Juan Capistrano</t>
  </si>
  <si>
    <t>Mission Santa Clara de Asis</t>
  </si>
  <si>
    <t>Mission San Buenaventura</t>
  </si>
  <si>
    <t>Mission Santa Barbara</t>
  </si>
  <si>
    <t>Mission La Purisima Concepcion</t>
  </si>
  <si>
    <t>Mission Santa Cruz</t>
  </si>
  <si>
    <t>Mission Nuestra Senora de la Soledad (Mission Soledad)</t>
  </si>
  <si>
    <t>Mission San Jose</t>
  </si>
  <si>
    <t>Mission San Juan Bautista</t>
  </si>
  <si>
    <t>Mission San Miguel Arcangel</t>
  </si>
  <si>
    <t>Mission San Fernando Rey de Espana</t>
  </si>
  <si>
    <t>Mission San Luis Rey de Francia</t>
  </si>
  <si>
    <t>Mission Santa Ines</t>
  </si>
  <si>
    <t>Mission San Francisco Solano</t>
  </si>
  <si>
    <t>San Diego</t>
  </si>
  <si>
    <t>Carmel-by-the-Sea</t>
  </si>
  <si>
    <t>Jolon</t>
  </si>
  <si>
    <t>San Gabriel</t>
  </si>
  <si>
    <t>San Luis Obispo</t>
  </si>
  <si>
    <t>San Francisco</t>
  </si>
  <si>
    <t>San Juan Capistrano</t>
  </si>
  <si>
    <t>Santa Clara</t>
  </si>
  <si>
    <t>Ventura</t>
  </si>
  <si>
    <t>Santa Barbara</t>
  </si>
  <si>
    <t>Lompoc</t>
  </si>
  <si>
    <t>Santa Cruz</t>
  </si>
  <si>
    <t>Soledad</t>
  </si>
  <si>
    <t>Fremont</t>
  </si>
  <si>
    <t>San Juan Bautista</t>
  </si>
  <si>
    <t>San Miguel</t>
  </si>
  <si>
    <t>Mission Hills</t>
  </si>
  <si>
    <t>Oceanside</t>
  </si>
  <si>
    <t>Solvang</t>
  </si>
  <si>
    <t>San Rafael</t>
  </si>
  <si>
    <t>Sonoma</t>
  </si>
  <si>
    <t>Mission San Diego</t>
  </si>
  <si>
    <t>Mission San Luis Obispo</t>
  </si>
  <si>
    <t>Mission San Carlos</t>
  </si>
  <si>
    <t>Mission San Antonio</t>
  </si>
  <si>
    <t>Mission San Gabriel</t>
  </si>
  <si>
    <t>Mission San Luis</t>
  </si>
  <si>
    <t>Mission Santa Clara</t>
  </si>
  <si>
    <t>Mission La Purisima</t>
  </si>
  <si>
    <t>Mission San Miguel</t>
  </si>
  <si>
    <t>Mission San Fernando</t>
  </si>
  <si>
    <t>Mission San Rafael</t>
  </si>
  <si>
    <t>Mission Dolores</t>
  </si>
  <si>
    <t>Mission Soledad</t>
  </si>
  <si>
    <t>Mission San Rafael Arcangel</t>
  </si>
  <si>
    <t>The 1st of the 21 California missions, founded in 1769.</t>
  </si>
  <si>
    <t>The 3rd of the 21 California missions, founded in 1771.</t>
  </si>
  <si>
    <t>The 4th of the 21 California missions, founded in 1771.</t>
  </si>
  <si>
    <t>The 5th of the 21 California missions, founded in 1772.</t>
  </si>
  <si>
    <t>The 6th of the 21 California missions, founded in 1776.</t>
  </si>
  <si>
    <t>The 7th of the 21 California missions, founded in 1776.</t>
  </si>
  <si>
    <t>The 8th of the 21 California missions, founded in 1777.</t>
  </si>
  <si>
    <t>The 9th of the 21 California missions, founded in 1782.</t>
  </si>
  <si>
    <t>The 10th of the 21 California missions, founded in 1786.</t>
  </si>
  <si>
    <t>The 12th of the 21 California missions, founded in 1791.</t>
  </si>
  <si>
    <t>The 13th of the 21 California missions, founded in 1791.</t>
  </si>
  <si>
    <t>The 14th of the 21 California missions, founded in 1797.</t>
  </si>
  <si>
    <t>The 15th of the 21 California missions, founded in 1797.</t>
  </si>
  <si>
    <t>The 16th of the 21 California missions, founded in 1797.</t>
  </si>
  <si>
    <t>The 17th of the 21 California missions, founded in 1797.</t>
  </si>
  <si>
    <t>The 19th of the 21 California missions, founded in 1804.</t>
  </si>
  <si>
    <t>The 20th of the 21 California missions, founded in 1817.</t>
  </si>
  <si>
    <t>https://www.missionsandiego.org/</t>
  </si>
  <si>
    <t>http://www.carmelmission.org/</t>
  </si>
  <si>
    <t>http://www.missionsanantonio.net/</t>
  </si>
  <si>
    <t>http://www.missionsangabriel.org/</t>
  </si>
  <si>
    <t>https://www.missionsanluisobispo.org/</t>
  </si>
  <si>
    <t>https://www.missiondolores.org/old-mission</t>
  </si>
  <si>
    <t>http://www.missionsjc.com/</t>
  </si>
  <si>
    <t>https://www.scu.edu/missionchurch/</t>
  </si>
  <si>
    <t>http://www.sanbuenaventuramission.org/</t>
  </si>
  <si>
    <t>http://www.santabarbaramission.org/</t>
  </si>
  <si>
    <t>http://www.lapurisimamission.org/</t>
  </si>
  <si>
    <t>http://www.holycrosssantacruz.com/mission-santa-cruz/</t>
  </si>
  <si>
    <t>http://missionsoledad.com/</t>
  </si>
  <si>
    <t>http://www.missionsanjose.org/</t>
  </si>
  <si>
    <t>http://www.oldmissionsjb.org/</t>
  </si>
  <si>
    <t>http://www.missionsanmiguel.org/</t>
  </si>
  <si>
    <t>https://www.sanluisrey.org/</t>
  </si>
  <si>
    <t>https://missionsantaines.org/</t>
  </si>
  <si>
    <t>http://saintraphael.com/</t>
  </si>
  <si>
    <t>https://www.parks.ca.gov/?page_id=479</t>
  </si>
  <si>
    <t>California Missions Foundation page</t>
  </si>
  <si>
    <t>https://californiamissionsfoundation.org/mission-san-diego-de-alcala/</t>
  </si>
  <si>
    <t>https://californiamissionsfoundation.org/mission-san-carlos-borromeo/</t>
  </si>
  <si>
    <t>https://californiamissionsfoundation.org/mission-san-antonio/</t>
  </si>
  <si>
    <t>https://californiamissionsfoundation.org/mission-san-gabriel/</t>
  </si>
  <si>
    <t>https://californiamissionsfoundation.org/mission-san-luis-obispo/</t>
  </si>
  <si>
    <t>https://californiamissionsfoundation.org/mission-san-francisco-de-asis/</t>
  </si>
  <si>
    <t>https://californiamissionsfoundation.org/mission-san-juan-capistrano/</t>
  </si>
  <si>
    <t>https://californiamissionsfoundation.org/mission-santa-clara/</t>
  </si>
  <si>
    <t>https://californiamissionsfoundation.org/mission-san-buenaventura/</t>
  </si>
  <si>
    <t>https://californiamissionsfoundation.org/mission-santa-barbara/</t>
  </si>
  <si>
    <t>https://californiamissionsfoundation.org/mission-la-purisima/</t>
  </si>
  <si>
    <t>https://californiamissionsfoundation.org/mission-santa-cruz/</t>
  </si>
  <si>
    <t>https://californiamissionsfoundation.org/mission-la-soledad/</t>
  </si>
  <si>
    <t>https://californiamissionsfoundation.org/mission-san-jose/</t>
  </si>
  <si>
    <t>https://californiamissionsfoundation.org/mission-san-juan-bautista/</t>
  </si>
  <si>
    <t>https://californiamissionsfoundation.org/mission-san-miguel/</t>
  </si>
  <si>
    <t>https://californiamissionsfoundation.org/mission-san-fernando/</t>
  </si>
  <si>
    <t>https://californiamissionsfoundation.org/mission-san-luis-rey/</t>
  </si>
  <si>
    <t>https://californiamissionsfoundation.org/mission-santa-ines/</t>
  </si>
  <si>
    <t>https://californiamissionsfoundation.org/mission-san-rafael/</t>
  </si>
  <si>
    <t>https://californiamissionsfoundation.org/mission-san-francisco-solano/</t>
  </si>
  <si>
    <t>Missions California page</t>
  </si>
  <si>
    <t>https://www.missionscalifornia.com/missions/san-diego-de-alcala/</t>
  </si>
  <si>
    <t>https://www.missionscalifornia.com/missions/san-carlos-borromeo-de-carmelo/</t>
  </si>
  <si>
    <t>https://www.missionscalifornia.com/missions/san-antonio-de-padua/</t>
  </si>
  <si>
    <t>https://www.missionscalifornia.com/missions/san-gabriel-arcangel/</t>
  </si>
  <si>
    <t>https://www.missionscalifornia.com/missions/san-luis-obispo-de-tolosa/</t>
  </si>
  <si>
    <t>https://www.missionscalifornia.com/missions/san-francisco-de-asis/</t>
  </si>
  <si>
    <t>https://www.missionscalifornia.com/missions/san-juan-capistrano/</t>
  </si>
  <si>
    <t>https://www.missionscalifornia.com/missions/santa-clara-de-asis/</t>
  </si>
  <si>
    <t>https://www.missionscalifornia.com/missions/san-buenaventura/</t>
  </si>
  <si>
    <t>https://www.missionscalifornia.com/missions/santa-barbara/</t>
  </si>
  <si>
    <t>https://www.missionscalifornia.com/missions/la-purisima-concepcion/</t>
  </si>
  <si>
    <t>https://www.missionscalifornia.com/missions/santa-cruz/</t>
  </si>
  <si>
    <t>https://www.missionscalifornia.com/missions/nuestra-senora-de-la-soledad/</t>
  </si>
  <si>
    <t>https://www.missionscalifornia.com/missions/san-jose/</t>
  </si>
  <si>
    <t>https://www.missionscalifornia.com/missions/san-juan-bautista/</t>
  </si>
  <si>
    <t>https://www.missionscalifornia.com/missions/san-miguel-arcangel/</t>
  </si>
  <si>
    <t>https://www.missionscalifornia.com/missions/san-fernando-rey-de-espana/</t>
  </si>
  <si>
    <t>https://www.missionscalifornia.com/missions/san-luis-rey-francia/</t>
  </si>
  <si>
    <t>https://www.missionscalifornia.com/missions/santa-ines-virgen-y-martir/</t>
  </si>
  <si>
    <t>https://www.missionscalifornia.com/missions/san-rafael-arcangel/</t>
  </si>
  <si>
    <t>https://www.missionscalifornia.com/missions/san-francisco-solano/</t>
  </si>
  <si>
    <t>schools</t>
  </si>
  <si>
    <t>Sites Related to Educational Institutions</t>
  </si>
  <si>
    <t>junipero-serra</t>
  </si>
  <si>
    <t>franciscans</t>
  </si>
  <si>
    <t>Order of Friars Minor (Fransiscans)</t>
  </si>
  <si>
    <t>The 2nd of the 21 California missions, founded in 1770, and the site of St. Junipero Serra's death.  His remains are located southeast of the altar.</t>
  </si>
  <si>
    <t>The 21st of the 21 California missions, founded in 1823.  The mission only remained so for 11 years before being secularized.  The Bear Flag Revolt of June 14, 1816 occurred directly across from the mission, declaring California a republic.  Today the mission is part of a public park.</t>
  </si>
  <si>
    <t>The 18th of the 21 California missions, founded in 1798.  It is attached to the Franciscan community of the same name.</t>
  </si>
  <si>
    <t>The 11th of the 21 California missions, founded in 1787.  The mission is no longer an active church, but part of a state park which seeks to accurately replicate mission life.</t>
  </si>
  <si>
    <t>california-missions</t>
  </si>
  <si>
    <t>Franciscian Missions in California</t>
  </si>
  <si>
    <t>https://en.wikipedia.org/wiki/Marie-Alphonse_Ratisbonne</t>
  </si>
  <si>
    <t>Goa</t>
  </si>
  <si>
    <t>Sanctuary of St. Joseph Vaz</t>
  </si>
  <si>
    <t>https://www.omiworld.org/our-charism/our-saints/non-oblate-causes/saint-joseph-vaz-1651-1711/biography/</t>
  </si>
  <si>
    <t>joseph-vaz</t>
  </si>
  <si>
    <t>St Joseph Vaz</t>
  </si>
  <si>
    <t>Missionary Oblates of Mary Immaculate biography</t>
  </si>
  <si>
    <t>https://blessedjosephvaz.org/sanctuary.htm</t>
  </si>
  <si>
    <t>St. Joseph Vaz was a priest form Goa, India, who became a missionary in Ceylon (now Sri Lanka), preaching to the abandoned Catholics in a largely Buddhist country.  This shrine is located in the city of his birth.</t>
  </si>
  <si>
    <t>oratorians</t>
  </si>
  <si>
    <t>Oratory of St. Philip Neri (Oratorians)</t>
  </si>
  <si>
    <t>St. Joseph Vaz, CO</t>
  </si>
  <si>
    <t>St. Junipero Serra, OFM</t>
  </si>
  <si>
    <t>Fr. Marie-Alphonse Ratisbonne, NDS</t>
  </si>
  <si>
    <t>St. Vincent de Paul, CM</t>
  </si>
  <si>
    <t>St. Louise de Marillac, DC</t>
  </si>
  <si>
    <t>https://www.vatican.va/news_services/liturgy/saints/ns_lit_doc_19960602_perboyre_en.html</t>
  </si>
  <si>
    <t>St. Jean-Gabriel Perboyre, CM</t>
  </si>
  <si>
    <t>Bl. Pier Giorgio Frassati, TOSD</t>
  </si>
  <si>
    <t>Turkey</t>
  </si>
  <si>
    <t>turkey</t>
  </si>
  <si>
    <t>Ephesus</t>
  </si>
  <si>
    <t>Basilica of St. John</t>
  </si>
  <si>
    <t>Basilica of St John</t>
  </si>
  <si>
    <t>apostles</t>
  </si>
  <si>
    <t>Sites Related to the Twelve Apostles</t>
  </si>
  <si>
    <t>john-apostle</t>
  </si>
  <si>
    <t>St. John the Apostle</t>
  </si>
  <si>
    <t>House of the Virgin Mary</t>
  </si>
  <si>
    <t>anne-catherine-emmerich</t>
  </si>
  <si>
    <t>Bl. Anne Catherine Emmerich</t>
  </si>
  <si>
    <t>This house was discovered in 1881 based on the descriptions of Bl. Anne Catherine Emmerich, a bedridden German nun who had never left her own country.  Among other visions of the lives of Jesus and the Virgin Mary, Bl. Emmerich described the land around the house where the Virgin Mary may have spent her final years before her Assumption into heaven.
The Catholic Church has not issued an opinion on the veracity of the house, but several popes have conveyed blessings and visited the site.</t>
  </si>
  <si>
    <t>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
-JMM</t>
  </si>
  <si>
    <t>Church of Mary</t>
  </si>
  <si>
    <t>Built in the 5th centry, possibly for the First Council of Ephesus (the third ecumenical council of the early church).  The Second Council of Ephesus may also have been held here.</t>
  </si>
  <si>
    <t>Vatican City</t>
  </si>
  <si>
    <t>St. Peter's Basilica</t>
  </si>
  <si>
    <t>https://www.basilicasanpietro.va/en.html</t>
  </si>
  <si>
    <t>peter</t>
  </si>
  <si>
    <t>St. Peter</t>
  </si>
  <si>
    <t>vatican
- rome</t>
  </si>
  <si>
    <t>Possibly the most famous church in the world, and one of the four papal basilicas, the current building was built between 1506 and 1626, replacing the original from the time of Constantine in the 4th century.
St. Peter's tomb lies beneath the high altar of the basilica, and the church continues to be a place of interment for popes, cardinals and bishops.</t>
  </si>
  <si>
    <t>Completed in 565 AD, the basilica was built over the believed burial site of St. John the Apostle.  According to legend, St. John (as the Beloved Disciple) took the Virgin Mary to Ephesus in her final years, and [her possible house](/places/tr-ephesus-house-of-the-virgin-mary) overlooks the ancient city of Ephesus.  The church is one of only four thought to have been built over the tomb of an apostle, alongside [St. Peter's Basilica in Vatican City](/places/va-st-peter), [the Basilica of Santiago de Compostela](/places/es-santiago-de-compostela-catedral-de-santiago) in Spain, and St. Thomas Cathedral Basilica in India.
Today the ruins are part of the UNESCO World Heritage Site of Ephesus.</t>
  </si>
  <si>
    <t>This cathedral is the reputed burial place of Saint James the Great, one of the twelve apostles.  According to tradition, his tomb was rediscovered in 814 AD by St. Pelagius the Hermit.  The church is one of only four thought to have been built over the tomb of an apostle, alongside [St. Peter's Basilica in Vatican City](/places/va-st-peter), [the Basilica St. John](/places/tr-ephesus-basilica-of-st-john) in Turkey, and St. Thomas Cathedral Basilica in India.
One of the most famous pilgrimage destinations in the world, it lies at the end of the Camino de Santiago, or Way of St. James.  Today the church is the centerpiece of the larger Santiago de Compostela UNESCO World Heritage Site.</t>
  </si>
  <si>
    <t>St Andrew Dung-Lac and companions</t>
  </si>
  <si>
    <t>Basilica of the Immaculate Conception at Ha Nam</t>
  </si>
  <si>
    <t>This Basilica is a shrine in rememberance of the Vietnamese Martyrs, St. Andrew Dung-Lac and Companions killed during the persecution of the Christians in Vietnam in the 18th and 19th century</t>
  </si>
  <si>
    <t>Need more information on this. Duy and Alex might help with finding the official site/ more information</t>
  </si>
  <si>
    <t>https://mycatholic.life/saints/saints-of-the-liturgical-year/november-24-saint-andrew-dung-lac-and-his-companions-martyrs-memorial/</t>
  </si>
  <si>
    <t>Saint Andrew Dung and Companions</t>
  </si>
  <si>
    <t>vietnamese-martyrs</t>
  </si>
  <si>
    <t>andrew-dung-lac</t>
  </si>
  <si>
    <t>Vietnamese Martyrs</t>
  </si>
  <si>
    <t>St. Andrew Dung-Lac and Companions</t>
  </si>
  <si>
    <t>Ha Nam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</si>
</sst>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u/>
      <sz val="11"/>
      <color theme="10"/>
      <name val="Calibri"/>
      <family val="2"/>
      <scheme val="minor"/>
    </font>
    <font>
      <sz val="10"/>
      <color theme="1"/>
      <name val="Arial"/>
      <family val="2"/>
    </font>
    <font>
      <b/>
      <sz val="10"/>
      <color rgb="FF000000"/>
      <name val="Arial"/>
      <family val="2"/>
    </font>
    <font>
      <u/>
      <sz val="10"/>
      <color theme="10"/>
      <name val="Arial"/>
      <family val="2"/>
    </font>
    <font>
      <sz val="10"/>
      <color rgb="FF000000"/>
      <name val="Arial"/>
      <family val="2"/>
    </font>
    <font>
      <b/>
      <sz val="10"/>
      <color theme="1"/>
      <name val="Arial"/>
      <family val="2"/>
    </font>
    <font>
      <b/>
      <sz val="10"/>
      <color rgb="FF00B050"/>
      <name val="Arial"/>
      <family val="2"/>
    </font>
    <font>
      <sz val="10"/>
      <color rgb="FF00B050"/>
      <name val="Arial"/>
      <family val="2"/>
    </font>
    <font>
      <b/>
      <sz val="10"/>
      <color rgb="FF0070C0"/>
      <name val="Arial"/>
      <family val="2"/>
    </font>
    <font>
      <sz val="10"/>
      <color rgb="FF0070C0"/>
      <name val="Arial"/>
      <family val="2"/>
    </font>
    <font>
      <b/>
      <sz val="10"/>
      <name val="Arial"/>
      <family val="2"/>
    </font>
    <font>
      <sz val="8"/>
      <name val="Calibri"/>
      <family val="2"/>
      <scheme val="minor"/>
    </font>
    <font>
      <b/>
      <sz val="10"/>
      <color rgb="FFFF0000"/>
      <name val="Arial"/>
      <family val="2"/>
    </font>
    <font>
      <sz val="10"/>
      <name val="Arial"/>
      <family val="2"/>
    </font>
    <font>
      <sz val="10"/>
      <color rgb="FFFF0000"/>
      <name val="Arial"/>
      <family val="2"/>
    </font>
  </fonts>
  <fills count="4">
    <fill>
      <patternFill patternType="none"/>
    </fill>
    <fill>
      <patternFill patternType="gray125"/>
    </fill>
    <fill>
      <patternFill patternType="solid">
        <fgColor rgb="FFFFFF00"/>
        <bgColor indexed="64"/>
      </patternFill>
    </fill>
    <fill>
      <patternFill patternType="solid">
        <fgColor rgb="FF92D050"/>
        <bgColor indexed="64"/>
      </patternFill>
    </fill>
  </fills>
  <borders count="10">
    <border>
      <left/>
      <right/>
      <top/>
      <bottom/>
      <diagonal/>
    </border>
    <border>
      <left/>
      <right style="thin">
        <color auto="1"/>
      </right>
      <top/>
      <bottom/>
      <diagonal/>
    </border>
    <border>
      <left style="thin">
        <color auto="1"/>
      </left>
      <right/>
      <top/>
      <bottom/>
      <diagonal/>
    </border>
    <border>
      <left style="dashed">
        <color auto="1"/>
      </left>
      <right/>
      <top/>
      <bottom/>
      <diagonal/>
    </border>
    <border>
      <left/>
      <right style="dashed">
        <color auto="1"/>
      </right>
      <top/>
      <bottom/>
      <diagonal/>
    </border>
    <border>
      <left/>
      <right/>
      <top/>
      <bottom style="medium">
        <color auto="1"/>
      </bottom>
      <diagonal/>
    </border>
    <border>
      <left/>
      <right style="thin">
        <color auto="1"/>
      </right>
      <top/>
      <bottom style="medium">
        <color auto="1"/>
      </bottom>
      <diagonal/>
    </border>
    <border>
      <left style="dashed">
        <color auto="1"/>
      </left>
      <right/>
      <top/>
      <bottom style="medium">
        <color auto="1"/>
      </bottom>
      <diagonal/>
    </border>
    <border>
      <left/>
      <right style="dashed">
        <color auto="1"/>
      </right>
      <top/>
      <bottom style="medium">
        <color auto="1"/>
      </bottom>
      <diagonal/>
    </border>
    <border>
      <left style="thin">
        <color auto="1"/>
      </left>
      <right/>
      <top/>
      <bottom style="medium">
        <color auto="1"/>
      </bottom>
      <diagonal/>
    </border>
  </borders>
  <cellStyleXfs count="2">
    <xf numFmtId="0" fontId="0" fillId="0" borderId="0"/>
    <xf numFmtId="0" fontId="15" fillId="0" borderId="0" applyNumberFormat="0" applyFill="0" applyBorder="0" applyAlignment="0" applyProtection="0"/>
  </cellStyleXfs>
  <cellXfs count="142">
    <xf numFmtId="0" fontId="0" fillId="0" borderId="0" xfId="0"/>
    <xf numFmtId="0" fontId="16" fillId="0" borderId="0" xfId="0" applyFont="1"/>
    <xf numFmtId="0" fontId="20" fillId="0" borderId="0" xfId="0" applyFont="1" applyAlignment="1">
      <alignment vertical="top"/>
    </xf>
    <xf numFmtId="0" fontId="20" fillId="0" borderId="0" xfId="0" applyFont="1" applyAlignment="1">
      <alignment horizontal="left" vertical="top"/>
    </xf>
    <xf numFmtId="0" fontId="20" fillId="0" borderId="0" xfId="0" applyFont="1" applyAlignment="1">
      <alignment vertical="top" wrapText="1"/>
    </xf>
    <xf numFmtId="0" fontId="16" fillId="0" borderId="0" xfId="0" applyFont="1" applyAlignment="1">
      <alignment vertical="top"/>
    </xf>
    <xf numFmtId="0" fontId="17" fillId="0" borderId="0" xfId="0" applyFont="1" applyAlignment="1">
      <alignment horizontal="left" vertical="top"/>
    </xf>
    <xf numFmtId="0" fontId="18" fillId="0" borderId="0" xfId="1" applyFont="1" applyFill="1" applyAlignment="1">
      <alignment vertical="top"/>
    </xf>
    <xf numFmtId="0" fontId="19" fillId="0" borderId="0" xfId="0" applyFont="1" applyAlignment="1">
      <alignment vertical="top" wrapText="1"/>
    </xf>
    <xf numFmtId="0" fontId="17" fillId="0" borderId="0" xfId="0" applyFont="1" applyAlignment="1">
      <alignment vertical="top"/>
    </xf>
    <xf numFmtId="0" fontId="19" fillId="0" borderId="0" xfId="0" applyFont="1" applyAlignment="1">
      <alignment horizontal="left" vertical="top"/>
    </xf>
    <xf numFmtId="0" fontId="19" fillId="0" borderId="0" xfId="0" applyFont="1" applyAlignment="1">
      <alignment vertical="top"/>
    </xf>
    <xf numFmtId="0" fontId="16" fillId="0" borderId="0" xfId="0" applyFont="1" applyAlignment="1">
      <alignment horizontal="left" vertical="top"/>
    </xf>
    <xf numFmtId="0" fontId="16" fillId="0" borderId="0" xfId="0" applyFont="1" applyAlignment="1">
      <alignment vertical="top" wrapText="1"/>
    </xf>
    <xf numFmtId="0" fontId="20" fillId="0" borderId="0" xfId="0" applyFont="1" applyAlignment="1">
      <alignment vertical="center"/>
    </xf>
    <xf numFmtId="0" fontId="16" fillId="0" borderId="0" xfId="0" applyFont="1" applyAlignment="1">
      <alignment vertical="center"/>
    </xf>
    <xf numFmtId="0" fontId="16" fillId="0" borderId="0" xfId="0" quotePrefix="1" applyFont="1" applyAlignment="1">
      <alignment vertical="center"/>
    </xf>
    <xf numFmtId="0" fontId="0" fillId="2" borderId="0" xfId="0" applyFill="1"/>
    <xf numFmtId="0" fontId="0" fillId="3" borderId="0" xfId="0" applyFill="1"/>
    <xf numFmtId="0" fontId="15" fillId="3" borderId="0" xfId="1" applyFill="1"/>
    <xf numFmtId="0" fontId="20" fillId="0" borderId="0" xfId="0" applyFont="1"/>
    <xf numFmtId="0" fontId="12" fillId="0" borderId="0" xfId="0" applyFont="1"/>
    <xf numFmtId="0" fontId="10" fillId="0" borderId="0" xfId="0" applyFont="1"/>
    <xf numFmtId="0" fontId="24" fillId="0" borderId="0" xfId="0" applyFont="1" applyAlignment="1">
      <alignment vertical="center"/>
    </xf>
    <xf numFmtId="0" fontId="16" fillId="0" borderId="0" xfId="0" applyFont="1" applyAlignment="1">
      <alignment vertical="center" wrapText="1"/>
    </xf>
    <xf numFmtId="0" fontId="11" fillId="0" borderId="0" xfId="0" applyFont="1" applyAlignment="1">
      <alignment vertical="center"/>
    </xf>
    <xf numFmtId="0" fontId="12" fillId="0" borderId="0" xfId="0" quotePrefix="1" applyFont="1" applyAlignment="1">
      <alignment vertical="center"/>
    </xf>
    <xf numFmtId="0" fontId="12" fillId="0" borderId="0" xfId="0" applyFont="1" applyAlignment="1">
      <alignment vertical="center" wrapText="1"/>
    </xf>
    <xf numFmtId="0" fontId="22" fillId="0" borderId="0" xfId="0" applyFont="1" applyAlignment="1">
      <alignment vertical="center" wrapText="1"/>
    </xf>
    <xf numFmtId="0" fontId="22" fillId="0" borderId="0" xfId="0" applyFont="1" applyAlignment="1">
      <alignment vertical="center"/>
    </xf>
    <xf numFmtId="0" fontId="22" fillId="0" borderId="0" xfId="0" quotePrefix="1" applyFont="1" applyAlignment="1">
      <alignment vertical="center"/>
    </xf>
    <xf numFmtId="0" fontId="24" fillId="0" borderId="0" xfId="0" applyFont="1" applyAlignment="1">
      <alignment vertical="center" wrapText="1"/>
    </xf>
    <xf numFmtId="0" fontId="13" fillId="0" borderId="0" xfId="0" applyFont="1" applyAlignment="1">
      <alignment vertical="center" wrapText="1"/>
    </xf>
    <xf numFmtId="0" fontId="13" fillId="0" borderId="0" xfId="0" quotePrefix="1" applyFont="1" applyAlignment="1">
      <alignment vertical="center"/>
    </xf>
    <xf numFmtId="0" fontId="13" fillId="0" borderId="0" xfId="0" applyFont="1" applyAlignment="1">
      <alignment vertical="center"/>
    </xf>
    <xf numFmtId="0" fontId="10" fillId="0" borderId="0" xfId="0" applyFont="1" applyAlignment="1">
      <alignment vertical="center"/>
    </xf>
    <xf numFmtId="0" fontId="16" fillId="0" borderId="0" xfId="0" quotePrefix="1" applyFont="1" applyAlignment="1">
      <alignment vertical="center" wrapText="1"/>
    </xf>
    <xf numFmtId="0" fontId="12" fillId="0" borderId="0" xfId="0" quotePrefix="1" applyFont="1" applyAlignment="1">
      <alignment vertical="center" wrapText="1"/>
    </xf>
    <xf numFmtId="0" fontId="22" fillId="0" borderId="0" xfId="0" quotePrefix="1" applyFont="1" applyAlignment="1">
      <alignment vertical="center" wrapText="1"/>
    </xf>
    <xf numFmtId="0" fontId="12" fillId="0" borderId="0" xfId="0" applyFont="1" applyAlignment="1">
      <alignment vertical="center"/>
    </xf>
    <xf numFmtId="0" fontId="11" fillId="0" borderId="0" xfId="0" applyFont="1" applyAlignment="1">
      <alignment vertical="center" wrapText="1"/>
    </xf>
    <xf numFmtId="0" fontId="14" fillId="0" borderId="0" xfId="0" applyFont="1" applyAlignment="1">
      <alignment vertical="center" wrapText="1"/>
    </xf>
    <xf numFmtId="0" fontId="14" fillId="0" borderId="0" xfId="0" applyFont="1" applyAlignment="1">
      <alignment vertical="center"/>
    </xf>
    <xf numFmtId="0" fontId="16" fillId="2" borderId="0" xfId="0" applyFont="1" applyFill="1" applyAlignment="1">
      <alignment vertical="center" wrapText="1"/>
    </xf>
    <xf numFmtId="0" fontId="16" fillId="2" borderId="0" xfId="0" applyFont="1" applyFill="1" applyAlignment="1">
      <alignment vertical="center"/>
    </xf>
    <xf numFmtId="0" fontId="10" fillId="0" borderId="0" xfId="0" applyFont="1" applyAlignment="1">
      <alignment vertical="center" wrapText="1"/>
    </xf>
    <xf numFmtId="0" fontId="10" fillId="0" borderId="0" xfId="0" quotePrefix="1" applyFont="1" applyAlignment="1">
      <alignment vertical="center" wrapText="1"/>
    </xf>
    <xf numFmtId="0" fontId="9" fillId="0" borderId="0" xfId="0" applyFont="1" applyAlignment="1">
      <alignment vertical="center" wrapText="1"/>
    </xf>
    <xf numFmtId="0" fontId="9" fillId="0" borderId="0" xfId="0" applyFont="1" applyAlignment="1">
      <alignment vertical="center"/>
    </xf>
    <xf numFmtId="0" fontId="16" fillId="0" borderId="1" xfId="0" applyFont="1" applyBorder="1" applyAlignment="1">
      <alignment vertical="center"/>
    </xf>
    <xf numFmtId="0" fontId="16" fillId="0" borderId="1" xfId="0" quotePrefix="1" applyFont="1" applyBorder="1" applyAlignment="1">
      <alignment vertical="center"/>
    </xf>
    <xf numFmtId="0" fontId="13" fillId="0" borderId="1" xfId="0" quotePrefix="1" applyFont="1" applyBorder="1" applyAlignment="1">
      <alignment vertical="center"/>
    </xf>
    <xf numFmtId="0" fontId="16" fillId="0" borderId="2" xfId="0" applyFont="1" applyBorder="1" applyAlignment="1">
      <alignment vertical="center"/>
    </xf>
    <xf numFmtId="0" fontId="16" fillId="0" borderId="1" xfId="0" applyFont="1" applyBorder="1" applyAlignment="1">
      <alignment vertical="center" wrapText="1"/>
    </xf>
    <xf numFmtId="0" fontId="11" fillId="0" borderId="1" xfId="0" applyFont="1" applyBorder="1" applyAlignment="1">
      <alignment vertical="center" wrapText="1"/>
    </xf>
    <xf numFmtId="0" fontId="12" fillId="0" borderId="1" xfId="0" applyFont="1" applyBorder="1" applyAlignment="1">
      <alignment vertical="center" wrapText="1"/>
    </xf>
    <xf numFmtId="0" fontId="14" fillId="0" borderId="1" xfId="0" applyFont="1" applyBorder="1" applyAlignment="1">
      <alignment vertical="center" wrapText="1"/>
    </xf>
    <xf numFmtId="0" fontId="13" fillId="0" borderId="1" xfId="0" applyFont="1" applyBorder="1" applyAlignment="1">
      <alignment vertical="center" wrapText="1"/>
    </xf>
    <xf numFmtId="0" fontId="10" fillId="0" borderId="1" xfId="0" applyFont="1" applyBorder="1" applyAlignment="1">
      <alignment vertical="center" wrapText="1"/>
    </xf>
    <xf numFmtId="0" fontId="16" fillId="0" borderId="3" xfId="0" quotePrefix="1" applyFont="1" applyBorder="1" applyAlignment="1">
      <alignment vertical="center"/>
    </xf>
    <xf numFmtId="0" fontId="16" fillId="0" borderId="3" xfId="0" applyFont="1" applyBorder="1" applyAlignment="1">
      <alignment vertical="center"/>
    </xf>
    <xf numFmtId="0" fontId="13" fillId="0" borderId="3" xfId="0" applyFont="1" applyBorder="1" applyAlignment="1">
      <alignment vertical="center"/>
    </xf>
    <xf numFmtId="0" fontId="10" fillId="0" borderId="3" xfId="0" applyFont="1" applyBorder="1" applyAlignment="1">
      <alignment vertical="center"/>
    </xf>
    <xf numFmtId="0" fontId="16" fillId="0" borderId="4" xfId="0" quotePrefix="1" applyFont="1" applyBorder="1" applyAlignment="1">
      <alignment vertical="center"/>
    </xf>
    <xf numFmtId="0" fontId="16" fillId="0" borderId="4" xfId="0" applyFont="1" applyBorder="1" applyAlignment="1">
      <alignment vertical="center"/>
    </xf>
    <xf numFmtId="0" fontId="13" fillId="0" borderId="4" xfId="0" applyFont="1" applyBorder="1" applyAlignment="1">
      <alignment vertical="center"/>
    </xf>
    <xf numFmtId="0" fontId="10" fillId="0" borderId="4" xfId="0" applyFont="1" applyBorder="1" applyAlignment="1">
      <alignment vertical="center"/>
    </xf>
    <xf numFmtId="0" fontId="20" fillId="0" borderId="5" xfId="0" applyFont="1" applyBorder="1" applyAlignment="1">
      <alignment vertical="center"/>
    </xf>
    <xf numFmtId="0" fontId="20" fillId="0" borderId="5" xfId="0" applyFont="1" applyBorder="1" applyAlignment="1">
      <alignment vertical="center" wrapText="1"/>
    </xf>
    <xf numFmtId="0" fontId="20" fillId="0" borderId="5" xfId="0" applyFont="1" applyBorder="1" applyAlignment="1">
      <alignment horizontal="left" vertical="center"/>
    </xf>
    <xf numFmtId="0" fontId="20" fillId="0" borderId="6" xfId="0" applyFont="1" applyBorder="1" applyAlignment="1">
      <alignment vertical="center" wrapText="1"/>
    </xf>
    <xf numFmtId="0" fontId="20" fillId="0" borderId="7" xfId="0" applyFont="1" applyBorder="1" applyAlignment="1">
      <alignment vertical="center"/>
    </xf>
    <xf numFmtId="0" fontId="20" fillId="0" borderId="8" xfId="0" applyFont="1" applyBorder="1" applyAlignment="1">
      <alignment vertical="center"/>
    </xf>
    <xf numFmtId="0" fontId="20" fillId="0" borderId="9" xfId="0" applyFont="1" applyBorder="1" applyAlignment="1">
      <alignment vertical="center"/>
    </xf>
    <xf numFmtId="0" fontId="20" fillId="0" borderId="6" xfId="0" applyFont="1" applyBorder="1" applyAlignment="1">
      <alignment vertical="center"/>
    </xf>
    <xf numFmtId="0" fontId="21" fillId="0" borderId="5" xfId="0" applyFont="1" applyBorder="1" applyAlignment="1">
      <alignment vertical="center" wrapText="1"/>
    </xf>
    <xf numFmtId="0" fontId="21" fillId="0" borderId="5" xfId="0" applyFont="1" applyBorder="1" applyAlignment="1">
      <alignment vertical="center"/>
    </xf>
    <xf numFmtId="0" fontId="23" fillId="0" borderId="5" xfId="0" applyFont="1" applyBorder="1" applyAlignment="1">
      <alignment vertical="center" wrapText="1"/>
    </xf>
    <xf numFmtId="0" fontId="23" fillId="0" borderId="5" xfId="0" applyFont="1" applyBorder="1" applyAlignment="1">
      <alignment vertical="center"/>
    </xf>
    <xf numFmtId="0" fontId="16" fillId="2" borderId="1" xfId="0" applyFont="1" applyFill="1" applyBorder="1" applyAlignment="1">
      <alignment vertical="center" wrapText="1"/>
    </xf>
    <xf numFmtId="0" fontId="27" fillId="0" borderId="5" xfId="0" applyFont="1" applyBorder="1" applyAlignment="1">
      <alignment vertical="center"/>
    </xf>
    <xf numFmtId="0" fontId="9" fillId="0" borderId="0" xfId="0" quotePrefix="1" applyFont="1" applyAlignment="1">
      <alignment vertical="center"/>
    </xf>
    <xf numFmtId="0" fontId="9" fillId="0" borderId="3" xfId="0" quotePrefix="1" applyFont="1" applyBorder="1" applyAlignment="1">
      <alignment vertical="center"/>
    </xf>
    <xf numFmtId="0" fontId="9" fillId="0" borderId="4" xfId="0" quotePrefix="1" applyFont="1" applyBorder="1" applyAlignment="1">
      <alignment vertical="center"/>
    </xf>
    <xf numFmtId="0" fontId="9" fillId="0" borderId="3" xfId="0" applyFont="1" applyBorder="1" applyAlignment="1">
      <alignment vertical="center"/>
    </xf>
    <xf numFmtId="0" fontId="8" fillId="0" borderId="0" xfId="0" applyFont="1" applyAlignment="1">
      <alignment vertical="center" wrapText="1"/>
    </xf>
    <xf numFmtId="0" fontId="25" fillId="0" borderId="9" xfId="0" applyFont="1" applyBorder="1" applyAlignment="1">
      <alignment vertical="center"/>
    </xf>
    <xf numFmtId="0" fontId="28" fillId="0" borderId="2" xfId="1" applyFont="1" applyFill="1" applyBorder="1" applyAlignment="1">
      <alignment horizontal="left" vertical="center"/>
    </xf>
    <xf numFmtId="0" fontId="16" fillId="0" borderId="0" xfId="0" applyFont="1" applyAlignment="1">
      <alignment horizontal="left" vertical="center"/>
    </xf>
    <xf numFmtId="0" fontId="12" fillId="0" borderId="0" xfId="0" applyFont="1" applyAlignment="1">
      <alignment horizontal="left" vertical="center"/>
    </xf>
    <xf numFmtId="0" fontId="10" fillId="0" borderId="0" xfId="0" applyFont="1" applyAlignment="1">
      <alignment horizontal="left" vertical="center"/>
    </xf>
    <xf numFmtId="0" fontId="28" fillId="0" borderId="2" xfId="0" applyFont="1" applyBorder="1" applyAlignment="1">
      <alignment vertical="center"/>
    </xf>
    <xf numFmtId="0" fontId="8" fillId="0" borderId="1" xfId="0" applyFont="1" applyBorder="1" applyAlignment="1">
      <alignment vertical="center" wrapText="1"/>
    </xf>
    <xf numFmtId="0" fontId="8" fillId="0" borderId="0" xfId="0" applyFont="1" applyAlignment="1">
      <alignment vertical="center"/>
    </xf>
    <xf numFmtId="0" fontId="8" fillId="0" borderId="0" xfId="0" applyFont="1"/>
    <xf numFmtId="0" fontId="8" fillId="0" borderId="4" xfId="0" quotePrefix="1" applyFont="1" applyBorder="1" applyAlignment="1">
      <alignment vertical="center"/>
    </xf>
    <xf numFmtId="0" fontId="8" fillId="0" borderId="0" xfId="0" quotePrefix="1" applyFont="1" applyAlignment="1">
      <alignment vertical="center"/>
    </xf>
    <xf numFmtId="0" fontId="8" fillId="0" borderId="3" xfId="0" applyFont="1" applyBorder="1" applyAlignment="1">
      <alignment vertical="center"/>
    </xf>
    <xf numFmtId="0" fontId="8" fillId="0" borderId="4" xfId="0" applyFont="1" applyBorder="1" applyAlignment="1">
      <alignment vertical="center"/>
    </xf>
    <xf numFmtId="0" fontId="8" fillId="0" borderId="3" xfId="0" quotePrefix="1" applyFont="1" applyBorder="1" applyAlignment="1">
      <alignment vertical="center"/>
    </xf>
    <xf numFmtId="0" fontId="13" fillId="0" borderId="1" xfId="0" applyFont="1" applyBorder="1" applyAlignment="1">
      <alignment vertical="center"/>
    </xf>
    <xf numFmtId="0" fontId="10" fillId="0" borderId="1" xfId="0" applyFont="1" applyBorder="1" applyAlignment="1">
      <alignment vertical="center"/>
    </xf>
    <xf numFmtId="0" fontId="8" fillId="0" borderId="1" xfId="0" quotePrefix="1" applyFont="1" applyBorder="1" applyAlignment="1">
      <alignment vertical="center"/>
    </xf>
    <xf numFmtId="0" fontId="7" fillId="0" borderId="0" xfId="0" applyFont="1" applyAlignment="1">
      <alignment vertical="center" wrapText="1"/>
    </xf>
    <xf numFmtId="0" fontId="7" fillId="0" borderId="0" xfId="0" applyFont="1" applyAlignment="1">
      <alignment vertical="center"/>
    </xf>
    <xf numFmtId="0" fontId="7" fillId="0" borderId="1" xfId="0" applyFont="1" applyBorder="1" applyAlignment="1">
      <alignment vertical="center" wrapText="1"/>
    </xf>
    <xf numFmtId="0" fontId="7" fillId="0" borderId="0" xfId="0" quotePrefix="1" applyFont="1" applyAlignment="1">
      <alignment vertical="center"/>
    </xf>
    <xf numFmtId="0" fontId="7" fillId="0" borderId="0" xfId="0" applyFont="1"/>
    <xf numFmtId="0" fontId="7" fillId="0" borderId="3" xfId="0" applyFont="1" applyBorder="1" applyAlignment="1">
      <alignment vertical="center"/>
    </xf>
    <xf numFmtId="0" fontId="7" fillId="0" borderId="4" xfId="0" quotePrefix="1" applyFont="1" applyBorder="1" applyAlignment="1">
      <alignment vertical="center"/>
    </xf>
    <xf numFmtId="0" fontId="7" fillId="0" borderId="4" xfId="0" applyFont="1" applyBorder="1" applyAlignment="1">
      <alignment vertical="center"/>
    </xf>
    <xf numFmtId="0" fontId="7" fillId="0" borderId="3" xfId="0" quotePrefix="1" applyFont="1" applyBorder="1" applyAlignment="1">
      <alignment vertical="center"/>
    </xf>
    <xf numFmtId="0" fontId="6" fillId="0" borderId="0" xfId="0" applyFont="1" applyAlignment="1">
      <alignment vertical="center"/>
    </xf>
    <xf numFmtId="0" fontId="6" fillId="0" borderId="0" xfId="0" applyFont="1" applyAlignment="1">
      <alignment vertical="center" wrapText="1"/>
    </xf>
    <xf numFmtId="0" fontId="6" fillId="0" borderId="1" xfId="0" applyFont="1" applyBorder="1" applyAlignment="1">
      <alignment vertical="center" wrapText="1"/>
    </xf>
    <xf numFmtId="0" fontId="6" fillId="0" borderId="0" xfId="0" applyFont="1"/>
    <xf numFmtId="0" fontId="6" fillId="0" borderId="0" xfId="0" quotePrefix="1" applyFont="1" applyAlignment="1">
      <alignment vertical="center"/>
    </xf>
    <xf numFmtId="0" fontId="6" fillId="0" borderId="4" xfId="0" quotePrefix="1" applyFont="1" applyBorder="1" applyAlignment="1">
      <alignment vertical="center"/>
    </xf>
    <xf numFmtId="0" fontId="5" fillId="0" borderId="0" xfId="0" applyFont="1" applyAlignment="1">
      <alignment vertical="center" wrapText="1"/>
    </xf>
    <xf numFmtId="0" fontId="5" fillId="0" borderId="0" xfId="0" applyFont="1" applyAlignment="1">
      <alignment vertical="center"/>
    </xf>
    <xf numFmtId="0" fontId="5" fillId="0" borderId="0" xfId="0" applyFont="1"/>
    <xf numFmtId="0" fontId="5" fillId="0" borderId="1" xfId="0" applyFont="1" applyBorder="1" applyAlignment="1">
      <alignment vertical="center" wrapText="1"/>
    </xf>
    <xf numFmtId="0" fontId="5" fillId="0" borderId="3" xfId="0" applyFont="1" applyBorder="1" applyAlignment="1">
      <alignment vertical="center"/>
    </xf>
    <xf numFmtId="0" fontId="5" fillId="0" borderId="4" xfId="0" quotePrefix="1" applyFont="1" applyBorder="1" applyAlignment="1">
      <alignment vertical="center"/>
    </xf>
    <xf numFmtId="0" fontId="4" fillId="0" borderId="0" xfId="0" applyFont="1" applyAlignment="1">
      <alignment vertical="center"/>
    </xf>
    <xf numFmtId="0" fontId="4" fillId="0" borderId="0" xfId="0" applyFont="1"/>
    <xf numFmtId="0" fontId="3" fillId="0" borderId="0" xfId="0" applyFont="1" applyAlignment="1">
      <alignment vertical="center" wrapText="1"/>
    </xf>
    <xf numFmtId="0" fontId="3" fillId="0" borderId="0" xfId="0" applyFont="1" applyAlignment="1">
      <alignment vertical="center"/>
    </xf>
    <xf numFmtId="0" fontId="3" fillId="0" borderId="1" xfId="0" applyFont="1" applyBorder="1" applyAlignment="1">
      <alignment vertical="center" wrapText="1"/>
    </xf>
    <xf numFmtId="0" fontId="3" fillId="0" borderId="0" xfId="0" applyFont="1"/>
    <xf numFmtId="0" fontId="3" fillId="0" borderId="0" xfId="0" quotePrefix="1" applyFont="1" applyAlignment="1">
      <alignment vertical="center"/>
    </xf>
    <xf numFmtId="0" fontId="29" fillId="0" borderId="0" xfId="0" applyFont="1" applyAlignment="1">
      <alignment vertical="center" wrapText="1"/>
    </xf>
    <xf numFmtId="0" fontId="2" fillId="0" borderId="0" xfId="0" applyFont="1" applyAlignment="1">
      <alignment vertical="center" wrapText="1"/>
    </xf>
    <xf numFmtId="0" fontId="2" fillId="0" borderId="0" xfId="0" applyFont="1" applyAlignment="1">
      <alignment vertical="center"/>
    </xf>
    <xf numFmtId="0" fontId="2" fillId="0" borderId="1" xfId="0" applyFont="1" applyBorder="1" applyAlignment="1">
      <alignment vertical="center" wrapText="1"/>
    </xf>
    <xf numFmtId="0" fontId="2" fillId="0" borderId="0" xfId="0" quotePrefix="1" applyFont="1" applyAlignment="1">
      <alignment vertical="center"/>
    </xf>
    <xf numFmtId="0" fontId="2" fillId="0" borderId="0" xfId="0" applyFont="1"/>
    <xf numFmtId="0" fontId="1" fillId="0" borderId="0" xfId="0" applyFont="1" applyAlignment="1">
      <alignment vertical="center" wrapText="1"/>
    </xf>
    <xf numFmtId="0" fontId="1" fillId="0" borderId="0" xfId="0" applyFont="1" applyAlignment="1">
      <alignment vertical="center"/>
    </xf>
    <xf numFmtId="0" fontId="1" fillId="0" borderId="1" xfId="0" applyFont="1" applyBorder="1" applyAlignment="1">
      <alignment vertical="center" wrapText="1"/>
    </xf>
    <xf numFmtId="0" fontId="1" fillId="0" borderId="3" xfId="0" applyFont="1" applyBorder="1" applyAlignment="1">
      <alignment vertical="center"/>
    </xf>
    <xf numFmtId="0" fontId="1" fillId="0" borderId="0" xfId="0" applyFont="1"/>
  </cellXfs>
  <cellStyles count="2">
    <cellStyle name="Hyperlink" xfId="1" builtinId="8"/>
    <cellStyle name="Normal" xfId="0" builtinId="0"/>
  </cellStyles>
  <dxfs count="9">
    <dxf>
      <fill>
        <patternFill>
          <bgColor rgb="FFFF0000"/>
        </patternFill>
      </fill>
    </dxf>
    <dxf>
      <fill>
        <patternFill>
          <bgColor theme="0" tint="-4.9989318521683403E-2"/>
        </patternFill>
      </fill>
    </dxf>
    <dxf>
      <fill>
        <patternFill>
          <bgColor theme="9" tint="0.79998168889431442"/>
        </patternFill>
      </fill>
      <border>
        <vertical/>
        <horizontal/>
      </border>
    </dxf>
    <dxf>
      <fill>
        <patternFill>
          <bgColor theme="8" tint="0.79998168889431442"/>
        </patternFill>
      </fill>
    </dxf>
    <dxf>
      <fill>
        <patternFill>
          <bgColor theme="7" tint="0.79998168889431442"/>
        </patternFill>
      </fill>
    </dxf>
    <dxf>
      <fill>
        <patternFill>
          <bgColor rgb="FFFF0000"/>
        </patternFill>
      </fill>
    </dxf>
    <dxf>
      <fill>
        <patternFill>
          <bgColor theme="0" tint="-4.9989318521683403E-2"/>
        </patternFill>
      </fill>
    </dxf>
    <dxf>
      <fill>
        <patternFill>
          <bgColor theme="8" tint="0.79998168889431442"/>
        </patternFill>
      </fill>
    </dxf>
    <dxf>
      <fill>
        <patternFill>
          <bgColor theme="7"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lourdes-france.org/" TargetMode="External"/><Relationship Id="rId2" Type="http://schemas.openxmlformats.org/officeDocument/2006/relationships/hyperlink" Target="https://www.fatima.pt/" TargetMode="External"/><Relationship Id="rId1" Type="http://schemas.openxmlformats.org/officeDocument/2006/relationships/hyperlink" Target="https://www.ourladyofsiluva.org/" TargetMode="External"/><Relationship Id="rId4" Type="http://schemas.openxmlformats.org/officeDocument/2006/relationships/hyperlink" Target="https://virgendeguadalupe.org.mx/"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www.therealpresence.org/eucharst/misc/BVM/94_CAYSASAY_60x96.pdf" TargetMode="External"/><Relationship Id="rId18" Type="http://schemas.openxmlformats.org/officeDocument/2006/relationships/hyperlink" Target="http://www.therealpresence.org/eucharst/misc/BVM/69_LAUS_140x96.pdf" TargetMode="External"/><Relationship Id="rId26" Type="http://schemas.openxmlformats.org/officeDocument/2006/relationships/hyperlink" Target="http://www.therealpresence.org/eucharst/misc/BVM/89_FILIPOV_96x96.pdf" TargetMode="External"/><Relationship Id="rId21" Type="http://schemas.openxmlformats.org/officeDocument/2006/relationships/hyperlink" Target="http://www.therealpresence.org/eucharst/misc/BVM/110_LICHEN_96x96.pdf" TargetMode="External"/><Relationship Id="rId34" Type="http://schemas.openxmlformats.org/officeDocument/2006/relationships/hyperlink" Target="http://www.therealpresence.org/eucharst/misc/BVM/144_ZEITUN_96x96.pdf" TargetMode="External"/><Relationship Id="rId7" Type="http://schemas.openxmlformats.org/officeDocument/2006/relationships/hyperlink" Target="http://www.therealpresence.org/eucharst/misc/BVM/13_VALVERDE_60x96.pdf" TargetMode="External"/><Relationship Id="rId12" Type="http://schemas.openxmlformats.org/officeDocument/2006/relationships/hyperlink" Target="http://www.therealpresence.org/eucharst/misc/BVM/112_LUJAN_96x96.pdf" TargetMode="External"/><Relationship Id="rId17" Type="http://schemas.openxmlformats.org/officeDocument/2006/relationships/hyperlink" Target="http://www.therealpresence.org/eucharst/misc/BVM/102_CUBA_96x96.pdf" TargetMode="External"/><Relationship Id="rId25" Type="http://schemas.openxmlformats.org/officeDocument/2006/relationships/hyperlink" Target="http://www.therealpresence.org/eucharst/misc/BVM/40_LOURDES_140x96.pdf" TargetMode="External"/><Relationship Id="rId33" Type="http://schemas.openxmlformats.org/officeDocument/2006/relationships/hyperlink" Target="http://www.therealpresence.org/eucharst/misc/BVM/124_NGOME_140x96.pdf" TargetMode="External"/><Relationship Id="rId2" Type="http://schemas.openxmlformats.org/officeDocument/2006/relationships/hyperlink" Target="http://www.therealpresence.org/eucharst/misc/BVM/68_LE_PUY_60x96.pdf" TargetMode="External"/><Relationship Id="rId16" Type="http://schemas.openxmlformats.org/officeDocument/2006/relationships/hyperlink" Target="http://www.therealpresence.org/eucharst/misc/BVM/88_MANAOAG_60x96.pdf" TargetMode="External"/><Relationship Id="rId20" Type="http://schemas.openxmlformats.org/officeDocument/2006/relationships/hyperlink" Target="http://www.therealpresence.org/eucharst/misc/BVM/21_LAVANG_60x96.pdf" TargetMode="External"/><Relationship Id="rId29" Type="http://schemas.openxmlformats.org/officeDocument/2006/relationships/hyperlink" Target="http://www.therealpresence.org/eucharst/misc/BVM/85_GIETRZALD_96x96.pdf" TargetMode="External"/><Relationship Id="rId1" Type="http://schemas.openxmlformats.org/officeDocument/2006/relationships/hyperlink" Target="http://www.therealpresence.org/eucharst/misc/BVM/09_ZARAGOZA_60x96.pdf" TargetMode="External"/><Relationship Id="rId6" Type="http://schemas.openxmlformats.org/officeDocument/2006/relationships/hyperlink" Target="http://www.therealpresence.org/eucharst/misc/BVM/138_SWIETA_LIPKA_60x96.pdf" TargetMode="External"/><Relationship Id="rId11" Type="http://schemas.openxmlformats.org/officeDocument/2006/relationships/hyperlink" Target="http://www.therealpresence.org/eucharst/misc/BVM/140_GOZO_60x96.pdf" TargetMode="External"/><Relationship Id="rId24" Type="http://schemas.openxmlformats.org/officeDocument/2006/relationships/hyperlink" Target="http://www.therealpresence.org/eucharst/misc/BVM/30_LA_SALETTE_96x96.pdf" TargetMode="External"/><Relationship Id="rId32" Type="http://schemas.openxmlformats.org/officeDocument/2006/relationships/hyperlink" Target="http://www.therealpresence.org/eucharst/misc/BVM/128_KALLIKULAM_60x96.pdf" TargetMode="External"/><Relationship Id="rId37" Type="http://schemas.openxmlformats.org/officeDocument/2006/relationships/hyperlink" Target="http://www.therealpresence.org/eucharst/misc/BVM/20_KIBEHO_96x96.pdf" TargetMode="External"/><Relationship Id="rId5" Type="http://schemas.openxmlformats.org/officeDocument/2006/relationships/hyperlink" Target="http://www.therealpresence.org/eucharst/misc/BVM/153_WALSINGHAM_60x96.pdf" TargetMode="External"/><Relationship Id="rId15" Type="http://schemas.openxmlformats.org/officeDocument/2006/relationships/hyperlink" Target="http://www.therealpresence.org/eucharst/misc/BVM/57_SILUVA_96x96.pdf" TargetMode="External"/><Relationship Id="rId23" Type="http://schemas.openxmlformats.org/officeDocument/2006/relationships/hyperlink" Target="http://www.therealpresence.org/eucharst/misc/BVM/23_ROMA_60x96.pdf" TargetMode="External"/><Relationship Id="rId28" Type="http://schemas.openxmlformats.org/officeDocument/2006/relationships/hyperlink" Target="http://www.therealpresence.org/eucharst/misc/BVM/07_PELLEVOISIN_60x96.pdf" TargetMode="External"/><Relationship Id="rId36" Type="http://schemas.openxmlformats.org/officeDocument/2006/relationships/hyperlink" Target="http://www.therealpresence.org/eucharst/misc/BVM/16_CUAPA_60x96.pdf" TargetMode="External"/><Relationship Id="rId10" Type="http://schemas.openxmlformats.org/officeDocument/2006/relationships/hyperlink" Target="http://www.therealpresence.org/eucharst/misc/BVM/137_SVETA_GORA_60x96.pdf" TargetMode="External"/><Relationship Id="rId19" Type="http://schemas.openxmlformats.org/officeDocument/2006/relationships/hyperlink" Target="http://www.therealpresence.org/eucharst/misc/BVM/109_LAJAS_96x96.pdf" TargetMode="External"/><Relationship Id="rId31" Type="http://schemas.openxmlformats.org/officeDocument/2006/relationships/hyperlink" Target="http://www.therealpresence.org/eucharst/misc/BVM/154_FATIMA_96x96_1.pdf" TargetMode="External"/><Relationship Id="rId4" Type="http://schemas.openxmlformats.org/officeDocument/2006/relationships/hyperlink" Target="http://www.therealpresence.org/eucharst/misc/BVM/90_TINDARI_60x96.pdf" TargetMode="External"/><Relationship Id="rId9" Type="http://schemas.openxmlformats.org/officeDocument/2006/relationships/hyperlink" Target="http://www.therealpresence.org/eucharst/misc/BVM/70_GUADALUPE_96x96.pdf" TargetMode="External"/><Relationship Id="rId14" Type="http://schemas.openxmlformats.org/officeDocument/2006/relationships/hyperlink" Target="http://www.therealpresence.org/eucharst/misc/BVM/104_DOROSZLO_60x96.pdf" TargetMode="External"/><Relationship Id="rId22" Type="http://schemas.openxmlformats.org/officeDocument/2006/relationships/hyperlink" Target="http://www.therealpresence.org/eucharst/misc/BVM/06_PARIGI_60x96.pdf" TargetMode="External"/><Relationship Id="rId27" Type="http://schemas.openxmlformats.org/officeDocument/2006/relationships/hyperlink" Target="http://www.therealpresence.org/eucharst/misc/BVM/26_PONTMAIN_60x96.pdf" TargetMode="External"/><Relationship Id="rId30" Type="http://schemas.openxmlformats.org/officeDocument/2006/relationships/hyperlink" Target="http://www.therealpresence.org/eucharst/misc/BVM/63_KNOCK_60x96.pdf" TargetMode="External"/><Relationship Id="rId35" Type="http://schemas.openxmlformats.org/officeDocument/2006/relationships/hyperlink" Target="http://www.therealpresence.org/eucharst/misc/BVM/01_AKITA_60x96.pdf" TargetMode="External"/><Relationship Id="rId8" Type="http://schemas.openxmlformats.org/officeDocument/2006/relationships/hyperlink" Target="http://www.therealpresence.org/eucharst/misc/BVM/32_VAILANKANNI_60x96.pdf" TargetMode="External"/><Relationship Id="rId3" Type="http://schemas.openxmlformats.org/officeDocument/2006/relationships/hyperlink" Target="http://www.therealpresence.org/eucharst/misc/BVM/117_ROMA_60x96.pdf" TargetMode="External"/></Relationships>
</file>

<file path=xl/worksheets/_rels/sheet5.xml.rels><?xml version="1.0" encoding="UTF-8" standalone="yes"?>
<Relationships xmlns="http://schemas.openxmlformats.org/package/2006/relationships"><Relationship Id="rId26" Type="http://schemas.openxmlformats.org/officeDocument/2006/relationships/hyperlink" Target="http://www.therealpresence.org/eucharst/misc/BVM/42_BOCCADIRIO_60x96.pdf" TargetMode="External"/><Relationship Id="rId21" Type="http://schemas.openxmlformats.org/officeDocument/2006/relationships/hyperlink" Target="http://www.therealpresence.org/eucharst/misc/BVM/115_S_ANASTASIA_96x96.pdf" TargetMode="External"/><Relationship Id="rId42" Type="http://schemas.openxmlformats.org/officeDocument/2006/relationships/hyperlink" Target="http://www.therealpresence.org/eucharst/misc/BVM/41_BERGAMO_60x96.pdf" TargetMode="External"/><Relationship Id="rId47" Type="http://schemas.openxmlformats.org/officeDocument/2006/relationships/hyperlink" Target="http://www.therealpresence.org/eucharst/misc/BVM/114_CORI_60x96.pdf" TargetMode="External"/><Relationship Id="rId63" Type="http://schemas.openxmlformats.org/officeDocument/2006/relationships/hyperlink" Target="http://www.therealpresence.org/eucharst/misc/BVM/131_QUINCHE_60x96.pdf" TargetMode="External"/><Relationship Id="rId68" Type="http://schemas.openxmlformats.org/officeDocument/2006/relationships/hyperlink" Target="http://www.therealpresence.org/eucharst/misc/BVM/36_ARDESIO_60x96.pdf" TargetMode="External"/><Relationship Id="rId84" Type="http://schemas.openxmlformats.org/officeDocument/2006/relationships/hyperlink" Target="http://www.therealpresence.org/eucharst/misc/BVM/17_DIVINO_AMORE_60x96.pdf" TargetMode="External"/><Relationship Id="rId89" Type="http://schemas.openxmlformats.org/officeDocument/2006/relationships/hyperlink" Target="http://www.therealpresence.org/eucharst/misc/BVM/27_PORZUS_60x96.pdf" TargetMode="External"/><Relationship Id="rId112" Type="http://schemas.openxmlformats.org/officeDocument/2006/relationships/hyperlink" Target="http://www.therealpresence.org/eucharst/misc/BVM/113_ROGOROTTO_60x96.pdf" TargetMode="External"/><Relationship Id="rId16" Type="http://schemas.openxmlformats.org/officeDocument/2006/relationships/hyperlink" Target="http://www.therealpresence.org/eucharst/misc/BVM/100_CORDOBA_60x96.pdf" TargetMode="External"/><Relationship Id="rId107" Type="http://schemas.openxmlformats.org/officeDocument/2006/relationships/hyperlink" Target="http://www.therealpresence.org/eucharst/misc/BVM/149_MARIENFRIED_140x96.pdf" TargetMode="External"/><Relationship Id="rId11" Type="http://schemas.openxmlformats.org/officeDocument/2006/relationships/hyperlink" Target="http://www.therealpresence.org/eucharst/misc/BVM/133_ROMA_POZZO_60x96.pdf" TargetMode="External"/><Relationship Id="rId32" Type="http://schemas.openxmlformats.org/officeDocument/2006/relationships/hyperlink" Target="http://www.therealpresence.org/eucharst/misc/BVM/24_TROIS_EPIS_60x96.pdf" TargetMode="External"/><Relationship Id="rId37" Type="http://schemas.openxmlformats.org/officeDocument/2006/relationships/hyperlink" Target="http://www.therealpresence.org/eucharst/misc/BVM/98_ANDACOLLO_CILE_60x96.pdf" TargetMode="External"/><Relationship Id="rId53" Type="http://schemas.openxmlformats.org/officeDocument/2006/relationships/hyperlink" Target="http://www.therealpresence.org/eucharst/misc/BVM/116_VACCIAGO_60x96.pdf" TargetMode="External"/><Relationship Id="rId58" Type="http://schemas.openxmlformats.org/officeDocument/2006/relationships/hyperlink" Target="http://www.therealpresence.org/eucharst/misc/BVM/62_GEROSA_60x96.pdf" TargetMode="External"/><Relationship Id="rId74" Type="http://schemas.openxmlformats.org/officeDocument/2006/relationships/hyperlink" Target="http://www.therealpresence.org/eucharst/misc/BVM/14_GUANARE_60x96.pdf" TargetMode="External"/><Relationship Id="rId79" Type="http://schemas.openxmlformats.org/officeDocument/2006/relationships/hyperlink" Target="http://www.therealpresence.org/eucharst/misc/BVM/73_COTOCA_60x96.pdf" TargetMode="External"/><Relationship Id="rId102" Type="http://schemas.openxmlformats.org/officeDocument/2006/relationships/hyperlink" Target="http://www.therealpresence.org/eucharst/misc/BVM/11_BEAURAING_60x96.pdf" TargetMode="External"/><Relationship Id="rId5" Type="http://schemas.openxmlformats.org/officeDocument/2006/relationships/hyperlink" Target="http://www.therealpresence.org/eucharst/misc/BVM/123_NAZARE_96x96.pdf" TargetMode="External"/><Relationship Id="rId90" Type="http://schemas.openxmlformats.org/officeDocument/2006/relationships/hyperlink" Target="http://www.therealpresence.org/eucharst/misc/BVM/96_CHAMPION_140x96.pdf" TargetMode="External"/><Relationship Id="rId95" Type="http://schemas.openxmlformats.org/officeDocument/2006/relationships/hyperlink" Target="http://www.therealpresence.org/eucharst/misc/BVM/139_SZCZYRK_60x96.pdf" TargetMode="External"/><Relationship Id="rId22" Type="http://schemas.openxmlformats.org/officeDocument/2006/relationships/hyperlink" Target="http://www.therealpresence.org/eucharst/misc/BVM/45_GHISALBA_60x96.pdf" TargetMode="External"/><Relationship Id="rId27" Type="http://schemas.openxmlformats.org/officeDocument/2006/relationships/hyperlink" Target="http://www.therealpresence.org/eucharst/misc/BVM/106_TEROR_60x96.pdf" TargetMode="External"/><Relationship Id="rId43" Type="http://schemas.openxmlformats.org/officeDocument/2006/relationships/hyperlink" Target="http://www.therealpresence.org/eucharst/misc/BVM/134_RZESZOW_96x96.pdf" TargetMode="External"/><Relationship Id="rId48" Type="http://schemas.openxmlformats.org/officeDocument/2006/relationships/hyperlink" Target="http://www.therealpresence.org/eucharst/misc/BVM/48_CUSSANIO_60x96.pdf" TargetMode="External"/><Relationship Id="rId64" Type="http://schemas.openxmlformats.org/officeDocument/2006/relationships/hyperlink" Target="http://www.therealpresence.org/eucharst/misc/BVM/132_QUITO_96x96.pdf" TargetMode="External"/><Relationship Id="rId69" Type="http://schemas.openxmlformats.org/officeDocument/2006/relationships/hyperlink" Target="http://www.therealpresence.org/eucharst/misc/BVM/22_MONFERRATO_60x96.pdf" TargetMode="External"/><Relationship Id="rId113" Type="http://schemas.openxmlformats.org/officeDocument/2006/relationships/hyperlink" Target="http://www.therealpresence.org/eucharst/misc/BVM/28_SIRACUSA_60x96.pdf" TargetMode="External"/><Relationship Id="rId80" Type="http://schemas.openxmlformats.org/officeDocument/2006/relationships/hyperlink" Target="http://www.therealpresence.org/eucharst/misc/BVM/142_QUILLACOLLO_60x96.pdf" TargetMode="External"/><Relationship Id="rId85" Type="http://schemas.openxmlformats.org/officeDocument/2006/relationships/hyperlink" Target="http://www.therealpresence.org/eucharst/misc/BVM/95_CHAGUAYA_60x96.pdf" TargetMode="External"/><Relationship Id="rId12" Type="http://schemas.openxmlformats.org/officeDocument/2006/relationships/hyperlink" Target="http://www.therealpresence.org/eucharst/misc/BVM/148_LORETO_140x96.pdf" TargetMode="External"/><Relationship Id="rId17" Type="http://schemas.openxmlformats.org/officeDocument/2006/relationships/hyperlink" Target="http://www.therealpresence.org/eucharst/misc/BVM/58_MONTE_BERICO_60x96.pdf" TargetMode="External"/><Relationship Id="rId33" Type="http://schemas.openxmlformats.org/officeDocument/2006/relationships/hyperlink" Target="http://www.therealpresence.org/eucharst/misc/BVM/51_GALLIVAGGIO_60x96.pdf" TargetMode="External"/><Relationship Id="rId38" Type="http://schemas.openxmlformats.org/officeDocument/2006/relationships/hyperlink" Target="http://www.therealpresence.org/eucharst/misc/BVM/111_LUGGAU_60x96.pdf" TargetMode="External"/><Relationship Id="rId59" Type="http://schemas.openxmlformats.org/officeDocument/2006/relationships/hyperlink" Target="http://www.therealpresence.org/eucharst/misc/BVM/141_MONCRIVELLO_60x96.pdf" TargetMode="External"/><Relationship Id="rId103" Type="http://schemas.openxmlformats.org/officeDocument/2006/relationships/hyperlink" Target="http://www.therealpresence.org/eucharst/misc/BVM/39_BANNEAUX_96x96.pdf" TargetMode="External"/><Relationship Id="rId108" Type="http://schemas.openxmlformats.org/officeDocument/2006/relationships/hyperlink" Target="http://www.therealpresence.org/eucharst/misc/BVM/152_SIEKIERKI_96x96.pdf" TargetMode="External"/><Relationship Id="rId54" Type="http://schemas.openxmlformats.org/officeDocument/2006/relationships/hyperlink" Target="http://www.therealpresence.org/eucharst/misc/BVM/60_PIETRALBA_96x96.pdf" TargetMode="External"/><Relationship Id="rId70" Type="http://schemas.openxmlformats.org/officeDocument/2006/relationships/hyperlink" Target="http://www.therealpresence.org/eucharst/misc/BVM/118_MARBACH_60x96.pdf" TargetMode="External"/><Relationship Id="rId75" Type="http://schemas.openxmlformats.org/officeDocument/2006/relationships/hyperlink" Target="http://www.therealpresence.org/eucharst/misc/BVM/108_LA_PRENESSAYE_60x96.pdf" TargetMode="External"/><Relationship Id="rId91" Type="http://schemas.openxmlformats.org/officeDocument/2006/relationships/hyperlink" Target="http://www.therealpresence.org/eucharst/misc/BVM/12_MONTEFALCO_60x96.pdf" TargetMode="External"/><Relationship Id="rId96" Type="http://schemas.openxmlformats.org/officeDocument/2006/relationships/hyperlink" Target="http://www.therealpresence.org/eucharst/misc/BVM/91_BETANIA_96x96.pdf" TargetMode="External"/><Relationship Id="rId1" Type="http://schemas.openxmlformats.org/officeDocument/2006/relationships/hyperlink" Target="http://www.therealpresence.org/eucharst/misc/BVM/121_MONTSERRAT_60x96.pdf" TargetMode="External"/><Relationship Id="rId6" Type="http://schemas.openxmlformats.org/officeDocument/2006/relationships/hyperlink" Target="http://www.therealpresence.org/eucharst/misc/BVM/38_ASSISI_60x96.pdf" TargetMode="External"/><Relationship Id="rId15" Type="http://schemas.openxmlformats.org/officeDocument/2006/relationships/hyperlink" Target="http://www.therealpresence.org/eucharst/misc/BVM/43_CASTEL_GODEGO_60x96.pdf" TargetMode="External"/><Relationship Id="rId23" Type="http://schemas.openxmlformats.org/officeDocument/2006/relationships/hyperlink" Target="http://www.therealpresence.org/eucharst/misc/BVM/72_GARLASCO_60x96.pdf" TargetMode="External"/><Relationship Id="rId28" Type="http://schemas.openxmlformats.org/officeDocument/2006/relationships/hyperlink" Target="http://www.therealpresence.org/eucharst/misc/BVM/49_IMOLA_60x96.pdf" TargetMode="External"/><Relationship Id="rId36" Type="http://schemas.openxmlformats.org/officeDocument/2006/relationships/hyperlink" Target="http://www.therealpresence.org/eucharst/misc/BVM/65_MOLARE_60x96.pdf" TargetMode="External"/><Relationship Id="rId49" Type="http://schemas.openxmlformats.org/officeDocument/2006/relationships/hyperlink" Target="http://www.therealpresence.org/eucharst/misc/BVM/53_CRESCENTINO_60x96.pdf" TargetMode="External"/><Relationship Id="rId57" Type="http://schemas.openxmlformats.org/officeDocument/2006/relationships/hyperlink" Target="http://www.therealpresence.org/eucharst/misc/BVM/56_GIULIANOVA_96x96.pdf" TargetMode="External"/><Relationship Id="rId106" Type="http://schemas.openxmlformats.org/officeDocument/2006/relationships/hyperlink" Target="http://www.therealpresence.org/eucharst/misc/BVM/119_MILANO_96x96.pdf" TargetMode="External"/><Relationship Id="rId114" Type="http://schemas.openxmlformats.org/officeDocument/2006/relationships/hyperlink" Target="http://www.therealpresence.org/eucharst/misc/BVM/150_FOSTORIA_140x96.pdf" TargetMode="External"/><Relationship Id="rId10" Type="http://schemas.openxmlformats.org/officeDocument/2006/relationships/hyperlink" Target="http://www.therealpresence.org/eucharst/misc/BVM/05_AYLESFORD_60x96.pdf" TargetMode="External"/><Relationship Id="rId31" Type="http://schemas.openxmlformats.org/officeDocument/2006/relationships/hyperlink" Target="http://www.therealpresence.org/eucharst/misc/BVM/64_GENOVA_60x96.pdf" TargetMode="External"/><Relationship Id="rId44" Type="http://schemas.openxmlformats.org/officeDocument/2006/relationships/hyperlink" Target="http://www.therealpresence.org/eucharst/misc/BVM/84_GARAISON_60x96.pdf" TargetMode="External"/><Relationship Id="rId52" Type="http://schemas.openxmlformats.org/officeDocument/2006/relationships/hyperlink" Target="http://www.therealpresence.org/eucharst/misc/BVM/127_OCOTLAN_96x96.pdf" TargetMode="External"/><Relationship Id="rId60" Type="http://schemas.openxmlformats.org/officeDocument/2006/relationships/hyperlink" Target="http://www.therealpresence.org/eucharst/misc/BVM/52_CASALBORDINO_60x96.pdf" TargetMode="External"/><Relationship Id="rId65" Type="http://schemas.openxmlformats.org/officeDocument/2006/relationships/hyperlink" Target="http://www.therealpresence.org/eucharst/misc/BVM/120_RAPALLO_60x96.pdf" TargetMode="External"/><Relationship Id="rId73" Type="http://schemas.openxmlformats.org/officeDocument/2006/relationships/hyperlink" Target="http://www.therealpresence.org/eucharst/misc/BVM/125_PLANTEES_60x96.pdf" TargetMode="External"/><Relationship Id="rId78" Type="http://schemas.openxmlformats.org/officeDocument/2006/relationships/hyperlink" Target="http://www.therealpresence.org/eucharst/misc/BVM/145_GYOR_96x96.pdf" TargetMode="External"/><Relationship Id="rId81" Type="http://schemas.openxmlformats.org/officeDocument/2006/relationships/hyperlink" Target="http://www.therealpresence.org/eucharst/misc/BVM/130_PELLESTRINA_96x96.pdf" TargetMode="External"/><Relationship Id="rId86" Type="http://schemas.openxmlformats.org/officeDocument/2006/relationships/hyperlink" Target="http://www.therealpresence.org/eucharst/misc/BVM/33_ABSAM_60x96.pdf" TargetMode="External"/><Relationship Id="rId94" Type="http://schemas.openxmlformats.org/officeDocument/2006/relationships/hyperlink" Target="http://www.therealpresence.org/eucharst/misc/BVM/82_CASTELPETROSO_60x96.pdf" TargetMode="External"/><Relationship Id="rId99" Type="http://schemas.openxmlformats.org/officeDocument/2006/relationships/hyperlink" Target="http://www.therealpresence.org/eucharst/misc/BVM/04_CERNUSCO_60x96.pdf" TargetMode="External"/><Relationship Id="rId101" Type="http://schemas.openxmlformats.org/officeDocument/2006/relationships/hyperlink" Target="http://www.therealpresence.org/eucharst/misc/BVM/93_CAMPINAS_140x96.pdf" TargetMode="External"/><Relationship Id="rId4" Type="http://schemas.openxmlformats.org/officeDocument/2006/relationships/hyperlink" Target="http://www.therealpresence.org/eucharst/misc/BVM/37_ARRAS_60x96.pdf" TargetMode="External"/><Relationship Id="rId9" Type="http://schemas.openxmlformats.org/officeDocument/2006/relationships/hyperlink" Target="http://www.therealpresence.org/eucharst/misc/BVM/18_FIRENZE_60x96.pdf" TargetMode="External"/><Relationship Id="rId13" Type="http://schemas.openxmlformats.org/officeDocument/2006/relationships/hyperlink" Target="http://www.therealpresence.org/eucharst/misc/BVM/44_BRA_60x96.pdf" TargetMode="External"/><Relationship Id="rId18" Type="http://schemas.openxmlformats.org/officeDocument/2006/relationships/hyperlink" Target="http://www.therealpresence.org/eucharst/misc/BVM/15_CARAVAGGIO_60x96.pdf" TargetMode="External"/><Relationship Id="rId39" Type="http://schemas.openxmlformats.org/officeDocument/2006/relationships/hyperlink" Target="http://www.therealpresence.org/eucharst/misc/BVM/79_TIRANO_96x96.pdf" TargetMode="External"/><Relationship Id="rId109" Type="http://schemas.openxmlformats.org/officeDocument/2006/relationships/hyperlink" Target="http://www.therealpresence.org/eucharst/misc/BVM/99_CODOSERA_140x96.pdf" TargetMode="External"/><Relationship Id="rId34" Type="http://schemas.openxmlformats.org/officeDocument/2006/relationships/hyperlink" Target="http://www.therealpresence.org/eucharst/misc/BVM/87_RE_60x96.pdf" TargetMode="External"/><Relationship Id="rId50" Type="http://schemas.openxmlformats.org/officeDocument/2006/relationships/hyperlink" Target="http://www.therealpresence.org/eucharst/misc/BVM/81_ORNAVASSO_60x96.pdf" TargetMode="External"/><Relationship Id="rId55" Type="http://schemas.openxmlformats.org/officeDocument/2006/relationships/hyperlink" Target="http://www.therealpresence.org/eucharst/misc/BVM/10_CORBETTA_60x96.pdf" TargetMode="External"/><Relationship Id="rId76" Type="http://schemas.openxmlformats.org/officeDocument/2006/relationships/hyperlink" Target="http://www.therealpresence.org/eucharst/misc/BVM/08_PIEVE_DI_TAGLIAM_60x96.pdf" TargetMode="External"/><Relationship Id="rId97" Type="http://schemas.openxmlformats.org/officeDocument/2006/relationships/hyperlink" Target="http://www.therealpresence.org/eucharst/misc/BVM/103_DONG_LU_96x96.pdf" TargetMode="External"/><Relationship Id="rId104" Type="http://schemas.openxmlformats.org/officeDocument/2006/relationships/hyperlink" Target="http://www.therealpresence.org/eucharst/misc/BVM/151_PESQUEIRA_140x96.pdf" TargetMode="External"/><Relationship Id="rId7" Type="http://schemas.openxmlformats.org/officeDocument/2006/relationships/hyperlink" Target="http://www.therealpresence.org/eucharst/misc/BVM/136_ARCOS_60x96.pdf" TargetMode="External"/><Relationship Id="rId71" Type="http://schemas.openxmlformats.org/officeDocument/2006/relationships/hyperlink" Target="http://www.therealpresence.org/eucharst/misc/BVM/101_CARTAGO_60x96.pdf" TargetMode="External"/><Relationship Id="rId92" Type="http://schemas.openxmlformats.org/officeDocument/2006/relationships/hyperlink" Target="http://www.therealpresence.org/eucharst/misc/BVM/135_S_BAUZILLE_96x96.pdf" TargetMode="External"/><Relationship Id="rId2" Type="http://schemas.openxmlformats.org/officeDocument/2006/relationships/hyperlink" Target="http://www.therealpresence.org/eucharst/misc/BVM/80_MONTEFORTINO_60x96.pdf" TargetMode="External"/><Relationship Id="rId29" Type="http://schemas.openxmlformats.org/officeDocument/2006/relationships/hyperlink" Target="http://www.therealpresence.org/eucharst/misc/BVM/67_AGRES_60x96.pdf" TargetMode="External"/><Relationship Id="rId24" Type="http://schemas.openxmlformats.org/officeDocument/2006/relationships/hyperlink" Target="http://www.therealpresence.org/eucharst/misc/BVM/71_GENAZZANO_60x96.pdf" TargetMode="External"/><Relationship Id="rId40" Type="http://schemas.openxmlformats.org/officeDocument/2006/relationships/hyperlink" Target="http://www.therealpresence.org/eucharst/misc/BVM/122_MOTTA_DI_LIV_96x96.pdf" TargetMode="External"/><Relationship Id="rId45" Type="http://schemas.openxmlformats.org/officeDocument/2006/relationships/hyperlink" Target="http://www.therealpresence.org/eucharst/misc/BVM/34_ADRO_60x96.pdf" TargetMode="External"/><Relationship Id="rId66" Type="http://schemas.openxmlformats.org/officeDocument/2006/relationships/hyperlink" Target="http://www.therealpresence.org/eucharst/misc/BVM/61_BETHARRAM_60x96.pdf" TargetMode="External"/><Relationship Id="rId87" Type="http://schemas.openxmlformats.org/officeDocument/2006/relationships/hyperlink" Target="http://www.therealpresence.org/eucharst/misc/BVM/126_ORNANS_60x96.pdf" TargetMode="External"/><Relationship Id="rId110" Type="http://schemas.openxmlformats.org/officeDocument/2006/relationships/hyperlink" Target="http://www.therealpresence.org/eucharst/misc/BVM/19_ILE_BOUCHARD_96x96.pdf" TargetMode="External"/><Relationship Id="rId115" Type="http://schemas.openxmlformats.org/officeDocument/2006/relationships/hyperlink" Target="http://www.therealpresence.org/eucharst/misc/BVM/143_NAMYANG_96x96.pdf" TargetMode="External"/><Relationship Id="rId61" Type="http://schemas.openxmlformats.org/officeDocument/2006/relationships/hyperlink" Target="http://www.therealpresence.org/eucharst/misc/BVM/129_LUMARZO_60x96.pdf" TargetMode="External"/><Relationship Id="rId82" Type="http://schemas.openxmlformats.org/officeDocument/2006/relationships/hyperlink" Target="http://www.therealpresence.org/eucharst/misc/BVM/77_VALE_DO_PARAIBA_60x96.pdf" TargetMode="External"/><Relationship Id="rId19" Type="http://schemas.openxmlformats.org/officeDocument/2006/relationships/hyperlink" Target="http://www.therealpresence.org/eucharst/misc/BVM/50_DESENZANO_DI_ALBINO_60x96.pd.pdf" TargetMode="External"/><Relationship Id="rId14" Type="http://schemas.openxmlformats.org/officeDocument/2006/relationships/hyperlink" Target="http://www.therealpresence.org/eucharst/misc/BVM/74_ROVERANO_60x96.pdf" TargetMode="External"/><Relationship Id="rId30" Type="http://schemas.openxmlformats.org/officeDocument/2006/relationships/hyperlink" Target="http://www.therealpresence.org/eucharst/misc/BVM/55_MADONNA_DEL_SASSO_60x96.pdf" TargetMode="External"/><Relationship Id="rId35" Type="http://schemas.openxmlformats.org/officeDocument/2006/relationships/hyperlink" Target="http://www.therealpresence.org/eucharst/misc/BVM/47_BETTOLA_60x96.pdf" TargetMode="External"/><Relationship Id="rId56" Type="http://schemas.openxmlformats.org/officeDocument/2006/relationships/hyperlink" Target="http://www.therealpresence.org/eucharst/misc/BVM/02_ARCOLA_60x96.pdf" TargetMode="External"/><Relationship Id="rId77" Type="http://schemas.openxmlformats.org/officeDocument/2006/relationships/hyperlink" Target="http://www.therealpresence.org/eucharst/misc/BVM/54_SAN_BARTOLOMEO_60x96.pdf" TargetMode="External"/><Relationship Id="rId100" Type="http://schemas.openxmlformats.org/officeDocument/2006/relationships/hyperlink" Target="http://www.therealpresence.org/eucharst/misc/BVM/31_PONTEVEDRA_96x96.pdf" TargetMode="External"/><Relationship Id="rId105" Type="http://schemas.openxmlformats.org/officeDocument/2006/relationships/hyperlink" Target="http://www.therealpresence.org/eucharst/misc/BVM/146_HEEDE_140x96.pdf" TargetMode="External"/><Relationship Id="rId8" Type="http://schemas.openxmlformats.org/officeDocument/2006/relationships/hyperlink" Target="http://www.therealpresence.org/eucharst/misc/BVM/35_CORTES_60x96.pdf" TargetMode="External"/><Relationship Id="rId51" Type="http://schemas.openxmlformats.org/officeDocument/2006/relationships/hyperlink" Target="http://www.therealpresence.org/eucharst/misc/BVM/29_SAVONA_60x96.pdf" TargetMode="External"/><Relationship Id="rId72" Type="http://schemas.openxmlformats.org/officeDocument/2006/relationships/hyperlink" Target="http://www.therealpresence.org/eucharst/misc/BVM/107_KEVELAER_96x96.pdf" TargetMode="External"/><Relationship Id="rId93" Type="http://schemas.openxmlformats.org/officeDocument/2006/relationships/hyperlink" Target="http://www.therealpresence.org/eucharst/misc/BVM/25_POMPEI_96x96.pdf" TargetMode="External"/><Relationship Id="rId98" Type="http://schemas.openxmlformats.org/officeDocument/2006/relationships/hyperlink" Target="http://www.therealpresence.org/eucharst/misc/BVM/46_TORINO_60x96.pdf" TargetMode="External"/><Relationship Id="rId3" Type="http://schemas.openxmlformats.org/officeDocument/2006/relationships/hyperlink" Target="http://www.therealpresence.org/eucharst/misc/BVM/86_FOGGIA_60x96.pdf" TargetMode="External"/><Relationship Id="rId25" Type="http://schemas.openxmlformats.org/officeDocument/2006/relationships/hyperlink" Target="http://www.therealpresence.org/eucharst/misc/BVM/75_BADIA_DI_CAVA_60x96.pdf" TargetMode="External"/><Relationship Id="rId46" Type="http://schemas.openxmlformats.org/officeDocument/2006/relationships/hyperlink" Target="http://www.therealpresence.org/eucharst/misc/BVM/83_COTIGNAC_60x96.pdf" TargetMode="External"/><Relationship Id="rId67" Type="http://schemas.openxmlformats.org/officeDocument/2006/relationships/hyperlink" Target="http://www.therealpresence.org/eucharst/misc/BVM/92_CAACUPE_96x96.pdf" TargetMode="External"/><Relationship Id="rId116" Type="http://schemas.openxmlformats.org/officeDocument/2006/relationships/hyperlink" Target="http://www.therealpresence.org/eucharst/misc/BVM/76_AOKPE_140x96.pdf" TargetMode="External"/><Relationship Id="rId20" Type="http://schemas.openxmlformats.org/officeDocument/2006/relationships/hyperlink" Target="http://www.therealpresence.org/eucharst/misc/BVM/105_FUERTEVENTURA_60x96.pdf" TargetMode="External"/><Relationship Id="rId41" Type="http://schemas.openxmlformats.org/officeDocument/2006/relationships/hyperlink" Target="http://www.therealpresence.org/eucharst/misc/BVM/66_PESCHIERA_S-GARDA_60x96.pdf" TargetMode="External"/><Relationship Id="rId62" Type="http://schemas.openxmlformats.org/officeDocument/2006/relationships/hyperlink" Target="http://www.therealpresence.org/eucharst/misc/BVM/97_CHIQUINQUIRA_96x96.pdf" TargetMode="External"/><Relationship Id="rId83" Type="http://schemas.openxmlformats.org/officeDocument/2006/relationships/hyperlink" Target="http://www.therealpresence.org/eucharst/misc/BVM/59_MONTAGNAGA_96x96.pdf" TargetMode="External"/><Relationship Id="rId88" Type="http://schemas.openxmlformats.org/officeDocument/2006/relationships/hyperlink" Target="http://www.therealpresence.org/eucharst/misc/BVM/03_BORGO_CERRETO_60x96.pdf" TargetMode="External"/><Relationship Id="rId111" Type="http://schemas.openxmlformats.org/officeDocument/2006/relationships/hyperlink" Target="http://www.therealpresence.org/eucharst/misc/BVM/147_HEROLDSBACH_140x96.pdf"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miraclehunter.com/marian_apparitions/approved_apparitions/toledo/index.html" TargetMode="External"/><Relationship Id="rId3" Type="http://schemas.openxmlformats.org/officeDocument/2006/relationships/hyperlink" Target="https://www.miraclehunter.com/marian_apparitions/approved_apparitions/myra/index.html" TargetMode="External"/><Relationship Id="rId7" Type="http://schemas.openxmlformats.org/officeDocument/2006/relationships/hyperlink" Target="https://www.miraclehunter.com/marian_apparitions/approved_apparitions/genoa/index.html" TargetMode="External"/><Relationship Id="rId2" Type="http://schemas.openxmlformats.org/officeDocument/2006/relationships/hyperlink" Target="https://www.miraclehunter.com/marian_apparitions/approved_apparitions/lenola/index.html" TargetMode="External"/><Relationship Id="rId1" Type="http://schemas.openxmlformats.org/officeDocument/2006/relationships/hyperlink" Target="https://www.miraclehunter.com/marian_apparitions/approved_apparitions/neocaesarea/index.html" TargetMode="External"/><Relationship Id="rId6" Type="http://schemas.openxmlformats.org/officeDocument/2006/relationships/hyperlink" Target="https://www.miraclehunter.com/marian_apparitions/approved_apparitions/tagaste/index.html" TargetMode="External"/><Relationship Id="rId5" Type="http://schemas.openxmlformats.org/officeDocument/2006/relationships/hyperlink" Target="https://www.miraclehunter.com/marian_apparitions/approved_apparitions/tours/index.html" TargetMode="External"/><Relationship Id="rId10" Type="http://schemas.openxmlformats.org/officeDocument/2006/relationships/hyperlink" Target="http://www.salvemariaregina.info/" TargetMode="External"/><Relationship Id="rId4" Type="http://schemas.openxmlformats.org/officeDocument/2006/relationships/hyperlink" Target="https://www.miraclehunter.com/marian_apparitions/approved_apparitions/caesarea/index.html" TargetMode="External"/><Relationship Id="rId9" Type="http://schemas.openxmlformats.org/officeDocument/2006/relationships/hyperlink" Target="https://www.miraclehunter.com/marian_apparitions/approved_apparitions/benevento/index.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309CC-FA49-4023-9000-8624B69B6953}">
  <sheetPr codeName="Sheet3"/>
  <dimension ref="A1:U23"/>
  <sheetViews>
    <sheetView workbookViewId="0">
      <selection activeCell="A2" sqref="A2:XFD10"/>
    </sheetView>
  </sheetViews>
  <sheetFormatPr defaultRowHeight="14.6" x14ac:dyDescent="0.4"/>
  <cols>
    <col min="1" max="1" width="2.69140625" bestFit="1" customWidth="1"/>
    <col min="2" max="2" width="7.53515625" bestFit="1" customWidth="1"/>
    <col min="3" max="3" width="71.53515625" bestFit="1" customWidth="1"/>
    <col min="4" max="4" width="11" bestFit="1" customWidth="1"/>
    <col min="5" max="5" width="3.53515625" bestFit="1" customWidth="1"/>
    <col min="6" max="6" width="60" bestFit="1" customWidth="1"/>
    <col min="7" max="7" width="4.69140625" bestFit="1" customWidth="1"/>
    <col min="8" max="8" width="3.3046875" bestFit="1" customWidth="1"/>
    <col min="9" max="9" width="3.69140625" bestFit="1" customWidth="1"/>
    <col min="10" max="10" width="15.53515625" customWidth="1"/>
    <col min="11" max="11" width="5.3828125" bestFit="1" customWidth="1"/>
    <col min="12" max="12" width="45.3046875" bestFit="1" customWidth="1"/>
    <col min="14" max="14" width="8.53515625" bestFit="1" customWidth="1"/>
    <col min="15" max="15" width="9.3828125" bestFit="1" customWidth="1"/>
    <col min="16" max="16" width="6.3046875" bestFit="1" customWidth="1"/>
    <col min="17" max="17" width="5" bestFit="1" customWidth="1"/>
    <col min="18" max="18" width="3.84375" bestFit="1" customWidth="1"/>
    <col min="19" max="19" width="6" bestFit="1" customWidth="1"/>
    <col min="20" max="20" width="10.69140625" bestFit="1" customWidth="1"/>
    <col min="21" max="21" width="10.53515625" bestFit="1" customWidth="1"/>
  </cols>
  <sheetData>
    <row r="1" spans="1:21" x14ac:dyDescent="0.4">
      <c r="A1" t="s">
        <v>452</v>
      </c>
      <c r="B1" t="s">
        <v>451</v>
      </c>
      <c r="C1" t="s">
        <v>450</v>
      </c>
      <c r="D1" t="s">
        <v>449</v>
      </c>
      <c r="E1" t="s">
        <v>448</v>
      </c>
      <c r="F1" t="s">
        <v>447</v>
      </c>
      <c r="G1" t="s">
        <v>446</v>
      </c>
      <c r="H1" t="s">
        <v>445</v>
      </c>
      <c r="I1" t="s">
        <v>444</v>
      </c>
      <c r="K1" t="s">
        <v>443</v>
      </c>
      <c r="L1" t="s">
        <v>442</v>
      </c>
      <c r="M1" t="s">
        <v>441</v>
      </c>
      <c r="N1" t="s">
        <v>440</v>
      </c>
      <c r="O1" t="s">
        <v>439</v>
      </c>
      <c r="P1" t="s">
        <v>438</v>
      </c>
      <c r="Q1" t="s">
        <v>437</v>
      </c>
      <c r="R1" t="s">
        <v>436</v>
      </c>
      <c r="S1" t="s">
        <v>435</v>
      </c>
      <c r="T1" t="s">
        <v>434</v>
      </c>
      <c r="U1" t="s">
        <v>433</v>
      </c>
    </row>
    <row r="2" spans="1:21" s="18" customFormat="1" x14ac:dyDescent="0.4">
      <c r="A2" s="18">
        <v>2</v>
      </c>
      <c r="B2" s="18">
        <v>1</v>
      </c>
      <c r="C2" s="18" t="s">
        <v>432</v>
      </c>
      <c r="F2" s="19" t="s">
        <v>431</v>
      </c>
      <c r="H2" s="18">
        <v>19.483432799999999</v>
      </c>
      <c r="I2" s="18">
        <v>-99.117410300000003</v>
      </c>
      <c r="K2" s="18">
        <v>0</v>
      </c>
      <c r="L2" s="18" t="s">
        <v>430</v>
      </c>
      <c r="M2" s="18">
        <v>0</v>
      </c>
      <c r="N2" s="18" t="s">
        <v>399</v>
      </c>
      <c r="O2" s="18">
        <v>1</v>
      </c>
      <c r="P2" s="18">
        <v>0</v>
      </c>
      <c r="Q2" s="18">
        <v>0</v>
      </c>
      <c r="S2" s="18">
        <v>0</v>
      </c>
      <c r="U2" s="18">
        <v>0</v>
      </c>
    </row>
    <row r="3" spans="1:21" s="18" customFormat="1" x14ac:dyDescent="0.4">
      <c r="A3" s="18">
        <v>3</v>
      </c>
      <c r="B3" s="18">
        <v>1</v>
      </c>
      <c r="C3" s="18" t="s">
        <v>429</v>
      </c>
      <c r="F3" s="19" t="s">
        <v>428</v>
      </c>
      <c r="H3" s="18">
        <v>43.0974206</v>
      </c>
      <c r="I3" s="18">
        <v>-5.8261100000000003E-2</v>
      </c>
      <c r="K3" s="18">
        <v>0</v>
      </c>
      <c r="L3" s="18" t="s">
        <v>373</v>
      </c>
      <c r="M3" s="18">
        <v>0</v>
      </c>
      <c r="N3" s="18" t="s">
        <v>399</v>
      </c>
      <c r="O3" s="18">
        <v>1</v>
      </c>
      <c r="P3" s="18">
        <v>0</v>
      </c>
      <c r="Q3" s="18">
        <v>0</v>
      </c>
      <c r="S3" s="18">
        <v>0</v>
      </c>
      <c r="U3" s="18">
        <v>0</v>
      </c>
    </row>
    <row r="4" spans="1:21" s="18" customFormat="1" x14ac:dyDescent="0.4">
      <c r="A4" s="18">
        <v>4</v>
      </c>
      <c r="B4" s="18">
        <v>1</v>
      </c>
      <c r="C4" s="18" t="s">
        <v>427</v>
      </c>
      <c r="F4" s="19" t="s">
        <v>426</v>
      </c>
      <c r="H4" s="18">
        <v>39.631263799999999</v>
      </c>
      <c r="I4" s="18">
        <v>-8.6731570999999992</v>
      </c>
      <c r="J4" s="18" t="str">
        <f t="shared" ref="J4:J23" si="0">"location: {lat: "&amp;H4&amp;", lng: "&amp;I4&amp;"}"</f>
        <v>location: {lat: 39.6312638, lng: -8.6731571}</v>
      </c>
      <c r="K4" s="18">
        <v>0</v>
      </c>
      <c r="L4" s="18" t="s">
        <v>425</v>
      </c>
      <c r="M4" s="18">
        <v>0</v>
      </c>
      <c r="N4" s="18" t="s">
        <v>399</v>
      </c>
      <c r="O4" s="18">
        <v>1</v>
      </c>
      <c r="P4" s="18">
        <v>0</v>
      </c>
      <c r="Q4" s="18">
        <v>0</v>
      </c>
      <c r="S4" s="18">
        <v>0</v>
      </c>
      <c r="U4" s="18">
        <v>0</v>
      </c>
    </row>
    <row r="5" spans="1:21" s="18" customFormat="1" x14ac:dyDescent="0.4">
      <c r="A5" s="18">
        <v>5</v>
      </c>
      <c r="B5" s="18">
        <v>1</v>
      </c>
      <c r="C5" s="18" t="s">
        <v>424</v>
      </c>
      <c r="F5" s="18" t="s">
        <v>423</v>
      </c>
      <c r="H5" s="18">
        <v>50.270467699999998</v>
      </c>
      <c r="I5" s="18">
        <v>22.408031600000001</v>
      </c>
      <c r="J5" s="18" t="str">
        <f t="shared" si="0"/>
        <v>location: {lat: 50.2704677, lng: 22.4080316}</v>
      </c>
      <c r="K5" s="18">
        <v>0</v>
      </c>
      <c r="L5" s="18" t="s">
        <v>375</v>
      </c>
      <c r="M5" s="18">
        <v>0</v>
      </c>
      <c r="N5" s="18" t="s">
        <v>399</v>
      </c>
      <c r="O5" s="18">
        <v>1</v>
      </c>
      <c r="P5" s="18">
        <v>0</v>
      </c>
      <c r="Q5" s="18">
        <v>0</v>
      </c>
      <c r="S5" s="18">
        <v>0</v>
      </c>
      <c r="U5" s="18">
        <v>0</v>
      </c>
    </row>
    <row r="6" spans="1:21" s="18" customFormat="1" x14ac:dyDescent="0.4">
      <c r="A6" s="18">
        <v>6</v>
      </c>
      <c r="B6" s="18">
        <v>1</v>
      </c>
      <c r="C6" s="18" t="s">
        <v>422</v>
      </c>
      <c r="F6" s="19" t="s">
        <v>421</v>
      </c>
      <c r="H6" s="18">
        <v>55.530612599999998</v>
      </c>
      <c r="I6" s="18">
        <v>23.219925199999999</v>
      </c>
      <c r="J6" s="18" t="str">
        <f t="shared" si="0"/>
        <v>location: {lat: 55.5306126, lng: 23.2199252}</v>
      </c>
      <c r="K6" s="18">
        <v>0</v>
      </c>
      <c r="L6" s="18" t="s">
        <v>374</v>
      </c>
      <c r="M6" s="18">
        <v>0</v>
      </c>
      <c r="N6" s="18" t="s">
        <v>399</v>
      </c>
      <c r="O6" s="18">
        <v>1</v>
      </c>
      <c r="P6" s="18">
        <v>0</v>
      </c>
      <c r="Q6" s="18">
        <v>0</v>
      </c>
      <c r="S6" s="18">
        <v>0</v>
      </c>
      <c r="U6" s="18">
        <v>0</v>
      </c>
    </row>
    <row r="7" spans="1:21" s="18" customFormat="1" x14ac:dyDescent="0.4">
      <c r="A7" s="18">
        <v>7</v>
      </c>
      <c r="B7" s="18">
        <v>1</v>
      </c>
      <c r="C7" s="18" t="s">
        <v>420</v>
      </c>
      <c r="F7" s="18" t="s">
        <v>419</v>
      </c>
      <c r="H7" s="18">
        <v>44.521201599999998</v>
      </c>
      <c r="I7" s="18">
        <v>6.1521160000000004</v>
      </c>
      <c r="J7" s="18" t="str">
        <f t="shared" si="0"/>
        <v>location: {lat: 44.5212016, lng: 6.152116}</v>
      </c>
      <c r="K7" s="18">
        <v>0</v>
      </c>
      <c r="L7" s="18" t="s">
        <v>418</v>
      </c>
      <c r="M7" s="18">
        <v>0</v>
      </c>
      <c r="N7" s="18" t="s">
        <v>399</v>
      </c>
      <c r="O7" s="18">
        <v>1</v>
      </c>
      <c r="P7" s="18">
        <v>0</v>
      </c>
      <c r="Q7" s="18">
        <v>0</v>
      </c>
      <c r="S7" s="18">
        <v>0</v>
      </c>
      <c r="U7" s="18">
        <v>0</v>
      </c>
    </row>
    <row r="8" spans="1:21" s="18" customFormat="1" x14ac:dyDescent="0.4">
      <c r="A8" s="18">
        <v>8</v>
      </c>
      <c r="B8" s="18">
        <v>1</v>
      </c>
      <c r="C8" s="18" t="s">
        <v>417</v>
      </c>
      <c r="F8" s="18" t="s">
        <v>416</v>
      </c>
      <c r="H8" s="18">
        <v>48.850785899999998</v>
      </c>
      <c r="I8" s="18">
        <v>2.3229912000000001</v>
      </c>
      <c r="J8" s="18" t="str">
        <f t="shared" si="0"/>
        <v>location: {lat: 48.8507859, lng: 2.3229912}</v>
      </c>
      <c r="K8" s="18">
        <v>0</v>
      </c>
      <c r="L8" s="18" t="s">
        <v>371</v>
      </c>
      <c r="M8" s="18">
        <v>0</v>
      </c>
      <c r="N8" s="18" t="s">
        <v>399</v>
      </c>
      <c r="O8" s="18">
        <v>1</v>
      </c>
      <c r="P8" s="18">
        <v>0</v>
      </c>
      <c r="Q8" s="18">
        <v>0</v>
      </c>
      <c r="S8" s="18">
        <v>0</v>
      </c>
      <c r="U8" s="18">
        <v>0</v>
      </c>
    </row>
    <row r="9" spans="1:21" s="18" customFormat="1" x14ac:dyDescent="0.4">
      <c r="A9" s="18">
        <v>9</v>
      </c>
      <c r="B9" s="18">
        <v>1</v>
      </c>
      <c r="C9" s="18" t="s">
        <v>415</v>
      </c>
      <c r="F9" s="18" t="s">
        <v>414</v>
      </c>
      <c r="H9" s="18">
        <v>41.903563699999999</v>
      </c>
      <c r="I9" s="18">
        <v>12.483673899999999</v>
      </c>
      <c r="J9" s="18" t="str">
        <f t="shared" si="0"/>
        <v>location: {lat: 41.9035637, lng: 12.4836739}</v>
      </c>
      <c r="K9" s="18">
        <v>0</v>
      </c>
      <c r="L9" s="18" t="s">
        <v>370</v>
      </c>
      <c r="M9" s="18">
        <v>0</v>
      </c>
      <c r="N9" s="18" t="s">
        <v>399</v>
      </c>
      <c r="O9" s="18">
        <v>1</v>
      </c>
      <c r="P9" s="18">
        <v>0</v>
      </c>
      <c r="Q9" s="18">
        <v>0</v>
      </c>
      <c r="S9" s="18">
        <v>0</v>
      </c>
      <c r="U9" s="18">
        <v>0</v>
      </c>
    </row>
    <row r="10" spans="1:21" s="18" customFormat="1" x14ac:dyDescent="0.4">
      <c r="A10" s="18">
        <v>10</v>
      </c>
      <c r="B10" s="18">
        <v>1</v>
      </c>
      <c r="C10" s="18" t="s">
        <v>413</v>
      </c>
      <c r="F10" s="18" t="s">
        <v>412</v>
      </c>
      <c r="H10" s="18">
        <v>44.8586296</v>
      </c>
      <c r="I10" s="18">
        <v>5.9788043999999996</v>
      </c>
      <c r="J10" s="18" t="str">
        <f t="shared" si="0"/>
        <v>location: {lat: 44.8586296, lng: 5.9788044}</v>
      </c>
      <c r="K10" s="18">
        <v>0</v>
      </c>
      <c r="L10" s="18" t="s">
        <v>372</v>
      </c>
      <c r="M10" s="18">
        <v>0</v>
      </c>
      <c r="N10" s="18" t="s">
        <v>399</v>
      </c>
      <c r="O10" s="18">
        <v>1</v>
      </c>
      <c r="P10" s="18">
        <v>0</v>
      </c>
      <c r="Q10" s="18">
        <v>0</v>
      </c>
      <c r="S10" s="18">
        <v>0</v>
      </c>
      <c r="U10" s="18">
        <v>0</v>
      </c>
    </row>
    <row r="11" spans="1:21" s="18" customFormat="1" x14ac:dyDescent="0.4">
      <c r="A11" s="18">
        <v>11</v>
      </c>
      <c r="B11" s="18">
        <v>1</v>
      </c>
      <c r="C11" s="18" t="s">
        <v>411</v>
      </c>
      <c r="F11" s="18" t="s">
        <v>410</v>
      </c>
      <c r="H11" s="18">
        <v>50.980685700000002</v>
      </c>
      <c r="I11" s="18">
        <v>14.597349899999999</v>
      </c>
      <c r="J11" s="18" t="str">
        <f t="shared" si="0"/>
        <v>location: {lat: 50.9806857, lng: 14.5973499}</v>
      </c>
      <c r="K11" s="18">
        <v>0</v>
      </c>
      <c r="L11" s="18" t="s">
        <v>409</v>
      </c>
      <c r="M11" s="18">
        <v>0</v>
      </c>
      <c r="N11" s="18" t="s">
        <v>399</v>
      </c>
      <c r="O11" s="18">
        <v>1</v>
      </c>
      <c r="P11" s="18">
        <v>0</v>
      </c>
      <c r="Q11" s="18">
        <v>0</v>
      </c>
      <c r="S11" s="18">
        <v>0</v>
      </c>
      <c r="U11" s="18">
        <v>0</v>
      </c>
    </row>
    <row r="12" spans="1:21" s="18" customFormat="1" x14ac:dyDescent="0.4">
      <c r="A12" s="18">
        <v>12</v>
      </c>
      <c r="B12" s="18">
        <v>1</v>
      </c>
      <c r="C12" s="18" t="s">
        <v>408</v>
      </c>
      <c r="F12" s="18" t="s">
        <v>407</v>
      </c>
      <c r="H12" s="18">
        <v>48.439602100000002</v>
      </c>
      <c r="I12" s="18">
        <v>-1.0592325</v>
      </c>
      <c r="J12" s="18" t="str">
        <f t="shared" si="0"/>
        <v>location: {lat: 48.4396021, lng: -1.0592325}</v>
      </c>
      <c r="K12" s="18">
        <v>0</v>
      </c>
      <c r="L12" s="18" t="s">
        <v>406</v>
      </c>
      <c r="M12" s="18">
        <v>0</v>
      </c>
      <c r="N12" s="18" t="s">
        <v>399</v>
      </c>
      <c r="O12" s="18">
        <v>1</v>
      </c>
      <c r="P12" s="18">
        <v>0</v>
      </c>
      <c r="Q12" s="18">
        <v>0</v>
      </c>
      <c r="S12" s="18">
        <v>0</v>
      </c>
      <c r="U12" s="18">
        <v>0</v>
      </c>
    </row>
    <row r="13" spans="1:21" s="18" customFormat="1" x14ac:dyDescent="0.4">
      <c r="A13" s="18">
        <v>13</v>
      </c>
      <c r="B13" s="18">
        <v>1</v>
      </c>
      <c r="C13" s="18" t="s">
        <v>405</v>
      </c>
      <c r="F13" s="18" t="s">
        <v>357</v>
      </c>
      <c r="H13" s="18">
        <v>53.7480853</v>
      </c>
      <c r="I13" s="18">
        <v>20.235602400000001</v>
      </c>
      <c r="J13" s="18" t="str">
        <f t="shared" si="0"/>
        <v>location: {lat: 53.7480853, lng: 20.2356024}</v>
      </c>
      <c r="K13" s="18">
        <v>0</v>
      </c>
      <c r="L13" s="18" t="s">
        <v>353</v>
      </c>
      <c r="M13" s="18">
        <v>0</v>
      </c>
      <c r="N13" s="18" t="s">
        <v>399</v>
      </c>
      <c r="O13" s="18">
        <v>1</v>
      </c>
      <c r="P13" s="18">
        <v>0</v>
      </c>
      <c r="Q13" s="18">
        <v>0</v>
      </c>
      <c r="S13" s="18">
        <v>0</v>
      </c>
      <c r="U13" s="18">
        <v>0</v>
      </c>
    </row>
    <row r="14" spans="1:21" s="18" customFormat="1" x14ac:dyDescent="0.4">
      <c r="A14" s="18">
        <v>14</v>
      </c>
      <c r="B14" s="18">
        <v>1</v>
      </c>
      <c r="C14" s="18" t="s">
        <v>404</v>
      </c>
      <c r="F14" s="18" t="s">
        <v>349</v>
      </c>
      <c r="H14" s="18">
        <v>53.792756199999999</v>
      </c>
      <c r="I14" s="18">
        <v>-8.9189810000000005</v>
      </c>
      <c r="J14" s="18" t="str">
        <f t="shared" si="0"/>
        <v>location: {lat: 53.7927562, lng: -8.918981}</v>
      </c>
      <c r="K14" s="18">
        <v>0</v>
      </c>
      <c r="L14" s="18" t="s">
        <v>403</v>
      </c>
      <c r="M14" s="18">
        <v>0</v>
      </c>
      <c r="N14" s="18" t="s">
        <v>399</v>
      </c>
      <c r="O14" s="18">
        <v>1</v>
      </c>
      <c r="P14" s="18">
        <v>0</v>
      </c>
      <c r="Q14" s="18">
        <v>0</v>
      </c>
      <c r="S14" s="18">
        <v>0</v>
      </c>
      <c r="U14" s="18">
        <v>0</v>
      </c>
    </row>
    <row r="15" spans="1:21" s="18" customFormat="1" x14ac:dyDescent="0.4">
      <c r="A15" s="18">
        <v>15</v>
      </c>
      <c r="B15" s="18">
        <v>1</v>
      </c>
      <c r="C15" s="18" t="s">
        <v>402</v>
      </c>
      <c r="F15" s="18" t="s">
        <v>347</v>
      </c>
      <c r="H15" s="18">
        <v>50.108666599999999</v>
      </c>
      <c r="I15" s="18">
        <v>4.9609611999999998</v>
      </c>
      <c r="J15" s="18" t="str">
        <f t="shared" si="0"/>
        <v>location: {lat: 50.1086666, lng: 4.9609612}</v>
      </c>
      <c r="K15" s="18">
        <v>0</v>
      </c>
      <c r="L15" s="18" t="s">
        <v>346</v>
      </c>
      <c r="M15" s="18">
        <v>0</v>
      </c>
      <c r="N15" s="18" t="s">
        <v>399</v>
      </c>
      <c r="O15" s="18">
        <v>1</v>
      </c>
      <c r="P15" s="18">
        <v>0</v>
      </c>
      <c r="Q15" s="18">
        <v>0</v>
      </c>
      <c r="S15" s="18">
        <v>0</v>
      </c>
      <c r="U15" s="18">
        <v>0</v>
      </c>
    </row>
    <row r="16" spans="1:21" s="18" customFormat="1" x14ac:dyDescent="0.4">
      <c r="A16" s="18">
        <v>16</v>
      </c>
      <c r="B16" s="18">
        <v>1</v>
      </c>
      <c r="C16" s="18" t="s">
        <v>401</v>
      </c>
      <c r="F16" s="18" t="s">
        <v>344</v>
      </c>
      <c r="H16" s="18">
        <v>50.538244800000001</v>
      </c>
      <c r="I16" s="18">
        <v>5.7507225999999996</v>
      </c>
      <c r="J16" s="18" t="str">
        <f t="shared" si="0"/>
        <v>location: {lat: 50.5382448, lng: 5.7507226}</v>
      </c>
      <c r="K16" s="18">
        <v>0</v>
      </c>
      <c r="L16" s="18" t="s">
        <v>343</v>
      </c>
      <c r="M16" s="18">
        <v>0</v>
      </c>
      <c r="N16" s="18" t="s">
        <v>399</v>
      </c>
      <c r="O16" s="18">
        <v>1</v>
      </c>
      <c r="P16" s="18">
        <v>0</v>
      </c>
      <c r="Q16" s="18">
        <v>0</v>
      </c>
      <c r="S16" s="18">
        <v>0</v>
      </c>
      <c r="U16" s="18">
        <v>0</v>
      </c>
    </row>
    <row r="17" spans="1:21" s="18" customFormat="1" x14ac:dyDescent="0.4">
      <c r="A17" s="18">
        <v>17</v>
      </c>
      <c r="B17" s="18">
        <v>1</v>
      </c>
      <c r="C17" s="18" t="s">
        <v>400</v>
      </c>
      <c r="F17" s="18" t="s">
        <v>340</v>
      </c>
      <c r="H17" s="18">
        <v>-2.6496097000000001</v>
      </c>
      <c r="I17" s="18">
        <v>29.553281200000001</v>
      </c>
      <c r="J17" s="18" t="str">
        <f t="shared" si="0"/>
        <v>location: {lat: -2.6496097, lng: 29.5532812}</v>
      </c>
      <c r="K17" s="18">
        <v>0</v>
      </c>
      <c r="L17" s="18" t="s">
        <v>345</v>
      </c>
      <c r="M17" s="18">
        <v>0</v>
      </c>
      <c r="N17" s="18" t="s">
        <v>399</v>
      </c>
      <c r="O17" s="18">
        <v>1</v>
      </c>
      <c r="P17" s="18">
        <v>0</v>
      </c>
      <c r="Q17" s="18">
        <v>0</v>
      </c>
      <c r="S17" s="18">
        <v>0</v>
      </c>
      <c r="T17" s="18" t="s">
        <v>378</v>
      </c>
      <c r="U17" s="18">
        <v>0</v>
      </c>
    </row>
    <row r="18" spans="1:21" s="17" customFormat="1" x14ac:dyDescent="0.4">
      <c r="A18" s="17">
        <v>18</v>
      </c>
      <c r="B18" s="17">
        <v>2</v>
      </c>
      <c r="C18" s="17" t="s">
        <v>398</v>
      </c>
      <c r="D18" s="17" t="s">
        <v>397</v>
      </c>
      <c r="F18" s="17" t="s">
        <v>396</v>
      </c>
      <c r="H18" s="17">
        <v>35.728490299999997</v>
      </c>
      <c r="I18" s="17">
        <v>-97.975802000000002</v>
      </c>
      <c r="J18" s="17" t="str">
        <f t="shared" si="0"/>
        <v>location: {lat: 35.7284903, lng: -97.975802}</v>
      </c>
      <c r="K18" s="17">
        <v>0</v>
      </c>
      <c r="L18" s="17" t="s">
        <v>395</v>
      </c>
      <c r="M18" s="17">
        <v>0</v>
      </c>
      <c r="N18" s="17" t="s">
        <v>379</v>
      </c>
      <c r="O18" s="17">
        <v>1</v>
      </c>
      <c r="P18" s="17">
        <v>0</v>
      </c>
      <c r="Q18" s="17">
        <v>0</v>
      </c>
      <c r="S18" s="17">
        <v>0</v>
      </c>
      <c r="T18" s="17" t="s">
        <v>378</v>
      </c>
      <c r="U18" s="17">
        <v>0</v>
      </c>
    </row>
    <row r="19" spans="1:21" s="17" customFormat="1" x14ac:dyDescent="0.4">
      <c r="A19" s="17">
        <v>19</v>
      </c>
      <c r="B19" s="17">
        <v>2</v>
      </c>
      <c r="C19" s="17" t="s">
        <v>394</v>
      </c>
      <c r="D19" s="17" t="s">
        <v>393</v>
      </c>
      <c r="F19" s="17" t="s">
        <v>392</v>
      </c>
      <c r="H19" s="17">
        <v>29.4538449</v>
      </c>
      <c r="I19" s="17">
        <v>-98.544839600000003</v>
      </c>
      <c r="J19" s="17" t="str">
        <f t="shared" si="0"/>
        <v>location: {lat: 29.4538449, lng: -98.5448396}</v>
      </c>
      <c r="K19" s="17">
        <v>0</v>
      </c>
      <c r="L19" s="17" t="s">
        <v>391</v>
      </c>
      <c r="M19" s="17">
        <v>0</v>
      </c>
      <c r="N19" s="17">
        <v>2</v>
      </c>
      <c r="O19" s="17">
        <v>1</v>
      </c>
      <c r="P19" s="17">
        <v>0</v>
      </c>
      <c r="Q19" s="17">
        <v>0</v>
      </c>
      <c r="S19" s="17">
        <v>0</v>
      </c>
      <c r="T19" s="17" t="s">
        <v>378</v>
      </c>
      <c r="U19" s="17">
        <v>0</v>
      </c>
    </row>
    <row r="20" spans="1:21" s="17" customFormat="1" x14ac:dyDescent="0.4">
      <c r="A20" s="17">
        <v>20</v>
      </c>
      <c r="B20" s="17">
        <v>2</v>
      </c>
      <c r="C20" s="17" t="s">
        <v>390</v>
      </c>
      <c r="D20" s="17" t="s">
        <v>389</v>
      </c>
      <c r="F20" s="17" t="s">
        <v>388</v>
      </c>
      <c r="H20" s="17">
        <v>39.679956300000001</v>
      </c>
      <c r="I20" s="17">
        <v>-77.354900599999993</v>
      </c>
      <c r="J20" s="17" t="str">
        <f t="shared" si="0"/>
        <v>location: {lat: 39.6799563, lng: -77.3549006}</v>
      </c>
      <c r="K20" s="17">
        <v>0</v>
      </c>
      <c r="L20" s="17" t="s">
        <v>387</v>
      </c>
      <c r="M20" s="17">
        <v>0</v>
      </c>
      <c r="N20" s="17">
        <v>2</v>
      </c>
      <c r="O20" s="17">
        <v>1</v>
      </c>
      <c r="P20" s="17">
        <v>0</v>
      </c>
      <c r="Q20" s="17">
        <v>0</v>
      </c>
      <c r="S20" s="17">
        <v>0</v>
      </c>
      <c r="T20" s="17" t="s">
        <v>378</v>
      </c>
      <c r="U20" s="17">
        <v>0</v>
      </c>
    </row>
    <row r="21" spans="1:21" s="17" customFormat="1" x14ac:dyDescent="0.4">
      <c r="A21" s="17">
        <v>21</v>
      </c>
      <c r="B21" s="17">
        <v>2</v>
      </c>
      <c r="C21" s="17" t="s">
        <v>386</v>
      </c>
      <c r="D21" s="17" t="s">
        <v>385</v>
      </c>
      <c r="H21" s="17">
        <v>14.6382897</v>
      </c>
      <c r="I21" s="17">
        <v>-91.229068299999994</v>
      </c>
      <c r="J21" s="17" t="str">
        <f t="shared" si="0"/>
        <v>location: {lat: 14.6382897, lng: -91.2290683}</v>
      </c>
      <c r="K21" s="17">
        <v>0</v>
      </c>
      <c r="L21" s="17" t="s">
        <v>384</v>
      </c>
      <c r="M21" s="17">
        <v>0</v>
      </c>
      <c r="N21" s="17" t="s">
        <v>379</v>
      </c>
      <c r="O21" s="17">
        <v>1</v>
      </c>
      <c r="P21" s="17">
        <v>0</v>
      </c>
      <c r="Q21" s="17">
        <v>0</v>
      </c>
      <c r="S21" s="17">
        <v>0</v>
      </c>
      <c r="T21" s="17" t="s">
        <v>378</v>
      </c>
      <c r="U21" s="17">
        <v>0</v>
      </c>
    </row>
    <row r="22" spans="1:21" s="17" customFormat="1" x14ac:dyDescent="0.4">
      <c r="A22" s="17">
        <v>22</v>
      </c>
      <c r="B22" s="17">
        <v>2</v>
      </c>
      <c r="C22" s="17" t="s">
        <v>383</v>
      </c>
      <c r="D22" s="17" t="s">
        <v>382</v>
      </c>
      <c r="F22" s="17" t="s">
        <v>381</v>
      </c>
      <c r="H22" s="17">
        <v>35.375707900000002</v>
      </c>
      <c r="I22" s="17">
        <v>-97.497563099999994</v>
      </c>
      <c r="J22" s="17" t="str">
        <f t="shared" si="0"/>
        <v>location: {lat: 35.3757079, lng: -97.4975631}</v>
      </c>
      <c r="K22" s="17">
        <v>0</v>
      </c>
      <c r="L22" s="17" t="s">
        <v>380</v>
      </c>
      <c r="M22" s="17">
        <v>0</v>
      </c>
      <c r="N22" s="17" t="s">
        <v>379</v>
      </c>
      <c r="O22" s="17">
        <v>1</v>
      </c>
      <c r="P22" s="17">
        <v>0</v>
      </c>
      <c r="Q22" s="17">
        <v>0</v>
      </c>
      <c r="S22" s="17">
        <v>0</v>
      </c>
      <c r="T22" s="17" t="s">
        <v>378</v>
      </c>
      <c r="U22" s="17">
        <v>0</v>
      </c>
    </row>
    <row r="23" spans="1:21" s="17" customFormat="1" x14ac:dyDescent="0.4">
      <c r="C23" s="17" t="s">
        <v>376</v>
      </c>
      <c r="F23" s="17" t="s">
        <v>377</v>
      </c>
      <c r="H23" s="17">
        <v>52.323174663905</v>
      </c>
      <c r="I23" s="17">
        <v>18.358046317017202</v>
      </c>
      <c r="J23" s="17" t="str">
        <f t="shared" si="0"/>
        <v>location: {lat: 52.323174663905, lng: 18.3580463170172}</v>
      </c>
      <c r="L23" s="17" t="s">
        <v>376</v>
      </c>
    </row>
  </sheetData>
  <hyperlinks>
    <hyperlink ref="F6" r:id="rId1" xr:uid="{2B7ACF1B-06D1-4EE4-B0B4-012E349221DB}"/>
    <hyperlink ref="F4" r:id="rId2" xr:uid="{1FC3C313-9847-4AFA-B1EE-9859E1D61C1E}"/>
    <hyperlink ref="F3" r:id="rId3" xr:uid="{4359F612-90AE-45AA-B1A3-0E0C036958CF}"/>
    <hyperlink ref="F2" r:id="rId4" xr:uid="{2BB0D3B8-461C-4646-B5A8-8BCB8C8FCA4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2FE33-8E3C-4CCA-BACD-45C80E7F4A0D}">
  <sheetPr codeName="Sheet8"/>
  <dimension ref="A1:CL135"/>
  <sheetViews>
    <sheetView tabSelected="1" zoomScale="80" zoomScaleNormal="80" workbookViewId="0">
      <pane xSplit="6" ySplit="1" topLeftCell="CU131" activePane="bottomRight" state="frozen"/>
      <selection pane="topRight" activeCell="G1" sqref="G1"/>
      <selection pane="bottomLeft" activeCell="A2" sqref="A2"/>
      <selection pane="bottomRight" activeCell="A136" sqref="A136"/>
    </sheetView>
  </sheetViews>
  <sheetFormatPr defaultColWidth="9.15234375" defaultRowHeight="12.45" x14ac:dyDescent="0.4"/>
  <cols>
    <col min="1" max="1" width="12.84375" style="14" bestFit="1" customWidth="1"/>
    <col min="2" max="2" width="9.84375" style="24" bestFit="1" customWidth="1"/>
    <col min="3" max="3" width="14.3828125" style="15" customWidth="1"/>
    <col min="4" max="4" width="3.84375" style="15" bestFit="1" customWidth="1"/>
    <col min="5" max="5" width="5.3046875" style="49" customWidth="1"/>
    <col min="6" max="6" width="38.15234375" style="24" bestFit="1" customWidth="1"/>
    <col min="7" max="7" width="38.15234375" style="53" customWidth="1"/>
    <col min="8" max="8" width="9.3828125" style="15" bestFit="1" customWidth="1"/>
    <col min="9" max="9" width="9.3828125" style="15" customWidth="1"/>
    <col min="10" max="11" width="14.3828125" style="15" customWidth="1"/>
    <col min="12" max="12" width="69" style="24" customWidth="1"/>
    <col min="13" max="13" width="45.53515625" style="53" customWidth="1"/>
    <col min="14" max="15" width="9.15234375" style="15"/>
    <col min="16" max="16" width="9.15234375" style="60"/>
    <col min="17" max="17" width="9.15234375" style="15"/>
    <col min="18" max="18" width="9.15234375" style="64"/>
    <col min="19" max="19" width="9.15234375" style="60"/>
    <col min="20" max="20" width="9.15234375" style="15"/>
    <col min="21" max="21" width="9.15234375" style="64"/>
    <col min="22" max="23" width="9.15234375" style="15"/>
    <col min="24" max="24" width="9.15234375" style="49"/>
    <col min="25" max="34" width="18.84375" style="15" customWidth="1"/>
    <col min="35" max="35" width="36.3046875" style="91" bestFit="1" customWidth="1"/>
    <col min="36" max="36" width="21" style="88" bestFit="1" customWidth="1"/>
    <col min="37" max="37" width="18.3828125" style="15" bestFit="1" customWidth="1"/>
    <col min="38" max="38" width="18.3828125" style="15" customWidth="1"/>
    <col min="39" max="39" width="14.3828125" style="15" bestFit="1" customWidth="1"/>
    <col min="40" max="41" width="14.3828125" style="15" customWidth="1"/>
    <col min="42" max="42" width="14.3828125" style="49" customWidth="1"/>
    <col min="43" max="43" width="9.15234375" style="15"/>
    <col min="44" max="44" width="9" style="28" bestFit="1" customWidth="1"/>
    <col min="45" max="45" width="10.3046875" style="29" bestFit="1" customWidth="1"/>
    <col min="46" max="46" width="8.84375" style="29" bestFit="1" customWidth="1"/>
    <col min="47" max="47" width="8.84375" style="29" customWidth="1"/>
    <col min="48" max="63" width="9.15234375" style="29"/>
    <col min="64" max="71" width="7.15234375" style="29" customWidth="1"/>
    <col min="72" max="75" width="9.15234375" style="29"/>
    <col min="76" max="76" width="38.69140625" style="23" customWidth="1"/>
    <col min="77" max="77" width="38.69140625" style="31" customWidth="1"/>
    <col min="78" max="83" width="12" style="29" customWidth="1"/>
    <col min="84" max="84" width="11.84375" style="29" bestFit="1" customWidth="1"/>
    <col min="85" max="89" width="11.84375" style="29" customWidth="1"/>
    <col min="90" max="16384" width="9.15234375" style="15"/>
  </cols>
  <sheetData>
    <row r="1" spans="1:90" s="67" customFormat="1" ht="12.9" thickBot="1" x14ac:dyDescent="0.45">
      <c r="A1" s="67" t="s">
        <v>1321</v>
      </c>
      <c r="B1" s="68" t="s">
        <v>485</v>
      </c>
      <c r="C1" s="67" t="s">
        <v>1722</v>
      </c>
      <c r="D1" s="67" t="s">
        <v>341</v>
      </c>
      <c r="E1" s="74" t="s">
        <v>342</v>
      </c>
      <c r="F1" s="68" t="s">
        <v>727</v>
      </c>
      <c r="G1" s="70" t="s">
        <v>728</v>
      </c>
      <c r="H1" s="67" t="s">
        <v>1714</v>
      </c>
      <c r="I1" s="67" t="s">
        <v>1796</v>
      </c>
      <c r="J1" s="67" t="s">
        <v>1767</v>
      </c>
      <c r="K1" s="67" t="s">
        <v>1755</v>
      </c>
      <c r="L1" s="68" t="s">
        <v>165</v>
      </c>
      <c r="M1" s="70" t="s">
        <v>369</v>
      </c>
      <c r="N1" s="67" t="s">
        <v>1778</v>
      </c>
      <c r="O1" s="67" t="s">
        <v>1775</v>
      </c>
      <c r="P1" s="71" t="s">
        <v>1776</v>
      </c>
      <c r="Q1" s="67" t="s">
        <v>1777</v>
      </c>
      <c r="R1" s="72" t="s">
        <v>1779</v>
      </c>
      <c r="S1" s="71" t="s">
        <v>1780</v>
      </c>
      <c r="T1" s="67" t="s">
        <v>1781</v>
      </c>
      <c r="U1" s="72" t="s">
        <v>1782</v>
      </c>
      <c r="V1" s="67" t="s">
        <v>1783</v>
      </c>
      <c r="W1" s="67" t="s">
        <v>1784</v>
      </c>
      <c r="X1" s="74" t="s">
        <v>1785</v>
      </c>
      <c r="Y1" s="67" t="s">
        <v>1418</v>
      </c>
      <c r="Z1" s="67" t="s">
        <v>1420</v>
      </c>
      <c r="AA1" s="67" t="s">
        <v>1422</v>
      </c>
      <c r="AB1" s="67" t="s">
        <v>1768</v>
      </c>
      <c r="AC1" s="67" t="s">
        <v>1769</v>
      </c>
      <c r="AD1" s="67" t="s">
        <v>1770</v>
      </c>
      <c r="AE1" s="67" t="s">
        <v>1771</v>
      </c>
      <c r="AF1" s="67" t="s">
        <v>1772</v>
      </c>
      <c r="AG1" s="67" t="s">
        <v>1773</v>
      </c>
      <c r="AH1" s="67" t="s">
        <v>1774</v>
      </c>
      <c r="AI1" s="86" t="s">
        <v>1767</v>
      </c>
      <c r="AJ1" s="69" t="s">
        <v>163</v>
      </c>
      <c r="AK1" s="67" t="s">
        <v>333</v>
      </c>
      <c r="AL1" s="67" t="s">
        <v>1325</v>
      </c>
      <c r="AM1" s="67" t="s">
        <v>335</v>
      </c>
      <c r="AN1" s="67" t="s">
        <v>1326</v>
      </c>
      <c r="AO1" s="67" t="s">
        <v>350</v>
      </c>
      <c r="AP1" s="74" t="s">
        <v>1327</v>
      </c>
      <c r="AR1" s="75" t="s">
        <v>1454</v>
      </c>
      <c r="AS1" s="76" t="s">
        <v>999</v>
      </c>
      <c r="AT1" s="76" t="s">
        <v>164</v>
      </c>
      <c r="AU1" s="80" t="s">
        <v>1714</v>
      </c>
      <c r="AV1" s="76" t="s">
        <v>1800</v>
      </c>
      <c r="AW1" s="76" t="s">
        <v>1801</v>
      </c>
      <c r="AX1" s="76" t="s">
        <v>1799</v>
      </c>
      <c r="AY1" s="76" t="s">
        <v>1797</v>
      </c>
      <c r="AZ1" s="76" t="s">
        <v>1798</v>
      </c>
      <c r="BA1" s="76" t="s">
        <v>1786</v>
      </c>
      <c r="BB1" s="76" t="s">
        <v>1787</v>
      </c>
      <c r="BC1" s="76" t="s">
        <v>1788</v>
      </c>
      <c r="BD1" s="76" t="s">
        <v>1789</v>
      </c>
      <c r="BE1" s="76" t="s">
        <v>1790</v>
      </c>
      <c r="BF1" s="76" t="s">
        <v>1791</v>
      </c>
      <c r="BG1" s="76" t="s">
        <v>1792</v>
      </c>
      <c r="BH1" s="76" t="s">
        <v>1793</v>
      </c>
      <c r="BI1" s="76" t="s">
        <v>1794</v>
      </c>
      <c r="BJ1" s="76" t="s">
        <v>1795</v>
      </c>
      <c r="BK1" s="76" t="s">
        <v>339</v>
      </c>
      <c r="BL1" s="76" t="s">
        <v>1001</v>
      </c>
      <c r="BM1" s="76" t="s">
        <v>1805</v>
      </c>
      <c r="BN1" s="76" t="s">
        <v>1806</v>
      </c>
      <c r="BO1" s="76" t="s">
        <v>1807</v>
      </c>
      <c r="BP1" s="76" t="s">
        <v>1812</v>
      </c>
      <c r="BQ1" s="76" t="s">
        <v>1804</v>
      </c>
      <c r="BR1" s="76" t="s">
        <v>158</v>
      </c>
      <c r="BS1" s="76" t="s">
        <v>621</v>
      </c>
      <c r="BT1" s="76" t="s">
        <v>1808</v>
      </c>
      <c r="BU1" s="76" t="s">
        <v>1803</v>
      </c>
      <c r="BV1" s="76" t="s">
        <v>2283</v>
      </c>
      <c r="BW1" s="76" t="s">
        <v>1802</v>
      </c>
      <c r="BX1" s="78" t="s">
        <v>1809</v>
      </c>
      <c r="BY1" s="77" t="s">
        <v>989</v>
      </c>
      <c r="BZ1" s="76" t="s">
        <v>1419</v>
      </c>
      <c r="CA1" s="76" t="s">
        <v>1421</v>
      </c>
      <c r="CB1" s="76" t="s">
        <v>1423</v>
      </c>
      <c r="CC1" s="76" t="s">
        <v>1448</v>
      </c>
      <c r="CD1" s="76" t="s">
        <v>1449</v>
      </c>
      <c r="CE1" s="76" t="s">
        <v>1450</v>
      </c>
      <c r="CF1" s="76" t="s">
        <v>1447</v>
      </c>
      <c r="CG1" s="76" t="s">
        <v>1452</v>
      </c>
      <c r="CH1" s="76" t="s">
        <v>1453</v>
      </c>
      <c r="CI1" s="76" t="s">
        <v>1455</v>
      </c>
      <c r="CJ1" s="76" t="s">
        <v>1456</v>
      </c>
      <c r="CK1" s="76" t="s">
        <v>1451</v>
      </c>
    </row>
    <row r="2" spans="1:90" ht="87" x14ac:dyDescent="0.4">
      <c r="A2" s="14" t="s">
        <v>1320</v>
      </c>
      <c r="B2" s="24" t="s">
        <v>552</v>
      </c>
      <c r="C2" s="127" t="s">
        <v>1036</v>
      </c>
      <c r="D2" s="15">
        <v>41.656656769330702</v>
      </c>
      <c r="E2" s="49">
        <v>-0.87824062054636098</v>
      </c>
      <c r="F2" s="24" t="s">
        <v>1031</v>
      </c>
      <c r="G2" s="53" t="s">
        <v>1032</v>
      </c>
      <c r="H2" s="25" t="s">
        <v>1715</v>
      </c>
      <c r="I2" s="25" t="b">
        <v>1</v>
      </c>
      <c r="J2" s="15" t="b">
        <v>1</v>
      </c>
      <c r="K2" s="15" t="b">
        <v>1</v>
      </c>
      <c r="L2" s="47" t="s">
        <v>1810</v>
      </c>
      <c r="M2" s="55" t="s">
        <v>1730</v>
      </c>
      <c r="N2" s="16" t="s">
        <v>1033</v>
      </c>
      <c r="O2" s="16" t="s">
        <v>336</v>
      </c>
      <c r="P2" s="82"/>
      <c r="Q2" s="81"/>
      <c r="R2" s="83"/>
      <c r="S2" s="59"/>
      <c r="T2" s="16"/>
      <c r="U2" s="63"/>
      <c r="V2" s="16"/>
      <c r="W2" s="16"/>
      <c r="X2" s="50"/>
      <c r="Y2" s="16" t="s">
        <v>1035</v>
      </c>
      <c r="Z2" s="130" t="s">
        <v>2474</v>
      </c>
      <c r="AA2" s="26"/>
      <c r="AB2" s="26"/>
      <c r="AC2" s="26"/>
      <c r="AD2" s="26"/>
      <c r="AE2" s="26"/>
      <c r="AF2" s="26"/>
      <c r="AG2" s="26"/>
      <c r="AH2" s="26"/>
      <c r="AI2" s="87" t="s">
        <v>1036</v>
      </c>
      <c r="AJ2" s="88">
        <v>40</v>
      </c>
      <c r="AK2" s="15" t="s">
        <v>179</v>
      </c>
      <c r="AL2" s="15" t="s">
        <v>336</v>
      </c>
      <c r="AM2" s="15" t="s">
        <v>91</v>
      </c>
      <c r="AN2" s="15" t="s">
        <v>336</v>
      </c>
      <c r="AO2" s="15" t="s">
        <v>1034</v>
      </c>
      <c r="AP2" s="49" t="s">
        <v>336</v>
      </c>
      <c r="AQ2" s="48"/>
      <c r="AR2" s="28" t="b">
        <f t="shared" ref="AR2:AR33" si="0">IF(OR(A2="Done",A2="In Progress"),TRUE)</f>
        <v>1</v>
      </c>
      <c r="AS2" s="29" t="str">
        <f t="shared" ref="AS2:AS33" si="1">"title: """&amp;F2&amp;""""</f>
        <v>title: "Cathedral-Basilica of Our Lady of the Pillar"</v>
      </c>
      <c r="AT2" s="29" t="str">
        <f t="shared" ref="AT2:AT33" si="2">"location: {lat: "&amp;D2&amp;", lng: "&amp;E2&amp;"}"</f>
        <v>location: {lat: 41.6566567693307, lng: -0.878240620546361}</v>
      </c>
      <c r="AU2" s="29" t="str">
        <f t="shared" ref="AU2:AU33" si="3">"level: "&amp;H2</f>
        <v>level: global</v>
      </c>
      <c r="AV2" s="29" t="str">
        <f>"- "&amp;VLOOKUP(B2,'(Ref) Countries'!A:C,3,)</f>
        <v>- spain</v>
      </c>
      <c r="AW2" s="29" t="str">
        <f t="shared" ref="AW2:AW33" si="4">IF(LEN(C2)&gt;1,"- "&amp;LOWER(SUBSTITUTE(C2," ","-")),"")</f>
        <v>- zaragoza</v>
      </c>
      <c r="AX2" s="29" t="str">
        <f t="shared" ref="AX2:AX33" si="5">IF(I2,"- churches","")</f>
        <v>- churches</v>
      </c>
      <c r="AY2" s="29" t="str">
        <f t="shared" ref="AY2:AY33" si="6">IF(J2,"- marian-sites","")</f>
        <v>- marian-sites</v>
      </c>
      <c r="AZ2" s="29" t="str">
        <f t="shared" ref="AZ2:AZ33" si="7">IF(K2,"- holy-persons","")</f>
        <v>- holy-persons</v>
      </c>
      <c r="BA2" s="29" t="str">
        <f t="shared" ref="BA2:BA36" si="8">IF(LEN(Y2)&gt;0,"- "&amp;Y2,"")</f>
        <v>- james-greater</v>
      </c>
      <c r="BB2" s="29" t="str">
        <f t="shared" ref="BB2:BB36" si="9">IF(LEN(Z2)&gt;0,"- "&amp;Z2,"")</f>
        <v>- apostles</v>
      </c>
      <c r="BC2" s="29" t="str">
        <f t="shared" ref="BC2:BC36" si="10">IF(LEN(AA2)&gt;0,"- "&amp;AA2,"")</f>
        <v/>
      </c>
      <c r="BD2" s="29" t="str">
        <f t="shared" ref="BD2:BD36" si="11">IF(LEN(AB2)&gt;0,"- "&amp;AB2,"")</f>
        <v/>
      </c>
      <c r="BE2" s="29" t="str">
        <f t="shared" ref="BE2:BE36" si="12">IF(LEN(AC2)&gt;0,"- "&amp;AC2,"")</f>
        <v/>
      </c>
      <c r="BF2" s="29" t="str">
        <f t="shared" ref="BF2:BF36" si="13">IF(LEN(AD2)&gt;0,"- "&amp;AD2,"")</f>
        <v/>
      </c>
      <c r="BG2" s="29" t="str">
        <f t="shared" ref="BG2:BG36" si="14">IF(LEN(AE2)&gt;0,"- "&amp;AE2,"")</f>
        <v/>
      </c>
      <c r="BH2" s="29" t="str">
        <f t="shared" ref="BH2:BH36" si="15">IF(LEN(AF2)&gt;0,"- "&amp;AF2,"")</f>
        <v/>
      </c>
      <c r="BI2" s="29" t="str">
        <f t="shared" ref="BI2:BI36" si="16">IF(LEN(AG2)&gt;0,"- "&amp;AG2,"")</f>
        <v/>
      </c>
      <c r="BJ2" s="29" t="str">
        <f t="shared" ref="BJ2:BJ36" si="17">IF(LEN(AH2)&gt;0,"- "&amp;AH2,"")</f>
        <v/>
      </c>
      <c r="BK2" s="29" t="str">
        <f>"tags:"&amp;CHAR(10)&amp;concatl(AV2:BJ2)</f>
        <v xml:space="preserve">tags:
- spain_x000D_
- zaragoza_x000D_
- churches_x000D_
- marian-sites_x000D_
- holy-persons_x000D_
- james-greater_x000D_
- apostles_x000D_
</v>
      </c>
      <c r="BL2" s="30" t="str">
        <f t="shared" ref="BL2:BL33" si="18">IF(LEN(N2)&gt;0,TRIM(CONCATENATE("[Official site](",N2,") ",O2)),"")</f>
        <v>[Official site](https://catedraldezaragoza.es/basilica/)</v>
      </c>
      <c r="BM2" s="30" t="str">
        <f t="shared" ref="BM2:BM33" si="19">IF(LEN(Q2)&gt;0,TRIM(CONCATENATE("["&amp;P2&amp;"](",Q2,") ",R2)),"")</f>
        <v/>
      </c>
      <c r="BN2" s="30" t="str">
        <f t="shared" ref="BN2:BN33" si="20">IF(LEN(T2)&gt;0,TRIM(CONCATENATE("["&amp;S2&amp;"](",T2,") ",U2)),"")</f>
        <v/>
      </c>
      <c r="BO2" s="30" t="str">
        <f t="shared" ref="BO2:BO33" si="21">IF(LEN(W2)&gt;0,TRIM(CONCATENATE("["&amp;V2&amp;"](",W2,") ",X2)),"")</f>
        <v/>
      </c>
      <c r="BP2" s="30" t="str">
        <f>IF(LEN(BL2)&gt;0,"* "&amp;BL2&amp;CHAR(10),"")&amp;
IF(LEN(BM2)&gt;0,"* "&amp;BM2&amp;CHAR(10),"")&amp;
IF(LEN(BN2)&gt;0,"* "&amp;BN2&amp;CHAR(10),"")&amp;
IF(LEN(BO2)&gt;0,"* "&amp;BO2&amp;CHAR(10),"")</f>
        <v xml:space="preserve">* [Official site](https://catedraldezaragoza.es/basilica/)
</v>
      </c>
      <c r="BQ2" s="30" t="str">
        <f t="shared" ref="BQ2:BQ33" si="22">IF(LEN(AK2)&gt;0,TRIM(CONCATENATE("[Link](",AK2,") ",AL2)),"")</f>
        <v>[Link](http://www.therealpresence.org/eucharst/misc/BVM/09_ZARAGOZA_60x96.pdf)</v>
      </c>
      <c r="BR2" s="30" t="str">
        <f t="shared" ref="BR2:BR33" si="23">IF(LEN(AM2)&gt;0,TRIM(CONCATENATE("[Link](",AM2,") ",AN2)),"")</f>
        <v>[Link](https://www.miraclehunter.com/marian_apparitions/approved_apparitions/zaragoza/index.html)</v>
      </c>
      <c r="BS2" s="30" t="str">
        <f t="shared" ref="BS2:BS33" si="24">IF(LEN(AO2)&gt;0,TRIM(CONCATENATE("[Link](",AO2,") ",AP2)),"")</f>
        <v>[Link](https://www.marypages.com/our-lady-of-the-pillar.html)</v>
      </c>
      <c r="BT2" s="30" t="str">
        <f>IF(LEN(_xludf.concat(BQ2:BS2))&gt;0,_xludf.concat("| ",BQ2," | ",BR2," | ",BS2," |"),"")</f>
        <v>| [Link](http://www.therealpresence.org/eucharst/misc/BVM/09_ZARAGOZA_60x96.pdf) | [Link](https://www.miraclehunter.com/marian_apparitions/approved_apparitions/zaragoza/index.html) | [Link](https://www.marypages.com/our-lady-of-the-pillar.html) |</v>
      </c>
      <c r="BU2" s="29" t="str">
        <f t="shared" ref="BU2:BU33" si="25">IF(J2,concatl("| The Real Presence | Miracle Hunter | MaryPages |","| --- | --- | --- |",BT2),"")</f>
        <v xml:space="preserve">| The Real Presence | Miracle Hunter | MaryPages |_x000D_
| --- | --- | --- |_x000D_
| [Link](http://www.therealpresence.org/eucharst/misc/BVM/09_ZARAGOZA_60x96.pdf) | [Link](https://www.miraclehunter.com/marian_apparitions/approved_apparitions/zaragoza/index.html) | [Link](https://www.marypages.com/our-lady-of-the-pillar.html) |_x000D_
</v>
      </c>
      <c r="BV2" s="29" t="str">
        <f>IF(LEN(BP2&amp;BU2)&gt;0,concatll("#### More Information",BP2,BU2),"")</f>
        <v xml:space="preserve">####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v>
      </c>
      <c r="BW2" s="29" t="str">
        <f>IF(LEN(M2)&gt;1,concatll("#### Author's Note",M2),"")</f>
        <v xml:space="preserve">####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
-JMM_x000D_
_x000D_
</v>
      </c>
      <c r="BX2" s="23" t="str">
        <f>IF(AR2,concatll(concatl("---",AS2:AU2,BK2,"---"),L2,BV2:BW2),"")</f>
        <v xml:space="preserve">---_x000D_
title: "Cathedral-Basilica of Our Lady of the Pillar"_x000D_
location: {lat: 41.6566567693307, lng: -0.878240620546361}_x000D_
level: global_x000D_
tags:
- spain_x000D_
- zaragoza_x000D_
- churches_x000D_
- marian-sites_x000D_
- holy-persons_x000D_
- james-greater_x000D_
- apostles_x000D_
_x000D_
---_x000D_
_x000D_
_x000D_
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Ephesus._x000D_
_x000D_
####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_x000D_
_x000D_
####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
-JMM_x000D_
_x000D_
_x000D_
_x000D_
</v>
      </c>
      <c r="BY2" s="23" t="str">
        <f>IF(AR2,VLOOKUP(B2,'(Ref) Countries'!A:B,2,)&amp;IF(LEN(C2)&gt;1,"-"&amp;LOWER(SUBSTITUTE(C2," ","-")),"")&amp;"-"&amp;LOWER(SUBSTITUTE(G2," ","-"))&amp;".md","")</f>
        <v>es-zaragoza-cathedral-basilica-of-our-lady-of-the-pillar.md</v>
      </c>
      <c r="BZ2" s="30" t="str">
        <f>IF(LEN(Y2)&gt;1,VLOOKUP(Y2,'Tag List'!$A:$B,2,),"")</f>
        <v>St. James the Greater</v>
      </c>
      <c r="CA2" s="30" t="str">
        <f>IF(LEN(Z2)&gt;1,VLOOKUP(Z2,'Tag List'!$A:$B,2,),"")</f>
        <v>Sites Related to the Twelve Apostles</v>
      </c>
      <c r="CB2" s="30" t="str">
        <f>IF(LEN(AA2)&gt;1,VLOOKUP(AA2,'Tag List'!$A:$B,2,),"")</f>
        <v/>
      </c>
      <c r="CC2" s="30" t="str">
        <f>IF(LEN(Y2)&gt;1,GetTagPage(BZ2,Y2),"")</f>
        <v>[St. James the Greater](/tags/james-greater)</v>
      </c>
      <c r="CD2" s="30" t="str">
        <f>IF(LEN(Z2)&gt;1,GetTagPage(CA2,Z2),"")</f>
        <v>[Sites Related to the Twelve Apostles](/tags/apostles)</v>
      </c>
      <c r="CE2" s="30" t="str">
        <f>IF(LEN(AA2)&gt;1,GetTagPage(CB2,AA2),"")</f>
        <v/>
      </c>
      <c r="CF2" s="30" t="str">
        <f t="shared" ref="CF2:CF13" si="26">"|"&amp;IF(LEN(CC2)&gt;1," "&amp;CC2,"")&amp;IF(LEN(CD2)&gt;1,", "&amp;CD2,"")&amp;IF(LEN(CE2)&gt;1,", "&amp;CE2,"")&amp;" "</f>
        <v xml:space="preserve">| [St. James the Greater](/tags/james-greater), [Sites Related to the Twelve Apostles](/tags/apostles) </v>
      </c>
      <c r="CG2" s="30" t="str">
        <f t="shared" ref="CG2:CG33" si="27">"| "&amp;IF(AR2,"["&amp;AI2&amp;"](/places/"&amp;SUBSTITUTE(BY2,".md","")&amp;")",AI2)&amp;" "</f>
        <v xml:space="preserve">| [Zaragoza](/places/es-zaragoza-cathedral-basilica-of-our-lady-of-the-pillar) </v>
      </c>
      <c r="CH2" s="30" t="str">
        <f>"| "&amp;IF(AR2,GetTagPage(B2,VLOOKUP(B2,'(Ref) Countries'!A:C,3,)),B2)&amp; " "</f>
        <v xml:space="preserve">| [Spain](/tags/spain) </v>
      </c>
      <c r="CI2" s="30" t="str">
        <f t="shared" ref="CI2:CI33" si="28">"| "&amp;AJ2&amp;" "</f>
        <v xml:space="preserve">| 40 </v>
      </c>
      <c r="CJ2" s="30" t="str">
        <f t="shared" ref="CJ2:CJ13" si="29">"|"&amp;IF(AR2," [Link](/places/"&amp;SUBSTITUTE(BY2,".md","")&amp;")","")&amp;" "</f>
        <v xml:space="preserve">| [Link](/places/es-zaragoza-cathedral-basilica-of-our-lady-of-the-pillar) </v>
      </c>
      <c r="CK2" s="29" t="str">
        <f t="shared" ref="CK2:CK13" si="30">"
"&amp;CG2&amp;CH2&amp;CI2&amp;CJ2&amp;BL2&amp;BQ2&amp;BR2&amp;BS2&amp;CF2&amp;"|"</f>
        <v xml:space="preserve">
| [Zaragoza](/places/es-zaragoza-cathedral-basilica-of-our-lady-of-the-pillar) | [Spain](/tags/spain) | 40 | [Link](/places/es-zaragoza-cathedral-basilica-of-our-lady-of-the-pillar) [Official site](https://catedraldezaragoza.es/basilica/)[Link](http://www.therealpresence.org/eucharst/misc/BVM/09_ZARAGOZA_60x96.pdf)[Link](https://www.miraclehunter.com/marian_apparitions/approved_apparitions/zaragoza/index.html)[Link](https://www.marypages.com/our-lady-of-the-pillar.html)| [St. James the Greater](/tags/james-greater), [Sites Related to the Twelve Apostles](/tags/apostles) |</v>
      </c>
      <c r="CL2" s="48"/>
    </row>
    <row r="3" spans="1:90" ht="49.75" x14ac:dyDescent="0.4">
      <c r="A3" s="14" t="s">
        <v>1320</v>
      </c>
      <c r="B3" s="24" t="s">
        <v>557</v>
      </c>
      <c r="C3" s="16"/>
      <c r="D3" s="15">
        <v>45.045629644626899</v>
      </c>
      <c r="E3" s="49">
        <v>3.8846338389333201</v>
      </c>
      <c r="F3" s="24" t="s">
        <v>1339</v>
      </c>
      <c r="G3" s="53" t="s">
        <v>1339</v>
      </c>
      <c r="H3" s="15" t="s">
        <v>1715</v>
      </c>
      <c r="I3" s="25" t="b">
        <v>1</v>
      </c>
      <c r="J3" s="16" t="b">
        <v>1</v>
      </c>
      <c r="K3" s="16"/>
      <c r="L3" s="24" t="s">
        <v>337</v>
      </c>
      <c r="N3" s="16" t="s">
        <v>1340</v>
      </c>
      <c r="O3" s="16" t="s">
        <v>336</v>
      </c>
      <c r="P3" s="59"/>
      <c r="Q3" s="16"/>
      <c r="R3" s="63"/>
      <c r="S3" s="59"/>
      <c r="T3" s="16"/>
      <c r="U3" s="63"/>
      <c r="V3" s="16"/>
      <c r="W3" s="16"/>
      <c r="X3" s="50"/>
      <c r="Y3" s="93" t="s">
        <v>2133</v>
      </c>
      <c r="AI3" s="87" t="s">
        <v>1180</v>
      </c>
      <c r="AJ3" s="88">
        <v>47</v>
      </c>
      <c r="AK3" s="15" t="s">
        <v>180</v>
      </c>
      <c r="AL3" s="15" t="s">
        <v>336</v>
      </c>
      <c r="AM3" s="16" t="s">
        <v>95</v>
      </c>
      <c r="AN3" s="16" t="s">
        <v>336</v>
      </c>
      <c r="AO3" s="16" t="s">
        <v>336</v>
      </c>
      <c r="AP3" s="50" t="s">
        <v>336</v>
      </c>
      <c r="AR3" s="28" t="b">
        <f t="shared" si="0"/>
        <v>1</v>
      </c>
      <c r="AS3" s="29" t="str">
        <f t="shared" si="1"/>
        <v>title: "Cathedral of Our Lady of Puy"</v>
      </c>
      <c r="AT3" s="29" t="str">
        <f t="shared" si="2"/>
        <v>location: {lat: 45.0456296446269, lng: 3.88463383893332}</v>
      </c>
      <c r="AU3" s="29" t="str">
        <f t="shared" si="3"/>
        <v>level: global</v>
      </c>
      <c r="AV3" s="29" t="str">
        <f>"- "&amp;VLOOKUP(B3,'(Ref) Countries'!A:C,3,)</f>
        <v>- france</v>
      </c>
      <c r="AW3" s="29" t="str">
        <f t="shared" si="4"/>
        <v/>
      </c>
      <c r="AX3" s="29" t="str">
        <f t="shared" si="5"/>
        <v>- churches</v>
      </c>
      <c r="AY3" s="29" t="str">
        <f t="shared" si="6"/>
        <v>- marian-sites</v>
      </c>
      <c r="AZ3" s="29" t="str">
        <f t="shared" si="7"/>
        <v/>
      </c>
      <c r="BA3" s="29" t="str">
        <f t="shared" si="8"/>
        <v>- camino</v>
      </c>
      <c r="BB3" s="29" t="str">
        <f t="shared" si="9"/>
        <v/>
      </c>
      <c r="BC3" s="29" t="str">
        <f t="shared" si="10"/>
        <v/>
      </c>
      <c r="BD3" s="29" t="str">
        <f t="shared" si="11"/>
        <v/>
      </c>
      <c r="BE3" s="29" t="str">
        <f t="shared" si="12"/>
        <v/>
      </c>
      <c r="BF3" s="29" t="str">
        <f t="shared" si="13"/>
        <v/>
      </c>
      <c r="BG3" s="29" t="str">
        <f t="shared" si="14"/>
        <v/>
      </c>
      <c r="BH3" s="29" t="str">
        <f t="shared" si="15"/>
        <v/>
      </c>
      <c r="BI3" s="29" t="str">
        <f t="shared" si="16"/>
        <v/>
      </c>
      <c r="BJ3" s="29" t="str">
        <f t="shared" si="17"/>
        <v/>
      </c>
      <c r="BK3" s="29" t="str">
        <f t="shared" ref="BK3:BK13" si="31">"tags:"&amp;CHAR(10)&amp;concatl(AV3:BJ3)</f>
        <v xml:space="preserve">tags:
- france_x000D_
- churches_x000D_
- marian-sites_x000D_
- camino_x000D_
</v>
      </c>
      <c r="BL3" s="30" t="str">
        <f t="shared" si="18"/>
        <v>[Official site](https://www.cathedraledupuy.org/)</v>
      </c>
      <c r="BM3" s="30" t="str">
        <f t="shared" si="19"/>
        <v/>
      </c>
      <c r="BN3" s="30" t="str">
        <f t="shared" si="20"/>
        <v/>
      </c>
      <c r="BO3" s="30" t="str">
        <f t="shared" si="21"/>
        <v/>
      </c>
      <c r="BP3" s="30" t="str">
        <f t="shared" ref="BP3:BP13" si="32">IF(LEN(BL3)&gt;0,"* "&amp;BL3&amp;CHAR(10),"")&amp;
IF(LEN(BM3)&gt;0,"* "&amp;BM3&amp;CHAR(10),"")&amp;
IF(LEN(BN3)&gt;0,"* "&amp;BN3&amp;CHAR(10),"")&amp;
IF(LEN(BO3)&gt;0,"* "&amp;BO3&amp;CHAR(10),"")</f>
        <v xml:space="preserve">* [Official site](https://www.cathedraledupuy.org/)
</v>
      </c>
      <c r="BQ3" s="30" t="str">
        <f t="shared" si="22"/>
        <v>[Link](http://www.therealpresence.org/eucharst/misc/BVM/68_LE_PUY_60x96.pdf)</v>
      </c>
      <c r="BR3" s="30" t="str">
        <f t="shared" si="23"/>
        <v>[Link](https://www.miraclehunter.com/marian_apparitions/approved_apparitions/lepuy/index.html)</v>
      </c>
      <c r="BS3" s="30" t="str">
        <f t="shared" si="24"/>
        <v/>
      </c>
      <c r="BT3" s="30" t="str">
        <f>IF(LEN(_xludf.concat(BQ3:BS3))&gt;0,_xludf.concat("| ",BQ3," | ",BR3," | ",BS3," |"),"")</f>
        <v>| [Link](http://www.therealpresence.org/eucharst/misc/BVM/68_LE_PUY_60x96.pdf) | [Link](https://www.miraclehunter.com/marian_apparitions/approved_apparitions/lepuy/index.html) |  |</v>
      </c>
      <c r="BU3" s="29" t="str">
        <f t="shared" si="25"/>
        <v xml:space="preserve">| The Real Presence | Miracle Hunter | MaryPages |_x000D_
| --- | --- | --- |_x000D_
| [Link](http://www.therealpresence.org/eucharst/misc/BVM/68_LE_PUY_60x96.pdf) | [Link](https://www.miraclehunter.com/marian_apparitions/approved_apparitions/lepuy/index.html) |  |_x000D_
</v>
      </c>
      <c r="BV3" s="29" t="str">
        <f>IF(LEN(BP3&amp;BU3)&gt;0,concatll("#### More Information",BP3,BU3),"")</f>
        <v xml:space="preserve">####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v>
      </c>
      <c r="BW3" s="29" t="str">
        <f>IF(LEN(M3)&gt;1,concatll("#### Author's Note",M3),"")</f>
        <v/>
      </c>
      <c r="BX3" s="23" t="str">
        <f>IF(AR3,concatll(concatl("---",AS3:AU3,BK3,"---"),L3,BV3:BW3),"")</f>
        <v xml:space="preserve">---_x000D_
title: "Cathedral of Our Lady of Puy"_x000D_
location: {lat: 45.0456296446269, lng: 3.88463383893332}_x000D_
level: global_x000D_
tags:
- france_x000D_
- churches_x000D_
- marian-sites_x000D_
- camino_x000D_
_x000D_
---_x000D_
_x000D_
_x000D_
In 47 AD, Our Lady appeared to a recent Christian convert, in a chapel built few years before on a high mountain. This woman was plagued by a serious illness and no doctor had been able to help.  The Blessed Mother, during her appearance, completely cured her._x000D_
_x000D_
####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_x000D_
_x000D_
</v>
      </c>
      <c r="BY3" s="23" t="str">
        <f>IF(AR3,VLOOKUP(B3,'(Ref) Countries'!A:B,2,)&amp;IF(LEN(C3)&gt;1,"-"&amp;LOWER(SUBSTITUTE(C3," ","-")),"")&amp;"-"&amp;LOWER(SUBSTITUTE(G3," ","-"))&amp;".md","")</f>
        <v>fr-cathedral-of-our-lady-of-puy.md</v>
      </c>
      <c r="BZ3" s="29" t="str">
        <f>IF(LEN(Y3)&gt;1,VLOOKUP(Y3,'Tag List'!$A:$B,2,),"")</f>
        <v>Camino de Santiago</v>
      </c>
      <c r="CA3" s="29" t="str">
        <f>IF(LEN(Z3)&gt;1,VLOOKUP(Z3,'Tag List'!$A:$B,2,),"")</f>
        <v/>
      </c>
      <c r="CB3" s="29" t="str">
        <f>IF(LEN(AA3)&gt;1,VLOOKUP(AA3,'Tag List'!$A:$B,2,),"")</f>
        <v/>
      </c>
      <c r="CC3" s="30" t="str">
        <f>IF(LEN(Y3)&gt;1,GetTagPage(BZ3,Y3),"")</f>
        <v>[Camino de Santiago](/tags/camino)</v>
      </c>
      <c r="CD3" s="30" t="str">
        <f>IF(LEN(Z3)&gt;1,GetTagPage(CA3,Z3),"")</f>
        <v/>
      </c>
      <c r="CE3" s="30" t="str">
        <f>IF(LEN(AA3)&gt;1,GetTagPage(CB3,AA3),"")</f>
        <v/>
      </c>
      <c r="CF3" s="30" t="str">
        <f t="shared" si="26"/>
        <v xml:space="preserve">| [Camino de Santiago](/tags/camino) </v>
      </c>
      <c r="CG3" s="30" t="str">
        <f t="shared" si="27"/>
        <v xml:space="preserve">| [Le Puy En Velay](/places/fr-cathedral-of-our-lady-of-puy) </v>
      </c>
      <c r="CH3" s="30" t="str">
        <f>"| "&amp;IF(AR3,GetTagPage(B3,VLOOKUP(B3,'(Ref) Countries'!A:C,3,)),B3)&amp; " "</f>
        <v xml:space="preserve">| [France](/tags/france) </v>
      </c>
      <c r="CI3" s="30" t="str">
        <f t="shared" si="28"/>
        <v xml:space="preserve">| 47 </v>
      </c>
      <c r="CJ3" s="30" t="str">
        <f t="shared" si="29"/>
        <v xml:space="preserve">| [Link](/places/fr-cathedral-of-our-lady-of-puy) </v>
      </c>
      <c r="CK3" s="29" t="str">
        <f t="shared" si="30"/>
        <v xml:space="preserve">
| [Le Puy En Velay](/places/fr-cathedral-of-our-lady-of-puy) | [France](/tags/france) | 47 | [Link](/places/fr-cathedral-of-our-lady-of-puy) [Official site](https://www.cathedraledupuy.org/)[Link](http://www.therealpresence.org/eucharst/misc/BVM/68_LE_PUY_60x96.pdf)[Link](https://www.miraclehunter.com/marian_apparitions/approved_apparitions/lepuy/index.html)| [Camino de Santiago](/tags/camino) |</v>
      </c>
    </row>
    <row r="4" spans="1:90" ht="49.75" x14ac:dyDescent="0.4">
      <c r="A4" s="14" t="s">
        <v>1320</v>
      </c>
      <c r="B4" s="32" t="s">
        <v>2</v>
      </c>
      <c r="C4" s="33"/>
      <c r="D4" s="15">
        <v>9.7544459999999997</v>
      </c>
      <c r="E4" s="49">
        <v>76.564819999999997</v>
      </c>
      <c r="F4" s="32" t="s">
        <v>1399</v>
      </c>
      <c r="G4" s="57" t="s">
        <v>1400</v>
      </c>
      <c r="H4" s="34" t="s">
        <v>1715</v>
      </c>
      <c r="I4" s="25" t="b">
        <v>1</v>
      </c>
      <c r="J4" s="33" t="b">
        <v>1</v>
      </c>
      <c r="K4" s="33"/>
      <c r="L4" s="24" t="s">
        <v>1397</v>
      </c>
      <c r="N4" s="16" t="s">
        <v>101</v>
      </c>
      <c r="O4" s="16" t="s">
        <v>336</v>
      </c>
      <c r="P4" s="59"/>
      <c r="Q4" s="16"/>
      <c r="R4" s="63"/>
      <c r="S4" s="59"/>
      <c r="T4" s="16"/>
      <c r="U4" s="63"/>
      <c r="V4" s="16"/>
      <c r="W4" s="16"/>
      <c r="X4" s="50"/>
      <c r="Y4" s="34" t="s">
        <v>1403</v>
      </c>
      <c r="Z4" s="34"/>
      <c r="AA4" s="34"/>
      <c r="AB4" s="34"/>
      <c r="AC4" s="34"/>
      <c r="AD4" s="34"/>
      <c r="AE4" s="34"/>
      <c r="AF4" s="34"/>
      <c r="AG4" s="34"/>
      <c r="AH4" s="34"/>
      <c r="AI4" s="87" t="s">
        <v>1398</v>
      </c>
      <c r="AJ4" s="88">
        <v>335</v>
      </c>
      <c r="AK4" s="33" t="s">
        <v>336</v>
      </c>
      <c r="AL4" s="15" t="s">
        <v>336</v>
      </c>
      <c r="AM4" s="16" t="s">
        <v>1401</v>
      </c>
      <c r="AN4" s="33" t="s">
        <v>1402</v>
      </c>
      <c r="AO4" s="33" t="s">
        <v>336</v>
      </c>
      <c r="AP4" s="51" t="s">
        <v>336</v>
      </c>
      <c r="AR4" s="28" t="b">
        <f t="shared" si="0"/>
        <v>1</v>
      </c>
      <c r="AS4" s="29" t="str">
        <f t="shared" si="1"/>
        <v>title: "Major Archiepiscopal Marth Mariam Archdeacon Pilgrim Church at Kuravilangad"</v>
      </c>
      <c r="AT4" s="29" t="str">
        <f t="shared" si="2"/>
        <v>location: {lat: 9.754446, lng: 76.56482}</v>
      </c>
      <c r="AU4" s="29" t="str">
        <f t="shared" si="3"/>
        <v>level: global</v>
      </c>
      <c r="AV4" s="29" t="str">
        <f>"- "&amp;VLOOKUP(B4,'(Ref) Countries'!A:C,3,)</f>
        <v>- india</v>
      </c>
      <c r="AW4" s="29" t="str">
        <f t="shared" si="4"/>
        <v/>
      </c>
      <c r="AX4" s="29" t="str">
        <f t="shared" si="5"/>
        <v>- churches</v>
      </c>
      <c r="AY4" s="29" t="str">
        <f t="shared" si="6"/>
        <v>- marian-sites</v>
      </c>
      <c r="AZ4" s="29" t="str">
        <f t="shared" si="7"/>
        <v/>
      </c>
      <c r="BA4" s="29" t="str">
        <f t="shared" si="8"/>
        <v>- syro-malabar</v>
      </c>
      <c r="BB4" s="29" t="str">
        <f t="shared" si="9"/>
        <v/>
      </c>
      <c r="BC4" s="29" t="str">
        <f t="shared" si="10"/>
        <v/>
      </c>
      <c r="BD4" s="29" t="str">
        <f t="shared" si="11"/>
        <v/>
      </c>
      <c r="BE4" s="29" t="str">
        <f t="shared" si="12"/>
        <v/>
      </c>
      <c r="BF4" s="29" t="str">
        <f t="shared" si="13"/>
        <v/>
      </c>
      <c r="BG4" s="29" t="str">
        <f t="shared" si="14"/>
        <v/>
      </c>
      <c r="BH4" s="29" t="str">
        <f t="shared" si="15"/>
        <v/>
      </c>
      <c r="BI4" s="29" t="str">
        <f t="shared" si="16"/>
        <v/>
      </c>
      <c r="BJ4" s="29" t="str">
        <f t="shared" si="17"/>
        <v/>
      </c>
      <c r="BK4" s="29" t="str">
        <f t="shared" si="31"/>
        <v xml:space="preserve">tags:
- india_x000D_
- churches_x000D_
- marian-sites_x000D_
- syro-malabar_x000D_
</v>
      </c>
      <c r="BL4" s="30" t="str">
        <f t="shared" si="18"/>
        <v>[Official site](http://kuravilangadpally.com/)</v>
      </c>
      <c r="BM4" s="30" t="str">
        <f t="shared" si="19"/>
        <v/>
      </c>
      <c r="BN4" s="30" t="str">
        <f t="shared" si="20"/>
        <v/>
      </c>
      <c r="BO4" s="30" t="str">
        <f t="shared" si="21"/>
        <v/>
      </c>
      <c r="BP4" s="30" t="str">
        <f t="shared" si="32"/>
        <v xml:space="preserve">* [Official site](http://kuravilangadpally.com/)
</v>
      </c>
      <c r="BQ4" s="30" t="str">
        <f t="shared" si="22"/>
        <v/>
      </c>
      <c r="BR4" s="30" t="str">
        <f t="shared" si="23"/>
        <v>[Link](https://www.miraclehunter.com/marian_apparitions/approved_apparitions/apparitions_0040-0999.html) (Search "Kuravilangad")</v>
      </c>
      <c r="BS4" s="30" t="str">
        <f t="shared" si="24"/>
        <v/>
      </c>
      <c r="BT4" s="30" t="str">
        <f>IF(LEN(_xludf.concat(BQ4:BS4))&gt;0,_xludf.concat("| ",BQ4," | ",BR4," | ",BS4," |"),"")</f>
        <v>|  | [Link](https://www.miraclehunter.com/marian_apparitions/approved_apparitions/apparitions_0040-0999.html) (Search "Kuravilangad") |  |</v>
      </c>
      <c r="BU4" s="29" t="str">
        <f t="shared" si="25"/>
        <v xml:space="preserve">| The Real Presence | Miracle Hunter | MaryPages |_x000D_
| --- | --- | --- |_x000D_
|  | [Link](https://www.miraclehunter.com/marian_apparitions/approved_apparitions/apparitions_0040-0999.html) (Search "Kuravilangad") |  |_x000D_
</v>
      </c>
      <c r="BV4" s="29" t="str">
        <f>IF(LEN(BP4&amp;BU4)&gt;0,concatll("#### More Information",BP4,BU4),"")</f>
        <v xml:space="preserve">####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v>
      </c>
      <c r="BW4" s="29" t="str">
        <f>IF(LEN(M4)&gt;1,concatll("#### Author's Note",M4),"")</f>
        <v/>
      </c>
      <c r="BX4" s="23" t="str">
        <f>IF(AR4,concatll(concatl("---",AS4:AU4,BK4,"---"),L4,BV4:BW4),"")</f>
        <v xml:space="preserve">---_x000D_
title: "Major Archiepiscopal Marth Mariam Archdeacon Pilgrim Church at Kuravilangad"_x000D_
location: {lat: 9.754446, lng: 76.56482}_x000D_
level: global_x000D_
tags:
- india_x000D_
- churches_x000D_
- marian-sites_x000D_
- syro-malabar_x000D_
_x000D_
---_x000D_
_x000D_
_x000D_
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there._x000D_
_x000D_
####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_x000D_
_x000D_
</v>
      </c>
      <c r="BY4" s="23" t="str">
        <f>IF(AR4,VLOOKUP(B4,'(Ref) Countries'!A:B,2,)&amp;IF(LEN(C4)&gt;1,"-"&amp;LOWER(SUBSTITUTE(C4," ","-")),"")&amp;"-"&amp;LOWER(SUBSTITUTE(G4," ","-"))&amp;".md","")</f>
        <v>in-marth-mariam-archdeacon-pilgrim-church-at-kuravilangad.md</v>
      </c>
      <c r="BZ4" s="29" t="str">
        <f>IF(LEN(Y4)&gt;1,VLOOKUP(Y4,'Tag List'!$A:$B,2,),"")</f>
        <v>Syro-Malabar Church</v>
      </c>
      <c r="CA4" s="29" t="str">
        <f>IF(LEN(Z4)&gt;1,VLOOKUP(Z4,'Tag List'!$A:$B,2,),"")</f>
        <v/>
      </c>
      <c r="CB4" s="29" t="str">
        <f>IF(LEN(AA4)&gt;1,VLOOKUP(AA4,'Tag List'!$A:$B,2,),"")</f>
        <v/>
      </c>
      <c r="CC4" s="30" t="str">
        <f>IF(LEN(Y4)&gt;1,GetTagPage(BZ4,Y4),"")</f>
        <v>[Syro-Malabar Church](/tags/syro-malabar)</v>
      </c>
      <c r="CD4" s="30" t="str">
        <f>IF(LEN(Z4)&gt;1,GetTagPage(CA4,Z4),"")</f>
        <v/>
      </c>
      <c r="CE4" s="30" t="str">
        <f>IF(LEN(AA4)&gt;1,GetTagPage(CB4,AA4),"")</f>
        <v/>
      </c>
      <c r="CF4" s="30" t="str">
        <f t="shared" si="26"/>
        <v xml:space="preserve">| [Syro-Malabar Church](/tags/syro-malabar) </v>
      </c>
      <c r="CG4" s="30" t="str">
        <f t="shared" si="27"/>
        <v xml:space="preserve">| [Kuravilangad](/places/in-marth-mariam-archdeacon-pilgrim-church-at-kuravilangad) </v>
      </c>
      <c r="CH4" s="30" t="str">
        <f>"| "&amp;IF(AR4,GetTagPage(B4,VLOOKUP(B4,'(Ref) Countries'!A:C,3,)),B4)&amp; " "</f>
        <v xml:space="preserve">| [India](/tags/india) </v>
      </c>
      <c r="CI4" s="30" t="str">
        <f t="shared" si="28"/>
        <v xml:space="preserve">| 335 </v>
      </c>
      <c r="CJ4" s="30" t="str">
        <f t="shared" si="29"/>
        <v xml:space="preserve">| [Link](/places/in-marth-mariam-archdeacon-pilgrim-church-at-kuravilangad) </v>
      </c>
      <c r="CK4" s="29" t="str">
        <f t="shared" si="30"/>
        <v xml:space="preserve">
| [Kuravilangad](/places/in-marth-mariam-archdeacon-pilgrim-church-at-kuravilangad) | [India](/tags/india) | 335 | [Link](/places/in-marth-mariam-archdeacon-pilgrim-church-at-kuravilangad) [Official site](http://kuravilangadpally.com/)[Link](https://www.miraclehunter.com/marian_apparitions/approved_apparitions/apparitions_0040-0999.html) (Search "Kuravilangad")| [Syro-Malabar Church](/tags/syro-malabar) |</v>
      </c>
    </row>
    <row r="5" spans="1:90" ht="87" x14ac:dyDescent="0.4">
      <c r="A5" s="14" t="s">
        <v>1320</v>
      </c>
      <c r="B5" s="27" t="s">
        <v>11</v>
      </c>
      <c r="C5" s="35" t="s">
        <v>1002</v>
      </c>
      <c r="D5" s="15">
        <v>41.897293109963897</v>
      </c>
      <c r="E5" s="49">
        <v>12.4989743434214</v>
      </c>
      <c r="F5" s="24" t="s">
        <v>175</v>
      </c>
      <c r="G5" s="53" t="s">
        <v>729</v>
      </c>
      <c r="H5" s="15" t="s">
        <v>1715</v>
      </c>
      <c r="I5" s="25" t="b">
        <v>1</v>
      </c>
      <c r="J5" s="15" t="b">
        <v>1</v>
      </c>
      <c r="L5" s="24" t="s">
        <v>338</v>
      </c>
      <c r="N5" s="15" t="s">
        <v>176</v>
      </c>
      <c r="O5" s="15" t="s">
        <v>336</v>
      </c>
      <c r="Y5" s="36" t="s">
        <v>998</v>
      </c>
      <c r="Z5" s="37"/>
      <c r="AA5" s="36"/>
      <c r="AB5" s="36"/>
      <c r="AC5" s="36"/>
      <c r="AD5" s="36"/>
      <c r="AE5" s="36"/>
      <c r="AF5" s="36"/>
      <c r="AG5" s="36"/>
      <c r="AH5" s="36"/>
      <c r="AI5" s="87" t="s">
        <v>1309</v>
      </c>
      <c r="AJ5" s="88">
        <v>352</v>
      </c>
      <c r="AK5" s="15" t="s">
        <v>181</v>
      </c>
      <c r="AL5" s="15" t="s">
        <v>336</v>
      </c>
      <c r="AM5" s="15" t="s">
        <v>103</v>
      </c>
      <c r="AN5" s="15" t="s">
        <v>336</v>
      </c>
      <c r="AO5" s="15" t="s">
        <v>177</v>
      </c>
      <c r="AP5" s="49" t="s">
        <v>336</v>
      </c>
      <c r="AR5" s="28" t="b">
        <f t="shared" si="0"/>
        <v>1</v>
      </c>
      <c r="AS5" s="29" t="str">
        <f t="shared" si="1"/>
        <v>title: "Santa Maria Maggiore (Our Lady of the Snows)"</v>
      </c>
      <c r="AT5" s="29" t="str">
        <f t="shared" si="2"/>
        <v>location: {lat: 41.8972931099639, lng: 12.4989743434214}</v>
      </c>
      <c r="AU5" s="29" t="str">
        <f t="shared" si="3"/>
        <v>level: global</v>
      </c>
      <c r="AV5" s="29" t="str">
        <f>"- "&amp;VLOOKUP(B5,'(Ref) Countries'!A:C,3,)</f>
        <v>- italy</v>
      </c>
      <c r="AW5" s="29" t="str">
        <f t="shared" si="4"/>
        <v>- rome</v>
      </c>
      <c r="AX5" s="29" t="str">
        <f t="shared" si="5"/>
        <v>- churches</v>
      </c>
      <c r="AY5" s="29" t="str">
        <f t="shared" si="6"/>
        <v>- marian-sites</v>
      </c>
      <c r="AZ5" s="29" t="str">
        <f t="shared" si="7"/>
        <v/>
      </c>
      <c r="BA5" s="29" t="str">
        <f t="shared" si="8"/>
        <v>- papal-basilicas</v>
      </c>
      <c r="BB5" s="29" t="str">
        <f t="shared" si="9"/>
        <v/>
      </c>
      <c r="BC5" s="29" t="str">
        <f t="shared" si="10"/>
        <v/>
      </c>
      <c r="BD5" s="29" t="str">
        <f t="shared" si="11"/>
        <v/>
      </c>
      <c r="BE5" s="29" t="str">
        <f t="shared" si="12"/>
        <v/>
      </c>
      <c r="BF5" s="29" t="str">
        <f t="shared" si="13"/>
        <v/>
      </c>
      <c r="BG5" s="29" t="str">
        <f t="shared" si="14"/>
        <v/>
      </c>
      <c r="BH5" s="29" t="str">
        <f t="shared" si="15"/>
        <v/>
      </c>
      <c r="BI5" s="29" t="str">
        <f t="shared" si="16"/>
        <v/>
      </c>
      <c r="BJ5" s="29" t="str">
        <f t="shared" si="17"/>
        <v/>
      </c>
      <c r="BK5" s="29" t="str">
        <f t="shared" si="31"/>
        <v xml:space="preserve">tags:
- italy_x000D_
- rome_x000D_
- churches_x000D_
- marian-sites_x000D_
- papal-basilicas_x000D_
</v>
      </c>
      <c r="BL5" s="30" t="str">
        <f t="shared" si="18"/>
        <v>[Official site](https://www.vatican.va/various/basiliche/sm_maggiore/index_en.html)</v>
      </c>
      <c r="BM5" s="30" t="str">
        <f t="shared" si="19"/>
        <v/>
      </c>
      <c r="BN5" s="30" t="str">
        <f t="shared" si="20"/>
        <v/>
      </c>
      <c r="BO5" s="30" t="str">
        <f t="shared" si="21"/>
        <v/>
      </c>
      <c r="BP5" s="30" t="str">
        <f t="shared" si="32"/>
        <v xml:space="preserve">* [Official site](https://www.vatican.va/various/basiliche/sm_maggiore/index_en.html)
</v>
      </c>
      <c r="BQ5" s="30" t="str">
        <f t="shared" si="22"/>
        <v>[Link](http://www.therealpresence.org/eucharst/misc/BVM/117_ROMA_60x96.pdf)</v>
      </c>
      <c r="BR5" s="30" t="str">
        <f t="shared" si="23"/>
        <v>[Link](https://www.miraclehunter.com/marian_apparitions/approved_apparitions/rome/index.html)</v>
      </c>
      <c r="BS5" s="30" t="str">
        <f t="shared" si="24"/>
        <v>[Link](https://www.marypages.com/our-lady-of-the-snows-en.html)</v>
      </c>
      <c r="BT5" s="30" t="str">
        <f>IF(LEN(_xludf.concat(BQ5:BS5))&gt;0,_xludf.concat("| ",BQ5," | ",BR5," | ",BS5," |"),"")</f>
        <v>| [Link](http://www.therealpresence.org/eucharst/misc/BVM/117_ROMA_60x96.pdf) | [Link](https://www.miraclehunter.com/marian_apparitions/approved_apparitions/rome/index.html) | [Link](https://www.marypages.com/our-lady-of-the-snows-en.html) |</v>
      </c>
      <c r="BU5" s="29" t="str">
        <f t="shared" si="25"/>
        <v xml:space="preserve">| The Real Presence | Miracle Hunter | MaryPages |_x000D_
| --- | --- | --- |_x000D_
| [Link](http://www.therealpresence.org/eucharst/misc/BVM/117_ROMA_60x96.pdf) | [Link](https://www.miraclehunter.com/marian_apparitions/approved_apparitions/rome/index.html) | [Link](https://www.marypages.com/our-lady-of-the-snows-en.html) |_x000D_
</v>
      </c>
      <c r="BV5" s="29" t="str">
        <f>IF(LEN(BP5&amp;BU5)&gt;0,concatll("#### More Information",BP5,BU5),"")</f>
        <v xml:space="preserve">####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v>
      </c>
      <c r="BW5" s="29" t="str">
        <f>IF(LEN(M5)&gt;1,concatll("#### Author's Note",M5),"")</f>
        <v/>
      </c>
      <c r="BX5" s="23" t="str">
        <f>IF(AR5,concatll(concatl("---",AS5:AU5,BK5,"---"),L5,BV5:BW5),"")</f>
        <v xml:space="preserve">---_x000D_
title: "Santa Maria Maggiore (Our Lady of the Snows)"_x000D_
location: {lat: 41.8972931099639, lng: 12.4989743434214}_x000D_
level: global_x000D_
tags:
- italy_x000D_
- rome_x000D_
- churches_x000D_
- marian-sites_x000D_
- papal-basilicas_x000D_
_x000D_
---_x000D_
_x000D_
_x000D_
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papal basilicas._x000D_
_x000D_
####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_x000D_
_x000D_
</v>
      </c>
      <c r="BY5" s="23" t="str">
        <f>IF(AR5,VLOOKUP(B5,'(Ref) Countries'!A:B,2,)&amp;IF(LEN(C5)&gt;1,"-"&amp;LOWER(SUBSTITUTE(C5," ","-")),"")&amp;"-"&amp;LOWER(SUBSTITUTE(G5," ","-"))&amp;".md","")</f>
        <v>it-rome-s-maria-maggiore.md</v>
      </c>
      <c r="BZ5" s="38" t="str">
        <f>IF(LEN(Y5)&gt;1,VLOOKUP(Y5,'Tag List'!$A:$B,2,),"")</f>
        <v>Papal Basilicas</v>
      </c>
      <c r="CA5" s="38" t="str">
        <f>IF(LEN(Z5)&gt;1,VLOOKUP(Z5,'Tag List'!$A:$B,2,),"")</f>
        <v/>
      </c>
      <c r="CB5" s="38" t="str">
        <f>IF(LEN(AA5)&gt;1,VLOOKUP(AA5,'Tag List'!$A:$B,2,),"")</f>
        <v/>
      </c>
      <c r="CC5" s="30" t="str">
        <f>IF(LEN(Y5)&gt;1,GetTagPage(BZ5,Y5),"")</f>
        <v>[Papal Basilicas](/tags/papal-basilicas)</v>
      </c>
      <c r="CD5" s="30" t="str">
        <f>IF(LEN(Z5)&gt;1,GetTagPage(CA5,Z5),"")</f>
        <v/>
      </c>
      <c r="CE5" s="30" t="str">
        <f>IF(LEN(AA5)&gt;1,GetTagPage(CB5,AA5),"")</f>
        <v/>
      </c>
      <c r="CF5" s="30" t="str">
        <f t="shared" si="26"/>
        <v xml:space="preserve">| [Papal Basilicas](/tags/papal-basilicas) </v>
      </c>
      <c r="CG5" s="30" t="str">
        <f t="shared" si="27"/>
        <v xml:space="preserve">| [Rome (Santa Maria Maggiore)](/places/it-rome-s-maria-maggiore) </v>
      </c>
      <c r="CH5" s="30" t="str">
        <f>"| "&amp;IF(AR5,GetTagPage(B5,VLOOKUP(B5,'(Ref) Countries'!A:C,3,)),B5)&amp; " "</f>
        <v xml:space="preserve">| [Italy](/tags/italy) </v>
      </c>
      <c r="CI5" s="30" t="str">
        <f t="shared" si="28"/>
        <v xml:space="preserve">| 352 </v>
      </c>
      <c r="CJ5" s="30" t="str">
        <f t="shared" si="29"/>
        <v xml:space="preserve">| [Link](/places/it-rome-s-maria-maggiore) </v>
      </c>
      <c r="CK5" s="29" t="str">
        <f t="shared" si="30"/>
        <v xml:space="preserve">
| [Rome (Santa Maria Maggiore)](/places/it-rome-s-maria-maggiore) | [Italy](/tags/italy) | 352 | [Link](/places/it-rome-s-maria-maggiore) [Official site](https://www.vatican.va/various/basiliche/sm_maggiore/index_en.html)[Link](http://www.therealpresence.org/eucharst/misc/BVM/117_ROMA_60x96.pdf)[Link](https://www.miraclehunter.com/marian_apparitions/approved_apparitions/rome/index.html)[Link](https://www.marypages.com/our-lady-of-the-snows-en.html)| [Papal Basilicas](/tags/papal-basilicas) |</v>
      </c>
    </row>
    <row r="6" spans="1:90" x14ac:dyDescent="0.4">
      <c r="A6" s="14" t="s">
        <v>1049</v>
      </c>
      <c r="B6" s="24" t="s">
        <v>11</v>
      </c>
      <c r="C6" s="35" t="s">
        <v>1433</v>
      </c>
      <c r="D6" s="15">
        <v>38.141271460015901</v>
      </c>
      <c r="E6" s="49">
        <v>15.0456795824699</v>
      </c>
      <c r="F6" s="24" t="s">
        <v>1338</v>
      </c>
      <c r="G6" s="53" t="s">
        <v>1337</v>
      </c>
      <c r="H6" s="15" t="s">
        <v>1715</v>
      </c>
      <c r="I6" s="25" t="b">
        <v>1</v>
      </c>
      <c r="J6" s="15" t="b">
        <v>1</v>
      </c>
      <c r="L6" s="24" t="s">
        <v>1333</v>
      </c>
      <c r="N6" s="15" t="s">
        <v>1335</v>
      </c>
      <c r="O6" s="15" t="s">
        <v>336</v>
      </c>
      <c r="AI6" s="87" t="s">
        <v>1181</v>
      </c>
      <c r="AJ6" s="88" t="s">
        <v>1341</v>
      </c>
      <c r="AK6" s="15" t="s">
        <v>182</v>
      </c>
      <c r="AL6" s="15" t="s">
        <v>336</v>
      </c>
      <c r="AN6" s="15" t="s">
        <v>336</v>
      </c>
      <c r="AO6" s="15" t="s">
        <v>336</v>
      </c>
      <c r="AP6" s="49" t="s">
        <v>336</v>
      </c>
      <c r="AR6" s="28" t="b">
        <f t="shared" si="0"/>
        <v>1</v>
      </c>
      <c r="AS6" s="29" t="str">
        <f t="shared" si="1"/>
        <v>title: "Sanctuary of Holy Mary of Tindari"</v>
      </c>
      <c r="AT6" s="29" t="str">
        <f t="shared" si="2"/>
        <v>location: {lat: 38.1412714600159, lng: 15.0456795824699}</v>
      </c>
      <c r="AU6" s="29" t="str">
        <f t="shared" si="3"/>
        <v>level: global</v>
      </c>
      <c r="AV6" s="29" t="str">
        <f>"- "&amp;VLOOKUP(B6,'(Ref) Countries'!A:C,3,)</f>
        <v>- italy</v>
      </c>
      <c r="AW6" s="29" t="str">
        <f t="shared" si="4"/>
        <v>- sicily</v>
      </c>
      <c r="AX6" s="29" t="str">
        <f t="shared" si="5"/>
        <v>- churches</v>
      </c>
      <c r="AY6" s="29" t="str">
        <f t="shared" si="6"/>
        <v>- marian-sites</v>
      </c>
      <c r="AZ6" s="29" t="str">
        <f t="shared" si="7"/>
        <v/>
      </c>
      <c r="BA6" s="29" t="str">
        <f t="shared" si="8"/>
        <v/>
      </c>
      <c r="BB6" s="29" t="str">
        <f t="shared" si="9"/>
        <v/>
      </c>
      <c r="BC6" s="29" t="str">
        <f t="shared" si="10"/>
        <v/>
      </c>
      <c r="BD6" s="29" t="str">
        <f t="shared" si="11"/>
        <v/>
      </c>
      <c r="BE6" s="29" t="str">
        <f t="shared" si="12"/>
        <v/>
      </c>
      <c r="BF6" s="29" t="str">
        <f t="shared" si="13"/>
        <v/>
      </c>
      <c r="BG6" s="29" t="str">
        <f t="shared" si="14"/>
        <v/>
      </c>
      <c r="BH6" s="29" t="str">
        <f t="shared" si="15"/>
        <v/>
      </c>
      <c r="BI6" s="29" t="str">
        <f t="shared" si="16"/>
        <v/>
      </c>
      <c r="BJ6" s="29" t="str">
        <f t="shared" si="17"/>
        <v/>
      </c>
      <c r="BK6" s="29" t="str">
        <f t="shared" si="31"/>
        <v xml:space="preserve">tags:
- italy_x000D_
- sicily_x000D_
- churches_x000D_
- marian-sites_x000D_
</v>
      </c>
      <c r="BL6" s="30" t="str">
        <f t="shared" si="18"/>
        <v>[Official site](https://santuariotindari.it/)</v>
      </c>
      <c r="BM6" s="30" t="str">
        <f t="shared" si="19"/>
        <v/>
      </c>
      <c r="BN6" s="30" t="str">
        <f t="shared" si="20"/>
        <v/>
      </c>
      <c r="BO6" s="30" t="str">
        <f t="shared" si="21"/>
        <v/>
      </c>
      <c r="BP6" s="30" t="str">
        <f t="shared" si="32"/>
        <v xml:space="preserve">* [Official site](https://santuariotindari.it/)
</v>
      </c>
      <c r="BQ6" s="30" t="str">
        <f t="shared" si="22"/>
        <v>[Link](http://www.therealpresence.org/eucharst/misc/BVM/90_TINDARI_60x96.pdf)</v>
      </c>
      <c r="BR6" s="30" t="str">
        <f t="shared" si="23"/>
        <v/>
      </c>
      <c r="BS6" s="30" t="str">
        <f t="shared" si="24"/>
        <v/>
      </c>
      <c r="BT6" s="30" t="str">
        <f>IF(LEN(_xludf.concat(BQ6:BS6))&gt;0,_xludf.concat("| ",BQ6," | ",BR6," | ",BS6," |"),"")</f>
        <v>| [Link](http://www.therealpresence.org/eucharst/misc/BVM/90_TINDARI_60x96.pdf) |  |  |</v>
      </c>
      <c r="BU6" s="29" t="str">
        <f t="shared" si="25"/>
        <v xml:space="preserve">| The Real Presence | Miracle Hunter | MaryPages |_x000D_
| --- | --- | --- |_x000D_
| [Link](http://www.therealpresence.org/eucharst/misc/BVM/90_TINDARI_60x96.pdf) |  |  |_x000D_
</v>
      </c>
      <c r="BV6" s="29" t="str">
        <f>IF(LEN(BP6&amp;BU6)&gt;0,concatll("#### More Information",BP6,BU6),"")</f>
        <v xml:space="preserve">#### More Information_x000D_
_x000D_
* [Official site](https://santuariotindari.it/)
_x000D_
_x000D_
| The Real Presence | Miracle Hunter | MaryPages |_x000D_
| --- | --- | --- |_x000D_
| [Link](http://www.therealpresence.org/eucharst/misc/BVM/90_TINDARI_60x96.pdf) |  |  |_x000D_
_x000D_
_x000D_
</v>
      </c>
      <c r="BW6" s="29" t="str">
        <f>IF(LEN(M6)&gt;1,concatll("#### Author's Note",M6),"")</f>
        <v/>
      </c>
      <c r="BX6" s="23" t="str">
        <f>IF(AR6,concatll(concatl("---",AS6:AU6,BK6,"---"),L6,BV6:BW6),"")</f>
        <v xml:space="preserve">---_x000D_
title: "Sanctuary of Holy Mary of Tindari"_x000D_
location: {lat: 38.1412714600159, lng: 15.0456795824699}_x000D_
level: global_x000D_
tags:
- italy_x000D_
- sicily_x000D_
- churches_x000D_
- marian-sites_x000D_
_x000D_
---_x000D_
_x000D_
_x000D_
_Research in progress__x000D_
_x000D_
#### More Information_x000D_
_x000D_
* [Official site](https://santuariotindari.it/)
_x000D_
_x000D_
| The Real Presence | Miracle Hunter | MaryPages |_x000D_
| --- | --- | --- |_x000D_
| [Link](http://www.therealpresence.org/eucharst/misc/BVM/90_TINDARI_60x96.pdf) |  |  |_x000D_
_x000D_
_x000D_
_x000D_
_x000D_
</v>
      </c>
      <c r="BY6" s="23" t="str">
        <f>IF(AR6,VLOOKUP(B6,'(Ref) Countries'!A:B,2,)&amp;IF(LEN(C6)&gt;1,"-"&amp;LOWER(SUBSTITUTE(C6," ","-")),"")&amp;"-"&amp;LOWER(SUBSTITUTE(G6," ","-"))&amp;".md","")</f>
        <v>it-sicily-sanctuary-of-tindari.md</v>
      </c>
      <c r="BZ6" s="29" t="str">
        <f>IF(LEN(Y6)&gt;1,VLOOKUP(Y6,'Tag List'!$A:$B,2,),"")</f>
        <v/>
      </c>
      <c r="CA6" s="29" t="str">
        <f>IF(LEN(Z6)&gt;1,VLOOKUP(Z6,'Tag List'!$A:$B,2,),"")</f>
        <v/>
      </c>
      <c r="CB6" s="29" t="str">
        <f>IF(LEN(AA6)&gt;1,VLOOKUP(AA6,'Tag List'!$A:$B,2,),"")</f>
        <v/>
      </c>
      <c r="CC6" s="30" t="str">
        <f>IF(LEN(Y6)&gt;1,GetTagPage(BZ6,Y6),"")</f>
        <v/>
      </c>
      <c r="CD6" s="30" t="str">
        <f>IF(LEN(Z6)&gt;1,GetTagPage(CA6,Z6),"")</f>
        <v/>
      </c>
      <c r="CE6" s="30" t="str">
        <f>IF(LEN(AA6)&gt;1,GetTagPage(CB6,AA6),"")</f>
        <v/>
      </c>
      <c r="CF6" s="30" t="str">
        <f t="shared" si="26"/>
        <v xml:space="preserve">| </v>
      </c>
      <c r="CG6" s="30" t="str">
        <f t="shared" si="27"/>
        <v xml:space="preserve">| [Tindari](/places/it-sicily-sanctuary-of-tindari) </v>
      </c>
      <c r="CH6" s="30" t="str">
        <f>"| "&amp;IF(AR6,GetTagPage(B6,VLOOKUP(B6,'(Ref) Countries'!A:C,3,)),B6)&amp; " "</f>
        <v xml:space="preserve">| [Italy](/tags/italy) </v>
      </c>
      <c r="CI6" s="30" t="str">
        <f t="shared" si="28"/>
        <v xml:space="preserve">| 5th or 6th Century </v>
      </c>
      <c r="CJ6" s="30" t="str">
        <f t="shared" si="29"/>
        <v xml:space="preserve">| [Link](/places/it-sicily-sanctuary-of-tindari) </v>
      </c>
      <c r="CK6" s="29" t="str">
        <f t="shared" si="30"/>
        <v xml:space="preserve">
| [Tindari](/places/it-sicily-sanctuary-of-tindari) | [Italy](/tags/italy) | 5th or 6th Century | [Link](/places/it-sicily-sanctuary-of-tindari) [Official site](https://santuariotindari.it/)[Link](http://www.therealpresence.org/eucharst/misc/BVM/90_TINDARI_60x96.pdf)| |</v>
      </c>
    </row>
    <row r="7" spans="1:90" ht="74.599999999999994" x14ac:dyDescent="0.4">
      <c r="A7" s="14" t="s">
        <v>1049</v>
      </c>
      <c r="B7" s="24" t="s">
        <v>735</v>
      </c>
      <c r="D7" s="15">
        <v>52.880559553822799</v>
      </c>
      <c r="E7" s="49">
        <v>0.85276071534114095</v>
      </c>
      <c r="F7" s="24" t="s">
        <v>1353</v>
      </c>
      <c r="G7" s="53" t="s">
        <v>334</v>
      </c>
      <c r="H7" s="15" t="s">
        <v>1715</v>
      </c>
      <c r="I7" s="25" t="b">
        <v>1</v>
      </c>
      <c r="J7" s="15" t="b">
        <v>1</v>
      </c>
      <c r="L7" s="24" t="s">
        <v>1351</v>
      </c>
      <c r="N7" s="15" t="s">
        <v>1352</v>
      </c>
      <c r="O7" s="15" t="s">
        <v>336</v>
      </c>
      <c r="Y7" s="15" t="s">
        <v>336</v>
      </c>
      <c r="AI7" s="87" t="s">
        <v>1182</v>
      </c>
      <c r="AJ7" s="88" t="s">
        <v>1063</v>
      </c>
      <c r="AK7" s="15" t="s">
        <v>184</v>
      </c>
      <c r="AL7" s="15" t="s">
        <v>336</v>
      </c>
      <c r="AM7" s="15" t="s">
        <v>1350</v>
      </c>
      <c r="AN7" s="15" t="s">
        <v>336</v>
      </c>
      <c r="AO7" s="15" t="s">
        <v>1354</v>
      </c>
      <c r="AP7" s="49" t="s">
        <v>336</v>
      </c>
      <c r="AR7" s="28" t="b">
        <f t="shared" si="0"/>
        <v>1</v>
      </c>
      <c r="AS7" s="29" t="str">
        <f t="shared" si="1"/>
        <v>title: "Catholic National Shrine and Basilica of Our Lady of Walsingham"</v>
      </c>
      <c r="AT7" s="29" t="str">
        <f t="shared" si="2"/>
        <v>location: {lat: 52.8805595538228, lng: 0.852760715341141}</v>
      </c>
      <c r="AU7" s="29" t="str">
        <f t="shared" si="3"/>
        <v>level: global</v>
      </c>
      <c r="AV7" s="29" t="str">
        <f>"- "&amp;VLOOKUP(B7,'(Ref) Countries'!A:C,3,)</f>
        <v>- uk</v>
      </c>
      <c r="AW7" s="29" t="str">
        <f t="shared" si="4"/>
        <v/>
      </c>
      <c r="AX7" s="29" t="str">
        <f t="shared" si="5"/>
        <v>- churches</v>
      </c>
      <c r="AY7" s="29" t="str">
        <f t="shared" si="6"/>
        <v>- marian-sites</v>
      </c>
      <c r="AZ7" s="29" t="str">
        <f t="shared" si="7"/>
        <v/>
      </c>
      <c r="BA7" s="29" t="str">
        <f t="shared" si="8"/>
        <v/>
      </c>
      <c r="BB7" s="29" t="str">
        <f t="shared" si="9"/>
        <v/>
      </c>
      <c r="BC7" s="29" t="str">
        <f t="shared" si="10"/>
        <v/>
      </c>
      <c r="BD7" s="29" t="str">
        <f t="shared" si="11"/>
        <v/>
      </c>
      <c r="BE7" s="29" t="str">
        <f t="shared" si="12"/>
        <v/>
      </c>
      <c r="BF7" s="29" t="str">
        <f t="shared" si="13"/>
        <v/>
      </c>
      <c r="BG7" s="29" t="str">
        <f t="shared" si="14"/>
        <v/>
      </c>
      <c r="BH7" s="29" t="str">
        <f t="shared" si="15"/>
        <v/>
      </c>
      <c r="BI7" s="29" t="str">
        <f t="shared" si="16"/>
        <v/>
      </c>
      <c r="BJ7" s="29" t="str">
        <f t="shared" si="17"/>
        <v/>
      </c>
      <c r="BK7" s="29" t="str">
        <f t="shared" si="31"/>
        <v xml:space="preserve">tags:
- uk_x000D_
- churches_x000D_
- marian-sites_x000D_
</v>
      </c>
      <c r="BL7" s="30" t="str">
        <f t="shared" si="18"/>
        <v>[Official site](https://www.walsingham.org.uk/)</v>
      </c>
      <c r="BM7" s="30" t="str">
        <f t="shared" si="19"/>
        <v/>
      </c>
      <c r="BN7" s="30" t="str">
        <f t="shared" si="20"/>
        <v/>
      </c>
      <c r="BO7" s="30" t="str">
        <f t="shared" si="21"/>
        <v/>
      </c>
      <c r="BP7" s="30" t="str">
        <f t="shared" si="32"/>
        <v xml:space="preserve">* [Official site](https://www.walsingham.org.uk/)
</v>
      </c>
      <c r="BQ7" s="30" t="str">
        <f t="shared" si="22"/>
        <v>[Link](http://www.therealpresence.org/eucharst/misc/BVM/153_WALSINGHAM_60x96.pdf)</v>
      </c>
      <c r="BR7" s="30" t="str">
        <f t="shared" si="23"/>
        <v>[Link](https://www.miraclehunter.com/marian_apparitions/approved_apparitions/walsingham/index.html)</v>
      </c>
      <c r="BS7" s="30" t="str">
        <f t="shared" si="24"/>
        <v>[Link](https://www.marypages.com/our-lady-of-walsingham-en.html)</v>
      </c>
      <c r="BT7" s="30" t="str">
        <f>IF(LEN(_xludf.concat(BQ7:BS7))&gt;0,_xludf.concat("| ",BQ7," | ",BR7," | ",BS7," |"),"")</f>
        <v>| [Link](http://www.therealpresence.org/eucharst/misc/BVM/153_WALSINGHAM_60x96.pdf) | [Link](https://www.miraclehunter.com/marian_apparitions/approved_apparitions/walsingham/index.html) | [Link](https://www.marypages.com/our-lady-of-walsingham-en.html) |</v>
      </c>
      <c r="BU7" s="29" t="str">
        <f t="shared" si="25"/>
        <v xml:space="preserve">|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v>
      </c>
      <c r="BV7" s="29" t="str">
        <f>IF(LEN(BP7&amp;BU7)&gt;0,concatll("#### More Information",BP7,BU7),"")</f>
        <v xml:space="preserve">####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v>
      </c>
      <c r="BW7" s="29" t="str">
        <f>IF(LEN(M7)&gt;1,concatll("#### Author's Note",M7),"")</f>
        <v/>
      </c>
      <c r="BX7" s="23" t="str">
        <f>IF(AR7,concatll(concatl("---",AS7:AU7,BK7,"---"),L7,BV7:BW7),"")</f>
        <v xml:space="preserve">---_x000D_
title: "Catholic National Shrine and Basilica of Our Lady of Walsingham"_x000D_
location: {lat: 52.8805595538228, lng: 0.852760715341141}_x000D_
level: global_x000D_
tags:
- uk_x000D_
- churches_x000D_
- marian-sites_x000D_
_x000D_
---_x000D_
_x000D_
_x000D_
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pilgrimage._x000D_
_x000D_
####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_x000D_
_x000D_
</v>
      </c>
      <c r="BY7" s="23" t="str">
        <f>IF(AR7,VLOOKUP(B7,'(Ref) Countries'!A:B,2,)&amp;IF(LEN(C7)&gt;1,"-"&amp;LOWER(SUBSTITUTE(C7," ","-")),"")&amp;"-"&amp;LOWER(SUBSTITUTE(G7," ","-"))&amp;".md","")</f>
        <v>gb-basilica-of-our-lady-of-walsingham.md</v>
      </c>
      <c r="BZ7" s="29" t="str">
        <f>IF(LEN(Y7)&gt;1,VLOOKUP(Y7,'Tag List'!$A:$B,2,),"")</f>
        <v/>
      </c>
      <c r="CA7" s="29" t="str">
        <f>IF(LEN(Z7)&gt;1,VLOOKUP(Z7,'Tag List'!$A:$B,2,),"")</f>
        <v/>
      </c>
      <c r="CB7" s="29" t="str">
        <f>IF(LEN(AA7)&gt;1,VLOOKUP(AA7,'Tag List'!$A:$B,2,),"")</f>
        <v/>
      </c>
      <c r="CC7" s="30" t="str">
        <f>IF(LEN(Y7)&gt;1,GetTagPage(BZ7,Y7),"")</f>
        <v/>
      </c>
      <c r="CD7" s="30" t="str">
        <f>IF(LEN(Z7)&gt;1,GetTagPage(CA7,Z7),"")</f>
        <v/>
      </c>
      <c r="CE7" s="30" t="str">
        <f>IF(LEN(AA7)&gt;1,GetTagPage(CB7,AA7),"")</f>
        <v/>
      </c>
      <c r="CF7" s="30" t="str">
        <f t="shared" si="26"/>
        <v xml:space="preserve">| </v>
      </c>
      <c r="CG7" s="30" t="str">
        <f t="shared" si="27"/>
        <v xml:space="preserve">| [Walsingham](/places/gb-basilica-of-our-lady-of-walsingham) </v>
      </c>
      <c r="CH7" s="30" t="str">
        <f>"| "&amp;IF(AR7,GetTagPage(B7,VLOOKUP(B7,'(Ref) Countries'!A:C,3,)),B7)&amp; " "</f>
        <v xml:space="preserve">| [United Kingdom](/tags/uk) </v>
      </c>
      <c r="CI7" s="30" t="str">
        <f t="shared" si="28"/>
        <v xml:space="preserve">| 11th Century </v>
      </c>
      <c r="CJ7" s="30" t="str">
        <f t="shared" si="29"/>
        <v xml:space="preserve">| [Link](/places/gb-basilica-of-our-lady-of-walsingham) </v>
      </c>
      <c r="CK7" s="29" t="str">
        <f t="shared" si="30"/>
        <v xml:space="preserve">
| [Walsingham](/places/gb-basilica-of-our-lady-of-walsingham) | [United Kingdom](/tags/uk) | 11th Century | [Link](/places/gb-basilica-of-our-lady-of-walsingham) [Official site](https://www.walsingham.org.uk/)[Link](http://www.therealpresence.org/eucharst/misc/BVM/153_WALSINGHAM_60x96.pdf)[Link](https://www.miraclehunter.com/marian_apparitions/approved_apparitions/walsingham/index.html)[Link](https://www.marypages.com/our-lady-of-walsingham-en.html)| |</v>
      </c>
    </row>
    <row r="8" spans="1:90" ht="136.75" x14ac:dyDescent="0.4">
      <c r="A8" s="14" t="s">
        <v>1320</v>
      </c>
      <c r="B8" s="24" t="s">
        <v>651</v>
      </c>
      <c r="D8" s="15">
        <v>54.024675490094602</v>
      </c>
      <c r="E8" s="49">
        <v>21.217746272668698</v>
      </c>
      <c r="F8" s="24" t="s">
        <v>1315</v>
      </c>
      <c r="G8" s="53" t="s">
        <v>1315</v>
      </c>
      <c r="H8" s="15" t="s">
        <v>1715</v>
      </c>
      <c r="I8" s="25" t="b">
        <v>1</v>
      </c>
      <c r="J8" s="15" t="b">
        <v>1</v>
      </c>
      <c r="L8" s="40" t="s">
        <v>1712</v>
      </c>
      <c r="M8" s="54" t="s">
        <v>1731</v>
      </c>
      <c r="N8" s="15" t="s">
        <v>1323</v>
      </c>
      <c r="O8" s="15" t="s">
        <v>336</v>
      </c>
      <c r="Y8" s="15" t="s">
        <v>336</v>
      </c>
      <c r="AI8" s="87" t="s">
        <v>1187</v>
      </c>
      <c r="AJ8" s="88" t="s">
        <v>1068</v>
      </c>
      <c r="AK8" s="15" t="s">
        <v>189</v>
      </c>
      <c r="AL8" s="15" t="s">
        <v>336</v>
      </c>
      <c r="AM8" s="15" t="s">
        <v>1324</v>
      </c>
      <c r="AN8" s="15" t="s">
        <v>1336</v>
      </c>
      <c r="AO8" s="15" t="s">
        <v>336</v>
      </c>
      <c r="AP8" s="49" t="s">
        <v>336</v>
      </c>
      <c r="AR8" s="28" t="b">
        <f t="shared" si="0"/>
        <v>1</v>
      </c>
      <c r="AS8" s="29" t="str">
        <f t="shared" si="1"/>
        <v>title: "Swieta Lipka Sanctuary"</v>
      </c>
      <c r="AT8" s="29" t="str">
        <f t="shared" si="2"/>
        <v>location: {lat: 54.0246754900946, lng: 21.2177462726687}</v>
      </c>
      <c r="AU8" s="29" t="str">
        <f t="shared" si="3"/>
        <v>level: global</v>
      </c>
      <c r="AV8" s="29" t="str">
        <f>"- "&amp;VLOOKUP(B8,'(Ref) Countries'!A:C,3,)</f>
        <v>- poland</v>
      </c>
      <c r="AW8" s="29" t="str">
        <f t="shared" si="4"/>
        <v/>
      </c>
      <c r="AX8" s="29" t="str">
        <f t="shared" si="5"/>
        <v>- churches</v>
      </c>
      <c r="AY8" s="29" t="str">
        <f t="shared" si="6"/>
        <v>- marian-sites</v>
      </c>
      <c r="AZ8" s="29" t="str">
        <f t="shared" si="7"/>
        <v/>
      </c>
      <c r="BA8" s="29" t="str">
        <f t="shared" si="8"/>
        <v/>
      </c>
      <c r="BB8" s="29" t="str">
        <f t="shared" si="9"/>
        <v/>
      </c>
      <c r="BC8" s="29" t="str">
        <f t="shared" si="10"/>
        <v/>
      </c>
      <c r="BD8" s="29" t="str">
        <f t="shared" si="11"/>
        <v/>
      </c>
      <c r="BE8" s="29" t="str">
        <f t="shared" si="12"/>
        <v/>
      </c>
      <c r="BF8" s="29" t="str">
        <f t="shared" si="13"/>
        <v/>
      </c>
      <c r="BG8" s="29" t="str">
        <f t="shared" si="14"/>
        <v/>
      </c>
      <c r="BH8" s="29" t="str">
        <f t="shared" si="15"/>
        <v/>
      </c>
      <c r="BI8" s="29" t="str">
        <f t="shared" si="16"/>
        <v/>
      </c>
      <c r="BJ8" s="29" t="str">
        <f t="shared" si="17"/>
        <v/>
      </c>
      <c r="BK8" s="29" t="str">
        <f t="shared" si="31"/>
        <v xml:space="preserve">tags:
- poland_x000D_
- churches_x000D_
- marian-sites_x000D_
</v>
      </c>
      <c r="BL8" s="30" t="str">
        <f t="shared" si="18"/>
        <v>[Official site](https://www.swlipka.pl/)</v>
      </c>
      <c r="BM8" s="30" t="str">
        <f t="shared" si="19"/>
        <v/>
      </c>
      <c r="BN8" s="30" t="str">
        <f t="shared" si="20"/>
        <v/>
      </c>
      <c r="BO8" s="30" t="str">
        <f t="shared" si="21"/>
        <v/>
      </c>
      <c r="BP8" s="30" t="str">
        <f t="shared" si="32"/>
        <v xml:space="preserve">* [Official site](https://www.swlipka.pl/)
</v>
      </c>
      <c r="BQ8" s="30" t="str">
        <f t="shared" si="22"/>
        <v>[Link](http://www.therealpresence.org/eucharst/misc/BVM/138_SWIETA_LIPKA_60x96.pdf)</v>
      </c>
      <c r="BR8" s="30" t="str">
        <f t="shared" si="23"/>
        <v>[Link](http://www.miraclehunter.com/marian_apparitions/approved_apparitions/apparitions_1200-1299.html) (Search for "Swieta Lipka")</v>
      </c>
      <c r="BS8" s="30" t="str">
        <f t="shared" si="24"/>
        <v/>
      </c>
      <c r="BT8" s="30" t="str">
        <f>IF(LEN(_xludf.concat(BQ8:BS8))&gt;0,_xludf.concat("| ",BQ8," | ",BR8," | ",BS8," |"),"")</f>
        <v>| [Link](http://www.therealpresence.org/eucharst/misc/BVM/138_SWIETA_LIPKA_60x96.pdf) | [Link](http://www.miraclehunter.com/marian_apparitions/approved_apparitions/apparitions_1200-1299.html) (Search for "Swieta Lipka") |  |</v>
      </c>
      <c r="BU8" s="29" t="str">
        <f t="shared" si="25"/>
        <v xml:space="preserve">| The Real Presence | Miracle Hunter | MaryPages |_x000D_
| --- | --- | --- |_x000D_
| [Link](http://www.therealpresence.org/eucharst/misc/BVM/138_SWIETA_LIPKA_60x96.pdf) | [Link](http://www.miraclehunter.com/marian_apparitions/approved_apparitions/apparitions_1200-1299.html) (Search for "Swieta Lipka") |  |_x000D_
</v>
      </c>
      <c r="BV8" s="29" t="str">
        <f>IF(LEN(BP8&amp;BU8)&gt;0,concatll("#### More Information",BP8,BU8),"")</f>
        <v xml:space="preserve">####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v>
      </c>
      <c r="BW8" s="29" t="str">
        <f>IF(LEN(M8)&gt;1,concatll("#### Author's Note",M8),"")</f>
        <v xml:space="preserve">#### Author's Note_x000D_
_x000D_
Because of the Jesuit influence, there are noticeable similarities to the Chiesa del Gesù in Rome, both in decoration and function.  The image of Our Blessed Mother behind the altar is covered after each mass, similar to some Jesuit churches in Rome.
-JMM_x000D_
_x000D_
</v>
      </c>
      <c r="BX8" s="23" t="str">
        <f>IF(AR8,concatll(concatl("---",AS8:AU8,BK8,"---"),L8,BV8:BW8),"")</f>
        <v xml:space="preserve">---_x000D_
title: "Swieta Lipka Sanctuary"_x000D_
location: {lat: 54.0246754900946, lng: 21.2177462726687}_x000D_
level: global_x000D_
tags:
- poland_x000D_
- churches_x000D_
- marian-sites_x000D_
_x000D_
---_x000D_
_x000D_
_x000D_
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day._x000D_
_x000D_
####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_x000D_
_x000D_
#### Author's Note_x000D_
_x000D_
Because of the Jesuit influence, there are noticeable similarities to the Chiesa del Gesù in Rome, both in decoration and function.  The image of Our Blessed Mother behind the altar is covered after each mass, similar to some Jesuit churches in Rome.
-JMM_x000D_
_x000D_
_x000D_
_x000D_
</v>
      </c>
      <c r="BY8" s="23" t="str">
        <f>IF(AR8,VLOOKUP(B8,'(Ref) Countries'!A:B,2,)&amp;IF(LEN(C8)&gt;1,"-"&amp;LOWER(SUBSTITUTE(C8," ","-")),"")&amp;"-"&amp;LOWER(SUBSTITUTE(G8," ","-"))&amp;".md","")</f>
        <v>pl-swieta-lipka-sanctuary.md</v>
      </c>
      <c r="BZ8" s="29" t="str">
        <f>IF(LEN(Y8)&gt;1,VLOOKUP(Y8,'Tag List'!$A:$B,2,),"")</f>
        <v/>
      </c>
      <c r="CA8" s="29" t="str">
        <f>IF(LEN(Z8)&gt;1,VLOOKUP(Z8,'Tag List'!$A:$B,2,),"")</f>
        <v/>
      </c>
      <c r="CB8" s="29" t="str">
        <f>IF(LEN(AA8)&gt;1,VLOOKUP(AA8,'Tag List'!$A:$B,2,),"")</f>
        <v/>
      </c>
      <c r="CC8" s="30" t="str">
        <f>IF(LEN(Y8)&gt;1,GetTagPage(BZ8,Y8),"")</f>
        <v/>
      </c>
      <c r="CD8" s="30" t="str">
        <f>IF(LEN(Z8)&gt;1,GetTagPage(CA8,Z8),"")</f>
        <v/>
      </c>
      <c r="CE8" s="30" t="str">
        <f>IF(LEN(AA8)&gt;1,GetTagPage(CB8,AA8),"")</f>
        <v/>
      </c>
      <c r="CF8" s="30" t="str">
        <f t="shared" si="26"/>
        <v xml:space="preserve">| </v>
      </c>
      <c r="CG8" s="30" t="str">
        <f t="shared" si="27"/>
        <v xml:space="preserve">| [Swieta Lipka](/places/pl-swieta-lipka-sanctuary) </v>
      </c>
      <c r="CH8" s="30" t="str">
        <f>"| "&amp;IF(AR8,GetTagPage(B8,VLOOKUP(B8,'(Ref) Countries'!A:C,3,)),B8)&amp; " "</f>
        <v xml:space="preserve">| [Poland](/tags/poland) </v>
      </c>
      <c r="CI8" s="30" t="str">
        <f t="shared" si="28"/>
        <v xml:space="preserve">| 13th Century </v>
      </c>
      <c r="CJ8" s="30" t="str">
        <f t="shared" si="29"/>
        <v xml:space="preserve">| [Link](/places/pl-swieta-lipka-sanctuary) </v>
      </c>
      <c r="CK8" s="29" t="str">
        <f t="shared" si="30"/>
        <v xml:space="preserve">
| [Swieta Lipka](/places/pl-swieta-lipka-sanctuary) | [Poland](/tags/poland) | 13th Century | [Link](/places/pl-swieta-lipka-sanctuary) [Official site](https://www.swlipka.pl/)[Link](http://www.therealpresence.org/eucharst/misc/BVM/138_SWIETA_LIPKA_60x96.pdf)[Link](http://www.miraclehunter.com/marian_apparitions/approved_apparitions/apparitions_1200-1299.html) (Search for "Swieta Lipka")| |</v>
      </c>
    </row>
    <row r="9" spans="1:90" ht="74.599999999999994" x14ac:dyDescent="0.4">
      <c r="A9" s="14" t="s">
        <v>1320</v>
      </c>
      <c r="B9" s="24" t="s">
        <v>11</v>
      </c>
      <c r="D9" s="15">
        <v>45.523673865207101</v>
      </c>
      <c r="E9" s="49">
        <v>10.3142692079531</v>
      </c>
      <c r="F9" s="85" t="s">
        <v>1891</v>
      </c>
      <c r="G9" s="53" t="s">
        <v>1891</v>
      </c>
      <c r="H9" s="15" t="s">
        <v>1715</v>
      </c>
      <c r="I9" s="25" t="b">
        <v>1</v>
      </c>
      <c r="J9" s="15" t="b">
        <v>1</v>
      </c>
      <c r="L9" s="24" t="s">
        <v>1358</v>
      </c>
      <c r="N9" s="15" t="s">
        <v>1362</v>
      </c>
      <c r="O9" s="15" t="s">
        <v>336</v>
      </c>
      <c r="Y9" s="15" t="s">
        <v>336</v>
      </c>
      <c r="AI9" s="87" t="s">
        <v>1361</v>
      </c>
      <c r="AJ9" s="88" t="s">
        <v>1311</v>
      </c>
      <c r="AK9" s="15" t="s">
        <v>199</v>
      </c>
      <c r="AL9" s="15" t="s">
        <v>336</v>
      </c>
      <c r="AM9" s="15" t="s">
        <v>1359</v>
      </c>
      <c r="AN9" s="15" t="s">
        <v>1360</v>
      </c>
      <c r="AO9" s="15" t="s">
        <v>336</v>
      </c>
      <c r="AP9" s="49" t="s">
        <v>336</v>
      </c>
      <c r="AR9" s="28" t="b">
        <f t="shared" si="0"/>
        <v>1</v>
      </c>
      <c r="AS9" s="29" t="str">
        <f t="shared" si="1"/>
        <v>title: "Sanctuary of Our Lady of Valverde"</v>
      </c>
      <c r="AT9" s="29" t="str">
        <f t="shared" si="2"/>
        <v>location: {lat: 45.5236738652071, lng: 10.3142692079531}</v>
      </c>
      <c r="AU9" s="29" t="str">
        <f t="shared" si="3"/>
        <v>level: global</v>
      </c>
      <c r="AV9" s="29" t="str">
        <f>"- "&amp;VLOOKUP(B9,'(Ref) Countries'!A:C,3,)</f>
        <v>- italy</v>
      </c>
      <c r="AW9" s="29" t="str">
        <f t="shared" si="4"/>
        <v/>
      </c>
      <c r="AX9" s="29" t="str">
        <f t="shared" si="5"/>
        <v>- churches</v>
      </c>
      <c r="AY9" s="29" t="str">
        <f t="shared" si="6"/>
        <v>- marian-sites</v>
      </c>
      <c r="AZ9" s="29" t="str">
        <f t="shared" si="7"/>
        <v/>
      </c>
      <c r="BA9" s="29" t="str">
        <f t="shared" si="8"/>
        <v/>
      </c>
      <c r="BB9" s="29" t="str">
        <f t="shared" si="9"/>
        <v/>
      </c>
      <c r="BC9" s="29" t="str">
        <f t="shared" si="10"/>
        <v/>
      </c>
      <c r="BD9" s="29" t="str">
        <f t="shared" si="11"/>
        <v/>
      </c>
      <c r="BE9" s="29" t="str">
        <f t="shared" si="12"/>
        <v/>
      </c>
      <c r="BF9" s="29" t="str">
        <f t="shared" si="13"/>
        <v/>
      </c>
      <c r="BG9" s="29" t="str">
        <f t="shared" si="14"/>
        <v/>
      </c>
      <c r="BH9" s="29" t="str">
        <f t="shared" si="15"/>
        <v/>
      </c>
      <c r="BI9" s="29" t="str">
        <f t="shared" si="16"/>
        <v/>
      </c>
      <c r="BJ9" s="29" t="str">
        <f t="shared" si="17"/>
        <v/>
      </c>
      <c r="BK9" s="29" t="str">
        <f t="shared" si="31"/>
        <v xml:space="preserve">tags:
- italy_x000D_
- churches_x000D_
- marian-sites_x000D_
</v>
      </c>
      <c r="BL9" s="30" t="str">
        <f t="shared" si="18"/>
        <v>[Official site](https://www.uprezzatovirle.it/santuario-valverde)</v>
      </c>
      <c r="BM9" s="30" t="str">
        <f t="shared" si="19"/>
        <v/>
      </c>
      <c r="BN9" s="30" t="str">
        <f t="shared" si="20"/>
        <v/>
      </c>
      <c r="BO9" s="30" t="str">
        <f t="shared" si="21"/>
        <v/>
      </c>
      <c r="BP9" s="30" t="str">
        <f t="shared" si="32"/>
        <v xml:space="preserve">* [Official site](https://www.uprezzatovirle.it/santuario-valverde)
</v>
      </c>
      <c r="BQ9" s="30" t="str">
        <f t="shared" si="22"/>
        <v>[Link](http://www.therealpresence.org/eucharst/misc/BVM/13_VALVERDE_60x96.pdf)</v>
      </c>
      <c r="BR9" s="30" t="str">
        <f t="shared" si="23"/>
        <v>[Link](https://www.miraclehunter.com/marian_apparitions/approved_apparitions/apparitions_1700-1799.html) (Search for "Valverde")</v>
      </c>
      <c r="BS9" s="30" t="str">
        <f t="shared" si="24"/>
        <v/>
      </c>
      <c r="BT9" s="30" t="str">
        <f>IF(LEN(_xludf.concat(BQ9:BS9))&gt;0,_xludf.concat("| ",BQ9," | ",BR9," | ",BS9," |"),"")</f>
        <v>| [Link](http://www.therealpresence.org/eucharst/misc/BVM/13_VALVERDE_60x96.pdf) | [Link](https://www.miraclehunter.com/marian_apparitions/approved_apparitions/apparitions_1700-1799.html) (Search for "Valverde") |  |</v>
      </c>
      <c r="BU9" s="29" t="str">
        <f t="shared" si="25"/>
        <v xml:space="preserve">| The Real Presence | Miracle Hunter | MaryPages |_x000D_
| --- | --- | --- |_x000D_
| [Link](http://www.therealpresence.org/eucharst/misc/BVM/13_VALVERDE_60x96.pdf) | [Link](https://www.miraclehunter.com/marian_apparitions/approved_apparitions/apparitions_1700-1799.html) (Search for "Valverde") |  |_x000D_
</v>
      </c>
      <c r="BV9" s="29" t="str">
        <f>IF(LEN(BP9&amp;BU9)&gt;0,concatll("#### More Information",BP9,BU9),"")</f>
        <v xml:space="preserve">####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v>
      </c>
      <c r="BW9" s="29" t="str">
        <f>IF(LEN(M9)&gt;1,concatll("#### Author's Note",M9),"")</f>
        <v/>
      </c>
      <c r="BX9" s="23" t="str">
        <f>IF(AR9,concatll(concatl("---",AS9:AU9,BK9,"---"),L9,BV9:BW9),"")</f>
        <v xml:space="preserve">---_x000D_
title: "Sanctuary of Our Lady of Valverde"_x000D_
location: {lat: 45.5236738652071, lng: 10.3142692079531}_x000D_
level: global_x000D_
tags:
- italy_x000D_
- churches_x000D_
- marian-sites_x000D_
_x000D_
---_x000D_
_x000D_
_x000D_
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epidemic._x000D_
_x000D_
####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_x000D_
_x000D_
</v>
      </c>
      <c r="BY9" s="23" t="str">
        <f>IF(AR9,VLOOKUP(B9,'(Ref) Countries'!A:B,2,)&amp;IF(LEN(C9)&gt;1,"-"&amp;LOWER(SUBSTITUTE(C9," ","-")),"")&amp;"-"&amp;LOWER(SUBSTITUTE(G9," ","-"))&amp;".md","")</f>
        <v>it-sanctuary-of-our-lady-of-valverde.md</v>
      </c>
      <c r="BZ9" s="29" t="str">
        <f>IF(LEN(Y9)&gt;1,VLOOKUP(Y9,'Tag List'!$A:$B,2,),"")</f>
        <v/>
      </c>
      <c r="CA9" s="29" t="str">
        <f>IF(LEN(Z9)&gt;1,VLOOKUP(Z9,'Tag List'!$A:$B,2,),"")</f>
        <v/>
      </c>
      <c r="CB9" s="29" t="str">
        <f>IF(LEN(AA9)&gt;1,VLOOKUP(AA9,'Tag List'!$A:$B,2,),"")</f>
        <v/>
      </c>
      <c r="CC9" s="30" t="str">
        <f>IF(LEN(Y9)&gt;1,GetTagPage(BZ9,Y9),"")</f>
        <v/>
      </c>
      <c r="CD9" s="30" t="str">
        <f>IF(LEN(Z9)&gt;1,GetTagPage(CA9,Z9),"")</f>
        <v/>
      </c>
      <c r="CE9" s="30" t="str">
        <f>IF(LEN(AA9)&gt;1,GetTagPage(CB9,AA9),"")</f>
        <v/>
      </c>
      <c r="CF9" s="30" t="str">
        <f t="shared" si="26"/>
        <v xml:space="preserve">| </v>
      </c>
      <c r="CG9" s="30" t="str">
        <f t="shared" si="27"/>
        <v xml:space="preserve">| [Valverde Di Rezzato](/places/it-sanctuary-of-our-lady-of-valverde) </v>
      </c>
      <c r="CH9" s="30" t="str">
        <f>"| "&amp;IF(AR9,GetTagPage(B9,VLOOKUP(B9,'(Ref) Countries'!A:C,3,)),B9)&amp; " "</f>
        <v xml:space="preserve">| [Italy](/tags/italy) </v>
      </c>
      <c r="CI9" s="30" t="str">
        <f t="shared" si="28"/>
        <v xml:space="preserve">| 1399, 1711 </v>
      </c>
      <c r="CJ9" s="30" t="str">
        <f t="shared" si="29"/>
        <v xml:space="preserve">| [Link](/places/it-sanctuary-of-our-lady-of-valverde) </v>
      </c>
      <c r="CK9" s="29" t="str">
        <f t="shared" si="30"/>
        <v xml:space="preserve">
| [Valverde Di Rezzato](/places/it-sanctuary-of-our-lady-of-valverde) | [Italy](/tags/italy) | 1399, 1711 | [Link](/places/it-sanctuary-of-our-lady-of-valverde) [Official site](https://www.uprezzatovirle.it/santuario-valverde)[Link](http://www.therealpresence.org/eucharst/misc/BVM/13_VALVERDE_60x96.pdf)[Link](https://www.miraclehunter.com/marian_apparitions/approved_apparitions/apparitions_1700-1799.html) (Search for "Valverde")| |</v>
      </c>
    </row>
    <row r="10" spans="1:90" ht="111.9" x14ac:dyDescent="0.4">
      <c r="A10" s="14" t="s">
        <v>1320</v>
      </c>
      <c r="B10" s="27" t="s">
        <v>651</v>
      </c>
      <c r="D10" s="15">
        <v>49.465129655108299</v>
      </c>
      <c r="E10" s="49">
        <v>19.982843057005098</v>
      </c>
      <c r="F10" s="27" t="s">
        <v>1414</v>
      </c>
      <c r="G10" s="53" t="s">
        <v>1414</v>
      </c>
      <c r="H10" s="15" t="s">
        <v>1715</v>
      </c>
      <c r="I10" s="25" t="b">
        <v>1</v>
      </c>
      <c r="J10" s="15" t="b">
        <v>1</v>
      </c>
      <c r="L10" s="27" t="s">
        <v>1415</v>
      </c>
      <c r="M10" s="55" t="s">
        <v>1732</v>
      </c>
      <c r="N10" s="15" t="s">
        <v>1416</v>
      </c>
      <c r="O10" s="15" t="s">
        <v>336</v>
      </c>
      <c r="Y10" s="39" t="s">
        <v>1417</v>
      </c>
      <c r="Z10" s="39"/>
      <c r="AA10" s="39"/>
      <c r="AB10" s="39"/>
      <c r="AC10" s="39"/>
      <c r="AD10" s="39"/>
      <c r="AE10" s="39"/>
      <c r="AF10" s="39"/>
      <c r="AG10" s="39"/>
      <c r="AH10" s="39"/>
      <c r="AI10" s="87" t="s">
        <v>1412</v>
      </c>
      <c r="AJ10" s="89" t="s">
        <v>1413</v>
      </c>
      <c r="AK10" s="15" t="s">
        <v>336</v>
      </c>
      <c r="AL10" s="15" t="s">
        <v>336</v>
      </c>
      <c r="AM10" s="15" t="s">
        <v>336</v>
      </c>
      <c r="AN10" s="15" t="s">
        <v>336</v>
      </c>
      <c r="AO10" s="15" t="s">
        <v>336</v>
      </c>
      <c r="AP10" s="49" t="s">
        <v>336</v>
      </c>
      <c r="AR10" s="28" t="b">
        <f t="shared" si="0"/>
        <v>1</v>
      </c>
      <c r="AS10" s="29" t="str">
        <f t="shared" si="1"/>
        <v>title: "Sanctuary of Our Lady Queen of Podhale"</v>
      </c>
      <c r="AT10" s="29" t="str">
        <f t="shared" si="2"/>
        <v>location: {lat: 49.4651296551083, lng: 19.9828430570051}</v>
      </c>
      <c r="AU10" s="29" t="str">
        <f t="shared" si="3"/>
        <v>level: global</v>
      </c>
      <c r="AV10" s="29" t="str">
        <f>"- "&amp;VLOOKUP(B10,'(Ref) Countries'!A:C,3,)</f>
        <v>- poland</v>
      </c>
      <c r="AW10" s="29" t="str">
        <f t="shared" si="4"/>
        <v/>
      </c>
      <c r="AX10" s="29" t="str">
        <f t="shared" si="5"/>
        <v>- churches</v>
      </c>
      <c r="AY10" s="29" t="str">
        <f t="shared" si="6"/>
        <v>- marian-sites</v>
      </c>
      <c r="AZ10" s="29" t="str">
        <f t="shared" si="7"/>
        <v/>
      </c>
      <c r="BA10" s="29" t="str">
        <f t="shared" si="8"/>
        <v>- john-paul-ii</v>
      </c>
      <c r="BB10" s="29" t="str">
        <f t="shared" si="9"/>
        <v/>
      </c>
      <c r="BC10" s="29" t="str">
        <f t="shared" si="10"/>
        <v/>
      </c>
      <c r="BD10" s="29" t="str">
        <f t="shared" si="11"/>
        <v/>
      </c>
      <c r="BE10" s="29" t="str">
        <f t="shared" si="12"/>
        <v/>
      </c>
      <c r="BF10" s="29" t="str">
        <f t="shared" si="13"/>
        <v/>
      </c>
      <c r="BG10" s="29" t="str">
        <f t="shared" si="14"/>
        <v/>
      </c>
      <c r="BH10" s="29" t="str">
        <f t="shared" si="15"/>
        <v/>
      </c>
      <c r="BI10" s="29" t="str">
        <f t="shared" si="16"/>
        <v/>
      </c>
      <c r="BJ10" s="29" t="str">
        <f t="shared" si="17"/>
        <v/>
      </c>
      <c r="BK10" s="29" t="str">
        <f t="shared" si="31"/>
        <v xml:space="preserve">tags:
- poland_x000D_
- churches_x000D_
- marian-sites_x000D_
- john-paul-ii_x000D_
</v>
      </c>
      <c r="BL10" s="30" t="str">
        <f t="shared" si="18"/>
        <v>[Official site](ps://www.mbludzm.pl/)</v>
      </c>
      <c r="BM10" s="30" t="str">
        <f t="shared" si="19"/>
        <v/>
      </c>
      <c r="BN10" s="30" t="str">
        <f t="shared" si="20"/>
        <v/>
      </c>
      <c r="BO10" s="30" t="str">
        <f t="shared" si="21"/>
        <v/>
      </c>
      <c r="BP10" s="30" t="str">
        <f t="shared" si="32"/>
        <v xml:space="preserve">* [Official site](ps://www.mbludzm.pl/)
</v>
      </c>
      <c r="BQ10" s="30" t="str">
        <f t="shared" si="22"/>
        <v/>
      </c>
      <c r="BR10" s="30" t="str">
        <f t="shared" si="23"/>
        <v/>
      </c>
      <c r="BS10" s="30" t="str">
        <f t="shared" si="24"/>
        <v/>
      </c>
      <c r="BT10" s="30" t="str">
        <f>IF(LEN(_xludf.concat(BQ10:BS10))&gt;0,_xludf.concat("| ",BQ10," | ",BR10," | ",BS10," |"),"")</f>
        <v/>
      </c>
      <c r="BU10" s="29" t="str">
        <f t="shared" si="25"/>
        <v xml:space="preserve">| The Real Presence | Miracle Hunter | MaryPages |_x000D_
| --- | --- | --- |_x000D_
</v>
      </c>
      <c r="BV10" s="29" t="str">
        <f>IF(LEN(BP10&amp;BU10)&gt;0,concatll("#### More Information",BP10,BU10),"")</f>
        <v xml:space="preserve">#### More Information_x000D_
_x000D_
* [Official site](ps://www.mbludzm.pl/)
_x000D_
_x000D_
| The Real Presence | Miracle Hunter | MaryPages |_x000D_
| --- | --- | --- |_x000D_
_x000D_
_x000D_
</v>
      </c>
      <c r="BW10" s="29" t="str">
        <f>IF(LEN(M10)&gt;1,concatll("#### Author's Note",M10),"")</f>
        <v xml:space="preserve">#### Author's Note_x000D_
_x000D_
Some good information on [Catholic Shrine Basilica](https://catholicshrinebasilica.com/sanctuary-of-our-lady-of-ludzmierz-poland/).
-JMM_x000D_
_x000D_
</v>
      </c>
      <c r="BX10" s="23" t="str">
        <f>IF(AR10,concatll(concatl("---",AS10:AU10,BK10,"---"),L10,BV10:BW10),"")</f>
        <v xml:space="preserve">---_x000D_
title: "Sanctuary of Our Lady Queen of Podhale"_x000D_
location: {lat: 49.4651296551083, lng: 19.9828430570051}_x000D_
level: global_x000D_
tags:
- poland_x000D_
- churches_x000D_
- marian-sites_x000D_
- john-paul-ii_x000D_
_x000D_
---_x000D_
_x000D_
_x000D_
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papacy._x000D_
_x000D_
#### More Information_x000D_
_x000D_
* [Official site](ps://www.mbludzm.pl/)
_x000D_
_x000D_
| The Real Presence | Miracle Hunter | MaryPages |_x000D_
| --- | --- | --- |_x000D_
_x000D_
_x000D_
_x000D_
_x000D_
#### Author's Note_x000D_
_x000D_
Some good information on [Catholic Shrine Basilica](https://catholicshrinebasilica.com/sanctuary-of-our-lady-of-ludzmierz-poland/).
-JMM_x000D_
_x000D_
_x000D_
_x000D_
</v>
      </c>
      <c r="BY10" s="23" t="str">
        <f>IF(AR10,VLOOKUP(B10,'(Ref) Countries'!A:B,2,)&amp;IF(LEN(C10)&gt;1,"-"&amp;LOWER(SUBSTITUTE(C10," ","-")),"")&amp;"-"&amp;LOWER(SUBSTITUTE(G10," ","-"))&amp;".md","")</f>
        <v>pl-sanctuary-of-our-lady-queen-of-podhale.md</v>
      </c>
      <c r="BZ10" s="29" t="str">
        <f>IF(LEN(Y10)&gt;1,VLOOKUP(Y10,'Tag List'!$A:$B,2,),"")</f>
        <v>Pope St. John Paul II</v>
      </c>
      <c r="CA10" s="29" t="str">
        <f>IF(LEN(Z10)&gt;1,VLOOKUP(Z10,'Tag List'!$A:$B,2,),"")</f>
        <v/>
      </c>
      <c r="CB10" s="29" t="str">
        <f>IF(LEN(AA10)&gt;1,VLOOKUP(AA10,'Tag List'!$A:$B,2,),"")</f>
        <v/>
      </c>
      <c r="CC10" s="30" t="str">
        <f>IF(LEN(Y10)&gt;1,GetTagPage(BZ10,Y10),"")</f>
        <v>[Pope St. John Paul II](/tags/john-paul-ii)</v>
      </c>
      <c r="CD10" s="30" t="str">
        <f>IF(LEN(Z10)&gt;1,GetTagPage(CA10,Z10),"")</f>
        <v/>
      </c>
      <c r="CE10" s="30" t="str">
        <f>IF(LEN(AA10)&gt;1,GetTagPage(CB10,AA10),"")</f>
        <v/>
      </c>
      <c r="CF10" s="30" t="str">
        <f t="shared" si="26"/>
        <v xml:space="preserve">| [Pope St. John Paul II](/tags/john-paul-ii) </v>
      </c>
      <c r="CG10" s="30" t="str">
        <f t="shared" si="27"/>
        <v xml:space="preserve">| [Ludzmierz](/places/pl-sanctuary-of-our-lady-queen-of-podhale) </v>
      </c>
      <c r="CH10" s="30" t="str">
        <f>"| "&amp;IF(AR10,GetTagPage(B10,VLOOKUP(B10,'(Ref) Countries'!A:C,3,)),B10)&amp; " "</f>
        <v xml:space="preserve">| [Poland](/tags/poland) </v>
      </c>
      <c r="CI10" s="30" t="str">
        <f t="shared" si="28"/>
        <v xml:space="preserve">| c. 1400 </v>
      </c>
      <c r="CJ10" s="30" t="str">
        <f t="shared" si="29"/>
        <v xml:space="preserve">| [Link](/places/pl-sanctuary-of-our-lady-queen-of-podhale) </v>
      </c>
      <c r="CK10" s="29" t="str">
        <f t="shared" si="30"/>
        <v xml:space="preserve">
| [Ludzmierz](/places/pl-sanctuary-of-our-lady-queen-of-podhale) | [Poland](/tags/poland) | c. 1400 | [Link](/places/pl-sanctuary-of-our-lady-queen-of-podhale) [Official site](ps://www.mbludzm.pl/)| [Pope St. John Paul II](/tags/john-paul-ii) |</v>
      </c>
    </row>
    <row r="11" spans="1:90" ht="62.15" x14ac:dyDescent="0.4">
      <c r="A11" s="14" t="s">
        <v>1320</v>
      </c>
      <c r="B11" s="24" t="s">
        <v>2</v>
      </c>
      <c r="D11" s="15">
        <v>10.6803068</v>
      </c>
      <c r="E11" s="49">
        <v>79.849313699999996</v>
      </c>
      <c r="F11" s="40" t="s">
        <v>1711</v>
      </c>
      <c r="G11" s="54" t="s">
        <v>1704</v>
      </c>
      <c r="H11" s="25" t="s">
        <v>1715</v>
      </c>
      <c r="I11" s="25" t="b">
        <v>1</v>
      </c>
      <c r="J11" s="15" t="b">
        <v>1</v>
      </c>
      <c r="L11" s="40" t="s">
        <v>1709</v>
      </c>
      <c r="M11" s="54" t="s">
        <v>1745</v>
      </c>
      <c r="N11" s="25" t="s">
        <v>1706</v>
      </c>
      <c r="O11" s="15" t="s">
        <v>336</v>
      </c>
      <c r="Y11" s="15" t="s">
        <v>336</v>
      </c>
      <c r="AI11" s="87" t="s">
        <v>1218</v>
      </c>
      <c r="AJ11" s="88" t="s">
        <v>1096</v>
      </c>
      <c r="AK11" s="15" t="s">
        <v>222</v>
      </c>
      <c r="AL11" s="15" t="s">
        <v>336</v>
      </c>
      <c r="AM11" s="25" t="s">
        <v>1708</v>
      </c>
      <c r="AN11" s="15" t="s">
        <v>336</v>
      </c>
      <c r="AO11" s="15" t="s">
        <v>1710</v>
      </c>
      <c r="AP11" s="49" t="s">
        <v>336</v>
      </c>
      <c r="AR11" s="28" t="b">
        <f t="shared" si="0"/>
        <v>1</v>
      </c>
      <c r="AS11" s="29" t="str">
        <f t="shared" si="1"/>
        <v>title: "Basilica of Our Lady of Good Health (Our Lady of Velankanni)"</v>
      </c>
      <c r="AT11" s="29" t="str">
        <f t="shared" si="2"/>
        <v>location: {lat: 10.6803068, lng: 79.8493137}</v>
      </c>
      <c r="AU11" s="29" t="str">
        <f t="shared" si="3"/>
        <v>level: global</v>
      </c>
      <c r="AV11" s="29" t="str">
        <f>"- "&amp;VLOOKUP(B11,'(Ref) Countries'!A:C,3,)</f>
        <v>- india</v>
      </c>
      <c r="AW11" s="29" t="str">
        <f t="shared" si="4"/>
        <v/>
      </c>
      <c r="AX11" s="29" t="str">
        <f t="shared" si="5"/>
        <v>- churches</v>
      </c>
      <c r="AY11" s="29" t="str">
        <f t="shared" si="6"/>
        <v>- marian-sites</v>
      </c>
      <c r="AZ11" s="29" t="str">
        <f t="shared" si="7"/>
        <v/>
      </c>
      <c r="BA11" s="29" t="str">
        <f t="shared" si="8"/>
        <v/>
      </c>
      <c r="BB11" s="29" t="str">
        <f t="shared" si="9"/>
        <v/>
      </c>
      <c r="BC11" s="29" t="str">
        <f t="shared" si="10"/>
        <v/>
      </c>
      <c r="BD11" s="29" t="str">
        <f t="shared" si="11"/>
        <v/>
      </c>
      <c r="BE11" s="29" t="str">
        <f t="shared" si="12"/>
        <v/>
      </c>
      <c r="BF11" s="29" t="str">
        <f t="shared" si="13"/>
        <v/>
      </c>
      <c r="BG11" s="29" t="str">
        <f t="shared" si="14"/>
        <v/>
      </c>
      <c r="BH11" s="29" t="str">
        <f t="shared" si="15"/>
        <v/>
      </c>
      <c r="BI11" s="29" t="str">
        <f t="shared" si="16"/>
        <v/>
      </c>
      <c r="BJ11" s="29" t="str">
        <f t="shared" si="17"/>
        <v/>
      </c>
      <c r="BK11" s="29" t="str">
        <f t="shared" si="31"/>
        <v xml:space="preserve">tags:
- india_x000D_
- churches_x000D_
- marian-sites_x000D_
</v>
      </c>
      <c r="BL11" s="30" t="str">
        <f t="shared" si="18"/>
        <v>[Official site](https://www.velankannichurch.com/)</v>
      </c>
      <c r="BM11" s="30" t="str">
        <f t="shared" si="19"/>
        <v/>
      </c>
      <c r="BN11" s="30" t="str">
        <f t="shared" si="20"/>
        <v/>
      </c>
      <c r="BO11" s="30" t="str">
        <f t="shared" si="21"/>
        <v/>
      </c>
      <c r="BP11" s="30" t="str">
        <f t="shared" si="32"/>
        <v xml:space="preserve">* [Official site](https://www.velankannichurch.com/)
</v>
      </c>
      <c r="BQ11" s="30" t="str">
        <f t="shared" si="22"/>
        <v>[Link](http://www.therealpresence.org/eucharst/misc/BVM/32_VAILANKANNI_60x96.pdf)</v>
      </c>
      <c r="BR11" s="30" t="str">
        <f t="shared" si="23"/>
        <v>[Link](https://www.miraclehunter.com/marian_apparitions/approved_apparitions/vailankanni/)</v>
      </c>
      <c r="BS11" s="30" t="str">
        <f t="shared" si="24"/>
        <v>[Link](https://www.marypages.com/vailankanni-(india)-en.html)</v>
      </c>
      <c r="BT11" s="30" t="str">
        <f>IF(LEN(_xludf.concat(BQ11:BS11))&gt;0,_xludf.concat("| ",BQ11," | ",BR11," | ",BS11," |"),"")</f>
        <v>| [Link](http://www.therealpresence.org/eucharst/misc/BVM/32_VAILANKANNI_60x96.pdf) | [Link](https://www.miraclehunter.com/marian_apparitions/approved_apparitions/vailankanni/) | [Link](https://www.marypages.com/vailankanni-(india)-en.html) |</v>
      </c>
      <c r="BU11" s="29" t="str">
        <f t="shared" si="25"/>
        <v xml:space="preserve">| The Real Presence | Miracle Hunter | MaryPages |_x000D_
| --- | --- | --- |_x000D_
| [Link](http://www.therealpresence.org/eucharst/misc/BVM/32_VAILANKANNI_60x96.pdf) | [Link](https://www.miraclehunter.com/marian_apparitions/approved_apparitions/vailankanni/) | [Link](https://www.marypages.com/vailankanni-(india)-en.html) |_x000D_
</v>
      </c>
      <c r="BV11" s="29" t="str">
        <f>IF(LEN(BP11&amp;BU11)&gt;0,concatll("#### More Information",BP11,BU11),"")</f>
        <v xml:space="preserve">####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v>
      </c>
      <c r="BW11" s="29" t="str">
        <f>IF(LEN(M11)&gt;1,concatll("#### Author's Note",M11),"")</f>
        <v xml:space="preserve">#### Author's Note_x000D_
_x000D_
An Indonesian parish of the same name also has a [good history](https://velangkanni.com/en/about-annai-velangkanni/) of the apparition.
-NDS_x000D_
_x000D_
</v>
      </c>
      <c r="BX11" s="23" t="str">
        <f>IF(AR11,concatll(concatl("---",AS11:AU11,BK11,"---"),L11,BV11:BW11),"")</f>
        <v xml:space="preserve">---_x000D_
title: "Basilica of Our Lady of Good Health (Our Lady of Velankanni)"_x000D_
location: {lat: 10.6803068, lng: 79.8493137}_x000D_
level: global_x000D_
tags:
- india_x000D_
- churches_x000D_
- marian-sites_x000D_
_x000D_
---_x000D_
_x000D_
_x000D_
According to tradition, there have been multiple apparitions of the Blessed Virgin Mary at Velankanni, also known as Our Lady of Good Health.  As tradition would have it, the first of many apparitions occured to a young boy who was delivering buttermilk._x000D_
_x000D_
####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_x000D_
_x000D_
#### Author's Note_x000D_
_x000D_
An Indonesian parish of the same name also has a [good history](https://velangkanni.com/en/about-annai-velangkanni/) of the apparition.
-NDS_x000D_
_x000D_
_x000D_
_x000D_
</v>
      </c>
      <c r="BY11" s="23" t="str">
        <f>IF(AR11,VLOOKUP(B11,'(Ref) Countries'!A:B,2,)&amp;IF(LEN(C11)&gt;1,"-"&amp;LOWER(SUBSTITUTE(C11," ","-")),"")&amp;"-"&amp;LOWER(SUBSTITUTE(G11," ","-"))&amp;".md","")</f>
        <v>in-basilica-of-our-lady-of-good-health.md</v>
      </c>
      <c r="BZ11" s="29" t="str">
        <f>IF(LEN(Y11)&gt;1,VLOOKUP(Y11,'Tag List'!$A:$B,2,),"")</f>
        <v/>
      </c>
      <c r="CA11" s="29" t="str">
        <f>IF(LEN(Z11)&gt;1,VLOOKUP(Z11,'Tag List'!$A:$B,2,),"")</f>
        <v/>
      </c>
      <c r="CB11" s="29" t="str">
        <f>IF(LEN(AA11)&gt;1,VLOOKUP(AA11,'Tag List'!$A:$B,2,),"")</f>
        <v/>
      </c>
      <c r="CC11" s="30" t="str">
        <f>IF(LEN(Y11)&gt;1,GetTagPage(BZ11,Y11),"")</f>
        <v/>
      </c>
      <c r="CD11" s="30" t="str">
        <f>IF(LEN(Z11)&gt;1,GetTagPage(CA11,Z11),"")</f>
        <v/>
      </c>
      <c r="CE11" s="30" t="str">
        <f>IF(LEN(AA11)&gt;1,GetTagPage(CB11,AA11),"")</f>
        <v/>
      </c>
      <c r="CF11" s="30" t="str">
        <f t="shared" si="26"/>
        <v xml:space="preserve">| </v>
      </c>
      <c r="CG11" s="30" t="str">
        <f t="shared" si="27"/>
        <v xml:space="preserve">| [Vailankanni](/places/in-basilica-of-our-lady-of-good-health) </v>
      </c>
      <c r="CH11" s="30" t="str">
        <f>"| "&amp;IF(AR11,GetTagPage(B11,VLOOKUP(B11,'(Ref) Countries'!A:C,3,)),B11)&amp; " "</f>
        <v xml:space="preserve">| [India](/tags/india) </v>
      </c>
      <c r="CI11" s="30" t="str">
        <f t="shared" si="28"/>
        <v xml:space="preserve">| 16th Century </v>
      </c>
      <c r="CJ11" s="30" t="str">
        <f t="shared" si="29"/>
        <v xml:space="preserve">| [Link](/places/in-basilica-of-our-lady-of-good-health) </v>
      </c>
      <c r="CK11" s="29" t="str">
        <f t="shared" si="30"/>
        <v xml:space="preserve">
| [Vailankanni](/places/in-basilica-of-our-lady-of-good-health) | [India](/tags/india) | 16th Century | [Link](/places/in-basilica-of-our-lady-of-good-health) [Official site](https://www.velankannichurch.com/)[Link](http://www.therealpresence.org/eucharst/misc/BVM/32_VAILANKANNI_60x96.pdf)[Link](https://www.miraclehunter.com/marian_apparitions/approved_apparitions/vailankanni/)[Link](https://www.marypages.com/vailankanni-(india)-en.html)| |</v>
      </c>
    </row>
    <row r="12" spans="1:90" ht="37.299999999999997" x14ac:dyDescent="0.4">
      <c r="A12" s="14" t="s">
        <v>1320</v>
      </c>
      <c r="B12" s="24" t="s">
        <v>630</v>
      </c>
      <c r="C12" s="35" t="s">
        <v>1761</v>
      </c>
      <c r="D12" s="15">
        <v>19.483432799999999</v>
      </c>
      <c r="E12" s="49">
        <v>-99.117410300000003</v>
      </c>
      <c r="F12" s="24" t="s">
        <v>432</v>
      </c>
      <c r="G12" s="53" t="s">
        <v>432</v>
      </c>
      <c r="H12" s="15" t="s">
        <v>1715</v>
      </c>
      <c r="I12" s="25" t="b">
        <v>1</v>
      </c>
      <c r="J12" s="15" t="b">
        <v>1</v>
      </c>
      <c r="K12" s="15" t="b">
        <v>1</v>
      </c>
      <c r="L12" s="24" t="s">
        <v>453</v>
      </c>
      <c r="N12" s="15" t="s">
        <v>431</v>
      </c>
      <c r="O12" s="15" t="s">
        <v>336</v>
      </c>
      <c r="Y12" s="36" t="s">
        <v>486</v>
      </c>
      <c r="Z12" s="36"/>
      <c r="AA12" s="36"/>
      <c r="AB12" s="36"/>
      <c r="AC12" s="36"/>
      <c r="AD12" s="36"/>
      <c r="AE12" s="36"/>
      <c r="AF12" s="36"/>
      <c r="AG12" s="36"/>
      <c r="AH12" s="36"/>
      <c r="AI12" s="87" t="s">
        <v>1003</v>
      </c>
      <c r="AJ12" s="88">
        <v>1531</v>
      </c>
      <c r="AK12" s="15" t="s">
        <v>237</v>
      </c>
      <c r="AL12" s="15" t="s">
        <v>336</v>
      </c>
      <c r="AM12" s="15" t="s">
        <v>454</v>
      </c>
      <c r="AN12" s="15" t="s">
        <v>336</v>
      </c>
      <c r="AO12" s="15" t="s">
        <v>455</v>
      </c>
      <c r="AP12" s="49" t="s">
        <v>336</v>
      </c>
      <c r="AR12" s="28" t="b">
        <f t="shared" si="0"/>
        <v>1</v>
      </c>
      <c r="AS12" s="29" t="str">
        <f t="shared" si="1"/>
        <v>title: "Basilica of Our Lady of Guadalupe"</v>
      </c>
      <c r="AT12" s="29" t="str">
        <f t="shared" si="2"/>
        <v>location: {lat: 19.4834328, lng: -99.1174103}</v>
      </c>
      <c r="AU12" s="29" t="str">
        <f t="shared" si="3"/>
        <v>level: global</v>
      </c>
      <c r="AV12" s="29" t="str">
        <f>"- "&amp;VLOOKUP(B12,'(Ref) Countries'!A:C,3,)</f>
        <v>- mexico</v>
      </c>
      <c r="AW12" s="29" t="str">
        <f t="shared" si="4"/>
        <v>- mexico-city</v>
      </c>
      <c r="AX12" s="29" t="str">
        <f t="shared" si="5"/>
        <v>- churches</v>
      </c>
      <c r="AY12" s="29" t="str">
        <f t="shared" si="6"/>
        <v>- marian-sites</v>
      </c>
      <c r="AZ12" s="29" t="str">
        <f t="shared" si="7"/>
        <v>- holy-persons</v>
      </c>
      <c r="BA12" s="29" t="str">
        <f t="shared" si="8"/>
        <v>- juan-diego</v>
      </c>
      <c r="BB12" s="29" t="str">
        <f t="shared" si="9"/>
        <v/>
      </c>
      <c r="BC12" s="29" t="str">
        <f t="shared" si="10"/>
        <v/>
      </c>
      <c r="BD12" s="29" t="str">
        <f t="shared" si="11"/>
        <v/>
      </c>
      <c r="BE12" s="29" t="str">
        <f t="shared" si="12"/>
        <v/>
      </c>
      <c r="BF12" s="29" t="str">
        <f t="shared" si="13"/>
        <v/>
      </c>
      <c r="BG12" s="29" t="str">
        <f t="shared" si="14"/>
        <v/>
      </c>
      <c r="BH12" s="29" t="str">
        <f t="shared" si="15"/>
        <v/>
      </c>
      <c r="BI12" s="29" t="str">
        <f t="shared" si="16"/>
        <v/>
      </c>
      <c r="BJ12" s="29" t="str">
        <f t="shared" si="17"/>
        <v/>
      </c>
      <c r="BK12" s="29" t="str">
        <f t="shared" si="31"/>
        <v xml:space="preserve">tags:
- mexico_x000D_
- mexico-city_x000D_
- churches_x000D_
- marian-sites_x000D_
- holy-persons_x000D_
- juan-diego_x000D_
</v>
      </c>
      <c r="BL12" s="30" t="str">
        <f t="shared" si="18"/>
        <v>[Official site](https://virgendeguadalupe.org.mx/)</v>
      </c>
      <c r="BM12" s="30" t="str">
        <f t="shared" si="19"/>
        <v/>
      </c>
      <c r="BN12" s="30" t="str">
        <f t="shared" si="20"/>
        <v/>
      </c>
      <c r="BO12" s="30" t="str">
        <f t="shared" si="21"/>
        <v/>
      </c>
      <c r="BP12" s="30" t="str">
        <f t="shared" si="32"/>
        <v xml:space="preserve">* [Official site](https://virgendeguadalupe.org.mx/)
</v>
      </c>
      <c r="BQ12" s="30" t="str">
        <f t="shared" si="22"/>
        <v>[Link](http://www.therealpresence.org/eucharst/misc/BVM/70_GUADALUPE_96x96.pdf)</v>
      </c>
      <c r="BR12" s="30" t="str">
        <f t="shared" si="23"/>
        <v>[Link](https://www.miraclehunter.com/marian_apparitions/approved_apparitions/guadalupe/index.html)</v>
      </c>
      <c r="BS12" s="30" t="str">
        <f t="shared" si="24"/>
        <v>[Link](https://www.marypages.com/guadalupe-(mexico).html)</v>
      </c>
      <c r="BT12" s="30" t="str">
        <f>IF(LEN(_xludf.concat(BQ12:BS12))&gt;0,_xludf.concat("| ",BQ12," | ",BR12," | ",BS12," |"),"")</f>
        <v>| [Link](http://www.therealpresence.org/eucharst/misc/BVM/70_GUADALUPE_96x96.pdf) | [Link](https://www.miraclehunter.com/marian_apparitions/approved_apparitions/guadalupe/index.html) | [Link](https://www.marypages.com/guadalupe-(mexico).html) |</v>
      </c>
      <c r="BU12" s="29" t="str">
        <f t="shared" si="25"/>
        <v xml:space="preserve">| The Real Presence | Miracle Hunter | MaryPages |_x000D_
| --- | --- | --- |_x000D_
| [Link](http://www.therealpresence.org/eucharst/misc/BVM/70_GUADALUPE_96x96.pdf) | [Link](https://www.miraclehunter.com/marian_apparitions/approved_apparitions/guadalupe/index.html) | [Link](https://www.marypages.com/guadalupe-(mexico).html) |_x000D_
</v>
      </c>
      <c r="BV12" s="29" t="str">
        <f>IF(LEN(BP12&amp;BU12)&gt;0,concatll("#### More Information",BP12,BU12),"")</f>
        <v xml:space="preserve">####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v>
      </c>
      <c r="BW12" s="29" t="str">
        <f>IF(LEN(M12)&gt;1,concatll("#### Author's Note",M12),"")</f>
        <v/>
      </c>
      <c r="BX12" s="23" t="str">
        <f>IF(AR12,concatll(concatl("---",AS12:AU12,BK12,"---"),L12,BV12:BW12),"")</f>
        <v xml:space="preserve">---_x000D_
title: "Basilica of Our Lady of Guadalupe"_x000D_
location: {lat: 19.4834328, lng: -99.1174103}_x000D_
level: global_x000D_
tags:
- mexico_x000D_
- mexico-city_x000D_
- churches_x000D_
- marian-sites_x000D_
- holy-persons_x000D_
- juan-diego_x000D_
_x000D_
---_x000D_
_x000D_
_x000D_
In December 1531, the Virgin Mary appeared to St. Juan Diego and his uncle.  The miraculous image imprinted on Juan Diego's tilma is on display at the Basilica of Our Lady of Guadalupe, which is the most-visited Catholic shrine in the world._x000D_
_x000D_
####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_x000D_
_x000D_
</v>
      </c>
      <c r="BY12" s="23" t="str">
        <f>IF(AR12,VLOOKUP(B12,'(Ref) Countries'!A:B,2,)&amp;IF(LEN(C12)&gt;1,"-"&amp;LOWER(SUBSTITUTE(C12," ","-")),"")&amp;"-"&amp;LOWER(SUBSTITUTE(G12," ","-"))&amp;".md","")</f>
        <v>mx-mexico-city-basilica-of-our-lady-of-guadalupe.md</v>
      </c>
      <c r="BZ12" s="38" t="str">
        <f>IF(LEN(Y12)&gt;1,VLOOKUP(Y12,'Tag List'!$A:$B,2,),"")</f>
        <v>St. Juan Diego</v>
      </c>
      <c r="CA12" s="38" t="str">
        <f>IF(LEN(Z12)&gt;1,VLOOKUP(Z12,'Tag List'!$A:$B,2,),"")</f>
        <v/>
      </c>
      <c r="CB12" s="38" t="str">
        <f>IF(LEN(AA12)&gt;1,VLOOKUP(AA12,'Tag List'!$A:$B,2,),"")</f>
        <v/>
      </c>
      <c r="CC12" s="30" t="str">
        <f>IF(LEN(Y12)&gt;1,GetTagPage(BZ12,Y12),"")</f>
        <v>[St. Juan Diego](/tags/juan-diego)</v>
      </c>
      <c r="CD12" s="30" t="str">
        <f>IF(LEN(Z12)&gt;1,GetTagPage(CA12,Z12),"")</f>
        <v/>
      </c>
      <c r="CE12" s="30" t="str">
        <f>IF(LEN(AA12)&gt;1,GetTagPage(CB12,AA12),"")</f>
        <v/>
      </c>
      <c r="CF12" s="30" t="str">
        <f t="shared" si="26"/>
        <v xml:space="preserve">| [St. Juan Diego](/tags/juan-diego) </v>
      </c>
      <c r="CG12" s="30" t="str">
        <f t="shared" si="27"/>
        <v xml:space="preserve">| [Guadalupe](/places/mx-mexico-city-basilica-of-our-lady-of-guadalupe) </v>
      </c>
      <c r="CH12" s="30" t="str">
        <f>"| "&amp;IF(AR12,GetTagPage(B12,VLOOKUP(B12,'(Ref) Countries'!A:C,3,)),B12)&amp; " "</f>
        <v xml:space="preserve">| [Mexico](/tags/mexico) </v>
      </c>
      <c r="CI12" s="30" t="str">
        <f t="shared" si="28"/>
        <v xml:space="preserve">| 1531 </v>
      </c>
      <c r="CJ12" s="30" t="str">
        <f t="shared" si="29"/>
        <v xml:space="preserve">| [Link](/places/mx-mexico-city-basilica-of-our-lady-of-guadalupe) </v>
      </c>
      <c r="CK12" s="29" t="str">
        <f t="shared" si="30"/>
        <v xml:space="preserve">
| [Guadalupe](/places/mx-mexico-city-basilica-of-our-lady-of-guadalupe) | [Mexico](/tags/mexico) | 1531 | [Link](/places/mx-mexico-city-basilica-of-our-lady-of-guadalupe) [Official site](https://virgendeguadalupe.org.mx/)[Link](http://www.therealpresence.org/eucharst/misc/BVM/70_GUADALUPE_96x96.pdf)[Link](https://www.miraclehunter.com/marian_apparitions/approved_apparitions/guadalupe/index.html)[Link](https://www.marypages.com/guadalupe-(mexico).html)| [St. Juan Diego](/tags/juan-diego) |</v>
      </c>
    </row>
    <row r="13" spans="1:90" ht="49.75" x14ac:dyDescent="0.4">
      <c r="A13" s="14" t="s">
        <v>1320</v>
      </c>
      <c r="B13" s="24" t="s">
        <v>669</v>
      </c>
      <c r="D13" s="15">
        <v>45.998943044455899</v>
      </c>
      <c r="E13" s="49">
        <v>13.6553373449013</v>
      </c>
      <c r="F13" s="41" t="s">
        <v>1381</v>
      </c>
      <c r="G13" s="53" t="s">
        <v>1381</v>
      </c>
      <c r="H13" s="15" t="s">
        <v>1715</v>
      </c>
      <c r="I13" s="25" t="b">
        <v>1</v>
      </c>
      <c r="J13" s="15" t="b">
        <v>1</v>
      </c>
      <c r="L13" s="41" t="s">
        <v>1383</v>
      </c>
      <c r="N13" s="15" t="s">
        <v>1382</v>
      </c>
      <c r="O13" s="15" t="s">
        <v>336</v>
      </c>
      <c r="Y13" s="15" t="s">
        <v>336</v>
      </c>
      <c r="AI13" s="87" t="s">
        <v>1234</v>
      </c>
      <c r="AJ13" s="88">
        <v>1539</v>
      </c>
      <c r="AK13" s="15" t="s">
        <v>239</v>
      </c>
      <c r="AL13" s="15" t="s">
        <v>336</v>
      </c>
      <c r="AM13" s="15" t="s">
        <v>1384</v>
      </c>
      <c r="AN13" s="42" t="s">
        <v>1385</v>
      </c>
      <c r="AO13" s="15" t="s">
        <v>336</v>
      </c>
      <c r="AP13" s="49" t="s">
        <v>336</v>
      </c>
      <c r="AR13" s="28" t="b">
        <f t="shared" si="0"/>
        <v>1</v>
      </c>
      <c r="AS13" s="29" t="str">
        <f t="shared" si="1"/>
        <v>title: "Basilica of the Holy Mother of God"</v>
      </c>
      <c r="AT13" s="29" t="str">
        <f t="shared" si="2"/>
        <v>location: {lat: 45.9989430444559, lng: 13.6553373449013}</v>
      </c>
      <c r="AU13" s="29" t="str">
        <f t="shared" si="3"/>
        <v>level: global</v>
      </c>
      <c r="AV13" s="29" t="str">
        <f>"- "&amp;VLOOKUP(B13,'(Ref) Countries'!A:C,3,)</f>
        <v>- slovenia</v>
      </c>
      <c r="AW13" s="29" t="str">
        <f t="shared" si="4"/>
        <v/>
      </c>
      <c r="AX13" s="29" t="str">
        <f t="shared" si="5"/>
        <v>- churches</v>
      </c>
      <c r="AY13" s="29" t="str">
        <f t="shared" si="6"/>
        <v>- marian-sites</v>
      </c>
      <c r="AZ13" s="29" t="str">
        <f t="shared" si="7"/>
        <v/>
      </c>
      <c r="BA13" s="29" t="str">
        <f t="shared" si="8"/>
        <v/>
      </c>
      <c r="BB13" s="29" t="str">
        <f t="shared" si="9"/>
        <v/>
      </c>
      <c r="BC13" s="29" t="str">
        <f t="shared" si="10"/>
        <v/>
      </c>
      <c r="BD13" s="29" t="str">
        <f t="shared" si="11"/>
        <v/>
      </c>
      <c r="BE13" s="29" t="str">
        <f t="shared" si="12"/>
        <v/>
      </c>
      <c r="BF13" s="29" t="str">
        <f t="shared" si="13"/>
        <v/>
      </c>
      <c r="BG13" s="29" t="str">
        <f t="shared" si="14"/>
        <v/>
      </c>
      <c r="BH13" s="29" t="str">
        <f t="shared" si="15"/>
        <v/>
      </c>
      <c r="BI13" s="29" t="str">
        <f t="shared" si="16"/>
        <v/>
      </c>
      <c r="BJ13" s="29" t="str">
        <f t="shared" si="17"/>
        <v/>
      </c>
      <c r="BK13" s="29" t="str">
        <f t="shared" si="31"/>
        <v xml:space="preserve">tags:
- slovenia_x000D_
- churches_x000D_
- marian-sites_x000D_
</v>
      </c>
      <c r="BL13" s="30" t="str">
        <f t="shared" si="18"/>
        <v>[Official site](https://svetagora.si/)</v>
      </c>
      <c r="BM13" s="30" t="str">
        <f t="shared" si="19"/>
        <v/>
      </c>
      <c r="BN13" s="30" t="str">
        <f t="shared" si="20"/>
        <v/>
      </c>
      <c r="BO13" s="30" t="str">
        <f t="shared" si="21"/>
        <v/>
      </c>
      <c r="BP13" s="30" t="str">
        <f t="shared" si="32"/>
        <v xml:space="preserve">* [Official site](https://svetagora.si/)
</v>
      </c>
      <c r="BQ13" s="30" t="str">
        <f t="shared" si="22"/>
        <v>[Link](http://www.therealpresence.org/eucharst/misc/BVM/137_SVETA_GORA_60x96.pdf)</v>
      </c>
      <c r="BR13" s="30" t="str">
        <f t="shared" si="23"/>
        <v>[Link](https://www.miraclehunter.com/marian_apparitions/approved_apparitions/apparitions_1500-1599.html) (Search "Sveta Gora")</v>
      </c>
      <c r="BS13" s="30" t="str">
        <f t="shared" si="24"/>
        <v/>
      </c>
      <c r="BT13" s="30" t="str">
        <f>IF(LEN(_xludf.concat(BQ13:BS13))&gt;0,_xludf.concat("| ",BQ13," | ",BR13," | ",BS13," |"),"")</f>
        <v>| [Link](http://www.therealpresence.org/eucharst/misc/BVM/137_SVETA_GORA_60x96.pdf) | [Link](https://www.miraclehunter.com/marian_apparitions/approved_apparitions/apparitions_1500-1599.html) (Search "Sveta Gora") |  |</v>
      </c>
      <c r="BU13" s="29" t="str">
        <f t="shared" si="25"/>
        <v xml:space="preserve">| The Real Presence | Miracle Hunter | MaryPages |_x000D_
| --- | --- | --- |_x000D_
| [Link](http://www.therealpresence.org/eucharst/misc/BVM/137_SVETA_GORA_60x96.pdf) | [Link](https://www.miraclehunter.com/marian_apparitions/approved_apparitions/apparitions_1500-1599.html) (Search "Sveta Gora") |  |_x000D_
</v>
      </c>
      <c r="BV13" s="29" t="str">
        <f>IF(LEN(BP13&amp;BU13)&gt;0,concatll("#### More Information",BP13,BU13),"")</f>
        <v xml:space="preserve">####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v>
      </c>
      <c r="BW13" s="29" t="str">
        <f>IF(LEN(M13)&gt;1,concatll("#### Author's Note",M13),"")</f>
        <v/>
      </c>
      <c r="BX13" s="23" t="str">
        <f>IF(AR13,concatll(concatl("---",AS13:AU13,BK13,"---"),L13,BV13:BW13),"")</f>
        <v xml:space="preserve">---_x000D_
title: "Basilica of the Holy Mother of God"_x000D_
location: {lat: 45.9989430444559, lng: 13.6553373449013}_x000D_
level: global_x000D_
tags:
- slovenia_x000D_
- churches_x000D_
- marian-sites_x000D_
_x000D_
---_x000D_
_x000D_
_x000D_
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rescued._x000D_
_x000D_
####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_x000D_
_x000D_
</v>
      </c>
      <c r="BY13" s="23" t="str">
        <f>IF(AR13,VLOOKUP(B13,'(Ref) Countries'!A:B,2,)&amp;IF(LEN(C13)&gt;1,"-"&amp;LOWER(SUBSTITUTE(C13," ","-")),"")&amp;"-"&amp;LOWER(SUBSTITUTE(G13," ","-"))&amp;".md","")</f>
        <v>si-basilica-of-the-holy-mother-of-god.md</v>
      </c>
      <c r="BZ13" s="29" t="str">
        <f>IF(LEN(Y13)&gt;1,VLOOKUP(Y13,'Tag List'!$A:$B,2,),"")</f>
        <v/>
      </c>
      <c r="CA13" s="29" t="str">
        <f>IF(LEN(Z13)&gt;1,VLOOKUP(Z13,'Tag List'!$A:$B,2,),"")</f>
        <v/>
      </c>
      <c r="CB13" s="29" t="str">
        <f>IF(LEN(AA13)&gt;1,VLOOKUP(AA13,'Tag List'!$A:$B,2,),"")</f>
        <v/>
      </c>
      <c r="CC13" s="30" t="str">
        <f>IF(LEN(Y13)&gt;1,GetTagPage(BZ13,Y13),"")</f>
        <v/>
      </c>
      <c r="CD13" s="30" t="str">
        <f>IF(LEN(Z13)&gt;1,GetTagPage(CA13,Z13),"")</f>
        <v/>
      </c>
      <c r="CE13" s="30" t="str">
        <f>IF(LEN(AA13)&gt;1,GetTagPage(CB13,AA13),"")</f>
        <v/>
      </c>
      <c r="CF13" s="30" t="str">
        <f t="shared" si="26"/>
        <v xml:space="preserve">| </v>
      </c>
      <c r="CG13" s="30" t="str">
        <f t="shared" si="27"/>
        <v xml:space="preserve">| [Sveta Gora](/places/si-basilica-of-the-holy-mother-of-god) </v>
      </c>
      <c r="CH13" s="30" t="str">
        <f>"| "&amp;IF(AR13,GetTagPage(B13,VLOOKUP(B13,'(Ref) Countries'!A:C,3,)),B13)&amp; " "</f>
        <v xml:space="preserve">| [Slovenia](/tags/slovenia) </v>
      </c>
      <c r="CI13" s="30" t="str">
        <f t="shared" si="28"/>
        <v xml:space="preserve">| 1539 </v>
      </c>
      <c r="CJ13" s="30" t="str">
        <f t="shared" si="29"/>
        <v xml:space="preserve">| [Link](/places/si-basilica-of-the-holy-mother-of-god) </v>
      </c>
      <c r="CK13" s="29" t="str">
        <f t="shared" si="30"/>
        <v xml:space="preserve">
| [Sveta Gora](/places/si-basilica-of-the-holy-mother-of-god) | [Slovenia](/tags/slovenia) | 1539 | [Link](/places/si-basilica-of-the-holy-mother-of-god) [Official site](https://svetagora.si/)[Link](http://www.therealpresence.org/eucharst/misc/BVM/137_SVETA_GORA_60x96.pdf)[Link](https://www.miraclehunter.com/marian_apparitions/approved_apparitions/apparitions_1500-1599.html) (Search "Sveta Gora")| |</v>
      </c>
    </row>
    <row r="14" spans="1:90" x14ac:dyDescent="0.4">
      <c r="A14" s="14" t="s">
        <v>1049</v>
      </c>
      <c r="B14" s="24" t="s">
        <v>626</v>
      </c>
      <c r="D14" s="15">
        <v>36.0617520264557</v>
      </c>
      <c r="E14" s="49">
        <v>14.2153318855345</v>
      </c>
      <c r="F14" s="24" t="s">
        <v>1366</v>
      </c>
      <c r="G14" s="54" t="s">
        <v>1713</v>
      </c>
      <c r="H14" s="25" t="s">
        <v>1715</v>
      </c>
      <c r="I14" s="25" t="b">
        <v>1</v>
      </c>
      <c r="J14" s="15" t="b">
        <v>1</v>
      </c>
      <c r="L14" s="24" t="s">
        <v>1333</v>
      </c>
      <c r="N14" s="15" t="s">
        <v>1363</v>
      </c>
      <c r="O14" s="15" t="s">
        <v>336</v>
      </c>
      <c r="Y14" s="15" t="s">
        <v>336</v>
      </c>
      <c r="AI14" s="87" t="s">
        <v>1243</v>
      </c>
      <c r="AJ14" s="88">
        <v>1575</v>
      </c>
      <c r="AK14" s="15" t="s">
        <v>248</v>
      </c>
      <c r="AL14" s="15" t="s">
        <v>336</v>
      </c>
      <c r="AM14" s="15" t="s">
        <v>1364</v>
      </c>
      <c r="AN14" s="15" t="s">
        <v>336</v>
      </c>
      <c r="AO14" s="15" t="s">
        <v>1365</v>
      </c>
      <c r="AP14" s="49" t="s">
        <v>336</v>
      </c>
      <c r="AR14" s="28" t="b">
        <f t="shared" si="0"/>
        <v>1</v>
      </c>
      <c r="AS14" s="29" t="str">
        <f t="shared" si="1"/>
        <v>title: "Basilica of the Blessed Virgin of Ta' Pinu"</v>
      </c>
      <c r="AT14" s="29" t="str">
        <f t="shared" si="2"/>
        <v>location: {lat: 36.0617520264557, lng: 14.2153318855345}</v>
      </c>
      <c r="AU14" s="29" t="str">
        <f t="shared" si="3"/>
        <v>level: global</v>
      </c>
      <c r="AV14" s="29" t="str">
        <f>"- "&amp;VLOOKUP(B14,'(Ref) Countries'!A:C,3,)</f>
        <v>- malta</v>
      </c>
      <c r="AW14" s="29" t="str">
        <f t="shared" si="4"/>
        <v/>
      </c>
      <c r="AX14" s="29" t="str">
        <f t="shared" si="5"/>
        <v>- churches</v>
      </c>
      <c r="AY14" s="29" t="str">
        <f t="shared" si="6"/>
        <v>- marian-sites</v>
      </c>
      <c r="AZ14" s="29" t="str">
        <f t="shared" si="7"/>
        <v/>
      </c>
      <c r="BA14" s="29" t="str">
        <f t="shared" si="8"/>
        <v/>
      </c>
      <c r="BB14" s="29" t="str">
        <f t="shared" si="9"/>
        <v/>
      </c>
      <c r="BC14" s="29" t="str">
        <f t="shared" si="10"/>
        <v/>
      </c>
      <c r="BD14" s="29" t="str">
        <f t="shared" si="11"/>
        <v/>
      </c>
      <c r="BE14" s="29" t="str">
        <f t="shared" si="12"/>
        <v/>
      </c>
      <c r="BF14" s="29" t="str">
        <f t="shared" si="13"/>
        <v/>
      </c>
      <c r="BG14" s="29" t="str">
        <f t="shared" si="14"/>
        <v/>
      </c>
      <c r="BH14" s="29" t="str">
        <f t="shared" si="15"/>
        <v/>
      </c>
      <c r="BI14" s="29" t="str">
        <f t="shared" si="16"/>
        <v/>
      </c>
      <c r="BJ14" s="29" t="str">
        <f t="shared" si="17"/>
        <v/>
      </c>
      <c r="BK14" s="29" t="str">
        <f t="shared" ref="BK14:BK34" si="33">"tags:"&amp;CHAR(10)&amp;concatl(AV14:BJ14)</f>
        <v xml:space="preserve">tags:
- malta_x000D_
- churches_x000D_
- marian-sites_x000D_
</v>
      </c>
      <c r="BL14" s="30" t="str">
        <f t="shared" si="18"/>
        <v>[Official site](http://www.tapinu.org/)</v>
      </c>
      <c r="BM14" s="30" t="str">
        <f t="shared" si="19"/>
        <v/>
      </c>
      <c r="BN14" s="30" t="str">
        <f t="shared" si="20"/>
        <v/>
      </c>
      <c r="BO14" s="30" t="str">
        <f t="shared" si="21"/>
        <v/>
      </c>
      <c r="BP14" s="30" t="str">
        <f t="shared" ref="BP14:BP34" si="34">IF(LEN(BL14)&gt;0,"* "&amp;BL14&amp;CHAR(10),"")&amp;
IF(LEN(BM14)&gt;0,"* "&amp;BM14&amp;CHAR(10),"")&amp;
IF(LEN(BN14)&gt;0,"* "&amp;BN14&amp;CHAR(10),"")&amp;
IF(LEN(BO14)&gt;0,"* "&amp;BO14&amp;CHAR(10),"")</f>
        <v xml:space="preserve">* [Official site](http://www.tapinu.org/)
</v>
      </c>
      <c r="BQ14" s="30" t="str">
        <f t="shared" si="22"/>
        <v>[Link](http://www.therealpresence.org/eucharst/misc/BVM/140_GOZO_60x96.pdf)</v>
      </c>
      <c r="BR14" s="30" t="str">
        <f t="shared" si="23"/>
        <v>[Link](http://www.miraclehunter.com/marian_apparitions/approved_apparitions/tapinu/)</v>
      </c>
      <c r="BS14" s="30" t="str">
        <f t="shared" si="24"/>
        <v>[Link](https://www.marypages.com/ta-pinu-malta-en.html)</v>
      </c>
      <c r="BT14" s="30" t="str">
        <f>IF(LEN(_xludf.concat(BQ14:BS14))&gt;0,_xludf.concat("| ",BQ14," | ",BR14," | ",BS14," |"),"")</f>
        <v>| [Link](http://www.therealpresence.org/eucharst/misc/BVM/140_GOZO_60x96.pdf) | [Link](http://www.miraclehunter.com/marian_apparitions/approved_apparitions/tapinu/) | [Link](https://www.marypages.com/ta-pinu-malta-en.html) |</v>
      </c>
      <c r="BU14" s="29" t="str">
        <f t="shared" si="25"/>
        <v xml:space="preserve">| The Real Presence | Miracle Hunter | MaryPages |_x000D_
| --- | --- | --- |_x000D_
| [Link](http://www.therealpresence.org/eucharst/misc/BVM/140_GOZO_60x96.pdf) | [Link](http://www.miraclehunter.com/marian_apparitions/approved_apparitions/tapinu/) | [Link](https://www.marypages.com/ta-pinu-malta-en.html) |_x000D_
</v>
      </c>
      <c r="BV14" s="29" t="str">
        <f>IF(LEN(BP14&amp;BU14)&gt;0,concatll("#### More Information",BP14,BU14),"")</f>
        <v xml:space="preserve">####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v>
      </c>
      <c r="BW14" s="29" t="str">
        <f>IF(LEN(M14)&gt;1,concatll("#### Author's Note",M14),"")</f>
        <v/>
      </c>
      <c r="BX14" s="23" t="str">
        <f>IF(AR14,concatll(concatl("---",AS14:AU14,BK14,"---"),L14,BV14:BW14),"")</f>
        <v xml:space="preserve">---_x000D_
title: "Basilica of the Blessed Virgin of Ta' Pinu"_x000D_
location: {lat: 36.0617520264557, lng: 14.2153318855345}_x000D_
level: global_x000D_
tags:
- malta_x000D_
- churches_x000D_
- marian-sites_x000D_
_x000D_
---_x000D_
_x000D_
_x000D_
_Research in progress__x000D_
_x000D_
####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_x000D_
_x000D_
</v>
      </c>
      <c r="BY14" s="23" t="str">
        <f>IF(AR14,VLOOKUP(B14,'(Ref) Countries'!A:B,2,)&amp;IF(LEN(C14)&gt;1,"-"&amp;LOWER(SUBSTITUTE(C14," ","-")),"")&amp;"-"&amp;LOWER(SUBSTITUTE(G14," ","-"))&amp;".md","")</f>
        <v>mt-basilica-of-ta-pinu.md</v>
      </c>
      <c r="BZ14" s="29" t="str">
        <f>IF(LEN(Y14)&gt;1,VLOOKUP(Y14,'Tag List'!$A:$B,2,),"")</f>
        <v/>
      </c>
      <c r="CA14" s="29" t="str">
        <f>IF(LEN(Z14)&gt;1,VLOOKUP(Z14,'Tag List'!$A:$B,2,),"")</f>
        <v/>
      </c>
      <c r="CB14" s="29" t="str">
        <f>IF(LEN(AA14)&gt;1,VLOOKUP(AA14,'Tag List'!$A:$B,2,),"")</f>
        <v/>
      </c>
      <c r="CC14" s="30" t="str">
        <f>IF(LEN(Y14)&gt;1,GetTagPage(BZ14,Y14),"")</f>
        <v/>
      </c>
      <c r="CD14" s="30" t="str">
        <f>IF(LEN(Z14)&gt;1,GetTagPage(CA14,Z14),"")</f>
        <v/>
      </c>
      <c r="CE14" s="30" t="str">
        <f>IF(LEN(AA14)&gt;1,GetTagPage(CB14,AA14),"")</f>
        <v/>
      </c>
      <c r="CF14" s="30" t="str">
        <f t="shared" ref="CF14:CF34" si="35">"|"&amp;IF(LEN(CC14)&gt;1," "&amp;CC14,"")&amp;IF(LEN(CD14)&gt;1,", "&amp;CD14,"")&amp;IF(LEN(CE14)&gt;1,", "&amp;CE14,"")&amp;" "</f>
        <v xml:space="preserve">| </v>
      </c>
      <c r="CG14" s="30" t="str">
        <f t="shared" si="27"/>
        <v xml:space="preserve">| [Gozo](/places/mt-basilica-of-ta-pinu) </v>
      </c>
      <c r="CH14" s="30" t="str">
        <f>"| "&amp;IF(AR14,GetTagPage(B14,VLOOKUP(B14,'(Ref) Countries'!A:C,3,)),B14)&amp; " "</f>
        <v xml:space="preserve">| [Malta](/tags/malta) </v>
      </c>
      <c r="CI14" s="30" t="str">
        <f t="shared" si="28"/>
        <v xml:space="preserve">| 1575 </v>
      </c>
      <c r="CJ14" s="30" t="str">
        <f t="shared" ref="CJ14:CJ34" si="36">"|"&amp;IF(AR14," [Link](/places/"&amp;SUBSTITUTE(BY14,".md","")&amp;")","")&amp;" "</f>
        <v xml:space="preserve">| [Link](/places/mt-basilica-of-ta-pinu) </v>
      </c>
      <c r="CK14" s="29" t="str">
        <f t="shared" ref="CK14:CK34" si="37">"
"&amp;CG14&amp;CH14&amp;CI14&amp;CJ14&amp;BL14&amp;BQ14&amp;BR14&amp;BS14&amp;CF14&amp;"|"</f>
        <v xml:space="preserve">
| [Gozo](/places/mt-basilica-of-ta-pinu) | [Malta](/tags/malta) | 1575 | [Link](/places/mt-basilica-of-ta-pinu) [Official site](http://www.tapinu.org/)[Link](http://www.therealpresence.org/eucharst/misc/BVM/140_GOZO_60x96.pdf)[Link](http://www.miraclehunter.com/marian_apparitions/approved_apparitions/tapinu/)[Link](https://www.marypages.com/ta-pinu-malta-en.html)| |</v>
      </c>
    </row>
    <row r="15" spans="1:90" ht="74.599999999999994" x14ac:dyDescent="0.4">
      <c r="A15" s="14" t="s">
        <v>1320</v>
      </c>
      <c r="B15" s="24" t="s">
        <v>651</v>
      </c>
      <c r="D15" s="15">
        <v>50.270467699999998</v>
      </c>
      <c r="E15" s="49">
        <v>22.408031600000001</v>
      </c>
      <c r="F15" s="85" t="s">
        <v>1820</v>
      </c>
      <c r="G15" s="53" t="s">
        <v>1051</v>
      </c>
      <c r="H15" s="15" t="s">
        <v>1715</v>
      </c>
      <c r="I15" s="25" t="b">
        <v>1</v>
      </c>
      <c r="J15" s="15" t="b">
        <v>1</v>
      </c>
      <c r="L15" s="24" t="s">
        <v>1052</v>
      </c>
      <c r="M15" s="55" t="s">
        <v>1733</v>
      </c>
      <c r="N15" s="15" t="s">
        <v>423</v>
      </c>
      <c r="O15" s="15" t="s">
        <v>336</v>
      </c>
      <c r="Y15" s="24" t="s">
        <v>1424</v>
      </c>
      <c r="Z15" s="24"/>
      <c r="AA15" s="24"/>
      <c r="AB15" s="24"/>
      <c r="AC15" s="24"/>
      <c r="AD15" s="24"/>
      <c r="AE15" s="24"/>
      <c r="AF15" s="24"/>
      <c r="AG15" s="24"/>
      <c r="AH15" s="24"/>
      <c r="AI15" s="87" t="s">
        <v>1050</v>
      </c>
      <c r="AJ15" s="88">
        <v>1578</v>
      </c>
      <c r="AK15" s="16" t="s">
        <v>336</v>
      </c>
      <c r="AL15" s="16" t="s">
        <v>336</v>
      </c>
      <c r="AM15" s="15" t="s">
        <v>456</v>
      </c>
      <c r="AN15" s="15" t="s">
        <v>336</v>
      </c>
      <c r="AO15" s="15" t="s">
        <v>336</v>
      </c>
      <c r="AP15" s="49" t="s">
        <v>336</v>
      </c>
      <c r="AR15" s="28" t="b">
        <f t="shared" si="0"/>
        <v>1</v>
      </c>
      <c r="AS15" s="29" t="str">
        <f t="shared" si="1"/>
        <v>title: "Basilica of the Annunciation of the Blessed Virgin Mary (Our Lady of Lezajsk, Lady of Consolation)"</v>
      </c>
      <c r="AT15" s="29" t="str">
        <f t="shared" si="2"/>
        <v>location: {lat: 50.2704677, lng: 22.4080316}</v>
      </c>
      <c r="AU15" s="29" t="str">
        <f t="shared" si="3"/>
        <v>level: global</v>
      </c>
      <c r="AV15" s="29" t="str">
        <f>"- "&amp;VLOOKUP(B15,'(Ref) Countries'!A:C,3,)</f>
        <v>- poland</v>
      </c>
      <c r="AW15" s="29" t="str">
        <f t="shared" si="4"/>
        <v/>
      </c>
      <c r="AX15" s="29" t="str">
        <f t="shared" si="5"/>
        <v>- churches</v>
      </c>
      <c r="AY15" s="29" t="str">
        <f t="shared" si="6"/>
        <v>- marian-sites</v>
      </c>
      <c r="AZ15" s="29" t="str">
        <f t="shared" si="7"/>
        <v/>
      </c>
      <c r="BA15" s="29" t="str">
        <f t="shared" si="8"/>
        <v>- communities</v>
      </c>
      <c r="BB15" s="29" t="str">
        <f t="shared" si="9"/>
        <v/>
      </c>
      <c r="BC15" s="29" t="str">
        <f t="shared" si="10"/>
        <v/>
      </c>
      <c r="BD15" s="29" t="str">
        <f t="shared" si="11"/>
        <v/>
      </c>
      <c r="BE15" s="29" t="str">
        <f t="shared" si="12"/>
        <v/>
      </c>
      <c r="BF15" s="29" t="str">
        <f t="shared" si="13"/>
        <v/>
      </c>
      <c r="BG15" s="29" t="str">
        <f t="shared" si="14"/>
        <v/>
      </c>
      <c r="BH15" s="29" t="str">
        <f t="shared" si="15"/>
        <v/>
      </c>
      <c r="BI15" s="29" t="str">
        <f t="shared" si="16"/>
        <v/>
      </c>
      <c r="BJ15" s="29" t="str">
        <f t="shared" si="17"/>
        <v/>
      </c>
      <c r="BK15" s="29" t="str">
        <f t="shared" si="33"/>
        <v xml:space="preserve">tags:
- poland_x000D_
- churches_x000D_
- marian-sites_x000D_
- communities_x000D_
</v>
      </c>
      <c r="BL15" s="30" t="str">
        <f t="shared" si="18"/>
        <v>[Official site](https://lezajsk.bernardyni.pl/)</v>
      </c>
      <c r="BM15" s="30" t="str">
        <f t="shared" si="19"/>
        <v/>
      </c>
      <c r="BN15" s="30" t="str">
        <f t="shared" si="20"/>
        <v/>
      </c>
      <c r="BO15" s="30" t="str">
        <f t="shared" si="21"/>
        <v/>
      </c>
      <c r="BP15" s="30" t="str">
        <f t="shared" si="34"/>
        <v xml:space="preserve">* [Official site](https://lezajsk.bernardyni.pl/)
</v>
      </c>
      <c r="BQ15" s="30" t="str">
        <f t="shared" si="22"/>
        <v/>
      </c>
      <c r="BR15" s="30" t="str">
        <f t="shared" si="23"/>
        <v>[Link](https://www.miraclehunter.com/marian_apparitions/approved_apparitions/lejask/index.html)</v>
      </c>
      <c r="BS15" s="30" t="str">
        <f t="shared" si="24"/>
        <v/>
      </c>
      <c r="BT15" s="30" t="str">
        <f>IF(LEN(_xludf.concat(BQ15:BS15))&gt;0,_xludf.concat("| ",BQ15," | ",BR15," | ",BS15," |"),"")</f>
        <v>|  | [Link](https://www.miraclehunter.com/marian_apparitions/approved_apparitions/lejask/index.html) |  |</v>
      </c>
      <c r="BU15" s="29" t="str">
        <f t="shared" si="25"/>
        <v xml:space="preserve">| The Real Presence | Miracle Hunter | MaryPages |_x000D_
| --- | --- | --- |_x000D_
|  | [Link](https://www.miraclehunter.com/marian_apparitions/approved_apparitions/lejask/index.html) |  |_x000D_
</v>
      </c>
      <c r="BV15" s="29" t="str">
        <f>IF(LEN(BP15&amp;BU15)&gt;0,concatll("#### More Information",BP15,BU15),"")</f>
        <v xml:space="preserve">#### More Information_x000D_
_x000D_
* [Official site](https://lezajsk.bernardyni.pl/)
_x000D_
_x000D_
| The Real Presence | Miracle Hunter | MaryPages |_x000D_
| --- | --- | --- |_x000D_
|  | [Link](https://www.miraclehunter.com/marian_apparitions/approved_apparitions/lejask/index.html) |  |_x000D_
_x000D_
_x000D_
</v>
      </c>
      <c r="BW15" s="29" t="str">
        <f>IF(LEN(M15)&gt;1,concatll("#### Author's Note",M15),"")</f>
        <v xml:space="preserve">#### Author's Note_x000D_
_x000D_
The monastery has published an excellent history of the shrine [here](https://lezajsk.bernardyni.pl/historia/) (in Polish).
-JMM_x000D_
_x000D_
</v>
      </c>
      <c r="BX15" s="23" t="str">
        <f>IF(AR15,concatll(concatl("---",AS15:AU15,BK15,"---"),L15,BV15:BW15),"")</f>
        <v xml:space="preserve">---_x000D_
title: "Basilica of the Annunciation of the Blessed Virgin Mary (Our Lady of Lezajsk, Lady of Consolation)"_x000D_
location: {lat: 50.2704677, lng: 22.4080316}_x000D_
level: global_x000D_
tags:
- poland_x000D_
- churches_x000D_
- marian-sites_x000D_
- communities_x000D_
_x000D_
---_x000D_
_x000D_
_x000D_
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Consolation._x000D_
_x000D_
#### More Information_x000D_
_x000D_
* [Official site](https://lezajsk.bernardyni.pl/)
_x000D_
_x000D_
| The Real Presence | Miracle Hunter | MaryPages |_x000D_
| --- | --- | --- |_x000D_
|  | [Link](https://www.miraclehunter.com/marian_apparitions/approved_apparitions/lejask/index.html) |  |_x000D_
_x000D_
_x000D_
_x000D_
_x000D_
#### Author's Note_x000D_
_x000D_
The monastery has published an excellent history of the shrine [here](https://lezajsk.bernardyni.pl/historia/) (in Polish).
-JMM_x000D_
_x000D_
_x000D_
_x000D_
</v>
      </c>
      <c r="BY15" s="23" t="str">
        <f>IF(AR15,VLOOKUP(B15,'(Ref) Countries'!A:B,2,)&amp;IF(LEN(C15)&gt;1,"-"&amp;LOWER(SUBSTITUTE(C15," ","-")),"")&amp;"-"&amp;LOWER(SUBSTITUTE(G15," ","-"))&amp;".md","")</f>
        <v>pl-basilica-of-the-annunciation-of-the-blessed-virgin-mary.md</v>
      </c>
      <c r="BZ15" s="28" t="str">
        <f>IF(LEN(Y15)&gt;1,VLOOKUP(Y15,'Tag List'!$A:$B,2,),"")</f>
        <v>Religious Communities</v>
      </c>
      <c r="CA15" s="28" t="str">
        <f>IF(LEN(Z15)&gt;1,VLOOKUP(Z15,'Tag List'!$A:$B,2,),"")</f>
        <v/>
      </c>
      <c r="CB15" s="28" t="str">
        <f>IF(LEN(AA15)&gt;1,VLOOKUP(AA15,'Tag List'!$A:$B,2,),"")</f>
        <v/>
      </c>
      <c r="CC15" s="30" t="str">
        <f>IF(LEN(Y15)&gt;1,GetTagPage(BZ15,Y15),"")</f>
        <v>[Religious Communities](/tags/communities)</v>
      </c>
      <c r="CD15" s="30" t="str">
        <f>IF(LEN(Z15)&gt;1,GetTagPage(CA15,Z15),"")</f>
        <v/>
      </c>
      <c r="CE15" s="30" t="str">
        <f>IF(LEN(AA15)&gt;1,GetTagPage(CB15,AA15),"")</f>
        <v/>
      </c>
      <c r="CF15" s="30" t="str">
        <f t="shared" si="35"/>
        <v xml:space="preserve">| [Religious Communities](/tags/communities) </v>
      </c>
      <c r="CG15" s="30" t="str">
        <f t="shared" si="27"/>
        <v xml:space="preserve">| [Leżajsk](/places/pl-basilica-of-the-annunciation-of-the-blessed-virgin-mary) </v>
      </c>
      <c r="CH15" s="30" t="str">
        <f>"| "&amp;IF(AR15,GetTagPage(B15,VLOOKUP(B15,'(Ref) Countries'!A:C,3,)),B15)&amp; " "</f>
        <v xml:space="preserve">| [Poland](/tags/poland) </v>
      </c>
      <c r="CI15" s="30" t="str">
        <f t="shared" si="28"/>
        <v xml:space="preserve">| 1578 </v>
      </c>
      <c r="CJ15" s="30" t="str">
        <f t="shared" si="36"/>
        <v xml:space="preserve">| [Link](/places/pl-basilica-of-the-annunciation-of-the-blessed-virgin-mary) </v>
      </c>
      <c r="CK15" s="29" t="str">
        <f t="shared" si="37"/>
        <v xml:space="preserve">
| [Leżajsk](/places/pl-basilica-of-the-annunciation-of-the-blessed-virgin-mary) | [Poland](/tags/poland) | 1578 | [Link](/places/pl-basilica-of-the-annunciation-of-the-blessed-virgin-mary) [Official site](https://lezajsk.bernardyni.pl/)[Link](https://www.miraclehunter.com/marian_apparitions/approved_apparitions/lejask/index.html)| [Religious Communities](/tags/communities) |</v>
      </c>
    </row>
    <row r="16" spans="1:90" ht="74.599999999999994" x14ac:dyDescent="0.4">
      <c r="A16" s="14" t="s">
        <v>1320</v>
      </c>
      <c r="B16" s="24" t="s">
        <v>500</v>
      </c>
      <c r="D16" s="15">
        <v>-34.564198513371799</v>
      </c>
      <c r="E16" s="49">
        <v>-59.121408231421597</v>
      </c>
      <c r="F16" s="32" t="s">
        <v>1404</v>
      </c>
      <c r="G16" s="57" t="s">
        <v>1404</v>
      </c>
      <c r="H16" s="34" t="s">
        <v>1715</v>
      </c>
      <c r="I16" s="25" t="b">
        <v>1</v>
      </c>
      <c r="J16" s="15" t="b">
        <v>1</v>
      </c>
      <c r="L16" s="47" t="s">
        <v>1811</v>
      </c>
      <c r="N16" s="15" t="s">
        <v>1405</v>
      </c>
      <c r="O16" s="15" t="s">
        <v>336</v>
      </c>
      <c r="Y16" s="15" t="s">
        <v>336</v>
      </c>
      <c r="AI16" s="87" t="s">
        <v>1251</v>
      </c>
      <c r="AJ16" s="88" t="s">
        <v>1123</v>
      </c>
      <c r="AK16" s="15" t="s">
        <v>256</v>
      </c>
      <c r="AL16" s="15" t="s">
        <v>336</v>
      </c>
      <c r="AM16" s="15" t="s">
        <v>1406</v>
      </c>
      <c r="AN16" s="34" t="s">
        <v>1407</v>
      </c>
      <c r="AO16" s="15" t="s">
        <v>336</v>
      </c>
      <c r="AP16" s="49" t="s">
        <v>336</v>
      </c>
      <c r="AR16" s="28" t="b">
        <f t="shared" si="0"/>
        <v>1</v>
      </c>
      <c r="AS16" s="29" t="str">
        <f t="shared" si="1"/>
        <v>title: "Basilica of Our Lady of Lujan"</v>
      </c>
      <c r="AT16" s="29" t="str">
        <f t="shared" si="2"/>
        <v>location: {lat: -34.5641985133718, lng: -59.1214082314216}</v>
      </c>
      <c r="AU16" s="29" t="str">
        <f t="shared" si="3"/>
        <v>level: global</v>
      </c>
      <c r="AV16" s="29" t="str">
        <f>"- "&amp;VLOOKUP(B16,'(Ref) Countries'!A:C,3,)</f>
        <v>- argentina</v>
      </c>
      <c r="AW16" s="29" t="str">
        <f t="shared" si="4"/>
        <v/>
      </c>
      <c r="AX16" s="29" t="str">
        <f t="shared" si="5"/>
        <v>- churches</v>
      </c>
      <c r="AY16" s="29" t="str">
        <f t="shared" si="6"/>
        <v>- marian-sites</v>
      </c>
      <c r="AZ16" s="29" t="str">
        <f t="shared" si="7"/>
        <v/>
      </c>
      <c r="BA16" s="29" t="str">
        <f t="shared" si="8"/>
        <v/>
      </c>
      <c r="BB16" s="29" t="str">
        <f t="shared" si="9"/>
        <v/>
      </c>
      <c r="BC16" s="29" t="str">
        <f t="shared" si="10"/>
        <v/>
      </c>
      <c r="BD16" s="29" t="str">
        <f t="shared" si="11"/>
        <v/>
      </c>
      <c r="BE16" s="29" t="str">
        <f t="shared" si="12"/>
        <v/>
      </c>
      <c r="BF16" s="29" t="str">
        <f t="shared" si="13"/>
        <v/>
      </c>
      <c r="BG16" s="29" t="str">
        <f t="shared" si="14"/>
        <v/>
      </c>
      <c r="BH16" s="29" t="str">
        <f t="shared" si="15"/>
        <v/>
      </c>
      <c r="BI16" s="29" t="str">
        <f t="shared" si="16"/>
        <v/>
      </c>
      <c r="BJ16" s="29" t="str">
        <f t="shared" si="17"/>
        <v/>
      </c>
      <c r="BK16" s="29" t="str">
        <f t="shared" si="33"/>
        <v xml:space="preserve">tags:
- argentina_x000D_
- churches_x000D_
- marian-sites_x000D_
</v>
      </c>
      <c r="BL16" s="30" t="str">
        <f t="shared" si="18"/>
        <v>[Official site](https://santuariodelujan.org.ar/)</v>
      </c>
      <c r="BM16" s="30" t="str">
        <f t="shared" si="19"/>
        <v/>
      </c>
      <c r="BN16" s="30" t="str">
        <f t="shared" si="20"/>
        <v/>
      </c>
      <c r="BO16" s="30" t="str">
        <f t="shared" si="21"/>
        <v/>
      </c>
      <c r="BP16" s="30" t="str">
        <f t="shared" si="34"/>
        <v xml:space="preserve">* [Official site](https://santuariodelujan.org.ar/)
</v>
      </c>
      <c r="BQ16" s="30" t="str">
        <f t="shared" si="22"/>
        <v>[Link](http://www.therealpresence.org/eucharst/misc/BVM/112_LUJAN_96x96.pdf)</v>
      </c>
      <c r="BR16" s="30" t="str">
        <f t="shared" si="23"/>
        <v>[Link](http://www.miraclehunter.com/miraculous_images/icons_1600-1699.html) (Search "Lujan")</v>
      </c>
      <c r="BS16" s="30" t="str">
        <f t="shared" si="24"/>
        <v/>
      </c>
      <c r="BT16" s="30" t="str">
        <f>IF(LEN(_xludf.concat(BQ16:BS16))&gt;0,_xludf.concat("| ",BQ16," | ",BR16," | ",BS16," |"),"")</f>
        <v>| [Link](http://www.therealpresence.org/eucharst/misc/BVM/112_LUJAN_96x96.pdf) | [Link](http://www.miraclehunter.com/miraculous_images/icons_1600-1699.html) (Search "Lujan") |  |</v>
      </c>
      <c r="BU16" s="29" t="str">
        <f t="shared" si="25"/>
        <v xml:space="preserve">| The Real Presence | Miracle Hunter | MaryPages |_x000D_
| --- | --- | --- |_x000D_
| [Link](http://www.therealpresence.org/eucharst/misc/BVM/112_LUJAN_96x96.pdf) | [Link](http://www.miraclehunter.com/miraculous_images/icons_1600-1699.html) (Search "Lujan") |  |_x000D_
</v>
      </c>
      <c r="BV16" s="29" t="str">
        <f>IF(LEN(BP16&amp;BU16)&gt;0,concatll("#### More Information",BP16,BU16),"")</f>
        <v xml:space="preserve">####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v>
      </c>
      <c r="BW16" s="29" t="str">
        <f>IF(LEN(M16)&gt;1,concatll("#### Author's Note",M16),"")</f>
        <v/>
      </c>
      <c r="BX16" s="23" t="str">
        <f>IF(AR16,concatll(concatl("---",AS16:AU16,BK16,"---"),L16,BV16:BW16),"")</f>
        <v xml:space="preserve">---_x000D_
title: "Basilica of Our Lady of Lujan"_x000D_
location: {lat: -34.5641985133718, lng: -59.1214082314216}_x000D_
level: global_x000D_
tags:
- argentina_x000D_
- churches_x000D_
- marian-sites_x000D_
_x000D_
---_x000D_
_x000D_
_x000D_
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world._x000D_
_x000D_
####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_x000D_
_x000D_
</v>
      </c>
      <c r="BY16" s="23" t="str">
        <f>IF(AR16,VLOOKUP(B16,'(Ref) Countries'!A:B,2,)&amp;IF(LEN(C16)&gt;1,"-"&amp;LOWER(SUBSTITUTE(C16," ","-")),"")&amp;"-"&amp;LOWER(SUBSTITUTE(G16," ","-"))&amp;".md","")</f>
        <v>ar-basilica-of-our-lady-of-lujan.md</v>
      </c>
      <c r="BZ16" s="29" t="str">
        <f>IF(LEN(Y16)&gt;1,VLOOKUP(Y16,'Tag List'!$A:$B,2,),"")</f>
        <v/>
      </c>
      <c r="CA16" s="29" t="str">
        <f>IF(LEN(Z16)&gt;1,VLOOKUP(Z16,'Tag List'!$A:$B,2,),"")</f>
        <v/>
      </c>
      <c r="CB16" s="29" t="str">
        <f>IF(LEN(AA16)&gt;1,VLOOKUP(AA16,'Tag List'!$A:$B,2,),"")</f>
        <v/>
      </c>
      <c r="CC16" s="30" t="str">
        <f>IF(LEN(Y16)&gt;1,GetTagPage(BZ16,Y16),"")</f>
        <v/>
      </c>
      <c r="CD16" s="30" t="str">
        <f>IF(LEN(Z16)&gt;1,GetTagPage(CA16,Z16),"")</f>
        <v/>
      </c>
      <c r="CE16" s="30" t="str">
        <f>IF(LEN(AA16)&gt;1,GetTagPage(CB16,AA16),"")</f>
        <v/>
      </c>
      <c r="CF16" s="30" t="str">
        <f t="shared" si="35"/>
        <v xml:space="preserve">| </v>
      </c>
      <c r="CG16" s="30" t="str">
        <f t="shared" si="27"/>
        <v xml:space="preserve">| [Luján](/places/ar-basilica-of-our-lady-of-lujan) </v>
      </c>
      <c r="CH16" s="30" t="str">
        <f>"| "&amp;IF(AR16,GetTagPage(B16,VLOOKUP(B16,'(Ref) Countries'!A:C,3,)),B16)&amp; " "</f>
        <v xml:space="preserve">| [Argentina](/tags/argentina) </v>
      </c>
      <c r="CI16" s="30" t="str">
        <f t="shared" si="28"/>
        <v xml:space="preserve">| 17th Century </v>
      </c>
      <c r="CJ16" s="30" t="str">
        <f t="shared" si="36"/>
        <v xml:space="preserve">| [Link](/places/ar-basilica-of-our-lady-of-lujan) </v>
      </c>
      <c r="CK16" s="29" t="str">
        <f t="shared" si="37"/>
        <v xml:space="preserve">
| [Luján](/places/ar-basilica-of-our-lady-of-lujan) | [Argentina](/tags/argentina) | 17th Century | [Link](/places/ar-basilica-of-our-lady-of-lujan) [Official site](https://santuariodelujan.org.ar/)[Link](http://www.therealpresence.org/eucharst/misc/BVM/112_LUJAN_96x96.pdf)[Link](http://www.miraclehunter.com/miraculous_images/icons_1600-1699.html) (Search "Lujan")| |</v>
      </c>
    </row>
    <row r="17" spans="1:89" ht="37.299999999999997" x14ac:dyDescent="0.4">
      <c r="A17" s="14" t="s">
        <v>1049</v>
      </c>
      <c r="B17" s="24" t="s">
        <v>649</v>
      </c>
      <c r="D17" s="15">
        <v>13.882181522598099</v>
      </c>
      <c r="E17" s="49">
        <v>120.92027885535801</v>
      </c>
      <c r="F17" s="24" t="s">
        <v>1372</v>
      </c>
      <c r="G17" s="53" t="s">
        <v>1373</v>
      </c>
      <c r="H17" s="15" t="s">
        <v>1715</v>
      </c>
      <c r="I17" s="25" t="b">
        <v>1</v>
      </c>
      <c r="J17" s="15" t="b">
        <v>1</v>
      </c>
      <c r="L17" s="24" t="s">
        <v>1333</v>
      </c>
      <c r="M17" s="55" t="s">
        <v>1734</v>
      </c>
      <c r="N17" s="15" t="s">
        <v>1375</v>
      </c>
      <c r="O17" s="15" t="s">
        <v>336</v>
      </c>
      <c r="Y17" s="15" t="s">
        <v>336</v>
      </c>
      <c r="AI17" s="87" t="s">
        <v>1253</v>
      </c>
      <c r="AJ17" s="88">
        <v>1603</v>
      </c>
      <c r="AK17" s="15" t="s">
        <v>258</v>
      </c>
      <c r="AL17" s="15" t="s">
        <v>336</v>
      </c>
      <c r="AM17" s="15" t="s">
        <v>1374</v>
      </c>
      <c r="AN17" s="15" t="s">
        <v>336</v>
      </c>
      <c r="AO17" s="15" t="s">
        <v>336</v>
      </c>
      <c r="AP17" s="49" t="s">
        <v>336</v>
      </c>
      <c r="AR17" s="28" t="b">
        <f t="shared" si="0"/>
        <v>1</v>
      </c>
      <c r="AS17" s="29" t="str">
        <f t="shared" si="1"/>
        <v>title: "Archdiocesan Shrine of Our Lady of Caysasay"</v>
      </c>
      <c r="AT17" s="29" t="str">
        <f t="shared" si="2"/>
        <v>location: {lat: 13.8821815225981, lng: 120.920278855358}</v>
      </c>
      <c r="AU17" s="29" t="str">
        <f t="shared" si="3"/>
        <v>level: global</v>
      </c>
      <c r="AV17" s="29" t="str">
        <f>"- "&amp;VLOOKUP(B17,'(Ref) Countries'!A:C,3,)</f>
        <v>- philippines</v>
      </c>
      <c r="AW17" s="29" t="str">
        <f t="shared" si="4"/>
        <v/>
      </c>
      <c r="AX17" s="29" t="str">
        <f t="shared" si="5"/>
        <v>- churches</v>
      </c>
      <c r="AY17" s="29" t="str">
        <f t="shared" si="6"/>
        <v>- marian-sites</v>
      </c>
      <c r="AZ17" s="29" t="str">
        <f t="shared" si="7"/>
        <v/>
      </c>
      <c r="BA17" s="29" t="str">
        <f t="shared" si="8"/>
        <v/>
      </c>
      <c r="BB17" s="29" t="str">
        <f t="shared" si="9"/>
        <v/>
      </c>
      <c r="BC17" s="29" t="str">
        <f t="shared" si="10"/>
        <v/>
      </c>
      <c r="BD17" s="29" t="str">
        <f t="shared" si="11"/>
        <v/>
      </c>
      <c r="BE17" s="29" t="str">
        <f t="shared" si="12"/>
        <v/>
      </c>
      <c r="BF17" s="29" t="str">
        <f t="shared" si="13"/>
        <v/>
      </c>
      <c r="BG17" s="29" t="str">
        <f t="shared" si="14"/>
        <v/>
      </c>
      <c r="BH17" s="29" t="str">
        <f t="shared" si="15"/>
        <v/>
      </c>
      <c r="BI17" s="29" t="str">
        <f t="shared" si="16"/>
        <v/>
      </c>
      <c r="BJ17" s="29" t="str">
        <f t="shared" si="17"/>
        <v/>
      </c>
      <c r="BK17" s="29" t="str">
        <f t="shared" si="33"/>
        <v xml:space="preserve">tags:
- philippines_x000D_
- churches_x000D_
- marian-sites_x000D_
</v>
      </c>
      <c r="BL17" s="30" t="str">
        <f t="shared" si="18"/>
        <v>[Official site](https://www.facebook.com/CaysasayTaal)</v>
      </c>
      <c r="BM17" s="30" t="str">
        <f t="shared" si="19"/>
        <v/>
      </c>
      <c r="BN17" s="30" t="str">
        <f t="shared" si="20"/>
        <v/>
      </c>
      <c r="BO17" s="30" t="str">
        <f t="shared" si="21"/>
        <v/>
      </c>
      <c r="BP17" s="30" t="str">
        <f t="shared" si="34"/>
        <v xml:space="preserve">* [Official site](https://www.facebook.com/CaysasayTaal)
</v>
      </c>
      <c r="BQ17" s="30" t="str">
        <f t="shared" si="22"/>
        <v>[Link](http://www.therealpresence.org/eucharst/misc/BVM/94_CAYSASAY_60x96.pdf)</v>
      </c>
      <c r="BR17" s="30" t="str">
        <f t="shared" si="23"/>
        <v>[Link](http://www.miraclehunter.com/marian_apparitions/approved_apparitions/caysasay/index.html)</v>
      </c>
      <c r="BS17" s="30" t="str">
        <f t="shared" si="24"/>
        <v/>
      </c>
      <c r="BT17" s="30" t="str">
        <f>IF(LEN(_xludf.concat(BQ17:BS17))&gt;0,_xludf.concat("| ",BQ17," | ",BR17," | ",BS17," |"),"")</f>
        <v>| [Link](http://www.therealpresence.org/eucharst/misc/BVM/94_CAYSASAY_60x96.pdf) | [Link](http://www.miraclehunter.com/marian_apparitions/approved_apparitions/caysasay/index.html) |  |</v>
      </c>
      <c r="BU17" s="29" t="str">
        <f t="shared" si="25"/>
        <v xml:space="preserve">| The Real Presence | Miracle Hunter | MaryPages |_x000D_
| --- | --- | --- |_x000D_
| [Link](http://www.therealpresence.org/eucharst/misc/BVM/94_CAYSASAY_60x96.pdf) | [Link](http://www.miraclehunter.com/marian_apparitions/approved_apparitions/caysasay/index.html) |  |_x000D_
</v>
      </c>
      <c r="BV17" s="29" t="str">
        <f>IF(LEN(BP17&amp;BU17)&gt;0,concatll("#### More Information",BP17,BU17),"")</f>
        <v xml:space="preserve">####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v>
      </c>
      <c r="BW17" s="29" t="str">
        <f>IF(LEN(M17)&gt;1,concatll("#### Author's Note",M17),"")</f>
        <v xml:space="preserve">#### Author's Note_x000D_
_x000D_
The Facebook page appears to be the official site.
-JMM_x000D_
_x000D_
</v>
      </c>
      <c r="BX17" s="23" t="str">
        <f>IF(AR17,concatll(concatl("---",AS17:AU17,BK17,"---"),L17,BV17:BW17),"")</f>
        <v xml:space="preserve">---_x000D_
title: "Archdiocesan Shrine of Our Lady of Caysasay"_x000D_
location: {lat: 13.8821815225981, lng: 120.920278855358}_x000D_
level: global_x000D_
tags:
- philippines_x000D_
- churches_x000D_
- marian-sites_x000D_
_x000D_
---_x000D_
_x000D_
_x000D_
_Research in progress__x000D_
_x000D_
####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_x000D_
_x000D_
#### Author's Note_x000D_
_x000D_
The Facebook page appears to be the official site.
-JMM_x000D_
_x000D_
_x000D_
_x000D_
</v>
      </c>
      <c r="BY17" s="23" t="str">
        <f>IF(AR17,VLOOKUP(B17,'(Ref) Countries'!A:B,2,)&amp;IF(LEN(C17)&gt;1,"-"&amp;LOWER(SUBSTITUTE(C17," ","-")),"")&amp;"-"&amp;LOWER(SUBSTITUTE(G17," ","-"))&amp;".md","")</f>
        <v>ph-shrine-of-our-lady-of-caysasay.md</v>
      </c>
      <c r="BZ17" s="29" t="str">
        <f>IF(LEN(Y17)&gt;1,VLOOKUP(Y17,'Tag List'!$A:$B,2,),"")</f>
        <v/>
      </c>
      <c r="CA17" s="29" t="str">
        <f>IF(LEN(Z17)&gt;1,VLOOKUP(Z17,'Tag List'!$A:$B,2,),"")</f>
        <v/>
      </c>
      <c r="CB17" s="29" t="str">
        <f>IF(LEN(AA17)&gt;1,VLOOKUP(AA17,'Tag List'!$A:$B,2,),"")</f>
        <v/>
      </c>
      <c r="CC17" s="30" t="str">
        <f>IF(LEN(Y17)&gt;1,GetTagPage(BZ17,Y17),"")</f>
        <v/>
      </c>
      <c r="CD17" s="30" t="str">
        <f>IF(LEN(Z17)&gt;1,GetTagPage(CA17,Z17),"")</f>
        <v/>
      </c>
      <c r="CE17" s="30" t="str">
        <f>IF(LEN(AA17)&gt;1,GetTagPage(CB17,AA17),"")</f>
        <v/>
      </c>
      <c r="CF17" s="30" t="str">
        <f t="shared" si="35"/>
        <v xml:space="preserve">| </v>
      </c>
      <c r="CG17" s="30" t="str">
        <f t="shared" si="27"/>
        <v xml:space="preserve">| [Caysasay](/places/ph-shrine-of-our-lady-of-caysasay) </v>
      </c>
      <c r="CH17" s="30" t="str">
        <f>"| "&amp;IF(AR17,GetTagPage(B17,VLOOKUP(B17,'(Ref) Countries'!A:C,3,)),B17)&amp; " "</f>
        <v xml:space="preserve">| [Philippines](/tags/philippines) </v>
      </c>
      <c r="CI17" s="30" t="str">
        <f t="shared" si="28"/>
        <v xml:space="preserve">| 1603 </v>
      </c>
      <c r="CJ17" s="30" t="str">
        <f t="shared" si="36"/>
        <v xml:space="preserve">| [Link](/places/ph-shrine-of-our-lady-of-caysasay) </v>
      </c>
      <c r="CK17" s="29" t="str">
        <f t="shared" si="37"/>
        <v xml:space="preserve">
| [Caysasay](/places/ph-shrine-of-our-lady-of-caysasay) | [Philippines](/tags/philippines) | 1603 | [Link](/places/ph-shrine-of-our-lady-of-caysasay) [Official site](https://www.facebook.com/CaysasayTaal)[Link](http://www.therealpresence.org/eucharst/misc/BVM/94_CAYSASAY_60x96.pdf)[Link](http://www.miraclehunter.com/marian_apparitions/approved_apparitions/caysasay/index.html)| |</v>
      </c>
    </row>
    <row r="18" spans="1:89" ht="87" x14ac:dyDescent="0.4">
      <c r="A18" s="14" t="s">
        <v>1320</v>
      </c>
      <c r="B18" s="24" t="s">
        <v>661</v>
      </c>
      <c r="D18" s="15">
        <v>45.592976471079801</v>
      </c>
      <c r="E18" s="49">
        <v>19.1905119128275</v>
      </c>
      <c r="F18" s="41" t="s">
        <v>1387</v>
      </c>
      <c r="G18" s="56" t="s">
        <v>1388</v>
      </c>
      <c r="H18" s="42" t="s">
        <v>1715</v>
      </c>
      <c r="I18" s="25" t="b">
        <v>1</v>
      </c>
      <c r="J18" s="15" t="b">
        <v>1</v>
      </c>
      <c r="L18" s="24" t="s">
        <v>1389</v>
      </c>
      <c r="M18" s="55" t="s">
        <v>1735</v>
      </c>
      <c r="N18" s="15" t="s">
        <v>1390</v>
      </c>
      <c r="O18" s="116" t="s">
        <v>336</v>
      </c>
      <c r="P18" s="84" t="s">
        <v>1814</v>
      </c>
      <c r="Q18" s="34" t="s">
        <v>1813</v>
      </c>
      <c r="R18" s="117" t="s">
        <v>336</v>
      </c>
      <c r="S18" s="61"/>
      <c r="T18" s="34"/>
      <c r="U18" s="65"/>
      <c r="V18" s="34"/>
      <c r="W18" s="34"/>
      <c r="X18" s="100"/>
      <c r="Y18" s="15" t="s">
        <v>336</v>
      </c>
      <c r="AI18" s="87" t="s">
        <v>1254</v>
      </c>
      <c r="AJ18" s="88">
        <v>1603</v>
      </c>
      <c r="AK18" s="15" t="s">
        <v>259</v>
      </c>
      <c r="AL18" s="15" t="s">
        <v>336</v>
      </c>
      <c r="AM18" s="15" t="s">
        <v>1359</v>
      </c>
      <c r="AN18" s="42" t="s">
        <v>1386</v>
      </c>
      <c r="AO18" s="15" t="s">
        <v>336</v>
      </c>
      <c r="AP18" s="49" t="s">
        <v>336</v>
      </c>
      <c r="AR18" s="28" t="b">
        <f t="shared" si="0"/>
        <v>1</v>
      </c>
      <c r="AS18" s="29" t="str">
        <f t="shared" si="1"/>
        <v>title: "Diocesan Shrine of Mary, Help of Christians"</v>
      </c>
      <c r="AT18" s="29" t="str">
        <f t="shared" si="2"/>
        <v>location: {lat: 45.5929764710798, lng: 19.1905119128275}</v>
      </c>
      <c r="AU18" s="29" t="str">
        <f t="shared" si="3"/>
        <v>level: global</v>
      </c>
      <c r="AV18" s="29" t="str">
        <f>"- "&amp;VLOOKUP(B18,'(Ref) Countries'!A:C,3,)</f>
        <v>- serbia</v>
      </c>
      <c r="AW18" s="29" t="str">
        <f t="shared" si="4"/>
        <v/>
      </c>
      <c r="AX18" s="29" t="str">
        <f t="shared" si="5"/>
        <v>- churches</v>
      </c>
      <c r="AY18" s="29" t="str">
        <f t="shared" si="6"/>
        <v>- marian-sites</v>
      </c>
      <c r="AZ18" s="29" t="str">
        <f t="shared" si="7"/>
        <v/>
      </c>
      <c r="BA18" s="29" t="str">
        <f t="shared" si="8"/>
        <v/>
      </c>
      <c r="BB18" s="29" t="str">
        <f t="shared" si="9"/>
        <v/>
      </c>
      <c r="BC18" s="29" t="str">
        <f t="shared" si="10"/>
        <v/>
      </c>
      <c r="BD18" s="29" t="str">
        <f t="shared" si="11"/>
        <v/>
      </c>
      <c r="BE18" s="29" t="str">
        <f t="shared" si="12"/>
        <v/>
      </c>
      <c r="BF18" s="29" t="str">
        <f t="shared" si="13"/>
        <v/>
      </c>
      <c r="BG18" s="29" t="str">
        <f t="shared" si="14"/>
        <v/>
      </c>
      <c r="BH18" s="29" t="str">
        <f t="shared" si="15"/>
        <v/>
      </c>
      <c r="BI18" s="29" t="str">
        <f t="shared" si="16"/>
        <v/>
      </c>
      <c r="BJ18" s="29" t="str">
        <f t="shared" si="17"/>
        <v/>
      </c>
      <c r="BK18" s="29" t="str">
        <f t="shared" si="33"/>
        <v xml:space="preserve">tags:
- serbia_x000D_
- churches_x000D_
- marian-sites_x000D_
</v>
      </c>
      <c r="BL18" s="30" t="str">
        <f t="shared" si="18"/>
        <v>[Official site](https://szentkut.eu/)</v>
      </c>
      <c r="BM18" s="30" t="str">
        <f t="shared" si="19"/>
        <v>[Additional site](https://doroszlo.net/)</v>
      </c>
      <c r="BN18" s="30" t="str">
        <f t="shared" si="20"/>
        <v/>
      </c>
      <c r="BO18" s="30" t="str">
        <f t="shared" si="21"/>
        <v/>
      </c>
      <c r="BP18" s="30" t="str">
        <f t="shared" si="34"/>
        <v xml:space="preserve">* [Official site](https://szentkut.eu/)
* [Additional site](https://doroszlo.net/)
</v>
      </c>
      <c r="BQ18" s="30" t="str">
        <f t="shared" si="22"/>
        <v>[Link](http://www.therealpresence.org/eucharst/misc/BVM/104_DOROSZLO_60x96.pdf)</v>
      </c>
      <c r="BR18" s="30" t="str">
        <f t="shared" si="23"/>
        <v>[Link](https://www.miraclehunter.com/marian_apparitions/approved_apparitions/apparitions_1700-1799.html) (Search "Doroszlo")</v>
      </c>
      <c r="BS18" s="30" t="str">
        <f t="shared" si="24"/>
        <v/>
      </c>
      <c r="BT18" s="30" t="str">
        <f>IF(LEN(_xludf.concat(BQ18:BS18))&gt;0,_xludf.concat("| ",BQ18," | ",BR18," | ",BS18," |"),"")</f>
        <v>| [Link](http://www.therealpresence.org/eucharst/misc/BVM/104_DOROSZLO_60x96.pdf) | [Link](https://www.miraclehunter.com/marian_apparitions/approved_apparitions/apparitions_1700-1799.html) (Search "Doroszlo") |  |</v>
      </c>
      <c r="BU18" s="29" t="str">
        <f t="shared" si="25"/>
        <v xml:space="preserve">| The Real Presence | Miracle Hunter | MaryPages |_x000D_
| --- | --- | --- |_x000D_
| [Link](http://www.therealpresence.org/eucharst/misc/BVM/104_DOROSZLO_60x96.pdf) | [Link](https://www.miraclehunter.com/marian_apparitions/approved_apparitions/apparitions_1700-1799.html) (Search "Doroszlo") |  |_x000D_
</v>
      </c>
      <c r="BV18" s="29" t="str">
        <f>IF(LEN(BP18&amp;BU18)&gt;0,concatll("#### More Information",BP18,BU18),"")</f>
        <v xml:space="preserve">####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v>
      </c>
      <c r="BW18" s="29" t="str">
        <f>IF(LEN(M18)&gt;1,concatll("#### Author's Note",M18),"")</f>
        <v xml:space="preserve">#### Author's Note_x000D_
_x000D_
At the time of this miracle the land belonged to Hungary; a few sources still refer to the site as Hungarian.  The two potential official pages listed may not be accurate; please [contact us](/contact) if you have any better information.
-JMM_x000D_
_x000D_
</v>
      </c>
      <c r="BX18" s="23" t="str">
        <f>IF(AR18,concatll(concatl("---",AS18:AU18,BK18,"---"),L18,BV18:BW18),"")</f>
        <v xml:space="preserve">---_x000D_
title: "Diocesan Shrine of Mary, Help of Christians"_x000D_
location: {lat: 45.5929764710798, lng: 19.1905119128275}_x000D_
level: global_x000D_
tags:
- serbia_x000D_
- churches_x000D_
- marian-sites_x000D_
_x000D_
---_x000D_
_x000D_
_x000D_
In 1792, the Virgin Mary appeared to a blind man, advising him to bathe his eyes in a miraculous fountain.  Upon his healing, a chapel was built and was eventually expanded to a larger church._x000D_
_x000D_
####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_x000D_
_x000D_
#### Author's Note_x000D_
_x000D_
At the time of this miracle the land belonged to Hungary; a few sources still refer to the site as Hungarian.  The two potential official pages listed may not be accurate; please [contact us](/contact) if you have any better information.
-JMM_x000D_
_x000D_
_x000D_
_x000D_
</v>
      </c>
      <c r="BY18" s="23" t="str">
        <f>IF(AR18,VLOOKUP(B18,'(Ref) Countries'!A:B,2,)&amp;IF(LEN(C18)&gt;1,"-"&amp;LOWER(SUBSTITUTE(C18," ","-")),"")&amp;"-"&amp;LOWER(SUBSTITUTE(G18," ","-"))&amp;".md","")</f>
        <v>rs-shrine-of-mary-help-of-christians.md</v>
      </c>
      <c r="BZ18" s="29" t="str">
        <f>IF(LEN(Y18)&gt;1,VLOOKUP(Y18,'Tag List'!$A:$B,2,),"")</f>
        <v/>
      </c>
      <c r="CA18" s="29" t="str">
        <f>IF(LEN(Z18)&gt;1,VLOOKUP(Z18,'Tag List'!$A:$B,2,),"")</f>
        <v/>
      </c>
      <c r="CB18" s="29" t="str">
        <f>IF(LEN(AA18)&gt;1,VLOOKUP(AA18,'Tag List'!$A:$B,2,),"")</f>
        <v/>
      </c>
      <c r="CC18" s="30" t="str">
        <f>IF(LEN(Y18)&gt;1,GetTagPage(BZ18,Y18),"")</f>
        <v/>
      </c>
      <c r="CD18" s="30" t="str">
        <f>IF(LEN(Z18)&gt;1,GetTagPage(CA18,Z18),"")</f>
        <v/>
      </c>
      <c r="CE18" s="30" t="str">
        <f>IF(LEN(AA18)&gt;1,GetTagPage(CB18,AA18),"")</f>
        <v/>
      </c>
      <c r="CF18" s="30" t="str">
        <f t="shared" si="35"/>
        <v xml:space="preserve">| </v>
      </c>
      <c r="CG18" s="30" t="str">
        <f t="shared" si="27"/>
        <v xml:space="preserve">| [Doroszló](/places/rs-shrine-of-mary-help-of-christians) </v>
      </c>
      <c r="CH18" s="30" t="str">
        <f>"| "&amp;IF(AR18,GetTagPage(B18,VLOOKUP(B18,'(Ref) Countries'!A:C,3,)),B18)&amp; " "</f>
        <v xml:space="preserve">| [Serbia](/tags/serbia) </v>
      </c>
      <c r="CI18" s="30" t="str">
        <f t="shared" si="28"/>
        <v xml:space="preserve">| 1603 </v>
      </c>
      <c r="CJ18" s="30" t="str">
        <f t="shared" si="36"/>
        <v xml:space="preserve">| [Link](/places/rs-shrine-of-mary-help-of-christians) </v>
      </c>
      <c r="CK18" s="29" t="str">
        <f t="shared" si="37"/>
        <v xml:space="preserve">
| [Doroszló](/places/rs-shrine-of-mary-help-of-christians) | [Serbia](/tags/serbia) | 1603 | [Link](/places/rs-shrine-of-mary-help-of-christians) [Official site](https://szentkut.eu/)[Link](http://www.therealpresence.org/eucharst/misc/BVM/104_DOROSZLO_60x96.pdf)[Link](https://www.miraclehunter.com/marian_apparitions/approved_apparitions/apparitions_1700-1799.html) (Search "Doroszlo")| |</v>
      </c>
    </row>
    <row r="19" spans="1:89" ht="62.15" x14ac:dyDescent="0.4">
      <c r="A19" s="14" t="s">
        <v>1320</v>
      </c>
      <c r="B19" s="24" t="s">
        <v>607</v>
      </c>
      <c r="D19" s="15">
        <v>55.530612599999998</v>
      </c>
      <c r="E19" s="49">
        <v>23.219925199999999</v>
      </c>
      <c r="F19" s="24" t="s">
        <v>1029</v>
      </c>
      <c r="G19" s="53" t="s">
        <v>1005</v>
      </c>
      <c r="H19" s="15" t="s">
        <v>1715</v>
      </c>
      <c r="I19" s="25" t="b">
        <v>1</v>
      </c>
      <c r="J19" s="15" t="b">
        <v>1</v>
      </c>
      <c r="L19" s="24" t="s">
        <v>462</v>
      </c>
      <c r="M19" s="55" t="s">
        <v>1736</v>
      </c>
      <c r="N19" s="15" t="s">
        <v>1006</v>
      </c>
      <c r="O19" s="15" t="s">
        <v>336</v>
      </c>
      <c r="Y19" s="16" t="s">
        <v>336</v>
      </c>
      <c r="Z19" s="16"/>
      <c r="AA19" s="16"/>
      <c r="AB19" s="16"/>
      <c r="AC19" s="16"/>
      <c r="AD19" s="16"/>
      <c r="AE19" s="16"/>
      <c r="AF19" s="16"/>
      <c r="AG19" s="16"/>
      <c r="AH19" s="16"/>
      <c r="AI19" s="87" t="s">
        <v>1004</v>
      </c>
      <c r="AJ19" s="88">
        <v>1608</v>
      </c>
      <c r="AK19" s="15" t="s">
        <v>261</v>
      </c>
      <c r="AL19" s="15" t="s">
        <v>336</v>
      </c>
      <c r="AM19" s="15" t="s">
        <v>464</v>
      </c>
      <c r="AN19" s="15" t="s">
        <v>336</v>
      </c>
      <c r="AO19" s="15" t="s">
        <v>463</v>
      </c>
      <c r="AP19" s="49" t="s">
        <v>336</v>
      </c>
      <c r="AR19" s="28" t="b">
        <f t="shared" si="0"/>
        <v>1</v>
      </c>
      <c r="AS19" s="29" t="str">
        <f t="shared" si="1"/>
        <v>title: "Basilica of the Nativity of the Blessed Virgin Mary (Our Lady of Siluva)"</v>
      </c>
      <c r="AT19" s="29" t="str">
        <f t="shared" si="2"/>
        <v>location: {lat: 55.5306126, lng: 23.2199252}</v>
      </c>
      <c r="AU19" s="29" t="str">
        <f t="shared" si="3"/>
        <v>level: global</v>
      </c>
      <c r="AV19" s="29" t="str">
        <f>"- "&amp;VLOOKUP(B19,'(Ref) Countries'!A:C,3,)</f>
        <v>- lithuania</v>
      </c>
      <c r="AW19" s="29" t="str">
        <f t="shared" si="4"/>
        <v/>
      </c>
      <c r="AX19" s="29" t="str">
        <f t="shared" si="5"/>
        <v>- churches</v>
      </c>
      <c r="AY19" s="29" t="str">
        <f t="shared" si="6"/>
        <v>- marian-sites</v>
      </c>
      <c r="AZ19" s="29" t="str">
        <f t="shared" si="7"/>
        <v/>
      </c>
      <c r="BA19" s="29" t="str">
        <f t="shared" si="8"/>
        <v/>
      </c>
      <c r="BB19" s="29" t="str">
        <f t="shared" si="9"/>
        <v/>
      </c>
      <c r="BC19" s="29" t="str">
        <f t="shared" si="10"/>
        <v/>
      </c>
      <c r="BD19" s="29" t="str">
        <f t="shared" si="11"/>
        <v/>
      </c>
      <c r="BE19" s="29" t="str">
        <f t="shared" si="12"/>
        <v/>
      </c>
      <c r="BF19" s="29" t="str">
        <f t="shared" si="13"/>
        <v/>
      </c>
      <c r="BG19" s="29" t="str">
        <f t="shared" si="14"/>
        <v/>
      </c>
      <c r="BH19" s="29" t="str">
        <f t="shared" si="15"/>
        <v/>
      </c>
      <c r="BI19" s="29" t="str">
        <f t="shared" si="16"/>
        <v/>
      </c>
      <c r="BJ19" s="29" t="str">
        <f t="shared" si="17"/>
        <v/>
      </c>
      <c r="BK19" s="29" t="str">
        <f t="shared" si="33"/>
        <v xml:space="preserve">tags:
- lithuania_x000D_
- churches_x000D_
- marian-sites_x000D_
</v>
      </c>
      <c r="BL19" s="30" t="str">
        <f t="shared" si="18"/>
        <v>[Official site](https://siluva.lt/)</v>
      </c>
      <c r="BM19" s="30" t="str">
        <f t="shared" si="19"/>
        <v/>
      </c>
      <c r="BN19" s="30" t="str">
        <f t="shared" si="20"/>
        <v/>
      </c>
      <c r="BO19" s="30" t="str">
        <f t="shared" si="21"/>
        <v/>
      </c>
      <c r="BP19" s="30" t="str">
        <f t="shared" si="34"/>
        <v xml:space="preserve">* [Official site](https://siluva.lt/)
</v>
      </c>
      <c r="BQ19" s="30" t="str">
        <f t="shared" si="22"/>
        <v>[Link](http://www.therealpresence.org/eucharst/misc/BVM/57_SILUVA_96x96.pdf)</v>
      </c>
      <c r="BR19" s="30" t="str">
        <f t="shared" si="23"/>
        <v>[Link](https://www.miraclehunter.com/marian_apparitions/approved_apparitions/siluva/index.html)</v>
      </c>
      <c r="BS19" s="30" t="str">
        <f t="shared" si="24"/>
        <v>[Link](https://www.marypages.com/our-lady-of-siluva-en.html)</v>
      </c>
      <c r="BT19" s="30" t="str">
        <f>IF(LEN(_xludf.concat(BQ19:BS19))&gt;0,_xludf.concat("| ",BQ19," | ",BR19," | ",BS19," |"),"")</f>
        <v>| [Link](http://www.therealpresence.org/eucharst/misc/BVM/57_SILUVA_96x96.pdf) | [Link](https://www.miraclehunter.com/marian_apparitions/approved_apparitions/siluva/index.html) | [Link](https://www.marypages.com/our-lady-of-siluva-en.html) |</v>
      </c>
      <c r="BU19" s="29" t="str">
        <f t="shared" si="25"/>
        <v xml:space="preserve">| The Real Presence | Miracle Hunter | MaryPages |_x000D_
| --- | --- | --- |_x000D_
| [Link](http://www.therealpresence.org/eucharst/misc/BVM/57_SILUVA_96x96.pdf) | [Link](https://www.miraclehunter.com/marian_apparitions/approved_apparitions/siluva/index.html) | [Link](https://www.marypages.com/our-lady-of-siluva-en.html) |_x000D_
</v>
      </c>
      <c r="BV19" s="29" t="str">
        <f>IF(LEN(BP19&amp;BU19)&gt;0,concatll("#### More Information",BP19,BU19),"")</f>
        <v xml:space="preserve">####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v>
      </c>
      <c r="BW19" s="29" t="str">
        <f>IF(LEN(M19)&gt;1,concatll("#### Author's Note",M19),"")</f>
        <v xml:space="preserve">#### Author's Note_x000D_
_x000D_
Additional info and a good history [here](https://www.ourladyofsiluva.org/our_lady/).
-JMM_x000D_
_x000D_
</v>
      </c>
      <c r="BX19" s="23" t="str">
        <f>IF(AR19,concatll(concatl("---",AS19:AU19,BK19,"---"),L19,BV19:BW19),"")</f>
        <v xml:space="preserve">---_x000D_
title: "Basilica of the Nativity of the Blessed Virgin Mary (Our Lady of Siluva)"_x000D_
location: {lat: 55.5306126, lng: 23.2199252}_x000D_
level: global_x000D_
tags:
- lithuania_x000D_
- churches_x000D_
- marian-sites_x000D_
_x000D_
---_x000D_
_x000D_
_x000D_
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Faith._x000D_
_x000D_
####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_x000D_
_x000D_
#### Author's Note_x000D_
_x000D_
Additional info and a good history [here](https://www.ourladyofsiluva.org/our_lady/).
-JMM_x000D_
_x000D_
_x000D_
_x000D_
</v>
      </c>
      <c r="BY19" s="23" t="str">
        <f>IF(AR19,VLOOKUP(B19,'(Ref) Countries'!A:B,2,)&amp;IF(LEN(C19)&gt;1,"-"&amp;LOWER(SUBSTITUTE(C19," ","-")),"")&amp;"-"&amp;LOWER(SUBSTITUTE(G19," ","-"))&amp;".md","")</f>
        <v>lt-basilica-of-the-nativity-of-the-blessed-virgin-mary.md</v>
      </c>
      <c r="BZ19" s="30" t="str">
        <f>IF(LEN(Y19)&gt;1,VLOOKUP(Y19,'Tag List'!$A:$B,2,),"")</f>
        <v/>
      </c>
      <c r="CA19" s="30" t="str">
        <f>IF(LEN(Z19)&gt;1,VLOOKUP(Z19,'Tag List'!$A:$B,2,),"")</f>
        <v/>
      </c>
      <c r="CB19" s="30" t="str">
        <f>IF(LEN(AA19)&gt;1,VLOOKUP(AA19,'Tag List'!$A:$B,2,),"")</f>
        <v/>
      </c>
      <c r="CC19" s="30" t="str">
        <f>IF(LEN(Y19)&gt;1,GetTagPage(BZ19,Y19),"")</f>
        <v/>
      </c>
      <c r="CD19" s="30" t="str">
        <f>IF(LEN(Z19)&gt;1,GetTagPage(CA19,Z19),"")</f>
        <v/>
      </c>
      <c r="CE19" s="30" t="str">
        <f>IF(LEN(AA19)&gt;1,GetTagPage(CB19,AA19),"")</f>
        <v/>
      </c>
      <c r="CF19" s="30" t="str">
        <f t="shared" si="35"/>
        <v xml:space="preserve">| </v>
      </c>
      <c r="CG19" s="30" t="str">
        <f t="shared" si="27"/>
        <v xml:space="preserve">| [Šiluva](/places/lt-basilica-of-the-nativity-of-the-blessed-virgin-mary) </v>
      </c>
      <c r="CH19" s="30" t="str">
        <f>"| "&amp;IF(AR19,GetTagPage(B19,VLOOKUP(B19,'(Ref) Countries'!A:C,3,)),B19)&amp; " "</f>
        <v xml:space="preserve">| [Lithuania](/tags/lithuania) </v>
      </c>
      <c r="CI19" s="30" t="str">
        <f t="shared" si="28"/>
        <v xml:space="preserve">| 1608 </v>
      </c>
      <c r="CJ19" s="30" t="str">
        <f t="shared" si="36"/>
        <v xml:space="preserve">| [Link](/places/lt-basilica-of-the-nativity-of-the-blessed-virgin-mary) </v>
      </c>
      <c r="CK19" s="29" t="str">
        <f t="shared" si="37"/>
        <v xml:space="preserve">
| [Šiluva](/places/lt-basilica-of-the-nativity-of-the-blessed-virgin-mary) | [Lithuania](/tags/lithuania) | 1608 | [Link](/places/lt-basilica-of-the-nativity-of-the-blessed-virgin-mary) [Official site](https://siluva.lt/)[Link](http://www.therealpresence.org/eucharst/misc/BVM/57_SILUVA_96x96.pdf)[Link](https://www.miraclehunter.com/marian_apparitions/approved_apparitions/siluva/index.html)[Link](https://www.marypages.com/our-lady-of-siluva-en.html)| |</v>
      </c>
    </row>
    <row r="20" spans="1:89" ht="62.15" x14ac:dyDescent="0.4">
      <c r="A20" s="14" t="s">
        <v>1320</v>
      </c>
      <c r="B20" s="24" t="s">
        <v>649</v>
      </c>
      <c r="D20" s="15">
        <v>16.0440593284094</v>
      </c>
      <c r="E20" s="49">
        <v>120.488325579597</v>
      </c>
      <c r="F20" s="24" t="s">
        <v>1376</v>
      </c>
      <c r="G20" s="53" t="s">
        <v>1378</v>
      </c>
      <c r="H20" s="15" t="s">
        <v>1715</v>
      </c>
      <c r="I20" s="25" t="b">
        <v>1</v>
      </c>
      <c r="J20" s="15" t="b">
        <v>1</v>
      </c>
      <c r="L20" s="24" t="s">
        <v>1377</v>
      </c>
      <c r="N20" s="15" t="s">
        <v>1379</v>
      </c>
      <c r="O20" s="15" t="s">
        <v>336</v>
      </c>
      <c r="Y20" s="15" t="s">
        <v>336</v>
      </c>
      <c r="AI20" s="87" t="s">
        <v>1256</v>
      </c>
      <c r="AJ20" s="88">
        <v>1610</v>
      </c>
      <c r="AK20" s="15" t="s">
        <v>262</v>
      </c>
      <c r="AL20" s="15" t="s">
        <v>336</v>
      </c>
      <c r="AM20" s="15" t="s">
        <v>1380</v>
      </c>
      <c r="AN20" s="15" t="s">
        <v>336</v>
      </c>
      <c r="AO20" s="15" t="s">
        <v>336</v>
      </c>
      <c r="AP20" s="49" t="s">
        <v>336</v>
      </c>
      <c r="AR20" s="28" t="b">
        <f t="shared" si="0"/>
        <v>1</v>
      </c>
      <c r="AS20" s="29" t="str">
        <f t="shared" si="1"/>
        <v>title: "Minor Basilica of Our Lady of the Rosary of Manaoag"</v>
      </c>
      <c r="AT20" s="29" t="str">
        <f t="shared" si="2"/>
        <v>location: {lat: 16.0440593284094, lng: 120.488325579597}</v>
      </c>
      <c r="AU20" s="29" t="str">
        <f t="shared" si="3"/>
        <v>level: global</v>
      </c>
      <c r="AV20" s="29" t="str">
        <f>"- "&amp;VLOOKUP(B20,'(Ref) Countries'!A:C,3,)</f>
        <v>- philippines</v>
      </c>
      <c r="AW20" s="29" t="str">
        <f t="shared" si="4"/>
        <v/>
      </c>
      <c r="AX20" s="29" t="str">
        <f t="shared" si="5"/>
        <v>- churches</v>
      </c>
      <c r="AY20" s="29" t="str">
        <f t="shared" si="6"/>
        <v>- marian-sites</v>
      </c>
      <c r="AZ20" s="29" t="str">
        <f t="shared" si="7"/>
        <v/>
      </c>
      <c r="BA20" s="29" t="str">
        <f t="shared" si="8"/>
        <v/>
      </c>
      <c r="BB20" s="29" t="str">
        <f t="shared" si="9"/>
        <v/>
      </c>
      <c r="BC20" s="29" t="str">
        <f t="shared" si="10"/>
        <v/>
      </c>
      <c r="BD20" s="29" t="str">
        <f t="shared" si="11"/>
        <v/>
      </c>
      <c r="BE20" s="29" t="str">
        <f t="shared" si="12"/>
        <v/>
      </c>
      <c r="BF20" s="29" t="str">
        <f t="shared" si="13"/>
        <v/>
      </c>
      <c r="BG20" s="29" t="str">
        <f t="shared" si="14"/>
        <v/>
      </c>
      <c r="BH20" s="29" t="str">
        <f t="shared" si="15"/>
        <v/>
      </c>
      <c r="BI20" s="29" t="str">
        <f t="shared" si="16"/>
        <v/>
      </c>
      <c r="BJ20" s="29" t="str">
        <f t="shared" si="17"/>
        <v/>
      </c>
      <c r="BK20" s="29" t="str">
        <f t="shared" si="33"/>
        <v xml:space="preserve">tags:
- philippines_x000D_
- churches_x000D_
- marian-sites_x000D_
</v>
      </c>
      <c r="BL20" s="30" t="str">
        <f t="shared" si="18"/>
        <v>[Official site](https://www.manaoagminorbasilica.org/)</v>
      </c>
      <c r="BM20" s="30" t="str">
        <f t="shared" si="19"/>
        <v/>
      </c>
      <c r="BN20" s="30" t="str">
        <f t="shared" si="20"/>
        <v/>
      </c>
      <c r="BO20" s="30" t="str">
        <f t="shared" si="21"/>
        <v/>
      </c>
      <c r="BP20" s="30" t="str">
        <f t="shared" si="34"/>
        <v xml:space="preserve">* [Official site](https://www.manaoagminorbasilica.org/)
</v>
      </c>
      <c r="BQ20" s="30" t="str">
        <f t="shared" si="22"/>
        <v>[Link](http://www.therealpresence.org/eucharst/misc/BVM/88_MANAOAG_60x96.pdf)</v>
      </c>
      <c r="BR20" s="30" t="str">
        <f t="shared" si="23"/>
        <v>[Link](https://www.miraclehunter.com/marian_apparitions/approved_apparitions/manaoag/index.html)</v>
      </c>
      <c r="BS20" s="30" t="str">
        <f t="shared" si="24"/>
        <v/>
      </c>
      <c r="BT20" s="30" t="str">
        <f>IF(LEN(_xludf.concat(BQ20:BS20))&gt;0,_xludf.concat("| ",BQ20," | ",BR20," | ",BS20," |"),"")</f>
        <v>| [Link](http://www.therealpresence.org/eucharst/misc/BVM/88_MANAOAG_60x96.pdf) | [Link](https://www.miraclehunter.com/marian_apparitions/approved_apparitions/manaoag/index.html) |  |</v>
      </c>
      <c r="BU20" s="29" t="str">
        <f t="shared" si="25"/>
        <v xml:space="preserve">| The Real Presence | Miracle Hunter | MaryPages |_x000D_
| --- | --- | --- |_x000D_
| [Link](http://www.therealpresence.org/eucharst/misc/BVM/88_MANAOAG_60x96.pdf) | [Link](https://www.miraclehunter.com/marian_apparitions/approved_apparitions/manaoag/index.html) |  |_x000D_
</v>
      </c>
      <c r="BV20" s="29" t="str">
        <f>IF(LEN(BP20&amp;BU20)&gt;0,concatll("#### More Information",BP20,BU20),"")</f>
        <v xml:space="preserve">####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v>
      </c>
      <c r="BW20" s="29" t="str">
        <f>IF(LEN(M20)&gt;1,concatll("#### Author's Note",M20),"")</f>
        <v/>
      </c>
      <c r="BX20" s="23" t="str">
        <f>IF(AR20,concatll(concatl("---",AS20:AU20,BK20,"---"),L20,BV20:BW20),"")</f>
        <v xml:space="preserve">---_x000D_
title: "Minor Basilica of Our Lady of the Rosary of Manaoag"_x000D_
location: {lat: 16.0440593284094, lng: 120.488325579597}_x000D_
level: global_x000D_
tags:
- philippines_x000D_
- churches_x000D_
- marian-sites_x000D_
_x000D_
---_x000D_
_x000D_
_x000D_
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Señora de Manaoag, or Apo Baket as known to the local townspeople)._x000D_
_x000D_
####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_x000D_
_x000D_
</v>
      </c>
      <c r="BY20" s="23" t="str">
        <f>IF(AR20,VLOOKUP(B20,'(Ref) Countries'!A:B,2,)&amp;IF(LEN(C20)&gt;1,"-"&amp;LOWER(SUBSTITUTE(C20," ","-")),"")&amp;"-"&amp;LOWER(SUBSTITUTE(G20," ","-"))&amp;".md","")</f>
        <v>ph-basilica-of-our-lady-of-the-rosary-of-manaoag.md</v>
      </c>
      <c r="BZ20" s="29" t="str">
        <f>IF(LEN(Y20)&gt;1,VLOOKUP(Y20,'Tag List'!$A:$B,2,),"")</f>
        <v/>
      </c>
      <c r="CA20" s="29" t="str">
        <f>IF(LEN(Z20)&gt;1,VLOOKUP(Z20,'Tag List'!$A:$B,2,),"")</f>
        <v/>
      </c>
      <c r="CB20" s="29" t="str">
        <f>IF(LEN(AA20)&gt;1,VLOOKUP(AA20,'Tag List'!$A:$B,2,),"")</f>
        <v/>
      </c>
      <c r="CC20" s="30" t="str">
        <f>IF(LEN(Y20)&gt;1,GetTagPage(BZ20,Y20),"")</f>
        <v/>
      </c>
      <c r="CD20" s="30" t="str">
        <f>IF(LEN(Z20)&gt;1,GetTagPage(CA20,Z20),"")</f>
        <v/>
      </c>
      <c r="CE20" s="30" t="str">
        <f>IF(LEN(AA20)&gt;1,GetTagPage(CB20,AA20),"")</f>
        <v/>
      </c>
      <c r="CF20" s="30" t="str">
        <f t="shared" si="35"/>
        <v xml:space="preserve">| </v>
      </c>
      <c r="CG20" s="30" t="str">
        <f t="shared" si="27"/>
        <v xml:space="preserve">| [Manaoag](/places/ph-basilica-of-our-lady-of-the-rosary-of-manaoag) </v>
      </c>
      <c r="CH20" s="30" t="str">
        <f>"| "&amp;IF(AR20,GetTagPage(B20,VLOOKUP(B20,'(Ref) Countries'!A:C,3,)),B20)&amp; " "</f>
        <v xml:space="preserve">| [Philippines](/tags/philippines) </v>
      </c>
      <c r="CI20" s="30" t="str">
        <f t="shared" si="28"/>
        <v xml:space="preserve">| 1610 </v>
      </c>
      <c r="CJ20" s="30" t="str">
        <f t="shared" si="36"/>
        <v xml:space="preserve">| [Link](/places/ph-basilica-of-our-lady-of-the-rosary-of-manaoag) </v>
      </c>
      <c r="CK20" s="29" t="str">
        <f t="shared" si="37"/>
        <v xml:space="preserve">
| [Manaoag](/places/ph-basilica-of-our-lady-of-the-rosary-of-manaoag) | [Philippines](/tags/philippines) | 1610 | [Link](/places/ph-basilica-of-our-lady-of-the-rosary-of-manaoag) [Official site](https://www.manaoagminorbasilica.org/)[Link](http://www.therealpresence.org/eucharst/misc/BVM/88_MANAOAG_60x96.pdf)[Link](https://www.miraclehunter.com/marian_apparitions/approved_apparitions/manaoag/index.html)| |</v>
      </c>
    </row>
    <row r="21" spans="1:89" x14ac:dyDescent="0.4">
      <c r="A21" s="14" t="s">
        <v>1049</v>
      </c>
      <c r="B21" s="24" t="s">
        <v>536</v>
      </c>
      <c r="D21" s="15">
        <v>20.050796521215599</v>
      </c>
      <c r="E21" s="49">
        <v>-75.948970548482805</v>
      </c>
      <c r="F21" s="24" t="s">
        <v>1316</v>
      </c>
      <c r="G21" s="53" t="s">
        <v>1317</v>
      </c>
      <c r="H21" s="15" t="s">
        <v>1715</v>
      </c>
      <c r="I21" s="25" t="b">
        <v>1</v>
      </c>
      <c r="J21" s="15" t="b">
        <v>1</v>
      </c>
      <c r="L21" s="24" t="s">
        <v>1333</v>
      </c>
      <c r="N21" s="15" t="s">
        <v>336</v>
      </c>
      <c r="O21" s="15" t="s">
        <v>336</v>
      </c>
      <c r="Y21" s="15" t="s">
        <v>336</v>
      </c>
      <c r="AI21" s="87" t="s">
        <v>1314</v>
      </c>
      <c r="AJ21" s="88">
        <v>1612</v>
      </c>
      <c r="AK21" s="15" t="s">
        <v>263</v>
      </c>
      <c r="AL21" s="15" t="s">
        <v>336</v>
      </c>
      <c r="AM21" s="15" t="s">
        <v>336</v>
      </c>
      <c r="AN21" s="15" t="s">
        <v>336</v>
      </c>
      <c r="AO21" s="15" t="s">
        <v>336</v>
      </c>
      <c r="AP21" s="49" t="s">
        <v>336</v>
      </c>
      <c r="AR21" s="28" t="b">
        <f t="shared" si="0"/>
        <v>1</v>
      </c>
      <c r="AS21" s="29" t="str">
        <f t="shared" si="1"/>
        <v>title: "Basilica of Our Lady of Charity of El Cobre"</v>
      </c>
      <c r="AT21" s="29" t="str">
        <f t="shared" si="2"/>
        <v>location: {lat: 20.0507965212156, lng: -75.9489705484828}</v>
      </c>
      <c r="AU21" s="29" t="str">
        <f t="shared" si="3"/>
        <v>level: global</v>
      </c>
      <c r="AV21" s="29" t="str">
        <f>"- "&amp;VLOOKUP(B21,'(Ref) Countries'!A:C,3,)</f>
        <v>- cuba</v>
      </c>
      <c r="AW21" s="29" t="str">
        <f t="shared" si="4"/>
        <v/>
      </c>
      <c r="AX21" s="29" t="str">
        <f t="shared" si="5"/>
        <v>- churches</v>
      </c>
      <c r="AY21" s="29" t="str">
        <f t="shared" si="6"/>
        <v>- marian-sites</v>
      </c>
      <c r="AZ21" s="29" t="str">
        <f t="shared" si="7"/>
        <v/>
      </c>
      <c r="BA21" s="29" t="str">
        <f t="shared" si="8"/>
        <v/>
      </c>
      <c r="BB21" s="29" t="str">
        <f t="shared" si="9"/>
        <v/>
      </c>
      <c r="BC21" s="29" t="str">
        <f t="shared" si="10"/>
        <v/>
      </c>
      <c r="BD21" s="29" t="str">
        <f t="shared" si="11"/>
        <v/>
      </c>
      <c r="BE21" s="29" t="str">
        <f t="shared" si="12"/>
        <v/>
      </c>
      <c r="BF21" s="29" t="str">
        <f t="shared" si="13"/>
        <v/>
      </c>
      <c r="BG21" s="29" t="str">
        <f t="shared" si="14"/>
        <v/>
      </c>
      <c r="BH21" s="29" t="str">
        <f t="shared" si="15"/>
        <v/>
      </c>
      <c r="BI21" s="29" t="str">
        <f t="shared" si="16"/>
        <v/>
      </c>
      <c r="BJ21" s="29" t="str">
        <f t="shared" si="17"/>
        <v/>
      </c>
      <c r="BK21" s="29" t="str">
        <f t="shared" si="33"/>
        <v xml:space="preserve">tags:
- cuba_x000D_
- churches_x000D_
- marian-sites_x000D_
</v>
      </c>
      <c r="BL21" s="30" t="str">
        <f t="shared" si="18"/>
        <v/>
      </c>
      <c r="BM21" s="30" t="str">
        <f t="shared" si="19"/>
        <v/>
      </c>
      <c r="BN21" s="30" t="str">
        <f t="shared" si="20"/>
        <v/>
      </c>
      <c r="BO21" s="30" t="str">
        <f t="shared" si="21"/>
        <v/>
      </c>
      <c r="BP21" s="30" t="str">
        <f t="shared" si="34"/>
        <v/>
      </c>
      <c r="BQ21" s="30" t="str">
        <f t="shared" si="22"/>
        <v>[Link](http://www.therealpresence.org/eucharst/misc/BVM/102_CUBA_96x96.pdf)</v>
      </c>
      <c r="BR21" s="30" t="str">
        <f t="shared" si="23"/>
        <v/>
      </c>
      <c r="BS21" s="30" t="str">
        <f t="shared" si="24"/>
        <v/>
      </c>
      <c r="BT21" s="30" t="str">
        <f>IF(LEN(_xludf.concat(BQ21:BS21))&gt;0,_xludf.concat("| ",BQ21," | ",BR21," | ",BS21," |"),"")</f>
        <v>| [Link](http://www.therealpresence.org/eucharst/misc/BVM/102_CUBA_96x96.pdf) |  |  |</v>
      </c>
      <c r="BU21" s="29" t="str">
        <f t="shared" si="25"/>
        <v xml:space="preserve">| The Real Presence | Miracle Hunter | MaryPages |_x000D_
| --- | --- | --- |_x000D_
| [Link](http://www.therealpresence.org/eucharst/misc/BVM/102_CUBA_96x96.pdf) |  |  |_x000D_
</v>
      </c>
      <c r="BV21" s="29" t="str">
        <f>IF(LEN(BP21&amp;BU21)&gt;0,concatll("#### More Information",BP21,BU21),"")</f>
        <v xml:space="preserve">#### More Information_x000D_
_x000D_
| The Real Presence | Miracle Hunter | MaryPages |_x000D_
| --- | --- | --- |_x000D_
| [Link](http://www.therealpresence.org/eucharst/misc/BVM/102_CUBA_96x96.pdf) |  |  |_x000D_
_x000D_
_x000D_
</v>
      </c>
      <c r="BW21" s="29" t="str">
        <f>IF(LEN(M21)&gt;1,concatll("#### Author's Note",M21),"")</f>
        <v/>
      </c>
      <c r="BX21" s="23" t="str">
        <f>IF(AR21,concatll(concatl("---",AS21:AU21,BK21,"---"),L21,BV21:BW21),"")</f>
        <v xml:space="preserve">---_x000D_
title: "Basilica of Our Lady of Charity of El Cobre"_x000D_
location: {lat: 20.0507965212156, lng: -75.9489705484828}_x000D_
level: global_x000D_
tags:
- cuba_x000D_
- churches_x000D_
- marian-sites_x000D_
_x000D_
---_x000D_
_x000D_
_x000D_
_Research in progress__x000D_
_x000D_
#### More Information_x000D_
_x000D_
| The Real Presence | Miracle Hunter | MaryPages |_x000D_
| --- | --- | --- |_x000D_
| [Link](http://www.therealpresence.org/eucharst/misc/BVM/102_CUBA_96x96.pdf) |  |  |_x000D_
_x000D_
_x000D_
_x000D_
_x000D_
</v>
      </c>
      <c r="BY21" s="23" t="str">
        <f>IF(AR21,VLOOKUP(B21,'(Ref) Countries'!A:B,2,)&amp;IF(LEN(C21)&gt;1,"-"&amp;LOWER(SUBSTITUTE(C21," ","-")),"")&amp;"-"&amp;LOWER(SUBSTITUTE(G21," ","-"))&amp;".md","")</f>
        <v>cu-basilica-of-el-cobre.md</v>
      </c>
      <c r="BZ21" s="29" t="str">
        <f>IF(LEN(Y21)&gt;1,VLOOKUP(Y21,'Tag List'!$A:$B,2,),"")</f>
        <v/>
      </c>
      <c r="CA21" s="29" t="str">
        <f>IF(LEN(Z21)&gt;1,VLOOKUP(Z21,'Tag List'!$A:$B,2,),"")</f>
        <v/>
      </c>
      <c r="CB21" s="29" t="str">
        <f>IF(LEN(AA21)&gt;1,VLOOKUP(AA21,'Tag List'!$A:$B,2,),"")</f>
        <v/>
      </c>
      <c r="CC21" s="30" t="str">
        <f>IF(LEN(Y21)&gt;1,GetTagPage(BZ21,Y21),"")</f>
        <v/>
      </c>
      <c r="CD21" s="30" t="str">
        <f>IF(LEN(Z21)&gt;1,GetTagPage(CA21,Z21),"")</f>
        <v/>
      </c>
      <c r="CE21" s="30" t="str">
        <f>IF(LEN(AA21)&gt;1,GetTagPage(CB21,AA21),"")</f>
        <v/>
      </c>
      <c r="CF21" s="30" t="str">
        <f t="shared" si="35"/>
        <v xml:space="preserve">| </v>
      </c>
      <c r="CG21" s="30" t="str">
        <f t="shared" si="27"/>
        <v xml:space="preserve">| [El Cobre](/places/cu-basilica-of-el-cobre) </v>
      </c>
      <c r="CH21" s="30" t="str">
        <f>"| "&amp;IF(AR21,GetTagPage(B21,VLOOKUP(B21,'(Ref) Countries'!A:C,3,)),B21)&amp; " "</f>
        <v xml:space="preserve">| [Cuba](/tags/cuba) </v>
      </c>
      <c r="CI21" s="30" t="str">
        <f t="shared" si="28"/>
        <v xml:space="preserve">| 1612 </v>
      </c>
      <c r="CJ21" s="30" t="str">
        <f t="shared" si="36"/>
        <v xml:space="preserve">| [Link](/places/cu-basilica-of-el-cobre) </v>
      </c>
      <c r="CK21" s="29" t="str">
        <f t="shared" si="37"/>
        <v xml:space="preserve">
| [El Cobre](/places/cu-basilica-of-el-cobre) | [Cuba](/tags/cuba) | 1612 | [Link](/places/cu-basilica-of-el-cobre) [Link](http://www.therealpresence.org/eucharst/misc/BVM/102_CUBA_96x96.pdf)| |</v>
      </c>
    </row>
    <row r="22" spans="1:89" ht="74.599999999999994" x14ac:dyDescent="0.4">
      <c r="A22" s="14" t="s">
        <v>1320</v>
      </c>
      <c r="B22" s="24" t="s">
        <v>557</v>
      </c>
      <c r="D22" s="15">
        <v>44.521201599999998</v>
      </c>
      <c r="E22" s="49">
        <v>6.1521160000000004</v>
      </c>
      <c r="F22" s="24" t="s">
        <v>1008</v>
      </c>
      <c r="G22" s="53" t="s">
        <v>1008</v>
      </c>
      <c r="H22" s="15" t="s">
        <v>1715</v>
      </c>
      <c r="I22" s="25" t="b">
        <v>1</v>
      </c>
      <c r="J22" s="15" t="b">
        <v>1</v>
      </c>
      <c r="K22" s="15" t="b">
        <v>1</v>
      </c>
      <c r="L22" s="24" t="s">
        <v>468</v>
      </c>
      <c r="M22" s="55" t="s">
        <v>1737</v>
      </c>
      <c r="N22" s="15" t="s">
        <v>419</v>
      </c>
      <c r="O22" s="15" t="s">
        <v>336</v>
      </c>
      <c r="Y22" s="36" t="s">
        <v>487</v>
      </c>
      <c r="Z22" s="36"/>
      <c r="AA22" s="36"/>
      <c r="AB22" s="36"/>
      <c r="AC22" s="36"/>
      <c r="AD22" s="36"/>
      <c r="AE22" s="36"/>
      <c r="AF22" s="36"/>
      <c r="AG22" s="36"/>
      <c r="AH22" s="36"/>
      <c r="AI22" s="87" t="s">
        <v>1007</v>
      </c>
      <c r="AJ22" s="88" t="s">
        <v>1010</v>
      </c>
      <c r="AK22" s="15" t="s">
        <v>272</v>
      </c>
      <c r="AL22" s="15" t="s">
        <v>336</v>
      </c>
      <c r="AM22" s="15" t="s">
        <v>469</v>
      </c>
      <c r="AN22" s="15" t="s">
        <v>336</v>
      </c>
      <c r="AO22" s="15" t="s">
        <v>470</v>
      </c>
      <c r="AP22" s="49" t="s">
        <v>336</v>
      </c>
      <c r="AR22" s="28" t="b">
        <f t="shared" si="0"/>
        <v>1</v>
      </c>
      <c r="AS22" s="29" t="str">
        <f t="shared" si="1"/>
        <v>title: "Sanctuary of Our Lady of Laus"</v>
      </c>
      <c r="AT22" s="29" t="str">
        <f t="shared" si="2"/>
        <v>location: {lat: 44.5212016, lng: 6.152116}</v>
      </c>
      <c r="AU22" s="29" t="str">
        <f t="shared" si="3"/>
        <v>level: global</v>
      </c>
      <c r="AV22" s="29" t="str">
        <f>"- "&amp;VLOOKUP(B22,'(Ref) Countries'!A:C,3,)</f>
        <v>- france</v>
      </c>
      <c r="AW22" s="29" t="str">
        <f t="shared" si="4"/>
        <v/>
      </c>
      <c r="AX22" s="29" t="str">
        <f t="shared" si="5"/>
        <v>- churches</v>
      </c>
      <c r="AY22" s="29" t="str">
        <f t="shared" si="6"/>
        <v>- marian-sites</v>
      </c>
      <c r="AZ22" s="29" t="str">
        <f t="shared" si="7"/>
        <v>- holy-persons</v>
      </c>
      <c r="BA22" s="29" t="str">
        <f t="shared" si="8"/>
        <v>- benoite-rencurel</v>
      </c>
      <c r="BB22" s="29" t="str">
        <f t="shared" si="9"/>
        <v/>
      </c>
      <c r="BC22" s="29" t="str">
        <f t="shared" si="10"/>
        <v/>
      </c>
      <c r="BD22" s="29" t="str">
        <f t="shared" si="11"/>
        <v/>
      </c>
      <c r="BE22" s="29" t="str">
        <f t="shared" si="12"/>
        <v/>
      </c>
      <c r="BF22" s="29" t="str">
        <f t="shared" si="13"/>
        <v/>
      </c>
      <c r="BG22" s="29" t="str">
        <f t="shared" si="14"/>
        <v/>
      </c>
      <c r="BH22" s="29" t="str">
        <f t="shared" si="15"/>
        <v/>
      </c>
      <c r="BI22" s="29" t="str">
        <f t="shared" si="16"/>
        <v/>
      </c>
      <c r="BJ22" s="29" t="str">
        <f t="shared" si="17"/>
        <v/>
      </c>
      <c r="BK22" s="29" t="str">
        <f t="shared" si="33"/>
        <v xml:space="preserve">tags:
- france_x000D_
- churches_x000D_
- marian-sites_x000D_
- holy-persons_x000D_
- benoite-rencurel_x000D_
</v>
      </c>
      <c r="BL22" s="30" t="str">
        <f t="shared" si="18"/>
        <v>[Official site](https://www.sanctuaire-notredamedulaus.com/)</v>
      </c>
      <c r="BM22" s="30" t="str">
        <f t="shared" si="19"/>
        <v/>
      </c>
      <c r="BN22" s="30" t="str">
        <f t="shared" si="20"/>
        <v/>
      </c>
      <c r="BO22" s="30" t="str">
        <f t="shared" si="21"/>
        <v/>
      </c>
      <c r="BP22" s="30" t="str">
        <f t="shared" si="34"/>
        <v xml:space="preserve">* [Official site](https://www.sanctuaire-notredamedulaus.com/)
</v>
      </c>
      <c r="BQ22" s="30" t="str">
        <f t="shared" si="22"/>
        <v>[Link](http://www.therealpresence.org/eucharst/misc/BVM/69_LAUS_140x96.pdf)</v>
      </c>
      <c r="BR22" s="30" t="str">
        <f t="shared" si="23"/>
        <v>[Link](https://www.miraclehunter.com/marian_apparitions/approved_apparitions/laus/index.html)</v>
      </c>
      <c r="BS22" s="30" t="str">
        <f t="shared" si="24"/>
        <v>[Link](https://www.marypages.com/laus-(france)-en.html)</v>
      </c>
      <c r="BT22" s="30" t="str">
        <f>IF(LEN(_xludf.concat(BQ22:BS22))&gt;0,_xludf.concat("| ",BQ22," | ",BR22," | ",BS22," |"),"")</f>
        <v>| [Link](http://www.therealpresence.org/eucharst/misc/BVM/69_LAUS_140x96.pdf) | [Link](https://www.miraclehunter.com/marian_apparitions/approved_apparitions/laus/index.html) | [Link](https://www.marypages.com/laus-(france)-en.html) |</v>
      </c>
      <c r="BU22" s="29" t="str">
        <f t="shared" si="25"/>
        <v xml:space="preserve">| The Real Presence | Miracle Hunter | MaryPages |_x000D_
| --- | --- | --- |_x000D_
| [Link](http://www.therealpresence.org/eucharst/misc/BVM/69_LAUS_140x96.pdf) | [Link](https://www.miraclehunter.com/marian_apparitions/approved_apparitions/laus/index.html) | [Link](https://www.marypages.com/laus-(france)-en.html) |_x000D_
</v>
      </c>
      <c r="BV22" s="29" t="str">
        <f>IF(LEN(BP22&amp;BU22)&gt;0,concatll("#### More Information",BP22,BU22),"")</f>
        <v xml:space="preserve">####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v>
      </c>
      <c r="BW22" s="29" t="str">
        <f>IF(LEN(M22)&gt;1,concatll("#### Author's Note",M22),"")</f>
        <v xml:space="preserve">#### Author's Note_x000D_
_x000D_
One of the most picturesque apparition sites to visit!  The road between Laus and nearby [La Salette](/places/fr-sanctuary-of-our-lady-of-la-salette) winds through the French Alpine countryside.
-JMM_x000D_
_x000D_
</v>
      </c>
      <c r="BX22" s="23" t="str">
        <f>IF(AR22,concatll(concatl("---",AS22:AU22,BK22,"---"),L22,BV22:BW22),"")</f>
        <v xml:space="preserve">---_x000D_
title: "Sanctuary of Our Lady of Laus"_x000D_
location: {lat: 44.5212016, lng: 6.152116}_x000D_
level: global_x000D_
tags:
- france_x000D_
- churches_x000D_
- marian-sites_x000D_
- holy-persons_x000D_
- benoite-rencurel_x000D_
_x000D_
---_x000D_
_x000D_
_x000D_
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healings._x000D_
_x000D_
####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_x000D_
_x000D_
#### Author's Note_x000D_
_x000D_
One of the most picturesque apparition sites to visit!  The road between Laus and nearby [La Salette](/places/fr-sanctuary-of-our-lady-of-la-salette) winds through the French Alpine countryside.
-JMM_x000D_
_x000D_
_x000D_
_x000D_
</v>
      </c>
      <c r="BY22" s="23" t="str">
        <f>IF(AR22,VLOOKUP(B22,'(Ref) Countries'!A:B,2,)&amp;IF(LEN(C22)&gt;1,"-"&amp;LOWER(SUBSTITUTE(C22," ","-")),"")&amp;"-"&amp;LOWER(SUBSTITUTE(G22," ","-"))&amp;".md","")</f>
        <v>fr-sanctuary-of-our-lady-of-laus.md</v>
      </c>
      <c r="BZ22" s="38" t="str">
        <f>IF(LEN(Y22)&gt;1,VLOOKUP(Y22,'Tag List'!$A:$B,2,),"")</f>
        <v>Ven. Benoite Rencurel</v>
      </c>
      <c r="CA22" s="38" t="str">
        <f>IF(LEN(Z22)&gt;1,VLOOKUP(Z22,'Tag List'!$A:$B,2,),"")</f>
        <v/>
      </c>
      <c r="CB22" s="38" t="str">
        <f>IF(LEN(AA22)&gt;1,VLOOKUP(AA22,'Tag List'!$A:$B,2,),"")</f>
        <v/>
      </c>
      <c r="CC22" s="30" t="str">
        <f>IF(LEN(Y22)&gt;1,GetTagPage(BZ22,Y22),"")</f>
        <v>[Ven. Benoite Rencurel](/tags/benoite-rencurel)</v>
      </c>
      <c r="CD22" s="30" t="str">
        <f>IF(LEN(Z22)&gt;1,GetTagPage(CA22,Z22),"")</f>
        <v/>
      </c>
      <c r="CE22" s="30" t="str">
        <f>IF(LEN(AA22)&gt;1,GetTagPage(CB22,AA22),"")</f>
        <v/>
      </c>
      <c r="CF22" s="30" t="str">
        <f t="shared" si="35"/>
        <v xml:space="preserve">| [Ven. Benoite Rencurel](/tags/benoite-rencurel) </v>
      </c>
      <c r="CG22" s="30" t="str">
        <f t="shared" si="27"/>
        <v xml:space="preserve">| [Laus](/places/fr-sanctuary-of-our-lady-of-laus) </v>
      </c>
      <c r="CH22" s="30" t="str">
        <f>"| "&amp;IF(AR22,GetTagPage(B22,VLOOKUP(B22,'(Ref) Countries'!A:C,3,)),B22)&amp; " "</f>
        <v xml:space="preserve">| [France](/tags/france) </v>
      </c>
      <c r="CI22" s="30" t="str">
        <f t="shared" si="28"/>
        <v xml:space="preserve">| 1664-1718 </v>
      </c>
      <c r="CJ22" s="30" t="str">
        <f t="shared" si="36"/>
        <v xml:space="preserve">| [Link](/places/fr-sanctuary-of-our-lady-of-laus) </v>
      </c>
      <c r="CK22" s="29" t="str">
        <f t="shared" si="37"/>
        <v xml:space="preserve">
| [Laus](/places/fr-sanctuary-of-our-lady-of-laus) | [France](/tags/france) | 1664-1718 | [Link](/places/fr-sanctuary-of-our-lady-of-laus) [Official site](https://www.sanctuaire-notredamedulaus.com/)[Link](http://www.therealpresence.org/eucharst/misc/BVM/69_LAUS_140x96.pdf)[Link](https://www.miraclehunter.com/marian_apparitions/approved_apparitions/laus/index.html)[Link](https://www.marypages.com/laus-(france)-en.html)| [Ven. Benoite Rencurel](/tags/benoite-rencurel) |</v>
      </c>
    </row>
    <row r="23" spans="1:89" ht="198.9" x14ac:dyDescent="0.4">
      <c r="A23" s="14" t="s">
        <v>1320</v>
      </c>
      <c r="B23" s="24" t="s">
        <v>534</v>
      </c>
      <c r="D23" s="15">
        <v>0.80532486588234498</v>
      </c>
      <c r="E23" s="49">
        <v>-77.585922676282493</v>
      </c>
      <c r="F23" s="24" t="s">
        <v>1330</v>
      </c>
      <c r="G23" s="53" t="s">
        <v>1331</v>
      </c>
      <c r="H23" s="15" t="s">
        <v>1715</v>
      </c>
      <c r="I23" s="25" t="b">
        <v>1</v>
      </c>
      <c r="J23" s="15" t="b">
        <v>1</v>
      </c>
      <c r="L23" s="24" t="s">
        <v>1342</v>
      </c>
      <c r="M23" s="58" t="s">
        <v>1746</v>
      </c>
      <c r="N23" s="15" t="s">
        <v>1332</v>
      </c>
      <c r="O23" s="15" t="s">
        <v>336</v>
      </c>
      <c r="Y23" s="15" t="s">
        <v>336</v>
      </c>
      <c r="AI23" s="87" t="s">
        <v>1273</v>
      </c>
      <c r="AJ23" s="88">
        <v>1754</v>
      </c>
      <c r="AK23" s="15" t="s">
        <v>282</v>
      </c>
      <c r="AL23" s="15" t="s">
        <v>336</v>
      </c>
      <c r="AM23" s="15" t="s">
        <v>1329</v>
      </c>
      <c r="AN23" s="15" t="s">
        <v>336</v>
      </c>
      <c r="AO23" s="15" t="s">
        <v>336</v>
      </c>
      <c r="AP23" s="49" t="s">
        <v>336</v>
      </c>
      <c r="AR23" s="28" t="b">
        <f t="shared" si="0"/>
        <v>1</v>
      </c>
      <c r="AS23" s="29" t="str">
        <f t="shared" si="1"/>
        <v>title: "National Shrine Basilica of Our Lady of Las Lajas"</v>
      </c>
      <c r="AT23" s="29" t="str">
        <f t="shared" si="2"/>
        <v>location: {lat: 0.805324865882345, lng: -77.5859226762825}</v>
      </c>
      <c r="AU23" s="29" t="str">
        <f t="shared" si="3"/>
        <v>level: global</v>
      </c>
      <c r="AV23" s="29" t="str">
        <f>"- "&amp;VLOOKUP(B23,'(Ref) Countries'!A:C,3,)</f>
        <v>- colombia</v>
      </c>
      <c r="AW23" s="29" t="str">
        <f t="shared" si="4"/>
        <v/>
      </c>
      <c r="AX23" s="29" t="str">
        <f t="shared" si="5"/>
        <v>- churches</v>
      </c>
      <c r="AY23" s="29" t="str">
        <f t="shared" si="6"/>
        <v>- marian-sites</v>
      </c>
      <c r="AZ23" s="29" t="str">
        <f t="shared" si="7"/>
        <v/>
      </c>
      <c r="BA23" s="29" t="str">
        <f t="shared" si="8"/>
        <v/>
      </c>
      <c r="BB23" s="29" t="str">
        <f t="shared" si="9"/>
        <v/>
      </c>
      <c r="BC23" s="29" t="str">
        <f t="shared" si="10"/>
        <v/>
      </c>
      <c r="BD23" s="29" t="str">
        <f t="shared" si="11"/>
        <v/>
      </c>
      <c r="BE23" s="29" t="str">
        <f t="shared" si="12"/>
        <v/>
      </c>
      <c r="BF23" s="29" t="str">
        <f t="shared" si="13"/>
        <v/>
      </c>
      <c r="BG23" s="29" t="str">
        <f t="shared" si="14"/>
        <v/>
      </c>
      <c r="BH23" s="29" t="str">
        <f t="shared" si="15"/>
        <v/>
      </c>
      <c r="BI23" s="29" t="str">
        <f t="shared" si="16"/>
        <v/>
      </c>
      <c r="BJ23" s="29" t="str">
        <f t="shared" si="17"/>
        <v/>
      </c>
      <c r="BK23" s="29" t="str">
        <f t="shared" si="33"/>
        <v xml:space="preserve">tags:
- colombia_x000D_
- churches_x000D_
- marian-sites_x000D_
</v>
      </c>
      <c r="BL23" s="30" t="str">
        <f t="shared" si="18"/>
        <v>[Official site](https://www.laslajas.org/)</v>
      </c>
      <c r="BM23" s="30" t="str">
        <f t="shared" si="19"/>
        <v/>
      </c>
      <c r="BN23" s="30" t="str">
        <f t="shared" si="20"/>
        <v/>
      </c>
      <c r="BO23" s="30" t="str">
        <f t="shared" si="21"/>
        <v/>
      </c>
      <c r="BP23" s="30" t="str">
        <f t="shared" si="34"/>
        <v xml:space="preserve">* [Official site](https://www.laslajas.org/)
</v>
      </c>
      <c r="BQ23" s="30" t="str">
        <f t="shared" si="22"/>
        <v>[Link](http://www.therealpresence.org/eucharst/misc/BVM/109_LAJAS_96x96.pdf)</v>
      </c>
      <c r="BR23" s="30" t="str">
        <f t="shared" si="23"/>
        <v>[Link](http://www.miraclehunter.com/marian_apparitions/approved_apparitions/guaitara/index.html)</v>
      </c>
      <c r="BS23" s="30" t="str">
        <f t="shared" si="24"/>
        <v/>
      </c>
      <c r="BT23" s="30" t="str">
        <f>IF(LEN(_xludf.concat(BQ23:BS23))&gt;0,_xludf.concat("| ",BQ23," | ",BR23," | ",BS23," |"),"")</f>
        <v>| [Link](http://www.therealpresence.org/eucharst/misc/BVM/109_LAJAS_96x96.pdf) | [Link](http://www.miraclehunter.com/marian_apparitions/approved_apparitions/guaitara/index.html) |  |</v>
      </c>
      <c r="BU23" s="29" t="str">
        <f t="shared" si="25"/>
        <v xml:space="preserve">| The Real Presence | Miracle Hunter | MaryPages |_x000D_
| --- | --- | --- |_x000D_
| [Link](http://www.therealpresence.org/eucharst/misc/BVM/109_LAJAS_96x96.pdf) | [Link](http://www.miraclehunter.com/marian_apparitions/approved_apparitions/guaitara/index.html) |  |_x000D_
</v>
      </c>
      <c r="BV23" s="29" t="str">
        <f>IF(LEN(BP23&amp;BU23)&gt;0,concatll("#### More Information",BP23,BU23),"")</f>
        <v xml:space="preserve">####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v>
      </c>
      <c r="BW23" s="29" t="str">
        <f>IF(LEN(M23)&gt;1,concatll("#### Author's Note",M23),"")</f>
        <v xml:space="preserve">####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-JMM_x000D_
_x000D_
</v>
      </c>
      <c r="BX23" s="23" t="str">
        <f>IF(AR23,concatll(concatl("---",AS23:AU23,BK23,"---"),L23,BV23:BW23),"")</f>
        <v xml:space="preserve">---_x000D_
title: "National Shrine Basilica of Our Lady of Las Lajas"_x000D_
location: {lat: 0.805324865882345, lng: -77.5859226762825}_x000D_
level: global_x000D_
tags:
- colombia_x000D_
- churches_x000D_
- marian-sites_x000D_
_x000D_
---_x000D_
_x000D_
_x000D_
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feet._x000D_
_x000D_
####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_x000D_
_x000D_
####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-JMM_x000D_
_x000D_
_x000D_
_x000D_
</v>
      </c>
      <c r="BY23" s="23" t="str">
        <f>IF(AR23,VLOOKUP(B23,'(Ref) Countries'!A:B,2,)&amp;IF(LEN(C23)&gt;1,"-"&amp;LOWER(SUBSTITUTE(C23," ","-")),"")&amp;"-"&amp;LOWER(SUBSTITUTE(G23," ","-"))&amp;".md","")</f>
        <v>co-basilica-of-our-lady-of-las-lajas.md</v>
      </c>
      <c r="BZ23" s="29" t="str">
        <f>IF(LEN(Y23)&gt;1,VLOOKUP(Y23,'Tag List'!$A:$B,2,),"")</f>
        <v/>
      </c>
      <c r="CA23" s="29" t="str">
        <f>IF(LEN(Z23)&gt;1,VLOOKUP(Z23,'Tag List'!$A:$B,2,),"")</f>
        <v/>
      </c>
      <c r="CB23" s="29" t="str">
        <f>IF(LEN(AA23)&gt;1,VLOOKUP(AA23,'Tag List'!$A:$B,2,),"")</f>
        <v/>
      </c>
      <c r="CC23" s="30" t="str">
        <f>IF(LEN(Y23)&gt;1,GetTagPage(BZ23,Y23),"")</f>
        <v/>
      </c>
      <c r="CD23" s="30" t="str">
        <f>IF(LEN(Z23)&gt;1,GetTagPage(CA23,Z23),"")</f>
        <v/>
      </c>
      <c r="CE23" s="30" t="str">
        <f>IF(LEN(AA23)&gt;1,GetTagPage(CB23,AA23),"")</f>
        <v/>
      </c>
      <c r="CF23" s="30" t="str">
        <f t="shared" si="35"/>
        <v xml:space="preserve">| </v>
      </c>
      <c r="CG23" s="30" t="str">
        <f t="shared" si="27"/>
        <v xml:space="preserve">| [Las Lajas](/places/co-basilica-of-our-lady-of-las-lajas) </v>
      </c>
      <c r="CH23" s="30" t="str">
        <f>"| "&amp;IF(AR23,GetTagPage(B23,VLOOKUP(B23,'(Ref) Countries'!A:C,3,)),B23)&amp; " "</f>
        <v xml:space="preserve">| [Colombia](/tags/colombia) </v>
      </c>
      <c r="CI23" s="30" t="str">
        <f t="shared" si="28"/>
        <v xml:space="preserve">| 1754 </v>
      </c>
      <c r="CJ23" s="30" t="str">
        <f t="shared" si="36"/>
        <v xml:space="preserve">| [Link](/places/co-basilica-of-our-lady-of-las-lajas) </v>
      </c>
      <c r="CK23" s="29" t="str">
        <f t="shared" si="37"/>
        <v xml:space="preserve">
| [Las Lajas](/places/co-basilica-of-our-lady-of-las-lajas) | [Colombia](/tags/colombia) | 1754 | [Link](/places/co-basilica-of-our-lady-of-las-lajas) [Official site](https://www.laslajas.org/)[Link](http://www.therealpresence.org/eucharst/misc/BVM/109_LAJAS_96x96.pdf)[Link](http://www.miraclehunter.com/marian_apparitions/approved_apparitions/guaitara/index.html)| |</v>
      </c>
    </row>
    <row r="24" spans="1:89" ht="99.45" x14ac:dyDescent="0.4">
      <c r="A24" s="14" t="s">
        <v>1320</v>
      </c>
      <c r="B24" s="24" t="s">
        <v>740</v>
      </c>
      <c r="D24" s="15">
        <v>16.705491099922099</v>
      </c>
      <c r="E24" s="49">
        <v>107.19601082359701</v>
      </c>
      <c r="F24" s="24" t="s">
        <v>1369</v>
      </c>
      <c r="G24" s="53" t="s">
        <v>1369</v>
      </c>
      <c r="H24" s="15" t="s">
        <v>1715</v>
      </c>
      <c r="I24" s="25" t="b">
        <v>1</v>
      </c>
      <c r="J24" s="15" t="b">
        <v>1</v>
      </c>
      <c r="L24" s="24" t="s">
        <v>1368</v>
      </c>
      <c r="M24" s="55" t="s">
        <v>1738</v>
      </c>
      <c r="N24" s="15" t="s">
        <v>336</v>
      </c>
      <c r="O24" s="15" t="s">
        <v>336</v>
      </c>
      <c r="Y24" s="15" t="s">
        <v>336</v>
      </c>
      <c r="AI24" s="87" t="s">
        <v>1275</v>
      </c>
      <c r="AJ24" s="88">
        <v>1798</v>
      </c>
      <c r="AK24" s="15" t="s">
        <v>284</v>
      </c>
      <c r="AL24" s="15" t="s">
        <v>336</v>
      </c>
      <c r="AM24" s="15" t="s">
        <v>1367</v>
      </c>
      <c r="AN24" s="15" t="s">
        <v>336</v>
      </c>
      <c r="AO24" s="15" t="s">
        <v>1370</v>
      </c>
      <c r="AP24" s="49" t="s">
        <v>336</v>
      </c>
      <c r="AR24" s="28" t="b">
        <f t="shared" si="0"/>
        <v>1</v>
      </c>
      <c r="AS24" s="29" t="str">
        <f t="shared" si="1"/>
        <v>title: "Basilica of Our Lady of La Vang"</v>
      </c>
      <c r="AT24" s="29" t="str">
        <f t="shared" si="2"/>
        <v>location: {lat: 16.7054910999221, lng: 107.196010823597}</v>
      </c>
      <c r="AU24" s="29" t="str">
        <f t="shared" si="3"/>
        <v>level: global</v>
      </c>
      <c r="AV24" s="29" t="str">
        <f>"- "&amp;VLOOKUP(B24,'(Ref) Countries'!A:C,3,)</f>
        <v>- vietnam</v>
      </c>
      <c r="AW24" s="29" t="str">
        <f t="shared" si="4"/>
        <v/>
      </c>
      <c r="AX24" s="29" t="str">
        <f t="shared" si="5"/>
        <v>- churches</v>
      </c>
      <c r="AY24" s="29" t="str">
        <f t="shared" si="6"/>
        <v>- marian-sites</v>
      </c>
      <c r="AZ24" s="29" t="str">
        <f t="shared" si="7"/>
        <v/>
      </c>
      <c r="BA24" s="29" t="str">
        <f t="shared" si="8"/>
        <v/>
      </c>
      <c r="BB24" s="29" t="str">
        <f t="shared" si="9"/>
        <v/>
      </c>
      <c r="BC24" s="29" t="str">
        <f t="shared" si="10"/>
        <v/>
      </c>
      <c r="BD24" s="29" t="str">
        <f t="shared" si="11"/>
        <v/>
      </c>
      <c r="BE24" s="29" t="str">
        <f t="shared" si="12"/>
        <v/>
      </c>
      <c r="BF24" s="29" t="str">
        <f t="shared" si="13"/>
        <v/>
      </c>
      <c r="BG24" s="29" t="str">
        <f t="shared" si="14"/>
        <v/>
      </c>
      <c r="BH24" s="29" t="str">
        <f t="shared" si="15"/>
        <v/>
      </c>
      <c r="BI24" s="29" t="str">
        <f t="shared" si="16"/>
        <v/>
      </c>
      <c r="BJ24" s="29" t="str">
        <f t="shared" si="17"/>
        <v/>
      </c>
      <c r="BK24" s="29" t="str">
        <f t="shared" si="33"/>
        <v xml:space="preserve">tags:
- vietnam_x000D_
- churches_x000D_
- marian-sites_x000D_
</v>
      </c>
      <c r="BL24" s="30" t="str">
        <f t="shared" si="18"/>
        <v/>
      </c>
      <c r="BM24" s="30" t="str">
        <f t="shared" si="19"/>
        <v/>
      </c>
      <c r="BN24" s="30" t="str">
        <f t="shared" si="20"/>
        <v/>
      </c>
      <c r="BO24" s="30" t="str">
        <f t="shared" si="21"/>
        <v/>
      </c>
      <c r="BP24" s="30" t="str">
        <f t="shared" si="34"/>
        <v/>
      </c>
      <c r="BQ24" s="30" t="str">
        <f t="shared" si="22"/>
        <v>[Link](http://www.therealpresence.org/eucharst/misc/BVM/21_LAVANG_60x96.pdf)</v>
      </c>
      <c r="BR24" s="30" t="str">
        <f t="shared" si="23"/>
        <v>[Link](http://www.miraclehunter.com/marian_apparitions/approved_apparitions/lavang/index.html)</v>
      </c>
      <c r="BS24" s="30" t="str">
        <f t="shared" si="24"/>
        <v>[Link](https://www.marypages.com/la-vang-vietnam-en.html)</v>
      </c>
      <c r="BT24" s="30" t="str">
        <f>IF(LEN(_xludf.concat(BQ24:BS24))&gt;0,_xludf.concat("| ",BQ24," | ",BR24," | ",BS24," |"),"")</f>
        <v>| [Link](http://www.therealpresence.org/eucharst/misc/BVM/21_LAVANG_60x96.pdf) | [Link](http://www.miraclehunter.com/marian_apparitions/approved_apparitions/lavang/index.html) | [Link](https://www.marypages.com/la-vang-vietnam-en.html) |</v>
      </c>
      <c r="BU24" s="29" t="str">
        <f t="shared" si="25"/>
        <v xml:space="preserve">| The Real Presence | Miracle Hunter | MaryPages |_x000D_
| --- | --- | --- |_x000D_
| [Link](http://www.therealpresence.org/eucharst/misc/BVM/21_LAVANG_60x96.pdf) | [Link](http://www.miraclehunter.com/marian_apparitions/approved_apparitions/lavang/index.html) | [Link](https://www.marypages.com/la-vang-vietnam-en.html) |_x000D_
</v>
      </c>
      <c r="BV24" s="29" t="str">
        <f>IF(LEN(BP24&amp;BU24)&gt;0,concatll("#### More Information",BP24,BU24),"")</f>
        <v xml:space="preserve">####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v>
      </c>
      <c r="BW24" s="29" t="str">
        <f>IF(LEN(M24)&gt;1,concatll("#### Author's Note",M24),"")</f>
        <v xml:space="preserve">#### Author's Note_x000D_
_x000D_
We can't find an official website or other social media page for the basilica.  If you know of one, please [contact us](/contact).
-JMM_x000D_
_x000D_
</v>
      </c>
      <c r="BX24" s="23" t="str">
        <f>IF(AR24,concatll(concatl("---",AS24:AU24,BK24,"---"),L24,BV24:BW24),"")</f>
        <v xml:space="preserve">---_x000D_
title: "Basilica of Our Lady of La Vang"_x000D_
location: {lat: 16.7054910999221, lng: 107.196010823597}_x000D_
level: global_x000D_
tags:
- vietnam_x000D_
- churches_x000D_
- marian-sites_x000D_
_x000D_
---_x000D_
_x000D_
_x000D_
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miracle._x000D_
_x000D_
####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_x000D_
_x000D_
#### Author's Note_x000D_
_x000D_
We can't find an official website or other social media page for the basilica.  If you know of one, please [contact us](/contact).
-JMM_x000D_
_x000D_
_x000D_
_x000D_
</v>
      </c>
      <c r="BY24" s="23" t="str">
        <f>IF(AR24,VLOOKUP(B24,'(Ref) Countries'!A:B,2,)&amp;IF(LEN(C24)&gt;1,"-"&amp;LOWER(SUBSTITUTE(C24," ","-")),"")&amp;"-"&amp;LOWER(SUBSTITUTE(G24," ","-"))&amp;".md","")</f>
        <v>vn-basilica-of-our-lady-of-la-vang.md</v>
      </c>
      <c r="BZ24" s="29" t="str">
        <f>IF(LEN(Y24)&gt;1,VLOOKUP(Y24,'Tag List'!$A:$B,2,),"")</f>
        <v/>
      </c>
      <c r="CA24" s="29" t="str">
        <f>IF(LEN(Z24)&gt;1,VLOOKUP(Z24,'Tag List'!$A:$B,2,),"")</f>
        <v/>
      </c>
      <c r="CB24" s="29" t="str">
        <f>IF(LEN(AA24)&gt;1,VLOOKUP(AA24,'Tag List'!$A:$B,2,),"")</f>
        <v/>
      </c>
      <c r="CC24" s="30" t="str">
        <f>IF(LEN(Y24)&gt;1,GetTagPage(BZ24,Y24),"")</f>
        <v/>
      </c>
      <c r="CD24" s="30" t="str">
        <f>IF(LEN(Z24)&gt;1,GetTagPage(CA24,Z24),"")</f>
        <v/>
      </c>
      <c r="CE24" s="30" t="str">
        <f>IF(LEN(AA24)&gt;1,GetTagPage(CB24,AA24),"")</f>
        <v/>
      </c>
      <c r="CF24" s="30" t="str">
        <f t="shared" si="35"/>
        <v xml:space="preserve">| </v>
      </c>
      <c r="CG24" s="30" t="str">
        <f t="shared" si="27"/>
        <v xml:space="preserve">| [La Vang](/places/vn-basilica-of-our-lady-of-la-vang) </v>
      </c>
      <c r="CH24" s="30" t="str">
        <f>"| "&amp;IF(AR24,GetTagPage(B24,VLOOKUP(B24,'(Ref) Countries'!A:C,3,)),B24)&amp; " "</f>
        <v xml:space="preserve">| [Vietnam](/tags/vietnam) </v>
      </c>
      <c r="CI24" s="30" t="str">
        <f t="shared" si="28"/>
        <v xml:space="preserve">| 1798 </v>
      </c>
      <c r="CJ24" s="30" t="str">
        <f t="shared" si="36"/>
        <v xml:space="preserve">| [Link](/places/vn-basilica-of-our-lady-of-la-vang) </v>
      </c>
      <c r="CK24" s="29" t="str">
        <f t="shared" si="37"/>
        <v xml:space="preserve">
| [La Vang](/places/vn-basilica-of-our-lady-of-la-vang) | [Vietnam](/tags/vietnam) | 1798 | [Link](/places/vn-basilica-of-our-lady-of-la-vang) [Link](http://www.therealpresence.org/eucharst/misc/BVM/21_LAVANG_60x96.pdf)[Link](http://www.miraclehunter.com/marian_apparitions/approved_apparitions/lavang/index.html)[Link](https://www.marypages.com/la-vang-vietnam-en.html)| |</v>
      </c>
    </row>
    <row r="25" spans="1:89" ht="62.15" x14ac:dyDescent="0.4">
      <c r="A25" s="14" t="s">
        <v>1320</v>
      </c>
      <c r="B25" s="24" t="s">
        <v>651</v>
      </c>
      <c r="D25" s="15">
        <v>52.323705849375003</v>
      </c>
      <c r="E25" s="49">
        <v>18.358432557028099</v>
      </c>
      <c r="F25" s="24" t="s">
        <v>1021</v>
      </c>
      <c r="G25" s="53" t="s">
        <v>1022</v>
      </c>
      <c r="H25" s="15" t="s">
        <v>1715</v>
      </c>
      <c r="I25" s="25" t="b">
        <v>1</v>
      </c>
      <c r="J25" s="15" t="b">
        <v>1</v>
      </c>
      <c r="L25" s="24" t="s">
        <v>479</v>
      </c>
      <c r="N25" s="15" t="s">
        <v>377</v>
      </c>
      <c r="O25" s="15" t="s">
        <v>336</v>
      </c>
      <c r="Y25" s="16" t="s">
        <v>336</v>
      </c>
      <c r="Z25" s="16"/>
      <c r="AA25" s="16"/>
      <c r="AB25" s="16"/>
      <c r="AC25" s="16"/>
      <c r="AD25" s="16"/>
      <c r="AE25" s="16"/>
      <c r="AF25" s="16"/>
      <c r="AG25" s="16"/>
      <c r="AH25" s="16"/>
      <c r="AI25" s="87" t="s">
        <v>1019</v>
      </c>
      <c r="AJ25" s="88" t="s">
        <v>1020</v>
      </c>
      <c r="AK25" s="15" t="s">
        <v>286</v>
      </c>
      <c r="AL25" s="15" t="s">
        <v>336</v>
      </c>
      <c r="AM25" s="15" t="s">
        <v>356</v>
      </c>
      <c r="AN25" s="15" t="s">
        <v>336</v>
      </c>
      <c r="AO25" s="15" t="s">
        <v>480</v>
      </c>
      <c r="AP25" s="49" t="s">
        <v>336</v>
      </c>
      <c r="AR25" s="28" t="b">
        <f t="shared" si="0"/>
        <v>1</v>
      </c>
      <c r="AS25" s="29" t="str">
        <f t="shared" si="1"/>
        <v>title: "Basilica of Our Lady of Licheń (Holy Mother of Sorrows, Queen of Poland)"</v>
      </c>
      <c r="AT25" s="29" t="str">
        <f t="shared" si="2"/>
        <v>location: {lat: 52.323705849375, lng: 18.3584325570281}</v>
      </c>
      <c r="AU25" s="29" t="str">
        <f t="shared" si="3"/>
        <v>level: global</v>
      </c>
      <c r="AV25" s="29" t="str">
        <f>"- "&amp;VLOOKUP(B25,'(Ref) Countries'!A:C,3,)</f>
        <v>- poland</v>
      </c>
      <c r="AW25" s="29" t="str">
        <f t="shared" si="4"/>
        <v/>
      </c>
      <c r="AX25" s="29" t="str">
        <f t="shared" si="5"/>
        <v>- churches</v>
      </c>
      <c r="AY25" s="29" t="str">
        <f t="shared" si="6"/>
        <v>- marian-sites</v>
      </c>
      <c r="AZ25" s="29" t="str">
        <f t="shared" si="7"/>
        <v/>
      </c>
      <c r="BA25" s="29" t="str">
        <f t="shared" si="8"/>
        <v/>
      </c>
      <c r="BB25" s="29" t="str">
        <f t="shared" si="9"/>
        <v/>
      </c>
      <c r="BC25" s="29" t="str">
        <f t="shared" si="10"/>
        <v/>
      </c>
      <c r="BD25" s="29" t="str">
        <f t="shared" si="11"/>
        <v/>
      </c>
      <c r="BE25" s="29" t="str">
        <f t="shared" si="12"/>
        <v/>
      </c>
      <c r="BF25" s="29" t="str">
        <f t="shared" si="13"/>
        <v/>
      </c>
      <c r="BG25" s="29" t="str">
        <f t="shared" si="14"/>
        <v/>
      </c>
      <c r="BH25" s="29" t="str">
        <f t="shared" si="15"/>
        <v/>
      </c>
      <c r="BI25" s="29" t="str">
        <f t="shared" si="16"/>
        <v/>
      </c>
      <c r="BJ25" s="29" t="str">
        <f t="shared" si="17"/>
        <v/>
      </c>
      <c r="BK25" s="29" t="str">
        <f t="shared" si="33"/>
        <v xml:space="preserve">tags:
- poland_x000D_
- churches_x000D_
- marian-sites_x000D_
</v>
      </c>
      <c r="BL25" s="30" t="str">
        <f t="shared" si="18"/>
        <v>[Official site](https://www.lichen.pl/)</v>
      </c>
      <c r="BM25" s="30" t="str">
        <f t="shared" si="19"/>
        <v/>
      </c>
      <c r="BN25" s="30" t="str">
        <f t="shared" si="20"/>
        <v/>
      </c>
      <c r="BO25" s="30" t="str">
        <f t="shared" si="21"/>
        <v/>
      </c>
      <c r="BP25" s="30" t="str">
        <f t="shared" si="34"/>
        <v xml:space="preserve">* [Official site](https://www.lichen.pl/)
</v>
      </c>
      <c r="BQ25" s="30" t="str">
        <f t="shared" si="22"/>
        <v>[Link](http://www.therealpresence.org/eucharst/misc/BVM/110_LICHEN_96x96.pdf)</v>
      </c>
      <c r="BR25" s="30" t="str">
        <f t="shared" si="23"/>
        <v>[Link](http://www.miraclehunter.com/marian_apparitions/approved_apparitions/gietrzwald/index.html)</v>
      </c>
      <c r="BS25" s="30" t="str">
        <f t="shared" si="24"/>
        <v>[Link](https://www.marypages.com/lichen-(poland)-holy-mother-of-sorrow-en.html)</v>
      </c>
      <c r="BT25" s="30" t="str">
        <f>IF(LEN(_xludf.concat(BQ25:BS25))&gt;0,_xludf.concat("| ",BQ25," | ",BR25," | ",BS25," |"),"")</f>
        <v>| [Link](http://www.therealpresence.org/eucharst/misc/BVM/110_LICHEN_96x96.pdf) | [Link](http://www.miraclehunter.com/marian_apparitions/approved_apparitions/gietrzwald/index.html) | [Link](https://www.marypages.com/lichen-(poland)-holy-mother-of-sorrow-en.html) |</v>
      </c>
      <c r="BU25" s="29" t="str">
        <f t="shared" si="25"/>
        <v xml:space="preserve">|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v>
      </c>
      <c r="BV25" s="29" t="str">
        <f>IF(LEN(BP25&amp;BU25)&gt;0,concatll("#### More Information",BP25,BU25),"")</f>
        <v xml:space="preserve">####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v>
      </c>
      <c r="BW25" s="29" t="str">
        <f>IF(LEN(M25)&gt;1,concatll("#### Author's Note",M25),"")</f>
        <v/>
      </c>
      <c r="BX25" s="23" t="str">
        <f>IF(AR25,concatll(concatl("---",AS25:AU25,BK25,"---"),L25,BV25:BW25),"")</f>
        <v xml:space="preserve">---_x000D_
title: "Basilica of Our Lady of Licheń (Holy Mother of Sorrows, Queen of Poland)"_x000D_
location: {lat: 52.323705849375, lng: 18.3584325570281}_x000D_
level: global_x000D_
tags:
- poland_x000D_
- churches_x000D_
- marian-sites_x000D_
_x000D_
---_x000D_
_x000D_
_x000D_
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help._x000D_
_x000D_
####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_x000D_
_x000D_
</v>
      </c>
      <c r="BY25" s="23" t="str">
        <f>IF(AR25,VLOOKUP(B25,'(Ref) Countries'!A:B,2,)&amp;IF(LEN(C25)&gt;1,"-"&amp;LOWER(SUBSTITUTE(C25," ","-")),"")&amp;"-"&amp;LOWER(SUBSTITUTE(G25," ","-"))&amp;".md","")</f>
        <v>pl-basilica-of-our-lady-of-lichen.md</v>
      </c>
      <c r="BZ25" s="30" t="str">
        <f>IF(LEN(Y25)&gt;1,VLOOKUP(Y25,'Tag List'!$A:$B,2,),"")</f>
        <v/>
      </c>
      <c r="CA25" s="30" t="str">
        <f>IF(LEN(Z25)&gt;1,VLOOKUP(Z25,'Tag List'!$A:$B,2,),"")</f>
        <v/>
      </c>
      <c r="CB25" s="30" t="str">
        <f>IF(LEN(AA25)&gt;1,VLOOKUP(AA25,'Tag List'!$A:$B,2,),"")</f>
        <v/>
      </c>
      <c r="CC25" s="30" t="str">
        <f>IF(LEN(Y25)&gt;1,GetTagPage(BZ25,Y25),"")</f>
        <v/>
      </c>
      <c r="CD25" s="30" t="str">
        <f>IF(LEN(Z25)&gt;1,GetTagPage(CA25,Z25),"")</f>
        <v/>
      </c>
      <c r="CE25" s="30" t="str">
        <f>IF(LEN(AA25)&gt;1,GetTagPage(CB25,AA25),"")</f>
        <v/>
      </c>
      <c r="CF25" s="30" t="str">
        <f t="shared" si="35"/>
        <v xml:space="preserve">| </v>
      </c>
      <c r="CG25" s="30" t="str">
        <f t="shared" si="27"/>
        <v xml:space="preserve">| [Licheń](/places/pl-basilica-of-our-lady-of-lichen) </v>
      </c>
      <c r="CH25" s="30" t="str">
        <f>"| "&amp;IF(AR25,GetTagPage(B25,VLOOKUP(B25,'(Ref) Countries'!A:C,3,)),B25)&amp; " "</f>
        <v xml:space="preserve">| [Poland](/tags/poland) </v>
      </c>
      <c r="CI25" s="30" t="str">
        <f t="shared" si="28"/>
        <v xml:space="preserve">| 1813-1850 </v>
      </c>
      <c r="CJ25" s="30" t="str">
        <f t="shared" si="36"/>
        <v xml:space="preserve">| [Link](/places/pl-basilica-of-our-lady-of-lichen) </v>
      </c>
      <c r="CK25" s="29" t="str">
        <f t="shared" si="37"/>
        <v xml:space="preserve">
| [Licheń](/places/pl-basilica-of-our-lady-of-lichen) | [Poland](/tags/poland) | 1813-1850 | [Link](/places/pl-basilica-of-our-lady-of-lichen) [Official site](https://www.lichen.pl/)[Link](http://www.therealpresence.org/eucharst/misc/BVM/110_LICHEN_96x96.pdf)[Link](http://www.miraclehunter.com/marian_apparitions/approved_apparitions/gietrzwald/index.html)[Link](https://www.marypages.com/lichen-(poland)-holy-mother-of-sorrow-en.html)| |</v>
      </c>
    </row>
    <row r="26" spans="1:89" ht="198.9" x14ac:dyDescent="0.4">
      <c r="A26" s="14" t="s">
        <v>1320</v>
      </c>
      <c r="B26" s="27" t="s">
        <v>557</v>
      </c>
      <c r="C26" s="35" t="s">
        <v>1023</v>
      </c>
      <c r="D26" s="15">
        <v>48.850785899999998</v>
      </c>
      <c r="E26" s="49">
        <v>2.3229912000000001</v>
      </c>
      <c r="F26" s="24" t="s">
        <v>459</v>
      </c>
      <c r="G26" s="53" t="s">
        <v>459</v>
      </c>
      <c r="H26" s="15" t="s">
        <v>1715</v>
      </c>
      <c r="I26" s="25" t="b">
        <v>1</v>
      </c>
      <c r="J26" s="15" t="b">
        <v>1</v>
      </c>
      <c r="K26" s="15" t="b">
        <v>1</v>
      </c>
      <c r="L26" s="45" t="s">
        <v>1719</v>
      </c>
      <c r="M26" s="58" t="s">
        <v>1747</v>
      </c>
      <c r="N26" s="15" t="s">
        <v>416</v>
      </c>
      <c r="O26" s="15" t="s">
        <v>336</v>
      </c>
      <c r="Y26" s="36" t="s">
        <v>488</v>
      </c>
      <c r="Z26" s="37" t="s">
        <v>1703</v>
      </c>
      <c r="AA26" s="46" t="s">
        <v>1720</v>
      </c>
      <c r="AB26" s="46"/>
      <c r="AC26" s="46"/>
      <c r="AD26" s="46"/>
      <c r="AE26" s="46"/>
      <c r="AF26" s="46"/>
      <c r="AG26" s="46"/>
      <c r="AH26" s="46"/>
      <c r="AI26" s="87" t="s">
        <v>1023</v>
      </c>
      <c r="AJ26" s="88">
        <v>1830</v>
      </c>
      <c r="AK26" s="15" t="s">
        <v>287</v>
      </c>
      <c r="AL26" s="15" t="s">
        <v>336</v>
      </c>
      <c r="AM26" s="15" t="s">
        <v>461</v>
      </c>
      <c r="AN26" s="15" t="s">
        <v>336</v>
      </c>
      <c r="AO26" s="15" t="s">
        <v>460</v>
      </c>
      <c r="AP26" s="49" t="s">
        <v>336</v>
      </c>
      <c r="AR26" s="28" t="b">
        <f t="shared" si="0"/>
        <v>1</v>
      </c>
      <c r="AS26" s="29" t="str">
        <f t="shared" si="1"/>
        <v>title: "Chapel of Our Lady of the Miraculous Medal"</v>
      </c>
      <c r="AT26" s="29" t="str">
        <f t="shared" si="2"/>
        <v>location: {lat: 48.8507859, lng: 2.3229912}</v>
      </c>
      <c r="AU26" s="29" t="str">
        <f t="shared" si="3"/>
        <v>level: global</v>
      </c>
      <c r="AV26" s="29" t="str">
        <f>"- "&amp;VLOOKUP(B26,'(Ref) Countries'!A:C,3,)</f>
        <v>- france</v>
      </c>
      <c r="AW26" s="29" t="str">
        <f t="shared" si="4"/>
        <v>- paris</v>
      </c>
      <c r="AX26" s="29" t="str">
        <f t="shared" si="5"/>
        <v>- churches</v>
      </c>
      <c r="AY26" s="29" t="str">
        <f t="shared" si="6"/>
        <v>- marian-sites</v>
      </c>
      <c r="AZ26" s="29" t="str">
        <f t="shared" si="7"/>
        <v>- holy-persons</v>
      </c>
      <c r="BA26" s="29" t="str">
        <f t="shared" si="8"/>
        <v>- catherine-laboure</v>
      </c>
      <c r="BB26" s="29" t="str">
        <f t="shared" si="9"/>
        <v>- vincent-de-paul</v>
      </c>
      <c r="BC26" s="29" t="str">
        <f t="shared" si="10"/>
        <v>- louise-de-marillac</v>
      </c>
      <c r="BD26" s="29" t="str">
        <f t="shared" si="11"/>
        <v/>
      </c>
      <c r="BE26" s="29" t="str">
        <f t="shared" si="12"/>
        <v/>
      </c>
      <c r="BF26" s="29" t="str">
        <f t="shared" si="13"/>
        <v/>
      </c>
      <c r="BG26" s="29" t="str">
        <f t="shared" si="14"/>
        <v/>
      </c>
      <c r="BH26" s="29" t="str">
        <f t="shared" si="15"/>
        <v/>
      </c>
      <c r="BI26" s="29" t="str">
        <f t="shared" si="16"/>
        <v/>
      </c>
      <c r="BJ26" s="29" t="str">
        <f t="shared" si="17"/>
        <v/>
      </c>
      <c r="BK26" s="29" t="str">
        <f t="shared" si="33"/>
        <v xml:space="preserve">tags:
- france_x000D_
- paris_x000D_
- churches_x000D_
- marian-sites_x000D_
- holy-persons_x000D_
- catherine-laboure_x000D_
- vincent-de-paul_x000D_
- louise-de-marillac_x000D_
</v>
      </c>
      <c r="BL26" s="30" t="str">
        <f t="shared" si="18"/>
        <v>[Official site](https://www.chapellenotredamedelamedaillemiraculeuse.com/)</v>
      </c>
      <c r="BM26" s="30" t="str">
        <f t="shared" si="19"/>
        <v/>
      </c>
      <c r="BN26" s="30" t="str">
        <f t="shared" si="20"/>
        <v/>
      </c>
      <c r="BO26" s="30" t="str">
        <f t="shared" si="21"/>
        <v/>
      </c>
      <c r="BP26" s="30" t="str">
        <f t="shared" si="34"/>
        <v xml:space="preserve">* [Official site](https://www.chapellenotredamedelamedaillemiraculeuse.com/)
</v>
      </c>
      <c r="BQ26" s="30" t="str">
        <f t="shared" si="22"/>
        <v>[Link](http://www.therealpresence.org/eucharst/misc/BVM/06_PARIGI_60x96.pdf)</v>
      </c>
      <c r="BR26" s="30" t="str">
        <f t="shared" si="23"/>
        <v>[Link](https://www.miraclehunter.com/marian_apparitions/approved_apparitions/ruedubac/index.html)</v>
      </c>
      <c r="BS26" s="30" t="str">
        <f t="shared" si="24"/>
        <v>[Link](https://www.marypages.com/paris-(france)-en.html)</v>
      </c>
      <c r="BT26" s="30" t="str">
        <f>IF(LEN(_xludf.concat(BQ26:BS26))&gt;0,_xludf.concat("| ",BQ26," | ",BR26," | ",BS26," |"),"")</f>
        <v>| [Link](http://www.therealpresence.org/eucharst/misc/BVM/06_PARIGI_60x96.pdf) | [Link](https://www.miraclehunter.com/marian_apparitions/approved_apparitions/ruedubac/index.html) | [Link](https://www.marypages.com/paris-(france)-en.html) |</v>
      </c>
      <c r="BU26" s="29" t="str">
        <f t="shared" si="25"/>
        <v xml:space="preserve">| The Real Presence | Miracle Hunter | MaryPages |_x000D_
| --- | --- | --- |_x000D_
| [Link](http://www.therealpresence.org/eucharst/misc/BVM/06_PARIGI_60x96.pdf) | [Link](https://www.miraclehunter.com/marian_apparitions/approved_apparitions/ruedubac/index.html) | [Link](https://www.marypages.com/paris-(france)-en.html) |_x000D_
</v>
      </c>
      <c r="BV26" s="29" t="str">
        <f>IF(LEN(BP26&amp;BU26)&gt;0,concatll("#### More Information",BP26,BU26),"")</f>
        <v xml:space="preserve">####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v>
      </c>
      <c r="BW26" s="29" t="str">
        <f>IF(LEN(M26)&gt;1,concatll("#### Author's Note",M26),"")</f>
        <v xml:space="preserve">####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-JMM_x000D_
_x000D_
</v>
      </c>
      <c r="BX26" s="23" t="str">
        <f>IF(AR26,concatll(concatl("---",AS26:AU26,BK26,"---"),L26,BV26:BW26),"")</f>
        <v xml:space="preserve">---_x000D_
title: "Chapel of Our Lady of the Miraculous Medal"_x000D_
location: {lat: 48.8507859, lng: 2.3229912}_x000D_
level: global_x000D_
tags:
- france_x000D_
- paris_x000D_
- churches_x000D_
- marian-sites_x000D_
- holy-persons_x000D_
- catherine-laboure_x000D_
- vincent-de-paul_x000D_
- louise-de-marillac_x000D_
_x000D_
---_x000D_
_x000D_
_x000D_
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right)._x000D_
_x000D_
####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_x000D_
_x000D_
####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-JMM_x000D_
_x000D_
_x000D_
_x000D_
</v>
      </c>
      <c r="BY26" s="23" t="str">
        <f>IF(AR26,VLOOKUP(B26,'(Ref) Countries'!A:B,2,)&amp;IF(LEN(C26)&gt;1,"-"&amp;LOWER(SUBSTITUTE(C26," ","-")),"")&amp;"-"&amp;LOWER(SUBSTITUTE(G26," ","-"))&amp;".md","")</f>
        <v>fr-paris-chapel-of-our-lady-of-the-miraculous-medal.md</v>
      </c>
      <c r="BZ26" s="38" t="str">
        <f>IF(LEN(Y26)&gt;1,VLOOKUP(Y26,'Tag List'!$A:$B,2,),"")</f>
        <v>St. Catherine Laboure</v>
      </c>
      <c r="CA26" s="38" t="str">
        <f>IF(LEN(Z26)&gt;1,VLOOKUP(Z26,'Tag List'!$A:$B,2,),"")</f>
        <v>St. Vincent de Paul, CM</v>
      </c>
      <c r="CB26" s="38" t="str">
        <f>IF(LEN(AA26)&gt;1,VLOOKUP(AA26,'Tag List'!$A:$B,2,),"")</f>
        <v>St. Louise de Marillac, DC</v>
      </c>
      <c r="CC26" s="30" t="str">
        <f>IF(LEN(Y26)&gt;1,GetTagPage(BZ26,Y26),"")</f>
        <v>[St. Catherine Laboure](/tags/catherine-laboure)</v>
      </c>
      <c r="CD26" s="30" t="str">
        <f>IF(LEN(Z26)&gt;1,GetTagPage(CA26,Z26),"")</f>
        <v>[St. Vincent de Paul, CM](/tags/vincent-de-paul)</v>
      </c>
      <c r="CE26" s="30" t="str">
        <f>IF(LEN(AA26)&gt;1,GetTagPage(CB26,AA26),"")</f>
        <v>[St. Louise de Marillac, DC](/tags/louise-de-marillac)</v>
      </c>
      <c r="CF26" s="30" t="str">
        <f t="shared" si="35"/>
        <v xml:space="preserve">| [St. Catherine Laboure](/tags/catherine-laboure), [St. Vincent de Paul, CM](/tags/vincent-de-paul), [St. Louise de Marillac, DC](/tags/louise-de-marillac) </v>
      </c>
      <c r="CG26" s="30" t="str">
        <f t="shared" si="27"/>
        <v xml:space="preserve">| [Paris](/places/fr-paris-chapel-of-our-lady-of-the-miraculous-medal) </v>
      </c>
      <c r="CH26" s="30" t="str">
        <f>"| "&amp;IF(AR26,GetTagPage(B26,VLOOKUP(B26,'(Ref) Countries'!A:C,3,)),B26)&amp; " "</f>
        <v xml:space="preserve">| [France](/tags/france) </v>
      </c>
      <c r="CI26" s="30" t="str">
        <f t="shared" si="28"/>
        <v xml:space="preserve">| 1830 </v>
      </c>
      <c r="CJ26" s="30" t="str">
        <f t="shared" si="36"/>
        <v xml:space="preserve">| [Link](/places/fr-paris-chapel-of-our-lady-of-the-miraculous-medal) </v>
      </c>
      <c r="CK26" s="29" t="str">
        <f t="shared" si="37"/>
        <v xml:space="preserve">
| [Paris](/places/fr-paris-chapel-of-our-lady-of-the-miraculous-medal) | [France](/tags/france) | 1830 | [Link](/places/fr-paris-chapel-of-our-lady-of-the-miraculous-medal) [Official site](https://www.chapellenotredamedelamedaillemiraculeuse.com/)[Link](http://www.therealpresence.org/eucharst/misc/BVM/06_PARIGI_60x96.pdf)[Link](https://www.miraclehunter.com/marian_apparitions/approved_apparitions/ruedubac/index.html)[Link](https://www.marypages.com/paris-(france)-en.html)| [St. Catherine Laboure](/tags/catherine-laboure), [St. Vincent de Paul, CM](/tags/vincent-de-paul), [St. Louise de Marillac, DC](/tags/louise-de-marillac) |</v>
      </c>
    </row>
    <row r="27" spans="1:89" ht="74.599999999999994" x14ac:dyDescent="0.4">
      <c r="A27" s="14" t="s">
        <v>1320</v>
      </c>
      <c r="B27" s="24" t="s">
        <v>11</v>
      </c>
      <c r="C27" s="35" t="s">
        <v>1002</v>
      </c>
      <c r="D27" s="15">
        <v>41.903563699999999</v>
      </c>
      <c r="E27" s="49">
        <v>12.483673899999999</v>
      </c>
      <c r="F27" s="24" t="s">
        <v>1026</v>
      </c>
      <c r="G27" s="53" t="s">
        <v>1027</v>
      </c>
      <c r="H27" s="15" t="s">
        <v>1715</v>
      </c>
      <c r="I27" s="25" t="b">
        <v>1</v>
      </c>
      <c r="J27" s="15" t="b">
        <v>1</v>
      </c>
      <c r="L27" s="45" t="s">
        <v>1748</v>
      </c>
      <c r="N27" s="15" t="s">
        <v>414</v>
      </c>
      <c r="O27" s="15" t="s">
        <v>336</v>
      </c>
      <c r="Y27" s="36" t="s">
        <v>489</v>
      </c>
      <c r="Z27" s="37"/>
      <c r="AA27" s="36"/>
      <c r="AB27" s="36"/>
      <c r="AC27" s="36"/>
      <c r="AD27" s="36"/>
      <c r="AE27" s="36"/>
      <c r="AF27" s="36"/>
      <c r="AG27" s="36"/>
      <c r="AH27" s="36"/>
      <c r="AI27" s="87" t="s">
        <v>1002</v>
      </c>
      <c r="AJ27" s="88">
        <v>1842</v>
      </c>
      <c r="AK27" s="15" t="s">
        <v>288</v>
      </c>
      <c r="AL27" s="15" t="s">
        <v>336</v>
      </c>
      <c r="AM27" s="15" t="s">
        <v>457</v>
      </c>
      <c r="AN27" s="15" t="s">
        <v>336</v>
      </c>
      <c r="AO27" s="15" t="s">
        <v>458</v>
      </c>
      <c r="AP27" s="49" t="s">
        <v>336</v>
      </c>
      <c r="AR27" s="28" t="b">
        <f t="shared" si="0"/>
        <v>1</v>
      </c>
      <c r="AS27" s="29" t="str">
        <f t="shared" si="1"/>
        <v>title: "Sant'Andrea delle Fratte (Shrine of Our Lady of the Miracle, Our Lady of Zion)"</v>
      </c>
      <c r="AT27" s="29" t="str">
        <f t="shared" si="2"/>
        <v>location: {lat: 41.9035637, lng: 12.4836739}</v>
      </c>
      <c r="AU27" s="29" t="str">
        <f t="shared" si="3"/>
        <v>level: global</v>
      </c>
      <c r="AV27" s="29" t="str">
        <f>"- "&amp;VLOOKUP(B27,'(Ref) Countries'!A:C,3,)</f>
        <v>- italy</v>
      </c>
      <c r="AW27" s="29" t="str">
        <f t="shared" si="4"/>
        <v>- rome</v>
      </c>
      <c r="AX27" s="29" t="str">
        <f t="shared" si="5"/>
        <v>- churches</v>
      </c>
      <c r="AY27" s="29" t="str">
        <f t="shared" si="6"/>
        <v>- marian-sites</v>
      </c>
      <c r="AZ27" s="29" t="str">
        <f t="shared" si="7"/>
        <v/>
      </c>
      <c r="BA27" s="29" t="str">
        <f t="shared" si="8"/>
        <v>- marie-alphonse-ratisbonne</v>
      </c>
      <c r="BB27" s="29" t="str">
        <f t="shared" si="9"/>
        <v/>
      </c>
      <c r="BC27" s="29" t="str">
        <f t="shared" si="10"/>
        <v/>
      </c>
      <c r="BD27" s="29" t="str">
        <f t="shared" si="11"/>
        <v/>
      </c>
      <c r="BE27" s="29" t="str">
        <f t="shared" si="12"/>
        <v/>
      </c>
      <c r="BF27" s="29" t="str">
        <f t="shared" si="13"/>
        <v/>
      </c>
      <c r="BG27" s="29" t="str">
        <f t="shared" si="14"/>
        <v/>
      </c>
      <c r="BH27" s="29" t="str">
        <f t="shared" si="15"/>
        <v/>
      </c>
      <c r="BI27" s="29" t="str">
        <f t="shared" si="16"/>
        <v/>
      </c>
      <c r="BJ27" s="29" t="str">
        <f t="shared" si="17"/>
        <v/>
      </c>
      <c r="BK27" s="29" t="str">
        <f t="shared" si="33"/>
        <v xml:space="preserve">tags:
- italy_x000D_
- rome_x000D_
- churches_x000D_
- marian-sites_x000D_
- marie-alphonse-ratisbonne_x000D_
</v>
      </c>
      <c r="BL27" s="30" t="str">
        <f t="shared" si="18"/>
        <v>[Official site](https://www.madonnadelmiracolo.it/)</v>
      </c>
      <c r="BM27" s="30" t="str">
        <f t="shared" si="19"/>
        <v/>
      </c>
      <c r="BN27" s="30" t="str">
        <f t="shared" si="20"/>
        <v/>
      </c>
      <c r="BO27" s="30" t="str">
        <f t="shared" si="21"/>
        <v/>
      </c>
      <c r="BP27" s="30" t="str">
        <f t="shared" si="34"/>
        <v xml:space="preserve">* [Official site](https://www.madonnadelmiracolo.it/)
</v>
      </c>
      <c r="BQ27" s="30" t="str">
        <f t="shared" si="22"/>
        <v>[Link](http://www.therealpresence.org/eucharst/misc/BVM/23_ROMA_60x96.pdf)</v>
      </c>
      <c r="BR27" s="30" t="str">
        <f t="shared" si="23"/>
        <v>[Link](https://www.miraclehunter.com/marian_apparitions/approved_apparitions/rome1842/index.html)</v>
      </c>
      <c r="BS27" s="30" t="str">
        <f t="shared" si="24"/>
        <v>[Link](https://www.marypages.com/rome-(itali%C3%AB).html)</v>
      </c>
      <c r="BT27" s="30" t="str">
        <f>IF(LEN(_xludf.concat(BQ27:BS27))&gt;0,_xludf.concat("| ",BQ27," | ",BR27," | ",BS27," |"),"")</f>
        <v>| [Link](http://www.therealpresence.org/eucharst/misc/BVM/23_ROMA_60x96.pdf) | [Link](https://www.miraclehunter.com/marian_apparitions/approved_apparitions/rome1842/index.html) | [Link](https://www.marypages.com/rome-(itali%C3%AB).html) |</v>
      </c>
      <c r="BU27" s="29" t="str">
        <f t="shared" si="25"/>
        <v xml:space="preserve">| The Real Presence | Miracle Hunter | MaryPages |_x000D_
| --- | --- | --- |_x000D_
| [Link](http://www.therealpresence.org/eucharst/misc/BVM/23_ROMA_60x96.pdf) | [Link](https://www.miraclehunter.com/marian_apparitions/approved_apparitions/rome1842/index.html) | [Link](https://www.marypages.com/rome-(itali%C3%AB).html) |_x000D_
</v>
      </c>
      <c r="BV27" s="29" t="str">
        <f>IF(LEN(BP27&amp;BU27)&gt;0,concatll("#### More Information",BP27,BU27),"")</f>
        <v xml:space="preserve">####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v>
      </c>
      <c r="BW27" s="29" t="str">
        <f>IF(LEN(M27)&gt;1,concatll("#### Author's Note",M27),"")</f>
        <v/>
      </c>
      <c r="BX27" s="23" t="str">
        <f>IF(AR27,concatll(concatl("---",AS27:AU27,BK27,"---"),L27,BV27:BW27),"")</f>
        <v xml:space="preserve">---_x000D_
title: "Sant'Andrea delle Fratte (Shrine of Our Lady of the Miracle, Our Lady of Zion)"_x000D_
location: {lat: 41.9035637, lng: 12.4836739}_x000D_
level: global_x000D_
tags:
- italy_x000D_
- rome_x000D_
- churches_x000D_
- marian-sites_x000D_
- marie-alphonse-ratisbonne_x000D_
_x000D_
---_x000D_
_x000D_
_x000D_
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Jews._x000D_
_x000D_
####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_x000D_
_x000D_
</v>
      </c>
      <c r="BY27" s="23" t="str">
        <f>IF(AR27,VLOOKUP(B27,'(Ref) Countries'!A:B,2,)&amp;IF(LEN(C27)&gt;1,"-"&amp;LOWER(SUBSTITUTE(C27," ","-")),"")&amp;"-"&amp;LOWER(SUBSTITUTE(G27," ","-"))&amp;".md","")</f>
        <v>it-rome-sant-andrea-delle-fratte.md</v>
      </c>
      <c r="BZ27" s="38" t="str">
        <f>IF(LEN(Y27)&gt;1,VLOOKUP(Y27,'Tag List'!$A:$B,2,),"")</f>
        <v>Fr. Marie-Alphonse Ratisbonne, NDS</v>
      </c>
      <c r="CA27" s="38" t="str">
        <f>IF(LEN(Z27)&gt;1,VLOOKUP(Z27,'Tag List'!$A:$B,2,),"")</f>
        <v/>
      </c>
      <c r="CB27" s="38" t="str">
        <f>IF(LEN(AA27)&gt;1,VLOOKUP(AA27,'Tag List'!$A:$B,2,),"")</f>
        <v/>
      </c>
      <c r="CC27" s="30" t="str">
        <f>IF(LEN(Y27)&gt;1,GetTagPage(BZ27,Y27),"")</f>
        <v>[Fr. Marie-Alphonse Ratisbonne, NDS](/tags/marie-alphonse-ratisbonne)</v>
      </c>
      <c r="CD27" s="30" t="str">
        <f>IF(LEN(Z27)&gt;1,GetTagPage(CA27,Z27),"")</f>
        <v/>
      </c>
      <c r="CE27" s="30" t="str">
        <f>IF(LEN(AA27)&gt;1,GetTagPage(CB27,AA27),"")</f>
        <v/>
      </c>
      <c r="CF27" s="30" t="str">
        <f t="shared" si="35"/>
        <v xml:space="preserve">| [Fr. Marie-Alphonse Ratisbonne, NDS](/tags/marie-alphonse-ratisbonne) </v>
      </c>
      <c r="CG27" s="30" t="str">
        <f t="shared" si="27"/>
        <v xml:space="preserve">| [Rome](/places/it-rome-sant-andrea-delle-fratte) </v>
      </c>
      <c r="CH27" s="30" t="str">
        <f>"| "&amp;IF(AR27,GetTagPage(B27,VLOOKUP(B27,'(Ref) Countries'!A:C,3,)),B27)&amp; " "</f>
        <v xml:space="preserve">| [Italy](/tags/italy) </v>
      </c>
      <c r="CI27" s="30" t="str">
        <f t="shared" si="28"/>
        <v xml:space="preserve">| 1842 </v>
      </c>
      <c r="CJ27" s="30" t="str">
        <f t="shared" si="36"/>
        <v xml:space="preserve">| [Link](/places/it-rome-sant-andrea-delle-fratte) </v>
      </c>
      <c r="CK27" s="29" t="str">
        <f t="shared" si="37"/>
        <v xml:space="preserve">
| [Rome](/places/it-rome-sant-andrea-delle-fratte) | [Italy](/tags/italy) | 1842 | [Link](/places/it-rome-sant-andrea-delle-fratte) [Official site](https://www.madonnadelmiracolo.it/)[Link](http://www.therealpresence.org/eucharst/misc/BVM/23_ROMA_60x96.pdf)[Link](https://www.miraclehunter.com/marian_apparitions/approved_apparitions/rome1842/index.html)[Link](https://www.marypages.com/rome-(itali%C3%AB).html)| [Fr. Marie-Alphonse Ratisbonne, NDS](/tags/marie-alphonse-ratisbonne) |</v>
      </c>
    </row>
    <row r="28" spans="1:89" ht="37.299999999999997" x14ac:dyDescent="0.4">
      <c r="A28" s="14" t="s">
        <v>1320</v>
      </c>
      <c r="B28" s="24" t="s">
        <v>557</v>
      </c>
      <c r="D28" s="15">
        <v>44.8586296</v>
      </c>
      <c r="E28" s="49">
        <v>5.9788043999999996</v>
      </c>
      <c r="F28" s="24" t="s">
        <v>1025</v>
      </c>
      <c r="G28" s="53" t="s">
        <v>1025</v>
      </c>
      <c r="H28" s="15" t="s">
        <v>1715</v>
      </c>
      <c r="I28" s="25" t="b">
        <v>1</v>
      </c>
      <c r="J28" s="15" t="b">
        <v>1</v>
      </c>
      <c r="L28" s="24" t="s">
        <v>475</v>
      </c>
      <c r="N28" s="15" t="s">
        <v>412</v>
      </c>
      <c r="O28" s="15" t="s">
        <v>336</v>
      </c>
      <c r="Y28" s="16" t="s">
        <v>336</v>
      </c>
      <c r="Z28" s="16"/>
      <c r="AA28" s="16"/>
      <c r="AB28" s="16"/>
      <c r="AC28" s="16"/>
      <c r="AD28" s="16"/>
      <c r="AE28" s="16"/>
      <c r="AF28" s="16"/>
      <c r="AG28" s="16"/>
      <c r="AH28" s="16"/>
      <c r="AI28" s="87" t="s">
        <v>1024</v>
      </c>
      <c r="AJ28" s="88">
        <v>1846</v>
      </c>
      <c r="AK28" s="15" t="s">
        <v>289</v>
      </c>
      <c r="AL28" s="15" t="s">
        <v>336</v>
      </c>
      <c r="AM28" s="15" t="s">
        <v>476</v>
      </c>
      <c r="AN28" s="15" t="s">
        <v>336</v>
      </c>
      <c r="AO28" s="15" t="s">
        <v>477</v>
      </c>
      <c r="AP28" s="49" t="s">
        <v>336</v>
      </c>
      <c r="AR28" s="28" t="b">
        <f t="shared" si="0"/>
        <v>1</v>
      </c>
      <c r="AS28" s="29" t="str">
        <f t="shared" si="1"/>
        <v>title: "Sanctuary of Our Lady of La Salette"</v>
      </c>
      <c r="AT28" s="29" t="str">
        <f t="shared" si="2"/>
        <v>location: {lat: 44.8586296, lng: 5.9788044}</v>
      </c>
      <c r="AU28" s="29" t="str">
        <f t="shared" si="3"/>
        <v>level: global</v>
      </c>
      <c r="AV28" s="29" t="str">
        <f>"- "&amp;VLOOKUP(B28,'(Ref) Countries'!A:C,3,)</f>
        <v>- france</v>
      </c>
      <c r="AW28" s="29" t="str">
        <f t="shared" si="4"/>
        <v/>
      </c>
      <c r="AX28" s="29" t="str">
        <f t="shared" si="5"/>
        <v>- churches</v>
      </c>
      <c r="AY28" s="29" t="str">
        <f t="shared" si="6"/>
        <v>- marian-sites</v>
      </c>
      <c r="AZ28" s="29" t="str">
        <f t="shared" si="7"/>
        <v/>
      </c>
      <c r="BA28" s="29" t="str">
        <f t="shared" si="8"/>
        <v/>
      </c>
      <c r="BB28" s="29" t="str">
        <f t="shared" si="9"/>
        <v/>
      </c>
      <c r="BC28" s="29" t="str">
        <f t="shared" si="10"/>
        <v/>
      </c>
      <c r="BD28" s="29" t="str">
        <f t="shared" si="11"/>
        <v/>
      </c>
      <c r="BE28" s="29" t="str">
        <f t="shared" si="12"/>
        <v/>
      </c>
      <c r="BF28" s="29" t="str">
        <f t="shared" si="13"/>
        <v/>
      </c>
      <c r="BG28" s="29" t="str">
        <f t="shared" si="14"/>
        <v/>
      </c>
      <c r="BH28" s="29" t="str">
        <f t="shared" si="15"/>
        <v/>
      </c>
      <c r="BI28" s="29" t="str">
        <f t="shared" si="16"/>
        <v/>
      </c>
      <c r="BJ28" s="29" t="str">
        <f t="shared" si="17"/>
        <v/>
      </c>
      <c r="BK28" s="29" t="str">
        <f t="shared" si="33"/>
        <v xml:space="preserve">tags:
- france_x000D_
- churches_x000D_
- marian-sites_x000D_
</v>
      </c>
      <c r="BL28" s="30" t="str">
        <f t="shared" si="18"/>
        <v>[Official site](https://lasalette.cef.fr/)</v>
      </c>
      <c r="BM28" s="30" t="str">
        <f t="shared" si="19"/>
        <v/>
      </c>
      <c r="BN28" s="30" t="str">
        <f t="shared" si="20"/>
        <v/>
      </c>
      <c r="BO28" s="30" t="str">
        <f t="shared" si="21"/>
        <v/>
      </c>
      <c r="BP28" s="30" t="str">
        <f t="shared" si="34"/>
        <v xml:space="preserve">* [Official site](https://lasalette.cef.fr/)
</v>
      </c>
      <c r="BQ28" s="30" t="str">
        <f t="shared" si="22"/>
        <v>[Link](http://www.therealpresence.org/eucharst/misc/BVM/30_LA_SALETTE_96x96.pdf)</v>
      </c>
      <c r="BR28" s="30" t="str">
        <f t="shared" si="23"/>
        <v>[Link](https://www.miraclehunter.com/marian_apparitions/approved_apparitions/lasalette/index.html)</v>
      </c>
      <c r="BS28" s="30" t="str">
        <f t="shared" si="24"/>
        <v>[Link](https://www.marypages.com/la-salette-(france)-en.html)</v>
      </c>
      <c r="BT28" s="30" t="str">
        <f>IF(LEN(_xludf.concat(BQ28:BS28))&gt;0,_xludf.concat("| ",BQ28," | ",BR28," | ",BS28," |"),"")</f>
        <v>| [Link](http://www.therealpresence.org/eucharst/misc/BVM/30_LA_SALETTE_96x96.pdf) | [Link](https://www.miraclehunter.com/marian_apparitions/approved_apparitions/lasalette/index.html) | [Link](https://www.marypages.com/la-salette-(france)-en.html) |</v>
      </c>
      <c r="BU28" s="29" t="str">
        <f t="shared" si="25"/>
        <v xml:space="preserve">| The Real Presence | Miracle Hunter | MaryPages |_x000D_
| --- | --- | --- |_x000D_
| [Link](http://www.therealpresence.org/eucharst/misc/BVM/30_LA_SALETTE_96x96.pdf) | [Link](https://www.miraclehunter.com/marian_apparitions/approved_apparitions/lasalette/index.html) | [Link](https://www.marypages.com/la-salette-(france)-en.html) |_x000D_
</v>
      </c>
      <c r="BV28" s="29" t="str">
        <f>IF(LEN(BP28&amp;BU28)&gt;0,concatll("#### More Information",BP28,BU28),"")</f>
        <v xml:space="preserve">####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v>
      </c>
      <c r="BW28" s="29" t="str">
        <f>IF(LEN(M28)&gt;1,concatll("#### Author's Note",M28),"")</f>
        <v/>
      </c>
      <c r="BX28" s="23" t="str">
        <f>IF(AR28,concatll(concatl("---",AS28:AU28,BK28,"---"),L28,BV28:BW28),"")</f>
        <v xml:space="preserve">---_x000D_
title: "Sanctuary of Our Lady of La Salette"_x000D_
location: {lat: 44.8586296, lng: 5.9788044}_x000D_
level: global_x000D_
tags:
- france_x000D_
- churches_x000D_
- marian-sites_x000D_
_x000D_
---_x000D_
_x000D_
_x000D_
In 1846, the Blessed Virgin Mary appeared to 11-year-old Maximin Giraud and 14-year-old Melanie Calvat-Mathieu while they tended sheep in a small French Alpine village.  Her appearance in sorrow and tears called for conversion and repentance._x000D_
_x000D_
####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_x000D_
_x000D_
</v>
      </c>
      <c r="BY28" s="23" t="str">
        <f>IF(AR28,VLOOKUP(B28,'(Ref) Countries'!A:B,2,)&amp;IF(LEN(C28)&gt;1,"-"&amp;LOWER(SUBSTITUTE(C28," ","-")),"")&amp;"-"&amp;LOWER(SUBSTITUTE(G28," ","-"))&amp;".md","")</f>
        <v>fr-sanctuary-of-our-lady-of-la-salette.md</v>
      </c>
      <c r="BZ28" s="30" t="str">
        <f>IF(LEN(Y28)&gt;1,VLOOKUP(Y28,'Tag List'!$A:$B,2,),"")</f>
        <v/>
      </c>
      <c r="CA28" s="30" t="str">
        <f>IF(LEN(Z28)&gt;1,VLOOKUP(Z28,'Tag List'!$A:$B,2,),"")</f>
        <v/>
      </c>
      <c r="CB28" s="30" t="str">
        <f>IF(LEN(AA28)&gt;1,VLOOKUP(AA28,'Tag List'!$A:$B,2,),"")</f>
        <v/>
      </c>
      <c r="CC28" s="30" t="str">
        <f>IF(LEN(Y28)&gt;1,GetTagPage(BZ28,Y28),"")</f>
        <v/>
      </c>
      <c r="CD28" s="30" t="str">
        <f>IF(LEN(Z28)&gt;1,GetTagPage(CA28,Z28),"")</f>
        <v/>
      </c>
      <c r="CE28" s="30" t="str">
        <f>IF(LEN(AA28)&gt;1,GetTagPage(CB28,AA28),"")</f>
        <v/>
      </c>
      <c r="CF28" s="30" t="str">
        <f t="shared" si="35"/>
        <v xml:space="preserve">| </v>
      </c>
      <c r="CG28" s="30" t="str">
        <f t="shared" si="27"/>
        <v xml:space="preserve">| [La Salette](/places/fr-sanctuary-of-our-lady-of-la-salette) </v>
      </c>
      <c r="CH28" s="30" t="str">
        <f>"| "&amp;IF(AR28,GetTagPage(B28,VLOOKUP(B28,'(Ref) Countries'!A:C,3,)),B28)&amp; " "</f>
        <v xml:space="preserve">| [France](/tags/france) </v>
      </c>
      <c r="CI28" s="30" t="str">
        <f t="shared" si="28"/>
        <v xml:space="preserve">| 1846 </v>
      </c>
      <c r="CJ28" s="30" t="str">
        <f t="shared" si="36"/>
        <v xml:space="preserve">| [Link](/places/fr-sanctuary-of-our-lady-of-la-salette) </v>
      </c>
      <c r="CK28" s="29" t="str">
        <f t="shared" si="37"/>
        <v xml:space="preserve">
| [La Salette](/places/fr-sanctuary-of-our-lady-of-la-salette) | [France](/tags/france) | 1846 | [Link](/places/fr-sanctuary-of-our-lady-of-la-salette) [Official site](https://lasalette.cef.fr/)[Link](http://www.therealpresence.org/eucharst/misc/BVM/30_LA_SALETTE_96x96.pdf)[Link](https://www.miraclehunter.com/marian_apparitions/approved_apparitions/lasalette/index.html)[Link](https://www.marypages.com/la-salette-(france)-en.html)| |</v>
      </c>
    </row>
    <row r="29" spans="1:89" ht="37.299999999999997" x14ac:dyDescent="0.4">
      <c r="A29" s="14" t="s">
        <v>1320</v>
      </c>
      <c r="B29" s="24" t="s">
        <v>557</v>
      </c>
      <c r="D29" s="15">
        <v>43.0974206</v>
      </c>
      <c r="E29" s="49">
        <v>-5.8261100000000003E-2</v>
      </c>
      <c r="F29" s="24" t="s">
        <v>1009</v>
      </c>
      <c r="G29" s="53" t="s">
        <v>1009</v>
      </c>
      <c r="H29" s="15" t="s">
        <v>1715</v>
      </c>
      <c r="I29" s="15" t="b">
        <v>1</v>
      </c>
      <c r="J29" s="15" t="b">
        <v>1</v>
      </c>
      <c r="K29" s="15" t="b">
        <v>1</v>
      </c>
      <c r="L29" s="24" t="s">
        <v>465</v>
      </c>
      <c r="N29" s="15" t="s">
        <v>428</v>
      </c>
      <c r="O29" s="15" t="s">
        <v>336</v>
      </c>
      <c r="Y29" s="36" t="s">
        <v>490</v>
      </c>
      <c r="Z29" s="36"/>
      <c r="AA29" s="36"/>
      <c r="AB29" s="36"/>
      <c r="AC29" s="36"/>
      <c r="AD29" s="36"/>
      <c r="AE29" s="36"/>
      <c r="AF29" s="36"/>
      <c r="AG29" s="36"/>
      <c r="AH29" s="36"/>
      <c r="AI29" s="87" t="s">
        <v>997</v>
      </c>
      <c r="AJ29" s="88">
        <v>1858</v>
      </c>
      <c r="AK29" s="15" t="s">
        <v>292</v>
      </c>
      <c r="AL29" s="15" t="s">
        <v>336</v>
      </c>
      <c r="AM29" s="15" t="s">
        <v>466</v>
      </c>
      <c r="AN29" s="15" t="s">
        <v>336</v>
      </c>
      <c r="AO29" s="15" t="s">
        <v>467</v>
      </c>
      <c r="AP29" s="49" t="s">
        <v>336</v>
      </c>
      <c r="AR29" s="28" t="b">
        <f t="shared" si="0"/>
        <v>1</v>
      </c>
      <c r="AS29" s="29" t="str">
        <f t="shared" si="1"/>
        <v>title: "Sanctuary of Our Lady of Lourdes"</v>
      </c>
      <c r="AT29" s="29" t="str">
        <f t="shared" si="2"/>
        <v>location: {lat: 43.0974206, lng: -0.0582611}</v>
      </c>
      <c r="AU29" s="29" t="str">
        <f t="shared" si="3"/>
        <v>level: global</v>
      </c>
      <c r="AV29" s="29" t="str">
        <f>"- "&amp;VLOOKUP(B29,'(Ref) Countries'!A:C,3,)</f>
        <v>- france</v>
      </c>
      <c r="AW29" s="29" t="str">
        <f t="shared" si="4"/>
        <v/>
      </c>
      <c r="AX29" s="29" t="str">
        <f t="shared" si="5"/>
        <v>- churches</v>
      </c>
      <c r="AY29" s="29" t="str">
        <f t="shared" si="6"/>
        <v>- marian-sites</v>
      </c>
      <c r="AZ29" s="29" t="str">
        <f t="shared" si="7"/>
        <v>- holy-persons</v>
      </c>
      <c r="BA29" s="29" t="str">
        <f t="shared" si="8"/>
        <v>- bernadette-soubirous</v>
      </c>
      <c r="BB29" s="29" t="str">
        <f t="shared" si="9"/>
        <v/>
      </c>
      <c r="BC29" s="29" t="str">
        <f t="shared" si="10"/>
        <v/>
      </c>
      <c r="BD29" s="29" t="str">
        <f t="shared" si="11"/>
        <v/>
      </c>
      <c r="BE29" s="29" t="str">
        <f t="shared" si="12"/>
        <v/>
      </c>
      <c r="BF29" s="29" t="str">
        <f t="shared" si="13"/>
        <v/>
      </c>
      <c r="BG29" s="29" t="str">
        <f t="shared" si="14"/>
        <v/>
      </c>
      <c r="BH29" s="29" t="str">
        <f t="shared" si="15"/>
        <v/>
      </c>
      <c r="BI29" s="29" t="str">
        <f t="shared" si="16"/>
        <v/>
      </c>
      <c r="BJ29" s="29" t="str">
        <f t="shared" si="17"/>
        <v/>
      </c>
      <c r="BK29" s="29" t="str">
        <f t="shared" si="33"/>
        <v xml:space="preserve">tags:
- france_x000D_
- churches_x000D_
- marian-sites_x000D_
- holy-persons_x000D_
- bernadette-soubirous_x000D_
</v>
      </c>
      <c r="BL29" s="30" t="str">
        <f t="shared" si="18"/>
        <v>[Official site](https://www.lourdes-france.org/)</v>
      </c>
      <c r="BM29" s="30" t="str">
        <f t="shared" si="19"/>
        <v/>
      </c>
      <c r="BN29" s="30" t="str">
        <f t="shared" si="20"/>
        <v/>
      </c>
      <c r="BO29" s="30" t="str">
        <f t="shared" si="21"/>
        <v/>
      </c>
      <c r="BP29" s="30" t="str">
        <f t="shared" si="34"/>
        <v xml:space="preserve">* [Official site](https://www.lourdes-france.org/)
</v>
      </c>
      <c r="BQ29" s="30" t="str">
        <f t="shared" si="22"/>
        <v>[Link](http://www.therealpresence.org/eucharst/misc/BVM/40_LOURDES_140x96.pdf)</v>
      </c>
      <c r="BR29" s="30" t="str">
        <f t="shared" si="23"/>
        <v>[Link](https://www.miraclehunter.com/marian_apparitions/approved_apparitions/lourdes/index.html)</v>
      </c>
      <c r="BS29" s="30" t="str">
        <f t="shared" si="24"/>
        <v>[Link](https://www.marypages.com/lourdes-(frankrijk)-1858/)</v>
      </c>
      <c r="BT29" s="30" t="str">
        <f>IF(LEN(_xludf.concat(BQ29:BS29))&gt;0,_xludf.concat("| ",BQ29," | ",BR29," | ",BS29," |"),"")</f>
        <v>| [Link](http://www.therealpresence.org/eucharst/misc/BVM/40_LOURDES_140x96.pdf) | [Link](https://www.miraclehunter.com/marian_apparitions/approved_apparitions/lourdes/index.html) | [Link](https://www.marypages.com/lourdes-(frankrijk)-1858/) |</v>
      </c>
      <c r="BU29" s="29" t="str">
        <f t="shared" si="25"/>
        <v xml:space="preserve">| The Real Presence | Miracle Hunter | MaryPages |_x000D_
| --- | --- | --- |_x000D_
| [Link](http://www.therealpresence.org/eucharst/misc/BVM/40_LOURDES_140x96.pdf) | [Link](https://www.miraclehunter.com/marian_apparitions/approved_apparitions/lourdes/index.html) | [Link](https://www.marypages.com/lourdes-(frankrijk)-1858/) |_x000D_
</v>
      </c>
      <c r="BV29" s="29" t="str">
        <f>IF(LEN(BP29&amp;BU29)&gt;0,concatll("#### More Information",BP29,BU29),"")</f>
        <v xml:space="preserve">####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v>
      </c>
      <c r="BW29" s="29" t="str">
        <f>IF(LEN(M29)&gt;1,concatll("#### Author's Note",M29),"")</f>
        <v/>
      </c>
      <c r="BX29" s="23" t="str">
        <f>IF(AR29,concatll(concatl("---",AS29:AU29,BK29,"---"),L29,BV29:BW29),"")</f>
        <v xml:space="preserve">---_x000D_
title: "Sanctuary of Our Lady of Lourdes"_x000D_
location: {lat: 43.0974206, lng: -0.0582611}_x000D_
level: global_x000D_
tags:
- france_x000D_
- churches_x000D_
- marian-sites_x000D_
- holy-persons_x000D_
- bernadette-soubirous_x000D_
_x000D_
---_x000D_
_x000D_
_x000D_
In a series of apparitions in 1858, the Virgin Mary appeared to St. Bernadette Soubirous.  The stream of holy water which St. Bernadette uncovered has become a well-known source of healing, and Lourdes is now a major pilgrimage destination._x000D_
_x000D_
####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_x000D_
_x000D_
</v>
      </c>
      <c r="BY29" s="23" t="str">
        <f>IF(AR29,VLOOKUP(B29,'(Ref) Countries'!A:B,2,)&amp;IF(LEN(C29)&gt;1,"-"&amp;LOWER(SUBSTITUTE(C29," ","-")),"")&amp;"-"&amp;LOWER(SUBSTITUTE(G29," ","-"))&amp;".md","")</f>
        <v>fr-sanctuary-of-our-lady-of-lourdes.md</v>
      </c>
      <c r="BZ29" s="38" t="str">
        <f>IF(LEN(Y29)&gt;1,VLOOKUP(Y29,'Tag List'!$A:$B,2,),"")</f>
        <v>St. Bernadette of Lourdes</v>
      </c>
      <c r="CA29" s="38" t="str">
        <f>IF(LEN(Z29)&gt;1,VLOOKUP(Z29,'Tag List'!$A:$B,2,),"")</f>
        <v/>
      </c>
      <c r="CB29" s="38" t="str">
        <f>IF(LEN(AA29)&gt;1,VLOOKUP(AA29,'Tag List'!$A:$B,2,),"")</f>
        <v/>
      </c>
      <c r="CC29" s="30" t="str">
        <f>IF(LEN(Y29)&gt;1,GetTagPage(BZ29,Y29),"")</f>
        <v>[St. Bernadette of Lourdes](/tags/bernadette-soubirous)</v>
      </c>
      <c r="CD29" s="30" t="str">
        <f>IF(LEN(Z29)&gt;1,GetTagPage(CA29,Z29),"")</f>
        <v/>
      </c>
      <c r="CE29" s="30" t="str">
        <f>IF(LEN(AA29)&gt;1,GetTagPage(CB29,AA29),"")</f>
        <v/>
      </c>
      <c r="CF29" s="30" t="str">
        <f t="shared" si="35"/>
        <v xml:space="preserve">| [St. Bernadette of Lourdes](/tags/bernadette-soubirous) </v>
      </c>
      <c r="CG29" s="30" t="str">
        <f t="shared" si="27"/>
        <v xml:space="preserve">| [Lourdes](/places/fr-sanctuary-of-our-lady-of-lourdes) </v>
      </c>
      <c r="CH29" s="30" t="str">
        <f>"| "&amp;IF(AR29,GetTagPage(B29,VLOOKUP(B29,'(Ref) Countries'!A:C,3,)),B29)&amp; " "</f>
        <v xml:space="preserve">| [France](/tags/france) </v>
      </c>
      <c r="CI29" s="30" t="str">
        <f t="shared" si="28"/>
        <v xml:space="preserve">| 1858 </v>
      </c>
      <c r="CJ29" s="30" t="str">
        <f t="shared" si="36"/>
        <v xml:space="preserve">| [Link](/places/fr-sanctuary-of-our-lady-of-lourdes) </v>
      </c>
      <c r="CK29" s="29" t="str">
        <f t="shared" si="37"/>
        <v xml:space="preserve">
| [Lourdes](/places/fr-sanctuary-of-our-lady-of-lourdes) | [France](/tags/france) | 1858 | [Link](/places/fr-sanctuary-of-our-lady-of-lourdes) [Official site](https://www.lourdes-france.org/)[Link](http://www.therealpresence.org/eucharst/misc/BVM/40_LOURDES_140x96.pdf)[Link](https://www.miraclehunter.com/marian_apparitions/approved_apparitions/lourdes/index.html)[Link](https://www.marypages.com/lourdes-(frankrijk)-1858/)| [St. Bernadette of Lourdes](/tags/bernadette-soubirous) |</v>
      </c>
    </row>
    <row r="30" spans="1:89" ht="99.45" x14ac:dyDescent="0.4">
      <c r="A30" s="14" t="s">
        <v>1320</v>
      </c>
      <c r="B30" s="24" t="s">
        <v>541</v>
      </c>
      <c r="D30" s="15">
        <v>50.980685700000002</v>
      </c>
      <c r="E30" s="49">
        <v>14.597349899999999</v>
      </c>
      <c r="F30" s="24" t="s">
        <v>368</v>
      </c>
      <c r="G30" s="53" t="s">
        <v>368</v>
      </c>
      <c r="H30" s="15" t="s">
        <v>1715</v>
      </c>
      <c r="I30" s="25" t="b">
        <v>1</v>
      </c>
      <c r="J30" s="15" t="b">
        <v>1</v>
      </c>
      <c r="L30" s="24" t="s">
        <v>365</v>
      </c>
      <c r="M30" s="55" t="s">
        <v>1739</v>
      </c>
      <c r="N30" s="15" t="s">
        <v>367</v>
      </c>
      <c r="O30" s="48"/>
      <c r="P30" s="84" t="s">
        <v>1819</v>
      </c>
      <c r="Q30" s="15" t="s">
        <v>1815</v>
      </c>
      <c r="Y30" s="16" t="s">
        <v>336</v>
      </c>
      <c r="Z30" s="16"/>
      <c r="AA30" s="16"/>
      <c r="AB30" s="16"/>
      <c r="AC30" s="16"/>
      <c r="AD30" s="16"/>
      <c r="AE30" s="16"/>
      <c r="AF30" s="16"/>
      <c r="AG30" s="16"/>
      <c r="AH30" s="16"/>
      <c r="AI30" s="87" t="s">
        <v>995</v>
      </c>
      <c r="AJ30" s="88">
        <v>1866</v>
      </c>
      <c r="AK30" s="15" t="s">
        <v>295</v>
      </c>
      <c r="AL30" s="15" t="s">
        <v>336</v>
      </c>
      <c r="AM30" s="15" t="s">
        <v>366</v>
      </c>
      <c r="AN30" s="15" t="s">
        <v>336</v>
      </c>
      <c r="AO30" s="15" t="s">
        <v>336</v>
      </c>
      <c r="AP30" s="49" t="s">
        <v>336</v>
      </c>
      <c r="AR30" s="28" t="b">
        <f t="shared" si="0"/>
        <v>1</v>
      </c>
      <c r="AS30" s="29" t="str">
        <f t="shared" si="1"/>
        <v>title: "Basilica of Our Lady Help of Christians"</v>
      </c>
      <c r="AT30" s="29" t="str">
        <f t="shared" si="2"/>
        <v>location: {lat: 50.9806857, lng: 14.5973499}</v>
      </c>
      <c r="AU30" s="29" t="str">
        <f t="shared" si="3"/>
        <v>level: global</v>
      </c>
      <c r="AV30" s="29" t="str">
        <f>"- "&amp;VLOOKUP(B30,'(Ref) Countries'!A:C,3,)</f>
        <v>- czechia</v>
      </c>
      <c r="AW30" s="29" t="str">
        <f t="shared" si="4"/>
        <v/>
      </c>
      <c r="AX30" s="29" t="str">
        <f t="shared" si="5"/>
        <v>- churches</v>
      </c>
      <c r="AY30" s="29" t="str">
        <f t="shared" si="6"/>
        <v>- marian-sites</v>
      </c>
      <c r="AZ30" s="29" t="str">
        <f t="shared" si="7"/>
        <v/>
      </c>
      <c r="BA30" s="29" t="str">
        <f t="shared" si="8"/>
        <v/>
      </c>
      <c r="BB30" s="29" t="str">
        <f t="shared" si="9"/>
        <v/>
      </c>
      <c r="BC30" s="29" t="str">
        <f t="shared" si="10"/>
        <v/>
      </c>
      <c r="BD30" s="29" t="str">
        <f t="shared" si="11"/>
        <v/>
      </c>
      <c r="BE30" s="29" t="str">
        <f t="shared" si="12"/>
        <v/>
      </c>
      <c r="BF30" s="29" t="str">
        <f t="shared" si="13"/>
        <v/>
      </c>
      <c r="BG30" s="29" t="str">
        <f t="shared" si="14"/>
        <v/>
      </c>
      <c r="BH30" s="29" t="str">
        <f t="shared" si="15"/>
        <v/>
      </c>
      <c r="BI30" s="29" t="str">
        <f t="shared" si="16"/>
        <v/>
      </c>
      <c r="BJ30" s="29" t="str">
        <f t="shared" si="17"/>
        <v/>
      </c>
      <c r="BK30" s="29" t="str">
        <f t="shared" si="33"/>
        <v xml:space="preserve">tags:
- czechia_x000D_
- churches_x000D_
- marian-sites_x000D_
</v>
      </c>
      <c r="BL30" s="30" t="str">
        <f t="shared" si="18"/>
        <v>[Official site](http://cz.poutni-mista-sluknovsko.cz/bazilika-minor-panny-marie-pomocnice-krestanu-filipov.html)</v>
      </c>
      <c r="BM30" s="30" t="str">
        <f t="shared" si="19"/>
        <v>[Official Facebook page](https://www.facebook.com/poutnimistofilipov)</v>
      </c>
      <c r="BN30" s="30" t="str">
        <f t="shared" si="20"/>
        <v/>
      </c>
      <c r="BO30" s="30" t="str">
        <f t="shared" si="21"/>
        <v/>
      </c>
      <c r="BP30" s="30" t="str">
        <f t="shared" si="34"/>
        <v xml:space="preserve">* [Official site](http://cz.poutni-mista-sluknovsko.cz/bazilika-minor-panny-marie-pomocnice-krestanu-filipov.html)
* [Official Facebook page](https://www.facebook.com/poutnimistofilipov)
</v>
      </c>
      <c r="BQ30" s="30" t="str">
        <f t="shared" si="22"/>
        <v>[Link](http://www.therealpresence.org/eucharst/misc/BVM/89_FILIPOV_96x96.pdf)</v>
      </c>
      <c r="BR30" s="30" t="str">
        <f t="shared" si="23"/>
        <v>[Link](https://www.miraclehunter.com/marian_apparitions/approved_apparitions/filippsdorf/index.html)</v>
      </c>
      <c r="BS30" s="30" t="str">
        <f t="shared" si="24"/>
        <v/>
      </c>
      <c r="BT30" s="30" t="str">
        <f>IF(LEN(_xludf.concat(BQ30:BS30))&gt;0,_xludf.concat("| ",BQ30," | ",BR30," | ",BS30," |"),"")</f>
        <v>| [Link](http://www.therealpresence.org/eucharst/misc/BVM/89_FILIPOV_96x96.pdf) | [Link](https://www.miraclehunter.com/marian_apparitions/approved_apparitions/filippsdorf/index.html) |  |</v>
      </c>
      <c r="BU30" s="29" t="str">
        <f t="shared" si="25"/>
        <v xml:space="preserve">| The Real Presence | Miracle Hunter | MaryPages |_x000D_
| --- | --- | --- |_x000D_
| [Link](http://www.therealpresence.org/eucharst/misc/BVM/89_FILIPOV_96x96.pdf) | [Link](https://www.miraclehunter.com/marian_apparitions/approved_apparitions/filippsdorf/index.html) |  |_x000D_
</v>
      </c>
      <c r="BV30" s="29" t="str">
        <f>IF(LEN(BP30&amp;BU30)&gt;0,concatll("#### More Information",BP30,BU30),"")</f>
        <v xml:space="preserve">####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v>
      </c>
      <c r="BW30" s="29" t="str">
        <f>IF(LEN(M30)&gt;1,concatll("#### Author's Note",M30),"")</f>
        <v xml:space="preserve">####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-JMM_x000D_
_x000D_
</v>
      </c>
      <c r="BX30" s="23" t="str">
        <f>IF(AR30,concatll(concatl("---",AS30:AU30,BK30,"---"),L30,BV30:BW30),"")</f>
        <v xml:space="preserve">---_x000D_
title: "Basilica of Our Lady Help of Christians"_x000D_
location: {lat: 50.9806857, lng: 14.5973499}_x000D_
level: global_x000D_
tags:
- czechia_x000D_
- churches_x000D_
- marian-sites_x000D_
_x000D_
---_x000D_
_x000D_
_x000D_
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Christians."_x000D_
_x000D_
####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_x000D_
_x000D_
####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-JMM_x000D_
_x000D_
_x000D_
_x000D_
</v>
      </c>
      <c r="BY30" s="23" t="str">
        <f>IF(AR30,VLOOKUP(B30,'(Ref) Countries'!A:B,2,)&amp;IF(LEN(C30)&gt;1,"-"&amp;LOWER(SUBSTITUTE(C30," ","-")),"")&amp;"-"&amp;LOWER(SUBSTITUTE(G30," ","-"))&amp;".md","")</f>
        <v>cz-basilica-of-our-lady-help-of-christians.md</v>
      </c>
      <c r="BZ30" s="30" t="str">
        <f>IF(LEN(Y30)&gt;1,VLOOKUP(Y30,'Tag List'!$A:$B,2,),"")</f>
        <v/>
      </c>
      <c r="CA30" s="30" t="str">
        <f>IF(LEN(Z30)&gt;1,VLOOKUP(Z30,'Tag List'!$A:$B,2,),"")</f>
        <v/>
      </c>
      <c r="CB30" s="30" t="str">
        <f>IF(LEN(AA30)&gt;1,VLOOKUP(AA30,'Tag List'!$A:$B,2,),"")</f>
        <v/>
      </c>
      <c r="CC30" s="30" t="str">
        <f>IF(LEN(Y30)&gt;1,GetTagPage(BZ30,Y30),"")</f>
        <v/>
      </c>
      <c r="CD30" s="30" t="str">
        <f>IF(LEN(Z30)&gt;1,GetTagPage(CA30,Z30),"")</f>
        <v/>
      </c>
      <c r="CE30" s="30" t="str">
        <f>IF(LEN(AA30)&gt;1,GetTagPage(CB30,AA30),"")</f>
        <v/>
      </c>
      <c r="CF30" s="30" t="str">
        <f t="shared" si="35"/>
        <v xml:space="preserve">| </v>
      </c>
      <c r="CG30" s="30" t="str">
        <f t="shared" si="27"/>
        <v xml:space="preserve">| [Filipov](/places/cz-basilica-of-our-lady-help-of-christians) </v>
      </c>
      <c r="CH30" s="30" t="str">
        <f>"| "&amp;IF(AR30,GetTagPage(B30,VLOOKUP(B30,'(Ref) Countries'!A:C,3,)),B30)&amp; " "</f>
        <v xml:space="preserve">| [Czechia](/tags/czechia) </v>
      </c>
      <c r="CI30" s="30" t="str">
        <f t="shared" si="28"/>
        <v xml:space="preserve">| 1866 </v>
      </c>
      <c r="CJ30" s="30" t="str">
        <f t="shared" si="36"/>
        <v xml:space="preserve">| [Link](/places/cz-basilica-of-our-lady-help-of-christians) </v>
      </c>
      <c r="CK30" s="29" t="str">
        <f t="shared" si="37"/>
        <v xml:space="preserve">
| [Filipov](/places/cz-basilica-of-our-lady-help-of-christians) | [Czechia](/tags/czechia) | 1866 | [Link](/places/cz-basilica-of-our-lady-help-of-christians) [Official site](http://cz.poutni-mista-sluknovsko.cz/bazilika-minor-panny-marie-pomocnice-krestanu-filipov.html)[Link](http://www.therealpresence.org/eucharst/misc/BVM/89_FILIPOV_96x96.pdf)[Link](https://www.miraclehunter.com/marian_apparitions/approved_apparitions/filippsdorf/index.html)| |</v>
      </c>
    </row>
    <row r="31" spans="1:89" ht="49.75" x14ac:dyDescent="0.4">
      <c r="A31" s="14" t="s">
        <v>1320</v>
      </c>
      <c r="B31" s="24" t="s">
        <v>557</v>
      </c>
      <c r="D31" s="15">
        <v>48.439602100000002</v>
      </c>
      <c r="E31" s="49">
        <v>-1.0592325</v>
      </c>
      <c r="F31" s="24" t="s">
        <v>478</v>
      </c>
      <c r="G31" s="53" t="s">
        <v>990</v>
      </c>
      <c r="H31" s="15" t="s">
        <v>1715</v>
      </c>
      <c r="I31" s="25" t="b">
        <v>1</v>
      </c>
      <c r="J31" s="15" t="b">
        <v>1</v>
      </c>
      <c r="L31" s="24" t="s">
        <v>361</v>
      </c>
      <c r="N31" s="15" t="s">
        <v>364</v>
      </c>
      <c r="O31" s="15" t="s">
        <v>336</v>
      </c>
      <c r="Y31" s="16" t="s">
        <v>336</v>
      </c>
      <c r="Z31" s="16"/>
      <c r="AA31" s="16"/>
      <c r="AB31" s="16"/>
      <c r="AC31" s="16"/>
      <c r="AD31" s="16"/>
      <c r="AE31" s="16"/>
      <c r="AF31" s="16"/>
      <c r="AG31" s="16"/>
      <c r="AH31" s="16"/>
      <c r="AI31" s="87" t="s">
        <v>996</v>
      </c>
      <c r="AJ31" s="88">
        <v>1871</v>
      </c>
      <c r="AK31" s="15" t="s">
        <v>296</v>
      </c>
      <c r="AL31" s="15" t="s">
        <v>336</v>
      </c>
      <c r="AM31" s="15" t="s">
        <v>362</v>
      </c>
      <c r="AN31" s="15" t="s">
        <v>336</v>
      </c>
      <c r="AO31" s="15" t="s">
        <v>363</v>
      </c>
      <c r="AP31" s="49" t="s">
        <v>336</v>
      </c>
      <c r="AR31" s="28" t="b">
        <f t="shared" si="0"/>
        <v>1</v>
      </c>
      <c r="AS31" s="29" t="str">
        <f t="shared" si="1"/>
        <v>title: "Sanctuary of Pontmain (Mother of Hope)"</v>
      </c>
      <c r="AT31" s="29" t="str">
        <f t="shared" si="2"/>
        <v>location: {lat: 48.4396021, lng: -1.0592325}</v>
      </c>
      <c r="AU31" s="29" t="str">
        <f t="shared" si="3"/>
        <v>level: global</v>
      </c>
      <c r="AV31" s="29" t="str">
        <f>"- "&amp;VLOOKUP(B31,'(Ref) Countries'!A:C,3,)</f>
        <v>- france</v>
      </c>
      <c r="AW31" s="29" t="str">
        <f t="shared" si="4"/>
        <v/>
      </c>
      <c r="AX31" s="29" t="str">
        <f t="shared" si="5"/>
        <v>- churches</v>
      </c>
      <c r="AY31" s="29" t="str">
        <f t="shared" si="6"/>
        <v>- marian-sites</v>
      </c>
      <c r="AZ31" s="29" t="str">
        <f t="shared" si="7"/>
        <v/>
      </c>
      <c r="BA31" s="29" t="str">
        <f t="shared" si="8"/>
        <v/>
      </c>
      <c r="BB31" s="29" t="str">
        <f t="shared" si="9"/>
        <v/>
      </c>
      <c r="BC31" s="29" t="str">
        <f t="shared" si="10"/>
        <v/>
      </c>
      <c r="BD31" s="29" t="str">
        <f t="shared" si="11"/>
        <v/>
      </c>
      <c r="BE31" s="29" t="str">
        <f t="shared" si="12"/>
        <v/>
      </c>
      <c r="BF31" s="29" t="str">
        <f t="shared" si="13"/>
        <v/>
      </c>
      <c r="BG31" s="29" t="str">
        <f t="shared" si="14"/>
        <v/>
      </c>
      <c r="BH31" s="29" t="str">
        <f t="shared" si="15"/>
        <v/>
      </c>
      <c r="BI31" s="29" t="str">
        <f t="shared" si="16"/>
        <v/>
      </c>
      <c r="BJ31" s="29" t="str">
        <f t="shared" si="17"/>
        <v/>
      </c>
      <c r="BK31" s="29" t="str">
        <f t="shared" si="33"/>
        <v xml:space="preserve">tags:
- france_x000D_
- churches_x000D_
- marian-sites_x000D_
</v>
      </c>
      <c r="BL31" s="30" t="str">
        <f t="shared" si="18"/>
        <v>[Official site](https://sanctuaire-pontmain.com/)</v>
      </c>
      <c r="BM31" s="30" t="str">
        <f t="shared" si="19"/>
        <v/>
      </c>
      <c r="BN31" s="30" t="str">
        <f t="shared" si="20"/>
        <v/>
      </c>
      <c r="BO31" s="30" t="str">
        <f t="shared" si="21"/>
        <v/>
      </c>
      <c r="BP31" s="30" t="str">
        <f t="shared" si="34"/>
        <v xml:space="preserve">* [Official site](https://sanctuaire-pontmain.com/)
</v>
      </c>
      <c r="BQ31" s="30" t="str">
        <f t="shared" si="22"/>
        <v>[Link](http://www.therealpresence.org/eucharst/misc/BVM/26_PONTMAIN_60x96.pdf)</v>
      </c>
      <c r="BR31" s="30" t="str">
        <f t="shared" si="23"/>
        <v>[Link](https://www.miraclehunter.com/marian_apparitions/approved_apparitions/pontmain/index.html))</v>
      </c>
      <c r="BS31" s="30" t="str">
        <f t="shared" si="24"/>
        <v>[Link](https://www.marypages.com/pontmain-(france)-en.html)</v>
      </c>
      <c r="BT31" s="30" t="str">
        <f>IF(LEN(_xludf.concat(BQ31:BS31))&gt;0,_xludf.concat("| ",BQ31," | ",BR31," | ",BS31," |"),"")</f>
        <v>| [Link](http://www.therealpresence.org/eucharst/misc/BVM/26_PONTMAIN_60x96.pdf) | [Link](https://www.miraclehunter.com/marian_apparitions/approved_apparitions/pontmain/index.html)) | [Link](https://www.marypages.com/pontmain-(france)-en.html) |</v>
      </c>
      <c r="BU31" s="29" t="str">
        <f t="shared" si="25"/>
        <v xml:space="preserve">| The Real Presence | Miracle Hunter | MaryPages |_x000D_
| --- | --- | --- |_x000D_
| [Link](http://www.therealpresence.org/eucharst/misc/BVM/26_PONTMAIN_60x96.pdf) | [Link](https://www.miraclehunter.com/marian_apparitions/approved_apparitions/pontmain/index.html)) | [Link](https://www.marypages.com/pontmain-(france)-en.html) |_x000D_
</v>
      </c>
      <c r="BV31" s="29" t="str">
        <f>IF(LEN(BP31&amp;BU31)&gt;0,concatll("#### More Information",BP31,BU31),"")</f>
        <v xml:space="preserve">####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v>
      </c>
      <c r="BW31" s="29" t="str">
        <f>IF(LEN(M31)&gt;1,concatll("#### Author's Note",M31),"")</f>
        <v/>
      </c>
      <c r="BX31" s="23" t="str">
        <f>IF(AR31,concatll(concatl("---",AS31:AU31,BK31,"---"),L31,BV31:BW31),"")</f>
        <v xml:space="preserve">---_x000D_
title: "Sanctuary of Pontmain (Mother of Hope)"_x000D_
location: {lat: 48.4396021, lng: -1.0592325}_x000D_
level: global_x000D_
tags:
- france_x000D_
- churches_x000D_
- marian-sites_x000D_
_x000D_
---_x000D_
_x000D_
_x000D_
In 1871, during the Franco-Prussian War, Mary appeared on a farm to students at the nearby convent school.  Her message was written on a banner that unfurled from her feet: "But pray my children. God will hear you in a short time. My Son allows Himself to be moved by compassion."_x000D_
_x000D_
####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_x000D_
_x000D_
</v>
      </c>
      <c r="BY31" s="23" t="str">
        <f>IF(AR31,VLOOKUP(B31,'(Ref) Countries'!A:B,2,)&amp;IF(LEN(C31)&gt;1,"-"&amp;LOWER(SUBSTITUTE(C31," ","-")),"")&amp;"-"&amp;LOWER(SUBSTITUTE(G31," ","-"))&amp;".md","")</f>
        <v>fr-sanctuary-of-pontmain.md</v>
      </c>
      <c r="BZ31" s="30" t="str">
        <f>IF(LEN(Y31)&gt;1,VLOOKUP(Y31,'Tag List'!$A:$B,2,),"")</f>
        <v/>
      </c>
      <c r="CA31" s="30" t="str">
        <f>IF(LEN(Z31)&gt;1,VLOOKUP(Z31,'Tag List'!$A:$B,2,),"")</f>
        <v/>
      </c>
      <c r="CB31" s="30" t="str">
        <f>IF(LEN(AA31)&gt;1,VLOOKUP(AA31,'Tag List'!$A:$B,2,),"")</f>
        <v/>
      </c>
      <c r="CC31" s="30" t="str">
        <f>IF(LEN(Y31)&gt;1,GetTagPage(BZ31,Y31),"")</f>
        <v/>
      </c>
      <c r="CD31" s="30" t="str">
        <f>IF(LEN(Z31)&gt;1,GetTagPage(CA31,Z31),"")</f>
        <v/>
      </c>
      <c r="CE31" s="30" t="str">
        <f>IF(LEN(AA31)&gt;1,GetTagPage(CB31,AA31),"")</f>
        <v/>
      </c>
      <c r="CF31" s="30" t="str">
        <f t="shared" si="35"/>
        <v xml:space="preserve">| </v>
      </c>
      <c r="CG31" s="30" t="str">
        <f t="shared" si="27"/>
        <v xml:space="preserve">| [Pontmain](/places/fr-sanctuary-of-pontmain) </v>
      </c>
      <c r="CH31" s="30" t="str">
        <f>"| "&amp;IF(AR31,GetTagPage(B31,VLOOKUP(B31,'(Ref) Countries'!A:C,3,)),B31)&amp; " "</f>
        <v xml:space="preserve">| [France](/tags/france) </v>
      </c>
      <c r="CI31" s="30" t="str">
        <f t="shared" si="28"/>
        <v xml:space="preserve">| 1871 </v>
      </c>
      <c r="CJ31" s="30" t="str">
        <f t="shared" si="36"/>
        <v xml:space="preserve">| [Link](/places/fr-sanctuary-of-pontmain) </v>
      </c>
      <c r="CK31" s="29" t="str">
        <f t="shared" si="37"/>
        <v xml:space="preserve">
| [Pontmain](/places/fr-sanctuary-of-pontmain) | [France](/tags/france) | 1871 | [Link](/places/fr-sanctuary-of-pontmain) [Official site](https://sanctuaire-pontmain.com/)[Link](http://www.therealpresence.org/eucharst/misc/BVM/26_PONTMAIN_60x96.pdf)[Link](https://www.miraclehunter.com/marian_apparitions/approved_apparitions/pontmain/index.html))[Link](https://www.marypages.com/pontmain-(france)-en.html)| |</v>
      </c>
    </row>
    <row r="32" spans="1:89" x14ac:dyDescent="0.4">
      <c r="A32" s="14" t="s">
        <v>1049</v>
      </c>
      <c r="B32" s="24" t="s">
        <v>557</v>
      </c>
      <c r="D32" s="15">
        <v>46.982858987663199</v>
      </c>
      <c r="E32" s="49">
        <v>1.4171181142389</v>
      </c>
      <c r="F32" s="27" t="s">
        <v>1699</v>
      </c>
      <c r="G32" s="53" t="s">
        <v>1699</v>
      </c>
      <c r="H32" s="15" t="s">
        <v>1715</v>
      </c>
      <c r="I32" s="25" t="b">
        <v>1</v>
      </c>
      <c r="J32" s="15" t="b">
        <v>1</v>
      </c>
      <c r="L32" s="27" t="s">
        <v>1333</v>
      </c>
      <c r="N32" s="15" t="s">
        <v>1700</v>
      </c>
      <c r="O32" s="15" t="s">
        <v>336</v>
      </c>
      <c r="Y32" s="15" t="s">
        <v>336</v>
      </c>
      <c r="AI32" s="87" t="s">
        <v>1283</v>
      </c>
      <c r="AJ32" s="88">
        <v>1876</v>
      </c>
      <c r="AK32" s="15" t="s">
        <v>299</v>
      </c>
      <c r="AL32" s="15" t="s">
        <v>336</v>
      </c>
      <c r="AM32" s="15" t="s">
        <v>1701</v>
      </c>
      <c r="AN32" s="15" t="s">
        <v>336</v>
      </c>
      <c r="AO32" s="15" t="s">
        <v>1702</v>
      </c>
      <c r="AP32" s="49" t="s">
        <v>336</v>
      </c>
      <c r="AR32" s="28" t="b">
        <f t="shared" si="0"/>
        <v>1</v>
      </c>
      <c r="AS32" s="29" t="str">
        <f t="shared" si="1"/>
        <v>title: "Sanctuary of Pellevoisin"</v>
      </c>
      <c r="AT32" s="29" t="str">
        <f t="shared" si="2"/>
        <v>location: {lat: 46.9828589876632, lng: 1.4171181142389}</v>
      </c>
      <c r="AU32" s="29" t="str">
        <f t="shared" si="3"/>
        <v>level: global</v>
      </c>
      <c r="AV32" s="29" t="str">
        <f>"- "&amp;VLOOKUP(B32,'(Ref) Countries'!A:C,3,)</f>
        <v>- france</v>
      </c>
      <c r="AW32" s="29" t="str">
        <f t="shared" si="4"/>
        <v/>
      </c>
      <c r="AX32" s="29" t="str">
        <f t="shared" si="5"/>
        <v>- churches</v>
      </c>
      <c r="AY32" s="29" t="str">
        <f t="shared" si="6"/>
        <v>- marian-sites</v>
      </c>
      <c r="AZ32" s="29" t="str">
        <f t="shared" si="7"/>
        <v/>
      </c>
      <c r="BA32" s="29" t="str">
        <f t="shared" si="8"/>
        <v/>
      </c>
      <c r="BB32" s="29" t="str">
        <f t="shared" si="9"/>
        <v/>
      </c>
      <c r="BC32" s="29" t="str">
        <f t="shared" si="10"/>
        <v/>
      </c>
      <c r="BD32" s="29" t="str">
        <f t="shared" si="11"/>
        <v/>
      </c>
      <c r="BE32" s="29" t="str">
        <f t="shared" si="12"/>
        <v/>
      </c>
      <c r="BF32" s="29" t="str">
        <f t="shared" si="13"/>
        <v/>
      </c>
      <c r="BG32" s="29" t="str">
        <f t="shared" si="14"/>
        <v/>
      </c>
      <c r="BH32" s="29" t="str">
        <f t="shared" si="15"/>
        <v/>
      </c>
      <c r="BI32" s="29" t="str">
        <f t="shared" si="16"/>
        <v/>
      </c>
      <c r="BJ32" s="29" t="str">
        <f t="shared" si="17"/>
        <v/>
      </c>
      <c r="BK32" s="29" t="str">
        <f t="shared" si="33"/>
        <v xml:space="preserve">tags:
- france_x000D_
- churches_x000D_
- marian-sites_x000D_
</v>
      </c>
      <c r="BL32" s="30" t="str">
        <f t="shared" si="18"/>
        <v>[Official site](https://www.pellevoisin.net/)</v>
      </c>
      <c r="BM32" s="30" t="str">
        <f t="shared" si="19"/>
        <v/>
      </c>
      <c r="BN32" s="30" t="str">
        <f t="shared" si="20"/>
        <v/>
      </c>
      <c r="BO32" s="30" t="str">
        <f t="shared" si="21"/>
        <v/>
      </c>
      <c r="BP32" s="30" t="str">
        <f t="shared" si="34"/>
        <v xml:space="preserve">* [Official site](https://www.pellevoisin.net/)
</v>
      </c>
      <c r="BQ32" s="30" t="str">
        <f t="shared" si="22"/>
        <v>[Link](http://www.therealpresence.org/eucharst/misc/BVM/07_PELLEVOISIN_60x96.pdf)</v>
      </c>
      <c r="BR32" s="30" t="str">
        <f t="shared" si="23"/>
        <v>[Link](https://www.miraclehunter.com/marian_apparitions/approved_apparitions/pellevoisin/index.html)</v>
      </c>
      <c r="BS32" s="30" t="str">
        <f t="shared" si="24"/>
        <v>[Link](https://www.marypages.com/pellevoisin-france-en.html)</v>
      </c>
      <c r="BT32" s="30" t="str">
        <f>IF(LEN(_xludf.concat(BQ32:BS32))&gt;0,_xludf.concat("| ",BQ32," | ",BR32," | ",BS32," |"),"")</f>
        <v>| [Link](http://www.therealpresence.org/eucharst/misc/BVM/07_PELLEVOISIN_60x96.pdf) | [Link](https://www.miraclehunter.com/marian_apparitions/approved_apparitions/pellevoisin/index.html) | [Link](https://www.marypages.com/pellevoisin-france-en.html) |</v>
      </c>
      <c r="BU32" s="29" t="str">
        <f t="shared" si="25"/>
        <v xml:space="preserve">|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v>
      </c>
      <c r="BV32" s="29" t="str">
        <f>IF(LEN(BP32&amp;BU32)&gt;0,concatll("#### More Information",BP32,BU32),"")</f>
        <v xml:space="preserve">####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v>
      </c>
      <c r="BW32" s="29" t="str">
        <f>IF(LEN(M32)&gt;1,concatll("#### Author's Note",M32),"")</f>
        <v/>
      </c>
      <c r="BX32" s="23" t="str">
        <f>IF(AR32,concatll(concatl("---",AS32:AU32,BK32,"---"),L32,BV32:BW32),"")</f>
        <v xml:space="preserve">---_x000D_
title: "Sanctuary of Pellevoisin"_x000D_
location: {lat: 46.9828589876632, lng: 1.4171181142389}_x000D_
level: global_x000D_
tags:
- france_x000D_
- churches_x000D_
- marian-sites_x000D_
_x000D_
---_x000D_
_x000D_
_x000D_
_Research in progress__x000D_
_x000D_
####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_x000D_
_x000D_
</v>
      </c>
      <c r="BY32" s="23" t="str">
        <f>IF(AR32,VLOOKUP(B32,'(Ref) Countries'!A:B,2,)&amp;IF(LEN(C32)&gt;1,"-"&amp;LOWER(SUBSTITUTE(C32," ","-")),"")&amp;"-"&amp;LOWER(SUBSTITUTE(G32," ","-"))&amp;".md","")</f>
        <v>fr-sanctuary-of-pellevoisin.md</v>
      </c>
      <c r="BZ32" s="29" t="str">
        <f>IF(LEN(Y32)&gt;1,VLOOKUP(Y32,'Tag List'!$A:$B,2,),"")</f>
        <v/>
      </c>
      <c r="CA32" s="29" t="str">
        <f>IF(LEN(Z32)&gt;1,VLOOKUP(Z32,'Tag List'!$A:$B,2,),"")</f>
        <v/>
      </c>
      <c r="CB32" s="29" t="str">
        <f>IF(LEN(AA32)&gt;1,VLOOKUP(AA32,'Tag List'!$A:$B,2,),"")</f>
        <v/>
      </c>
      <c r="CC32" s="30" t="str">
        <f>IF(LEN(Y32)&gt;1,GetTagPage(BZ32,Y32),"")</f>
        <v/>
      </c>
      <c r="CD32" s="30" t="str">
        <f>IF(LEN(Z32)&gt;1,GetTagPage(CA32,Z32),"")</f>
        <v/>
      </c>
      <c r="CE32" s="30" t="str">
        <f>IF(LEN(AA32)&gt;1,GetTagPage(CB32,AA32),"")</f>
        <v/>
      </c>
      <c r="CF32" s="30" t="str">
        <f t="shared" si="35"/>
        <v xml:space="preserve">| </v>
      </c>
      <c r="CG32" s="30" t="str">
        <f t="shared" si="27"/>
        <v xml:space="preserve">| [Pellovoisin](/places/fr-sanctuary-of-pellevoisin) </v>
      </c>
      <c r="CH32" s="30" t="str">
        <f>"| "&amp;IF(AR32,GetTagPage(B32,VLOOKUP(B32,'(Ref) Countries'!A:C,3,)),B32)&amp; " "</f>
        <v xml:space="preserve">| [France](/tags/france) </v>
      </c>
      <c r="CI32" s="30" t="str">
        <f t="shared" si="28"/>
        <v xml:space="preserve">| 1876 </v>
      </c>
      <c r="CJ32" s="30" t="str">
        <f t="shared" si="36"/>
        <v xml:space="preserve">| [Link](/places/fr-sanctuary-of-pellevoisin) </v>
      </c>
      <c r="CK32" s="29" t="str">
        <f t="shared" si="37"/>
        <v xml:space="preserve">
| [Pellovoisin](/places/fr-sanctuary-of-pellevoisin) | [France](/tags/france) | 1876 | [Link](/places/fr-sanctuary-of-pellevoisin) [Official site](https://www.pellevoisin.net/)[Link](http://www.therealpresence.org/eucharst/misc/BVM/07_PELLEVOISIN_60x96.pdf)[Link](https://www.miraclehunter.com/marian_apparitions/approved_apparitions/pellevoisin/index.html)[Link](https://www.marypages.com/pellevoisin-france-en.html)| |</v>
      </c>
    </row>
    <row r="33" spans="1:89" ht="49.75" x14ac:dyDescent="0.4">
      <c r="A33" s="14" t="s">
        <v>1320</v>
      </c>
      <c r="B33" s="24" t="s">
        <v>651</v>
      </c>
      <c r="D33" s="15">
        <v>53.7480853</v>
      </c>
      <c r="E33" s="49">
        <v>20.235602400000001</v>
      </c>
      <c r="F33" s="24" t="s">
        <v>474</v>
      </c>
      <c r="G33" s="53" t="s">
        <v>474</v>
      </c>
      <c r="H33" s="15" t="s">
        <v>1715</v>
      </c>
      <c r="I33" s="25" t="b">
        <v>1</v>
      </c>
      <c r="J33" s="15" t="b">
        <v>1</v>
      </c>
      <c r="L33" s="24" t="s">
        <v>354</v>
      </c>
      <c r="N33" s="15" t="s">
        <v>357</v>
      </c>
      <c r="O33" s="15" t="s">
        <v>336</v>
      </c>
      <c r="Y33" s="36" t="s">
        <v>336</v>
      </c>
      <c r="Z33" s="36"/>
      <c r="AA33" s="36"/>
      <c r="AB33" s="36"/>
      <c r="AC33" s="36"/>
      <c r="AD33" s="36"/>
      <c r="AE33" s="36"/>
      <c r="AF33" s="36"/>
      <c r="AG33" s="36"/>
      <c r="AH33" s="36"/>
      <c r="AI33" s="87" t="s">
        <v>994</v>
      </c>
      <c r="AJ33" s="88">
        <v>1877</v>
      </c>
      <c r="AK33" s="15" t="s">
        <v>300</v>
      </c>
      <c r="AL33" s="15" t="s">
        <v>336</v>
      </c>
      <c r="AM33" s="15" t="s">
        <v>356</v>
      </c>
      <c r="AN33" s="15" t="s">
        <v>336</v>
      </c>
      <c r="AO33" s="15" t="s">
        <v>355</v>
      </c>
      <c r="AP33" s="49" t="s">
        <v>336</v>
      </c>
      <c r="AR33" s="28" t="b">
        <f t="shared" si="0"/>
        <v>1</v>
      </c>
      <c r="AS33" s="29" t="str">
        <f t="shared" si="1"/>
        <v>title: "Sanctuary of Our Lady of Gietrzwałd"</v>
      </c>
      <c r="AT33" s="29" t="str">
        <f t="shared" si="2"/>
        <v>location: {lat: 53.7480853, lng: 20.2356024}</v>
      </c>
      <c r="AU33" s="29" t="str">
        <f t="shared" si="3"/>
        <v>level: global</v>
      </c>
      <c r="AV33" s="29" t="str">
        <f>"- "&amp;VLOOKUP(B33,'(Ref) Countries'!A:C,3,)</f>
        <v>- poland</v>
      </c>
      <c r="AW33" s="29" t="str">
        <f t="shared" si="4"/>
        <v/>
      </c>
      <c r="AX33" s="29" t="str">
        <f t="shared" si="5"/>
        <v>- churches</v>
      </c>
      <c r="AY33" s="29" t="str">
        <f t="shared" si="6"/>
        <v>- marian-sites</v>
      </c>
      <c r="AZ33" s="29" t="str">
        <f t="shared" si="7"/>
        <v/>
      </c>
      <c r="BA33" s="29" t="str">
        <f t="shared" si="8"/>
        <v/>
      </c>
      <c r="BB33" s="29" t="str">
        <f t="shared" si="9"/>
        <v/>
      </c>
      <c r="BC33" s="29" t="str">
        <f t="shared" si="10"/>
        <v/>
      </c>
      <c r="BD33" s="29" t="str">
        <f t="shared" si="11"/>
        <v/>
      </c>
      <c r="BE33" s="29" t="str">
        <f t="shared" si="12"/>
        <v/>
      </c>
      <c r="BF33" s="29" t="str">
        <f t="shared" si="13"/>
        <v/>
      </c>
      <c r="BG33" s="29" t="str">
        <f t="shared" si="14"/>
        <v/>
      </c>
      <c r="BH33" s="29" t="str">
        <f t="shared" si="15"/>
        <v/>
      </c>
      <c r="BI33" s="29" t="str">
        <f t="shared" si="16"/>
        <v/>
      </c>
      <c r="BJ33" s="29" t="str">
        <f t="shared" si="17"/>
        <v/>
      </c>
      <c r="BK33" s="29" t="str">
        <f t="shared" si="33"/>
        <v xml:space="preserve">tags:
- poland_x000D_
- churches_x000D_
- marian-sites_x000D_
</v>
      </c>
      <c r="BL33" s="30" t="str">
        <f t="shared" si="18"/>
        <v>[Official site](https://sanktuariummaryjne.pl/)</v>
      </c>
      <c r="BM33" s="30" t="str">
        <f t="shared" si="19"/>
        <v/>
      </c>
      <c r="BN33" s="30" t="str">
        <f t="shared" si="20"/>
        <v/>
      </c>
      <c r="BO33" s="30" t="str">
        <f t="shared" si="21"/>
        <v/>
      </c>
      <c r="BP33" s="30" t="str">
        <f t="shared" si="34"/>
        <v xml:space="preserve">* [Official site](https://sanktuariummaryjne.pl/)
</v>
      </c>
      <c r="BQ33" s="30" t="str">
        <f t="shared" si="22"/>
        <v>[Link](http://www.therealpresence.org/eucharst/misc/BVM/85_GIETRZALD_96x96.pdf)</v>
      </c>
      <c r="BR33" s="30" t="str">
        <f t="shared" si="23"/>
        <v>[Link](http://www.miraclehunter.com/marian_apparitions/approved_apparitions/gietrzwald/index.html)</v>
      </c>
      <c r="BS33" s="30" t="str">
        <f t="shared" si="24"/>
        <v>[Link](https://www.marypages.com/giertzwald-(poland)-en.html)</v>
      </c>
      <c r="BT33" s="30" t="str">
        <f>IF(LEN(_xludf.concat(BQ33:BS33))&gt;0,_xludf.concat("| ",BQ33," | ",BR33," | ",BS33," |"),"")</f>
        <v>| [Link](http://www.therealpresence.org/eucharst/misc/BVM/85_GIETRZALD_96x96.pdf) | [Link](http://www.miraclehunter.com/marian_apparitions/approved_apparitions/gietrzwald/index.html) | [Link](https://www.marypages.com/giertzwald-(poland)-en.html) |</v>
      </c>
      <c r="BU33" s="29" t="str">
        <f t="shared" si="25"/>
        <v xml:space="preserve">| The Real Presence | Miracle Hunter | MaryPages |_x000D_
| --- | --- | --- |_x000D_
| [Link](http://www.therealpresence.org/eucharst/misc/BVM/85_GIETRZALD_96x96.pdf) | [Link](http://www.miraclehunter.com/marian_apparitions/approved_apparitions/gietrzwald/index.html) | [Link](https://www.marypages.com/giertzwald-(poland)-en.html) |_x000D_
</v>
      </c>
      <c r="BV33" s="29" t="str">
        <f>IF(LEN(BP33&amp;BU33)&gt;0,concatll("#### More Information",BP33,BU33),"")</f>
        <v xml:space="preserve">####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v>
      </c>
      <c r="BW33" s="29" t="str">
        <f>IF(LEN(M33)&gt;1,concatll("#### Author's Note",M33),"")</f>
        <v/>
      </c>
      <c r="BX33" s="23" t="str">
        <f>IF(AR33,concatll(concatl("---",AS33:AU33,BK33,"---"),L33,BV33:BW33),"")</f>
        <v xml:space="preserve">---_x000D_
title: "Sanctuary of Our Lady of Gietrzwałd"_x000D_
location: {lat: 53.7480853, lng: 20.2356024}_x000D_
level: global_x000D_
tags:
- poland_x000D_
- churches_x000D_
- marian-sites_x000D_
_x000D_
---_x000D_
_x000D_
_x000D_
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daily._x000D_
_x000D_
####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_x000D_
_x000D_
</v>
      </c>
      <c r="BY33" s="23" t="str">
        <f>IF(AR33,VLOOKUP(B33,'(Ref) Countries'!A:B,2,)&amp;IF(LEN(C33)&gt;1,"-"&amp;LOWER(SUBSTITUTE(C33," ","-")),"")&amp;"-"&amp;LOWER(SUBSTITUTE(G33," ","-"))&amp;".md","")</f>
        <v>pl-sanctuary-of-our-lady-of-gietrzwałd.md</v>
      </c>
      <c r="BZ33" s="38" t="str">
        <f>IF(LEN(Y33)&gt;1,VLOOKUP(Y33,'Tag List'!$A:$B,2,),"")</f>
        <v/>
      </c>
      <c r="CA33" s="38" t="str">
        <f>IF(LEN(Z33)&gt;1,VLOOKUP(Z33,'Tag List'!$A:$B,2,),"")</f>
        <v/>
      </c>
      <c r="CB33" s="38" t="str">
        <f>IF(LEN(AA33)&gt;1,VLOOKUP(AA33,'Tag List'!$A:$B,2,),"")</f>
        <v/>
      </c>
      <c r="CC33" s="30" t="str">
        <f>IF(LEN(Y33)&gt;1,GetTagPage(BZ33,Y33),"")</f>
        <v/>
      </c>
      <c r="CD33" s="30" t="str">
        <f>IF(LEN(Z33)&gt;1,GetTagPage(CA33,Z33),"")</f>
        <v/>
      </c>
      <c r="CE33" s="30" t="str">
        <f>IF(LEN(AA33)&gt;1,GetTagPage(CB33,AA33),"")</f>
        <v/>
      </c>
      <c r="CF33" s="30" t="str">
        <f t="shared" si="35"/>
        <v xml:space="preserve">| </v>
      </c>
      <c r="CG33" s="30" t="str">
        <f t="shared" si="27"/>
        <v xml:space="preserve">| [Gietrzwald](/places/pl-sanctuary-of-our-lady-of-gietrzwałd) </v>
      </c>
      <c r="CH33" s="30" t="str">
        <f>"| "&amp;IF(AR33,GetTagPage(B33,VLOOKUP(B33,'(Ref) Countries'!A:C,3,)),B33)&amp; " "</f>
        <v xml:space="preserve">| [Poland](/tags/poland) </v>
      </c>
      <c r="CI33" s="30" t="str">
        <f t="shared" si="28"/>
        <v xml:space="preserve">| 1877 </v>
      </c>
      <c r="CJ33" s="30" t="str">
        <f t="shared" si="36"/>
        <v xml:space="preserve">| [Link](/places/pl-sanctuary-of-our-lady-of-gietrzwałd) </v>
      </c>
      <c r="CK33" s="29" t="str">
        <f t="shared" si="37"/>
        <v xml:space="preserve">
| [Gietrzwald](/places/pl-sanctuary-of-our-lady-of-gietrzwałd) | [Poland](/tags/poland) | 1877 | [Link](/places/pl-sanctuary-of-our-lady-of-gietrzwałd) [Official site](https://sanktuariummaryjne.pl/)[Link](http://www.therealpresence.org/eucharst/misc/BVM/85_GIETRZALD_96x96.pdf)[Link](http://www.miraclehunter.com/marian_apparitions/approved_apparitions/gietrzwald/index.html)[Link](https://www.marypages.com/giertzwald-(poland)-en.html)| |</v>
      </c>
    </row>
    <row r="34" spans="1:89" ht="87" x14ac:dyDescent="0.4">
      <c r="A34" s="14" t="s">
        <v>1320</v>
      </c>
      <c r="B34" s="24" t="s">
        <v>583</v>
      </c>
      <c r="D34" s="15">
        <v>53.792756199999999</v>
      </c>
      <c r="E34" s="49">
        <v>-8.9189810000000005</v>
      </c>
      <c r="F34" s="24" t="s">
        <v>348</v>
      </c>
      <c r="G34" s="53" t="s">
        <v>404</v>
      </c>
      <c r="H34" s="15" t="s">
        <v>1715</v>
      </c>
      <c r="I34" s="25" t="b">
        <v>1</v>
      </c>
      <c r="J34" s="15" t="b">
        <v>1</v>
      </c>
      <c r="L34" s="24" t="s">
        <v>1000</v>
      </c>
      <c r="M34" s="55" t="s">
        <v>1740</v>
      </c>
      <c r="N34" s="15" t="s">
        <v>349</v>
      </c>
      <c r="O34" s="15" t="s">
        <v>336</v>
      </c>
      <c r="Y34" s="36" t="s">
        <v>336</v>
      </c>
      <c r="Z34" s="36"/>
      <c r="AA34" s="36"/>
      <c r="AB34" s="36"/>
      <c r="AC34" s="36"/>
      <c r="AD34" s="36"/>
      <c r="AE34" s="36"/>
      <c r="AF34" s="36"/>
      <c r="AG34" s="36"/>
      <c r="AH34" s="36"/>
      <c r="AI34" s="87" t="s">
        <v>993</v>
      </c>
      <c r="AJ34" s="88">
        <v>1879</v>
      </c>
      <c r="AK34" s="15" t="s">
        <v>301</v>
      </c>
      <c r="AL34" s="15" t="s">
        <v>336</v>
      </c>
      <c r="AM34" s="15" t="s">
        <v>351</v>
      </c>
      <c r="AN34" s="15" t="s">
        <v>336</v>
      </c>
      <c r="AO34" s="15" t="s">
        <v>352</v>
      </c>
      <c r="AP34" s="49" t="s">
        <v>336</v>
      </c>
      <c r="AR34" s="28" t="b">
        <f t="shared" ref="AR34:AR65" si="38">IF(OR(A34="Done",A34="In Progress"),TRUE)</f>
        <v>1</v>
      </c>
      <c r="AS34" s="29" t="str">
        <f t="shared" ref="AS34:AS53" si="39">"title: """&amp;F34&amp;""""</f>
        <v>title: "Knock Shrine (Our Lady of Knock)"</v>
      </c>
      <c r="AT34" s="29" t="str">
        <f t="shared" ref="AT34:AT65" si="40">"location: {lat: "&amp;D34&amp;", lng: "&amp;E34&amp;"}"</f>
        <v>location: {lat: 53.7927562, lng: -8.918981}</v>
      </c>
      <c r="AU34" s="29" t="str">
        <f t="shared" ref="AU34:AU53" si="41">"level: "&amp;H34</f>
        <v>level: global</v>
      </c>
      <c r="AV34" s="29" t="str">
        <f>"- "&amp;VLOOKUP(B34,'(Ref) Countries'!A:C,3,)</f>
        <v>- ireland</v>
      </c>
      <c r="AW34" s="29" t="str">
        <f t="shared" ref="AW34:AW65" si="42">IF(LEN(C34)&gt;1,"- "&amp;LOWER(SUBSTITUTE(C34," ","-")),"")</f>
        <v/>
      </c>
      <c r="AX34" s="29" t="str">
        <f t="shared" ref="AX34:AX65" si="43">IF(I34,"- churches","")</f>
        <v>- churches</v>
      </c>
      <c r="AY34" s="29" t="str">
        <f t="shared" ref="AY34:AY65" si="44">IF(J34,"- marian-sites","")</f>
        <v>- marian-sites</v>
      </c>
      <c r="AZ34" s="29" t="str">
        <f t="shared" ref="AZ34:AZ65" si="45">IF(K34,"- holy-persons","")</f>
        <v/>
      </c>
      <c r="BA34" s="29" t="str">
        <f t="shared" si="8"/>
        <v/>
      </c>
      <c r="BB34" s="29" t="str">
        <f t="shared" si="9"/>
        <v/>
      </c>
      <c r="BC34" s="29" t="str">
        <f t="shared" si="10"/>
        <v/>
      </c>
      <c r="BD34" s="29" t="str">
        <f t="shared" si="11"/>
        <v/>
      </c>
      <c r="BE34" s="29" t="str">
        <f t="shared" si="12"/>
        <v/>
      </c>
      <c r="BF34" s="29" t="str">
        <f t="shared" si="13"/>
        <v/>
      </c>
      <c r="BG34" s="29" t="str">
        <f t="shared" si="14"/>
        <v/>
      </c>
      <c r="BH34" s="29" t="str">
        <f t="shared" si="15"/>
        <v/>
      </c>
      <c r="BI34" s="29" t="str">
        <f t="shared" si="16"/>
        <v/>
      </c>
      <c r="BJ34" s="29" t="str">
        <f t="shared" si="17"/>
        <v/>
      </c>
      <c r="BK34" s="29" t="str">
        <f t="shared" si="33"/>
        <v xml:space="preserve">tags:
- ireland_x000D_
- churches_x000D_
- marian-sites_x000D_
</v>
      </c>
      <c r="BL34" s="30" t="str">
        <f t="shared" ref="BL34:BL65" si="46">IF(LEN(N34)&gt;0,TRIM(CONCATENATE("[Official site](",N34,") ",O34)),"")</f>
        <v>[Official site](https://www.knockshrine.ie/)</v>
      </c>
      <c r="BM34" s="30" t="str">
        <f t="shared" ref="BM34:BM65" si="47">IF(LEN(Q34)&gt;0,TRIM(CONCATENATE("["&amp;P34&amp;"](",Q34,") ",R34)),"")</f>
        <v/>
      </c>
      <c r="BN34" s="30" t="str">
        <f t="shared" ref="BN34:BN65" si="48">IF(LEN(T34)&gt;0,TRIM(CONCATENATE("["&amp;S34&amp;"](",T34,") ",U34)),"")</f>
        <v/>
      </c>
      <c r="BO34" s="30" t="str">
        <f t="shared" ref="BO34:BO65" si="49">IF(LEN(W34)&gt;0,TRIM(CONCATENATE("["&amp;V34&amp;"](",W34,") ",X34)),"")</f>
        <v/>
      </c>
      <c r="BP34" s="30" t="str">
        <f t="shared" si="34"/>
        <v xml:space="preserve">* [Official site](https://www.knockshrine.ie/)
</v>
      </c>
      <c r="BQ34" s="30" t="str">
        <f t="shared" ref="BQ34:BQ65" si="50">IF(LEN(AK34)&gt;0,TRIM(CONCATENATE("[Link](",AK34,") ",AL34)),"")</f>
        <v>[Link](http://www.therealpresence.org/eucharst/misc/BVM/63_KNOCK_60x96.pdf)</v>
      </c>
      <c r="BR34" s="30" t="str">
        <f t="shared" ref="BR34:BR65" si="51">IF(LEN(AM34)&gt;0,TRIM(CONCATENATE("[Link](",AM34,") ",AN34)),"")</f>
        <v>[Link](http://www.miraclehunter.com/marian_apparitions/approved_apparitions/knock/index.html)</v>
      </c>
      <c r="BS34" s="30" t="str">
        <f t="shared" ref="BS34:BS65" si="52">IF(LEN(AO34)&gt;0,TRIM(CONCATENATE("[Link](",AO34,") ",AP34)),"")</f>
        <v>[Link](https://www.marypages.com/knock-(ireland)-en.html)</v>
      </c>
      <c r="BT34" s="30" t="str">
        <f>IF(LEN(_xludf.concat(BQ34:BS34))&gt;0,_xludf.concat("| ",BQ34," | ",BR34," | ",BS34," |"),"")</f>
        <v>| [Link](http://www.therealpresence.org/eucharst/misc/BVM/63_KNOCK_60x96.pdf) | [Link](http://www.miraclehunter.com/marian_apparitions/approved_apparitions/knock/index.html) | [Link](https://www.marypages.com/knock-(ireland)-en.html) |</v>
      </c>
      <c r="BU34" s="29" t="str">
        <f t="shared" ref="BU34:BU65" si="53">IF(J34,concatl("| The Real Presence | Miracle Hunter | MaryPages |","| --- | --- | --- |",BT34),"")</f>
        <v xml:space="preserve">| The Real Presence | Miracle Hunter | MaryPages |_x000D_
| --- | --- | --- |_x000D_
| [Link](http://www.therealpresence.org/eucharst/misc/BVM/63_KNOCK_60x96.pdf) | [Link](http://www.miraclehunter.com/marian_apparitions/approved_apparitions/knock/index.html) | [Link](https://www.marypages.com/knock-(ireland)-en.html) |_x000D_
</v>
      </c>
      <c r="BV34" s="29" t="str">
        <f>IF(LEN(BP34&amp;BU34)&gt;0,concatll("#### More Information",BP34,BU34),"")</f>
        <v xml:space="preserve">####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v>
      </c>
      <c r="BW34" s="29" t="str">
        <f>IF(LEN(M34)&gt;1,concatll("#### Author's Note",M34),"")</f>
        <v xml:space="preserve">####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
-JMM_x000D_
_x000D_
</v>
      </c>
      <c r="BX34" s="23" t="str">
        <f>IF(AR34,concatll(concatl("---",AS34:AU34,BK34,"---"),L34,BV34:BW34),"")</f>
        <v xml:space="preserve">---_x000D_
title: "Knock Shrine (Our Lady of Knock)"_x000D_
location: {lat: 53.7927562, lng: -8.918981}_x000D_
level: global_x000D_
tags:
- ireland_x000D_
- churches_x000D_
- marian-sites_x000D_
_x000D_
---_x000D_
_x000D_
_x000D_
In 1879, 15 individuals witnessed the figures of Mary, Joseph, John the Evangelist, and a lamb and cross atop an altar, all enveloped in a bright light outside the local church.  The imagery is unique to Knock and holds eschatological significance for Catholics._x000D_
_x000D_
####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_x000D_
_x000D_
####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
-JMM_x000D_
_x000D_
_x000D_
_x000D_
</v>
      </c>
      <c r="BY34" s="23" t="str">
        <f>IF(AR34,VLOOKUP(B34,'(Ref) Countries'!A:B,2,)&amp;IF(LEN(C34)&gt;1,"-"&amp;LOWER(SUBSTITUTE(C34," ","-")),"")&amp;"-"&amp;LOWER(SUBSTITUTE(G34," ","-"))&amp;".md","")</f>
        <v>ie-knock-shrine.md</v>
      </c>
      <c r="BZ34" s="38" t="str">
        <f>IF(LEN(Y34)&gt;1,VLOOKUP(Y34,'Tag List'!$A:$B,2,),"")</f>
        <v/>
      </c>
      <c r="CA34" s="38" t="str">
        <f>IF(LEN(Z34)&gt;1,VLOOKUP(Z34,'Tag List'!$A:$B,2,),"")</f>
        <v/>
      </c>
      <c r="CB34" s="38" t="str">
        <f>IF(LEN(AA34)&gt;1,VLOOKUP(AA34,'Tag List'!$A:$B,2,),"")</f>
        <v/>
      </c>
      <c r="CC34" s="30" t="str">
        <f>IF(LEN(Y34)&gt;1,GetTagPage(BZ34,Y34),"")</f>
        <v/>
      </c>
      <c r="CD34" s="30" t="str">
        <f>IF(LEN(Z34)&gt;1,GetTagPage(CA34,Z34),"")</f>
        <v/>
      </c>
      <c r="CE34" s="30" t="str">
        <f>IF(LEN(AA34)&gt;1,GetTagPage(CB34,AA34),"")</f>
        <v/>
      </c>
      <c r="CF34" s="30" t="str">
        <f t="shared" si="35"/>
        <v xml:space="preserve">| </v>
      </c>
      <c r="CG34" s="30" t="str">
        <f t="shared" ref="CG34:CG65" si="54">"| "&amp;IF(AR34,"["&amp;AI34&amp;"](/places/"&amp;SUBSTITUTE(BY34,".md","")&amp;")",AI34)&amp;" "</f>
        <v xml:space="preserve">| [Knock](/places/ie-knock-shrine) </v>
      </c>
      <c r="CH34" s="30" t="str">
        <f>"| "&amp;IF(AR34,GetTagPage(B34,VLOOKUP(B34,'(Ref) Countries'!A:C,3,)),B34)&amp; " "</f>
        <v xml:space="preserve">| [Ireland](/tags/ireland) </v>
      </c>
      <c r="CI34" s="30" t="str">
        <f t="shared" ref="CI34:CI65" si="55">"| "&amp;AJ34&amp;" "</f>
        <v xml:space="preserve">| 1879 </v>
      </c>
      <c r="CJ34" s="30" t="str">
        <f t="shared" si="36"/>
        <v xml:space="preserve">| [Link](/places/ie-knock-shrine) </v>
      </c>
      <c r="CK34" s="29" t="str">
        <f t="shared" si="37"/>
        <v xml:space="preserve">
| [Knock](/places/ie-knock-shrine) | [Ireland](/tags/ireland) | 1879 | [Link](/places/ie-knock-shrine) [Official site](https://www.knockshrine.ie/)[Link](http://www.therealpresence.org/eucharst/misc/BVM/63_KNOCK_60x96.pdf)[Link](http://www.miraclehunter.com/marian_apparitions/approved_apparitions/knock/index.html)[Link](https://www.marypages.com/knock-(ireland)-en.html)| |</v>
      </c>
    </row>
    <row r="35" spans="1:89" ht="62.15" x14ac:dyDescent="0.4">
      <c r="A35" s="14" t="s">
        <v>1320</v>
      </c>
      <c r="B35" s="24" t="s">
        <v>655</v>
      </c>
      <c r="D35" s="15">
        <v>39.631263799999999</v>
      </c>
      <c r="E35" s="49">
        <v>-8.6731570999999992</v>
      </c>
      <c r="F35" s="24" t="s">
        <v>1030</v>
      </c>
      <c r="G35" s="53" t="s">
        <v>726</v>
      </c>
      <c r="H35" s="15" t="s">
        <v>1715</v>
      </c>
      <c r="I35" s="25" t="b">
        <v>1</v>
      </c>
      <c r="J35" s="15" t="b">
        <v>1</v>
      </c>
      <c r="K35" s="15" t="b">
        <v>1</v>
      </c>
      <c r="L35" s="24" t="s">
        <v>471</v>
      </c>
      <c r="N35" s="15" t="s">
        <v>426</v>
      </c>
      <c r="O35" s="15" t="s">
        <v>336</v>
      </c>
      <c r="Y35" s="36" t="s">
        <v>1425</v>
      </c>
      <c r="Z35" s="36" t="s">
        <v>1426</v>
      </c>
      <c r="AA35" s="36"/>
      <c r="AB35" s="36"/>
      <c r="AC35" s="36"/>
      <c r="AD35" s="36"/>
      <c r="AE35" s="36"/>
      <c r="AF35" s="36"/>
      <c r="AG35" s="36"/>
      <c r="AH35" s="36"/>
      <c r="AI35" s="87" t="s">
        <v>725</v>
      </c>
      <c r="AJ35" s="88">
        <v>1916</v>
      </c>
      <c r="AK35" s="15" t="s">
        <v>306</v>
      </c>
      <c r="AL35" s="15" t="s">
        <v>1328</v>
      </c>
      <c r="AM35" s="15" t="s">
        <v>472</v>
      </c>
      <c r="AN35" s="15" t="s">
        <v>336</v>
      </c>
      <c r="AO35" s="15" t="s">
        <v>473</v>
      </c>
      <c r="AP35" s="49" t="s">
        <v>336</v>
      </c>
      <c r="AR35" s="28" t="b">
        <f t="shared" si="38"/>
        <v>1</v>
      </c>
      <c r="AS35" s="29" t="str">
        <f t="shared" si="39"/>
        <v>title: "Sanctuary of Our Lady of the Rosary of Fatima"</v>
      </c>
      <c r="AT35" s="29" t="str">
        <f t="shared" si="40"/>
        <v>location: {lat: 39.6312638, lng: -8.6731571}</v>
      </c>
      <c r="AU35" s="29" t="str">
        <f t="shared" si="41"/>
        <v>level: global</v>
      </c>
      <c r="AV35" s="29" t="str">
        <f>"- "&amp;VLOOKUP(B35,'(Ref) Countries'!A:C,3,)</f>
        <v>- portugal</v>
      </c>
      <c r="AW35" s="29" t="str">
        <f t="shared" si="42"/>
        <v/>
      </c>
      <c r="AX35" s="29" t="str">
        <f t="shared" si="43"/>
        <v>- churches</v>
      </c>
      <c r="AY35" s="29" t="str">
        <f t="shared" si="44"/>
        <v>- marian-sites</v>
      </c>
      <c r="AZ35" s="29" t="str">
        <f t="shared" si="45"/>
        <v>- holy-persons</v>
      </c>
      <c r="BA35" s="29" t="str">
        <f t="shared" si="8"/>
        <v>- lucia-dos-santos</v>
      </c>
      <c r="BB35" s="29" t="str">
        <f t="shared" si="9"/>
        <v>- francisco-and-jacinta-marto</v>
      </c>
      <c r="BC35" s="29" t="str">
        <f t="shared" si="10"/>
        <v/>
      </c>
      <c r="BD35" s="29" t="str">
        <f t="shared" si="11"/>
        <v/>
      </c>
      <c r="BE35" s="29" t="str">
        <f t="shared" si="12"/>
        <v/>
      </c>
      <c r="BF35" s="29" t="str">
        <f t="shared" si="13"/>
        <v/>
      </c>
      <c r="BG35" s="29" t="str">
        <f t="shared" si="14"/>
        <v/>
      </c>
      <c r="BH35" s="29" t="str">
        <f t="shared" si="15"/>
        <v/>
      </c>
      <c r="BI35" s="29" t="str">
        <f t="shared" si="16"/>
        <v/>
      </c>
      <c r="BJ35" s="29" t="str">
        <f t="shared" si="17"/>
        <v/>
      </c>
      <c r="BK35" s="29" t="str">
        <f t="shared" ref="BK35:BK45" si="56">"tags:"&amp;CHAR(10)&amp;concatl(AV35:BJ35)</f>
        <v xml:space="preserve">tags:
- portugal_x000D_
- churches_x000D_
- marian-sites_x000D_
- holy-persons_x000D_
- lucia-dos-santos_x000D_
- francisco-and-jacinta-marto_x000D_
</v>
      </c>
      <c r="BL35" s="30" t="str">
        <f t="shared" si="46"/>
        <v>[Official site](https://www.fatima.pt/)</v>
      </c>
      <c r="BM35" s="30" t="str">
        <f t="shared" si="47"/>
        <v/>
      </c>
      <c r="BN35" s="30" t="str">
        <f t="shared" si="48"/>
        <v/>
      </c>
      <c r="BO35" s="30" t="str">
        <f t="shared" si="49"/>
        <v/>
      </c>
      <c r="BP35" s="30" t="str">
        <f t="shared" ref="BP35:BP45" si="57">IF(LEN(BL35)&gt;0,"* "&amp;BL35&amp;CHAR(10),"")&amp;
IF(LEN(BM35)&gt;0,"* "&amp;BM35&amp;CHAR(10),"")&amp;
IF(LEN(BN35)&gt;0,"* "&amp;BN35&amp;CHAR(10),"")&amp;
IF(LEN(BO35)&gt;0,"* "&amp;BO35&amp;CHAR(10),"")</f>
        <v xml:space="preserve">* [Official site](https://www.fatima.pt/)
</v>
      </c>
      <c r="BQ35" s="30" t="str">
        <f t="shared" si="50"/>
        <v>[Link](http://www.therealpresence.org/eucharst/misc/BVM/154_FATIMA_96x96_1.pdf) , [Link](http://www.therealpresence.org/eucharst/misc/BVM/154_FATIMA_140x96_2.pdf), [Link](http://www.therealpresence.org/eucharst/misc/BVM/154_FATIMA_96x96_3.pdf)</v>
      </c>
      <c r="BR35" s="30" t="str">
        <f t="shared" si="51"/>
        <v>[Link](https://www.miraclehunter.com/marian_apparitions/approved_apparitions/fatima/index.html)</v>
      </c>
      <c r="BS35" s="30" t="str">
        <f t="shared" si="52"/>
        <v>[Link](https://www.marypages.com/fatima-(portugal)-1917.html)</v>
      </c>
      <c r="BT35" s="30" t="str">
        <f>IF(LEN(_xludf.concat(BQ35:BS35))&gt;0,_xludf.concat("| ",BQ35," | ",BR35," | ",BS35," |"),"")</f>
        <v>|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v>
      </c>
      <c r="BU35" s="29" t="str">
        <f t="shared" si="53"/>
        <v xml:space="preserve">|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v>
      </c>
      <c r="BV35" s="29" t="str">
        <f>IF(LEN(BP35&amp;BU35)&gt;0,concatll("#### More Information",BP35,BU35),"")</f>
        <v xml:space="preserve">####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v>
      </c>
      <c r="BW35" s="29" t="str">
        <f>IF(LEN(M35)&gt;1,concatll("#### Author's Note",M35),"")</f>
        <v/>
      </c>
      <c r="BX35" s="23" t="str">
        <f>IF(AR35,concatll(concatl("---",AS35:AU35,BK35,"---"),L35,BV35:BW35),"")</f>
        <v xml:space="preserve">---_x000D_
title: "Sanctuary of Our Lady of the Rosary of Fatima"_x000D_
location: {lat: 39.6312638, lng: -8.6731571}_x000D_
level: global_x000D_
tags:
- portugal_x000D_
- churches_x000D_
- marian-sites_x000D_
- holy-persons_x000D_
- lucia-dos-santos_x000D_
- francisco-and-jacinta-marto_x000D_
_x000D_
---_x000D_
_x000D_
_x000D_
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Heart._x000D_
_x000D_
####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_x000D_
_x000D_
</v>
      </c>
      <c r="BY35" s="23" t="str">
        <f>IF(AR35,VLOOKUP(B35,'(Ref) Countries'!A:B,2,)&amp;IF(LEN(C35)&gt;1,"-"&amp;LOWER(SUBSTITUTE(C35," ","-")),"")&amp;"-"&amp;LOWER(SUBSTITUTE(G35," ","-"))&amp;".md","")</f>
        <v>pt-shrine-of-fatima.md</v>
      </c>
      <c r="BZ35" s="38" t="str">
        <f>IF(LEN(Y35)&gt;1,VLOOKUP(Y35,'Tag List'!$A:$B,2,),"")</f>
        <v>Bl. Lucia dos Santos</v>
      </c>
      <c r="CA35" s="38" t="str">
        <f>IF(LEN(Z35)&gt;1,VLOOKUP(Z35,'Tag List'!$A:$B,2,),"")</f>
        <v>Sts. Francisco and Jacinta Marto</v>
      </c>
      <c r="CB35" s="38" t="str">
        <f>IF(LEN(AA35)&gt;1,VLOOKUP(AA35,'Tag List'!$A:$B,2,),"")</f>
        <v/>
      </c>
      <c r="CC35" s="30" t="str">
        <f>IF(LEN(Y35)&gt;1,GetTagPage(BZ35,Y35),"")</f>
        <v>[Bl. Lucia dos Santos](/tags/lucia-dos-santos)</v>
      </c>
      <c r="CD35" s="30" t="str">
        <f>IF(LEN(Z35)&gt;1,GetTagPage(CA35,Z35),"")</f>
        <v>[Sts. Francisco and Jacinta Marto](/tags/francisco-and-jacinta-marto)</v>
      </c>
      <c r="CE35" s="30" t="str">
        <f>IF(LEN(AA35)&gt;1,GetTagPage(CB35,AA35),"")</f>
        <v/>
      </c>
      <c r="CF35" s="30" t="str">
        <f t="shared" ref="CF35:CF45" si="58">"|"&amp;IF(LEN(CC35)&gt;1," "&amp;CC35,"")&amp;IF(LEN(CD35)&gt;1,", "&amp;CD35,"")&amp;IF(LEN(CE35)&gt;1,", "&amp;CE35,"")&amp;" "</f>
        <v xml:space="preserve">| [Bl. Lucia dos Santos](/tags/lucia-dos-santos), [Sts. Francisco and Jacinta Marto](/tags/francisco-and-jacinta-marto) </v>
      </c>
      <c r="CG35" s="30" t="str">
        <f t="shared" si="54"/>
        <v xml:space="preserve">| [Fatima](/places/pt-shrine-of-fatima) </v>
      </c>
      <c r="CH35" s="30" t="str">
        <f>"| "&amp;IF(AR35,GetTagPage(B35,VLOOKUP(B35,'(Ref) Countries'!A:C,3,)),B35)&amp; " "</f>
        <v xml:space="preserve">| [Portugal](/tags/portugal) </v>
      </c>
      <c r="CI35" s="30" t="str">
        <f t="shared" si="55"/>
        <v xml:space="preserve">| 1916 </v>
      </c>
      <c r="CJ35" s="30" t="str">
        <f t="shared" ref="CJ35:CJ45" si="59">"|"&amp;IF(AR35," [Link](/places/"&amp;SUBSTITUTE(BY35,".md","")&amp;")","")&amp;" "</f>
        <v xml:space="preserve">| [Link](/places/pt-shrine-of-fatima) </v>
      </c>
      <c r="CK35" s="29" t="str">
        <f t="shared" ref="CK35:CK45" si="60">"
"&amp;CG35&amp;CH35&amp;CI35&amp;CJ35&amp;BL35&amp;BQ35&amp;BR35&amp;BS35&amp;CF35&amp;"|"</f>
        <v xml:space="preserve">
| [Fatima](/places/pt-shrine-of-fatima) | [Portugal](/tags/portugal) | 1916 | [Link](/places/pt-shrine-of-fatima) [Official site](https://www.fatima.pt/)[Link](http://www.therealpresence.org/eucharst/misc/BVM/154_FATIMA_96x96_1.pdf) , [Link](http://www.therealpresence.org/eucharst/misc/BVM/154_FATIMA_140x96_2.pdf), [Link](http://www.therealpresence.org/eucharst/misc/BVM/154_FATIMA_96x96_3.pdf)[Link](https://www.miraclehunter.com/marian_apparitions/approved_apparitions/fatima/index.html)[Link](https://www.marypages.com/fatima-(portugal)-1917.html)| [Bl. Lucia dos Santos](/tags/lucia-dos-santos), [Sts. Francisco and Jacinta Marto](/tags/francisco-and-jacinta-marto) |</v>
      </c>
    </row>
    <row r="36" spans="1:89" ht="24.9" x14ac:dyDescent="0.4">
      <c r="A36" s="14" t="s">
        <v>1049</v>
      </c>
      <c r="B36" s="24" t="s">
        <v>2</v>
      </c>
      <c r="D36" s="15">
        <v>8.352427276057</v>
      </c>
      <c r="E36" s="49">
        <v>77.663576934286198</v>
      </c>
      <c r="F36" s="40" t="s">
        <v>1718</v>
      </c>
      <c r="G36" s="54" t="s">
        <v>1716</v>
      </c>
      <c r="H36" s="15" t="s">
        <v>1715</v>
      </c>
      <c r="I36" s="25" t="b">
        <v>1</v>
      </c>
      <c r="J36" s="15" t="b">
        <v>1</v>
      </c>
      <c r="L36" s="40" t="s">
        <v>1333</v>
      </c>
      <c r="N36" s="15" t="s">
        <v>1717</v>
      </c>
      <c r="O36" s="15" t="s">
        <v>336</v>
      </c>
      <c r="Y36" s="15" t="s">
        <v>336</v>
      </c>
      <c r="AI36" s="87" t="s">
        <v>1295</v>
      </c>
      <c r="AJ36" s="88">
        <v>1939</v>
      </c>
      <c r="AK36" s="15" t="s">
        <v>316</v>
      </c>
      <c r="AL36" s="15" t="s">
        <v>336</v>
      </c>
      <c r="AM36" s="15" t="s">
        <v>336</v>
      </c>
      <c r="AN36" s="15" t="s">
        <v>336</v>
      </c>
      <c r="AO36" s="15" t="s">
        <v>336</v>
      </c>
      <c r="AP36" s="49" t="s">
        <v>336</v>
      </c>
      <c r="AR36" s="28" t="b">
        <f t="shared" si="38"/>
        <v>1</v>
      </c>
      <c r="AS36" s="29" t="str">
        <f t="shared" si="39"/>
        <v>title: "Athisaya Panimatha (Our Lady of Snows) Shrine, Kallikulam"</v>
      </c>
      <c r="AT36" s="29" t="str">
        <f t="shared" si="40"/>
        <v>location: {lat: 8.352427276057, lng: 77.6635769342862}</v>
      </c>
      <c r="AU36" s="29" t="str">
        <f t="shared" si="41"/>
        <v>level: global</v>
      </c>
      <c r="AV36" s="29" t="str">
        <f>"- "&amp;VLOOKUP(B36,'(Ref) Countries'!A:C,3,)</f>
        <v>- india</v>
      </c>
      <c r="AW36" s="29" t="str">
        <f t="shared" si="42"/>
        <v/>
      </c>
      <c r="AX36" s="29" t="str">
        <f t="shared" si="43"/>
        <v>- churches</v>
      </c>
      <c r="AY36" s="29" t="str">
        <f t="shared" si="44"/>
        <v>- marian-sites</v>
      </c>
      <c r="AZ36" s="29" t="str">
        <f t="shared" si="45"/>
        <v/>
      </c>
      <c r="BA36" s="29" t="str">
        <f t="shared" si="8"/>
        <v/>
      </c>
      <c r="BB36" s="29" t="str">
        <f t="shared" si="9"/>
        <v/>
      </c>
      <c r="BC36" s="29" t="str">
        <f t="shared" si="10"/>
        <v/>
      </c>
      <c r="BD36" s="29" t="str">
        <f t="shared" si="11"/>
        <v/>
      </c>
      <c r="BE36" s="29" t="str">
        <f t="shared" si="12"/>
        <v/>
      </c>
      <c r="BF36" s="29" t="str">
        <f t="shared" si="13"/>
        <v/>
      </c>
      <c r="BG36" s="29" t="str">
        <f t="shared" si="14"/>
        <v/>
      </c>
      <c r="BH36" s="29" t="str">
        <f t="shared" si="15"/>
        <v/>
      </c>
      <c r="BI36" s="29" t="str">
        <f t="shared" si="16"/>
        <v/>
      </c>
      <c r="BJ36" s="29" t="str">
        <f t="shared" si="17"/>
        <v/>
      </c>
      <c r="BK36" s="29" t="str">
        <f t="shared" si="56"/>
        <v xml:space="preserve">tags:
- india_x000D_
- churches_x000D_
- marian-sites_x000D_
</v>
      </c>
      <c r="BL36" s="30" t="str">
        <f t="shared" si="46"/>
        <v>[Official site](https://www.athisayapanimatha.com/)</v>
      </c>
      <c r="BM36" s="30" t="str">
        <f t="shared" si="47"/>
        <v/>
      </c>
      <c r="BN36" s="30" t="str">
        <f t="shared" si="48"/>
        <v/>
      </c>
      <c r="BO36" s="30" t="str">
        <f t="shared" si="49"/>
        <v/>
      </c>
      <c r="BP36" s="30" t="str">
        <f t="shared" si="57"/>
        <v xml:space="preserve">* [Official site](https://www.athisayapanimatha.com/)
</v>
      </c>
      <c r="BQ36" s="30" t="str">
        <f t="shared" si="50"/>
        <v>[Link](http://www.therealpresence.org/eucharst/misc/BVM/128_KALLIKULAM_60x96.pdf)</v>
      </c>
      <c r="BR36" s="30" t="str">
        <f t="shared" si="51"/>
        <v/>
      </c>
      <c r="BS36" s="30" t="str">
        <f t="shared" si="52"/>
        <v/>
      </c>
      <c r="BT36" s="30" t="str">
        <f>IF(LEN(_xludf.concat(BQ36:BS36))&gt;0,_xludf.concat("| ",BQ36," | ",BR36," | ",BS36," |"),"")</f>
        <v>| [Link](http://www.therealpresence.org/eucharst/misc/BVM/128_KALLIKULAM_60x96.pdf) |  |  |</v>
      </c>
      <c r="BU36" s="29" t="str">
        <f t="shared" si="53"/>
        <v xml:space="preserve">| The Real Presence | Miracle Hunter | MaryPages |_x000D_
| --- | --- | --- |_x000D_
| [Link](http://www.therealpresence.org/eucharst/misc/BVM/128_KALLIKULAM_60x96.pdf) |  |  |_x000D_
</v>
      </c>
      <c r="BV36" s="29" t="str">
        <f>IF(LEN(BP36&amp;BU36)&gt;0,concatll("#### More Information",BP36,BU36),"")</f>
        <v xml:space="preserve">#### More Information_x000D_
_x000D_
* [Official site](https://www.athisayapanimatha.com/)
_x000D_
_x000D_
| The Real Presence | Miracle Hunter | MaryPages |_x000D_
| --- | --- | --- |_x000D_
| [Link](http://www.therealpresence.org/eucharst/misc/BVM/128_KALLIKULAM_60x96.pdf) |  |  |_x000D_
_x000D_
_x000D_
</v>
      </c>
      <c r="BW36" s="29" t="str">
        <f>IF(LEN(M36)&gt;1,concatll("#### Author's Note",M36),"")</f>
        <v/>
      </c>
      <c r="BX36" s="23" t="str">
        <f>IF(AR36,concatll(concatl("---",AS36:AU36,BK36,"---"),L36,BV36:BW36),"")</f>
        <v xml:space="preserve">---_x000D_
title: "Athisaya Panimatha (Our Lady of Snows) Shrine, Kallikulam"_x000D_
location: {lat: 8.352427276057, lng: 77.6635769342862}_x000D_
level: global_x000D_
tags:
- india_x000D_
- churches_x000D_
- marian-sites_x000D_
_x000D_
---_x000D_
_x000D_
_x000D_
_Research in progress__x000D_
_x000D_
#### More Information_x000D_
_x000D_
* [Official site](https://www.athisayapanimatha.com/)
_x000D_
_x000D_
| The Real Presence | Miracle Hunter | MaryPages |_x000D_
| --- | --- | --- |_x000D_
| [Link](http://www.therealpresence.org/eucharst/misc/BVM/128_KALLIKULAM_60x96.pdf) |  |  |_x000D_
_x000D_
_x000D_
_x000D_
_x000D_
</v>
      </c>
      <c r="BY36" s="23" t="str">
        <f>IF(AR36,VLOOKUP(B36,'(Ref) Countries'!A:B,2,)&amp;IF(LEN(C36)&gt;1,"-"&amp;LOWER(SUBSTITUTE(C36," ","-")),"")&amp;"-"&amp;LOWER(SUBSTITUTE(G36," ","-"))&amp;".md","")</f>
        <v>in-athisaya-panimatha-shrine.md</v>
      </c>
      <c r="BZ36" s="29" t="str">
        <f>IF(LEN(Y36)&gt;1,VLOOKUP(Y36,'Tag List'!$A:$B,2,),"")</f>
        <v/>
      </c>
      <c r="CA36" s="29" t="str">
        <f>IF(LEN(Z36)&gt;1,VLOOKUP(Z36,'Tag List'!$A:$B,2,),"")</f>
        <v/>
      </c>
      <c r="CB36" s="29" t="str">
        <f>IF(LEN(AA36)&gt;1,VLOOKUP(AA36,'Tag List'!$A:$B,2,),"")</f>
        <v/>
      </c>
      <c r="CC36" s="30" t="str">
        <f>IF(LEN(Y36)&gt;1,GetTagPage(BZ36,Y36),"")</f>
        <v/>
      </c>
      <c r="CD36" s="30" t="str">
        <f>IF(LEN(Z36)&gt;1,GetTagPage(CA36,Z36),"")</f>
        <v/>
      </c>
      <c r="CE36" s="30" t="str">
        <f>IF(LEN(AA36)&gt;1,GetTagPage(CB36,AA36),"")</f>
        <v/>
      </c>
      <c r="CF36" s="30" t="str">
        <f t="shared" si="58"/>
        <v xml:space="preserve">| </v>
      </c>
      <c r="CG36" s="30" t="str">
        <f t="shared" si="54"/>
        <v xml:space="preserve">| [Kallikulam](/places/in-athisaya-panimatha-shrine) </v>
      </c>
      <c r="CH36" s="30" t="str">
        <f>"| "&amp;IF(AR36,GetTagPage(B36,VLOOKUP(B36,'(Ref) Countries'!A:C,3,)),B36)&amp; " "</f>
        <v xml:space="preserve">| [India](/tags/india) </v>
      </c>
      <c r="CI36" s="30" t="str">
        <f t="shared" si="55"/>
        <v xml:space="preserve">| 1939 </v>
      </c>
      <c r="CJ36" s="30" t="str">
        <f t="shared" si="59"/>
        <v xml:space="preserve">| [Link](/places/in-athisaya-panimatha-shrine) </v>
      </c>
      <c r="CK36" s="29" t="str">
        <f t="shared" si="60"/>
        <v xml:space="preserve">
| [Kallikulam](/places/in-athisaya-panimatha-shrine) | [India](/tags/india) | 1939 | [Link](/places/in-athisaya-panimatha-shrine) [Official site](https://www.athisayapanimatha.com/)[Link](http://www.therealpresence.org/eucharst/misc/BVM/128_KALLIKULAM_60x96.pdf)| |</v>
      </c>
    </row>
    <row r="37" spans="1:89" ht="24.9" x14ac:dyDescent="0.4">
      <c r="A37" s="14" t="s">
        <v>1049</v>
      </c>
      <c r="B37" s="24" t="s">
        <v>705</v>
      </c>
      <c r="D37" s="15">
        <v>-27.855349035650701</v>
      </c>
      <c r="E37" s="49">
        <v>31.453787971164701</v>
      </c>
      <c r="F37" s="24" t="s">
        <v>1318</v>
      </c>
      <c r="G37" s="53" t="s">
        <v>1318</v>
      </c>
      <c r="H37" s="15" t="s">
        <v>1715</v>
      </c>
      <c r="I37" s="25" t="b">
        <v>1</v>
      </c>
      <c r="J37" s="15" t="b">
        <v>1</v>
      </c>
      <c r="L37" s="24" t="s">
        <v>1333</v>
      </c>
      <c r="M37" s="55"/>
      <c r="N37" s="15" t="s">
        <v>1334</v>
      </c>
      <c r="O37" s="48" t="s">
        <v>1818</v>
      </c>
      <c r="P37" s="60" t="s">
        <v>1819</v>
      </c>
      <c r="Q37" s="15" t="s">
        <v>1816</v>
      </c>
      <c r="Y37" s="15" t="s">
        <v>1319</v>
      </c>
      <c r="AI37" s="87" t="s">
        <v>1303</v>
      </c>
      <c r="AJ37" s="88" t="s">
        <v>1175</v>
      </c>
      <c r="AK37" s="15" t="s">
        <v>324</v>
      </c>
      <c r="AL37" s="15" t="s">
        <v>336</v>
      </c>
      <c r="AM37" s="15" t="s">
        <v>336</v>
      </c>
      <c r="AN37" s="15" t="s">
        <v>336</v>
      </c>
      <c r="AO37" s="15" t="s">
        <v>336</v>
      </c>
      <c r="AP37" s="49" t="s">
        <v>336</v>
      </c>
      <c r="AR37" s="28" t="b">
        <f t="shared" si="38"/>
        <v>1</v>
      </c>
      <c r="AS37" s="29" t="str">
        <f t="shared" si="39"/>
        <v>title: "Ngome Marian Shrine"</v>
      </c>
      <c r="AT37" s="29" t="str">
        <f t="shared" si="40"/>
        <v>location: {lat: -27.8553490356507, lng: 31.4537879711647}</v>
      </c>
      <c r="AU37" s="29" t="str">
        <f t="shared" si="41"/>
        <v>level: global</v>
      </c>
      <c r="AV37" s="29" t="str">
        <f>"- "&amp;VLOOKUP(B37,'(Ref) Countries'!A:C,3,)</f>
        <v>- south-africa</v>
      </c>
      <c r="AW37" s="29" t="str">
        <f t="shared" si="42"/>
        <v/>
      </c>
      <c r="AX37" s="29" t="str">
        <f t="shared" si="43"/>
        <v>- churches</v>
      </c>
      <c r="AY37" s="29" t="str">
        <f t="shared" si="44"/>
        <v>- marian-sites</v>
      </c>
      <c r="AZ37" s="29" t="str">
        <f t="shared" si="45"/>
        <v/>
      </c>
      <c r="BA37" s="29" t="str">
        <f t="shared" ref="BA37:BE45" si="61">IF(LEN(Y37)&gt;0,"- "&amp;Y37,"")</f>
        <v>- reinolda-may</v>
      </c>
      <c r="BB37" s="29" t="str">
        <f t="shared" si="61"/>
        <v/>
      </c>
      <c r="BC37" s="29" t="str">
        <f t="shared" si="61"/>
        <v/>
      </c>
      <c r="BD37" s="29" t="str">
        <f t="shared" si="61"/>
        <v/>
      </c>
      <c r="BE37" s="29" t="str">
        <f t="shared" si="61"/>
        <v/>
      </c>
      <c r="BF37" s="29" t="str">
        <f t="shared" ref="BF37:BJ45" si="62">IF(LEN(AD37)&gt;0,"- "&amp;AD37,"")</f>
        <v/>
      </c>
      <c r="BG37" s="29" t="str">
        <f t="shared" si="62"/>
        <v/>
      </c>
      <c r="BH37" s="29" t="str">
        <f t="shared" si="62"/>
        <v/>
      </c>
      <c r="BI37" s="29" t="str">
        <f t="shared" si="62"/>
        <v/>
      </c>
      <c r="BJ37" s="29" t="str">
        <f t="shared" si="62"/>
        <v/>
      </c>
      <c r="BK37" s="29" t="str">
        <f t="shared" si="56"/>
        <v xml:space="preserve">tags:
- south-africa_x000D_
- churches_x000D_
- marian-sites_x000D_
- reinolda-may_x000D_
</v>
      </c>
      <c r="BL37" s="30" t="str">
        <f t="shared" si="46"/>
        <v>[Official site](http://www.ngome.co.za/) (note: website not active at time of writing)</v>
      </c>
      <c r="BM37" s="30" t="str">
        <f t="shared" si="47"/>
        <v>[Official Facebook page](https://www.facebook.com/ngomemarianshrine/)</v>
      </c>
      <c r="BN37" s="30" t="str">
        <f t="shared" si="48"/>
        <v/>
      </c>
      <c r="BO37" s="30" t="str">
        <f t="shared" si="49"/>
        <v/>
      </c>
      <c r="BP37" s="30" t="str">
        <f t="shared" si="57"/>
        <v xml:space="preserve">* [Official site](http://www.ngome.co.za/) (note: website not active at time of writing)
* [Official Facebook page](https://www.facebook.com/ngomemarianshrine/)
</v>
      </c>
      <c r="BQ37" s="30" t="str">
        <f t="shared" si="50"/>
        <v>[Link](http://www.therealpresence.org/eucharst/misc/BVM/124_NGOME_140x96.pdf)</v>
      </c>
      <c r="BR37" s="30" t="str">
        <f t="shared" si="51"/>
        <v/>
      </c>
      <c r="BS37" s="30" t="str">
        <f t="shared" si="52"/>
        <v/>
      </c>
      <c r="BT37" s="30" t="str">
        <f>IF(LEN(_xludf.concat(BQ37:BS37))&gt;0,_xludf.concat("| ",BQ37," | ",BR37," | ",BS37," |"),"")</f>
        <v>| [Link](http://www.therealpresence.org/eucharst/misc/BVM/124_NGOME_140x96.pdf) |  |  |</v>
      </c>
      <c r="BU37" s="29" t="str">
        <f t="shared" si="53"/>
        <v xml:space="preserve">| The Real Presence | Miracle Hunter | MaryPages |_x000D_
| --- | --- | --- |_x000D_
| [Link](http://www.therealpresence.org/eucharst/misc/BVM/124_NGOME_140x96.pdf) |  |  |_x000D_
</v>
      </c>
      <c r="BV37" s="29" t="str">
        <f>IF(LEN(BP37&amp;BU37)&gt;0,concatll("#### More Information",BP37,BU37),"")</f>
        <v xml:space="preserve">#### More Information_x000D_
_x000D_
* [Official site](http://www.ngome.co.za/) (note: website not active at time of writing)
* [Official Facebook page](https://www.facebook.com/ngomemarianshrine/)
_x000D_
_x000D_
| The Real Presence | Miracle Hunter | MaryPages |_x000D_
| --- | --- | --- |_x000D_
| [Link](http://www.therealpresence.org/eucharst/misc/BVM/124_NGOME_140x96.pdf) |  |  |_x000D_
_x000D_
_x000D_
</v>
      </c>
      <c r="BW37" s="29" t="str">
        <f>IF(LEN(M37)&gt;1,concatll("#### Author's Note",M37),"")</f>
        <v/>
      </c>
      <c r="BX37" s="23" t="str">
        <f>IF(AR37,concatll(concatl("---",AS37:AU37,BK37,"---"),L37,BV37:BW37),"")</f>
        <v xml:space="preserve">---_x000D_
title: "Ngome Marian Shrine"_x000D_
location: {lat: -27.8553490356507, lng: 31.4537879711647}_x000D_
level: global_x000D_
tags:
- south-africa_x000D_
- churches_x000D_
- marian-sites_x000D_
- reinolda-may_x000D_
_x000D_
---_x000D_
_x000D_
_x000D_
_Research in progress__x000D_
_x000D_
#### More Information_x000D_
_x000D_
* [Official site](http://www.ngome.co.za/) (note: website not active at time of writing)
* [Official Facebook page](https://www.facebook.com/ngomemarianshrine/)
_x000D_
_x000D_
| The Real Presence | Miracle Hunter | MaryPages |_x000D_
| --- | --- | --- |_x000D_
| [Link](http://www.therealpresence.org/eucharst/misc/BVM/124_NGOME_140x96.pdf) |  |  |_x000D_
_x000D_
_x000D_
_x000D_
_x000D_
</v>
      </c>
      <c r="BY37" s="23" t="str">
        <f>IF(AR37,VLOOKUP(B37,'(Ref) Countries'!A:B,2,)&amp;IF(LEN(C37)&gt;1,"-"&amp;LOWER(SUBSTITUTE(C37," ","-")),"")&amp;"-"&amp;LOWER(SUBSTITUTE(G37," ","-"))&amp;".md","")</f>
        <v>za-ngome-marian-shrine.md</v>
      </c>
      <c r="BZ37" s="29" t="str">
        <f>IF(LEN(Y37)&gt;1,VLOOKUP(Y37,'Tag List'!$A:$B,2,),"")</f>
        <v>S.D. Reinolda May, OSB</v>
      </c>
      <c r="CA37" s="29" t="str">
        <f>IF(LEN(Z37)&gt;1,VLOOKUP(Z37,'Tag List'!$A:$B,2,),"")</f>
        <v/>
      </c>
      <c r="CB37" s="29" t="str">
        <f>IF(LEN(AA37)&gt;1,VLOOKUP(AA37,'Tag List'!$A:$B,2,),"")</f>
        <v/>
      </c>
      <c r="CC37" s="30" t="str">
        <f>IF(LEN(Y37)&gt;1,GetTagPage(BZ37,Y37),"")</f>
        <v>[S.D. Reinolda May, OSB](/tags/reinolda-may)</v>
      </c>
      <c r="CD37" s="30" t="str">
        <f>IF(LEN(Z37)&gt;1,GetTagPage(CA37,Z37),"")</f>
        <v/>
      </c>
      <c r="CE37" s="30" t="str">
        <f>IF(LEN(AA37)&gt;1,GetTagPage(CB37,AA37),"")</f>
        <v/>
      </c>
      <c r="CF37" s="30" t="str">
        <f t="shared" si="58"/>
        <v xml:space="preserve">| [S.D. Reinolda May, OSB](/tags/reinolda-may) </v>
      </c>
      <c r="CG37" s="30" t="str">
        <f t="shared" si="54"/>
        <v xml:space="preserve">| [Ngome](/places/za-ngome-marian-shrine) </v>
      </c>
      <c r="CH37" s="30" t="str">
        <f>"| "&amp;IF(AR37,GetTagPage(B37,VLOOKUP(B37,'(Ref) Countries'!A:C,3,)),B37)&amp; " "</f>
        <v xml:space="preserve">| [South Africa](/tags/south-africa) </v>
      </c>
      <c r="CI37" s="30" t="str">
        <f t="shared" si="55"/>
        <v xml:space="preserve">| 1955-1971 </v>
      </c>
      <c r="CJ37" s="30" t="str">
        <f t="shared" si="59"/>
        <v xml:space="preserve">| [Link](/places/za-ngome-marian-shrine) </v>
      </c>
      <c r="CK37" s="29" t="str">
        <f t="shared" si="60"/>
        <v xml:space="preserve">
| [Ngome](/places/za-ngome-marian-shrine) | [South Africa](/tags/south-africa) | 1955-1971 | [Link](/places/za-ngome-marian-shrine) [Official site](http://www.ngome.co.za/) (note: website not active at time of writing)[Link](http://www.therealpresence.org/eucharst/misc/BVM/124_NGOME_140x96.pdf)| [S.D. Reinolda May, OSB](/tags/reinolda-may) |</v>
      </c>
    </row>
    <row r="38" spans="1:89" ht="124.3" x14ac:dyDescent="0.4">
      <c r="A38" s="14" t="s">
        <v>1320</v>
      </c>
      <c r="B38" s="24" t="s">
        <v>21</v>
      </c>
      <c r="D38" s="15">
        <v>30.104622926940898</v>
      </c>
      <c r="E38" s="49">
        <v>31.315544743810101</v>
      </c>
      <c r="F38" s="24" t="s">
        <v>1013</v>
      </c>
      <c r="G38" s="53" t="s">
        <v>1012</v>
      </c>
      <c r="H38" s="15" t="s">
        <v>1715</v>
      </c>
      <c r="I38" s="25" t="b">
        <v>1</v>
      </c>
      <c r="J38" s="15" t="b">
        <v>1</v>
      </c>
      <c r="L38" s="24" t="s">
        <v>1014</v>
      </c>
      <c r="M38" s="55" t="s">
        <v>1741</v>
      </c>
      <c r="N38" s="15" t="s">
        <v>1017</v>
      </c>
      <c r="O38" s="15" t="s">
        <v>336</v>
      </c>
      <c r="Y38" s="15" t="s">
        <v>1018</v>
      </c>
      <c r="AI38" s="87" t="s">
        <v>1028</v>
      </c>
      <c r="AJ38" s="88" t="s">
        <v>1011</v>
      </c>
      <c r="AK38" s="15" t="s">
        <v>326</v>
      </c>
      <c r="AL38" s="15" t="s">
        <v>336</v>
      </c>
      <c r="AM38" s="15" t="s">
        <v>1015</v>
      </c>
      <c r="AN38" s="15" t="s">
        <v>336</v>
      </c>
      <c r="AO38" s="15" t="s">
        <v>1016</v>
      </c>
      <c r="AP38" s="49" t="s">
        <v>336</v>
      </c>
      <c r="AR38" s="28" t="b">
        <f t="shared" si="38"/>
        <v>1</v>
      </c>
      <c r="AS38" s="29" t="str">
        <f t="shared" si="39"/>
        <v>title: "Virgin Mary Church in Zeitoun (Our Lady of Zeitoun, Our Lady of Light)"</v>
      </c>
      <c r="AT38" s="29" t="str">
        <f t="shared" si="40"/>
        <v>location: {lat: 30.1046229269409, lng: 31.3155447438101}</v>
      </c>
      <c r="AU38" s="29" t="str">
        <f t="shared" si="41"/>
        <v>level: global</v>
      </c>
      <c r="AV38" s="29" t="str">
        <f>"- "&amp;VLOOKUP(B38,'(Ref) Countries'!A:C,3,)</f>
        <v>- egypt</v>
      </c>
      <c r="AW38" s="29" t="str">
        <f t="shared" si="42"/>
        <v/>
      </c>
      <c r="AX38" s="29" t="str">
        <f t="shared" si="43"/>
        <v>- churches</v>
      </c>
      <c r="AY38" s="29" t="str">
        <f t="shared" si="44"/>
        <v>- marian-sites</v>
      </c>
      <c r="AZ38" s="29" t="str">
        <f t="shared" si="45"/>
        <v/>
      </c>
      <c r="BA38" s="29" t="str">
        <f t="shared" si="61"/>
        <v>- coptic</v>
      </c>
      <c r="BB38" s="29" t="str">
        <f t="shared" si="61"/>
        <v/>
      </c>
      <c r="BC38" s="29" t="str">
        <f t="shared" si="61"/>
        <v/>
      </c>
      <c r="BD38" s="29" t="str">
        <f t="shared" si="61"/>
        <v/>
      </c>
      <c r="BE38" s="29" t="str">
        <f t="shared" si="61"/>
        <v/>
      </c>
      <c r="BF38" s="29" t="str">
        <f t="shared" si="62"/>
        <v/>
      </c>
      <c r="BG38" s="29" t="str">
        <f t="shared" si="62"/>
        <v/>
      </c>
      <c r="BH38" s="29" t="str">
        <f t="shared" si="62"/>
        <v/>
      </c>
      <c r="BI38" s="29" t="str">
        <f t="shared" si="62"/>
        <v/>
      </c>
      <c r="BJ38" s="29" t="str">
        <f t="shared" si="62"/>
        <v/>
      </c>
      <c r="BK38" s="29" t="str">
        <f t="shared" si="56"/>
        <v xml:space="preserve">tags:
- egypt_x000D_
- churches_x000D_
- marian-sites_x000D_
- coptic_x000D_
</v>
      </c>
      <c r="BL38" s="30" t="str">
        <f t="shared" si="46"/>
        <v>[Official site](https://www.stmaryztn.org/saintmary/en/)</v>
      </c>
      <c r="BM38" s="30" t="str">
        <f t="shared" si="47"/>
        <v/>
      </c>
      <c r="BN38" s="30" t="str">
        <f t="shared" si="48"/>
        <v/>
      </c>
      <c r="BO38" s="30" t="str">
        <f t="shared" si="49"/>
        <v/>
      </c>
      <c r="BP38" s="30" t="str">
        <f t="shared" si="57"/>
        <v xml:space="preserve">* [Official site](https://www.stmaryztn.org/saintmary/en/)
</v>
      </c>
      <c r="BQ38" s="30" t="str">
        <f t="shared" si="50"/>
        <v>[Link](http://www.therealpresence.org/eucharst/misc/BVM/144_ZEITUN_96x96.pdf)</v>
      </c>
      <c r="BR38" s="30" t="str">
        <f t="shared" si="51"/>
        <v>[Link](https://www.miraclehunter.com/marian_apparitions/approved_apparitions/zeitun/index.html)</v>
      </c>
      <c r="BS38" s="30" t="str">
        <f t="shared" si="52"/>
        <v>[Link](https://www.marypages.com/zeitoen-ca%C3%AFro-(egypt)-en.html)</v>
      </c>
      <c r="BT38" s="30" t="str">
        <f>IF(LEN(_xludf.concat(BQ38:BS38))&gt;0,_xludf.concat("| ",BQ38," | ",BR38," | ",BS38," |"),"")</f>
        <v>| [Link](http://www.therealpresence.org/eucharst/misc/BVM/144_ZEITUN_96x96.pdf) | [Link](https://www.miraclehunter.com/marian_apparitions/approved_apparitions/zeitun/index.html) | [Link](https://www.marypages.com/zeitoen-ca%C3%AFro-(egypt)-en.html) |</v>
      </c>
      <c r="BU38" s="29" t="str">
        <f t="shared" si="53"/>
        <v xml:space="preserve">| The Real Presence | Miracle Hunter | MaryPages |_x000D_
| --- | --- | --- |_x000D_
| [Link](http://www.therealpresence.org/eucharst/misc/BVM/144_ZEITUN_96x96.pdf) | [Link](https://www.miraclehunter.com/marian_apparitions/approved_apparitions/zeitun/index.html) | [Link](https://www.marypages.com/zeitoen-ca%C3%AFro-(egypt)-en.html) |_x000D_
</v>
      </c>
      <c r="BV38" s="29" t="str">
        <f>IF(LEN(BP38&amp;BU38)&gt;0,concatll("#### More Information",BP38,BU38),"")</f>
        <v xml:space="preserve">####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v>
      </c>
      <c r="BW38" s="29" t="str">
        <f>IF(LEN(M38)&gt;1,concatll("#### Author's Note",M38),"")</f>
        <v xml:space="preserve">#### Author's Note_x000D_
_x000D_
You can read the statement issued by the Papal Residence in Cairo [here](https://www.stmaryztn.org/saintmary/en/apparition-story/papal-statment).
-JMM_x000D_
_x000D_
</v>
      </c>
      <c r="BX38" s="23" t="str">
        <f>IF(AR38,concatll(concatl("---",AS38:AU38,BK38,"---"),L38,BV38:BW38),"")</f>
        <v xml:space="preserve">---_x000D_
title: "Virgin Mary Church in Zeitoun (Our Lady of Zeitoun, Our Lady of Light)"_x000D_
location: {lat: 30.1046229269409, lng: 31.3155447438101}_x000D_
level: global_x000D_
tags:
- egypt_x000D_
- churches_x000D_
- marian-sites_x000D_
- coptic_x000D_
_x000D_
---_x000D_
_x000D_
_x000D_
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Cairo._x000D_
_x000D_
####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_x000D_
_x000D_
#### Author's Note_x000D_
_x000D_
You can read the statement issued by the Papal Residence in Cairo [here](https://www.stmaryztn.org/saintmary/en/apparition-story/papal-statment).
-JMM_x000D_
_x000D_
_x000D_
_x000D_
</v>
      </c>
      <c r="BY38" s="23" t="str">
        <f>IF(AR38,VLOOKUP(B38,'(Ref) Countries'!A:B,2,)&amp;IF(LEN(C38)&gt;1,"-"&amp;LOWER(SUBSTITUTE(C38," ","-")),"")&amp;"-"&amp;LOWER(SUBSTITUTE(G38," ","-"))&amp;".md","")</f>
        <v>eg-virgin-mary-church-in-zeitoun.md</v>
      </c>
      <c r="BZ38" s="29" t="str">
        <f>IF(LEN(Y38)&gt;1,VLOOKUP(Y38,'Tag List'!$A:$B,2,),"")</f>
        <v>Coptic Church</v>
      </c>
      <c r="CA38" s="29" t="str">
        <f>IF(LEN(Z38)&gt;1,VLOOKUP(Z38,'Tag List'!$A:$B,2,),"")</f>
        <v/>
      </c>
      <c r="CB38" s="29" t="str">
        <f>IF(LEN(AA38)&gt;1,VLOOKUP(AA38,'Tag List'!$A:$B,2,),"")</f>
        <v/>
      </c>
      <c r="CC38" s="30" t="str">
        <f>IF(LEN(Y38)&gt;1,GetTagPage(BZ38,Y38),"")</f>
        <v>[Coptic Church](/tags/coptic)</v>
      </c>
      <c r="CD38" s="30" t="str">
        <f>IF(LEN(Z38)&gt;1,GetTagPage(CA38,Z38),"")</f>
        <v/>
      </c>
      <c r="CE38" s="30" t="str">
        <f>IF(LEN(AA38)&gt;1,GetTagPage(CB38,AA38),"")</f>
        <v/>
      </c>
      <c r="CF38" s="30" t="str">
        <f t="shared" si="58"/>
        <v xml:space="preserve">| [Coptic Church](/tags/coptic) </v>
      </c>
      <c r="CG38" s="30" t="str">
        <f t="shared" si="54"/>
        <v xml:space="preserve">| [Zeitoun](/places/eg-virgin-mary-church-in-zeitoun) </v>
      </c>
      <c r="CH38" s="30" t="str">
        <f>"| "&amp;IF(AR38,GetTagPage(B38,VLOOKUP(B38,'(Ref) Countries'!A:C,3,)),B38)&amp; " "</f>
        <v xml:space="preserve">| [Egypt](/tags/egypt) </v>
      </c>
      <c r="CI38" s="30" t="str">
        <f t="shared" si="55"/>
        <v xml:space="preserve">| 1968-1970 </v>
      </c>
      <c r="CJ38" s="30" t="str">
        <f t="shared" si="59"/>
        <v xml:space="preserve">| [Link](/places/eg-virgin-mary-church-in-zeitoun) </v>
      </c>
      <c r="CK38" s="29" t="str">
        <f t="shared" si="60"/>
        <v xml:space="preserve">
| [Zeitoun](/places/eg-virgin-mary-church-in-zeitoun) | [Egypt](/tags/egypt) | 1968-1970 | [Link](/places/eg-virgin-mary-church-in-zeitoun) [Official site](https://www.stmaryztn.org/saintmary/en/)[Link](http://www.therealpresence.org/eucharst/misc/BVM/144_ZEITUN_96x96.pdf)[Link](https://www.miraclehunter.com/marian_apparitions/approved_apparitions/zeitun/index.html)[Link](https://www.marypages.com/zeitoen-ca%C3%AFro-(egypt)-en.html)| [Coptic Church](/tags/coptic) |</v>
      </c>
    </row>
    <row r="39" spans="1:89" ht="37.299999999999997" x14ac:dyDescent="0.4">
      <c r="A39" s="14" t="s">
        <v>1320</v>
      </c>
      <c r="B39" s="24" t="s">
        <v>592</v>
      </c>
      <c r="D39" s="15">
        <v>39.759224404162097</v>
      </c>
      <c r="E39" s="49">
        <v>140.14975314135</v>
      </c>
      <c r="F39" s="24" t="s">
        <v>1355</v>
      </c>
      <c r="G39" s="53" t="s">
        <v>1356</v>
      </c>
      <c r="H39" s="15" t="s">
        <v>1715</v>
      </c>
      <c r="I39" s="25" t="b">
        <v>1</v>
      </c>
      <c r="J39" s="15" t="b">
        <v>1</v>
      </c>
      <c r="L39" s="24" t="s">
        <v>1371</v>
      </c>
      <c r="N39" s="15" t="s">
        <v>1357</v>
      </c>
      <c r="O39" s="15" t="s">
        <v>336</v>
      </c>
      <c r="Y39" s="15" t="s">
        <v>336</v>
      </c>
      <c r="AI39" s="87" t="s">
        <v>1305</v>
      </c>
      <c r="AJ39" s="88">
        <v>1973</v>
      </c>
      <c r="AK39" s="15" t="s">
        <v>327</v>
      </c>
      <c r="AL39" s="15" t="s">
        <v>336</v>
      </c>
      <c r="AM39" s="15" t="s">
        <v>1349</v>
      </c>
      <c r="AN39" s="15" t="s">
        <v>336</v>
      </c>
      <c r="AO39" s="15" t="s">
        <v>1348</v>
      </c>
      <c r="AP39" s="49" t="s">
        <v>336</v>
      </c>
      <c r="AR39" s="28" t="b">
        <f t="shared" si="38"/>
        <v>1</v>
      </c>
      <c r="AS39" s="29" t="str">
        <f t="shared" si="39"/>
        <v>title: "Seitai Hoshikai (Our Lady of Akita)"</v>
      </c>
      <c r="AT39" s="29" t="str">
        <f t="shared" si="40"/>
        <v>location: {lat: 39.7592244041621, lng: 140.14975314135}</v>
      </c>
      <c r="AU39" s="29" t="str">
        <f t="shared" si="41"/>
        <v>level: global</v>
      </c>
      <c r="AV39" s="29" t="str">
        <f>"- "&amp;VLOOKUP(B39,'(Ref) Countries'!A:C,3,)</f>
        <v>- japan</v>
      </c>
      <c r="AW39" s="29" t="str">
        <f t="shared" si="42"/>
        <v/>
      </c>
      <c r="AX39" s="29" t="str">
        <f t="shared" si="43"/>
        <v>- churches</v>
      </c>
      <c r="AY39" s="29" t="str">
        <f t="shared" si="44"/>
        <v>- marian-sites</v>
      </c>
      <c r="AZ39" s="29" t="str">
        <f t="shared" si="45"/>
        <v/>
      </c>
      <c r="BA39" s="29" t="str">
        <f t="shared" si="61"/>
        <v/>
      </c>
      <c r="BB39" s="29" t="str">
        <f t="shared" si="61"/>
        <v/>
      </c>
      <c r="BC39" s="29" t="str">
        <f t="shared" si="61"/>
        <v/>
      </c>
      <c r="BD39" s="29" t="str">
        <f t="shared" si="61"/>
        <v/>
      </c>
      <c r="BE39" s="29" t="str">
        <f t="shared" si="61"/>
        <v/>
      </c>
      <c r="BF39" s="29" t="str">
        <f t="shared" si="62"/>
        <v/>
      </c>
      <c r="BG39" s="29" t="str">
        <f t="shared" si="62"/>
        <v/>
      </c>
      <c r="BH39" s="29" t="str">
        <f t="shared" si="62"/>
        <v/>
      </c>
      <c r="BI39" s="29" t="str">
        <f t="shared" si="62"/>
        <v/>
      </c>
      <c r="BJ39" s="29" t="str">
        <f t="shared" si="62"/>
        <v/>
      </c>
      <c r="BK39" s="29" t="str">
        <f t="shared" si="56"/>
        <v xml:space="preserve">tags:
- japan_x000D_
- churches_x000D_
- marian-sites_x000D_
</v>
      </c>
      <c r="BL39" s="30" t="str">
        <f t="shared" si="46"/>
        <v>[Official site](https://www.seitaihoshikai.com/)</v>
      </c>
      <c r="BM39" s="30" t="str">
        <f t="shared" si="47"/>
        <v/>
      </c>
      <c r="BN39" s="30" t="str">
        <f t="shared" si="48"/>
        <v/>
      </c>
      <c r="BO39" s="30" t="str">
        <f t="shared" si="49"/>
        <v/>
      </c>
      <c r="BP39" s="30" t="str">
        <f t="shared" si="57"/>
        <v xml:space="preserve">* [Official site](https://www.seitaihoshikai.com/)
</v>
      </c>
      <c r="BQ39" s="30" t="str">
        <f t="shared" si="50"/>
        <v>[Link](http://www.therealpresence.org/eucharst/misc/BVM/01_AKITA_60x96.pdf)</v>
      </c>
      <c r="BR39" s="30" t="str">
        <f t="shared" si="51"/>
        <v>[Link](https://www.miraclehunter.com/marian_apparitions/approved_apparitions/akita/index.html)</v>
      </c>
      <c r="BS39" s="30" t="str">
        <f t="shared" si="52"/>
        <v>[Link](https://www.marypages.com/akita-(japan)-en.html)</v>
      </c>
      <c r="BT39" s="30" t="str">
        <f>IF(LEN(_xludf.concat(BQ39:BS39))&gt;0,_xludf.concat("| ",BQ39," | ",BR39," | ",BS39," |"),"")</f>
        <v>| [Link](http://www.therealpresence.org/eucharst/misc/BVM/01_AKITA_60x96.pdf) | [Link](https://www.miraclehunter.com/marian_apparitions/approved_apparitions/akita/index.html) | [Link](https://www.marypages.com/akita-(japan)-en.html) |</v>
      </c>
      <c r="BU39" s="29" t="str">
        <f t="shared" si="53"/>
        <v xml:space="preserve">| The Real Presence | Miracle Hunter | MaryPages |_x000D_
| --- | --- | --- |_x000D_
| [Link](http://www.therealpresence.org/eucharst/misc/BVM/01_AKITA_60x96.pdf) | [Link](https://www.miraclehunter.com/marian_apparitions/approved_apparitions/akita/index.html) | [Link](https://www.marypages.com/akita-(japan)-en.html) |_x000D_
</v>
      </c>
      <c r="BV39" s="29" t="str">
        <f>IF(LEN(BP39&amp;BU39)&gt;0,concatll("#### More Information",BP39,BU39),"")</f>
        <v xml:space="preserve">####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v>
      </c>
      <c r="BW39" s="29" t="str">
        <f>IF(LEN(M39)&gt;1,concatll("#### Author's Note",M39),"")</f>
        <v/>
      </c>
      <c r="BX39" s="23" t="str">
        <f>IF(AR39,concatll(concatl("---",AS39:AU39,BK39,"---"),L39,BV39:BW39),"")</f>
        <v xml:space="preserve">---_x000D_
title: "Seitai Hoshikai (Our Lady of Akita)"_x000D_
location: {lat: 39.7592244041621, lng: 140.14975314135}_x000D_
level: global_x000D_
tags:
- japan_x000D_
- churches_x000D_
- marian-sites_x000D_
_x000D_
---_x000D_
_x000D_
_x000D_
Sister Agnes Sasagawa received visions of an angel and messages emanating from a wooden statue of Our Lady which wept 101 times, including one instance which was broadcast on Japanese national television in December 1973._x000D_
_x000D_
####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_x000D_
_x000D_
</v>
      </c>
      <c r="BY39" s="23" t="str">
        <f>IF(AR39,VLOOKUP(B39,'(Ref) Countries'!A:B,2,)&amp;IF(LEN(C39)&gt;1,"-"&amp;LOWER(SUBSTITUTE(C39," ","-")),"")&amp;"-"&amp;LOWER(SUBSTITUTE(G39," ","-"))&amp;".md","")</f>
        <v>jp-seitai-hoshikai.md</v>
      </c>
      <c r="BZ39" s="29" t="str">
        <f>IF(LEN(Y39)&gt;1,VLOOKUP(Y39,'Tag List'!$A:$B,2,),"")</f>
        <v/>
      </c>
      <c r="CA39" s="29" t="str">
        <f>IF(LEN(Z39)&gt;1,VLOOKUP(Z39,'Tag List'!$A:$B,2,),"")</f>
        <v/>
      </c>
      <c r="CB39" s="29" t="str">
        <f>IF(LEN(AA39)&gt;1,VLOOKUP(AA39,'Tag List'!$A:$B,2,),"")</f>
        <v/>
      </c>
      <c r="CC39" s="30" t="str">
        <f>IF(LEN(Y39)&gt;1,GetTagPage(BZ39,Y39),"")</f>
        <v/>
      </c>
      <c r="CD39" s="30" t="str">
        <f>IF(LEN(Z39)&gt;1,GetTagPage(CA39,Z39),"")</f>
        <v/>
      </c>
      <c r="CE39" s="30" t="str">
        <f>IF(LEN(AA39)&gt;1,GetTagPage(CB39,AA39),"")</f>
        <v/>
      </c>
      <c r="CF39" s="30" t="str">
        <f t="shared" si="58"/>
        <v xml:space="preserve">| </v>
      </c>
      <c r="CG39" s="30" t="str">
        <f t="shared" si="54"/>
        <v xml:space="preserve">| [Akita](/places/jp-seitai-hoshikai) </v>
      </c>
      <c r="CH39" s="30" t="str">
        <f>"| "&amp;IF(AR39,GetTagPage(B39,VLOOKUP(B39,'(Ref) Countries'!A:C,3,)),B39)&amp; " "</f>
        <v xml:space="preserve">| [Japan](/tags/japan) </v>
      </c>
      <c r="CI39" s="30" t="str">
        <f t="shared" si="55"/>
        <v xml:space="preserve">| 1973 </v>
      </c>
      <c r="CJ39" s="30" t="str">
        <f t="shared" si="59"/>
        <v xml:space="preserve">| [Link](/places/jp-seitai-hoshikai) </v>
      </c>
      <c r="CK39" s="29" t="str">
        <f t="shared" si="60"/>
        <v xml:space="preserve">
| [Akita](/places/jp-seitai-hoshikai) | [Japan](/tags/japan) | 1973 | [Link](/places/jp-seitai-hoshikai) [Official site](https://www.seitaihoshikai.com/)[Link](http://www.therealpresence.org/eucharst/misc/BVM/01_AKITA_60x96.pdf)[Link](https://www.miraclehunter.com/marian_apparitions/approved_apparitions/akita/index.html)[Link](https://www.marypages.com/akita-(japan)-en.html)| |</v>
      </c>
    </row>
    <row r="40" spans="1:89" ht="49.75" x14ac:dyDescent="0.4">
      <c r="A40" s="14" t="s">
        <v>1049</v>
      </c>
      <c r="B40" s="24" t="s">
        <v>638</v>
      </c>
      <c r="D40" s="15">
        <v>12.250924807686999</v>
      </c>
      <c r="E40" s="49">
        <v>-85.378274608161107</v>
      </c>
      <c r="F40" s="24" t="s">
        <v>1346</v>
      </c>
      <c r="G40" s="53" t="s">
        <v>1345</v>
      </c>
      <c r="H40" s="15" t="s">
        <v>1715</v>
      </c>
      <c r="I40" s="25" t="b">
        <v>1</v>
      </c>
      <c r="J40" s="15" t="b">
        <v>1</v>
      </c>
      <c r="L40" s="24" t="s">
        <v>1333</v>
      </c>
      <c r="M40" s="55" t="s">
        <v>1742</v>
      </c>
      <c r="N40" s="15" t="s">
        <v>1347</v>
      </c>
      <c r="O40" s="15" t="s">
        <v>336</v>
      </c>
      <c r="Y40" s="15" t="s">
        <v>336</v>
      </c>
      <c r="AI40" s="87" t="s">
        <v>1306</v>
      </c>
      <c r="AJ40" s="88">
        <v>1980</v>
      </c>
      <c r="AK40" s="15" t="s">
        <v>328</v>
      </c>
      <c r="AL40" s="15" t="s">
        <v>336</v>
      </c>
      <c r="AM40" s="15" t="s">
        <v>1344</v>
      </c>
      <c r="AN40" s="15" t="s">
        <v>336</v>
      </c>
      <c r="AO40" s="15" t="s">
        <v>1343</v>
      </c>
      <c r="AP40" s="49" t="s">
        <v>336</v>
      </c>
      <c r="AR40" s="28" t="b">
        <f t="shared" si="38"/>
        <v>1</v>
      </c>
      <c r="AS40" s="29" t="str">
        <f t="shared" si="39"/>
        <v>title: "National Sanctuary of Our Lady of Cuapa"</v>
      </c>
      <c r="AT40" s="29" t="str">
        <f t="shared" si="40"/>
        <v>location: {lat: 12.250924807687, lng: -85.3782746081611}</v>
      </c>
      <c r="AU40" s="29" t="str">
        <f t="shared" si="41"/>
        <v>level: global</v>
      </c>
      <c r="AV40" s="29" t="str">
        <f>"- "&amp;VLOOKUP(B40,'(Ref) Countries'!A:C,3,)</f>
        <v>- nicaragua</v>
      </c>
      <c r="AW40" s="29" t="str">
        <f t="shared" si="42"/>
        <v/>
      </c>
      <c r="AX40" s="29" t="str">
        <f t="shared" si="43"/>
        <v>- churches</v>
      </c>
      <c r="AY40" s="29" t="str">
        <f t="shared" si="44"/>
        <v>- marian-sites</v>
      </c>
      <c r="AZ40" s="29" t="str">
        <f t="shared" si="45"/>
        <v/>
      </c>
      <c r="BA40" s="29" t="str">
        <f t="shared" si="61"/>
        <v/>
      </c>
      <c r="BB40" s="29" t="str">
        <f t="shared" si="61"/>
        <v/>
      </c>
      <c r="BC40" s="29" t="str">
        <f t="shared" si="61"/>
        <v/>
      </c>
      <c r="BD40" s="29" t="str">
        <f t="shared" si="61"/>
        <v/>
      </c>
      <c r="BE40" s="29" t="str">
        <f t="shared" si="61"/>
        <v/>
      </c>
      <c r="BF40" s="29" t="str">
        <f t="shared" si="62"/>
        <v/>
      </c>
      <c r="BG40" s="29" t="str">
        <f t="shared" si="62"/>
        <v/>
      </c>
      <c r="BH40" s="29" t="str">
        <f t="shared" si="62"/>
        <v/>
      </c>
      <c r="BI40" s="29" t="str">
        <f t="shared" si="62"/>
        <v/>
      </c>
      <c r="BJ40" s="29" t="str">
        <f t="shared" si="62"/>
        <v/>
      </c>
      <c r="BK40" s="29" t="str">
        <f t="shared" si="56"/>
        <v xml:space="preserve">tags:
- nicaragua_x000D_
- churches_x000D_
- marian-sites_x000D_
</v>
      </c>
      <c r="BL40" s="30" t="str">
        <f t="shared" si="46"/>
        <v>[Official site](https://www.facebook.com/SDVirgendeCuapa)</v>
      </c>
      <c r="BM40" s="30" t="str">
        <f t="shared" si="47"/>
        <v/>
      </c>
      <c r="BN40" s="30" t="str">
        <f t="shared" si="48"/>
        <v/>
      </c>
      <c r="BO40" s="30" t="str">
        <f t="shared" si="49"/>
        <v/>
      </c>
      <c r="BP40" s="30" t="str">
        <f t="shared" si="57"/>
        <v xml:space="preserve">* [Official site](https://www.facebook.com/SDVirgendeCuapa)
</v>
      </c>
      <c r="BQ40" s="30" t="str">
        <f t="shared" si="50"/>
        <v>[Link](http://www.therealpresence.org/eucharst/misc/BVM/16_CUAPA_60x96.pdf)</v>
      </c>
      <c r="BR40" s="30" t="str">
        <f t="shared" si="51"/>
        <v>[Link](http://www.miraclehunter.com/marian_apparitions/approved_apparitions/cuapa/index.html)</v>
      </c>
      <c r="BS40" s="30" t="str">
        <f t="shared" si="52"/>
        <v>[Link](https://www.marypages.com/our-lady-of-cuapa-also-known-as-our-lady-of-nicaragua-en.html)</v>
      </c>
      <c r="BT40" s="30" t="str">
        <f>IF(LEN(_xludf.concat(BQ40:BS40))&gt;0,_xludf.concat("| ",BQ40," | ",BR40," | ",BS40," |"),"")</f>
        <v>| [Link](http://www.therealpresence.org/eucharst/misc/BVM/16_CUAPA_60x96.pdf) | [Link](http://www.miraclehunter.com/marian_apparitions/approved_apparitions/cuapa/index.html) | [Link](https://www.marypages.com/our-lady-of-cuapa-also-known-as-our-lady-of-nicaragua-en.html) |</v>
      </c>
      <c r="BU40" s="29" t="str">
        <f t="shared" si="53"/>
        <v xml:space="preserve">|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v>
      </c>
      <c r="BV40" s="29" t="str">
        <f>IF(LEN(BP40&amp;BU40)&gt;0,concatll("#### More Information",BP40,BU40),"")</f>
        <v xml:space="preserve">####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v>
      </c>
      <c r="BW40" s="29" t="str">
        <f>IF(LEN(M40)&gt;1,concatll("#### Author's Note",M40),"")</f>
        <v xml:space="preserve">#### Author's Note_x000D_
_x000D_
We can't find an official website for the parish; their Facebook page has been listed for now.
-JMM_x000D_
_x000D_
</v>
      </c>
      <c r="BX40" s="23" t="str">
        <f>IF(AR40,concatll(concatl("---",AS40:AU40,BK40,"---"),L40,BV40:BW40),"")</f>
        <v xml:space="preserve">---_x000D_
title: "National Sanctuary of Our Lady of Cuapa"_x000D_
location: {lat: 12.250924807687, lng: -85.3782746081611}_x000D_
level: global_x000D_
tags:
- nicaragua_x000D_
- churches_x000D_
- marian-sites_x000D_
_x000D_
---_x000D_
_x000D_
_x000D_
_Research in progress__x000D_
_x000D_
####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_x000D_
_x000D_
#### Author's Note_x000D_
_x000D_
We can't find an official website for the parish; their Facebook page has been listed for now.
-JMM_x000D_
_x000D_
_x000D_
_x000D_
</v>
      </c>
      <c r="BY40" s="23" t="str">
        <f>IF(AR40,VLOOKUP(B40,'(Ref) Countries'!A:B,2,)&amp;IF(LEN(C40)&gt;1,"-"&amp;LOWER(SUBSTITUTE(C40," ","-")),"")&amp;"-"&amp;LOWER(SUBSTITUTE(G40," ","-"))&amp;".md","")</f>
        <v>ni-sanctuary-of-our-lady-of-cuapa.md</v>
      </c>
      <c r="BZ40" s="29" t="str">
        <f>IF(LEN(Y40)&gt;1,VLOOKUP(Y40,'Tag List'!$A:$B,2,),"")</f>
        <v/>
      </c>
      <c r="CA40" s="29" t="str">
        <f>IF(LEN(Z40)&gt;1,VLOOKUP(Z40,'Tag List'!$A:$B,2,),"")</f>
        <v/>
      </c>
      <c r="CB40" s="29" t="str">
        <f>IF(LEN(AA40)&gt;1,VLOOKUP(AA40,'Tag List'!$A:$B,2,),"")</f>
        <v/>
      </c>
      <c r="CC40" s="30" t="str">
        <f>IF(LEN(Y40)&gt;1,GetTagPage(BZ40,Y40),"")</f>
        <v/>
      </c>
      <c r="CD40" s="30" t="str">
        <f>IF(LEN(Z40)&gt;1,GetTagPage(CA40,Z40),"")</f>
        <v/>
      </c>
      <c r="CE40" s="30" t="str">
        <f>IF(LEN(AA40)&gt;1,GetTagPage(CB40,AA40),"")</f>
        <v/>
      </c>
      <c r="CF40" s="30" t="str">
        <f t="shared" si="58"/>
        <v xml:space="preserve">| </v>
      </c>
      <c r="CG40" s="30" t="str">
        <f t="shared" si="54"/>
        <v xml:space="preserve">| [Cuapa](/places/ni-sanctuary-of-our-lady-of-cuapa) </v>
      </c>
      <c r="CH40" s="30" t="str">
        <f>"| "&amp;IF(AR40,GetTagPage(B40,VLOOKUP(B40,'(Ref) Countries'!A:C,3,)),B40)&amp; " "</f>
        <v xml:space="preserve">| [Nicaragua](/tags/nicaragua) </v>
      </c>
      <c r="CI40" s="30" t="str">
        <f t="shared" si="55"/>
        <v xml:space="preserve">| 1980 </v>
      </c>
      <c r="CJ40" s="30" t="str">
        <f t="shared" si="59"/>
        <v xml:space="preserve">| [Link](/places/ni-sanctuary-of-our-lady-of-cuapa) </v>
      </c>
      <c r="CK40" s="29" t="str">
        <f t="shared" si="60"/>
        <v xml:space="preserve">
| [Cuapa](/places/ni-sanctuary-of-our-lady-of-cuapa) | [Nicaragua](/tags/nicaragua) | 1980 | [Link](/places/ni-sanctuary-of-our-lady-of-cuapa) [Official site](https://www.facebook.com/SDVirgendeCuapa)[Link](http://www.therealpresence.org/eucharst/misc/BVM/16_CUAPA_60x96.pdf)[Link](http://www.miraclehunter.com/marian_apparitions/approved_apparitions/cuapa/index.html)[Link](https://www.marypages.com/our-lady-of-cuapa-also-known-as-our-lady-of-nicaragua-en.html)| |</v>
      </c>
    </row>
    <row r="41" spans="1:89" ht="74.599999999999994" x14ac:dyDescent="0.4">
      <c r="A41" s="14" t="s">
        <v>1320</v>
      </c>
      <c r="B41" s="24" t="s">
        <v>482</v>
      </c>
      <c r="D41" s="15">
        <v>-2.6496097000000001</v>
      </c>
      <c r="E41" s="49">
        <v>29.553281200000001</v>
      </c>
      <c r="F41" s="24" t="s">
        <v>481</v>
      </c>
      <c r="G41" s="53" t="s">
        <v>400</v>
      </c>
      <c r="H41" s="15" t="s">
        <v>1715</v>
      </c>
      <c r="I41" s="25" t="b">
        <v>1</v>
      </c>
      <c r="J41" s="15" t="b">
        <v>1</v>
      </c>
      <c r="L41" s="24" t="s">
        <v>358</v>
      </c>
      <c r="N41" s="15" t="s">
        <v>340</v>
      </c>
      <c r="O41" s="15" t="s">
        <v>336</v>
      </c>
      <c r="Y41" s="36" t="s">
        <v>336</v>
      </c>
      <c r="Z41" s="36"/>
      <c r="AA41" s="36"/>
      <c r="AB41" s="36"/>
      <c r="AC41" s="36"/>
      <c r="AD41" s="36"/>
      <c r="AE41" s="36"/>
      <c r="AF41" s="36"/>
      <c r="AG41" s="36"/>
      <c r="AH41" s="36"/>
      <c r="AI41" s="87" t="s">
        <v>484</v>
      </c>
      <c r="AJ41" s="88">
        <v>1981</v>
      </c>
      <c r="AK41" s="15" t="s">
        <v>329</v>
      </c>
      <c r="AL41" s="15" t="s">
        <v>336</v>
      </c>
      <c r="AM41" s="15" t="s">
        <v>359</v>
      </c>
      <c r="AN41" s="15" t="s">
        <v>336</v>
      </c>
      <c r="AO41" s="15" t="s">
        <v>360</v>
      </c>
      <c r="AP41" s="49" t="s">
        <v>336</v>
      </c>
      <c r="AR41" s="28" t="b">
        <f t="shared" si="38"/>
        <v>1</v>
      </c>
      <c r="AS41" s="29" t="str">
        <f t="shared" si="39"/>
        <v>title: "Shrine of Our Lady of Kibeho (Mother of the Word)"</v>
      </c>
      <c r="AT41" s="29" t="str">
        <f t="shared" si="40"/>
        <v>location: {lat: -2.6496097, lng: 29.5532812}</v>
      </c>
      <c r="AU41" s="29" t="str">
        <f t="shared" si="41"/>
        <v>level: global</v>
      </c>
      <c r="AV41" s="29" t="str">
        <f>"- "&amp;VLOOKUP(B41,'(Ref) Countries'!A:C,3,)</f>
        <v>- rwanda</v>
      </c>
      <c r="AW41" s="29" t="str">
        <f t="shared" si="42"/>
        <v/>
      </c>
      <c r="AX41" s="29" t="str">
        <f t="shared" si="43"/>
        <v>- churches</v>
      </c>
      <c r="AY41" s="29" t="str">
        <f t="shared" si="44"/>
        <v>- marian-sites</v>
      </c>
      <c r="AZ41" s="29" t="str">
        <f t="shared" si="45"/>
        <v/>
      </c>
      <c r="BA41" s="29" t="str">
        <f t="shared" si="61"/>
        <v/>
      </c>
      <c r="BB41" s="29" t="str">
        <f t="shared" si="61"/>
        <v/>
      </c>
      <c r="BC41" s="29" t="str">
        <f t="shared" si="61"/>
        <v/>
      </c>
      <c r="BD41" s="29" t="str">
        <f t="shared" si="61"/>
        <v/>
      </c>
      <c r="BE41" s="29" t="str">
        <f t="shared" si="61"/>
        <v/>
      </c>
      <c r="BF41" s="29" t="str">
        <f t="shared" si="62"/>
        <v/>
      </c>
      <c r="BG41" s="29" t="str">
        <f t="shared" si="62"/>
        <v/>
      </c>
      <c r="BH41" s="29" t="str">
        <f t="shared" si="62"/>
        <v/>
      </c>
      <c r="BI41" s="29" t="str">
        <f t="shared" si="62"/>
        <v/>
      </c>
      <c r="BJ41" s="29" t="str">
        <f t="shared" si="62"/>
        <v/>
      </c>
      <c r="BK41" s="29" t="str">
        <f t="shared" si="56"/>
        <v xml:space="preserve">tags:
- rwanda_x000D_
- churches_x000D_
- marian-sites_x000D_
</v>
      </c>
      <c r="BL41" s="30" t="str">
        <f t="shared" si="46"/>
        <v>[Official site](https://kibeho-sanctuary.com/)</v>
      </c>
      <c r="BM41" s="30" t="str">
        <f t="shared" si="47"/>
        <v/>
      </c>
      <c r="BN41" s="30" t="str">
        <f t="shared" si="48"/>
        <v/>
      </c>
      <c r="BO41" s="30" t="str">
        <f t="shared" si="49"/>
        <v/>
      </c>
      <c r="BP41" s="30" t="str">
        <f t="shared" si="57"/>
        <v xml:space="preserve">* [Official site](https://kibeho-sanctuary.com/)
</v>
      </c>
      <c r="BQ41" s="30" t="str">
        <f t="shared" si="50"/>
        <v>[Link](http://www.therealpresence.org/eucharst/misc/BVM/20_KIBEHO_96x96.pdf)</v>
      </c>
      <c r="BR41" s="30" t="str">
        <f t="shared" si="51"/>
        <v>[Link](https://www.miraclehunter.com/marian_apparitions/approved_apparitions/kibeho_rwanda/index.html)</v>
      </c>
      <c r="BS41" s="30" t="str">
        <f t="shared" si="52"/>
        <v>[Link](https://www.marypages.com/kibeho-(rwanda)-en.html)</v>
      </c>
      <c r="BT41" s="30" t="str">
        <f>IF(LEN(_xludf.concat(BQ41:BS41))&gt;0,_xludf.concat("| ",BQ41," | ",BR41," | ",BS41," |"),"")</f>
        <v>| [Link](http://www.therealpresence.org/eucharst/misc/BVM/20_KIBEHO_96x96.pdf) | [Link](https://www.miraclehunter.com/marian_apparitions/approved_apparitions/kibeho_rwanda/index.html) | [Link](https://www.marypages.com/kibeho-(rwanda)-en.html) |</v>
      </c>
      <c r="BU41" s="29" t="str">
        <f t="shared" si="53"/>
        <v xml:space="preserve">| The Real Presence | Miracle Hunter | MaryPages |_x000D_
| --- | --- | --- |_x000D_
| [Link](http://www.therealpresence.org/eucharst/misc/BVM/20_KIBEHO_96x96.pdf) | [Link](https://www.miraclehunter.com/marian_apparitions/approved_apparitions/kibeho_rwanda/index.html) | [Link](https://www.marypages.com/kibeho-(rwanda)-en.html) |_x000D_
</v>
      </c>
      <c r="BV41" s="29" t="str">
        <f>IF(LEN(BP41&amp;BU41)&gt;0,concatll("#### More Information",BP41,BU41),"")</f>
        <v xml:space="preserve">####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v>
      </c>
      <c r="BW41" s="29" t="str">
        <f>IF(LEN(M41)&gt;1,concatll("#### Author's Note",M41),"")</f>
        <v/>
      </c>
      <c r="BX41" s="23" t="str">
        <f>IF(AR41,concatll(concatl("---",AS41:AU41,BK41,"---"),L41,BV41:BW41),"")</f>
        <v xml:space="preserve">---_x000D_
title: "Shrine of Our Lady of Kibeho (Mother of the Word)"_x000D_
location: {lat: -2.6496097, lng: 29.5532812}_x000D_
level: global_x000D_
tags:
- rwanda_x000D_
- churches_x000D_
- marian-sites_x000D_
_x000D_
---_x000D_
_x000D_
_x000D_
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lives._x000D_
_x000D_
####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_x000D_
_x000D_
</v>
      </c>
      <c r="BY41" s="23" t="str">
        <f>IF(AR41,VLOOKUP(B41,'(Ref) Countries'!A:B,2,)&amp;IF(LEN(C41)&gt;1,"-"&amp;LOWER(SUBSTITUTE(C41," ","-")),"")&amp;"-"&amp;LOWER(SUBSTITUTE(G41," ","-"))&amp;".md","")</f>
        <v>rw-shrine-of-our-lady-of-kibeho.md</v>
      </c>
      <c r="BZ41" s="38" t="str">
        <f>IF(LEN(Y41)&gt;1,VLOOKUP(Y41,'Tag List'!$A:$B,2,),"")</f>
        <v/>
      </c>
      <c r="CA41" s="38" t="str">
        <f>IF(LEN(Z41)&gt;1,VLOOKUP(Z41,'Tag List'!$A:$B,2,),"")</f>
        <v/>
      </c>
      <c r="CB41" s="38" t="str">
        <f>IF(LEN(AA41)&gt;1,VLOOKUP(AA41,'Tag List'!$A:$B,2,),"")</f>
        <v/>
      </c>
      <c r="CC41" s="30" t="str">
        <f>IF(LEN(Y41)&gt;1,GetTagPage(BZ41,Y41),"")</f>
        <v/>
      </c>
      <c r="CD41" s="30" t="str">
        <f>IF(LEN(Z41)&gt;1,GetTagPage(CA41,Z41),"")</f>
        <v/>
      </c>
      <c r="CE41" s="30" t="str">
        <f>IF(LEN(AA41)&gt;1,GetTagPage(CB41,AA41),"")</f>
        <v/>
      </c>
      <c r="CF41" s="30" t="str">
        <f t="shared" si="58"/>
        <v xml:space="preserve">| </v>
      </c>
      <c r="CG41" s="30" t="str">
        <f t="shared" si="54"/>
        <v xml:space="preserve">| [Kibeho](/places/rw-shrine-of-our-lady-of-kibeho) </v>
      </c>
      <c r="CH41" s="30" t="str">
        <f>"| "&amp;IF(AR41,GetTagPage(B41,VLOOKUP(B41,'(Ref) Countries'!A:C,3,)),B41)&amp; " "</f>
        <v xml:space="preserve">| [Rwanda](/tags/rwanda) </v>
      </c>
      <c r="CI41" s="30" t="str">
        <f t="shared" si="55"/>
        <v xml:space="preserve">| 1981 </v>
      </c>
      <c r="CJ41" s="30" t="str">
        <f t="shared" si="59"/>
        <v xml:space="preserve">| [Link](/places/rw-shrine-of-our-lady-of-kibeho) </v>
      </c>
      <c r="CK41" s="29" t="str">
        <f t="shared" si="60"/>
        <v xml:space="preserve">
| [Kibeho](/places/rw-shrine-of-our-lady-of-kibeho) | [Rwanda](/tags/rwanda) | 1981 | [Link](/places/rw-shrine-of-our-lady-of-kibeho) [Official site](https://kibeho-sanctuary.com/)[Link](http://www.therealpresence.org/eucharst/misc/BVM/20_KIBEHO_96x96.pdf)[Link](https://www.miraclehunter.com/marian_apparitions/approved_apparitions/kibeho_rwanda/index.html)[Link](https://www.marypages.com/kibeho-(rwanda)-en.html)| |</v>
      </c>
    </row>
    <row r="42" spans="1:89" ht="49.75" x14ac:dyDescent="0.4">
      <c r="A42" s="14" t="s">
        <v>1320</v>
      </c>
      <c r="B42" s="24" t="s">
        <v>651</v>
      </c>
      <c r="D42" s="15">
        <v>50.812751619291099</v>
      </c>
      <c r="E42" s="49">
        <v>19.096651748272901</v>
      </c>
      <c r="F42" s="27" t="s">
        <v>1055</v>
      </c>
      <c r="G42" s="53" t="s">
        <v>1056</v>
      </c>
      <c r="H42" s="15" t="s">
        <v>1715</v>
      </c>
      <c r="I42" s="25" t="b">
        <v>1</v>
      </c>
      <c r="J42" s="15" t="b">
        <v>1</v>
      </c>
      <c r="L42" s="27" t="s">
        <v>1060</v>
      </c>
      <c r="N42" s="15" t="s">
        <v>1057</v>
      </c>
      <c r="O42" s="15" t="s">
        <v>336</v>
      </c>
      <c r="Y42" s="24" t="s">
        <v>1424</v>
      </c>
      <c r="Z42" s="24"/>
      <c r="AA42" s="24"/>
      <c r="AB42" s="24"/>
      <c r="AC42" s="24"/>
      <c r="AD42" s="24"/>
      <c r="AE42" s="24"/>
      <c r="AF42" s="24"/>
      <c r="AG42" s="24"/>
      <c r="AH42" s="24"/>
      <c r="AI42" s="87" t="s">
        <v>1053</v>
      </c>
      <c r="AJ42" s="88" t="s">
        <v>1054</v>
      </c>
      <c r="AK42" s="15" t="s">
        <v>336</v>
      </c>
      <c r="AL42" s="15" t="s">
        <v>336</v>
      </c>
      <c r="AM42" s="15" t="s">
        <v>1058</v>
      </c>
      <c r="AN42" s="15" t="s">
        <v>336</v>
      </c>
      <c r="AO42" s="15" t="s">
        <v>1059</v>
      </c>
      <c r="AP42" s="49" t="s">
        <v>336</v>
      </c>
      <c r="AR42" s="28" t="b">
        <f t="shared" si="38"/>
        <v>1</v>
      </c>
      <c r="AS42" s="29" t="str">
        <f t="shared" si="39"/>
        <v>title: "Jasna Gora Monastery (Our Lady of Czestochowa)"</v>
      </c>
      <c r="AT42" s="29" t="str">
        <f t="shared" si="40"/>
        <v>location: {lat: 50.8127516192911, lng: 19.0966517482729}</v>
      </c>
      <c r="AU42" s="29" t="str">
        <f t="shared" si="41"/>
        <v>level: global</v>
      </c>
      <c r="AV42" s="29" t="str">
        <f>"- "&amp;VLOOKUP(B42,'(Ref) Countries'!A:C,3,)</f>
        <v>- poland</v>
      </c>
      <c r="AW42" s="29" t="str">
        <f t="shared" si="42"/>
        <v/>
      </c>
      <c r="AX42" s="29" t="str">
        <f t="shared" si="43"/>
        <v>- churches</v>
      </c>
      <c r="AY42" s="29" t="str">
        <f t="shared" si="44"/>
        <v>- marian-sites</v>
      </c>
      <c r="AZ42" s="29" t="str">
        <f t="shared" si="45"/>
        <v/>
      </c>
      <c r="BA42" s="29" t="str">
        <f t="shared" si="61"/>
        <v>- communities</v>
      </c>
      <c r="BB42" s="29" t="str">
        <f t="shared" si="61"/>
        <v/>
      </c>
      <c r="BC42" s="29" t="str">
        <f t="shared" si="61"/>
        <v/>
      </c>
      <c r="BD42" s="29" t="str">
        <f t="shared" si="61"/>
        <v/>
      </c>
      <c r="BE42" s="29" t="str">
        <f t="shared" si="61"/>
        <v/>
      </c>
      <c r="BF42" s="29" t="str">
        <f t="shared" si="62"/>
        <v/>
      </c>
      <c r="BG42" s="29" t="str">
        <f t="shared" si="62"/>
        <v/>
      </c>
      <c r="BH42" s="29" t="str">
        <f t="shared" si="62"/>
        <v/>
      </c>
      <c r="BI42" s="29" t="str">
        <f t="shared" si="62"/>
        <v/>
      </c>
      <c r="BJ42" s="29" t="str">
        <f t="shared" si="62"/>
        <v/>
      </c>
      <c r="BK42" s="29" t="str">
        <f t="shared" si="56"/>
        <v xml:space="preserve">tags:
- poland_x000D_
- churches_x000D_
- marian-sites_x000D_
- communities_x000D_
</v>
      </c>
      <c r="BL42" s="30" t="str">
        <f t="shared" si="46"/>
        <v>[Official site](https://jasnagora.pl/)</v>
      </c>
      <c r="BM42" s="30" t="str">
        <f t="shared" si="47"/>
        <v/>
      </c>
      <c r="BN42" s="30" t="str">
        <f t="shared" si="48"/>
        <v/>
      </c>
      <c r="BO42" s="30" t="str">
        <f t="shared" si="49"/>
        <v/>
      </c>
      <c r="BP42" s="30" t="str">
        <f t="shared" si="57"/>
        <v xml:space="preserve">* [Official site](https://jasnagora.pl/)
</v>
      </c>
      <c r="BQ42" s="30" t="str">
        <f t="shared" si="50"/>
        <v/>
      </c>
      <c r="BR42" s="30" t="str">
        <f t="shared" si="51"/>
        <v>[Link](https://www.miraclehunter.com/marian_apparitions/approved_apparitions/czestochowa/)</v>
      </c>
      <c r="BS42" s="30" t="str">
        <f t="shared" si="52"/>
        <v>[Link](https://www.marypages.com/czestochowa-(poland)-en.html)</v>
      </c>
      <c r="BT42" s="30" t="str">
        <f>IF(LEN(_xludf.concat(BQ42:BS42))&gt;0,_xludf.concat("| ",BQ42," | ",BR42," | ",BS42," |"),"")</f>
        <v>|  | [Link](https://www.miraclehunter.com/marian_apparitions/approved_apparitions/czestochowa/) | [Link](https://www.marypages.com/czestochowa-(poland)-en.html) |</v>
      </c>
      <c r="BU42" s="29" t="str">
        <f t="shared" si="53"/>
        <v xml:space="preserve">| The Real Presence | Miracle Hunter | MaryPages |_x000D_
| --- | --- | --- |_x000D_
|  | [Link](https://www.miraclehunter.com/marian_apparitions/approved_apparitions/czestochowa/) | [Link](https://www.marypages.com/czestochowa-(poland)-en.html) |_x000D_
</v>
      </c>
      <c r="BV42" s="29" t="str">
        <f>IF(LEN(BP42&amp;BU42)&gt;0,concatll("#### More Information",BP42,BU42),"")</f>
        <v xml:space="preserve">####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v>
      </c>
      <c r="BW42" s="29" t="str">
        <f>IF(LEN(M42)&gt;1,concatll("#### Author's Note",M42),"")</f>
        <v/>
      </c>
      <c r="BX42" s="23" t="str">
        <f>IF(AR42,concatll(concatl("---",AS42:AU42,BK42,"---"),L42,BV42:BW42),"")</f>
        <v xml:space="preserve">---_x000D_
title: "Jasna Gora Monastery (Our Lady of Czestochowa)"_x000D_
location: {lat: 50.8127516192911, lng: 19.0966517482729}_x000D_
level: global_x000D_
tags:
- poland_x000D_
- churches_x000D_
- marian-sites_x000D_
- communities_x000D_
_x000D_
---_x000D_
_x000D_
_x000D_
The Monastery of Jasna Gora in Częstochowa, Poland, is the third-largest Catholic pilgrimage site in the world.  Home to the beloved miraculous icon of Our Lady of Częstochowa, the monastery is also the national shrine of Poland and a pillar of Polish Catholicism._x000D_
_x000D_
####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_x000D_
_x000D_
</v>
      </c>
      <c r="BY42" s="23" t="str">
        <f>IF(AR42,VLOOKUP(B42,'(Ref) Countries'!A:B,2,)&amp;IF(LEN(C42)&gt;1,"-"&amp;LOWER(SUBSTITUTE(C42," ","-")),"")&amp;"-"&amp;LOWER(SUBSTITUTE(G42," ","-"))&amp;".md","")</f>
        <v>pl-jasna-gora-monastery.md</v>
      </c>
      <c r="BZ42" s="28" t="str">
        <f>IF(LEN(Y42)&gt;1,VLOOKUP(Y42,'Tag List'!$A:$B,2,),"")</f>
        <v>Religious Communities</v>
      </c>
      <c r="CA42" s="28" t="str">
        <f>IF(LEN(Z42)&gt;1,VLOOKUP(Z42,'Tag List'!$A:$B,2,),"")</f>
        <v/>
      </c>
      <c r="CB42" s="28" t="str">
        <f>IF(LEN(AA42)&gt;1,VLOOKUP(AA42,'Tag List'!$A:$B,2,),"")</f>
        <v/>
      </c>
      <c r="CC42" s="30" t="str">
        <f>IF(LEN(Y42)&gt;1,GetTagPage(BZ42,Y42),"")</f>
        <v>[Religious Communities](/tags/communities)</v>
      </c>
      <c r="CD42" s="30" t="str">
        <f>IF(LEN(Z42)&gt;1,GetTagPage(CA42,Z42),"")</f>
        <v/>
      </c>
      <c r="CE42" s="30" t="str">
        <f>IF(LEN(AA42)&gt;1,GetTagPage(CB42,AA42),"")</f>
        <v/>
      </c>
      <c r="CF42" s="30" t="str">
        <f t="shared" si="58"/>
        <v xml:space="preserve">| [Religious Communities](/tags/communities) </v>
      </c>
      <c r="CG42" s="30" t="str">
        <f t="shared" si="54"/>
        <v xml:space="preserve">| [Czestochowa](/places/pl-jasna-gora-monastery) </v>
      </c>
      <c r="CH42" s="30" t="str">
        <f>"| "&amp;IF(AR42,GetTagPage(B42,VLOOKUP(B42,'(Ref) Countries'!A:C,3,)),B42)&amp; " "</f>
        <v xml:space="preserve">| [Poland](/tags/poland) </v>
      </c>
      <c r="CI42" s="30" t="str">
        <f t="shared" si="55"/>
        <v xml:space="preserve">| Unknown </v>
      </c>
      <c r="CJ42" s="30" t="str">
        <f t="shared" si="59"/>
        <v xml:space="preserve">| [Link](/places/pl-jasna-gora-monastery) </v>
      </c>
      <c r="CK42" s="29" t="str">
        <f t="shared" si="60"/>
        <v xml:space="preserve">
| [Czestochowa](/places/pl-jasna-gora-monastery) | [Poland](/tags/poland) | Unknown | [Link](/places/pl-jasna-gora-monastery) [Official site](https://jasnagora.pl/)[Link](https://www.miraclehunter.com/marian_apparitions/approved_apparitions/czestochowa/)[Link](https://www.marypages.com/czestochowa-(poland)-en.html)| [Religious Communities](/tags/communities) |</v>
      </c>
    </row>
    <row r="43" spans="1:89" ht="49.75" x14ac:dyDescent="0.4">
      <c r="A43" s="14" t="s">
        <v>1049</v>
      </c>
      <c r="B43" s="45" t="s">
        <v>542</v>
      </c>
      <c r="C43" s="93" t="s">
        <v>1856</v>
      </c>
      <c r="D43" s="15">
        <v>48.369192631907303</v>
      </c>
      <c r="E43" s="49">
        <v>10.8982826487021</v>
      </c>
      <c r="F43" s="45" t="s">
        <v>1724</v>
      </c>
      <c r="G43" s="58" t="s">
        <v>1725</v>
      </c>
      <c r="H43" s="15" t="s">
        <v>1715</v>
      </c>
      <c r="I43" s="25" t="b">
        <v>1</v>
      </c>
      <c r="J43" s="15" t="b">
        <v>1</v>
      </c>
      <c r="L43" s="45" t="s">
        <v>1729</v>
      </c>
      <c r="M43" s="58" t="s">
        <v>1744</v>
      </c>
      <c r="N43" s="15" t="s">
        <v>1728</v>
      </c>
      <c r="O43" s="15" t="s">
        <v>336</v>
      </c>
      <c r="Y43" s="24"/>
      <c r="Z43" s="24"/>
      <c r="AA43" s="24"/>
      <c r="AB43" s="24"/>
      <c r="AC43" s="24"/>
      <c r="AD43" s="24"/>
      <c r="AE43" s="24"/>
      <c r="AF43" s="24"/>
      <c r="AG43" s="24"/>
      <c r="AH43" s="24"/>
      <c r="AI43" s="87" t="s">
        <v>1723</v>
      </c>
      <c r="AJ43" s="90" t="s">
        <v>1409</v>
      </c>
      <c r="AK43" s="15" t="s">
        <v>336</v>
      </c>
      <c r="AL43" s="15" t="s">
        <v>336</v>
      </c>
      <c r="AM43" s="15" t="s">
        <v>1727</v>
      </c>
      <c r="AN43" s="15" t="s">
        <v>336</v>
      </c>
      <c r="AO43" s="15" t="s">
        <v>1726</v>
      </c>
      <c r="AP43" s="49" t="s">
        <v>336</v>
      </c>
      <c r="AR43" s="28" t="b">
        <f t="shared" si="38"/>
        <v>1</v>
      </c>
      <c r="AS43" s="29" t="str">
        <f t="shared" si="39"/>
        <v>title: "St. Peter am Perlach (Mary Undoer of Knots)"</v>
      </c>
      <c r="AT43" s="29" t="str">
        <f t="shared" si="40"/>
        <v>location: {lat: 48.3691926319073, lng: 10.8982826487021}</v>
      </c>
      <c r="AU43" s="29" t="str">
        <f t="shared" si="41"/>
        <v>level: global</v>
      </c>
      <c r="AV43" s="29" t="str">
        <f>"- "&amp;VLOOKUP(B43,'(Ref) Countries'!A:C,3,)</f>
        <v>- germany</v>
      </c>
      <c r="AW43" s="29" t="str">
        <f t="shared" si="42"/>
        <v>- augsburg</v>
      </c>
      <c r="AX43" s="29" t="str">
        <f t="shared" si="43"/>
        <v>- churches</v>
      </c>
      <c r="AY43" s="29" t="str">
        <f t="shared" si="44"/>
        <v>- marian-sites</v>
      </c>
      <c r="AZ43" s="29" t="str">
        <f t="shared" si="45"/>
        <v/>
      </c>
      <c r="BA43" s="29" t="str">
        <f t="shared" si="61"/>
        <v/>
      </c>
      <c r="BB43" s="29" t="str">
        <f t="shared" si="61"/>
        <v/>
      </c>
      <c r="BC43" s="29" t="str">
        <f t="shared" si="61"/>
        <v/>
      </c>
      <c r="BD43" s="29" t="str">
        <f t="shared" si="61"/>
        <v/>
      </c>
      <c r="BE43" s="29" t="str">
        <f t="shared" si="61"/>
        <v/>
      </c>
      <c r="BF43" s="29" t="str">
        <f t="shared" si="62"/>
        <v/>
      </c>
      <c r="BG43" s="29" t="str">
        <f t="shared" si="62"/>
        <v/>
      </c>
      <c r="BH43" s="29" t="str">
        <f t="shared" si="62"/>
        <v/>
      </c>
      <c r="BI43" s="29" t="str">
        <f t="shared" si="62"/>
        <v/>
      </c>
      <c r="BJ43" s="29" t="str">
        <f t="shared" si="62"/>
        <v/>
      </c>
      <c r="BK43" s="29" t="str">
        <f t="shared" si="56"/>
        <v xml:space="preserve">tags:
- germany_x000D_
- augsburg_x000D_
- churches_x000D_
- marian-sites_x000D_
</v>
      </c>
      <c r="BL43" s="30" t="str">
        <f t="shared" si="46"/>
        <v>[Official site](https://sankt-peter-am-perlach.de)</v>
      </c>
      <c r="BM43" s="30" t="str">
        <f t="shared" si="47"/>
        <v/>
      </c>
      <c r="BN43" s="30" t="str">
        <f t="shared" si="48"/>
        <v/>
      </c>
      <c r="BO43" s="30" t="str">
        <f t="shared" si="49"/>
        <v/>
      </c>
      <c r="BP43" s="30" t="str">
        <f t="shared" si="57"/>
        <v xml:space="preserve">* [Official site](https://sankt-peter-am-perlach.de)
</v>
      </c>
      <c r="BQ43" s="30" t="str">
        <f t="shared" si="50"/>
        <v/>
      </c>
      <c r="BR43" s="30" t="str">
        <f t="shared" si="51"/>
        <v>[Link](https://www.miraclehunter.com/news/francis/francis-marian-devotion.html)</v>
      </c>
      <c r="BS43" s="30" t="str">
        <f t="shared" si="52"/>
        <v>[Link](https://www.marypages.com/mary-undoer-of-knots.html)</v>
      </c>
      <c r="BT43" s="30" t="str">
        <f>IF(LEN(_xludf.concat(BQ43:BS43))&gt;0,_xludf.concat("| ",BQ43," | ",BR43," | ",BS43," |"),"")</f>
        <v>|  | [Link](https://www.miraclehunter.com/news/francis/francis-marian-devotion.html) | [Link](https://www.marypages.com/mary-undoer-of-knots.html) |</v>
      </c>
      <c r="BU43" s="29" t="str">
        <f t="shared" si="53"/>
        <v xml:space="preserve">| The Real Presence | Miracle Hunter | MaryPages |_x000D_
| --- | --- | --- |_x000D_
|  | [Link](https://www.miraclehunter.com/news/francis/francis-marian-devotion.html) | [Link](https://www.marypages.com/mary-undoer-of-knots.html) |_x000D_
</v>
      </c>
      <c r="BV43" s="29" t="str">
        <f>IF(LEN(BP43&amp;BU43)&gt;0,concatll("#### More Information",BP43,BU43),"")</f>
        <v xml:space="preserve">####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v>
      </c>
      <c r="BW43" s="29" t="str">
        <f>IF(LEN(M43)&gt;1,concatll("#### Author's Note",M43),"")</f>
        <v xml:space="preserve">#### Author's Note_x000D_
_x000D_
Pope Francis has a special devotion to this image, explained in the Miracle Hunter link.
-JPY_x000D_
_x000D_
</v>
      </c>
      <c r="BX43" s="23" t="str">
        <f>IF(AR43,concatll(concatl("---",AS43:AU43,BK43,"---"),L43,BV43:BW43),"")</f>
        <v xml:space="preserve">---_x000D_
title: "St. Peter am Perlach (Mary Undoer of Knots)"_x000D_
location: {lat: 48.3691926319073, lng: 10.8982826487021}_x000D_
level: global_x000D_
tags:
- germany_x000D_
- augsburg_x000D_
- churches_x000D_
- marian-sites_x000D_
_x000D_
---_x000D_
_x000D_
_x000D_
Home of the image Our Lady Undoer of Knots._x000D_
_x000D_
####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_x000D_
_x000D_
#### Author's Note_x000D_
_x000D_
Pope Francis has a special devotion to this image, explained in the Miracle Hunter link.
-JPY_x000D_
_x000D_
_x000D_
_x000D_
</v>
      </c>
      <c r="BY43" s="23" t="str">
        <f>IF(AR43,VLOOKUP(B43,'(Ref) Countries'!A:B,2,)&amp;IF(LEN(C43)&gt;1,"-"&amp;LOWER(SUBSTITUTE(C43," ","-")),"")&amp;"-"&amp;LOWER(SUBSTITUTE(G43," ","-"))&amp;".md","")</f>
        <v>de-augsburg-st-peter-am-perlach.md</v>
      </c>
      <c r="BZ43" s="28" t="str">
        <f>IF(LEN(Y43)&gt;1,VLOOKUP(Y43,'Tag List'!$A:$B,2,),"")</f>
        <v/>
      </c>
      <c r="CA43" s="28" t="str">
        <f>IF(LEN(Z43)&gt;1,VLOOKUP(Z43,'Tag List'!$A:$B,2,),"")</f>
        <v/>
      </c>
      <c r="CB43" s="28" t="str">
        <f>IF(LEN(AA43)&gt;1,VLOOKUP(AA43,'Tag List'!$A:$B,2,),"")</f>
        <v/>
      </c>
      <c r="CC43" s="30" t="str">
        <f>IF(LEN(Y43)&gt;1,GetTagPage(BZ43,Y43),"")</f>
        <v/>
      </c>
      <c r="CD43" s="30" t="str">
        <f>IF(LEN(Z43)&gt;1,GetTagPage(CA43,Z43),"")</f>
        <v/>
      </c>
      <c r="CE43" s="30" t="str">
        <f>IF(LEN(AA43)&gt;1,GetTagPage(CB43,AA43),"")</f>
        <v/>
      </c>
      <c r="CF43" s="30" t="str">
        <f t="shared" si="58"/>
        <v xml:space="preserve">| </v>
      </c>
      <c r="CG43" s="30" t="str">
        <f t="shared" si="54"/>
        <v xml:space="preserve">| [Augsberg](/places/de-augsburg-st-peter-am-perlach) </v>
      </c>
      <c r="CH43" s="30" t="str">
        <f>"| "&amp;IF(AR43,GetTagPage(B43,VLOOKUP(B43,'(Ref) Countries'!A:C,3,)),B43)&amp; " "</f>
        <v xml:space="preserve">| [Germany](/tags/germany) </v>
      </c>
      <c r="CI43" s="30" t="str">
        <f t="shared" si="55"/>
        <v xml:space="preserve">| c. 1700 </v>
      </c>
      <c r="CJ43" s="30" t="str">
        <f t="shared" si="59"/>
        <v xml:space="preserve">| [Link](/places/de-augsburg-st-peter-am-perlach) </v>
      </c>
      <c r="CK43" s="29" t="str">
        <f t="shared" si="60"/>
        <v xml:space="preserve">
| [Augsberg](/places/de-augsburg-st-peter-am-perlach) | [Germany](/tags/germany) | c. 1700 | [Link](/places/de-augsburg-st-peter-am-perlach) [Official site](https://sankt-peter-am-perlach.de)[Link](https://www.miraclehunter.com/news/francis/francis-marian-devotion.html)[Link](https://www.marypages.com/mary-undoer-of-knots.html)| |</v>
      </c>
    </row>
    <row r="44" spans="1:89" ht="161.6" x14ac:dyDescent="0.4">
      <c r="A44" s="14" t="s">
        <v>1320</v>
      </c>
      <c r="B44" s="24" t="s">
        <v>11</v>
      </c>
      <c r="C44" s="93" t="s">
        <v>1883</v>
      </c>
      <c r="D44" s="15">
        <v>41.457154000000003</v>
      </c>
      <c r="E44" s="49">
        <v>12.668148</v>
      </c>
      <c r="F44" s="85" t="s">
        <v>1885</v>
      </c>
      <c r="G44" s="92" t="s">
        <v>1886</v>
      </c>
      <c r="H44" s="35" t="s">
        <v>1760</v>
      </c>
      <c r="I44" s="25" t="b">
        <v>1</v>
      </c>
      <c r="J44" s="15" t="b">
        <v>1</v>
      </c>
      <c r="K44" s="15" t="b">
        <v>1</v>
      </c>
      <c r="L44" s="45" t="s">
        <v>1749</v>
      </c>
      <c r="M44" s="58" t="s">
        <v>1752</v>
      </c>
      <c r="N44" s="35" t="s">
        <v>1751</v>
      </c>
      <c r="O44" s="48" t="s">
        <v>1818</v>
      </c>
      <c r="P44" s="84" t="s">
        <v>1819</v>
      </c>
      <c r="Q44" s="35" t="s">
        <v>1817</v>
      </c>
      <c r="R44" s="95" t="s">
        <v>336</v>
      </c>
      <c r="S44" s="62"/>
      <c r="T44" s="35"/>
      <c r="U44" s="66"/>
      <c r="V44" s="35"/>
      <c r="W44" s="35"/>
      <c r="X44" s="101"/>
      <c r="Y44" s="35" t="s">
        <v>1753</v>
      </c>
      <c r="Z44" s="35" t="s">
        <v>1757</v>
      </c>
      <c r="AA44" s="35" t="s">
        <v>1756</v>
      </c>
      <c r="AB44" s="35"/>
      <c r="AC44" s="35"/>
      <c r="AD44" s="35"/>
      <c r="AE44" s="35"/>
      <c r="AF44" s="35"/>
      <c r="AG44" s="35"/>
      <c r="AH44" s="35"/>
      <c r="AI44" s="91" t="s">
        <v>1408</v>
      </c>
      <c r="AK44" s="15" t="s">
        <v>336</v>
      </c>
      <c r="AL44" s="15" t="s">
        <v>336</v>
      </c>
      <c r="AM44" s="15" t="s">
        <v>1384</v>
      </c>
      <c r="AN44" s="35" t="s">
        <v>1750</v>
      </c>
      <c r="AO44" s="15" t="s">
        <v>336</v>
      </c>
      <c r="AR44" s="28" t="b">
        <f t="shared" si="38"/>
        <v>1</v>
      </c>
      <c r="AS44" s="29" t="str">
        <f t="shared" si="39"/>
        <v>title: "Basilica of Our Lady of Graces and St. Maria Goretti"</v>
      </c>
      <c r="AT44" s="29" t="str">
        <f t="shared" si="40"/>
        <v>location: {lat: 41.457154, lng: 12.668148}</v>
      </c>
      <c r="AU44" s="29" t="str">
        <f t="shared" si="41"/>
        <v>level: regional</v>
      </c>
      <c r="AV44" s="29" t="str">
        <f>"- "&amp;VLOOKUP(B44,'(Ref) Countries'!A:C,3,)</f>
        <v>- italy</v>
      </c>
      <c r="AW44" s="29" t="str">
        <f t="shared" si="42"/>
        <v>- nettuno</v>
      </c>
      <c r="AX44" s="29" t="str">
        <f t="shared" si="43"/>
        <v>- churches</v>
      </c>
      <c r="AY44" s="29" t="str">
        <f t="shared" si="44"/>
        <v>- marian-sites</v>
      </c>
      <c r="AZ44" s="29" t="str">
        <f t="shared" si="45"/>
        <v>- holy-persons</v>
      </c>
      <c r="BA44" s="29" t="str">
        <f t="shared" si="61"/>
        <v>- maria-goretti</v>
      </c>
      <c r="BB44" s="29" t="str">
        <f t="shared" si="61"/>
        <v>- our-lady-of-grace</v>
      </c>
      <c r="BC44" s="29" t="str">
        <f t="shared" si="61"/>
        <v>- our-lady-of-ipswich</v>
      </c>
      <c r="BD44" s="29" t="str">
        <f t="shared" si="61"/>
        <v/>
      </c>
      <c r="BE44" s="29" t="str">
        <f t="shared" si="61"/>
        <v/>
      </c>
      <c r="BF44" s="29" t="str">
        <f t="shared" si="62"/>
        <v/>
      </c>
      <c r="BG44" s="29" t="str">
        <f t="shared" si="62"/>
        <v/>
      </c>
      <c r="BH44" s="29" t="str">
        <f t="shared" si="62"/>
        <v/>
      </c>
      <c r="BI44" s="29" t="str">
        <f t="shared" si="62"/>
        <v/>
      </c>
      <c r="BJ44" s="29" t="str">
        <f t="shared" si="62"/>
        <v/>
      </c>
      <c r="BK44" s="29" t="str">
        <f t="shared" si="56"/>
        <v xml:space="preserve">tags:
- italy_x000D_
- nettuno_x000D_
- churches_x000D_
- marian-sites_x000D_
- holy-persons_x000D_
- maria-goretti_x000D_
- our-lady-of-grace_x000D_
- our-lady-of-ipswich_x000D_
</v>
      </c>
      <c r="BL44" s="30" t="str">
        <f t="shared" si="46"/>
        <v>[Official site](http://www.santuarionettuno.it/) (note: website not active at time of writing)</v>
      </c>
      <c r="BM44" s="30" t="str">
        <f t="shared" si="47"/>
        <v>[Official Facebook page](https://www.facebook.com/profile.php?id=100069705631532)</v>
      </c>
      <c r="BN44" s="30" t="str">
        <f t="shared" si="48"/>
        <v/>
      </c>
      <c r="BO44" s="30" t="str">
        <f t="shared" si="49"/>
        <v/>
      </c>
      <c r="BP44" s="30" t="str">
        <f t="shared" si="57"/>
        <v xml:space="preserve">* [Official site](http://www.santuarionettuno.it/) (note: website not active at time of writing)
* [Official Facebook page](https://www.facebook.com/profile.php?id=100069705631532)
</v>
      </c>
      <c r="BQ44" s="30" t="str">
        <f t="shared" si="50"/>
        <v/>
      </c>
      <c r="BR44" s="30" t="str">
        <f t="shared" si="51"/>
        <v>[Link](https://www.miraclehunter.com/marian_apparitions/approved_apparitions/apparitions_1500-1599.html) (Search "Ipswich")</v>
      </c>
      <c r="BS44" s="30" t="str">
        <f t="shared" si="52"/>
        <v/>
      </c>
      <c r="BT44" s="30" t="str">
        <f>IF(LEN(_xludf.concat(BQ44:BS44))&gt;0,_xludf.concat("| ",BQ44," | ",BR44," | ",BS44," |"),"")</f>
        <v>|  | [Link](https://www.miraclehunter.com/marian_apparitions/approved_apparitions/apparitions_1500-1599.html) (Search "Ipswich") |  |</v>
      </c>
      <c r="BU44" s="29" t="str">
        <f t="shared" si="53"/>
        <v xml:space="preserve">| The Real Presence | Miracle Hunter | MaryPages |_x000D_
| --- | --- | --- |_x000D_
|  | [Link](https://www.miraclehunter.com/marian_apparitions/approved_apparitions/apparitions_1500-1599.html) (Search "Ipswich") |  |_x000D_
</v>
      </c>
      <c r="BV44" s="29" t="str">
        <f>IF(LEN(BP44&amp;BU44)&gt;0,concatll("#### More Information",BP44,BU44),"")</f>
        <v xml:space="preserve">#### More Information_x000D_
_x000D_
* [Official site](http://www.santuarionettuno.it/)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v>
      </c>
      <c r="BW44" s="29" t="str">
        <f>IF(LEN(M44)&gt;1,concatll("#### Author's Note",M44),"")</f>
        <v xml:space="preserve">#### Author's Note_x000D_
_x000D_
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-JMM_x000D_
_x000D_
</v>
      </c>
      <c r="BX44" s="23" t="str">
        <f>IF(AR44,concatll(concatl("---",AS44:AU44,BK44,"---"),L44,BV44:BW44),"")</f>
        <v xml:space="preserve">---_x000D_
title: "Basilica of Our Lady of Graces and St. Maria Goretti"_x000D_
location: {lat: 41.457154, lng: 12.668148}_x000D_
level: regional_x000D_
tags:
- italy_x000D_
- nettuno_x000D_
- churches_x000D_
- marian-sites_x000D_
- holy-persons_x000D_
- maria-goretti_x000D_
- our-lady-of-grace_x000D_
- our-lady-of-ipswich_x000D_
_x000D_
---_x000D_
_x000D_
_x000D_
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May._x000D_
_x000D_
#### More Information_x000D_
_x000D_
* [Official site](http://www.santuarionettuno.it/)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_x000D_
_x000D_
#### Author's Note_x000D_
_x000D_
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-JMM_x000D_
_x000D_
_x000D_
_x000D_
</v>
      </c>
      <c r="BY44" s="23" t="str">
        <f>IF(AR44,VLOOKUP(B44,'(Ref) Countries'!A:B,2,)&amp;IF(LEN(C44)&gt;1,"-"&amp;LOWER(SUBSTITUTE(C44," ","-")),"")&amp;"-"&amp;LOWER(SUBSTITUTE(G44," ","-"))&amp;".md","")</f>
        <v>it-nettuno-basilica-of-our-lady-of-graces.md</v>
      </c>
      <c r="BZ44" s="29" t="str">
        <f>IF(LEN(Y44)&gt;1,VLOOKUP(Y44,'Tag List'!$A:$B,2,),"")</f>
        <v>St. Maria Goretti</v>
      </c>
      <c r="CA44" s="29" t="str">
        <f>IF(LEN(Z44)&gt;1,VLOOKUP(Z44,'Tag List'!$A:$B,2,),"")</f>
        <v>Our Lady of Grace</v>
      </c>
      <c r="CB44" s="29" t="str">
        <f>IF(LEN(AA44)&gt;1,VLOOKUP(AA44,'Tag List'!$A:$B,2,),"")</f>
        <v>Our Lady of Ipswich</v>
      </c>
      <c r="CC44" s="30" t="str">
        <f>IF(LEN(Y44)&gt;1,GetTagPage(BZ44,Y44),"")</f>
        <v>[St. Maria Goretti](/tags/maria-goretti)</v>
      </c>
      <c r="CD44" s="30" t="str">
        <f>IF(LEN(Z44)&gt;1,GetTagPage(CA44,Z44),"")</f>
        <v>[Our Lady of Grace](/tags/our-lady-of-grace)</v>
      </c>
      <c r="CE44" s="30" t="str">
        <f>IF(LEN(AA44)&gt;1,GetTagPage(CB44,AA44),"")</f>
        <v>[Our Lady of Ipswich](/tags/our-lady-of-ipswich)</v>
      </c>
      <c r="CF44" s="30" t="str">
        <f t="shared" si="58"/>
        <v xml:space="preserve">| [St. Maria Goretti](/tags/maria-goretti), [Our Lady of Grace](/tags/our-lady-of-grace), [Our Lady of Ipswich](/tags/our-lady-of-ipswich) </v>
      </c>
      <c r="CG44" s="30" t="str">
        <f t="shared" si="54"/>
        <v xml:space="preserve">| [Our Lady of Grace and St. Maria Goretti](/places/it-nettuno-basilica-of-our-lady-of-graces) </v>
      </c>
      <c r="CH44" s="30" t="str">
        <f>"| "&amp;IF(AR44,GetTagPage(B44,VLOOKUP(B44,'(Ref) Countries'!A:C,3,)),B44)&amp; " "</f>
        <v xml:space="preserve">| [Italy](/tags/italy) </v>
      </c>
      <c r="CI44" s="30" t="str">
        <f t="shared" si="55"/>
        <v xml:space="preserve">|  </v>
      </c>
      <c r="CJ44" s="30" t="str">
        <f t="shared" si="59"/>
        <v xml:space="preserve">| [Link](/places/it-nettuno-basilica-of-our-lady-of-graces) </v>
      </c>
      <c r="CK44" s="29" t="str">
        <f t="shared" si="60"/>
        <v xml:space="preserve">
| [Our Lady of Grace and St. Maria Goretti](/places/it-nettuno-basilica-of-our-lady-of-graces) | [Italy](/tags/italy) |  | [Link](/places/it-nettuno-basilica-of-our-lady-of-graces) [Official site](http://www.santuarionettuno.it/) (note: website not active at time of writing)[Link](https://www.miraclehunter.com/marian_apparitions/approved_apparitions/apparitions_1500-1599.html) (Search "Ipswich")| [St. Maria Goretti](/tags/maria-goretti), [Our Lady of Grace](/tags/our-lady-of-grace), [Our Lady of Ipswich](/tags/our-lady-of-ipswich) |</v>
      </c>
    </row>
    <row r="45" spans="1:89" ht="99.45" x14ac:dyDescent="0.4">
      <c r="A45" s="14" t="s">
        <v>1320</v>
      </c>
      <c r="B45" s="45" t="s">
        <v>11</v>
      </c>
      <c r="D45" s="15">
        <v>45.6258893442062</v>
      </c>
      <c r="E45" s="49">
        <v>7.9823763846553701</v>
      </c>
      <c r="F45" s="45" t="s">
        <v>1763</v>
      </c>
      <c r="G45" s="58" t="s">
        <v>1762</v>
      </c>
      <c r="H45" s="35" t="s">
        <v>1760</v>
      </c>
      <c r="I45" s="25" t="b">
        <v>1</v>
      </c>
      <c r="J45" s="15" t="b">
        <v>1</v>
      </c>
      <c r="L45" s="45" t="s">
        <v>1766</v>
      </c>
      <c r="N45" s="15" t="s">
        <v>1764</v>
      </c>
      <c r="O45" s="15" t="s">
        <v>336</v>
      </c>
      <c r="Y45" s="15" t="s">
        <v>1765</v>
      </c>
      <c r="AI45" s="91" t="s">
        <v>1762</v>
      </c>
      <c r="AK45" s="15" t="s">
        <v>336</v>
      </c>
      <c r="AL45" s="15" t="s">
        <v>336</v>
      </c>
      <c r="AM45" s="15" t="s">
        <v>336</v>
      </c>
      <c r="AN45" s="15" t="s">
        <v>336</v>
      </c>
      <c r="AO45" s="15" t="s">
        <v>336</v>
      </c>
      <c r="AR45" s="28" t="b">
        <f t="shared" si="38"/>
        <v>1</v>
      </c>
      <c r="AS45" s="29" t="str">
        <f t="shared" si="39"/>
        <v>title: "Sanctuary of Oropa (Black Madonna of Oropa)"</v>
      </c>
      <c r="AT45" s="29" t="str">
        <f t="shared" si="40"/>
        <v>location: {lat: 45.6258893442062, lng: 7.98237638465537}</v>
      </c>
      <c r="AU45" s="29" t="str">
        <f t="shared" si="41"/>
        <v>level: regional</v>
      </c>
      <c r="AV45" s="29" t="str">
        <f>"- "&amp;VLOOKUP(B45,'(Ref) Countries'!A:C,3,)</f>
        <v>- italy</v>
      </c>
      <c r="AW45" s="29" t="str">
        <f t="shared" si="42"/>
        <v/>
      </c>
      <c r="AX45" s="29" t="str">
        <f t="shared" si="43"/>
        <v>- churches</v>
      </c>
      <c r="AY45" s="29" t="str">
        <f t="shared" si="44"/>
        <v>- marian-sites</v>
      </c>
      <c r="AZ45" s="29" t="str">
        <f t="shared" si="45"/>
        <v/>
      </c>
      <c r="BA45" s="29" t="str">
        <f t="shared" si="61"/>
        <v>- pier-giorgio-frassati</v>
      </c>
      <c r="BB45" s="29" t="str">
        <f t="shared" si="61"/>
        <v/>
      </c>
      <c r="BC45" s="29" t="str">
        <f t="shared" si="61"/>
        <v/>
      </c>
      <c r="BD45" s="29" t="str">
        <f t="shared" si="61"/>
        <v/>
      </c>
      <c r="BE45" s="29" t="str">
        <f t="shared" si="61"/>
        <v/>
      </c>
      <c r="BF45" s="29" t="str">
        <f t="shared" si="62"/>
        <v/>
      </c>
      <c r="BG45" s="29" t="str">
        <f t="shared" si="62"/>
        <v/>
      </c>
      <c r="BH45" s="29" t="str">
        <f t="shared" si="62"/>
        <v/>
      </c>
      <c r="BI45" s="29" t="str">
        <f t="shared" si="62"/>
        <v/>
      </c>
      <c r="BJ45" s="29" t="str">
        <f t="shared" si="62"/>
        <v/>
      </c>
      <c r="BK45" s="29" t="str">
        <f t="shared" si="56"/>
        <v xml:space="preserve">tags:
- italy_x000D_
- churches_x000D_
- marian-sites_x000D_
- pier-giorgio-frassati_x000D_
</v>
      </c>
      <c r="BL45" s="30" t="str">
        <f t="shared" si="46"/>
        <v>[Official site](https://www.santuariodioropa.it/en/)</v>
      </c>
      <c r="BM45" s="30" t="str">
        <f t="shared" si="47"/>
        <v/>
      </c>
      <c r="BN45" s="30" t="str">
        <f t="shared" si="48"/>
        <v/>
      </c>
      <c r="BO45" s="30" t="str">
        <f t="shared" si="49"/>
        <v/>
      </c>
      <c r="BP45" s="30" t="str">
        <f t="shared" si="57"/>
        <v xml:space="preserve">* [Official site](https://www.santuariodioropa.it/en/)
</v>
      </c>
      <c r="BQ45" s="30" t="str">
        <f t="shared" si="50"/>
        <v/>
      </c>
      <c r="BR45" s="30" t="str">
        <f t="shared" si="51"/>
        <v/>
      </c>
      <c r="BS45" s="30" t="str">
        <f t="shared" si="52"/>
        <v/>
      </c>
      <c r="BT45" s="30" t="str">
        <f>IF(LEN(_xludf.concat(BQ45:BS45))&gt;0,_xludf.concat("| ",BQ45," | ",BR45," | ",BS45," |"),"")</f>
        <v/>
      </c>
      <c r="BU45" s="29" t="str">
        <f t="shared" si="53"/>
        <v xml:space="preserve">| The Real Presence | Miracle Hunter | MaryPages |_x000D_
| --- | --- | --- |_x000D_
</v>
      </c>
      <c r="BV45" s="29" t="str">
        <f>IF(LEN(BP45&amp;BU45)&gt;0,concatll("#### More Information",BP45,BU45),"")</f>
        <v xml:space="preserve">#### More Information_x000D_
_x000D_
* [Official site](https://www.santuariodioropa.it/en/)
_x000D_
_x000D_
| The Real Presence | Miracle Hunter | MaryPages |_x000D_
| --- | --- | --- |_x000D_
_x000D_
_x000D_
</v>
      </c>
      <c r="BW45" s="29" t="str">
        <f>IF(LEN(M45)&gt;1,concatll("#### Author's Note",M45),"")</f>
        <v/>
      </c>
      <c r="BX45" s="23" t="str">
        <f>IF(AR45,concatll(concatl("---",AS45:AU45,BK45,"---"),L45,BV45:BW45),"")</f>
        <v xml:space="preserve">---_x000D_
title: "Sanctuary of Oropa (Black Madonna of Oropa)"_x000D_
location: {lat: 45.6258893442062, lng: 7.98237638465537}_x000D_
level: regional_x000D_
tags:
- italy_x000D_
- churches_x000D_
- marian-sites_x000D_
- pier-giorgio-frassati_x000D_
_x000D_
---_x000D_
_x000D_
_x000D_
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Oropa](https://www.santuariodioropa.it/wp-content/uploads/2022/05/panoramica-oropa-foto-Tracanna-1024x576.jpg)_x000D_
_x000D_
#### More Information_x000D_
_x000D_
* [Official site](https://www.santuariodioropa.it/en/)
_x000D_
_x000D_
| The Real Presence | Miracle Hunter | MaryPages |_x000D_
| --- | --- | --- |_x000D_
_x000D_
_x000D_
_x000D_
_x000D_
</v>
      </c>
      <c r="BY45" s="23" t="str">
        <f>IF(AR45,VLOOKUP(B45,'(Ref) Countries'!A:B,2,)&amp;IF(LEN(C45)&gt;1,"-"&amp;LOWER(SUBSTITUTE(C45," ","-")),"")&amp;"-"&amp;LOWER(SUBSTITUTE(G45," ","-"))&amp;".md","")</f>
        <v>it-sanctuary-of-oropa.md</v>
      </c>
      <c r="BZ45" s="29" t="str">
        <f>IF(LEN(Y45)&gt;1,VLOOKUP(Y45,'Tag List'!$A:$B,2,),"")</f>
        <v>Bl. Pier Giorgio Frassati, TOSD</v>
      </c>
      <c r="CA45" s="29" t="str">
        <f>IF(LEN(Z45)&gt;1,VLOOKUP(Z45,'Tag List'!$A:$B,2,),"")</f>
        <v/>
      </c>
      <c r="CB45" s="29" t="str">
        <f>IF(LEN(AA45)&gt;1,VLOOKUP(AA45,'Tag List'!$A:$B,2,),"")</f>
        <v/>
      </c>
      <c r="CC45" s="30" t="str">
        <f>IF(LEN(Y45)&gt;1,GetTagPage(BZ45,Y45),"")</f>
        <v>[Bl. Pier Giorgio Frassati, TOSD](/tags/pier-giorgio-frassati)</v>
      </c>
      <c r="CD45" s="30" t="str">
        <f>IF(LEN(Z45)&gt;1,GetTagPage(CA45,Z45),"")</f>
        <v/>
      </c>
      <c r="CE45" s="30" t="str">
        <f>IF(LEN(AA45)&gt;1,GetTagPage(CB45,AA45),"")</f>
        <v/>
      </c>
      <c r="CF45" s="30" t="str">
        <f t="shared" si="58"/>
        <v xml:space="preserve">| [Bl. Pier Giorgio Frassati, TOSD](/tags/pier-giorgio-frassati) </v>
      </c>
      <c r="CG45" s="30" t="str">
        <f t="shared" si="54"/>
        <v xml:space="preserve">| [Sanctuary of Oropa](/places/it-sanctuary-of-oropa) </v>
      </c>
      <c r="CH45" s="30" t="str">
        <f>"| "&amp;IF(AR45,GetTagPage(B45,VLOOKUP(B45,'(Ref) Countries'!A:C,3,)),B45)&amp; " "</f>
        <v xml:space="preserve">| [Italy](/tags/italy) </v>
      </c>
      <c r="CI45" s="30" t="str">
        <f t="shared" si="55"/>
        <v xml:space="preserve">|  </v>
      </c>
      <c r="CJ45" s="30" t="str">
        <f t="shared" si="59"/>
        <v xml:space="preserve">| [Link](/places/it-sanctuary-of-oropa) </v>
      </c>
      <c r="CK45" s="29" t="str">
        <f t="shared" si="60"/>
        <v xml:space="preserve">
| [Sanctuary of Oropa](/places/it-sanctuary-of-oropa) | [Italy](/tags/italy) |  | [Link](/places/it-sanctuary-of-oropa) [Official site](https://www.santuariodioropa.it/en/)| [Bl. Pier Giorgio Frassati, TOSD](/tags/pier-giorgio-frassati) |</v>
      </c>
    </row>
    <row r="46" spans="1:89" ht="49.75" x14ac:dyDescent="0.4">
      <c r="A46" s="14" t="s">
        <v>1320</v>
      </c>
      <c r="B46" s="85" t="s">
        <v>509</v>
      </c>
      <c r="C46" s="93" t="s">
        <v>1824</v>
      </c>
      <c r="D46" s="15">
        <v>50.847874450660399</v>
      </c>
      <c r="E46" s="49">
        <v>4.35897312161425</v>
      </c>
      <c r="F46" s="85" t="s">
        <v>1821</v>
      </c>
      <c r="G46" s="92" t="s">
        <v>1830</v>
      </c>
      <c r="H46" s="93" t="s">
        <v>1760</v>
      </c>
      <c r="I46" s="15" t="b">
        <v>1</v>
      </c>
      <c r="L46" s="85" t="s">
        <v>1831</v>
      </c>
      <c r="M46" s="92" t="s">
        <v>1822</v>
      </c>
      <c r="N46" s="93" t="s">
        <v>1823</v>
      </c>
      <c r="O46" s="15" t="s">
        <v>336</v>
      </c>
      <c r="AR46" s="28" t="b">
        <f t="shared" si="38"/>
        <v>1</v>
      </c>
      <c r="AS46" s="29" t="str">
        <f t="shared" si="39"/>
        <v>title: "St. Michael and St. Gudula Cathedral (Brussels Cathedral)"</v>
      </c>
      <c r="AT46" s="29" t="str">
        <f t="shared" si="40"/>
        <v>location: {lat: 50.8478744506604, lng: 4.35897312161425}</v>
      </c>
      <c r="AU46" s="29" t="str">
        <f t="shared" si="41"/>
        <v>level: regional</v>
      </c>
      <c r="AV46" s="29" t="str">
        <f>"- "&amp;VLOOKUP(B46,'(Ref) Countries'!A:C,3,)</f>
        <v>- belgium</v>
      </c>
      <c r="AW46" s="29" t="str">
        <f t="shared" si="42"/>
        <v>- brussels</v>
      </c>
      <c r="AX46" s="29" t="str">
        <f t="shared" si="43"/>
        <v>- churches</v>
      </c>
      <c r="AY46" s="29" t="str">
        <f t="shared" si="44"/>
        <v/>
      </c>
      <c r="AZ46" s="29" t="str">
        <f t="shared" si="45"/>
        <v/>
      </c>
      <c r="BA46" s="29" t="str">
        <f t="shared" ref="BA46" si="63">IF(LEN(Y46)&gt;0,"- "&amp;Y46,"")</f>
        <v/>
      </c>
      <c r="BB46" s="29" t="str">
        <f t="shared" ref="BB46" si="64">IF(LEN(Z46)&gt;0,"- "&amp;Z46,"")</f>
        <v/>
      </c>
      <c r="BC46" s="29" t="str">
        <f t="shared" ref="BC46" si="65">IF(LEN(AA46)&gt;0,"- "&amp;AA46,"")</f>
        <v/>
      </c>
      <c r="BD46" s="29" t="str">
        <f t="shared" ref="BD46" si="66">IF(LEN(AB46)&gt;0,"- "&amp;AB46,"")</f>
        <v/>
      </c>
      <c r="BE46" s="29" t="str">
        <f t="shared" ref="BE46" si="67">IF(LEN(AC46)&gt;0,"- "&amp;AC46,"")</f>
        <v/>
      </c>
      <c r="BF46" s="29" t="str">
        <f t="shared" ref="BF46" si="68">IF(LEN(AD46)&gt;0,"- "&amp;AD46,"")</f>
        <v/>
      </c>
      <c r="BG46" s="29" t="str">
        <f t="shared" ref="BG46" si="69">IF(LEN(AE46)&gt;0,"- "&amp;AE46,"")</f>
        <v/>
      </c>
      <c r="BH46" s="29" t="str">
        <f t="shared" ref="BH46" si="70">IF(LEN(AF46)&gt;0,"- "&amp;AF46,"")</f>
        <v/>
      </c>
      <c r="BI46" s="29" t="str">
        <f t="shared" ref="BI46" si="71">IF(LEN(AG46)&gt;0,"- "&amp;AG46,"")</f>
        <v/>
      </c>
      <c r="BJ46" s="29" t="str">
        <f t="shared" ref="BJ46" si="72">IF(LEN(AH46)&gt;0,"- "&amp;AH46,"")</f>
        <v/>
      </c>
      <c r="BK46" s="29" t="str">
        <f t="shared" ref="BK46" si="73">"tags:"&amp;CHAR(10)&amp;concatl(AV46:BJ46)</f>
        <v xml:space="preserve">tags:
- belgium_x000D_
- brussels_x000D_
- churches_x000D_
</v>
      </c>
      <c r="BL46" s="30" t="str">
        <f t="shared" si="46"/>
        <v>[Official site](https://www.cathedralisbruxellensis.be/)</v>
      </c>
      <c r="BM46" s="30" t="str">
        <f t="shared" si="47"/>
        <v/>
      </c>
      <c r="BN46" s="30" t="str">
        <f t="shared" si="48"/>
        <v/>
      </c>
      <c r="BO46" s="30" t="str">
        <f t="shared" si="49"/>
        <v/>
      </c>
      <c r="BP46" s="30" t="str">
        <f t="shared" ref="BP46" si="74">IF(LEN(BL46)&gt;0,"* "&amp;BL46&amp;CHAR(10),"")&amp;
IF(LEN(BM46)&gt;0,"* "&amp;BM46&amp;CHAR(10),"")&amp;
IF(LEN(BN46)&gt;0,"* "&amp;BN46&amp;CHAR(10),"")&amp;
IF(LEN(BO46)&gt;0,"* "&amp;BO46&amp;CHAR(10),"")</f>
        <v xml:space="preserve">* [Official site](https://www.cathedralisbruxellensis.be/)
</v>
      </c>
      <c r="BQ46" s="30" t="str">
        <f t="shared" si="50"/>
        <v/>
      </c>
      <c r="BR46" s="30" t="str">
        <f t="shared" si="51"/>
        <v/>
      </c>
      <c r="BS46" s="30" t="str">
        <f t="shared" si="52"/>
        <v/>
      </c>
      <c r="BT46" s="30" t="str">
        <f>IF(LEN(_xludf.concat(BQ46:BS46))&gt;0,_xludf.concat("| ",BQ46," | ",BR46," | ",BS46," |"),"")</f>
        <v/>
      </c>
      <c r="BU46" s="29" t="str">
        <f t="shared" si="53"/>
        <v/>
      </c>
      <c r="BV46" s="29" t="str">
        <f>IF(LEN(BP46&amp;BU46)&gt;0,concatll("#### More Information",BP46,BU46),"")</f>
        <v xml:space="preserve">#### More Information_x000D_
_x000D_
* [Official site](https://www.cathedralisbruxellensis.be/)
_x000D_
_x000D_
</v>
      </c>
      <c r="BW46" s="29" t="str">
        <f>IF(LEN(M46)&gt;1,concatll("#### Author's Note",M46),"")</f>
        <v xml:space="preserve">#### Author's Note_x000D_
_x000D_
This church has the most awesome pulpit I have ever seen.
-JPY_x000D_
_x000D_
</v>
      </c>
      <c r="BX46" s="23" t="str">
        <f>IF(AR46,concatll(concatl("---",AS46:AU46,BK46,"---"),L46,BV46:BW46),"")</f>
        <v xml:space="preserve">---_x000D_
title: "St. Michael and St. Gudula Cathedral (Brussels Cathedral)"_x000D_
location: {lat: 50.8478744506604, lng: 4.35897312161425}_x000D_
level: regional_x000D_
tags:
- belgium_x000D_
- brussels_x000D_
- churches_x000D_
_x000D_
---_x000D_
_x000D_
_x000D_
National church of Belgium.  St. Gudula's relics were kept here until they were destroyed during the Reformation._x000D_
_x000D_
#### More Information_x000D_
_x000D_
* [Official site](https://www.cathedralisbruxellensis.be/)
_x000D_
_x000D_
_x000D_
_x000D_
#### Author's Note_x000D_
_x000D_
This church has the most awesome pulpit I have ever seen.
-JPY_x000D_
_x000D_
_x000D_
_x000D_
</v>
      </c>
      <c r="BY46" s="23" t="str">
        <f>IF(AR46,VLOOKUP(B46,'(Ref) Countries'!A:B,2,)&amp;IF(LEN(C46)&gt;1,"-"&amp;LOWER(SUBSTITUTE(C46," ","-")),"")&amp;"-"&amp;LOWER(SUBSTITUTE(G46," ","-"))&amp;".md","")</f>
        <v>be-brussels-cathedral.md</v>
      </c>
      <c r="BZ46" s="29" t="str">
        <f>IF(LEN(Y46)&gt;1,VLOOKUP(Y46,'Tag List'!$A:$B,2,),"")</f>
        <v/>
      </c>
      <c r="CA46" s="29" t="str">
        <f>IF(LEN(Z46)&gt;1,VLOOKUP(Z46,'Tag List'!$A:$B,2,),"")</f>
        <v/>
      </c>
      <c r="CB46" s="29" t="str">
        <f>IF(LEN(AA46)&gt;1,VLOOKUP(AA46,'Tag List'!$A:$B,2,),"")</f>
        <v/>
      </c>
      <c r="CC46" s="30" t="str">
        <f>IF(LEN(Y46)&gt;1,GetTagPage(BZ46,Y46),"")</f>
        <v/>
      </c>
      <c r="CD46" s="30" t="str">
        <f>IF(LEN(Z46)&gt;1,GetTagPage(CA46,Z46),"")</f>
        <v/>
      </c>
      <c r="CE46" s="30" t="str">
        <f>IF(LEN(AA46)&gt;1,GetTagPage(CB46,AA46),"")</f>
        <v/>
      </c>
      <c r="CF46" s="30" t="str">
        <f t="shared" ref="CF46" si="75">"|"&amp;IF(LEN(CC46)&gt;1," "&amp;CC46,"")&amp;IF(LEN(CD46)&gt;1,", "&amp;CD46,"")&amp;IF(LEN(CE46)&gt;1,", "&amp;CE46,"")&amp;" "</f>
        <v xml:space="preserve">| </v>
      </c>
      <c r="CG46" s="30" t="str">
        <f t="shared" si="54"/>
        <v xml:space="preserve">| [](/places/be-brussels-cathedral) </v>
      </c>
      <c r="CH46" s="30" t="str">
        <f>"| "&amp;IF(AR46,GetTagPage(B46,VLOOKUP(B46,'(Ref) Countries'!A:C,3,)),B46)&amp; " "</f>
        <v xml:space="preserve">| [Belgium](/tags/belgium) </v>
      </c>
      <c r="CI46" s="30" t="str">
        <f t="shared" si="55"/>
        <v xml:space="preserve">|  </v>
      </c>
      <c r="CJ46" s="30" t="str">
        <f t="shared" ref="CJ46" si="76">"|"&amp;IF(AR46," [Link](/places/"&amp;SUBSTITUTE(BY46,".md","")&amp;")","")&amp;" "</f>
        <v xml:space="preserve">| [Link](/places/be-brussels-cathedral) </v>
      </c>
      <c r="CK46" s="29" t="str">
        <f t="shared" ref="CK46" si="77">"
"&amp;CG46&amp;CH46&amp;CI46&amp;CJ46&amp;BL46&amp;BQ46&amp;BR46&amp;BS46&amp;CF46&amp;"|"</f>
        <v xml:space="preserve">
| [](/places/be-brussels-cathedral) | [Belgium](/tags/belgium) |  | [Link](/places/be-brussels-cathedral) [Official site](https://www.cathedralisbruxellensis.be/)| |</v>
      </c>
    </row>
    <row r="47" spans="1:89" ht="37.299999999999997" x14ac:dyDescent="0.4">
      <c r="A47" s="14" t="s">
        <v>1320</v>
      </c>
      <c r="B47" s="24" t="s">
        <v>509</v>
      </c>
      <c r="C47" s="15" t="s">
        <v>1824</v>
      </c>
      <c r="D47" s="15">
        <v>50.850689952510798</v>
      </c>
      <c r="E47" s="49">
        <v>4.3480492761285401</v>
      </c>
      <c r="F47" s="85" t="s">
        <v>1825</v>
      </c>
      <c r="G47" s="92" t="s">
        <v>1826</v>
      </c>
      <c r="H47" s="93" t="s">
        <v>1827</v>
      </c>
      <c r="I47" s="15" t="b">
        <v>1</v>
      </c>
      <c r="L47" s="85" t="s">
        <v>1828</v>
      </c>
      <c r="M47" s="92" t="s">
        <v>1829</v>
      </c>
      <c r="N47" s="15" t="s">
        <v>1823</v>
      </c>
      <c r="O47" s="15" t="s">
        <v>336</v>
      </c>
      <c r="AR47" s="28" t="b">
        <f t="shared" si="38"/>
        <v>1</v>
      </c>
      <c r="AS47" s="29" t="str">
        <f t="shared" si="39"/>
        <v>title: "St. Catherine's Church"</v>
      </c>
      <c r="AT47" s="29" t="str">
        <f t="shared" si="40"/>
        <v>location: {lat: 50.8506899525108, lng: 4.34804927612854}</v>
      </c>
      <c r="AU47" s="29" t="str">
        <f t="shared" si="41"/>
        <v>level: local</v>
      </c>
      <c r="AV47" s="29" t="str">
        <f>"- "&amp;VLOOKUP(B47,'(Ref) Countries'!A:C,3,)</f>
        <v>- belgium</v>
      </c>
      <c r="AW47" s="29" t="str">
        <f t="shared" si="42"/>
        <v>- brussels</v>
      </c>
      <c r="AX47" s="29" t="str">
        <f t="shared" si="43"/>
        <v>- churches</v>
      </c>
      <c r="AY47" s="29" t="str">
        <f t="shared" si="44"/>
        <v/>
      </c>
      <c r="AZ47" s="29" t="str">
        <f t="shared" si="45"/>
        <v/>
      </c>
      <c r="BA47" s="29" t="str">
        <f t="shared" ref="BA47" si="78">IF(LEN(Y47)&gt;0,"- "&amp;Y47,"")</f>
        <v/>
      </c>
      <c r="BB47" s="29" t="str">
        <f t="shared" ref="BB47" si="79">IF(LEN(Z47)&gt;0,"- "&amp;Z47,"")</f>
        <v/>
      </c>
      <c r="BC47" s="29" t="str">
        <f t="shared" ref="BC47" si="80">IF(LEN(AA47)&gt;0,"- "&amp;AA47,"")</f>
        <v/>
      </c>
      <c r="BD47" s="29" t="str">
        <f t="shared" ref="BD47" si="81">IF(LEN(AB47)&gt;0,"- "&amp;AB47,"")</f>
        <v/>
      </c>
      <c r="BE47" s="29" t="str">
        <f t="shared" ref="BE47" si="82">IF(LEN(AC47)&gt;0,"- "&amp;AC47,"")</f>
        <v/>
      </c>
      <c r="BF47" s="29" t="str">
        <f t="shared" ref="BF47" si="83">IF(LEN(AD47)&gt;0,"- "&amp;AD47,"")</f>
        <v/>
      </c>
      <c r="BG47" s="29" t="str">
        <f t="shared" ref="BG47" si="84">IF(LEN(AE47)&gt;0,"- "&amp;AE47,"")</f>
        <v/>
      </c>
      <c r="BH47" s="29" t="str">
        <f t="shared" ref="BH47" si="85">IF(LEN(AF47)&gt;0,"- "&amp;AF47,"")</f>
        <v/>
      </c>
      <c r="BI47" s="29" t="str">
        <f t="shared" ref="BI47" si="86">IF(LEN(AG47)&gt;0,"- "&amp;AG47,"")</f>
        <v/>
      </c>
      <c r="BJ47" s="29" t="str">
        <f t="shared" ref="BJ47" si="87">IF(LEN(AH47)&gt;0,"- "&amp;AH47,"")</f>
        <v/>
      </c>
      <c r="BK47" s="29" t="str">
        <f t="shared" ref="BK47" si="88">"tags:"&amp;CHAR(10)&amp;concatl(AV47:BJ47)</f>
        <v xml:space="preserve">tags:
- belgium_x000D_
- brussels_x000D_
- churches_x000D_
</v>
      </c>
      <c r="BL47" s="29" t="str">
        <f t="shared" si="46"/>
        <v>[Official site](https://www.cathedralisbruxellensis.be/)</v>
      </c>
      <c r="BM47" s="29" t="str">
        <f t="shared" si="47"/>
        <v/>
      </c>
      <c r="BN47" s="29" t="str">
        <f t="shared" si="48"/>
        <v/>
      </c>
      <c r="BO47" s="29" t="str">
        <f t="shared" si="49"/>
        <v/>
      </c>
      <c r="BP47" s="29" t="str">
        <f t="shared" ref="BP47" si="89">IF(LEN(BL47)&gt;0,"* "&amp;BL47&amp;CHAR(10),"")&amp;
IF(LEN(BM47)&gt;0,"* "&amp;BM47&amp;CHAR(10),"")&amp;
IF(LEN(BN47)&gt;0,"* "&amp;BN47&amp;CHAR(10),"")&amp;
IF(LEN(BO47)&gt;0,"* "&amp;BO47&amp;CHAR(10),"")</f>
        <v xml:space="preserve">* [Official site](https://www.cathedralisbruxellensis.be/)
</v>
      </c>
      <c r="BQ47" s="29" t="str">
        <f t="shared" si="50"/>
        <v/>
      </c>
      <c r="BR47" s="29" t="str">
        <f t="shared" si="51"/>
        <v/>
      </c>
      <c r="BS47" s="29" t="str">
        <f t="shared" si="52"/>
        <v/>
      </c>
      <c r="BT47" s="29" t="str">
        <f>IF(LEN(_xludf.concat(BQ47:BS47))&gt;0,_xludf.concat("| ",BQ47," | ",BR47," | ",BS47," |"),"")</f>
        <v/>
      </c>
      <c r="BU47" s="29" t="str">
        <f t="shared" si="53"/>
        <v/>
      </c>
      <c r="BV47" s="29" t="str">
        <f>IF(LEN(BP47&amp;BU47)&gt;0,concatll("#### More Information",BP47,BU47),"")</f>
        <v xml:space="preserve">#### More Information_x000D_
_x000D_
* [Official site](https://www.cathedralisbruxellensis.be/)
_x000D_
_x000D_
</v>
      </c>
      <c r="BW47" s="29" t="str">
        <f>IF(LEN(M47)&gt;1,concatll("#### Author's Note",M47),"")</f>
        <v xml:space="preserve">#### Author's Note_x000D_
_x000D_
As of 2023, this church has tons of confession times.
-JPY_x000D_
_x000D_
</v>
      </c>
      <c r="BX47" s="23" t="str">
        <f>IF(AR47,concatll(concatl("---",AS47:AU47,BK47,"---"),L47,BV47:BW47),"")</f>
        <v xml:space="preserve">---_x000D_
title: "St. Catherine's Church"_x000D_
location: {lat: 50.8506899525108, lng: 4.34804927612854}_x000D_
level: local_x000D_
tags:
- belgium_x000D_
- brussels_x000D_
- churches_x000D_
_x000D_
---_x000D_
_x000D_
_x000D_
Historic church in the former Port of Brussels, before the docks were covered over._x000D_
_x000D_
#### More Information_x000D_
_x000D_
* [Official site](https://www.cathedralisbruxellensis.be/)
_x000D_
_x000D_
_x000D_
_x000D_
#### Author's Note_x000D_
_x000D_
As of 2023, this church has tons of confession times.
-JPY_x000D_
_x000D_
_x000D_
_x000D_
</v>
      </c>
      <c r="BY47" s="31" t="str">
        <f>IF(AR47,VLOOKUP(B47,'(Ref) Countries'!A:B,2,)&amp;IF(LEN(C47)&gt;1,"-"&amp;LOWER(SUBSTITUTE(C47," ","-")),"")&amp;"-"&amp;LOWER(SUBSTITUTE(G47," ","-"))&amp;".md","")</f>
        <v>be-brussels-st-catherine.md</v>
      </c>
      <c r="BZ47" s="29" t="str">
        <f>IF(LEN(Y47)&gt;1,VLOOKUP(Y47,'Tag List'!$A:$B,2,),"")</f>
        <v/>
      </c>
      <c r="CA47" s="29" t="str">
        <f>IF(LEN(Z47)&gt;1,VLOOKUP(Z47,'Tag List'!$A:$B,2,),"")</f>
        <v/>
      </c>
      <c r="CB47" s="29" t="str">
        <f>IF(LEN(AA47)&gt;1,VLOOKUP(AA47,'Tag List'!$A:$B,2,),"")</f>
        <v/>
      </c>
      <c r="CC47" s="29" t="str">
        <f>IF(LEN(Y47)&gt;1,GetTagPage(BZ47,Y47),"")</f>
        <v/>
      </c>
      <c r="CD47" s="29" t="str">
        <f>IF(LEN(Z47)&gt;1,GetTagPage(CA47,Z47),"")</f>
        <v/>
      </c>
      <c r="CE47" s="29" t="str">
        <f>IF(LEN(AA47)&gt;1,GetTagPage(CB47,AA47),"")</f>
        <v/>
      </c>
      <c r="CF47" s="29" t="str">
        <f t="shared" ref="CF47" si="90">"|"&amp;IF(LEN(CC47)&gt;1," "&amp;CC47,"")&amp;IF(LEN(CD47)&gt;1,", "&amp;CD47,"")&amp;IF(LEN(CE47)&gt;1,", "&amp;CE47,"")&amp;" "</f>
        <v xml:space="preserve">| </v>
      </c>
      <c r="CG47" s="29" t="str">
        <f t="shared" si="54"/>
        <v xml:space="preserve">| [](/places/be-brussels-st-catherine) </v>
      </c>
      <c r="CH47" s="29" t="str">
        <f>"| "&amp;IF(AR47,GetTagPage(B47,VLOOKUP(B47,'(Ref) Countries'!A:C,3,)),B47)&amp; " "</f>
        <v xml:space="preserve">| [Belgium](/tags/belgium) </v>
      </c>
      <c r="CI47" s="29" t="str">
        <f t="shared" si="55"/>
        <v xml:space="preserve">|  </v>
      </c>
      <c r="CJ47" s="29" t="str">
        <f t="shared" ref="CJ47" si="91">"|"&amp;IF(AR47," [Link](/places/"&amp;SUBSTITUTE(BY47,".md","")&amp;")","")&amp;" "</f>
        <v xml:space="preserve">| [Link](/places/be-brussels-st-catherine) </v>
      </c>
      <c r="CK47" s="29" t="str">
        <f t="shared" ref="CK47" si="92">"
"&amp;CG47&amp;CH47&amp;CI47&amp;CJ47&amp;BL47&amp;BQ47&amp;BR47&amp;BS47&amp;CF47&amp;"|"</f>
        <v xml:space="preserve">
| [](/places/be-brussels-st-catherine) | [Belgium](/tags/belgium) |  | [Link](/places/be-brussels-st-catherine) [Official site](https://www.cathedralisbruxellensis.be/)| |</v>
      </c>
    </row>
    <row r="48" spans="1:89" ht="37.299999999999997" x14ac:dyDescent="0.4">
      <c r="A48" s="14" t="s">
        <v>1320</v>
      </c>
      <c r="B48" s="85" t="s">
        <v>542</v>
      </c>
      <c r="C48" s="93" t="s">
        <v>1856</v>
      </c>
      <c r="D48" s="15">
        <v>48.373341813628898</v>
      </c>
      <c r="E48" s="49">
        <v>10.8960887661434</v>
      </c>
      <c r="F48" s="24" t="s">
        <v>1832</v>
      </c>
      <c r="G48" s="92" t="s">
        <v>1833</v>
      </c>
      <c r="H48" s="93" t="s">
        <v>1760</v>
      </c>
      <c r="K48" s="15" t="b">
        <v>1</v>
      </c>
      <c r="L48" s="85" t="s">
        <v>1841</v>
      </c>
      <c r="N48" s="15" t="s">
        <v>1834</v>
      </c>
      <c r="O48" s="15" t="s">
        <v>336</v>
      </c>
      <c r="Y48" s="93" t="s">
        <v>1835</v>
      </c>
      <c r="Z48" s="93" t="s">
        <v>1836</v>
      </c>
      <c r="AA48" s="93" t="s">
        <v>1839</v>
      </c>
      <c r="AR48" s="28" t="b">
        <f t="shared" si="38"/>
        <v>1</v>
      </c>
      <c r="AS48" s="29" t="str">
        <f t="shared" si="39"/>
        <v>title: "Diocesan Museum of St. Afra"</v>
      </c>
      <c r="AT48" s="29" t="str">
        <f t="shared" si="40"/>
        <v>location: {lat: 48.3733418136289, lng: 10.8960887661434}</v>
      </c>
      <c r="AU48" s="29" t="str">
        <f t="shared" si="41"/>
        <v>level: regional</v>
      </c>
      <c r="AV48" s="29" t="str">
        <f>"- "&amp;VLOOKUP(B48,'(Ref) Countries'!A:C,3,)</f>
        <v>- germany</v>
      </c>
      <c r="AW48" s="29" t="str">
        <f t="shared" si="42"/>
        <v>- augsburg</v>
      </c>
      <c r="AX48" s="29" t="str">
        <f t="shared" si="43"/>
        <v/>
      </c>
      <c r="AY48" s="29" t="str">
        <f t="shared" si="44"/>
        <v/>
      </c>
      <c r="AZ48" s="29" t="str">
        <f t="shared" si="45"/>
        <v>- holy-persons</v>
      </c>
      <c r="BA48" s="29" t="str">
        <f t="shared" ref="BA48" si="93">IF(LEN(Y48)&gt;0,"- "&amp;Y48,"")</f>
        <v>- ulrich</v>
      </c>
      <c r="BB48" s="29" t="str">
        <f t="shared" ref="BB48" si="94">IF(LEN(Z48)&gt;0,"- "&amp;Z48,"")</f>
        <v>- afra</v>
      </c>
      <c r="BC48" s="29" t="str">
        <f t="shared" ref="BC48" si="95">IF(LEN(AA48)&gt;0,"- "&amp;AA48,"")</f>
        <v>- simpert</v>
      </c>
      <c r="BD48" s="29" t="str">
        <f t="shared" ref="BD48" si="96">IF(LEN(AB48)&gt;0,"- "&amp;AB48,"")</f>
        <v/>
      </c>
      <c r="BE48" s="29" t="str">
        <f t="shared" ref="BE48" si="97">IF(LEN(AC48)&gt;0,"- "&amp;AC48,"")</f>
        <v/>
      </c>
      <c r="BF48" s="29" t="str">
        <f t="shared" ref="BF48" si="98">IF(LEN(AD48)&gt;0,"- "&amp;AD48,"")</f>
        <v/>
      </c>
      <c r="BG48" s="29" t="str">
        <f t="shared" ref="BG48" si="99">IF(LEN(AE48)&gt;0,"- "&amp;AE48,"")</f>
        <v/>
      </c>
      <c r="BH48" s="29" t="str">
        <f t="shared" ref="BH48" si="100">IF(LEN(AF48)&gt;0,"- "&amp;AF48,"")</f>
        <v/>
      </c>
      <c r="BI48" s="29" t="str">
        <f t="shared" ref="BI48" si="101">IF(LEN(AG48)&gt;0,"- "&amp;AG48,"")</f>
        <v/>
      </c>
      <c r="BJ48" s="29" t="str">
        <f t="shared" ref="BJ48" si="102">IF(LEN(AH48)&gt;0,"- "&amp;AH48,"")</f>
        <v/>
      </c>
      <c r="BK48" s="29" t="str">
        <f t="shared" ref="BK48" si="103">"tags:"&amp;CHAR(10)&amp;concatl(AV48:BJ48)</f>
        <v xml:space="preserve">tags:
- germany_x000D_
- augsburg_x000D_
- holy-persons_x000D_
- ulrich_x000D_
- afra_x000D_
- simpert_x000D_
</v>
      </c>
      <c r="BL48" s="29" t="str">
        <f t="shared" si="46"/>
        <v>[Official site](https://www.museum-st-afra.de/en/)</v>
      </c>
      <c r="BM48" s="29" t="str">
        <f t="shared" si="47"/>
        <v/>
      </c>
      <c r="BN48" s="29" t="str">
        <f t="shared" si="48"/>
        <v/>
      </c>
      <c r="BO48" s="29" t="str">
        <f t="shared" si="49"/>
        <v/>
      </c>
      <c r="BP48" s="29" t="str">
        <f t="shared" ref="BP48" si="104">IF(LEN(BL48)&gt;0,"* "&amp;BL48&amp;CHAR(10),"")&amp;
IF(LEN(BM48)&gt;0,"* "&amp;BM48&amp;CHAR(10),"")&amp;
IF(LEN(BN48)&gt;0,"* "&amp;BN48&amp;CHAR(10),"")&amp;
IF(LEN(BO48)&gt;0,"* "&amp;BO48&amp;CHAR(10),"")</f>
        <v xml:space="preserve">* [Official site](https://www.museum-st-afra.de/en/)
</v>
      </c>
      <c r="BQ48" s="29" t="str">
        <f t="shared" si="50"/>
        <v/>
      </c>
      <c r="BR48" s="29" t="str">
        <f t="shared" si="51"/>
        <v/>
      </c>
      <c r="BS48" s="29" t="str">
        <f t="shared" si="52"/>
        <v/>
      </c>
      <c r="BT48" s="29" t="str">
        <f>IF(LEN(_xludf.concat(BQ48:BS48))&gt;0,_xludf.concat("| ",BQ48," | ",BR48," | ",BS48," |"),"")</f>
        <v/>
      </c>
      <c r="BU48" s="29" t="str">
        <f t="shared" si="53"/>
        <v/>
      </c>
      <c r="BV48" s="29" t="str">
        <f>IF(LEN(BP48&amp;BU48)&gt;0,concatll("#### More Information",BP48,BU48),"")</f>
        <v xml:space="preserve">#### More Information_x000D_
_x000D_
* [Official site](https://www.museum-st-afra.de/en/)
_x000D_
_x000D_
</v>
      </c>
      <c r="BW48" s="29" t="str">
        <f>IF(LEN(M48)&gt;1,concatll("#### Author's Note",M48),"")</f>
        <v/>
      </c>
      <c r="BX48" s="23" t="str">
        <f>IF(AR48,concatll(concatl("---",AS48:AU48,BK48,"---"),L48,BV48:BW48),"")</f>
        <v xml:space="preserve">---_x000D_
title: "Diocesan Museum of St. Afra"_x000D_
location: {lat: 48.3733418136289, lng: 10.8960887661434}_x000D_
level: regional_x000D_
tags:
- germany_x000D_
- augsburg_x000D_
- holy-persons_x000D_
- ulrich_x000D_
- afra_x000D_
- simpert_x000D_
_x000D_
---_x000D_
_x000D_
_x000D_
Museum of the Diocese of Augsburg, featuring vestments and other items owned by St. Ulrich.  Also presents history of Sts. Afra and Simpert, also of the Diocese of Augsburg._x000D_
_x000D_
#### More Information_x000D_
_x000D_
* [Official site](https://www.museum-st-afra.de/en/)
_x000D_
_x000D_
_x000D_
_x000D_
</v>
      </c>
      <c r="BY48" s="31" t="str">
        <f>IF(AR48,VLOOKUP(B48,'(Ref) Countries'!A:B,2,)&amp;IF(LEN(C48)&gt;1,"-"&amp;LOWER(SUBSTITUTE(C48," ","-")),"")&amp;"-"&amp;LOWER(SUBSTITUTE(G48," ","-"))&amp;".md","")</f>
        <v>de-augsburg-diocesan-museum.md</v>
      </c>
      <c r="BZ48" s="29" t="str">
        <f>IF(LEN(Y48)&gt;1,VLOOKUP(Y48,'Tag List'!$A:$B,2,),"")</f>
        <v>St. Ulrich</v>
      </c>
      <c r="CA48" s="29" t="str">
        <f>IF(LEN(Z48)&gt;1,VLOOKUP(Z48,'Tag List'!$A:$B,2,),"")</f>
        <v>St. Afra</v>
      </c>
      <c r="CB48" s="29" t="str">
        <f>IF(LEN(AA48)&gt;1,VLOOKUP(AA48,'Tag List'!$A:$B,2,),"")</f>
        <v>St. Simpert</v>
      </c>
      <c r="CC48" s="29" t="str">
        <f>IF(LEN(Y48)&gt;1,GetTagPage(BZ48,Y48),"")</f>
        <v>[St. Ulrich](/tags/ulrich)</v>
      </c>
      <c r="CD48" s="29" t="str">
        <f>IF(LEN(Z48)&gt;1,GetTagPage(CA48,Z48),"")</f>
        <v>[St. Afra](/tags/afra)</v>
      </c>
      <c r="CE48" s="29" t="str">
        <f>IF(LEN(AA48)&gt;1,GetTagPage(CB48,AA48),"")</f>
        <v>[St. Simpert](/tags/simpert)</v>
      </c>
      <c r="CF48" s="29" t="str">
        <f t="shared" ref="CF48" si="105">"|"&amp;IF(LEN(CC48)&gt;1," "&amp;CC48,"")&amp;IF(LEN(CD48)&gt;1,", "&amp;CD48,"")&amp;IF(LEN(CE48)&gt;1,", "&amp;CE48,"")&amp;" "</f>
        <v xml:space="preserve">| [St. Ulrich](/tags/ulrich), [St. Afra](/tags/afra), [St. Simpert](/tags/simpert) </v>
      </c>
      <c r="CG48" s="29" t="str">
        <f t="shared" si="54"/>
        <v xml:space="preserve">| [](/places/de-augsburg-diocesan-museum) </v>
      </c>
      <c r="CH48" s="29" t="str">
        <f>"| "&amp;IF(AR48,GetTagPage(B48,VLOOKUP(B48,'(Ref) Countries'!A:C,3,)),B48)&amp; " "</f>
        <v xml:space="preserve">| [Germany](/tags/germany) </v>
      </c>
      <c r="CI48" s="29" t="str">
        <f t="shared" si="55"/>
        <v xml:space="preserve">|  </v>
      </c>
      <c r="CJ48" s="29" t="str">
        <f t="shared" ref="CJ48" si="106">"|"&amp;IF(AR48," [Link](/places/"&amp;SUBSTITUTE(BY48,".md","")&amp;")","")&amp;" "</f>
        <v xml:space="preserve">| [Link](/places/de-augsburg-diocesan-museum) </v>
      </c>
      <c r="CK48" s="29" t="str">
        <f t="shared" ref="CK48" si="107">"
"&amp;CG48&amp;CH48&amp;CI48&amp;CJ48&amp;BL48&amp;BQ48&amp;BR48&amp;BS48&amp;CF48&amp;"|"</f>
        <v xml:space="preserve">
| [](/places/de-augsburg-diocesan-museum) | [Germany](/tags/germany) |  | [Link](/places/de-augsburg-diocesan-museum) [Official site](https://www.museum-st-afra.de/en/)| [St. Ulrich](/tags/ulrich), [St. Afra](/tags/afra), [St. Simpert](/tags/simpert) |</v>
      </c>
    </row>
    <row r="49" spans="1:89" ht="24.9" x14ac:dyDescent="0.4">
      <c r="A49" s="14" t="s">
        <v>1320</v>
      </c>
      <c r="B49" s="24" t="s">
        <v>542</v>
      </c>
      <c r="C49" s="15" t="s">
        <v>1856</v>
      </c>
      <c r="D49" s="15">
        <v>48.372656224858602</v>
      </c>
      <c r="E49" s="49">
        <v>10.896980204558901</v>
      </c>
      <c r="F49" s="85" t="s">
        <v>1843</v>
      </c>
      <c r="G49" s="92" t="s">
        <v>1830</v>
      </c>
      <c r="H49" s="93" t="s">
        <v>1827</v>
      </c>
      <c r="I49" s="15" t="b">
        <v>1</v>
      </c>
      <c r="K49" s="15" t="b">
        <v>1</v>
      </c>
      <c r="L49" s="85" t="s">
        <v>1842</v>
      </c>
      <c r="N49" s="15" t="s">
        <v>1844</v>
      </c>
      <c r="O49" s="15" t="s">
        <v>336</v>
      </c>
      <c r="Y49" s="15" t="s">
        <v>1845</v>
      </c>
      <c r="AR49" s="28" t="b">
        <f t="shared" si="38"/>
        <v>1</v>
      </c>
      <c r="AS49" s="29" t="str">
        <f t="shared" si="39"/>
        <v>title: "Augsburg Cathedral (Augsburgur Dom)"</v>
      </c>
      <c r="AT49" s="29" t="str">
        <f t="shared" si="40"/>
        <v>location: {lat: 48.3726562248586, lng: 10.8969802045589}</v>
      </c>
      <c r="AU49" s="29" t="str">
        <f t="shared" si="41"/>
        <v>level: local</v>
      </c>
      <c r="AV49" s="29" t="str">
        <f>"- "&amp;VLOOKUP(B49,'(Ref) Countries'!A:C,3,)</f>
        <v>- germany</v>
      </c>
      <c r="AW49" s="29" t="str">
        <f t="shared" si="42"/>
        <v>- augsburg</v>
      </c>
      <c r="AX49" s="29" t="str">
        <f t="shared" si="43"/>
        <v>- churches</v>
      </c>
      <c r="AY49" s="29" t="str">
        <f t="shared" si="44"/>
        <v/>
      </c>
      <c r="AZ49" s="29" t="str">
        <f t="shared" si="45"/>
        <v>- holy-persons</v>
      </c>
      <c r="BA49" s="29" t="str">
        <f t="shared" ref="BA49" si="108">IF(LEN(Y49)&gt;0,"- "&amp;Y49,"")</f>
        <v>- peter-canisius</v>
      </c>
      <c r="BB49" s="29" t="str">
        <f t="shared" ref="BB49" si="109">IF(LEN(Z49)&gt;0,"- "&amp;Z49,"")</f>
        <v/>
      </c>
      <c r="BC49" s="29" t="str">
        <f t="shared" ref="BC49" si="110">IF(LEN(AA49)&gt;0,"- "&amp;AA49,"")</f>
        <v/>
      </c>
      <c r="BD49" s="29" t="str">
        <f t="shared" ref="BD49" si="111">IF(LEN(AB49)&gt;0,"- "&amp;AB49,"")</f>
        <v/>
      </c>
      <c r="BE49" s="29" t="str">
        <f t="shared" ref="BE49" si="112">IF(LEN(AC49)&gt;0,"- "&amp;AC49,"")</f>
        <v/>
      </c>
      <c r="BF49" s="29" t="str">
        <f t="shared" ref="BF49" si="113">IF(LEN(AD49)&gt;0,"- "&amp;AD49,"")</f>
        <v/>
      </c>
      <c r="BG49" s="29" t="str">
        <f t="shared" ref="BG49" si="114">IF(LEN(AE49)&gt;0,"- "&amp;AE49,"")</f>
        <v/>
      </c>
      <c r="BH49" s="29" t="str">
        <f t="shared" ref="BH49" si="115">IF(LEN(AF49)&gt;0,"- "&amp;AF49,"")</f>
        <v/>
      </c>
      <c r="BI49" s="29" t="str">
        <f t="shared" ref="BI49" si="116">IF(LEN(AG49)&gt;0,"- "&amp;AG49,"")</f>
        <v/>
      </c>
      <c r="BJ49" s="29" t="str">
        <f t="shared" ref="BJ49" si="117">IF(LEN(AH49)&gt;0,"- "&amp;AH49,"")</f>
        <v/>
      </c>
      <c r="BK49" s="29" t="str">
        <f t="shared" ref="BK49" si="118">"tags:"&amp;CHAR(10)&amp;concatl(AV49:BJ49)</f>
        <v xml:space="preserve">tags:
- germany_x000D_
- augsburg_x000D_
- churches_x000D_
- holy-persons_x000D_
- peter-canisius_x000D_
</v>
      </c>
      <c r="BL49" s="29" t="str">
        <f t="shared" si="46"/>
        <v>[Official site](https://bistum-augsburg.de/Bistum/Unser-Bistum/Kathedrale/Hoher-Dom)</v>
      </c>
      <c r="BM49" s="29" t="str">
        <f t="shared" si="47"/>
        <v/>
      </c>
      <c r="BN49" s="29" t="str">
        <f t="shared" si="48"/>
        <v/>
      </c>
      <c r="BO49" s="29" t="str">
        <f t="shared" si="49"/>
        <v/>
      </c>
      <c r="BP49" s="29" t="str">
        <f t="shared" ref="BP49" si="119">IF(LEN(BL49)&gt;0,"* "&amp;BL49&amp;CHAR(10),"")&amp;
IF(LEN(BM49)&gt;0,"* "&amp;BM49&amp;CHAR(10),"")&amp;
IF(LEN(BN49)&gt;0,"* "&amp;BN49&amp;CHAR(10),"")&amp;
IF(LEN(BO49)&gt;0,"* "&amp;BO49&amp;CHAR(10),"")</f>
        <v xml:space="preserve">* [Official site](https://bistum-augsburg.de/Bistum/Unser-Bistum/Kathedrale/Hoher-Dom)
</v>
      </c>
      <c r="BQ49" s="29" t="str">
        <f t="shared" si="50"/>
        <v/>
      </c>
      <c r="BR49" s="29" t="str">
        <f t="shared" si="51"/>
        <v/>
      </c>
      <c r="BS49" s="29" t="str">
        <f t="shared" si="52"/>
        <v/>
      </c>
      <c r="BT49" s="29" t="str">
        <f>IF(LEN(_xludf.concat(BQ49:BS49))&gt;0,_xludf.concat("| ",BQ49," | ",BR49," | ",BS49," |"),"")</f>
        <v/>
      </c>
      <c r="BU49" s="29" t="str">
        <f t="shared" si="53"/>
        <v/>
      </c>
      <c r="BV49" s="29" t="str">
        <f>IF(LEN(BP49&amp;BU49)&gt;0,concatll("#### More Information",BP49,BU49),"")</f>
        <v xml:space="preserve">#### More Information_x000D_
_x000D_
* [Official site](https://bistum-augsburg.de/Bistum/Unser-Bistum/Kathedrale/Hoher-Dom)
_x000D_
_x000D_
</v>
      </c>
      <c r="BW49" s="29" t="str">
        <f>IF(LEN(M49)&gt;1,concatll("#### Author's Note",M49),"")</f>
        <v/>
      </c>
      <c r="BX49" s="23" t="str">
        <f>IF(AR49,concatll(concatl("---",AS49:AU49,BK49,"---"),L49,BV49:BW49),"")</f>
        <v xml:space="preserve">---_x000D_
title: "Augsburg Cathedral (Augsburgur Dom)"_x000D_
location: {lat: 48.3726562248586, lng: 10.8969802045589}_x000D_
level: local_x000D_
tags:
- germany_x000D_
- augsburg_x000D_
- churches_x000D_
- holy-persons_x000D_
- peter-canisius_x000D_
_x000D_
---_x000D_
_x000D_
_x000D_
Cathedral of the Diocese of Augsburg.  St. Peter Canisius was appointed the "cathedral preacher" here in 1559._x000D_
_x000D_
#### More Information_x000D_
_x000D_
* [Official site](https://bistum-augsburg.de/Bistum/Unser-Bistum/Kathedrale/Hoher-Dom)
_x000D_
_x000D_
_x000D_
_x000D_
</v>
      </c>
      <c r="BY49" s="31" t="str">
        <f>IF(AR49,VLOOKUP(B49,'(Ref) Countries'!A:B,2,)&amp;IF(LEN(C49)&gt;1,"-"&amp;LOWER(SUBSTITUTE(C49," ","-")),"")&amp;"-"&amp;LOWER(SUBSTITUTE(G49," ","-"))&amp;".md","")</f>
        <v>de-augsburg-cathedral.md</v>
      </c>
      <c r="BZ49" s="29" t="str">
        <f>IF(LEN(Y49)&gt;1,VLOOKUP(Y49,'Tag List'!$A:$B,2,),"")</f>
        <v>St. Peter Canisius</v>
      </c>
      <c r="CA49" s="29" t="str">
        <f>IF(LEN(Z49)&gt;1,VLOOKUP(Z49,'Tag List'!$A:$B,2,),"")</f>
        <v/>
      </c>
      <c r="CB49" s="29" t="str">
        <f>IF(LEN(AA49)&gt;1,VLOOKUP(AA49,'Tag List'!$A:$B,2,),"")</f>
        <v/>
      </c>
      <c r="CC49" s="29" t="str">
        <f>IF(LEN(Y49)&gt;1,GetTagPage(BZ49,Y49),"")</f>
        <v>[St. Peter Canisius](/tags/peter-canisius)</v>
      </c>
      <c r="CD49" s="29" t="str">
        <f>IF(LEN(Z49)&gt;1,GetTagPage(CA49,Z49),"")</f>
        <v/>
      </c>
      <c r="CE49" s="29" t="str">
        <f>IF(LEN(AA49)&gt;1,GetTagPage(CB49,AA49),"")</f>
        <v/>
      </c>
      <c r="CF49" s="29" t="str">
        <f t="shared" ref="CF49" si="120">"|"&amp;IF(LEN(CC49)&gt;1," "&amp;CC49,"")&amp;IF(LEN(CD49)&gt;1,", "&amp;CD49,"")&amp;IF(LEN(CE49)&gt;1,", "&amp;CE49,"")&amp;" "</f>
        <v xml:space="preserve">| [St. Peter Canisius](/tags/peter-canisius) </v>
      </c>
      <c r="CG49" s="29" t="str">
        <f t="shared" si="54"/>
        <v xml:space="preserve">| [](/places/de-augsburg-cathedral) </v>
      </c>
      <c r="CH49" s="29" t="str">
        <f>"| "&amp;IF(AR49,GetTagPage(B49,VLOOKUP(B49,'(Ref) Countries'!A:C,3,)),B49)&amp; " "</f>
        <v xml:space="preserve">| [Germany](/tags/germany) </v>
      </c>
      <c r="CI49" s="29" t="str">
        <f t="shared" si="55"/>
        <v xml:space="preserve">|  </v>
      </c>
      <c r="CJ49" s="29" t="str">
        <f t="shared" ref="CJ49" si="121">"|"&amp;IF(AR49," [Link](/places/"&amp;SUBSTITUTE(BY49,".md","")&amp;")","")&amp;" "</f>
        <v xml:space="preserve">| [Link](/places/de-augsburg-cathedral) </v>
      </c>
      <c r="CK49" s="29" t="str">
        <f t="shared" ref="CK49" si="122">"
"&amp;CG49&amp;CH49&amp;CI49&amp;CJ49&amp;BL49&amp;BQ49&amp;BR49&amp;BS49&amp;CF49&amp;"|"</f>
        <v xml:space="preserve">
| [](/places/de-augsburg-cathedral) | [Germany](/tags/germany) |  | [Link](/places/de-augsburg-cathedral) [Official site](https://bistum-augsburg.de/Bistum/Unser-Bistum/Kathedrale/Hoher-Dom)| [St. Peter Canisius](/tags/peter-canisius) |</v>
      </c>
    </row>
    <row r="50" spans="1:89" ht="49.75" x14ac:dyDescent="0.4">
      <c r="A50" s="14" t="s">
        <v>1320</v>
      </c>
      <c r="B50" s="24" t="s">
        <v>542</v>
      </c>
      <c r="C50" s="15" t="s">
        <v>1856</v>
      </c>
      <c r="D50" s="15">
        <v>48.372337108375902</v>
      </c>
      <c r="E50" s="49">
        <v>10.8944612321084</v>
      </c>
      <c r="F50" s="24" t="s">
        <v>1847</v>
      </c>
      <c r="G50" s="92" t="s">
        <v>1848</v>
      </c>
      <c r="H50" s="15" t="s">
        <v>1827</v>
      </c>
      <c r="L50" s="24" t="s">
        <v>1849</v>
      </c>
      <c r="M50" s="92" t="s">
        <v>1850</v>
      </c>
      <c r="O50" s="15" t="s">
        <v>336</v>
      </c>
      <c r="Y50" s="93" t="s">
        <v>1857</v>
      </c>
      <c r="AR50" s="28" t="b">
        <f t="shared" si="38"/>
        <v>1</v>
      </c>
      <c r="AS50" s="29" t="str">
        <f t="shared" si="39"/>
        <v>title: "Former Residence of the Prince-Bishop of Augsburg"</v>
      </c>
      <c r="AT50" s="29" t="str">
        <f t="shared" si="40"/>
        <v>location: {lat: 48.3723371083759, lng: 10.8944612321084}</v>
      </c>
      <c r="AU50" s="29" t="str">
        <f t="shared" si="41"/>
        <v>level: local</v>
      </c>
      <c r="AV50" s="29" t="str">
        <f>"- "&amp;VLOOKUP(B50,'(Ref) Countries'!A:C,3,)</f>
        <v>- germany</v>
      </c>
      <c r="AW50" s="29" t="str">
        <f t="shared" si="42"/>
        <v>- augsburg</v>
      </c>
      <c r="AX50" s="29" t="str">
        <f t="shared" si="43"/>
        <v/>
      </c>
      <c r="AY50" s="29" t="str">
        <f t="shared" si="44"/>
        <v/>
      </c>
      <c r="AZ50" s="29" t="str">
        <f t="shared" si="45"/>
        <v/>
      </c>
      <c r="BA50" s="29" t="str">
        <f t="shared" ref="BA50" si="123">IF(LEN(Y50)&gt;0,"- "&amp;Y50,"")</f>
        <v>- reformation</v>
      </c>
      <c r="BB50" s="29" t="str">
        <f t="shared" ref="BB50" si="124">IF(LEN(Z50)&gt;0,"- "&amp;Z50,"")</f>
        <v/>
      </c>
      <c r="BC50" s="29" t="str">
        <f t="shared" ref="BC50" si="125">IF(LEN(AA50)&gt;0,"- "&amp;AA50,"")</f>
        <v/>
      </c>
      <c r="BD50" s="29" t="str">
        <f t="shared" ref="BD50" si="126">IF(LEN(AB50)&gt;0,"- "&amp;AB50,"")</f>
        <v/>
      </c>
      <c r="BE50" s="29" t="str">
        <f t="shared" ref="BE50" si="127">IF(LEN(AC50)&gt;0,"- "&amp;AC50,"")</f>
        <v/>
      </c>
      <c r="BF50" s="29" t="str">
        <f t="shared" ref="BF50" si="128">IF(LEN(AD50)&gt;0,"- "&amp;AD50,"")</f>
        <v/>
      </c>
      <c r="BG50" s="29" t="str">
        <f t="shared" ref="BG50" si="129">IF(LEN(AE50)&gt;0,"- "&amp;AE50,"")</f>
        <v/>
      </c>
      <c r="BH50" s="29" t="str">
        <f t="shared" ref="BH50" si="130">IF(LEN(AF50)&gt;0,"- "&amp;AF50,"")</f>
        <v/>
      </c>
      <c r="BI50" s="29" t="str">
        <f t="shared" ref="BI50" si="131">IF(LEN(AG50)&gt;0,"- "&amp;AG50,"")</f>
        <v/>
      </c>
      <c r="BJ50" s="29" t="str">
        <f t="shared" ref="BJ50" si="132">IF(LEN(AH50)&gt;0,"- "&amp;AH50,"")</f>
        <v/>
      </c>
      <c r="BK50" s="29" t="str">
        <f t="shared" ref="BK50" si="133">"tags:"&amp;CHAR(10)&amp;concatl(AV50:BJ50)</f>
        <v xml:space="preserve">tags:
- germany_x000D_
- augsburg_x000D_
- reformation_x000D_
</v>
      </c>
      <c r="BL50" s="29" t="str">
        <f t="shared" si="46"/>
        <v/>
      </c>
      <c r="BM50" s="29" t="str">
        <f t="shared" si="47"/>
        <v/>
      </c>
      <c r="BN50" s="29" t="str">
        <f t="shared" si="48"/>
        <v/>
      </c>
      <c r="BO50" s="29" t="str">
        <f t="shared" si="49"/>
        <v/>
      </c>
      <c r="BP50" s="29" t="str">
        <f t="shared" ref="BP50" si="134">IF(LEN(BL50)&gt;0,"* "&amp;BL50&amp;CHAR(10),"")&amp;
IF(LEN(BM50)&gt;0,"* "&amp;BM50&amp;CHAR(10),"")&amp;
IF(LEN(BN50)&gt;0,"* "&amp;BN50&amp;CHAR(10),"")&amp;
IF(LEN(BO50)&gt;0,"* "&amp;BO50&amp;CHAR(10),"")</f>
        <v/>
      </c>
      <c r="BQ50" s="29" t="str">
        <f t="shared" si="50"/>
        <v/>
      </c>
      <c r="BR50" s="29" t="str">
        <f t="shared" si="51"/>
        <v/>
      </c>
      <c r="BS50" s="29" t="str">
        <f t="shared" si="52"/>
        <v/>
      </c>
      <c r="BT50" s="29" t="str">
        <f>IF(LEN(_xludf.concat(BQ50:BS50))&gt;0,_xludf.concat("| ",BQ50," | ",BR50," | ",BS50," |"),"")</f>
        <v/>
      </c>
      <c r="BU50" s="29" t="str">
        <f t="shared" si="53"/>
        <v/>
      </c>
      <c r="BV50" s="29" t="str">
        <f>IF(LEN(BP50&amp;BU50)&gt;0,concatll("#### More Information",BP50,BU50),"")</f>
        <v/>
      </c>
      <c r="BW50" s="29" t="str">
        <f>IF(LEN(M50)&gt;1,concatll("#### Author's Note",M50),"")</f>
        <v xml:space="preserve">#### Author's Note_x000D_
_x000D_
Let us pray for Christian unity and for our Protestant brethern to come to the True Faith.
-JPY_x000D_
_x000D_
</v>
      </c>
      <c r="BX50" s="23" t="str">
        <f>IF(AR50,concatll(concatl("---",AS50:AU50,BK50,"---"),L50,BV50:BW50),"")</f>
        <v xml:space="preserve">---_x000D_
title: "Former Residence of the Prince-Bishop of Augsburg"_x000D_
location: {lat: 48.3723371083759, lng: 10.8944612321084}_x000D_
level: local_x000D_
tags:
- germany_x000D_
- augsburg_x000D_
- reformation_x000D_
_x000D_
---_x000D_
_x000D_
_x000D_
This building is on the site where the Diet of Augsburg in 1530 took place, where the Augsburg Confession was presented._x000D_
_x000D_
#### Author's Note_x000D_
_x000D_
Let us pray for Christian unity and for our Protestant brethern to come to the True Faith.
-JPY_x000D_
_x000D_
_x000D_
_x000D_
</v>
      </c>
      <c r="BY50" s="31" t="str">
        <f>IF(AR50,VLOOKUP(B50,'(Ref) Countries'!A:B,2,)&amp;IF(LEN(C50)&gt;1,"-"&amp;LOWER(SUBSTITUTE(C50," ","-")),"")&amp;"-"&amp;LOWER(SUBSTITUTE(G50," ","-"))&amp;".md","")</f>
        <v>de-augsburg-prince-bishop-residence.md</v>
      </c>
      <c r="BZ50" s="29" t="str">
        <f>IF(LEN(Y50)&gt;1,VLOOKUP(Y50,'Tag List'!$A:$B,2,),"")</f>
        <v>Protestant Reformation</v>
      </c>
      <c r="CA50" s="29" t="str">
        <f>IF(LEN(Z50)&gt;1,VLOOKUP(Z50,'Tag List'!$A:$B,2,),"")</f>
        <v/>
      </c>
      <c r="CB50" s="29" t="str">
        <f>IF(LEN(AA50)&gt;1,VLOOKUP(AA50,'Tag List'!$A:$B,2,),"")</f>
        <v/>
      </c>
      <c r="CC50" s="29" t="str">
        <f>IF(LEN(Y50)&gt;1,GetTagPage(BZ50,Y50),"")</f>
        <v>[Protestant Reformation](/tags/reformation)</v>
      </c>
      <c r="CD50" s="29" t="str">
        <f>IF(LEN(Z50)&gt;1,GetTagPage(CA50,Z50),"")</f>
        <v/>
      </c>
      <c r="CE50" s="29" t="str">
        <f>IF(LEN(AA50)&gt;1,GetTagPage(CB50,AA50),"")</f>
        <v/>
      </c>
      <c r="CF50" s="29" t="str">
        <f t="shared" ref="CF50" si="135">"|"&amp;IF(LEN(CC50)&gt;1," "&amp;CC50,"")&amp;IF(LEN(CD50)&gt;1,", "&amp;CD50,"")&amp;IF(LEN(CE50)&gt;1,", "&amp;CE50,"")&amp;" "</f>
        <v xml:space="preserve">| [Protestant Reformation](/tags/reformation) </v>
      </c>
      <c r="CG50" s="29" t="str">
        <f t="shared" si="54"/>
        <v xml:space="preserve">| [](/places/de-augsburg-prince-bishop-residence) </v>
      </c>
      <c r="CH50" s="29" t="str">
        <f>"| "&amp;IF(AR50,GetTagPage(B50,VLOOKUP(B50,'(Ref) Countries'!A:C,3,)),B50)&amp; " "</f>
        <v xml:space="preserve">| [Germany](/tags/germany) </v>
      </c>
      <c r="CI50" s="29" t="str">
        <f t="shared" si="55"/>
        <v xml:space="preserve">|  </v>
      </c>
      <c r="CJ50" s="29" t="str">
        <f t="shared" ref="CJ50" si="136">"|"&amp;IF(AR50," [Link](/places/"&amp;SUBSTITUTE(BY50,".md","")&amp;")","")&amp;" "</f>
        <v xml:space="preserve">| [Link](/places/de-augsburg-prince-bishop-residence) </v>
      </c>
      <c r="CK50" s="29" t="str">
        <f t="shared" ref="CK50" si="137">"
"&amp;CG50&amp;CH50&amp;CI50&amp;CJ50&amp;BL50&amp;BQ50&amp;BR50&amp;BS50&amp;CF50&amp;"|"</f>
        <v xml:space="preserve">
| [](/places/de-augsburg-prince-bishop-residence) | [Germany](/tags/germany) |  | [Link](/places/de-augsburg-prince-bishop-residence) | [Protestant Reformation](/tags/reformation) |</v>
      </c>
    </row>
    <row r="51" spans="1:89" ht="74.599999999999994" x14ac:dyDescent="0.4">
      <c r="A51" s="14" t="s">
        <v>1320</v>
      </c>
      <c r="B51" s="24" t="s">
        <v>542</v>
      </c>
      <c r="C51" s="15" t="s">
        <v>1856</v>
      </c>
      <c r="D51" s="15">
        <v>48.361479239335097</v>
      </c>
      <c r="E51" s="49">
        <v>10.9000712149692</v>
      </c>
      <c r="F51" s="24" t="s">
        <v>1851</v>
      </c>
      <c r="G51" s="92" t="s">
        <v>1852</v>
      </c>
      <c r="H51" s="93" t="s">
        <v>1760</v>
      </c>
      <c r="I51" s="15" t="b">
        <v>1</v>
      </c>
      <c r="K51" s="15" t="b">
        <v>1</v>
      </c>
      <c r="L51" s="85" t="s">
        <v>1853</v>
      </c>
      <c r="M51" s="92" t="s">
        <v>1854</v>
      </c>
      <c r="N51" s="15" t="s">
        <v>1855</v>
      </c>
      <c r="O51" s="15" t="s">
        <v>336</v>
      </c>
      <c r="Y51" s="15" t="s">
        <v>1835</v>
      </c>
      <c r="Z51" s="15" t="s">
        <v>1836</v>
      </c>
      <c r="AA51" s="15" t="s">
        <v>1839</v>
      </c>
      <c r="AR51" s="28" t="b">
        <f t="shared" si="38"/>
        <v>1</v>
      </c>
      <c r="AS51" s="29" t="str">
        <f t="shared" si="39"/>
        <v>title: "Basilica of Sts. Ulrich and Afra"</v>
      </c>
      <c r="AT51" s="29" t="str">
        <f t="shared" si="40"/>
        <v>location: {lat: 48.3614792393351, lng: 10.9000712149692}</v>
      </c>
      <c r="AU51" s="29" t="str">
        <f t="shared" si="41"/>
        <v>level: regional</v>
      </c>
      <c r="AV51" s="29" t="str">
        <f>"- "&amp;VLOOKUP(B51,'(Ref) Countries'!A:C,3,)</f>
        <v>- germany</v>
      </c>
      <c r="AW51" s="29" t="str">
        <f t="shared" si="42"/>
        <v>- augsburg</v>
      </c>
      <c r="AX51" s="29" t="str">
        <f t="shared" si="43"/>
        <v>- churches</v>
      </c>
      <c r="AY51" s="29" t="str">
        <f t="shared" si="44"/>
        <v/>
      </c>
      <c r="AZ51" s="29" t="str">
        <f t="shared" si="45"/>
        <v>- holy-persons</v>
      </c>
      <c r="BA51" s="29" t="str">
        <f t="shared" ref="BA51" si="138">IF(LEN(Y51)&gt;0,"- "&amp;Y51,"")</f>
        <v>- ulrich</v>
      </c>
      <c r="BB51" s="29" t="str">
        <f t="shared" ref="BB51" si="139">IF(LEN(Z51)&gt;0,"- "&amp;Z51,"")</f>
        <v>- afra</v>
      </c>
      <c r="BC51" s="29" t="str">
        <f t="shared" ref="BC51" si="140">IF(LEN(AA51)&gt;0,"- "&amp;AA51,"")</f>
        <v>- simpert</v>
      </c>
      <c r="BD51" s="29" t="str">
        <f t="shared" ref="BD51" si="141">IF(LEN(AB51)&gt;0,"- "&amp;AB51,"")</f>
        <v/>
      </c>
      <c r="BE51" s="29" t="str">
        <f t="shared" ref="BE51" si="142">IF(LEN(AC51)&gt;0,"- "&amp;AC51,"")</f>
        <v/>
      </c>
      <c r="BF51" s="29" t="str">
        <f t="shared" ref="BF51" si="143">IF(LEN(AD51)&gt;0,"- "&amp;AD51,"")</f>
        <v/>
      </c>
      <c r="BG51" s="29" t="str">
        <f t="shared" ref="BG51" si="144">IF(LEN(AE51)&gt;0,"- "&amp;AE51,"")</f>
        <v/>
      </c>
      <c r="BH51" s="29" t="str">
        <f t="shared" ref="BH51" si="145">IF(LEN(AF51)&gt;0,"- "&amp;AF51,"")</f>
        <v/>
      </c>
      <c r="BI51" s="29" t="str">
        <f t="shared" ref="BI51" si="146">IF(LEN(AG51)&gt;0,"- "&amp;AG51,"")</f>
        <v/>
      </c>
      <c r="BJ51" s="29" t="str">
        <f t="shared" ref="BJ51" si="147">IF(LEN(AH51)&gt;0,"- "&amp;AH51,"")</f>
        <v/>
      </c>
      <c r="BK51" s="29" t="str">
        <f t="shared" ref="BK51" si="148">"tags:"&amp;CHAR(10)&amp;concatl(AV51:BJ51)</f>
        <v xml:space="preserve">tags:
- germany_x000D_
- augsburg_x000D_
- churches_x000D_
- holy-persons_x000D_
- ulrich_x000D_
- afra_x000D_
- simpert_x000D_
</v>
      </c>
      <c r="BL51" s="29" t="str">
        <f t="shared" si="46"/>
        <v>[Official site](https://ulrich-afra-anton.de)</v>
      </c>
      <c r="BM51" s="29" t="str">
        <f t="shared" si="47"/>
        <v/>
      </c>
      <c r="BN51" s="29" t="str">
        <f t="shared" si="48"/>
        <v/>
      </c>
      <c r="BO51" s="29" t="str">
        <f t="shared" si="49"/>
        <v/>
      </c>
      <c r="BP51" s="29" t="str">
        <f t="shared" ref="BP51" si="149">IF(LEN(BL51)&gt;0,"* "&amp;BL51&amp;CHAR(10),"")&amp;
IF(LEN(BM51)&gt;0,"* "&amp;BM51&amp;CHAR(10),"")&amp;
IF(LEN(BN51)&gt;0,"* "&amp;BN51&amp;CHAR(10),"")&amp;
IF(LEN(BO51)&gt;0,"* "&amp;BO51&amp;CHAR(10),"")</f>
        <v xml:space="preserve">* [Official site](https://ulrich-afra-anton.de)
</v>
      </c>
      <c r="BQ51" s="29" t="str">
        <f t="shared" si="50"/>
        <v/>
      </c>
      <c r="BR51" s="29" t="str">
        <f t="shared" si="51"/>
        <v/>
      </c>
      <c r="BS51" s="29" t="str">
        <f t="shared" si="52"/>
        <v/>
      </c>
      <c r="BT51" s="29" t="str">
        <f>IF(LEN(_xludf.concat(BQ51:BS51))&gt;0,_xludf.concat("| ",BQ51," | ",BR51," | ",BS51," |"),"")</f>
        <v/>
      </c>
      <c r="BU51" s="29" t="str">
        <f t="shared" si="53"/>
        <v/>
      </c>
      <c r="BV51" s="29" t="str">
        <f>IF(LEN(BP51&amp;BU51)&gt;0,concatll("#### More Information",BP51,BU51),"")</f>
        <v xml:space="preserve">#### More Information_x000D_
_x000D_
* [Official site](https://ulrich-afra-anton.de)
_x000D_
_x000D_
</v>
      </c>
      <c r="BW51" s="29" t="str">
        <f>IF(LEN(M51)&gt;1,concatll("#### Author's Note",M51),"")</f>
        <v xml:space="preserve">#### Author's Note_x000D_
_x000D_
Sts. Ulrich and Afra are buried in the crypt beneath the high altar.  You can reach them with some steep stairs on either side of the high altar.  St. Simpert's tomb is in a chapel along the right side of the nave.
-JPY_x000D_
_x000D_
</v>
      </c>
      <c r="BX51" s="23" t="str">
        <f>IF(AR51,concatll(concatl("---",AS51:AU51,BK51,"---"),L51,BV51:BW51),"")</f>
        <v xml:space="preserve">---_x000D_
title: "Basilica of Sts. Ulrich and Afra"_x000D_
location: {lat: 48.3614792393351, lng: 10.9000712149692}_x000D_
level: regional_x000D_
tags:
- germany_x000D_
- augsburg_x000D_
- churches_x000D_
- holy-persons_x000D_
- ulrich_x000D_
- afra_x000D_
- simpert_x000D_
_x000D_
---_x000D_
_x000D_
_x000D_
Site of the martyrdom of St. Afra and burial place of Sts. Afra, Ulrich (the first canonized saint) and Simpert (778-807)._x000D_
_x000D_
#### More Information_x000D_
_x000D_
* [Official site](https://ulrich-afra-anton.de)
_x000D_
_x000D_
_x000D_
_x000D_
#### Author's Note_x000D_
_x000D_
Sts. Ulrich and Afra are buried in the crypt beneath the high altar.  You can reach them with some steep stairs on either side of the high altar.  St. Simpert's tomb is in a chapel along the right side of the nave.
-JPY_x000D_
_x000D_
_x000D_
_x000D_
</v>
      </c>
      <c r="BY51" s="31" t="str">
        <f>IF(AR51,VLOOKUP(B51,'(Ref) Countries'!A:B,2,)&amp;IF(LEN(C51)&gt;1,"-"&amp;LOWER(SUBSTITUTE(C51," ","-")),"")&amp;"-"&amp;LOWER(SUBSTITUTE(G51," ","-"))&amp;".md","")</f>
        <v>de-augsburg-basilica-of-sts-ulrich-and-afra.md</v>
      </c>
      <c r="BZ51" s="29" t="str">
        <f>IF(LEN(Y51)&gt;1,VLOOKUP(Y51,'Tag List'!$A:$B,2,),"")</f>
        <v>St. Ulrich</v>
      </c>
      <c r="CA51" s="29" t="str">
        <f>IF(LEN(Z51)&gt;1,VLOOKUP(Z51,'Tag List'!$A:$B,2,),"")</f>
        <v>St. Afra</v>
      </c>
      <c r="CB51" s="29" t="str">
        <f>IF(LEN(AA51)&gt;1,VLOOKUP(AA51,'Tag List'!$A:$B,2,),"")</f>
        <v>St. Simpert</v>
      </c>
      <c r="CC51" s="29" t="str">
        <f>IF(LEN(Y51)&gt;1,GetTagPage(BZ51,Y51),"")</f>
        <v>[St. Ulrich](/tags/ulrich)</v>
      </c>
      <c r="CD51" s="29" t="str">
        <f>IF(LEN(Z51)&gt;1,GetTagPage(CA51,Z51),"")</f>
        <v>[St. Afra](/tags/afra)</v>
      </c>
      <c r="CE51" s="29" t="str">
        <f>IF(LEN(AA51)&gt;1,GetTagPage(CB51,AA51),"")</f>
        <v>[St. Simpert](/tags/simpert)</v>
      </c>
      <c r="CF51" s="29" t="str">
        <f t="shared" ref="CF51" si="150">"|"&amp;IF(LEN(CC51)&gt;1," "&amp;CC51,"")&amp;IF(LEN(CD51)&gt;1,", "&amp;CD51,"")&amp;IF(LEN(CE51)&gt;1,", "&amp;CE51,"")&amp;" "</f>
        <v xml:space="preserve">| [St. Ulrich](/tags/ulrich), [St. Afra](/tags/afra), [St. Simpert](/tags/simpert) </v>
      </c>
      <c r="CG51" s="29" t="str">
        <f t="shared" si="54"/>
        <v xml:space="preserve">| [](/places/de-augsburg-basilica-of-sts-ulrich-and-afra) </v>
      </c>
      <c r="CH51" s="29" t="str">
        <f>"| "&amp;IF(AR51,GetTagPage(B51,VLOOKUP(B51,'(Ref) Countries'!A:C,3,)),B51)&amp; " "</f>
        <v xml:space="preserve">| [Germany](/tags/germany) </v>
      </c>
      <c r="CI51" s="29" t="str">
        <f t="shared" si="55"/>
        <v xml:space="preserve">|  </v>
      </c>
      <c r="CJ51" s="29" t="str">
        <f t="shared" ref="CJ51" si="151">"|"&amp;IF(AR51," [Link](/places/"&amp;SUBSTITUTE(BY51,".md","")&amp;")","")&amp;" "</f>
        <v xml:space="preserve">| [Link](/places/de-augsburg-basilica-of-sts-ulrich-and-afra) </v>
      </c>
      <c r="CK51" s="29" t="str">
        <f t="shared" ref="CK51" si="152">"
"&amp;CG51&amp;CH51&amp;CI51&amp;CJ51&amp;BL51&amp;BQ51&amp;BR51&amp;BS51&amp;CF51&amp;"|"</f>
        <v xml:space="preserve">
| [](/places/de-augsburg-basilica-of-sts-ulrich-and-afra) | [Germany](/tags/germany) |  | [Link](/places/de-augsburg-basilica-of-sts-ulrich-and-afra) [Official site](https://ulrich-afra-anton.de)| [St. Ulrich](/tags/ulrich), [St. Afra](/tags/afra), [St. Simpert](/tags/simpert) |</v>
      </c>
    </row>
    <row r="52" spans="1:89" ht="49.75" x14ac:dyDescent="0.4">
      <c r="A52" s="14" t="s">
        <v>1320</v>
      </c>
      <c r="B52" s="85" t="s">
        <v>557</v>
      </c>
      <c r="C52" s="93" t="s">
        <v>1023</v>
      </c>
      <c r="D52" s="15">
        <v>48.848857382512399</v>
      </c>
      <c r="E52" s="49">
        <v>2.3216311122635598</v>
      </c>
      <c r="F52" s="24" t="s">
        <v>1859</v>
      </c>
      <c r="G52" s="92" t="s">
        <v>1860</v>
      </c>
      <c r="H52" s="15" t="s">
        <v>1760</v>
      </c>
      <c r="I52" s="15" t="b">
        <v>1</v>
      </c>
      <c r="K52" s="15" t="b">
        <v>1</v>
      </c>
      <c r="L52" s="85" t="s">
        <v>1861</v>
      </c>
      <c r="M52" s="92" t="s">
        <v>1862</v>
      </c>
      <c r="O52" s="15" t="s">
        <v>336</v>
      </c>
      <c r="Y52" s="15" t="s">
        <v>1703</v>
      </c>
      <c r="Z52" s="93" t="s">
        <v>1721</v>
      </c>
      <c r="AA52" s="93" t="s">
        <v>2071</v>
      </c>
      <c r="AR52" s="28" t="b">
        <f t="shared" si="38"/>
        <v>1</v>
      </c>
      <c r="AS52" s="29" t="str">
        <f t="shared" si="39"/>
        <v>title: "St. Vincent De Paul Chapel"</v>
      </c>
      <c r="AT52" s="29" t="str">
        <f t="shared" si="40"/>
        <v>location: {lat: 48.8488573825124, lng: 2.32163111226356}</v>
      </c>
      <c r="AU52" s="29" t="str">
        <f t="shared" si="41"/>
        <v>level: regional</v>
      </c>
      <c r="AV52" s="29" t="str">
        <f>"- "&amp;VLOOKUP(B52,'(Ref) Countries'!A:C,3,)</f>
        <v>- france</v>
      </c>
      <c r="AW52" s="29" t="str">
        <f t="shared" si="42"/>
        <v>- paris</v>
      </c>
      <c r="AX52" s="29" t="str">
        <f t="shared" si="43"/>
        <v>- churches</v>
      </c>
      <c r="AY52" s="29" t="str">
        <f t="shared" si="44"/>
        <v/>
      </c>
      <c r="AZ52" s="29" t="str">
        <f t="shared" si="45"/>
        <v>- holy-persons</v>
      </c>
      <c r="BA52" s="29" t="str">
        <f t="shared" ref="BA52" si="153">IF(LEN(Y52)&gt;0,"- "&amp;Y52,"")</f>
        <v>- vincent-de-paul</v>
      </c>
      <c r="BB52" s="29" t="str">
        <f t="shared" ref="BB52" si="154">IF(LEN(Z52)&gt;0,"- "&amp;Z52,"")</f>
        <v>- jean-gabriel-perboyre</v>
      </c>
      <c r="BC52" s="29" t="str">
        <f t="shared" ref="BC52" si="155">IF(LEN(AA52)&gt;0,"- "&amp;AA52,"")</f>
        <v>- vincentians</v>
      </c>
      <c r="BD52" s="29" t="str">
        <f t="shared" ref="BD52" si="156">IF(LEN(AB52)&gt;0,"- "&amp;AB52,"")</f>
        <v/>
      </c>
      <c r="BE52" s="29" t="str">
        <f t="shared" ref="BE52" si="157">IF(LEN(AC52)&gt;0,"- "&amp;AC52,"")</f>
        <v/>
      </c>
      <c r="BF52" s="29" t="str">
        <f t="shared" ref="BF52" si="158">IF(LEN(AD52)&gt;0,"- "&amp;AD52,"")</f>
        <v/>
      </c>
      <c r="BG52" s="29" t="str">
        <f t="shared" ref="BG52" si="159">IF(LEN(AE52)&gt;0,"- "&amp;AE52,"")</f>
        <v/>
      </c>
      <c r="BH52" s="29" t="str">
        <f t="shared" ref="BH52" si="160">IF(LEN(AF52)&gt;0,"- "&amp;AF52,"")</f>
        <v/>
      </c>
      <c r="BI52" s="29" t="str">
        <f t="shared" ref="BI52" si="161">IF(LEN(AG52)&gt;0,"- "&amp;AG52,"")</f>
        <v/>
      </c>
      <c r="BJ52" s="29" t="str">
        <f t="shared" ref="BJ52" si="162">IF(LEN(AH52)&gt;0,"- "&amp;AH52,"")</f>
        <v/>
      </c>
      <c r="BK52" s="29" t="str">
        <f t="shared" ref="BK52" si="163">"tags:"&amp;CHAR(10)&amp;concatl(AV52:BJ52)</f>
        <v xml:space="preserve">tags:
- france_x000D_
- paris_x000D_
- churches_x000D_
- holy-persons_x000D_
- vincent-de-paul_x000D_
- jean-gabriel-perboyre_x000D_
- vincentians_x000D_
</v>
      </c>
      <c r="BL52" s="29" t="str">
        <f t="shared" si="46"/>
        <v/>
      </c>
      <c r="BM52" s="29" t="str">
        <f t="shared" si="47"/>
        <v/>
      </c>
      <c r="BN52" s="29" t="str">
        <f t="shared" si="48"/>
        <v/>
      </c>
      <c r="BO52" s="29" t="str">
        <f t="shared" si="49"/>
        <v/>
      </c>
      <c r="BP52" s="29" t="str">
        <f t="shared" ref="BP52" si="164">IF(LEN(BL52)&gt;0,"* "&amp;BL52&amp;CHAR(10),"")&amp;
IF(LEN(BM52)&gt;0,"* "&amp;BM52&amp;CHAR(10),"")&amp;
IF(LEN(BN52)&gt;0,"* "&amp;BN52&amp;CHAR(10),"")&amp;
IF(LEN(BO52)&gt;0,"* "&amp;BO52&amp;CHAR(10),"")</f>
        <v/>
      </c>
      <c r="BQ52" s="29" t="str">
        <f t="shared" si="50"/>
        <v/>
      </c>
      <c r="BR52" s="29" t="str">
        <f t="shared" si="51"/>
        <v/>
      </c>
      <c r="BS52" s="29" t="str">
        <f t="shared" si="52"/>
        <v/>
      </c>
      <c r="BT52" s="29" t="str">
        <f>IF(LEN(_xludf.concat(BQ52:BS52))&gt;0,_xludf.concat("| ",BQ52," | ",BR52," | ",BS52," |"),"")</f>
        <v/>
      </c>
      <c r="BU52" s="29" t="str">
        <f t="shared" si="53"/>
        <v/>
      </c>
      <c r="BV52" s="29" t="str">
        <f>IF(LEN(BP52&amp;BU52)&gt;0,concatll("#### More Information",BP52,BU52),"")</f>
        <v/>
      </c>
      <c r="BW52" s="29" t="str">
        <f>IF(LEN(M52)&gt;1,concatll("#### Author's Note",M52),"")</f>
        <v xml:space="preserve">#### Author's Note_x000D_
_x000D_
An incredibly beautiful sanctuary of prayer, just a short walk from the often crowded Miraculous Medal Chapel.
-JMM_x000D_
_x000D_
</v>
      </c>
      <c r="BX52" s="23" t="str">
        <f>IF(AR52,concatll(concatl("---",AS52:AU52,BK52,"---"),L52,BV52:BW52),"")</f>
        <v xml:space="preserve">---_x000D_
title: "St. Vincent De Paul Chapel"_x000D_
location: {lat: 48.8488573825124, lng: 2.32163111226356}_x000D_
level: regional_x000D_
tags:
- france_x000D_
- paris_x000D_
- churches_x000D_
- holy-persons_x000D_
- vincent-de-paul_x000D_
- jean-gabriel-perboyre_x000D_
- vincentians_x000D_
_x000D_
---_x000D_
_x000D_
_x000D_
Vincentian church housing the relics of Sts. Vincent de Paul and Jean-Gabriel Perboyre.  St. Vincent de Paul's heart is nearby at the more famous [Miraculous Medal Chapel](/places/fr-paris-chapel-of-our-lady-of-the-miraculous-medal)._x000D_
_x000D_
#### Author's Note_x000D_
_x000D_
An incredibly beautiful sanctuary of prayer, just a short walk from the often crowded Miraculous Medal Chapel.
-JMM_x000D_
_x000D_
_x000D_
_x000D_
</v>
      </c>
      <c r="BY52" s="31" t="str">
        <f>IF(AR52,VLOOKUP(B52,'(Ref) Countries'!A:B,2,)&amp;IF(LEN(C52)&gt;1,"-"&amp;LOWER(SUBSTITUTE(C52," ","-")),"")&amp;"-"&amp;LOWER(SUBSTITUTE(G52," ","-"))&amp;".md","")</f>
        <v>fr-paris-st-vincent-de-paul-chapel.md</v>
      </c>
      <c r="BZ52" s="29" t="str">
        <f>IF(LEN(Y52)&gt;1,VLOOKUP(Y52,'Tag List'!$A:$B,2,),"")</f>
        <v>St. Vincent de Paul, CM</v>
      </c>
      <c r="CA52" s="29" t="str">
        <f>IF(LEN(Z52)&gt;1,VLOOKUP(Z52,'Tag List'!$A:$B,2,),"")</f>
        <v>St. Jean-Gabriel Perboyre, CM</v>
      </c>
      <c r="CB52" s="29" t="str">
        <f>IF(LEN(AA52)&gt;1,VLOOKUP(AA52,'Tag List'!$A:$B,2,),"")</f>
        <v>Congregation of the Mission (Vincentians)</v>
      </c>
      <c r="CC52" s="29" t="str">
        <f>IF(LEN(Y52)&gt;1,GetTagPage(BZ52,Y52),"")</f>
        <v>[St. Vincent de Paul, CM](/tags/vincent-de-paul)</v>
      </c>
      <c r="CD52" s="29" t="str">
        <f>IF(LEN(Z52)&gt;1,GetTagPage(CA52,Z52),"")</f>
        <v>[St. Jean-Gabriel Perboyre, CM](/tags/jean-gabriel-perboyre)</v>
      </c>
      <c r="CE52" s="29" t="str">
        <f>IF(LEN(AA52)&gt;1,GetTagPage(CB52,AA52),"")</f>
        <v>[Congregation of the Mission (Vincentians)](/tags/vincentians)</v>
      </c>
      <c r="CF52" s="29" t="str">
        <f t="shared" ref="CF52" si="165">"|"&amp;IF(LEN(CC52)&gt;1," "&amp;CC52,"")&amp;IF(LEN(CD52)&gt;1,", "&amp;CD52,"")&amp;IF(LEN(CE52)&gt;1,", "&amp;CE52,"")&amp;" "</f>
        <v xml:space="preserve">| [St. Vincent de Paul, CM](/tags/vincent-de-paul), [St. Jean-Gabriel Perboyre, CM](/tags/jean-gabriel-perboyre), [Congregation of the Mission (Vincentians)](/tags/vincentians) </v>
      </c>
      <c r="CG52" s="29" t="str">
        <f t="shared" si="54"/>
        <v xml:space="preserve">| [](/places/fr-paris-st-vincent-de-paul-chapel) </v>
      </c>
      <c r="CH52" s="29" t="str">
        <f>"| "&amp;IF(AR52,GetTagPage(B52,VLOOKUP(B52,'(Ref) Countries'!A:C,3,)),B52)&amp; " "</f>
        <v xml:space="preserve">| [France](/tags/france) </v>
      </c>
      <c r="CI52" s="29" t="str">
        <f t="shared" si="55"/>
        <v xml:space="preserve">|  </v>
      </c>
      <c r="CJ52" s="29" t="str">
        <f t="shared" ref="CJ52" si="166">"|"&amp;IF(AR52," [Link](/places/"&amp;SUBSTITUTE(BY52,".md","")&amp;")","")&amp;" "</f>
        <v xml:space="preserve">| [Link](/places/fr-paris-st-vincent-de-paul-chapel) </v>
      </c>
      <c r="CK52" s="29" t="str">
        <f t="shared" ref="CK52" si="167">"
"&amp;CG52&amp;CH52&amp;CI52&amp;CJ52&amp;BL52&amp;BQ52&amp;BR52&amp;BS52&amp;CF52&amp;"|"</f>
        <v xml:space="preserve">
| [](/places/fr-paris-st-vincent-de-paul-chapel) | [France](/tags/france) |  | [Link](/places/fr-paris-st-vincent-de-paul-chapel) | [St. Vincent de Paul, CM](/tags/vincent-de-paul), [St. Jean-Gabriel Perboyre, CM](/tags/jean-gabriel-perboyre), [Congregation of the Mission (Vincentians)](/tags/vincentians) |</v>
      </c>
    </row>
    <row r="53" spans="1:89" ht="37.299999999999997" x14ac:dyDescent="0.4">
      <c r="A53" s="14" t="s">
        <v>1320</v>
      </c>
      <c r="B53" s="85" t="s">
        <v>11</v>
      </c>
      <c r="C53" s="93" t="s">
        <v>1869</v>
      </c>
      <c r="D53" s="15">
        <v>43.650784999999999</v>
      </c>
      <c r="E53" s="49">
        <v>13.047758</v>
      </c>
      <c r="F53" s="85" t="s">
        <v>1870</v>
      </c>
      <c r="G53" s="92" t="s">
        <v>1871</v>
      </c>
      <c r="H53" s="93" t="s">
        <v>1827</v>
      </c>
      <c r="I53" s="15" t="b">
        <v>1</v>
      </c>
      <c r="K53" s="15" t="b">
        <v>1</v>
      </c>
      <c r="L53" s="85" t="s">
        <v>1872</v>
      </c>
      <c r="M53" s="92"/>
      <c r="O53" s="15" t="s">
        <v>336</v>
      </c>
      <c r="Y53" s="93" t="s">
        <v>1753</v>
      </c>
      <c r="Z53" s="93"/>
      <c r="AR53" s="28" t="b">
        <f t="shared" si="38"/>
        <v>1</v>
      </c>
      <c r="AS53" s="29" t="str">
        <f t="shared" si="39"/>
        <v>title: "Church of St. Francis, Corinaldo"</v>
      </c>
      <c r="AT53" s="29" t="str">
        <f t="shared" si="40"/>
        <v>location: {lat: 43.650785, lng: 13.047758}</v>
      </c>
      <c r="AU53" s="29" t="str">
        <f t="shared" si="41"/>
        <v>level: local</v>
      </c>
      <c r="AV53" s="29" t="str">
        <f>"- "&amp;VLOOKUP(B53,'(Ref) Countries'!A:C,3,)</f>
        <v>- italy</v>
      </c>
      <c r="AW53" s="29" t="str">
        <f t="shared" si="42"/>
        <v>- corinaldo</v>
      </c>
      <c r="AX53" s="29" t="str">
        <f t="shared" si="43"/>
        <v>- churches</v>
      </c>
      <c r="AY53" s="29" t="str">
        <f t="shared" si="44"/>
        <v/>
      </c>
      <c r="AZ53" s="29" t="str">
        <f t="shared" si="45"/>
        <v>- holy-persons</v>
      </c>
      <c r="BA53" s="29" t="str">
        <f t="shared" ref="BA53" si="168">IF(LEN(Y53)&gt;0,"- "&amp;Y53,"")</f>
        <v>- maria-goretti</v>
      </c>
      <c r="BB53" s="29" t="str">
        <f t="shared" ref="BB53" si="169">IF(LEN(Z53)&gt;0,"- "&amp;Z53,"")</f>
        <v/>
      </c>
      <c r="BC53" s="29" t="str">
        <f t="shared" ref="BC53" si="170">IF(LEN(AA53)&gt;0,"- "&amp;AA53,"")</f>
        <v/>
      </c>
      <c r="BD53" s="29" t="str">
        <f t="shared" ref="BD53" si="171">IF(LEN(AB53)&gt;0,"- "&amp;AB53,"")</f>
        <v/>
      </c>
      <c r="BE53" s="29" t="str">
        <f t="shared" ref="BE53" si="172">IF(LEN(AC53)&gt;0,"- "&amp;AC53,"")</f>
        <v/>
      </c>
      <c r="BF53" s="29" t="str">
        <f t="shared" ref="BF53" si="173">IF(LEN(AD53)&gt;0,"- "&amp;AD53,"")</f>
        <v/>
      </c>
      <c r="BG53" s="29" t="str">
        <f t="shared" ref="BG53" si="174">IF(LEN(AE53)&gt;0,"- "&amp;AE53,"")</f>
        <v/>
      </c>
      <c r="BH53" s="29" t="str">
        <f t="shared" ref="BH53" si="175">IF(LEN(AF53)&gt;0,"- "&amp;AF53,"")</f>
        <v/>
      </c>
      <c r="BI53" s="29" t="str">
        <f t="shared" ref="BI53" si="176">IF(LEN(AG53)&gt;0,"- "&amp;AG53,"")</f>
        <v/>
      </c>
      <c r="BJ53" s="29" t="str">
        <f t="shared" ref="BJ53" si="177">IF(LEN(AH53)&gt;0,"- "&amp;AH53,"")</f>
        <v/>
      </c>
      <c r="BK53" s="29" t="str">
        <f t="shared" ref="BK53" si="178">"tags:"&amp;CHAR(10)&amp;concatl(AV53:BJ53)</f>
        <v xml:space="preserve">tags:
- italy_x000D_
- corinaldo_x000D_
- churches_x000D_
- holy-persons_x000D_
- maria-goretti_x000D_
</v>
      </c>
      <c r="BL53" s="29" t="str">
        <f t="shared" si="46"/>
        <v/>
      </c>
      <c r="BM53" s="29" t="str">
        <f t="shared" si="47"/>
        <v/>
      </c>
      <c r="BN53" s="29" t="str">
        <f t="shared" si="48"/>
        <v/>
      </c>
      <c r="BO53" s="29" t="str">
        <f t="shared" si="49"/>
        <v/>
      </c>
      <c r="BP53" s="29" t="str">
        <f t="shared" ref="BP53" si="179">IF(LEN(BL53)&gt;0,"* "&amp;BL53&amp;CHAR(10),"")&amp;
IF(LEN(BM53)&gt;0,"* "&amp;BM53&amp;CHAR(10),"")&amp;
IF(LEN(BN53)&gt;0,"* "&amp;BN53&amp;CHAR(10),"")&amp;
IF(LEN(BO53)&gt;0,"* "&amp;BO53&amp;CHAR(10),"")</f>
        <v/>
      </c>
      <c r="BQ53" s="29" t="str">
        <f t="shared" si="50"/>
        <v/>
      </c>
      <c r="BR53" s="29" t="str">
        <f t="shared" si="51"/>
        <v/>
      </c>
      <c r="BS53" s="29" t="str">
        <f t="shared" si="52"/>
        <v/>
      </c>
      <c r="BT53" s="29" t="str">
        <f>IF(LEN(_xludf.concat(BQ53:BS53))&gt;0,_xludf.concat("| ",BQ53," | ",BR53," | ",BS53," |"),"")</f>
        <v/>
      </c>
      <c r="BU53" s="29" t="str">
        <f t="shared" si="53"/>
        <v/>
      </c>
      <c r="BV53" s="29" t="str">
        <f>IF(LEN(BP53&amp;BU53)&gt;0,concatll("#### More Information",BP53,BU53),"")</f>
        <v/>
      </c>
      <c r="BW53" s="29" t="str">
        <f>IF(LEN(M53)&gt;1,concatll("#### Author's Note",M53),"")</f>
        <v/>
      </c>
      <c r="BX53" s="23" t="str">
        <f>IF(AR53,concatll(concatl("---",AS53:AU53,BK53,"---"),L53,BV53:BW53),"")</f>
        <v xml:space="preserve">---_x000D_
title: "Church of St. Francis, Corinaldo"_x000D_
location: {lat: 43.650785, lng: 13.047758}_x000D_
level: local_x000D_
tags:
- italy_x000D_
- corinaldo_x000D_
- churches_x000D_
- holy-persons_x000D_
- maria-goretti_x000D_
_x000D_
---_x000D_
_x000D_
_x000D_
This was the Gorettis' parish church when they lived in Corinaldo.  Here Luigi and Assunta Goretti were married and St. Maria Goretti baptized.  The font where she was baptized is still preserved in the church._x000D_
_x000D_
</v>
      </c>
      <c r="BY53" s="31" t="str">
        <f>IF(AR53,VLOOKUP(B53,'(Ref) Countries'!A:B,2,)&amp;IF(LEN(C53)&gt;1,"-"&amp;LOWER(SUBSTITUTE(C53," ","-")),"")&amp;"-"&amp;LOWER(SUBSTITUTE(G53," ","-"))&amp;".md","")</f>
        <v>it-corinaldo-church-of-st-francis.md</v>
      </c>
      <c r="BZ53" s="29" t="str">
        <f>IF(LEN(Y53)&gt;1,VLOOKUP(Y53,'Tag List'!$A:$B,2,),"")</f>
        <v>St. Maria Goretti</v>
      </c>
      <c r="CA53" s="29" t="str">
        <f>IF(LEN(Z53)&gt;1,VLOOKUP(Z53,'Tag List'!$A:$B,2,),"")</f>
        <v/>
      </c>
      <c r="CB53" s="29" t="str">
        <f>IF(LEN(AA53)&gt;1,VLOOKUP(AA53,'Tag List'!$A:$B,2,),"")</f>
        <v/>
      </c>
      <c r="CC53" s="29" t="str">
        <f>IF(LEN(Y53)&gt;1,GetTagPage(BZ53,Y53),"")</f>
        <v>[St. Maria Goretti](/tags/maria-goretti)</v>
      </c>
      <c r="CD53" s="29" t="str">
        <f>IF(LEN(Z53)&gt;1,GetTagPage(CA53,Z53),"")</f>
        <v/>
      </c>
      <c r="CE53" s="29" t="str">
        <f>IF(LEN(AA53)&gt;1,GetTagPage(CB53,AA53),"")</f>
        <v/>
      </c>
      <c r="CF53" s="29" t="str">
        <f t="shared" ref="CF53" si="180">"|"&amp;IF(LEN(CC53)&gt;1," "&amp;CC53,"")&amp;IF(LEN(CD53)&gt;1,", "&amp;CD53,"")&amp;IF(LEN(CE53)&gt;1,", "&amp;CE53,"")&amp;" "</f>
        <v xml:space="preserve">| [St. Maria Goretti](/tags/maria-goretti) </v>
      </c>
      <c r="CG53" s="29" t="str">
        <f t="shared" si="54"/>
        <v xml:space="preserve">| [](/places/it-corinaldo-church-of-st-francis) </v>
      </c>
      <c r="CH53" s="29" t="str">
        <f>"| "&amp;IF(AR53,GetTagPage(B53,VLOOKUP(B53,'(Ref) Countries'!A:C,3,)),B53)&amp; " "</f>
        <v xml:space="preserve">| [Italy](/tags/italy) </v>
      </c>
      <c r="CI53" s="29" t="str">
        <f t="shared" si="55"/>
        <v xml:space="preserve">|  </v>
      </c>
      <c r="CJ53" s="29" t="str">
        <f t="shared" ref="CJ53" si="181">"|"&amp;IF(AR53," [Link](/places/"&amp;SUBSTITUTE(BY53,".md","")&amp;")","")&amp;" "</f>
        <v xml:space="preserve">| [Link](/places/it-corinaldo-church-of-st-francis) </v>
      </c>
      <c r="CK53" s="29" t="str">
        <f t="shared" ref="CK53" si="182">"
"&amp;CG53&amp;CH53&amp;CI53&amp;CJ53&amp;BL53&amp;BQ53&amp;BR53&amp;BS53&amp;CF53&amp;"|"</f>
        <v xml:space="preserve">
| [](/places/it-corinaldo-church-of-st-francis) | [Italy](/tags/italy) |  | [Link](/places/it-corinaldo-church-of-st-francis) | [St. Maria Goretti](/tags/maria-goretti) |</v>
      </c>
    </row>
    <row r="54" spans="1:89" x14ac:dyDescent="0.4">
      <c r="A54" s="14" t="s">
        <v>1320</v>
      </c>
      <c r="B54" s="24" t="s">
        <v>11</v>
      </c>
      <c r="C54" s="15" t="s">
        <v>1869</v>
      </c>
      <c r="D54" s="15">
        <v>43.659849000000001</v>
      </c>
      <c r="E54" s="49">
        <v>13.051119999999999</v>
      </c>
      <c r="F54" s="24" t="s">
        <v>1873</v>
      </c>
      <c r="G54" s="92" t="s">
        <v>1874</v>
      </c>
      <c r="H54" s="93" t="s">
        <v>1827</v>
      </c>
      <c r="K54" s="15" t="b">
        <v>1</v>
      </c>
      <c r="L54" s="85" t="s">
        <v>1875</v>
      </c>
      <c r="O54" s="15" t="s">
        <v>336</v>
      </c>
      <c r="Y54" s="15" t="s">
        <v>1753</v>
      </c>
      <c r="AR54" s="28" t="b">
        <f t="shared" si="38"/>
        <v>1</v>
      </c>
      <c r="AS54" s="29" t="str">
        <f t="shared" ref="AS54:AS58" si="183">"title: """&amp;F54&amp;""""</f>
        <v>title: "Birthplace of St. Maria Goretti"</v>
      </c>
      <c r="AT54" s="29" t="str">
        <f t="shared" si="40"/>
        <v>location: {lat: 43.659849, lng: 13.05112}</v>
      </c>
      <c r="AU54" s="29" t="str">
        <f t="shared" ref="AU54:AU58" si="184">"level: "&amp;H54</f>
        <v>level: local</v>
      </c>
      <c r="AV54" s="29" t="str">
        <f>"- "&amp;VLOOKUP(B54,'(Ref) Countries'!A:C,3,)</f>
        <v>- italy</v>
      </c>
      <c r="AW54" s="29" t="str">
        <f t="shared" si="42"/>
        <v>- corinaldo</v>
      </c>
      <c r="AX54" s="29" t="str">
        <f t="shared" si="43"/>
        <v/>
      </c>
      <c r="AY54" s="29" t="str">
        <f t="shared" si="44"/>
        <v/>
      </c>
      <c r="AZ54" s="29" t="str">
        <f t="shared" si="45"/>
        <v>- holy-persons</v>
      </c>
      <c r="BA54" s="29" t="str">
        <f t="shared" ref="BA54:BA59" si="185">IF(LEN(Y54)&gt;0,"- "&amp;Y54,"")</f>
        <v>- maria-goretti</v>
      </c>
      <c r="BB54" s="29" t="str">
        <f t="shared" ref="BB54:BB59" si="186">IF(LEN(Z54)&gt;0,"- "&amp;Z54,"")</f>
        <v/>
      </c>
      <c r="BC54" s="29" t="str">
        <f t="shared" ref="BC54:BC59" si="187">IF(LEN(AA54)&gt;0,"- "&amp;AA54,"")</f>
        <v/>
      </c>
      <c r="BD54" s="29" t="str">
        <f t="shared" ref="BD54:BD59" si="188">IF(LEN(AB54)&gt;0,"- "&amp;AB54,"")</f>
        <v/>
      </c>
      <c r="BE54" s="29" t="str">
        <f t="shared" ref="BE54:BE59" si="189">IF(LEN(AC54)&gt;0,"- "&amp;AC54,"")</f>
        <v/>
      </c>
      <c r="BF54" s="29" t="str">
        <f t="shared" ref="BF54:BF59" si="190">IF(LEN(AD54)&gt;0,"- "&amp;AD54,"")</f>
        <v/>
      </c>
      <c r="BG54" s="29" t="str">
        <f t="shared" ref="BG54:BG59" si="191">IF(LEN(AE54)&gt;0,"- "&amp;AE54,"")</f>
        <v/>
      </c>
      <c r="BH54" s="29" t="str">
        <f t="shared" ref="BH54:BH59" si="192">IF(LEN(AF54)&gt;0,"- "&amp;AF54,"")</f>
        <v/>
      </c>
      <c r="BI54" s="29" t="str">
        <f t="shared" ref="BI54:BI59" si="193">IF(LEN(AG54)&gt;0,"- "&amp;AG54,"")</f>
        <v/>
      </c>
      <c r="BJ54" s="29" t="str">
        <f t="shared" ref="BJ54:BJ59" si="194">IF(LEN(AH54)&gt;0,"- "&amp;AH54,"")</f>
        <v/>
      </c>
      <c r="BK54" s="29" t="str">
        <f t="shared" ref="BK54:BK59" si="195">"tags:"&amp;CHAR(10)&amp;concatl(AV54:BJ54)</f>
        <v xml:space="preserve">tags:
- italy_x000D_
- corinaldo_x000D_
- holy-persons_x000D_
- maria-goretti_x000D_
</v>
      </c>
      <c r="BL54" s="29" t="str">
        <f t="shared" si="46"/>
        <v/>
      </c>
      <c r="BM54" s="29" t="str">
        <f t="shared" si="47"/>
        <v/>
      </c>
      <c r="BN54" s="29" t="str">
        <f t="shared" si="48"/>
        <v/>
      </c>
      <c r="BO54" s="29" t="str">
        <f t="shared" si="49"/>
        <v/>
      </c>
      <c r="BP54" s="29" t="str">
        <f t="shared" ref="BP54:BP59" si="196">IF(LEN(BL54)&gt;0,"* "&amp;BL54&amp;CHAR(10),"")&amp;
IF(LEN(BM54)&gt;0,"* "&amp;BM54&amp;CHAR(10),"")&amp;
IF(LEN(BN54)&gt;0,"* "&amp;BN54&amp;CHAR(10),"")&amp;
IF(LEN(BO54)&gt;0,"* "&amp;BO54&amp;CHAR(10),"")</f>
        <v/>
      </c>
      <c r="BQ54" s="29" t="str">
        <f t="shared" si="50"/>
        <v/>
      </c>
      <c r="BR54" s="29" t="str">
        <f t="shared" si="51"/>
        <v/>
      </c>
      <c r="BS54" s="29" t="str">
        <f t="shared" si="52"/>
        <v/>
      </c>
      <c r="BT54" s="29" t="str">
        <f>IF(LEN(_xludf.concat(BQ54:BS54))&gt;0,_xludf.concat("| ",BQ54," | ",BR54," | ",BS54," |"),"")</f>
        <v/>
      </c>
      <c r="BU54" s="29" t="str">
        <f t="shared" si="53"/>
        <v/>
      </c>
      <c r="BV54" s="29" t="str">
        <f>IF(LEN(BP54&amp;BU54)&gt;0,concatll("#### More Information",BP54,BU54),"")</f>
        <v/>
      </c>
      <c r="BW54" s="29" t="str">
        <f>IF(LEN(M54)&gt;1,concatll("#### Author's Note",M54),"")</f>
        <v/>
      </c>
      <c r="BX54" s="23" t="str">
        <f>IF(AR54,concatll(concatl("---",AS54:AU54,BK54,"---"),L54,BV54:BW54),"")</f>
        <v xml:space="preserve">---_x000D_
title: "Birthplace of St. Maria Goretti"_x000D_
location: {lat: 43.659849, lng: 13.05112}_x000D_
level: local_x000D_
tags:
- italy_x000D_
- corinaldo_x000D_
- holy-persons_x000D_
- maria-goretti_x000D_
_x000D_
---_x000D_
_x000D_
_x000D_
Here St. Maria Goretti was born on October 16, 1890._x000D_
_x000D_
</v>
      </c>
      <c r="BY54" s="31" t="str">
        <f>IF(AR54,VLOOKUP(B54,'(Ref) Countries'!A:B,2,)&amp;IF(LEN(C54)&gt;1,"-"&amp;LOWER(SUBSTITUTE(C54," ","-")),"")&amp;"-"&amp;LOWER(SUBSTITUTE(G54," ","-"))&amp;".md","")</f>
        <v>it-corinaldo-birthplace-of-st-maria-goretti.md</v>
      </c>
      <c r="BZ54" s="29" t="str">
        <f>IF(LEN(Y54)&gt;1,VLOOKUP(Y54,'Tag List'!$A:$B,2,),"")</f>
        <v>St. Maria Goretti</v>
      </c>
      <c r="CA54" s="29" t="str">
        <f>IF(LEN(Z54)&gt;1,VLOOKUP(Z54,'Tag List'!$A:$B,2,),"")</f>
        <v/>
      </c>
      <c r="CB54" s="29" t="str">
        <f>IF(LEN(AA54)&gt;1,VLOOKUP(AA54,'Tag List'!$A:$B,2,),"")</f>
        <v/>
      </c>
      <c r="CC54" s="29" t="str">
        <f>IF(LEN(Y54)&gt;1,GetTagPage(BZ54,Y54),"")</f>
        <v>[St. Maria Goretti](/tags/maria-goretti)</v>
      </c>
      <c r="CD54" s="29" t="str">
        <f>IF(LEN(Z54)&gt;1,GetTagPage(CA54,Z54),"")</f>
        <v/>
      </c>
      <c r="CE54" s="29" t="str">
        <f>IF(LEN(AA54)&gt;1,GetTagPage(CB54,AA54),"")</f>
        <v/>
      </c>
      <c r="CF54" s="29" t="str">
        <f t="shared" ref="CF54:CF59" si="197">"|"&amp;IF(LEN(CC54)&gt;1," "&amp;CC54,"")&amp;IF(LEN(CD54)&gt;1,", "&amp;CD54,"")&amp;IF(LEN(CE54)&gt;1,", "&amp;CE54,"")&amp;" "</f>
        <v xml:space="preserve">| [St. Maria Goretti](/tags/maria-goretti) </v>
      </c>
      <c r="CG54" s="29" t="str">
        <f t="shared" si="54"/>
        <v xml:space="preserve">| [](/places/it-corinaldo-birthplace-of-st-maria-goretti) </v>
      </c>
      <c r="CH54" s="29" t="str">
        <f>"| "&amp;IF(AR54,GetTagPage(B54,VLOOKUP(B54,'(Ref) Countries'!A:C,3,)),B54)&amp; " "</f>
        <v xml:space="preserve">| [Italy](/tags/italy) </v>
      </c>
      <c r="CI54" s="29" t="str">
        <f t="shared" si="55"/>
        <v xml:space="preserve">|  </v>
      </c>
      <c r="CJ54" s="29" t="str">
        <f t="shared" ref="CJ54:CJ59" si="198">"|"&amp;IF(AR54," [Link](/places/"&amp;SUBSTITUTE(BY54,".md","")&amp;")","")&amp;" "</f>
        <v xml:space="preserve">| [Link](/places/it-corinaldo-birthplace-of-st-maria-goretti) </v>
      </c>
      <c r="CK54" s="29" t="str">
        <f t="shared" ref="CK54:CK59" si="199">"
"&amp;CG54&amp;CH54&amp;CI54&amp;CJ54&amp;BL54&amp;BQ54&amp;BR54&amp;BS54&amp;CF54&amp;"|"</f>
        <v xml:space="preserve">
| [](/places/it-corinaldo-birthplace-of-st-maria-goretti) | [Italy](/tags/italy) |  | [Link](/places/it-corinaldo-birthplace-of-st-maria-goretti) | [St. Maria Goretti](/tags/maria-goretti) |</v>
      </c>
    </row>
    <row r="55" spans="1:89" ht="24.9" x14ac:dyDescent="0.4">
      <c r="A55" s="14" t="s">
        <v>1320</v>
      </c>
      <c r="B55" s="24" t="s">
        <v>11</v>
      </c>
      <c r="C55" s="15" t="s">
        <v>1869</v>
      </c>
      <c r="D55" s="15">
        <v>43.649306500000002</v>
      </c>
      <c r="E55" s="49">
        <v>13.0472097</v>
      </c>
      <c r="F55" s="85" t="s">
        <v>1878</v>
      </c>
      <c r="G55" s="92" t="s">
        <v>1876</v>
      </c>
      <c r="H55" s="93" t="s">
        <v>1760</v>
      </c>
      <c r="I55" s="15" t="b">
        <v>1</v>
      </c>
      <c r="K55" s="15" t="b">
        <v>1</v>
      </c>
      <c r="L55" s="85" t="s">
        <v>1879</v>
      </c>
      <c r="N55" s="15" t="s">
        <v>1877</v>
      </c>
      <c r="O55" s="15" t="s">
        <v>336</v>
      </c>
      <c r="Y55" s="15" t="s">
        <v>1753</v>
      </c>
      <c r="AR55" s="28" t="b">
        <f t="shared" si="38"/>
        <v>1</v>
      </c>
      <c r="AS55" s="29" t="str">
        <f t="shared" si="183"/>
        <v>title: "Diocesan Sanctuary of St. Maria Goretti"</v>
      </c>
      <c r="AT55" s="29" t="str">
        <f t="shared" si="40"/>
        <v>location: {lat: 43.6493065, lng: 13.0472097}</v>
      </c>
      <c r="AU55" s="29" t="str">
        <f t="shared" si="184"/>
        <v>level: regional</v>
      </c>
      <c r="AV55" s="29" t="str">
        <f>"- "&amp;VLOOKUP(B55,'(Ref) Countries'!A:C,3,)</f>
        <v>- italy</v>
      </c>
      <c r="AW55" s="29" t="str">
        <f t="shared" si="42"/>
        <v>- corinaldo</v>
      </c>
      <c r="AX55" s="29" t="str">
        <f t="shared" si="43"/>
        <v>- churches</v>
      </c>
      <c r="AY55" s="29" t="str">
        <f t="shared" si="44"/>
        <v/>
      </c>
      <c r="AZ55" s="29" t="str">
        <f t="shared" si="45"/>
        <v>- holy-persons</v>
      </c>
      <c r="BA55" s="29" t="str">
        <f t="shared" si="185"/>
        <v>- maria-goretti</v>
      </c>
      <c r="BB55" s="29" t="str">
        <f t="shared" si="186"/>
        <v/>
      </c>
      <c r="BC55" s="29" t="str">
        <f t="shared" si="187"/>
        <v/>
      </c>
      <c r="BD55" s="29" t="str">
        <f t="shared" si="188"/>
        <v/>
      </c>
      <c r="BE55" s="29" t="str">
        <f t="shared" si="189"/>
        <v/>
      </c>
      <c r="BF55" s="29" t="str">
        <f t="shared" si="190"/>
        <v/>
      </c>
      <c r="BG55" s="29" t="str">
        <f t="shared" si="191"/>
        <v/>
      </c>
      <c r="BH55" s="29" t="str">
        <f t="shared" si="192"/>
        <v/>
      </c>
      <c r="BI55" s="29" t="str">
        <f t="shared" si="193"/>
        <v/>
      </c>
      <c r="BJ55" s="29" t="str">
        <f t="shared" si="194"/>
        <v/>
      </c>
      <c r="BK55" s="29" t="str">
        <f t="shared" si="195"/>
        <v xml:space="preserve">tags:
- italy_x000D_
- corinaldo_x000D_
- churches_x000D_
- holy-persons_x000D_
- maria-goretti_x000D_
</v>
      </c>
      <c r="BL55" s="29" t="str">
        <f t="shared" si="46"/>
        <v>[Official site](https://www.santamariagoretti.it/home/)</v>
      </c>
      <c r="BM55" s="29" t="str">
        <f t="shared" si="47"/>
        <v/>
      </c>
      <c r="BN55" s="29" t="str">
        <f t="shared" si="48"/>
        <v/>
      </c>
      <c r="BO55" s="29" t="str">
        <f t="shared" si="49"/>
        <v/>
      </c>
      <c r="BP55" s="29" t="str">
        <f t="shared" si="196"/>
        <v xml:space="preserve">* [Official site](https://www.santamariagoretti.it/home/)
</v>
      </c>
      <c r="BQ55" s="29" t="str">
        <f t="shared" si="50"/>
        <v/>
      </c>
      <c r="BR55" s="29" t="str">
        <f t="shared" si="51"/>
        <v/>
      </c>
      <c r="BS55" s="29" t="str">
        <f t="shared" si="52"/>
        <v/>
      </c>
      <c r="BT55" s="29" t="str">
        <f>IF(LEN(_xludf.concat(BQ55:BS55))&gt;0,_xludf.concat("| ",BQ55," | ",BR55," | ",BS55," |"),"")</f>
        <v/>
      </c>
      <c r="BU55" s="29" t="str">
        <f t="shared" si="53"/>
        <v/>
      </c>
      <c r="BV55" s="29" t="str">
        <f>IF(LEN(BP55&amp;BU55)&gt;0,concatll("#### More Information",BP55,BU55),"")</f>
        <v xml:space="preserve">#### More Information_x000D_
_x000D_
* [Official site](https://www.santamariagoretti.it/home/)
_x000D_
_x000D_
</v>
      </c>
      <c r="BW55" s="29" t="str">
        <f>IF(LEN(M55)&gt;1,concatll("#### Author's Note",M55),"")</f>
        <v/>
      </c>
      <c r="BX55" s="23" t="str">
        <f>IF(AR55,concatll(concatl("---",AS55:AU55,BK55,"---"),L55,BV55:BW55),"")</f>
        <v xml:space="preserve">---_x000D_
title: "Diocesan Sanctuary of St. Maria Goretti"_x000D_
location: {lat: 43.6493065, lng: 13.0472097}_x000D_
level: regional_x000D_
tags:
- italy_x000D_
- corinaldo_x000D_
- churches_x000D_
- holy-persons_x000D_
- maria-goretti_x000D_
_x000D_
---_x000D_
_x000D_
_x000D_
This church is the final resting place for St. Maria Goretti's mother, Assunta, and her repentant murderer, Alessandro Serenelli.  There is also a relic of Maria's arm here._x000D_
_x000D_
#### More Information_x000D_
_x000D_
* [Official site](https://www.santamariagoretti.it/home/)
_x000D_
_x000D_
_x000D_
_x000D_
</v>
      </c>
      <c r="BY55" s="31" t="str">
        <f>IF(AR55,VLOOKUP(B55,'(Ref) Countries'!A:B,2,)&amp;IF(LEN(C55)&gt;1,"-"&amp;LOWER(SUBSTITUTE(C55," ","-")),"")&amp;"-"&amp;LOWER(SUBSTITUTE(G55," ","-"))&amp;".md","")</f>
        <v>it-corinaldo-sanctuary-of-st-maria-goretti.md</v>
      </c>
      <c r="BZ55" s="29" t="str">
        <f>IF(LEN(Y55)&gt;1,VLOOKUP(Y55,'Tag List'!$A:$B,2,),"")</f>
        <v>St. Maria Goretti</v>
      </c>
      <c r="CA55" s="29" t="str">
        <f>IF(LEN(Z55)&gt;1,VLOOKUP(Z55,'Tag List'!$A:$B,2,),"")</f>
        <v/>
      </c>
      <c r="CB55" s="29" t="str">
        <f>IF(LEN(AA55)&gt;1,VLOOKUP(AA55,'Tag List'!$A:$B,2,),"")</f>
        <v/>
      </c>
      <c r="CC55" s="29" t="str">
        <f>IF(LEN(Y55)&gt;1,GetTagPage(BZ55,Y55),"")</f>
        <v>[St. Maria Goretti](/tags/maria-goretti)</v>
      </c>
      <c r="CD55" s="29" t="str">
        <f>IF(LEN(Z55)&gt;1,GetTagPage(CA55,Z55),"")</f>
        <v/>
      </c>
      <c r="CE55" s="29" t="str">
        <f>IF(LEN(AA55)&gt;1,GetTagPage(CB55,AA55),"")</f>
        <v/>
      </c>
      <c r="CF55" s="29" t="str">
        <f t="shared" si="197"/>
        <v xml:space="preserve">| [St. Maria Goretti](/tags/maria-goretti) </v>
      </c>
      <c r="CG55" s="29" t="str">
        <f t="shared" si="54"/>
        <v xml:space="preserve">| [](/places/it-corinaldo-sanctuary-of-st-maria-goretti) </v>
      </c>
      <c r="CH55" s="29" t="str">
        <f>"| "&amp;IF(AR55,GetTagPage(B55,VLOOKUP(B55,'(Ref) Countries'!A:C,3,)),B55)&amp; " "</f>
        <v xml:space="preserve">| [Italy](/tags/italy) </v>
      </c>
      <c r="CI55" s="29" t="str">
        <f t="shared" si="55"/>
        <v xml:space="preserve">|  </v>
      </c>
      <c r="CJ55" s="29" t="str">
        <f t="shared" si="198"/>
        <v xml:space="preserve">| [Link](/places/it-corinaldo-sanctuary-of-st-maria-goretti) </v>
      </c>
      <c r="CK55" s="29" t="str">
        <f t="shared" si="199"/>
        <v xml:space="preserve">
| [](/places/it-corinaldo-sanctuary-of-st-maria-goretti) | [Italy](/tags/italy) |  | [Link](/places/it-corinaldo-sanctuary-of-st-maria-goretti) [Official site](https://www.santamariagoretti.it/home/)| [St. Maria Goretti](/tags/maria-goretti) |</v>
      </c>
    </row>
    <row r="56" spans="1:89" ht="37.299999999999997" x14ac:dyDescent="0.4">
      <c r="A56" s="14" t="s">
        <v>1320</v>
      </c>
      <c r="B56" s="85" t="s">
        <v>11</v>
      </c>
      <c r="C56" s="93" t="s">
        <v>1880</v>
      </c>
      <c r="D56" s="15">
        <v>41.516100799999997</v>
      </c>
      <c r="E56" s="49">
        <v>12.7567</v>
      </c>
      <c r="F56" s="85" t="s">
        <v>1881</v>
      </c>
      <c r="G56" s="53" t="s">
        <v>1881</v>
      </c>
      <c r="H56" s="93" t="s">
        <v>1760</v>
      </c>
      <c r="K56" s="15" t="b">
        <v>1</v>
      </c>
      <c r="L56" s="85" t="s">
        <v>1882</v>
      </c>
      <c r="O56" s="15" t="s">
        <v>336</v>
      </c>
      <c r="Y56" s="15" t="s">
        <v>1753</v>
      </c>
      <c r="AR56" s="28" t="b">
        <f t="shared" si="38"/>
        <v>1</v>
      </c>
      <c r="AS56" s="29" t="str">
        <f t="shared" si="183"/>
        <v>title: "Goretti House"</v>
      </c>
      <c r="AT56" s="29" t="str">
        <f t="shared" si="40"/>
        <v>location: {lat: 41.5161008, lng: 12.7567}</v>
      </c>
      <c r="AU56" s="29" t="str">
        <f t="shared" si="184"/>
        <v>level: regional</v>
      </c>
      <c r="AV56" s="29" t="str">
        <f>"- "&amp;VLOOKUP(B56,'(Ref) Countries'!A:C,3,)</f>
        <v>- italy</v>
      </c>
      <c r="AW56" s="29" t="str">
        <f t="shared" si="42"/>
        <v>- la-ferriere</v>
      </c>
      <c r="AX56" s="29" t="str">
        <f t="shared" si="43"/>
        <v/>
      </c>
      <c r="AY56" s="29" t="str">
        <f t="shared" si="44"/>
        <v/>
      </c>
      <c r="AZ56" s="29" t="str">
        <f t="shared" si="45"/>
        <v>- holy-persons</v>
      </c>
      <c r="BA56" s="29" t="str">
        <f t="shared" si="185"/>
        <v>- maria-goretti</v>
      </c>
      <c r="BB56" s="29" t="str">
        <f t="shared" si="186"/>
        <v/>
      </c>
      <c r="BC56" s="29" t="str">
        <f t="shared" si="187"/>
        <v/>
      </c>
      <c r="BD56" s="29" t="str">
        <f t="shared" si="188"/>
        <v/>
      </c>
      <c r="BE56" s="29" t="str">
        <f t="shared" si="189"/>
        <v/>
      </c>
      <c r="BF56" s="29" t="str">
        <f t="shared" si="190"/>
        <v/>
      </c>
      <c r="BG56" s="29" t="str">
        <f t="shared" si="191"/>
        <v/>
      </c>
      <c r="BH56" s="29" t="str">
        <f t="shared" si="192"/>
        <v/>
      </c>
      <c r="BI56" s="29" t="str">
        <f t="shared" si="193"/>
        <v/>
      </c>
      <c r="BJ56" s="29" t="str">
        <f t="shared" si="194"/>
        <v/>
      </c>
      <c r="BK56" s="29" t="str">
        <f t="shared" si="195"/>
        <v xml:space="preserve">tags:
- italy_x000D_
- la-ferriere_x000D_
- holy-persons_x000D_
- maria-goretti_x000D_
</v>
      </c>
      <c r="BL56" s="29" t="str">
        <f t="shared" si="46"/>
        <v/>
      </c>
      <c r="BM56" s="29" t="str">
        <f t="shared" si="47"/>
        <v/>
      </c>
      <c r="BN56" s="29" t="str">
        <f t="shared" si="48"/>
        <v/>
      </c>
      <c r="BO56" s="29" t="str">
        <f t="shared" si="49"/>
        <v/>
      </c>
      <c r="BP56" s="29" t="str">
        <f t="shared" si="196"/>
        <v/>
      </c>
      <c r="BQ56" s="29" t="str">
        <f t="shared" si="50"/>
        <v/>
      </c>
      <c r="BR56" s="29" t="str">
        <f t="shared" si="51"/>
        <v/>
      </c>
      <c r="BS56" s="29" t="str">
        <f t="shared" si="52"/>
        <v/>
      </c>
      <c r="BT56" s="29" t="str">
        <f>IF(LEN(_xludf.concat(BQ56:BS56))&gt;0,_xludf.concat("| ",BQ56," | ",BR56," | ",BS56," |"),"")</f>
        <v/>
      </c>
      <c r="BU56" s="29" t="str">
        <f t="shared" si="53"/>
        <v/>
      </c>
      <c r="BV56" s="29" t="str">
        <f>IF(LEN(BP56&amp;BU56)&gt;0,concatll("#### More Information",BP56,BU56),"")</f>
        <v/>
      </c>
      <c r="BW56" s="29" t="str">
        <f>IF(LEN(M56)&gt;1,concatll("#### Author's Note",M56),"")</f>
        <v/>
      </c>
      <c r="BX56" s="23" t="str">
        <f>IF(AR56,concatll(concatl("---",AS56:AU56,BK56,"---"),L56,BV56:BW56),"")</f>
        <v xml:space="preserve">---_x000D_
title: "Goretti House"_x000D_
location: {lat: 41.5161008, lng: 12.7567}_x000D_
level: regional_x000D_
tags:
- italy_x000D_
- la-ferriere_x000D_
- holy-persons_x000D_
- maria-goretti_x000D_
_x000D_
---_x000D_
_x000D_
_x000D_
Here St. Maria Goretti lived with her family and where she was martyred, stabbed by Alessandro Serenelli.  She died the next day in a hospital in Nettuno.  Today it is a museum._x000D_
_x000D_
</v>
      </c>
      <c r="BY56" s="31" t="str">
        <f>IF(AR56,VLOOKUP(B56,'(Ref) Countries'!A:B,2,)&amp;IF(LEN(C56)&gt;1,"-"&amp;LOWER(SUBSTITUTE(C56," ","-")),"")&amp;"-"&amp;LOWER(SUBSTITUTE(G56," ","-"))&amp;".md","")</f>
        <v>it-la-ferriere-goretti-house.md</v>
      </c>
      <c r="BZ56" s="29" t="str">
        <f>IF(LEN(Y56)&gt;1,VLOOKUP(Y56,'Tag List'!$A:$B,2,),"")</f>
        <v>St. Maria Goretti</v>
      </c>
      <c r="CA56" s="29" t="str">
        <f>IF(LEN(Z56)&gt;1,VLOOKUP(Z56,'Tag List'!$A:$B,2,),"")</f>
        <v/>
      </c>
      <c r="CB56" s="29" t="str">
        <f>IF(LEN(AA56)&gt;1,VLOOKUP(AA56,'Tag List'!$A:$B,2,),"")</f>
        <v/>
      </c>
      <c r="CC56" s="29" t="str">
        <f>IF(LEN(Y56)&gt;1,GetTagPage(BZ56,Y56),"")</f>
        <v>[St. Maria Goretti](/tags/maria-goretti)</v>
      </c>
      <c r="CD56" s="29" t="str">
        <f>IF(LEN(Z56)&gt;1,GetTagPage(CA56,Z56),"")</f>
        <v/>
      </c>
      <c r="CE56" s="29" t="str">
        <f>IF(LEN(AA56)&gt;1,GetTagPage(CB56,AA56),"")</f>
        <v/>
      </c>
      <c r="CF56" s="29" t="str">
        <f t="shared" si="197"/>
        <v xml:space="preserve">| [St. Maria Goretti](/tags/maria-goretti) </v>
      </c>
      <c r="CG56" s="29" t="str">
        <f t="shared" si="54"/>
        <v xml:space="preserve">| [](/places/it-la-ferriere-goretti-house) </v>
      </c>
      <c r="CH56" s="29" t="str">
        <f>"| "&amp;IF(AR56,GetTagPage(B56,VLOOKUP(B56,'(Ref) Countries'!A:C,3,)),B56)&amp; " "</f>
        <v xml:space="preserve">| [Italy](/tags/italy) </v>
      </c>
      <c r="CI56" s="29" t="str">
        <f t="shared" si="55"/>
        <v xml:space="preserve">|  </v>
      </c>
      <c r="CJ56" s="29" t="str">
        <f t="shared" si="198"/>
        <v xml:space="preserve">| [Link](/places/it-la-ferriere-goretti-house) </v>
      </c>
      <c r="CK56" s="29" t="str">
        <f t="shared" si="199"/>
        <v xml:space="preserve">
| [](/places/it-la-ferriere-goretti-house) | [Italy](/tags/italy) |  | [Link](/places/it-la-ferriere-goretti-house) | [St. Maria Goretti](/tags/maria-goretti) |</v>
      </c>
    </row>
    <row r="57" spans="1:89" x14ac:dyDescent="0.4">
      <c r="A57" s="14" t="s">
        <v>1320</v>
      </c>
      <c r="B57" s="85" t="s">
        <v>11</v>
      </c>
      <c r="C57" s="93" t="s">
        <v>1883</v>
      </c>
      <c r="D57" s="15">
        <v>41.457250000000002</v>
      </c>
      <c r="E57" s="49">
        <v>12.655849999999999</v>
      </c>
      <c r="F57" s="85" t="s">
        <v>1884</v>
      </c>
      <c r="G57" s="92" t="s">
        <v>1887</v>
      </c>
      <c r="H57" s="93" t="s">
        <v>1827</v>
      </c>
      <c r="K57" s="15" t="b">
        <v>1</v>
      </c>
      <c r="L57" s="24" t="s">
        <v>1888</v>
      </c>
      <c r="O57" s="15" t="s">
        <v>336</v>
      </c>
      <c r="Y57" s="15" t="s">
        <v>1753</v>
      </c>
      <c r="AR57" s="28" t="b">
        <f t="shared" si="38"/>
        <v>1</v>
      </c>
      <c r="AS57" s="29" t="str">
        <f t="shared" si="183"/>
        <v>title: "Statue of St. Maria Goretti"</v>
      </c>
      <c r="AT57" s="29" t="str">
        <f t="shared" si="40"/>
        <v>location: {lat: 41.45725, lng: 12.65585}</v>
      </c>
      <c r="AU57" s="29" t="str">
        <f t="shared" si="184"/>
        <v>level: local</v>
      </c>
      <c r="AV57" s="29" t="str">
        <f>"- "&amp;VLOOKUP(B57,'(Ref) Countries'!A:C,3,)</f>
        <v>- italy</v>
      </c>
      <c r="AW57" s="29" t="str">
        <f t="shared" si="42"/>
        <v>- nettuno</v>
      </c>
      <c r="AX57" s="29" t="str">
        <f t="shared" si="43"/>
        <v/>
      </c>
      <c r="AY57" s="29" t="str">
        <f t="shared" si="44"/>
        <v/>
      </c>
      <c r="AZ57" s="29" t="str">
        <f t="shared" si="45"/>
        <v>- holy-persons</v>
      </c>
      <c r="BA57" s="29" t="str">
        <f t="shared" si="185"/>
        <v>- maria-goretti</v>
      </c>
      <c r="BB57" s="29" t="str">
        <f t="shared" si="186"/>
        <v/>
      </c>
      <c r="BC57" s="29" t="str">
        <f t="shared" si="187"/>
        <v/>
      </c>
      <c r="BD57" s="29" t="str">
        <f t="shared" si="188"/>
        <v/>
      </c>
      <c r="BE57" s="29" t="str">
        <f t="shared" si="189"/>
        <v/>
      </c>
      <c r="BF57" s="29" t="str">
        <f t="shared" si="190"/>
        <v/>
      </c>
      <c r="BG57" s="29" t="str">
        <f t="shared" si="191"/>
        <v/>
      </c>
      <c r="BH57" s="29" t="str">
        <f t="shared" si="192"/>
        <v/>
      </c>
      <c r="BI57" s="29" t="str">
        <f t="shared" si="193"/>
        <v/>
      </c>
      <c r="BJ57" s="29" t="str">
        <f t="shared" si="194"/>
        <v/>
      </c>
      <c r="BK57" s="29" t="str">
        <f t="shared" si="195"/>
        <v xml:space="preserve">tags:
- italy_x000D_
- nettuno_x000D_
- holy-persons_x000D_
- maria-goretti_x000D_
</v>
      </c>
      <c r="BL57" s="29" t="str">
        <f t="shared" si="46"/>
        <v/>
      </c>
      <c r="BM57" s="29" t="str">
        <f t="shared" si="47"/>
        <v/>
      </c>
      <c r="BN57" s="29" t="str">
        <f t="shared" si="48"/>
        <v/>
      </c>
      <c r="BO57" s="29" t="str">
        <f t="shared" si="49"/>
        <v/>
      </c>
      <c r="BP57" s="29" t="str">
        <f t="shared" si="196"/>
        <v/>
      </c>
      <c r="BQ57" s="29" t="str">
        <f t="shared" si="50"/>
        <v/>
      </c>
      <c r="BR57" s="29" t="str">
        <f t="shared" si="51"/>
        <v/>
      </c>
      <c r="BS57" s="29" t="str">
        <f t="shared" si="52"/>
        <v/>
      </c>
      <c r="BT57" s="29" t="str">
        <f>IF(LEN(_xludf.concat(BQ57:BS57))&gt;0,_xludf.concat("| ",BQ57," | ",BR57," | ",BS57," |"),"")</f>
        <v/>
      </c>
      <c r="BU57" s="29" t="str">
        <f t="shared" si="53"/>
        <v/>
      </c>
      <c r="BV57" s="29" t="str">
        <f>IF(LEN(BP57&amp;BU57)&gt;0,concatll("#### More Information",BP57,BU57),"")</f>
        <v/>
      </c>
      <c r="BW57" s="29" t="str">
        <f>IF(LEN(M57)&gt;1,concatll("#### Author's Note",M57),"")</f>
        <v/>
      </c>
      <c r="BX57" s="23" t="str">
        <f>IF(AR57,concatll(concatl("---",AS57:AU57,BK57,"---"),L57,BV57:BW57),"")</f>
        <v xml:space="preserve">---_x000D_
title: "Statue of St. Maria Goretti"_x000D_
location: {lat: 41.45725, lng: 12.65585}_x000D_
level: local_x000D_
tags:
- italy_x000D_
- nettuno_x000D_
- holy-persons_x000D_
- maria-goretti_x000D_
_x000D_
---_x000D_
_x000D_
_x000D_
A statue of St. Maria Goretti in Nettuno, the town where she died._x000D_
_x000D_
</v>
      </c>
      <c r="BY57" s="31" t="str">
        <f>IF(AR57,VLOOKUP(B57,'(Ref) Countries'!A:B,2,)&amp;IF(LEN(C57)&gt;1,"-"&amp;LOWER(SUBSTITUTE(C57," ","-")),"")&amp;"-"&amp;LOWER(SUBSTITUTE(G57," ","-"))&amp;".md","")</f>
        <v>it-nettuno-statue-of-st-maria-goretti.md</v>
      </c>
      <c r="BZ57" s="29" t="str">
        <f>IF(LEN(Y57)&gt;1,VLOOKUP(Y57,'Tag List'!$A:$B,2,),"")</f>
        <v>St. Maria Goretti</v>
      </c>
      <c r="CA57" s="29" t="str">
        <f>IF(LEN(Z57)&gt;1,VLOOKUP(Z57,'Tag List'!$A:$B,2,),"")</f>
        <v/>
      </c>
      <c r="CB57" s="29" t="str">
        <f>IF(LEN(AA57)&gt;1,VLOOKUP(AA57,'Tag List'!$A:$B,2,),"")</f>
        <v/>
      </c>
      <c r="CC57" s="29" t="str">
        <f>IF(LEN(Y57)&gt;1,GetTagPage(BZ57,Y57),"")</f>
        <v>[St. Maria Goretti](/tags/maria-goretti)</v>
      </c>
      <c r="CD57" s="29" t="str">
        <f>IF(LEN(Z57)&gt;1,GetTagPage(CA57,Z57),"")</f>
        <v/>
      </c>
      <c r="CE57" s="29" t="str">
        <f>IF(LEN(AA57)&gt;1,GetTagPage(CB57,AA57),"")</f>
        <v/>
      </c>
      <c r="CF57" s="29" t="str">
        <f t="shared" si="197"/>
        <v xml:space="preserve">| [St. Maria Goretti](/tags/maria-goretti) </v>
      </c>
      <c r="CG57" s="29" t="str">
        <f t="shared" si="54"/>
        <v xml:space="preserve">| [](/places/it-nettuno-statue-of-st-maria-goretti) </v>
      </c>
      <c r="CH57" s="29" t="str">
        <f>"| "&amp;IF(AR57,GetTagPage(B57,VLOOKUP(B57,'(Ref) Countries'!A:C,3,)),B57)&amp; " "</f>
        <v xml:space="preserve">| [Italy](/tags/italy) </v>
      </c>
      <c r="CI57" s="29" t="str">
        <f t="shared" si="55"/>
        <v xml:space="preserve">|  </v>
      </c>
      <c r="CJ57" s="29" t="str">
        <f t="shared" si="198"/>
        <v xml:space="preserve">| [Link](/places/it-nettuno-statue-of-st-maria-goretti) </v>
      </c>
      <c r="CK57" s="29" t="str">
        <f t="shared" si="199"/>
        <v xml:space="preserve">
| [](/places/it-nettuno-statue-of-st-maria-goretti) | [Italy](/tags/italy) |  | [Link](/places/it-nettuno-statue-of-st-maria-goretti) | [St. Maria Goretti](/tags/maria-goretti) |</v>
      </c>
    </row>
    <row r="58" spans="1:89" ht="49.75" x14ac:dyDescent="0.4">
      <c r="A58" s="14" t="s">
        <v>1320</v>
      </c>
      <c r="B58" s="85" t="s">
        <v>11</v>
      </c>
      <c r="C58" s="93" t="s">
        <v>1883</v>
      </c>
      <c r="D58" s="15">
        <v>41.456946000000002</v>
      </c>
      <c r="E58" s="49">
        <v>12.649850000000001</v>
      </c>
      <c r="F58" s="85" t="s">
        <v>1905</v>
      </c>
      <c r="G58" s="92" t="s">
        <v>1889</v>
      </c>
      <c r="H58" s="15" t="s">
        <v>1827</v>
      </c>
      <c r="K58" s="15" t="b">
        <v>1</v>
      </c>
      <c r="L58" s="85" t="s">
        <v>1890</v>
      </c>
      <c r="O58" s="15" t="s">
        <v>336</v>
      </c>
      <c r="Y58" s="15" t="s">
        <v>1753</v>
      </c>
      <c r="AR58" s="28" t="b">
        <f t="shared" si="38"/>
        <v>1</v>
      </c>
      <c r="AS58" s="29" t="str">
        <f t="shared" si="183"/>
        <v>title: "St. Maria Goretti Tent of Pardon (Tenda del Perdono)"</v>
      </c>
      <c r="AT58" s="29" t="str">
        <f t="shared" si="40"/>
        <v>location: {lat: 41.456946, lng: 12.64985}</v>
      </c>
      <c r="AU58" s="29" t="str">
        <f t="shared" si="184"/>
        <v>level: local</v>
      </c>
      <c r="AV58" s="29" t="str">
        <f>"- "&amp;VLOOKUP(B58,'(Ref) Countries'!A:C,3,)</f>
        <v>- italy</v>
      </c>
      <c r="AW58" s="29" t="str">
        <f t="shared" si="42"/>
        <v>- nettuno</v>
      </c>
      <c r="AX58" s="29" t="str">
        <f t="shared" si="43"/>
        <v/>
      </c>
      <c r="AY58" s="29" t="str">
        <f t="shared" si="44"/>
        <v/>
      </c>
      <c r="AZ58" s="29" t="str">
        <f t="shared" si="45"/>
        <v>- holy-persons</v>
      </c>
      <c r="BA58" s="29" t="str">
        <f t="shared" si="185"/>
        <v>- maria-goretti</v>
      </c>
      <c r="BB58" s="29" t="str">
        <f t="shared" si="186"/>
        <v/>
      </c>
      <c r="BC58" s="29" t="str">
        <f t="shared" si="187"/>
        <v/>
      </c>
      <c r="BD58" s="29" t="str">
        <f t="shared" si="188"/>
        <v/>
      </c>
      <c r="BE58" s="29" t="str">
        <f t="shared" si="189"/>
        <v/>
      </c>
      <c r="BF58" s="29" t="str">
        <f t="shared" si="190"/>
        <v/>
      </c>
      <c r="BG58" s="29" t="str">
        <f t="shared" si="191"/>
        <v/>
      </c>
      <c r="BH58" s="29" t="str">
        <f t="shared" si="192"/>
        <v/>
      </c>
      <c r="BI58" s="29" t="str">
        <f t="shared" si="193"/>
        <v/>
      </c>
      <c r="BJ58" s="29" t="str">
        <f t="shared" si="194"/>
        <v/>
      </c>
      <c r="BK58" s="29" t="str">
        <f t="shared" si="195"/>
        <v xml:space="preserve">tags:
- italy_x000D_
- nettuno_x000D_
- holy-persons_x000D_
- maria-goretti_x000D_
</v>
      </c>
      <c r="BL58" s="29" t="str">
        <f t="shared" si="46"/>
        <v/>
      </c>
      <c r="BM58" s="29" t="str">
        <f t="shared" si="47"/>
        <v/>
      </c>
      <c r="BN58" s="29" t="str">
        <f t="shared" si="48"/>
        <v/>
      </c>
      <c r="BO58" s="29" t="str">
        <f t="shared" si="49"/>
        <v/>
      </c>
      <c r="BP58" s="29" t="str">
        <f t="shared" si="196"/>
        <v/>
      </c>
      <c r="BQ58" s="29" t="str">
        <f t="shared" si="50"/>
        <v/>
      </c>
      <c r="BR58" s="29" t="str">
        <f t="shared" si="51"/>
        <v/>
      </c>
      <c r="BS58" s="29" t="str">
        <f t="shared" si="52"/>
        <v/>
      </c>
      <c r="BT58" s="29" t="str">
        <f>IF(LEN(_xludf.concat(BQ58:BS58))&gt;0,_xludf.concat("| ",BQ58," | ",BR58," | ",BS58," |"),"")</f>
        <v/>
      </c>
      <c r="BU58" s="29" t="str">
        <f t="shared" si="53"/>
        <v/>
      </c>
      <c r="BV58" s="29" t="str">
        <f>IF(LEN(BP58&amp;BU58)&gt;0,concatll("#### More Information",BP58,BU58),"")</f>
        <v/>
      </c>
      <c r="BW58" s="29" t="str">
        <f>IF(LEN(M58)&gt;1,concatll("#### Author's Note",M58),"")</f>
        <v/>
      </c>
      <c r="BX58" s="23" t="str">
        <f>IF(AR58,concatll(concatl("---",AS58:AU58,BK58,"---"),L58,BV58:BW58),"")</f>
        <v xml:space="preserve">---_x000D_
title: "St. Maria Goretti Tent of Pardon (Tenda del Perdono)"_x000D_
location: {lat: 41.456946, lng: 12.64985}_x000D_
level: local_x000D_
tags:
- italy_x000D_
- nettuno_x000D_
- holy-persons_x000D_
- maria-goretti_x000D_
_x000D_
---_x000D_
_x000D_
_x000D_
The "Tent of Pardon" is the site where, [according to the National Catholic Register](https://www.ncregister.com/blog/in-the-footsteps-of-st-maria-goretti), St. Maria Goretti lay dying in Nettuno.  It was here that she forgave her murderer, and may also be the place of her death._x000D_
_x000D_
</v>
      </c>
      <c r="BY58" s="31" t="str">
        <f>IF(AR58,VLOOKUP(B58,'(Ref) Countries'!A:B,2,)&amp;IF(LEN(C58)&gt;1,"-"&amp;LOWER(SUBSTITUTE(C58," ","-")),"")&amp;"-"&amp;LOWER(SUBSTITUTE(G58," ","-"))&amp;".md","")</f>
        <v>it-nettuno-st-maria-goretti-tent-of-pardon.md</v>
      </c>
      <c r="BZ58" s="29" t="str">
        <f>IF(LEN(Y58)&gt;1,VLOOKUP(Y58,'Tag List'!$A:$B,2,),"")</f>
        <v>St. Maria Goretti</v>
      </c>
      <c r="CA58" s="29" t="str">
        <f>IF(LEN(Z58)&gt;1,VLOOKUP(Z58,'Tag List'!$A:$B,2,),"")</f>
        <v/>
      </c>
      <c r="CB58" s="29" t="str">
        <f>IF(LEN(AA58)&gt;1,VLOOKUP(AA58,'Tag List'!$A:$B,2,),"")</f>
        <v/>
      </c>
      <c r="CC58" s="29" t="str">
        <f>IF(LEN(Y58)&gt;1,GetTagPage(BZ58,Y58),"")</f>
        <v>[St. Maria Goretti](/tags/maria-goretti)</v>
      </c>
      <c r="CD58" s="29" t="str">
        <f>IF(LEN(Z58)&gt;1,GetTagPage(CA58,Z58),"")</f>
        <v/>
      </c>
      <c r="CE58" s="29" t="str">
        <f>IF(LEN(AA58)&gt;1,GetTagPage(CB58,AA58),"")</f>
        <v/>
      </c>
      <c r="CF58" s="29" t="str">
        <f t="shared" si="197"/>
        <v xml:space="preserve">| [St. Maria Goretti](/tags/maria-goretti) </v>
      </c>
      <c r="CG58" s="29" t="str">
        <f t="shared" si="54"/>
        <v xml:space="preserve">| [](/places/it-nettuno-st-maria-goretti-tent-of-pardon) </v>
      </c>
      <c r="CH58" s="29" t="str">
        <f>"| "&amp;IF(AR58,GetTagPage(B58,VLOOKUP(B58,'(Ref) Countries'!A:C,3,)),B58)&amp; " "</f>
        <v xml:space="preserve">| [Italy](/tags/italy) </v>
      </c>
      <c r="CI58" s="29" t="str">
        <f t="shared" si="55"/>
        <v xml:space="preserve">|  </v>
      </c>
      <c r="CJ58" s="29" t="str">
        <f t="shared" si="198"/>
        <v xml:space="preserve">| [Link](/places/it-nettuno-st-maria-goretti-tent-of-pardon) </v>
      </c>
      <c r="CK58" s="29" t="str">
        <f t="shared" si="199"/>
        <v xml:space="preserve">
| [](/places/it-nettuno-st-maria-goretti-tent-of-pardon) | [Italy](/tags/italy) |  | [Link](/places/it-nettuno-st-maria-goretti-tent-of-pardon) | [St. Maria Goretti](/tags/maria-goretti) |</v>
      </c>
    </row>
    <row r="59" spans="1:89" ht="37.299999999999997" x14ac:dyDescent="0.4">
      <c r="A59" s="14" t="s">
        <v>1320</v>
      </c>
      <c r="B59" s="24" t="s">
        <v>630</v>
      </c>
      <c r="C59" s="15" t="s">
        <v>1761</v>
      </c>
      <c r="D59" s="15">
        <v>19.422522000000001</v>
      </c>
      <c r="E59" s="49">
        <v>-99.160942700000007</v>
      </c>
      <c r="F59" s="24" t="s">
        <v>1892</v>
      </c>
      <c r="G59" s="92" t="s">
        <v>1893</v>
      </c>
      <c r="H59" s="93" t="s">
        <v>1760</v>
      </c>
      <c r="I59" s="15" t="b">
        <v>1</v>
      </c>
      <c r="K59" s="15" t="b">
        <v>1</v>
      </c>
      <c r="L59" s="85" t="s">
        <v>1894</v>
      </c>
      <c r="O59" s="15" t="s">
        <v>336</v>
      </c>
      <c r="Y59" s="93" t="s">
        <v>1895</v>
      </c>
      <c r="Z59" s="93" t="s">
        <v>2073</v>
      </c>
      <c r="AR59" s="28" t="b">
        <f t="shared" si="38"/>
        <v>1</v>
      </c>
      <c r="AS59" s="29" t="str">
        <f t="shared" ref="AS59:AS71" si="200">"title: """&amp;F59&amp;""""</f>
        <v>title: "Church of the Holy Family (La Sagrada Familia), Mexico City"</v>
      </c>
      <c r="AT59" s="29" t="str">
        <f t="shared" si="40"/>
        <v>location: {lat: 19.422522, lng: -99.1609427}</v>
      </c>
      <c r="AU59" s="29" t="str">
        <f t="shared" ref="AU59:AU71" si="201">"level: "&amp;H59</f>
        <v>level: regional</v>
      </c>
      <c r="AV59" s="29" t="str">
        <f>"- "&amp;VLOOKUP(B59,'(Ref) Countries'!A:C,3,)</f>
        <v>- mexico</v>
      </c>
      <c r="AW59" s="29" t="str">
        <f t="shared" si="42"/>
        <v>- mexico-city</v>
      </c>
      <c r="AX59" s="29" t="str">
        <f t="shared" si="43"/>
        <v>- churches</v>
      </c>
      <c r="AY59" s="29" t="str">
        <f t="shared" si="44"/>
        <v/>
      </c>
      <c r="AZ59" s="29" t="str">
        <f t="shared" si="45"/>
        <v>- holy-persons</v>
      </c>
      <c r="BA59" s="29" t="str">
        <f t="shared" si="185"/>
        <v>- miguel-pro</v>
      </c>
      <c r="BB59" s="29" t="str">
        <f t="shared" si="186"/>
        <v>- jesuits</v>
      </c>
      <c r="BC59" s="29" t="str">
        <f t="shared" si="187"/>
        <v/>
      </c>
      <c r="BD59" s="29" t="str">
        <f t="shared" si="188"/>
        <v/>
      </c>
      <c r="BE59" s="29" t="str">
        <f t="shared" si="189"/>
        <v/>
      </c>
      <c r="BF59" s="29" t="str">
        <f t="shared" si="190"/>
        <v/>
      </c>
      <c r="BG59" s="29" t="str">
        <f t="shared" si="191"/>
        <v/>
      </c>
      <c r="BH59" s="29" t="str">
        <f t="shared" si="192"/>
        <v/>
      </c>
      <c r="BI59" s="29" t="str">
        <f t="shared" si="193"/>
        <v/>
      </c>
      <c r="BJ59" s="29" t="str">
        <f t="shared" si="194"/>
        <v/>
      </c>
      <c r="BK59" s="29" t="str">
        <f t="shared" si="195"/>
        <v xml:space="preserve">tags:
- mexico_x000D_
- mexico-city_x000D_
- churches_x000D_
- holy-persons_x000D_
- miguel-pro_x000D_
- jesuits_x000D_
</v>
      </c>
      <c r="BL59" s="29" t="str">
        <f t="shared" si="46"/>
        <v/>
      </c>
      <c r="BM59" s="29" t="str">
        <f t="shared" si="47"/>
        <v/>
      </c>
      <c r="BN59" s="29" t="str">
        <f t="shared" si="48"/>
        <v/>
      </c>
      <c r="BO59" s="29" t="str">
        <f t="shared" si="49"/>
        <v/>
      </c>
      <c r="BP59" s="29" t="str">
        <f t="shared" si="196"/>
        <v/>
      </c>
      <c r="BQ59" s="29" t="str">
        <f t="shared" si="50"/>
        <v/>
      </c>
      <c r="BR59" s="29" t="str">
        <f t="shared" si="51"/>
        <v/>
      </c>
      <c r="BS59" s="29" t="str">
        <f t="shared" si="52"/>
        <v/>
      </c>
      <c r="BT59" s="29" t="str">
        <f>IF(LEN(_xludf.concat(BQ59:BS59))&gt;0,_xludf.concat("| ",BQ59," | ",BR59," | ",BS59," |"),"")</f>
        <v/>
      </c>
      <c r="BU59" s="29" t="str">
        <f t="shared" si="53"/>
        <v/>
      </c>
      <c r="BV59" s="29" t="str">
        <f>IF(LEN(BP59&amp;BU59)&gt;0,concatll("#### More Information",BP59,BU59),"")</f>
        <v/>
      </c>
      <c r="BW59" s="29" t="str">
        <f>IF(LEN(M59)&gt;1,concatll("#### Author's Note",M59),"")</f>
        <v/>
      </c>
      <c r="BX59" s="23" t="str">
        <f>IF(AR59,concatll(concatl("---",AS59:AU59,BK59,"---"),L59,BV59:BW59),"")</f>
        <v xml:space="preserve">---_x000D_
title: "Church of the Holy Family (La Sagrada Familia), Mexico City"_x000D_
location: {lat: 19.422522, lng: -99.1609427}_x000D_
level: regional_x000D_
tags:
- mexico_x000D_
- mexico-city_x000D_
- churches_x000D_
- holy-persons_x000D_
- miguel-pro_x000D_
- jesuits_x000D_
_x000D_
---_x000D_
_x000D_
_x000D_
This church, aside from being incredibly beautiful, is where Bl. Miguel Pro's remains are kept, to the right of the main altar.  His funeral procession passed in front of this church, though we are not sure if he had a funeral here._x000D_
_x000D_
</v>
      </c>
      <c r="BY59" s="31" t="str">
        <f>IF(AR59,VLOOKUP(B59,'(Ref) Countries'!A:B,2,)&amp;IF(LEN(C59)&gt;1,"-"&amp;LOWER(SUBSTITUTE(C59," ","-")),"")&amp;"-"&amp;LOWER(SUBSTITUTE(G59," ","-"))&amp;".md","")</f>
        <v>mx-mexico-city-la-sagrada-familia.md</v>
      </c>
      <c r="BZ59" s="29" t="str">
        <f>IF(LEN(Y59)&gt;1,VLOOKUP(Y59,'Tag List'!$A:$B,2,),"")</f>
        <v>Bl. Miguel Pro, SJ</v>
      </c>
      <c r="CA59" s="29" t="str">
        <f>IF(LEN(Z59)&gt;1,VLOOKUP(Z59,'Tag List'!$A:$B,2,),"")</f>
        <v>Society of Jesus (Jesuits)</v>
      </c>
      <c r="CB59" s="29" t="str">
        <f>IF(LEN(AA59)&gt;1,VLOOKUP(AA59,'Tag List'!$A:$B,2,),"")</f>
        <v/>
      </c>
      <c r="CC59" s="29" t="str">
        <f>IF(LEN(Y59)&gt;1,GetTagPage(BZ59,Y59),"")</f>
        <v>[Bl. Miguel Pro, SJ](/tags/miguel-pro)</v>
      </c>
      <c r="CD59" s="29" t="str">
        <f>IF(LEN(Z59)&gt;1,GetTagPage(CA59,Z59),"")</f>
        <v>[Society of Jesus (Jesuits)](/tags/jesuits)</v>
      </c>
      <c r="CE59" s="29" t="str">
        <f>IF(LEN(AA59)&gt;1,GetTagPage(CB59,AA59),"")</f>
        <v/>
      </c>
      <c r="CF59" s="29" t="str">
        <f t="shared" si="197"/>
        <v xml:space="preserve">| [Bl. Miguel Pro, SJ](/tags/miguel-pro), [Society of Jesus (Jesuits)](/tags/jesuits) </v>
      </c>
      <c r="CG59" s="29" t="str">
        <f t="shared" si="54"/>
        <v xml:space="preserve">| [](/places/mx-mexico-city-la-sagrada-familia) </v>
      </c>
      <c r="CH59" s="29" t="str">
        <f>"| "&amp;IF(AR59,GetTagPage(B59,VLOOKUP(B59,'(Ref) Countries'!A:C,3,)),B59)&amp; " "</f>
        <v xml:space="preserve">| [Mexico](/tags/mexico) </v>
      </c>
      <c r="CI59" s="29" t="str">
        <f t="shared" si="55"/>
        <v xml:space="preserve">|  </v>
      </c>
      <c r="CJ59" s="29" t="str">
        <f t="shared" si="198"/>
        <v xml:space="preserve">| [Link](/places/mx-mexico-city-la-sagrada-familia) </v>
      </c>
      <c r="CK59" s="29" t="str">
        <f t="shared" si="199"/>
        <v xml:space="preserve">
| [](/places/mx-mexico-city-la-sagrada-familia) | [Mexico](/tags/mexico) |  | [Link](/places/mx-mexico-city-la-sagrada-familia) | [Bl. Miguel Pro, SJ](/tags/miguel-pro), [Society of Jesus (Jesuits)](/tags/jesuits) |</v>
      </c>
    </row>
    <row r="60" spans="1:89" ht="74.599999999999994" x14ac:dyDescent="0.4">
      <c r="A60" s="14" t="s">
        <v>1320</v>
      </c>
      <c r="B60" s="24" t="s">
        <v>630</v>
      </c>
      <c r="C60" s="15" t="s">
        <v>1761</v>
      </c>
      <c r="D60" s="15">
        <v>19.436178000000002</v>
      </c>
      <c r="E60" s="49">
        <v>-99.150290999999996</v>
      </c>
      <c r="F60" s="85" t="s">
        <v>1900</v>
      </c>
      <c r="G60" s="92" t="s">
        <v>1897</v>
      </c>
      <c r="H60" s="93" t="s">
        <v>1760</v>
      </c>
      <c r="K60" s="15" t="b">
        <v>1</v>
      </c>
      <c r="L60" s="85" t="s">
        <v>1898</v>
      </c>
      <c r="M60" s="92" t="s">
        <v>1899</v>
      </c>
      <c r="O60" s="15" t="s">
        <v>336</v>
      </c>
      <c r="Y60" s="15" t="s">
        <v>1895</v>
      </c>
      <c r="Z60" s="15" t="s">
        <v>2073</v>
      </c>
      <c r="AR60" s="28" t="b">
        <f t="shared" si="38"/>
        <v>1</v>
      </c>
      <c r="AS60" s="29" t="str">
        <f t="shared" si="200"/>
        <v>title: "Site of Bl. Miguel Pro's Martyrdom"</v>
      </c>
      <c r="AT60" s="29" t="str">
        <f t="shared" si="40"/>
        <v>location: {lat: 19.436178, lng: -99.150291}</v>
      </c>
      <c r="AU60" s="29" t="str">
        <f t="shared" si="201"/>
        <v>level: regional</v>
      </c>
      <c r="AV60" s="29" t="str">
        <f>"- "&amp;VLOOKUP(B60,'(Ref) Countries'!A:C,3,)</f>
        <v>- mexico</v>
      </c>
      <c r="AW60" s="29" t="str">
        <f t="shared" si="42"/>
        <v>- mexico-city</v>
      </c>
      <c r="AX60" s="29" t="str">
        <f t="shared" si="43"/>
        <v/>
      </c>
      <c r="AY60" s="29" t="str">
        <f t="shared" si="44"/>
        <v/>
      </c>
      <c r="AZ60" s="29" t="str">
        <f t="shared" si="45"/>
        <v>- holy-persons</v>
      </c>
      <c r="BA60" s="29" t="str">
        <f t="shared" ref="BA60" si="202">IF(LEN(Y60)&gt;0,"- "&amp;Y60,"")</f>
        <v>- miguel-pro</v>
      </c>
      <c r="BB60" s="29" t="str">
        <f t="shared" ref="BB60" si="203">IF(LEN(Z60)&gt;0,"- "&amp;Z60,"")</f>
        <v>- jesuits</v>
      </c>
      <c r="BC60" s="29" t="str">
        <f t="shared" ref="BC60" si="204">IF(LEN(AA60)&gt;0,"- "&amp;AA60,"")</f>
        <v/>
      </c>
      <c r="BD60" s="29" t="str">
        <f t="shared" ref="BD60" si="205">IF(LEN(AB60)&gt;0,"- "&amp;AB60,"")</f>
        <v/>
      </c>
      <c r="BE60" s="29" t="str">
        <f t="shared" ref="BE60" si="206">IF(LEN(AC60)&gt;0,"- "&amp;AC60,"")</f>
        <v/>
      </c>
      <c r="BF60" s="29" t="str">
        <f t="shared" ref="BF60" si="207">IF(LEN(AD60)&gt;0,"- "&amp;AD60,"")</f>
        <v/>
      </c>
      <c r="BG60" s="29" t="str">
        <f t="shared" ref="BG60" si="208">IF(LEN(AE60)&gt;0,"- "&amp;AE60,"")</f>
        <v/>
      </c>
      <c r="BH60" s="29" t="str">
        <f t="shared" ref="BH60" si="209">IF(LEN(AF60)&gt;0,"- "&amp;AF60,"")</f>
        <v/>
      </c>
      <c r="BI60" s="29" t="str">
        <f t="shared" ref="BI60" si="210">IF(LEN(AG60)&gt;0,"- "&amp;AG60,"")</f>
        <v/>
      </c>
      <c r="BJ60" s="29" t="str">
        <f t="shared" ref="BJ60" si="211">IF(LEN(AH60)&gt;0,"- "&amp;AH60,"")</f>
        <v/>
      </c>
      <c r="BK60" s="29" t="str">
        <f t="shared" ref="BK60" si="212">"tags:"&amp;CHAR(10)&amp;concatl(AV60:BJ60)</f>
        <v xml:space="preserve">tags:
- mexico_x000D_
- mexico-city_x000D_
- holy-persons_x000D_
- miguel-pro_x000D_
- jesuits_x000D_
</v>
      </c>
      <c r="BL60" s="29" t="str">
        <f t="shared" si="46"/>
        <v/>
      </c>
      <c r="BM60" s="29" t="str">
        <f t="shared" si="47"/>
        <v/>
      </c>
      <c r="BN60" s="29" t="str">
        <f t="shared" si="48"/>
        <v/>
      </c>
      <c r="BO60" s="29" t="str">
        <f t="shared" si="49"/>
        <v/>
      </c>
      <c r="BP60" s="29" t="str">
        <f t="shared" ref="BP60" si="213">IF(LEN(BL60)&gt;0,"* "&amp;BL60&amp;CHAR(10),"")&amp;
IF(LEN(BM60)&gt;0,"* "&amp;BM60&amp;CHAR(10),"")&amp;
IF(LEN(BN60)&gt;0,"* "&amp;BN60&amp;CHAR(10),"")&amp;
IF(LEN(BO60)&gt;0,"* "&amp;BO60&amp;CHAR(10),"")</f>
        <v/>
      </c>
      <c r="BQ60" s="29" t="str">
        <f t="shared" si="50"/>
        <v/>
      </c>
      <c r="BR60" s="29" t="str">
        <f t="shared" si="51"/>
        <v/>
      </c>
      <c r="BS60" s="29" t="str">
        <f t="shared" si="52"/>
        <v/>
      </c>
      <c r="BT60" s="29" t="str">
        <f>IF(LEN(_xludf.concat(BQ60:BS60))&gt;0,_xludf.concat("| ",BQ60," | ",BR60," | ",BS60," |"),"")</f>
        <v/>
      </c>
      <c r="BU60" s="29" t="str">
        <f t="shared" si="53"/>
        <v/>
      </c>
      <c r="BV60" s="29" t="str">
        <f>IF(LEN(BP60&amp;BU60)&gt;0,concatll("#### More Information",BP60,BU60),"")</f>
        <v/>
      </c>
      <c r="BW60" s="29" t="str">
        <f>IF(LEN(M60)&gt;1,concatll("#### Author's Note",M60),"")</f>
        <v xml:space="preserve">#### Author's Note_x000D_
_x000D_
Across the street, a bit above head level, is a commemerative plaque on the restaurant.  The restaurant is owned by a Catholic family who provide information on Bl. Miguel Pro.
-JPY_x000D_
_x000D_
</v>
      </c>
      <c r="BX60" s="23" t="str">
        <f>IF(AR60,concatll(concatl("---",AS60:AU60,BK60,"---"),L60,BV60:BW60),"")</f>
        <v xml:space="preserve">---_x000D_
title: "Site of Bl. Miguel Pro's Martyrdom"_x000D_
location: {lat: 19.436178, lng: -99.150291}_x000D_
level: regional_x000D_
tags:
- mexico_x000D_
- mexico-city_x000D_
- holy-persons_x000D_
- miguel-pro_x000D_
- jesuits_x000D_
_x000D_
---_x000D_
_x000D_
_x000D_
At this site, where an outdoor short stairway stands on the lottery building, is the site where Bl. Miguel Pro was martyred by firing squad.  These buildings were all built since that time._x000D_
_x000D_
#### Author's Note_x000D_
_x000D_
Across the street, a bit above head level, is a commemerative plaque on the restaurant.  The restaurant is owned by a Catholic family who provide information on Bl. Miguel Pro.
-JPY_x000D_
_x000D_
_x000D_
_x000D_
</v>
      </c>
      <c r="BY60" s="31" t="str">
        <f>IF(AR60,VLOOKUP(B60,'(Ref) Countries'!A:B,2,)&amp;IF(LEN(C60)&gt;1,"-"&amp;LOWER(SUBSTITUTE(C60," ","-")),"")&amp;"-"&amp;LOWER(SUBSTITUTE(G60," ","-"))&amp;".md","")</f>
        <v>mx-mexico-city-miguel-pro-martyrdom-site.md</v>
      </c>
      <c r="BZ60" s="29" t="str">
        <f>IF(LEN(Y60)&gt;1,VLOOKUP(Y60,'Tag List'!$A:$B,2,),"")</f>
        <v>Bl. Miguel Pro, SJ</v>
      </c>
      <c r="CA60" s="29" t="str">
        <f>IF(LEN(Z60)&gt;1,VLOOKUP(Z60,'Tag List'!$A:$B,2,),"")</f>
        <v>Society of Jesus (Jesuits)</v>
      </c>
      <c r="CB60" s="29" t="str">
        <f>IF(LEN(AA60)&gt;1,VLOOKUP(AA60,'Tag List'!$A:$B,2,),"")</f>
        <v/>
      </c>
      <c r="CC60" s="29" t="str">
        <f>IF(LEN(Y60)&gt;1,GetTagPage(BZ60,Y60),"")</f>
        <v>[Bl. Miguel Pro, SJ](/tags/miguel-pro)</v>
      </c>
      <c r="CD60" s="29" t="str">
        <f>IF(LEN(Z60)&gt;1,GetTagPage(CA60,Z60),"")</f>
        <v>[Society of Jesus (Jesuits)](/tags/jesuits)</v>
      </c>
      <c r="CE60" s="29" t="str">
        <f>IF(LEN(AA60)&gt;1,GetTagPage(CB60,AA60),"")</f>
        <v/>
      </c>
      <c r="CF60" s="29" t="str">
        <f t="shared" ref="CF60" si="214">"|"&amp;IF(LEN(CC60)&gt;1," "&amp;CC60,"")&amp;IF(LEN(CD60)&gt;1,", "&amp;CD60,"")&amp;IF(LEN(CE60)&gt;1,", "&amp;CE60,"")&amp;" "</f>
        <v xml:space="preserve">| [Bl. Miguel Pro, SJ](/tags/miguel-pro), [Society of Jesus (Jesuits)](/tags/jesuits) </v>
      </c>
      <c r="CG60" s="29" t="str">
        <f t="shared" si="54"/>
        <v xml:space="preserve">| [](/places/mx-mexico-city-miguel-pro-martyrdom-site) </v>
      </c>
      <c r="CH60" s="29" t="str">
        <f>"| "&amp;IF(AR60,GetTagPage(B60,VLOOKUP(B60,'(Ref) Countries'!A:C,3,)),B60)&amp; " "</f>
        <v xml:space="preserve">| [Mexico](/tags/mexico) </v>
      </c>
      <c r="CI60" s="29" t="str">
        <f t="shared" si="55"/>
        <v xml:space="preserve">|  </v>
      </c>
      <c r="CJ60" s="29" t="str">
        <f t="shared" ref="CJ60" si="215">"|"&amp;IF(AR60," [Link](/places/"&amp;SUBSTITUTE(BY60,".md","")&amp;")","")&amp;" "</f>
        <v xml:space="preserve">| [Link](/places/mx-mexico-city-miguel-pro-martyrdom-site) </v>
      </c>
      <c r="CK60" s="29" t="str">
        <f t="shared" ref="CK60" si="216">"
"&amp;CG60&amp;CH60&amp;CI60&amp;CJ60&amp;BL60&amp;BQ60&amp;BR60&amp;BS60&amp;CF60&amp;"|"</f>
        <v xml:space="preserve">
| [](/places/mx-mexico-city-miguel-pro-martyrdom-site) | [Mexico](/tags/mexico) |  | [Link](/places/mx-mexico-city-miguel-pro-martyrdom-site) | [Bl. Miguel Pro, SJ](/tags/miguel-pro), [Society of Jesus (Jesuits)](/tags/jesuits) |</v>
      </c>
    </row>
    <row r="61" spans="1:89" ht="74.599999999999994" x14ac:dyDescent="0.4">
      <c r="A61" s="14" t="s">
        <v>1320</v>
      </c>
      <c r="B61" s="24" t="s">
        <v>630</v>
      </c>
      <c r="C61" s="15" t="s">
        <v>1761</v>
      </c>
      <c r="D61" s="15">
        <v>19.4224</v>
      </c>
      <c r="E61" s="49">
        <v>-99.16095</v>
      </c>
      <c r="F61" s="85" t="s">
        <v>1901</v>
      </c>
      <c r="G61" s="92" t="s">
        <v>1902</v>
      </c>
      <c r="H61" s="15" t="s">
        <v>1760</v>
      </c>
      <c r="K61" s="15" t="b">
        <v>1</v>
      </c>
      <c r="L61" s="85" t="s">
        <v>1903</v>
      </c>
      <c r="M61" s="92" t="s">
        <v>1904</v>
      </c>
      <c r="O61" s="15" t="s">
        <v>336</v>
      </c>
      <c r="Y61" s="15" t="s">
        <v>1895</v>
      </c>
      <c r="Z61" s="15" t="s">
        <v>2073</v>
      </c>
      <c r="AR61" s="28" t="b">
        <f t="shared" si="38"/>
        <v>1</v>
      </c>
      <c r="AS61" s="29" t="str">
        <f t="shared" si="200"/>
        <v>title: "Museum of Bl. Miguel Agustin Pro"</v>
      </c>
      <c r="AT61" s="29" t="str">
        <f t="shared" si="40"/>
        <v>location: {lat: 19.4224, lng: -99.16095}</v>
      </c>
      <c r="AU61" s="29" t="str">
        <f t="shared" si="201"/>
        <v>level: regional</v>
      </c>
      <c r="AV61" s="29" t="str">
        <f>"- "&amp;VLOOKUP(B61,'(Ref) Countries'!A:C,3,)</f>
        <v>- mexico</v>
      </c>
      <c r="AW61" s="29" t="str">
        <f t="shared" si="42"/>
        <v>- mexico-city</v>
      </c>
      <c r="AX61" s="29" t="str">
        <f t="shared" si="43"/>
        <v/>
      </c>
      <c r="AY61" s="29" t="str">
        <f t="shared" si="44"/>
        <v/>
      </c>
      <c r="AZ61" s="29" t="str">
        <f t="shared" si="45"/>
        <v>- holy-persons</v>
      </c>
      <c r="BA61" s="29" t="str">
        <f t="shared" ref="BA61" si="217">IF(LEN(Y61)&gt;0,"- "&amp;Y61,"")</f>
        <v>- miguel-pro</v>
      </c>
      <c r="BB61" s="29" t="str">
        <f t="shared" ref="BB61" si="218">IF(LEN(Z61)&gt;0,"- "&amp;Z61,"")</f>
        <v>- jesuits</v>
      </c>
      <c r="BC61" s="29" t="str">
        <f t="shared" ref="BC61" si="219">IF(LEN(AA61)&gt;0,"- "&amp;AA61,"")</f>
        <v/>
      </c>
      <c r="BD61" s="29" t="str">
        <f t="shared" ref="BD61" si="220">IF(LEN(AB61)&gt;0,"- "&amp;AB61,"")</f>
        <v/>
      </c>
      <c r="BE61" s="29" t="str">
        <f t="shared" ref="BE61" si="221">IF(LEN(AC61)&gt;0,"- "&amp;AC61,"")</f>
        <v/>
      </c>
      <c r="BF61" s="29" t="str">
        <f t="shared" ref="BF61" si="222">IF(LEN(AD61)&gt;0,"- "&amp;AD61,"")</f>
        <v/>
      </c>
      <c r="BG61" s="29" t="str">
        <f t="shared" ref="BG61" si="223">IF(LEN(AE61)&gt;0,"- "&amp;AE61,"")</f>
        <v/>
      </c>
      <c r="BH61" s="29" t="str">
        <f t="shared" ref="BH61" si="224">IF(LEN(AF61)&gt;0,"- "&amp;AF61,"")</f>
        <v/>
      </c>
      <c r="BI61" s="29" t="str">
        <f t="shared" ref="BI61" si="225">IF(LEN(AG61)&gt;0,"- "&amp;AG61,"")</f>
        <v/>
      </c>
      <c r="BJ61" s="29" t="str">
        <f t="shared" ref="BJ61" si="226">IF(LEN(AH61)&gt;0,"- "&amp;AH61,"")</f>
        <v/>
      </c>
      <c r="BK61" s="29" t="str">
        <f t="shared" ref="BK61" si="227">"tags:"&amp;CHAR(10)&amp;concatl(AV61:BJ61)</f>
        <v xml:space="preserve">tags:
- mexico_x000D_
- mexico-city_x000D_
- holy-persons_x000D_
- miguel-pro_x000D_
- jesuits_x000D_
</v>
      </c>
      <c r="BL61" s="29" t="str">
        <f t="shared" si="46"/>
        <v/>
      </c>
      <c r="BM61" s="29" t="str">
        <f t="shared" si="47"/>
        <v/>
      </c>
      <c r="BN61" s="29" t="str">
        <f t="shared" si="48"/>
        <v/>
      </c>
      <c r="BO61" s="29" t="str">
        <f t="shared" si="49"/>
        <v/>
      </c>
      <c r="BP61" s="29" t="str">
        <f t="shared" ref="BP61" si="228">IF(LEN(BL61)&gt;0,"* "&amp;BL61&amp;CHAR(10),"")&amp;
IF(LEN(BM61)&gt;0,"* "&amp;BM61&amp;CHAR(10),"")&amp;
IF(LEN(BN61)&gt;0,"* "&amp;BN61&amp;CHAR(10),"")&amp;
IF(LEN(BO61)&gt;0,"* "&amp;BO61&amp;CHAR(10),"")</f>
        <v/>
      </c>
      <c r="BQ61" s="29" t="str">
        <f t="shared" si="50"/>
        <v/>
      </c>
      <c r="BR61" s="29" t="str">
        <f t="shared" si="51"/>
        <v/>
      </c>
      <c r="BS61" s="29" t="str">
        <f t="shared" si="52"/>
        <v/>
      </c>
      <c r="BT61" s="29" t="str">
        <f>IF(LEN(_xludf.concat(BQ61:BS61))&gt;0,_xludf.concat("| ",BQ61," | ",BR61," | ",BS61," |"),"")</f>
        <v/>
      </c>
      <c r="BU61" s="29" t="str">
        <f t="shared" si="53"/>
        <v/>
      </c>
      <c r="BV61" s="29" t="str">
        <f>IF(LEN(BP61&amp;BU61)&gt;0,concatll("#### More Information",BP61,BU61),"")</f>
        <v/>
      </c>
      <c r="BW61" s="29" t="str">
        <f>IF(LEN(M61)&gt;1,concatll("#### Author's Note",M61),"")</f>
        <v xml:space="preserve">#### Author's Note_x000D_
_x000D_
The hours are rather strange: certain days of the week in the middle of the day.  The entrance is to the left of the entrance to La Sagrada Familia.  The gift shop is also excellent.
-JPY_x000D_
_x000D_
</v>
      </c>
      <c r="BX61" s="23" t="str">
        <f>IF(AR61,concatll(concatl("---",AS61:AU61,BK61,"---"),L61,BV61:BW61),"")</f>
        <v xml:space="preserve">---_x000D_
title: "Museum of Bl. Miguel Agustin Pro"_x000D_
location: {lat: 19.4224, lng: -99.16095}_x000D_
level: regional_x000D_
tags:
- mexico_x000D_
- mexico-city_x000D_
- holy-persons_x000D_
- miguel-pro_x000D_
- jesuits_x000D_
_x000D_
---_x000D_
_x000D_
_x000D_
This museum contains many of Bl. Miguel Pro's personal belongings, including cassocks, vestments, the suit he was shot in, and the cot where he slept the night before his martyrdom.
The location of Fr. Pro's arrest appears to be unknown, but the location of his martyrdom is known._x000D_
_x000D_
#### Author's Note_x000D_
_x000D_
The hours are rather strange: certain days of the week in the middle of the day.  The entrance is to the left of the entrance to La Sagrada Familia.  The gift shop is also excellent.
-JPY_x000D_
_x000D_
_x000D_
_x000D_
</v>
      </c>
      <c r="BY61" s="31" t="str">
        <f>IF(AR61,VLOOKUP(B61,'(Ref) Countries'!A:B,2,)&amp;IF(LEN(C61)&gt;1,"-"&amp;LOWER(SUBSTITUTE(C61," ","-")),"")&amp;"-"&amp;LOWER(SUBSTITUTE(G61," ","-"))&amp;".md","")</f>
        <v>mx-mexico-city-miguel-pro-museum.md</v>
      </c>
      <c r="BZ61" s="29" t="str">
        <f>IF(LEN(Y61)&gt;1,VLOOKUP(Y61,'Tag List'!$A:$B,2,),"")</f>
        <v>Bl. Miguel Pro, SJ</v>
      </c>
      <c r="CA61" s="29" t="str">
        <f>IF(LEN(Z61)&gt;1,VLOOKUP(Z61,'Tag List'!$A:$B,2,),"")</f>
        <v>Society of Jesus (Jesuits)</v>
      </c>
      <c r="CB61" s="29" t="str">
        <f>IF(LEN(AA61)&gt;1,VLOOKUP(AA61,'Tag List'!$A:$B,2,),"")</f>
        <v/>
      </c>
      <c r="CC61" s="29" t="str">
        <f>IF(LEN(Y61)&gt;1,GetTagPage(BZ61,Y61),"")</f>
        <v>[Bl. Miguel Pro, SJ](/tags/miguel-pro)</v>
      </c>
      <c r="CD61" s="29" t="str">
        <f>IF(LEN(Z61)&gt;1,GetTagPage(CA61,Z61),"")</f>
        <v>[Society of Jesus (Jesuits)](/tags/jesuits)</v>
      </c>
      <c r="CE61" s="29" t="str">
        <f>IF(LEN(AA61)&gt;1,GetTagPage(CB61,AA61),"")</f>
        <v/>
      </c>
      <c r="CF61" s="29" t="str">
        <f t="shared" ref="CF61" si="229">"|"&amp;IF(LEN(CC61)&gt;1," "&amp;CC61,"")&amp;IF(LEN(CD61)&gt;1,", "&amp;CD61,"")&amp;IF(LEN(CE61)&gt;1,", "&amp;CE61,"")&amp;" "</f>
        <v xml:space="preserve">| [Bl. Miguel Pro, SJ](/tags/miguel-pro), [Society of Jesus (Jesuits)](/tags/jesuits) </v>
      </c>
      <c r="CG61" s="29" t="str">
        <f t="shared" si="54"/>
        <v xml:space="preserve">| [](/places/mx-mexico-city-miguel-pro-museum) </v>
      </c>
      <c r="CH61" s="29" t="str">
        <f>"| "&amp;IF(AR61,GetTagPage(B61,VLOOKUP(B61,'(Ref) Countries'!A:C,3,)),B61)&amp; " "</f>
        <v xml:space="preserve">| [Mexico](/tags/mexico) </v>
      </c>
      <c r="CI61" s="29" t="str">
        <f t="shared" si="55"/>
        <v xml:space="preserve">|  </v>
      </c>
      <c r="CJ61" s="29" t="str">
        <f t="shared" ref="CJ61" si="230">"|"&amp;IF(AR61," [Link](/places/"&amp;SUBSTITUTE(BY61,".md","")&amp;")","")&amp;" "</f>
        <v xml:space="preserve">| [Link](/places/mx-mexico-city-miguel-pro-museum) </v>
      </c>
      <c r="CK61" s="29" t="str">
        <f t="shared" ref="CK61" si="231">"
"&amp;CG61&amp;CH61&amp;CI61&amp;CJ61&amp;BL61&amp;BQ61&amp;BR61&amp;BS61&amp;CF61&amp;"|"</f>
        <v xml:space="preserve">
| [](/places/mx-mexico-city-miguel-pro-museum) | [Mexico](/tags/mexico) |  | [Link](/places/mx-mexico-city-miguel-pro-museum) | [Bl. Miguel Pro, SJ](/tags/miguel-pro), [Society of Jesus (Jesuits)](/tags/jesuits) |</v>
      </c>
    </row>
    <row r="62" spans="1:89" ht="37.299999999999997" x14ac:dyDescent="0.4">
      <c r="A62" s="14" t="s">
        <v>1320</v>
      </c>
      <c r="B62" s="85" t="s">
        <v>572</v>
      </c>
      <c r="C62" s="93" t="s">
        <v>1865</v>
      </c>
      <c r="D62" s="15">
        <v>14.638171</v>
      </c>
      <c r="E62" s="49">
        <v>-91.229102999999995</v>
      </c>
      <c r="F62" s="85" t="s">
        <v>1863</v>
      </c>
      <c r="G62" s="92" t="s">
        <v>1864</v>
      </c>
      <c r="H62" s="93" t="s">
        <v>1760</v>
      </c>
      <c r="I62" s="93" t="b">
        <v>1</v>
      </c>
      <c r="K62" s="15" t="b">
        <v>1</v>
      </c>
      <c r="L62" s="85" t="s">
        <v>1868</v>
      </c>
      <c r="O62" s="15" t="s">
        <v>336</v>
      </c>
      <c r="Y62" s="93" t="s">
        <v>1866</v>
      </c>
      <c r="AR62" s="28" t="b">
        <f t="shared" si="38"/>
        <v>1</v>
      </c>
      <c r="AS62" s="29" t="str">
        <f t="shared" si="200"/>
        <v>title: "Church of St. James the Apostle (Iglesia Santiago Apostol)"</v>
      </c>
      <c r="AT62" s="29" t="str">
        <f t="shared" si="40"/>
        <v>location: {lat: 14.638171, lng: -91.229103}</v>
      </c>
      <c r="AU62" s="29" t="str">
        <f t="shared" si="201"/>
        <v>level: regional</v>
      </c>
      <c r="AV62" s="29" t="str">
        <f>"- "&amp;VLOOKUP(B62,'(Ref) Countries'!A:C,3,)</f>
        <v>- guatemala</v>
      </c>
      <c r="AW62" s="29" t="str">
        <f t="shared" si="42"/>
        <v>- atitlan</v>
      </c>
      <c r="AX62" s="29" t="str">
        <f t="shared" si="43"/>
        <v>- churches</v>
      </c>
      <c r="AY62" s="29" t="str">
        <f t="shared" si="44"/>
        <v/>
      </c>
      <c r="AZ62" s="29" t="str">
        <f t="shared" si="45"/>
        <v>- holy-persons</v>
      </c>
      <c r="BA62" s="29" t="str">
        <f t="shared" ref="BA62" si="232">IF(LEN(Y62)&gt;0,"- "&amp;Y62,"")</f>
        <v>- stanley-rother</v>
      </c>
      <c r="BB62" s="29" t="str">
        <f t="shared" ref="BB62" si="233">IF(LEN(Z62)&gt;0,"- "&amp;Z62,"")</f>
        <v/>
      </c>
      <c r="BC62" s="29" t="str">
        <f t="shared" ref="BC62" si="234">IF(LEN(AA62)&gt;0,"- "&amp;AA62,"")</f>
        <v/>
      </c>
      <c r="BD62" s="29" t="str">
        <f t="shared" ref="BD62" si="235">IF(LEN(AB62)&gt;0,"- "&amp;AB62,"")</f>
        <v/>
      </c>
      <c r="BE62" s="29" t="str">
        <f t="shared" ref="BE62" si="236">IF(LEN(AC62)&gt;0,"- "&amp;AC62,"")</f>
        <v/>
      </c>
      <c r="BF62" s="29" t="str">
        <f t="shared" ref="BF62" si="237">IF(LEN(AD62)&gt;0,"- "&amp;AD62,"")</f>
        <v/>
      </c>
      <c r="BG62" s="29" t="str">
        <f t="shared" ref="BG62" si="238">IF(LEN(AE62)&gt;0,"- "&amp;AE62,"")</f>
        <v/>
      </c>
      <c r="BH62" s="29" t="str">
        <f t="shared" ref="BH62" si="239">IF(LEN(AF62)&gt;0,"- "&amp;AF62,"")</f>
        <v/>
      </c>
      <c r="BI62" s="29" t="str">
        <f t="shared" ref="BI62" si="240">IF(LEN(AG62)&gt;0,"- "&amp;AG62,"")</f>
        <v/>
      </c>
      <c r="BJ62" s="29" t="str">
        <f t="shared" ref="BJ62" si="241">IF(LEN(AH62)&gt;0,"- "&amp;AH62,"")</f>
        <v/>
      </c>
      <c r="BK62" s="29" t="str">
        <f t="shared" ref="BK62" si="242">"tags:"&amp;CHAR(10)&amp;concatl(AV62:BJ62)</f>
        <v xml:space="preserve">tags:
- guatemala_x000D_
- atitlan_x000D_
- churches_x000D_
- holy-persons_x000D_
- stanley-rother_x000D_
</v>
      </c>
      <c r="BL62" s="29" t="str">
        <f t="shared" si="46"/>
        <v/>
      </c>
      <c r="BM62" s="29" t="str">
        <f t="shared" si="47"/>
        <v/>
      </c>
      <c r="BN62" s="29" t="str">
        <f t="shared" si="48"/>
        <v/>
      </c>
      <c r="BO62" s="29" t="str">
        <f t="shared" si="49"/>
        <v/>
      </c>
      <c r="BP62" s="29" t="str">
        <f t="shared" ref="BP62" si="243">IF(LEN(BL62)&gt;0,"* "&amp;BL62&amp;CHAR(10),"")&amp;
IF(LEN(BM62)&gt;0,"* "&amp;BM62&amp;CHAR(10),"")&amp;
IF(LEN(BN62)&gt;0,"* "&amp;BN62&amp;CHAR(10),"")&amp;
IF(LEN(BO62)&gt;0,"* "&amp;BO62&amp;CHAR(10),"")</f>
        <v/>
      </c>
      <c r="BQ62" s="29" t="str">
        <f t="shared" si="50"/>
        <v/>
      </c>
      <c r="BR62" s="29" t="str">
        <f t="shared" si="51"/>
        <v/>
      </c>
      <c r="BS62" s="29" t="str">
        <f t="shared" si="52"/>
        <v/>
      </c>
      <c r="BT62" s="29" t="str">
        <f>IF(LEN(_xludf.concat(BQ62:BS62))&gt;0,_xludf.concat("| ",BQ62," | ",BR62," | ",BS62," |"),"")</f>
        <v/>
      </c>
      <c r="BU62" s="29" t="str">
        <f t="shared" si="53"/>
        <v/>
      </c>
      <c r="BV62" s="29" t="str">
        <f>IF(LEN(BP62&amp;BU62)&gt;0,concatll("#### More Information",BP62,BU62),"")</f>
        <v/>
      </c>
      <c r="BW62" s="29" t="str">
        <f>IF(LEN(M62)&gt;1,concatll("#### Author's Note",M62),"")</f>
        <v/>
      </c>
      <c r="BX62" s="23" t="str">
        <f>IF(AR62,concatll(concatl("---",AS62:AU62,BK62,"---"),L62,BV62:BW62),"")</f>
        <v xml:space="preserve">---_x000D_
title: "Church of St. James the Apostle (Iglesia Santiago Apostol)"_x000D_
location: {lat: 14.638171, lng: -91.229103}_x000D_
level: regional_x000D_
tags:
- guatemala_x000D_
- atitlan_x000D_
- churches_x000D_
- holy-persons_x000D_
- stanley-rother_x000D_
_x000D_
---_x000D_
_x000D_
_x000D_
Bl. Stanley Rother ministered to the native Tz'utujil people of Guatemala for years at St. James the Apostle church, on the shores of Lake Atitlan.  He was martyred in the rectory on July 28, 1981._x000D_
_x000D_
</v>
      </c>
      <c r="BY62" s="31" t="str">
        <f>IF(AR62,VLOOKUP(B62,'(Ref) Countries'!A:B,2,)&amp;IF(LEN(C62)&gt;1,"-"&amp;LOWER(SUBSTITUTE(C62," ","-")),"")&amp;"-"&amp;LOWER(SUBSTITUTE(G62," ","-"))&amp;".md","")</f>
        <v>gt-atitlan-iglesia-santiago-apostol.md</v>
      </c>
      <c r="BZ62" s="29" t="str">
        <f>IF(LEN(Y62)&gt;1,VLOOKUP(Y62,'Tag List'!$A:$B,2,),"")</f>
        <v>Bl. Stanley Rother</v>
      </c>
      <c r="CA62" s="29" t="str">
        <f>IF(LEN(Z62)&gt;1,VLOOKUP(Z62,'Tag List'!$A:$B,2,),"")</f>
        <v/>
      </c>
      <c r="CB62" s="29" t="str">
        <f>IF(LEN(AA62)&gt;1,VLOOKUP(AA62,'Tag List'!$A:$B,2,),"")</f>
        <v/>
      </c>
      <c r="CC62" s="29" t="str">
        <f>IF(LEN(Y62)&gt;1,GetTagPage(BZ62,Y62),"")</f>
        <v>[Bl. Stanley Rother](/tags/stanley-rother)</v>
      </c>
      <c r="CD62" s="29" t="str">
        <f>IF(LEN(Z62)&gt;1,GetTagPage(CA62,Z62),"")</f>
        <v/>
      </c>
      <c r="CE62" s="29" t="str">
        <f>IF(LEN(AA62)&gt;1,GetTagPage(CB62,AA62),"")</f>
        <v/>
      </c>
      <c r="CF62" s="29" t="str">
        <f t="shared" ref="CF62" si="244">"|"&amp;IF(LEN(CC62)&gt;1," "&amp;CC62,"")&amp;IF(LEN(CD62)&gt;1,", "&amp;CD62,"")&amp;IF(LEN(CE62)&gt;1,", "&amp;CE62,"")&amp;" "</f>
        <v xml:space="preserve">| [Bl. Stanley Rother](/tags/stanley-rother) </v>
      </c>
      <c r="CG62" s="29" t="str">
        <f t="shared" si="54"/>
        <v xml:space="preserve">| [](/places/gt-atitlan-iglesia-santiago-apostol) </v>
      </c>
      <c r="CH62" s="29" t="str">
        <f>"| "&amp;IF(AR62,GetTagPage(B62,VLOOKUP(B62,'(Ref) Countries'!A:C,3,)),B62)&amp; " "</f>
        <v xml:space="preserve">| [Guatemala](/tags/guatemala) </v>
      </c>
      <c r="CI62" s="29" t="str">
        <f t="shared" si="55"/>
        <v xml:space="preserve">|  </v>
      </c>
      <c r="CJ62" s="29" t="str">
        <f t="shared" ref="CJ62" si="245">"|"&amp;IF(AR62," [Link](/places/"&amp;SUBSTITUTE(BY62,".md","")&amp;")","")&amp;" "</f>
        <v xml:space="preserve">| [Link](/places/gt-atitlan-iglesia-santiago-apostol) </v>
      </c>
      <c r="CK62" s="29" t="str">
        <f t="shared" ref="CK62" si="246">"
"&amp;CG62&amp;CH62&amp;CI62&amp;CJ62&amp;BL62&amp;BQ62&amp;BR62&amp;BS62&amp;CF62&amp;"|"</f>
        <v xml:space="preserve">
| [](/places/gt-atitlan-iglesia-santiago-apostol) | [Guatemala](/tags/guatemala) |  | [Link](/places/gt-atitlan-iglesia-santiago-apostol) | [Bl. Stanley Rother](/tags/stanley-rother) |</v>
      </c>
    </row>
    <row r="63" spans="1:89" ht="49.75" x14ac:dyDescent="0.4">
      <c r="A63" s="14" t="s">
        <v>1320</v>
      </c>
      <c r="B63" s="85" t="s">
        <v>1908</v>
      </c>
      <c r="C63" s="93" t="s">
        <v>2010</v>
      </c>
      <c r="D63" s="15">
        <v>34.324656099999999</v>
      </c>
      <c r="E63" s="49">
        <v>-91.942694700000004</v>
      </c>
      <c r="F63" s="24" t="s">
        <v>1906</v>
      </c>
      <c r="G63" s="92" t="s">
        <v>1907</v>
      </c>
      <c r="H63" s="93" t="s">
        <v>1760</v>
      </c>
      <c r="I63" s="15" t="b">
        <v>1</v>
      </c>
      <c r="K63" s="15" t="b">
        <v>1</v>
      </c>
      <c r="L63" s="85" t="s">
        <v>2011</v>
      </c>
      <c r="N63" s="15" t="s">
        <v>2012</v>
      </c>
      <c r="O63" s="93" t="s">
        <v>2013</v>
      </c>
      <c r="P63" s="108" t="s">
        <v>2162</v>
      </c>
      <c r="Q63" s="15" t="s">
        <v>2014</v>
      </c>
      <c r="R63" s="95" t="s">
        <v>336</v>
      </c>
      <c r="Y63" s="93" t="s">
        <v>2015</v>
      </c>
      <c r="AR63" s="28" t="b">
        <f t="shared" si="38"/>
        <v>1</v>
      </c>
      <c r="AS63" s="29" t="str">
        <f t="shared" si="200"/>
        <v>title: "St. Mary Catholic Church, Pine Bluff, AR"</v>
      </c>
      <c r="AT63" s="29" t="str">
        <f t="shared" si="40"/>
        <v>location: {lat: 34.3246561, lng: -91.9426947}</v>
      </c>
      <c r="AU63" s="29" t="str">
        <f t="shared" si="201"/>
        <v>level: regional</v>
      </c>
      <c r="AV63" s="29" t="str">
        <f>"- "&amp;VLOOKUP(B63,'(Ref) Countries'!A:C,3,)</f>
        <v>- usa
- arkansas</v>
      </c>
      <c r="AW63" s="29" t="str">
        <f t="shared" si="42"/>
        <v>- pine-bluff</v>
      </c>
      <c r="AX63" s="29" t="str">
        <f t="shared" si="43"/>
        <v>- churches</v>
      </c>
      <c r="AY63" s="29" t="str">
        <f t="shared" si="44"/>
        <v/>
      </c>
      <c r="AZ63" s="29" t="str">
        <f t="shared" si="45"/>
        <v>- holy-persons</v>
      </c>
      <c r="BA63" s="29" t="str">
        <f t="shared" ref="BA63" si="247">IF(LEN(Y63)&gt;0,"- "&amp;Y63,"")</f>
        <v>- agnes-hart</v>
      </c>
      <c r="BB63" s="29" t="str">
        <f t="shared" ref="BB63" si="248">IF(LEN(Z63)&gt;0,"- "&amp;Z63,"")</f>
        <v/>
      </c>
      <c r="BC63" s="29" t="str">
        <f t="shared" ref="BC63" si="249">IF(LEN(AA63)&gt;0,"- "&amp;AA63,"")</f>
        <v/>
      </c>
      <c r="BD63" s="29" t="str">
        <f t="shared" ref="BD63" si="250">IF(LEN(AB63)&gt;0,"- "&amp;AB63,"")</f>
        <v/>
      </c>
      <c r="BE63" s="29" t="str">
        <f t="shared" ref="BE63" si="251">IF(LEN(AC63)&gt;0,"- "&amp;AC63,"")</f>
        <v/>
      </c>
      <c r="BF63" s="29" t="str">
        <f t="shared" ref="BF63" si="252">IF(LEN(AD63)&gt;0,"- "&amp;AD63,"")</f>
        <v/>
      </c>
      <c r="BG63" s="29" t="str">
        <f t="shared" ref="BG63" si="253">IF(LEN(AE63)&gt;0,"- "&amp;AE63,"")</f>
        <v/>
      </c>
      <c r="BH63" s="29" t="str">
        <f t="shared" ref="BH63" si="254">IF(LEN(AF63)&gt;0,"- "&amp;AF63,"")</f>
        <v/>
      </c>
      <c r="BI63" s="29" t="str">
        <f t="shared" ref="BI63" si="255">IF(LEN(AG63)&gt;0,"- "&amp;AG63,"")</f>
        <v/>
      </c>
      <c r="BJ63" s="29" t="str">
        <f t="shared" ref="BJ63" si="256">IF(LEN(AH63)&gt;0,"- "&amp;AH63,"")</f>
        <v/>
      </c>
      <c r="BK63" s="29" t="str">
        <f t="shared" ref="BK63" si="257">"tags:"&amp;CHAR(10)&amp;concatl(AV63:BJ63)</f>
        <v xml:space="preserve">tags:
- usa
- arkansas_x000D_
- pine-bluff_x000D_
- churches_x000D_
- holy-persons_x000D_
- agnes-hart_x000D_
</v>
      </c>
      <c r="BL63" s="29" t="str">
        <f t="shared" si="46"/>
        <v>[Official site](https://www.stjosephpinebluff.org/st-mary-catholic-church.html) (now under the care of nearby St. Joseph Parish)</v>
      </c>
      <c r="BM63" s="29" t="str">
        <f t="shared" si="47"/>
        <v>[*American Catholic History* podcast episode on St. Mary](https://americancatholichistory.org/old-st-mary-pine-bluff-arkansas/)</v>
      </c>
      <c r="BN63" s="29" t="str">
        <f t="shared" si="48"/>
        <v/>
      </c>
      <c r="BO63" s="29" t="str">
        <f t="shared" si="49"/>
        <v/>
      </c>
      <c r="BP63" s="29" t="str">
        <f t="shared" ref="BP63" si="258">IF(LEN(BL63)&gt;0,"* "&amp;BL63&amp;CHAR(10),"")&amp;
IF(LEN(BM63)&gt;0,"* "&amp;BM63&amp;CHAR(10),"")&amp;
IF(LEN(BN63)&gt;0,"* "&amp;BN63&amp;CHAR(10),"")&amp;
IF(LEN(BO63)&gt;0,"* "&amp;BO63&amp;CHAR(10),"")</f>
        <v xml:space="preserve">* [Official site](https://www.stjosephpinebluff.org/st-mary-catholic-church.html) (now under the care of nearby St. Joseph Parish)
* [*American Catholic History* podcast episode on St. Mary](https://americancatholichistory.org/old-st-mary-pine-bluff-arkansas/)
</v>
      </c>
      <c r="BQ63" s="29" t="str">
        <f t="shared" si="50"/>
        <v/>
      </c>
      <c r="BR63" s="29" t="str">
        <f t="shared" si="51"/>
        <v/>
      </c>
      <c r="BS63" s="29" t="str">
        <f t="shared" si="52"/>
        <v/>
      </c>
      <c r="BT63" s="29" t="str">
        <f>IF(LEN(_xludf.concat(BQ63:BS63))&gt;0,_xludf.concat("| ",BQ63," | ",BR63," | ",BS63," |"),"")</f>
        <v/>
      </c>
      <c r="BU63" s="29" t="str">
        <f t="shared" si="53"/>
        <v/>
      </c>
      <c r="BV63" s="29" t="str">
        <f>IF(LEN(BP63&amp;BU63)&gt;0,concatll("#### More Information",BP63,BU63),"")</f>
        <v xml:space="preserve">#### More Information_x000D_
_x000D_
* [Official site](https://www.stjosephpinebluff.org/st-mary-catholic-church.html) (now under the care of nearby St. Joseph Parish)
* [*American Catholic History* podcast episode on St. Mary](https://americancatholichistory.org/old-st-mary-pine-bluff-arkansas/)
_x000D_
_x000D_
</v>
      </c>
      <c r="BW63" s="29" t="str">
        <f>IF(LEN(M63)&gt;1,concatll("#### Author's Note",M63),"")</f>
        <v/>
      </c>
      <c r="BX63" s="23" t="str">
        <f>IF(AR63,concatll(concatl("---",AS63:AU63,BK63,"---"),L63,BV63:BW63),"")</f>
        <v xml:space="preserve">---_x000D_
title: "St. Mary Catholic Church, Pine Bluff, AR"_x000D_
location: {lat: 34.3246561, lng: -91.9426947}_x000D_
level: regional_x000D_
tags:
- usa
- arkansas_x000D_
- pine-bluff_x000D_
- churches_x000D_
- holy-persons_x000D_
- agnes-hart_x000D_
_x000D_
---_x000D_
_x000D_
_x000D_
Oldest Catholic church in Arkansas, originally built on a barge in the Arkansas River in 1782 to combat the threat of flooding by the river.  The cemetery behind the church is the final resting place for Mother Agnes Hart, a nun whose body was later found to be incorrupt._x000D_
_x000D_
#### More Information_x000D_
_x000D_
* [Official site](https://www.stjosephpinebluff.org/st-mary-catholic-church.html) (now under the care of nearby St. Joseph Parish)
* [*American Catholic History* podcast episode on St. Mary](https://americancatholichistory.org/old-st-mary-pine-bluff-arkansas/)
_x000D_
_x000D_
_x000D_
_x000D_
</v>
      </c>
      <c r="BY63" s="31" t="str">
        <f>IF(AR63,VLOOKUP(B63,'(Ref) Countries'!A:B,2,)&amp;IF(LEN(C63)&gt;1,"-"&amp;LOWER(SUBSTITUTE(C63," ","-")),"")&amp;"-"&amp;LOWER(SUBSTITUTE(G63," ","-"))&amp;".md","")</f>
        <v>us_ar-pine-bluff-st-mary.md</v>
      </c>
      <c r="BZ63" s="29" t="str">
        <f>IF(LEN(Y63)&gt;1,VLOOKUP(Y63,'Tag List'!$A:$B,2,),"")</f>
        <v>Mother Agnes Hart</v>
      </c>
      <c r="CA63" s="29" t="str">
        <f>IF(LEN(Z63)&gt;1,VLOOKUP(Z63,'Tag List'!$A:$B,2,),"")</f>
        <v/>
      </c>
      <c r="CB63" s="29" t="str">
        <f>IF(LEN(AA63)&gt;1,VLOOKUP(AA63,'Tag List'!$A:$B,2,),"")</f>
        <v/>
      </c>
      <c r="CC63" s="29" t="str">
        <f>IF(LEN(Y63)&gt;1,GetTagPage(BZ63,Y63),"")</f>
        <v>[Mother Agnes Hart](/tags/agnes-hart)</v>
      </c>
      <c r="CD63" s="29" t="str">
        <f>IF(LEN(Z63)&gt;1,GetTagPage(CA63,Z63),"")</f>
        <v/>
      </c>
      <c r="CE63" s="29" t="str">
        <f>IF(LEN(AA63)&gt;1,GetTagPage(CB63,AA63),"")</f>
        <v/>
      </c>
      <c r="CF63" s="29" t="str">
        <f t="shared" ref="CF63" si="259">"|"&amp;IF(LEN(CC63)&gt;1," "&amp;CC63,"")&amp;IF(LEN(CD63)&gt;1,", "&amp;CD63,"")&amp;IF(LEN(CE63)&gt;1,", "&amp;CE63,"")&amp;" "</f>
        <v xml:space="preserve">| [Mother Agnes Hart](/tags/agnes-hart) </v>
      </c>
      <c r="CG63" s="29" t="str">
        <f t="shared" si="54"/>
        <v xml:space="preserve">| [](/places/us_ar-pine-bluff-st-mary) </v>
      </c>
      <c r="CH63" s="29" t="str">
        <f>"| "&amp;IF(AR63,GetTagPage(B63,VLOOKUP(B63,'(Ref) Countries'!A:C,3,)),B63)&amp; " "</f>
        <v xml:space="preserve">| [US Arkansas](/tags/usa
- arkansas) </v>
      </c>
      <c r="CI63" s="29" t="str">
        <f t="shared" si="55"/>
        <v xml:space="preserve">|  </v>
      </c>
      <c r="CJ63" s="29" t="str">
        <f t="shared" ref="CJ63" si="260">"|"&amp;IF(AR63," [Link](/places/"&amp;SUBSTITUTE(BY63,".md","")&amp;")","")&amp;" "</f>
        <v xml:space="preserve">| [Link](/places/us_ar-pine-bluff-st-mary) </v>
      </c>
      <c r="CK63" s="29" t="str">
        <f t="shared" ref="CK63" si="261">"
"&amp;CG63&amp;CH63&amp;CI63&amp;CJ63&amp;BL63&amp;BQ63&amp;BR63&amp;BS63&amp;CF63&amp;"|"</f>
        <v xml:space="preserve">
| [](/places/us_ar-pine-bluff-st-mary) | [US Arkansas](/tags/usa
- arkansas) |  | [Link](/places/us_ar-pine-bluff-st-mary) [Official site](https://www.stjosephpinebluff.org/st-mary-catholic-church.html) (now under the care of nearby St. Joseph Parish)| [Mother Agnes Hart](/tags/agnes-hart) |</v>
      </c>
    </row>
    <row r="64" spans="1:89" ht="24.9" x14ac:dyDescent="0.4">
      <c r="A64" s="14" t="s">
        <v>1320</v>
      </c>
      <c r="B64" s="85" t="s">
        <v>1928</v>
      </c>
      <c r="C64" s="93" t="s">
        <v>2017</v>
      </c>
      <c r="D64" s="15">
        <v>39.679924</v>
      </c>
      <c r="E64" s="49">
        <v>-77.356055999999995</v>
      </c>
      <c r="F64" s="24" t="s">
        <v>387</v>
      </c>
      <c r="G64" s="92" t="s">
        <v>2018</v>
      </c>
      <c r="H64" s="93" t="s">
        <v>1827</v>
      </c>
      <c r="I64" s="15" t="b">
        <v>1</v>
      </c>
      <c r="K64" s="15" t="b">
        <v>1</v>
      </c>
      <c r="L64" s="85" t="s">
        <v>2026</v>
      </c>
      <c r="N64" s="15" t="s">
        <v>388</v>
      </c>
      <c r="O64" s="96" t="s">
        <v>336</v>
      </c>
      <c r="Y64" s="93" t="s">
        <v>1866</v>
      </c>
      <c r="AR64" s="28" t="b">
        <f t="shared" si="38"/>
        <v>1</v>
      </c>
      <c r="AS64" s="29" t="str">
        <f t="shared" si="200"/>
        <v>title: "Mount St. Mary's Seminary"</v>
      </c>
      <c r="AT64" s="29" t="str">
        <f t="shared" si="40"/>
        <v>location: {lat: 39.679924, lng: -77.356056}</v>
      </c>
      <c r="AU64" s="29" t="str">
        <f t="shared" si="201"/>
        <v>level: local</v>
      </c>
      <c r="AV64" s="29" t="str">
        <f>"- "&amp;VLOOKUP(B64,'(Ref) Countries'!A:C,3,)</f>
        <v>- usa
- maryland</v>
      </c>
      <c r="AW64" s="29" t="str">
        <f t="shared" si="42"/>
        <v>- emmitsburg</v>
      </c>
      <c r="AX64" s="29" t="str">
        <f t="shared" si="43"/>
        <v>- churches</v>
      </c>
      <c r="AY64" s="29" t="str">
        <f t="shared" si="44"/>
        <v/>
      </c>
      <c r="AZ64" s="29" t="str">
        <f t="shared" si="45"/>
        <v>- holy-persons</v>
      </c>
      <c r="BA64" s="29" t="str">
        <f t="shared" ref="BA64" si="262">IF(LEN(Y64)&gt;0,"- "&amp;Y64,"")</f>
        <v>- stanley-rother</v>
      </c>
      <c r="BB64" s="29" t="str">
        <f t="shared" ref="BB64" si="263">IF(LEN(Z64)&gt;0,"- "&amp;Z64,"")</f>
        <v/>
      </c>
      <c r="BC64" s="29" t="str">
        <f t="shared" ref="BC64" si="264">IF(LEN(AA64)&gt;0,"- "&amp;AA64,"")</f>
        <v/>
      </c>
      <c r="BD64" s="29" t="str">
        <f t="shared" ref="BD64" si="265">IF(LEN(AB64)&gt;0,"- "&amp;AB64,"")</f>
        <v/>
      </c>
      <c r="BE64" s="29" t="str">
        <f t="shared" ref="BE64" si="266">IF(LEN(AC64)&gt;0,"- "&amp;AC64,"")</f>
        <v/>
      </c>
      <c r="BF64" s="29" t="str">
        <f t="shared" ref="BF64" si="267">IF(LEN(AD64)&gt;0,"- "&amp;AD64,"")</f>
        <v/>
      </c>
      <c r="BG64" s="29" t="str">
        <f t="shared" ref="BG64" si="268">IF(LEN(AE64)&gt;0,"- "&amp;AE64,"")</f>
        <v/>
      </c>
      <c r="BH64" s="29" t="str">
        <f t="shared" ref="BH64" si="269">IF(LEN(AF64)&gt;0,"- "&amp;AF64,"")</f>
        <v/>
      </c>
      <c r="BI64" s="29" t="str">
        <f t="shared" ref="BI64" si="270">IF(LEN(AG64)&gt;0,"- "&amp;AG64,"")</f>
        <v/>
      </c>
      <c r="BJ64" s="29" t="str">
        <f t="shared" ref="BJ64" si="271">IF(LEN(AH64)&gt;0,"- "&amp;AH64,"")</f>
        <v/>
      </c>
      <c r="BK64" s="29" t="str">
        <f t="shared" ref="BK64" si="272">"tags:"&amp;CHAR(10)&amp;concatl(AV64:BJ64)</f>
        <v xml:space="preserve">tags:
- usa
- maryland_x000D_
- emmitsburg_x000D_
- churches_x000D_
- holy-persons_x000D_
- stanley-rother_x000D_
</v>
      </c>
      <c r="BL64" s="29" t="str">
        <f t="shared" si="46"/>
        <v>[Official site](https://seminary.msmary.edu/)</v>
      </c>
      <c r="BM64" s="29" t="str">
        <f t="shared" si="47"/>
        <v/>
      </c>
      <c r="BN64" s="29" t="str">
        <f t="shared" si="48"/>
        <v/>
      </c>
      <c r="BO64" s="29" t="str">
        <f t="shared" si="49"/>
        <v/>
      </c>
      <c r="BP64" s="29" t="str">
        <f t="shared" ref="BP64" si="273">IF(LEN(BL64)&gt;0,"* "&amp;BL64&amp;CHAR(10),"")&amp;
IF(LEN(BM64)&gt;0,"* "&amp;BM64&amp;CHAR(10),"")&amp;
IF(LEN(BN64)&gt;0,"* "&amp;BN64&amp;CHAR(10),"")&amp;
IF(LEN(BO64)&gt;0,"* "&amp;BO64&amp;CHAR(10),"")</f>
        <v xml:space="preserve">* [Official site](https://seminary.msmary.edu/)
</v>
      </c>
      <c r="BQ64" s="29" t="str">
        <f t="shared" si="50"/>
        <v/>
      </c>
      <c r="BR64" s="29" t="str">
        <f t="shared" si="51"/>
        <v/>
      </c>
      <c r="BS64" s="29" t="str">
        <f t="shared" si="52"/>
        <v/>
      </c>
      <c r="BT64" s="29" t="str">
        <f>IF(LEN(_xludf.concat(BQ64:BS64))&gt;0,_xludf.concat("| ",BQ64," | ",BR64," | ",BS64," |"),"")</f>
        <v/>
      </c>
      <c r="BU64" s="29" t="str">
        <f t="shared" si="53"/>
        <v/>
      </c>
      <c r="BV64" s="29" t="str">
        <f>IF(LEN(BP64&amp;BU64)&gt;0,concatll("#### More Information",BP64,BU64),"")</f>
        <v xml:space="preserve">#### More Information_x000D_
_x000D_
* [Official site](https://seminary.msmary.edu/)
_x000D_
_x000D_
</v>
      </c>
      <c r="BW64" s="29" t="str">
        <f>IF(LEN(M64)&gt;1,concatll("#### Author's Note",M64),"")</f>
        <v/>
      </c>
      <c r="BX64" s="23" t="str">
        <f>IF(AR64,concatll(concatl("---",AS64:AU64,BK64,"---"),L64,BV64:BW64),"")</f>
        <v xml:space="preserve">---_x000D_
title: "Mount St. Mary's Seminary"_x000D_
location: {lat: 39.679924, lng: -77.356056}_x000D_
level: local_x000D_
tags:
- usa
- maryland_x000D_
- emmitsburg_x000D_
- churches_x000D_
- holy-persons_x000D_
- stanley-rother_x000D_
_x000D_
---_x000D_
_x000D_
_x000D_
Bl. Stanley Rother completed his studies at Mount Saint Mary's Seminary and was ordained a priest on May 25, 1963._x000D_
_x000D_
#### More Information_x000D_
_x000D_
* [Official site](https://seminary.msmary.edu/)
_x000D_
_x000D_
_x000D_
_x000D_
</v>
      </c>
      <c r="BY64" s="31" t="str">
        <f>IF(AR64,VLOOKUP(B64,'(Ref) Countries'!A:B,2,)&amp;IF(LEN(C64)&gt;1,"-"&amp;LOWER(SUBSTITUTE(C64," ","-")),"")&amp;"-"&amp;LOWER(SUBSTITUTE(G64," ","-"))&amp;".md","")</f>
        <v>us_md-emmitsburg-mount-st-marys-seminary.md</v>
      </c>
      <c r="BZ64" s="29" t="str">
        <f>IF(LEN(Y64)&gt;1,VLOOKUP(Y64,'Tag List'!$A:$B,2,),"")</f>
        <v>Bl. Stanley Rother</v>
      </c>
      <c r="CA64" s="29" t="str">
        <f>IF(LEN(Z64)&gt;1,VLOOKUP(Z64,'Tag List'!$A:$B,2,),"")</f>
        <v/>
      </c>
      <c r="CB64" s="29" t="str">
        <f>IF(LEN(AA64)&gt;1,VLOOKUP(AA64,'Tag List'!$A:$B,2,),"")</f>
        <v/>
      </c>
      <c r="CC64" s="29" t="str">
        <f>IF(LEN(Y64)&gt;1,GetTagPage(BZ64,Y64),"")</f>
        <v>[Bl. Stanley Rother](/tags/stanley-rother)</v>
      </c>
      <c r="CD64" s="29" t="str">
        <f>IF(LEN(Z64)&gt;1,GetTagPage(CA64,Z64),"")</f>
        <v/>
      </c>
      <c r="CE64" s="29" t="str">
        <f>IF(LEN(AA64)&gt;1,GetTagPage(CB64,AA64),"")</f>
        <v/>
      </c>
      <c r="CF64" s="29" t="str">
        <f t="shared" ref="CF64" si="274">"|"&amp;IF(LEN(CC64)&gt;1," "&amp;CC64,"")&amp;IF(LEN(CD64)&gt;1,", "&amp;CD64,"")&amp;IF(LEN(CE64)&gt;1,", "&amp;CE64,"")&amp;" "</f>
        <v xml:space="preserve">| [Bl. Stanley Rother](/tags/stanley-rother) </v>
      </c>
      <c r="CG64" s="29" t="str">
        <f t="shared" si="54"/>
        <v xml:space="preserve">| [](/places/us_md-emmitsburg-mount-st-marys-seminary) </v>
      </c>
      <c r="CH64" s="29" t="str">
        <f>"| "&amp;IF(AR64,GetTagPage(B64,VLOOKUP(B64,'(Ref) Countries'!A:C,3,)),B64)&amp; " "</f>
        <v xml:space="preserve">| [US Maryland](/tags/usa
- maryland) </v>
      </c>
      <c r="CI64" s="29" t="str">
        <f t="shared" si="55"/>
        <v xml:space="preserve">|  </v>
      </c>
      <c r="CJ64" s="29" t="str">
        <f t="shared" ref="CJ64" si="275">"|"&amp;IF(AR64," [Link](/places/"&amp;SUBSTITUTE(BY64,".md","")&amp;")","")&amp;" "</f>
        <v xml:space="preserve">| [Link](/places/us_md-emmitsburg-mount-st-marys-seminary) </v>
      </c>
      <c r="CK64" s="29" t="str">
        <f t="shared" ref="CK64" si="276">"
"&amp;CG64&amp;CH64&amp;CI64&amp;CJ64&amp;BL64&amp;BQ64&amp;BR64&amp;BS64&amp;CF64&amp;"|"</f>
        <v xml:space="preserve">
| [](/places/us_md-emmitsburg-mount-st-marys-seminary) | [US Maryland](/tags/usa
- maryland) |  | [Link](/places/us_md-emmitsburg-mount-st-marys-seminary) [Official site](https://seminary.msmary.edu/)| [Bl. Stanley Rother](/tags/stanley-rother) |</v>
      </c>
    </row>
    <row r="65" spans="1:89" ht="24.9" x14ac:dyDescent="0.4">
      <c r="A65" s="14" t="s">
        <v>1320</v>
      </c>
      <c r="B65" s="85" t="s">
        <v>1944</v>
      </c>
      <c r="C65" s="93" t="s">
        <v>2021</v>
      </c>
      <c r="D65" s="15">
        <v>35.728490299999997</v>
      </c>
      <c r="E65" s="49">
        <v>-97.975802000000002</v>
      </c>
      <c r="F65" s="85" t="s">
        <v>2019</v>
      </c>
      <c r="G65" s="92" t="s">
        <v>2020</v>
      </c>
      <c r="H65" s="93" t="s">
        <v>1827</v>
      </c>
      <c r="I65" s="15" t="b">
        <v>1</v>
      </c>
      <c r="K65" s="15" t="b">
        <v>1</v>
      </c>
      <c r="L65" s="24" t="s">
        <v>397</v>
      </c>
      <c r="N65" s="15" t="s">
        <v>396</v>
      </c>
      <c r="O65" s="15" t="s">
        <v>336</v>
      </c>
      <c r="Y65" s="15" t="s">
        <v>1866</v>
      </c>
      <c r="AR65" s="28" t="b">
        <f t="shared" si="38"/>
        <v>1</v>
      </c>
      <c r="AS65" s="29" t="str">
        <f t="shared" si="200"/>
        <v>title: "Holy Trinity Catholic Church, Okarche, OK"</v>
      </c>
      <c r="AT65" s="29" t="str">
        <f t="shared" si="40"/>
        <v>location: {lat: 35.7284903, lng: -97.975802}</v>
      </c>
      <c r="AU65" s="29" t="str">
        <f t="shared" si="201"/>
        <v>level: local</v>
      </c>
      <c r="AV65" s="29" t="str">
        <f>"- "&amp;VLOOKUP(B65,'(Ref) Countries'!A:C,3,)</f>
        <v>- usa
- oklahoma</v>
      </c>
      <c r="AW65" s="29" t="str">
        <f t="shared" si="42"/>
        <v>- okarche</v>
      </c>
      <c r="AX65" s="29" t="str">
        <f t="shared" si="43"/>
        <v>- churches</v>
      </c>
      <c r="AY65" s="29" t="str">
        <f t="shared" si="44"/>
        <v/>
      </c>
      <c r="AZ65" s="29" t="str">
        <f t="shared" si="45"/>
        <v>- holy-persons</v>
      </c>
      <c r="BA65" s="29" t="str">
        <f t="shared" ref="BA65" si="277">IF(LEN(Y65)&gt;0,"- "&amp;Y65,"")</f>
        <v>- stanley-rother</v>
      </c>
      <c r="BB65" s="29" t="str">
        <f t="shared" ref="BB65" si="278">IF(LEN(Z65)&gt;0,"- "&amp;Z65,"")</f>
        <v/>
      </c>
      <c r="BC65" s="29" t="str">
        <f t="shared" ref="BC65" si="279">IF(LEN(AA65)&gt;0,"- "&amp;AA65,"")</f>
        <v/>
      </c>
      <c r="BD65" s="29" t="str">
        <f t="shared" ref="BD65" si="280">IF(LEN(AB65)&gt;0,"- "&amp;AB65,"")</f>
        <v/>
      </c>
      <c r="BE65" s="29" t="str">
        <f t="shared" ref="BE65" si="281">IF(LEN(AC65)&gt;0,"- "&amp;AC65,"")</f>
        <v/>
      </c>
      <c r="BF65" s="29" t="str">
        <f t="shared" ref="BF65" si="282">IF(LEN(AD65)&gt;0,"- "&amp;AD65,"")</f>
        <v/>
      </c>
      <c r="BG65" s="29" t="str">
        <f t="shared" ref="BG65" si="283">IF(LEN(AE65)&gt;0,"- "&amp;AE65,"")</f>
        <v/>
      </c>
      <c r="BH65" s="29" t="str">
        <f t="shared" ref="BH65" si="284">IF(LEN(AF65)&gt;0,"- "&amp;AF65,"")</f>
        <v/>
      </c>
      <c r="BI65" s="29" t="str">
        <f t="shared" ref="BI65" si="285">IF(LEN(AG65)&gt;0,"- "&amp;AG65,"")</f>
        <v/>
      </c>
      <c r="BJ65" s="29" t="str">
        <f t="shared" ref="BJ65" si="286">IF(LEN(AH65)&gt;0,"- "&amp;AH65,"")</f>
        <v/>
      </c>
      <c r="BK65" s="29" t="str">
        <f t="shared" ref="BK65" si="287">"tags:"&amp;CHAR(10)&amp;concatl(AV65:BJ65)</f>
        <v xml:space="preserve">tags:
- usa
- oklahoma_x000D_
- okarche_x000D_
- churches_x000D_
- holy-persons_x000D_
- stanley-rother_x000D_
</v>
      </c>
      <c r="BL65" s="29" t="str">
        <f t="shared" si="46"/>
        <v>[Official site](https://www.holytrinityok.org/)</v>
      </c>
      <c r="BM65" s="29" t="str">
        <f t="shared" si="47"/>
        <v/>
      </c>
      <c r="BN65" s="29" t="str">
        <f t="shared" si="48"/>
        <v/>
      </c>
      <c r="BO65" s="29" t="str">
        <f t="shared" si="49"/>
        <v/>
      </c>
      <c r="BP65" s="29" t="str">
        <f t="shared" ref="BP65" si="288">IF(LEN(BL65)&gt;0,"* "&amp;BL65&amp;CHAR(10),"")&amp;
IF(LEN(BM65)&gt;0,"* "&amp;BM65&amp;CHAR(10),"")&amp;
IF(LEN(BN65)&gt;0,"* "&amp;BN65&amp;CHAR(10),"")&amp;
IF(LEN(BO65)&gt;0,"* "&amp;BO65&amp;CHAR(10),"")</f>
        <v xml:space="preserve">* [Official site](https://www.holytrinityok.org/)
</v>
      </c>
      <c r="BQ65" s="29" t="str">
        <f t="shared" si="50"/>
        <v/>
      </c>
      <c r="BR65" s="29" t="str">
        <f t="shared" si="51"/>
        <v/>
      </c>
      <c r="BS65" s="29" t="str">
        <f t="shared" si="52"/>
        <v/>
      </c>
      <c r="BT65" s="29" t="str">
        <f>IF(LEN(_xludf.concat(BQ65:BS65))&gt;0,_xludf.concat("| ",BQ65," | ",BR65," | ",BS65," |"),"")</f>
        <v/>
      </c>
      <c r="BU65" s="29" t="str">
        <f t="shared" si="53"/>
        <v/>
      </c>
      <c r="BV65" s="29" t="str">
        <f>IF(LEN(BP65&amp;BU65)&gt;0,concatll("#### More Information",BP65,BU65),"")</f>
        <v xml:space="preserve">#### More Information_x000D_
_x000D_
* [Official site](https://www.holytrinityok.org/)
_x000D_
_x000D_
</v>
      </c>
      <c r="BW65" s="29" t="str">
        <f>IF(LEN(M65)&gt;1,concatll("#### Author's Note",M65),"")</f>
        <v/>
      </c>
      <c r="BX65" s="23" t="str">
        <f>IF(AR65,concatll(concatl("---",AS65:AU65,BK65,"---"),L65,BV65:BW65),"")</f>
        <v xml:space="preserve">---_x000D_
title: "Holy Trinity Catholic Church, Okarche, OK"_x000D_
location: {lat: 35.7284903, lng: -97.975802}_x000D_
level: local_x000D_
tags:
- usa
- oklahoma_x000D_
- okarche_x000D_
- churches_x000D_
- holy-persons_x000D_
- stanley-rother_x000D_
_x000D_
---_x000D_
_x000D_
_x000D_
Bl. Stanley Rother was a parishioner at Holy Trinity Catholic Church, where he received his sacraments and studied at Holy Trinity Catholic School._x000D_
_x000D_
#### More Information_x000D_
_x000D_
* [Official site](https://www.holytrinityok.org/)
_x000D_
_x000D_
_x000D_
_x000D_
</v>
      </c>
      <c r="BY65" s="31" t="str">
        <f>IF(AR65,VLOOKUP(B65,'(Ref) Countries'!A:B,2,)&amp;IF(LEN(C65)&gt;1,"-"&amp;LOWER(SUBSTITUTE(C65," ","-")),"")&amp;"-"&amp;LOWER(SUBSTITUTE(G65," ","-"))&amp;".md","")</f>
        <v>us_ok-okarche-holy-trinity.md</v>
      </c>
      <c r="BZ65" s="29" t="str">
        <f>IF(LEN(Y65)&gt;1,VLOOKUP(Y65,'Tag List'!$A:$B,2,),"")</f>
        <v>Bl. Stanley Rother</v>
      </c>
      <c r="CA65" s="29" t="str">
        <f>IF(LEN(Z65)&gt;1,VLOOKUP(Z65,'Tag List'!$A:$B,2,),"")</f>
        <v/>
      </c>
      <c r="CB65" s="29" t="str">
        <f>IF(LEN(AA65)&gt;1,VLOOKUP(AA65,'Tag List'!$A:$B,2,),"")</f>
        <v/>
      </c>
      <c r="CC65" s="29" t="str">
        <f>IF(LEN(Y65)&gt;1,GetTagPage(BZ65,Y65),"")</f>
        <v>[Bl. Stanley Rother](/tags/stanley-rother)</v>
      </c>
      <c r="CD65" s="29" t="str">
        <f>IF(LEN(Z65)&gt;1,GetTagPage(CA65,Z65),"")</f>
        <v/>
      </c>
      <c r="CE65" s="29" t="str">
        <f>IF(LEN(AA65)&gt;1,GetTagPage(CB65,AA65),"")</f>
        <v/>
      </c>
      <c r="CF65" s="29" t="str">
        <f t="shared" ref="CF65" si="289">"|"&amp;IF(LEN(CC65)&gt;1," "&amp;CC65,"")&amp;IF(LEN(CD65)&gt;1,", "&amp;CD65,"")&amp;IF(LEN(CE65)&gt;1,", "&amp;CE65,"")&amp;" "</f>
        <v xml:space="preserve">| [Bl. Stanley Rother](/tags/stanley-rother) </v>
      </c>
      <c r="CG65" s="29" t="str">
        <f t="shared" si="54"/>
        <v xml:space="preserve">| [](/places/us_ok-okarche-holy-trinity) </v>
      </c>
      <c r="CH65" s="29" t="str">
        <f>"| "&amp;IF(AR65,GetTagPage(B65,VLOOKUP(B65,'(Ref) Countries'!A:C,3,)),B65)&amp; " "</f>
        <v xml:space="preserve">| [US Oklahoma](/tags/usa
- oklahoma) </v>
      </c>
      <c r="CI65" s="29" t="str">
        <f t="shared" si="55"/>
        <v xml:space="preserve">|  </v>
      </c>
      <c r="CJ65" s="29" t="str">
        <f t="shared" ref="CJ65" si="290">"|"&amp;IF(AR65," [Link](/places/"&amp;SUBSTITUTE(BY65,".md","")&amp;")","")&amp;" "</f>
        <v xml:space="preserve">| [Link](/places/us_ok-okarche-holy-trinity) </v>
      </c>
      <c r="CK65" s="29" t="str">
        <f t="shared" ref="CK65" si="291">"
"&amp;CG65&amp;CH65&amp;CI65&amp;CJ65&amp;BL65&amp;BQ65&amp;BR65&amp;BS65&amp;CF65&amp;"|"</f>
        <v xml:space="preserve">
| [](/places/us_ok-okarche-holy-trinity) | [US Oklahoma](/tags/usa
- oklahoma) |  | [Link](/places/us_ok-okarche-holy-trinity) [Official site](https://www.holytrinityok.org/)| [Bl. Stanley Rother](/tags/stanley-rother) |</v>
      </c>
    </row>
    <row r="66" spans="1:89" ht="37.299999999999997" x14ac:dyDescent="0.4">
      <c r="A66" s="14" t="s">
        <v>1320</v>
      </c>
      <c r="B66" s="24" t="s">
        <v>1944</v>
      </c>
      <c r="C66" s="93" t="s">
        <v>2023</v>
      </c>
      <c r="D66" s="15">
        <v>35.375799999999998</v>
      </c>
      <c r="E66" s="49">
        <v>-97.497500000000002</v>
      </c>
      <c r="F66" s="24" t="s">
        <v>380</v>
      </c>
      <c r="G66" s="92" t="s">
        <v>2022</v>
      </c>
      <c r="H66" s="15" t="s">
        <v>1827</v>
      </c>
      <c r="I66" s="15" t="b">
        <v>1</v>
      </c>
      <c r="K66" s="15" t="b">
        <v>1</v>
      </c>
      <c r="L66" s="24" t="s">
        <v>2024</v>
      </c>
      <c r="N66" s="15" t="s">
        <v>381</v>
      </c>
      <c r="O66" s="15" t="s">
        <v>336</v>
      </c>
      <c r="Y66" s="15" t="s">
        <v>1866</v>
      </c>
      <c r="AR66" s="28" t="b">
        <f t="shared" ref="AR66:AR81" si="292">IF(OR(A66="Done",A66="In Progress"),TRUE)</f>
        <v>1</v>
      </c>
      <c r="AS66" s="29" t="str">
        <f t="shared" si="200"/>
        <v>title: "Blessed Stanley Rother Shrine"</v>
      </c>
      <c r="AT66" s="29" t="str">
        <f t="shared" ref="AT66:AT81" si="293">"location: {lat: "&amp;D66&amp;", lng: "&amp;E66&amp;"}"</f>
        <v>location: {lat: 35.3758, lng: -97.4975}</v>
      </c>
      <c r="AU66" s="29" t="str">
        <f t="shared" si="201"/>
        <v>level: local</v>
      </c>
      <c r="AV66" s="29" t="str">
        <f>"- "&amp;VLOOKUP(B66,'(Ref) Countries'!A:C,3,)</f>
        <v>- usa
- oklahoma</v>
      </c>
      <c r="AW66" s="29" t="str">
        <f t="shared" ref="AW66:AW81" si="294">IF(LEN(C66)&gt;1,"- "&amp;LOWER(SUBSTITUTE(C66," ","-")),"")</f>
        <v>- oklahoma-city</v>
      </c>
      <c r="AX66" s="29" t="str">
        <f t="shared" ref="AX66:AX81" si="295">IF(I66,"- churches","")</f>
        <v>- churches</v>
      </c>
      <c r="AY66" s="29" t="str">
        <f t="shared" ref="AY66:AY81" si="296">IF(J66,"- marian-sites","")</f>
        <v/>
      </c>
      <c r="AZ66" s="29" t="str">
        <f t="shared" ref="AZ66:AZ81" si="297">IF(K66,"- holy-persons","")</f>
        <v>- holy-persons</v>
      </c>
      <c r="BA66" s="29" t="str">
        <f t="shared" ref="BA66" si="298">IF(LEN(Y66)&gt;0,"- "&amp;Y66,"")</f>
        <v>- stanley-rother</v>
      </c>
      <c r="BB66" s="29" t="str">
        <f t="shared" ref="BB66" si="299">IF(LEN(Z66)&gt;0,"- "&amp;Z66,"")</f>
        <v/>
      </c>
      <c r="BC66" s="29" t="str">
        <f t="shared" ref="BC66" si="300">IF(LEN(AA66)&gt;0,"- "&amp;AA66,"")</f>
        <v/>
      </c>
      <c r="BD66" s="29" t="str">
        <f t="shared" ref="BD66" si="301">IF(LEN(AB66)&gt;0,"- "&amp;AB66,"")</f>
        <v/>
      </c>
      <c r="BE66" s="29" t="str">
        <f t="shared" ref="BE66" si="302">IF(LEN(AC66)&gt;0,"- "&amp;AC66,"")</f>
        <v/>
      </c>
      <c r="BF66" s="29" t="str">
        <f t="shared" ref="BF66" si="303">IF(LEN(AD66)&gt;0,"- "&amp;AD66,"")</f>
        <v/>
      </c>
      <c r="BG66" s="29" t="str">
        <f t="shared" ref="BG66" si="304">IF(LEN(AE66)&gt;0,"- "&amp;AE66,"")</f>
        <v/>
      </c>
      <c r="BH66" s="29" t="str">
        <f t="shared" ref="BH66" si="305">IF(LEN(AF66)&gt;0,"- "&amp;AF66,"")</f>
        <v/>
      </c>
      <c r="BI66" s="29" t="str">
        <f t="shared" ref="BI66" si="306">IF(LEN(AG66)&gt;0,"- "&amp;AG66,"")</f>
        <v/>
      </c>
      <c r="BJ66" s="29" t="str">
        <f t="shared" ref="BJ66" si="307">IF(LEN(AH66)&gt;0,"- "&amp;AH66,"")</f>
        <v/>
      </c>
      <c r="BK66" s="29" t="str">
        <f t="shared" ref="BK66" si="308">"tags:"&amp;CHAR(10)&amp;concatl(AV66:BJ66)</f>
        <v xml:space="preserve">tags:
- usa
- oklahoma_x000D_
- oklahoma-city_x000D_
- churches_x000D_
- holy-persons_x000D_
- stanley-rother_x000D_
</v>
      </c>
      <c r="BL66" s="29" t="str">
        <f t="shared" ref="BL66:BL81" si="309">IF(LEN(N66)&gt;0,TRIM(CONCATENATE("[Official site](",N66,") ",O66)),"")</f>
        <v>[Official site](https://www.rothershrine.org/)</v>
      </c>
      <c r="BM66" s="29" t="str">
        <f t="shared" ref="BM66:BM81" si="310">IF(LEN(Q66)&gt;0,TRIM(CONCATENATE("["&amp;P66&amp;"](",Q66,") ",R66)),"")</f>
        <v/>
      </c>
      <c r="BN66" s="29" t="str">
        <f t="shared" ref="BN66:BN81" si="311">IF(LEN(T66)&gt;0,TRIM(CONCATENATE("["&amp;S66&amp;"](",T66,") ",U66)),"")</f>
        <v/>
      </c>
      <c r="BO66" s="29" t="str">
        <f t="shared" ref="BO66:BO81" si="312">IF(LEN(W66)&gt;0,TRIM(CONCATENATE("["&amp;V66&amp;"](",W66,") ",X66)),"")</f>
        <v/>
      </c>
      <c r="BP66" s="29" t="str">
        <f t="shared" ref="BP66" si="313">IF(LEN(BL66)&gt;0,"* "&amp;BL66&amp;CHAR(10),"")&amp;
IF(LEN(BM66)&gt;0,"* "&amp;BM66&amp;CHAR(10),"")&amp;
IF(LEN(BN66)&gt;0,"* "&amp;BN66&amp;CHAR(10),"")&amp;
IF(LEN(BO66)&gt;0,"* "&amp;BO66&amp;CHAR(10),"")</f>
        <v xml:space="preserve">* [Official site](https://www.rothershrine.org/)
</v>
      </c>
      <c r="BQ66" s="29" t="str">
        <f t="shared" ref="BQ66:BQ81" si="314">IF(LEN(AK66)&gt;0,TRIM(CONCATENATE("[Link](",AK66,") ",AL66)),"")</f>
        <v/>
      </c>
      <c r="BR66" s="29" t="str">
        <f t="shared" ref="BR66:BR81" si="315">IF(LEN(AM66)&gt;0,TRIM(CONCATENATE("[Link](",AM66,") ",AN66)),"")</f>
        <v/>
      </c>
      <c r="BS66" s="29" t="str">
        <f t="shared" ref="BS66:BS81" si="316">IF(LEN(AO66)&gt;0,TRIM(CONCATENATE("[Link](",AO66,") ",AP66)),"")</f>
        <v/>
      </c>
      <c r="BT66" s="29" t="str">
        <f>IF(LEN(_xludf.concat(BQ66:BS66))&gt;0,_xludf.concat("| ",BQ66," | ",BR66," | ",BS66," |"),"")</f>
        <v/>
      </c>
      <c r="BU66" s="29" t="str">
        <f t="shared" ref="BU66:BU81" si="317">IF(J66,concatl("| The Real Presence | Miracle Hunter | MaryPages |","| --- | --- | --- |",BT66),"")</f>
        <v/>
      </c>
      <c r="BV66" s="29" t="str">
        <f>IF(LEN(BP66&amp;BU66)&gt;0,concatll("#### More Information",BP66,BU66),"")</f>
        <v xml:space="preserve">#### More Information_x000D_
_x000D_
* [Official site](https://www.rothershrine.org/)
_x000D_
_x000D_
</v>
      </c>
      <c r="BW66" s="29" t="str">
        <f>IF(LEN(M66)&gt;1,concatll("#### Author's Note",M66),"")</f>
        <v/>
      </c>
      <c r="BX66" s="23" t="str">
        <f>IF(AR66,concatll(concatl("---",AS66:AU66,BK66,"---"),L66,BV66:BW66),"")</f>
        <v xml:space="preserve">---_x000D_
title: "Blessed Stanley Rother Shrine"_x000D_
location: {lat: 35.3758, lng: -97.4975}_x000D_
level: local_x000D_
tags:
- usa
- oklahoma_x000D_
- oklahoma-city_x000D_
- churches_x000D_
- holy-persons_x000D_
- stanley-rother_x000D_
_x000D_
---_x000D_
_x000D_
_x000D_
The shrine was dedicated on February 17, 2023 with the Most Rev. Paul S. Coakley, Archbishop of Oklahoma City presiding. The service was attended by 37 bishops, 147 priests, and hundreds of other religious and pilgrims._x000D_
_x000D_
#### More Information_x000D_
_x000D_
* [Official site](https://www.rothershrine.org/)
_x000D_
_x000D_
_x000D_
_x000D_
</v>
      </c>
      <c r="BY66" s="31" t="str">
        <f>IF(AR66,VLOOKUP(B66,'(Ref) Countries'!A:B,2,)&amp;IF(LEN(C66)&gt;1,"-"&amp;LOWER(SUBSTITUTE(C66," ","-")),"")&amp;"-"&amp;LOWER(SUBSTITUTE(G66," ","-"))&amp;".md","")</f>
        <v>us_ok-oklahoma-city-stanley-rother-shrine.md</v>
      </c>
      <c r="BZ66" s="29" t="str">
        <f>IF(LEN(Y66)&gt;1,VLOOKUP(Y66,'Tag List'!$A:$B,2,),"")</f>
        <v>Bl. Stanley Rother</v>
      </c>
      <c r="CA66" s="29" t="str">
        <f>IF(LEN(Z66)&gt;1,VLOOKUP(Z66,'Tag List'!$A:$B,2,),"")</f>
        <v/>
      </c>
      <c r="CB66" s="29" t="str">
        <f>IF(LEN(AA66)&gt;1,VLOOKUP(AA66,'Tag List'!$A:$B,2,),"")</f>
        <v/>
      </c>
      <c r="CC66" s="29" t="str">
        <f>IF(LEN(Y66)&gt;1,GetTagPage(BZ66,Y66),"")</f>
        <v>[Bl. Stanley Rother](/tags/stanley-rother)</v>
      </c>
      <c r="CD66" s="29" t="str">
        <f>IF(LEN(Z66)&gt;1,GetTagPage(CA66,Z66),"")</f>
        <v/>
      </c>
      <c r="CE66" s="29" t="str">
        <f>IF(LEN(AA66)&gt;1,GetTagPage(CB66,AA66),"")</f>
        <v/>
      </c>
      <c r="CF66" s="29" t="str">
        <f t="shared" ref="CF66" si="318">"|"&amp;IF(LEN(CC66)&gt;1," "&amp;CC66,"")&amp;IF(LEN(CD66)&gt;1,", "&amp;CD66,"")&amp;IF(LEN(CE66)&gt;1,", "&amp;CE66,"")&amp;" "</f>
        <v xml:space="preserve">| [Bl. Stanley Rother](/tags/stanley-rother) </v>
      </c>
      <c r="CG66" s="29" t="str">
        <f t="shared" ref="CG66:CG81" si="319">"| "&amp;IF(AR66,"["&amp;AI66&amp;"](/places/"&amp;SUBSTITUTE(BY66,".md","")&amp;")",AI66)&amp;" "</f>
        <v xml:space="preserve">| [](/places/us_ok-oklahoma-city-stanley-rother-shrine) </v>
      </c>
      <c r="CH66" s="29" t="str">
        <f>"| "&amp;IF(AR66,GetTagPage(B66,VLOOKUP(B66,'(Ref) Countries'!A:C,3,)),B66)&amp; " "</f>
        <v xml:space="preserve">| [US Oklahoma](/tags/usa
- oklahoma) </v>
      </c>
      <c r="CI66" s="29" t="str">
        <f t="shared" ref="CI66:CI81" si="320">"| "&amp;AJ66&amp;" "</f>
        <v xml:space="preserve">|  </v>
      </c>
      <c r="CJ66" s="29" t="str">
        <f t="shared" ref="CJ66" si="321">"|"&amp;IF(AR66," [Link](/places/"&amp;SUBSTITUTE(BY66,".md","")&amp;")","")&amp;" "</f>
        <v xml:space="preserve">| [Link](/places/us_ok-oklahoma-city-stanley-rother-shrine) </v>
      </c>
      <c r="CK66" s="29" t="str">
        <f t="shared" ref="CK66" si="322">"
"&amp;CG66&amp;CH66&amp;CI66&amp;CJ66&amp;BL66&amp;BQ66&amp;BR66&amp;BS66&amp;CF66&amp;"|"</f>
        <v xml:space="preserve">
| [](/places/us_ok-oklahoma-city-stanley-rother-shrine) | [US Oklahoma](/tags/usa
- oklahoma) |  | [Link](/places/us_ok-oklahoma-city-stanley-rother-shrine) [Official site](https://www.rothershrine.org/)| [Bl. Stanley Rother](/tags/stanley-rother) |</v>
      </c>
    </row>
    <row r="67" spans="1:89" ht="24.9" x14ac:dyDescent="0.4">
      <c r="A67" s="14" t="s">
        <v>1320</v>
      </c>
      <c r="B67" s="85" t="s">
        <v>1951</v>
      </c>
      <c r="C67" s="93" t="s">
        <v>2025</v>
      </c>
      <c r="D67" s="15">
        <v>29.454204000000001</v>
      </c>
      <c r="E67" s="49">
        <v>-98.545190000000005</v>
      </c>
      <c r="F67" s="85" t="s">
        <v>391</v>
      </c>
      <c r="G67" s="53" t="s">
        <v>391</v>
      </c>
      <c r="H67" s="15" t="s">
        <v>1827</v>
      </c>
      <c r="I67" s="15" t="b">
        <v>1</v>
      </c>
      <c r="K67" s="15" t="b">
        <v>1</v>
      </c>
      <c r="L67" s="85" t="s">
        <v>393</v>
      </c>
      <c r="N67" s="15" t="s">
        <v>392</v>
      </c>
      <c r="O67" s="15" t="s">
        <v>336</v>
      </c>
      <c r="Y67" s="15" t="s">
        <v>1866</v>
      </c>
      <c r="AR67" s="28" t="b">
        <f t="shared" si="292"/>
        <v>1</v>
      </c>
      <c r="AS67" s="29" t="str">
        <f t="shared" si="200"/>
        <v>title: "Assumption Seminary"</v>
      </c>
      <c r="AT67" s="29" t="str">
        <f t="shared" si="293"/>
        <v>location: {lat: 29.454204, lng: -98.54519}</v>
      </c>
      <c r="AU67" s="29" t="str">
        <f t="shared" si="201"/>
        <v>level: local</v>
      </c>
      <c r="AV67" s="29" t="str">
        <f>"- "&amp;VLOOKUP(B67,'(Ref) Countries'!A:C,3,)</f>
        <v>- usa
- texas</v>
      </c>
      <c r="AW67" s="29" t="str">
        <f t="shared" si="294"/>
        <v>- san-antonio</v>
      </c>
      <c r="AX67" s="29" t="str">
        <f t="shared" si="295"/>
        <v>- churches</v>
      </c>
      <c r="AY67" s="29" t="str">
        <f t="shared" si="296"/>
        <v/>
      </c>
      <c r="AZ67" s="29" t="str">
        <f t="shared" si="297"/>
        <v>- holy-persons</v>
      </c>
      <c r="BA67" s="29" t="str">
        <f t="shared" ref="BA67" si="323">IF(LEN(Y67)&gt;0,"- "&amp;Y67,"")</f>
        <v>- stanley-rother</v>
      </c>
      <c r="BB67" s="29" t="str">
        <f t="shared" ref="BB67" si="324">IF(LEN(Z67)&gt;0,"- "&amp;Z67,"")</f>
        <v/>
      </c>
      <c r="BC67" s="29" t="str">
        <f t="shared" ref="BC67" si="325">IF(LEN(AA67)&gt;0,"- "&amp;AA67,"")</f>
        <v/>
      </c>
      <c r="BD67" s="29" t="str">
        <f t="shared" ref="BD67" si="326">IF(LEN(AB67)&gt;0,"- "&amp;AB67,"")</f>
        <v/>
      </c>
      <c r="BE67" s="29" t="str">
        <f t="shared" ref="BE67" si="327">IF(LEN(AC67)&gt;0,"- "&amp;AC67,"")</f>
        <v/>
      </c>
      <c r="BF67" s="29" t="str">
        <f t="shared" ref="BF67" si="328">IF(LEN(AD67)&gt;0,"- "&amp;AD67,"")</f>
        <v/>
      </c>
      <c r="BG67" s="29" t="str">
        <f t="shared" ref="BG67" si="329">IF(LEN(AE67)&gt;0,"- "&amp;AE67,"")</f>
        <v/>
      </c>
      <c r="BH67" s="29" t="str">
        <f t="shared" ref="BH67" si="330">IF(LEN(AF67)&gt;0,"- "&amp;AF67,"")</f>
        <v/>
      </c>
      <c r="BI67" s="29" t="str">
        <f t="shared" ref="BI67" si="331">IF(LEN(AG67)&gt;0,"- "&amp;AG67,"")</f>
        <v/>
      </c>
      <c r="BJ67" s="29" t="str">
        <f t="shared" ref="BJ67" si="332">IF(LEN(AH67)&gt;0,"- "&amp;AH67,"")</f>
        <v/>
      </c>
      <c r="BK67" s="29" t="str">
        <f t="shared" ref="BK67" si="333">"tags:"&amp;CHAR(10)&amp;concatl(AV67:BJ67)</f>
        <v xml:space="preserve">tags:
- usa
- texas_x000D_
- san-antonio_x000D_
- churches_x000D_
- holy-persons_x000D_
- stanley-rother_x000D_
</v>
      </c>
      <c r="BL67" s="29" t="str">
        <f t="shared" si="309"/>
        <v>[Official site](https://assumptionseminary.org/)</v>
      </c>
      <c r="BM67" s="29" t="str">
        <f t="shared" si="310"/>
        <v/>
      </c>
      <c r="BN67" s="29" t="str">
        <f t="shared" si="311"/>
        <v/>
      </c>
      <c r="BO67" s="29" t="str">
        <f t="shared" si="312"/>
        <v/>
      </c>
      <c r="BP67" s="29" t="str">
        <f t="shared" ref="BP67" si="334">IF(LEN(BL67)&gt;0,"* "&amp;BL67&amp;CHAR(10),"")&amp;
IF(LEN(BM67)&gt;0,"* "&amp;BM67&amp;CHAR(10),"")&amp;
IF(LEN(BN67)&gt;0,"* "&amp;BN67&amp;CHAR(10),"")&amp;
IF(LEN(BO67)&gt;0,"* "&amp;BO67&amp;CHAR(10),"")</f>
        <v xml:space="preserve">* [Official site](https://assumptionseminary.org/)
</v>
      </c>
      <c r="BQ67" s="29" t="str">
        <f t="shared" si="314"/>
        <v/>
      </c>
      <c r="BR67" s="29" t="str">
        <f t="shared" si="315"/>
        <v/>
      </c>
      <c r="BS67" s="29" t="str">
        <f t="shared" si="316"/>
        <v/>
      </c>
      <c r="BT67" s="29" t="str">
        <f>IF(LEN(_xludf.concat(BQ67:BS67))&gt;0,_xludf.concat("| ",BQ67," | ",BR67," | ",BS67," |"),"")</f>
        <v/>
      </c>
      <c r="BU67" s="29" t="str">
        <f t="shared" si="317"/>
        <v/>
      </c>
      <c r="BV67" s="29" t="str">
        <f>IF(LEN(BP67&amp;BU67)&gt;0,concatll("#### More Information",BP67,BU67),"")</f>
        <v xml:space="preserve">#### More Information_x000D_
_x000D_
* [Official site](https://assumptionseminary.org/)
_x000D_
_x000D_
</v>
      </c>
      <c r="BW67" s="29" t="str">
        <f>IF(LEN(M67)&gt;1,concatll("#### Author's Note",M67),"")</f>
        <v/>
      </c>
      <c r="BX67" s="23" t="str">
        <f>IF(AR67,concatll(concatl("---",AS67:AU67,BK67,"---"),L67,BV67:BW67),"")</f>
        <v xml:space="preserve">---_x000D_
title: "Assumption Seminary"_x000D_
location: {lat: 29.454204, lng: -98.54519}_x000D_
level: local_x000D_
tags:
- usa
- texas_x000D_
- san-antonio_x000D_
- churches_x000D_
- holy-persons_x000D_
- stanley-rother_x000D_
_x000D_
---_x000D_
_x000D_
_x000D_
Bl. Stanley Rother was accepted as a seminarian and began his studies at Assumption Seminary._x000D_
_x000D_
#### More Information_x000D_
_x000D_
* [Official site](https://assumptionseminary.org/)
_x000D_
_x000D_
_x000D_
_x000D_
</v>
      </c>
      <c r="BY67" s="31" t="str">
        <f>IF(AR67,VLOOKUP(B67,'(Ref) Countries'!A:B,2,)&amp;IF(LEN(C67)&gt;1,"-"&amp;LOWER(SUBSTITUTE(C67," ","-")),"")&amp;"-"&amp;LOWER(SUBSTITUTE(G67," ","-"))&amp;".md","")</f>
        <v>us_tx-san-antonio-assumption-seminary.md</v>
      </c>
      <c r="BZ67" s="29" t="str">
        <f>IF(LEN(Y67)&gt;1,VLOOKUP(Y67,'Tag List'!$A:$B,2,),"")</f>
        <v>Bl. Stanley Rother</v>
      </c>
      <c r="CA67" s="29" t="str">
        <f>IF(LEN(Z67)&gt;1,VLOOKUP(Z67,'Tag List'!$A:$B,2,),"")</f>
        <v/>
      </c>
      <c r="CB67" s="29" t="str">
        <f>IF(LEN(AA67)&gt;1,VLOOKUP(AA67,'Tag List'!$A:$B,2,),"")</f>
        <v/>
      </c>
      <c r="CC67" s="29" t="str">
        <f>IF(LEN(Y67)&gt;1,GetTagPage(BZ67,Y67),"")</f>
        <v>[Bl. Stanley Rother](/tags/stanley-rother)</v>
      </c>
      <c r="CD67" s="29" t="str">
        <f>IF(LEN(Z67)&gt;1,GetTagPage(CA67,Z67),"")</f>
        <v/>
      </c>
      <c r="CE67" s="29" t="str">
        <f>IF(LEN(AA67)&gt;1,GetTagPage(CB67,AA67),"")</f>
        <v/>
      </c>
      <c r="CF67" s="29" t="str">
        <f t="shared" ref="CF67" si="335">"|"&amp;IF(LEN(CC67)&gt;1," "&amp;CC67,"")&amp;IF(LEN(CD67)&gt;1,", "&amp;CD67,"")&amp;IF(LEN(CE67)&gt;1,", "&amp;CE67,"")&amp;" "</f>
        <v xml:space="preserve">| [Bl. Stanley Rother](/tags/stanley-rother) </v>
      </c>
      <c r="CG67" s="29" t="str">
        <f t="shared" si="319"/>
        <v xml:space="preserve">| [](/places/us_tx-san-antonio-assumption-seminary) </v>
      </c>
      <c r="CH67" s="29" t="str">
        <f>"| "&amp;IF(AR67,GetTagPage(B67,VLOOKUP(B67,'(Ref) Countries'!A:C,3,)),B67)&amp; " "</f>
        <v xml:space="preserve">| [US Texas](/tags/usa
- texas) </v>
      </c>
      <c r="CI67" s="29" t="str">
        <f t="shared" si="320"/>
        <v xml:space="preserve">|  </v>
      </c>
      <c r="CJ67" s="29" t="str">
        <f t="shared" ref="CJ67" si="336">"|"&amp;IF(AR67," [Link](/places/"&amp;SUBSTITUTE(BY67,".md","")&amp;")","")&amp;" "</f>
        <v xml:space="preserve">| [Link](/places/us_tx-san-antonio-assumption-seminary) </v>
      </c>
      <c r="CK67" s="29" t="str">
        <f t="shared" ref="CK67" si="337">"
"&amp;CG67&amp;CH67&amp;CI67&amp;CJ67&amp;BL67&amp;BQ67&amp;BR67&amp;BS67&amp;CF67&amp;"|"</f>
        <v xml:space="preserve">
| [](/places/us_tx-san-antonio-assumption-seminary) | [US Texas](/tags/usa
- texas) |  | [Link](/places/us_tx-san-antonio-assumption-seminary) [Official site](https://assumptionseminary.org/)| [Bl. Stanley Rother](/tags/stanley-rother) |</v>
      </c>
    </row>
    <row r="68" spans="1:89" ht="24.9" x14ac:dyDescent="0.4">
      <c r="A68" s="14" t="s">
        <v>1320</v>
      </c>
      <c r="B68" s="85" t="s">
        <v>1939</v>
      </c>
      <c r="C68" s="93" t="s">
        <v>2027</v>
      </c>
      <c r="D68" s="15">
        <v>35.6856315</v>
      </c>
      <c r="E68" s="49">
        <v>-105.93765930000001</v>
      </c>
      <c r="F68" s="24" t="s">
        <v>2028</v>
      </c>
      <c r="G68" s="92" t="s">
        <v>2029</v>
      </c>
      <c r="H68" s="93" t="s">
        <v>1760</v>
      </c>
      <c r="I68" s="15" t="b">
        <v>1</v>
      </c>
      <c r="K68" s="15" t="b">
        <v>1</v>
      </c>
      <c r="L68" s="85" t="s">
        <v>2030</v>
      </c>
      <c r="N68" s="15" t="s">
        <v>2031</v>
      </c>
      <c r="O68" s="15" t="s">
        <v>336</v>
      </c>
      <c r="P68" s="108" t="s">
        <v>2160</v>
      </c>
      <c r="Q68" s="15" t="s">
        <v>2032</v>
      </c>
      <c r="R68" s="95" t="s">
        <v>336</v>
      </c>
      <c r="Y68" s="93" t="s">
        <v>2033</v>
      </c>
      <c r="AR68" s="28" t="b">
        <f t="shared" si="292"/>
        <v>1</v>
      </c>
      <c r="AS68" s="29" t="str">
        <f t="shared" si="200"/>
        <v>title: "Loretto Chapel, Santa Fe, NM"</v>
      </c>
      <c r="AT68" s="29" t="str">
        <f t="shared" si="293"/>
        <v>location: {lat: 35.6856315, lng: -105.9376593}</v>
      </c>
      <c r="AU68" s="29" t="str">
        <f t="shared" si="201"/>
        <v>level: regional</v>
      </c>
      <c r="AV68" s="29" t="str">
        <f>"- "&amp;VLOOKUP(B68,'(Ref) Countries'!A:C,3,)</f>
        <v>- usa
- new-mexico</v>
      </c>
      <c r="AW68" s="29" t="str">
        <f t="shared" si="294"/>
        <v>- santa-fe</v>
      </c>
      <c r="AX68" s="29" t="str">
        <f t="shared" si="295"/>
        <v>- churches</v>
      </c>
      <c r="AY68" s="29" t="str">
        <f t="shared" si="296"/>
        <v/>
      </c>
      <c r="AZ68" s="29" t="str">
        <f t="shared" si="297"/>
        <v>- holy-persons</v>
      </c>
      <c r="BA68" s="29" t="str">
        <f t="shared" ref="BA68" si="338">IF(LEN(Y68)&gt;0,"- "&amp;Y68,"")</f>
        <v>- joseph</v>
      </c>
      <c r="BB68" s="29" t="str">
        <f t="shared" ref="BB68" si="339">IF(LEN(Z68)&gt;0,"- "&amp;Z68,"")</f>
        <v/>
      </c>
      <c r="BC68" s="29" t="str">
        <f t="shared" ref="BC68" si="340">IF(LEN(AA68)&gt;0,"- "&amp;AA68,"")</f>
        <v/>
      </c>
      <c r="BD68" s="29" t="str">
        <f t="shared" ref="BD68" si="341">IF(LEN(AB68)&gt;0,"- "&amp;AB68,"")</f>
        <v/>
      </c>
      <c r="BE68" s="29" t="str">
        <f t="shared" ref="BE68" si="342">IF(LEN(AC68)&gt;0,"- "&amp;AC68,"")</f>
        <v/>
      </c>
      <c r="BF68" s="29" t="str">
        <f t="shared" ref="BF68" si="343">IF(LEN(AD68)&gt;0,"- "&amp;AD68,"")</f>
        <v/>
      </c>
      <c r="BG68" s="29" t="str">
        <f t="shared" ref="BG68" si="344">IF(LEN(AE68)&gt;0,"- "&amp;AE68,"")</f>
        <v/>
      </c>
      <c r="BH68" s="29" t="str">
        <f t="shared" ref="BH68" si="345">IF(LEN(AF68)&gt;0,"- "&amp;AF68,"")</f>
        <v/>
      </c>
      <c r="BI68" s="29" t="str">
        <f t="shared" ref="BI68" si="346">IF(LEN(AG68)&gt;0,"- "&amp;AG68,"")</f>
        <v/>
      </c>
      <c r="BJ68" s="29" t="str">
        <f t="shared" ref="BJ68" si="347">IF(LEN(AH68)&gt;0,"- "&amp;AH68,"")</f>
        <v/>
      </c>
      <c r="BK68" s="29" t="str">
        <f t="shared" ref="BK68" si="348">"tags:"&amp;CHAR(10)&amp;concatl(AV68:BJ68)</f>
        <v xml:space="preserve">tags:
- usa
- new-mexico_x000D_
- santa-fe_x000D_
- churches_x000D_
- holy-persons_x000D_
- joseph_x000D_
</v>
      </c>
      <c r="BL68" s="29" t="str">
        <f t="shared" si="309"/>
        <v>[Official site](https://www.lorettochapel.com)</v>
      </c>
      <c r="BM68" s="29" t="str">
        <f t="shared" si="310"/>
        <v>[Story of the staircase on the podcast *That's the Word*](https://thunderrock.org/story-extras/the-spiral-architect)</v>
      </c>
      <c r="BN68" s="29" t="str">
        <f t="shared" si="311"/>
        <v/>
      </c>
      <c r="BO68" s="29" t="str">
        <f t="shared" si="312"/>
        <v/>
      </c>
      <c r="BP68" s="29" t="str">
        <f t="shared" ref="BP68" si="349">IF(LEN(BL68)&gt;0,"* "&amp;BL68&amp;CHAR(10),"")&amp;
IF(LEN(BM68)&gt;0,"* "&amp;BM68&amp;CHAR(10),"")&amp;
IF(LEN(BN68)&gt;0,"* "&amp;BN68&amp;CHAR(10),"")&amp;
IF(LEN(BO68)&gt;0,"* "&amp;BO68&amp;CHAR(10),"")</f>
        <v xml:space="preserve">* [Official site](https://www.lorettochapel.com)
* [Story of the staircase on the podcast *That's the Word*](https://thunderrock.org/story-extras/the-spiral-architect)
</v>
      </c>
      <c r="BQ68" s="29" t="str">
        <f t="shared" si="314"/>
        <v/>
      </c>
      <c r="BR68" s="29" t="str">
        <f t="shared" si="315"/>
        <v/>
      </c>
      <c r="BS68" s="29" t="str">
        <f t="shared" si="316"/>
        <v/>
      </c>
      <c r="BT68" s="29" t="str">
        <f>IF(LEN(_xludf.concat(BQ68:BS68))&gt;0,_xludf.concat("| ",BQ68," | ",BR68," | ",BS68," |"),"")</f>
        <v/>
      </c>
      <c r="BU68" s="29" t="str">
        <f t="shared" si="317"/>
        <v/>
      </c>
      <c r="BV68" s="29" t="str">
        <f>IF(LEN(BP68&amp;BU68)&gt;0,concatll("#### More Information",BP68,BU68),"")</f>
        <v xml:space="preserve">#### More Information_x000D_
_x000D_
* [Official site](https://www.lorettochapel.com)
* [Story of the staircase on the podcast *That's the Word*](https://thunderrock.org/story-extras/the-spiral-architect)
_x000D_
_x000D_
</v>
      </c>
      <c r="BW68" s="29" t="str">
        <f>IF(LEN(M68)&gt;1,concatll("#### Author's Note",M68),"")</f>
        <v/>
      </c>
      <c r="BX68" s="23" t="str">
        <f>IF(AR68,concatll(concatl("---",AS68:AU68,BK68,"---"),L68,BV68:BW68),"")</f>
        <v xml:space="preserve">---_x000D_
title: "Loretto Chapel, Santa Fe, NM"_x000D_
location: {lat: 35.6856315, lng: -105.9376593}_x000D_
level: regional_x000D_
tags:
- usa
- new-mexico_x000D_
- santa-fe_x000D_
- churches_x000D_
- holy-persons_x000D_
- joseph_x000D_
_x000D_
---_x000D_
_x000D_
_x000D_
According to tradition, when the architect failed to provide a way to get to the new choir loft, the architecturally-impressive spiral staircase was built by St. Joseph himself._x000D_
_x000D_
#### More Information_x000D_
_x000D_
* [Official site](https://www.lorettochapel.com)
* [Story of the staircase on the podcast *That's the Word*](https://thunderrock.org/story-extras/the-spiral-architect)
_x000D_
_x000D_
_x000D_
_x000D_
</v>
      </c>
      <c r="BY68" s="31" t="str">
        <f>IF(AR68,VLOOKUP(B68,'(Ref) Countries'!A:B,2,)&amp;IF(LEN(C68)&gt;1,"-"&amp;LOWER(SUBSTITUTE(C68," ","-")),"")&amp;"-"&amp;LOWER(SUBSTITUTE(G68," ","-"))&amp;".md","")</f>
        <v>us_nm-santa-fe-loretto-chapel.md</v>
      </c>
      <c r="BZ68" s="29" t="str">
        <f>IF(LEN(Y68)&gt;1,VLOOKUP(Y68,'Tag List'!$A:$B,2,),"")</f>
        <v>St. Joseph</v>
      </c>
      <c r="CA68" s="29" t="str">
        <f>IF(LEN(Z68)&gt;1,VLOOKUP(Z68,'Tag List'!$A:$B,2,),"")</f>
        <v/>
      </c>
      <c r="CB68" s="29" t="str">
        <f>IF(LEN(AA68)&gt;1,VLOOKUP(AA68,'Tag List'!$A:$B,2,),"")</f>
        <v/>
      </c>
      <c r="CC68" s="29" t="str">
        <f>IF(LEN(Y68)&gt;1,GetTagPage(BZ68,Y68),"")</f>
        <v>[St. Joseph](/tags/joseph)</v>
      </c>
      <c r="CD68" s="29" t="str">
        <f>IF(LEN(Z68)&gt;1,GetTagPage(CA68,Z68),"")</f>
        <v/>
      </c>
      <c r="CE68" s="29" t="str">
        <f>IF(LEN(AA68)&gt;1,GetTagPage(CB68,AA68),"")</f>
        <v/>
      </c>
      <c r="CF68" s="29" t="str">
        <f t="shared" ref="CF68" si="350">"|"&amp;IF(LEN(CC68)&gt;1," "&amp;CC68,"")&amp;IF(LEN(CD68)&gt;1,", "&amp;CD68,"")&amp;IF(LEN(CE68)&gt;1,", "&amp;CE68,"")&amp;" "</f>
        <v xml:space="preserve">| [St. Joseph](/tags/joseph) </v>
      </c>
      <c r="CG68" s="29" t="str">
        <f t="shared" si="319"/>
        <v xml:space="preserve">| [](/places/us_nm-santa-fe-loretto-chapel) </v>
      </c>
      <c r="CH68" s="29" t="str">
        <f>"| "&amp;IF(AR68,GetTagPage(B68,VLOOKUP(B68,'(Ref) Countries'!A:C,3,)),B68)&amp; " "</f>
        <v xml:space="preserve">| [US New Mexico](/tags/usa
- new-mexico) </v>
      </c>
      <c r="CI68" s="29" t="str">
        <f t="shared" si="320"/>
        <v xml:space="preserve">|  </v>
      </c>
      <c r="CJ68" s="29" t="str">
        <f t="shared" ref="CJ68" si="351">"|"&amp;IF(AR68," [Link](/places/"&amp;SUBSTITUTE(BY68,".md","")&amp;")","")&amp;" "</f>
        <v xml:space="preserve">| [Link](/places/us_nm-santa-fe-loretto-chapel) </v>
      </c>
      <c r="CK68" s="29" t="str">
        <f t="shared" ref="CK68" si="352">"
"&amp;CG68&amp;CH68&amp;CI68&amp;CJ68&amp;BL68&amp;BQ68&amp;BR68&amp;BS68&amp;CF68&amp;"|"</f>
        <v xml:space="preserve">
| [](/places/us_nm-santa-fe-loretto-chapel) | [US New Mexico](/tags/usa
- new-mexico) |  | [Link](/places/us_nm-santa-fe-loretto-chapel) [Official site](https://www.lorettochapel.com)| [St. Joseph](/tags/joseph) |</v>
      </c>
    </row>
    <row r="69" spans="1:89" ht="62.15" x14ac:dyDescent="0.4">
      <c r="A69" s="14" t="s">
        <v>1320</v>
      </c>
      <c r="B69" s="85" t="s">
        <v>1939</v>
      </c>
      <c r="C69" s="93" t="s">
        <v>2027</v>
      </c>
      <c r="D69" s="15">
        <v>35.989201000000001</v>
      </c>
      <c r="E69" s="49">
        <v>-105.93180220000001</v>
      </c>
      <c r="F69" s="24" t="s">
        <v>2039</v>
      </c>
      <c r="G69" s="92" t="s">
        <v>2040</v>
      </c>
      <c r="H69" s="93" t="s">
        <v>1760</v>
      </c>
      <c r="I69" s="15" t="b">
        <v>1</v>
      </c>
      <c r="L69" s="85" t="s">
        <v>2035</v>
      </c>
      <c r="O69" s="15" t="s">
        <v>336</v>
      </c>
      <c r="P69" s="97" t="s">
        <v>2037</v>
      </c>
      <c r="Q69" s="15" t="s">
        <v>2036</v>
      </c>
      <c r="R69" s="95" t="s">
        <v>336</v>
      </c>
      <c r="S69" s="108" t="s">
        <v>2161</v>
      </c>
      <c r="T69" s="15" t="s">
        <v>2038</v>
      </c>
      <c r="U69" s="95" t="s">
        <v>336</v>
      </c>
      <c r="Y69" s="93"/>
      <c r="AR69" s="28" t="b">
        <f t="shared" si="292"/>
        <v>1</v>
      </c>
      <c r="AS69" s="29" t="str">
        <f t="shared" si="200"/>
        <v>title: "Sanctuary of Chimayo (Santuario de Chimayo)"</v>
      </c>
      <c r="AT69" s="29" t="str">
        <f t="shared" si="293"/>
        <v>location: {lat: 35.989201, lng: -105.9318022}</v>
      </c>
      <c r="AU69" s="29" t="str">
        <f t="shared" si="201"/>
        <v>level: regional</v>
      </c>
      <c r="AV69" s="29" t="str">
        <f>"- "&amp;VLOOKUP(B69,'(Ref) Countries'!A:C,3,)</f>
        <v>- usa
- new-mexico</v>
      </c>
      <c r="AW69" s="29" t="str">
        <f t="shared" si="294"/>
        <v>- santa-fe</v>
      </c>
      <c r="AX69" s="29" t="str">
        <f t="shared" si="295"/>
        <v>- churches</v>
      </c>
      <c r="AY69" s="29" t="str">
        <f t="shared" si="296"/>
        <v/>
      </c>
      <c r="AZ69" s="29" t="str">
        <f t="shared" si="297"/>
        <v/>
      </c>
      <c r="BA69" s="29" t="str">
        <f t="shared" ref="BA69" si="353">IF(LEN(Y69)&gt;0,"- "&amp;Y69,"")</f>
        <v/>
      </c>
      <c r="BB69" s="29" t="str">
        <f t="shared" ref="BB69" si="354">IF(LEN(Z69)&gt;0,"- "&amp;Z69,"")</f>
        <v/>
      </c>
      <c r="BC69" s="29" t="str">
        <f t="shared" ref="BC69" si="355">IF(LEN(AA69)&gt;0,"- "&amp;AA69,"")</f>
        <v/>
      </c>
      <c r="BD69" s="29" t="str">
        <f t="shared" ref="BD69" si="356">IF(LEN(AB69)&gt;0,"- "&amp;AB69,"")</f>
        <v/>
      </c>
      <c r="BE69" s="29" t="str">
        <f t="shared" ref="BE69" si="357">IF(LEN(AC69)&gt;0,"- "&amp;AC69,"")</f>
        <v/>
      </c>
      <c r="BF69" s="29" t="str">
        <f t="shared" ref="BF69" si="358">IF(LEN(AD69)&gt;0,"- "&amp;AD69,"")</f>
        <v/>
      </c>
      <c r="BG69" s="29" t="str">
        <f t="shared" ref="BG69" si="359">IF(LEN(AE69)&gt;0,"- "&amp;AE69,"")</f>
        <v/>
      </c>
      <c r="BH69" s="29" t="str">
        <f t="shared" ref="BH69" si="360">IF(LEN(AF69)&gt;0,"- "&amp;AF69,"")</f>
        <v/>
      </c>
      <c r="BI69" s="29" t="str">
        <f t="shared" ref="BI69" si="361">IF(LEN(AG69)&gt;0,"- "&amp;AG69,"")</f>
        <v/>
      </c>
      <c r="BJ69" s="29" t="str">
        <f t="shared" ref="BJ69" si="362">IF(LEN(AH69)&gt;0,"- "&amp;AH69,"")</f>
        <v/>
      </c>
      <c r="BK69" s="29" t="str">
        <f t="shared" ref="BK69" si="363">"tags:"&amp;CHAR(10)&amp;concatl(AV69:BJ69)</f>
        <v xml:space="preserve">tags:
- usa
- new-mexico_x000D_
- santa-fe_x000D_
- churches_x000D_
</v>
      </c>
      <c r="BL69" s="29" t="str">
        <f t="shared" si="309"/>
        <v/>
      </c>
      <c r="BM69" s="29" t="str">
        <f t="shared" si="310"/>
        <v>[Article from Catholic World Report](https://www.catholicworldreport.com/2023/04/07/visiting-el-santuario-de-chimayo-the-most-popular-pilgrimage-site-in-america/)</v>
      </c>
      <c r="BN69" s="29" t="str">
        <f t="shared" si="311"/>
        <v>[Story of the shrine on the podcast *That's the Word*](https://thunderrock.org/story-extras/take-the-hint)</v>
      </c>
      <c r="BO69" s="29" t="str">
        <f t="shared" si="312"/>
        <v/>
      </c>
      <c r="BP69" s="29" t="str">
        <f t="shared" ref="BP69" si="364">IF(LEN(BL69)&gt;0,"* "&amp;BL69&amp;CHAR(10),"")&amp;
IF(LEN(BM69)&gt;0,"* "&amp;BM69&amp;CHAR(10),"")&amp;
IF(LEN(BN69)&gt;0,"* "&amp;BN69&amp;CHAR(10),"")&amp;
IF(LEN(BO69)&gt;0,"* "&amp;BO69&amp;CHAR(10),"")</f>
        <v xml:space="preserve">* [Article from Catholic World Report](https://www.catholicworldreport.com/2023/04/07/visiting-el-santuario-de-chimayo-the-most-popular-pilgrimage-site-in-america/)
* [Story of the shrine on the podcast *That's the Word*](https://thunderrock.org/story-extras/take-the-hint)
</v>
      </c>
      <c r="BQ69" s="29" t="str">
        <f t="shared" si="314"/>
        <v/>
      </c>
      <c r="BR69" s="29" t="str">
        <f t="shared" si="315"/>
        <v/>
      </c>
      <c r="BS69" s="29" t="str">
        <f t="shared" si="316"/>
        <v/>
      </c>
      <c r="BT69" s="29" t="str">
        <f>IF(LEN(_xludf.concat(BQ69:BS69))&gt;0,_xludf.concat("| ",BQ69," | ",BR69," | ",BS69," |"),"")</f>
        <v/>
      </c>
      <c r="BU69" s="29" t="str">
        <f t="shared" si="317"/>
        <v/>
      </c>
      <c r="BV69" s="29" t="str">
        <f>IF(LEN(BP69&amp;BU69)&gt;0,concatll("#### More Information",BP69,BU69),"")</f>
        <v xml:space="preserve">####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v>
      </c>
      <c r="BW69" s="29" t="str">
        <f>IF(LEN(M69)&gt;1,concatll("#### Author's Note",M69),"")</f>
        <v/>
      </c>
      <c r="BX69" s="23" t="str">
        <f>IF(AR69,concatll(concatl("---",AS69:AU69,BK69,"---"),L69,BV69:BW69),"")</f>
        <v xml:space="preserve">---_x000D_
title: "Sanctuary of Chimayo (Santuario de Chimayo)"_x000D_
location: {lat: 35.989201, lng: -105.9318022}_x000D_
level: regional_x000D_
tags:
- usa
- new-mexico_x000D_
- santa-fe_x000D_
- churches_x000D_
_x000D_
---_x000D_
_x000D_
_x000D_
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States._x000D_
_x000D_
####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_x000D_
_x000D_
</v>
      </c>
      <c r="BY69" s="31" t="str">
        <f>IF(AR69,VLOOKUP(B69,'(Ref) Countries'!A:B,2,)&amp;IF(LEN(C69)&gt;1,"-"&amp;LOWER(SUBSTITUTE(C69," ","-")),"")&amp;"-"&amp;LOWER(SUBSTITUTE(G69," ","-"))&amp;".md","")</f>
        <v>us_nm-santa-fe-santuario-de-chimayo.md</v>
      </c>
      <c r="BZ69" s="29" t="str">
        <f>IF(LEN(Y69)&gt;1,VLOOKUP(Y69,'Tag List'!$A:$B,2,),"")</f>
        <v/>
      </c>
      <c r="CA69" s="29" t="str">
        <f>IF(LEN(Z69)&gt;1,VLOOKUP(Z69,'Tag List'!$A:$B,2,),"")</f>
        <v/>
      </c>
      <c r="CB69" s="29" t="str">
        <f>IF(LEN(AA69)&gt;1,VLOOKUP(AA69,'Tag List'!$A:$B,2,),"")</f>
        <v/>
      </c>
      <c r="CC69" s="29" t="str">
        <f>IF(LEN(Y69)&gt;1,GetTagPage(BZ69,Y69),"")</f>
        <v/>
      </c>
      <c r="CD69" s="29" t="str">
        <f>IF(LEN(Z69)&gt;1,GetTagPage(CA69,Z69),"")</f>
        <v/>
      </c>
      <c r="CE69" s="29" t="str">
        <f>IF(LEN(AA69)&gt;1,GetTagPage(CB69,AA69),"")</f>
        <v/>
      </c>
      <c r="CF69" s="29" t="str">
        <f t="shared" ref="CF69" si="365">"|"&amp;IF(LEN(CC69)&gt;1," "&amp;CC69,"")&amp;IF(LEN(CD69)&gt;1,", "&amp;CD69,"")&amp;IF(LEN(CE69)&gt;1,", "&amp;CE69,"")&amp;" "</f>
        <v xml:space="preserve">| </v>
      </c>
      <c r="CG69" s="29" t="str">
        <f t="shared" si="319"/>
        <v xml:space="preserve">| [](/places/us_nm-santa-fe-santuario-de-chimayo) </v>
      </c>
      <c r="CH69" s="29" t="str">
        <f>"| "&amp;IF(AR69,GetTagPage(B69,VLOOKUP(B69,'(Ref) Countries'!A:C,3,)),B69)&amp; " "</f>
        <v xml:space="preserve">| [US New Mexico](/tags/usa
- new-mexico) </v>
      </c>
      <c r="CI69" s="29" t="str">
        <f t="shared" si="320"/>
        <v xml:space="preserve">|  </v>
      </c>
      <c r="CJ69" s="29" t="str">
        <f t="shared" ref="CJ69" si="366">"|"&amp;IF(AR69," [Link](/places/"&amp;SUBSTITUTE(BY69,".md","")&amp;")","")&amp;" "</f>
        <v xml:space="preserve">| [Link](/places/us_nm-santa-fe-santuario-de-chimayo) </v>
      </c>
      <c r="CK69" s="29" t="str">
        <f t="shared" ref="CK69" si="367">"
"&amp;CG69&amp;CH69&amp;CI69&amp;CJ69&amp;BL69&amp;BQ69&amp;BR69&amp;BS69&amp;CF69&amp;"|"</f>
        <v xml:space="preserve">
| [](/places/us_nm-santa-fe-santuario-de-chimayo) | [US New Mexico](/tags/usa
- new-mexico) |  | [Link](/places/us_nm-santa-fe-santuario-de-chimayo) | |</v>
      </c>
    </row>
    <row r="70" spans="1:89" ht="37.299999999999997" x14ac:dyDescent="0.4">
      <c r="A70" s="14" t="s">
        <v>1320</v>
      </c>
      <c r="B70" s="85" t="s">
        <v>1940</v>
      </c>
      <c r="D70" s="15">
        <v>42.9249911</v>
      </c>
      <c r="E70" s="49">
        <v>-74.302249200000006</v>
      </c>
      <c r="F70" s="85" t="s">
        <v>2053</v>
      </c>
      <c r="G70" s="53" t="s">
        <v>2041</v>
      </c>
      <c r="H70" s="15" t="s">
        <v>1760</v>
      </c>
      <c r="I70" s="15" t="b">
        <v>1</v>
      </c>
      <c r="K70" s="15" t="b">
        <v>1</v>
      </c>
      <c r="L70" s="85" t="s">
        <v>2051</v>
      </c>
      <c r="N70" s="15" t="s">
        <v>2054</v>
      </c>
      <c r="O70" s="15" t="s">
        <v>336</v>
      </c>
      <c r="P70" s="60" t="s">
        <v>2037</v>
      </c>
      <c r="Q70" s="15" t="s">
        <v>2036</v>
      </c>
      <c r="R70" s="64" t="s">
        <v>336</v>
      </c>
      <c r="S70" s="108" t="s">
        <v>2161</v>
      </c>
      <c r="T70" s="15" t="s">
        <v>2038</v>
      </c>
      <c r="U70" s="64" t="s">
        <v>336</v>
      </c>
      <c r="Y70" s="93" t="s">
        <v>2047</v>
      </c>
      <c r="Z70" s="15" t="s">
        <v>2042</v>
      </c>
      <c r="AA70" s="15" t="s">
        <v>2043</v>
      </c>
      <c r="AB70" s="15" t="s">
        <v>2044</v>
      </c>
      <c r="AC70" s="93" t="s">
        <v>2052</v>
      </c>
      <c r="AD70" s="93" t="s">
        <v>2073</v>
      </c>
      <c r="AR70" s="28" t="b">
        <f t="shared" si="292"/>
        <v>1</v>
      </c>
      <c r="AS70" s="29" t="str">
        <f t="shared" si="200"/>
        <v>title: "Shrine of Our Lady of Martyrs (National Shrine of the North American Martyrs)"</v>
      </c>
      <c r="AT70" s="29" t="str">
        <f t="shared" si="293"/>
        <v>location: {lat: 42.9249911, lng: -74.3022492}</v>
      </c>
      <c r="AU70" s="29" t="str">
        <f t="shared" si="201"/>
        <v>level: regional</v>
      </c>
      <c r="AV70" s="29" t="str">
        <f>"- "&amp;VLOOKUP(B70,'(Ref) Countries'!A:C,3,)</f>
        <v>- usa
- new-york</v>
      </c>
      <c r="AW70" s="29" t="str">
        <f t="shared" si="294"/>
        <v/>
      </c>
      <c r="AX70" s="29" t="str">
        <f t="shared" si="295"/>
        <v>- churches</v>
      </c>
      <c r="AY70" s="29" t="str">
        <f t="shared" si="296"/>
        <v/>
      </c>
      <c r="AZ70" s="29" t="str">
        <f t="shared" si="297"/>
        <v>- holy-persons</v>
      </c>
      <c r="BA70" s="29" t="str">
        <f t="shared" ref="BA70" si="368">IF(LEN(Y70)&gt;0,"- "&amp;Y70,"")</f>
        <v>- canadian-martyrs</v>
      </c>
      <c r="BB70" s="29" t="str">
        <f t="shared" ref="BB70" si="369">IF(LEN(Z70)&gt;0,"- "&amp;Z70,"")</f>
        <v>- kateri-tekakwitha</v>
      </c>
      <c r="BC70" s="29" t="str">
        <f t="shared" ref="BC70" si="370">IF(LEN(AA70)&gt;0,"- "&amp;AA70,"")</f>
        <v>- isaac-jogues</v>
      </c>
      <c r="BD70" s="29" t="str">
        <f t="shared" ref="BD70" si="371">IF(LEN(AB70)&gt;0,"- "&amp;AB70,"")</f>
        <v>- rene-goupil</v>
      </c>
      <c r="BE70" s="29" t="str">
        <f t="shared" ref="BE70" si="372">IF(LEN(AC70)&gt;0,"- "&amp;AC70,"")</f>
        <v>- jean-de-lalande</v>
      </c>
      <c r="BF70" s="29" t="str">
        <f t="shared" ref="BF70" si="373">IF(LEN(AD70)&gt;0,"- "&amp;AD70,"")</f>
        <v>- jesuits</v>
      </c>
      <c r="BG70" s="29" t="str">
        <f t="shared" ref="BG70" si="374">IF(LEN(AE70)&gt;0,"- "&amp;AE70,"")</f>
        <v/>
      </c>
      <c r="BH70" s="29" t="str">
        <f t="shared" ref="BH70" si="375">IF(LEN(AF70)&gt;0,"- "&amp;AF70,"")</f>
        <v/>
      </c>
      <c r="BI70" s="29" t="str">
        <f t="shared" ref="BI70" si="376">IF(LEN(AG70)&gt;0,"- "&amp;AG70,"")</f>
        <v/>
      </c>
      <c r="BJ70" s="29" t="str">
        <f t="shared" ref="BJ70" si="377">IF(LEN(AH70)&gt;0,"- "&amp;AH70,"")</f>
        <v/>
      </c>
      <c r="BK70" s="29" t="str">
        <f t="shared" ref="BK70" si="378">"tags:"&amp;CHAR(10)&amp;concatl(AV70:BJ70)</f>
        <v xml:space="preserve">tags:
- usa
- new-york_x000D_
- churches_x000D_
- holy-persons_x000D_
- canadian-martyrs_x000D_
- kateri-tekakwitha_x000D_
- isaac-jogues_x000D_
- rene-goupil_x000D_
- jean-de-lalande_x000D_
- jesuits_x000D_
</v>
      </c>
      <c r="BL70" s="29" t="str">
        <f t="shared" si="309"/>
        <v>[Official site](https://www.ourladyofmartyrsshrine.org/)</v>
      </c>
      <c r="BM70" s="29" t="str">
        <f t="shared" si="310"/>
        <v>[Article from Catholic World Report](https://www.catholicworldreport.com/2023/04/07/visiting-el-santuario-de-chimayo-the-most-popular-pilgrimage-site-in-america/)</v>
      </c>
      <c r="BN70" s="29" t="str">
        <f t="shared" si="311"/>
        <v>[Story of the shrine on the podcast *That's the Word*](https://thunderrock.org/story-extras/take-the-hint)</v>
      </c>
      <c r="BO70" s="29" t="str">
        <f t="shared" si="312"/>
        <v/>
      </c>
      <c r="BP70" s="29" t="str">
        <f t="shared" ref="BP70" si="379">IF(LEN(BL70)&gt;0,"* "&amp;BL70&amp;CHAR(10),"")&amp;
IF(LEN(BM70)&gt;0,"* "&amp;BM70&amp;CHAR(10),"")&amp;
IF(LEN(BN70)&gt;0,"* "&amp;BN70&amp;CHAR(10),"")&amp;
IF(LEN(BO70)&gt;0,"* "&amp;BO70&amp;CHAR(10),"")</f>
        <v xml:space="preserve">* [Official site](https://www.ourladyofmartyrsshrine.org/)
* [Article from Catholic World Report](https://www.catholicworldreport.com/2023/04/07/visiting-el-santuario-de-chimayo-the-most-popular-pilgrimage-site-in-america/)
* [Story of the shrine on the podcast *That's the Word*](https://thunderrock.org/story-extras/take-the-hint)
</v>
      </c>
      <c r="BQ70" s="29" t="str">
        <f t="shared" si="314"/>
        <v/>
      </c>
      <c r="BR70" s="29" t="str">
        <f t="shared" si="315"/>
        <v/>
      </c>
      <c r="BS70" s="29" t="str">
        <f t="shared" si="316"/>
        <v/>
      </c>
      <c r="BT70" s="29" t="str">
        <f>IF(LEN(_xludf.concat(BQ70:BS70))&gt;0,_xludf.concat("| ",BQ70," | ",BR70," | ",BS70," |"),"")</f>
        <v/>
      </c>
      <c r="BU70" s="29" t="str">
        <f t="shared" si="317"/>
        <v/>
      </c>
      <c r="BV70" s="29" t="str">
        <f>IF(LEN(BP70&amp;BU70)&gt;0,concatll("#### More Information",BP70,BU70),"")</f>
        <v xml:space="preserve">####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v>
      </c>
      <c r="BW70" s="29" t="str">
        <f>IF(LEN(M70)&gt;1,concatll("#### Author's Note",M70),"")</f>
        <v/>
      </c>
      <c r="BX70" s="23" t="str">
        <f>IF(AR70,concatll(concatl("---",AS70:AU70,BK70,"---"),L70,BV70:BW70),"")</f>
        <v xml:space="preserve">---_x000D_
title: "Shrine of Our Lady of Martyrs (National Shrine of the North American Martyrs)"_x000D_
location: {lat: 42.9249911, lng: -74.3022492}_x000D_
level: regional_x000D_
tags:
- usa
- new-york_x000D_
- churches_x000D_
- holy-persons_x000D_
- canadian-martyrs_x000D_
- kateri-tekakwitha_x000D_
- isaac-jogues_x000D_
- rene-goupil_x000D_
- jean-de-lalande_x000D_
- jesuits_x000D_
_x000D_
---_x000D_
_x000D_
_x000D_
Built on the site of the Mohawk village of Ossernenon, where Sts. Isaac Jogues, Rene Goupil, and Jean de Lalande were martyred, and where St. Kateri Tekakwitha was born._x000D_
_x000D_
####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_x000D_
_x000D_
</v>
      </c>
      <c r="BY70" s="31" t="str">
        <f>IF(AR70,VLOOKUP(B70,'(Ref) Countries'!A:B,2,)&amp;IF(LEN(C70)&gt;1,"-"&amp;LOWER(SUBSTITUTE(C70," ","-")),"")&amp;"-"&amp;LOWER(SUBSTITUTE(G70," ","-"))&amp;".md","")</f>
        <v>us_ny-shrine-of-our-lady-of-martyrs.md</v>
      </c>
      <c r="BZ70" s="29" t="str">
        <f>IF(LEN(Y70)&gt;1,VLOOKUP(Y70,'Tag List'!$A:$B,2,),"")</f>
        <v>Canadian Martyrs</v>
      </c>
      <c r="CA70" s="29" t="str">
        <f>IF(LEN(Z70)&gt;1,VLOOKUP(Z70,'Tag List'!$A:$B,2,),"")</f>
        <v>St. Kateri Tekakwitha</v>
      </c>
      <c r="CB70" s="29" t="str">
        <f>IF(LEN(AA70)&gt;1,VLOOKUP(AA70,'Tag List'!$A:$B,2,),"")</f>
        <v>St. Isaac Jogues, SJ</v>
      </c>
      <c r="CC70" s="29" t="str">
        <f>IF(LEN(Y70)&gt;1,GetTagPage(BZ70,Y70),"")</f>
        <v>[Canadian Martyrs](/tags/canadian-martyrs)</v>
      </c>
      <c r="CD70" s="29" t="str">
        <f>IF(LEN(Z70)&gt;1,GetTagPage(CA70,Z70),"")</f>
        <v>[St. Kateri Tekakwitha](/tags/kateri-tekakwitha)</v>
      </c>
      <c r="CE70" s="29" t="str">
        <f>IF(LEN(AA70)&gt;1,GetTagPage(CB70,AA70),"")</f>
        <v>[St. Isaac Jogues, SJ](/tags/isaac-jogues)</v>
      </c>
      <c r="CF70" s="29" t="str">
        <f t="shared" ref="CF70" si="380">"|"&amp;IF(LEN(CC70)&gt;1," "&amp;CC70,"")&amp;IF(LEN(CD70)&gt;1,", "&amp;CD70,"")&amp;IF(LEN(CE70)&gt;1,", "&amp;CE70,"")&amp;" "</f>
        <v xml:space="preserve">| [Canadian Martyrs](/tags/canadian-martyrs), [St. Kateri Tekakwitha](/tags/kateri-tekakwitha), [St. Isaac Jogues, SJ](/tags/isaac-jogues) </v>
      </c>
      <c r="CG70" s="29" t="str">
        <f t="shared" si="319"/>
        <v xml:space="preserve">| [](/places/us_ny-shrine-of-our-lady-of-martyrs) </v>
      </c>
      <c r="CH70" s="29" t="str">
        <f>"| "&amp;IF(AR70,GetTagPage(B70,VLOOKUP(B70,'(Ref) Countries'!A:C,3,)),B70)&amp; " "</f>
        <v xml:space="preserve">| [US New York](/tags/usa
- new-york) </v>
      </c>
      <c r="CI70" s="29" t="str">
        <f t="shared" si="320"/>
        <v xml:space="preserve">|  </v>
      </c>
      <c r="CJ70" s="29" t="str">
        <f t="shared" ref="CJ70" si="381">"|"&amp;IF(AR70," [Link](/places/"&amp;SUBSTITUTE(BY70,".md","")&amp;")","")&amp;" "</f>
        <v xml:space="preserve">| [Link](/places/us_ny-shrine-of-our-lady-of-martyrs) </v>
      </c>
      <c r="CK70" s="29" t="str">
        <f t="shared" ref="CK70" si="382">"
"&amp;CG70&amp;CH70&amp;CI70&amp;CJ70&amp;BL70&amp;BQ70&amp;BR70&amp;BS70&amp;CF70&amp;"|"</f>
        <v xml:space="preserve">
| [](/places/us_ny-shrine-of-our-lady-of-martyrs) | [US New York](/tags/usa
- new-york) |  | [Link](/places/us_ny-shrine-of-our-lady-of-martyrs) [Official site](https://www.ourladyofmartyrsshrine.org/)| [Canadian Martyrs](/tags/canadian-martyrs), [St. Kateri Tekakwitha](/tags/kateri-tekakwitha), [St. Isaac Jogues, SJ](/tags/isaac-jogues) |</v>
      </c>
    </row>
    <row r="71" spans="1:89" ht="24.9" x14ac:dyDescent="0.4">
      <c r="A71" s="14" t="s">
        <v>1320</v>
      </c>
      <c r="B71" s="85" t="s">
        <v>1951</v>
      </c>
      <c r="C71" s="93" t="s">
        <v>2055</v>
      </c>
      <c r="D71" s="15">
        <v>32.750999999999998</v>
      </c>
      <c r="E71" s="49">
        <v>-96.8159986</v>
      </c>
      <c r="F71" s="85" t="s">
        <v>2056</v>
      </c>
      <c r="G71" s="92" t="s">
        <v>2057</v>
      </c>
      <c r="H71" s="93" t="s">
        <v>1827</v>
      </c>
      <c r="I71" s="15" t="b">
        <v>1</v>
      </c>
      <c r="L71" s="24" t="s">
        <v>2058</v>
      </c>
      <c r="N71" s="93" t="s">
        <v>2070</v>
      </c>
      <c r="O71" s="96" t="s">
        <v>336</v>
      </c>
      <c r="P71" s="97" t="s">
        <v>2069</v>
      </c>
      <c r="Q71" s="15" t="s">
        <v>2059</v>
      </c>
      <c r="R71" s="95" t="s">
        <v>336</v>
      </c>
      <c r="AR71" s="28" t="b">
        <f t="shared" si="292"/>
        <v>1</v>
      </c>
      <c r="AS71" s="29" t="str">
        <f t="shared" si="200"/>
        <v>title: "Blessed Sacrament Catholic Church, Dallas, TX"</v>
      </c>
      <c r="AT71" s="29" t="str">
        <f t="shared" si="293"/>
        <v>location: {lat: 32.751, lng: -96.8159986}</v>
      </c>
      <c r="AU71" s="29" t="str">
        <f t="shared" si="201"/>
        <v>level: local</v>
      </c>
      <c r="AV71" s="29" t="str">
        <f>"- "&amp;VLOOKUP(B71,'(Ref) Countries'!A:C,3,)</f>
        <v>- usa
- texas</v>
      </c>
      <c r="AW71" s="29" t="str">
        <f t="shared" si="294"/>
        <v>- dallas</v>
      </c>
      <c r="AX71" s="29" t="str">
        <f t="shared" si="295"/>
        <v>- churches</v>
      </c>
      <c r="AY71" s="29" t="str">
        <f t="shared" si="296"/>
        <v/>
      </c>
      <c r="AZ71" s="29" t="str">
        <f t="shared" si="297"/>
        <v/>
      </c>
      <c r="BA71" s="29" t="str">
        <f t="shared" ref="BA71" si="383">IF(LEN(Y71)&gt;0,"- "&amp;Y71,"")</f>
        <v/>
      </c>
      <c r="BB71" s="29" t="str">
        <f t="shared" ref="BB71" si="384">IF(LEN(Z71)&gt;0,"- "&amp;Z71,"")</f>
        <v/>
      </c>
      <c r="BC71" s="29" t="str">
        <f t="shared" ref="BC71" si="385">IF(LEN(AA71)&gt;0,"- "&amp;AA71,"")</f>
        <v/>
      </c>
      <c r="BD71" s="29" t="str">
        <f t="shared" ref="BD71" si="386">IF(LEN(AB71)&gt;0,"- "&amp;AB71,"")</f>
        <v/>
      </c>
      <c r="BE71" s="29" t="str">
        <f t="shared" ref="BE71" si="387">IF(LEN(AC71)&gt;0,"- "&amp;AC71,"")</f>
        <v/>
      </c>
      <c r="BF71" s="29" t="str">
        <f t="shared" ref="BF71" si="388">IF(LEN(AD71)&gt;0,"- "&amp;AD71,"")</f>
        <v/>
      </c>
      <c r="BG71" s="29" t="str">
        <f t="shared" ref="BG71" si="389">IF(LEN(AE71)&gt;0,"- "&amp;AE71,"")</f>
        <v/>
      </c>
      <c r="BH71" s="29" t="str">
        <f t="shared" ref="BH71" si="390">IF(LEN(AF71)&gt;0,"- "&amp;AF71,"")</f>
        <v/>
      </c>
      <c r="BI71" s="29" t="str">
        <f t="shared" ref="BI71" si="391">IF(LEN(AG71)&gt;0,"- "&amp;AG71,"")</f>
        <v/>
      </c>
      <c r="BJ71" s="29" t="str">
        <f t="shared" ref="BJ71" si="392">IF(LEN(AH71)&gt;0,"- "&amp;AH71,"")</f>
        <v/>
      </c>
      <c r="BK71" s="29" t="str">
        <f t="shared" ref="BK71" si="393">"tags:"&amp;CHAR(10)&amp;concatl(AV71:BJ71)</f>
        <v xml:space="preserve">tags:
- usa
- texas_x000D_
- dallas_x000D_
- churches_x000D_
</v>
      </c>
      <c r="BL71" s="29" t="str">
        <f t="shared" si="309"/>
        <v>[Official site](https://www.bsdallas.org/)</v>
      </c>
      <c r="BM71" s="29" t="str">
        <f t="shared" si="310"/>
        <v>[Parish history](https://www.bsdallas.org/about-our-parish)</v>
      </c>
      <c r="BN71" s="29" t="str">
        <f t="shared" si="311"/>
        <v/>
      </c>
      <c r="BO71" s="29" t="str">
        <f t="shared" si="312"/>
        <v/>
      </c>
      <c r="BP71" s="29" t="str">
        <f t="shared" ref="BP71" si="394">IF(LEN(BL71)&gt;0,"* "&amp;BL71&amp;CHAR(10),"")&amp;
IF(LEN(BM71)&gt;0,"* "&amp;BM71&amp;CHAR(10),"")&amp;
IF(LEN(BN71)&gt;0,"* "&amp;BN71&amp;CHAR(10),"")&amp;
IF(LEN(BO71)&gt;0,"* "&amp;BO71&amp;CHAR(10),"")</f>
        <v xml:space="preserve">* [Official site](https://www.bsdallas.org/)
* [Parish history](https://www.bsdallas.org/about-our-parish)
</v>
      </c>
      <c r="BQ71" s="29" t="str">
        <f t="shared" si="314"/>
        <v/>
      </c>
      <c r="BR71" s="29" t="str">
        <f t="shared" si="315"/>
        <v/>
      </c>
      <c r="BS71" s="29" t="str">
        <f t="shared" si="316"/>
        <v/>
      </c>
      <c r="BT71" s="29" t="str">
        <f>IF(LEN(_xludf.concat(BQ71:BS71))&gt;0,_xludf.concat("| ",BQ71," | ",BR71," | ",BS71," |"),"")</f>
        <v/>
      </c>
      <c r="BU71" s="29" t="str">
        <f t="shared" si="317"/>
        <v/>
      </c>
      <c r="BV71" s="29" t="str">
        <f>IF(LEN(BP71&amp;BU71)&gt;0,concatll("#### More Information",BP71,BU71),"")</f>
        <v xml:space="preserve">#### More Information_x000D_
_x000D_
* [Official site](https://www.bsdallas.org/)
* [Parish history](https://www.bsdallas.org/about-our-parish)
_x000D_
_x000D_
</v>
      </c>
      <c r="BW71" s="29" t="str">
        <f>IF(LEN(M71)&gt;1,concatll("#### Author's Note",M71),"")</f>
        <v/>
      </c>
      <c r="BX71" s="23" t="str">
        <f>IF(AR71,concatll(concatl("---",AS71:AU71,BK71,"---"),L71,BV71:BW71),"")</f>
        <v xml:space="preserve">---_x000D_
title: "Blessed Sacrament Catholic Church, Dallas, TX"_x000D_
location: {lat: 32.751, lng: -96.8159986}_x000D_
level: local_x000D_
tags:
- usa
- texas_x000D_
- dallas_x000D_
- churches_x000D_
_x000D_
---_x000D_
_x000D_
_x000D_
Second oldest parish in the city of Dallas, but established when Oak Cliff was a separate city._x000D_
_x000D_
#### More Information_x000D_
_x000D_
* [Official site](https://www.bsdallas.org/)
* [Parish history](https://www.bsdallas.org/about-our-parish)
_x000D_
_x000D_
_x000D_
_x000D_
</v>
      </c>
      <c r="BY71" s="31" t="str">
        <f>IF(AR71,VLOOKUP(B71,'(Ref) Countries'!A:B,2,)&amp;IF(LEN(C71)&gt;1,"-"&amp;LOWER(SUBSTITUTE(C71," ","-")),"")&amp;"-"&amp;LOWER(SUBSTITUTE(G71," ","-"))&amp;".md","")</f>
        <v>us_tx-dallas-blessed-sacrament.md</v>
      </c>
      <c r="BZ71" s="29" t="str">
        <f>IF(LEN(Y71)&gt;1,VLOOKUP(Y71,'Tag List'!$A:$B,2,),"")</f>
        <v/>
      </c>
      <c r="CA71" s="29" t="str">
        <f>IF(LEN(Z71)&gt;1,VLOOKUP(Z71,'Tag List'!$A:$B,2,),"")</f>
        <v/>
      </c>
      <c r="CB71" s="29" t="str">
        <f>IF(LEN(AA71)&gt;1,VLOOKUP(AA71,'Tag List'!$A:$B,2,),"")</f>
        <v/>
      </c>
      <c r="CC71" s="29" t="str">
        <f>IF(LEN(Y71)&gt;1,GetTagPage(BZ71,Y71),"")</f>
        <v/>
      </c>
      <c r="CD71" s="29" t="str">
        <f>IF(LEN(Z71)&gt;1,GetTagPage(CA71,Z71),"")</f>
        <v/>
      </c>
      <c r="CE71" s="29" t="str">
        <f>IF(LEN(AA71)&gt;1,GetTagPage(CB71,AA71),"")</f>
        <v/>
      </c>
      <c r="CF71" s="29" t="str">
        <f t="shared" ref="CF71" si="395">"|"&amp;IF(LEN(CC71)&gt;1," "&amp;CC71,"")&amp;IF(LEN(CD71)&gt;1,", "&amp;CD71,"")&amp;IF(LEN(CE71)&gt;1,", "&amp;CE71,"")&amp;" "</f>
        <v xml:space="preserve">| </v>
      </c>
      <c r="CG71" s="29" t="str">
        <f t="shared" si="319"/>
        <v xml:space="preserve">| [](/places/us_tx-dallas-blessed-sacrament) </v>
      </c>
      <c r="CH71" s="29" t="str">
        <f>"| "&amp;IF(AR71,GetTagPage(B71,VLOOKUP(B71,'(Ref) Countries'!A:C,3,)),B71)&amp; " "</f>
        <v xml:space="preserve">| [US Texas](/tags/usa
- texas) </v>
      </c>
      <c r="CI71" s="29" t="str">
        <f t="shared" si="320"/>
        <v xml:space="preserve">|  </v>
      </c>
      <c r="CJ71" s="29" t="str">
        <f t="shared" ref="CJ71" si="396">"|"&amp;IF(AR71," [Link](/places/"&amp;SUBSTITUTE(BY71,".md","")&amp;")","")&amp;" "</f>
        <v xml:space="preserve">| [Link](/places/us_tx-dallas-blessed-sacrament) </v>
      </c>
      <c r="CK71" s="29" t="str">
        <f t="shared" ref="CK71" si="397">"
"&amp;CG71&amp;CH71&amp;CI71&amp;CJ71&amp;BL71&amp;BQ71&amp;BR71&amp;BS71&amp;CF71&amp;"|"</f>
        <v xml:space="preserve">
| [](/places/us_tx-dallas-blessed-sacrament) | [US Texas](/tags/usa
- texas) |  | [Link](/places/us_tx-dallas-blessed-sacrament) [Official site](https://www.bsdallas.org/)| |</v>
      </c>
    </row>
    <row r="72" spans="1:89" ht="99.45" x14ac:dyDescent="0.4">
      <c r="A72" s="14" t="s">
        <v>1320</v>
      </c>
      <c r="B72" s="24" t="s">
        <v>1951</v>
      </c>
      <c r="C72" s="15" t="s">
        <v>2055</v>
      </c>
      <c r="D72" s="15">
        <v>32.788515199999999</v>
      </c>
      <c r="E72" s="49">
        <v>-96.797780700000004</v>
      </c>
      <c r="F72" s="85" t="s">
        <v>2061</v>
      </c>
      <c r="G72" s="92" t="s">
        <v>2062</v>
      </c>
      <c r="H72" s="15" t="s">
        <v>1827</v>
      </c>
      <c r="I72" s="15" t="b">
        <v>1</v>
      </c>
      <c r="L72" s="85" t="s">
        <v>2060</v>
      </c>
      <c r="M72" s="92" t="s">
        <v>2063</v>
      </c>
      <c r="N72" s="15" t="s">
        <v>2064</v>
      </c>
      <c r="O72" s="96" t="s">
        <v>336</v>
      </c>
      <c r="AR72" s="28" t="b">
        <f t="shared" si="292"/>
        <v>1</v>
      </c>
      <c r="AS72" s="29" t="str">
        <f t="shared" ref="AS72:AS81" si="398">"title: """&amp;F72&amp;""""</f>
        <v>title: "National Shrine Cathedral of Our Lady of Guadalupe, Dallas, TX"</v>
      </c>
      <c r="AT72" s="29" t="str">
        <f t="shared" si="293"/>
        <v>location: {lat: 32.7885152, lng: -96.7977807}</v>
      </c>
      <c r="AU72" s="29" t="str">
        <f t="shared" ref="AU72:AU81" si="399">"level: "&amp;H72</f>
        <v>level: local</v>
      </c>
      <c r="AV72" s="29" t="str">
        <f>"- "&amp;VLOOKUP(B72,'(Ref) Countries'!A:C,3,)</f>
        <v>- usa
- texas</v>
      </c>
      <c r="AW72" s="29" t="str">
        <f t="shared" si="294"/>
        <v>- dallas</v>
      </c>
      <c r="AX72" s="29" t="str">
        <f t="shared" si="295"/>
        <v>- churches</v>
      </c>
      <c r="AY72" s="29" t="str">
        <f t="shared" si="296"/>
        <v/>
      </c>
      <c r="AZ72" s="29" t="str">
        <f t="shared" si="297"/>
        <v/>
      </c>
      <c r="BA72" s="29" t="str">
        <f t="shared" ref="BA72:BA81" si="400">IF(LEN(Y72)&gt;0,"- "&amp;Y72,"")</f>
        <v/>
      </c>
      <c r="BB72" s="29" t="str">
        <f t="shared" ref="BB72:BB81" si="401">IF(LEN(Z72)&gt;0,"- "&amp;Z72,"")</f>
        <v/>
      </c>
      <c r="BC72" s="29" t="str">
        <f t="shared" ref="BC72:BC81" si="402">IF(LEN(AA72)&gt;0,"- "&amp;AA72,"")</f>
        <v/>
      </c>
      <c r="BD72" s="29" t="str">
        <f t="shared" ref="BD72:BD81" si="403">IF(LEN(AB72)&gt;0,"- "&amp;AB72,"")</f>
        <v/>
      </c>
      <c r="BE72" s="29" t="str">
        <f t="shared" ref="BE72:BE81" si="404">IF(LEN(AC72)&gt;0,"- "&amp;AC72,"")</f>
        <v/>
      </c>
      <c r="BF72" s="29" t="str">
        <f t="shared" ref="BF72:BF81" si="405">IF(LEN(AD72)&gt;0,"- "&amp;AD72,"")</f>
        <v/>
      </c>
      <c r="BG72" s="29" t="str">
        <f t="shared" ref="BG72:BG81" si="406">IF(LEN(AE72)&gt;0,"- "&amp;AE72,"")</f>
        <v/>
      </c>
      <c r="BH72" s="29" t="str">
        <f t="shared" ref="BH72:BH81" si="407">IF(LEN(AF72)&gt;0,"- "&amp;AF72,"")</f>
        <v/>
      </c>
      <c r="BI72" s="29" t="str">
        <f t="shared" ref="BI72:BI81" si="408">IF(LEN(AG72)&gt;0,"- "&amp;AG72,"")</f>
        <v/>
      </c>
      <c r="BJ72" s="29" t="str">
        <f t="shared" ref="BJ72:BJ81" si="409">IF(LEN(AH72)&gt;0,"- "&amp;AH72,"")</f>
        <v/>
      </c>
      <c r="BK72" s="29" t="str">
        <f t="shared" ref="BK72:BK81" si="410">"tags:"&amp;CHAR(10)&amp;concatl(AV72:BJ72)</f>
        <v xml:space="preserve">tags:
- usa
- texas_x000D_
- dallas_x000D_
- churches_x000D_
</v>
      </c>
      <c r="BL72" s="29" t="str">
        <f t="shared" si="309"/>
        <v>[Official site](https://www.cathdal.org/cathedral)</v>
      </c>
      <c r="BM72" s="29" t="str">
        <f t="shared" si="310"/>
        <v/>
      </c>
      <c r="BN72" s="29" t="str">
        <f t="shared" si="311"/>
        <v/>
      </c>
      <c r="BO72" s="29" t="str">
        <f t="shared" si="312"/>
        <v/>
      </c>
      <c r="BP72" s="29" t="str">
        <f t="shared" ref="BP72:BP81" si="411">IF(LEN(BL72)&gt;0,"* "&amp;BL72&amp;CHAR(10),"")&amp;
IF(LEN(BM72)&gt;0,"* "&amp;BM72&amp;CHAR(10),"")&amp;
IF(LEN(BN72)&gt;0,"* "&amp;BN72&amp;CHAR(10),"")&amp;
IF(LEN(BO72)&gt;0,"* "&amp;BO72&amp;CHAR(10),"")</f>
        <v xml:space="preserve">* [Official site](https://www.cathdal.org/cathedral)
</v>
      </c>
      <c r="BQ72" s="29" t="str">
        <f t="shared" si="314"/>
        <v/>
      </c>
      <c r="BR72" s="29" t="str">
        <f t="shared" si="315"/>
        <v/>
      </c>
      <c r="BS72" s="29" t="str">
        <f t="shared" si="316"/>
        <v/>
      </c>
      <c r="BT72" s="29" t="str">
        <f>IF(LEN(_xludf.concat(BQ72:BS72))&gt;0,_xludf.concat("| ",BQ72," | ",BR72," | ",BS72," |"),"")</f>
        <v/>
      </c>
      <c r="BU72" s="29" t="str">
        <f t="shared" si="317"/>
        <v/>
      </c>
      <c r="BV72" s="29" t="str">
        <f>IF(LEN(BP72&amp;BU72)&gt;0,concatll("#### More Information",BP72,BU72),"")</f>
        <v xml:space="preserve">#### More Information_x000D_
_x000D_
* [Official site](https://www.cathdal.org/cathedral)
_x000D_
_x000D_
</v>
      </c>
      <c r="BW72" s="29" t="str">
        <f>IF(LEN(M72)&gt;1,concatll("#### Author's Note",M72),"")</f>
        <v xml:space="preserve">####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JPY_x000D_
_x000D_
</v>
      </c>
      <c r="BX72" s="23" t="str">
        <f>IF(AR72,concatll(concatl("---",AS72:AU72,BK72,"---"),L72,BV72:BW72),"")</f>
        <v xml:space="preserve">---_x000D_
title: "National Shrine Cathedral of Our Lady of Guadalupe, Dallas, TX"_x000D_
location: {lat: 32.7885152, lng: -96.7977807}_x000D_
level: local_x000D_
tags:
- usa
- texas_x000D_
- dallas_x000D_
- churches_x000D_
_x000D_
---_x000D_
_x000D_
_x000D_
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Bishops._x000D_
_x000D_
#### More Information_x000D_
_x000D_
* [Official site](https://www.cathdal.org/cathedral)
_x000D_
_x000D_
_x000D_
_x000D_
####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JPY_x000D_
_x000D_
_x000D_
_x000D_
</v>
      </c>
      <c r="BY72" s="31" t="str">
        <f>IF(AR72,VLOOKUP(B72,'(Ref) Countries'!A:B,2,)&amp;IF(LEN(C72)&gt;1,"-"&amp;LOWER(SUBSTITUTE(C72," ","-")),"")&amp;"-"&amp;LOWER(SUBSTITUTE(G72," ","-"))&amp;".md","")</f>
        <v>us_tx-dallas-guadalupe-cathedral.md</v>
      </c>
      <c r="BZ72" s="29" t="str">
        <f>IF(LEN(Y72)&gt;1,VLOOKUP(Y72,'Tag List'!$A:$B,2,),"")</f>
        <v/>
      </c>
      <c r="CA72" s="29" t="str">
        <f>IF(LEN(Z72)&gt;1,VLOOKUP(Z72,'Tag List'!$A:$B,2,),"")</f>
        <v/>
      </c>
      <c r="CB72" s="29" t="str">
        <f>IF(LEN(AA72)&gt;1,VLOOKUP(AA72,'Tag List'!$A:$B,2,),"")</f>
        <v/>
      </c>
      <c r="CC72" s="29" t="str">
        <f>IF(LEN(Y72)&gt;1,GetTagPage(BZ72,Y72),"")</f>
        <v/>
      </c>
      <c r="CD72" s="29" t="str">
        <f>IF(LEN(Z72)&gt;1,GetTagPage(CA72,Z72),"")</f>
        <v/>
      </c>
      <c r="CE72" s="29" t="str">
        <f>IF(LEN(AA72)&gt;1,GetTagPage(CB72,AA72),"")</f>
        <v/>
      </c>
      <c r="CF72" s="29" t="str">
        <f t="shared" ref="CF72:CF81" si="412">"|"&amp;IF(LEN(CC72)&gt;1," "&amp;CC72,"")&amp;IF(LEN(CD72)&gt;1,", "&amp;CD72,"")&amp;IF(LEN(CE72)&gt;1,", "&amp;CE72,"")&amp;" "</f>
        <v xml:space="preserve">| </v>
      </c>
      <c r="CG72" s="29" t="str">
        <f t="shared" si="319"/>
        <v xml:space="preserve">| [](/places/us_tx-dallas-guadalupe-cathedral) </v>
      </c>
      <c r="CH72" s="29" t="str">
        <f>"| "&amp;IF(AR72,GetTagPage(B72,VLOOKUP(B72,'(Ref) Countries'!A:C,3,)),B72)&amp; " "</f>
        <v xml:space="preserve">| [US Texas](/tags/usa
- texas) </v>
      </c>
      <c r="CI72" s="29" t="str">
        <f t="shared" si="320"/>
        <v xml:space="preserve">|  </v>
      </c>
      <c r="CJ72" s="29" t="str">
        <f t="shared" ref="CJ72:CJ81" si="413">"|"&amp;IF(AR72," [Link](/places/"&amp;SUBSTITUTE(BY72,".md","")&amp;")","")&amp;" "</f>
        <v xml:space="preserve">| [Link](/places/us_tx-dallas-guadalupe-cathedral) </v>
      </c>
      <c r="CK72" s="29" t="str">
        <f t="shared" ref="CK72:CK81" si="414">"
"&amp;CG72&amp;CH72&amp;CI72&amp;CJ72&amp;BL72&amp;BQ72&amp;BR72&amp;BS72&amp;CF72&amp;"|"</f>
        <v xml:space="preserve">
| [](/places/us_tx-dallas-guadalupe-cathedral) | [US Texas](/tags/usa
- texas) |  | [Link](/places/us_tx-dallas-guadalupe-cathedral) [Official site](https://www.cathdal.org/cathedral)| |</v>
      </c>
    </row>
    <row r="73" spans="1:89" ht="24.9" x14ac:dyDescent="0.4">
      <c r="A73" s="14" t="s">
        <v>1320</v>
      </c>
      <c r="B73" s="24" t="s">
        <v>1951</v>
      </c>
      <c r="C73" s="15" t="s">
        <v>2055</v>
      </c>
      <c r="D73" s="15">
        <v>32.814570799999998</v>
      </c>
      <c r="E73" s="49">
        <v>-96.802842799999993</v>
      </c>
      <c r="F73" s="24" t="s">
        <v>2065</v>
      </c>
      <c r="G73" s="92" t="s">
        <v>2020</v>
      </c>
      <c r="H73" s="15" t="s">
        <v>1827</v>
      </c>
      <c r="I73" s="15" t="b">
        <v>1</v>
      </c>
      <c r="L73" s="85" t="s">
        <v>2066</v>
      </c>
      <c r="N73" s="93" t="s">
        <v>2067</v>
      </c>
      <c r="O73" s="96" t="s">
        <v>336</v>
      </c>
      <c r="P73" s="97" t="s">
        <v>2069</v>
      </c>
      <c r="Q73" s="15" t="s">
        <v>2068</v>
      </c>
      <c r="R73" s="95" t="s">
        <v>336</v>
      </c>
      <c r="Y73" s="93" t="s">
        <v>2071</v>
      </c>
      <c r="AR73" s="28" t="b">
        <f t="shared" si="292"/>
        <v>1</v>
      </c>
      <c r="AS73" s="29" t="str">
        <f t="shared" si="398"/>
        <v>title: "Holy Trinity Catholic Church, Dallas, TX"</v>
      </c>
      <c r="AT73" s="29" t="str">
        <f t="shared" si="293"/>
        <v>location: {lat: 32.8145708, lng: -96.8028428}</v>
      </c>
      <c r="AU73" s="29" t="str">
        <f t="shared" si="399"/>
        <v>level: local</v>
      </c>
      <c r="AV73" s="29" t="str">
        <f>"- "&amp;VLOOKUP(B73,'(Ref) Countries'!A:C,3,)</f>
        <v>- usa
- texas</v>
      </c>
      <c r="AW73" s="29" t="str">
        <f t="shared" si="294"/>
        <v>- dallas</v>
      </c>
      <c r="AX73" s="29" t="str">
        <f t="shared" si="295"/>
        <v>- churches</v>
      </c>
      <c r="AY73" s="29" t="str">
        <f t="shared" si="296"/>
        <v/>
      </c>
      <c r="AZ73" s="29" t="str">
        <f t="shared" si="297"/>
        <v/>
      </c>
      <c r="BA73" s="29" t="str">
        <f t="shared" si="400"/>
        <v>- vincentians</v>
      </c>
      <c r="BB73" s="29" t="str">
        <f t="shared" si="401"/>
        <v/>
      </c>
      <c r="BC73" s="29" t="str">
        <f t="shared" si="402"/>
        <v/>
      </c>
      <c r="BD73" s="29" t="str">
        <f t="shared" si="403"/>
        <v/>
      </c>
      <c r="BE73" s="29" t="str">
        <f t="shared" si="404"/>
        <v/>
      </c>
      <c r="BF73" s="29" t="str">
        <f t="shared" si="405"/>
        <v/>
      </c>
      <c r="BG73" s="29" t="str">
        <f t="shared" si="406"/>
        <v/>
      </c>
      <c r="BH73" s="29" t="str">
        <f t="shared" si="407"/>
        <v/>
      </c>
      <c r="BI73" s="29" t="str">
        <f t="shared" si="408"/>
        <v/>
      </c>
      <c r="BJ73" s="29" t="str">
        <f t="shared" si="409"/>
        <v/>
      </c>
      <c r="BK73" s="29" t="str">
        <f t="shared" si="410"/>
        <v xml:space="preserve">tags:
- usa
- texas_x000D_
- dallas_x000D_
- churches_x000D_
- vincentians_x000D_
</v>
      </c>
      <c r="BL73" s="29" t="str">
        <f t="shared" si="309"/>
        <v>[Official site](https://htccd.org/)</v>
      </c>
      <c r="BM73" s="29" t="str">
        <f t="shared" si="310"/>
        <v>[Parish history](https://htccd.org/history)</v>
      </c>
      <c r="BN73" s="29" t="str">
        <f t="shared" si="311"/>
        <v/>
      </c>
      <c r="BO73" s="29" t="str">
        <f t="shared" si="312"/>
        <v/>
      </c>
      <c r="BP73" s="29" t="str">
        <f t="shared" si="411"/>
        <v xml:space="preserve">* [Official site](https://htccd.org/)
* [Parish history](https://htccd.org/history)
</v>
      </c>
      <c r="BQ73" s="29" t="str">
        <f t="shared" si="314"/>
        <v/>
      </c>
      <c r="BR73" s="29" t="str">
        <f t="shared" si="315"/>
        <v/>
      </c>
      <c r="BS73" s="29" t="str">
        <f t="shared" si="316"/>
        <v/>
      </c>
      <c r="BT73" s="29" t="str">
        <f>IF(LEN(_xludf.concat(BQ73:BS73))&gt;0,_xludf.concat("| ",BQ73," | ",BR73," | ",BS73," |"),"")</f>
        <v/>
      </c>
      <c r="BU73" s="29" t="str">
        <f t="shared" si="317"/>
        <v/>
      </c>
      <c r="BV73" s="29" t="str">
        <f>IF(LEN(BP73&amp;BU73)&gt;0,concatll("#### More Information",BP73,BU73),"")</f>
        <v xml:space="preserve">#### More Information_x000D_
_x000D_
* [Official site](https://htccd.org/)
* [Parish history](https://htccd.org/history)
_x000D_
_x000D_
</v>
      </c>
      <c r="BW73" s="29" t="str">
        <f>IF(LEN(M73)&gt;1,concatll("#### Author's Note",M73),"")</f>
        <v/>
      </c>
      <c r="BX73" s="23" t="str">
        <f>IF(AR73,concatll(concatl("---",AS73:AU73,BK73,"---"),L73,BV73:BW73),"")</f>
        <v xml:space="preserve">---_x000D_
title: "Holy Trinity Catholic Church, Dallas, TX"_x000D_
location: {lat: 32.8145708, lng: -96.8028428}_x000D_
level: local_x000D_
tags:
- usa
- texas_x000D_
- dallas_x000D_
- churches_x000D_
- vincentians_x000D_
_x000D_
---_x000D_
_x000D_
_x000D_
Founded and staffed by the Vincentians, who also staffed Trinity College/Dallas University across the street._x000D_
_x000D_
#### More Information_x000D_
_x000D_
* [Official site](https://htccd.org/)
* [Parish history](https://htccd.org/history)
_x000D_
_x000D_
_x000D_
_x000D_
</v>
      </c>
      <c r="BY73" s="31" t="str">
        <f>IF(AR73,VLOOKUP(B73,'(Ref) Countries'!A:B,2,)&amp;IF(LEN(C73)&gt;1,"-"&amp;LOWER(SUBSTITUTE(C73," ","-")),"")&amp;"-"&amp;LOWER(SUBSTITUTE(G73," ","-"))&amp;".md","")</f>
        <v>us_tx-dallas-holy-trinity.md</v>
      </c>
      <c r="BZ73" s="29" t="str">
        <f>IF(LEN(Y73)&gt;1,VLOOKUP(Y73,'Tag List'!$A:$B,2,),"")</f>
        <v>Congregation of the Mission (Vincentians)</v>
      </c>
      <c r="CA73" s="29" t="str">
        <f>IF(LEN(Z73)&gt;1,VLOOKUP(Z73,'Tag List'!$A:$B,2,),"")</f>
        <v/>
      </c>
      <c r="CB73" s="29" t="str">
        <f>IF(LEN(AA73)&gt;1,VLOOKUP(AA73,'Tag List'!$A:$B,2,),"")</f>
        <v/>
      </c>
      <c r="CC73" s="29" t="str">
        <f>IF(LEN(Y73)&gt;1,GetTagPage(BZ73,Y73),"")</f>
        <v>[Congregation of the Mission (Vincentians)](/tags/vincentians)</v>
      </c>
      <c r="CD73" s="29" t="str">
        <f>IF(LEN(Z73)&gt;1,GetTagPage(CA73,Z73),"")</f>
        <v/>
      </c>
      <c r="CE73" s="29" t="str">
        <f>IF(LEN(AA73)&gt;1,GetTagPage(CB73,AA73),"")</f>
        <v/>
      </c>
      <c r="CF73" s="29" t="str">
        <f t="shared" si="412"/>
        <v xml:space="preserve">| [Congregation of the Mission (Vincentians)](/tags/vincentians) </v>
      </c>
      <c r="CG73" s="29" t="str">
        <f t="shared" si="319"/>
        <v xml:space="preserve">| [](/places/us_tx-dallas-holy-trinity) </v>
      </c>
      <c r="CH73" s="29" t="str">
        <f>"| "&amp;IF(AR73,GetTagPage(B73,VLOOKUP(B73,'(Ref) Countries'!A:C,3,)),B73)&amp; " "</f>
        <v xml:space="preserve">| [US Texas](/tags/usa
- texas) </v>
      </c>
      <c r="CI73" s="29" t="str">
        <f t="shared" si="320"/>
        <v xml:space="preserve">|  </v>
      </c>
      <c r="CJ73" s="29" t="str">
        <f t="shared" si="413"/>
        <v xml:space="preserve">| [Link](/places/us_tx-dallas-holy-trinity) </v>
      </c>
      <c r="CK73" s="29" t="str">
        <f t="shared" si="414"/>
        <v xml:space="preserve">
| [](/places/us_tx-dallas-holy-trinity) | [US Texas](/tags/usa
- texas) |  | [Link](/places/us_tx-dallas-holy-trinity) [Official site](https://htccd.org/)| [Congregation of the Mission (Vincentians)](/tags/vincentians) |</v>
      </c>
    </row>
    <row r="74" spans="1:89" ht="124.3" x14ac:dyDescent="0.4">
      <c r="A74" s="14" t="s">
        <v>1320</v>
      </c>
      <c r="B74" s="24" t="s">
        <v>1951</v>
      </c>
      <c r="C74" s="15" t="s">
        <v>2055</v>
      </c>
      <c r="D74" s="15">
        <v>32.792158999999998</v>
      </c>
      <c r="E74" s="49">
        <v>-96.806457199999997</v>
      </c>
      <c r="F74" s="85" t="s">
        <v>2075</v>
      </c>
      <c r="G74" s="92" t="s">
        <v>2076</v>
      </c>
      <c r="H74" s="15" t="s">
        <v>1827</v>
      </c>
      <c r="L74" s="85" t="s">
        <v>2077</v>
      </c>
      <c r="P74" s="97" t="s">
        <v>2091</v>
      </c>
      <c r="Q74" s="93" t="s">
        <v>2078</v>
      </c>
      <c r="R74" s="95" t="s">
        <v>2092</v>
      </c>
      <c r="S74" s="97" t="s">
        <v>2080</v>
      </c>
      <c r="T74" s="15" t="s">
        <v>2079</v>
      </c>
      <c r="U74" s="95" t="s">
        <v>336</v>
      </c>
      <c r="Y74" s="15" t="s">
        <v>2130</v>
      </c>
      <c r="AR74" s="28" t="b">
        <f t="shared" si="292"/>
        <v>1</v>
      </c>
      <c r="AS74" s="29" t="str">
        <f t="shared" si="398"/>
        <v>title: "Old Our Lady of Guadalupe Catholic Church, Dallas, TX"</v>
      </c>
      <c r="AT74" s="29" t="str">
        <f t="shared" si="293"/>
        <v>location: {lat: 32.792159, lng: -96.8064572}</v>
      </c>
      <c r="AU74" s="29" t="str">
        <f t="shared" si="399"/>
        <v>level: local</v>
      </c>
      <c r="AV74" s="29" t="str">
        <f>"- "&amp;VLOOKUP(B74,'(Ref) Countries'!A:C,3,)</f>
        <v>- usa
- texas</v>
      </c>
      <c r="AW74" s="29" t="str">
        <f t="shared" si="294"/>
        <v>- dallas</v>
      </c>
      <c r="AX74" s="29" t="str">
        <f t="shared" si="295"/>
        <v/>
      </c>
      <c r="AY74" s="29" t="str">
        <f t="shared" si="296"/>
        <v/>
      </c>
      <c r="AZ74" s="29" t="str">
        <f t="shared" si="297"/>
        <v/>
      </c>
      <c r="BA74" s="29" t="str">
        <f t="shared" si="400"/>
        <v>- closed</v>
      </c>
      <c r="BB74" s="29" t="str">
        <f t="shared" si="401"/>
        <v/>
      </c>
      <c r="BC74" s="29" t="str">
        <f t="shared" si="402"/>
        <v/>
      </c>
      <c r="BD74" s="29" t="str">
        <f t="shared" si="403"/>
        <v/>
      </c>
      <c r="BE74" s="29" t="str">
        <f t="shared" si="404"/>
        <v/>
      </c>
      <c r="BF74" s="29" t="str">
        <f t="shared" si="405"/>
        <v/>
      </c>
      <c r="BG74" s="29" t="str">
        <f t="shared" si="406"/>
        <v/>
      </c>
      <c r="BH74" s="29" t="str">
        <f t="shared" si="407"/>
        <v/>
      </c>
      <c r="BI74" s="29" t="str">
        <f t="shared" si="408"/>
        <v/>
      </c>
      <c r="BJ74" s="29" t="str">
        <f t="shared" si="409"/>
        <v/>
      </c>
      <c r="BK74" s="29" t="str">
        <f t="shared" si="410"/>
        <v xml:space="preserve">tags:
- usa
- texas_x000D_
- dallas_x000D_
- closed_x000D_
</v>
      </c>
      <c r="BL74" s="29" t="str">
        <f t="shared" si="309"/>
        <v/>
      </c>
      <c r="BM74" s="29" t="str">
        <f t="shared" si="310"/>
        <v>[St. Ann preservation application](https://dallascityhall.com/departments/sustainabledevelopment/historicpreservation/HP%20Documents/Landmark%20Structures/St.%20Anns%20School%20Landmark%20Nomination.pdf) (including section on the church's history)</v>
      </c>
      <c r="BN74" s="29" t="str">
        <f t="shared" si="311"/>
        <v>[About St. Ann restauraunt](https://www.saintanndallas.com/restaurant)</v>
      </c>
      <c r="BO74" s="29" t="str">
        <f t="shared" si="312"/>
        <v/>
      </c>
      <c r="BP74" s="29" t="str">
        <f t="shared" si="411"/>
        <v xml:space="preserve">*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v>
      </c>
      <c r="BQ74" s="29" t="str">
        <f t="shared" si="314"/>
        <v/>
      </c>
      <c r="BR74" s="29" t="str">
        <f t="shared" si="315"/>
        <v/>
      </c>
      <c r="BS74" s="29" t="str">
        <f t="shared" si="316"/>
        <v/>
      </c>
      <c r="BT74" s="29" t="str">
        <f>IF(LEN(_xludf.concat(BQ74:BS74))&gt;0,_xludf.concat("| ",BQ74," | ",BR74," | ",BS74," |"),"")</f>
        <v/>
      </c>
      <c r="BU74" s="29" t="str">
        <f t="shared" si="317"/>
        <v/>
      </c>
      <c r="BV74" s="29" t="str">
        <f>IF(LEN(BP74&amp;BU74)&gt;0,concatll("#### More Information",BP74,BU74),"")</f>
        <v xml:space="preserve">#### More Information_x000D_
_x000D_
*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_x000D_
_x000D_
</v>
      </c>
      <c r="BW74" s="29" t="str">
        <f>IF(LEN(M74)&gt;1,concatll("#### Author's Note",M74),"")</f>
        <v/>
      </c>
      <c r="BX74" s="23" t="str">
        <f>IF(AR74,concatll(concatl("---",AS74:AU74,BK74,"---"),L74,BV74:BW74),"")</f>
        <v xml:space="preserve">---_x000D_
title: "Old Our Lady of Guadalupe Catholic Church, Dallas, TX"_x000D_
location: {lat: 32.792159, lng: -96.8064572}_x000D_
level: local_x000D_
tags:
- usa
- texas_x000D_
- dallas_x000D_
- closed_x000D_
_x000D_
---_x000D_
_x000D_
_x000D_
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collection._x000D_
_x000D_
#### More Information_x000D_
_x000D_
*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_x000D_
_x000D_
_x000D_
_x000D_
</v>
      </c>
      <c r="BY74" s="31" t="str">
        <f>IF(AR74,VLOOKUP(B74,'(Ref) Countries'!A:B,2,)&amp;IF(LEN(C74)&gt;1,"-"&amp;LOWER(SUBSTITUTE(C74," ","-")),"")&amp;"-"&amp;LOWER(SUBSTITUTE(G74," ","-"))&amp;".md","")</f>
        <v>us_tx-dallas-old-guadalupe.md</v>
      </c>
      <c r="BZ74" s="29" t="str">
        <f>IF(LEN(Y74)&gt;1,VLOOKUP(Y74,'Tag List'!$A:$B,2,),"")</f>
        <v>Closed or Deconsecrated Sites</v>
      </c>
      <c r="CA74" s="29" t="str">
        <f>IF(LEN(Z74)&gt;1,VLOOKUP(Z74,'Tag List'!$A:$B,2,),"")</f>
        <v/>
      </c>
      <c r="CB74" s="29" t="str">
        <f>IF(LEN(AA74)&gt;1,VLOOKUP(AA74,'Tag List'!$A:$B,2,),"")</f>
        <v/>
      </c>
      <c r="CC74" s="29" t="str">
        <f>IF(LEN(Y74)&gt;1,GetTagPage(BZ74,Y74),"")</f>
        <v>[Closed or Deconsecrated Sites](/tags/closed)</v>
      </c>
      <c r="CD74" s="29" t="str">
        <f>IF(LEN(Z74)&gt;1,GetTagPage(CA74,Z74),"")</f>
        <v/>
      </c>
      <c r="CE74" s="29" t="str">
        <f>IF(LEN(AA74)&gt;1,GetTagPage(CB74,AA74),"")</f>
        <v/>
      </c>
      <c r="CF74" s="29" t="str">
        <f t="shared" si="412"/>
        <v xml:space="preserve">| [Closed or Deconsecrated Sites](/tags/closed) </v>
      </c>
      <c r="CG74" s="29" t="str">
        <f t="shared" si="319"/>
        <v xml:space="preserve">| [](/places/us_tx-dallas-old-guadalupe) </v>
      </c>
      <c r="CH74" s="29" t="str">
        <f>"| "&amp;IF(AR74,GetTagPage(B74,VLOOKUP(B74,'(Ref) Countries'!A:C,3,)),B74)&amp; " "</f>
        <v xml:space="preserve">| [US Texas](/tags/usa
- texas) </v>
      </c>
      <c r="CI74" s="29" t="str">
        <f t="shared" si="320"/>
        <v xml:space="preserve">|  </v>
      </c>
      <c r="CJ74" s="29" t="str">
        <f t="shared" si="413"/>
        <v xml:space="preserve">| [Link](/places/us_tx-dallas-old-guadalupe) </v>
      </c>
      <c r="CK74" s="29" t="str">
        <f t="shared" si="414"/>
        <v xml:space="preserve">
| [](/places/us_tx-dallas-old-guadalupe) | [US Texas](/tags/usa
- texas) |  | [Link](/places/us_tx-dallas-old-guadalupe) | [Closed or Deconsecrated Sites](/tags/closed) |</v>
      </c>
    </row>
    <row r="75" spans="1:89" ht="62.15" x14ac:dyDescent="0.4">
      <c r="A75" s="14" t="s">
        <v>1320</v>
      </c>
      <c r="B75" s="24" t="s">
        <v>1951</v>
      </c>
      <c r="C75" s="15" t="s">
        <v>2055</v>
      </c>
      <c r="D75" s="15">
        <v>32.775131000000002</v>
      </c>
      <c r="E75" s="49">
        <v>-96.787789000000004</v>
      </c>
      <c r="F75" s="24" t="s">
        <v>2081</v>
      </c>
      <c r="G75" s="92" t="s">
        <v>2082</v>
      </c>
      <c r="H75" s="15" t="s">
        <v>1827</v>
      </c>
      <c r="L75" s="85" t="s">
        <v>2083</v>
      </c>
      <c r="P75" s="97" t="s">
        <v>2084</v>
      </c>
      <c r="Q75" s="15" t="s">
        <v>2085</v>
      </c>
      <c r="R75" s="95" t="s">
        <v>336</v>
      </c>
      <c r="Y75" s="15" t="s">
        <v>2130</v>
      </c>
      <c r="AR75" s="28" t="b">
        <f t="shared" si="292"/>
        <v>1</v>
      </c>
      <c r="AS75" s="29" t="str">
        <f t="shared" si="398"/>
        <v>title: "Old St. Patrick Catholic Church, Dallas, TX"</v>
      </c>
      <c r="AT75" s="29" t="str">
        <f t="shared" si="293"/>
        <v>location: {lat: 32.775131, lng: -96.787789}</v>
      </c>
      <c r="AU75" s="29" t="str">
        <f t="shared" si="399"/>
        <v>level: local</v>
      </c>
      <c r="AV75" s="29" t="str">
        <f>"- "&amp;VLOOKUP(B75,'(Ref) Countries'!A:C,3,)</f>
        <v>- usa
- texas</v>
      </c>
      <c r="AW75" s="29" t="str">
        <f t="shared" si="294"/>
        <v>- dallas</v>
      </c>
      <c r="AX75" s="29" t="str">
        <f t="shared" si="295"/>
        <v/>
      </c>
      <c r="AY75" s="29" t="str">
        <f t="shared" si="296"/>
        <v/>
      </c>
      <c r="AZ75" s="29" t="str">
        <f t="shared" si="297"/>
        <v/>
      </c>
      <c r="BA75" s="29" t="str">
        <f t="shared" si="400"/>
        <v>- closed</v>
      </c>
      <c r="BB75" s="29" t="str">
        <f t="shared" si="401"/>
        <v/>
      </c>
      <c r="BC75" s="29" t="str">
        <f t="shared" si="402"/>
        <v/>
      </c>
      <c r="BD75" s="29" t="str">
        <f t="shared" si="403"/>
        <v/>
      </c>
      <c r="BE75" s="29" t="str">
        <f t="shared" si="404"/>
        <v/>
      </c>
      <c r="BF75" s="29" t="str">
        <f t="shared" si="405"/>
        <v/>
      </c>
      <c r="BG75" s="29" t="str">
        <f t="shared" si="406"/>
        <v/>
      </c>
      <c r="BH75" s="29" t="str">
        <f t="shared" si="407"/>
        <v/>
      </c>
      <c r="BI75" s="29" t="str">
        <f t="shared" si="408"/>
        <v/>
      </c>
      <c r="BJ75" s="29" t="str">
        <f t="shared" si="409"/>
        <v/>
      </c>
      <c r="BK75" s="29" t="str">
        <f t="shared" si="410"/>
        <v xml:space="preserve">tags:
- usa
- texas_x000D_
- dallas_x000D_
- closed_x000D_
</v>
      </c>
      <c r="BL75" s="29" t="str">
        <f t="shared" si="309"/>
        <v/>
      </c>
      <c r="BM75" s="29" t="str">
        <f t="shared" si="310"/>
        <v>[Article about St. Patrick](https://cityofdallaspreservation.wordpress.com/2018/03/16/the-old-st-patrick-roman-catholic-church-in-dallas-gone-but-not-forgotten)</v>
      </c>
      <c r="BN75" s="29" t="str">
        <f t="shared" si="311"/>
        <v/>
      </c>
      <c r="BO75" s="29" t="str">
        <f t="shared" si="312"/>
        <v/>
      </c>
      <c r="BP75" s="29" t="str">
        <f t="shared" si="411"/>
        <v xml:space="preserve">* [Article about St. Patrick](https://cityofdallaspreservation.wordpress.com/2018/03/16/the-old-st-patrick-roman-catholic-church-in-dallas-gone-but-not-forgotten)
</v>
      </c>
      <c r="BQ75" s="29" t="str">
        <f t="shared" si="314"/>
        <v/>
      </c>
      <c r="BR75" s="29" t="str">
        <f t="shared" si="315"/>
        <v/>
      </c>
      <c r="BS75" s="29" t="str">
        <f t="shared" si="316"/>
        <v/>
      </c>
      <c r="BT75" s="29" t="str">
        <f>IF(LEN(_xludf.concat(BQ75:BS75))&gt;0,_xludf.concat("| ",BQ75," | ",BR75," | ",BS75," |"),"")</f>
        <v/>
      </c>
      <c r="BU75" s="29" t="str">
        <f t="shared" si="317"/>
        <v/>
      </c>
      <c r="BV75" s="29" t="str">
        <f>IF(LEN(BP75&amp;BU75)&gt;0,concatll("#### More Information",BP75,BU75),"")</f>
        <v xml:space="preserve">#### More Information_x000D_
_x000D_
* [Article about St. Patrick](https://cityofdallaspreservation.wordpress.com/2018/03/16/the-old-st-patrick-roman-catholic-church-in-dallas-gone-but-not-forgotten)
_x000D_
_x000D_
</v>
      </c>
      <c r="BW75" s="29" t="str">
        <f>IF(LEN(M75)&gt;1,concatll("#### Author's Note",M75),"")</f>
        <v/>
      </c>
      <c r="BX75" s="23" t="str">
        <f>IF(AR75,concatll(concatl("---",AS75:AU75,BK75,"---"),L75,BV75:BW75),"")</f>
        <v xml:space="preserve">---_x000D_
title: "Old St. Patrick Catholic Church, Dallas, TX"_x000D_
location: {lat: 32.775131, lng: -96.787789}_x000D_
level: local_x000D_
tags:
- usa
- texas_x000D_
- dallas_x000D_
- closed_x000D_
_x000D_
---_x000D_
_x000D_
_x000D_
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Canyon._x000D_
_x000D_
#### More Information_x000D_
_x000D_
* [Article about St. Patrick](https://cityofdallaspreservation.wordpress.com/2018/03/16/the-old-st-patrick-roman-catholic-church-in-dallas-gone-but-not-forgotten)
_x000D_
_x000D_
_x000D_
_x000D_
</v>
      </c>
      <c r="BY75" s="31" t="str">
        <f>IF(AR75,VLOOKUP(B75,'(Ref) Countries'!A:B,2,)&amp;IF(LEN(C75)&gt;1,"-"&amp;LOWER(SUBSTITUTE(C75," ","-")),"")&amp;"-"&amp;LOWER(SUBSTITUTE(G75," ","-"))&amp;".md","")</f>
        <v>us_tx-dallas-old-st-patrick.md</v>
      </c>
      <c r="BZ75" s="29" t="str">
        <f>IF(LEN(Y75)&gt;1,VLOOKUP(Y75,'Tag List'!$A:$B,2,),"")</f>
        <v>Closed or Deconsecrated Sites</v>
      </c>
      <c r="CA75" s="29" t="str">
        <f>IF(LEN(Z75)&gt;1,VLOOKUP(Z75,'Tag List'!$A:$B,2,),"")</f>
        <v/>
      </c>
      <c r="CB75" s="29" t="str">
        <f>IF(LEN(AA75)&gt;1,VLOOKUP(AA75,'Tag List'!$A:$B,2,),"")</f>
        <v/>
      </c>
      <c r="CC75" s="29" t="str">
        <f>IF(LEN(Y75)&gt;1,GetTagPage(BZ75,Y75),"")</f>
        <v>[Closed or Deconsecrated Sites](/tags/closed)</v>
      </c>
      <c r="CD75" s="29" t="str">
        <f>IF(LEN(Z75)&gt;1,GetTagPage(CA75,Z75),"")</f>
        <v/>
      </c>
      <c r="CE75" s="29" t="str">
        <f>IF(LEN(AA75)&gt;1,GetTagPage(CB75,AA75),"")</f>
        <v/>
      </c>
      <c r="CF75" s="29" t="str">
        <f t="shared" si="412"/>
        <v xml:space="preserve">| [Closed or Deconsecrated Sites](/tags/closed) </v>
      </c>
      <c r="CG75" s="29" t="str">
        <f t="shared" si="319"/>
        <v xml:space="preserve">| [](/places/us_tx-dallas-old-st-patrick) </v>
      </c>
      <c r="CH75" s="29" t="str">
        <f>"| "&amp;IF(AR75,GetTagPage(B75,VLOOKUP(B75,'(Ref) Countries'!A:C,3,)),B75)&amp; " "</f>
        <v xml:space="preserve">| [US Texas](/tags/usa
- texas) </v>
      </c>
      <c r="CI75" s="29" t="str">
        <f t="shared" si="320"/>
        <v xml:space="preserve">|  </v>
      </c>
      <c r="CJ75" s="29" t="str">
        <f t="shared" si="413"/>
        <v xml:space="preserve">| [Link](/places/us_tx-dallas-old-st-patrick) </v>
      </c>
      <c r="CK75" s="29" t="str">
        <f t="shared" si="414"/>
        <v xml:space="preserve">
| [](/places/us_tx-dallas-old-st-patrick) | [US Texas](/tags/usa
- texas) |  | [Link](/places/us_tx-dallas-old-st-patrick) | [Closed or Deconsecrated Sites](/tags/closed) |</v>
      </c>
    </row>
    <row r="76" spans="1:89" ht="124.3" x14ac:dyDescent="0.4">
      <c r="A76" s="14" t="s">
        <v>1320</v>
      </c>
      <c r="B76" s="24" t="s">
        <v>1951</v>
      </c>
      <c r="C76" s="15" t="s">
        <v>2055</v>
      </c>
      <c r="D76" s="15">
        <v>32.795627000000003</v>
      </c>
      <c r="E76" s="49">
        <v>-96.782279000000003</v>
      </c>
      <c r="F76" s="85" t="s">
        <v>2086</v>
      </c>
      <c r="G76" s="92" t="s">
        <v>2087</v>
      </c>
      <c r="H76" s="15" t="s">
        <v>1827</v>
      </c>
      <c r="L76" s="85" t="s">
        <v>2088</v>
      </c>
      <c r="P76" s="97" t="s">
        <v>2089</v>
      </c>
      <c r="Q76" s="15" t="s">
        <v>2093</v>
      </c>
      <c r="R76" s="98" t="s">
        <v>2090</v>
      </c>
      <c r="S76" s="99" t="s">
        <v>2094</v>
      </c>
      <c r="T76" s="93" t="s">
        <v>2095</v>
      </c>
      <c r="U76" s="98" t="s">
        <v>2096</v>
      </c>
      <c r="V76" s="15" t="s">
        <v>2097</v>
      </c>
      <c r="W76" s="93" t="s">
        <v>2098</v>
      </c>
      <c r="X76" s="102" t="s">
        <v>336</v>
      </c>
      <c r="Y76" s="15" t="s">
        <v>2130</v>
      </c>
      <c r="AR76" s="28" t="b">
        <f t="shared" si="292"/>
        <v>1</v>
      </c>
      <c r="AS76" s="29" t="str">
        <f t="shared" si="398"/>
        <v>title: "Old Ursuline Academy, Dallas, TX"</v>
      </c>
      <c r="AT76" s="29" t="str">
        <f t="shared" si="293"/>
        <v>location: {lat: 32.795627, lng: -96.782279}</v>
      </c>
      <c r="AU76" s="29" t="str">
        <f t="shared" si="399"/>
        <v>level: local</v>
      </c>
      <c r="AV76" s="29" t="str">
        <f>"- "&amp;VLOOKUP(B76,'(Ref) Countries'!A:C,3,)</f>
        <v>- usa
- texas</v>
      </c>
      <c r="AW76" s="29" t="str">
        <f t="shared" si="294"/>
        <v>- dallas</v>
      </c>
      <c r="AX76" s="29" t="str">
        <f t="shared" si="295"/>
        <v/>
      </c>
      <c r="AY76" s="29" t="str">
        <f t="shared" si="296"/>
        <v/>
      </c>
      <c r="AZ76" s="29" t="str">
        <f t="shared" si="297"/>
        <v/>
      </c>
      <c r="BA76" s="29" t="str">
        <f t="shared" si="400"/>
        <v>- closed</v>
      </c>
      <c r="BB76" s="29" t="str">
        <f t="shared" si="401"/>
        <v/>
      </c>
      <c r="BC76" s="29" t="str">
        <f t="shared" si="402"/>
        <v/>
      </c>
      <c r="BD76" s="29" t="str">
        <f t="shared" si="403"/>
        <v/>
      </c>
      <c r="BE76" s="29" t="str">
        <f t="shared" si="404"/>
        <v/>
      </c>
      <c r="BF76" s="29" t="str">
        <f t="shared" si="405"/>
        <v/>
      </c>
      <c r="BG76" s="29" t="str">
        <f t="shared" si="406"/>
        <v/>
      </c>
      <c r="BH76" s="29" t="str">
        <f t="shared" si="407"/>
        <v/>
      </c>
      <c r="BI76" s="29" t="str">
        <f t="shared" si="408"/>
        <v/>
      </c>
      <c r="BJ76" s="29" t="str">
        <f t="shared" si="409"/>
        <v/>
      </c>
      <c r="BK76" s="29" t="str">
        <f t="shared" si="410"/>
        <v xml:space="preserve">tags:
- usa
- texas_x000D_
- dallas_x000D_
- closed_x000D_
</v>
      </c>
      <c r="BL76" s="29" t="str">
        <f t="shared" si="309"/>
        <v/>
      </c>
      <c r="BM76" s="29" t="str">
        <f t="shared" si="310"/>
        <v>[Ursuline history article](https://www.ursulinedallas.org/mission/heritage) (includes pictures of this convent)</v>
      </c>
      <c r="BN76" s="29" t="str">
        <f t="shared" si="311"/>
        <v>[Additional Ursuline history article](https://www.tshaonline.org/handbook/entries/ursuline-academy-dallas) (includes pictures)</v>
      </c>
      <c r="BO76" s="29" t="str">
        <f t="shared" si="312"/>
        <v>[Convent in the 1922 Sanborn map](https://maps.lib.utexas.edu/maps/sanborn/d-f/txu-sanborn-dallas-1922-315.jpg)</v>
      </c>
      <c r="BP76" s="29" t="str">
        <f t="shared" si="411"/>
        <v xml:space="preserve">*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v>
      </c>
      <c r="BQ76" s="29" t="str">
        <f t="shared" si="314"/>
        <v/>
      </c>
      <c r="BR76" s="29" t="str">
        <f t="shared" si="315"/>
        <v/>
      </c>
      <c r="BS76" s="29" t="str">
        <f t="shared" si="316"/>
        <v/>
      </c>
      <c r="BT76" s="29" t="str">
        <f>IF(LEN(_xludf.concat(BQ76:BS76))&gt;0,_xludf.concat("| ",BQ76," | ",BR76," | ",BS76," |"),"")</f>
        <v/>
      </c>
      <c r="BU76" s="29" t="str">
        <f t="shared" si="317"/>
        <v/>
      </c>
      <c r="BV76" s="29" t="str">
        <f>IF(LEN(BP76&amp;BU76)&gt;0,concatll("#### More Information",BP76,BU76),"")</f>
        <v xml:space="preserve">#### More Information_x000D_
_x000D_
*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_x000D_
_x000D_
</v>
      </c>
      <c r="BW76" s="29" t="str">
        <f>IF(LEN(M76)&gt;1,concatll("#### Author's Note",M76),"")</f>
        <v/>
      </c>
      <c r="BX76" s="23" t="str">
        <f>IF(AR76,concatll(concatl("---",AS76:AU76,BK76,"---"),L76,BV76:BW76),"")</f>
        <v xml:space="preserve">---_x000D_
title: "Old Ursuline Academy, Dallas, TX"_x000D_
location: {lat: 32.795627, lng: -96.782279}_x000D_
level: local_x000D_
tags:
- usa
- texas_x000D_
- dallas_x000D_
- closed_x000D_
_x000D_
---_x000D_
_x000D_
_x000D_
Original site of Ursuline Academy and the Ursuline Convent.  It is unclear why this building was demolished.
![Ursuline academy](https://www.ursulinedallas.org/uploaded/images/mission/1882_OldUrsuline.jpg)
![Ursuline academy](https://www.tshaonline.org/images/handbook/entries/DD/Dallas%20ursuline%20aerial.jpg)_x000D_
_x000D_
#### More Information_x000D_
_x000D_
*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_x000D_
_x000D_
_x000D_
_x000D_
</v>
      </c>
      <c r="BY76" s="31" t="str">
        <f>IF(AR76,VLOOKUP(B76,'(Ref) Countries'!A:B,2,)&amp;IF(LEN(C76)&gt;1,"-"&amp;LOWER(SUBSTITUTE(C76," ","-")),"")&amp;"-"&amp;LOWER(SUBSTITUTE(G76," ","-"))&amp;".md","")</f>
        <v>us_tx-dallas-old-ursuline.md</v>
      </c>
      <c r="BZ76" s="29" t="str">
        <f>IF(LEN(Y76)&gt;1,VLOOKUP(Y76,'Tag List'!$A:$B,2,),"")</f>
        <v>Closed or Deconsecrated Sites</v>
      </c>
      <c r="CA76" s="29" t="str">
        <f>IF(LEN(Z76)&gt;1,VLOOKUP(Z76,'Tag List'!$A:$B,2,),"")</f>
        <v/>
      </c>
      <c r="CB76" s="29" t="str">
        <f>IF(LEN(AA76)&gt;1,VLOOKUP(AA76,'Tag List'!$A:$B,2,),"")</f>
        <v/>
      </c>
      <c r="CC76" s="29" t="str">
        <f>IF(LEN(Y76)&gt;1,GetTagPage(BZ76,Y76),"")</f>
        <v>[Closed or Deconsecrated Sites](/tags/closed)</v>
      </c>
      <c r="CD76" s="29" t="str">
        <f>IF(LEN(Z76)&gt;1,GetTagPage(CA76,Z76),"")</f>
        <v/>
      </c>
      <c r="CE76" s="29" t="str">
        <f>IF(LEN(AA76)&gt;1,GetTagPage(CB76,AA76),"")</f>
        <v/>
      </c>
      <c r="CF76" s="29" t="str">
        <f t="shared" si="412"/>
        <v xml:space="preserve">| [Closed or Deconsecrated Sites](/tags/closed) </v>
      </c>
      <c r="CG76" s="29" t="str">
        <f t="shared" si="319"/>
        <v xml:space="preserve">| [](/places/us_tx-dallas-old-ursuline) </v>
      </c>
      <c r="CH76" s="29" t="str">
        <f>"| "&amp;IF(AR76,GetTagPage(B76,VLOOKUP(B76,'(Ref) Countries'!A:C,3,)),B76)&amp; " "</f>
        <v xml:space="preserve">| [US Texas](/tags/usa
- texas) </v>
      </c>
      <c r="CI76" s="29" t="str">
        <f t="shared" si="320"/>
        <v xml:space="preserve">|  </v>
      </c>
      <c r="CJ76" s="29" t="str">
        <f t="shared" si="413"/>
        <v xml:space="preserve">| [Link](/places/us_tx-dallas-old-ursuline) </v>
      </c>
      <c r="CK76" s="29" t="str">
        <f t="shared" si="414"/>
        <v xml:space="preserve">
| [](/places/us_tx-dallas-old-ursuline) | [US Texas](/tags/usa
- texas) |  | [Link](/places/us_tx-dallas-old-ursuline) | [Closed or Deconsecrated Sites](/tags/closed) |</v>
      </c>
    </row>
    <row r="77" spans="1:89" ht="87" x14ac:dyDescent="0.4">
      <c r="A77" s="14" t="s">
        <v>1320</v>
      </c>
      <c r="B77" s="24" t="s">
        <v>1951</v>
      </c>
      <c r="C77" s="15" t="s">
        <v>2055</v>
      </c>
      <c r="D77" s="15">
        <v>32.794211099999998</v>
      </c>
      <c r="E77" s="49">
        <v>-96.788927799999996</v>
      </c>
      <c r="F77" s="85" t="s">
        <v>2099</v>
      </c>
      <c r="G77" s="92" t="s">
        <v>2100</v>
      </c>
      <c r="H77" s="15" t="s">
        <v>1827</v>
      </c>
      <c r="L77" s="85" t="s">
        <v>2101</v>
      </c>
      <c r="P77" s="97" t="s">
        <v>2102</v>
      </c>
      <c r="Q77" s="15" t="s">
        <v>2103</v>
      </c>
      <c r="R77" s="95" t="s">
        <v>336</v>
      </c>
      <c r="S77" s="97" t="s">
        <v>2105</v>
      </c>
      <c r="T77" s="15" t="s">
        <v>2104</v>
      </c>
      <c r="U77" s="95" t="s">
        <v>336</v>
      </c>
      <c r="V77" s="93" t="s">
        <v>2106</v>
      </c>
      <c r="W77" s="96" t="s">
        <v>2107</v>
      </c>
      <c r="X77" s="102" t="s">
        <v>336</v>
      </c>
      <c r="Y77" s="15" t="s">
        <v>2130</v>
      </c>
      <c r="AR77" s="28" t="b">
        <f t="shared" si="292"/>
        <v>1</v>
      </c>
      <c r="AS77" s="29" t="str">
        <f t="shared" si="398"/>
        <v>title: "Old St. Paul Sanitarium, Dallas, TX"</v>
      </c>
      <c r="AT77" s="29" t="str">
        <f t="shared" si="293"/>
        <v>location: {lat: 32.7942111, lng: -96.7889278}</v>
      </c>
      <c r="AU77" s="29" t="str">
        <f t="shared" si="399"/>
        <v>level: local</v>
      </c>
      <c r="AV77" s="29" t="str">
        <f>"- "&amp;VLOOKUP(B77,'(Ref) Countries'!A:C,3,)</f>
        <v>- usa
- texas</v>
      </c>
      <c r="AW77" s="29" t="str">
        <f t="shared" si="294"/>
        <v>- dallas</v>
      </c>
      <c r="AX77" s="29" t="str">
        <f t="shared" si="295"/>
        <v/>
      </c>
      <c r="AY77" s="29" t="str">
        <f t="shared" si="296"/>
        <v/>
      </c>
      <c r="AZ77" s="29" t="str">
        <f t="shared" si="297"/>
        <v/>
      </c>
      <c r="BA77" s="29" t="str">
        <f t="shared" si="400"/>
        <v>- closed</v>
      </c>
      <c r="BB77" s="29" t="str">
        <f t="shared" si="401"/>
        <v/>
      </c>
      <c r="BC77" s="29" t="str">
        <f t="shared" si="402"/>
        <v/>
      </c>
      <c r="BD77" s="29" t="str">
        <f t="shared" si="403"/>
        <v/>
      </c>
      <c r="BE77" s="29" t="str">
        <f t="shared" si="404"/>
        <v/>
      </c>
      <c r="BF77" s="29" t="str">
        <f t="shared" si="405"/>
        <v/>
      </c>
      <c r="BG77" s="29" t="str">
        <f t="shared" si="406"/>
        <v/>
      </c>
      <c r="BH77" s="29" t="str">
        <f t="shared" si="407"/>
        <v/>
      </c>
      <c r="BI77" s="29" t="str">
        <f t="shared" si="408"/>
        <v/>
      </c>
      <c r="BJ77" s="29" t="str">
        <f t="shared" si="409"/>
        <v/>
      </c>
      <c r="BK77" s="29" t="str">
        <f t="shared" si="410"/>
        <v xml:space="preserve">tags:
- usa
- texas_x000D_
- dallas_x000D_
- closed_x000D_
</v>
      </c>
      <c r="BL77" s="29" t="str">
        <f t="shared" si="309"/>
        <v/>
      </c>
      <c r="BM77" s="29" t="str">
        <f t="shared" si="310"/>
        <v>[History of St. Paul Sanitarium](https://cityofdallaspreservation.wordpress.com/2020/04/01/st-pauls-sanitarium-in-dallas-tx/)</v>
      </c>
      <c r="BN77" s="29" t="str">
        <f t="shared" si="311"/>
        <v>[UT Southwestern pamphlet on St. Paul's history](https://www.utsouthwestern.edu/edumedia/edufiles/about_us/Giving/st-paul-mag-2015.pdf)</v>
      </c>
      <c r="BO77" s="29" t="str">
        <f t="shared" si="312"/>
        <v>[Sanitarium in the 1921 Sanborn map](https://maps.lib.utexas.edu/maps/sanborn/d-f/txu-sanborn-dallas-1921-38.jpg)</v>
      </c>
      <c r="BP77" s="29" t="str">
        <f t="shared" si="411"/>
        <v xml:space="preserve">*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v>
      </c>
      <c r="BQ77" s="29" t="str">
        <f t="shared" si="314"/>
        <v/>
      </c>
      <c r="BR77" s="29" t="str">
        <f t="shared" si="315"/>
        <v/>
      </c>
      <c r="BS77" s="29" t="str">
        <f t="shared" si="316"/>
        <v/>
      </c>
      <c r="BT77" s="29" t="str">
        <f>IF(LEN(_xludf.concat(BQ77:BS77))&gt;0,_xludf.concat("| ",BQ77," | ",BR77," | ",BS77," |"),"")</f>
        <v/>
      </c>
      <c r="BU77" s="29" t="str">
        <f t="shared" si="317"/>
        <v/>
      </c>
      <c r="BV77" s="29" t="str">
        <f>IF(LEN(BP77&amp;BU77)&gt;0,concatll("#### More Information",BP77,BU77),"")</f>
        <v xml:space="preserve">####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v>
      </c>
      <c r="BW77" s="29" t="str">
        <f>IF(LEN(M77)&gt;1,concatll("#### Author's Note",M77),"")</f>
        <v/>
      </c>
      <c r="BX77" s="23" t="str">
        <f>IF(AR77,concatll(concatl("---",AS77:AU77,BK77,"---"),L77,BV77:BW77),"")</f>
        <v xml:space="preserve">---_x000D_
title: "Old St. Paul Sanitarium, Dallas, TX"_x000D_
location: {lat: 32.7942111, lng: -96.7889278}_x000D_
level: local_x000D_
tags:
- usa
- texas_x000D_
- dallas_x000D_
- closed_x000D_
_x000D_
---_x000D_
_x000D_
_x000D_
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Sanitarium](https://cityofdallaspreservation.files.wordpress.com/2020/04/st.-pauls-aerial.jpg)_x000D_
_x000D_
####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_x000D_
_x000D_
</v>
      </c>
      <c r="BY77" s="31" t="str">
        <f>IF(AR77,VLOOKUP(B77,'(Ref) Countries'!A:B,2,)&amp;IF(LEN(C77)&gt;1,"-"&amp;LOWER(SUBSTITUTE(C77," ","-")),"")&amp;"-"&amp;LOWER(SUBSTITUTE(G77," ","-"))&amp;".md","")</f>
        <v>us_tx-dallas-old-st-paul.md</v>
      </c>
      <c r="BZ77" s="29" t="str">
        <f>IF(LEN(Y77)&gt;1,VLOOKUP(Y77,'Tag List'!$A:$B,2,),"")</f>
        <v>Closed or Deconsecrated Sites</v>
      </c>
      <c r="CA77" s="29" t="str">
        <f>IF(LEN(Z77)&gt;1,VLOOKUP(Z77,'Tag List'!$A:$B,2,),"")</f>
        <v/>
      </c>
      <c r="CB77" s="29" t="str">
        <f>IF(LEN(AA77)&gt;1,VLOOKUP(AA77,'Tag List'!$A:$B,2,),"")</f>
        <v/>
      </c>
      <c r="CC77" s="29" t="str">
        <f>IF(LEN(Y77)&gt;1,GetTagPage(BZ77,Y77),"")</f>
        <v>[Closed or Deconsecrated Sites](/tags/closed)</v>
      </c>
      <c r="CD77" s="29" t="str">
        <f>IF(LEN(Z77)&gt;1,GetTagPage(CA77,Z77),"")</f>
        <v/>
      </c>
      <c r="CE77" s="29" t="str">
        <f>IF(LEN(AA77)&gt;1,GetTagPage(CB77,AA77),"")</f>
        <v/>
      </c>
      <c r="CF77" s="29" t="str">
        <f t="shared" si="412"/>
        <v xml:space="preserve">| [Closed or Deconsecrated Sites](/tags/closed) </v>
      </c>
      <c r="CG77" s="29" t="str">
        <f t="shared" si="319"/>
        <v xml:space="preserve">| [](/places/us_tx-dallas-old-st-paul) </v>
      </c>
      <c r="CH77" s="29" t="str">
        <f>"| "&amp;IF(AR77,GetTagPage(B77,VLOOKUP(B77,'(Ref) Countries'!A:C,3,)),B77)&amp; " "</f>
        <v xml:space="preserve">| [US Texas](/tags/usa
- texas) </v>
      </c>
      <c r="CI77" s="29" t="str">
        <f t="shared" si="320"/>
        <v xml:space="preserve">|  </v>
      </c>
      <c r="CJ77" s="29" t="str">
        <f t="shared" si="413"/>
        <v xml:space="preserve">| [Link](/places/us_tx-dallas-old-st-paul) </v>
      </c>
      <c r="CK77" s="29" t="str">
        <f t="shared" si="414"/>
        <v xml:space="preserve">
| [](/places/us_tx-dallas-old-st-paul) | [US Texas](/tags/usa
- texas) |  | [Link](/places/us_tx-dallas-old-st-paul) | [Closed or Deconsecrated Sites](/tags/closed) |</v>
      </c>
    </row>
    <row r="78" spans="1:89" ht="174" x14ac:dyDescent="0.4">
      <c r="A78" s="14" t="s">
        <v>1320</v>
      </c>
      <c r="B78" s="24" t="s">
        <v>1951</v>
      </c>
      <c r="C78" s="15" t="s">
        <v>2055</v>
      </c>
      <c r="D78" s="15">
        <v>32.814343000000001</v>
      </c>
      <c r="E78" s="49">
        <v>-96.801815099999999</v>
      </c>
      <c r="F78" s="85" t="s">
        <v>2108</v>
      </c>
      <c r="G78" s="92" t="s">
        <v>2109</v>
      </c>
      <c r="H78" s="15" t="s">
        <v>1827</v>
      </c>
      <c r="L78" s="85" t="s">
        <v>2110</v>
      </c>
      <c r="P78" s="60" t="s">
        <v>2111</v>
      </c>
      <c r="Q78" s="15" t="s">
        <v>2112</v>
      </c>
      <c r="R78" s="95" t="s">
        <v>336</v>
      </c>
      <c r="Y78" s="15" t="s">
        <v>2130</v>
      </c>
      <c r="AR78" s="28" t="b">
        <f t="shared" si="292"/>
        <v>1</v>
      </c>
      <c r="AS78" s="29" t="str">
        <f t="shared" si="398"/>
        <v>title: "Old Trinity College / Dallas University / Jesuit Dallas"</v>
      </c>
      <c r="AT78" s="29" t="str">
        <f t="shared" si="293"/>
        <v>location: {lat: 32.814343, lng: -96.8018151}</v>
      </c>
      <c r="AU78" s="29" t="str">
        <f t="shared" si="399"/>
        <v>level: local</v>
      </c>
      <c r="AV78" s="29" t="str">
        <f>"- "&amp;VLOOKUP(B78,'(Ref) Countries'!A:C,3,)</f>
        <v>- usa
- texas</v>
      </c>
      <c r="AW78" s="29" t="str">
        <f t="shared" si="294"/>
        <v>- dallas</v>
      </c>
      <c r="AX78" s="29" t="str">
        <f t="shared" si="295"/>
        <v/>
      </c>
      <c r="AY78" s="29" t="str">
        <f t="shared" si="296"/>
        <v/>
      </c>
      <c r="AZ78" s="29" t="str">
        <f t="shared" si="297"/>
        <v/>
      </c>
      <c r="BA78" s="29" t="str">
        <f t="shared" si="400"/>
        <v>- closed</v>
      </c>
      <c r="BB78" s="29" t="str">
        <f t="shared" si="401"/>
        <v/>
      </c>
      <c r="BC78" s="29" t="str">
        <f t="shared" si="402"/>
        <v/>
      </c>
      <c r="BD78" s="29" t="str">
        <f t="shared" si="403"/>
        <v/>
      </c>
      <c r="BE78" s="29" t="str">
        <f t="shared" si="404"/>
        <v/>
      </c>
      <c r="BF78" s="29" t="str">
        <f t="shared" si="405"/>
        <v/>
      </c>
      <c r="BG78" s="29" t="str">
        <f t="shared" si="406"/>
        <v/>
      </c>
      <c r="BH78" s="29" t="str">
        <f t="shared" si="407"/>
        <v/>
      </c>
      <c r="BI78" s="29" t="str">
        <f t="shared" si="408"/>
        <v/>
      </c>
      <c r="BJ78" s="29" t="str">
        <f t="shared" si="409"/>
        <v/>
      </c>
      <c r="BK78" s="29" t="str">
        <f t="shared" si="410"/>
        <v xml:space="preserve">tags:
- usa
- texas_x000D_
- dallas_x000D_
- closed_x000D_
</v>
      </c>
      <c r="BL78" s="29" t="str">
        <f t="shared" si="309"/>
        <v/>
      </c>
      <c r="BM78" s="29" t="str">
        <f t="shared" si="310"/>
        <v>[School in the 1922 Sanborn map](https://maps.lib.utexas.edu/maps/sanborn/d-f/txu-sanborn-dallas-1921-287.jpg)</v>
      </c>
      <c r="BN78" s="29" t="str">
        <f t="shared" si="311"/>
        <v/>
      </c>
      <c r="BO78" s="29" t="str">
        <f t="shared" si="312"/>
        <v/>
      </c>
      <c r="BP78" s="29" t="str">
        <f t="shared" si="411"/>
        <v xml:space="preserve">* [School in the 1922 Sanborn map](https://maps.lib.utexas.edu/maps/sanborn/d-f/txu-sanborn-dallas-1921-287.jpg)
</v>
      </c>
      <c r="BQ78" s="29" t="str">
        <f t="shared" si="314"/>
        <v/>
      </c>
      <c r="BR78" s="29" t="str">
        <f t="shared" si="315"/>
        <v/>
      </c>
      <c r="BS78" s="29" t="str">
        <f t="shared" si="316"/>
        <v/>
      </c>
      <c r="BT78" s="29" t="str">
        <f>IF(LEN(_xludf.concat(BQ78:BS78))&gt;0,_xludf.concat("| ",BQ78," | ",BR78," | ",BS78," |"),"")</f>
        <v/>
      </c>
      <c r="BU78" s="29" t="str">
        <f t="shared" si="317"/>
        <v/>
      </c>
      <c r="BV78" s="29" t="str">
        <f>IF(LEN(BP78&amp;BU78)&gt;0,concatll("#### More Information",BP78,BU78),"")</f>
        <v xml:space="preserve">#### More Information_x000D_
_x000D_
* [School in the 1922 Sanborn map](https://maps.lib.utexas.edu/maps/sanborn/d-f/txu-sanborn-dallas-1921-287.jpg)
_x000D_
_x000D_
</v>
      </c>
      <c r="BW78" s="29" t="str">
        <f>IF(LEN(M78)&gt;1,concatll("#### Author's Note",M78),"")</f>
        <v/>
      </c>
      <c r="BX78" s="23" t="str">
        <f>IF(AR78,concatll(concatl("---",AS78:AU78,BK78,"---"),L78,BV78:BW78),"")</f>
        <v xml:space="preserve">---_x000D_
title: "Old Trinity College / Dallas University / Jesuit Dallas"_x000D_
location: {lat: 32.814343, lng: -96.8018151}_x000D_
level: local_x000D_
tags:
- usa
- texas_x000D_
- dallas_x000D_
- closed_x000D_
_x000D_
---_x000D_
_x000D_
_x000D_
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University](https://flashbackdallas.files.wordpress.com/2016/05/jesuit_legacies_fall-2005.jpg)_x000D_
_x000D_
#### More Information_x000D_
_x000D_
* [School in the 1922 Sanborn map](https://maps.lib.utexas.edu/maps/sanborn/d-f/txu-sanborn-dallas-1921-287.jpg)
_x000D_
_x000D_
_x000D_
_x000D_
</v>
      </c>
      <c r="BY78" s="31" t="str">
        <f>IF(AR78,VLOOKUP(B78,'(Ref) Countries'!A:B,2,)&amp;IF(LEN(C78)&gt;1,"-"&amp;LOWER(SUBSTITUTE(C78," ","-")),"")&amp;"-"&amp;LOWER(SUBSTITUTE(G78," ","-"))&amp;".md","")</f>
        <v>us_tx-dallas-old-trinity-college.md</v>
      </c>
      <c r="BZ78" s="29" t="str">
        <f>IF(LEN(Y78)&gt;1,VLOOKUP(Y78,'Tag List'!$A:$B,2,),"")</f>
        <v>Closed or Deconsecrated Sites</v>
      </c>
      <c r="CA78" s="29" t="str">
        <f>IF(LEN(Z78)&gt;1,VLOOKUP(Z78,'Tag List'!$A:$B,2,),"")</f>
        <v/>
      </c>
      <c r="CB78" s="29" t="str">
        <f>IF(LEN(AA78)&gt;1,VLOOKUP(AA78,'Tag List'!$A:$B,2,),"")</f>
        <v/>
      </c>
      <c r="CC78" s="29" t="str">
        <f>IF(LEN(Y78)&gt;1,GetTagPage(BZ78,Y78),"")</f>
        <v>[Closed or Deconsecrated Sites](/tags/closed)</v>
      </c>
      <c r="CD78" s="29" t="str">
        <f>IF(LEN(Z78)&gt;1,GetTagPage(CA78,Z78),"")</f>
        <v/>
      </c>
      <c r="CE78" s="29" t="str">
        <f>IF(LEN(AA78)&gt;1,GetTagPage(CB78,AA78),"")</f>
        <v/>
      </c>
      <c r="CF78" s="29" t="str">
        <f t="shared" si="412"/>
        <v xml:space="preserve">| [Closed or Deconsecrated Sites](/tags/closed) </v>
      </c>
      <c r="CG78" s="29" t="str">
        <f t="shared" si="319"/>
        <v xml:space="preserve">| [](/places/us_tx-dallas-old-trinity-college) </v>
      </c>
      <c r="CH78" s="29" t="str">
        <f>"| "&amp;IF(AR78,GetTagPage(B78,VLOOKUP(B78,'(Ref) Countries'!A:C,3,)),B78)&amp; " "</f>
        <v xml:space="preserve">| [US Texas](/tags/usa
- texas) </v>
      </c>
      <c r="CI78" s="29" t="str">
        <f t="shared" si="320"/>
        <v xml:space="preserve">|  </v>
      </c>
      <c r="CJ78" s="29" t="str">
        <f t="shared" si="413"/>
        <v xml:space="preserve">| [Link](/places/us_tx-dallas-old-trinity-college) </v>
      </c>
      <c r="CK78" s="29" t="str">
        <f t="shared" si="414"/>
        <v xml:space="preserve">
| [](/places/us_tx-dallas-old-trinity-college) | [US Texas](/tags/usa
- texas) |  | [Link](/places/us_tx-dallas-old-trinity-college) | [Closed or Deconsecrated Sites](/tags/closed) |</v>
      </c>
    </row>
    <row r="79" spans="1:89" ht="124.3" x14ac:dyDescent="0.4">
      <c r="A79" s="14" t="s">
        <v>1320</v>
      </c>
      <c r="B79" s="24" t="s">
        <v>1951</v>
      </c>
      <c r="C79" s="15" t="s">
        <v>2055</v>
      </c>
      <c r="D79" s="15">
        <v>32.787603699999998</v>
      </c>
      <c r="E79" s="49">
        <v>-96.787011800000002</v>
      </c>
      <c r="F79" s="85" t="s">
        <v>2118</v>
      </c>
      <c r="G79" s="92" t="s">
        <v>2119</v>
      </c>
      <c r="H79" s="15" t="s">
        <v>1827</v>
      </c>
      <c r="L79" s="85" t="s">
        <v>2120</v>
      </c>
      <c r="P79" s="60" t="s">
        <v>2121</v>
      </c>
      <c r="Q79" s="15" t="s">
        <v>2122</v>
      </c>
      <c r="R79" s="95" t="s">
        <v>336</v>
      </c>
      <c r="S79" s="60" t="s">
        <v>2123</v>
      </c>
      <c r="T79" s="15" t="s">
        <v>2124</v>
      </c>
      <c r="U79" s="95" t="s">
        <v>336</v>
      </c>
      <c r="Y79" s="93" t="s">
        <v>2130</v>
      </c>
      <c r="AR79" s="28" t="b">
        <f t="shared" si="292"/>
        <v>1</v>
      </c>
      <c r="AS79" s="29" t="str">
        <f>"title: """&amp;F79&amp;""""</f>
        <v>title: "Old St. Joseph Catholic Church, Dallas, TX"</v>
      </c>
      <c r="AT79" s="29" t="str">
        <f t="shared" si="293"/>
        <v>location: {lat: 32.7876037, lng: -96.7870118}</v>
      </c>
      <c r="AU79" s="29" t="str">
        <f>"level: "&amp;H79</f>
        <v>level: local</v>
      </c>
      <c r="AV79" s="29" t="str">
        <f>"- "&amp;VLOOKUP(B79,'(Ref) Countries'!A:C,3,)</f>
        <v>- usa
- texas</v>
      </c>
      <c r="AW79" s="29" t="str">
        <f t="shared" si="294"/>
        <v>- dallas</v>
      </c>
      <c r="AX79" s="29" t="str">
        <f t="shared" si="295"/>
        <v/>
      </c>
      <c r="AY79" s="29" t="str">
        <f t="shared" si="296"/>
        <v/>
      </c>
      <c r="AZ79" s="29" t="str">
        <f t="shared" si="297"/>
        <v/>
      </c>
      <c r="BA79" s="29" t="str">
        <f t="shared" ref="BA79:BJ79" si="415">IF(LEN(Y79)&gt;0,"- "&amp;Y79,"")</f>
        <v>- closed</v>
      </c>
      <c r="BB79" s="29" t="str">
        <f t="shared" si="415"/>
        <v/>
      </c>
      <c r="BC79" s="29" t="str">
        <f t="shared" si="415"/>
        <v/>
      </c>
      <c r="BD79" s="29" t="str">
        <f t="shared" si="415"/>
        <v/>
      </c>
      <c r="BE79" s="29" t="str">
        <f t="shared" si="415"/>
        <v/>
      </c>
      <c r="BF79" s="29" t="str">
        <f t="shared" si="415"/>
        <v/>
      </c>
      <c r="BG79" s="29" t="str">
        <f t="shared" si="415"/>
        <v/>
      </c>
      <c r="BH79" s="29" t="str">
        <f t="shared" si="415"/>
        <v/>
      </c>
      <c r="BI79" s="29" t="str">
        <f t="shared" si="415"/>
        <v/>
      </c>
      <c r="BJ79" s="29" t="str">
        <f t="shared" si="415"/>
        <v/>
      </c>
      <c r="BK79" s="29" t="str">
        <f>"tags:"&amp;CHAR(10)&amp;concatl(AV79:BJ79)</f>
        <v xml:space="preserve">tags:
- usa
- texas_x000D_
- dallas_x000D_
- closed_x000D_
</v>
      </c>
      <c r="BL79" s="29" t="str">
        <f t="shared" si="309"/>
        <v/>
      </c>
      <c r="BM79" s="29" t="str">
        <f t="shared" si="310"/>
        <v>[Historical site nomination form](https://dallascityhall.com/departments/sustainabledevelopment/historicpreservation/HP%20Documents/Landmark%20Structures/St%20Josephs%20Catholic%20Church%20Landmark%20Nomination.pdf)</v>
      </c>
      <c r="BN79" s="29" t="str">
        <f t="shared" si="311"/>
        <v>[Historical site page](https://dallascityhall.com/departments/sustainabledevelopment/historicpreservation/Pages/St-Josephs-Catholic-Church-.aspx)</v>
      </c>
      <c r="BO79" s="29" t="str">
        <f t="shared" si="312"/>
        <v/>
      </c>
      <c r="BP79" s="29" t="str">
        <f>IF(LEN(BL79)&gt;0,"* "&amp;BL79&amp;CHAR(10),"")&amp;
IF(LEN(BM79)&gt;0,"* "&amp;BM79&amp;CHAR(10),"")&amp;
IF(LEN(BN79)&gt;0,"* "&amp;BN79&amp;CHAR(10),"")&amp;
IF(LEN(BO79)&gt;0,"* "&amp;BO79&amp;CHAR(10),"")</f>
        <v xml:space="preserve">*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v>
      </c>
      <c r="BQ79" s="29" t="str">
        <f t="shared" si="314"/>
        <v/>
      </c>
      <c r="BR79" s="29" t="str">
        <f t="shared" si="315"/>
        <v/>
      </c>
      <c r="BS79" s="29" t="str">
        <f t="shared" si="316"/>
        <v/>
      </c>
      <c r="BT79" s="29" t="str">
        <f>IF(LEN(_xludf.concat(BQ79:BS79))&gt;0,_xludf.concat("| ",BQ79," | ",BR79," | ",BS79," |"),"")</f>
        <v/>
      </c>
      <c r="BU79" s="29" t="str">
        <f t="shared" si="317"/>
        <v/>
      </c>
      <c r="BV79" s="29" t="str">
        <f>IF(LEN(BP79&amp;BU79)&gt;0,concatll("#### More Information",BP79,BU79),"")</f>
        <v xml:space="preserve">####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v>
      </c>
      <c r="BW79" s="29" t="str">
        <f>IF(LEN(M79)&gt;1,concatll("#### Author's Note",M79),"")</f>
        <v/>
      </c>
      <c r="BX79" s="23" t="str">
        <f>IF(AR79,concatll(concatl("---",AS79:AU79,BK79,"---"),L79,BV79:BW79),"")</f>
        <v xml:space="preserve">---_x000D_
title: "Old St. Joseph Catholic Church, Dallas, TX"_x000D_
location: {lat: 32.7876037, lng: -96.7870118}_x000D_
level: local_x000D_
tags:
- usa
- texas_x000D_
- dallas_x000D_
- closed_x000D_
_x000D_
---_x000D_
_x000D_
_x000D_
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Dallas._x000D_
_x000D_
####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_x000D_
_x000D_
</v>
      </c>
      <c r="BY79" s="31" t="str">
        <f>IF(AR79,VLOOKUP(B79,'(Ref) Countries'!A:B,2,)&amp;IF(LEN(C79)&gt;1,"-"&amp;LOWER(SUBSTITUTE(C79," ","-")),"")&amp;"-"&amp;LOWER(SUBSTITUTE(G79," ","-"))&amp;".md","")</f>
        <v>us_tx-dallas-old-st-joseph.md</v>
      </c>
      <c r="BZ79" s="29" t="str">
        <f>IF(LEN(Y79)&gt;1,VLOOKUP(Y79,'Tag List'!$A:$B,2,),"")</f>
        <v>Closed or Deconsecrated Sites</v>
      </c>
      <c r="CA79" s="29" t="str">
        <f>IF(LEN(Z79)&gt;1,VLOOKUP(Z79,'Tag List'!$A:$B,2,),"")</f>
        <v/>
      </c>
      <c r="CB79" s="29" t="str">
        <f>IF(LEN(AA79)&gt;1,VLOOKUP(AA79,'Tag List'!$A:$B,2,),"")</f>
        <v/>
      </c>
      <c r="CC79" s="29" t="str">
        <f>IF(LEN(Y79)&gt;1,GetTagPage(BZ79,Y79),"")</f>
        <v>[Closed or Deconsecrated Sites](/tags/closed)</v>
      </c>
      <c r="CD79" s="29" t="str">
        <f>IF(LEN(Z79)&gt;1,GetTagPage(CA79,Z79),"")</f>
        <v/>
      </c>
      <c r="CE79" s="29" t="str">
        <f>IF(LEN(AA79)&gt;1,GetTagPage(CB79,AA79),"")</f>
        <v/>
      </c>
      <c r="CF79" s="29" t="str">
        <f>"|"&amp;IF(LEN(CC79)&gt;1," "&amp;CC79,"")&amp;IF(LEN(CD79)&gt;1,", "&amp;CD79,"")&amp;IF(LEN(CE79)&gt;1,", "&amp;CE79,"")&amp;" "</f>
        <v xml:space="preserve">| [Closed or Deconsecrated Sites](/tags/closed) </v>
      </c>
      <c r="CG79" s="29" t="str">
        <f t="shared" si="319"/>
        <v xml:space="preserve">| [](/places/us_tx-dallas-old-st-joseph) </v>
      </c>
      <c r="CH79" s="29" t="str">
        <f>"| "&amp;IF(AR79,GetTagPage(B79,VLOOKUP(B79,'(Ref) Countries'!A:C,3,)),B79)&amp; " "</f>
        <v xml:space="preserve">| [US Texas](/tags/usa
- texas) </v>
      </c>
      <c r="CI79" s="29" t="str">
        <f t="shared" si="320"/>
        <v xml:space="preserve">|  </v>
      </c>
      <c r="CJ79" s="29" t="str">
        <f>"|"&amp;IF(AR79," [Link](/places/"&amp;SUBSTITUTE(BY79,".md","")&amp;")","")&amp;" "</f>
        <v xml:space="preserve">| [Link](/places/us_tx-dallas-old-st-joseph) </v>
      </c>
      <c r="CK79" s="29" t="str">
        <f>"
"&amp;CG79&amp;CH79&amp;CI79&amp;CJ79&amp;BL79&amp;BQ79&amp;BR79&amp;BS79&amp;CF79&amp;"|"</f>
        <v xml:space="preserve">
| [](/places/us_tx-dallas-old-st-joseph) | [US Texas](/tags/usa
- texas) |  | [Link](/places/us_tx-dallas-old-st-joseph) | [Closed or Deconsecrated Sites](/tags/closed) |</v>
      </c>
    </row>
    <row r="80" spans="1:89" ht="87" x14ac:dyDescent="0.4">
      <c r="A80" s="14" t="s">
        <v>1320</v>
      </c>
      <c r="B80" s="24" t="s">
        <v>1951</v>
      </c>
      <c r="C80" s="15" t="s">
        <v>2055</v>
      </c>
      <c r="D80" s="15">
        <v>32.788721000000002</v>
      </c>
      <c r="E80" s="49">
        <v>-96.772652600000001</v>
      </c>
      <c r="F80" s="24" t="s">
        <v>2113</v>
      </c>
      <c r="G80" s="92" t="s">
        <v>2115</v>
      </c>
      <c r="H80" s="15" t="s">
        <v>1827</v>
      </c>
      <c r="I80" s="15" t="b">
        <v>1</v>
      </c>
      <c r="L80" s="85" t="s">
        <v>2114</v>
      </c>
      <c r="N80" s="93" t="s">
        <v>2117</v>
      </c>
      <c r="O80" s="96" t="s">
        <v>336</v>
      </c>
      <c r="P80" s="97" t="s">
        <v>2069</v>
      </c>
      <c r="Q80" s="15" t="s">
        <v>2116</v>
      </c>
      <c r="R80" s="95" t="s">
        <v>336</v>
      </c>
      <c r="Y80" s="93"/>
      <c r="AR80" s="28" t="b">
        <f t="shared" si="292"/>
        <v>1</v>
      </c>
      <c r="AS80" s="29" t="str">
        <f t="shared" si="398"/>
        <v>title: "St. Edward the Confessor Catholic Church, Dallas, TX"</v>
      </c>
      <c r="AT80" s="29" t="str">
        <f t="shared" si="293"/>
        <v>location: {lat: 32.788721, lng: -96.7726526}</v>
      </c>
      <c r="AU80" s="29" t="str">
        <f t="shared" si="399"/>
        <v>level: local</v>
      </c>
      <c r="AV80" s="29" t="str">
        <f>"- "&amp;VLOOKUP(B80,'(Ref) Countries'!A:C,3,)</f>
        <v>- usa
- texas</v>
      </c>
      <c r="AW80" s="29" t="str">
        <f t="shared" si="294"/>
        <v>- dallas</v>
      </c>
      <c r="AX80" s="29" t="str">
        <f t="shared" si="295"/>
        <v>- churches</v>
      </c>
      <c r="AY80" s="29" t="str">
        <f t="shared" si="296"/>
        <v/>
      </c>
      <c r="AZ80" s="29" t="str">
        <f t="shared" si="297"/>
        <v/>
      </c>
      <c r="BA80" s="29" t="str">
        <f t="shared" si="400"/>
        <v/>
      </c>
      <c r="BB80" s="29" t="str">
        <f t="shared" si="401"/>
        <v/>
      </c>
      <c r="BC80" s="29" t="str">
        <f t="shared" si="402"/>
        <v/>
      </c>
      <c r="BD80" s="29" t="str">
        <f t="shared" si="403"/>
        <v/>
      </c>
      <c r="BE80" s="29" t="str">
        <f t="shared" si="404"/>
        <v/>
      </c>
      <c r="BF80" s="29" t="str">
        <f t="shared" si="405"/>
        <v/>
      </c>
      <c r="BG80" s="29" t="str">
        <f t="shared" si="406"/>
        <v/>
      </c>
      <c r="BH80" s="29" t="str">
        <f t="shared" si="407"/>
        <v/>
      </c>
      <c r="BI80" s="29" t="str">
        <f t="shared" si="408"/>
        <v/>
      </c>
      <c r="BJ80" s="29" t="str">
        <f t="shared" si="409"/>
        <v/>
      </c>
      <c r="BK80" s="29" t="str">
        <f t="shared" si="410"/>
        <v xml:space="preserve">tags:
- usa
- texas_x000D_
- dallas_x000D_
- churches_x000D_
</v>
      </c>
      <c r="BL80" s="29" t="str">
        <f t="shared" si="309"/>
        <v>[Official site](https://stedwardparish.org/)</v>
      </c>
      <c r="BM80" s="29" t="str">
        <f t="shared" si="310"/>
        <v>[Parish history](https://stedwardparish.org/history-)</v>
      </c>
      <c r="BN80" s="29" t="str">
        <f t="shared" si="311"/>
        <v/>
      </c>
      <c r="BO80" s="29" t="str">
        <f t="shared" si="312"/>
        <v/>
      </c>
      <c r="BP80" s="29" t="str">
        <f t="shared" si="411"/>
        <v xml:space="preserve">* [Official site](https://stedwardparish.org/)
* [Parish history](https://stedwardparish.org/history-)
</v>
      </c>
      <c r="BQ80" s="29" t="str">
        <f t="shared" si="314"/>
        <v/>
      </c>
      <c r="BR80" s="29" t="str">
        <f t="shared" si="315"/>
        <v/>
      </c>
      <c r="BS80" s="29" t="str">
        <f t="shared" si="316"/>
        <v/>
      </c>
      <c r="BT80" s="29" t="str">
        <f>IF(LEN(_xludf.concat(BQ80:BS80))&gt;0,_xludf.concat("| ",BQ80," | ",BR80," | ",BS80," |"),"")</f>
        <v/>
      </c>
      <c r="BU80" s="29" t="str">
        <f t="shared" si="317"/>
        <v/>
      </c>
      <c r="BV80" s="29" t="str">
        <f>IF(LEN(BP80&amp;BU80)&gt;0,concatll("#### More Information",BP80,BU80),"")</f>
        <v xml:space="preserve">#### More Information_x000D_
_x000D_
* [Official site](https://stedwardparish.org/)
* [Parish history](https://stedwardparish.org/history-)
_x000D_
_x000D_
</v>
      </c>
      <c r="BW80" s="29" t="str">
        <f>IF(LEN(M80)&gt;1,concatll("#### Author's Note",M80),"")</f>
        <v/>
      </c>
      <c r="BX80" s="23" t="str">
        <f>IF(AR80,concatll(concatl("---",AS80:AU80,BK80,"---"),L80,BV80:BW80),"")</f>
        <v xml:space="preserve">---_x000D_
title: "St. Edward the Confessor Catholic Church, Dallas, TX"_x000D_
location: {lat: 32.788721, lng: -96.7726526}_x000D_
level: local_x000D_
tags:
- usa
- texas_x000D_
- dallas_x000D_
- churches_x000D_
_x000D_
---_x000D_
_x000D_
_x000D_
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Dallas._x000D_
_x000D_
#### More Information_x000D_
_x000D_
* [Official site](https://stedwardparish.org/)
* [Parish history](https://stedwardparish.org/history-)
_x000D_
_x000D_
_x000D_
_x000D_
</v>
      </c>
      <c r="BY80" s="31" t="str">
        <f>IF(AR80,VLOOKUP(B80,'(Ref) Countries'!A:B,2,)&amp;IF(LEN(C80)&gt;1,"-"&amp;LOWER(SUBSTITUTE(C80," ","-")),"")&amp;"-"&amp;LOWER(SUBSTITUTE(G80," ","-"))&amp;".md","")</f>
        <v>us_tx-dallas-st-edward.md</v>
      </c>
      <c r="BZ80" s="29" t="str">
        <f>IF(LEN(Y80)&gt;1,VLOOKUP(Y80,'Tag List'!$A:$B,2,),"")</f>
        <v/>
      </c>
      <c r="CA80" s="29" t="str">
        <f>IF(LEN(Z80)&gt;1,VLOOKUP(Z80,'Tag List'!$A:$B,2,),"")</f>
        <v/>
      </c>
      <c r="CB80" s="29" t="str">
        <f>IF(LEN(AA80)&gt;1,VLOOKUP(AA80,'Tag List'!$A:$B,2,),"")</f>
        <v/>
      </c>
      <c r="CC80" s="29" t="str">
        <f>IF(LEN(Y80)&gt;1,GetTagPage(BZ80,Y80),"")</f>
        <v/>
      </c>
      <c r="CD80" s="29" t="str">
        <f>IF(LEN(Z80)&gt;1,GetTagPage(CA80,Z80),"")</f>
        <v/>
      </c>
      <c r="CE80" s="29" t="str">
        <f>IF(LEN(AA80)&gt;1,GetTagPage(CB80,AA80),"")</f>
        <v/>
      </c>
      <c r="CF80" s="29" t="str">
        <f t="shared" si="412"/>
        <v xml:space="preserve">| </v>
      </c>
      <c r="CG80" s="29" t="str">
        <f t="shared" si="319"/>
        <v xml:space="preserve">| [](/places/us_tx-dallas-st-edward) </v>
      </c>
      <c r="CH80" s="29" t="str">
        <f>"| "&amp;IF(AR80,GetTagPage(B80,VLOOKUP(B80,'(Ref) Countries'!A:C,3,)),B80)&amp; " "</f>
        <v xml:space="preserve">| [US Texas](/tags/usa
- texas) </v>
      </c>
      <c r="CI80" s="29" t="str">
        <f t="shared" si="320"/>
        <v xml:space="preserve">|  </v>
      </c>
      <c r="CJ80" s="29" t="str">
        <f t="shared" si="413"/>
        <v xml:space="preserve">| [Link](/places/us_tx-dallas-st-edward) </v>
      </c>
      <c r="CK80" s="29" t="str">
        <f t="shared" si="414"/>
        <v xml:space="preserve">
| [](/places/us_tx-dallas-st-edward) | [US Texas](/tags/usa
- texas) |  | [Link](/places/us_tx-dallas-st-edward) [Official site](https://stedwardparish.org/)| |</v>
      </c>
    </row>
    <row r="81" spans="1:89" ht="24.9" x14ac:dyDescent="0.4">
      <c r="A81" s="14" t="s">
        <v>1320</v>
      </c>
      <c r="B81" s="24" t="s">
        <v>1951</v>
      </c>
      <c r="C81" s="15" t="s">
        <v>2055</v>
      </c>
      <c r="D81" s="15">
        <v>32.795037200000003</v>
      </c>
      <c r="E81" s="49">
        <v>-96.795031699999996</v>
      </c>
      <c r="F81" s="85" t="s">
        <v>2125</v>
      </c>
      <c r="G81" s="92" t="s">
        <v>2126</v>
      </c>
      <c r="H81" s="15" t="s">
        <v>1827</v>
      </c>
      <c r="I81" s="15" t="b">
        <v>1</v>
      </c>
      <c r="L81" s="85" t="s">
        <v>2127</v>
      </c>
      <c r="N81" s="93" t="s">
        <v>2129</v>
      </c>
      <c r="O81" s="96" t="s">
        <v>336</v>
      </c>
      <c r="P81" s="60" t="s">
        <v>2069</v>
      </c>
      <c r="Q81" s="15" t="s">
        <v>2128</v>
      </c>
      <c r="R81" s="95" t="s">
        <v>336</v>
      </c>
      <c r="AR81" s="28" t="b">
        <f t="shared" si="292"/>
        <v>1</v>
      </c>
      <c r="AS81" s="29" t="str">
        <f t="shared" si="398"/>
        <v>title: "St. Peter Catholic Church, Dallas, TX"</v>
      </c>
      <c r="AT81" s="29" t="str">
        <f t="shared" si="293"/>
        <v>location: {lat: 32.7950372, lng: -96.7950317}</v>
      </c>
      <c r="AU81" s="29" t="str">
        <f t="shared" si="399"/>
        <v>level: local</v>
      </c>
      <c r="AV81" s="29" t="str">
        <f>"- "&amp;VLOOKUP(B81,'(Ref) Countries'!A:C,3,)</f>
        <v>- usa
- texas</v>
      </c>
      <c r="AW81" s="29" t="str">
        <f t="shared" si="294"/>
        <v>- dallas</v>
      </c>
      <c r="AX81" s="29" t="str">
        <f t="shared" si="295"/>
        <v>- churches</v>
      </c>
      <c r="AY81" s="29" t="str">
        <f t="shared" si="296"/>
        <v/>
      </c>
      <c r="AZ81" s="29" t="str">
        <f t="shared" si="297"/>
        <v/>
      </c>
      <c r="BA81" s="29" t="str">
        <f t="shared" si="400"/>
        <v/>
      </c>
      <c r="BB81" s="29" t="str">
        <f t="shared" si="401"/>
        <v/>
      </c>
      <c r="BC81" s="29" t="str">
        <f t="shared" si="402"/>
        <v/>
      </c>
      <c r="BD81" s="29" t="str">
        <f t="shared" si="403"/>
        <v/>
      </c>
      <c r="BE81" s="29" t="str">
        <f t="shared" si="404"/>
        <v/>
      </c>
      <c r="BF81" s="29" t="str">
        <f t="shared" si="405"/>
        <v/>
      </c>
      <c r="BG81" s="29" t="str">
        <f t="shared" si="406"/>
        <v/>
      </c>
      <c r="BH81" s="29" t="str">
        <f t="shared" si="407"/>
        <v/>
      </c>
      <c r="BI81" s="29" t="str">
        <f t="shared" si="408"/>
        <v/>
      </c>
      <c r="BJ81" s="29" t="str">
        <f t="shared" si="409"/>
        <v/>
      </c>
      <c r="BK81" s="29" t="str">
        <f t="shared" si="410"/>
        <v xml:space="preserve">tags:
- usa
- texas_x000D_
- dallas_x000D_
- churches_x000D_
</v>
      </c>
      <c r="BL81" s="29" t="str">
        <f t="shared" si="309"/>
        <v>[Official site](https://stpeterdal.com/)</v>
      </c>
      <c r="BM81" s="29" t="str">
        <f t="shared" si="310"/>
        <v>[Parish history](https://stpeterdal.com/about/#History)</v>
      </c>
      <c r="BN81" s="29" t="str">
        <f t="shared" si="311"/>
        <v/>
      </c>
      <c r="BO81" s="29" t="str">
        <f t="shared" si="312"/>
        <v/>
      </c>
      <c r="BP81" s="29" t="str">
        <f t="shared" si="411"/>
        <v xml:space="preserve">* [Official site](https://stpeterdal.com/)
* [Parish history](https://stpeterdal.com/about/#History)
</v>
      </c>
      <c r="BQ81" s="29" t="str">
        <f t="shared" si="314"/>
        <v/>
      </c>
      <c r="BR81" s="29" t="str">
        <f t="shared" si="315"/>
        <v/>
      </c>
      <c r="BS81" s="29" t="str">
        <f t="shared" si="316"/>
        <v/>
      </c>
      <c r="BT81" s="29" t="str">
        <f>IF(LEN(_xludf.concat(BQ81:BS81))&gt;0,_xludf.concat("| ",BQ81," | ",BR81," | ",BS81," |"),"")</f>
        <v/>
      </c>
      <c r="BU81" s="29" t="str">
        <f t="shared" si="317"/>
        <v/>
      </c>
      <c r="BV81" s="29" t="str">
        <f>IF(LEN(BP81&amp;BU81)&gt;0,concatll("#### More Information",BP81,BU81),"")</f>
        <v xml:space="preserve">#### More Information_x000D_
_x000D_
* [Official site](https://stpeterdal.com/)
* [Parish history](https://stpeterdal.com/about/#History)
_x000D_
_x000D_
</v>
      </c>
      <c r="BW81" s="29" t="str">
        <f>IF(LEN(M81)&gt;1,concatll("#### Author's Note",M81),"")</f>
        <v/>
      </c>
      <c r="BX81" s="23" t="str">
        <f>IF(AR81,concatll(concatl("---",AS81:AU81,BK81,"---"),L81,BV81:BW81),"")</f>
        <v xml:space="preserve">---_x000D_
title: "St. Peter Catholic Church, Dallas, TX"_x000D_
location: {lat: 32.7950372, lng: -96.7950317}_x000D_
level: local_x000D_
tags:
- usa
- texas_x000D_
- dallas_x000D_
- churches_x000D_
_x000D_
---_x000D_
_x000D_
_x000D_
The first black parish in Dallas, founded in 1905, is now home to the area's Polish community._x000D_
_x000D_
#### More Information_x000D_
_x000D_
* [Official site](https://stpeterdal.com/)
* [Parish history](https://stpeterdal.com/about/#History)
_x000D_
_x000D_
_x000D_
_x000D_
</v>
      </c>
      <c r="BY81" s="31" t="str">
        <f>IF(AR81,VLOOKUP(B81,'(Ref) Countries'!A:B,2,)&amp;IF(LEN(C81)&gt;1,"-"&amp;LOWER(SUBSTITUTE(C81," ","-")),"")&amp;"-"&amp;LOWER(SUBSTITUTE(G81," ","-"))&amp;".md","")</f>
        <v>us_tx-dallas-st-peter.md</v>
      </c>
      <c r="BZ81" s="29" t="str">
        <f>IF(LEN(Y81)&gt;1,VLOOKUP(Y81,'Tag List'!$A:$B,2,),"")</f>
        <v/>
      </c>
      <c r="CA81" s="29" t="str">
        <f>IF(LEN(Z81)&gt;1,VLOOKUP(Z81,'Tag List'!$A:$B,2,),"")</f>
        <v/>
      </c>
      <c r="CB81" s="29" t="str">
        <f>IF(LEN(AA81)&gt;1,VLOOKUP(AA81,'Tag List'!$A:$B,2,),"")</f>
        <v/>
      </c>
      <c r="CC81" s="29" t="str">
        <f>IF(LEN(Y81)&gt;1,GetTagPage(BZ81,Y81),"")</f>
        <v/>
      </c>
      <c r="CD81" s="29" t="str">
        <f>IF(LEN(Z81)&gt;1,GetTagPage(CA81,Z81),"")</f>
        <v/>
      </c>
      <c r="CE81" s="29" t="str">
        <f>IF(LEN(AA81)&gt;1,GetTagPage(CB81,AA81),"")</f>
        <v/>
      </c>
      <c r="CF81" s="29" t="str">
        <f t="shared" si="412"/>
        <v xml:space="preserve">| </v>
      </c>
      <c r="CG81" s="29" t="str">
        <f t="shared" si="319"/>
        <v xml:space="preserve">| [](/places/us_tx-dallas-st-peter) </v>
      </c>
      <c r="CH81" s="29" t="str">
        <f>"| "&amp;IF(AR81,GetTagPage(B81,VLOOKUP(B81,'(Ref) Countries'!A:C,3,)),B81)&amp; " "</f>
        <v xml:space="preserve">| [US Texas](/tags/usa
- texas) </v>
      </c>
      <c r="CI81" s="29" t="str">
        <f t="shared" si="320"/>
        <v xml:space="preserve">|  </v>
      </c>
      <c r="CJ81" s="29" t="str">
        <f t="shared" si="413"/>
        <v xml:space="preserve">| [Link](/places/us_tx-dallas-st-peter) </v>
      </c>
      <c r="CK81" s="29" t="str">
        <f t="shared" si="414"/>
        <v xml:space="preserve">
| [](/places/us_tx-dallas-st-peter) | [US Texas](/tags/usa
- texas) |  | [Link](/places/us_tx-dallas-st-peter) [Official site](https://stpeterdal.com/)| |</v>
      </c>
    </row>
    <row r="82" spans="1:89" ht="37.299999999999997" x14ac:dyDescent="0.4">
      <c r="A82" s="14" t="s">
        <v>1320</v>
      </c>
      <c r="B82" s="103" t="s">
        <v>552</v>
      </c>
      <c r="C82" s="104" t="s">
        <v>2140</v>
      </c>
      <c r="D82" s="15">
        <v>40.655493983492804</v>
      </c>
      <c r="E82" s="49">
        <v>-4.7027560083925497</v>
      </c>
      <c r="F82" s="103" t="s">
        <v>2175</v>
      </c>
      <c r="G82" s="105" t="s">
        <v>2174</v>
      </c>
      <c r="H82" s="104" t="s">
        <v>1827</v>
      </c>
      <c r="I82" s="15" t="b">
        <v>1</v>
      </c>
      <c r="K82" s="15" t="b">
        <v>1</v>
      </c>
      <c r="L82" s="103" t="s">
        <v>2141</v>
      </c>
      <c r="N82" s="15" t="s">
        <v>2142</v>
      </c>
      <c r="O82" s="106" t="s">
        <v>336</v>
      </c>
      <c r="Y82" s="104" t="s">
        <v>2148</v>
      </c>
      <c r="Z82" s="15" t="s">
        <v>2144</v>
      </c>
      <c r="AA82" s="104" t="s">
        <v>1424</v>
      </c>
      <c r="AR82" s="28" t="b">
        <f t="shared" ref="AR82:AR101" si="416">IF(OR(A82="Done",A82="In Progress"),TRUE)</f>
        <v>1</v>
      </c>
      <c r="AS82" s="29" t="str">
        <f t="shared" ref="AS82:AS101" si="417">"title: """&amp;F82&amp;""""</f>
        <v>title: "Church and birthplace of St. Teresa of Jesus (Casa Natal Santa Teresa de Jesus)"</v>
      </c>
      <c r="AT82" s="29" t="str">
        <f t="shared" ref="AT82:AT101" si="418">"location: {lat: "&amp;D82&amp;", lng: "&amp;E82&amp;"}"</f>
        <v>location: {lat: 40.6554939834928, lng: -4.70275600839255}</v>
      </c>
      <c r="AU82" s="29" t="str">
        <f t="shared" ref="AU82:AU101" si="419">"level: "&amp;H82</f>
        <v>level: local</v>
      </c>
      <c r="AV82" s="29" t="str">
        <f>"- "&amp;VLOOKUP(B82,'(Ref) Countries'!A:C,3,)</f>
        <v>- spain</v>
      </c>
      <c r="AW82" s="29" t="str">
        <f t="shared" ref="AW82:AW101" si="420">IF(LEN(C82)&gt;1,"- "&amp;LOWER(SUBSTITUTE(C82," ","-")),"")</f>
        <v>- avila</v>
      </c>
      <c r="AX82" s="29" t="str">
        <f t="shared" ref="AX82:AX101" si="421">IF(I82,"- churches","")</f>
        <v>- churches</v>
      </c>
      <c r="AY82" s="29" t="str">
        <f t="shared" ref="AY82:AY101" si="422">IF(J82,"- marian-sites","")</f>
        <v/>
      </c>
      <c r="AZ82" s="29" t="str">
        <f t="shared" ref="AZ82:AZ101" si="423">IF(K82,"- holy-persons","")</f>
        <v>- holy-persons</v>
      </c>
      <c r="BA82" s="29" t="str">
        <f t="shared" ref="BA82:BA101" si="424">IF(LEN(Y82)&gt;0,"- "&amp;Y82,"")</f>
        <v>- teresa-avila</v>
      </c>
      <c r="BB82" s="29" t="str">
        <f t="shared" ref="BB82:BB101" si="425">IF(LEN(Z82)&gt;0,"- "&amp;Z82,"")</f>
        <v>- discalced-carmelites</v>
      </c>
      <c r="BC82" s="29" t="str">
        <f t="shared" ref="BC82:BC101" si="426">IF(LEN(AA82)&gt;0,"- "&amp;AA82,"")</f>
        <v>- communities</v>
      </c>
      <c r="BD82" s="29" t="str">
        <f t="shared" ref="BD82:BD101" si="427">IF(LEN(AB82)&gt;0,"- "&amp;AB82,"")</f>
        <v/>
      </c>
      <c r="BE82" s="29" t="str">
        <f t="shared" ref="BE82:BE101" si="428">IF(LEN(AC82)&gt;0,"- "&amp;AC82,"")</f>
        <v/>
      </c>
      <c r="BF82" s="29" t="str">
        <f t="shared" ref="BF82:BF101" si="429">IF(LEN(AD82)&gt;0,"- "&amp;AD82,"")</f>
        <v/>
      </c>
      <c r="BG82" s="29" t="str">
        <f t="shared" ref="BG82:BG101" si="430">IF(LEN(AE82)&gt;0,"- "&amp;AE82,"")</f>
        <v/>
      </c>
      <c r="BH82" s="29" t="str">
        <f t="shared" ref="BH82:BH101" si="431">IF(LEN(AF82)&gt;0,"- "&amp;AF82,"")</f>
        <v/>
      </c>
      <c r="BI82" s="29" t="str">
        <f t="shared" ref="BI82:BI101" si="432">IF(LEN(AG82)&gt;0,"- "&amp;AG82,"")</f>
        <v/>
      </c>
      <c r="BJ82" s="29" t="str">
        <f t="shared" ref="BJ82:BJ101" si="433">IF(LEN(AH82)&gt;0,"- "&amp;AH82,"")</f>
        <v/>
      </c>
      <c r="BK82" s="29" t="str">
        <f t="shared" ref="BK82:BK101" si="434">"tags:"&amp;CHAR(10)&amp;concatl(AV82:BJ82)</f>
        <v xml:space="preserve">tags:
- spain_x000D_
- avila_x000D_
- churches_x000D_
- holy-persons_x000D_
- teresa-avila_x000D_
- discalced-carmelites_x000D_
- communities_x000D_
</v>
      </c>
      <c r="BL82" s="29" t="str">
        <f t="shared" ref="BL82:BL101" si="435">IF(LEN(N82)&gt;0,TRIM(CONCATENATE("[Official site](",N82,") ",O82)),"")</f>
        <v>[Official site](https://www.teresadejesus.com/)</v>
      </c>
      <c r="BM82" s="29" t="str">
        <f t="shared" ref="BM82:BM101" si="436">IF(LEN(Q82)&gt;0,TRIM(CONCATENATE("["&amp;P82&amp;"](",Q82,") ",R82)),"")</f>
        <v/>
      </c>
      <c r="BN82" s="29" t="str">
        <f t="shared" ref="BN82:BN101" si="437">IF(LEN(T82)&gt;0,TRIM(CONCATENATE("["&amp;S82&amp;"](",T82,") ",U82)),"")</f>
        <v/>
      </c>
      <c r="BO82" s="29" t="str">
        <f t="shared" ref="BO82:BO101" si="438">IF(LEN(W82)&gt;0,TRIM(CONCATENATE("["&amp;V82&amp;"](",W82,") ",X82)),"")</f>
        <v/>
      </c>
      <c r="BP82" s="29" t="str">
        <f t="shared" ref="BP82:BP101" si="439">IF(LEN(BL82)&gt;0,"* "&amp;BL82&amp;CHAR(10),"")&amp;
IF(LEN(BM82)&gt;0,"* "&amp;BM82&amp;CHAR(10),"")&amp;
IF(LEN(BN82)&gt;0,"* "&amp;BN82&amp;CHAR(10),"")&amp;
IF(LEN(BO82)&gt;0,"* "&amp;BO82&amp;CHAR(10),"")</f>
        <v xml:space="preserve">* [Official site](https://www.teresadejesus.com/)
</v>
      </c>
      <c r="BQ82" s="29" t="str">
        <f t="shared" ref="BQ82:BQ101" si="440">IF(LEN(AK82)&gt;0,TRIM(CONCATENATE("[Link](",AK82,") ",AL82)),"")</f>
        <v/>
      </c>
      <c r="BR82" s="29" t="str">
        <f t="shared" ref="BR82:BR101" si="441">IF(LEN(AM82)&gt;0,TRIM(CONCATENATE("[Link](",AM82,") ",AN82)),"")</f>
        <v/>
      </c>
      <c r="BS82" s="29" t="str">
        <f t="shared" ref="BS82:BS101" si="442">IF(LEN(AO82)&gt;0,TRIM(CONCATENATE("[Link](",AO82,") ",AP82)),"")</f>
        <v/>
      </c>
      <c r="BT82" s="29" t="str">
        <f>IF(LEN(_xludf.concat(BQ82:BS82))&gt;0,_xludf.concat("| ",BQ82," | ",BR82," | ",BS82," |"),"")</f>
        <v/>
      </c>
      <c r="BU82" s="29" t="str">
        <f t="shared" ref="BU82:BU101" si="443">IF(J82,concatl("| The Real Presence | Miracle Hunter | MaryPages |","| --- | --- | --- |",BT82),"")</f>
        <v/>
      </c>
      <c r="BV82" s="29" t="str">
        <f>IF(LEN(BP82&amp;BU82)&gt;0,concatll("#### More Information",BP82,BU82),"")</f>
        <v xml:space="preserve">#### More Information_x000D_
_x000D_
* [Official site](https://www.teresadejesus.com/)
_x000D_
_x000D_
</v>
      </c>
      <c r="BW82" s="29" t="str">
        <f>IF(LEN(M82)&gt;1,concatll("#### Author's Note",M82),"")</f>
        <v/>
      </c>
      <c r="BX82" s="23" t="str">
        <f>IF(AR82,concatll(concatl("---",AS82:AU82,BK82,"---"),L82,BV82:BW82),"")</f>
        <v xml:space="preserve">---_x000D_
title: "Church and birthplace of St. Teresa of Jesus (Casa Natal Santa Teresa de Jesus)"_x000D_
location: {lat: 40.6554939834928, lng: -4.70275600839255}_x000D_
level: local_x000D_
tags:
- spain_x000D_
- avila_x000D_
- churches_x000D_
- holy-persons_x000D_
- teresa-avila_x000D_
- discalced-carmelites_x000D_
- communities_x000D_
_x000D_
---_x000D_
_x000D_
_x000D_
This 17th-century church, run by the Discalced Carmelites, marks the spot where St Teresa of Avila is believed to have been born. The church houses a museum dedicated to her life and works._x000D_
_x000D_
#### More Information_x000D_
_x000D_
* [Official site](https://www.teresadejesus.com/)
_x000D_
_x000D_
_x000D_
_x000D_
</v>
      </c>
      <c r="BY82" s="31" t="str">
        <f>IF(AR82,VLOOKUP(B82,'(Ref) Countries'!A:B,2,)&amp;IF(LEN(C82)&gt;1,"-"&amp;LOWER(SUBSTITUTE(C82," ","-")),"")&amp;"-"&amp;LOWER(SUBSTITUTE(G82," ","-"))&amp;".md","")</f>
        <v>es-avila-casa-natal-santa-teresa-de-jesus.md</v>
      </c>
      <c r="BZ82" s="29" t="str">
        <f>IF(LEN(Y82)&gt;1,VLOOKUP(Y82,'Tag List'!$A:$B,2,),"")</f>
        <v>St. Teresa of Avila, OCD</v>
      </c>
      <c r="CA82" s="29" t="str">
        <f>IF(LEN(Z82)&gt;1,VLOOKUP(Z82,'Tag List'!$A:$B,2,),"")</f>
        <v>Discalced Carmelites (Order of Discalced Carmelites)</v>
      </c>
      <c r="CB82" s="29" t="str">
        <f>IF(LEN(AA82)&gt;1,VLOOKUP(AA82,'Tag List'!$A:$B,2,),"")</f>
        <v>Religious Communities</v>
      </c>
      <c r="CC82" s="29" t="str">
        <f>IF(LEN(Y82)&gt;1,GetTagPage(BZ82,Y82),"")</f>
        <v>[St. Teresa of Avila, OCD](/tags/teresa-avila)</v>
      </c>
      <c r="CD82" s="29" t="str">
        <f>IF(LEN(Z82)&gt;1,GetTagPage(CA82,Z82),"")</f>
        <v>[Discalced Carmelites (Order of Discalced Carmelites)](/tags/discalced-carmelites)</v>
      </c>
      <c r="CE82" s="29" t="str">
        <f>IF(LEN(AA82)&gt;1,GetTagPage(CB82,AA82),"")</f>
        <v>[Religious Communities](/tags/communities)</v>
      </c>
      <c r="CF82" s="29" t="str">
        <f t="shared" ref="CF82:CF101" si="444">"|"&amp;IF(LEN(CC82)&gt;1," "&amp;CC82,"")&amp;IF(LEN(CD82)&gt;1,", "&amp;CD82,"")&amp;IF(LEN(CE82)&gt;1,", "&amp;CE82,"")&amp;" "</f>
        <v xml:space="preserve">| [St. Teresa of Avila, OCD](/tags/teresa-avila), [Discalced Carmelites (Order of Discalced Carmelites)](/tags/discalced-carmelites), [Religious Communities](/tags/communities) </v>
      </c>
      <c r="CG82" s="29" t="str">
        <f t="shared" ref="CG82:CG101" si="445">"| "&amp;IF(AR82,"["&amp;AI82&amp;"](/places/"&amp;SUBSTITUTE(BY82,".md","")&amp;")",AI82)&amp;" "</f>
        <v xml:space="preserve">| [](/places/es-avila-casa-natal-santa-teresa-de-jesus) </v>
      </c>
      <c r="CH82" s="29" t="str">
        <f>"| "&amp;IF(AR82,GetTagPage(B82,VLOOKUP(B82,'(Ref) Countries'!A:C,3,)),B82)&amp; " "</f>
        <v xml:space="preserve">| [Spain](/tags/spain) </v>
      </c>
      <c r="CI82" s="29" t="str">
        <f t="shared" ref="CI82:CI101" si="446">"| "&amp;AJ82&amp;" "</f>
        <v xml:space="preserve">|  </v>
      </c>
      <c r="CJ82" s="29" t="str">
        <f t="shared" ref="CJ82:CJ101" si="447">"|"&amp;IF(AR82," [Link](/places/"&amp;SUBSTITUTE(BY82,".md","")&amp;")","")&amp;" "</f>
        <v xml:space="preserve">| [Link](/places/es-avila-casa-natal-santa-teresa-de-jesus) </v>
      </c>
      <c r="CK82" s="29" t="str">
        <f t="shared" ref="CK82:CK101" si="448">"
"&amp;CG82&amp;CH82&amp;CI82&amp;CJ82&amp;BL82&amp;BQ82&amp;BR82&amp;BS82&amp;CF82&amp;"|"</f>
        <v xml:space="preserve">
| [](/places/es-avila-casa-natal-santa-teresa-de-jesus) | [Spain](/tags/spain) |  | [Link](/places/es-avila-casa-natal-santa-teresa-de-jesus) [Official site](https://www.teresadejesus.com/)| [St. Teresa of Avila, OCD](/tags/teresa-avila), [Discalced Carmelites (Order of Discalced Carmelites)](/tags/discalced-carmelites), [Religious Communities](/tags/communities) |</v>
      </c>
    </row>
    <row r="83" spans="1:89" ht="99.45" x14ac:dyDescent="0.4">
      <c r="A83" s="14" t="s">
        <v>1320</v>
      </c>
      <c r="B83" s="24" t="s">
        <v>552</v>
      </c>
      <c r="C83" s="15" t="s">
        <v>2140</v>
      </c>
      <c r="D83" s="15">
        <v>40.662828044541399</v>
      </c>
      <c r="E83" s="49">
        <v>-4.6997760138995996</v>
      </c>
      <c r="F83" s="103" t="s">
        <v>2155</v>
      </c>
      <c r="G83" s="105" t="s">
        <v>2154</v>
      </c>
      <c r="H83" s="15" t="s">
        <v>1827</v>
      </c>
      <c r="I83" s="15" t="b">
        <v>1</v>
      </c>
      <c r="K83" s="15" t="b">
        <v>1</v>
      </c>
      <c r="L83" s="103" t="s">
        <v>2281</v>
      </c>
      <c r="O83" s="15" t="s">
        <v>336</v>
      </c>
      <c r="P83" s="108" t="s">
        <v>2151</v>
      </c>
      <c r="Q83" s="15" t="s">
        <v>2152</v>
      </c>
      <c r="R83" s="109" t="s">
        <v>336</v>
      </c>
      <c r="Y83" s="15" t="s">
        <v>2148</v>
      </c>
      <c r="Z83" s="104" t="s">
        <v>2144</v>
      </c>
      <c r="AA83" s="104" t="s">
        <v>1424</v>
      </c>
      <c r="AB83" s="104" t="s">
        <v>2147</v>
      </c>
      <c r="AR83" s="28" t="b">
        <f t="shared" si="416"/>
        <v>1</v>
      </c>
      <c r="AS83" s="29" t="str">
        <f t="shared" si="417"/>
        <v>title: "Monastery of the Incarnation (Monasterio de La Encarnacion)"</v>
      </c>
      <c r="AT83" s="29" t="str">
        <f t="shared" si="418"/>
        <v>location: {lat: 40.6628280445414, lng: -4.6997760138996}</v>
      </c>
      <c r="AU83" s="29" t="str">
        <f t="shared" si="419"/>
        <v>level: local</v>
      </c>
      <c r="AV83" s="29" t="str">
        <f>"- "&amp;VLOOKUP(B83,'(Ref) Countries'!A:C,3,)</f>
        <v>- spain</v>
      </c>
      <c r="AW83" s="29" t="str">
        <f t="shared" si="420"/>
        <v>- avila</v>
      </c>
      <c r="AX83" s="29" t="str">
        <f t="shared" si="421"/>
        <v>- churches</v>
      </c>
      <c r="AY83" s="29" t="str">
        <f t="shared" si="422"/>
        <v/>
      </c>
      <c r="AZ83" s="29" t="str">
        <f t="shared" si="423"/>
        <v>- holy-persons</v>
      </c>
      <c r="BA83" s="29" t="str">
        <f t="shared" si="424"/>
        <v>- teresa-avila</v>
      </c>
      <c r="BB83" s="29" t="str">
        <f t="shared" si="425"/>
        <v>- discalced-carmelites</v>
      </c>
      <c r="BC83" s="29" t="str">
        <f t="shared" si="426"/>
        <v>- communities</v>
      </c>
      <c r="BD83" s="29" t="str">
        <f t="shared" si="427"/>
        <v>- john-cross</v>
      </c>
      <c r="BE83" s="29" t="str">
        <f t="shared" si="428"/>
        <v/>
      </c>
      <c r="BF83" s="29" t="str">
        <f t="shared" si="429"/>
        <v/>
      </c>
      <c r="BG83" s="29" t="str">
        <f t="shared" si="430"/>
        <v/>
      </c>
      <c r="BH83" s="29" t="str">
        <f t="shared" si="431"/>
        <v/>
      </c>
      <c r="BI83" s="29" t="str">
        <f t="shared" si="432"/>
        <v/>
      </c>
      <c r="BJ83" s="29" t="str">
        <f t="shared" si="433"/>
        <v/>
      </c>
      <c r="BK83" s="29" t="str">
        <f t="shared" si="434"/>
        <v xml:space="preserve">tags:
- spain_x000D_
- avila_x000D_
- churches_x000D_
- holy-persons_x000D_
- teresa-avila_x000D_
- discalced-carmelites_x000D_
- communities_x000D_
- john-cross_x000D_
</v>
      </c>
      <c r="BL83" s="29" t="str">
        <f t="shared" si="435"/>
        <v/>
      </c>
      <c r="BM83" s="29" t="str">
        <f t="shared" si="436"/>
        <v>[Avila tourism site](https://www.avilaturismo.com/en/monatery-of-la-encarnacion)</v>
      </c>
      <c r="BN83" s="29" t="str">
        <f t="shared" si="437"/>
        <v/>
      </c>
      <c r="BO83" s="29" t="str">
        <f t="shared" si="438"/>
        <v/>
      </c>
      <c r="BP83" s="29" t="str">
        <f t="shared" si="439"/>
        <v xml:space="preserve">* [Avila tourism site](https://www.avilaturismo.com/en/monatery-of-la-encarnacion)
</v>
      </c>
      <c r="BQ83" s="29" t="str">
        <f t="shared" si="440"/>
        <v/>
      </c>
      <c r="BR83" s="29" t="str">
        <f t="shared" si="441"/>
        <v/>
      </c>
      <c r="BS83" s="29" t="str">
        <f t="shared" si="442"/>
        <v/>
      </c>
      <c r="BT83" s="29" t="str">
        <f>IF(LEN(_xludf.concat(BQ83:BS83))&gt;0,_xludf.concat("| ",BQ83," | ",BR83," | ",BS83," |"),"")</f>
        <v/>
      </c>
      <c r="BU83" s="29" t="str">
        <f t="shared" si="443"/>
        <v/>
      </c>
      <c r="BV83" s="29" t="str">
        <f>IF(LEN(BP83&amp;BU83)&gt;0,concatll("#### More Information",BP83,BU83),"")</f>
        <v xml:space="preserve">#### More Information_x000D_
_x000D_
* [Avila tourism site](https://www.avilaturismo.com/en/monatery-of-la-encarnacion)
_x000D_
_x000D_
</v>
      </c>
      <c r="BW83" s="29" t="str">
        <f>IF(LEN(M83)&gt;1,concatll("#### Author's Note",M83),"")</f>
        <v/>
      </c>
      <c r="BX83" s="23" t="str">
        <f>IF(AR83,concatll(concatl("---",AS83:AU83,BK83,"---"),L83,BV83:BW83),"")</f>
        <v xml:space="preserve">---_x000D_
title: "Monastery of the Incarnation (Monasterio de La Encarnacion)"_x000D_
location: {lat: 40.6628280445414, lng: -4.6997760138996}_x000D_
level: local_x000D_
tags:
- spain_x000D_
- avila_x000D_
- churches_x000D_
- holy-persons_x000D_
- teresa-avila_x000D_
- discalced-carmelites_x000D_
- communities_x000D_
- john-cross_x000D_
_x000D_
---_x000D_
_x000D_
_x000D_
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museum._x000D_
_x000D_
#### More Information_x000D_
_x000D_
* [Avila tourism site](https://www.avilaturismo.com/en/monatery-of-la-encarnacion)
_x000D_
_x000D_
_x000D_
_x000D_
</v>
      </c>
      <c r="BY83" s="31" t="str">
        <f>IF(AR83,VLOOKUP(B83,'(Ref) Countries'!A:B,2,)&amp;IF(LEN(C83)&gt;1,"-"&amp;LOWER(SUBSTITUTE(C83," ","-")),"")&amp;"-"&amp;LOWER(SUBSTITUTE(G83," ","-"))&amp;".md","")</f>
        <v>es-avila-monasterio-de-la-encarnacion.md</v>
      </c>
      <c r="BZ83" s="29" t="str">
        <f>IF(LEN(Y83)&gt;1,VLOOKUP(Y83,'Tag List'!$A:$B,2,),"")</f>
        <v>St. Teresa of Avila, OCD</v>
      </c>
      <c r="CA83" s="29" t="str">
        <f>IF(LEN(Z83)&gt;1,VLOOKUP(Z83,'Tag List'!$A:$B,2,),"")</f>
        <v>Discalced Carmelites (Order of Discalced Carmelites)</v>
      </c>
      <c r="CB83" s="29" t="str">
        <f>IF(LEN(AA83)&gt;1,VLOOKUP(AA83,'Tag List'!$A:$B,2,),"")</f>
        <v>Religious Communities</v>
      </c>
      <c r="CC83" s="29" t="str">
        <f>IF(LEN(Y83)&gt;1,GetTagPage(BZ83,Y83),"")</f>
        <v>[St. Teresa of Avila, OCD](/tags/teresa-avila)</v>
      </c>
      <c r="CD83" s="29" t="str">
        <f>IF(LEN(Z83)&gt;1,GetTagPage(CA83,Z83),"")</f>
        <v>[Discalced Carmelites (Order of Discalced Carmelites)](/tags/discalced-carmelites)</v>
      </c>
      <c r="CE83" s="29" t="str">
        <f>IF(LEN(AA83)&gt;1,GetTagPage(CB83,AA83),"")</f>
        <v>[Religious Communities](/tags/communities)</v>
      </c>
      <c r="CF83" s="29" t="str">
        <f t="shared" si="444"/>
        <v xml:space="preserve">| [St. Teresa of Avila, OCD](/tags/teresa-avila), [Discalced Carmelites (Order of Discalced Carmelites)](/tags/discalced-carmelites), [Religious Communities](/tags/communities) </v>
      </c>
      <c r="CG83" s="29" t="str">
        <f t="shared" si="445"/>
        <v xml:space="preserve">| [](/places/es-avila-monasterio-de-la-encarnacion) </v>
      </c>
      <c r="CH83" s="29" t="str">
        <f>"| "&amp;IF(AR83,GetTagPage(B83,VLOOKUP(B83,'(Ref) Countries'!A:C,3,)),B83)&amp; " "</f>
        <v xml:space="preserve">| [Spain](/tags/spain) </v>
      </c>
      <c r="CI83" s="29" t="str">
        <f t="shared" si="446"/>
        <v xml:space="preserve">|  </v>
      </c>
      <c r="CJ83" s="29" t="str">
        <f t="shared" si="447"/>
        <v xml:space="preserve">| [Link](/places/es-avila-monasterio-de-la-encarnacion) </v>
      </c>
      <c r="CK83" s="29" t="str">
        <f t="shared" si="448"/>
        <v xml:space="preserve">
| [](/places/es-avila-monasterio-de-la-encarnacion) | [Spain](/tags/spain) |  | [Link](/places/es-avila-monasterio-de-la-encarnacion) | [St. Teresa of Avila, OCD](/tags/teresa-avila), [Discalced Carmelites (Order of Discalced Carmelites)](/tags/discalced-carmelites), [Religious Communities](/tags/communities) |</v>
      </c>
    </row>
    <row r="84" spans="1:89" ht="24.9" x14ac:dyDescent="0.4">
      <c r="A84" s="14" t="s">
        <v>1320</v>
      </c>
      <c r="B84" s="24" t="s">
        <v>552</v>
      </c>
      <c r="C84" s="15" t="s">
        <v>2140</v>
      </c>
      <c r="D84" s="15">
        <v>40.655097925791601</v>
      </c>
      <c r="E84" s="49">
        <v>-4.6919360712877101</v>
      </c>
      <c r="F84" s="103" t="s">
        <v>2167</v>
      </c>
      <c r="G84" s="53" t="s">
        <v>2153</v>
      </c>
      <c r="H84" s="15" t="s">
        <v>1827</v>
      </c>
      <c r="I84" s="15" t="b">
        <v>1</v>
      </c>
      <c r="K84" s="15" t="b">
        <v>1</v>
      </c>
      <c r="L84" s="103" t="s">
        <v>2186</v>
      </c>
      <c r="N84" s="15" t="s">
        <v>2157</v>
      </c>
      <c r="O84" s="15" t="s">
        <v>1818</v>
      </c>
      <c r="P84" s="60" t="s">
        <v>2151</v>
      </c>
      <c r="Q84" s="15" t="s">
        <v>2156</v>
      </c>
      <c r="R84" s="64" t="s">
        <v>336</v>
      </c>
      <c r="Y84" s="15" t="s">
        <v>2148</v>
      </c>
      <c r="Z84" s="15" t="s">
        <v>2144</v>
      </c>
      <c r="AA84" s="104" t="s">
        <v>1424</v>
      </c>
      <c r="AR84" s="28" t="b">
        <f t="shared" si="416"/>
        <v>1</v>
      </c>
      <c r="AS84" s="29" t="str">
        <f t="shared" si="417"/>
        <v>title: "Convento de San Jose, Avila"</v>
      </c>
      <c r="AT84" s="29" t="str">
        <f t="shared" si="418"/>
        <v>location: {lat: 40.6550979257916, lng: -4.69193607128771}</v>
      </c>
      <c r="AU84" s="29" t="str">
        <f t="shared" si="419"/>
        <v>level: local</v>
      </c>
      <c r="AV84" s="29" t="str">
        <f>"- "&amp;VLOOKUP(B84,'(Ref) Countries'!A:C,3,)</f>
        <v>- spain</v>
      </c>
      <c r="AW84" s="29" t="str">
        <f t="shared" si="420"/>
        <v>- avila</v>
      </c>
      <c r="AX84" s="29" t="str">
        <f t="shared" si="421"/>
        <v>- churches</v>
      </c>
      <c r="AY84" s="29" t="str">
        <f t="shared" si="422"/>
        <v/>
      </c>
      <c r="AZ84" s="29" t="str">
        <f t="shared" si="423"/>
        <v>- holy-persons</v>
      </c>
      <c r="BA84" s="29" t="str">
        <f t="shared" si="424"/>
        <v>- teresa-avila</v>
      </c>
      <c r="BB84" s="29" t="str">
        <f t="shared" si="425"/>
        <v>- discalced-carmelites</v>
      </c>
      <c r="BC84" s="29" t="str">
        <f t="shared" si="426"/>
        <v>- communities</v>
      </c>
      <c r="BD84" s="29" t="str">
        <f t="shared" si="427"/>
        <v/>
      </c>
      <c r="BE84" s="29" t="str">
        <f t="shared" si="428"/>
        <v/>
      </c>
      <c r="BF84" s="29" t="str">
        <f t="shared" si="429"/>
        <v/>
      </c>
      <c r="BG84" s="29" t="str">
        <f t="shared" si="430"/>
        <v/>
      </c>
      <c r="BH84" s="29" t="str">
        <f t="shared" si="431"/>
        <v/>
      </c>
      <c r="BI84" s="29" t="str">
        <f t="shared" si="432"/>
        <v/>
      </c>
      <c r="BJ84" s="29" t="str">
        <f t="shared" si="433"/>
        <v/>
      </c>
      <c r="BK84" s="29" t="str">
        <f t="shared" si="434"/>
        <v xml:space="preserve">tags:
- spain_x000D_
- avila_x000D_
- churches_x000D_
- holy-persons_x000D_
- teresa-avila_x000D_
- discalced-carmelites_x000D_
- communities_x000D_
</v>
      </c>
      <c r="BL84" s="29" t="str">
        <f t="shared" si="435"/>
        <v>[Official site](http://www.sanjosedeavila.es/) (note: website not active at time of writing)</v>
      </c>
      <c r="BM84" s="29" t="str">
        <f t="shared" si="436"/>
        <v>[Avila tourism site](https://www.avilaturismo.com/en/convent-and-church-of-san-jose)</v>
      </c>
      <c r="BN84" s="29" t="str">
        <f t="shared" si="437"/>
        <v/>
      </c>
      <c r="BO84" s="29" t="str">
        <f t="shared" si="438"/>
        <v/>
      </c>
      <c r="BP84" s="29" t="str">
        <f t="shared" si="439"/>
        <v xml:space="preserve">* [Official site](http://www.sanjosedeavila.es/) (note: website not active at time of writing)
* [Avila tourism site](https://www.avilaturismo.com/en/convent-and-church-of-san-jose)
</v>
      </c>
      <c r="BQ84" s="29" t="str">
        <f t="shared" si="440"/>
        <v/>
      </c>
      <c r="BR84" s="29" t="str">
        <f t="shared" si="441"/>
        <v/>
      </c>
      <c r="BS84" s="29" t="str">
        <f t="shared" si="442"/>
        <v/>
      </c>
      <c r="BT84" s="29" t="str">
        <f>IF(LEN(_xludf.concat(BQ84:BS84))&gt;0,_xludf.concat("| ",BQ84," | ",BR84," | ",BS84," |"),"")</f>
        <v/>
      </c>
      <c r="BU84" s="29" t="str">
        <f t="shared" si="443"/>
        <v/>
      </c>
      <c r="BV84" s="29" t="str">
        <f>IF(LEN(BP84&amp;BU84)&gt;0,concatll("#### More Information",BP84,BU84),"")</f>
        <v xml:space="preserve">#### More Information_x000D_
_x000D_
* [Official site](http://www.sanjosedeavila.es/) (note: website not active at time of writing)
* [Avila tourism site](https://www.avilaturismo.com/en/convent-and-church-of-san-jose)
_x000D_
_x000D_
</v>
      </c>
      <c r="BW84" s="29" t="str">
        <f>IF(LEN(M84)&gt;1,concatll("#### Author's Note",M84),"")</f>
        <v/>
      </c>
      <c r="BX84" s="23" t="str">
        <f>IF(AR84,concatll(concatl("---",AS84:AU84,BK84,"---"),L84,BV84:BW84),"")</f>
        <v xml:space="preserve">---_x000D_
title: "Convento de San Jose, Avila"_x000D_
location: {lat: 40.6550979257916, lng: -4.69193607128771}_x000D_
level: local_x000D_
tags:
- spain_x000D_
- avila_x000D_
- churches_x000D_
- holy-persons_x000D_
- teresa-avila_x000D_
- discalced-carmelites_x000D_
- communities_x000D_
_x000D_
---_x000D_
_x000D_
_x000D_
The first of 17 communities founded by St. Teresa of Avila, in 1562. Visitors can explore the church, cloister, and St. Teresa's cell, now a chapel dedicated to prayer._x000D_
_x000D_
#### More Information_x000D_
_x000D_
* [Official site](http://www.sanjosedeavila.es/) (note: website not active at time of writing)
* [Avila tourism site](https://www.avilaturismo.com/en/convent-and-church-of-san-jose)
_x000D_
_x000D_
_x000D_
_x000D_
</v>
      </c>
      <c r="BY84" s="31" t="str">
        <f>IF(AR84,VLOOKUP(B84,'(Ref) Countries'!A:B,2,)&amp;IF(LEN(C84)&gt;1,"-"&amp;LOWER(SUBSTITUTE(C84," ","-")),"")&amp;"-"&amp;LOWER(SUBSTITUTE(G84," ","-"))&amp;".md","")</f>
        <v>es-avila-convento-de-san-jose.md</v>
      </c>
      <c r="BZ84" s="29" t="str">
        <f>IF(LEN(Y84)&gt;1,VLOOKUP(Y84,'Tag List'!$A:$B,2,),"")</f>
        <v>St. Teresa of Avila, OCD</v>
      </c>
      <c r="CA84" s="29" t="str">
        <f>IF(LEN(Z84)&gt;1,VLOOKUP(Z84,'Tag List'!$A:$B,2,),"")</f>
        <v>Discalced Carmelites (Order of Discalced Carmelites)</v>
      </c>
      <c r="CB84" s="29" t="str">
        <f>IF(LEN(AA84)&gt;1,VLOOKUP(AA84,'Tag List'!$A:$B,2,),"")</f>
        <v>Religious Communities</v>
      </c>
      <c r="CC84" s="29" t="str">
        <f>IF(LEN(Y84)&gt;1,GetTagPage(BZ84,Y84),"")</f>
        <v>[St. Teresa of Avila, OCD](/tags/teresa-avila)</v>
      </c>
      <c r="CD84" s="29" t="str">
        <f>IF(LEN(Z84)&gt;1,GetTagPage(CA84,Z84),"")</f>
        <v>[Discalced Carmelites (Order of Discalced Carmelites)](/tags/discalced-carmelites)</v>
      </c>
      <c r="CE84" s="29" t="str">
        <f>IF(LEN(AA84)&gt;1,GetTagPage(CB84,AA84),"")</f>
        <v>[Religious Communities](/tags/communities)</v>
      </c>
      <c r="CF84" s="29" t="str">
        <f t="shared" si="444"/>
        <v xml:space="preserve">| [St. Teresa of Avila, OCD](/tags/teresa-avila), [Discalced Carmelites (Order of Discalced Carmelites)](/tags/discalced-carmelites), [Religious Communities](/tags/communities) </v>
      </c>
      <c r="CG84" s="29" t="str">
        <f t="shared" si="445"/>
        <v xml:space="preserve">| [](/places/es-avila-convento-de-san-jose) </v>
      </c>
      <c r="CH84" s="29" t="str">
        <f>"| "&amp;IF(AR84,GetTagPage(B84,VLOOKUP(B84,'(Ref) Countries'!A:C,3,)),B84)&amp; " "</f>
        <v xml:space="preserve">| [Spain](/tags/spain) </v>
      </c>
      <c r="CI84" s="29" t="str">
        <f t="shared" si="446"/>
        <v xml:space="preserve">|  </v>
      </c>
      <c r="CJ84" s="29" t="str">
        <f t="shared" si="447"/>
        <v xml:space="preserve">| [Link](/places/es-avila-convento-de-san-jose) </v>
      </c>
      <c r="CK84" s="29" t="str">
        <f t="shared" si="448"/>
        <v xml:space="preserve">
| [](/places/es-avila-convento-de-san-jose) | [Spain](/tags/spain) |  | [Link](/places/es-avila-convento-de-san-jose) [Official site](http://www.sanjosedeavila.es/) (note: website not active at time of writing)| [St. Teresa of Avila, OCD](/tags/teresa-avila), [Discalced Carmelites (Order of Discalced Carmelites)](/tags/discalced-carmelites), [Religious Communities](/tags/communities) |</v>
      </c>
    </row>
    <row r="85" spans="1:89" ht="49.75" x14ac:dyDescent="0.4">
      <c r="A85" s="14" t="s">
        <v>1320</v>
      </c>
      <c r="B85" s="24" t="s">
        <v>552</v>
      </c>
      <c r="C85" s="104" t="s">
        <v>2168</v>
      </c>
      <c r="D85" s="15">
        <v>41.311399847334698</v>
      </c>
      <c r="E85" s="49">
        <v>-4.9193248846553699</v>
      </c>
      <c r="F85" s="103" t="s">
        <v>2169</v>
      </c>
      <c r="G85" s="53" t="s">
        <v>2153</v>
      </c>
      <c r="H85" s="15" t="s">
        <v>1827</v>
      </c>
      <c r="I85" s="15" t="b">
        <v>1</v>
      </c>
      <c r="K85" s="15" t="b">
        <v>1</v>
      </c>
      <c r="L85" s="103" t="s">
        <v>2261</v>
      </c>
      <c r="P85" s="108" t="s">
        <v>2257</v>
      </c>
      <c r="Q85" s="15" t="s">
        <v>2258</v>
      </c>
      <c r="R85" s="109" t="s">
        <v>336</v>
      </c>
      <c r="S85" s="108" t="s">
        <v>2259</v>
      </c>
      <c r="T85" s="15" t="s">
        <v>2260</v>
      </c>
      <c r="U85" s="64" t="s">
        <v>1818</v>
      </c>
      <c r="V85" s="106" t="s">
        <v>336</v>
      </c>
      <c r="Y85" s="15" t="s">
        <v>2148</v>
      </c>
      <c r="Z85" s="15" t="s">
        <v>2144</v>
      </c>
      <c r="AA85" s="15" t="s">
        <v>1424</v>
      </c>
      <c r="AB85" s="15" t="s">
        <v>2147</v>
      </c>
      <c r="AR85" s="28" t="b">
        <f t="shared" si="416"/>
        <v>1</v>
      </c>
      <c r="AS85" s="29" t="str">
        <f t="shared" si="417"/>
        <v>title: "Convento de San Jose, Medina del Campo"</v>
      </c>
      <c r="AT85" s="29" t="str">
        <f t="shared" si="418"/>
        <v>location: {lat: 41.3113998473347, lng: -4.91932488465537}</v>
      </c>
      <c r="AU85" s="29" t="str">
        <f t="shared" si="419"/>
        <v>level: local</v>
      </c>
      <c r="AV85" s="29" t="str">
        <f>"- "&amp;VLOOKUP(B85,'(Ref) Countries'!A:C,3,)</f>
        <v>- spain</v>
      </c>
      <c r="AW85" s="29" t="str">
        <f t="shared" si="420"/>
        <v>- medina-del-campo</v>
      </c>
      <c r="AX85" s="29" t="str">
        <f t="shared" si="421"/>
        <v>- churches</v>
      </c>
      <c r="AY85" s="29" t="str">
        <f t="shared" si="422"/>
        <v/>
      </c>
      <c r="AZ85" s="29" t="str">
        <f t="shared" si="423"/>
        <v>- holy-persons</v>
      </c>
      <c r="BA85" s="29" t="str">
        <f t="shared" si="424"/>
        <v>- teresa-avila</v>
      </c>
      <c r="BB85" s="29" t="str">
        <f t="shared" si="425"/>
        <v>- discalced-carmelites</v>
      </c>
      <c r="BC85" s="29" t="str">
        <f t="shared" si="426"/>
        <v>- communities</v>
      </c>
      <c r="BD85" s="29" t="str">
        <f t="shared" si="427"/>
        <v>- john-cross</v>
      </c>
      <c r="BE85" s="29" t="str">
        <f t="shared" si="428"/>
        <v/>
      </c>
      <c r="BF85" s="29" t="str">
        <f t="shared" si="429"/>
        <v/>
      </c>
      <c r="BG85" s="29" t="str">
        <f t="shared" si="430"/>
        <v/>
      </c>
      <c r="BH85" s="29" t="str">
        <f t="shared" si="431"/>
        <v/>
      </c>
      <c r="BI85" s="29" t="str">
        <f t="shared" si="432"/>
        <v/>
      </c>
      <c r="BJ85" s="29" t="str">
        <f t="shared" si="433"/>
        <v/>
      </c>
      <c r="BK85" s="29" t="str">
        <f t="shared" si="434"/>
        <v xml:space="preserve">tags:
- spain_x000D_
- medina-del-campo_x000D_
- churches_x000D_
- holy-persons_x000D_
- teresa-avila_x000D_
- discalced-carmelites_x000D_
- communities_x000D_
- john-cross_x000D_
</v>
      </c>
      <c r="BL85" s="29" t="str">
        <f t="shared" si="435"/>
        <v/>
      </c>
      <c r="BM85" s="29" t="str">
        <f t="shared" si="436"/>
        <v>[Castila y Leon tourism site](https://www.turismocastillayleon.com/en/art-culture-heritage/museums/teresian-museum-san-jose-medina-del-campo-m-m-carmelitas)</v>
      </c>
      <c r="BN85" s="29" t="str">
        <f t="shared" si="437"/>
        <v>[Medina del Campo tourism site](http://medinadelcampo.es/lo-indispensable/donde-la-historia-cobra-vida/23-lo-indispensable/donde-la-historia-cobra-vida/367-convento-san-juan-de-la-cruz-ruta-teresiana) (note: website not active at time of writing)</v>
      </c>
      <c r="BO85" s="29" t="str">
        <f t="shared" si="438"/>
        <v/>
      </c>
      <c r="BP85" s="29" t="str">
        <f t="shared" si="439"/>
        <v xml:space="preserve">*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(note: website not active at time of writing)
</v>
      </c>
      <c r="BQ85" s="29" t="str">
        <f t="shared" si="440"/>
        <v/>
      </c>
      <c r="BR85" s="29" t="str">
        <f t="shared" si="441"/>
        <v/>
      </c>
      <c r="BS85" s="29" t="str">
        <f t="shared" si="442"/>
        <v/>
      </c>
      <c r="BT85" s="29" t="str">
        <f>IF(LEN(_xludf.concat(BQ85:BS85))&gt;0,_xludf.concat("| ",BQ85," | ",BR85," | ",BS85," |"),"")</f>
        <v/>
      </c>
      <c r="BU85" s="29" t="str">
        <f t="shared" si="443"/>
        <v/>
      </c>
      <c r="BV85" s="29" t="str">
        <f>IF(LEN(BP85&amp;BU85)&gt;0,concatll("#### More Information",BP85,BU85),"")</f>
        <v xml:space="preserve">####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(note: website not active at time of writing)
_x000D_
_x000D_
</v>
      </c>
      <c r="BW85" s="29" t="str">
        <f>IF(LEN(M85)&gt;1,concatll("#### Author's Note",M85),"")</f>
        <v/>
      </c>
      <c r="BX85" s="23" t="str">
        <f>IF(AR85,concatll(concatl("---",AS85:AU85,BK85,"---"),L85,BV85:BW85),"")</f>
        <v xml:space="preserve">---_x000D_
title: "Convento de San Jose, Medina del Campo"_x000D_
location: {lat: 41.3113998473347, lng: -4.91932488465537}_x000D_
level: local_x000D_
tags:
- spain_x000D_
- medina-del-campo_x000D_
- churches_x000D_
- holy-persons_x000D_
- teresa-avila_x000D_
- discalced-carmelites_x000D_
- communities_x000D_
- john-cross_x000D_
_x000D_
---_x000D_
_x000D_
_x000D_
The second of 17 communities founded by St. Teresa of Avila, in 1567, and also where she met and influenced St. John of the Cross.
Now houses a museum._x000D_
_x000D_
####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(note: website not active at time of writing)
_x000D_
_x000D_
_x000D_
_x000D_
</v>
      </c>
      <c r="BY85" s="31" t="str">
        <f>IF(AR85,VLOOKUP(B85,'(Ref) Countries'!A:B,2,)&amp;IF(LEN(C85)&gt;1,"-"&amp;LOWER(SUBSTITUTE(C85," ","-")),"")&amp;"-"&amp;LOWER(SUBSTITUTE(G85," ","-"))&amp;".md","")</f>
        <v>es-medina-del-campo-convento-de-san-jose.md</v>
      </c>
      <c r="BZ85" s="29" t="str">
        <f>IF(LEN(Y85)&gt;1,VLOOKUP(Y85,'Tag List'!$A:$B,2,),"")</f>
        <v>St. Teresa of Avila, OCD</v>
      </c>
      <c r="CA85" s="29" t="str">
        <f>IF(LEN(Z85)&gt;1,VLOOKUP(Z85,'Tag List'!$A:$B,2,),"")</f>
        <v>Discalced Carmelites (Order of Discalced Carmelites)</v>
      </c>
      <c r="CB85" s="29" t="str">
        <f>IF(LEN(AA85)&gt;1,VLOOKUP(AA85,'Tag List'!$A:$B,2,),"")</f>
        <v>Religious Communities</v>
      </c>
      <c r="CC85" s="29" t="str">
        <f>IF(LEN(Y85)&gt;1,GetTagPage(BZ85,Y85),"")</f>
        <v>[St. Teresa of Avila, OCD](/tags/teresa-avila)</v>
      </c>
      <c r="CD85" s="29" t="str">
        <f>IF(LEN(Z85)&gt;1,GetTagPage(CA85,Z85),"")</f>
        <v>[Discalced Carmelites (Order of Discalced Carmelites)](/tags/discalced-carmelites)</v>
      </c>
      <c r="CE85" s="29" t="str">
        <f>IF(LEN(AA85)&gt;1,GetTagPage(CB85,AA85),"")</f>
        <v>[Religious Communities](/tags/communities)</v>
      </c>
      <c r="CF85" s="29" t="str">
        <f t="shared" si="444"/>
        <v xml:space="preserve">| [St. Teresa of Avila, OCD](/tags/teresa-avila), [Discalced Carmelites (Order of Discalced Carmelites)](/tags/discalced-carmelites), [Religious Communities](/tags/communities) </v>
      </c>
      <c r="CG85" s="29" t="str">
        <f t="shared" si="445"/>
        <v xml:space="preserve">| [](/places/es-medina-del-campo-convento-de-san-jose) </v>
      </c>
      <c r="CH85" s="29" t="str">
        <f>"| "&amp;IF(AR85,GetTagPage(B85,VLOOKUP(B85,'(Ref) Countries'!A:C,3,)),B85)&amp; " "</f>
        <v xml:space="preserve">| [Spain](/tags/spain) </v>
      </c>
      <c r="CI85" s="29" t="str">
        <f t="shared" si="446"/>
        <v xml:space="preserve">|  </v>
      </c>
      <c r="CJ85" s="29" t="str">
        <f t="shared" si="447"/>
        <v xml:space="preserve">| [Link](/places/es-medina-del-campo-convento-de-san-jose) </v>
      </c>
      <c r="CK85" s="29" t="str">
        <f t="shared" si="448"/>
        <v xml:space="preserve">
| [](/places/es-medina-del-campo-convento-de-san-jose) | [Spain](/tags/spain) |  | [Link](/places/es-medina-del-campo-convento-de-san-jose) | [St. Teresa of Avila, OCD](/tags/teresa-avila), [Discalced Carmelites (Order of Discalced Carmelites)](/tags/discalced-carmelites), [Religious Communities](/tags/communities) |</v>
      </c>
    </row>
    <row r="86" spans="1:89" x14ac:dyDescent="0.4">
      <c r="A86" s="14" t="s">
        <v>1320</v>
      </c>
      <c r="B86" s="24" t="s">
        <v>552</v>
      </c>
      <c r="C86" s="104" t="s">
        <v>2170</v>
      </c>
      <c r="D86" s="15">
        <v>39.172836506337802</v>
      </c>
      <c r="E86" s="49">
        <v>-3.8518511711638399</v>
      </c>
      <c r="F86" s="103" t="s">
        <v>2171</v>
      </c>
      <c r="G86" s="53" t="s">
        <v>2153</v>
      </c>
      <c r="H86" s="15" t="s">
        <v>1827</v>
      </c>
      <c r="I86" s="15" t="b">
        <v>1</v>
      </c>
      <c r="K86" s="15" t="b">
        <v>1</v>
      </c>
      <c r="L86" s="103" t="s">
        <v>2185</v>
      </c>
      <c r="Y86" s="15" t="s">
        <v>2148</v>
      </c>
      <c r="Z86" s="15" t="s">
        <v>2144</v>
      </c>
      <c r="AA86" s="15" t="s">
        <v>1424</v>
      </c>
      <c r="AR86" s="28" t="b">
        <f t="shared" si="416"/>
        <v>1</v>
      </c>
      <c r="AS86" s="29" t="str">
        <f t="shared" si="417"/>
        <v>title: "Convento de San Jose, Malagon"</v>
      </c>
      <c r="AT86" s="29" t="str">
        <f t="shared" si="418"/>
        <v>location: {lat: 39.1728365063378, lng: -3.85185117116384}</v>
      </c>
      <c r="AU86" s="29" t="str">
        <f t="shared" si="419"/>
        <v>level: local</v>
      </c>
      <c r="AV86" s="29" t="str">
        <f>"- "&amp;VLOOKUP(B86,'(Ref) Countries'!A:C,3,)</f>
        <v>- spain</v>
      </c>
      <c r="AW86" s="29" t="str">
        <f t="shared" si="420"/>
        <v>- malagon</v>
      </c>
      <c r="AX86" s="29" t="str">
        <f t="shared" si="421"/>
        <v>- churches</v>
      </c>
      <c r="AY86" s="29" t="str">
        <f t="shared" si="422"/>
        <v/>
      </c>
      <c r="AZ86" s="29" t="str">
        <f t="shared" si="423"/>
        <v>- holy-persons</v>
      </c>
      <c r="BA86" s="29" t="str">
        <f t="shared" si="424"/>
        <v>- teresa-avila</v>
      </c>
      <c r="BB86" s="29" t="str">
        <f t="shared" si="425"/>
        <v>- discalced-carmelites</v>
      </c>
      <c r="BC86" s="29" t="str">
        <f t="shared" si="426"/>
        <v>- communities</v>
      </c>
      <c r="BD86" s="29" t="str">
        <f t="shared" si="427"/>
        <v/>
      </c>
      <c r="BE86" s="29" t="str">
        <f t="shared" si="428"/>
        <v/>
      </c>
      <c r="BF86" s="29" t="str">
        <f t="shared" si="429"/>
        <v/>
      </c>
      <c r="BG86" s="29" t="str">
        <f t="shared" si="430"/>
        <v/>
      </c>
      <c r="BH86" s="29" t="str">
        <f t="shared" si="431"/>
        <v/>
      </c>
      <c r="BI86" s="29" t="str">
        <f t="shared" si="432"/>
        <v/>
      </c>
      <c r="BJ86" s="29" t="str">
        <f t="shared" si="433"/>
        <v/>
      </c>
      <c r="BK86" s="29" t="str">
        <f t="shared" si="434"/>
        <v xml:space="preserve">tags:
- spain_x000D_
- malagon_x000D_
- churches_x000D_
- holy-persons_x000D_
- teresa-avila_x000D_
- discalced-carmelites_x000D_
- communities_x000D_
</v>
      </c>
      <c r="BL86" s="29" t="str">
        <f t="shared" si="435"/>
        <v/>
      </c>
      <c r="BM86" s="29" t="str">
        <f t="shared" si="436"/>
        <v/>
      </c>
      <c r="BN86" s="29" t="str">
        <f t="shared" si="437"/>
        <v/>
      </c>
      <c r="BO86" s="29" t="str">
        <f t="shared" si="438"/>
        <v/>
      </c>
      <c r="BP86" s="29" t="str">
        <f t="shared" si="439"/>
        <v/>
      </c>
      <c r="BQ86" s="29" t="str">
        <f t="shared" si="440"/>
        <v/>
      </c>
      <c r="BR86" s="29" t="str">
        <f t="shared" si="441"/>
        <v/>
      </c>
      <c r="BS86" s="29" t="str">
        <f t="shared" si="442"/>
        <v/>
      </c>
      <c r="BT86" s="29" t="str">
        <f>IF(LEN(_xludf.concat(BQ86:BS86))&gt;0,_xludf.concat("| ",BQ86," | ",BR86," | ",BS86," |"),"")</f>
        <v/>
      </c>
      <c r="BU86" s="29" t="str">
        <f t="shared" si="443"/>
        <v/>
      </c>
      <c r="BV86" s="29" t="str">
        <f>IF(LEN(BP86&amp;BU86)&gt;0,concatll("#### More Information",BP86,BU86),"")</f>
        <v/>
      </c>
      <c r="BW86" s="29" t="str">
        <f>IF(LEN(M86)&gt;1,concatll("#### Author's Note",M86),"")</f>
        <v/>
      </c>
      <c r="BX86" s="23" t="str">
        <f>IF(AR86,concatll(concatl("---",AS86:AU86,BK86,"---"),L86,BV86:BW86),"")</f>
        <v xml:space="preserve">---_x000D_
title: "Convento de San Jose, Malagon"_x000D_
location: {lat: 39.1728365063378, lng: -3.85185117116384}_x000D_
level: local_x000D_
tags:
- spain_x000D_
- malagon_x000D_
- churches_x000D_
- holy-persons_x000D_
- teresa-avila_x000D_
- discalced-carmelites_x000D_
- communities_x000D_
_x000D_
---_x000D_
_x000D_
_x000D_
The third of 17 communities founded by St. Teresa of Avila, in 1568._x000D_
_x000D_
</v>
      </c>
      <c r="BY86" s="31" t="str">
        <f>IF(AR86,VLOOKUP(B86,'(Ref) Countries'!A:B,2,)&amp;IF(LEN(C86)&gt;1,"-"&amp;LOWER(SUBSTITUTE(C86," ","-")),"")&amp;"-"&amp;LOWER(SUBSTITUTE(G86," ","-"))&amp;".md","")</f>
        <v>es-malagon-convento-de-san-jose.md</v>
      </c>
      <c r="BZ86" s="29" t="str">
        <f>IF(LEN(Y86)&gt;1,VLOOKUP(Y86,'Tag List'!$A:$B,2,),"")</f>
        <v>St. Teresa of Avila, OCD</v>
      </c>
      <c r="CA86" s="29" t="str">
        <f>IF(LEN(Z86)&gt;1,VLOOKUP(Z86,'Tag List'!$A:$B,2,),"")</f>
        <v>Discalced Carmelites (Order of Discalced Carmelites)</v>
      </c>
      <c r="CB86" s="29" t="str">
        <f>IF(LEN(AA86)&gt;1,VLOOKUP(AA86,'Tag List'!$A:$B,2,),"")</f>
        <v>Religious Communities</v>
      </c>
      <c r="CC86" s="29" t="str">
        <f>IF(LEN(Y86)&gt;1,GetTagPage(BZ86,Y86),"")</f>
        <v>[St. Teresa of Avila, OCD](/tags/teresa-avila)</v>
      </c>
      <c r="CD86" s="29" t="str">
        <f>IF(LEN(Z86)&gt;1,GetTagPage(CA86,Z86),"")</f>
        <v>[Discalced Carmelites (Order of Discalced Carmelites)](/tags/discalced-carmelites)</v>
      </c>
      <c r="CE86" s="29" t="str">
        <f>IF(LEN(AA86)&gt;1,GetTagPage(CB86,AA86),"")</f>
        <v>[Religious Communities](/tags/communities)</v>
      </c>
      <c r="CF86" s="29" t="str">
        <f t="shared" si="444"/>
        <v xml:space="preserve">| [St. Teresa of Avila, OCD](/tags/teresa-avila), [Discalced Carmelites (Order of Discalced Carmelites)](/tags/discalced-carmelites), [Religious Communities](/tags/communities) </v>
      </c>
      <c r="CG86" s="29" t="str">
        <f t="shared" si="445"/>
        <v xml:space="preserve">| [](/places/es-malagon-convento-de-san-jose) </v>
      </c>
      <c r="CH86" s="29" t="str">
        <f>"| "&amp;IF(AR86,GetTagPage(B86,VLOOKUP(B86,'(Ref) Countries'!A:C,3,)),B86)&amp; " "</f>
        <v xml:space="preserve">| [Spain](/tags/spain) </v>
      </c>
      <c r="CI86" s="29" t="str">
        <f t="shared" si="446"/>
        <v xml:space="preserve">|  </v>
      </c>
      <c r="CJ86" s="29" t="str">
        <f t="shared" si="447"/>
        <v xml:space="preserve">| [Link](/places/es-malagon-convento-de-san-jose) </v>
      </c>
      <c r="CK86" s="29" t="str">
        <f t="shared" si="448"/>
        <v xml:space="preserve">
| [](/places/es-malagon-convento-de-san-jose) | [Spain](/tags/spain) |  | [Link](/places/es-malagon-convento-de-san-jose) | [St. Teresa of Avila, OCD](/tags/teresa-avila), [Discalced Carmelites (Order of Discalced Carmelites)](/tags/discalced-carmelites), [Religious Communities](/tags/communities) |</v>
      </c>
    </row>
    <row r="87" spans="1:89" x14ac:dyDescent="0.4">
      <c r="A87" s="14" t="s">
        <v>1320</v>
      </c>
      <c r="B87" s="24" t="s">
        <v>552</v>
      </c>
      <c r="C87" s="112" t="s">
        <v>2173</v>
      </c>
      <c r="D87" s="15">
        <v>41.659886377779202</v>
      </c>
      <c r="E87" s="49">
        <v>-4.72687771534462</v>
      </c>
      <c r="F87" s="113" t="s">
        <v>2290</v>
      </c>
      <c r="G87" s="53" t="s">
        <v>2172</v>
      </c>
      <c r="H87" s="15" t="s">
        <v>1827</v>
      </c>
      <c r="I87" s="15" t="b">
        <v>1</v>
      </c>
      <c r="K87" s="15" t="b">
        <v>1</v>
      </c>
      <c r="L87" s="103" t="s">
        <v>2187</v>
      </c>
      <c r="Y87" s="15" t="s">
        <v>2148</v>
      </c>
      <c r="Z87" s="15" t="s">
        <v>2144</v>
      </c>
      <c r="AA87" s="15" t="s">
        <v>1424</v>
      </c>
      <c r="AR87" s="28" t="b">
        <f t="shared" si="416"/>
        <v>1</v>
      </c>
      <c r="AS87" s="29" t="str">
        <f t="shared" si="417"/>
        <v>title: "Convento de Santa Teresa, Valladolid"</v>
      </c>
      <c r="AT87" s="29" t="str">
        <f t="shared" si="418"/>
        <v>location: {lat: 41.6598863777792, lng: -4.72687771534462}</v>
      </c>
      <c r="AU87" s="29" t="str">
        <f t="shared" si="419"/>
        <v>level: local</v>
      </c>
      <c r="AV87" s="29" t="str">
        <f>"- "&amp;VLOOKUP(B87,'(Ref) Countries'!A:C,3,)</f>
        <v>- spain</v>
      </c>
      <c r="AW87" s="29" t="str">
        <f t="shared" si="420"/>
        <v>- valladolid</v>
      </c>
      <c r="AX87" s="29" t="str">
        <f t="shared" si="421"/>
        <v>- churches</v>
      </c>
      <c r="AY87" s="29" t="str">
        <f t="shared" si="422"/>
        <v/>
      </c>
      <c r="AZ87" s="29" t="str">
        <f t="shared" si="423"/>
        <v>- holy-persons</v>
      </c>
      <c r="BA87" s="29" t="str">
        <f t="shared" si="424"/>
        <v>- teresa-avila</v>
      </c>
      <c r="BB87" s="29" t="str">
        <f t="shared" si="425"/>
        <v>- discalced-carmelites</v>
      </c>
      <c r="BC87" s="29" t="str">
        <f t="shared" si="426"/>
        <v>- communities</v>
      </c>
      <c r="BD87" s="29" t="str">
        <f t="shared" si="427"/>
        <v/>
      </c>
      <c r="BE87" s="29" t="str">
        <f t="shared" si="428"/>
        <v/>
      </c>
      <c r="BF87" s="29" t="str">
        <f t="shared" si="429"/>
        <v/>
      </c>
      <c r="BG87" s="29" t="str">
        <f t="shared" si="430"/>
        <v/>
      </c>
      <c r="BH87" s="29" t="str">
        <f t="shared" si="431"/>
        <v/>
      </c>
      <c r="BI87" s="29" t="str">
        <f t="shared" si="432"/>
        <v/>
      </c>
      <c r="BJ87" s="29" t="str">
        <f t="shared" si="433"/>
        <v/>
      </c>
      <c r="BK87" s="29" t="str">
        <f t="shared" si="434"/>
        <v xml:space="preserve">tags:
- spain_x000D_
- valladolid_x000D_
- churches_x000D_
- holy-persons_x000D_
- teresa-avila_x000D_
- discalced-carmelites_x000D_
- communities_x000D_
</v>
      </c>
      <c r="BL87" s="29" t="str">
        <f t="shared" si="435"/>
        <v/>
      </c>
      <c r="BM87" s="29" t="str">
        <f t="shared" si="436"/>
        <v/>
      </c>
      <c r="BN87" s="29" t="str">
        <f t="shared" si="437"/>
        <v/>
      </c>
      <c r="BO87" s="29" t="str">
        <f t="shared" si="438"/>
        <v/>
      </c>
      <c r="BP87" s="29" t="str">
        <f t="shared" si="439"/>
        <v/>
      </c>
      <c r="BQ87" s="29" t="str">
        <f t="shared" si="440"/>
        <v/>
      </c>
      <c r="BR87" s="29" t="str">
        <f t="shared" si="441"/>
        <v/>
      </c>
      <c r="BS87" s="29" t="str">
        <f t="shared" si="442"/>
        <v/>
      </c>
      <c r="BT87" s="29" t="str">
        <f>IF(LEN(_xludf.concat(BQ87:BS87))&gt;0,_xludf.concat("| ",BQ87," | ",BR87," | ",BS87," |"),"")</f>
        <v/>
      </c>
      <c r="BU87" s="29" t="str">
        <f t="shared" si="443"/>
        <v/>
      </c>
      <c r="BV87" s="29" t="str">
        <f>IF(LEN(BP87&amp;BU87)&gt;0,concatll("#### More Information",BP87,BU87),"")</f>
        <v/>
      </c>
      <c r="BW87" s="29" t="str">
        <f>IF(LEN(M87)&gt;1,concatll("#### Author's Note",M87),"")</f>
        <v/>
      </c>
      <c r="BX87" s="23" t="str">
        <f>IF(AR87,concatll(concatl("---",AS87:AU87,BK87,"---"),L87,BV87:BW87),"")</f>
        <v xml:space="preserve">---_x000D_
title: "Convento de Santa Teresa, Valladolid"_x000D_
location: {lat: 41.6598863777792, lng: -4.72687771534462}_x000D_
level: local_x000D_
tags:
- spain_x000D_
- valladolid_x000D_
- churches_x000D_
- holy-persons_x000D_
- teresa-avila_x000D_
- discalced-carmelites_x000D_
- communities_x000D_
_x000D_
---_x000D_
_x000D_
_x000D_
The fourth of 17 communities founded by St. Teresa of Avila, in 1568._x000D_
_x000D_
</v>
      </c>
      <c r="BY87" s="31" t="str">
        <f>IF(AR87,VLOOKUP(B87,'(Ref) Countries'!A:B,2,)&amp;IF(LEN(C87)&gt;1,"-"&amp;LOWER(SUBSTITUTE(C87," ","-")),"")&amp;"-"&amp;LOWER(SUBSTITUTE(G87," ","-"))&amp;".md","")</f>
        <v>es-valladolid-convento-de-santa-teresa.md</v>
      </c>
      <c r="BZ87" s="29" t="str">
        <f>IF(LEN(Y87)&gt;1,VLOOKUP(Y87,'Tag List'!$A:$B,2,),"")</f>
        <v>St. Teresa of Avila, OCD</v>
      </c>
      <c r="CA87" s="29" t="str">
        <f>IF(LEN(Z87)&gt;1,VLOOKUP(Z87,'Tag List'!$A:$B,2,),"")</f>
        <v>Discalced Carmelites (Order of Discalced Carmelites)</v>
      </c>
      <c r="CB87" s="29" t="str">
        <f>IF(LEN(AA87)&gt;1,VLOOKUP(AA87,'Tag List'!$A:$B,2,),"")</f>
        <v>Religious Communities</v>
      </c>
      <c r="CC87" s="29" t="str">
        <f>IF(LEN(Y87)&gt;1,GetTagPage(BZ87,Y87),"")</f>
        <v>[St. Teresa of Avila, OCD](/tags/teresa-avila)</v>
      </c>
      <c r="CD87" s="29" t="str">
        <f>IF(LEN(Z87)&gt;1,GetTagPage(CA87,Z87),"")</f>
        <v>[Discalced Carmelites (Order of Discalced Carmelites)](/tags/discalced-carmelites)</v>
      </c>
      <c r="CE87" s="29" t="str">
        <f>IF(LEN(AA87)&gt;1,GetTagPage(CB87,AA87),"")</f>
        <v>[Religious Communities](/tags/communities)</v>
      </c>
      <c r="CF87" s="29" t="str">
        <f t="shared" si="444"/>
        <v xml:space="preserve">| [St. Teresa of Avila, OCD](/tags/teresa-avila), [Discalced Carmelites (Order of Discalced Carmelites)](/tags/discalced-carmelites), [Religious Communities](/tags/communities) </v>
      </c>
      <c r="CG87" s="29" t="str">
        <f t="shared" si="445"/>
        <v xml:space="preserve">| [](/places/es-valladolid-convento-de-santa-teresa) </v>
      </c>
      <c r="CH87" s="29" t="str">
        <f>"| "&amp;IF(AR87,GetTagPage(B87,VLOOKUP(B87,'(Ref) Countries'!A:C,3,)),B87)&amp; " "</f>
        <v xml:space="preserve">| [Spain](/tags/spain) </v>
      </c>
      <c r="CI87" s="29" t="str">
        <f t="shared" si="446"/>
        <v xml:space="preserve">|  </v>
      </c>
      <c r="CJ87" s="29" t="str">
        <f t="shared" si="447"/>
        <v xml:space="preserve">| [Link](/places/es-valladolid-convento-de-santa-teresa) </v>
      </c>
      <c r="CK87" s="29" t="str">
        <f t="shared" si="448"/>
        <v xml:space="preserve">
| [](/places/es-valladolid-convento-de-santa-teresa) | [Spain](/tags/spain) |  | [Link](/places/es-valladolid-convento-de-santa-teresa) | [St. Teresa of Avila, OCD](/tags/teresa-avila), [Discalced Carmelites (Order of Discalced Carmelites)](/tags/discalced-carmelites), [Religious Communities](/tags/communities) |</v>
      </c>
    </row>
    <row r="88" spans="1:89" x14ac:dyDescent="0.4">
      <c r="A88" s="14" t="s">
        <v>1320</v>
      </c>
      <c r="B88" s="24" t="s">
        <v>552</v>
      </c>
      <c r="C88" s="104" t="s">
        <v>2176</v>
      </c>
      <c r="D88" s="15">
        <v>39.860357499451801</v>
      </c>
      <c r="E88" s="49">
        <v>-4.0247343354961798</v>
      </c>
      <c r="F88" s="103" t="s">
        <v>2177</v>
      </c>
      <c r="G88" s="53" t="s">
        <v>2153</v>
      </c>
      <c r="H88" s="15" t="s">
        <v>1827</v>
      </c>
      <c r="I88" s="15" t="b">
        <v>1</v>
      </c>
      <c r="K88" s="15" t="b">
        <v>1</v>
      </c>
      <c r="L88" s="103" t="s">
        <v>2188</v>
      </c>
      <c r="Y88" s="15" t="s">
        <v>2148</v>
      </c>
      <c r="Z88" s="15" t="s">
        <v>2144</v>
      </c>
      <c r="AA88" s="15" t="s">
        <v>1424</v>
      </c>
      <c r="AR88" s="28" t="b">
        <f t="shared" si="416"/>
        <v>1</v>
      </c>
      <c r="AS88" s="29" t="str">
        <f t="shared" si="417"/>
        <v>title: "Convento de San Jose, Toledo"</v>
      </c>
      <c r="AT88" s="29" t="str">
        <f t="shared" si="418"/>
        <v>location: {lat: 39.8603574994518, lng: -4.02473433549618}</v>
      </c>
      <c r="AU88" s="29" t="str">
        <f t="shared" si="419"/>
        <v>level: local</v>
      </c>
      <c r="AV88" s="29" t="str">
        <f>"- "&amp;VLOOKUP(B88,'(Ref) Countries'!A:C,3,)</f>
        <v>- spain</v>
      </c>
      <c r="AW88" s="29" t="str">
        <f t="shared" si="420"/>
        <v>- toledo</v>
      </c>
      <c r="AX88" s="29" t="str">
        <f t="shared" si="421"/>
        <v>- churches</v>
      </c>
      <c r="AY88" s="29" t="str">
        <f t="shared" si="422"/>
        <v/>
      </c>
      <c r="AZ88" s="29" t="str">
        <f t="shared" si="423"/>
        <v>- holy-persons</v>
      </c>
      <c r="BA88" s="29" t="str">
        <f t="shared" si="424"/>
        <v>- teresa-avila</v>
      </c>
      <c r="BB88" s="29" t="str">
        <f t="shared" si="425"/>
        <v>- discalced-carmelites</v>
      </c>
      <c r="BC88" s="29" t="str">
        <f t="shared" si="426"/>
        <v>- communities</v>
      </c>
      <c r="BD88" s="29" t="str">
        <f t="shared" si="427"/>
        <v/>
      </c>
      <c r="BE88" s="29" t="str">
        <f t="shared" si="428"/>
        <v/>
      </c>
      <c r="BF88" s="29" t="str">
        <f t="shared" si="429"/>
        <v/>
      </c>
      <c r="BG88" s="29" t="str">
        <f t="shared" si="430"/>
        <v/>
      </c>
      <c r="BH88" s="29" t="str">
        <f t="shared" si="431"/>
        <v/>
      </c>
      <c r="BI88" s="29" t="str">
        <f t="shared" si="432"/>
        <v/>
      </c>
      <c r="BJ88" s="29" t="str">
        <f t="shared" si="433"/>
        <v/>
      </c>
      <c r="BK88" s="29" t="str">
        <f t="shared" si="434"/>
        <v xml:space="preserve">tags:
- spain_x000D_
- toledo_x000D_
- churches_x000D_
- holy-persons_x000D_
- teresa-avila_x000D_
- discalced-carmelites_x000D_
- communities_x000D_
</v>
      </c>
      <c r="BL88" s="29" t="str">
        <f t="shared" si="435"/>
        <v/>
      </c>
      <c r="BM88" s="29" t="str">
        <f t="shared" si="436"/>
        <v/>
      </c>
      <c r="BN88" s="29" t="str">
        <f t="shared" si="437"/>
        <v/>
      </c>
      <c r="BO88" s="29" t="str">
        <f t="shared" si="438"/>
        <v/>
      </c>
      <c r="BP88" s="29" t="str">
        <f t="shared" si="439"/>
        <v/>
      </c>
      <c r="BQ88" s="29" t="str">
        <f t="shared" si="440"/>
        <v/>
      </c>
      <c r="BR88" s="29" t="str">
        <f t="shared" si="441"/>
        <v/>
      </c>
      <c r="BS88" s="29" t="str">
        <f t="shared" si="442"/>
        <v/>
      </c>
      <c r="BT88" s="29" t="str">
        <f>IF(LEN(_xludf.concat(BQ88:BS88))&gt;0,_xludf.concat("| ",BQ88," | ",BR88," | ",BS88," |"),"")</f>
        <v/>
      </c>
      <c r="BU88" s="29" t="str">
        <f t="shared" si="443"/>
        <v/>
      </c>
      <c r="BV88" s="29" t="str">
        <f>IF(LEN(BP88&amp;BU88)&gt;0,concatll("#### More Information",BP88,BU88),"")</f>
        <v/>
      </c>
      <c r="BW88" s="29" t="str">
        <f>IF(LEN(M88)&gt;1,concatll("#### Author's Note",M88),"")</f>
        <v/>
      </c>
      <c r="BX88" s="23" t="str">
        <f>IF(AR88,concatll(concatl("---",AS88:AU88,BK88,"---"),L88,BV88:BW88),"")</f>
        <v xml:space="preserve">---_x000D_
title: "Convento de San Jose, Toledo"_x000D_
location: {lat: 39.8603574994518, lng: -4.02473433549618}_x000D_
level: local_x000D_
tags:
- spain_x000D_
- toledo_x000D_
- churches_x000D_
- holy-persons_x000D_
- teresa-avila_x000D_
- discalced-carmelites_x000D_
- communities_x000D_
_x000D_
---_x000D_
_x000D_
_x000D_
The fifth of 17 communities founded by St. Teresa of Avila, in 1569._x000D_
_x000D_
</v>
      </c>
      <c r="BY88" s="31" t="str">
        <f>IF(AR88,VLOOKUP(B88,'(Ref) Countries'!A:B,2,)&amp;IF(LEN(C88)&gt;1,"-"&amp;LOWER(SUBSTITUTE(C88," ","-")),"")&amp;"-"&amp;LOWER(SUBSTITUTE(G88," ","-"))&amp;".md","")</f>
        <v>es-toledo-convento-de-san-jose.md</v>
      </c>
      <c r="BZ88" s="29" t="str">
        <f>IF(LEN(Y88)&gt;1,VLOOKUP(Y88,'Tag List'!$A:$B,2,),"")</f>
        <v>St. Teresa of Avila, OCD</v>
      </c>
      <c r="CA88" s="29" t="str">
        <f>IF(LEN(Z88)&gt;1,VLOOKUP(Z88,'Tag List'!$A:$B,2,),"")</f>
        <v>Discalced Carmelites (Order of Discalced Carmelites)</v>
      </c>
      <c r="CB88" s="29" t="str">
        <f>IF(LEN(AA88)&gt;1,VLOOKUP(AA88,'Tag List'!$A:$B,2,),"")</f>
        <v>Religious Communities</v>
      </c>
      <c r="CC88" s="29" t="str">
        <f>IF(LEN(Y88)&gt;1,GetTagPage(BZ88,Y88),"")</f>
        <v>[St. Teresa of Avila, OCD](/tags/teresa-avila)</v>
      </c>
      <c r="CD88" s="29" t="str">
        <f>IF(LEN(Z88)&gt;1,GetTagPage(CA88,Z88),"")</f>
        <v>[Discalced Carmelites (Order of Discalced Carmelites)](/tags/discalced-carmelites)</v>
      </c>
      <c r="CE88" s="29" t="str">
        <f>IF(LEN(AA88)&gt;1,GetTagPage(CB88,AA88),"")</f>
        <v>[Religious Communities](/tags/communities)</v>
      </c>
      <c r="CF88" s="29" t="str">
        <f t="shared" si="444"/>
        <v xml:space="preserve">| [St. Teresa of Avila, OCD](/tags/teresa-avila), [Discalced Carmelites (Order of Discalced Carmelites)](/tags/discalced-carmelites), [Religious Communities](/tags/communities) </v>
      </c>
      <c r="CG88" s="29" t="str">
        <f t="shared" si="445"/>
        <v xml:space="preserve">| [](/places/es-toledo-convento-de-san-jose) </v>
      </c>
      <c r="CH88" s="29" t="str">
        <f>"| "&amp;IF(AR88,GetTagPage(B88,VLOOKUP(B88,'(Ref) Countries'!A:C,3,)),B88)&amp; " "</f>
        <v xml:space="preserve">| [Spain](/tags/spain) </v>
      </c>
      <c r="CI88" s="29" t="str">
        <f t="shared" si="446"/>
        <v xml:space="preserve">|  </v>
      </c>
      <c r="CJ88" s="29" t="str">
        <f t="shared" si="447"/>
        <v xml:space="preserve">| [Link](/places/es-toledo-convento-de-san-jose) </v>
      </c>
      <c r="CK88" s="29" t="str">
        <f t="shared" si="448"/>
        <v xml:space="preserve">
| [](/places/es-toledo-convento-de-san-jose) | [Spain](/tags/spain) |  | [Link](/places/es-toledo-convento-de-san-jose) | [St. Teresa of Avila, OCD](/tags/teresa-avila), [Discalced Carmelites (Order of Discalced Carmelites)](/tags/discalced-carmelites), [Religious Communities](/tags/communities) |</v>
      </c>
    </row>
    <row r="89" spans="1:89" ht="87" x14ac:dyDescent="0.4">
      <c r="A89" s="14" t="s">
        <v>1320</v>
      </c>
      <c r="B89" s="24" t="s">
        <v>552</v>
      </c>
      <c r="C89" s="104" t="s">
        <v>2180</v>
      </c>
      <c r="D89" s="15">
        <v>40.405087686540597</v>
      </c>
      <c r="E89" s="49">
        <v>-2.9172532935268598</v>
      </c>
      <c r="F89" s="103" t="s">
        <v>2179</v>
      </c>
      <c r="G89" s="105" t="s">
        <v>2178</v>
      </c>
      <c r="H89" s="15" t="s">
        <v>1827</v>
      </c>
      <c r="I89" s="15" t="b">
        <v>1</v>
      </c>
      <c r="K89" s="15" t="b">
        <v>1</v>
      </c>
      <c r="L89" s="103" t="s">
        <v>2282</v>
      </c>
      <c r="P89" s="108" t="s">
        <v>2183</v>
      </c>
      <c r="Q89" s="15" t="s">
        <v>2184</v>
      </c>
      <c r="R89" s="109" t="s">
        <v>336</v>
      </c>
      <c r="Y89" s="15" t="s">
        <v>2148</v>
      </c>
      <c r="Z89" s="104" t="s">
        <v>2144</v>
      </c>
      <c r="AA89" s="15" t="s">
        <v>1424</v>
      </c>
      <c r="AB89" s="15" t="s">
        <v>2181</v>
      </c>
      <c r="AC89" s="104" t="s">
        <v>2147</v>
      </c>
      <c r="AR89" s="28" t="b">
        <f t="shared" si="416"/>
        <v>1</v>
      </c>
      <c r="AS89" s="29" t="str">
        <f t="shared" si="417"/>
        <v>title: "Convento del Carmen, Pastrana"</v>
      </c>
      <c r="AT89" s="29" t="str">
        <f t="shared" si="418"/>
        <v>location: {lat: 40.4050876865406, lng: -2.91725329352686}</v>
      </c>
      <c r="AU89" s="29" t="str">
        <f t="shared" si="419"/>
        <v>level: local</v>
      </c>
      <c r="AV89" s="29" t="str">
        <f>"- "&amp;VLOOKUP(B89,'(Ref) Countries'!A:C,3,)</f>
        <v>- spain</v>
      </c>
      <c r="AW89" s="29" t="str">
        <f t="shared" si="420"/>
        <v>- pastrana</v>
      </c>
      <c r="AX89" s="29" t="str">
        <f t="shared" si="421"/>
        <v>- churches</v>
      </c>
      <c r="AY89" s="29" t="str">
        <f t="shared" si="422"/>
        <v/>
      </c>
      <c r="AZ89" s="29" t="str">
        <f t="shared" si="423"/>
        <v>- holy-persons</v>
      </c>
      <c r="BA89" s="29" t="str">
        <f t="shared" si="424"/>
        <v>- teresa-avila</v>
      </c>
      <c r="BB89" s="29" t="str">
        <f t="shared" si="425"/>
        <v>- discalced-carmelites</v>
      </c>
      <c r="BC89" s="29" t="str">
        <f t="shared" si="426"/>
        <v>- communities</v>
      </c>
      <c r="BD89" s="29" t="str">
        <f t="shared" si="427"/>
        <v>- conceptionists</v>
      </c>
      <c r="BE89" s="29" t="str">
        <f t="shared" si="428"/>
        <v>- john-cross</v>
      </c>
      <c r="BF89" s="29" t="str">
        <f t="shared" si="429"/>
        <v/>
      </c>
      <c r="BG89" s="29" t="str">
        <f t="shared" si="430"/>
        <v/>
      </c>
      <c r="BH89" s="29" t="str">
        <f t="shared" si="431"/>
        <v/>
      </c>
      <c r="BI89" s="29" t="str">
        <f t="shared" si="432"/>
        <v/>
      </c>
      <c r="BJ89" s="29" t="str">
        <f t="shared" si="433"/>
        <v/>
      </c>
      <c r="BK89" s="29" t="str">
        <f t="shared" si="434"/>
        <v xml:space="preserve">tags:
- spain_x000D_
- pastrana_x000D_
- churches_x000D_
- holy-persons_x000D_
- teresa-avila_x000D_
- discalced-carmelites_x000D_
- communities_x000D_
- conceptionists_x000D_
- john-cross_x000D_
</v>
      </c>
      <c r="BL89" s="29" t="str">
        <f t="shared" si="435"/>
        <v/>
      </c>
      <c r="BM89" s="29" t="str">
        <f t="shared" si="436"/>
        <v>[Pastrana tourism site](https://turismo.pastrana.org/destino-pastrana/monumentos-pastrana-visitas-culturales/convento-del-carmen/)</v>
      </c>
      <c r="BN89" s="29" t="str">
        <f t="shared" si="437"/>
        <v/>
      </c>
      <c r="BO89" s="29" t="str">
        <f t="shared" si="438"/>
        <v/>
      </c>
      <c r="BP89" s="29" t="str">
        <f t="shared" si="439"/>
        <v xml:space="preserve">* [Pastrana tourism site](https://turismo.pastrana.org/destino-pastrana/monumentos-pastrana-visitas-culturales/convento-del-carmen/)
</v>
      </c>
      <c r="BQ89" s="29" t="str">
        <f t="shared" si="440"/>
        <v/>
      </c>
      <c r="BR89" s="29" t="str">
        <f t="shared" si="441"/>
        <v/>
      </c>
      <c r="BS89" s="29" t="str">
        <f t="shared" si="442"/>
        <v/>
      </c>
      <c r="BT89" s="29" t="str">
        <f>IF(LEN(_xludf.concat(BQ89:BS89))&gt;0,_xludf.concat("| ",BQ89," | ",BR89," | ",BS89," |"),"")</f>
        <v/>
      </c>
      <c r="BU89" s="29" t="str">
        <f t="shared" si="443"/>
        <v/>
      </c>
      <c r="BV89" s="29" t="str">
        <f>IF(LEN(BP89&amp;BU89)&gt;0,concatll("#### More Information",BP89,BU89),"")</f>
        <v xml:space="preserve">#### More Information_x000D_
_x000D_
* [Pastrana tourism site](https://turismo.pastrana.org/destino-pastrana/monumentos-pastrana-visitas-culturales/convento-del-carmen/)
_x000D_
_x000D_
</v>
      </c>
      <c r="BW89" s="29" t="str">
        <f>IF(LEN(M89)&gt;1,concatll("#### Author's Note",M89),"")</f>
        <v/>
      </c>
      <c r="BX89" s="23" t="str">
        <f>IF(AR89,concatll(concatl("---",AS89:AU89,BK89,"---"),L89,BV89:BW89),"")</f>
        <v xml:space="preserve">---_x000D_
title: "Convento del Carmen, Pastrana"_x000D_
location: {lat: 40.4050876865406, lng: -2.91725329352686}_x000D_
level: local_x000D_
tags:
- spain_x000D_
- pastrana_x000D_
- churches_x000D_
- holy-persons_x000D_
- teresa-avila_x000D_
- discalced-carmelites_x000D_
- communities_x000D_
- conceptionists_x000D_
- john-cross_x000D_
_x000D_
---_x000D_
_x000D_
_x000D_
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museum._x000D_
_x000D_
#### More Information_x000D_
_x000D_
* [Pastrana tourism site](https://turismo.pastrana.org/destino-pastrana/monumentos-pastrana-visitas-culturales/convento-del-carmen/)
_x000D_
_x000D_
_x000D_
_x000D_
</v>
      </c>
      <c r="BY89" s="31" t="str">
        <f>IF(AR89,VLOOKUP(B89,'(Ref) Countries'!A:B,2,)&amp;IF(LEN(C89)&gt;1,"-"&amp;LOWER(SUBSTITUTE(C89," ","-")),"")&amp;"-"&amp;LOWER(SUBSTITUTE(G89," ","-"))&amp;".md","")</f>
        <v>es-pastrana-convento-del-carmen.md</v>
      </c>
      <c r="BZ89" s="29" t="str">
        <f>IF(LEN(Y89)&gt;1,VLOOKUP(Y89,'Tag List'!$A:$B,2,),"")</f>
        <v>St. Teresa of Avila, OCD</v>
      </c>
      <c r="CA89" s="29" t="str">
        <f>IF(LEN(Z89)&gt;1,VLOOKUP(Z89,'Tag List'!$A:$B,2,),"")</f>
        <v>Discalced Carmelites (Order of Discalced Carmelites)</v>
      </c>
      <c r="CB89" s="29" t="str">
        <f>IF(LEN(AA89)&gt;1,VLOOKUP(AA89,'Tag List'!$A:$B,2,),"")</f>
        <v>Religious Communities</v>
      </c>
      <c r="CC89" s="29" t="str">
        <f>IF(LEN(Y89)&gt;1,GetTagPage(BZ89,Y89),"")</f>
        <v>[St. Teresa of Avila, OCD](/tags/teresa-avila)</v>
      </c>
      <c r="CD89" s="29" t="str">
        <f>IF(LEN(Z89)&gt;1,GetTagPage(CA89,Z89),"")</f>
        <v>[Discalced Carmelites (Order of Discalced Carmelites)](/tags/discalced-carmelites)</v>
      </c>
      <c r="CE89" s="29" t="str">
        <f>IF(LEN(AA89)&gt;1,GetTagPage(CB89,AA89),"")</f>
        <v>[Religious Communities](/tags/communities)</v>
      </c>
      <c r="CF89" s="29" t="str">
        <f t="shared" si="444"/>
        <v xml:space="preserve">| [St. Teresa of Avila, OCD](/tags/teresa-avila), [Discalced Carmelites (Order of Discalced Carmelites)](/tags/discalced-carmelites), [Religious Communities](/tags/communities) </v>
      </c>
      <c r="CG89" s="29" t="str">
        <f t="shared" si="445"/>
        <v xml:space="preserve">| [](/places/es-pastrana-convento-del-carmen) </v>
      </c>
      <c r="CH89" s="29" t="str">
        <f>"| "&amp;IF(AR89,GetTagPage(B89,VLOOKUP(B89,'(Ref) Countries'!A:C,3,)),B89)&amp; " "</f>
        <v xml:space="preserve">| [Spain](/tags/spain) </v>
      </c>
      <c r="CI89" s="29" t="str">
        <f t="shared" si="446"/>
        <v xml:space="preserve">|  </v>
      </c>
      <c r="CJ89" s="29" t="str">
        <f t="shared" si="447"/>
        <v xml:space="preserve">| [Link](/places/es-pastrana-convento-del-carmen) </v>
      </c>
      <c r="CK89" s="29" t="str">
        <f t="shared" si="448"/>
        <v xml:space="preserve">
| [](/places/es-pastrana-convento-del-carmen) | [Spain](/tags/spain) |  | [Link](/places/es-pastrana-convento-del-carmen) | [St. Teresa of Avila, OCD](/tags/teresa-avila), [Discalced Carmelites (Order of Discalced Carmelites)](/tags/discalced-carmelites), [Religious Communities](/tags/communities) |</v>
      </c>
    </row>
    <row r="90" spans="1:89" ht="87" x14ac:dyDescent="0.4">
      <c r="A90" s="14" t="s">
        <v>1320</v>
      </c>
      <c r="B90" s="24" t="s">
        <v>552</v>
      </c>
      <c r="C90" s="104"/>
      <c r="D90" s="15">
        <v>40.461168474019402</v>
      </c>
      <c r="E90" s="49">
        <v>-6.1468564846553697</v>
      </c>
      <c r="F90" s="103" t="s">
        <v>2158</v>
      </c>
      <c r="G90" s="53" t="s">
        <v>2158</v>
      </c>
      <c r="H90" s="15" t="s">
        <v>1827</v>
      </c>
      <c r="I90" s="15" t="b">
        <v>1</v>
      </c>
      <c r="K90" s="15" t="b">
        <v>1</v>
      </c>
      <c r="L90" s="103" t="s">
        <v>2190</v>
      </c>
      <c r="N90" s="15" t="s">
        <v>2159</v>
      </c>
      <c r="O90" s="106" t="s">
        <v>336</v>
      </c>
      <c r="R90" s="64" t="s">
        <v>336</v>
      </c>
      <c r="Y90" s="15" t="s">
        <v>2148</v>
      </c>
      <c r="Z90" s="15" t="s">
        <v>2144</v>
      </c>
      <c r="AA90" s="15" t="s">
        <v>1424</v>
      </c>
      <c r="AR90" s="28" t="b">
        <f t="shared" si="416"/>
        <v>1</v>
      </c>
      <c r="AS90" s="29" t="str">
        <f t="shared" si="417"/>
        <v>title: "Monasterio de las Batuecas"</v>
      </c>
      <c r="AT90" s="29" t="str">
        <f t="shared" si="418"/>
        <v>location: {lat: 40.4611684740194, lng: -6.14685648465537}</v>
      </c>
      <c r="AU90" s="29" t="str">
        <f t="shared" si="419"/>
        <v>level: local</v>
      </c>
      <c r="AV90" s="29" t="str">
        <f>"- "&amp;VLOOKUP(B90,'(Ref) Countries'!A:C,3,)</f>
        <v>- spain</v>
      </c>
      <c r="AW90" s="29" t="str">
        <f t="shared" si="420"/>
        <v/>
      </c>
      <c r="AX90" s="29" t="str">
        <f t="shared" si="421"/>
        <v>- churches</v>
      </c>
      <c r="AY90" s="29" t="str">
        <f t="shared" si="422"/>
        <v/>
      </c>
      <c r="AZ90" s="29" t="str">
        <f t="shared" si="423"/>
        <v>- holy-persons</v>
      </c>
      <c r="BA90" s="29" t="str">
        <f t="shared" si="424"/>
        <v>- teresa-avila</v>
      </c>
      <c r="BB90" s="29" t="str">
        <f t="shared" si="425"/>
        <v>- discalced-carmelites</v>
      </c>
      <c r="BC90" s="29" t="str">
        <f t="shared" si="426"/>
        <v>- communities</v>
      </c>
      <c r="BD90" s="29" t="str">
        <f t="shared" si="427"/>
        <v/>
      </c>
      <c r="BE90" s="29" t="str">
        <f t="shared" si="428"/>
        <v/>
      </c>
      <c r="BF90" s="29" t="str">
        <f t="shared" si="429"/>
        <v/>
      </c>
      <c r="BG90" s="29" t="str">
        <f t="shared" si="430"/>
        <v/>
      </c>
      <c r="BH90" s="29" t="str">
        <f t="shared" si="431"/>
        <v/>
      </c>
      <c r="BI90" s="29" t="str">
        <f t="shared" si="432"/>
        <v/>
      </c>
      <c r="BJ90" s="29" t="str">
        <f t="shared" si="433"/>
        <v/>
      </c>
      <c r="BK90" s="29" t="str">
        <f t="shared" si="434"/>
        <v xml:space="preserve">tags:
- spain_x000D_
- churches_x000D_
- holy-persons_x000D_
- teresa-avila_x000D_
- discalced-carmelites_x000D_
- communities_x000D_
</v>
      </c>
      <c r="BL90" s="29" t="str">
        <f t="shared" si="435"/>
        <v>[Official site](https://monasteriodelasbatuecas.wordpress.com/)</v>
      </c>
      <c r="BM90" s="29" t="str">
        <f t="shared" si="436"/>
        <v/>
      </c>
      <c r="BN90" s="29" t="str">
        <f t="shared" si="437"/>
        <v/>
      </c>
      <c r="BO90" s="29" t="str">
        <f t="shared" si="438"/>
        <v/>
      </c>
      <c r="BP90" s="29" t="str">
        <f t="shared" si="439"/>
        <v xml:space="preserve">* [Official site](https://monasteriodelasbatuecas.wordpress.com/)
</v>
      </c>
      <c r="BQ90" s="29" t="str">
        <f t="shared" si="440"/>
        <v/>
      </c>
      <c r="BR90" s="29" t="str">
        <f t="shared" si="441"/>
        <v/>
      </c>
      <c r="BS90" s="29" t="str">
        <f t="shared" si="442"/>
        <v/>
      </c>
      <c r="BT90" s="29" t="str">
        <f>IF(LEN(_xludf.concat(BQ90:BS90))&gt;0,_xludf.concat("| ",BQ90," | ",BR90," | ",BS90," |"),"")</f>
        <v/>
      </c>
      <c r="BU90" s="29" t="str">
        <f t="shared" si="443"/>
        <v/>
      </c>
      <c r="BV90" s="29" t="str">
        <f>IF(LEN(BP90&amp;BU90)&gt;0,concatll("#### More Information",BP90,BU90),"")</f>
        <v xml:space="preserve">#### More Information_x000D_
_x000D_
* [Official site](https://monasteriodelasbatuecas.wordpress.com/)
_x000D_
_x000D_
</v>
      </c>
      <c r="BW90" s="29" t="str">
        <f>IF(LEN(M90)&gt;1,concatll("#### Author's Note",M90),"")</f>
        <v/>
      </c>
      <c r="BX90" s="23" t="str">
        <f>IF(AR90,concatll(concatl("---",AS90:AU90,BK90,"---"),L90,BV90:BW90),"")</f>
        <v xml:space="preserve">---_x000D_
title: "Monasterio de las Batuecas"_x000D_
location: {lat: 40.4611684740194, lng: -6.14685648465537}_x000D_
level: local_x000D_
tags:
- spain_x000D_
- churches_x000D_
- holy-persons_x000D_
- teresa-avila_x000D_
- discalced-carmelites_x000D_
- communities_x000D_
_x000D_
---_x000D_
_x000D_
_x000D_
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prayers._x000D_
_x000D_
#### More Information_x000D_
_x000D_
* [Official site](https://monasteriodelasbatuecas.wordpress.com/)
_x000D_
_x000D_
_x000D_
_x000D_
</v>
      </c>
      <c r="BY90" s="31" t="str">
        <f>IF(AR90,VLOOKUP(B90,'(Ref) Countries'!A:B,2,)&amp;IF(LEN(C90)&gt;1,"-"&amp;LOWER(SUBSTITUTE(C90," ","-")),"")&amp;"-"&amp;LOWER(SUBSTITUTE(G90," ","-"))&amp;".md","")</f>
        <v>es-monasterio-de-las-batuecas.md</v>
      </c>
      <c r="BZ90" s="29" t="str">
        <f>IF(LEN(Y90)&gt;1,VLOOKUP(Y90,'Tag List'!$A:$B,2,),"")</f>
        <v>St. Teresa of Avila, OCD</v>
      </c>
      <c r="CA90" s="29" t="str">
        <f>IF(LEN(Z90)&gt;1,VLOOKUP(Z90,'Tag List'!$A:$B,2,),"")</f>
        <v>Discalced Carmelites (Order of Discalced Carmelites)</v>
      </c>
      <c r="CB90" s="29" t="str">
        <f>IF(LEN(AA90)&gt;1,VLOOKUP(AA90,'Tag List'!$A:$B,2,),"")</f>
        <v>Religious Communities</v>
      </c>
      <c r="CC90" s="29" t="str">
        <f>IF(LEN(Y90)&gt;1,GetTagPage(BZ90,Y90),"")</f>
        <v>[St. Teresa of Avila, OCD](/tags/teresa-avila)</v>
      </c>
      <c r="CD90" s="29" t="str">
        <f>IF(LEN(Z90)&gt;1,GetTagPage(CA90,Z90),"")</f>
        <v>[Discalced Carmelites (Order of Discalced Carmelites)](/tags/discalced-carmelites)</v>
      </c>
      <c r="CE90" s="29" t="str">
        <f>IF(LEN(AA90)&gt;1,GetTagPage(CB90,AA90),"")</f>
        <v>[Religious Communities](/tags/communities)</v>
      </c>
      <c r="CF90" s="29" t="str">
        <f t="shared" si="444"/>
        <v xml:space="preserve">| [St. Teresa of Avila, OCD](/tags/teresa-avila), [Discalced Carmelites (Order of Discalced Carmelites)](/tags/discalced-carmelites), [Religious Communities](/tags/communities) </v>
      </c>
      <c r="CG90" s="29" t="str">
        <f t="shared" si="445"/>
        <v xml:space="preserve">| [](/places/es-monasterio-de-las-batuecas) </v>
      </c>
      <c r="CH90" s="29" t="str">
        <f>"| "&amp;IF(AR90,GetTagPage(B90,VLOOKUP(B90,'(Ref) Countries'!A:C,3,)),B90)&amp; " "</f>
        <v xml:space="preserve">| [Spain](/tags/spain) </v>
      </c>
      <c r="CI90" s="29" t="str">
        <f t="shared" si="446"/>
        <v xml:space="preserve">|  </v>
      </c>
      <c r="CJ90" s="29" t="str">
        <f t="shared" si="447"/>
        <v xml:space="preserve">| [Link](/places/es-monasterio-de-las-batuecas) </v>
      </c>
      <c r="CK90" s="29" t="str">
        <f t="shared" si="448"/>
        <v xml:space="preserve">
| [](/places/es-monasterio-de-las-batuecas) | [Spain](/tags/spain) |  | [Link](/places/es-monasterio-de-las-batuecas) [Official site](https://monasteriodelasbatuecas.wordpress.com/)| [St. Teresa of Avila, OCD](/tags/teresa-avila), [Discalced Carmelites (Order of Discalced Carmelites)](/tags/discalced-carmelites), [Religious Communities](/tags/communities) |</v>
      </c>
    </row>
    <row r="91" spans="1:89" ht="37.299999999999997" x14ac:dyDescent="0.4">
      <c r="A91" s="14" t="s">
        <v>1320</v>
      </c>
      <c r="B91" s="24" t="s">
        <v>552</v>
      </c>
      <c r="C91" s="104" t="s">
        <v>2191</v>
      </c>
      <c r="D91" s="15">
        <v>40.826532835917298</v>
      </c>
      <c r="E91" s="49">
        <v>-5.5144056355381297</v>
      </c>
      <c r="F91" s="113" t="s">
        <v>2291</v>
      </c>
      <c r="G91" s="105" t="s">
        <v>2163</v>
      </c>
      <c r="H91" s="104" t="s">
        <v>1760</v>
      </c>
      <c r="I91" s="15" t="b">
        <v>1</v>
      </c>
      <c r="K91" s="15" t="b">
        <v>1</v>
      </c>
      <c r="L91" s="103" t="s">
        <v>2189</v>
      </c>
      <c r="N91" s="15" t="s">
        <v>2166</v>
      </c>
      <c r="O91" s="15" t="s">
        <v>336</v>
      </c>
      <c r="P91" s="108" t="s">
        <v>2164</v>
      </c>
      <c r="Q91" s="15" t="s">
        <v>2165</v>
      </c>
      <c r="R91" s="64" t="s">
        <v>336</v>
      </c>
      <c r="Y91" s="15" t="s">
        <v>2148</v>
      </c>
      <c r="Z91" s="15" t="s">
        <v>2144</v>
      </c>
      <c r="AA91" s="15" t="s">
        <v>1424</v>
      </c>
      <c r="AR91" s="28" t="b">
        <f t="shared" si="416"/>
        <v>1</v>
      </c>
      <c r="AS91" s="29" t="str">
        <f t="shared" si="417"/>
        <v>title: "Convent of the Anunciation (Convento de La Anunciacion), Alba de Tormes"</v>
      </c>
      <c r="AT91" s="29" t="str">
        <f t="shared" si="418"/>
        <v>location: {lat: 40.8265328359173, lng: -5.51440563553813}</v>
      </c>
      <c r="AU91" s="29" t="str">
        <f t="shared" si="419"/>
        <v>level: regional</v>
      </c>
      <c r="AV91" s="29" t="str">
        <f>"- "&amp;VLOOKUP(B91,'(Ref) Countries'!A:C,3,)</f>
        <v>- spain</v>
      </c>
      <c r="AW91" s="29" t="str">
        <f t="shared" si="420"/>
        <v>- alba-de-tormes</v>
      </c>
      <c r="AX91" s="29" t="str">
        <f t="shared" si="421"/>
        <v>- churches</v>
      </c>
      <c r="AY91" s="29" t="str">
        <f t="shared" si="422"/>
        <v/>
      </c>
      <c r="AZ91" s="29" t="str">
        <f t="shared" si="423"/>
        <v>- holy-persons</v>
      </c>
      <c r="BA91" s="29" t="str">
        <f t="shared" si="424"/>
        <v>- teresa-avila</v>
      </c>
      <c r="BB91" s="29" t="str">
        <f t="shared" si="425"/>
        <v>- discalced-carmelites</v>
      </c>
      <c r="BC91" s="29" t="str">
        <f t="shared" si="426"/>
        <v>- communities</v>
      </c>
      <c r="BD91" s="29" t="str">
        <f t="shared" si="427"/>
        <v/>
      </c>
      <c r="BE91" s="29" t="str">
        <f t="shared" si="428"/>
        <v/>
      </c>
      <c r="BF91" s="29" t="str">
        <f t="shared" si="429"/>
        <v/>
      </c>
      <c r="BG91" s="29" t="str">
        <f t="shared" si="430"/>
        <v/>
      </c>
      <c r="BH91" s="29" t="str">
        <f t="shared" si="431"/>
        <v/>
      </c>
      <c r="BI91" s="29" t="str">
        <f t="shared" si="432"/>
        <v/>
      </c>
      <c r="BJ91" s="29" t="str">
        <f t="shared" si="433"/>
        <v/>
      </c>
      <c r="BK91" s="29" t="str">
        <f t="shared" si="434"/>
        <v xml:space="preserve">tags:
- spain_x000D_
- alba-de-tormes_x000D_
- churches_x000D_
- holy-persons_x000D_
- teresa-avila_x000D_
- discalced-carmelites_x000D_
- communities_x000D_
</v>
      </c>
      <c r="BL91" s="29" t="str">
        <f t="shared" si="435"/>
        <v>[Official site](https://carmelitasalba.org/)</v>
      </c>
      <c r="BM91" s="29" t="str">
        <f t="shared" si="436"/>
        <v>[Information in English](https://www.carmelitasalba.org/wp-content/themes/Florida_child_theme/images/carmus-ingles-web.pdf)</v>
      </c>
      <c r="BN91" s="29" t="str">
        <f t="shared" si="437"/>
        <v/>
      </c>
      <c r="BO91" s="29" t="str">
        <f t="shared" si="438"/>
        <v/>
      </c>
      <c r="BP91" s="29" t="str">
        <f t="shared" si="439"/>
        <v xml:space="preserve">* [Official site](https://carmelitasalba.org/)
* [Information in English](https://www.carmelitasalba.org/wp-content/themes/Florida_child_theme/images/carmus-ingles-web.pdf)
</v>
      </c>
      <c r="BQ91" s="29" t="str">
        <f t="shared" si="440"/>
        <v/>
      </c>
      <c r="BR91" s="29" t="str">
        <f t="shared" si="441"/>
        <v/>
      </c>
      <c r="BS91" s="29" t="str">
        <f t="shared" si="442"/>
        <v/>
      </c>
      <c r="BT91" s="29" t="str">
        <f>IF(LEN(_xludf.concat(BQ91:BS91))&gt;0,_xludf.concat("| ",BQ91," | ",BR91," | ",BS91," |"),"")</f>
        <v/>
      </c>
      <c r="BU91" s="29" t="str">
        <f t="shared" si="443"/>
        <v/>
      </c>
      <c r="BV91" s="29" t="str">
        <f>IF(LEN(BP91&amp;BU91)&gt;0,concatll("#### More Information",BP91,BU91),"")</f>
        <v xml:space="preserve">#### More Information_x000D_
_x000D_
* [Official site](https://carmelitasalba.org/)
* [Information in English](https://www.carmelitasalba.org/wp-content/themes/Florida_child_theme/images/carmus-ingles-web.pdf)
_x000D_
_x000D_
</v>
      </c>
      <c r="BW91" s="29" t="str">
        <f>IF(LEN(M91)&gt;1,concatll("#### Author's Note",M91),"")</f>
        <v/>
      </c>
      <c r="BX91" s="23" t="str">
        <f>IF(AR91,concatll(concatl("---",AS91:AU91,BK91,"---"),L91,BV91:BW91),"")</f>
        <v xml:space="preserve">---_x000D_
title: "Convent of the Anunciation (Convento de La Anunciacion), Alba de Tormes"_x000D_
location: {lat: 40.8265328359173, lng: -5.51440563553813}_x000D_
level: regional_x000D_
tags:
- spain_x000D_
- alba-de-tormes_x000D_
- churches_x000D_
- holy-persons_x000D_
- teresa-avila_x000D_
- discalced-carmelites_x000D_
- communities_x000D_
_x000D_
---_x000D_
_x000D_
_x000D_
The eigth of 17 communities founded by St. Teresa of Avila, in 1571, and also the place of her death in 1582.  Today the main altarpiece houses St. Teresa's incorrupt heart and arm._x000D_
_x000D_
#### More Information_x000D_
_x000D_
* [Official site](https://carmelitasalba.org/)
* [Information in English](https://www.carmelitasalba.org/wp-content/themes/Florida_child_theme/images/carmus-ingles-web.pdf)
_x000D_
_x000D_
_x000D_
_x000D_
</v>
      </c>
      <c r="BY91" s="31" t="str">
        <f>IF(AR91,VLOOKUP(B91,'(Ref) Countries'!A:B,2,)&amp;IF(LEN(C91)&gt;1,"-"&amp;LOWER(SUBSTITUTE(C91," ","-")),"")&amp;"-"&amp;LOWER(SUBSTITUTE(G91," ","-"))&amp;".md","")</f>
        <v>es-alba-de-tormes-convento-de-la-anunciacion.md</v>
      </c>
      <c r="BZ91" s="29" t="str">
        <f>IF(LEN(Y91)&gt;1,VLOOKUP(Y91,'Tag List'!$A:$B,2,),"")</f>
        <v>St. Teresa of Avila, OCD</v>
      </c>
      <c r="CA91" s="29" t="str">
        <f>IF(LEN(Z91)&gt;1,VLOOKUP(Z91,'Tag List'!$A:$B,2,),"")</f>
        <v>Discalced Carmelites (Order of Discalced Carmelites)</v>
      </c>
      <c r="CB91" s="29" t="str">
        <f>IF(LEN(AA91)&gt;1,VLOOKUP(AA91,'Tag List'!$A:$B,2,),"")</f>
        <v>Religious Communities</v>
      </c>
      <c r="CC91" s="29" t="str">
        <f>IF(LEN(Y91)&gt;1,GetTagPage(BZ91,Y91),"")</f>
        <v>[St. Teresa of Avila, OCD](/tags/teresa-avila)</v>
      </c>
      <c r="CD91" s="29" t="str">
        <f>IF(LEN(Z91)&gt;1,GetTagPage(CA91,Z91),"")</f>
        <v>[Discalced Carmelites (Order of Discalced Carmelites)](/tags/discalced-carmelites)</v>
      </c>
      <c r="CE91" s="29" t="str">
        <f>IF(LEN(AA91)&gt;1,GetTagPage(CB91,AA91),"")</f>
        <v>[Religious Communities](/tags/communities)</v>
      </c>
      <c r="CF91" s="29" t="str">
        <f t="shared" si="444"/>
        <v xml:space="preserve">| [St. Teresa of Avila, OCD](/tags/teresa-avila), [Discalced Carmelites (Order of Discalced Carmelites)](/tags/discalced-carmelites), [Religious Communities](/tags/communities) </v>
      </c>
      <c r="CG91" s="29" t="str">
        <f t="shared" si="445"/>
        <v xml:space="preserve">| [](/places/es-alba-de-tormes-convento-de-la-anunciacion) </v>
      </c>
      <c r="CH91" s="29" t="str">
        <f>"| "&amp;IF(AR91,GetTagPage(B91,VLOOKUP(B91,'(Ref) Countries'!A:C,3,)),B91)&amp; " "</f>
        <v xml:space="preserve">| [Spain](/tags/spain) </v>
      </c>
      <c r="CI91" s="29" t="str">
        <f t="shared" si="446"/>
        <v xml:space="preserve">|  </v>
      </c>
      <c r="CJ91" s="29" t="str">
        <f t="shared" si="447"/>
        <v xml:space="preserve">| [Link](/places/es-alba-de-tormes-convento-de-la-anunciacion) </v>
      </c>
      <c r="CK91" s="29" t="str">
        <f t="shared" si="448"/>
        <v xml:space="preserve">
| [](/places/es-alba-de-tormes-convento-de-la-anunciacion) | [Spain](/tags/spain) |  | [Link](/places/es-alba-de-tormes-convento-de-la-anunciacion) [Official site](https://carmelitasalba.org/)| [St. Teresa of Avila, OCD](/tags/teresa-avila), [Discalced Carmelites (Order of Discalced Carmelites)](/tags/discalced-carmelites), [Religious Communities](/tags/communities) |</v>
      </c>
    </row>
    <row r="92" spans="1:89" x14ac:dyDescent="0.4">
      <c r="A92" s="14" t="s">
        <v>1320</v>
      </c>
      <c r="B92" s="24" t="s">
        <v>552</v>
      </c>
      <c r="C92" s="104" t="s">
        <v>2192</v>
      </c>
      <c r="D92" s="15">
        <v>40.951196907421703</v>
      </c>
      <c r="E92" s="49">
        <v>-4.1268227200102796</v>
      </c>
      <c r="F92" s="103" t="s">
        <v>2193</v>
      </c>
      <c r="G92" s="53" t="s">
        <v>2153</v>
      </c>
      <c r="H92" s="15" t="s">
        <v>1827</v>
      </c>
      <c r="I92" s="15" t="b">
        <v>1</v>
      </c>
      <c r="K92" s="15" t="b">
        <v>1</v>
      </c>
      <c r="L92" s="103" t="s">
        <v>2194</v>
      </c>
      <c r="Y92" s="15" t="s">
        <v>2148</v>
      </c>
      <c r="Z92" s="15" t="s">
        <v>2144</v>
      </c>
      <c r="AA92" s="15" t="s">
        <v>1424</v>
      </c>
      <c r="AR92" s="28" t="b">
        <f t="shared" si="416"/>
        <v>1</v>
      </c>
      <c r="AS92" s="29" t="str">
        <f t="shared" si="417"/>
        <v>title: "Convento de San Jose, Segovia"</v>
      </c>
      <c r="AT92" s="29" t="str">
        <f t="shared" si="418"/>
        <v>location: {lat: 40.9511969074217, lng: -4.12682272001028}</v>
      </c>
      <c r="AU92" s="29" t="str">
        <f t="shared" si="419"/>
        <v>level: local</v>
      </c>
      <c r="AV92" s="29" t="str">
        <f>"- "&amp;VLOOKUP(B92,'(Ref) Countries'!A:C,3,)</f>
        <v>- spain</v>
      </c>
      <c r="AW92" s="29" t="str">
        <f t="shared" si="420"/>
        <v>- segovia</v>
      </c>
      <c r="AX92" s="29" t="str">
        <f t="shared" si="421"/>
        <v>- churches</v>
      </c>
      <c r="AY92" s="29" t="str">
        <f t="shared" si="422"/>
        <v/>
      </c>
      <c r="AZ92" s="29" t="str">
        <f t="shared" si="423"/>
        <v>- holy-persons</v>
      </c>
      <c r="BA92" s="29" t="str">
        <f t="shared" si="424"/>
        <v>- teresa-avila</v>
      </c>
      <c r="BB92" s="29" t="str">
        <f t="shared" si="425"/>
        <v>- discalced-carmelites</v>
      </c>
      <c r="BC92" s="29" t="str">
        <f t="shared" si="426"/>
        <v>- communities</v>
      </c>
      <c r="BD92" s="29" t="str">
        <f t="shared" si="427"/>
        <v/>
      </c>
      <c r="BE92" s="29" t="str">
        <f t="shared" si="428"/>
        <v/>
      </c>
      <c r="BF92" s="29" t="str">
        <f t="shared" si="429"/>
        <v/>
      </c>
      <c r="BG92" s="29" t="str">
        <f t="shared" si="430"/>
        <v/>
      </c>
      <c r="BH92" s="29" t="str">
        <f t="shared" si="431"/>
        <v/>
      </c>
      <c r="BI92" s="29" t="str">
        <f t="shared" si="432"/>
        <v/>
      </c>
      <c r="BJ92" s="29" t="str">
        <f t="shared" si="433"/>
        <v/>
      </c>
      <c r="BK92" s="29" t="str">
        <f t="shared" si="434"/>
        <v xml:space="preserve">tags:
- spain_x000D_
- segovia_x000D_
- churches_x000D_
- holy-persons_x000D_
- teresa-avila_x000D_
- discalced-carmelites_x000D_
- communities_x000D_
</v>
      </c>
      <c r="BL92" s="29" t="str">
        <f t="shared" si="435"/>
        <v/>
      </c>
      <c r="BM92" s="29" t="str">
        <f t="shared" si="436"/>
        <v/>
      </c>
      <c r="BN92" s="29" t="str">
        <f t="shared" si="437"/>
        <v/>
      </c>
      <c r="BO92" s="29" t="str">
        <f t="shared" si="438"/>
        <v/>
      </c>
      <c r="BP92" s="29" t="str">
        <f t="shared" si="439"/>
        <v/>
      </c>
      <c r="BQ92" s="29" t="str">
        <f t="shared" si="440"/>
        <v/>
      </c>
      <c r="BR92" s="29" t="str">
        <f t="shared" si="441"/>
        <v/>
      </c>
      <c r="BS92" s="29" t="str">
        <f t="shared" si="442"/>
        <v/>
      </c>
      <c r="BT92" s="29" t="str">
        <f>IF(LEN(_xludf.concat(BQ92:BS92))&gt;0,_xludf.concat("| ",BQ92," | ",BR92," | ",BS92," |"),"")</f>
        <v/>
      </c>
      <c r="BU92" s="29" t="str">
        <f t="shared" si="443"/>
        <v/>
      </c>
      <c r="BV92" s="29" t="str">
        <f>IF(LEN(BP92&amp;BU92)&gt;0,concatll("#### More Information",BP92,BU92),"")</f>
        <v/>
      </c>
      <c r="BW92" s="29" t="str">
        <f>IF(LEN(M92)&gt;1,concatll("#### Author's Note",M92),"")</f>
        <v/>
      </c>
      <c r="BX92" s="23" t="str">
        <f>IF(AR92,concatll(concatl("---",AS92:AU92,BK92,"---"),L92,BV92:BW92),"")</f>
        <v xml:space="preserve">---_x000D_
title: "Convento de San Jose, Segovia"_x000D_
location: {lat: 40.9511969074217, lng: -4.12682272001028}_x000D_
level: local_x000D_
tags:
- spain_x000D_
- segovia_x000D_
- churches_x000D_
- holy-persons_x000D_
- teresa-avila_x000D_
- discalced-carmelites_x000D_
- communities_x000D_
_x000D_
---_x000D_
_x000D_
_x000D_
The ninth of 17 communities founded by St. Teresa of Avila, in 1574._x000D_
_x000D_
</v>
      </c>
      <c r="BY92" s="31" t="str">
        <f>IF(AR92,VLOOKUP(B92,'(Ref) Countries'!A:B,2,)&amp;IF(LEN(C92)&gt;1,"-"&amp;LOWER(SUBSTITUTE(C92," ","-")),"")&amp;"-"&amp;LOWER(SUBSTITUTE(G92," ","-"))&amp;".md","")</f>
        <v>es-segovia-convento-de-san-jose.md</v>
      </c>
      <c r="BZ92" s="29" t="str">
        <f>IF(LEN(Y92)&gt;1,VLOOKUP(Y92,'Tag List'!$A:$B,2,),"")</f>
        <v>St. Teresa of Avila, OCD</v>
      </c>
      <c r="CA92" s="29" t="str">
        <f>IF(LEN(Z92)&gt;1,VLOOKUP(Z92,'Tag List'!$A:$B,2,),"")</f>
        <v>Discalced Carmelites (Order of Discalced Carmelites)</v>
      </c>
      <c r="CB92" s="29" t="str">
        <f>IF(LEN(AA92)&gt;1,VLOOKUP(AA92,'Tag List'!$A:$B,2,),"")</f>
        <v>Religious Communities</v>
      </c>
      <c r="CC92" s="29" t="str">
        <f>IF(LEN(Y92)&gt;1,GetTagPage(BZ92,Y92),"")</f>
        <v>[St. Teresa of Avila, OCD](/tags/teresa-avila)</v>
      </c>
      <c r="CD92" s="29" t="str">
        <f>IF(LEN(Z92)&gt;1,GetTagPage(CA92,Z92),"")</f>
        <v>[Discalced Carmelites (Order of Discalced Carmelites)](/tags/discalced-carmelites)</v>
      </c>
      <c r="CE92" s="29" t="str">
        <f>IF(LEN(AA92)&gt;1,GetTagPage(CB92,AA92),"")</f>
        <v>[Religious Communities](/tags/communities)</v>
      </c>
      <c r="CF92" s="29" t="str">
        <f t="shared" si="444"/>
        <v xml:space="preserve">| [St. Teresa of Avila, OCD](/tags/teresa-avila), [Discalced Carmelites (Order of Discalced Carmelites)](/tags/discalced-carmelites), [Religious Communities](/tags/communities) </v>
      </c>
      <c r="CG92" s="29" t="str">
        <f t="shared" si="445"/>
        <v xml:space="preserve">| [](/places/es-segovia-convento-de-san-jose) </v>
      </c>
      <c r="CH92" s="29" t="str">
        <f>"| "&amp;IF(AR92,GetTagPage(B92,VLOOKUP(B92,'(Ref) Countries'!A:C,3,)),B92)&amp; " "</f>
        <v xml:space="preserve">| [Spain](/tags/spain) </v>
      </c>
      <c r="CI92" s="29" t="str">
        <f t="shared" si="446"/>
        <v xml:space="preserve">|  </v>
      </c>
      <c r="CJ92" s="29" t="str">
        <f t="shared" si="447"/>
        <v xml:space="preserve">| [Link](/places/es-segovia-convento-de-san-jose) </v>
      </c>
      <c r="CK92" s="29" t="str">
        <f t="shared" si="448"/>
        <v xml:space="preserve">
| [](/places/es-segovia-convento-de-san-jose) | [Spain](/tags/spain) |  | [Link](/places/es-segovia-convento-de-san-jose) | [St. Teresa of Avila, OCD](/tags/teresa-avila), [Discalced Carmelites (Order of Discalced Carmelites)](/tags/discalced-carmelites), [Religious Communities](/tags/communities) |</v>
      </c>
    </row>
    <row r="93" spans="1:89" ht="24.9" x14ac:dyDescent="0.4">
      <c r="A93" s="14" t="s">
        <v>1320</v>
      </c>
      <c r="B93" s="24" t="s">
        <v>552</v>
      </c>
      <c r="C93" s="104" t="s">
        <v>2195</v>
      </c>
      <c r="D93" s="15">
        <v>38.251042949170802</v>
      </c>
      <c r="E93" s="49">
        <v>-2.88706618465537</v>
      </c>
      <c r="F93" s="113" t="s">
        <v>2292</v>
      </c>
      <c r="G93" s="53" t="s">
        <v>2196</v>
      </c>
      <c r="H93" s="15" t="s">
        <v>1827</v>
      </c>
      <c r="I93" s="15" t="b">
        <v>1</v>
      </c>
      <c r="K93" s="15" t="b">
        <v>1</v>
      </c>
      <c r="L93" s="103" t="s">
        <v>2202</v>
      </c>
      <c r="P93" s="108" t="s">
        <v>2197</v>
      </c>
      <c r="Q93" s="15" t="s">
        <v>2198</v>
      </c>
      <c r="R93" s="109" t="s">
        <v>336</v>
      </c>
      <c r="S93" s="108" t="s">
        <v>2199</v>
      </c>
      <c r="T93" s="15" t="s">
        <v>2200</v>
      </c>
      <c r="U93" s="110" t="s">
        <v>2201</v>
      </c>
      <c r="V93" s="106" t="s">
        <v>336</v>
      </c>
      <c r="Y93" s="15" t="s">
        <v>2148</v>
      </c>
      <c r="Z93" s="15" t="s">
        <v>2144</v>
      </c>
      <c r="AA93" s="15" t="s">
        <v>1424</v>
      </c>
      <c r="AR93" s="28" t="b">
        <f t="shared" si="416"/>
        <v>1</v>
      </c>
      <c r="AS93" s="29" t="str">
        <f t="shared" si="417"/>
        <v>title: "Monasterio de San Jose del Salvador, Beas"</v>
      </c>
      <c r="AT93" s="29" t="str">
        <f t="shared" si="418"/>
        <v>location: {lat: 38.2510429491708, lng: -2.88706618465537}</v>
      </c>
      <c r="AU93" s="29" t="str">
        <f t="shared" si="419"/>
        <v>level: local</v>
      </c>
      <c r="AV93" s="29" t="str">
        <f>"- "&amp;VLOOKUP(B93,'(Ref) Countries'!A:C,3,)</f>
        <v>- spain</v>
      </c>
      <c r="AW93" s="29" t="str">
        <f t="shared" si="420"/>
        <v>- beas-de-segura</v>
      </c>
      <c r="AX93" s="29" t="str">
        <f t="shared" si="421"/>
        <v>- churches</v>
      </c>
      <c r="AY93" s="29" t="str">
        <f t="shared" si="422"/>
        <v/>
      </c>
      <c r="AZ93" s="29" t="str">
        <f t="shared" si="423"/>
        <v>- holy-persons</v>
      </c>
      <c r="BA93" s="29" t="str">
        <f t="shared" si="424"/>
        <v>- teresa-avila</v>
      </c>
      <c r="BB93" s="29" t="str">
        <f t="shared" si="425"/>
        <v>- discalced-carmelites</v>
      </c>
      <c r="BC93" s="29" t="str">
        <f t="shared" si="426"/>
        <v>- communities</v>
      </c>
      <c r="BD93" s="29" t="str">
        <f t="shared" si="427"/>
        <v/>
      </c>
      <c r="BE93" s="29" t="str">
        <f t="shared" si="428"/>
        <v/>
      </c>
      <c r="BF93" s="29" t="str">
        <f t="shared" si="429"/>
        <v/>
      </c>
      <c r="BG93" s="29" t="str">
        <f t="shared" si="430"/>
        <v/>
      </c>
      <c r="BH93" s="29" t="str">
        <f t="shared" si="431"/>
        <v/>
      </c>
      <c r="BI93" s="29" t="str">
        <f t="shared" si="432"/>
        <v/>
      </c>
      <c r="BJ93" s="29" t="str">
        <f t="shared" si="433"/>
        <v/>
      </c>
      <c r="BK93" s="29" t="str">
        <f t="shared" si="434"/>
        <v xml:space="preserve">tags:
- spain_x000D_
- beas-de-segura_x000D_
- churches_x000D_
- holy-persons_x000D_
- teresa-avila_x000D_
- discalced-carmelites_x000D_
- communities_x000D_
</v>
      </c>
      <c r="BL93" s="29" t="str">
        <f t="shared" si="435"/>
        <v/>
      </c>
      <c r="BM93" s="29" t="str">
        <f t="shared" si="436"/>
        <v>[Sierra de Segura tourism site](https://lasierradesegura.org/parajes-naturales/convento-de-las-carmelitas-descalzas-de-san-jose-del-salvador/)</v>
      </c>
      <c r="BN93" s="29" t="str">
        <f t="shared" si="437"/>
        <v>[Wikipedia](https://es.wikipedia.org/wiki/Convento_de_Carmelitas_Descalzas_(Beas_de_Segura)) Significant amounts of information of the associated Wikipedia page</v>
      </c>
      <c r="BO93" s="29" t="str">
        <f t="shared" si="438"/>
        <v/>
      </c>
      <c r="BP93" s="29" t="str">
        <f t="shared" si="439"/>
        <v xml:space="preserve">* [Sierra de Segura tourism site](https://lasierradesegura.org/parajes-naturales/convento-de-las-carmelitas-descalzas-de-san-jose-del-salvador/)
* [Wikipedia](https://es.wikipedia.org/wiki/Convento_de_Carmelitas_Descalzas_(Beas_de_Segura)) Significant amounts of information of the associated Wikipedia page
</v>
      </c>
      <c r="BQ93" s="29" t="str">
        <f t="shared" si="440"/>
        <v/>
      </c>
      <c r="BR93" s="29" t="str">
        <f t="shared" si="441"/>
        <v/>
      </c>
      <c r="BS93" s="29" t="str">
        <f t="shared" si="442"/>
        <v/>
      </c>
      <c r="BT93" s="29" t="str">
        <f>IF(LEN(_xludf.concat(BQ93:BS93))&gt;0,_xludf.concat("| ",BQ93," | ",BR93," | ",BS93," |"),"")</f>
        <v/>
      </c>
      <c r="BU93" s="29" t="str">
        <f t="shared" si="443"/>
        <v/>
      </c>
      <c r="BV93" s="29" t="str">
        <f>IF(LEN(BP93&amp;BU93)&gt;0,concatll("#### More Information",BP93,BU93),"")</f>
        <v xml:space="preserve">#### More Information_x000D_
_x000D_
* [Sierra de Segura tourism site](https://lasierradesegura.org/parajes-naturales/convento-de-las-carmelitas-descalzas-de-san-jose-del-salvador/)
* [Wikipedia](https://es.wikipedia.org/wiki/Convento_de_Carmelitas_Descalzas_(Beas_de_Segura)) Significant amounts of information of the associated Wikipedia page
_x000D_
_x000D_
</v>
      </c>
      <c r="BW93" s="29" t="str">
        <f>IF(LEN(M93)&gt;1,concatll("#### Author's Note",M93),"")</f>
        <v/>
      </c>
      <c r="BX93" s="23" t="str">
        <f>IF(AR93,concatll(concatl("---",AS93:AU93,BK93,"---"),L93,BV93:BW93),"")</f>
        <v xml:space="preserve">---_x000D_
title: "Monasterio de San Jose del Salvador, Beas"_x000D_
location: {lat: 38.2510429491708, lng: -2.88706618465537}_x000D_
level: local_x000D_
tags:
- spain_x000D_
- beas-de-segura_x000D_
- churches_x000D_
- holy-persons_x000D_
- teresa-avila_x000D_
- discalced-carmelites_x000D_
- communities_x000D_
_x000D_
---_x000D_
_x000D_
_x000D_
The tenth of 17 communities founded by St. Teresa of Avila, in 1575._x000D_
_x000D_
#### More Information_x000D_
_x000D_
* [Sierra de Segura tourism site](https://lasierradesegura.org/parajes-naturales/convento-de-las-carmelitas-descalzas-de-san-jose-del-salvador/)
* [Wikipedia](https://es.wikipedia.org/wiki/Convento_de_Carmelitas_Descalzas_(Beas_de_Segura)) Significant amounts of information of the associated Wikipedia page
_x000D_
_x000D_
_x000D_
_x000D_
</v>
      </c>
      <c r="BY93" s="31" t="str">
        <f>IF(AR93,VLOOKUP(B93,'(Ref) Countries'!A:B,2,)&amp;IF(LEN(C93)&gt;1,"-"&amp;LOWER(SUBSTITUTE(C93," ","-")),"")&amp;"-"&amp;LOWER(SUBSTITUTE(G93," ","-"))&amp;".md","")</f>
        <v>es-beas-de-segura-monasterio-de-san-jose-del-salvador.md</v>
      </c>
      <c r="BZ93" s="29" t="str">
        <f>IF(LEN(Y93)&gt;1,VLOOKUP(Y93,'Tag List'!$A:$B,2,),"")</f>
        <v>St. Teresa of Avila, OCD</v>
      </c>
      <c r="CA93" s="29" t="str">
        <f>IF(LEN(Z93)&gt;1,VLOOKUP(Z93,'Tag List'!$A:$B,2,),"")</f>
        <v>Discalced Carmelites (Order of Discalced Carmelites)</v>
      </c>
      <c r="CB93" s="29" t="str">
        <f>IF(LEN(AA93)&gt;1,VLOOKUP(AA93,'Tag List'!$A:$B,2,),"")</f>
        <v>Religious Communities</v>
      </c>
      <c r="CC93" s="29" t="str">
        <f>IF(LEN(Y93)&gt;1,GetTagPage(BZ93,Y93),"")</f>
        <v>[St. Teresa of Avila, OCD](/tags/teresa-avila)</v>
      </c>
      <c r="CD93" s="29" t="str">
        <f>IF(LEN(Z93)&gt;1,GetTagPage(CA93,Z93),"")</f>
        <v>[Discalced Carmelites (Order of Discalced Carmelites)](/tags/discalced-carmelites)</v>
      </c>
      <c r="CE93" s="29" t="str">
        <f>IF(LEN(AA93)&gt;1,GetTagPage(CB93,AA93),"")</f>
        <v>[Religious Communities](/tags/communities)</v>
      </c>
      <c r="CF93" s="29" t="str">
        <f t="shared" si="444"/>
        <v xml:space="preserve">| [St. Teresa of Avila, OCD](/tags/teresa-avila), [Discalced Carmelites (Order of Discalced Carmelites)](/tags/discalced-carmelites), [Religious Communities](/tags/communities) </v>
      </c>
      <c r="CG93" s="29" t="str">
        <f t="shared" si="445"/>
        <v xml:space="preserve">| [](/places/es-beas-de-segura-monasterio-de-san-jose-del-salvador) </v>
      </c>
      <c r="CH93" s="29" t="str">
        <f>"| "&amp;IF(AR93,GetTagPage(B93,VLOOKUP(B93,'(Ref) Countries'!A:C,3,)),B93)&amp; " "</f>
        <v xml:space="preserve">| [Spain](/tags/spain) </v>
      </c>
      <c r="CI93" s="29" t="str">
        <f t="shared" si="446"/>
        <v xml:space="preserve">|  </v>
      </c>
      <c r="CJ93" s="29" t="str">
        <f t="shared" si="447"/>
        <v xml:space="preserve">| [Link](/places/es-beas-de-segura-monasterio-de-san-jose-del-salvador) </v>
      </c>
      <c r="CK93" s="29" t="str">
        <f t="shared" si="448"/>
        <v xml:space="preserve">
| [](/places/es-beas-de-segura-monasterio-de-san-jose-del-salvador) | [Spain](/tags/spain) |  | [Link](/places/es-beas-de-segura-monasterio-de-san-jose-del-salvador) | [St. Teresa of Avila, OCD](/tags/teresa-avila), [Discalced Carmelites (Order of Discalced Carmelites)](/tags/discalced-carmelites), [Religious Communities](/tags/communities) |</v>
      </c>
    </row>
    <row r="94" spans="1:89" ht="24.9" x14ac:dyDescent="0.4">
      <c r="A94" s="14" t="s">
        <v>1320</v>
      </c>
      <c r="B94" s="24" t="s">
        <v>552</v>
      </c>
      <c r="C94" s="104" t="s">
        <v>2203</v>
      </c>
      <c r="D94" s="15">
        <v>37.385800751465098</v>
      </c>
      <c r="E94" s="49">
        <v>-5.9889938846553701</v>
      </c>
      <c r="F94" s="113" t="s">
        <v>2293</v>
      </c>
      <c r="G94" s="53" t="s">
        <v>2204</v>
      </c>
      <c r="H94" s="15" t="s">
        <v>1827</v>
      </c>
      <c r="I94" s="15" t="b">
        <v>1</v>
      </c>
      <c r="K94" s="15" t="b">
        <v>1</v>
      </c>
      <c r="L94" s="103" t="s">
        <v>2205</v>
      </c>
      <c r="P94" s="108" t="s">
        <v>2206</v>
      </c>
      <c r="Q94" s="15" t="s">
        <v>2207</v>
      </c>
      <c r="R94" s="109" t="s">
        <v>336</v>
      </c>
      <c r="Y94" s="15" t="s">
        <v>2148</v>
      </c>
      <c r="Z94" s="15" t="s">
        <v>2144</v>
      </c>
      <c r="AA94" s="15" t="s">
        <v>1424</v>
      </c>
      <c r="AR94" s="28" t="b">
        <f t="shared" si="416"/>
        <v>1</v>
      </c>
      <c r="AS94" s="29" t="str">
        <f t="shared" si="417"/>
        <v>title: "Convento de San Jose del Carmen (Las Teresas), Seville"</v>
      </c>
      <c r="AT94" s="29" t="str">
        <f t="shared" si="418"/>
        <v>location: {lat: 37.3858007514651, lng: -5.98899388465537}</v>
      </c>
      <c r="AU94" s="29" t="str">
        <f t="shared" si="419"/>
        <v>level: local</v>
      </c>
      <c r="AV94" s="29" t="str">
        <f>"- "&amp;VLOOKUP(B94,'(Ref) Countries'!A:C,3,)</f>
        <v>- spain</v>
      </c>
      <c r="AW94" s="29" t="str">
        <f t="shared" si="420"/>
        <v>- seville</v>
      </c>
      <c r="AX94" s="29" t="str">
        <f t="shared" si="421"/>
        <v>- churches</v>
      </c>
      <c r="AY94" s="29" t="str">
        <f t="shared" si="422"/>
        <v/>
      </c>
      <c r="AZ94" s="29" t="str">
        <f t="shared" si="423"/>
        <v>- holy-persons</v>
      </c>
      <c r="BA94" s="29" t="str">
        <f t="shared" si="424"/>
        <v>- teresa-avila</v>
      </c>
      <c r="BB94" s="29" t="str">
        <f t="shared" si="425"/>
        <v>- discalced-carmelites</v>
      </c>
      <c r="BC94" s="29" t="str">
        <f t="shared" si="426"/>
        <v>- communities</v>
      </c>
      <c r="BD94" s="29" t="str">
        <f t="shared" si="427"/>
        <v/>
      </c>
      <c r="BE94" s="29" t="str">
        <f t="shared" si="428"/>
        <v/>
      </c>
      <c r="BF94" s="29" t="str">
        <f t="shared" si="429"/>
        <v/>
      </c>
      <c r="BG94" s="29" t="str">
        <f t="shared" si="430"/>
        <v/>
      </c>
      <c r="BH94" s="29" t="str">
        <f t="shared" si="431"/>
        <v/>
      </c>
      <c r="BI94" s="29" t="str">
        <f t="shared" si="432"/>
        <v/>
      </c>
      <c r="BJ94" s="29" t="str">
        <f t="shared" si="433"/>
        <v/>
      </c>
      <c r="BK94" s="29" t="str">
        <f t="shared" si="434"/>
        <v xml:space="preserve">tags:
- spain_x000D_
- seville_x000D_
- churches_x000D_
- holy-persons_x000D_
- teresa-avila_x000D_
- discalced-carmelites_x000D_
- communities_x000D_
</v>
      </c>
      <c r="BL94" s="29" t="str">
        <f t="shared" si="435"/>
        <v/>
      </c>
      <c r="BM94" s="29" t="str">
        <f t="shared" si="436"/>
        <v>[Seville tourism site](https://www.turismosevilla.org/en/what-see-and-do/heritage/monuments/san-jose-conventual-church-las-teresas)</v>
      </c>
      <c r="BN94" s="29" t="str">
        <f t="shared" si="437"/>
        <v/>
      </c>
      <c r="BO94" s="29" t="str">
        <f t="shared" si="438"/>
        <v/>
      </c>
      <c r="BP94" s="29" t="str">
        <f t="shared" si="439"/>
        <v xml:space="preserve">* [Seville tourism site](https://www.turismosevilla.org/en/what-see-and-do/heritage/monuments/san-jose-conventual-church-las-teresas)
</v>
      </c>
      <c r="BQ94" s="29" t="str">
        <f t="shared" si="440"/>
        <v/>
      </c>
      <c r="BR94" s="29" t="str">
        <f t="shared" si="441"/>
        <v/>
      </c>
      <c r="BS94" s="29" t="str">
        <f t="shared" si="442"/>
        <v/>
      </c>
      <c r="BT94" s="29" t="str">
        <f>IF(LEN(_xludf.concat(BQ94:BS94))&gt;0,_xludf.concat("| ",BQ94," | ",BR94," | ",BS94," |"),"")</f>
        <v/>
      </c>
      <c r="BU94" s="29" t="str">
        <f t="shared" si="443"/>
        <v/>
      </c>
      <c r="BV94" s="29" t="str">
        <f>IF(LEN(BP94&amp;BU94)&gt;0,concatll("#### More Information",BP94,BU94),"")</f>
        <v xml:space="preserve">#### More Information_x000D_
_x000D_
* [Seville tourism site](https://www.turismosevilla.org/en/what-see-and-do/heritage/monuments/san-jose-conventual-church-las-teresas)
_x000D_
_x000D_
</v>
      </c>
      <c r="BW94" s="29" t="str">
        <f>IF(LEN(M94)&gt;1,concatll("#### Author's Note",M94),"")</f>
        <v/>
      </c>
      <c r="BX94" s="23" t="str">
        <f>IF(AR94,concatll(concatl("---",AS94:AU94,BK94,"---"),L94,BV94:BW94),"")</f>
        <v xml:space="preserve">---_x000D_
title: "Convento de San Jose del Carmen (Las Teresas), Seville"_x000D_
location: {lat: 37.3858007514651, lng: -5.98899388465537}_x000D_
level: local_x000D_
tags:
- spain_x000D_
- seville_x000D_
- churches_x000D_
- holy-persons_x000D_
- teresa-avila_x000D_
- discalced-carmelites_x000D_
- communities_x000D_
_x000D_
---_x000D_
_x000D_
_x000D_
The eleventh of 17 communities founded by St. Teresa of Avila, in 1575.  This convent does not appear open to the public._x000D_
_x000D_
#### More Information_x000D_
_x000D_
* [Seville tourism site](https://www.turismosevilla.org/en/what-see-and-do/heritage/monuments/san-jose-conventual-church-las-teresas)
_x000D_
_x000D_
_x000D_
_x000D_
</v>
      </c>
      <c r="BY94" s="31" t="str">
        <f>IF(AR94,VLOOKUP(B94,'(Ref) Countries'!A:B,2,)&amp;IF(LEN(C94)&gt;1,"-"&amp;LOWER(SUBSTITUTE(C94," ","-")),"")&amp;"-"&amp;LOWER(SUBSTITUTE(G94," ","-"))&amp;".md","")</f>
        <v>es-seville-convento-de-san-jose-del-carmen.md</v>
      </c>
      <c r="BZ94" s="29" t="str">
        <f>IF(LEN(Y94)&gt;1,VLOOKUP(Y94,'Tag List'!$A:$B,2,),"")</f>
        <v>St. Teresa of Avila, OCD</v>
      </c>
      <c r="CA94" s="29" t="str">
        <f>IF(LEN(Z94)&gt;1,VLOOKUP(Z94,'Tag List'!$A:$B,2,),"")</f>
        <v>Discalced Carmelites (Order of Discalced Carmelites)</v>
      </c>
      <c r="CB94" s="29" t="str">
        <f>IF(LEN(AA94)&gt;1,VLOOKUP(AA94,'Tag List'!$A:$B,2,),"")</f>
        <v>Religious Communities</v>
      </c>
      <c r="CC94" s="29" t="str">
        <f>IF(LEN(Y94)&gt;1,GetTagPage(BZ94,Y94),"")</f>
        <v>[St. Teresa of Avila, OCD](/tags/teresa-avila)</v>
      </c>
      <c r="CD94" s="29" t="str">
        <f>IF(LEN(Z94)&gt;1,GetTagPage(CA94,Z94),"")</f>
        <v>[Discalced Carmelites (Order of Discalced Carmelites)](/tags/discalced-carmelites)</v>
      </c>
      <c r="CE94" s="29" t="str">
        <f>IF(LEN(AA94)&gt;1,GetTagPage(CB94,AA94),"")</f>
        <v>[Religious Communities](/tags/communities)</v>
      </c>
      <c r="CF94" s="29" t="str">
        <f t="shared" si="444"/>
        <v xml:space="preserve">| [St. Teresa of Avila, OCD](/tags/teresa-avila), [Discalced Carmelites (Order of Discalced Carmelites)](/tags/discalced-carmelites), [Religious Communities](/tags/communities) </v>
      </c>
      <c r="CG94" s="29" t="str">
        <f t="shared" si="445"/>
        <v xml:space="preserve">| [](/places/es-seville-convento-de-san-jose-del-carmen) </v>
      </c>
      <c r="CH94" s="29" t="str">
        <f>"| "&amp;IF(AR94,GetTagPage(B94,VLOOKUP(B94,'(Ref) Countries'!A:C,3,)),B94)&amp; " "</f>
        <v xml:space="preserve">| [Spain](/tags/spain) </v>
      </c>
      <c r="CI94" s="29" t="str">
        <f t="shared" si="446"/>
        <v xml:space="preserve">|  </v>
      </c>
      <c r="CJ94" s="29" t="str">
        <f t="shared" si="447"/>
        <v xml:space="preserve">| [Link](/places/es-seville-convento-de-san-jose-del-carmen) </v>
      </c>
      <c r="CK94" s="29" t="str">
        <f t="shared" si="448"/>
        <v xml:space="preserve">
| [](/places/es-seville-convento-de-san-jose-del-carmen) | [Spain](/tags/spain) |  | [Link](/places/es-seville-convento-de-san-jose-del-carmen) | [St. Teresa of Avila, OCD](/tags/teresa-avila), [Discalced Carmelites (Order of Discalced Carmelites)](/tags/discalced-carmelites), [Religious Communities](/tags/communities) |</v>
      </c>
    </row>
    <row r="95" spans="1:89" x14ac:dyDescent="0.4">
      <c r="A95" s="14" t="s">
        <v>1320</v>
      </c>
      <c r="B95" s="24" t="s">
        <v>552</v>
      </c>
      <c r="C95" s="104" t="s">
        <v>2209</v>
      </c>
      <c r="D95" s="15">
        <v>38.106719284242402</v>
      </c>
      <c r="E95" s="49">
        <v>-1.8610296</v>
      </c>
      <c r="F95" s="103" t="s">
        <v>2210</v>
      </c>
      <c r="G95" s="53" t="s">
        <v>2153</v>
      </c>
      <c r="H95" s="15" t="s">
        <v>1827</v>
      </c>
      <c r="I95" s="15" t="b">
        <v>1</v>
      </c>
      <c r="K95" s="15" t="b">
        <v>1</v>
      </c>
      <c r="L95" s="103" t="s">
        <v>2215</v>
      </c>
      <c r="P95" s="108" t="s">
        <v>2213</v>
      </c>
      <c r="Q95" s="15" t="s">
        <v>2214</v>
      </c>
      <c r="R95" s="109" t="s">
        <v>336</v>
      </c>
      <c r="S95" s="108" t="s">
        <v>2211</v>
      </c>
      <c r="T95" s="15" t="s">
        <v>2212</v>
      </c>
      <c r="U95" s="109" t="s">
        <v>336</v>
      </c>
      <c r="Y95" s="15" t="s">
        <v>2148</v>
      </c>
      <c r="Z95" s="15" t="s">
        <v>2144</v>
      </c>
      <c r="AA95" s="15" t="s">
        <v>1424</v>
      </c>
      <c r="AR95" s="28" t="b">
        <f t="shared" si="416"/>
        <v>1</v>
      </c>
      <c r="AS95" s="29" t="str">
        <f t="shared" si="417"/>
        <v>title: "Convento de San Jose, Caravaca de la Cruz"</v>
      </c>
      <c r="AT95" s="29" t="str">
        <f t="shared" si="418"/>
        <v>location: {lat: 38.1067192842424, lng: -1.8610296}</v>
      </c>
      <c r="AU95" s="29" t="str">
        <f t="shared" si="419"/>
        <v>level: local</v>
      </c>
      <c r="AV95" s="29" t="str">
        <f>"- "&amp;VLOOKUP(B95,'(Ref) Countries'!A:C,3,)</f>
        <v>- spain</v>
      </c>
      <c r="AW95" s="29" t="str">
        <f t="shared" si="420"/>
        <v>- caravaca</v>
      </c>
      <c r="AX95" s="29" t="str">
        <f t="shared" si="421"/>
        <v>- churches</v>
      </c>
      <c r="AY95" s="29" t="str">
        <f t="shared" si="422"/>
        <v/>
      </c>
      <c r="AZ95" s="29" t="str">
        <f t="shared" si="423"/>
        <v>- holy-persons</v>
      </c>
      <c r="BA95" s="29" t="str">
        <f t="shared" si="424"/>
        <v>- teresa-avila</v>
      </c>
      <c r="BB95" s="29" t="str">
        <f t="shared" si="425"/>
        <v>- discalced-carmelites</v>
      </c>
      <c r="BC95" s="29" t="str">
        <f t="shared" si="426"/>
        <v>- communities</v>
      </c>
      <c r="BD95" s="29" t="str">
        <f t="shared" si="427"/>
        <v/>
      </c>
      <c r="BE95" s="29" t="str">
        <f t="shared" si="428"/>
        <v/>
      </c>
      <c r="BF95" s="29" t="str">
        <f t="shared" si="429"/>
        <v/>
      </c>
      <c r="BG95" s="29" t="str">
        <f t="shared" si="430"/>
        <v/>
      </c>
      <c r="BH95" s="29" t="str">
        <f t="shared" si="431"/>
        <v/>
      </c>
      <c r="BI95" s="29" t="str">
        <f t="shared" si="432"/>
        <v/>
      </c>
      <c r="BJ95" s="29" t="str">
        <f t="shared" si="433"/>
        <v/>
      </c>
      <c r="BK95" s="29" t="str">
        <f t="shared" si="434"/>
        <v xml:space="preserve">tags:
- spain_x000D_
- caravaca_x000D_
- churches_x000D_
- holy-persons_x000D_
- teresa-avila_x000D_
- discalced-carmelites_x000D_
- communities_x000D_
</v>
      </c>
      <c r="BL95" s="29" t="str">
        <f t="shared" si="435"/>
        <v/>
      </c>
      <c r="BM95" s="29" t="str">
        <f t="shared" si="436"/>
        <v>[Caravaca tourism site](https://www.turismocaravaca.com/blog/church-and-convent-san-jose-of-madres-carmelitas/)</v>
      </c>
      <c r="BN95" s="29" t="str">
        <f t="shared" si="437"/>
        <v>[Article from Murcia Today](https://murciatoday.com/the-convent_church-of-san-jose-in-caravaca-de-la-cruz_34175-a.html)</v>
      </c>
      <c r="BO95" s="29" t="str">
        <f t="shared" si="438"/>
        <v/>
      </c>
      <c r="BP95" s="29" t="str">
        <f t="shared" si="439"/>
        <v xml:space="preserve">* [Caravaca tourism site](https://www.turismocaravaca.com/blog/church-and-convent-san-jose-of-madres-carmelitas/)
* [Article from Murcia Today](https://murciatoday.com/the-convent_church-of-san-jose-in-caravaca-de-la-cruz_34175-a.html)
</v>
      </c>
      <c r="BQ95" s="29" t="str">
        <f t="shared" si="440"/>
        <v/>
      </c>
      <c r="BR95" s="29" t="str">
        <f t="shared" si="441"/>
        <v/>
      </c>
      <c r="BS95" s="29" t="str">
        <f t="shared" si="442"/>
        <v/>
      </c>
      <c r="BT95" s="29" t="str">
        <f>IF(LEN(_xludf.concat(BQ95:BS95))&gt;0,_xludf.concat("| ",BQ95," | ",BR95," | ",BS95," |"),"")</f>
        <v/>
      </c>
      <c r="BU95" s="29" t="str">
        <f t="shared" si="443"/>
        <v/>
      </c>
      <c r="BV95" s="29" t="str">
        <f>IF(LEN(BP95&amp;BU95)&gt;0,concatll("#### More Information",BP95,BU95),"")</f>
        <v xml:space="preserve">#### More Information_x000D_
_x000D_
* [Caravaca tourism site](https://www.turismocaravaca.com/blog/church-and-convent-san-jose-of-madres-carmelitas/)
* [Article from Murcia Today](https://murciatoday.com/the-convent_church-of-san-jose-in-caravaca-de-la-cruz_34175-a.html)
_x000D_
_x000D_
</v>
      </c>
      <c r="BW95" s="29" t="str">
        <f>IF(LEN(M95)&gt;1,concatll("#### Author's Note",M95),"")</f>
        <v/>
      </c>
      <c r="BX95" s="23" t="str">
        <f>IF(AR95,concatll(concatl("---",AS95:AU95,BK95,"---"),L95,BV95:BW95),"")</f>
        <v xml:space="preserve">---_x000D_
title: "Convento de San Jose, Caravaca de la Cruz"_x000D_
location: {lat: 38.1067192842424, lng: -1.8610296}_x000D_
level: local_x000D_
tags:
- spain_x000D_
- caravaca_x000D_
- churches_x000D_
- holy-persons_x000D_
- teresa-avila_x000D_
- discalced-carmelites_x000D_
- communities_x000D_
_x000D_
---_x000D_
_x000D_
_x000D_
The twelvth of 17 communities founded by St. Teresa of Avila, in 1576._x000D_
_x000D_
#### More Information_x000D_
_x000D_
* [Caravaca tourism site](https://www.turismocaravaca.com/blog/church-and-convent-san-jose-of-madres-carmelitas/)
* [Article from Murcia Today](https://murciatoday.com/the-convent_church-of-san-jose-in-caravaca-de-la-cruz_34175-a.html)
_x000D_
_x000D_
_x000D_
_x000D_
</v>
      </c>
      <c r="BY95" s="31" t="str">
        <f>IF(AR95,VLOOKUP(B95,'(Ref) Countries'!A:B,2,)&amp;IF(LEN(C95)&gt;1,"-"&amp;LOWER(SUBSTITUTE(C95," ","-")),"")&amp;"-"&amp;LOWER(SUBSTITUTE(G95," ","-"))&amp;".md","")</f>
        <v>es-caravaca-convento-de-san-jose.md</v>
      </c>
      <c r="BZ95" s="29" t="str">
        <f>IF(LEN(Y95)&gt;1,VLOOKUP(Y95,'Tag List'!$A:$B,2,),"")</f>
        <v>St. Teresa of Avila, OCD</v>
      </c>
      <c r="CA95" s="29" t="str">
        <f>IF(LEN(Z95)&gt;1,VLOOKUP(Z95,'Tag List'!$A:$B,2,),"")</f>
        <v>Discalced Carmelites (Order of Discalced Carmelites)</v>
      </c>
      <c r="CB95" s="29" t="str">
        <f>IF(LEN(AA95)&gt;1,VLOOKUP(AA95,'Tag List'!$A:$B,2,),"")</f>
        <v>Religious Communities</v>
      </c>
      <c r="CC95" s="29" t="str">
        <f>IF(LEN(Y95)&gt;1,GetTagPage(BZ95,Y95),"")</f>
        <v>[St. Teresa of Avila, OCD](/tags/teresa-avila)</v>
      </c>
      <c r="CD95" s="29" t="str">
        <f>IF(LEN(Z95)&gt;1,GetTagPage(CA95,Z95),"")</f>
        <v>[Discalced Carmelites (Order of Discalced Carmelites)](/tags/discalced-carmelites)</v>
      </c>
      <c r="CE95" s="29" t="str">
        <f>IF(LEN(AA95)&gt;1,GetTagPage(CB95,AA95),"")</f>
        <v>[Religious Communities](/tags/communities)</v>
      </c>
      <c r="CF95" s="29" t="str">
        <f t="shared" si="444"/>
        <v xml:space="preserve">| [St. Teresa of Avila, OCD](/tags/teresa-avila), [Discalced Carmelites (Order of Discalced Carmelites)](/tags/discalced-carmelites), [Religious Communities](/tags/communities) </v>
      </c>
      <c r="CG95" s="29" t="str">
        <f t="shared" si="445"/>
        <v xml:space="preserve">| [](/places/es-caravaca-convento-de-san-jose) </v>
      </c>
      <c r="CH95" s="29" t="str">
        <f>"| "&amp;IF(AR95,GetTagPage(B95,VLOOKUP(B95,'(Ref) Countries'!A:C,3,)),B95)&amp; " "</f>
        <v xml:space="preserve">| [Spain](/tags/spain) </v>
      </c>
      <c r="CI95" s="29" t="str">
        <f t="shared" si="446"/>
        <v xml:space="preserve">|  </v>
      </c>
      <c r="CJ95" s="29" t="str">
        <f t="shared" si="447"/>
        <v xml:space="preserve">| [Link](/places/es-caravaca-convento-de-san-jose) </v>
      </c>
      <c r="CK95" s="29" t="str">
        <f t="shared" si="448"/>
        <v xml:space="preserve">
| [](/places/es-caravaca-convento-de-san-jose) | [Spain](/tags/spain) |  | [Link](/places/es-caravaca-convento-de-san-jose) | [St. Teresa of Avila, OCD](/tags/teresa-avila), [Discalced Carmelites (Order of Discalced Carmelites)](/tags/discalced-carmelites), [Religious Communities](/tags/communities) |</v>
      </c>
    </row>
    <row r="96" spans="1:89" ht="24.9" x14ac:dyDescent="0.4">
      <c r="A96" s="14" t="s">
        <v>1320</v>
      </c>
      <c r="B96" s="24" t="s">
        <v>552</v>
      </c>
      <c r="C96" s="112" t="s">
        <v>2217</v>
      </c>
      <c r="D96" s="15">
        <v>39.439610215366898</v>
      </c>
      <c r="E96" s="49">
        <v>-1.95650919993269</v>
      </c>
      <c r="F96" s="113" t="s">
        <v>2294</v>
      </c>
      <c r="G96" s="53" t="s">
        <v>2216</v>
      </c>
      <c r="H96" s="15" t="s">
        <v>1827</v>
      </c>
      <c r="I96" s="15" t="b">
        <v>1</v>
      </c>
      <c r="K96" s="15" t="b">
        <v>1</v>
      </c>
      <c r="L96" s="103" t="s">
        <v>2218</v>
      </c>
      <c r="P96" s="108" t="s">
        <v>2219</v>
      </c>
      <c r="Q96" s="15" t="s">
        <v>2220</v>
      </c>
      <c r="R96" s="109" t="s">
        <v>336</v>
      </c>
      <c r="Y96" s="15" t="s">
        <v>2148</v>
      </c>
      <c r="Z96" s="15" t="s">
        <v>2144</v>
      </c>
      <c r="AA96" s="15" t="s">
        <v>1424</v>
      </c>
      <c r="AR96" s="28" t="b">
        <f t="shared" si="416"/>
        <v>1</v>
      </c>
      <c r="AS96" s="29" t="str">
        <f t="shared" si="417"/>
        <v>title: "Convento de Santa Ana, Villanueva de la Jara"</v>
      </c>
      <c r="AT96" s="29" t="str">
        <f t="shared" si="418"/>
        <v>location: {lat: 39.4396102153669, lng: -1.95650919993269}</v>
      </c>
      <c r="AU96" s="29" t="str">
        <f t="shared" si="419"/>
        <v>level: local</v>
      </c>
      <c r="AV96" s="29" t="str">
        <f>"- "&amp;VLOOKUP(B96,'(Ref) Countries'!A:C,3,)</f>
        <v>- spain</v>
      </c>
      <c r="AW96" s="29" t="str">
        <f t="shared" si="420"/>
        <v>- villanueva-de-la-jara</v>
      </c>
      <c r="AX96" s="29" t="str">
        <f t="shared" si="421"/>
        <v>- churches</v>
      </c>
      <c r="AY96" s="29" t="str">
        <f t="shared" si="422"/>
        <v/>
      </c>
      <c r="AZ96" s="29" t="str">
        <f t="shared" si="423"/>
        <v>- holy-persons</v>
      </c>
      <c r="BA96" s="29" t="str">
        <f t="shared" si="424"/>
        <v>- teresa-avila</v>
      </c>
      <c r="BB96" s="29" t="str">
        <f t="shared" si="425"/>
        <v>- discalced-carmelites</v>
      </c>
      <c r="BC96" s="29" t="str">
        <f t="shared" si="426"/>
        <v>- communities</v>
      </c>
      <c r="BD96" s="29" t="str">
        <f t="shared" si="427"/>
        <v/>
      </c>
      <c r="BE96" s="29" t="str">
        <f t="shared" si="428"/>
        <v/>
      </c>
      <c r="BF96" s="29" t="str">
        <f t="shared" si="429"/>
        <v/>
      </c>
      <c r="BG96" s="29" t="str">
        <f t="shared" si="430"/>
        <v/>
      </c>
      <c r="BH96" s="29" t="str">
        <f t="shared" si="431"/>
        <v/>
      </c>
      <c r="BI96" s="29" t="str">
        <f t="shared" si="432"/>
        <v/>
      </c>
      <c r="BJ96" s="29" t="str">
        <f t="shared" si="433"/>
        <v/>
      </c>
      <c r="BK96" s="29" t="str">
        <f t="shared" si="434"/>
        <v xml:space="preserve">tags:
- spain_x000D_
- villanueva-de-la-jara_x000D_
- churches_x000D_
- holy-persons_x000D_
- teresa-avila_x000D_
- discalced-carmelites_x000D_
- communities_x000D_
</v>
      </c>
      <c r="BL96" s="29" t="str">
        <f t="shared" si="435"/>
        <v/>
      </c>
      <c r="BM96" s="29" t="str">
        <f t="shared" si="436"/>
        <v>[Villanueva de la Jara offical site](https://www.villanuevadelajara.eu/english/the-footprints-of-st-teresa-of-jesus-in-villanueva-de-la-jara/)</v>
      </c>
      <c r="BN96" s="29" t="str">
        <f t="shared" si="437"/>
        <v/>
      </c>
      <c r="BO96" s="29" t="str">
        <f t="shared" si="438"/>
        <v/>
      </c>
      <c r="BP96" s="29" t="str">
        <f t="shared" si="439"/>
        <v xml:space="preserve">* [Villanueva de la Jara offical site](https://www.villanuevadelajara.eu/english/the-footprints-of-st-teresa-of-jesus-in-villanueva-de-la-jara/)
</v>
      </c>
      <c r="BQ96" s="29" t="str">
        <f t="shared" si="440"/>
        <v/>
      </c>
      <c r="BR96" s="29" t="str">
        <f t="shared" si="441"/>
        <v/>
      </c>
      <c r="BS96" s="29" t="str">
        <f t="shared" si="442"/>
        <v/>
      </c>
      <c r="BT96" s="29" t="str">
        <f>IF(LEN(_xludf.concat(BQ96:BS96))&gt;0,_xludf.concat("| ",BQ96," | ",BR96," | ",BS96," |"),"")</f>
        <v/>
      </c>
      <c r="BU96" s="29" t="str">
        <f t="shared" si="443"/>
        <v/>
      </c>
      <c r="BV96" s="29" t="str">
        <f>IF(LEN(BP96&amp;BU96)&gt;0,concatll("#### More Information",BP96,BU96),"")</f>
        <v xml:space="preserve">#### More Information_x000D_
_x000D_
* [Villanueva de la Jara offical site](https://www.villanuevadelajara.eu/english/the-footprints-of-st-teresa-of-jesus-in-villanueva-de-la-jara/)
_x000D_
_x000D_
</v>
      </c>
      <c r="BW96" s="29" t="str">
        <f>IF(LEN(M96)&gt;1,concatll("#### Author's Note",M96),"")</f>
        <v/>
      </c>
      <c r="BX96" s="23" t="str">
        <f>IF(AR96,concatll(concatl("---",AS96:AU96,BK96,"---"),L96,BV96:BW96),"")</f>
        <v xml:space="preserve">---_x000D_
title: "Convento de Santa Ana, Villanueva de la Jara"_x000D_
location: {lat: 39.4396102153669, lng: -1.95650919993269}_x000D_
level: local_x000D_
tags:
- spain_x000D_
- villanueva-de-la-jara_x000D_
- churches_x000D_
- holy-persons_x000D_
- teresa-avila_x000D_
- discalced-carmelites_x000D_
- communities_x000D_
_x000D_
---_x000D_
_x000D_
_x000D_
The thirteenth of 17 communities founded by St. Teresa of Avila, in 1580._x000D_
_x000D_
#### More Information_x000D_
_x000D_
* [Villanueva de la Jara offical site](https://www.villanuevadelajara.eu/english/the-footprints-of-st-teresa-of-jesus-in-villanueva-de-la-jara/)
_x000D_
_x000D_
_x000D_
_x000D_
</v>
      </c>
      <c r="BY96" s="31" t="str">
        <f>IF(AR96,VLOOKUP(B96,'(Ref) Countries'!A:B,2,)&amp;IF(LEN(C96)&gt;1,"-"&amp;LOWER(SUBSTITUTE(C96," ","-")),"")&amp;"-"&amp;LOWER(SUBSTITUTE(G96," ","-"))&amp;".md","")</f>
        <v>es-villanueva-de-la-jara-convento-de-santa-ana.md</v>
      </c>
      <c r="BZ96" s="29" t="str">
        <f>IF(LEN(Y96)&gt;1,VLOOKUP(Y96,'Tag List'!$A:$B,2,),"")</f>
        <v>St. Teresa of Avila, OCD</v>
      </c>
      <c r="CA96" s="29" t="str">
        <f>IF(LEN(Z96)&gt;1,VLOOKUP(Z96,'Tag List'!$A:$B,2,),"")</f>
        <v>Discalced Carmelites (Order of Discalced Carmelites)</v>
      </c>
      <c r="CB96" s="29" t="str">
        <f>IF(LEN(AA96)&gt;1,VLOOKUP(AA96,'Tag List'!$A:$B,2,),"")</f>
        <v>Religious Communities</v>
      </c>
      <c r="CC96" s="29" t="str">
        <f>IF(LEN(Y96)&gt;1,GetTagPage(BZ96,Y96),"")</f>
        <v>[St. Teresa of Avila, OCD](/tags/teresa-avila)</v>
      </c>
      <c r="CD96" s="29" t="str">
        <f>IF(LEN(Z96)&gt;1,GetTagPage(CA96,Z96),"")</f>
        <v>[Discalced Carmelites (Order of Discalced Carmelites)](/tags/discalced-carmelites)</v>
      </c>
      <c r="CE96" s="29" t="str">
        <f>IF(LEN(AA96)&gt;1,GetTagPage(CB96,AA96),"")</f>
        <v>[Religious Communities](/tags/communities)</v>
      </c>
      <c r="CF96" s="29" t="str">
        <f t="shared" si="444"/>
        <v xml:space="preserve">| [St. Teresa of Avila, OCD](/tags/teresa-avila), [Discalced Carmelites (Order of Discalced Carmelites)](/tags/discalced-carmelites), [Religious Communities](/tags/communities) </v>
      </c>
      <c r="CG96" s="29" t="str">
        <f t="shared" si="445"/>
        <v xml:space="preserve">| [](/places/es-villanueva-de-la-jara-convento-de-santa-ana) </v>
      </c>
      <c r="CH96" s="29" t="str">
        <f>"| "&amp;IF(AR96,GetTagPage(B96,VLOOKUP(B96,'(Ref) Countries'!A:C,3,)),B96)&amp; " "</f>
        <v xml:space="preserve">| [Spain](/tags/spain) </v>
      </c>
      <c r="CI96" s="29" t="str">
        <f t="shared" si="446"/>
        <v xml:space="preserve">|  </v>
      </c>
      <c r="CJ96" s="29" t="str">
        <f t="shared" si="447"/>
        <v xml:space="preserve">| [Link](/places/es-villanueva-de-la-jara-convento-de-santa-ana) </v>
      </c>
      <c r="CK96" s="29" t="str">
        <f t="shared" si="448"/>
        <v xml:space="preserve">
| [](/places/es-villanueva-de-la-jara-convento-de-santa-ana) | [Spain](/tags/spain) |  | [Link](/places/es-villanueva-de-la-jara-convento-de-santa-ana) | [St. Teresa of Avila, OCD](/tags/teresa-avila), [Discalced Carmelites (Order of Discalced Carmelites)](/tags/discalced-carmelites), [Religious Communities](/tags/communities) |</v>
      </c>
    </row>
    <row r="97" spans="1:89" ht="24.9" x14ac:dyDescent="0.4">
      <c r="A97" s="14" t="s">
        <v>1320</v>
      </c>
      <c r="B97" s="24" t="s">
        <v>552</v>
      </c>
      <c r="C97" s="104" t="s">
        <v>2221</v>
      </c>
      <c r="D97" s="15">
        <v>42.007672479991903</v>
      </c>
      <c r="E97" s="49">
        <v>-4.5314706466260501</v>
      </c>
      <c r="F97" s="113" t="s">
        <v>2295</v>
      </c>
      <c r="G97" s="105" t="s">
        <v>2226</v>
      </c>
      <c r="H97" s="15" t="s">
        <v>1827</v>
      </c>
      <c r="I97" s="15" t="b">
        <v>1</v>
      </c>
      <c r="K97" s="15" t="b">
        <v>1</v>
      </c>
      <c r="L97" s="103" t="s">
        <v>2222</v>
      </c>
      <c r="P97" s="108" t="s">
        <v>2223</v>
      </c>
      <c r="Q97" s="15" t="s">
        <v>2224</v>
      </c>
      <c r="R97" s="64" t="s">
        <v>336</v>
      </c>
      <c r="Y97" s="15" t="s">
        <v>2148</v>
      </c>
      <c r="Z97" s="15" t="s">
        <v>2144</v>
      </c>
      <c r="AR97" s="28" t="b">
        <f t="shared" si="416"/>
        <v>1</v>
      </c>
      <c r="AS97" s="29" t="str">
        <f t="shared" si="417"/>
        <v>title: "St. Bernard Church (Iglesia de San Bernardo), Palencia"</v>
      </c>
      <c r="AT97" s="29" t="str">
        <f t="shared" si="418"/>
        <v>location: {lat: 42.0076724799919, lng: -4.53147064662605}</v>
      </c>
      <c r="AU97" s="29" t="str">
        <f t="shared" si="419"/>
        <v>level: local</v>
      </c>
      <c r="AV97" s="29" t="str">
        <f>"- "&amp;VLOOKUP(B97,'(Ref) Countries'!A:C,3,)</f>
        <v>- spain</v>
      </c>
      <c r="AW97" s="29" t="str">
        <f t="shared" si="420"/>
        <v>- palencia</v>
      </c>
      <c r="AX97" s="29" t="str">
        <f t="shared" si="421"/>
        <v>- churches</v>
      </c>
      <c r="AY97" s="29" t="str">
        <f t="shared" si="422"/>
        <v/>
      </c>
      <c r="AZ97" s="29" t="str">
        <f t="shared" si="423"/>
        <v>- holy-persons</v>
      </c>
      <c r="BA97" s="29" t="str">
        <f t="shared" si="424"/>
        <v>- teresa-avila</v>
      </c>
      <c r="BB97" s="29" t="str">
        <f t="shared" si="425"/>
        <v>- discalced-carmelites</v>
      </c>
      <c r="BC97" s="29" t="str">
        <f t="shared" si="426"/>
        <v/>
      </c>
      <c r="BD97" s="29" t="str">
        <f t="shared" si="427"/>
        <v/>
      </c>
      <c r="BE97" s="29" t="str">
        <f t="shared" si="428"/>
        <v/>
      </c>
      <c r="BF97" s="29" t="str">
        <f t="shared" si="429"/>
        <v/>
      </c>
      <c r="BG97" s="29" t="str">
        <f t="shared" si="430"/>
        <v/>
      </c>
      <c r="BH97" s="29" t="str">
        <f t="shared" si="431"/>
        <v/>
      </c>
      <c r="BI97" s="29" t="str">
        <f t="shared" si="432"/>
        <v/>
      </c>
      <c r="BJ97" s="29" t="str">
        <f t="shared" si="433"/>
        <v/>
      </c>
      <c r="BK97" s="29" t="str">
        <f t="shared" si="434"/>
        <v xml:space="preserve">tags:
- spain_x000D_
- palencia_x000D_
- churches_x000D_
- holy-persons_x000D_
- teresa-avila_x000D_
- discalced-carmelites_x000D_
</v>
      </c>
      <c r="BL97" s="29" t="str">
        <f t="shared" si="435"/>
        <v/>
      </c>
      <c r="BM97" s="29" t="str">
        <f t="shared" si="436"/>
        <v>[Palencia tourism site](https://turismo.aytopalencia.es/en/poi/church-san-bernardo)</v>
      </c>
      <c r="BN97" s="29" t="str">
        <f t="shared" si="437"/>
        <v/>
      </c>
      <c r="BO97" s="29" t="str">
        <f t="shared" si="438"/>
        <v/>
      </c>
      <c r="BP97" s="29" t="str">
        <f t="shared" si="439"/>
        <v xml:space="preserve">* [Palencia tourism site](https://turismo.aytopalencia.es/en/poi/church-san-bernardo)
</v>
      </c>
      <c r="BQ97" s="29" t="str">
        <f t="shared" si="440"/>
        <v/>
      </c>
      <c r="BR97" s="29" t="str">
        <f t="shared" si="441"/>
        <v/>
      </c>
      <c r="BS97" s="29" t="str">
        <f t="shared" si="442"/>
        <v/>
      </c>
      <c r="BT97" s="29" t="str">
        <f>IF(LEN(_xludf.concat(BQ97:BS97))&gt;0,_xludf.concat("| ",BQ97," | ",BR97," | ",BS97," |"),"")</f>
        <v/>
      </c>
      <c r="BU97" s="29" t="str">
        <f t="shared" si="443"/>
        <v/>
      </c>
      <c r="BV97" s="29" t="str">
        <f>IF(LEN(BP97&amp;BU97)&gt;0,concatll("#### More Information",BP97,BU97),"")</f>
        <v xml:space="preserve">#### More Information_x000D_
_x000D_
* [Palencia tourism site](https://turismo.aytopalencia.es/en/poi/church-san-bernardo)
_x000D_
_x000D_
</v>
      </c>
      <c r="BW97" s="29" t="str">
        <f>IF(LEN(M97)&gt;1,concatll("#### Author's Note",M97),"")</f>
        <v/>
      </c>
      <c r="BX97" s="23" t="str">
        <f>IF(AR97,concatll(concatl("---",AS97:AU97,BK97,"---"),L97,BV97:BW97),"")</f>
        <v xml:space="preserve">---_x000D_
title: "St. Bernard Church (Iglesia de San Bernardo), Palencia"_x000D_
location: {lat: 42.0076724799919, lng: -4.53147064662605}_x000D_
level: local_x000D_
tags:
- spain_x000D_
- palencia_x000D_
- churches_x000D_
- holy-persons_x000D_
- teresa-avila_x000D_
- discalced-carmelites_x000D_
_x000D_
---_x000D_
_x000D_
_x000D_
The fourteenth of 17 communities founded by St. Teresa of Avila, in 1580.  It is likely the original convent is no longer in existence, though a church remains._x000D_
_x000D_
#### More Information_x000D_
_x000D_
* [Palencia tourism site](https://turismo.aytopalencia.es/en/poi/church-san-bernardo)
_x000D_
_x000D_
_x000D_
_x000D_
</v>
      </c>
      <c r="BY97" s="31" t="str">
        <f>IF(AR97,VLOOKUP(B97,'(Ref) Countries'!A:B,2,)&amp;IF(LEN(C97)&gt;1,"-"&amp;LOWER(SUBSTITUTE(C97," ","-")),"")&amp;"-"&amp;LOWER(SUBSTITUTE(G97," ","-"))&amp;".md","")</f>
        <v>es-palencia-iglesia-de-san-bernardo.md</v>
      </c>
      <c r="BZ97" s="29" t="str">
        <f>IF(LEN(Y97)&gt;1,VLOOKUP(Y97,'Tag List'!$A:$B,2,),"")</f>
        <v>St. Teresa of Avila, OCD</v>
      </c>
      <c r="CA97" s="29" t="str">
        <f>IF(LEN(Z97)&gt;1,VLOOKUP(Z97,'Tag List'!$A:$B,2,),"")</f>
        <v>Discalced Carmelites (Order of Discalced Carmelites)</v>
      </c>
      <c r="CB97" s="29" t="str">
        <f>IF(LEN(AA97)&gt;1,VLOOKUP(AA97,'Tag List'!$A:$B,2,),"")</f>
        <v/>
      </c>
      <c r="CC97" s="29" t="str">
        <f>IF(LEN(Y97)&gt;1,GetTagPage(BZ97,Y97),"")</f>
        <v>[St. Teresa of Avila, OCD](/tags/teresa-avila)</v>
      </c>
      <c r="CD97" s="29" t="str">
        <f>IF(LEN(Z97)&gt;1,GetTagPage(CA97,Z97),"")</f>
        <v>[Discalced Carmelites (Order of Discalced Carmelites)](/tags/discalced-carmelites)</v>
      </c>
      <c r="CE97" s="29" t="str">
        <f>IF(LEN(AA97)&gt;1,GetTagPage(CB97,AA97),"")</f>
        <v/>
      </c>
      <c r="CF97" s="29" t="str">
        <f t="shared" si="444"/>
        <v xml:space="preserve">| [St. Teresa of Avila, OCD](/tags/teresa-avila), [Discalced Carmelites (Order of Discalced Carmelites)](/tags/discalced-carmelites) </v>
      </c>
      <c r="CG97" s="29" t="str">
        <f t="shared" si="445"/>
        <v xml:space="preserve">| [](/places/es-palencia-iglesia-de-san-bernardo) </v>
      </c>
      <c r="CH97" s="29" t="str">
        <f>"| "&amp;IF(AR97,GetTagPage(B97,VLOOKUP(B97,'(Ref) Countries'!A:C,3,)),B97)&amp; " "</f>
        <v xml:space="preserve">| [Spain](/tags/spain) </v>
      </c>
      <c r="CI97" s="29" t="str">
        <f t="shared" si="446"/>
        <v xml:space="preserve">|  </v>
      </c>
      <c r="CJ97" s="29" t="str">
        <f t="shared" si="447"/>
        <v xml:space="preserve">| [Link](/places/es-palencia-iglesia-de-san-bernardo) </v>
      </c>
      <c r="CK97" s="29" t="str">
        <f t="shared" si="448"/>
        <v xml:space="preserve">
| [](/places/es-palencia-iglesia-de-san-bernardo) | [Spain](/tags/spain) |  | [Link](/places/es-palencia-iglesia-de-san-bernardo) | [St. Teresa of Avila, OCD](/tags/teresa-avila), [Discalced Carmelites (Order of Discalced Carmelites)](/tags/discalced-carmelites) |</v>
      </c>
    </row>
    <row r="98" spans="1:89" ht="87" x14ac:dyDescent="0.4">
      <c r="A98" s="14" t="s">
        <v>1320</v>
      </c>
      <c r="B98" s="24" t="s">
        <v>552</v>
      </c>
      <c r="C98" s="104" t="s">
        <v>2225</v>
      </c>
      <c r="D98" s="15">
        <v>41.764625448349499</v>
      </c>
      <c r="E98" s="49">
        <v>-2.46296793728833</v>
      </c>
      <c r="F98" s="113" t="s">
        <v>2296</v>
      </c>
      <c r="G98" s="53" t="s">
        <v>2227</v>
      </c>
      <c r="H98" s="15" t="s">
        <v>1827</v>
      </c>
      <c r="I98" s="15" t="b">
        <v>1</v>
      </c>
      <c r="K98" s="15" t="b">
        <v>1</v>
      </c>
      <c r="L98" s="103" t="s">
        <v>2231</v>
      </c>
      <c r="M98" s="105" t="s">
        <v>2230</v>
      </c>
      <c r="P98" s="108" t="s">
        <v>2228</v>
      </c>
      <c r="Q98" s="15" t="s">
        <v>2229</v>
      </c>
      <c r="R98" s="64" t="s">
        <v>336</v>
      </c>
      <c r="Y98" s="15" t="s">
        <v>2148</v>
      </c>
      <c r="Z98" s="15" t="s">
        <v>2144</v>
      </c>
      <c r="AA98" s="15" t="s">
        <v>1424</v>
      </c>
      <c r="AR98" s="28" t="b">
        <f t="shared" si="416"/>
        <v>1</v>
      </c>
      <c r="AS98" s="29" t="str">
        <f t="shared" si="417"/>
        <v>title: "Convent of our Lady of Carmen (Convento de Nuestra Senora del Carmen), Soria"</v>
      </c>
      <c r="AT98" s="29" t="str">
        <f t="shared" si="418"/>
        <v>location: {lat: 41.7646254483495, lng: -2.46296793728833}</v>
      </c>
      <c r="AU98" s="29" t="str">
        <f t="shared" si="419"/>
        <v>level: local</v>
      </c>
      <c r="AV98" s="29" t="str">
        <f>"- "&amp;VLOOKUP(B98,'(Ref) Countries'!A:C,3,)</f>
        <v>- spain</v>
      </c>
      <c r="AW98" s="29" t="str">
        <f t="shared" si="420"/>
        <v>- soria</v>
      </c>
      <c r="AX98" s="29" t="str">
        <f t="shared" si="421"/>
        <v>- churches</v>
      </c>
      <c r="AY98" s="29" t="str">
        <f t="shared" si="422"/>
        <v/>
      </c>
      <c r="AZ98" s="29" t="str">
        <f t="shared" si="423"/>
        <v>- holy-persons</v>
      </c>
      <c r="BA98" s="29" t="str">
        <f t="shared" si="424"/>
        <v>- teresa-avila</v>
      </c>
      <c r="BB98" s="29" t="str">
        <f t="shared" si="425"/>
        <v>- discalced-carmelites</v>
      </c>
      <c r="BC98" s="29" t="str">
        <f t="shared" si="426"/>
        <v>- communities</v>
      </c>
      <c r="BD98" s="29" t="str">
        <f t="shared" si="427"/>
        <v/>
      </c>
      <c r="BE98" s="29" t="str">
        <f t="shared" si="428"/>
        <v/>
      </c>
      <c r="BF98" s="29" t="str">
        <f t="shared" si="429"/>
        <v/>
      </c>
      <c r="BG98" s="29" t="str">
        <f t="shared" si="430"/>
        <v/>
      </c>
      <c r="BH98" s="29" t="str">
        <f t="shared" si="431"/>
        <v/>
      </c>
      <c r="BI98" s="29" t="str">
        <f t="shared" si="432"/>
        <v/>
      </c>
      <c r="BJ98" s="29" t="str">
        <f t="shared" si="433"/>
        <v/>
      </c>
      <c r="BK98" s="29" t="str">
        <f t="shared" si="434"/>
        <v xml:space="preserve">tags:
- spain_x000D_
- soria_x000D_
- churches_x000D_
- holy-persons_x000D_
- teresa-avila_x000D_
- discalced-carmelites_x000D_
- communities_x000D_
</v>
      </c>
      <c r="BL98" s="29" t="str">
        <f t="shared" si="435"/>
        <v/>
      </c>
      <c r="BM98" s="29" t="str">
        <f t="shared" si="436"/>
        <v>[Soria tourism site](https://www.turismosoria.es/en/what-to-see/monuments/convent-of-el-carmen/)</v>
      </c>
      <c r="BN98" s="29" t="str">
        <f t="shared" si="437"/>
        <v/>
      </c>
      <c r="BO98" s="29" t="str">
        <f t="shared" si="438"/>
        <v/>
      </c>
      <c r="BP98" s="29" t="str">
        <f t="shared" si="439"/>
        <v xml:space="preserve">* [Soria tourism site](https://www.turismosoria.es/en/what-to-see/monuments/convent-of-el-carmen/)
</v>
      </c>
      <c r="BQ98" s="29" t="str">
        <f t="shared" si="440"/>
        <v/>
      </c>
      <c r="BR98" s="29" t="str">
        <f t="shared" si="441"/>
        <v/>
      </c>
      <c r="BS98" s="29" t="str">
        <f t="shared" si="442"/>
        <v/>
      </c>
      <c r="BT98" s="29" t="str">
        <f>IF(LEN(_xludf.concat(BQ98:BS98))&gt;0,_xludf.concat("| ",BQ98," | ",BR98," | ",BS98," |"),"")</f>
        <v/>
      </c>
      <c r="BU98" s="29" t="str">
        <f t="shared" si="443"/>
        <v/>
      </c>
      <c r="BV98" s="29" t="str">
        <f>IF(LEN(BP98&amp;BU98)&gt;0,concatll("#### More Information",BP98,BU98),"")</f>
        <v xml:space="preserve">#### More Information_x000D_
_x000D_
* [Soria tourism site](https://www.turismosoria.es/en/what-to-see/monuments/convent-of-el-carmen/)
_x000D_
_x000D_
</v>
      </c>
      <c r="BW98" s="29" t="str">
        <f>IF(LEN(M98)&gt;1,concatll("#### Author's Note",M98),"")</f>
        <v xml:space="preserve">####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
-JMM_x000D_
_x000D_
</v>
      </c>
      <c r="BX98" s="23" t="str">
        <f>IF(AR98,concatll(concatl("---",AS98:AU98,BK98,"---"),L98,BV98:BW98),"")</f>
        <v xml:space="preserve">---_x000D_
title: "Convent of our Lady of Carmen (Convento de Nuestra Senora del Carmen), Soria"_x000D_
location: {lat: 41.7646254483495, lng: -2.46296793728833}_x000D_
level: local_x000D_
tags:
- spain_x000D_
- soria_x000D_
- churches_x000D_
- holy-persons_x000D_
- teresa-avila_x000D_
- discalced-carmelites_x000D_
- communities_x000D_
_x000D_
---_x000D_
_x000D_
_x000D_
The fifteenth of 17 communities founded by St. Teresa of Avila, in 1581._x000D_
_x000D_
#### More Information_x000D_
_x000D_
* [Soria tourism site](https://www.turismosoria.es/en/what-to-see/monuments/convent-of-el-carmen/)
_x000D_
_x000D_
_x000D_
_x000D_
####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
-JMM_x000D_
_x000D_
_x000D_
_x000D_
</v>
      </c>
      <c r="BY98" s="31" t="str">
        <f>IF(AR98,VLOOKUP(B98,'(Ref) Countries'!A:B,2,)&amp;IF(LEN(C98)&gt;1,"-"&amp;LOWER(SUBSTITUTE(C98," ","-")),"")&amp;"-"&amp;LOWER(SUBSTITUTE(G98," ","-"))&amp;".md","")</f>
        <v>es-soria-convento-de-nuestra-senora-del-carmen.md</v>
      </c>
      <c r="BZ98" s="29" t="str">
        <f>IF(LEN(Y98)&gt;1,VLOOKUP(Y98,'Tag List'!$A:$B,2,),"")</f>
        <v>St. Teresa of Avila, OCD</v>
      </c>
      <c r="CA98" s="29" t="str">
        <f>IF(LEN(Z98)&gt;1,VLOOKUP(Z98,'Tag List'!$A:$B,2,),"")</f>
        <v>Discalced Carmelites (Order of Discalced Carmelites)</v>
      </c>
      <c r="CB98" s="29" t="str">
        <f>IF(LEN(AA98)&gt;1,VLOOKUP(AA98,'Tag List'!$A:$B,2,),"")</f>
        <v>Religious Communities</v>
      </c>
      <c r="CC98" s="29" t="str">
        <f>IF(LEN(Y98)&gt;1,GetTagPage(BZ98,Y98),"")</f>
        <v>[St. Teresa of Avila, OCD](/tags/teresa-avila)</v>
      </c>
      <c r="CD98" s="29" t="str">
        <f>IF(LEN(Z98)&gt;1,GetTagPage(CA98,Z98),"")</f>
        <v>[Discalced Carmelites (Order of Discalced Carmelites)](/tags/discalced-carmelites)</v>
      </c>
      <c r="CE98" s="29" t="str">
        <f>IF(LEN(AA98)&gt;1,GetTagPage(CB98,AA98),"")</f>
        <v>[Religious Communities](/tags/communities)</v>
      </c>
      <c r="CF98" s="29" t="str">
        <f t="shared" si="444"/>
        <v xml:space="preserve">| [St. Teresa of Avila, OCD](/tags/teresa-avila), [Discalced Carmelites (Order of Discalced Carmelites)](/tags/discalced-carmelites), [Religious Communities](/tags/communities) </v>
      </c>
      <c r="CG98" s="29" t="str">
        <f t="shared" si="445"/>
        <v xml:space="preserve">| [](/places/es-soria-convento-de-nuestra-senora-del-carmen) </v>
      </c>
      <c r="CH98" s="29" t="str">
        <f>"| "&amp;IF(AR98,GetTagPage(B98,VLOOKUP(B98,'(Ref) Countries'!A:C,3,)),B98)&amp; " "</f>
        <v xml:space="preserve">| [Spain](/tags/spain) </v>
      </c>
      <c r="CI98" s="29" t="str">
        <f t="shared" si="446"/>
        <v xml:space="preserve">|  </v>
      </c>
      <c r="CJ98" s="29" t="str">
        <f t="shared" si="447"/>
        <v xml:space="preserve">| [Link](/places/es-soria-convento-de-nuestra-senora-del-carmen) </v>
      </c>
      <c r="CK98" s="29" t="str">
        <f t="shared" si="448"/>
        <v xml:space="preserve">
| [](/places/es-soria-convento-de-nuestra-senora-del-carmen) | [Spain](/tags/spain) |  | [Link](/places/es-soria-convento-de-nuestra-senora-del-carmen) | [St. Teresa of Avila, OCD](/tags/teresa-avila), [Discalced Carmelites (Order of Discalced Carmelites)](/tags/discalced-carmelites), [Religious Communities](/tags/communities) |</v>
      </c>
    </row>
    <row r="99" spans="1:89" ht="24.9" x14ac:dyDescent="0.4">
      <c r="A99" s="14" t="s">
        <v>1320</v>
      </c>
      <c r="B99" s="24" t="s">
        <v>552</v>
      </c>
      <c r="C99" s="104" t="s">
        <v>2232</v>
      </c>
      <c r="D99" s="15">
        <v>37.175062581351298</v>
      </c>
      <c r="E99" s="49">
        <v>-3.5968724999999999</v>
      </c>
      <c r="F99" s="103" t="s">
        <v>2233</v>
      </c>
      <c r="G99" s="53" t="s">
        <v>2153</v>
      </c>
      <c r="H99" s="15" t="s">
        <v>1827</v>
      </c>
      <c r="I99" s="15" t="b">
        <v>1</v>
      </c>
      <c r="K99" s="15" t="b">
        <v>1</v>
      </c>
      <c r="L99" s="103" t="s">
        <v>2237</v>
      </c>
      <c r="N99" s="15" t="s">
        <v>2234</v>
      </c>
      <c r="O99" s="104" t="s">
        <v>1818</v>
      </c>
      <c r="P99" s="108" t="s">
        <v>2236</v>
      </c>
      <c r="Q99" s="15" t="s">
        <v>2235</v>
      </c>
      <c r="R99" s="64" t="s">
        <v>336</v>
      </c>
      <c r="Y99" s="15" t="s">
        <v>2148</v>
      </c>
      <c r="Z99" s="104" t="s">
        <v>2144</v>
      </c>
      <c r="AA99" s="15" t="s">
        <v>1424</v>
      </c>
      <c r="AB99" s="15" t="s">
        <v>2147</v>
      </c>
      <c r="AR99" s="28" t="b">
        <f t="shared" si="416"/>
        <v>1</v>
      </c>
      <c r="AS99" s="29" t="str">
        <f t="shared" si="417"/>
        <v>title: "Convento de San Jose, Granada"</v>
      </c>
      <c r="AT99" s="29" t="str">
        <f t="shared" si="418"/>
        <v>location: {lat: 37.1750625813513, lng: -3.5968725}</v>
      </c>
      <c r="AU99" s="29" t="str">
        <f t="shared" si="419"/>
        <v>level: local</v>
      </c>
      <c r="AV99" s="29" t="str">
        <f>"- "&amp;VLOOKUP(B99,'(Ref) Countries'!A:C,3,)</f>
        <v>- spain</v>
      </c>
      <c r="AW99" s="29" t="str">
        <f t="shared" si="420"/>
        <v>- granada</v>
      </c>
      <c r="AX99" s="29" t="str">
        <f t="shared" si="421"/>
        <v>- churches</v>
      </c>
      <c r="AY99" s="29" t="str">
        <f t="shared" si="422"/>
        <v/>
      </c>
      <c r="AZ99" s="29" t="str">
        <f t="shared" si="423"/>
        <v>- holy-persons</v>
      </c>
      <c r="BA99" s="29" t="str">
        <f t="shared" si="424"/>
        <v>- teresa-avila</v>
      </c>
      <c r="BB99" s="29" t="str">
        <f t="shared" si="425"/>
        <v>- discalced-carmelites</v>
      </c>
      <c r="BC99" s="29" t="str">
        <f t="shared" si="426"/>
        <v>- communities</v>
      </c>
      <c r="BD99" s="29" t="str">
        <f t="shared" si="427"/>
        <v>- john-cross</v>
      </c>
      <c r="BE99" s="29" t="str">
        <f t="shared" si="428"/>
        <v/>
      </c>
      <c r="BF99" s="29" t="str">
        <f t="shared" si="429"/>
        <v/>
      </c>
      <c r="BG99" s="29" t="str">
        <f t="shared" si="430"/>
        <v/>
      </c>
      <c r="BH99" s="29" t="str">
        <f t="shared" si="431"/>
        <v/>
      </c>
      <c r="BI99" s="29" t="str">
        <f t="shared" si="432"/>
        <v/>
      </c>
      <c r="BJ99" s="29" t="str">
        <f t="shared" si="433"/>
        <v/>
      </c>
      <c r="BK99" s="29" t="str">
        <f t="shared" si="434"/>
        <v xml:space="preserve">tags:
- spain_x000D_
- granada_x000D_
- churches_x000D_
- holy-persons_x000D_
- teresa-avila_x000D_
- discalced-carmelites_x000D_
- communities_x000D_
- john-cross_x000D_
</v>
      </c>
      <c r="BL99" s="29" t="str">
        <f t="shared" si="435"/>
        <v>[Official site](http://www.carmelitasdescalzasgranada.es/) (note: website not active at time of writing)</v>
      </c>
      <c r="BM99" s="29" t="str">
        <f t="shared" si="436"/>
        <v>[Information from the Federacion Virgen del Carmen](https://federacionvirgendelcarmen.wordpress.com/conventos/convento-de-san-jose-granada/)</v>
      </c>
      <c r="BN99" s="29" t="str">
        <f t="shared" si="437"/>
        <v/>
      </c>
      <c r="BO99" s="29" t="str">
        <f t="shared" si="438"/>
        <v/>
      </c>
      <c r="BP99" s="29" t="str">
        <f t="shared" si="439"/>
        <v xml:space="preserve">* [Official site](http://www.carmelitasdescalzasgranada.es/) (note: website not active at time of writing)
* [Information from the Federacion Virgen del Carmen](https://federacionvirgendelcarmen.wordpress.com/conventos/convento-de-san-jose-granada/)
</v>
      </c>
      <c r="BQ99" s="29" t="str">
        <f t="shared" si="440"/>
        <v/>
      </c>
      <c r="BR99" s="29" t="str">
        <f t="shared" si="441"/>
        <v/>
      </c>
      <c r="BS99" s="29" t="str">
        <f t="shared" si="442"/>
        <v/>
      </c>
      <c r="BT99" s="29" t="str">
        <f>IF(LEN(_xludf.concat(BQ99:BS99))&gt;0,_xludf.concat("| ",BQ99," | ",BR99," | ",BS99," |"),"")</f>
        <v/>
      </c>
      <c r="BU99" s="29" t="str">
        <f t="shared" si="443"/>
        <v/>
      </c>
      <c r="BV99" s="29" t="str">
        <f>IF(LEN(BP99&amp;BU99)&gt;0,concatll("#### More Information",BP99,BU99),"")</f>
        <v xml:space="preserve">#### More Information_x000D_
_x000D_
* [Official site](http://www.carmelitasdescalzasgranada.es/) (note: website not active at time of writing)
* [Information from the Federacion Virgen del Carmen](https://federacionvirgendelcarmen.wordpress.com/conventos/convento-de-san-jose-granada/)
_x000D_
_x000D_
</v>
      </c>
      <c r="BW99" s="29" t="str">
        <f>IF(LEN(M99)&gt;1,concatll("#### Author's Note",M99),"")</f>
        <v/>
      </c>
      <c r="BX99" s="23" t="str">
        <f>IF(AR99,concatll(concatl("---",AS99:AU99,BK99,"---"),L99,BV99:BW99),"")</f>
        <v xml:space="preserve">---_x000D_
title: "Convento de San Jose, Granada"_x000D_
location: {lat: 37.1750625813513, lng: -3.5968725}_x000D_
level: local_x000D_
tags:
- spain_x000D_
- granada_x000D_
- churches_x000D_
- holy-persons_x000D_
- teresa-avila_x000D_
- discalced-carmelites_x000D_
- communities_x000D_
- john-cross_x000D_
_x000D_
---_x000D_
_x000D_
_x000D_
The sixteenth of 17 communities founded by St. Teresa of Avila, in 1582.  Co-founded with St. John of the Cross._x000D_
_x000D_
#### More Information_x000D_
_x000D_
* [Official site](http://www.carmelitasdescalzasgranada.es/) (note: website not active at time of writing)
* [Information from the Federacion Virgen del Carmen](https://federacionvirgendelcarmen.wordpress.com/conventos/convento-de-san-jose-granada/)
_x000D_
_x000D_
_x000D_
_x000D_
</v>
      </c>
      <c r="BY99" s="31" t="str">
        <f>IF(AR99,VLOOKUP(B99,'(Ref) Countries'!A:B,2,)&amp;IF(LEN(C99)&gt;1,"-"&amp;LOWER(SUBSTITUTE(C99," ","-")),"")&amp;"-"&amp;LOWER(SUBSTITUTE(G99," ","-"))&amp;".md","")</f>
        <v>es-granada-convento-de-san-jose.md</v>
      </c>
      <c r="BZ99" s="29" t="str">
        <f>IF(LEN(Y99)&gt;1,VLOOKUP(Y99,'Tag List'!$A:$B,2,),"")</f>
        <v>St. Teresa of Avila, OCD</v>
      </c>
      <c r="CA99" s="29" t="str">
        <f>IF(LEN(Z99)&gt;1,VLOOKUP(Z99,'Tag List'!$A:$B,2,),"")</f>
        <v>Discalced Carmelites (Order of Discalced Carmelites)</v>
      </c>
      <c r="CB99" s="29" t="str">
        <f>IF(LEN(AA99)&gt;1,VLOOKUP(AA99,'Tag List'!$A:$B,2,),"")</f>
        <v>Religious Communities</v>
      </c>
      <c r="CC99" s="29" t="str">
        <f>IF(LEN(Y99)&gt;1,GetTagPage(BZ99,Y99),"")</f>
        <v>[St. Teresa of Avila, OCD](/tags/teresa-avila)</v>
      </c>
      <c r="CD99" s="29" t="str">
        <f>IF(LEN(Z99)&gt;1,GetTagPage(CA99,Z99),"")</f>
        <v>[Discalced Carmelites (Order of Discalced Carmelites)](/tags/discalced-carmelites)</v>
      </c>
      <c r="CE99" s="29" t="str">
        <f>IF(LEN(AA99)&gt;1,GetTagPage(CB99,AA99),"")</f>
        <v>[Religious Communities](/tags/communities)</v>
      </c>
      <c r="CF99" s="29" t="str">
        <f t="shared" si="444"/>
        <v xml:space="preserve">| [St. Teresa of Avila, OCD](/tags/teresa-avila), [Discalced Carmelites (Order of Discalced Carmelites)](/tags/discalced-carmelites), [Religious Communities](/tags/communities) </v>
      </c>
      <c r="CG99" s="29" t="str">
        <f t="shared" si="445"/>
        <v xml:space="preserve">| [](/places/es-granada-convento-de-san-jose) </v>
      </c>
      <c r="CH99" s="29" t="str">
        <f>"| "&amp;IF(AR99,GetTagPage(B99,VLOOKUP(B99,'(Ref) Countries'!A:C,3,)),B99)&amp; " "</f>
        <v xml:space="preserve">| [Spain](/tags/spain) </v>
      </c>
      <c r="CI99" s="29" t="str">
        <f t="shared" si="446"/>
        <v xml:space="preserve">|  </v>
      </c>
      <c r="CJ99" s="29" t="str">
        <f t="shared" si="447"/>
        <v xml:space="preserve">| [Link](/places/es-granada-convento-de-san-jose) </v>
      </c>
      <c r="CK99" s="29" t="str">
        <f t="shared" si="448"/>
        <v xml:space="preserve">
| [](/places/es-granada-convento-de-san-jose) | [Spain](/tags/spain) |  | [Link](/places/es-granada-convento-de-san-jose) [Official site](http://www.carmelitasdescalzasgranada.es/) (note: website not active at time of writing)| [St. Teresa of Avila, OCD](/tags/teresa-avila), [Discalced Carmelites (Order of Discalced Carmelites)](/tags/discalced-carmelites), [Religious Communities](/tags/communities) |</v>
      </c>
    </row>
    <row r="100" spans="1:89" ht="49.75" x14ac:dyDescent="0.4">
      <c r="A100" s="14" t="s">
        <v>1320</v>
      </c>
      <c r="B100" s="24" t="s">
        <v>552</v>
      </c>
      <c r="C100" s="104" t="s">
        <v>2238</v>
      </c>
      <c r="D100" s="15">
        <v>42.340120675583002</v>
      </c>
      <c r="E100" s="49">
        <v>-3.6942737000000001</v>
      </c>
      <c r="F100" s="113" t="s">
        <v>2297</v>
      </c>
      <c r="G100" s="53" t="s">
        <v>2239</v>
      </c>
      <c r="H100" s="15" t="s">
        <v>1827</v>
      </c>
      <c r="I100" s="15" t="b">
        <v>1</v>
      </c>
      <c r="K100" s="15" t="b">
        <v>1</v>
      </c>
      <c r="L100" s="103" t="s">
        <v>2240</v>
      </c>
      <c r="M100" s="105" t="s">
        <v>2241</v>
      </c>
      <c r="P100" s="108" t="s">
        <v>2243</v>
      </c>
      <c r="Q100" s="15" t="s">
        <v>2242</v>
      </c>
      <c r="R100" s="64" t="s">
        <v>1818</v>
      </c>
      <c r="S100" s="111" t="s">
        <v>336</v>
      </c>
      <c r="Y100" s="15" t="s">
        <v>2148</v>
      </c>
      <c r="Z100" s="15" t="s">
        <v>2144</v>
      </c>
      <c r="AA100" s="15" t="s">
        <v>1424</v>
      </c>
      <c r="AR100" s="28" t="b">
        <f t="shared" si="416"/>
        <v>1</v>
      </c>
      <c r="AS100" s="29" t="str">
        <f t="shared" si="417"/>
        <v>title: "Convento de San Jose y Santa Ana, Burgos"</v>
      </c>
      <c r="AT100" s="29" t="str">
        <f t="shared" si="418"/>
        <v>location: {lat: 42.340120675583, lng: -3.6942737}</v>
      </c>
      <c r="AU100" s="29" t="str">
        <f t="shared" si="419"/>
        <v>level: local</v>
      </c>
      <c r="AV100" s="29" t="str">
        <f>"- "&amp;VLOOKUP(B100,'(Ref) Countries'!A:C,3,)</f>
        <v>- spain</v>
      </c>
      <c r="AW100" s="29" t="str">
        <f t="shared" si="420"/>
        <v>- burgos</v>
      </c>
      <c r="AX100" s="29" t="str">
        <f t="shared" si="421"/>
        <v>- churches</v>
      </c>
      <c r="AY100" s="29" t="str">
        <f t="shared" si="422"/>
        <v/>
      </c>
      <c r="AZ100" s="29" t="str">
        <f t="shared" si="423"/>
        <v>- holy-persons</v>
      </c>
      <c r="BA100" s="29" t="str">
        <f t="shared" si="424"/>
        <v>- teresa-avila</v>
      </c>
      <c r="BB100" s="29" t="str">
        <f t="shared" si="425"/>
        <v>- discalced-carmelites</v>
      </c>
      <c r="BC100" s="29" t="str">
        <f t="shared" si="426"/>
        <v>- communities</v>
      </c>
      <c r="BD100" s="29" t="str">
        <f t="shared" si="427"/>
        <v/>
      </c>
      <c r="BE100" s="29" t="str">
        <f t="shared" si="428"/>
        <v/>
      </c>
      <c r="BF100" s="29" t="str">
        <f t="shared" si="429"/>
        <v/>
      </c>
      <c r="BG100" s="29" t="str">
        <f t="shared" si="430"/>
        <v/>
      </c>
      <c r="BH100" s="29" t="str">
        <f t="shared" si="431"/>
        <v/>
      </c>
      <c r="BI100" s="29" t="str">
        <f t="shared" si="432"/>
        <v/>
      </c>
      <c r="BJ100" s="29" t="str">
        <f t="shared" si="433"/>
        <v/>
      </c>
      <c r="BK100" s="29" t="str">
        <f t="shared" si="434"/>
        <v xml:space="preserve">tags:
- spain_x000D_
- burgos_x000D_
- churches_x000D_
- holy-persons_x000D_
- teresa-avila_x000D_
- discalced-carmelites_x000D_
- communities_x000D_
</v>
      </c>
      <c r="BL100" s="29" t="str">
        <f t="shared" si="435"/>
        <v/>
      </c>
      <c r="BM100" s="29" t="str">
        <f t="shared" si="436"/>
        <v>[Burgos tourism site](https://turismo.aytoburgos.es/cultura-y-patrimonio1/-/asset_publisher/PMC541iCzJ73/content/convento-de-san-jos%25C3%25A9-y-santa-ana) (note: website not active at time of writing)</v>
      </c>
      <c r="BN100" s="29" t="str">
        <f t="shared" si="437"/>
        <v/>
      </c>
      <c r="BO100" s="29" t="str">
        <f t="shared" si="438"/>
        <v/>
      </c>
      <c r="BP100" s="29" t="str">
        <f t="shared" si="439"/>
        <v xml:space="preserve">* [Burgos tourism site](https://turismo.aytoburgos.es/cultura-y-patrimonio1/-/asset_publisher/PMC541iCzJ73/content/convento-de-san-jos%25C3%25A9-y-santa-ana) (note: website not active at time of writing)
</v>
      </c>
      <c r="BQ100" s="29" t="str">
        <f t="shared" si="440"/>
        <v/>
      </c>
      <c r="BR100" s="29" t="str">
        <f t="shared" si="441"/>
        <v/>
      </c>
      <c r="BS100" s="29" t="str">
        <f t="shared" si="442"/>
        <v/>
      </c>
      <c r="BT100" s="29" t="str">
        <f>IF(LEN(_xludf.concat(BQ100:BS100))&gt;0,_xludf.concat("| ",BQ100," | ",BR100," | ",BS100," |"),"")</f>
        <v/>
      </c>
      <c r="BU100" s="29" t="str">
        <f t="shared" si="443"/>
        <v/>
      </c>
      <c r="BV100" s="29" t="str">
        <f>IF(LEN(BP100&amp;BU100)&gt;0,concatll("#### More Information",BP100,BU100),"")</f>
        <v xml:space="preserve">#### More Information_x000D_
_x000D_
* [Burgos tourism site](https://turismo.aytoburgos.es/cultura-y-patrimonio1/-/asset_publisher/PMC541iCzJ73/content/convento-de-san-jos%25C3%25A9-y-santa-ana) (note: website not active at time of writing)
_x000D_
_x000D_
</v>
      </c>
      <c r="BW100" s="29" t="str">
        <f>IF(LEN(M100)&gt;1,concatll("#### Author's Note",M100),"")</f>
        <v xml:space="preserve">#### Author's Note_x000D_
_x000D_
Many of the websites associated with this site were not working at time of writing.
-JMM_x000D_
_x000D_
</v>
      </c>
      <c r="BX100" s="23" t="str">
        <f>IF(AR100,concatll(concatl("---",AS100:AU100,BK100,"---"),L100,BV100:BW100),"")</f>
        <v xml:space="preserve">---_x000D_
title: "Convento de San Jose y Santa Ana, Burgos"_x000D_
location: {lat: 42.340120675583, lng: -3.6942737}_x000D_
level: local_x000D_
tags:
- spain_x000D_
- burgos_x000D_
- churches_x000D_
- holy-persons_x000D_
- teresa-avila_x000D_
- discalced-carmelites_x000D_
- communities_x000D_
_x000D_
---_x000D_
_x000D_
_x000D_
The last of 17 communities founded by St. Teresa of Avila, in 1582._x000D_
_x000D_
#### More Information_x000D_
_x000D_
* [Burgos tourism site](https://turismo.aytoburgos.es/cultura-y-patrimonio1/-/asset_publisher/PMC541iCzJ73/content/convento-de-san-jos%25C3%25A9-y-santa-ana) (note: website not active at time of writing)
_x000D_
_x000D_
_x000D_
_x000D_
#### Author's Note_x000D_
_x000D_
Many of the websites associated with this site were not working at time of writing.
-JMM_x000D_
_x000D_
_x000D_
_x000D_
</v>
      </c>
      <c r="BY100" s="31" t="str">
        <f>IF(AR100,VLOOKUP(B100,'(Ref) Countries'!A:B,2,)&amp;IF(LEN(C100)&gt;1,"-"&amp;LOWER(SUBSTITUTE(C100," ","-")),"")&amp;"-"&amp;LOWER(SUBSTITUTE(G100," ","-"))&amp;".md","")</f>
        <v>es-burgos-convento-de-san-jose-y-santa-ana.md</v>
      </c>
      <c r="BZ100" s="29" t="str">
        <f>IF(LEN(Y100)&gt;1,VLOOKUP(Y100,'Tag List'!$A:$B,2,),"")</f>
        <v>St. Teresa of Avila, OCD</v>
      </c>
      <c r="CA100" s="29" t="str">
        <f>IF(LEN(Z100)&gt;1,VLOOKUP(Z100,'Tag List'!$A:$B,2,),"")</f>
        <v>Discalced Carmelites (Order of Discalced Carmelites)</v>
      </c>
      <c r="CB100" s="29" t="str">
        <f>IF(LEN(AA100)&gt;1,VLOOKUP(AA100,'Tag List'!$A:$B,2,),"")</f>
        <v>Religious Communities</v>
      </c>
      <c r="CC100" s="29" t="str">
        <f>IF(LEN(Y100)&gt;1,GetTagPage(BZ100,Y100),"")</f>
        <v>[St. Teresa of Avila, OCD](/tags/teresa-avila)</v>
      </c>
      <c r="CD100" s="29" t="str">
        <f>IF(LEN(Z100)&gt;1,GetTagPage(CA100,Z100),"")</f>
        <v>[Discalced Carmelites (Order of Discalced Carmelites)](/tags/discalced-carmelites)</v>
      </c>
      <c r="CE100" s="29" t="str">
        <f>IF(LEN(AA100)&gt;1,GetTagPage(CB100,AA100),"")</f>
        <v>[Religious Communities](/tags/communities)</v>
      </c>
      <c r="CF100" s="29" t="str">
        <f t="shared" si="444"/>
        <v xml:space="preserve">| [St. Teresa of Avila, OCD](/tags/teresa-avila), [Discalced Carmelites (Order of Discalced Carmelites)](/tags/discalced-carmelites), [Religious Communities](/tags/communities) </v>
      </c>
      <c r="CG100" s="29" t="str">
        <f t="shared" si="445"/>
        <v xml:space="preserve">| [](/places/es-burgos-convento-de-san-jose-y-santa-ana) </v>
      </c>
      <c r="CH100" s="29" t="str">
        <f>"| "&amp;IF(AR100,GetTagPage(B100,VLOOKUP(B100,'(Ref) Countries'!A:C,3,)),B100)&amp; " "</f>
        <v xml:space="preserve">| [Spain](/tags/spain) </v>
      </c>
      <c r="CI100" s="29" t="str">
        <f t="shared" si="446"/>
        <v xml:space="preserve">|  </v>
      </c>
      <c r="CJ100" s="29" t="str">
        <f t="shared" si="447"/>
        <v xml:space="preserve">| [Link](/places/es-burgos-convento-de-san-jose-y-santa-ana) </v>
      </c>
      <c r="CK100" s="29" t="str">
        <f t="shared" si="448"/>
        <v xml:space="preserve">
| [](/places/es-burgos-convento-de-san-jose-y-santa-ana) | [Spain](/tags/spain) |  | [Link](/places/es-burgos-convento-de-san-jose-y-santa-ana) | [St. Teresa of Avila, OCD](/tags/teresa-avila), [Discalced Carmelites (Order of Discalced Carmelites)](/tags/discalced-carmelites), [Religious Communities](/tags/communities) |</v>
      </c>
    </row>
    <row r="101" spans="1:89" ht="37.299999999999997" x14ac:dyDescent="0.4">
      <c r="A101" s="14" t="s">
        <v>1320</v>
      </c>
      <c r="B101" s="24" t="s">
        <v>552</v>
      </c>
      <c r="C101" s="104" t="s">
        <v>2140</v>
      </c>
      <c r="D101" s="15">
        <v>40.655737633857697</v>
      </c>
      <c r="E101" s="49">
        <v>-4.69703687109845</v>
      </c>
      <c r="F101" s="103" t="s">
        <v>2246</v>
      </c>
      <c r="G101" s="105" t="s">
        <v>1830</v>
      </c>
      <c r="H101" s="15" t="s">
        <v>1760</v>
      </c>
      <c r="I101" s="15" t="b">
        <v>1</v>
      </c>
      <c r="L101" s="103" t="s">
        <v>2245</v>
      </c>
      <c r="N101" s="15" t="s">
        <v>2244</v>
      </c>
      <c r="O101" s="106" t="s">
        <v>336</v>
      </c>
      <c r="R101" s="64" t="s">
        <v>336</v>
      </c>
      <c r="AR101" s="28" t="b">
        <f t="shared" si="416"/>
        <v>1</v>
      </c>
      <c r="AS101" s="29" t="str">
        <f t="shared" si="417"/>
        <v>title: "Avila Cathedral (Catedral del Salvador)"</v>
      </c>
      <c r="AT101" s="29" t="str">
        <f t="shared" si="418"/>
        <v>location: {lat: 40.6557376338577, lng: -4.69703687109845}</v>
      </c>
      <c r="AU101" s="29" t="str">
        <f t="shared" si="419"/>
        <v>level: regional</v>
      </c>
      <c r="AV101" s="29" t="str">
        <f>"- "&amp;VLOOKUP(B101,'(Ref) Countries'!A:C,3,)</f>
        <v>- spain</v>
      </c>
      <c r="AW101" s="29" t="str">
        <f t="shared" si="420"/>
        <v>- avila</v>
      </c>
      <c r="AX101" s="29" t="str">
        <f t="shared" si="421"/>
        <v>- churches</v>
      </c>
      <c r="AY101" s="29" t="str">
        <f t="shared" si="422"/>
        <v/>
      </c>
      <c r="AZ101" s="29" t="str">
        <f t="shared" si="423"/>
        <v/>
      </c>
      <c r="BA101" s="29" t="str">
        <f t="shared" si="424"/>
        <v/>
      </c>
      <c r="BB101" s="29" t="str">
        <f t="shared" si="425"/>
        <v/>
      </c>
      <c r="BC101" s="29" t="str">
        <f t="shared" si="426"/>
        <v/>
      </c>
      <c r="BD101" s="29" t="str">
        <f t="shared" si="427"/>
        <v/>
      </c>
      <c r="BE101" s="29" t="str">
        <f t="shared" si="428"/>
        <v/>
      </c>
      <c r="BF101" s="29" t="str">
        <f t="shared" si="429"/>
        <v/>
      </c>
      <c r="BG101" s="29" t="str">
        <f t="shared" si="430"/>
        <v/>
      </c>
      <c r="BH101" s="29" t="str">
        <f t="shared" si="431"/>
        <v/>
      </c>
      <c r="BI101" s="29" t="str">
        <f t="shared" si="432"/>
        <v/>
      </c>
      <c r="BJ101" s="29" t="str">
        <f t="shared" si="433"/>
        <v/>
      </c>
      <c r="BK101" s="29" t="str">
        <f t="shared" si="434"/>
        <v xml:space="preserve">tags:
- spain_x000D_
- avila_x000D_
- churches_x000D_
</v>
      </c>
      <c r="BL101" s="29" t="str">
        <f t="shared" si="435"/>
        <v>[Official site](https://catedralavila.es/)</v>
      </c>
      <c r="BM101" s="29" t="str">
        <f t="shared" si="436"/>
        <v/>
      </c>
      <c r="BN101" s="29" t="str">
        <f t="shared" si="437"/>
        <v/>
      </c>
      <c r="BO101" s="29" t="str">
        <f t="shared" si="438"/>
        <v/>
      </c>
      <c r="BP101" s="29" t="str">
        <f t="shared" si="439"/>
        <v xml:space="preserve">* [Official site](https://catedralavila.es/)
</v>
      </c>
      <c r="BQ101" s="29" t="str">
        <f t="shared" si="440"/>
        <v/>
      </c>
      <c r="BR101" s="29" t="str">
        <f t="shared" si="441"/>
        <v/>
      </c>
      <c r="BS101" s="29" t="str">
        <f t="shared" si="442"/>
        <v/>
      </c>
      <c r="BT101" s="29" t="str">
        <f>IF(LEN(_xludf.concat(BQ101:BS101))&gt;0,_xludf.concat("| ",BQ101," | ",BR101," | ",BS101," |"),"")</f>
        <v/>
      </c>
      <c r="BU101" s="29" t="str">
        <f t="shared" si="443"/>
        <v/>
      </c>
      <c r="BV101" s="29" t="str">
        <f>IF(LEN(BP101&amp;BU101)&gt;0,concatll("#### More Information",BP101,BU101),"")</f>
        <v xml:space="preserve">#### More Information_x000D_
_x000D_
* [Official site](https://catedralavila.es/)
_x000D_
_x000D_
</v>
      </c>
      <c r="BW101" s="29" t="str">
        <f>IF(LEN(M101)&gt;1,concatll("#### Author's Note",M101),"")</f>
        <v/>
      </c>
      <c r="BX101" s="23" t="str">
        <f>IF(AR101,concatll(concatl("---",AS101:AU101,BK101,"---"),L101,BV101:BW101),"")</f>
        <v xml:space="preserve">---_x000D_
title: "Avila Cathedral (Catedral del Salvador)"_x000D_
location: {lat: 40.6557376338577, lng: -4.69703687109845}_x000D_
level: regional_x000D_
tags:
- spain_x000D_
- avila_x000D_
- churches_x000D_
_x000D_
---_x000D_
_x000D_
_x000D_
Construction on the cathedral first began in the 12th century and continued up until the 17th century.  As part of the Old Town of Avila, it was inscribed as a UNESCO World Heritage site in 1985._x000D_
_x000D_
#### More Information_x000D_
_x000D_
* [Official site](https://catedralavila.es/)
_x000D_
_x000D_
_x000D_
_x000D_
</v>
      </c>
      <c r="BY101" s="31" t="str">
        <f>IF(AR101,VLOOKUP(B101,'(Ref) Countries'!A:B,2,)&amp;IF(LEN(C101)&gt;1,"-"&amp;LOWER(SUBSTITUTE(C101," ","-")),"")&amp;"-"&amp;LOWER(SUBSTITUTE(G101," ","-"))&amp;".md","")</f>
        <v>es-avila-cathedral.md</v>
      </c>
      <c r="BZ101" s="29" t="str">
        <f>IF(LEN(Y101)&gt;1,VLOOKUP(Y101,'Tag List'!$A:$B,2,),"")</f>
        <v/>
      </c>
      <c r="CA101" s="29" t="str">
        <f>IF(LEN(Z101)&gt;1,VLOOKUP(Z101,'Tag List'!$A:$B,2,),"")</f>
        <v/>
      </c>
      <c r="CB101" s="29" t="str">
        <f>IF(LEN(AA101)&gt;1,VLOOKUP(AA101,'Tag List'!$A:$B,2,),"")</f>
        <v/>
      </c>
      <c r="CC101" s="29" t="str">
        <f>IF(LEN(Y101)&gt;1,GetTagPage(BZ101,Y101),"")</f>
        <v/>
      </c>
      <c r="CD101" s="29" t="str">
        <f>IF(LEN(Z101)&gt;1,GetTagPage(CA101,Z101),"")</f>
        <v/>
      </c>
      <c r="CE101" s="29" t="str">
        <f>IF(LEN(AA101)&gt;1,GetTagPage(CB101,AA101),"")</f>
        <v/>
      </c>
      <c r="CF101" s="29" t="str">
        <f t="shared" si="444"/>
        <v xml:space="preserve">| </v>
      </c>
      <c r="CG101" s="29" t="str">
        <f t="shared" si="445"/>
        <v xml:space="preserve">| [](/places/es-avila-cathedral) </v>
      </c>
      <c r="CH101" s="29" t="str">
        <f>"| "&amp;IF(AR101,GetTagPage(B101,VLOOKUP(B101,'(Ref) Countries'!A:C,3,)),B101)&amp; " "</f>
        <v xml:space="preserve">| [Spain](/tags/spain) </v>
      </c>
      <c r="CI101" s="29" t="str">
        <f t="shared" si="446"/>
        <v xml:space="preserve">|  </v>
      </c>
      <c r="CJ101" s="29" t="str">
        <f t="shared" si="447"/>
        <v xml:space="preserve">| [Link](/places/es-avila-cathedral) </v>
      </c>
      <c r="CK101" s="29" t="str">
        <f t="shared" si="448"/>
        <v xml:space="preserve">
| [](/places/es-avila-cathedral) | [Spain](/tags/spain) |  | [Link](/places/es-avila-cathedral) [Official site](https://catedralavila.es/)| |</v>
      </c>
    </row>
    <row r="102" spans="1:89" ht="37.299999999999997" x14ac:dyDescent="0.4">
      <c r="A102" s="14" t="s">
        <v>1320</v>
      </c>
      <c r="B102" s="24" t="s">
        <v>552</v>
      </c>
      <c r="C102" s="15" t="s">
        <v>2140</v>
      </c>
      <c r="D102" s="15">
        <v>40.657935208986103</v>
      </c>
      <c r="E102" s="49">
        <v>-4.6960390893359802</v>
      </c>
      <c r="F102" s="103" t="s">
        <v>2247</v>
      </c>
      <c r="G102" s="105" t="s">
        <v>2248</v>
      </c>
      <c r="H102" s="104" t="s">
        <v>1760</v>
      </c>
      <c r="I102" s="15" t="b">
        <v>1</v>
      </c>
      <c r="K102" s="15" t="b">
        <v>1</v>
      </c>
      <c r="L102" s="103" t="s">
        <v>2249</v>
      </c>
      <c r="N102" s="15" t="s">
        <v>2250</v>
      </c>
      <c r="O102" s="15" t="s">
        <v>336</v>
      </c>
      <c r="R102" s="64" t="s">
        <v>336</v>
      </c>
      <c r="Y102" s="104" t="s">
        <v>2251</v>
      </c>
      <c r="Z102" s="104" t="s">
        <v>2253</v>
      </c>
      <c r="AA102" s="104" t="s">
        <v>2255</v>
      </c>
      <c r="AR102" s="28" t="b">
        <f t="shared" ref="AR102" si="449">IF(OR(A102="Done",A102="In Progress"),TRUE)</f>
        <v>1</v>
      </c>
      <c r="AS102" s="29" t="str">
        <f t="shared" ref="AS102" si="450">"title: """&amp;F102&amp;""""</f>
        <v>title: "Basilica of Sts. Vincent, Sabina and Cristeta (San Vicente de Avila)"</v>
      </c>
      <c r="AT102" s="29" t="str">
        <f t="shared" ref="AT102" si="451">"location: {lat: "&amp;D102&amp;", lng: "&amp;E102&amp;"}"</f>
        <v>location: {lat: 40.6579352089861, lng: -4.69603908933598}</v>
      </c>
      <c r="AU102" s="29" t="str">
        <f t="shared" ref="AU102" si="452">"level: "&amp;H102</f>
        <v>level: regional</v>
      </c>
      <c r="AV102" s="29" t="str">
        <f>"- "&amp;VLOOKUP(B102,'(Ref) Countries'!A:C,3,)</f>
        <v>- spain</v>
      </c>
      <c r="AW102" s="29" t="str">
        <f t="shared" ref="AW102" si="453">IF(LEN(C102)&gt;1,"- "&amp;LOWER(SUBSTITUTE(C102," ","-")),"")</f>
        <v>- avila</v>
      </c>
      <c r="AX102" s="29" t="str">
        <f t="shared" ref="AX102" si="454">IF(I102,"- churches","")</f>
        <v>- churches</v>
      </c>
      <c r="AY102" s="29" t="str">
        <f t="shared" ref="AY102" si="455">IF(J102,"- marian-sites","")</f>
        <v/>
      </c>
      <c r="AZ102" s="29" t="str">
        <f t="shared" ref="AZ102" si="456">IF(K102,"- holy-persons","")</f>
        <v>- holy-persons</v>
      </c>
      <c r="BA102" s="29" t="str">
        <f t="shared" ref="BA102" si="457">IF(LEN(Y102)&gt;0,"- "&amp;Y102,"")</f>
        <v>- vincent</v>
      </c>
      <c r="BB102" s="29" t="str">
        <f t="shared" ref="BB102" si="458">IF(LEN(Z102)&gt;0,"- "&amp;Z102,"")</f>
        <v>- sabina</v>
      </c>
      <c r="BC102" s="29" t="str">
        <f t="shared" ref="BC102" si="459">IF(LEN(AA102)&gt;0,"- "&amp;AA102,"")</f>
        <v>- cristeta</v>
      </c>
      <c r="BD102" s="29" t="str">
        <f t="shared" ref="BD102" si="460">IF(LEN(AB102)&gt;0,"- "&amp;AB102,"")</f>
        <v/>
      </c>
      <c r="BE102" s="29" t="str">
        <f t="shared" ref="BE102" si="461">IF(LEN(AC102)&gt;0,"- "&amp;AC102,"")</f>
        <v/>
      </c>
      <c r="BF102" s="29" t="str">
        <f t="shared" ref="BF102" si="462">IF(LEN(AD102)&gt;0,"- "&amp;AD102,"")</f>
        <v/>
      </c>
      <c r="BG102" s="29" t="str">
        <f t="shared" ref="BG102" si="463">IF(LEN(AE102)&gt;0,"- "&amp;AE102,"")</f>
        <v/>
      </c>
      <c r="BH102" s="29" t="str">
        <f t="shared" ref="BH102" si="464">IF(LEN(AF102)&gt;0,"- "&amp;AF102,"")</f>
        <v/>
      </c>
      <c r="BI102" s="29" t="str">
        <f t="shared" ref="BI102" si="465">IF(LEN(AG102)&gt;0,"- "&amp;AG102,"")</f>
        <v/>
      </c>
      <c r="BJ102" s="29" t="str">
        <f t="shared" ref="BJ102" si="466">IF(LEN(AH102)&gt;0,"- "&amp;AH102,"")</f>
        <v/>
      </c>
      <c r="BK102" s="29" t="str">
        <f t="shared" ref="BK102" si="467">"tags:"&amp;CHAR(10)&amp;concatl(AV102:BJ102)</f>
        <v xml:space="preserve">tags:
- spain_x000D_
- avila_x000D_
- churches_x000D_
- holy-persons_x000D_
- vincent_x000D_
- sabina_x000D_
- cristeta_x000D_
</v>
      </c>
      <c r="BL102" s="29" t="str">
        <f t="shared" ref="BL102" si="468">IF(LEN(N102)&gt;0,TRIM(CONCATENATE("[Official site](",N102,") ",O102)),"")</f>
        <v>[Official site](https://basilicasanvicente.es/)</v>
      </c>
      <c r="BM102" s="29" t="str">
        <f t="shared" ref="BM102" si="469">IF(LEN(Q102)&gt;0,TRIM(CONCATENATE("["&amp;P102&amp;"](",Q102,") ",R102)),"")</f>
        <v/>
      </c>
      <c r="BN102" s="29" t="str">
        <f t="shared" ref="BN102" si="470">IF(LEN(T102)&gt;0,TRIM(CONCATENATE("["&amp;S102&amp;"](",T102,") ",U102)),"")</f>
        <v/>
      </c>
      <c r="BO102" s="29" t="str">
        <f t="shared" ref="BO102" si="471">IF(LEN(W102)&gt;0,TRIM(CONCATENATE("["&amp;V102&amp;"](",W102,") ",X102)),"")</f>
        <v/>
      </c>
      <c r="BP102" s="29" t="str">
        <f t="shared" ref="BP102" si="472">IF(LEN(BL102)&gt;0,"* "&amp;BL102&amp;CHAR(10),"")&amp;
IF(LEN(BM102)&gt;0,"* "&amp;BM102&amp;CHAR(10),"")&amp;
IF(LEN(BN102)&gt;0,"* "&amp;BN102&amp;CHAR(10),"")&amp;
IF(LEN(BO102)&gt;0,"* "&amp;BO102&amp;CHAR(10),"")</f>
        <v xml:space="preserve">* [Official site](https://basilicasanvicente.es/)
</v>
      </c>
      <c r="BQ102" s="29" t="str">
        <f t="shared" ref="BQ102" si="473">IF(LEN(AK102)&gt;0,TRIM(CONCATENATE("[Link](",AK102,") ",AL102)),"")</f>
        <v/>
      </c>
      <c r="BR102" s="29" t="str">
        <f t="shared" ref="BR102" si="474">IF(LEN(AM102)&gt;0,TRIM(CONCATENATE("[Link](",AM102,") ",AN102)),"")</f>
        <v/>
      </c>
      <c r="BS102" s="29" t="str">
        <f t="shared" ref="BS102" si="475">IF(LEN(AO102)&gt;0,TRIM(CONCATENATE("[Link](",AO102,") ",AP102)),"")</f>
        <v/>
      </c>
      <c r="BT102" s="29" t="str">
        <f>IF(LEN(_xludf.concat(BQ102:BS102))&gt;0,_xludf.concat("| ",BQ102," | ",BR102," | ",BS102," |"),"")</f>
        <v/>
      </c>
      <c r="BU102" s="29" t="str">
        <f t="shared" ref="BU102" si="476">IF(J102,concatl("| The Real Presence | Miracle Hunter | MaryPages |","| --- | --- | --- |",BT102),"")</f>
        <v/>
      </c>
      <c r="BV102" s="29" t="str">
        <f>IF(LEN(BP102&amp;BU102)&gt;0,concatll("#### More Information",BP102,BU102),"")</f>
        <v xml:space="preserve">#### More Information_x000D_
_x000D_
* [Official site](https://basilicasanvicente.es/)
_x000D_
_x000D_
</v>
      </c>
      <c r="BW102" s="29" t="str">
        <f>IF(LEN(M102)&gt;1,concatll("#### Author's Note",M102),"")</f>
        <v/>
      </c>
      <c r="BX102" s="23" t="str">
        <f>IF(AR102,concatll(concatl("---",AS102:AU102,BK102,"---"),L102,BV102:BW102),"")</f>
        <v xml:space="preserve">---_x000D_
title: "Basilica of Sts. Vincent, Sabina and Cristeta (San Vicente de Avila)"_x000D_
location: {lat: 40.6579352089861, lng: -4.69603908933598}_x000D_
level: regional_x000D_
tags:
- spain_x000D_
- avila_x000D_
- churches_x000D_
- holy-persons_x000D_
- vincent_x000D_
- sabina_x000D_
- cristeta_x000D_
_x000D_
---_x000D_
_x000D_
_x000D_
This basilica is built on traditional burial site of Saint Vincent, a young deacon martyred for his faith in the 4th century under the reign of Diocletian.  The church houses his relics and those of fellow martyrs Sts. Sabina and Cristeta._x000D_
_x000D_
#### More Information_x000D_
_x000D_
* [Official site](https://basilicasanvicente.es/)
_x000D_
_x000D_
_x000D_
_x000D_
</v>
      </c>
      <c r="BY102" s="31" t="str">
        <f>IF(AR102,VLOOKUP(B102,'(Ref) Countries'!A:B,2,)&amp;IF(LEN(C102)&gt;1,"-"&amp;LOWER(SUBSTITUTE(C102," ","-")),"")&amp;"-"&amp;LOWER(SUBSTITUTE(G102," ","-"))&amp;".md","")</f>
        <v>es-avila-san-vincente.md</v>
      </c>
      <c r="BZ102" s="29" t="str">
        <f>IF(LEN(Y102)&gt;1,VLOOKUP(Y102,'Tag List'!$A:$B,2,),"")</f>
        <v>St. Vincent</v>
      </c>
      <c r="CA102" s="29" t="str">
        <f>IF(LEN(Z102)&gt;1,VLOOKUP(Z102,'Tag List'!$A:$B,2,),"")</f>
        <v>St. Sabina</v>
      </c>
      <c r="CB102" s="29" t="str">
        <f>IF(LEN(AA102)&gt;1,VLOOKUP(AA102,'Tag List'!$A:$B,2,),"")</f>
        <v>St. Cristeta</v>
      </c>
      <c r="CC102" s="29" t="str">
        <f>IF(LEN(Y102)&gt;1,GetTagPage(BZ102,Y102),"")</f>
        <v>[St. Vincent](/tags/vincent)</v>
      </c>
      <c r="CD102" s="29" t="str">
        <f>IF(LEN(Z102)&gt;1,GetTagPage(CA102,Z102),"")</f>
        <v>[St. Sabina](/tags/sabina)</v>
      </c>
      <c r="CE102" s="29" t="str">
        <f>IF(LEN(AA102)&gt;1,GetTagPage(CB102,AA102),"")</f>
        <v>[St. Cristeta](/tags/cristeta)</v>
      </c>
      <c r="CF102" s="29" t="str">
        <f t="shared" ref="CF102" si="477">"|"&amp;IF(LEN(CC102)&gt;1," "&amp;CC102,"")&amp;IF(LEN(CD102)&gt;1,", "&amp;CD102,"")&amp;IF(LEN(CE102)&gt;1,", "&amp;CE102,"")&amp;" "</f>
        <v xml:space="preserve">| [St. Vincent](/tags/vincent), [St. Sabina](/tags/sabina), [St. Cristeta](/tags/cristeta) </v>
      </c>
      <c r="CG102" s="29" t="str">
        <f t="shared" ref="CG102" si="478">"| "&amp;IF(AR102,"["&amp;AI102&amp;"](/places/"&amp;SUBSTITUTE(BY102,".md","")&amp;")",AI102)&amp;" "</f>
        <v xml:space="preserve">| [](/places/es-avila-san-vincente) </v>
      </c>
      <c r="CH102" s="29" t="str">
        <f>"| "&amp;IF(AR102,GetTagPage(B102,VLOOKUP(B102,'(Ref) Countries'!A:C,3,)),B102)&amp; " "</f>
        <v xml:space="preserve">| [Spain](/tags/spain) </v>
      </c>
      <c r="CI102" s="29" t="str">
        <f t="shared" ref="CI102" si="479">"| "&amp;AJ102&amp;" "</f>
        <v xml:space="preserve">|  </v>
      </c>
      <c r="CJ102" s="29" t="str">
        <f t="shared" ref="CJ102" si="480">"|"&amp;IF(AR102," [Link](/places/"&amp;SUBSTITUTE(BY102,".md","")&amp;")","")&amp;" "</f>
        <v xml:space="preserve">| [Link](/places/es-avila-san-vincente) </v>
      </c>
      <c r="CK102" s="29" t="str">
        <f t="shared" ref="CK102" si="481">"
"&amp;CG102&amp;CH102&amp;CI102&amp;CJ102&amp;BL102&amp;BQ102&amp;BR102&amp;BS102&amp;CF102&amp;"|"</f>
        <v xml:space="preserve">
| [](/places/es-avila-san-vincente) | [Spain](/tags/spain) |  | [Link](/places/es-avila-san-vincente) [Official site](https://basilicasanvicente.es/)| [St. Vincent](/tags/vincent), [St. Sabina](/tags/sabina), [St. Cristeta](/tags/cristeta) |</v>
      </c>
    </row>
    <row r="103" spans="1:89" ht="124.3" x14ac:dyDescent="0.4">
      <c r="A103" s="14" t="s">
        <v>1320</v>
      </c>
      <c r="B103" s="24" t="s">
        <v>552</v>
      </c>
      <c r="C103" s="15" t="s">
        <v>2262</v>
      </c>
      <c r="D103" s="15">
        <v>40.834106372070302</v>
      </c>
      <c r="E103" s="49">
        <v>-5.1301381279179701</v>
      </c>
      <c r="F103" s="24" t="s">
        <v>2263</v>
      </c>
      <c r="G103" s="53" t="s">
        <v>2264</v>
      </c>
      <c r="H103" s="15" t="s">
        <v>1827</v>
      </c>
      <c r="I103" s="15" t="b">
        <v>1</v>
      </c>
      <c r="K103" s="15" t="b">
        <v>1</v>
      </c>
      <c r="L103" s="103" t="s">
        <v>2265</v>
      </c>
      <c r="M103" s="105" t="s">
        <v>2266</v>
      </c>
      <c r="O103" s="15" t="s">
        <v>336</v>
      </c>
      <c r="R103" s="64" t="s">
        <v>336</v>
      </c>
      <c r="Y103" s="15" t="s">
        <v>2148</v>
      </c>
      <c r="Z103" s="15" t="s">
        <v>2144</v>
      </c>
      <c r="AA103" s="15" t="s">
        <v>2147</v>
      </c>
      <c r="AR103" s="28" t="b">
        <f t="shared" ref="AR103" si="482">IF(OR(A103="Done",A103="In Progress"),TRUE)</f>
        <v>1</v>
      </c>
      <c r="AS103" s="29" t="str">
        <f t="shared" ref="AS103" si="483">"title: """&amp;F103&amp;""""</f>
        <v>title: "Monastery of Duruelo"</v>
      </c>
      <c r="AT103" s="29" t="str">
        <f t="shared" ref="AT103" si="484">"location: {lat: "&amp;D103&amp;", lng: "&amp;E103&amp;"}"</f>
        <v>location: {lat: 40.8341063720703, lng: -5.13013812791797}</v>
      </c>
      <c r="AU103" s="29" t="str">
        <f t="shared" ref="AU103" si="485">"level: "&amp;H103</f>
        <v>level: local</v>
      </c>
      <c r="AV103" s="29" t="str">
        <f>"- "&amp;VLOOKUP(B103,'(Ref) Countries'!A:C,3,)</f>
        <v>- spain</v>
      </c>
      <c r="AW103" s="29" t="str">
        <f t="shared" ref="AW103" si="486">IF(LEN(C103)&gt;1,"- "&amp;LOWER(SUBSTITUTE(C103," ","-")),"")</f>
        <v>- duruelo</v>
      </c>
      <c r="AX103" s="29" t="str">
        <f t="shared" ref="AX103" si="487">IF(I103,"- churches","")</f>
        <v>- churches</v>
      </c>
      <c r="AY103" s="29" t="str">
        <f t="shared" ref="AY103" si="488">IF(J103,"- marian-sites","")</f>
        <v/>
      </c>
      <c r="AZ103" s="29" t="str">
        <f t="shared" ref="AZ103" si="489">IF(K103,"- holy-persons","")</f>
        <v>- holy-persons</v>
      </c>
      <c r="BA103" s="29" t="str">
        <f t="shared" ref="BA103" si="490">IF(LEN(Y103)&gt;0,"- "&amp;Y103,"")</f>
        <v>- teresa-avila</v>
      </c>
      <c r="BB103" s="29" t="str">
        <f t="shared" ref="BB103" si="491">IF(LEN(Z103)&gt;0,"- "&amp;Z103,"")</f>
        <v>- discalced-carmelites</v>
      </c>
      <c r="BC103" s="29" t="str">
        <f t="shared" ref="BC103" si="492">IF(LEN(AA103)&gt;0,"- "&amp;AA103,"")</f>
        <v>- john-cross</v>
      </c>
      <c r="BD103" s="29" t="str">
        <f t="shared" ref="BD103" si="493">IF(LEN(AB103)&gt;0,"- "&amp;AB103,"")</f>
        <v/>
      </c>
      <c r="BE103" s="29" t="str">
        <f t="shared" ref="BE103" si="494">IF(LEN(AC103)&gt;0,"- "&amp;AC103,"")</f>
        <v/>
      </c>
      <c r="BF103" s="29" t="str">
        <f t="shared" ref="BF103" si="495">IF(LEN(AD103)&gt;0,"- "&amp;AD103,"")</f>
        <v/>
      </c>
      <c r="BG103" s="29" t="str">
        <f t="shared" ref="BG103" si="496">IF(LEN(AE103)&gt;0,"- "&amp;AE103,"")</f>
        <v/>
      </c>
      <c r="BH103" s="29" t="str">
        <f t="shared" ref="BH103" si="497">IF(LEN(AF103)&gt;0,"- "&amp;AF103,"")</f>
        <v/>
      </c>
      <c r="BI103" s="29" t="str">
        <f t="shared" ref="BI103" si="498">IF(LEN(AG103)&gt;0,"- "&amp;AG103,"")</f>
        <v/>
      </c>
      <c r="BJ103" s="29" t="str">
        <f t="shared" ref="BJ103" si="499">IF(LEN(AH103)&gt;0,"- "&amp;AH103,"")</f>
        <v/>
      </c>
      <c r="BK103" s="29" t="str">
        <f t="shared" ref="BK103" si="500">"tags:"&amp;CHAR(10)&amp;concatl(AV103:BJ103)</f>
        <v xml:space="preserve">tags:
- spain_x000D_
- duruelo_x000D_
- churches_x000D_
- holy-persons_x000D_
- teresa-avila_x000D_
- discalced-carmelites_x000D_
- john-cross_x000D_
</v>
      </c>
      <c r="BL103" s="29" t="str">
        <f t="shared" ref="BL103" si="501">IF(LEN(N103)&gt;0,TRIM(CONCATENATE("[Official site](",N103,") ",O103)),"")</f>
        <v/>
      </c>
      <c r="BM103" s="29" t="str">
        <f t="shared" ref="BM103" si="502">IF(LEN(Q103)&gt;0,TRIM(CONCATENATE("["&amp;P103&amp;"](",Q103,") ",R103)),"")</f>
        <v/>
      </c>
      <c r="BN103" s="29" t="str">
        <f t="shared" ref="BN103" si="503">IF(LEN(T103)&gt;0,TRIM(CONCATENATE("["&amp;S103&amp;"](",T103,") ",U103)),"")</f>
        <v/>
      </c>
      <c r="BO103" s="29" t="str">
        <f t="shared" ref="BO103" si="504">IF(LEN(W103)&gt;0,TRIM(CONCATENATE("["&amp;V103&amp;"](",W103,") ",X103)),"")</f>
        <v/>
      </c>
      <c r="BP103" s="29" t="str">
        <f t="shared" ref="BP103" si="505">IF(LEN(BL103)&gt;0,"* "&amp;BL103&amp;CHAR(10),"")&amp;
IF(LEN(BM103)&gt;0,"* "&amp;BM103&amp;CHAR(10),"")&amp;
IF(LEN(BN103)&gt;0,"* "&amp;BN103&amp;CHAR(10),"")&amp;
IF(LEN(BO103)&gt;0,"* "&amp;BO103&amp;CHAR(10),"")</f>
        <v/>
      </c>
      <c r="BQ103" s="29" t="str">
        <f t="shared" ref="BQ103" si="506">IF(LEN(AK103)&gt;0,TRIM(CONCATENATE("[Link](",AK103,") ",AL103)),"")</f>
        <v/>
      </c>
      <c r="BR103" s="29" t="str">
        <f t="shared" ref="BR103" si="507">IF(LEN(AM103)&gt;0,TRIM(CONCATENATE("[Link](",AM103,") ",AN103)),"")</f>
        <v/>
      </c>
      <c r="BS103" s="29" t="str">
        <f t="shared" ref="BS103" si="508">IF(LEN(AO103)&gt;0,TRIM(CONCATENATE("[Link](",AO103,") ",AP103)),"")</f>
        <v/>
      </c>
      <c r="BT103" s="29" t="str">
        <f>IF(LEN(_xludf.concat(BQ103:BS103))&gt;0,_xludf.concat("| ",BQ103," | ",BR103," | ",BS103," |"),"")</f>
        <v/>
      </c>
      <c r="BU103" s="29" t="str">
        <f t="shared" ref="BU103" si="509">IF(J103,concatl("| The Real Presence | Miracle Hunter | MaryPages |","| --- | --- | --- |",BT103),"")</f>
        <v/>
      </c>
      <c r="BV103" s="29" t="str">
        <f>IF(LEN(BP103&amp;BU103)&gt;0,concatll("#### More Information",BP103,BU103),"")</f>
        <v/>
      </c>
      <c r="BW103" s="29" t="str">
        <f>IF(LEN(M103)&gt;1,concatll("#### Author's Note",M103),"")</f>
        <v xml:space="preserve">####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
-JMM_x000D_
_x000D_
</v>
      </c>
      <c r="BX103" s="23" t="str">
        <f>IF(AR103,concatll(concatl("---",AS103:AU103,BK103,"---"),L103,BV103:BW103),"")</f>
        <v xml:space="preserve">---_x000D_
title: "Monastery of Duruelo"_x000D_
location: {lat: 40.8341063720703, lng: -5.13013812791797}_x000D_
level: local_x000D_
tags:
- spain_x000D_
- duruelo_x000D_
- churches_x000D_
- holy-persons_x000D_
- teresa-avila_x000D_
- discalced-carmelites_x000D_
- john-cross_x000D_
_x000D_
---_x000D_
_x000D_
_x000D_
The first monastery established by St. John of the Cross and Fr. Antonio of Jesus in 1568, using a small farmhouse which had been donated to St. Teresa of Avila.  Soon the community outgrew the building, and moved to Mancera de Abajo in 1570, then Avila in 1600._x000D_
_x000D_
####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
-JMM_x000D_
_x000D_
_x000D_
_x000D_
</v>
      </c>
      <c r="BY103" s="31" t="str">
        <f>IF(AR103,VLOOKUP(B103,'(Ref) Countries'!A:B,2,)&amp;IF(LEN(C103)&gt;1,"-"&amp;LOWER(SUBSTITUTE(C103," ","-")),"")&amp;"-"&amp;LOWER(SUBSTITUTE(G103," ","-"))&amp;".md","")</f>
        <v>es-duruelo-monastery.md</v>
      </c>
      <c r="BZ103" s="29" t="str">
        <f>IF(LEN(Y103)&gt;1,VLOOKUP(Y103,'Tag List'!$A:$B,2,),"")</f>
        <v>St. Teresa of Avila, OCD</v>
      </c>
      <c r="CA103" s="29" t="str">
        <f>IF(LEN(Z103)&gt;1,VLOOKUP(Z103,'Tag List'!$A:$B,2,),"")</f>
        <v>Discalced Carmelites (Order of Discalced Carmelites)</v>
      </c>
      <c r="CB103" s="29" t="str">
        <f>IF(LEN(AA103)&gt;1,VLOOKUP(AA103,'Tag List'!$A:$B,2,),"")</f>
        <v>St. John of the Cross, OCD</v>
      </c>
      <c r="CC103" s="29" t="str">
        <f>IF(LEN(Y103)&gt;1,GetTagPage(BZ103,Y103),"")</f>
        <v>[St. Teresa of Avila, OCD](/tags/teresa-avila)</v>
      </c>
      <c r="CD103" s="29" t="str">
        <f>IF(LEN(Z103)&gt;1,GetTagPage(CA103,Z103),"")</f>
        <v>[Discalced Carmelites (Order of Discalced Carmelites)](/tags/discalced-carmelites)</v>
      </c>
      <c r="CE103" s="29" t="str">
        <f>IF(LEN(AA103)&gt;1,GetTagPage(CB103,AA103),"")</f>
        <v>[St. John of the Cross, OCD](/tags/john-cross)</v>
      </c>
      <c r="CF103" s="29" t="str">
        <f t="shared" ref="CF103" si="510">"|"&amp;IF(LEN(CC103)&gt;1," "&amp;CC103,"")&amp;IF(LEN(CD103)&gt;1,", "&amp;CD103,"")&amp;IF(LEN(CE103)&gt;1,", "&amp;CE103,"")&amp;" "</f>
        <v xml:space="preserve">| [St. Teresa of Avila, OCD](/tags/teresa-avila), [Discalced Carmelites (Order of Discalced Carmelites)](/tags/discalced-carmelites), [St. John of the Cross, OCD](/tags/john-cross) </v>
      </c>
      <c r="CG103" s="29" t="str">
        <f t="shared" ref="CG103" si="511">"| "&amp;IF(AR103,"["&amp;AI103&amp;"](/places/"&amp;SUBSTITUTE(BY103,".md","")&amp;")",AI103)&amp;" "</f>
        <v xml:space="preserve">| [](/places/es-duruelo-monastery) </v>
      </c>
      <c r="CH103" s="29" t="str">
        <f>"| "&amp;IF(AR103,GetTagPage(B103,VLOOKUP(B103,'(Ref) Countries'!A:C,3,)),B103)&amp; " "</f>
        <v xml:space="preserve">| [Spain](/tags/spain) </v>
      </c>
      <c r="CI103" s="29" t="str">
        <f t="shared" ref="CI103" si="512">"| "&amp;AJ103&amp;" "</f>
        <v xml:space="preserve">|  </v>
      </c>
      <c r="CJ103" s="29" t="str">
        <f t="shared" ref="CJ103" si="513">"|"&amp;IF(AR103," [Link](/places/"&amp;SUBSTITUTE(BY103,".md","")&amp;")","")&amp;" "</f>
        <v xml:space="preserve">| [Link](/places/es-duruelo-monastery) </v>
      </c>
      <c r="CK103" s="29" t="str">
        <f t="shared" ref="CK103" si="514">"
"&amp;CG103&amp;CH103&amp;CI103&amp;CJ103&amp;BL103&amp;BQ103&amp;BR103&amp;BS103&amp;CF103&amp;"|"</f>
        <v xml:space="preserve">
| [](/places/es-duruelo-monastery) | [Spain](/tags/spain) |  | [Link](/places/es-duruelo-monastery) | [St. Teresa of Avila, OCD](/tags/teresa-avila), [Discalced Carmelites (Order of Discalced Carmelites)](/tags/discalced-carmelites), [St. John of the Cross, OCD](/tags/john-cross) |</v>
      </c>
    </row>
    <row r="104" spans="1:89" ht="62.15" x14ac:dyDescent="0.4">
      <c r="A104" s="14" t="s">
        <v>1320</v>
      </c>
      <c r="B104" s="24" t="s">
        <v>552</v>
      </c>
      <c r="C104" s="104" t="s">
        <v>2192</v>
      </c>
      <c r="D104" s="15">
        <v>40.955391357159002</v>
      </c>
      <c r="E104" s="49">
        <v>-4.1334718632315699</v>
      </c>
      <c r="F104" s="103" t="s">
        <v>2267</v>
      </c>
      <c r="G104" s="105" t="s">
        <v>2268</v>
      </c>
      <c r="H104" s="104" t="s">
        <v>1760</v>
      </c>
      <c r="I104" s="15" t="b">
        <v>1</v>
      </c>
      <c r="K104" s="15" t="b">
        <v>1</v>
      </c>
      <c r="L104" s="103" t="s">
        <v>2269</v>
      </c>
      <c r="N104" s="15" t="s">
        <v>2270</v>
      </c>
      <c r="O104" s="15" t="s">
        <v>336</v>
      </c>
      <c r="R104" s="64" t="s">
        <v>336</v>
      </c>
      <c r="Y104" s="15" t="s">
        <v>2148</v>
      </c>
      <c r="Z104" s="15" t="s">
        <v>2144</v>
      </c>
      <c r="AA104" s="15" t="s">
        <v>2147</v>
      </c>
      <c r="AR104" s="28" t="b">
        <f t="shared" ref="AR104" si="515">IF(OR(A104="Done",A104="In Progress"),TRUE)</f>
        <v>1</v>
      </c>
      <c r="AS104" s="29" t="str">
        <f t="shared" ref="AS104" si="516">"title: """&amp;F104&amp;""""</f>
        <v>title: "Convent of St. John of the Cross (Convento de San Juan de la Cruz)"</v>
      </c>
      <c r="AT104" s="29" t="str">
        <f t="shared" ref="AT104" si="517">"location: {lat: "&amp;D104&amp;", lng: "&amp;E104&amp;"}"</f>
        <v>location: {lat: 40.955391357159, lng: -4.13347186323157}</v>
      </c>
      <c r="AU104" s="29" t="str">
        <f t="shared" ref="AU104" si="518">"level: "&amp;H104</f>
        <v>level: regional</v>
      </c>
      <c r="AV104" s="29" t="str">
        <f>"- "&amp;VLOOKUP(B104,'(Ref) Countries'!A:C,3,)</f>
        <v>- spain</v>
      </c>
      <c r="AW104" s="29" t="str">
        <f t="shared" ref="AW104" si="519">IF(LEN(C104)&gt;1,"- "&amp;LOWER(SUBSTITUTE(C104," ","-")),"")</f>
        <v>- segovia</v>
      </c>
      <c r="AX104" s="29" t="str">
        <f t="shared" ref="AX104" si="520">IF(I104,"- churches","")</f>
        <v>- churches</v>
      </c>
      <c r="AY104" s="29" t="str">
        <f t="shared" ref="AY104" si="521">IF(J104,"- marian-sites","")</f>
        <v/>
      </c>
      <c r="AZ104" s="29" t="str">
        <f t="shared" ref="AZ104" si="522">IF(K104,"- holy-persons","")</f>
        <v>- holy-persons</v>
      </c>
      <c r="BA104" s="29" t="str">
        <f t="shared" ref="BA104" si="523">IF(LEN(Y104)&gt;0,"- "&amp;Y104,"")</f>
        <v>- teresa-avila</v>
      </c>
      <c r="BB104" s="29" t="str">
        <f t="shared" ref="BB104" si="524">IF(LEN(Z104)&gt;0,"- "&amp;Z104,"")</f>
        <v>- discalced-carmelites</v>
      </c>
      <c r="BC104" s="29" t="str">
        <f t="shared" ref="BC104" si="525">IF(LEN(AA104)&gt;0,"- "&amp;AA104,"")</f>
        <v>- john-cross</v>
      </c>
      <c r="BD104" s="29" t="str">
        <f t="shared" ref="BD104" si="526">IF(LEN(AB104)&gt;0,"- "&amp;AB104,"")</f>
        <v/>
      </c>
      <c r="BE104" s="29" t="str">
        <f t="shared" ref="BE104" si="527">IF(LEN(AC104)&gt;0,"- "&amp;AC104,"")</f>
        <v/>
      </c>
      <c r="BF104" s="29" t="str">
        <f t="shared" ref="BF104" si="528">IF(LEN(AD104)&gt;0,"- "&amp;AD104,"")</f>
        <v/>
      </c>
      <c r="BG104" s="29" t="str">
        <f t="shared" ref="BG104" si="529">IF(LEN(AE104)&gt;0,"- "&amp;AE104,"")</f>
        <v/>
      </c>
      <c r="BH104" s="29" t="str">
        <f t="shared" ref="BH104" si="530">IF(LEN(AF104)&gt;0,"- "&amp;AF104,"")</f>
        <v/>
      </c>
      <c r="BI104" s="29" t="str">
        <f t="shared" ref="BI104" si="531">IF(LEN(AG104)&gt;0,"- "&amp;AG104,"")</f>
        <v/>
      </c>
      <c r="BJ104" s="29" t="str">
        <f t="shared" ref="BJ104" si="532">IF(LEN(AH104)&gt;0,"- "&amp;AH104,"")</f>
        <v/>
      </c>
      <c r="BK104" s="29" t="str">
        <f t="shared" ref="BK104" si="533">"tags:"&amp;CHAR(10)&amp;concatl(AV104:BJ104)</f>
        <v xml:space="preserve">tags:
- spain_x000D_
- segovia_x000D_
- churches_x000D_
- holy-persons_x000D_
- teresa-avila_x000D_
- discalced-carmelites_x000D_
- john-cross_x000D_
</v>
      </c>
      <c r="BL104" s="29" t="str">
        <f t="shared" ref="BL104" si="534">IF(LEN(N104)&gt;0,TRIM(CONCATENATE("[Official site](",N104,") ",O104)),"")</f>
        <v>[Official site](https://sanjuandelacruzsegovia.com/)</v>
      </c>
      <c r="BM104" s="29" t="str">
        <f t="shared" ref="BM104" si="535">IF(LEN(Q104)&gt;0,TRIM(CONCATENATE("["&amp;P104&amp;"](",Q104,") ",R104)),"")</f>
        <v/>
      </c>
      <c r="BN104" s="29" t="str">
        <f t="shared" ref="BN104" si="536">IF(LEN(T104)&gt;0,TRIM(CONCATENATE("["&amp;S104&amp;"](",T104,") ",U104)),"")</f>
        <v/>
      </c>
      <c r="BO104" s="29" t="str">
        <f t="shared" ref="BO104" si="537">IF(LEN(W104)&gt;0,TRIM(CONCATENATE("["&amp;V104&amp;"](",W104,") ",X104)),"")</f>
        <v/>
      </c>
      <c r="BP104" s="29" t="str">
        <f t="shared" ref="BP104" si="538">IF(LEN(BL104)&gt;0,"* "&amp;BL104&amp;CHAR(10),"")&amp;
IF(LEN(BM104)&gt;0,"* "&amp;BM104&amp;CHAR(10),"")&amp;
IF(LEN(BN104)&gt;0,"* "&amp;BN104&amp;CHAR(10),"")&amp;
IF(LEN(BO104)&gt;0,"* "&amp;BO104&amp;CHAR(10),"")</f>
        <v xml:space="preserve">* [Official site](https://sanjuandelacruzsegovia.com/)
</v>
      </c>
      <c r="BQ104" s="29" t="str">
        <f t="shared" ref="BQ104" si="539">IF(LEN(AK104)&gt;0,TRIM(CONCATENATE("[Link](",AK104,") ",AL104)),"")</f>
        <v/>
      </c>
      <c r="BR104" s="29" t="str">
        <f t="shared" ref="BR104" si="540">IF(LEN(AM104)&gt;0,TRIM(CONCATENATE("[Link](",AM104,") ",AN104)),"")</f>
        <v/>
      </c>
      <c r="BS104" s="29" t="str">
        <f t="shared" ref="BS104" si="541">IF(LEN(AO104)&gt;0,TRIM(CONCATENATE("[Link](",AO104,") ",AP104)),"")</f>
        <v/>
      </c>
      <c r="BT104" s="29" t="str">
        <f>IF(LEN(_xludf.concat(BQ104:BS104))&gt;0,_xludf.concat("| ",BQ104," | ",BR104," | ",BS104," |"),"")</f>
        <v/>
      </c>
      <c r="BU104" s="29" t="str">
        <f t="shared" ref="BU104" si="542">IF(J104,concatl("| The Real Presence | Miracle Hunter | MaryPages |","| --- | --- | --- |",BT104),"")</f>
        <v/>
      </c>
      <c r="BV104" s="29" t="str">
        <f>IF(LEN(BP104&amp;BU104)&gt;0,concatll("#### More Information",BP104,BU104),"")</f>
        <v xml:space="preserve">#### More Information_x000D_
_x000D_
* [Official site](https://sanjuandelacruzsegovia.com/)
_x000D_
_x000D_
</v>
      </c>
      <c r="BW104" s="29" t="str">
        <f>IF(LEN(M104)&gt;1,concatll("#### Author's Note",M104),"")</f>
        <v/>
      </c>
      <c r="BX104" s="23" t="str">
        <f>IF(AR104,concatll(concatl("---",AS104:AU104,BK104,"---"),L104,BV104:BW104),"")</f>
        <v xml:space="preserve">---_x000D_
title: "Convent of St. John of the Cross (Convento de San Juan de la Cruz)"_x000D_
location: {lat: 40.955391357159, lng: -4.13347186323157}_x000D_
level: regional_x000D_
tags:
- spain_x000D_
- segovia_x000D_
- churches_x000D_
- holy-persons_x000D_
- teresa-avila_x000D_
- discalced-carmelites_x000D_
- john-cross_x000D_
_x000D_
---_x000D_
_x000D_
_x000D_
St. John of the Cross founded the convent in 1588 and led the community as prior until 1591.  His head and body are located in a side chapel.
Although no longer an active monastery, the site serves as a sanctuary for spiritual exercises.  Pope St. John Paul II visited the site in 1982._x000D_
_x000D_
#### More Information_x000D_
_x000D_
* [Official site](https://sanjuandelacruzsegovia.com/)
_x000D_
_x000D_
_x000D_
_x000D_
</v>
      </c>
      <c r="BY104" s="31" t="str">
        <f>IF(AR104,VLOOKUP(B104,'(Ref) Countries'!A:B,2,)&amp;IF(LEN(C104)&gt;1,"-"&amp;LOWER(SUBSTITUTE(C104," ","-")),"")&amp;"-"&amp;LOWER(SUBSTITUTE(G104," ","-"))&amp;".md","")</f>
        <v>es-segovia-convento-de-san-juan-de-la-cruz.md</v>
      </c>
      <c r="BZ104" s="29" t="str">
        <f>IF(LEN(Y104)&gt;1,VLOOKUP(Y104,'Tag List'!$A:$B,2,),"")</f>
        <v>St. Teresa of Avila, OCD</v>
      </c>
      <c r="CA104" s="29" t="str">
        <f>IF(LEN(Z104)&gt;1,VLOOKUP(Z104,'Tag List'!$A:$B,2,),"")</f>
        <v>Discalced Carmelites (Order of Discalced Carmelites)</v>
      </c>
      <c r="CB104" s="29" t="str">
        <f>IF(LEN(AA104)&gt;1,VLOOKUP(AA104,'Tag List'!$A:$B,2,),"")</f>
        <v>St. John of the Cross, OCD</v>
      </c>
      <c r="CC104" s="29" t="str">
        <f>IF(LEN(Y104)&gt;1,GetTagPage(BZ104,Y104),"")</f>
        <v>[St. Teresa of Avila, OCD](/tags/teresa-avila)</v>
      </c>
      <c r="CD104" s="29" t="str">
        <f>IF(LEN(Z104)&gt;1,GetTagPage(CA104,Z104),"")</f>
        <v>[Discalced Carmelites (Order of Discalced Carmelites)](/tags/discalced-carmelites)</v>
      </c>
      <c r="CE104" s="29" t="str">
        <f>IF(LEN(AA104)&gt;1,GetTagPage(CB104,AA104),"")</f>
        <v>[St. John of the Cross, OCD](/tags/john-cross)</v>
      </c>
      <c r="CF104" s="29" t="str">
        <f t="shared" ref="CF104" si="543">"|"&amp;IF(LEN(CC104)&gt;1," "&amp;CC104,"")&amp;IF(LEN(CD104)&gt;1,", "&amp;CD104,"")&amp;IF(LEN(CE104)&gt;1,", "&amp;CE104,"")&amp;" "</f>
        <v xml:space="preserve">| [St. Teresa of Avila, OCD](/tags/teresa-avila), [Discalced Carmelites (Order of Discalced Carmelites)](/tags/discalced-carmelites), [St. John of the Cross, OCD](/tags/john-cross) </v>
      </c>
      <c r="CG104" s="29" t="str">
        <f t="shared" ref="CG104" si="544">"| "&amp;IF(AR104,"["&amp;AI104&amp;"](/places/"&amp;SUBSTITUTE(BY104,".md","")&amp;")",AI104)&amp;" "</f>
        <v xml:space="preserve">| [](/places/es-segovia-convento-de-san-juan-de-la-cruz) </v>
      </c>
      <c r="CH104" s="29" t="str">
        <f>"| "&amp;IF(AR104,GetTagPage(B104,VLOOKUP(B104,'(Ref) Countries'!A:C,3,)),B104)&amp; " "</f>
        <v xml:space="preserve">| [Spain](/tags/spain) </v>
      </c>
      <c r="CI104" s="29" t="str">
        <f t="shared" ref="CI104" si="545">"| "&amp;AJ104&amp;" "</f>
        <v xml:space="preserve">|  </v>
      </c>
      <c r="CJ104" s="29" t="str">
        <f t="shared" ref="CJ104" si="546">"|"&amp;IF(AR104," [Link](/places/"&amp;SUBSTITUTE(BY104,".md","")&amp;")","")&amp;" "</f>
        <v xml:space="preserve">| [Link](/places/es-segovia-convento-de-san-juan-de-la-cruz) </v>
      </c>
      <c r="CK104" s="29" t="str">
        <f t="shared" ref="CK104" si="547">"
"&amp;CG104&amp;CH104&amp;CI104&amp;CJ104&amp;BL104&amp;BQ104&amp;BR104&amp;BS104&amp;CF104&amp;"|"</f>
        <v xml:space="preserve">
| [](/places/es-segovia-convento-de-san-juan-de-la-cruz) | [Spain](/tags/spain) |  | [Link](/places/es-segovia-convento-de-san-juan-de-la-cruz) [Official site](https://sanjuandelacruzsegovia.com/)| [St. Teresa of Avila, OCD](/tags/teresa-avila), [Discalced Carmelites (Order of Discalced Carmelites)](/tags/discalced-carmelites), [St. John of the Cross, OCD](/tags/john-cross) |</v>
      </c>
    </row>
    <row r="105" spans="1:89" ht="24.9" x14ac:dyDescent="0.4">
      <c r="A105" s="14" t="s">
        <v>1320</v>
      </c>
      <c r="B105" s="24" t="s">
        <v>552</v>
      </c>
      <c r="C105" s="104" t="s">
        <v>2271</v>
      </c>
      <c r="D105" s="15">
        <v>38.009716453448398</v>
      </c>
      <c r="E105" s="49">
        <v>-3.36573704226182</v>
      </c>
      <c r="F105" s="103" t="s">
        <v>2272</v>
      </c>
      <c r="G105" s="105" t="s">
        <v>2273</v>
      </c>
      <c r="H105" s="15" t="s">
        <v>1760</v>
      </c>
      <c r="I105" s="15" t="b">
        <v>1</v>
      </c>
      <c r="K105" s="15" t="b">
        <v>1</v>
      </c>
      <c r="L105" s="103" t="s">
        <v>2274</v>
      </c>
      <c r="N105" s="15" t="s">
        <v>2275</v>
      </c>
      <c r="O105" s="15" t="s">
        <v>336</v>
      </c>
      <c r="R105" s="64" t="s">
        <v>336</v>
      </c>
      <c r="Y105" s="15" t="s">
        <v>2147</v>
      </c>
      <c r="Z105" s="15" t="s">
        <v>2144</v>
      </c>
      <c r="AR105" s="28" t="b">
        <f t="shared" ref="AR105" si="548">IF(OR(A105="Done",A105="In Progress"),TRUE)</f>
        <v>1</v>
      </c>
      <c r="AS105" s="29" t="str">
        <f t="shared" ref="AS105" si="549">"title: """&amp;F105&amp;""""</f>
        <v>title: "Oratory of St. John of the Cross (Oratorio de San Juan de la Cruz)"</v>
      </c>
      <c r="AT105" s="29" t="str">
        <f t="shared" ref="AT105" si="550">"location: {lat: "&amp;D105&amp;", lng: "&amp;E105&amp;"}"</f>
        <v>location: {lat: 38.0097164534484, lng: -3.36573704226182}</v>
      </c>
      <c r="AU105" s="29" t="str">
        <f t="shared" ref="AU105" si="551">"level: "&amp;H105</f>
        <v>level: regional</v>
      </c>
      <c r="AV105" s="29" t="str">
        <f>"- "&amp;VLOOKUP(B105,'(Ref) Countries'!A:C,3,)</f>
        <v>- spain</v>
      </c>
      <c r="AW105" s="29" t="str">
        <f t="shared" ref="AW105" si="552">IF(LEN(C105)&gt;1,"- "&amp;LOWER(SUBSTITUTE(C105," ","-")),"")</f>
        <v>- ubeda</v>
      </c>
      <c r="AX105" s="29" t="str">
        <f t="shared" ref="AX105" si="553">IF(I105,"- churches","")</f>
        <v>- churches</v>
      </c>
      <c r="AY105" s="29" t="str">
        <f t="shared" ref="AY105" si="554">IF(J105,"- marian-sites","")</f>
        <v/>
      </c>
      <c r="AZ105" s="29" t="str">
        <f t="shared" ref="AZ105" si="555">IF(K105,"- holy-persons","")</f>
        <v>- holy-persons</v>
      </c>
      <c r="BA105" s="29" t="str">
        <f t="shared" ref="BA105" si="556">IF(LEN(Y105)&gt;0,"- "&amp;Y105,"")</f>
        <v>- john-cross</v>
      </c>
      <c r="BB105" s="29" t="str">
        <f t="shared" ref="BB105" si="557">IF(LEN(Z105)&gt;0,"- "&amp;Z105,"")</f>
        <v>- discalced-carmelites</v>
      </c>
      <c r="BC105" s="29" t="str">
        <f t="shared" ref="BC105" si="558">IF(LEN(AA105)&gt;0,"- "&amp;AA105,"")</f>
        <v/>
      </c>
      <c r="BD105" s="29" t="str">
        <f t="shared" ref="BD105" si="559">IF(LEN(AB105)&gt;0,"- "&amp;AB105,"")</f>
        <v/>
      </c>
      <c r="BE105" s="29" t="str">
        <f t="shared" ref="BE105" si="560">IF(LEN(AC105)&gt;0,"- "&amp;AC105,"")</f>
        <v/>
      </c>
      <c r="BF105" s="29" t="str">
        <f t="shared" ref="BF105" si="561">IF(LEN(AD105)&gt;0,"- "&amp;AD105,"")</f>
        <v/>
      </c>
      <c r="BG105" s="29" t="str">
        <f t="shared" ref="BG105" si="562">IF(LEN(AE105)&gt;0,"- "&amp;AE105,"")</f>
        <v/>
      </c>
      <c r="BH105" s="29" t="str">
        <f t="shared" ref="BH105" si="563">IF(LEN(AF105)&gt;0,"- "&amp;AF105,"")</f>
        <v/>
      </c>
      <c r="BI105" s="29" t="str">
        <f t="shared" ref="BI105" si="564">IF(LEN(AG105)&gt;0,"- "&amp;AG105,"")</f>
        <v/>
      </c>
      <c r="BJ105" s="29" t="str">
        <f t="shared" ref="BJ105" si="565">IF(LEN(AH105)&gt;0,"- "&amp;AH105,"")</f>
        <v/>
      </c>
      <c r="BK105" s="29" t="str">
        <f t="shared" ref="BK105" si="566">"tags:"&amp;CHAR(10)&amp;concatl(AV105:BJ105)</f>
        <v xml:space="preserve">tags:
- spain_x000D_
- ubeda_x000D_
- churches_x000D_
- holy-persons_x000D_
- john-cross_x000D_
- discalced-carmelites_x000D_
</v>
      </c>
      <c r="BL105" s="29" t="str">
        <f t="shared" ref="BL105" si="567">IF(LEN(N105)&gt;0,TRIM(CONCATENATE("[Official site](",N105,") ",O105)),"")</f>
        <v>[Official site](https://www.sanjuandelacruzubeda.com/)</v>
      </c>
      <c r="BM105" s="29" t="str">
        <f t="shared" ref="BM105" si="568">IF(LEN(Q105)&gt;0,TRIM(CONCATENATE("["&amp;P105&amp;"](",Q105,") ",R105)),"")</f>
        <v/>
      </c>
      <c r="BN105" s="29" t="str">
        <f t="shared" ref="BN105" si="569">IF(LEN(T105)&gt;0,TRIM(CONCATENATE("["&amp;S105&amp;"](",T105,") ",U105)),"")</f>
        <v/>
      </c>
      <c r="BO105" s="29" t="str">
        <f t="shared" ref="BO105" si="570">IF(LEN(W105)&gt;0,TRIM(CONCATENATE("["&amp;V105&amp;"](",W105,") ",X105)),"")</f>
        <v/>
      </c>
      <c r="BP105" s="29" t="str">
        <f t="shared" ref="BP105" si="571">IF(LEN(BL105)&gt;0,"* "&amp;BL105&amp;CHAR(10),"")&amp;
IF(LEN(BM105)&gt;0,"* "&amp;BM105&amp;CHAR(10),"")&amp;
IF(LEN(BN105)&gt;0,"* "&amp;BN105&amp;CHAR(10),"")&amp;
IF(LEN(BO105)&gt;0,"* "&amp;BO105&amp;CHAR(10),"")</f>
        <v xml:space="preserve">* [Official site](https://www.sanjuandelacruzubeda.com/)
</v>
      </c>
      <c r="BQ105" s="29" t="str">
        <f t="shared" ref="BQ105" si="572">IF(LEN(AK105)&gt;0,TRIM(CONCATENATE("[Link](",AK105,") ",AL105)),"")</f>
        <v/>
      </c>
      <c r="BR105" s="29" t="str">
        <f t="shared" ref="BR105" si="573">IF(LEN(AM105)&gt;0,TRIM(CONCATENATE("[Link](",AM105,") ",AN105)),"")</f>
        <v/>
      </c>
      <c r="BS105" s="29" t="str">
        <f t="shared" ref="BS105" si="574">IF(LEN(AO105)&gt;0,TRIM(CONCATENATE("[Link](",AO105,") ",AP105)),"")</f>
        <v/>
      </c>
      <c r="BT105" s="29" t="str">
        <f>IF(LEN(_xludf.concat(BQ105:BS105))&gt;0,_xludf.concat("| ",BQ105," | ",BR105," | ",BS105," |"),"")</f>
        <v/>
      </c>
      <c r="BU105" s="29" t="str">
        <f t="shared" ref="BU105" si="575">IF(J105,concatl("| The Real Presence | Miracle Hunter | MaryPages |","| --- | --- | --- |",BT105),"")</f>
        <v/>
      </c>
      <c r="BV105" s="29" t="str">
        <f>IF(LEN(BP105&amp;BU105)&gt;0,concatll("#### More Information",BP105,BU105),"")</f>
        <v xml:space="preserve">#### More Information_x000D_
_x000D_
* [Official site](https://www.sanjuandelacruzubeda.com/)
_x000D_
_x000D_
</v>
      </c>
      <c r="BW105" s="29" t="str">
        <f>IF(LEN(M105)&gt;1,concatll("#### Author's Note",M105),"")</f>
        <v/>
      </c>
      <c r="BX105" s="23" t="str">
        <f>IF(AR105,concatll(concatl("---",AS105:AU105,BK105,"---"),L105,BV105:BW105),"")</f>
        <v xml:space="preserve">---_x000D_
title: "Oratory of St. John of the Cross (Oratorio de San Juan de la Cruz)"_x000D_
location: {lat: 38.0097164534484, lng: -3.36573704226182}_x000D_
level: regional_x000D_
tags:
- spain_x000D_
- ubeda_x000D_
- churches_x000D_
- holy-persons_x000D_
- john-cross_x000D_
- discalced-carmelites_x000D_
_x000D_
---_x000D_
_x000D_
_x000D_
In 1591, St. John of the Cross died here, the site of a former monastery.  Today, there is a chapel housing his relics (a hand and leg) and a museum related to his life._x000D_
_x000D_
#### More Information_x000D_
_x000D_
* [Official site](https://www.sanjuandelacruzubeda.com/)
_x000D_
_x000D_
_x000D_
_x000D_
</v>
      </c>
      <c r="BY105" s="31" t="str">
        <f>IF(AR105,VLOOKUP(B105,'(Ref) Countries'!A:B,2,)&amp;IF(LEN(C105)&gt;1,"-"&amp;LOWER(SUBSTITUTE(C105," ","-")),"")&amp;"-"&amp;LOWER(SUBSTITUTE(G105," ","-"))&amp;".md","")</f>
        <v>es-ubeda-oratorio-de-san-juan-de-la-cruz.md</v>
      </c>
      <c r="BZ105" s="29" t="str">
        <f>IF(LEN(Y105)&gt;1,VLOOKUP(Y105,'Tag List'!$A:$B,2,),"")</f>
        <v>St. John of the Cross, OCD</v>
      </c>
      <c r="CA105" s="29" t="str">
        <f>IF(LEN(Z105)&gt;1,VLOOKUP(Z105,'Tag List'!$A:$B,2,),"")</f>
        <v>Discalced Carmelites (Order of Discalced Carmelites)</v>
      </c>
      <c r="CB105" s="29" t="str">
        <f>IF(LEN(AA105)&gt;1,VLOOKUP(AA105,'Tag List'!$A:$B,2,),"")</f>
        <v/>
      </c>
      <c r="CC105" s="29" t="str">
        <f>IF(LEN(Y105)&gt;1,GetTagPage(BZ105,Y105),"")</f>
        <v>[St. John of the Cross, OCD](/tags/john-cross)</v>
      </c>
      <c r="CD105" s="29" t="str">
        <f>IF(LEN(Z105)&gt;1,GetTagPage(CA105,Z105),"")</f>
        <v>[Discalced Carmelites (Order of Discalced Carmelites)](/tags/discalced-carmelites)</v>
      </c>
      <c r="CE105" s="29" t="str">
        <f>IF(LEN(AA105)&gt;1,GetTagPage(CB105,AA105),"")</f>
        <v/>
      </c>
      <c r="CF105" s="29" t="str">
        <f t="shared" ref="CF105" si="576">"|"&amp;IF(LEN(CC105)&gt;1," "&amp;CC105,"")&amp;IF(LEN(CD105)&gt;1,", "&amp;CD105,"")&amp;IF(LEN(CE105)&gt;1,", "&amp;CE105,"")&amp;" "</f>
        <v xml:space="preserve">| [St. John of the Cross, OCD](/tags/john-cross), [Discalced Carmelites (Order of Discalced Carmelites)](/tags/discalced-carmelites) </v>
      </c>
      <c r="CG105" s="29" t="str">
        <f t="shared" ref="CG105" si="577">"| "&amp;IF(AR105,"["&amp;AI105&amp;"](/places/"&amp;SUBSTITUTE(BY105,".md","")&amp;")",AI105)&amp;" "</f>
        <v xml:space="preserve">| [](/places/es-ubeda-oratorio-de-san-juan-de-la-cruz) </v>
      </c>
      <c r="CH105" s="29" t="str">
        <f>"| "&amp;IF(AR105,GetTagPage(B105,VLOOKUP(B105,'(Ref) Countries'!A:C,3,)),B105)&amp; " "</f>
        <v xml:space="preserve">| [Spain](/tags/spain) </v>
      </c>
      <c r="CI105" s="29" t="str">
        <f t="shared" ref="CI105" si="578">"| "&amp;AJ105&amp;" "</f>
        <v xml:space="preserve">|  </v>
      </c>
      <c r="CJ105" s="29" t="str">
        <f t="shared" ref="CJ105" si="579">"|"&amp;IF(AR105," [Link](/places/"&amp;SUBSTITUTE(BY105,".md","")&amp;")","")&amp;" "</f>
        <v xml:space="preserve">| [Link](/places/es-ubeda-oratorio-de-san-juan-de-la-cruz) </v>
      </c>
      <c r="CK105" s="29" t="str">
        <f t="shared" ref="CK105" si="580">"
"&amp;CG105&amp;CH105&amp;CI105&amp;CJ105&amp;BL105&amp;BQ105&amp;BR105&amp;BS105&amp;CF105&amp;"|"</f>
        <v xml:space="preserve">
| [](/places/es-ubeda-oratorio-de-san-juan-de-la-cruz) | [Spain](/tags/spain) |  | [Link](/places/es-ubeda-oratorio-de-san-juan-de-la-cruz) [Official site](https://www.sanjuandelacruzubeda.com/)| [St. John of the Cross, OCD](/tags/john-cross), [Discalced Carmelites (Order of Discalced Carmelites)](/tags/discalced-carmelites) |</v>
      </c>
    </row>
    <row r="106" spans="1:89" ht="37.299999999999997" x14ac:dyDescent="0.4">
      <c r="A106" s="14" t="s">
        <v>1320</v>
      </c>
      <c r="B106" s="24" t="s">
        <v>552</v>
      </c>
      <c r="C106" s="104" t="s">
        <v>2276</v>
      </c>
      <c r="D106" s="15">
        <v>40.931787066841601</v>
      </c>
      <c r="E106" s="49">
        <v>-4.9646371</v>
      </c>
      <c r="F106" s="103" t="s">
        <v>2277</v>
      </c>
      <c r="G106" s="105" t="s">
        <v>2278</v>
      </c>
      <c r="H106" s="104" t="s">
        <v>1827</v>
      </c>
      <c r="I106" s="15" t="b">
        <v>1</v>
      </c>
      <c r="K106" s="15" t="b">
        <v>1</v>
      </c>
      <c r="L106" s="103" t="s">
        <v>2279</v>
      </c>
      <c r="O106" s="15" t="s">
        <v>336</v>
      </c>
      <c r="P106" s="108" t="s">
        <v>2257</v>
      </c>
      <c r="Q106" s="15" t="s">
        <v>2280</v>
      </c>
      <c r="R106" s="64" t="s">
        <v>336</v>
      </c>
      <c r="Y106" s="15" t="s">
        <v>2147</v>
      </c>
      <c r="Z106" s="15" t="s">
        <v>2144</v>
      </c>
      <c r="AR106" s="28" t="b">
        <f t="shared" ref="AR106" si="581">IF(OR(A106="Done",A106="In Progress"),TRUE)</f>
        <v>1</v>
      </c>
      <c r="AS106" s="29" t="str">
        <f t="shared" ref="AS106" si="582">"title: """&amp;F106&amp;""""</f>
        <v>title: "Church of the Birthplace of St. John of the Cross (Iglesia Casa Natal de San Juan de la Cruz)"</v>
      </c>
      <c r="AT106" s="29" t="str">
        <f t="shared" ref="AT106" si="583">"location: {lat: "&amp;D106&amp;", lng: "&amp;E106&amp;"}"</f>
        <v>location: {lat: 40.9317870668416, lng: -4.9646371}</v>
      </c>
      <c r="AU106" s="29" t="str">
        <f t="shared" ref="AU106" si="584">"level: "&amp;H106</f>
        <v>level: local</v>
      </c>
      <c r="AV106" s="29" t="str">
        <f>"- "&amp;VLOOKUP(B106,'(Ref) Countries'!A:C,3,)</f>
        <v>- spain</v>
      </c>
      <c r="AW106" s="29" t="str">
        <f t="shared" ref="AW106" si="585">IF(LEN(C106)&gt;1,"- "&amp;LOWER(SUBSTITUTE(C106," ","-")),"")</f>
        <v>- fontiveros</v>
      </c>
      <c r="AX106" s="29" t="str">
        <f t="shared" ref="AX106" si="586">IF(I106,"- churches","")</f>
        <v>- churches</v>
      </c>
      <c r="AY106" s="29" t="str">
        <f t="shared" ref="AY106" si="587">IF(J106,"- marian-sites","")</f>
        <v/>
      </c>
      <c r="AZ106" s="29" t="str">
        <f t="shared" ref="AZ106" si="588">IF(K106,"- holy-persons","")</f>
        <v>- holy-persons</v>
      </c>
      <c r="BA106" s="29" t="str">
        <f t="shared" ref="BA106" si="589">IF(LEN(Y106)&gt;0,"- "&amp;Y106,"")</f>
        <v>- john-cross</v>
      </c>
      <c r="BB106" s="29" t="str">
        <f t="shared" ref="BB106" si="590">IF(LEN(Z106)&gt;0,"- "&amp;Z106,"")</f>
        <v>- discalced-carmelites</v>
      </c>
      <c r="BC106" s="29" t="str">
        <f t="shared" ref="BC106" si="591">IF(LEN(AA106)&gt;0,"- "&amp;AA106,"")</f>
        <v/>
      </c>
      <c r="BD106" s="29" t="str">
        <f t="shared" ref="BD106" si="592">IF(LEN(AB106)&gt;0,"- "&amp;AB106,"")</f>
        <v/>
      </c>
      <c r="BE106" s="29" t="str">
        <f t="shared" ref="BE106" si="593">IF(LEN(AC106)&gt;0,"- "&amp;AC106,"")</f>
        <v/>
      </c>
      <c r="BF106" s="29" t="str">
        <f t="shared" ref="BF106" si="594">IF(LEN(AD106)&gt;0,"- "&amp;AD106,"")</f>
        <v/>
      </c>
      <c r="BG106" s="29" t="str">
        <f t="shared" ref="BG106" si="595">IF(LEN(AE106)&gt;0,"- "&amp;AE106,"")</f>
        <v/>
      </c>
      <c r="BH106" s="29" t="str">
        <f t="shared" ref="BH106" si="596">IF(LEN(AF106)&gt;0,"- "&amp;AF106,"")</f>
        <v/>
      </c>
      <c r="BI106" s="29" t="str">
        <f t="shared" ref="BI106" si="597">IF(LEN(AG106)&gt;0,"- "&amp;AG106,"")</f>
        <v/>
      </c>
      <c r="BJ106" s="29" t="str">
        <f t="shared" ref="BJ106" si="598">IF(LEN(AH106)&gt;0,"- "&amp;AH106,"")</f>
        <v/>
      </c>
      <c r="BK106" s="29" t="str">
        <f t="shared" ref="BK106" si="599">"tags:"&amp;CHAR(10)&amp;concatl(AV106:BJ106)</f>
        <v xml:space="preserve">tags:
- spain_x000D_
- fontiveros_x000D_
- churches_x000D_
- holy-persons_x000D_
- john-cross_x000D_
- discalced-carmelites_x000D_
</v>
      </c>
      <c r="BL106" s="29" t="str">
        <f t="shared" ref="BL106" si="600">IF(LEN(N106)&gt;0,TRIM(CONCATENATE("[Official site](",N106,") ",O106)),"")</f>
        <v/>
      </c>
      <c r="BM106" s="29" t="str">
        <f t="shared" ref="BM106" si="601">IF(LEN(Q106)&gt;0,TRIM(CONCATENATE("["&amp;P106&amp;"](",Q106,") ",R106)),"")</f>
        <v>[Castila y Leon tourism site](https://www.turismocastillayleon.com/en/art-culture-heritage/monuments/churches-chapels/church-san-juan-de-la-cruz-house-natal)</v>
      </c>
      <c r="BN106" s="29" t="str">
        <f t="shared" ref="BN106" si="602">IF(LEN(T106)&gt;0,TRIM(CONCATENATE("["&amp;S106&amp;"](",T106,") ",U106)),"")</f>
        <v/>
      </c>
      <c r="BO106" s="29" t="str">
        <f t="shared" ref="BO106" si="603">IF(LEN(W106)&gt;0,TRIM(CONCATENATE("["&amp;V106&amp;"](",W106,") ",X106)),"")</f>
        <v/>
      </c>
      <c r="BP106" s="29" t="str">
        <f t="shared" ref="BP106" si="604">IF(LEN(BL106)&gt;0,"* "&amp;BL106&amp;CHAR(10),"")&amp;
IF(LEN(BM106)&gt;0,"* "&amp;BM106&amp;CHAR(10),"")&amp;
IF(LEN(BN106)&gt;0,"* "&amp;BN106&amp;CHAR(10),"")&amp;
IF(LEN(BO106)&gt;0,"* "&amp;BO106&amp;CHAR(10),"")</f>
        <v xml:space="preserve">* [Castila y Leon tourism site](https://www.turismocastillayleon.com/en/art-culture-heritage/monuments/churches-chapels/church-san-juan-de-la-cruz-house-natal)
</v>
      </c>
      <c r="BQ106" s="29" t="str">
        <f t="shared" ref="BQ106" si="605">IF(LEN(AK106)&gt;0,TRIM(CONCATENATE("[Link](",AK106,") ",AL106)),"")</f>
        <v/>
      </c>
      <c r="BR106" s="29" t="str">
        <f t="shared" ref="BR106" si="606">IF(LEN(AM106)&gt;0,TRIM(CONCATENATE("[Link](",AM106,") ",AN106)),"")</f>
        <v/>
      </c>
      <c r="BS106" s="29" t="str">
        <f t="shared" ref="BS106" si="607">IF(LEN(AO106)&gt;0,TRIM(CONCATENATE("[Link](",AO106,") ",AP106)),"")</f>
        <v/>
      </c>
      <c r="BT106" s="29" t="str">
        <f>IF(LEN(_xludf.concat(BQ106:BS106))&gt;0,_xludf.concat("| ",BQ106," | ",BR106," | ",BS106," |"),"")</f>
        <v/>
      </c>
      <c r="BU106" s="29" t="str">
        <f t="shared" ref="BU106" si="608">IF(J106,concatl("| The Real Presence | Miracle Hunter | MaryPages |","| --- | --- | --- |",BT106),"")</f>
        <v/>
      </c>
      <c r="BV106" s="29" t="str">
        <f>IF(LEN(BP106&amp;BU106)&gt;0,concatll("#### More Information",BP106,BU106),"")</f>
        <v xml:space="preserve">#### More Information_x000D_
_x000D_
* [Castila y Leon tourism site](https://www.turismocastillayleon.com/en/art-culture-heritage/monuments/churches-chapels/church-san-juan-de-la-cruz-house-natal)
_x000D_
_x000D_
</v>
      </c>
      <c r="BW106" s="29" t="str">
        <f>IF(LEN(M106)&gt;1,concatll("#### Author's Note",M106),"")</f>
        <v/>
      </c>
      <c r="BX106" s="23" t="str">
        <f>IF(AR106,concatll(concatl("---",AS106:AU106,BK106,"---"),L106,BV106:BW106),"")</f>
        <v xml:space="preserve">---_x000D_
title: "Church of the Birthplace of St. John of the Cross (Iglesia Casa Natal de San Juan de la Cruz)"_x000D_
location: {lat: 40.9317870668416, lng: -4.9646371}_x000D_
level: local_x000D_
tags:
- spain_x000D_
- fontiveros_x000D_
- churches_x000D_
- holy-persons_x000D_
- john-cross_x000D_
- discalced-carmelites_x000D_
_x000D_
---_x000D_
_x000D_
_x000D_
Church in the town of St. John of the Cross's birth_x000D_
_x000D_
#### More Information_x000D_
_x000D_
* [Castila y Leon tourism site](https://www.turismocastillayleon.com/en/art-culture-heritage/monuments/churches-chapels/church-san-juan-de-la-cruz-house-natal)
_x000D_
_x000D_
_x000D_
_x000D_
</v>
      </c>
      <c r="BY106" s="31" t="str">
        <f>IF(AR106,VLOOKUP(B106,'(Ref) Countries'!A:B,2,)&amp;IF(LEN(C106)&gt;1,"-"&amp;LOWER(SUBSTITUTE(C106," ","-")),"")&amp;"-"&amp;LOWER(SUBSTITUTE(G106," ","-"))&amp;".md","")</f>
        <v>es-fontiveros-iglesia-casa-natal-de-san-juan-de-la-cruz.md</v>
      </c>
      <c r="BZ106" s="29" t="str">
        <f>IF(LEN(Y106)&gt;1,VLOOKUP(Y106,'Tag List'!$A:$B,2,),"")</f>
        <v>St. John of the Cross, OCD</v>
      </c>
      <c r="CA106" s="29" t="str">
        <f>IF(LEN(Z106)&gt;1,VLOOKUP(Z106,'Tag List'!$A:$B,2,),"")</f>
        <v>Discalced Carmelites (Order of Discalced Carmelites)</v>
      </c>
      <c r="CB106" s="29" t="str">
        <f>IF(LEN(AA106)&gt;1,VLOOKUP(AA106,'Tag List'!$A:$B,2,),"")</f>
        <v/>
      </c>
      <c r="CC106" s="29" t="str">
        <f>IF(LEN(Y106)&gt;1,GetTagPage(BZ106,Y106),"")</f>
        <v>[St. John of the Cross, OCD](/tags/john-cross)</v>
      </c>
      <c r="CD106" s="29" t="str">
        <f>IF(LEN(Z106)&gt;1,GetTagPage(CA106,Z106),"")</f>
        <v>[Discalced Carmelites (Order of Discalced Carmelites)](/tags/discalced-carmelites)</v>
      </c>
      <c r="CE106" s="29" t="str">
        <f>IF(LEN(AA106)&gt;1,GetTagPage(CB106,AA106),"")</f>
        <v/>
      </c>
      <c r="CF106" s="29" t="str">
        <f t="shared" ref="CF106" si="609">"|"&amp;IF(LEN(CC106)&gt;1," "&amp;CC106,"")&amp;IF(LEN(CD106)&gt;1,", "&amp;CD106,"")&amp;IF(LEN(CE106)&gt;1,", "&amp;CE106,"")&amp;" "</f>
        <v xml:space="preserve">| [St. John of the Cross, OCD](/tags/john-cross), [Discalced Carmelites (Order of Discalced Carmelites)](/tags/discalced-carmelites) </v>
      </c>
      <c r="CG106" s="29" t="str">
        <f t="shared" ref="CG106" si="610">"| "&amp;IF(AR106,"["&amp;AI106&amp;"](/places/"&amp;SUBSTITUTE(BY106,".md","")&amp;")",AI106)&amp;" "</f>
        <v xml:space="preserve">| [](/places/es-fontiveros-iglesia-casa-natal-de-san-juan-de-la-cruz) </v>
      </c>
      <c r="CH106" s="29" t="str">
        <f>"| "&amp;IF(AR106,GetTagPage(B106,VLOOKUP(B106,'(Ref) Countries'!A:C,3,)),B106)&amp; " "</f>
        <v xml:space="preserve">| [Spain](/tags/spain) </v>
      </c>
      <c r="CI106" s="29" t="str">
        <f t="shared" ref="CI106" si="611">"| "&amp;AJ106&amp;" "</f>
        <v xml:space="preserve">|  </v>
      </c>
      <c r="CJ106" s="29" t="str">
        <f t="shared" ref="CJ106" si="612">"|"&amp;IF(AR106," [Link](/places/"&amp;SUBSTITUTE(BY106,".md","")&amp;")","")&amp;" "</f>
        <v xml:space="preserve">| [Link](/places/es-fontiveros-iglesia-casa-natal-de-san-juan-de-la-cruz) </v>
      </c>
      <c r="CK106" s="29" t="str">
        <f t="shared" ref="CK106" si="613">"
"&amp;CG106&amp;CH106&amp;CI106&amp;CJ106&amp;BL106&amp;BQ106&amp;BR106&amp;BS106&amp;CF106&amp;"|"</f>
        <v xml:space="preserve">
| [](/places/es-fontiveros-iglesia-casa-natal-de-san-juan-de-la-cruz) | [Spain](/tags/spain) |  | [Link](/places/es-fontiveros-iglesia-casa-natal-de-san-juan-de-la-cruz) | [St. John of the Cross, OCD](/tags/john-cross), [Discalced Carmelites (Order of Discalced Carmelites)](/tags/discalced-carmelites) |</v>
      </c>
    </row>
    <row r="107" spans="1:89" ht="124.3" x14ac:dyDescent="0.4">
      <c r="A107" s="14" t="s">
        <v>1049</v>
      </c>
      <c r="B107" s="24" t="s">
        <v>552</v>
      </c>
      <c r="C107" s="112" t="s">
        <v>2284</v>
      </c>
      <c r="D107" s="15">
        <v>42.8806093820127</v>
      </c>
      <c r="E107" s="49">
        <v>-8.5443954000000009</v>
      </c>
      <c r="F107" s="113" t="s">
        <v>2286</v>
      </c>
      <c r="G107" s="114" t="s">
        <v>2287</v>
      </c>
      <c r="H107" s="112" t="s">
        <v>1715</v>
      </c>
      <c r="I107" s="15" t="b">
        <v>1</v>
      </c>
      <c r="K107" s="15" t="b">
        <v>1</v>
      </c>
      <c r="L107" s="131" t="s">
        <v>2493</v>
      </c>
      <c r="N107" s="15" t="s">
        <v>2285</v>
      </c>
      <c r="O107" s="15" t="s">
        <v>336</v>
      </c>
      <c r="R107" s="64" t="s">
        <v>336</v>
      </c>
      <c r="Y107" s="112" t="s">
        <v>1035</v>
      </c>
      <c r="Z107" s="112" t="s">
        <v>2133</v>
      </c>
      <c r="AA107" s="112" t="s">
        <v>2288</v>
      </c>
      <c r="AB107" s="127" t="s">
        <v>2474</v>
      </c>
      <c r="AR107" s="28" t="b">
        <f t="shared" ref="AR107" si="614">IF(OR(A107="Done",A107="In Progress"),TRUE)</f>
        <v>1</v>
      </c>
      <c r="AS107" s="29" t="str">
        <f t="shared" ref="AS107" si="615">"title: """&amp;F107&amp;""""</f>
        <v>title: "Metropolitan Archcathedral Basilica of Santiago de Compostela (Catedral de Santiago)"</v>
      </c>
      <c r="AT107" s="29" t="str">
        <f t="shared" ref="AT107" si="616">"location: {lat: "&amp;D107&amp;", lng: "&amp;E107&amp;"}"</f>
        <v>location: {lat: 42.8806093820127, lng: -8.5443954}</v>
      </c>
      <c r="AU107" s="29" t="str">
        <f t="shared" ref="AU107" si="617">"level: "&amp;H107</f>
        <v>level: global</v>
      </c>
      <c r="AV107" s="29" t="str">
        <f>"- "&amp;VLOOKUP(B107,'(Ref) Countries'!A:C,3,)</f>
        <v>- spain</v>
      </c>
      <c r="AW107" s="29" t="str">
        <f t="shared" ref="AW107" si="618">IF(LEN(C107)&gt;1,"- "&amp;LOWER(SUBSTITUTE(C107," ","-")),"")</f>
        <v>- santiago-de-compostela</v>
      </c>
      <c r="AX107" s="29" t="str">
        <f t="shared" ref="AX107" si="619">IF(I107,"- churches","")</f>
        <v>- churches</v>
      </c>
      <c r="AY107" s="29" t="str">
        <f t="shared" ref="AY107" si="620">IF(J107,"- marian-sites","")</f>
        <v/>
      </c>
      <c r="AZ107" s="29" t="str">
        <f t="shared" ref="AZ107" si="621">IF(K107,"- holy-persons","")</f>
        <v>- holy-persons</v>
      </c>
      <c r="BA107" s="29" t="str">
        <f t="shared" ref="BA107" si="622">IF(LEN(Y107)&gt;0,"- "&amp;Y107,"")</f>
        <v>- james-greater</v>
      </c>
      <c r="BB107" s="29" t="str">
        <f t="shared" ref="BB107" si="623">IF(LEN(Z107)&gt;0,"- "&amp;Z107,"")</f>
        <v>- camino</v>
      </c>
      <c r="BC107" s="29" t="str">
        <f t="shared" ref="BC107" si="624">IF(LEN(AA107)&gt;0,"- "&amp;AA107,"")</f>
        <v>- pelagius</v>
      </c>
      <c r="BD107" s="29" t="str">
        <f t="shared" ref="BD107" si="625">IF(LEN(AB107)&gt;0,"- "&amp;AB107,"")</f>
        <v>- apostles</v>
      </c>
      <c r="BE107" s="29" t="str">
        <f t="shared" ref="BE107" si="626">IF(LEN(AC107)&gt;0,"- "&amp;AC107,"")</f>
        <v/>
      </c>
      <c r="BF107" s="29" t="str">
        <f t="shared" ref="BF107" si="627">IF(LEN(AD107)&gt;0,"- "&amp;AD107,"")</f>
        <v/>
      </c>
      <c r="BG107" s="29" t="str">
        <f t="shared" ref="BG107" si="628">IF(LEN(AE107)&gt;0,"- "&amp;AE107,"")</f>
        <v/>
      </c>
      <c r="BH107" s="29" t="str">
        <f t="shared" ref="BH107" si="629">IF(LEN(AF107)&gt;0,"- "&amp;AF107,"")</f>
        <v/>
      </c>
      <c r="BI107" s="29" t="str">
        <f t="shared" ref="BI107" si="630">IF(LEN(AG107)&gt;0,"- "&amp;AG107,"")</f>
        <v/>
      </c>
      <c r="BJ107" s="29" t="str">
        <f t="shared" ref="BJ107" si="631">IF(LEN(AH107)&gt;0,"- "&amp;AH107,"")</f>
        <v/>
      </c>
      <c r="BK107" s="29" t="str">
        <f t="shared" ref="BK107" si="632">"tags:"&amp;CHAR(10)&amp;concatl(AV107:BJ107)</f>
        <v xml:space="preserve">tags:
- spain_x000D_
- santiago-de-compostela_x000D_
- churches_x000D_
- holy-persons_x000D_
- james-greater_x000D_
- camino_x000D_
- pelagius_x000D_
- apostles_x000D_
</v>
      </c>
      <c r="BL107" s="29" t="str">
        <f t="shared" ref="BL107" si="633">IF(LEN(N107)&gt;0,TRIM(CONCATENATE("[Official site](",N107,") ",O107)),"")</f>
        <v>[Official site](http://catedraldesantiago.es/)</v>
      </c>
      <c r="BM107" s="29" t="str">
        <f t="shared" ref="BM107" si="634">IF(LEN(Q107)&gt;0,TRIM(CONCATENATE("["&amp;P107&amp;"](",Q107,") ",R107)),"")</f>
        <v/>
      </c>
      <c r="BN107" s="29" t="str">
        <f t="shared" ref="BN107" si="635">IF(LEN(T107)&gt;0,TRIM(CONCATENATE("["&amp;S107&amp;"](",T107,") ",U107)),"")</f>
        <v/>
      </c>
      <c r="BO107" s="29" t="str">
        <f t="shared" ref="BO107" si="636">IF(LEN(W107)&gt;0,TRIM(CONCATENATE("["&amp;V107&amp;"](",W107,") ",X107)),"")</f>
        <v/>
      </c>
      <c r="BP107" s="29" t="str">
        <f t="shared" ref="BP107" si="637">IF(LEN(BL107)&gt;0,"* "&amp;BL107&amp;CHAR(10),"")&amp;
IF(LEN(BM107)&gt;0,"* "&amp;BM107&amp;CHAR(10),"")&amp;
IF(LEN(BN107)&gt;0,"* "&amp;BN107&amp;CHAR(10),"")&amp;
IF(LEN(BO107)&gt;0,"* "&amp;BO107&amp;CHAR(10),"")</f>
        <v xml:space="preserve">* [Official site](http://catedraldesantiago.es/)
</v>
      </c>
      <c r="BQ107" s="29" t="str">
        <f t="shared" ref="BQ107" si="638">IF(LEN(AK107)&gt;0,TRIM(CONCATENATE("[Link](",AK107,") ",AL107)),"")</f>
        <v/>
      </c>
      <c r="BR107" s="29" t="str">
        <f t="shared" ref="BR107" si="639">IF(LEN(AM107)&gt;0,TRIM(CONCATENATE("[Link](",AM107,") ",AN107)),"")</f>
        <v/>
      </c>
      <c r="BS107" s="29" t="str">
        <f t="shared" ref="BS107" si="640">IF(LEN(AO107)&gt;0,TRIM(CONCATENATE("[Link](",AO107,") ",AP107)),"")</f>
        <v/>
      </c>
      <c r="BT107" s="29" t="str">
        <f>IF(LEN(_xludf.concat(BQ107:BS107))&gt;0,_xludf.concat("| ",BQ107," | ",BR107," | ",BS107," |"),"")</f>
        <v/>
      </c>
      <c r="BU107" s="29" t="str">
        <f t="shared" ref="BU107" si="641">IF(J107,concatl("| The Real Presence | Miracle Hunter | MaryPages |","| --- | --- | --- |",BT107),"")</f>
        <v/>
      </c>
      <c r="BV107" s="29" t="str">
        <f>IF(LEN(BP107&amp;BU107)&gt;0,concatll("#### More Information",BP107,BU107),"")</f>
        <v xml:space="preserve">#### More Information_x000D_
_x000D_
* [Official site](http://catedraldesantiago.es/)
_x000D_
_x000D_
</v>
      </c>
      <c r="BW107" s="29" t="str">
        <f>IF(LEN(M107)&gt;1,concatll("#### Author's Note",M107),"")</f>
        <v/>
      </c>
      <c r="BX107" s="23" t="str">
        <f>IF(AR107,concatll(concatl("---",AS107:AU107,BK107,"---"),L107,BV107:BW107),"")</f>
        <v xml:space="preserve">---_x000D_
title: "Metropolitan Archcathedral Basilica of Santiago de Compostela (Catedral de Santiago)"_x000D_
location: {lat: 42.8806093820127, lng: -8.5443954}_x000D_
level: global_x000D_
tags:
- spain_x000D_
- santiago-de-compostela_x000D_
- churches_x000D_
- holy-persons_x000D_
- james-greater_x000D_
- camino_x000D_
- pelagius_x000D_
- apostles_x000D_
_x000D_
---_x000D_
_x000D_
_x000D_
This cathedral is the reputed burial place of Saint James the Great, one of the twelve apostles.  According to tradition, his tomb was rediscovered in 814 AD by St. Pelagius the Hermit.  The church is one of only four thought to have been built over the tomb of an apostle, alongside [St. Peter's Basilica in Vatican City](/places/va-st-peter), [the Basilica St. John](/places/tr-ephesus-basilica-of-st-john) in Turkey, and St. Thomas Cathedral Basilica in India.
One of the most famous pilgrimage destinations in the world, it lies at the end of the Camino de Santiago, or Way of St. James.  Today the church is the centerpiece of the larger Santiago de Compostela UNESCO World Heritage Site._x000D_
_x000D_
#### More Information_x000D_
_x000D_
* [Official site](http://catedraldesantiago.es/)
_x000D_
_x000D_
_x000D_
_x000D_
</v>
      </c>
      <c r="BY107" s="31" t="str">
        <f>IF(AR107,VLOOKUP(B107,'(Ref) Countries'!A:B,2,)&amp;IF(LEN(C107)&gt;1,"-"&amp;LOWER(SUBSTITUTE(C107," ","-")),"")&amp;"-"&amp;LOWER(SUBSTITUTE(G107," ","-"))&amp;".md","")</f>
        <v>es-santiago-de-compostela-catedral-de-santiago.md</v>
      </c>
      <c r="BZ107" s="29" t="str">
        <f>IF(LEN(Y107)&gt;1,VLOOKUP(Y107,'Tag List'!$A:$B,2,),"")</f>
        <v>St. James the Greater</v>
      </c>
      <c r="CA107" s="29" t="str">
        <f>IF(LEN(Z107)&gt;1,VLOOKUP(Z107,'Tag List'!$A:$B,2,),"")</f>
        <v>Camino de Santiago</v>
      </c>
      <c r="CB107" s="29" t="str">
        <f>IF(LEN(AA107)&gt;1,VLOOKUP(AA107,'Tag List'!$A:$B,2,),"")</f>
        <v>St. Pelagius the Hermit</v>
      </c>
      <c r="CC107" s="29" t="str">
        <f>IF(LEN(Y107)&gt;1,GetTagPage(BZ107,Y107),"")</f>
        <v>[St. James the Greater](/tags/james-greater)</v>
      </c>
      <c r="CD107" s="29" t="str">
        <f>IF(LEN(Z107)&gt;1,GetTagPage(CA107,Z107),"")</f>
        <v>[Camino de Santiago](/tags/camino)</v>
      </c>
      <c r="CE107" s="29" t="str">
        <f>IF(LEN(AA107)&gt;1,GetTagPage(CB107,AA107),"")</f>
        <v>[St. Pelagius the Hermit](/tags/pelagius)</v>
      </c>
      <c r="CF107" s="29" t="str">
        <f t="shared" ref="CF107" si="642">"|"&amp;IF(LEN(CC107)&gt;1," "&amp;CC107,"")&amp;IF(LEN(CD107)&gt;1,", "&amp;CD107,"")&amp;IF(LEN(CE107)&gt;1,", "&amp;CE107,"")&amp;" "</f>
        <v xml:space="preserve">| [St. James the Greater](/tags/james-greater), [Camino de Santiago](/tags/camino), [St. Pelagius the Hermit](/tags/pelagius) </v>
      </c>
      <c r="CG107" s="29" t="str">
        <f t="shared" ref="CG107" si="643">"| "&amp;IF(AR107,"["&amp;AI107&amp;"](/places/"&amp;SUBSTITUTE(BY107,".md","")&amp;")",AI107)&amp;" "</f>
        <v xml:space="preserve">| [](/places/es-santiago-de-compostela-catedral-de-santiago) </v>
      </c>
      <c r="CH107" s="29" t="str">
        <f>"| "&amp;IF(AR107,GetTagPage(B107,VLOOKUP(B107,'(Ref) Countries'!A:C,3,)),B107)&amp; " "</f>
        <v xml:space="preserve">| [Spain](/tags/spain) </v>
      </c>
      <c r="CI107" s="29" t="str">
        <f t="shared" ref="CI107" si="644">"| "&amp;AJ107&amp;" "</f>
        <v xml:space="preserve">|  </v>
      </c>
      <c r="CJ107" s="29" t="str">
        <f t="shared" ref="CJ107" si="645">"|"&amp;IF(AR107," [Link](/places/"&amp;SUBSTITUTE(BY107,".md","")&amp;")","")&amp;" "</f>
        <v xml:space="preserve">| [Link](/places/es-santiago-de-compostela-catedral-de-santiago) </v>
      </c>
      <c r="CK107" s="29" t="str">
        <f t="shared" ref="CK107" si="646">"
"&amp;CG107&amp;CH107&amp;CI107&amp;CJ107&amp;BL107&amp;BQ107&amp;BR107&amp;BS107&amp;CF107&amp;"|"</f>
        <v xml:space="preserve">
| [](/places/es-santiago-de-compostela-catedral-de-santiago) | [Spain](/tags/spain) |  | [Link](/places/es-santiago-de-compostela-catedral-de-santiago) [Official site](http://catedraldesantiago.es/)| [St. James the Greater](/tags/james-greater), [Camino de Santiago](/tags/camino), [St. Pelagius the Hermit](/tags/pelagius) |</v>
      </c>
    </row>
    <row r="108" spans="1:89" ht="161.6" x14ac:dyDescent="0.4">
      <c r="A108" s="14" t="s">
        <v>1320</v>
      </c>
      <c r="B108" s="118" t="s">
        <v>735</v>
      </c>
      <c r="C108" s="119" t="s">
        <v>2299</v>
      </c>
      <c r="D108" s="15">
        <v>51.5133260560522</v>
      </c>
      <c r="E108" s="49">
        <v>-0.16038145235162099</v>
      </c>
      <c r="F108" s="118" t="s">
        <v>2298</v>
      </c>
      <c r="G108" s="53" t="s">
        <v>2298</v>
      </c>
      <c r="H108" s="119" t="s">
        <v>1760</v>
      </c>
      <c r="K108" s="15" t="b">
        <v>1</v>
      </c>
      <c r="L108" s="118" t="s">
        <v>2302</v>
      </c>
      <c r="O108" s="15" t="s">
        <v>336</v>
      </c>
      <c r="R108" s="64" t="s">
        <v>336</v>
      </c>
      <c r="Y108" s="119" t="s">
        <v>2300</v>
      </c>
      <c r="AR108" s="28" t="b">
        <f t="shared" ref="AR108" si="647">IF(OR(A108="Done",A108="In Progress"),TRUE)</f>
        <v>1</v>
      </c>
      <c r="AS108" s="29" t="str">
        <f t="shared" ref="AS108" si="648">"title: """&amp;F108&amp;""""</f>
        <v>title: "Site of Tyburn Tree"</v>
      </c>
      <c r="AT108" s="29" t="str">
        <f t="shared" ref="AT108" si="649">"location: {lat: "&amp;D108&amp;", lng: "&amp;E108&amp;"}"</f>
        <v>location: {lat: 51.5133260560522, lng: -0.160381452351621}</v>
      </c>
      <c r="AU108" s="29" t="str">
        <f t="shared" ref="AU108" si="650">"level: "&amp;H108</f>
        <v>level: regional</v>
      </c>
      <c r="AV108" s="29" t="str">
        <f>"- "&amp;VLOOKUP(B108,'(Ref) Countries'!A:C,3,)</f>
        <v>- uk</v>
      </c>
      <c r="AW108" s="29" t="str">
        <f t="shared" ref="AW108" si="651">IF(LEN(C108)&gt;1,"- "&amp;LOWER(SUBSTITUTE(C108," ","-")),"")</f>
        <v>- westminster</v>
      </c>
      <c r="AX108" s="29" t="str">
        <f t="shared" ref="AX108" si="652">IF(I108,"- churches","")</f>
        <v/>
      </c>
      <c r="AY108" s="29" t="str">
        <f t="shared" ref="AY108" si="653">IF(J108,"- marian-sites","")</f>
        <v/>
      </c>
      <c r="AZ108" s="29" t="str">
        <f t="shared" ref="AZ108" si="654">IF(K108,"- holy-persons","")</f>
        <v>- holy-persons</v>
      </c>
      <c r="BA108" s="29" t="str">
        <f t="shared" ref="BA108" si="655">IF(LEN(Y108)&gt;0,"- "&amp;Y108,"")</f>
        <v>- english-martyrs</v>
      </c>
      <c r="BB108" s="29" t="str">
        <f t="shared" ref="BB108" si="656">IF(LEN(Z108)&gt;0,"- "&amp;Z108,"")</f>
        <v/>
      </c>
      <c r="BC108" s="29" t="str">
        <f t="shared" ref="BC108" si="657">IF(LEN(AA108)&gt;0,"- "&amp;AA108,"")</f>
        <v/>
      </c>
      <c r="BD108" s="29" t="str">
        <f t="shared" ref="BD108" si="658">IF(LEN(AB108)&gt;0,"- "&amp;AB108,"")</f>
        <v/>
      </c>
      <c r="BE108" s="29" t="str">
        <f t="shared" ref="BE108" si="659">IF(LEN(AC108)&gt;0,"- "&amp;AC108,"")</f>
        <v/>
      </c>
      <c r="BF108" s="29" t="str">
        <f t="shared" ref="BF108" si="660">IF(LEN(AD108)&gt;0,"- "&amp;AD108,"")</f>
        <v/>
      </c>
      <c r="BG108" s="29" t="str">
        <f t="shared" ref="BG108" si="661">IF(LEN(AE108)&gt;0,"- "&amp;AE108,"")</f>
        <v/>
      </c>
      <c r="BH108" s="29" t="str">
        <f t="shared" ref="BH108" si="662">IF(LEN(AF108)&gt;0,"- "&amp;AF108,"")</f>
        <v/>
      </c>
      <c r="BI108" s="29" t="str">
        <f t="shared" ref="BI108" si="663">IF(LEN(AG108)&gt;0,"- "&amp;AG108,"")</f>
        <v/>
      </c>
      <c r="BJ108" s="29" t="str">
        <f t="shared" ref="BJ108" si="664">IF(LEN(AH108)&gt;0,"- "&amp;AH108,"")</f>
        <v/>
      </c>
      <c r="BK108" s="29" t="str">
        <f t="shared" ref="BK108" si="665">"tags:"&amp;CHAR(10)&amp;concatl(AV108:BJ108)</f>
        <v xml:space="preserve">tags:
- uk_x000D_
- westminster_x000D_
- holy-persons_x000D_
- english-martyrs_x000D_
</v>
      </c>
      <c r="BL108" s="29" t="str">
        <f t="shared" ref="BL108" si="666">IF(LEN(N108)&gt;0,TRIM(CONCATENATE("[Official site](",N108,") ",O108)),"")</f>
        <v/>
      </c>
      <c r="BM108" s="29" t="str">
        <f t="shared" ref="BM108" si="667">IF(LEN(Q108)&gt;0,TRIM(CONCATENATE("["&amp;P108&amp;"](",Q108,") ",R108)),"")</f>
        <v/>
      </c>
      <c r="BN108" s="29" t="str">
        <f t="shared" ref="BN108" si="668">IF(LEN(T108)&gt;0,TRIM(CONCATENATE("["&amp;S108&amp;"](",T108,") ",U108)),"")</f>
        <v/>
      </c>
      <c r="BO108" s="29" t="str">
        <f t="shared" ref="BO108" si="669">IF(LEN(W108)&gt;0,TRIM(CONCATENATE("["&amp;V108&amp;"](",W108,") ",X108)),"")</f>
        <v/>
      </c>
      <c r="BP108" s="29" t="str">
        <f t="shared" ref="BP108" si="670">IF(LEN(BL108)&gt;0,"* "&amp;BL108&amp;CHAR(10),"")&amp;
IF(LEN(BM108)&gt;0,"* "&amp;BM108&amp;CHAR(10),"")&amp;
IF(LEN(BN108)&gt;0,"* "&amp;BN108&amp;CHAR(10),"")&amp;
IF(LEN(BO108)&gt;0,"* "&amp;BO108&amp;CHAR(10),"")</f>
        <v/>
      </c>
      <c r="BQ108" s="29" t="str">
        <f t="shared" ref="BQ108" si="671">IF(LEN(AK108)&gt;0,TRIM(CONCATENATE("[Link](",AK108,") ",AL108)),"")</f>
        <v/>
      </c>
      <c r="BR108" s="29" t="str">
        <f t="shared" ref="BR108" si="672">IF(LEN(AM108)&gt;0,TRIM(CONCATENATE("[Link](",AM108,") ",AN108)),"")</f>
        <v/>
      </c>
      <c r="BS108" s="29" t="str">
        <f t="shared" ref="BS108" si="673">IF(LEN(AO108)&gt;0,TRIM(CONCATENATE("[Link](",AO108,") ",AP108)),"")</f>
        <v/>
      </c>
      <c r="BT108" s="29" t="str">
        <f>IF(LEN(_xludf.concat(BQ108:BS108))&gt;0,_xludf.concat("| ",BQ108," | ",BR108," | ",BS108," |"),"")</f>
        <v/>
      </c>
      <c r="BU108" s="29" t="str">
        <f t="shared" ref="BU108" si="674">IF(J108,concatl("| The Real Presence | Miracle Hunter | MaryPages |","| --- | --- | --- |",BT108),"")</f>
        <v/>
      </c>
      <c r="BV108" s="29" t="str">
        <f>IF(LEN(BP108&amp;BU108)&gt;0,concatll("#### More Information",BP108,BU108),"")</f>
        <v/>
      </c>
      <c r="BW108" s="29" t="str">
        <f>IF(LEN(M108)&gt;1,concatll("#### Author's Note",M108),"")</f>
        <v/>
      </c>
      <c r="BX108" s="23" t="str">
        <f>IF(AR108,concatll(concatl("---",AS108:AU108,BK108,"---"),L108,BV108:BW108),"")</f>
        <v xml:space="preserve">---_x000D_
title: "Site of Tyburn Tree"_x000D_
location: {lat: 51.5133260560522, lng: -0.160381452351621}_x000D_
level: regional_x000D_
tags:
- uk_x000D_
- westminster_x000D_
- holy-persons_x000D_
- english-martyrs_x000D_
_x000D_
---_x000D_
_x000D_
_x000D_
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Convent._x000D_
_x000D_
</v>
      </c>
      <c r="BY108" s="31" t="str">
        <f>IF(AR108,VLOOKUP(B108,'(Ref) Countries'!A:B,2,)&amp;IF(LEN(C108)&gt;1,"-"&amp;LOWER(SUBSTITUTE(C108," ","-")),"")&amp;"-"&amp;LOWER(SUBSTITUTE(G108," ","-"))&amp;".md","")</f>
        <v>gb-westminster-site-of-tyburn-tree.md</v>
      </c>
      <c r="BZ108" s="29" t="str">
        <f>IF(LEN(Y108)&gt;1,VLOOKUP(Y108,'Tag List'!$A:$B,2,),"")</f>
        <v>English Martyrs</v>
      </c>
      <c r="CA108" s="29" t="str">
        <f>IF(LEN(Z108)&gt;1,VLOOKUP(Z108,'Tag List'!$A:$B,2,),"")</f>
        <v/>
      </c>
      <c r="CB108" s="29" t="str">
        <f>IF(LEN(AA108)&gt;1,VLOOKUP(AA108,'Tag List'!$A:$B,2,),"")</f>
        <v/>
      </c>
      <c r="CC108" s="29" t="str">
        <f>IF(LEN(Y108)&gt;1,GetTagPage(BZ108,Y108),"")</f>
        <v>[English Martyrs](/tags/english-martyrs)</v>
      </c>
      <c r="CD108" s="29" t="str">
        <f>IF(LEN(Z108)&gt;1,GetTagPage(CA108,Z108),"")</f>
        <v/>
      </c>
      <c r="CE108" s="29" t="str">
        <f>IF(LEN(AA108)&gt;1,GetTagPage(CB108,AA108),"")</f>
        <v/>
      </c>
      <c r="CF108" s="29" t="str">
        <f t="shared" ref="CF108" si="675">"|"&amp;IF(LEN(CC108)&gt;1," "&amp;CC108,"")&amp;IF(LEN(CD108)&gt;1,", "&amp;CD108,"")&amp;IF(LEN(CE108)&gt;1,", "&amp;CE108,"")&amp;" "</f>
        <v xml:space="preserve">| [English Martyrs](/tags/english-martyrs) </v>
      </c>
      <c r="CG108" s="29" t="str">
        <f t="shared" ref="CG108" si="676">"| "&amp;IF(AR108,"["&amp;AI108&amp;"](/places/"&amp;SUBSTITUTE(BY108,".md","")&amp;")",AI108)&amp;" "</f>
        <v xml:space="preserve">| [](/places/gb-westminster-site-of-tyburn-tree) </v>
      </c>
      <c r="CH108" s="29" t="str">
        <f>"| "&amp;IF(AR108,GetTagPage(B108,VLOOKUP(B108,'(Ref) Countries'!A:C,3,)),B108)&amp; " "</f>
        <v xml:space="preserve">| [United Kingdom](/tags/uk) </v>
      </c>
      <c r="CI108" s="29" t="str">
        <f t="shared" ref="CI108" si="677">"| "&amp;AJ108&amp;" "</f>
        <v xml:space="preserve">|  </v>
      </c>
      <c r="CJ108" s="29" t="str">
        <f t="shared" ref="CJ108" si="678">"|"&amp;IF(AR108," [Link](/places/"&amp;SUBSTITUTE(BY108,".md","")&amp;")","")&amp;" "</f>
        <v xml:space="preserve">| [Link](/places/gb-westminster-site-of-tyburn-tree) </v>
      </c>
      <c r="CK108" s="29" t="str">
        <f t="shared" ref="CK108" si="679">"
"&amp;CG108&amp;CH108&amp;CI108&amp;CJ108&amp;BL108&amp;BQ108&amp;BR108&amp;BS108&amp;CF108&amp;"|"</f>
        <v xml:space="preserve">
| [](/places/gb-westminster-site-of-tyburn-tree) | [United Kingdom](/tags/uk) |  | [Link](/places/gb-westminster-site-of-tyburn-tree) | [English Martyrs](/tags/english-martyrs) |</v>
      </c>
    </row>
    <row r="109" spans="1:89" ht="24.9" x14ac:dyDescent="0.4">
      <c r="A109" s="14" t="s">
        <v>1320</v>
      </c>
      <c r="B109" s="118" t="s">
        <v>1912</v>
      </c>
      <c r="C109" s="15" t="s">
        <v>2323</v>
      </c>
      <c r="D109" s="15">
        <v>32.784454414036396</v>
      </c>
      <c r="E109" s="49">
        <v>-117.106379960395</v>
      </c>
      <c r="F109" s="24" t="s">
        <v>2303</v>
      </c>
      <c r="G109" s="121" t="s">
        <v>2344</v>
      </c>
      <c r="H109" s="119" t="s">
        <v>1827</v>
      </c>
      <c r="I109" s="15" t="b">
        <v>1</v>
      </c>
      <c r="K109" s="15" t="b">
        <v>1</v>
      </c>
      <c r="L109" s="24" t="s">
        <v>2358</v>
      </c>
      <c r="N109" s="15" t="s">
        <v>2375</v>
      </c>
      <c r="O109" s="15" t="s">
        <v>336</v>
      </c>
      <c r="P109" s="122" t="s">
        <v>2395</v>
      </c>
      <c r="Q109" s="15" t="s">
        <v>2396</v>
      </c>
      <c r="R109" s="64" t="s">
        <v>336</v>
      </c>
      <c r="S109" s="122" t="s">
        <v>2417</v>
      </c>
      <c r="T109" s="15" t="s">
        <v>2418</v>
      </c>
      <c r="U109" s="123" t="s">
        <v>336</v>
      </c>
      <c r="Y109" s="119" t="s">
        <v>2448</v>
      </c>
      <c r="Z109" s="119" t="s">
        <v>2442</v>
      </c>
      <c r="AA109" s="15" t="s">
        <v>2441</v>
      </c>
      <c r="AR109" s="28" t="b">
        <f t="shared" ref="AR109" si="680">IF(OR(A109="Done",A109="In Progress"),TRUE)</f>
        <v>1</v>
      </c>
      <c r="AS109" s="29" t="str">
        <f t="shared" ref="AS109" si="681">"title: """&amp;F109&amp;""""</f>
        <v>title: "Mission San Diego de Alcala"</v>
      </c>
      <c r="AT109" s="29" t="str">
        <f t="shared" ref="AT109" si="682">"location: {lat: "&amp;D109&amp;", lng: "&amp;E109&amp;"}"</f>
        <v>location: {lat: 32.7844544140364, lng: -117.106379960395}</v>
      </c>
      <c r="AU109" s="29" t="str">
        <f t="shared" ref="AU109" si="683">"level: "&amp;H109</f>
        <v>level: local</v>
      </c>
      <c r="AV109" s="29" t="str">
        <f>"- "&amp;VLOOKUP(B109,'(Ref) Countries'!A:C,3,)</f>
        <v>- usa
- california</v>
      </c>
      <c r="AW109" s="29" t="str">
        <f t="shared" ref="AW109" si="684">IF(LEN(C109)&gt;1,"- "&amp;LOWER(SUBSTITUTE(C109," ","-")),"")</f>
        <v>- san-diego</v>
      </c>
      <c r="AX109" s="29" t="str">
        <f t="shared" ref="AX109" si="685">IF(I109,"- churches","")</f>
        <v>- churches</v>
      </c>
      <c r="AY109" s="29" t="str">
        <f t="shared" ref="AY109" si="686">IF(J109,"- marian-sites","")</f>
        <v/>
      </c>
      <c r="AZ109" s="29" t="str">
        <f t="shared" ref="AZ109" si="687">IF(K109,"- holy-persons","")</f>
        <v>- holy-persons</v>
      </c>
      <c r="BA109" s="29" t="str">
        <f t="shared" ref="BA109" si="688">IF(LEN(Y109)&gt;0,"- "&amp;Y109,"")</f>
        <v>- california-missions</v>
      </c>
      <c r="BB109" s="29" t="str">
        <f t="shared" ref="BB109" si="689">IF(LEN(Z109)&gt;0,"- "&amp;Z109,"")</f>
        <v>- franciscans</v>
      </c>
      <c r="BC109" s="29" t="str">
        <f t="shared" ref="BC109" si="690">IF(LEN(AA109)&gt;0,"- "&amp;AA109,"")</f>
        <v>- junipero-serra</v>
      </c>
      <c r="BD109" s="29" t="str">
        <f t="shared" ref="BD109" si="691">IF(LEN(AB109)&gt;0,"- "&amp;AB109,"")</f>
        <v/>
      </c>
      <c r="BE109" s="29" t="str">
        <f t="shared" ref="BE109" si="692">IF(LEN(AC109)&gt;0,"- "&amp;AC109,"")</f>
        <v/>
      </c>
      <c r="BF109" s="29" t="str">
        <f t="shared" ref="BF109" si="693">IF(LEN(AD109)&gt;0,"- "&amp;AD109,"")</f>
        <v/>
      </c>
      <c r="BG109" s="29" t="str">
        <f t="shared" ref="BG109" si="694">IF(LEN(AE109)&gt;0,"- "&amp;AE109,"")</f>
        <v/>
      </c>
      <c r="BH109" s="29" t="str">
        <f t="shared" ref="BH109" si="695">IF(LEN(AF109)&gt;0,"- "&amp;AF109,"")</f>
        <v/>
      </c>
      <c r="BI109" s="29" t="str">
        <f t="shared" ref="BI109" si="696">IF(LEN(AG109)&gt;0,"- "&amp;AG109,"")</f>
        <v/>
      </c>
      <c r="BJ109" s="29" t="str">
        <f t="shared" ref="BJ109" si="697">IF(LEN(AH109)&gt;0,"- "&amp;AH109,"")</f>
        <v/>
      </c>
      <c r="BK109" s="29" t="str">
        <f t="shared" ref="BK109" si="698">"tags:"&amp;CHAR(10)&amp;concatl(AV109:BJ109)</f>
        <v xml:space="preserve">tags:
- usa
- california_x000D_
- san-diego_x000D_
- churches_x000D_
- holy-persons_x000D_
- california-missions_x000D_
- franciscans_x000D_
- junipero-serra_x000D_
</v>
      </c>
      <c r="BL109" s="29" t="str">
        <f t="shared" ref="BL109" si="699">IF(LEN(N109)&gt;0,TRIM(CONCATENATE("[Official site](",N109,") ",O109)),"")</f>
        <v>[Official site](https://www.missionsandiego.org/)</v>
      </c>
      <c r="BM109" s="29" t="str">
        <f t="shared" ref="BM109" si="700">IF(LEN(Q109)&gt;0,TRIM(CONCATENATE("["&amp;P109&amp;"](",Q109,") ",R109)),"")</f>
        <v>[California Missions Foundation page](https://californiamissionsfoundation.org/mission-san-diego-de-alcala/)</v>
      </c>
      <c r="BN109" s="29" t="str">
        <f t="shared" ref="BN109" si="701">IF(LEN(T109)&gt;0,TRIM(CONCATENATE("["&amp;S109&amp;"](",T109,") ",U109)),"")</f>
        <v>[Missions California page](https://www.missionscalifornia.com/missions/san-diego-de-alcala/)</v>
      </c>
      <c r="BO109" s="29" t="str">
        <f t="shared" ref="BO109" si="702">IF(LEN(W109)&gt;0,TRIM(CONCATENATE("["&amp;V109&amp;"](",W109,") ",X109)),"")</f>
        <v/>
      </c>
      <c r="BP109" s="29" t="str">
        <f t="shared" ref="BP109" si="703">IF(LEN(BL109)&gt;0,"* "&amp;BL109&amp;CHAR(10),"")&amp;
IF(LEN(BM109)&gt;0,"* "&amp;BM109&amp;CHAR(10),"")&amp;
IF(LEN(BN109)&gt;0,"* "&amp;BN109&amp;CHAR(10),"")&amp;
IF(LEN(BO109)&gt;0,"* "&amp;BO109&amp;CHAR(10),"")</f>
        <v xml:space="preserve">* [Official site](https://www.missionsandiego.org/)
* [California Missions Foundation page](https://californiamissionsfoundation.org/mission-san-diego-de-alcala/)
* [Missions California page](https://www.missionscalifornia.com/missions/san-diego-de-alcala/)
</v>
      </c>
      <c r="BQ109" s="29" t="str">
        <f t="shared" ref="BQ109" si="704">IF(LEN(AK109)&gt;0,TRIM(CONCATENATE("[Link](",AK109,") ",AL109)),"")</f>
        <v/>
      </c>
      <c r="BR109" s="29" t="str">
        <f t="shared" ref="BR109" si="705">IF(LEN(AM109)&gt;0,TRIM(CONCATENATE("[Link](",AM109,") ",AN109)),"")</f>
        <v/>
      </c>
      <c r="BS109" s="29" t="str">
        <f t="shared" ref="BS109" si="706">IF(LEN(AO109)&gt;0,TRIM(CONCATENATE("[Link](",AO109,") ",AP109)),"")</f>
        <v/>
      </c>
      <c r="BT109" s="29" t="str">
        <f>IF(LEN(_xludf.concat(BQ109:BS109))&gt;0,_xludf.concat("| ",BQ109," | ",BR109," | ",BS109," |"),"")</f>
        <v/>
      </c>
      <c r="BU109" s="29" t="str">
        <f t="shared" ref="BU109" si="707">IF(J109,concatl("| The Real Presence | Miracle Hunter | MaryPages |","| --- | --- | --- |",BT109),"")</f>
        <v/>
      </c>
      <c r="BV109" s="29" t="str">
        <f>IF(LEN(BP109&amp;BU109)&gt;0,concatll("#### More Information",BP109,BU109),"")</f>
        <v xml:space="preserve">#### More Information_x000D_
_x000D_
* [Official site](https://www.missionsandiego.org/)
* [California Missions Foundation page](https://californiamissionsfoundation.org/mission-san-diego-de-alcala/)
* [Missions California page](https://www.missionscalifornia.com/missions/san-diego-de-alcala/)
_x000D_
_x000D_
</v>
      </c>
      <c r="BW109" s="29" t="str">
        <f>IF(LEN(M109)&gt;1,concatll("#### Author's Note",M109),"")</f>
        <v/>
      </c>
      <c r="BX109" s="23" t="str">
        <f>IF(AR109,concatll(concatl("---",AS109:AU109,BK109,"---"),L109,BV109:BW109),"")</f>
        <v xml:space="preserve">---_x000D_
title: "Mission San Diego de Alcala"_x000D_
location: {lat: 32.7844544140364, lng: -117.106379960395}_x000D_
level: local_x000D_
tags:
- usa
- california_x000D_
- san-diego_x000D_
- churches_x000D_
- holy-persons_x000D_
- california-missions_x000D_
- franciscans_x000D_
- junipero-serra_x000D_
_x000D_
---_x000D_
_x000D_
_x000D_
The 1st of the 21 California missions, founded in 1769._x000D_
_x000D_
#### More Information_x000D_
_x000D_
* [Official site](https://www.missionsandiego.org/)
* [California Missions Foundation page](https://californiamissionsfoundation.org/mission-san-diego-de-alcala/)
* [Missions California page](https://www.missionscalifornia.com/missions/san-diego-de-alcala/)
_x000D_
_x000D_
_x000D_
_x000D_
</v>
      </c>
      <c r="BY109" s="31" t="str">
        <f>IF(AR109,VLOOKUP(B109,'(Ref) Countries'!A:B,2,)&amp;IF(LEN(C109)&gt;1,"-"&amp;LOWER(SUBSTITUTE(C109," ","-")),"")&amp;"-"&amp;LOWER(SUBSTITUTE(G109," ","-"))&amp;".md","")</f>
        <v>us_ca-san-diego-mission-san-diego.md</v>
      </c>
      <c r="BZ109" s="29" t="str">
        <f>IF(LEN(Y109)&gt;1,VLOOKUP(Y109,'Tag List'!$A:$B,2,),"")</f>
        <v>Franciscian Missions in California</v>
      </c>
      <c r="CA109" s="29" t="str">
        <f>IF(LEN(Z109)&gt;1,VLOOKUP(Z109,'Tag List'!$A:$B,2,),"")</f>
        <v>Order of Friars Minor (Fransiscans)</v>
      </c>
      <c r="CB109" s="29" t="str">
        <f>IF(LEN(AA109)&gt;1,VLOOKUP(AA109,'Tag List'!$A:$B,2,),"")</f>
        <v>St. Junipero Serra, OFM</v>
      </c>
      <c r="CC109" s="29" t="str">
        <f>IF(LEN(Y109)&gt;1,GetTagPage(BZ109,Y109),"")</f>
        <v>[Franciscian Missions in California](/tags/california-missions)</v>
      </c>
      <c r="CD109" s="29" t="str">
        <f>IF(LEN(Z109)&gt;1,GetTagPage(CA109,Z109),"")</f>
        <v>[Order of Friars Minor (Fransiscans)](/tags/franciscans)</v>
      </c>
      <c r="CE109" s="29" t="str">
        <f>IF(LEN(AA109)&gt;1,GetTagPage(CB109,AA109),"")</f>
        <v>[St. Junipero Serra, OFM](/tags/junipero-serra)</v>
      </c>
      <c r="CF109" s="29" t="str">
        <f t="shared" ref="CF109" si="708">"|"&amp;IF(LEN(CC109)&gt;1," "&amp;CC109,"")&amp;IF(LEN(CD109)&gt;1,", "&amp;CD109,"")&amp;IF(LEN(CE109)&gt;1,", "&amp;CE109,"")&amp;" "</f>
        <v xml:space="preserve">| [Franciscian Missions in California](/tags/california-missions), [Order of Friars Minor (Fransiscans)](/tags/franciscans), [St. Junipero Serra, OFM](/tags/junipero-serra) </v>
      </c>
      <c r="CG109" s="29" t="str">
        <f t="shared" ref="CG109" si="709">"| "&amp;IF(AR109,"["&amp;AI109&amp;"](/places/"&amp;SUBSTITUTE(BY109,".md","")&amp;")",AI109)&amp;" "</f>
        <v xml:space="preserve">| [](/places/us_ca-san-diego-mission-san-diego) </v>
      </c>
      <c r="CH109" s="29" t="str">
        <f>"| "&amp;IF(AR109,GetTagPage(B109,VLOOKUP(B109,'(Ref) Countries'!A:C,3,)),B109)&amp; " "</f>
        <v xml:space="preserve">| [US California](/tags/usa
- california) </v>
      </c>
      <c r="CI109" s="29" t="str">
        <f t="shared" ref="CI109" si="710">"| "&amp;AJ109&amp;" "</f>
        <v xml:space="preserve">|  </v>
      </c>
      <c r="CJ109" s="29" t="str">
        <f t="shared" ref="CJ109" si="711">"|"&amp;IF(AR109," [Link](/places/"&amp;SUBSTITUTE(BY109,".md","")&amp;")","")&amp;" "</f>
        <v xml:space="preserve">| [Link](/places/us_ca-san-diego-mission-san-diego) </v>
      </c>
      <c r="CK109" s="29" t="str">
        <f t="shared" ref="CK109" si="712">"
"&amp;CG109&amp;CH109&amp;CI109&amp;CJ109&amp;BL109&amp;BQ109&amp;BR109&amp;BS109&amp;CF109&amp;"|"</f>
        <v xml:space="preserve">
| [](/places/us_ca-san-diego-mission-san-diego) | [US California](/tags/usa
- california) |  | [Link](/places/us_ca-san-diego-mission-san-diego) [Official site](https://www.missionsandiego.org/)| [Franciscian Missions in California](/tags/california-missions), [Order of Friars Minor (Fransiscans)](/tags/franciscans), [St. Junipero Serra, OFM](/tags/junipero-serra) |</v>
      </c>
    </row>
    <row r="110" spans="1:89" ht="24.9" x14ac:dyDescent="0.4">
      <c r="A110" s="14" t="s">
        <v>1320</v>
      </c>
      <c r="B110" s="24" t="s">
        <v>1912</v>
      </c>
      <c r="C110" s="15" t="s">
        <v>2324</v>
      </c>
      <c r="D110" s="15">
        <v>36.542542305904099</v>
      </c>
      <c r="E110" s="49">
        <v>-121.91985692948499</v>
      </c>
      <c r="F110" s="24" t="s">
        <v>2304</v>
      </c>
      <c r="G110" s="121" t="s">
        <v>2346</v>
      </c>
      <c r="H110" s="119" t="s">
        <v>1760</v>
      </c>
      <c r="I110" s="15" t="b">
        <v>1</v>
      </c>
      <c r="K110" s="15" t="b">
        <v>1</v>
      </c>
      <c r="L110" s="118" t="s">
        <v>2444</v>
      </c>
      <c r="N110" s="15" t="s">
        <v>2376</v>
      </c>
      <c r="O110" s="15" t="s">
        <v>336</v>
      </c>
      <c r="P110" s="60" t="s">
        <v>2395</v>
      </c>
      <c r="Q110" s="15" t="s">
        <v>2397</v>
      </c>
      <c r="R110" s="64" t="s">
        <v>336</v>
      </c>
      <c r="S110" s="60" t="s">
        <v>2417</v>
      </c>
      <c r="T110" s="15" t="s">
        <v>2419</v>
      </c>
      <c r="U110" s="64" t="s">
        <v>336</v>
      </c>
      <c r="Y110" s="15" t="s">
        <v>2448</v>
      </c>
      <c r="Z110" s="15" t="s">
        <v>2442</v>
      </c>
      <c r="AA110" s="15" t="s">
        <v>2441</v>
      </c>
      <c r="AR110" s="28" t="b">
        <f t="shared" ref="AR110:AR130" si="713">IF(OR(A110="Done",A110="In Progress"),TRUE)</f>
        <v>1</v>
      </c>
      <c r="AS110" s="29" t="str">
        <f t="shared" ref="AS110:AS130" si="714">"title: """&amp;F110&amp;""""</f>
        <v>title: "Mission San Carlos Borromeo de Carmelo"</v>
      </c>
      <c r="AT110" s="29" t="str">
        <f t="shared" ref="AT110:AT130" si="715">"location: {lat: "&amp;D110&amp;", lng: "&amp;E110&amp;"}"</f>
        <v>location: {lat: 36.5425423059041, lng: -121.919856929485}</v>
      </c>
      <c r="AU110" s="29" t="str">
        <f t="shared" ref="AU110:AU130" si="716">"level: "&amp;H110</f>
        <v>level: regional</v>
      </c>
      <c r="AV110" s="29" t="str">
        <f>"- "&amp;VLOOKUP(B110,'(Ref) Countries'!A:C,3,)</f>
        <v>- usa
- california</v>
      </c>
      <c r="AW110" s="29" t="str">
        <f t="shared" ref="AW110:AW130" si="717">IF(LEN(C110)&gt;1,"- "&amp;LOWER(SUBSTITUTE(C110," ","-")),"")</f>
        <v>- carmel-by-the-sea</v>
      </c>
      <c r="AX110" s="29" t="str">
        <f t="shared" ref="AX110:AX130" si="718">IF(I110,"- churches","")</f>
        <v>- churches</v>
      </c>
      <c r="AY110" s="29" t="str">
        <f t="shared" ref="AY110:AY130" si="719">IF(J110,"- marian-sites","")</f>
        <v/>
      </c>
      <c r="AZ110" s="29" t="str">
        <f t="shared" ref="AZ110:AZ130" si="720">IF(K110,"- holy-persons","")</f>
        <v>- holy-persons</v>
      </c>
      <c r="BA110" s="29" t="str">
        <f t="shared" ref="BA110:BA130" si="721">IF(LEN(Y110)&gt;0,"- "&amp;Y110,"")</f>
        <v>- california-missions</v>
      </c>
      <c r="BB110" s="29" t="str">
        <f t="shared" ref="BB110:BB130" si="722">IF(LEN(Z110)&gt;0,"- "&amp;Z110,"")</f>
        <v>- franciscans</v>
      </c>
      <c r="BC110" s="29" t="str">
        <f t="shared" ref="BC110:BC130" si="723">IF(LEN(AA110)&gt;0,"- "&amp;AA110,"")</f>
        <v>- junipero-serra</v>
      </c>
      <c r="BD110" s="29" t="str">
        <f t="shared" ref="BD110:BD130" si="724">IF(LEN(AB110)&gt;0,"- "&amp;AB110,"")</f>
        <v/>
      </c>
      <c r="BE110" s="29" t="str">
        <f t="shared" ref="BE110:BE130" si="725">IF(LEN(AC110)&gt;0,"- "&amp;AC110,"")</f>
        <v/>
      </c>
      <c r="BF110" s="29" t="str">
        <f t="shared" ref="BF110:BF130" si="726">IF(LEN(AD110)&gt;0,"- "&amp;AD110,"")</f>
        <v/>
      </c>
      <c r="BG110" s="29" t="str">
        <f t="shared" ref="BG110:BG130" si="727">IF(LEN(AE110)&gt;0,"- "&amp;AE110,"")</f>
        <v/>
      </c>
      <c r="BH110" s="29" t="str">
        <f t="shared" ref="BH110:BH130" si="728">IF(LEN(AF110)&gt;0,"- "&amp;AF110,"")</f>
        <v/>
      </c>
      <c r="BI110" s="29" t="str">
        <f t="shared" ref="BI110:BI130" si="729">IF(LEN(AG110)&gt;0,"- "&amp;AG110,"")</f>
        <v/>
      </c>
      <c r="BJ110" s="29" t="str">
        <f t="shared" ref="BJ110:BJ130" si="730">IF(LEN(AH110)&gt;0,"- "&amp;AH110,"")</f>
        <v/>
      </c>
      <c r="BK110" s="29" t="str">
        <f t="shared" ref="BK110:BK130" si="731">"tags:"&amp;CHAR(10)&amp;concatl(AV110:BJ110)</f>
        <v xml:space="preserve">tags:
- usa
- california_x000D_
- carmel-by-the-sea_x000D_
- churches_x000D_
- holy-persons_x000D_
- california-missions_x000D_
- franciscans_x000D_
- junipero-serra_x000D_
</v>
      </c>
      <c r="BL110" s="29" t="str">
        <f t="shared" ref="BL110:BL130" si="732">IF(LEN(N110)&gt;0,TRIM(CONCATENATE("[Official site](",N110,") ",O110)),"")</f>
        <v>[Official site](http://www.carmelmission.org/)</v>
      </c>
      <c r="BM110" s="29" t="str">
        <f t="shared" ref="BM110:BM130" si="733">IF(LEN(Q110)&gt;0,TRIM(CONCATENATE("["&amp;P110&amp;"](",Q110,") ",R110)),"")</f>
        <v>[California Missions Foundation page](https://californiamissionsfoundation.org/mission-san-carlos-borromeo/)</v>
      </c>
      <c r="BN110" s="29" t="str">
        <f t="shared" ref="BN110:BN130" si="734">IF(LEN(T110)&gt;0,TRIM(CONCATENATE("["&amp;S110&amp;"](",T110,") ",U110)),"")</f>
        <v>[Missions California page](https://www.missionscalifornia.com/missions/san-carlos-borromeo-de-carmelo/)</v>
      </c>
      <c r="BO110" s="29" t="str">
        <f t="shared" ref="BO110:BO130" si="735">IF(LEN(W110)&gt;0,TRIM(CONCATENATE("["&amp;V110&amp;"](",W110,") ",X110)),"")</f>
        <v/>
      </c>
      <c r="BP110" s="29" t="str">
        <f t="shared" ref="BP110:BP130" si="736">IF(LEN(BL110)&gt;0,"* "&amp;BL110&amp;CHAR(10),"")&amp;
IF(LEN(BM110)&gt;0,"* "&amp;BM110&amp;CHAR(10),"")&amp;
IF(LEN(BN110)&gt;0,"* "&amp;BN110&amp;CHAR(10),"")&amp;
IF(LEN(BO110)&gt;0,"* "&amp;BO110&amp;CHAR(10),"")</f>
        <v xml:space="preserve">* [Official site](http://www.carmelmission.org/)
* [California Missions Foundation page](https://californiamissionsfoundation.org/mission-san-carlos-borromeo/)
* [Missions California page](https://www.missionscalifornia.com/missions/san-carlos-borromeo-de-carmelo/)
</v>
      </c>
      <c r="BQ110" s="29" t="str">
        <f t="shared" ref="BQ110:BQ130" si="737">IF(LEN(AK110)&gt;0,TRIM(CONCATENATE("[Link](",AK110,") ",AL110)),"")</f>
        <v/>
      </c>
      <c r="BR110" s="29" t="str">
        <f t="shared" ref="BR110:BR130" si="738">IF(LEN(AM110)&gt;0,TRIM(CONCATENATE("[Link](",AM110,") ",AN110)),"")</f>
        <v/>
      </c>
      <c r="BS110" s="29" t="str">
        <f t="shared" ref="BS110:BS130" si="739">IF(LEN(AO110)&gt;0,TRIM(CONCATENATE("[Link](",AO110,") ",AP110)),"")</f>
        <v/>
      </c>
      <c r="BT110" s="29" t="str">
        <f>IF(LEN(_xludf.concat(BQ110:BS110))&gt;0,_xludf.concat("| ",BQ110," | ",BR110," | ",BS110," |"),"")</f>
        <v/>
      </c>
      <c r="BU110" s="29" t="str">
        <f t="shared" ref="BU110:BU130" si="740">IF(J110,concatl("| The Real Presence | Miracle Hunter | MaryPages |","| --- | --- | --- |",BT110),"")</f>
        <v/>
      </c>
      <c r="BV110" s="29" t="str">
        <f>IF(LEN(BP110&amp;BU110)&gt;0,concatll("#### More Information",BP110,BU110),"")</f>
        <v xml:space="preserve">#### More Information_x000D_
_x000D_
* [Official site](http://www.carmelmission.org/)
* [California Missions Foundation page](https://californiamissionsfoundation.org/mission-san-carlos-borromeo/)
* [Missions California page](https://www.missionscalifornia.com/missions/san-carlos-borromeo-de-carmelo/)
_x000D_
_x000D_
</v>
      </c>
      <c r="BW110" s="29" t="str">
        <f>IF(LEN(M110)&gt;1,concatll("#### Author's Note",M110),"")</f>
        <v/>
      </c>
      <c r="BX110" s="23" t="str">
        <f>IF(AR110,concatll(concatl("---",AS110:AU110,BK110,"---"),L110,BV110:BW110),"")</f>
        <v xml:space="preserve">---_x000D_
title: "Mission San Carlos Borromeo de Carmelo"_x000D_
location: {lat: 36.5425423059041, lng: -121.919856929485}_x000D_
level: regional_x000D_
tags:
- usa
- california_x000D_
- carmel-by-the-sea_x000D_
- churches_x000D_
- holy-persons_x000D_
- california-missions_x000D_
- franciscans_x000D_
- junipero-serra_x000D_
_x000D_
---_x000D_
_x000D_
_x000D_
The 2nd of the 21 California missions, founded in 1770, and the site of St. Junipero Serra's death.  His remains are located southeast of the altar._x000D_
_x000D_
#### More Information_x000D_
_x000D_
* [Official site](http://www.carmelmission.org/)
* [California Missions Foundation page](https://californiamissionsfoundation.org/mission-san-carlos-borromeo/)
* [Missions California page](https://www.missionscalifornia.com/missions/san-carlos-borromeo-de-carmelo/)
_x000D_
_x000D_
_x000D_
_x000D_
</v>
      </c>
      <c r="BY110" s="31" t="str">
        <f>IF(AR110,VLOOKUP(B110,'(Ref) Countries'!A:B,2,)&amp;IF(LEN(C110)&gt;1,"-"&amp;LOWER(SUBSTITUTE(C110," ","-")),"")&amp;"-"&amp;LOWER(SUBSTITUTE(G110," ","-"))&amp;".md","")</f>
        <v>us_ca-carmel-by-the-sea-mission-san-carlos.md</v>
      </c>
      <c r="BZ110" s="29" t="str">
        <f>IF(LEN(Y110)&gt;1,VLOOKUP(Y110,'Tag List'!$A:$B,2,),"")</f>
        <v>Franciscian Missions in California</v>
      </c>
      <c r="CA110" s="29" t="str">
        <f>IF(LEN(Z110)&gt;1,VLOOKUP(Z110,'Tag List'!$A:$B,2,),"")</f>
        <v>Order of Friars Minor (Fransiscans)</v>
      </c>
      <c r="CB110" s="29" t="str">
        <f>IF(LEN(AA110)&gt;1,VLOOKUP(AA110,'Tag List'!$A:$B,2,),"")</f>
        <v>St. Junipero Serra, OFM</v>
      </c>
      <c r="CC110" s="29" t="str">
        <f>IF(LEN(Y110)&gt;1,GetTagPage(BZ110,Y110),"")</f>
        <v>[Franciscian Missions in California](/tags/california-missions)</v>
      </c>
      <c r="CD110" s="29" t="str">
        <f>IF(LEN(Z110)&gt;1,GetTagPage(CA110,Z110),"")</f>
        <v>[Order of Friars Minor (Fransiscans)](/tags/franciscans)</v>
      </c>
      <c r="CE110" s="29" t="str">
        <f>IF(LEN(AA110)&gt;1,GetTagPage(CB110,AA110),"")</f>
        <v>[St. Junipero Serra, OFM](/tags/junipero-serra)</v>
      </c>
      <c r="CF110" s="29" t="str">
        <f t="shared" ref="CF110:CF130" si="741">"|"&amp;IF(LEN(CC110)&gt;1," "&amp;CC110,"")&amp;IF(LEN(CD110)&gt;1,", "&amp;CD110,"")&amp;IF(LEN(CE110)&gt;1,", "&amp;CE110,"")&amp;" "</f>
        <v xml:space="preserve">| [Franciscian Missions in California](/tags/california-missions), [Order of Friars Minor (Fransiscans)](/tags/franciscans), [St. Junipero Serra, OFM](/tags/junipero-serra) </v>
      </c>
      <c r="CG110" s="29" t="str">
        <f t="shared" ref="CG110:CG130" si="742">"| "&amp;IF(AR110,"["&amp;AI110&amp;"](/places/"&amp;SUBSTITUTE(BY110,".md","")&amp;")",AI110)&amp;" "</f>
        <v xml:space="preserve">| [](/places/us_ca-carmel-by-the-sea-mission-san-carlos) </v>
      </c>
      <c r="CH110" s="29" t="str">
        <f>"| "&amp;IF(AR110,GetTagPage(B110,VLOOKUP(B110,'(Ref) Countries'!A:C,3,)),B110)&amp; " "</f>
        <v xml:space="preserve">| [US California](/tags/usa
- california) </v>
      </c>
      <c r="CI110" s="29" t="str">
        <f t="shared" ref="CI110:CI130" si="743">"| "&amp;AJ110&amp;" "</f>
        <v xml:space="preserve">|  </v>
      </c>
      <c r="CJ110" s="29" t="str">
        <f t="shared" ref="CJ110:CJ130" si="744">"|"&amp;IF(AR110," [Link](/places/"&amp;SUBSTITUTE(BY110,".md","")&amp;")","")&amp;" "</f>
        <v xml:space="preserve">| [Link](/places/us_ca-carmel-by-the-sea-mission-san-carlos) </v>
      </c>
      <c r="CK110" s="29" t="str">
        <f t="shared" ref="CK110:CK130" si="745">"
"&amp;CG110&amp;CH110&amp;CI110&amp;CJ110&amp;BL110&amp;BQ110&amp;BR110&amp;BS110&amp;CF110&amp;"|"</f>
        <v xml:space="preserve">
| [](/places/us_ca-carmel-by-the-sea-mission-san-carlos) | [US California](/tags/usa
- california) |  | [Link](/places/us_ca-carmel-by-the-sea-mission-san-carlos) [Official site](http://www.carmelmission.org/)| [Franciscian Missions in California](/tags/california-missions), [Order of Friars Minor (Fransiscans)](/tags/franciscans), [St. Junipero Serra, OFM](/tags/junipero-serra) |</v>
      </c>
    </row>
    <row r="111" spans="1:89" ht="24.9" x14ac:dyDescent="0.4">
      <c r="A111" s="14" t="s">
        <v>1320</v>
      </c>
      <c r="B111" s="24" t="s">
        <v>1912</v>
      </c>
      <c r="C111" s="15" t="s">
        <v>2325</v>
      </c>
      <c r="D111" s="15">
        <v>36.015380016252898</v>
      </c>
      <c r="E111" s="49">
        <v>-121.250314673798</v>
      </c>
      <c r="F111" s="24" t="s">
        <v>2305</v>
      </c>
      <c r="G111" s="121" t="s">
        <v>2347</v>
      </c>
      <c r="H111" s="15" t="s">
        <v>1827</v>
      </c>
      <c r="I111" s="15" t="b">
        <v>1</v>
      </c>
      <c r="K111" s="15" t="b">
        <v>1</v>
      </c>
      <c r="L111" s="24" t="s">
        <v>2359</v>
      </c>
      <c r="N111" s="15" t="s">
        <v>2377</v>
      </c>
      <c r="O111" s="15" t="s">
        <v>336</v>
      </c>
      <c r="P111" s="60" t="s">
        <v>2395</v>
      </c>
      <c r="Q111" s="15" t="s">
        <v>2398</v>
      </c>
      <c r="R111" s="64" t="s">
        <v>336</v>
      </c>
      <c r="S111" s="60" t="s">
        <v>2417</v>
      </c>
      <c r="T111" s="15" t="s">
        <v>2420</v>
      </c>
      <c r="U111" s="64" t="s">
        <v>336</v>
      </c>
      <c r="Y111" s="15" t="s">
        <v>2448</v>
      </c>
      <c r="Z111" s="15" t="s">
        <v>2442</v>
      </c>
      <c r="AA111" s="15" t="s">
        <v>2441</v>
      </c>
      <c r="AR111" s="28" t="b">
        <f t="shared" si="713"/>
        <v>1</v>
      </c>
      <c r="AS111" s="29" t="str">
        <f t="shared" si="714"/>
        <v>title: "Mission San Antonio de Padua"</v>
      </c>
      <c r="AT111" s="29" t="str">
        <f t="shared" si="715"/>
        <v>location: {lat: 36.0153800162529, lng: -121.250314673798}</v>
      </c>
      <c r="AU111" s="29" t="str">
        <f t="shared" si="716"/>
        <v>level: local</v>
      </c>
      <c r="AV111" s="29" t="str">
        <f>"- "&amp;VLOOKUP(B111,'(Ref) Countries'!A:C,3,)</f>
        <v>- usa
- california</v>
      </c>
      <c r="AW111" s="29" t="str">
        <f t="shared" si="717"/>
        <v>- jolon</v>
      </c>
      <c r="AX111" s="29" t="str">
        <f t="shared" si="718"/>
        <v>- churches</v>
      </c>
      <c r="AY111" s="29" t="str">
        <f t="shared" si="719"/>
        <v/>
      </c>
      <c r="AZ111" s="29" t="str">
        <f t="shared" si="720"/>
        <v>- holy-persons</v>
      </c>
      <c r="BA111" s="29" t="str">
        <f t="shared" si="721"/>
        <v>- california-missions</v>
      </c>
      <c r="BB111" s="29" t="str">
        <f t="shared" si="722"/>
        <v>- franciscans</v>
      </c>
      <c r="BC111" s="29" t="str">
        <f t="shared" si="723"/>
        <v>- junipero-serra</v>
      </c>
      <c r="BD111" s="29" t="str">
        <f t="shared" si="724"/>
        <v/>
      </c>
      <c r="BE111" s="29" t="str">
        <f t="shared" si="725"/>
        <v/>
      </c>
      <c r="BF111" s="29" t="str">
        <f t="shared" si="726"/>
        <v/>
      </c>
      <c r="BG111" s="29" t="str">
        <f t="shared" si="727"/>
        <v/>
      </c>
      <c r="BH111" s="29" t="str">
        <f t="shared" si="728"/>
        <v/>
      </c>
      <c r="BI111" s="29" t="str">
        <f t="shared" si="729"/>
        <v/>
      </c>
      <c r="BJ111" s="29" t="str">
        <f t="shared" si="730"/>
        <v/>
      </c>
      <c r="BK111" s="29" t="str">
        <f t="shared" si="731"/>
        <v xml:space="preserve">tags:
- usa
- california_x000D_
- jolon_x000D_
- churches_x000D_
- holy-persons_x000D_
- california-missions_x000D_
- franciscans_x000D_
- junipero-serra_x000D_
</v>
      </c>
      <c r="BL111" s="29" t="str">
        <f t="shared" si="732"/>
        <v>[Official site](http://www.missionsanantonio.net/)</v>
      </c>
      <c r="BM111" s="29" t="str">
        <f t="shared" si="733"/>
        <v>[California Missions Foundation page](https://californiamissionsfoundation.org/mission-san-antonio/)</v>
      </c>
      <c r="BN111" s="29" t="str">
        <f t="shared" si="734"/>
        <v>[Missions California page](https://www.missionscalifornia.com/missions/san-antonio-de-padua/)</v>
      </c>
      <c r="BO111" s="29" t="str">
        <f t="shared" si="735"/>
        <v/>
      </c>
      <c r="BP111" s="29" t="str">
        <f t="shared" si="736"/>
        <v xml:space="preserve">* [Official site](http://www.missionsanantonio.net/)
* [California Missions Foundation page](https://californiamissionsfoundation.org/mission-san-antonio/)
* [Missions California page](https://www.missionscalifornia.com/missions/san-antonio-de-padua/)
</v>
      </c>
      <c r="BQ111" s="29" t="str">
        <f t="shared" si="737"/>
        <v/>
      </c>
      <c r="BR111" s="29" t="str">
        <f t="shared" si="738"/>
        <v/>
      </c>
      <c r="BS111" s="29" t="str">
        <f t="shared" si="739"/>
        <v/>
      </c>
      <c r="BT111" s="29" t="str">
        <f>IF(LEN(_xludf.concat(BQ111:BS111))&gt;0,_xludf.concat("| ",BQ111," | ",BR111," | ",BS111," |"),"")</f>
        <v/>
      </c>
      <c r="BU111" s="29" t="str">
        <f t="shared" si="740"/>
        <v/>
      </c>
      <c r="BV111" s="29" t="str">
        <f>IF(LEN(BP111&amp;BU111)&gt;0,concatll("#### More Information",BP111,BU111),"")</f>
        <v xml:space="preserve">#### More Information_x000D_
_x000D_
* [Official site](http://www.missionsanantonio.net/)
* [California Missions Foundation page](https://californiamissionsfoundation.org/mission-san-antonio/)
* [Missions California page](https://www.missionscalifornia.com/missions/san-antonio-de-padua/)
_x000D_
_x000D_
</v>
      </c>
      <c r="BW111" s="29" t="str">
        <f>IF(LEN(M111)&gt;1,concatll("#### Author's Note",M111),"")</f>
        <v/>
      </c>
      <c r="BX111" s="23" t="str">
        <f>IF(AR111,concatll(concatl("---",AS111:AU111,BK111,"---"),L111,BV111:BW111),"")</f>
        <v xml:space="preserve">---_x000D_
title: "Mission San Antonio de Padua"_x000D_
location: {lat: 36.0153800162529, lng: -121.250314673798}_x000D_
level: local_x000D_
tags:
- usa
- california_x000D_
- jolon_x000D_
- churches_x000D_
- holy-persons_x000D_
- california-missions_x000D_
- franciscans_x000D_
- junipero-serra_x000D_
_x000D_
---_x000D_
_x000D_
_x000D_
The 3rd of the 21 California missions, founded in 1771._x000D_
_x000D_
#### More Information_x000D_
_x000D_
* [Official site](http://www.missionsanantonio.net/)
* [California Missions Foundation page](https://californiamissionsfoundation.org/mission-san-antonio/)
* [Missions California page](https://www.missionscalifornia.com/missions/san-antonio-de-padua/)
_x000D_
_x000D_
_x000D_
_x000D_
</v>
      </c>
      <c r="BY111" s="31" t="str">
        <f>IF(AR111,VLOOKUP(B111,'(Ref) Countries'!A:B,2,)&amp;IF(LEN(C111)&gt;1,"-"&amp;LOWER(SUBSTITUTE(C111," ","-")),"")&amp;"-"&amp;LOWER(SUBSTITUTE(G111," ","-"))&amp;".md","")</f>
        <v>us_ca-jolon-mission-san-antonio.md</v>
      </c>
      <c r="BZ111" s="29" t="str">
        <f>IF(LEN(Y111)&gt;1,VLOOKUP(Y111,'Tag List'!$A:$B,2,),"")</f>
        <v>Franciscian Missions in California</v>
      </c>
      <c r="CA111" s="29" t="str">
        <f>IF(LEN(Z111)&gt;1,VLOOKUP(Z111,'Tag List'!$A:$B,2,),"")</f>
        <v>Order of Friars Minor (Fransiscans)</v>
      </c>
      <c r="CB111" s="29" t="str">
        <f>IF(LEN(AA111)&gt;1,VLOOKUP(AA111,'Tag List'!$A:$B,2,),"")</f>
        <v>St. Junipero Serra, OFM</v>
      </c>
      <c r="CC111" s="29" t="str">
        <f>IF(LEN(Y111)&gt;1,GetTagPage(BZ111,Y111),"")</f>
        <v>[Franciscian Missions in California](/tags/california-missions)</v>
      </c>
      <c r="CD111" s="29" t="str">
        <f>IF(LEN(Z111)&gt;1,GetTagPage(CA111,Z111),"")</f>
        <v>[Order of Friars Minor (Fransiscans)](/tags/franciscans)</v>
      </c>
      <c r="CE111" s="29" t="str">
        <f>IF(LEN(AA111)&gt;1,GetTagPage(CB111,AA111),"")</f>
        <v>[St. Junipero Serra, OFM](/tags/junipero-serra)</v>
      </c>
      <c r="CF111" s="29" t="str">
        <f t="shared" si="741"/>
        <v xml:space="preserve">| [Franciscian Missions in California](/tags/california-missions), [Order of Friars Minor (Fransiscans)](/tags/franciscans), [St. Junipero Serra, OFM](/tags/junipero-serra) </v>
      </c>
      <c r="CG111" s="29" t="str">
        <f t="shared" si="742"/>
        <v xml:space="preserve">| [](/places/us_ca-jolon-mission-san-antonio) </v>
      </c>
      <c r="CH111" s="29" t="str">
        <f>"| "&amp;IF(AR111,GetTagPage(B111,VLOOKUP(B111,'(Ref) Countries'!A:C,3,)),B111)&amp; " "</f>
        <v xml:space="preserve">| [US California](/tags/usa
- california) </v>
      </c>
      <c r="CI111" s="29" t="str">
        <f t="shared" si="743"/>
        <v xml:space="preserve">|  </v>
      </c>
      <c r="CJ111" s="29" t="str">
        <f t="shared" si="744"/>
        <v xml:space="preserve">| [Link](/places/us_ca-jolon-mission-san-antonio) </v>
      </c>
      <c r="CK111" s="29" t="str">
        <f t="shared" si="745"/>
        <v xml:space="preserve">
| [](/places/us_ca-jolon-mission-san-antonio) | [US California](/tags/usa
- california) |  | [Link](/places/us_ca-jolon-mission-san-antonio) [Official site](http://www.missionsanantonio.net/)| [Franciscian Missions in California](/tags/california-missions), [Order of Friars Minor (Fransiscans)](/tags/franciscans), [St. Junipero Serra, OFM](/tags/junipero-serra) |</v>
      </c>
    </row>
    <row r="112" spans="1:89" ht="24.9" x14ac:dyDescent="0.4">
      <c r="A112" s="14" t="s">
        <v>1320</v>
      </c>
      <c r="B112" s="24" t="s">
        <v>1912</v>
      </c>
      <c r="C112" s="15" t="s">
        <v>2326</v>
      </c>
      <c r="D112" s="15">
        <v>34.096659673144899</v>
      </c>
      <c r="E112" s="49">
        <v>-118.10684110268799</v>
      </c>
      <c r="F112" s="24" t="s">
        <v>2306</v>
      </c>
      <c r="G112" s="121" t="s">
        <v>2348</v>
      </c>
      <c r="H112" s="15" t="s">
        <v>1827</v>
      </c>
      <c r="I112" s="15" t="b">
        <v>1</v>
      </c>
      <c r="K112" s="15" t="b">
        <v>1</v>
      </c>
      <c r="L112" s="24" t="s">
        <v>2360</v>
      </c>
      <c r="N112" s="15" t="s">
        <v>2378</v>
      </c>
      <c r="O112" s="15" t="s">
        <v>336</v>
      </c>
      <c r="P112" s="60" t="s">
        <v>2395</v>
      </c>
      <c r="Q112" s="15" t="s">
        <v>2399</v>
      </c>
      <c r="R112" s="64" t="s">
        <v>336</v>
      </c>
      <c r="S112" s="60" t="s">
        <v>2417</v>
      </c>
      <c r="T112" s="15" t="s">
        <v>2421</v>
      </c>
      <c r="U112" s="64" t="s">
        <v>336</v>
      </c>
      <c r="Y112" s="15" t="s">
        <v>2448</v>
      </c>
      <c r="Z112" s="15" t="s">
        <v>2442</v>
      </c>
      <c r="AA112" s="15" t="s">
        <v>2441</v>
      </c>
      <c r="AR112" s="28" t="b">
        <f t="shared" si="713"/>
        <v>1</v>
      </c>
      <c r="AS112" s="29" t="str">
        <f t="shared" si="714"/>
        <v>title: "Mission San Gabriel Arcangel"</v>
      </c>
      <c r="AT112" s="29" t="str">
        <f t="shared" si="715"/>
        <v>location: {lat: 34.0966596731449, lng: -118.106841102688}</v>
      </c>
      <c r="AU112" s="29" t="str">
        <f t="shared" si="716"/>
        <v>level: local</v>
      </c>
      <c r="AV112" s="29" t="str">
        <f>"- "&amp;VLOOKUP(B112,'(Ref) Countries'!A:C,3,)</f>
        <v>- usa
- california</v>
      </c>
      <c r="AW112" s="29" t="str">
        <f t="shared" si="717"/>
        <v>- san-gabriel</v>
      </c>
      <c r="AX112" s="29" t="str">
        <f t="shared" si="718"/>
        <v>- churches</v>
      </c>
      <c r="AY112" s="29" t="str">
        <f t="shared" si="719"/>
        <v/>
      </c>
      <c r="AZ112" s="29" t="str">
        <f t="shared" si="720"/>
        <v>- holy-persons</v>
      </c>
      <c r="BA112" s="29" t="str">
        <f t="shared" si="721"/>
        <v>- california-missions</v>
      </c>
      <c r="BB112" s="29" t="str">
        <f t="shared" si="722"/>
        <v>- franciscans</v>
      </c>
      <c r="BC112" s="29" t="str">
        <f t="shared" si="723"/>
        <v>- junipero-serra</v>
      </c>
      <c r="BD112" s="29" t="str">
        <f t="shared" si="724"/>
        <v/>
      </c>
      <c r="BE112" s="29" t="str">
        <f t="shared" si="725"/>
        <v/>
      </c>
      <c r="BF112" s="29" t="str">
        <f t="shared" si="726"/>
        <v/>
      </c>
      <c r="BG112" s="29" t="str">
        <f t="shared" si="727"/>
        <v/>
      </c>
      <c r="BH112" s="29" t="str">
        <f t="shared" si="728"/>
        <v/>
      </c>
      <c r="BI112" s="29" t="str">
        <f t="shared" si="729"/>
        <v/>
      </c>
      <c r="BJ112" s="29" t="str">
        <f t="shared" si="730"/>
        <v/>
      </c>
      <c r="BK112" s="29" t="str">
        <f t="shared" si="731"/>
        <v xml:space="preserve">tags:
- usa
- california_x000D_
- san-gabriel_x000D_
- churches_x000D_
- holy-persons_x000D_
- california-missions_x000D_
- franciscans_x000D_
- junipero-serra_x000D_
</v>
      </c>
      <c r="BL112" s="29" t="str">
        <f t="shared" si="732"/>
        <v>[Official site](http://www.missionsangabriel.org/)</v>
      </c>
      <c r="BM112" s="29" t="str">
        <f t="shared" si="733"/>
        <v>[California Missions Foundation page](https://californiamissionsfoundation.org/mission-san-gabriel/)</v>
      </c>
      <c r="BN112" s="29" t="str">
        <f t="shared" si="734"/>
        <v>[Missions California page](https://www.missionscalifornia.com/missions/san-gabriel-arcangel/)</v>
      </c>
      <c r="BO112" s="29" t="str">
        <f t="shared" si="735"/>
        <v/>
      </c>
      <c r="BP112" s="29" t="str">
        <f t="shared" si="736"/>
        <v xml:space="preserve">* [Official site](http://www.missionsangabriel.org/)
* [California Missions Foundation page](https://californiamissionsfoundation.org/mission-san-gabriel/)
* [Missions California page](https://www.missionscalifornia.com/missions/san-gabriel-arcangel/)
</v>
      </c>
      <c r="BQ112" s="29" t="str">
        <f t="shared" si="737"/>
        <v/>
      </c>
      <c r="BR112" s="29" t="str">
        <f t="shared" si="738"/>
        <v/>
      </c>
      <c r="BS112" s="29" t="str">
        <f t="shared" si="739"/>
        <v/>
      </c>
      <c r="BT112" s="29" t="str">
        <f>IF(LEN(_xludf.concat(BQ112:BS112))&gt;0,_xludf.concat("| ",BQ112," | ",BR112," | ",BS112," |"),"")</f>
        <v/>
      </c>
      <c r="BU112" s="29" t="str">
        <f t="shared" si="740"/>
        <v/>
      </c>
      <c r="BV112" s="29" t="str">
        <f>IF(LEN(BP112&amp;BU112)&gt;0,concatll("#### More Information",BP112,BU112),"")</f>
        <v xml:space="preserve">#### More Information_x000D_
_x000D_
* [Official site](http://www.missionsangabriel.org/)
* [California Missions Foundation page](https://californiamissionsfoundation.org/mission-san-gabriel/)
* [Missions California page](https://www.missionscalifornia.com/missions/san-gabriel-arcangel/)
_x000D_
_x000D_
</v>
      </c>
      <c r="BW112" s="29" t="str">
        <f>IF(LEN(M112)&gt;1,concatll("#### Author's Note",M112),"")</f>
        <v/>
      </c>
      <c r="BX112" s="23" t="str">
        <f>IF(AR112,concatll(concatl("---",AS112:AU112,BK112,"---"),L112,BV112:BW112),"")</f>
        <v xml:space="preserve">---_x000D_
title: "Mission San Gabriel Arcangel"_x000D_
location: {lat: 34.0966596731449, lng: -118.106841102688}_x000D_
level: local_x000D_
tags:
- usa
- california_x000D_
- san-gabriel_x000D_
- churches_x000D_
- holy-persons_x000D_
- california-missions_x000D_
- franciscans_x000D_
- junipero-serra_x000D_
_x000D_
---_x000D_
_x000D_
_x000D_
The 4th of the 21 California missions, founded in 1771._x000D_
_x000D_
#### More Information_x000D_
_x000D_
* [Official site](http://www.missionsangabriel.org/)
* [California Missions Foundation page](https://californiamissionsfoundation.org/mission-san-gabriel/)
* [Missions California page](https://www.missionscalifornia.com/missions/san-gabriel-arcangel/)
_x000D_
_x000D_
_x000D_
_x000D_
</v>
      </c>
      <c r="BY112" s="31" t="str">
        <f>IF(AR112,VLOOKUP(B112,'(Ref) Countries'!A:B,2,)&amp;IF(LEN(C112)&gt;1,"-"&amp;LOWER(SUBSTITUTE(C112," ","-")),"")&amp;"-"&amp;LOWER(SUBSTITUTE(G112," ","-"))&amp;".md","")</f>
        <v>us_ca-san-gabriel-mission-san-gabriel.md</v>
      </c>
      <c r="BZ112" s="29" t="str">
        <f>IF(LEN(Y112)&gt;1,VLOOKUP(Y112,'Tag List'!$A:$B,2,),"")</f>
        <v>Franciscian Missions in California</v>
      </c>
      <c r="CA112" s="29" t="str">
        <f>IF(LEN(Z112)&gt;1,VLOOKUP(Z112,'Tag List'!$A:$B,2,),"")</f>
        <v>Order of Friars Minor (Fransiscans)</v>
      </c>
      <c r="CB112" s="29" t="str">
        <f>IF(LEN(AA112)&gt;1,VLOOKUP(AA112,'Tag List'!$A:$B,2,),"")</f>
        <v>St. Junipero Serra, OFM</v>
      </c>
      <c r="CC112" s="29" t="str">
        <f>IF(LEN(Y112)&gt;1,GetTagPage(BZ112,Y112),"")</f>
        <v>[Franciscian Missions in California](/tags/california-missions)</v>
      </c>
      <c r="CD112" s="29" t="str">
        <f>IF(LEN(Z112)&gt;1,GetTagPage(CA112,Z112),"")</f>
        <v>[Order of Friars Minor (Fransiscans)](/tags/franciscans)</v>
      </c>
      <c r="CE112" s="29" t="str">
        <f>IF(LEN(AA112)&gt;1,GetTagPage(CB112,AA112),"")</f>
        <v>[St. Junipero Serra, OFM](/tags/junipero-serra)</v>
      </c>
      <c r="CF112" s="29" t="str">
        <f t="shared" si="741"/>
        <v xml:space="preserve">| [Franciscian Missions in California](/tags/california-missions), [Order of Friars Minor (Fransiscans)](/tags/franciscans), [St. Junipero Serra, OFM](/tags/junipero-serra) </v>
      </c>
      <c r="CG112" s="29" t="str">
        <f t="shared" si="742"/>
        <v xml:space="preserve">| [](/places/us_ca-san-gabriel-mission-san-gabriel) </v>
      </c>
      <c r="CH112" s="29" t="str">
        <f>"| "&amp;IF(AR112,GetTagPage(B112,VLOOKUP(B112,'(Ref) Countries'!A:C,3,)),B112)&amp; " "</f>
        <v xml:space="preserve">| [US California](/tags/usa
- california) </v>
      </c>
      <c r="CI112" s="29" t="str">
        <f t="shared" si="743"/>
        <v xml:space="preserve">|  </v>
      </c>
      <c r="CJ112" s="29" t="str">
        <f t="shared" si="744"/>
        <v xml:space="preserve">| [Link](/places/us_ca-san-gabriel-mission-san-gabriel) </v>
      </c>
      <c r="CK112" s="29" t="str">
        <f t="shared" si="745"/>
        <v xml:space="preserve">
| [](/places/us_ca-san-gabriel-mission-san-gabriel) | [US California](/tags/usa
- california) |  | [Link](/places/us_ca-san-gabriel-mission-san-gabriel) [Official site](http://www.missionsangabriel.org/)| [Franciscian Missions in California](/tags/california-missions), [Order of Friars Minor (Fransiscans)](/tags/franciscans), [St. Junipero Serra, OFM](/tags/junipero-serra) |</v>
      </c>
    </row>
    <row r="113" spans="1:89" ht="24.9" x14ac:dyDescent="0.4">
      <c r="A113" s="14" t="s">
        <v>1320</v>
      </c>
      <c r="B113" s="24" t="s">
        <v>1912</v>
      </c>
      <c r="C113" s="15" t="s">
        <v>2327</v>
      </c>
      <c r="D113" s="15">
        <v>35.2809991057781</v>
      </c>
      <c r="E113" s="49">
        <v>-120.664704058475</v>
      </c>
      <c r="F113" s="24" t="s">
        <v>2307</v>
      </c>
      <c r="G113" s="121" t="s">
        <v>2345</v>
      </c>
      <c r="H113" s="15" t="s">
        <v>1827</v>
      </c>
      <c r="I113" s="15" t="b">
        <v>1</v>
      </c>
      <c r="K113" s="15" t="b">
        <v>1</v>
      </c>
      <c r="L113" s="24" t="s">
        <v>2361</v>
      </c>
      <c r="N113" s="15" t="s">
        <v>2379</v>
      </c>
      <c r="O113" s="15" t="s">
        <v>336</v>
      </c>
      <c r="P113" s="60" t="s">
        <v>2395</v>
      </c>
      <c r="Q113" s="15" t="s">
        <v>2400</v>
      </c>
      <c r="R113" s="64" t="s">
        <v>336</v>
      </c>
      <c r="S113" s="60" t="s">
        <v>2417</v>
      </c>
      <c r="T113" s="15" t="s">
        <v>2422</v>
      </c>
      <c r="U113" s="64" t="s">
        <v>336</v>
      </c>
      <c r="Y113" s="15" t="s">
        <v>2448</v>
      </c>
      <c r="Z113" s="15" t="s">
        <v>2442</v>
      </c>
      <c r="AA113" s="15" t="s">
        <v>2441</v>
      </c>
      <c r="AR113" s="28" t="b">
        <f t="shared" si="713"/>
        <v>1</v>
      </c>
      <c r="AS113" s="29" t="str">
        <f t="shared" si="714"/>
        <v>title: "Mission San Luis Obispo de Tolosa"</v>
      </c>
      <c r="AT113" s="29" t="str">
        <f t="shared" si="715"/>
        <v>location: {lat: 35.2809991057781, lng: -120.664704058475}</v>
      </c>
      <c r="AU113" s="29" t="str">
        <f t="shared" si="716"/>
        <v>level: local</v>
      </c>
      <c r="AV113" s="29" t="str">
        <f>"- "&amp;VLOOKUP(B113,'(Ref) Countries'!A:C,3,)</f>
        <v>- usa
- california</v>
      </c>
      <c r="AW113" s="29" t="str">
        <f t="shared" si="717"/>
        <v>- san-luis-obispo</v>
      </c>
      <c r="AX113" s="29" t="str">
        <f t="shared" si="718"/>
        <v>- churches</v>
      </c>
      <c r="AY113" s="29" t="str">
        <f t="shared" si="719"/>
        <v/>
      </c>
      <c r="AZ113" s="29" t="str">
        <f t="shared" si="720"/>
        <v>- holy-persons</v>
      </c>
      <c r="BA113" s="29" t="str">
        <f t="shared" si="721"/>
        <v>- california-missions</v>
      </c>
      <c r="BB113" s="29" t="str">
        <f t="shared" si="722"/>
        <v>- franciscans</v>
      </c>
      <c r="BC113" s="29" t="str">
        <f t="shared" si="723"/>
        <v>- junipero-serra</v>
      </c>
      <c r="BD113" s="29" t="str">
        <f t="shared" si="724"/>
        <v/>
      </c>
      <c r="BE113" s="29" t="str">
        <f t="shared" si="725"/>
        <v/>
      </c>
      <c r="BF113" s="29" t="str">
        <f t="shared" si="726"/>
        <v/>
      </c>
      <c r="BG113" s="29" t="str">
        <f t="shared" si="727"/>
        <v/>
      </c>
      <c r="BH113" s="29" t="str">
        <f t="shared" si="728"/>
        <v/>
      </c>
      <c r="BI113" s="29" t="str">
        <f t="shared" si="729"/>
        <v/>
      </c>
      <c r="BJ113" s="29" t="str">
        <f t="shared" si="730"/>
        <v/>
      </c>
      <c r="BK113" s="29" t="str">
        <f t="shared" si="731"/>
        <v xml:space="preserve">tags:
- usa
- california_x000D_
- san-luis-obispo_x000D_
- churches_x000D_
- holy-persons_x000D_
- california-missions_x000D_
- franciscans_x000D_
- junipero-serra_x000D_
</v>
      </c>
      <c r="BL113" s="29" t="str">
        <f t="shared" si="732"/>
        <v>[Official site](https://www.missionsanluisobispo.org/)</v>
      </c>
      <c r="BM113" s="29" t="str">
        <f t="shared" si="733"/>
        <v>[California Missions Foundation page](https://californiamissionsfoundation.org/mission-san-luis-obispo/)</v>
      </c>
      <c r="BN113" s="29" t="str">
        <f t="shared" si="734"/>
        <v>[Missions California page](https://www.missionscalifornia.com/missions/san-luis-obispo-de-tolosa/)</v>
      </c>
      <c r="BO113" s="29" t="str">
        <f t="shared" si="735"/>
        <v/>
      </c>
      <c r="BP113" s="29" t="str">
        <f t="shared" si="736"/>
        <v xml:space="preserve">* [Official site](https://www.missionsanluisobispo.org/)
* [California Missions Foundation page](https://californiamissionsfoundation.org/mission-san-luis-obispo/)
* [Missions California page](https://www.missionscalifornia.com/missions/san-luis-obispo-de-tolosa/)
</v>
      </c>
      <c r="BQ113" s="29" t="str">
        <f t="shared" si="737"/>
        <v/>
      </c>
      <c r="BR113" s="29" t="str">
        <f t="shared" si="738"/>
        <v/>
      </c>
      <c r="BS113" s="29" t="str">
        <f t="shared" si="739"/>
        <v/>
      </c>
      <c r="BT113" s="29" t="str">
        <f>IF(LEN(_xludf.concat(BQ113:BS113))&gt;0,_xludf.concat("| ",BQ113," | ",BR113," | ",BS113," |"),"")</f>
        <v/>
      </c>
      <c r="BU113" s="29" t="str">
        <f t="shared" si="740"/>
        <v/>
      </c>
      <c r="BV113" s="29" t="str">
        <f>IF(LEN(BP113&amp;BU113)&gt;0,concatll("#### More Information",BP113,BU113),"")</f>
        <v xml:space="preserve">#### More Information_x000D_
_x000D_
* [Official site](https://www.missionsanluisobispo.org/)
* [California Missions Foundation page](https://californiamissionsfoundation.org/mission-san-luis-obispo/)
* [Missions California page](https://www.missionscalifornia.com/missions/san-luis-obispo-de-tolosa/)
_x000D_
_x000D_
</v>
      </c>
      <c r="BW113" s="29" t="str">
        <f>IF(LEN(M113)&gt;1,concatll("#### Author's Note",M113),"")</f>
        <v/>
      </c>
      <c r="BX113" s="23" t="str">
        <f>IF(AR113,concatll(concatl("---",AS113:AU113,BK113,"---"),L113,BV113:BW113),"")</f>
        <v xml:space="preserve">---_x000D_
title: "Mission San Luis Obispo de Tolosa"_x000D_
location: {lat: 35.2809991057781, lng: -120.664704058475}_x000D_
level: local_x000D_
tags:
- usa
- california_x000D_
- san-luis-obispo_x000D_
- churches_x000D_
- holy-persons_x000D_
- california-missions_x000D_
- franciscans_x000D_
- junipero-serra_x000D_
_x000D_
---_x000D_
_x000D_
_x000D_
The 5th of the 21 California missions, founded in 1772._x000D_
_x000D_
#### More Information_x000D_
_x000D_
* [Official site](https://www.missionsanluisobispo.org/)
* [California Missions Foundation page](https://californiamissionsfoundation.org/mission-san-luis-obispo/)
* [Missions California page](https://www.missionscalifornia.com/missions/san-luis-obispo-de-tolosa/)
_x000D_
_x000D_
_x000D_
_x000D_
</v>
      </c>
      <c r="BY113" s="31" t="str">
        <f>IF(AR113,VLOOKUP(B113,'(Ref) Countries'!A:B,2,)&amp;IF(LEN(C113)&gt;1,"-"&amp;LOWER(SUBSTITUTE(C113," ","-")),"")&amp;"-"&amp;LOWER(SUBSTITUTE(G113," ","-"))&amp;".md","")</f>
        <v>us_ca-san-luis-obispo-mission-san-luis-obispo.md</v>
      </c>
      <c r="BZ113" s="29" t="str">
        <f>IF(LEN(Y113)&gt;1,VLOOKUP(Y113,'Tag List'!$A:$B,2,),"")</f>
        <v>Franciscian Missions in California</v>
      </c>
      <c r="CA113" s="29" t="str">
        <f>IF(LEN(Z113)&gt;1,VLOOKUP(Z113,'Tag List'!$A:$B,2,),"")</f>
        <v>Order of Friars Minor (Fransiscans)</v>
      </c>
      <c r="CB113" s="29" t="str">
        <f>IF(LEN(AA113)&gt;1,VLOOKUP(AA113,'Tag List'!$A:$B,2,),"")</f>
        <v>St. Junipero Serra, OFM</v>
      </c>
      <c r="CC113" s="29" t="str">
        <f>IF(LEN(Y113)&gt;1,GetTagPage(BZ113,Y113),"")</f>
        <v>[Franciscian Missions in California](/tags/california-missions)</v>
      </c>
      <c r="CD113" s="29" t="str">
        <f>IF(LEN(Z113)&gt;1,GetTagPage(CA113,Z113),"")</f>
        <v>[Order of Friars Minor (Fransiscans)](/tags/franciscans)</v>
      </c>
      <c r="CE113" s="29" t="str">
        <f>IF(LEN(AA113)&gt;1,GetTagPage(CB113,AA113),"")</f>
        <v>[St. Junipero Serra, OFM](/tags/junipero-serra)</v>
      </c>
      <c r="CF113" s="29" t="str">
        <f t="shared" si="741"/>
        <v xml:space="preserve">| [Franciscian Missions in California](/tags/california-missions), [Order of Friars Minor (Fransiscans)](/tags/franciscans), [St. Junipero Serra, OFM](/tags/junipero-serra) </v>
      </c>
      <c r="CG113" s="29" t="str">
        <f t="shared" si="742"/>
        <v xml:space="preserve">| [](/places/us_ca-san-luis-obispo-mission-san-luis-obispo) </v>
      </c>
      <c r="CH113" s="29" t="str">
        <f>"| "&amp;IF(AR113,GetTagPage(B113,VLOOKUP(B113,'(Ref) Countries'!A:C,3,)),B113)&amp; " "</f>
        <v xml:space="preserve">| [US California](/tags/usa
- california) </v>
      </c>
      <c r="CI113" s="29" t="str">
        <f t="shared" si="743"/>
        <v xml:space="preserve">|  </v>
      </c>
      <c r="CJ113" s="29" t="str">
        <f t="shared" si="744"/>
        <v xml:space="preserve">| [Link](/places/us_ca-san-luis-obispo-mission-san-luis-obispo) </v>
      </c>
      <c r="CK113" s="29" t="str">
        <f t="shared" si="745"/>
        <v xml:space="preserve">
| [](/places/us_ca-san-luis-obispo-mission-san-luis-obispo) | [US California](/tags/usa
- california) |  | [Link](/places/us_ca-san-luis-obispo-mission-san-luis-obispo) [Official site](https://www.missionsanluisobispo.org/)| [Franciscian Missions in California](/tags/california-missions), [Order of Friars Minor (Fransiscans)](/tags/franciscans), [St. Junipero Serra, OFM](/tags/junipero-serra) |</v>
      </c>
    </row>
    <row r="114" spans="1:89" ht="24.9" x14ac:dyDescent="0.4">
      <c r="A114" s="14" t="s">
        <v>1320</v>
      </c>
      <c r="B114" s="24" t="s">
        <v>1912</v>
      </c>
      <c r="C114" s="15" t="s">
        <v>2328</v>
      </c>
      <c r="D114" s="15">
        <v>37.7643787904628</v>
      </c>
      <c r="E114" s="49">
        <v>-122.426918360256</v>
      </c>
      <c r="F114" s="24" t="s">
        <v>2308</v>
      </c>
      <c r="G114" s="121" t="s">
        <v>2355</v>
      </c>
      <c r="H114" s="15" t="s">
        <v>1827</v>
      </c>
      <c r="I114" s="15" t="b">
        <v>1</v>
      </c>
      <c r="K114" s="15" t="b">
        <v>1</v>
      </c>
      <c r="L114" s="24" t="s">
        <v>2362</v>
      </c>
      <c r="N114" s="15" t="s">
        <v>2380</v>
      </c>
      <c r="O114" s="15" t="s">
        <v>336</v>
      </c>
      <c r="P114" s="60" t="s">
        <v>2395</v>
      </c>
      <c r="Q114" s="15" t="s">
        <v>2401</v>
      </c>
      <c r="R114" s="64" t="s">
        <v>336</v>
      </c>
      <c r="S114" s="60" t="s">
        <v>2417</v>
      </c>
      <c r="T114" s="15" t="s">
        <v>2423</v>
      </c>
      <c r="U114" s="64" t="s">
        <v>336</v>
      </c>
      <c r="Y114" s="15" t="s">
        <v>2448</v>
      </c>
      <c r="Z114" s="15" t="s">
        <v>2442</v>
      </c>
      <c r="AA114" s="15" t="s">
        <v>2441</v>
      </c>
      <c r="AR114" s="28" t="b">
        <f t="shared" si="713"/>
        <v>1</v>
      </c>
      <c r="AS114" s="29" t="str">
        <f t="shared" si="714"/>
        <v>title: "Mission San Francisco de Asis (Mission Dolores)"</v>
      </c>
      <c r="AT114" s="29" t="str">
        <f t="shared" si="715"/>
        <v>location: {lat: 37.7643787904628, lng: -122.426918360256}</v>
      </c>
      <c r="AU114" s="29" t="str">
        <f t="shared" si="716"/>
        <v>level: local</v>
      </c>
      <c r="AV114" s="29" t="str">
        <f>"- "&amp;VLOOKUP(B114,'(Ref) Countries'!A:C,3,)</f>
        <v>- usa
- california</v>
      </c>
      <c r="AW114" s="29" t="str">
        <f t="shared" si="717"/>
        <v>- san-francisco</v>
      </c>
      <c r="AX114" s="29" t="str">
        <f t="shared" si="718"/>
        <v>- churches</v>
      </c>
      <c r="AY114" s="29" t="str">
        <f t="shared" si="719"/>
        <v/>
      </c>
      <c r="AZ114" s="29" t="str">
        <f t="shared" si="720"/>
        <v>- holy-persons</v>
      </c>
      <c r="BA114" s="29" t="str">
        <f t="shared" si="721"/>
        <v>- california-missions</v>
      </c>
      <c r="BB114" s="29" t="str">
        <f t="shared" si="722"/>
        <v>- franciscans</v>
      </c>
      <c r="BC114" s="29" t="str">
        <f t="shared" si="723"/>
        <v>- junipero-serra</v>
      </c>
      <c r="BD114" s="29" t="str">
        <f t="shared" si="724"/>
        <v/>
      </c>
      <c r="BE114" s="29" t="str">
        <f t="shared" si="725"/>
        <v/>
      </c>
      <c r="BF114" s="29" t="str">
        <f t="shared" si="726"/>
        <v/>
      </c>
      <c r="BG114" s="29" t="str">
        <f t="shared" si="727"/>
        <v/>
      </c>
      <c r="BH114" s="29" t="str">
        <f t="shared" si="728"/>
        <v/>
      </c>
      <c r="BI114" s="29" t="str">
        <f t="shared" si="729"/>
        <v/>
      </c>
      <c r="BJ114" s="29" t="str">
        <f t="shared" si="730"/>
        <v/>
      </c>
      <c r="BK114" s="29" t="str">
        <f t="shared" si="731"/>
        <v xml:space="preserve">tags:
- usa
- california_x000D_
- san-francisco_x000D_
- churches_x000D_
- holy-persons_x000D_
- california-missions_x000D_
- franciscans_x000D_
- junipero-serra_x000D_
</v>
      </c>
      <c r="BL114" s="29" t="str">
        <f t="shared" si="732"/>
        <v>[Official site](https://www.missiondolores.org/old-mission)</v>
      </c>
      <c r="BM114" s="29" t="str">
        <f t="shared" si="733"/>
        <v>[California Missions Foundation page](https://californiamissionsfoundation.org/mission-san-francisco-de-asis/)</v>
      </c>
      <c r="BN114" s="29" t="str">
        <f t="shared" si="734"/>
        <v>[Missions California page](https://www.missionscalifornia.com/missions/san-francisco-de-asis/)</v>
      </c>
      <c r="BO114" s="29" t="str">
        <f t="shared" si="735"/>
        <v/>
      </c>
      <c r="BP114" s="29" t="str">
        <f t="shared" si="736"/>
        <v xml:space="preserve">* [Official site](https://www.missiondolores.org/old-mission)
* [California Missions Foundation page](https://californiamissionsfoundation.org/mission-san-francisco-de-asis/)
* [Missions California page](https://www.missionscalifornia.com/missions/san-francisco-de-asis/)
</v>
      </c>
      <c r="BQ114" s="29" t="str">
        <f t="shared" si="737"/>
        <v/>
      </c>
      <c r="BR114" s="29" t="str">
        <f t="shared" si="738"/>
        <v/>
      </c>
      <c r="BS114" s="29" t="str">
        <f t="shared" si="739"/>
        <v/>
      </c>
      <c r="BT114" s="29" t="str">
        <f>IF(LEN(_xludf.concat(BQ114:BS114))&gt;0,_xludf.concat("| ",BQ114," | ",BR114," | ",BS114," |"),"")</f>
        <v/>
      </c>
      <c r="BU114" s="29" t="str">
        <f t="shared" si="740"/>
        <v/>
      </c>
      <c r="BV114" s="29" t="str">
        <f>IF(LEN(BP114&amp;BU114)&gt;0,concatll("#### More Information",BP114,BU114),"")</f>
        <v xml:space="preserve">#### More Information_x000D_
_x000D_
* [Official site](https://www.missiondolores.org/old-mission)
* [California Missions Foundation page](https://californiamissionsfoundation.org/mission-san-francisco-de-asis/)
* [Missions California page](https://www.missionscalifornia.com/missions/san-francisco-de-asis/)
_x000D_
_x000D_
</v>
      </c>
      <c r="BW114" s="29" t="str">
        <f>IF(LEN(M114)&gt;1,concatll("#### Author's Note",M114),"")</f>
        <v/>
      </c>
      <c r="BX114" s="23" t="str">
        <f>IF(AR114,concatll(concatl("---",AS114:AU114,BK114,"---"),L114,BV114:BW114),"")</f>
        <v xml:space="preserve">---_x000D_
title: "Mission San Francisco de Asis (Mission Dolores)"_x000D_
location: {lat: 37.7643787904628, lng: -122.426918360256}_x000D_
level: local_x000D_
tags:
- usa
- california_x000D_
- san-francisco_x000D_
- churches_x000D_
- holy-persons_x000D_
- california-missions_x000D_
- franciscans_x000D_
- junipero-serra_x000D_
_x000D_
---_x000D_
_x000D_
_x000D_
The 6th of the 21 California missions, founded in 1776._x000D_
_x000D_
#### More Information_x000D_
_x000D_
* [Official site](https://www.missiondolores.org/old-mission)
* [California Missions Foundation page](https://californiamissionsfoundation.org/mission-san-francisco-de-asis/)
* [Missions California page](https://www.missionscalifornia.com/missions/san-francisco-de-asis/)
_x000D_
_x000D_
_x000D_
_x000D_
</v>
      </c>
      <c r="BY114" s="31" t="str">
        <f>IF(AR114,VLOOKUP(B114,'(Ref) Countries'!A:B,2,)&amp;IF(LEN(C114)&gt;1,"-"&amp;LOWER(SUBSTITUTE(C114," ","-")),"")&amp;"-"&amp;LOWER(SUBSTITUTE(G114," ","-"))&amp;".md","")</f>
        <v>us_ca-san-francisco-mission-dolores.md</v>
      </c>
      <c r="BZ114" s="29" t="str">
        <f>IF(LEN(Y114)&gt;1,VLOOKUP(Y114,'Tag List'!$A:$B,2,),"")</f>
        <v>Franciscian Missions in California</v>
      </c>
      <c r="CA114" s="29" t="str">
        <f>IF(LEN(Z114)&gt;1,VLOOKUP(Z114,'Tag List'!$A:$B,2,),"")</f>
        <v>Order of Friars Minor (Fransiscans)</v>
      </c>
      <c r="CB114" s="29" t="str">
        <f>IF(LEN(AA114)&gt;1,VLOOKUP(AA114,'Tag List'!$A:$B,2,),"")</f>
        <v>St. Junipero Serra, OFM</v>
      </c>
      <c r="CC114" s="29" t="str">
        <f>IF(LEN(Y114)&gt;1,GetTagPage(BZ114,Y114),"")</f>
        <v>[Franciscian Missions in California](/tags/california-missions)</v>
      </c>
      <c r="CD114" s="29" t="str">
        <f>IF(LEN(Z114)&gt;1,GetTagPage(CA114,Z114),"")</f>
        <v>[Order of Friars Minor (Fransiscans)](/tags/franciscans)</v>
      </c>
      <c r="CE114" s="29" t="str">
        <f>IF(LEN(AA114)&gt;1,GetTagPage(CB114,AA114),"")</f>
        <v>[St. Junipero Serra, OFM](/tags/junipero-serra)</v>
      </c>
      <c r="CF114" s="29" t="str">
        <f t="shared" si="741"/>
        <v xml:space="preserve">| [Franciscian Missions in California](/tags/california-missions), [Order of Friars Minor (Fransiscans)](/tags/franciscans), [St. Junipero Serra, OFM](/tags/junipero-serra) </v>
      </c>
      <c r="CG114" s="29" t="str">
        <f t="shared" si="742"/>
        <v xml:space="preserve">| [](/places/us_ca-san-francisco-mission-dolores) </v>
      </c>
      <c r="CH114" s="29" t="str">
        <f>"| "&amp;IF(AR114,GetTagPage(B114,VLOOKUP(B114,'(Ref) Countries'!A:C,3,)),B114)&amp; " "</f>
        <v xml:space="preserve">| [US California](/tags/usa
- california) </v>
      </c>
      <c r="CI114" s="29" t="str">
        <f t="shared" si="743"/>
        <v xml:space="preserve">|  </v>
      </c>
      <c r="CJ114" s="29" t="str">
        <f t="shared" si="744"/>
        <v xml:space="preserve">| [Link](/places/us_ca-san-francisco-mission-dolores) </v>
      </c>
      <c r="CK114" s="29" t="str">
        <f t="shared" si="745"/>
        <v xml:space="preserve">
| [](/places/us_ca-san-francisco-mission-dolores) | [US California](/tags/usa
- california) |  | [Link](/places/us_ca-san-francisco-mission-dolores) [Official site](https://www.missiondolores.org/old-mission)| [Franciscian Missions in California](/tags/california-missions), [Order of Friars Minor (Fransiscans)](/tags/franciscans), [St. Junipero Serra, OFM](/tags/junipero-serra) |</v>
      </c>
    </row>
    <row r="115" spans="1:89" ht="24.9" x14ac:dyDescent="0.4">
      <c r="A115" s="14" t="s">
        <v>1320</v>
      </c>
      <c r="B115" s="24" t="s">
        <v>1912</v>
      </c>
      <c r="C115" s="15" t="s">
        <v>2329</v>
      </c>
      <c r="D115" s="15">
        <v>33.502028266204697</v>
      </c>
      <c r="E115" s="49">
        <v>-117.662690902704</v>
      </c>
      <c r="F115" s="24" t="s">
        <v>2309</v>
      </c>
      <c r="G115" s="53" t="s">
        <v>2309</v>
      </c>
      <c r="H115" s="15" t="s">
        <v>1827</v>
      </c>
      <c r="I115" s="15" t="b">
        <v>1</v>
      </c>
      <c r="K115" s="15" t="b">
        <v>1</v>
      </c>
      <c r="L115" s="24" t="s">
        <v>2363</v>
      </c>
      <c r="N115" s="15" t="s">
        <v>2381</v>
      </c>
      <c r="O115" s="15" t="s">
        <v>336</v>
      </c>
      <c r="P115" s="60" t="s">
        <v>2395</v>
      </c>
      <c r="Q115" s="15" t="s">
        <v>2402</v>
      </c>
      <c r="R115" s="64" t="s">
        <v>336</v>
      </c>
      <c r="S115" s="60" t="s">
        <v>2417</v>
      </c>
      <c r="T115" s="15" t="s">
        <v>2424</v>
      </c>
      <c r="U115" s="64" t="s">
        <v>336</v>
      </c>
      <c r="Y115" s="15" t="s">
        <v>2448</v>
      </c>
      <c r="Z115" s="15" t="s">
        <v>2442</v>
      </c>
      <c r="AA115" s="15" t="s">
        <v>2441</v>
      </c>
      <c r="AR115" s="28" t="b">
        <f t="shared" si="713"/>
        <v>1</v>
      </c>
      <c r="AS115" s="29" t="str">
        <f t="shared" si="714"/>
        <v>title: "Mission San Juan Capistrano"</v>
      </c>
      <c r="AT115" s="29" t="str">
        <f t="shared" si="715"/>
        <v>location: {lat: 33.5020282662047, lng: -117.662690902704}</v>
      </c>
      <c r="AU115" s="29" t="str">
        <f t="shared" si="716"/>
        <v>level: local</v>
      </c>
      <c r="AV115" s="29" t="str">
        <f>"- "&amp;VLOOKUP(B115,'(Ref) Countries'!A:C,3,)</f>
        <v>- usa
- california</v>
      </c>
      <c r="AW115" s="29" t="str">
        <f t="shared" si="717"/>
        <v>- san-juan-capistrano</v>
      </c>
      <c r="AX115" s="29" t="str">
        <f t="shared" si="718"/>
        <v>- churches</v>
      </c>
      <c r="AY115" s="29" t="str">
        <f t="shared" si="719"/>
        <v/>
      </c>
      <c r="AZ115" s="29" t="str">
        <f t="shared" si="720"/>
        <v>- holy-persons</v>
      </c>
      <c r="BA115" s="29" t="str">
        <f t="shared" si="721"/>
        <v>- california-missions</v>
      </c>
      <c r="BB115" s="29" t="str">
        <f t="shared" si="722"/>
        <v>- franciscans</v>
      </c>
      <c r="BC115" s="29" t="str">
        <f t="shared" si="723"/>
        <v>- junipero-serra</v>
      </c>
      <c r="BD115" s="29" t="str">
        <f t="shared" si="724"/>
        <v/>
      </c>
      <c r="BE115" s="29" t="str">
        <f t="shared" si="725"/>
        <v/>
      </c>
      <c r="BF115" s="29" t="str">
        <f t="shared" si="726"/>
        <v/>
      </c>
      <c r="BG115" s="29" t="str">
        <f t="shared" si="727"/>
        <v/>
      </c>
      <c r="BH115" s="29" t="str">
        <f t="shared" si="728"/>
        <v/>
      </c>
      <c r="BI115" s="29" t="str">
        <f t="shared" si="729"/>
        <v/>
      </c>
      <c r="BJ115" s="29" t="str">
        <f t="shared" si="730"/>
        <v/>
      </c>
      <c r="BK115" s="29" t="str">
        <f t="shared" si="731"/>
        <v xml:space="preserve">tags:
- usa
- california_x000D_
- san-juan-capistrano_x000D_
- churches_x000D_
- holy-persons_x000D_
- california-missions_x000D_
- franciscans_x000D_
- junipero-serra_x000D_
</v>
      </c>
      <c r="BL115" s="29" t="str">
        <f t="shared" si="732"/>
        <v>[Official site](http://www.missionsjc.com/)</v>
      </c>
      <c r="BM115" s="29" t="str">
        <f t="shared" si="733"/>
        <v>[California Missions Foundation page](https://californiamissionsfoundation.org/mission-san-juan-capistrano/)</v>
      </c>
      <c r="BN115" s="29" t="str">
        <f t="shared" si="734"/>
        <v>[Missions California page](https://www.missionscalifornia.com/missions/san-juan-capistrano/)</v>
      </c>
      <c r="BO115" s="29" t="str">
        <f t="shared" si="735"/>
        <v/>
      </c>
      <c r="BP115" s="29" t="str">
        <f t="shared" si="736"/>
        <v xml:space="preserve">* [Official site](http://www.missionsjc.com/)
* [California Missions Foundation page](https://californiamissionsfoundation.org/mission-san-juan-capistrano/)
* [Missions California page](https://www.missionscalifornia.com/missions/san-juan-capistrano/)
</v>
      </c>
      <c r="BQ115" s="29" t="str">
        <f t="shared" si="737"/>
        <v/>
      </c>
      <c r="BR115" s="29" t="str">
        <f t="shared" si="738"/>
        <v/>
      </c>
      <c r="BS115" s="29" t="str">
        <f t="shared" si="739"/>
        <v/>
      </c>
      <c r="BT115" s="29" t="str">
        <f>IF(LEN(_xludf.concat(BQ115:BS115))&gt;0,_xludf.concat("| ",BQ115," | ",BR115," | ",BS115," |"),"")</f>
        <v/>
      </c>
      <c r="BU115" s="29" t="str">
        <f t="shared" si="740"/>
        <v/>
      </c>
      <c r="BV115" s="29" t="str">
        <f>IF(LEN(BP115&amp;BU115)&gt;0,concatll("#### More Information",BP115,BU115),"")</f>
        <v xml:space="preserve">#### More Information_x000D_
_x000D_
* [Official site](http://www.missionsjc.com/)
* [California Missions Foundation page](https://californiamissionsfoundation.org/mission-san-juan-capistrano/)
* [Missions California page](https://www.missionscalifornia.com/missions/san-juan-capistrano/)
_x000D_
_x000D_
</v>
      </c>
      <c r="BW115" s="29" t="str">
        <f>IF(LEN(M115)&gt;1,concatll("#### Author's Note",M115),"")</f>
        <v/>
      </c>
      <c r="BX115" s="23" t="str">
        <f>IF(AR115,concatll(concatl("---",AS115:AU115,BK115,"---"),L115,BV115:BW115),"")</f>
        <v xml:space="preserve">---_x000D_
title: "Mission San Juan Capistrano"_x000D_
location: {lat: 33.5020282662047, lng: -117.662690902704}_x000D_
level: local_x000D_
tags:
- usa
- california_x000D_
- san-juan-capistrano_x000D_
- churches_x000D_
- holy-persons_x000D_
- california-missions_x000D_
- franciscans_x000D_
- junipero-serra_x000D_
_x000D_
---_x000D_
_x000D_
_x000D_
The 7th of the 21 California missions, founded in 1776._x000D_
_x000D_
#### More Information_x000D_
_x000D_
* [Official site](http://www.missionsjc.com/)
* [California Missions Foundation page](https://californiamissionsfoundation.org/mission-san-juan-capistrano/)
* [Missions California page](https://www.missionscalifornia.com/missions/san-juan-capistrano/)
_x000D_
_x000D_
_x000D_
_x000D_
</v>
      </c>
      <c r="BY115" s="31" t="str">
        <f>IF(AR115,VLOOKUP(B115,'(Ref) Countries'!A:B,2,)&amp;IF(LEN(C115)&gt;1,"-"&amp;LOWER(SUBSTITUTE(C115," ","-")),"")&amp;"-"&amp;LOWER(SUBSTITUTE(G115," ","-"))&amp;".md","")</f>
        <v>us_ca-san-juan-capistrano-mission-san-juan-capistrano.md</v>
      </c>
      <c r="BZ115" s="29" t="str">
        <f>IF(LEN(Y115)&gt;1,VLOOKUP(Y115,'Tag List'!$A:$B,2,),"")</f>
        <v>Franciscian Missions in California</v>
      </c>
      <c r="CA115" s="29" t="str">
        <f>IF(LEN(Z115)&gt;1,VLOOKUP(Z115,'Tag List'!$A:$B,2,),"")</f>
        <v>Order of Friars Minor (Fransiscans)</v>
      </c>
      <c r="CB115" s="29" t="str">
        <f>IF(LEN(AA115)&gt;1,VLOOKUP(AA115,'Tag List'!$A:$B,2,),"")</f>
        <v>St. Junipero Serra, OFM</v>
      </c>
      <c r="CC115" s="29" t="str">
        <f>IF(LEN(Y115)&gt;1,GetTagPage(BZ115,Y115),"")</f>
        <v>[Franciscian Missions in California](/tags/california-missions)</v>
      </c>
      <c r="CD115" s="29" t="str">
        <f>IF(LEN(Z115)&gt;1,GetTagPage(CA115,Z115),"")</f>
        <v>[Order of Friars Minor (Fransiscans)](/tags/franciscans)</v>
      </c>
      <c r="CE115" s="29" t="str">
        <f>IF(LEN(AA115)&gt;1,GetTagPage(CB115,AA115),"")</f>
        <v>[St. Junipero Serra, OFM](/tags/junipero-serra)</v>
      </c>
      <c r="CF115" s="29" t="str">
        <f t="shared" si="741"/>
        <v xml:space="preserve">| [Franciscian Missions in California](/tags/california-missions), [Order of Friars Minor (Fransiscans)](/tags/franciscans), [St. Junipero Serra, OFM](/tags/junipero-serra) </v>
      </c>
      <c r="CG115" s="29" t="str">
        <f t="shared" si="742"/>
        <v xml:space="preserve">| [](/places/us_ca-san-juan-capistrano-mission-san-juan-capistrano) </v>
      </c>
      <c r="CH115" s="29" t="str">
        <f>"| "&amp;IF(AR115,GetTagPage(B115,VLOOKUP(B115,'(Ref) Countries'!A:C,3,)),B115)&amp; " "</f>
        <v xml:space="preserve">| [US California](/tags/usa
- california) </v>
      </c>
      <c r="CI115" s="29" t="str">
        <f t="shared" si="743"/>
        <v xml:space="preserve">|  </v>
      </c>
      <c r="CJ115" s="29" t="str">
        <f t="shared" si="744"/>
        <v xml:space="preserve">| [Link](/places/us_ca-san-juan-capistrano-mission-san-juan-capistrano) </v>
      </c>
      <c r="CK115" s="29" t="str">
        <f t="shared" si="745"/>
        <v xml:space="preserve">
| [](/places/us_ca-san-juan-capistrano-mission-san-juan-capistrano) | [US California](/tags/usa
- california) |  | [Link](/places/us_ca-san-juan-capistrano-mission-san-juan-capistrano) [Official site](http://www.missionsjc.com/)| [Franciscian Missions in California](/tags/california-missions), [Order of Friars Minor (Fransiscans)](/tags/franciscans), [St. Junipero Serra, OFM](/tags/junipero-serra) |</v>
      </c>
    </row>
    <row r="116" spans="1:89" ht="24.9" x14ac:dyDescent="0.4">
      <c r="A116" s="14" t="s">
        <v>1320</v>
      </c>
      <c r="B116" s="24" t="s">
        <v>1912</v>
      </c>
      <c r="C116" s="15" t="s">
        <v>2330</v>
      </c>
      <c r="D116" s="15">
        <v>37.349189285345602</v>
      </c>
      <c r="E116" s="49">
        <v>-121.941511544924</v>
      </c>
      <c r="F116" s="24" t="s">
        <v>2310</v>
      </c>
      <c r="G116" s="121" t="s">
        <v>2350</v>
      </c>
      <c r="H116" s="15" t="s">
        <v>1827</v>
      </c>
      <c r="I116" s="15" t="b">
        <v>1</v>
      </c>
      <c r="K116" s="15" t="b">
        <v>1</v>
      </c>
      <c r="L116" s="24" t="s">
        <v>2364</v>
      </c>
      <c r="N116" s="15" t="s">
        <v>2382</v>
      </c>
      <c r="O116" s="15" t="s">
        <v>336</v>
      </c>
      <c r="P116" s="60" t="s">
        <v>2395</v>
      </c>
      <c r="Q116" s="15" t="s">
        <v>2403</v>
      </c>
      <c r="R116" s="64" t="s">
        <v>336</v>
      </c>
      <c r="S116" s="60" t="s">
        <v>2417</v>
      </c>
      <c r="T116" s="15" t="s">
        <v>2425</v>
      </c>
      <c r="U116" s="64" t="s">
        <v>336</v>
      </c>
      <c r="Y116" s="15" t="s">
        <v>2448</v>
      </c>
      <c r="Z116" s="15" t="s">
        <v>2442</v>
      </c>
      <c r="AA116" s="119" t="s">
        <v>2441</v>
      </c>
      <c r="AB116" s="15" t="s">
        <v>2439</v>
      </c>
      <c r="AR116" s="28" t="b">
        <f t="shared" si="713"/>
        <v>1</v>
      </c>
      <c r="AS116" s="29" t="str">
        <f t="shared" si="714"/>
        <v>title: "Mission Santa Clara de Asis"</v>
      </c>
      <c r="AT116" s="29" t="str">
        <f t="shared" si="715"/>
        <v>location: {lat: 37.3491892853456, lng: -121.941511544924}</v>
      </c>
      <c r="AU116" s="29" t="str">
        <f t="shared" si="716"/>
        <v>level: local</v>
      </c>
      <c r="AV116" s="29" t="str">
        <f>"- "&amp;VLOOKUP(B116,'(Ref) Countries'!A:C,3,)</f>
        <v>- usa
- california</v>
      </c>
      <c r="AW116" s="29" t="str">
        <f t="shared" si="717"/>
        <v>- santa-clara</v>
      </c>
      <c r="AX116" s="29" t="str">
        <f t="shared" si="718"/>
        <v>- churches</v>
      </c>
      <c r="AY116" s="29" t="str">
        <f t="shared" si="719"/>
        <v/>
      </c>
      <c r="AZ116" s="29" t="str">
        <f t="shared" si="720"/>
        <v>- holy-persons</v>
      </c>
      <c r="BA116" s="29" t="str">
        <f t="shared" si="721"/>
        <v>- california-missions</v>
      </c>
      <c r="BB116" s="29" t="str">
        <f t="shared" si="722"/>
        <v>- franciscans</v>
      </c>
      <c r="BC116" s="29" t="str">
        <f t="shared" si="723"/>
        <v>- junipero-serra</v>
      </c>
      <c r="BD116" s="29" t="str">
        <f t="shared" si="724"/>
        <v>- schools</v>
      </c>
      <c r="BE116" s="29" t="str">
        <f t="shared" si="725"/>
        <v/>
      </c>
      <c r="BF116" s="29" t="str">
        <f t="shared" si="726"/>
        <v/>
      </c>
      <c r="BG116" s="29" t="str">
        <f t="shared" si="727"/>
        <v/>
      </c>
      <c r="BH116" s="29" t="str">
        <f t="shared" si="728"/>
        <v/>
      </c>
      <c r="BI116" s="29" t="str">
        <f t="shared" si="729"/>
        <v/>
      </c>
      <c r="BJ116" s="29" t="str">
        <f t="shared" si="730"/>
        <v/>
      </c>
      <c r="BK116" s="29" t="str">
        <f t="shared" si="731"/>
        <v xml:space="preserve">tags:
- usa
- california_x000D_
- santa-clara_x000D_
- churches_x000D_
- holy-persons_x000D_
- california-missions_x000D_
- franciscans_x000D_
- junipero-serra_x000D_
- schools_x000D_
</v>
      </c>
      <c r="BL116" s="29" t="str">
        <f t="shared" si="732"/>
        <v>[Official site](https://www.scu.edu/missionchurch/)</v>
      </c>
      <c r="BM116" s="29" t="str">
        <f t="shared" si="733"/>
        <v>[California Missions Foundation page](https://californiamissionsfoundation.org/mission-santa-clara/)</v>
      </c>
      <c r="BN116" s="29" t="str">
        <f t="shared" si="734"/>
        <v>[Missions California page](https://www.missionscalifornia.com/missions/santa-clara-de-asis/)</v>
      </c>
      <c r="BO116" s="29" t="str">
        <f t="shared" si="735"/>
        <v/>
      </c>
      <c r="BP116" s="29" t="str">
        <f t="shared" si="736"/>
        <v xml:space="preserve">* [Official site](https://www.scu.edu/missionchurch/)
* [California Missions Foundation page](https://californiamissionsfoundation.org/mission-santa-clara/)
* [Missions California page](https://www.missionscalifornia.com/missions/santa-clara-de-asis/)
</v>
      </c>
      <c r="BQ116" s="29" t="str">
        <f t="shared" si="737"/>
        <v/>
      </c>
      <c r="BR116" s="29" t="str">
        <f t="shared" si="738"/>
        <v/>
      </c>
      <c r="BS116" s="29" t="str">
        <f t="shared" si="739"/>
        <v/>
      </c>
      <c r="BT116" s="29" t="str">
        <f>IF(LEN(_xludf.concat(BQ116:BS116))&gt;0,_xludf.concat("| ",BQ116," | ",BR116," | ",BS116," |"),"")</f>
        <v/>
      </c>
      <c r="BU116" s="29" t="str">
        <f t="shared" si="740"/>
        <v/>
      </c>
      <c r="BV116" s="29" t="str">
        <f>IF(LEN(BP116&amp;BU116)&gt;0,concatll("#### More Information",BP116,BU116),"")</f>
        <v xml:space="preserve">#### More Information_x000D_
_x000D_
* [Official site](https://www.scu.edu/missionchurch/)
* [California Missions Foundation page](https://californiamissionsfoundation.org/mission-santa-clara/)
* [Missions California page](https://www.missionscalifornia.com/missions/santa-clara-de-asis/)
_x000D_
_x000D_
</v>
      </c>
      <c r="BW116" s="29" t="str">
        <f>IF(LEN(M116)&gt;1,concatll("#### Author's Note",M116),"")</f>
        <v/>
      </c>
      <c r="BX116" s="23" t="str">
        <f>IF(AR116,concatll(concatl("---",AS116:AU116,BK116,"---"),L116,BV116:BW116),"")</f>
        <v xml:space="preserve">---_x000D_
title: "Mission Santa Clara de Asis"_x000D_
location: {lat: 37.3491892853456, lng: -121.941511544924}_x000D_
level: local_x000D_
tags:
- usa
- california_x000D_
- santa-clara_x000D_
- churches_x000D_
- holy-persons_x000D_
- california-missions_x000D_
- franciscans_x000D_
- junipero-serra_x000D_
- schools_x000D_
_x000D_
---_x000D_
_x000D_
_x000D_
The 8th of the 21 California missions, founded in 1777._x000D_
_x000D_
#### More Information_x000D_
_x000D_
* [Official site](https://www.scu.edu/missionchurch/)
* [California Missions Foundation page](https://californiamissionsfoundation.org/mission-santa-clara/)
* [Missions California page](https://www.missionscalifornia.com/missions/santa-clara-de-asis/)
_x000D_
_x000D_
_x000D_
_x000D_
</v>
      </c>
      <c r="BY116" s="31" t="str">
        <f>IF(AR116,VLOOKUP(B116,'(Ref) Countries'!A:B,2,)&amp;IF(LEN(C116)&gt;1,"-"&amp;LOWER(SUBSTITUTE(C116," ","-")),"")&amp;"-"&amp;LOWER(SUBSTITUTE(G116," ","-"))&amp;".md","")</f>
        <v>us_ca-santa-clara-mission-santa-clara.md</v>
      </c>
      <c r="BZ116" s="29" t="str">
        <f>IF(LEN(Y116)&gt;1,VLOOKUP(Y116,'Tag List'!$A:$B,2,),"")</f>
        <v>Franciscian Missions in California</v>
      </c>
      <c r="CA116" s="29" t="str">
        <f>IF(LEN(Z116)&gt;1,VLOOKUP(Z116,'Tag List'!$A:$B,2,),"")</f>
        <v>Order of Friars Minor (Fransiscans)</v>
      </c>
      <c r="CB116" s="29" t="str">
        <f>IF(LEN(AA116)&gt;1,VLOOKUP(AA116,'Tag List'!$A:$B,2,),"")</f>
        <v>St. Junipero Serra, OFM</v>
      </c>
      <c r="CC116" s="29" t="str">
        <f>IF(LEN(Y116)&gt;1,GetTagPage(BZ116,Y116),"")</f>
        <v>[Franciscian Missions in California](/tags/california-missions)</v>
      </c>
      <c r="CD116" s="29" t="str">
        <f>IF(LEN(Z116)&gt;1,GetTagPage(CA116,Z116),"")</f>
        <v>[Order of Friars Minor (Fransiscans)](/tags/franciscans)</v>
      </c>
      <c r="CE116" s="29" t="str">
        <f>IF(LEN(AA116)&gt;1,GetTagPage(CB116,AA116),"")</f>
        <v>[St. Junipero Serra, OFM](/tags/junipero-serra)</v>
      </c>
      <c r="CF116" s="29" t="str">
        <f t="shared" si="741"/>
        <v xml:space="preserve">| [Franciscian Missions in California](/tags/california-missions), [Order of Friars Minor (Fransiscans)](/tags/franciscans), [St. Junipero Serra, OFM](/tags/junipero-serra) </v>
      </c>
      <c r="CG116" s="29" t="str">
        <f t="shared" si="742"/>
        <v xml:space="preserve">| [](/places/us_ca-santa-clara-mission-santa-clara) </v>
      </c>
      <c r="CH116" s="29" t="str">
        <f>"| "&amp;IF(AR116,GetTagPage(B116,VLOOKUP(B116,'(Ref) Countries'!A:C,3,)),B116)&amp; " "</f>
        <v xml:space="preserve">| [US California](/tags/usa
- california) </v>
      </c>
      <c r="CI116" s="29" t="str">
        <f t="shared" si="743"/>
        <v xml:space="preserve">|  </v>
      </c>
      <c r="CJ116" s="29" t="str">
        <f t="shared" si="744"/>
        <v xml:space="preserve">| [Link](/places/us_ca-santa-clara-mission-santa-clara) </v>
      </c>
      <c r="CK116" s="29" t="str">
        <f t="shared" si="745"/>
        <v xml:space="preserve">
| [](/places/us_ca-santa-clara-mission-santa-clara) | [US California](/tags/usa
- california) |  | [Link](/places/us_ca-santa-clara-mission-santa-clara) [Official site](https://www.scu.edu/missionchurch/)| [Franciscian Missions in California](/tags/california-missions), [Order of Friars Minor (Fransiscans)](/tags/franciscans), [St. Junipero Serra, OFM](/tags/junipero-serra) |</v>
      </c>
    </row>
    <row r="117" spans="1:89" ht="24.9" x14ac:dyDescent="0.4">
      <c r="A117" s="14" t="s">
        <v>1320</v>
      </c>
      <c r="B117" s="24" t="s">
        <v>1912</v>
      </c>
      <c r="C117" s="15" t="s">
        <v>2331</v>
      </c>
      <c r="D117" s="15">
        <v>34.281052108004999</v>
      </c>
      <c r="E117" s="49">
        <v>-119.298020331519</v>
      </c>
      <c r="F117" s="24" t="s">
        <v>2311</v>
      </c>
      <c r="G117" s="53" t="s">
        <v>2311</v>
      </c>
      <c r="H117" s="15" t="s">
        <v>1827</v>
      </c>
      <c r="I117" s="15" t="b">
        <v>1</v>
      </c>
      <c r="K117" s="15" t="b">
        <v>1</v>
      </c>
      <c r="L117" s="24" t="s">
        <v>2365</v>
      </c>
      <c r="N117" s="15" t="s">
        <v>2383</v>
      </c>
      <c r="O117" s="15" t="s">
        <v>336</v>
      </c>
      <c r="P117" s="60" t="s">
        <v>2395</v>
      </c>
      <c r="Q117" s="15" t="s">
        <v>2404</v>
      </c>
      <c r="R117" s="64" t="s">
        <v>336</v>
      </c>
      <c r="S117" s="60" t="s">
        <v>2417</v>
      </c>
      <c r="T117" s="15" t="s">
        <v>2426</v>
      </c>
      <c r="U117" s="64" t="s">
        <v>336</v>
      </c>
      <c r="Y117" s="15" t="s">
        <v>2448</v>
      </c>
      <c r="Z117" s="15" t="s">
        <v>2442</v>
      </c>
      <c r="AA117" s="15" t="s">
        <v>2441</v>
      </c>
      <c r="AR117" s="28" t="b">
        <f t="shared" si="713"/>
        <v>1</v>
      </c>
      <c r="AS117" s="29" t="str">
        <f t="shared" si="714"/>
        <v>title: "Mission San Buenaventura"</v>
      </c>
      <c r="AT117" s="29" t="str">
        <f t="shared" si="715"/>
        <v>location: {lat: 34.281052108005, lng: -119.298020331519}</v>
      </c>
      <c r="AU117" s="29" t="str">
        <f t="shared" si="716"/>
        <v>level: local</v>
      </c>
      <c r="AV117" s="29" t="str">
        <f>"- "&amp;VLOOKUP(B117,'(Ref) Countries'!A:C,3,)</f>
        <v>- usa
- california</v>
      </c>
      <c r="AW117" s="29" t="str">
        <f t="shared" si="717"/>
        <v>- ventura</v>
      </c>
      <c r="AX117" s="29" t="str">
        <f t="shared" si="718"/>
        <v>- churches</v>
      </c>
      <c r="AY117" s="29" t="str">
        <f t="shared" si="719"/>
        <v/>
      </c>
      <c r="AZ117" s="29" t="str">
        <f t="shared" si="720"/>
        <v>- holy-persons</v>
      </c>
      <c r="BA117" s="29" t="str">
        <f t="shared" si="721"/>
        <v>- california-missions</v>
      </c>
      <c r="BB117" s="29" t="str">
        <f t="shared" si="722"/>
        <v>- franciscans</v>
      </c>
      <c r="BC117" s="29" t="str">
        <f t="shared" si="723"/>
        <v>- junipero-serra</v>
      </c>
      <c r="BD117" s="29" t="str">
        <f t="shared" si="724"/>
        <v/>
      </c>
      <c r="BE117" s="29" t="str">
        <f t="shared" si="725"/>
        <v/>
      </c>
      <c r="BF117" s="29" t="str">
        <f t="shared" si="726"/>
        <v/>
      </c>
      <c r="BG117" s="29" t="str">
        <f t="shared" si="727"/>
        <v/>
      </c>
      <c r="BH117" s="29" t="str">
        <f t="shared" si="728"/>
        <v/>
      </c>
      <c r="BI117" s="29" t="str">
        <f t="shared" si="729"/>
        <v/>
      </c>
      <c r="BJ117" s="29" t="str">
        <f t="shared" si="730"/>
        <v/>
      </c>
      <c r="BK117" s="29" t="str">
        <f t="shared" si="731"/>
        <v xml:space="preserve">tags:
- usa
- california_x000D_
- ventura_x000D_
- churches_x000D_
- holy-persons_x000D_
- california-missions_x000D_
- franciscans_x000D_
- junipero-serra_x000D_
</v>
      </c>
      <c r="BL117" s="29" t="str">
        <f t="shared" si="732"/>
        <v>[Official site](http://www.sanbuenaventuramission.org/)</v>
      </c>
      <c r="BM117" s="29" t="str">
        <f t="shared" si="733"/>
        <v>[California Missions Foundation page](https://californiamissionsfoundation.org/mission-san-buenaventura/)</v>
      </c>
      <c r="BN117" s="29" t="str">
        <f t="shared" si="734"/>
        <v>[Missions California page](https://www.missionscalifornia.com/missions/san-buenaventura/)</v>
      </c>
      <c r="BO117" s="29" t="str">
        <f t="shared" si="735"/>
        <v/>
      </c>
      <c r="BP117" s="29" t="str">
        <f t="shared" si="736"/>
        <v xml:space="preserve">* [Official site](http://www.sanbuenaventuramission.org/)
* [California Missions Foundation page](https://californiamissionsfoundation.org/mission-san-buenaventura/)
* [Missions California page](https://www.missionscalifornia.com/missions/san-buenaventura/)
</v>
      </c>
      <c r="BQ117" s="29" t="str">
        <f t="shared" si="737"/>
        <v/>
      </c>
      <c r="BR117" s="29" t="str">
        <f t="shared" si="738"/>
        <v/>
      </c>
      <c r="BS117" s="29" t="str">
        <f t="shared" si="739"/>
        <v/>
      </c>
      <c r="BT117" s="29" t="str">
        <f>IF(LEN(_xludf.concat(BQ117:BS117))&gt;0,_xludf.concat("| ",BQ117," | ",BR117," | ",BS117," |"),"")</f>
        <v/>
      </c>
      <c r="BU117" s="29" t="str">
        <f t="shared" si="740"/>
        <v/>
      </c>
      <c r="BV117" s="29" t="str">
        <f>IF(LEN(BP117&amp;BU117)&gt;0,concatll("#### More Information",BP117,BU117),"")</f>
        <v xml:space="preserve">#### More Information_x000D_
_x000D_
* [Official site](http://www.sanbuenaventuramission.org/)
* [California Missions Foundation page](https://californiamissionsfoundation.org/mission-san-buenaventura/)
* [Missions California page](https://www.missionscalifornia.com/missions/san-buenaventura/)
_x000D_
_x000D_
</v>
      </c>
      <c r="BW117" s="29" t="str">
        <f>IF(LEN(M117)&gt;1,concatll("#### Author's Note",M117),"")</f>
        <v/>
      </c>
      <c r="BX117" s="23" t="str">
        <f>IF(AR117,concatll(concatl("---",AS117:AU117,BK117,"---"),L117,BV117:BW117),"")</f>
        <v xml:space="preserve">---_x000D_
title: "Mission San Buenaventura"_x000D_
location: {lat: 34.281052108005, lng: -119.298020331519}_x000D_
level: local_x000D_
tags:
- usa
- california_x000D_
- ventura_x000D_
- churches_x000D_
- holy-persons_x000D_
- california-missions_x000D_
- franciscans_x000D_
- junipero-serra_x000D_
_x000D_
---_x000D_
_x000D_
_x000D_
The 9th of the 21 California missions, founded in 1782._x000D_
_x000D_
#### More Information_x000D_
_x000D_
* [Official site](http://www.sanbuenaventuramission.org/)
* [California Missions Foundation page](https://californiamissionsfoundation.org/mission-san-buenaventura/)
* [Missions California page](https://www.missionscalifornia.com/missions/san-buenaventura/)
_x000D_
_x000D_
_x000D_
_x000D_
</v>
      </c>
      <c r="BY117" s="31" t="str">
        <f>IF(AR117,VLOOKUP(B117,'(Ref) Countries'!A:B,2,)&amp;IF(LEN(C117)&gt;1,"-"&amp;LOWER(SUBSTITUTE(C117," ","-")),"")&amp;"-"&amp;LOWER(SUBSTITUTE(G117," ","-"))&amp;".md","")</f>
        <v>us_ca-ventura-mission-san-buenaventura.md</v>
      </c>
      <c r="BZ117" s="29" t="str">
        <f>IF(LEN(Y117)&gt;1,VLOOKUP(Y117,'Tag List'!$A:$B,2,),"")</f>
        <v>Franciscian Missions in California</v>
      </c>
      <c r="CA117" s="29" t="str">
        <f>IF(LEN(Z117)&gt;1,VLOOKUP(Z117,'Tag List'!$A:$B,2,),"")</f>
        <v>Order of Friars Minor (Fransiscans)</v>
      </c>
      <c r="CB117" s="29" t="str">
        <f>IF(LEN(AA117)&gt;1,VLOOKUP(AA117,'Tag List'!$A:$B,2,),"")</f>
        <v>St. Junipero Serra, OFM</v>
      </c>
      <c r="CC117" s="29" t="str">
        <f>IF(LEN(Y117)&gt;1,GetTagPage(BZ117,Y117),"")</f>
        <v>[Franciscian Missions in California](/tags/california-missions)</v>
      </c>
      <c r="CD117" s="29" t="str">
        <f>IF(LEN(Z117)&gt;1,GetTagPage(CA117,Z117),"")</f>
        <v>[Order of Friars Minor (Fransiscans)](/tags/franciscans)</v>
      </c>
      <c r="CE117" s="29" t="str">
        <f>IF(LEN(AA117)&gt;1,GetTagPage(CB117,AA117),"")</f>
        <v>[St. Junipero Serra, OFM](/tags/junipero-serra)</v>
      </c>
      <c r="CF117" s="29" t="str">
        <f t="shared" si="741"/>
        <v xml:space="preserve">| [Franciscian Missions in California](/tags/california-missions), [Order of Friars Minor (Fransiscans)](/tags/franciscans), [St. Junipero Serra, OFM](/tags/junipero-serra) </v>
      </c>
      <c r="CG117" s="29" t="str">
        <f t="shared" si="742"/>
        <v xml:space="preserve">| [](/places/us_ca-ventura-mission-san-buenaventura) </v>
      </c>
      <c r="CH117" s="29" t="str">
        <f>"| "&amp;IF(AR117,GetTagPage(B117,VLOOKUP(B117,'(Ref) Countries'!A:C,3,)),B117)&amp; " "</f>
        <v xml:space="preserve">| [US California](/tags/usa
- california) </v>
      </c>
      <c r="CI117" s="29" t="str">
        <f t="shared" si="743"/>
        <v xml:space="preserve">|  </v>
      </c>
      <c r="CJ117" s="29" t="str">
        <f t="shared" si="744"/>
        <v xml:space="preserve">| [Link](/places/us_ca-ventura-mission-san-buenaventura) </v>
      </c>
      <c r="CK117" s="29" t="str">
        <f t="shared" si="745"/>
        <v xml:space="preserve">
| [](/places/us_ca-ventura-mission-san-buenaventura) | [US California](/tags/usa
- california) |  | [Link](/places/us_ca-ventura-mission-san-buenaventura) [Official site](http://www.sanbuenaventuramission.org/)| [Franciscian Missions in California](/tags/california-missions), [Order of Friars Minor (Fransiscans)](/tags/franciscans), [St. Junipero Serra, OFM](/tags/junipero-serra) |</v>
      </c>
    </row>
    <row r="118" spans="1:89" ht="24.9" x14ac:dyDescent="0.4">
      <c r="A118" s="14" t="s">
        <v>1320</v>
      </c>
      <c r="B118" s="24" t="s">
        <v>1912</v>
      </c>
      <c r="C118" s="15" t="s">
        <v>2332</v>
      </c>
      <c r="D118" s="15">
        <v>34.438290779208302</v>
      </c>
      <c r="E118" s="49">
        <v>-119.714078531515</v>
      </c>
      <c r="F118" s="24" t="s">
        <v>2312</v>
      </c>
      <c r="G118" s="53" t="s">
        <v>2312</v>
      </c>
      <c r="H118" s="15" t="s">
        <v>1827</v>
      </c>
      <c r="I118" s="15" t="b">
        <v>1</v>
      </c>
      <c r="K118" s="15" t="b">
        <v>1</v>
      </c>
      <c r="L118" s="24" t="s">
        <v>2366</v>
      </c>
      <c r="N118" s="15" t="s">
        <v>2384</v>
      </c>
      <c r="O118" s="15" t="s">
        <v>336</v>
      </c>
      <c r="P118" s="60" t="s">
        <v>2395</v>
      </c>
      <c r="Q118" s="15" t="s">
        <v>2405</v>
      </c>
      <c r="R118" s="64" t="s">
        <v>336</v>
      </c>
      <c r="S118" s="60" t="s">
        <v>2417</v>
      </c>
      <c r="T118" s="15" t="s">
        <v>2427</v>
      </c>
      <c r="U118" s="64" t="s">
        <v>336</v>
      </c>
      <c r="Y118" s="15" t="s">
        <v>2448</v>
      </c>
      <c r="Z118" s="15" t="s">
        <v>2442</v>
      </c>
      <c r="AA118" s="15" t="s">
        <v>1424</v>
      </c>
      <c r="AR118" s="28" t="b">
        <f t="shared" si="713"/>
        <v>1</v>
      </c>
      <c r="AS118" s="29" t="str">
        <f t="shared" si="714"/>
        <v>title: "Mission Santa Barbara"</v>
      </c>
      <c r="AT118" s="29" t="str">
        <f t="shared" si="715"/>
        <v>location: {lat: 34.4382907792083, lng: -119.714078531515}</v>
      </c>
      <c r="AU118" s="29" t="str">
        <f t="shared" si="716"/>
        <v>level: local</v>
      </c>
      <c r="AV118" s="29" t="str">
        <f>"- "&amp;VLOOKUP(B118,'(Ref) Countries'!A:C,3,)</f>
        <v>- usa
- california</v>
      </c>
      <c r="AW118" s="29" t="str">
        <f t="shared" si="717"/>
        <v>- santa-barbara</v>
      </c>
      <c r="AX118" s="29" t="str">
        <f t="shared" si="718"/>
        <v>- churches</v>
      </c>
      <c r="AY118" s="29" t="str">
        <f t="shared" si="719"/>
        <v/>
      </c>
      <c r="AZ118" s="29" t="str">
        <f t="shared" si="720"/>
        <v>- holy-persons</v>
      </c>
      <c r="BA118" s="29" t="str">
        <f t="shared" si="721"/>
        <v>- california-missions</v>
      </c>
      <c r="BB118" s="29" t="str">
        <f t="shared" si="722"/>
        <v>- franciscans</v>
      </c>
      <c r="BC118" s="29" t="str">
        <f t="shared" si="723"/>
        <v>- communities</v>
      </c>
      <c r="BD118" s="29" t="str">
        <f t="shared" si="724"/>
        <v/>
      </c>
      <c r="BE118" s="29" t="str">
        <f t="shared" si="725"/>
        <v/>
      </c>
      <c r="BF118" s="29" t="str">
        <f t="shared" si="726"/>
        <v/>
      </c>
      <c r="BG118" s="29" t="str">
        <f t="shared" si="727"/>
        <v/>
      </c>
      <c r="BH118" s="29" t="str">
        <f t="shared" si="728"/>
        <v/>
      </c>
      <c r="BI118" s="29" t="str">
        <f t="shared" si="729"/>
        <v/>
      </c>
      <c r="BJ118" s="29" t="str">
        <f t="shared" si="730"/>
        <v/>
      </c>
      <c r="BK118" s="29" t="str">
        <f t="shared" si="731"/>
        <v xml:space="preserve">tags:
- usa
- california_x000D_
- santa-barbara_x000D_
- churches_x000D_
- holy-persons_x000D_
- california-missions_x000D_
- franciscans_x000D_
- communities_x000D_
</v>
      </c>
      <c r="BL118" s="29" t="str">
        <f t="shared" si="732"/>
        <v>[Official site](http://www.santabarbaramission.org/)</v>
      </c>
      <c r="BM118" s="29" t="str">
        <f t="shared" si="733"/>
        <v>[California Missions Foundation page](https://californiamissionsfoundation.org/mission-santa-barbara/)</v>
      </c>
      <c r="BN118" s="29" t="str">
        <f t="shared" si="734"/>
        <v>[Missions California page](https://www.missionscalifornia.com/missions/santa-barbara/)</v>
      </c>
      <c r="BO118" s="29" t="str">
        <f t="shared" si="735"/>
        <v/>
      </c>
      <c r="BP118" s="29" t="str">
        <f t="shared" si="736"/>
        <v xml:space="preserve">* [Official site](http://www.santabarbaramission.org/)
* [California Missions Foundation page](https://californiamissionsfoundation.org/mission-santa-barbara/)
* [Missions California page](https://www.missionscalifornia.com/missions/santa-barbara/)
</v>
      </c>
      <c r="BQ118" s="29" t="str">
        <f t="shared" si="737"/>
        <v/>
      </c>
      <c r="BR118" s="29" t="str">
        <f t="shared" si="738"/>
        <v/>
      </c>
      <c r="BS118" s="29" t="str">
        <f t="shared" si="739"/>
        <v/>
      </c>
      <c r="BT118" s="29" t="str">
        <f>IF(LEN(_xludf.concat(BQ118:BS118))&gt;0,_xludf.concat("| ",BQ118," | ",BR118," | ",BS118," |"),"")</f>
        <v/>
      </c>
      <c r="BU118" s="29" t="str">
        <f t="shared" si="740"/>
        <v/>
      </c>
      <c r="BV118" s="29" t="str">
        <f>IF(LEN(BP118&amp;BU118)&gt;0,concatll("#### More Information",BP118,BU118),"")</f>
        <v xml:space="preserve">#### More Information_x000D_
_x000D_
* [Official site](http://www.santabarbaramission.org/)
* [California Missions Foundation page](https://californiamissionsfoundation.org/mission-santa-barbara/)
* [Missions California page](https://www.missionscalifornia.com/missions/santa-barbara/)
_x000D_
_x000D_
</v>
      </c>
      <c r="BW118" s="29" t="str">
        <f>IF(LEN(M118)&gt;1,concatll("#### Author's Note",M118),"")</f>
        <v/>
      </c>
      <c r="BX118" s="23" t="str">
        <f>IF(AR118,concatll(concatl("---",AS118:AU118,BK118,"---"),L118,BV118:BW118),"")</f>
        <v xml:space="preserve">---_x000D_
title: "Mission Santa Barbara"_x000D_
location: {lat: 34.4382907792083, lng: -119.714078531515}_x000D_
level: local_x000D_
tags:
- usa
- california_x000D_
- santa-barbara_x000D_
- churches_x000D_
- holy-persons_x000D_
- california-missions_x000D_
- franciscans_x000D_
- communities_x000D_
_x000D_
---_x000D_
_x000D_
_x000D_
The 10th of the 21 California missions, founded in 1786._x000D_
_x000D_
#### More Information_x000D_
_x000D_
* [Official site](http://www.santabarbaramission.org/)
* [California Missions Foundation page](https://californiamissionsfoundation.org/mission-santa-barbara/)
* [Missions California page](https://www.missionscalifornia.com/missions/santa-barbara/)
_x000D_
_x000D_
_x000D_
_x000D_
</v>
      </c>
      <c r="BY118" s="31" t="str">
        <f>IF(AR118,VLOOKUP(B118,'(Ref) Countries'!A:B,2,)&amp;IF(LEN(C118)&gt;1,"-"&amp;LOWER(SUBSTITUTE(C118," ","-")),"")&amp;"-"&amp;LOWER(SUBSTITUTE(G118," ","-"))&amp;".md","")</f>
        <v>us_ca-santa-barbara-mission-santa-barbara.md</v>
      </c>
      <c r="BZ118" s="29" t="str">
        <f>IF(LEN(Y118)&gt;1,VLOOKUP(Y118,'Tag List'!$A:$B,2,),"")</f>
        <v>Franciscian Missions in California</v>
      </c>
      <c r="CA118" s="29" t="str">
        <f>IF(LEN(Z118)&gt;1,VLOOKUP(Z118,'Tag List'!$A:$B,2,),"")</f>
        <v>Order of Friars Minor (Fransiscans)</v>
      </c>
      <c r="CB118" s="29" t="str">
        <f>IF(LEN(AA118)&gt;1,VLOOKUP(AA118,'Tag List'!$A:$B,2,),"")</f>
        <v>Religious Communities</v>
      </c>
      <c r="CC118" s="29" t="str">
        <f>IF(LEN(Y118)&gt;1,GetTagPage(BZ118,Y118),"")</f>
        <v>[Franciscian Missions in California](/tags/california-missions)</v>
      </c>
      <c r="CD118" s="29" t="str">
        <f>IF(LEN(Z118)&gt;1,GetTagPage(CA118,Z118),"")</f>
        <v>[Order of Friars Minor (Fransiscans)](/tags/franciscans)</v>
      </c>
      <c r="CE118" s="29" t="str">
        <f>IF(LEN(AA118)&gt;1,GetTagPage(CB118,AA118),"")</f>
        <v>[Religious Communities](/tags/communities)</v>
      </c>
      <c r="CF118" s="29" t="str">
        <f t="shared" si="741"/>
        <v xml:space="preserve">| [Franciscian Missions in California](/tags/california-missions), [Order of Friars Minor (Fransiscans)](/tags/franciscans), [Religious Communities](/tags/communities) </v>
      </c>
      <c r="CG118" s="29" t="str">
        <f t="shared" si="742"/>
        <v xml:space="preserve">| [](/places/us_ca-santa-barbara-mission-santa-barbara) </v>
      </c>
      <c r="CH118" s="29" t="str">
        <f>"| "&amp;IF(AR118,GetTagPage(B118,VLOOKUP(B118,'(Ref) Countries'!A:C,3,)),B118)&amp; " "</f>
        <v xml:space="preserve">| [US California](/tags/usa
- california) </v>
      </c>
      <c r="CI118" s="29" t="str">
        <f t="shared" si="743"/>
        <v xml:space="preserve">|  </v>
      </c>
      <c r="CJ118" s="29" t="str">
        <f t="shared" si="744"/>
        <v xml:space="preserve">| [Link](/places/us_ca-santa-barbara-mission-santa-barbara) </v>
      </c>
      <c r="CK118" s="29" t="str">
        <f t="shared" si="745"/>
        <v xml:space="preserve">
| [](/places/us_ca-santa-barbara-mission-santa-barbara) | [US California](/tags/usa
- california) |  | [Link](/places/us_ca-santa-barbara-mission-santa-barbara) [Official site](http://www.santabarbaramission.org/)| [Franciscian Missions in California](/tags/california-missions), [Order of Friars Minor (Fransiscans)](/tags/franciscans), [Religious Communities](/tags/communities) |</v>
      </c>
    </row>
    <row r="119" spans="1:89" ht="24.9" x14ac:dyDescent="0.4">
      <c r="A119" s="14" t="s">
        <v>1320</v>
      </c>
      <c r="B119" s="24" t="s">
        <v>1912</v>
      </c>
      <c r="C119" s="15" t="s">
        <v>2333</v>
      </c>
      <c r="D119" s="15">
        <v>34.669743501321904</v>
      </c>
      <c r="E119" s="49">
        <v>-120.420619002672</v>
      </c>
      <c r="F119" s="24" t="s">
        <v>2313</v>
      </c>
      <c r="G119" s="121" t="s">
        <v>2351</v>
      </c>
      <c r="H119" s="15" t="s">
        <v>1827</v>
      </c>
      <c r="K119" s="15" t="b">
        <v>1</v>
      </c>
      <c r="L119" s="118" t="s">
        <v>2447</v>
      </c>
      <c r="N119" s="15" t="s">
        <v>2385</v>
      </c>
      <c r="O119" s="15" t="s">
        <v>336</v>
      </c>
      <c r="P119" s="60" t="s">
        <v>2395</v>
      </c>
      <c r="Q119" s="15" t="s">
        <v>2406</v>
      </c>
      <c r="R119" s="64" t="s">
        <v>336</v>
      </c>
      <c r="S119" s="60" t="s">
        <v>2417</v>
      </c>
      <c r="T119" s="15" t="s">
        <v>2428</v>
      </c>
      <c r="U119" s="64" t="s">
        <v>336</v>
      </c>
      <c r="Y119" s="15" t="s">
        <v>2448</v>
      </c>
      <c r="Z119" s="15" t="s">
        <v>2442</v>
      </c>
      <c r="AA119" s="119" t="s">
        <v>2130</v>
      </c>
      <c r="AR119" s="28" t="b">
        <f t="shared" si="713"/>
        <v>1</v>
      </c>
      <c r="AS119" s="29" t="str">
        <f t="shared" si="714"/>
        <v>title: "Mission La Purisima Concepcion"</v>
      </c>
      <c r="AT119" s="29" t="str">
        <f t="shared" si="715"/>
        <v>location: {lat: 34.6697435013219, lng: -120.420619002672}</v>
      </c>
      <c r="AU119" s="29" t="str">
        <f t="shared" si="716"/>
        <v>level: local</v>
      </c>
      <c r="AV119" s="29" t="str">
        <f>"- "&amp;VLOOKUP(B119,'(Ref) Countries'!A:C,3,)</f>
        <v>- usa
- california</v>
      </c>
      <c r="AW119" s="29" t="str">
        <f t="shared" si="717"/>
        <v>- lompoc</v>
      </c>
      <c r="AX119" s="29" t="str">
        <f t="shared" si="718"/>
        <v/>
      </c>
      <c r="AY119" s="29" t="str">
        <f t="shared" si="719"/>
        <v/>
      </c>
      <c r="AZ119" s="29" t="str">
        <f t="shared" si="720"/>
        <v>- holy-persons</v>
      </c>
      <c r="BA119" s="29" t="str">
        <f t="shared" si="721"/>
        <v>- california-missions</v>
      </c>
      <c r="BB119" s="29" t="str">
        <f t="shared" si="722"/>
        <v>- franciscans</v>
      </c>
      <c r="BC119" s="29" t="str">
        <f t="shared" si="723"/>
        <v>- closed</v>
      </c>
      <c r="BD119" s="29" t="str">
        <f t="shared" si="724"/>
        <v/>
      </c>
      <c r="BE119" s="29" t="str">
        <f t="shared" si="725"/>
        <v/>
      </c>
      <c r="BF119" s="29" t="str">
        <f t="shared" si="726"/>
        <v/>
      </c>
      <c r="BG119" s="29" t="str">
        <f t="shared" si="727"/>
        <v/>
      </c>
      <c r="BH119" s="29" t="str">
        <f t="shared" si="728"/>
        <v/>
      </c>
      <c r="BI119" s="29" t="str">
        <f t="shared" si="729"/>
        <v/>
      </c>
      <c r="BJ119" s="29" t="str">
        <f t="shared" si="730"/>
        <v/>
      </c>
      <c r="BK119" s="29" t="str">
        <f t="shared" si="731"/>
        <v xml:space="preserve">tags:
- usa
- california_x000D_
- lompoc_x000D_
- holy-persons_x000D_
- california-missions_x000D_
- franciscans_x000D_
- closed_x000D_
</v>
      </c>
      <c r="BL119" s="29" t="str">
        <f t="shared" si="732"/>
        <v>[Official site](http://www.lapurisimamission.org/)</v>
      </c>
      <c r="BM119" s="29" t="str">
        <f t="shared" si="733"/>
        <v>[California Missions Foundation page](https://californiamissionsfoundation.org/mission-la-purisima/)</v>
      </c>
      <c r="BN119" s="29" t="str">
        <f t="shared" si="734"/>
        <v>[Missions California page](https://www.missionscalifornia.com/missions/la-purisima-concepcion/)</v>
      </c>
      <c r="BO119" s="29" t="str">
        <f t="shared" si="735"/>
        <v/>
      </c>
      <c r="BP119" s="29" t="str">
        <f t="shared" si="736"/>
        <v xml:space="preserve">* [Official site](http://www.lapurisimamission.org/)
* [California Missions Foundation page](https://californiamissionsfoundation.org/mission-la-purisima/)
* [Missions California page](https://www.missionscalifornia.com/missions/la-purisima-concepcion/)
</v>
      </c>
      <c r="BQ119" s="29" t="str">
        <f t="shared" si="737"/>
        <v/>
      </c>
      <c r="BR119" s="29" t="str">
        <f t="shared" si="738"/>
        <v/>
      </c>
      <c r="BS119" s="29" t="str">
        <f t="shared" si="739"/>
        <v/>
      </c>
      <c r="BT119" s="29" t="str">
        <f>IF(LEN(_xludf.concat(BQ119:BS119))&gt;0,_xludf.concat("| ",BQ119," | ",BR119," | ",BS119," |"),"")</f>
        <v/>
      </c>
      <c r="BU119" s="29" t="str">
        <f t="shared" si="740"/>
        <v/>
      </c>
      <c r="BV119" s="29" t="str">
        <f>IF(LEN(BP119&amp;BU119)&gt;0,concatll("#### More Information",BP119,BU119),"")</f>
        <v xml:space="preserve">#### More Information_x000D_
_x000D_
* [Official site](http://www.lapurisimamission.org/)
* [California Missions Foundation page](https://californiamissionsfoundation.org/mission-la-purisima/)
* [Missions California page](https://www.missionscalifornia.com/missions/la-purisima-concepcion/)
_x000D_
_x000D_
</v>
      </c>
      <c r="BW119" s="29" t="str">
        <f>IF(LEN(M119)&gt;1,concatll("#### Author's Note",M119),"")</f>
        <v/>
      </c>
      <c r="BX119" s="23" t="str">
        <f>IF(AR119,concatll(concatl("---",AS119:AU119,BK119,"---"),L119,BV119:BW119),"")</f>
        <v xml:space="preserve">---_x000D_
title: "Mission La Purisima Concepcion"_x000D_
location: {lat: 34.6697435013219, lng: -120.420619002672}_x000D_
level: local_x000D_
tags:
- usa
- california_x000D_
- lompoc_x000D_
- holy-persons_x000D_
- california-missions_x000D_
- franciscans_x000D_
- closed_x000D_
_x000D_
---_x000D_
_x000D_
_x000D_
The 11th of the 21 California missions, founded in 1787.  The mission is no longer an active church, but part of a state park which seeks to accurately replicate mission life._x000D_
_x000D_
#### More Information_x000D_
_x000D_
* [Official site](http://www.lapurisimamission.org/)
* [California Missions Foundation page](https://californiamissionsfoundation.org/mission-la-purisima/)
* [Missions California page](https://www.missionscalifornia.com/missions/la-purisima-concepcion/)
_x000D_
_x000D_
_x000D_
_x000D_
</v>
      </c>
      <c r="BY119" s="31" t="str">
        <f>IF(AR119,VLOOKUP(B119,'(Ref) Countries'!A:B,2,)&amp;IF(LEN(C119)&gt;1,"-"&amp;LOWER(SUBSTITUTE(C119," ","-")),"")&amp;"-"&amp;LOWER(SUBSTITUTE(G119," ","-"))&amp;".md","")</f>
        <v>us_ca-lompoc-mission-la-purisima.md</v>
      </c>
      <c r="BZ119" s="29" t="str">
        <f>IF(LEN(Y119)&gt;1,VLOOKUP(Y119,'Tag List'!$A:$B,2,),"")</f>
        <v>Franciscian Missions in California</v>
      </c>
      <c r="CA119" s="29" t="str">
        <f>IF(LEN(Z119)&gt;1,VLOOKUP(Z119,'Tag List'!$A:$B,2,),"")</f>
        <v>Order of Friars Minor (Fransiscans)</v>
      </c>
      <c r="CB119" s="29" t="str">
        <f>IF(LEN(AA119)&gt;1,VLOOKUP(AA119,'Tag List'!$A:$B,2,),"")</f>
        <v>Closed or Deconsecrated Sites</v>
      </c>
      <c r="CC119" s="29" t="str">
        <f>IF(LEN(Y119)&gt;1,GetTagPage(BZ119,Y119),"")</f>
        <v>[Franciscian Missions in California](/tags/california-missions)</v>
      </c>
      <c r="CD119" s="29" t="str">
        <f>IF(LEN(Z119)&gt;1,GetTagPage(CA119,Z119),"")</f>
        <v>[Order of Friars Minor (Fransiscans)](/tags/franciscans)</v>
      </c>
      <c r="CE119" s="29" t="str">
        <f>IF(LEN(AA119)&gt;1,GetTagPage(CB119,AA119),"")</f>
        <v>[Closed or Deconsecrated Sites](/tags/closed)</v>
      </c>
      <c r="CF119" s="29" t="str">
        <f t="shared" si="741"/>
        <v xml:space="preserve">| [Franciscian Missions in California](/tags/california-missions), [Order of Friars Minor (Fransiscans)](/tags/franciscans), [Closed or Deconsecrated Sites](/tags/closed) </v>
      </c>
      <c r="CG119" s="29" t="str">
        <f t="shared" si="742"/>
        <v xml:space="preserve">| [](/places/us_ca-lompoc-mission-la-purisima) </v>
      </c>
      <c r="CH119" s="29" t="str">
        <f>"| "&amp;IF(AR119,GetTagPage(B119,VLOOKUP(B119,'(Ref) Countries'!A:C,3,)),B119)&amp; " "</f>
        <v xml:space="preserve">| [US California](/tags/usa
- california) </v>
      </c>
      <c r="CI119" s="29" t="str">
        <f t="shared" si="743"/>
        <v xml:space="preserve">|  </v>
      </c>
      <c r="CJ119" s="29" t="str">
        <f t="shared" si="744"/>
        <v xml:space="preserve">| [Link](/places/us_ca-lompoc-mission-la-purisima) </v>
      </c>
      <c r="CK119" s="29" t="str">
        <f t="shared" si="745"/>
        <v xml:space="preserve">
| [](/places/us_ca-lompoc-mission-la-purisima) | [US California](/tags/usa
- california) |  | [Link](/places/us_ca-lompoc-mission-la-purisima) [Official site](http://www.lapurisimamission.org/)| [Franciscian Missions in California](/tags/california-missions), [Order of Friars Minor (Fransiscans)](/tags/franciscans), [Closed or Deconsecrated Sites](/tags/closed) |</v>
      </c>
    </row>
    <row r="120" spans="1:89" ht="24.9" x14ac:dyDescent="0.4">
      <c r="A120" s="14" t="s">
        <v>1320</v>
      </c>
      <c r="B120" s="24" t="s">
        <v>1912</v>
      </c>
      <c r="C120" s="15" t="s">
        <v>2334</v>
      </c>
      <c r="D120" s="15">
        <v>36.9781412595296</v>
      </c>
      <c r="E120" s="49">
        <v>-122.029494075624</v>
      </c>
      <c r="F120" s="24" t="s">
        <v>2314</v>
      </c>
      <c r="G120" s="53" t="s">
        <v>2314</v>
      </c>
      <c r="H120" s="15" t="s">
        <v>1827</v>
      </c>
      <c r="I120" s="15" t="b">
        <v>1</v>
      </c>
      <c r="K120" s="15" t="b">
        <v>1</v>
      </c>
      <c r="L120" s="24" t="s">
        <v>2367</v>
      </c>
      <c r="N120" s="15" t="s">
        <v>2386</v>
      </c>
      <c r="O120" s="15" t="s">
        <v>336</v>
      </c>
      <c r="P120" s="60" t="s">
        <v>2395</v>
      </c>
      <c r="Q120" s="15" t="s">
        <v>2407</v>
      </c>
      <c r="R120" s="64" t="s">
        <v>336</v>
      </c>
      <c r="S120" s="60" t="s">
        <v>2417</v>
      </c>
      <c r="T120" s="15" t="s">
        <v>2429</v>
      </c>
      <c r="U120" s="64" t="s">
        <v>336</v>
      </c>
      <c r="Y120" s="15" t="s">
        <v>2448</v>
      </c>
      <c r="Z120" s="15" t="s">
        <v>2442</v>
      </c>
      <c r="AR120" s="28" t="b">
        <f t="shared" si="713"/>
        <v>1</v>
      </c>
      <c r="AS120" s="29" t="str">
        <f t="shared" si="714"/>
        <v>title: "Mission Santa Cruz"</v>
      </c>
      <c r="AT120" s="29" t="str">
        <f t="shared" si="715"/>
        <v>location: {lat: 36.9781412595296, lng: -122.029494075624}</v>
      </c>
      <c r="AU120" s="29" t="str">
        <f t="shared" si="716"/>
        <v>level: local</v>
      </c>
      <c r="AV120" s="29" t="str">
        <f>"- "&amp;VLOOKUP(B120,'(Ref) Countries'!A:C,3,)</f>
        <v>- usa
- california</v>
      </c>
      <c r="AW120" s="29" t="str">
        <f t="shared" si="717"/>
        <v>- santa-cruz</v>
      </c>
      <c r="AX120" s="29" t="str">
        <f t="shared" si="718"/>
        <v>- churches</v>
      </c>
      <c r="AY120" s="29" t="str">
        <f t="shared" si="719"/>
        <v/>
      </c>
      <c r="AZ120" s="29" t="str">
        <f t="shared" si="720"/>
        <v>- holy-persons</v>
      </c>
      <c r="BA120" s="29" t="str">
        <f t="shared" si="721"/>
        <v>- california-missions</v>
      </c>
      <c r="BB120" s="29" t="str">
        <f t="shared" si="722"/>
        <v>- franciscans</v>
      </c>
      <c r="BC120" s="29" t="str">
        <f t="shared" si="723"/>
        <v/>
      </c>
      <c r="BD120" s="29" t="str">
        <f t="shared" si="724"/>
        <v/>
      </c>
      <c r="BE120" s="29" t="str">
        <f t="shared" si="725"/>
        <v/>
      </c>
      <c r="BF120" s="29" t="str">
        <f t="shared" si="726"/>
        <v/>
      </c>
      <c r="BG120" s="29" t="str">
        <f t="shared" si="727"/>
        <v/>
      </c>
      <c r="BH120" s="29" t="str">
        <f t="shared" si="728"/>
        <v/>
      </c>
      <c r="BI120" s="29" t="str">
        <f t="shared" si="729"/>
        <v/>
      </c>
      <c r="BJ120" s="29" t="str">
        <f t="shared" si="730"/>
        <v/>
      </c>
      <c r="BK120" s="29" t="str">
        <f t="shared" si="731"/>
        <v xml:space="preserve">tags:
- usa
- california_x000D_
- santa-cruz_x000D_
- churches_x000D_
- holy-persons_x000D_
- california-missions_x000D_
- franciscans_x000D_
</v>
      </c>
      <c r="BL120" s="29" t="str">
        <f t="shared" si="732"/>
        <v>[Official site](http://www.holycrosssantacruz.com/mission-santa-cruz/)</v>
      </c>
      <c r="BM120" s="29" t="str">
        <f t="shared" si="733"/>
        <v>[California Missions Foundation page](https://californiamissionsfoundation.org/mission-santa-cruz/)</v>
      </c>
      <c r="BN120" s="29" t="str">
        <f t="shared" si="734"/>
        <v>[Missions California page](https://www.missionscalifornia.com/missions/santa-cruz/)</v>
      </c>
      <c r="BO120" s="29" t="str">
        <f t="shared" si="735"/>
        <v/>
      </c>
      <c r="BP120" s="29" t="str">
        <f t="shared" si="736"/>
        <v xml:space="preserve">* [Official site](http://www.holycrosssantacruz.com/mission-santa-cruz/)
* [California Missions Foundation page](https://californiamissionsfoundation.org/mission-santa-cruz/)
* [Missions California page](https://www.missionscalifornia.com/missions/santa-cruz/)
</v>
      </c>
      <c r="BQ120" s="29" t="str">
        <f t="shared" si="737"/>
        <v/>
      </c>
      <c r="BR120" s="29" t="str">
        <f t="shared" si="738"/>
        <v/>
      </c>
      <c r="BS120" s="29" t="str">
        <f t="shared" si="739"/>
        <v/>
      </c>
      <c r="BT120" s="29" t="str">
        <f>IF(LEN(_xludf.concat(BQ120:BS120))&gt;0,_xludf.concat("| ",BQ120," | ",BR120," | ",BS120," |"),"")</f>
        <v/>
      </c>
      <c r="BU120" s="29" t="str">
        <f t="shared" si="740"/>
        <v/>
      </c>
      <c r="BV120" s="29" t="str">
        <f>IF(LEN(BP120&amp;BU120)&gt;0,concatll("#### More Information",BP120,BU120),"")</f>
        <v xml:space="preserve">#### More Information_x000D_
_x000D_
* [Official site](http://www.holycrosssantacruz.com/mission-santa-cruz/)
* [California Missions Foundation page](https://californiamissionsfoundation.org/mission-santa-cruz/)
* [Missions California page](https://www.missionscalifornia.com/missions/santa-cruz/)
_x000D_
_x000D_
</v>
      </c>
      <c r="BW120" s="29" t="str">
        <f>IF(LEN(M120)&gt;1,concatll("#### Author's Note",M120),"")</f>
        <v/>
      </c>
      <c r="BX120" s="23" t="str">
        <f>IF(AR120,concatll(concatl("---",AS120:AU120,BK120,"---"),L120,BV120:BW120),"")</f>
        <v xml:space="preserve">---_x000D_
title: "Mission Santa Cruz"_x000D_
location: {lat: 36.9781412595296, lng: -122.029494075624}_x000D_
level: local_x000D_
tags:
- usa
- california_x000D_
- santa-cruz_x000D_
- churches_x000D_
- holy-persons_x000D_
- california-missions_x000D_
- franciscans_x000D_
_x000D_
---_x000D_
_x000D_
_x000D_
The 12th of the 21 California missions, founded in 1791._x000D_
_x000D_
#### More Information_x000D_
_x000D_
* [Official site](http://www.holycrosssantacruz.com/mission-santa-cruz/)
* [California Missions Foundation page](https://californiamissionsfoundation.org/mission-santa-cruz/)
* [Missions California page](https://www.missionscalifornia.com/missions/santa-cruz/)
_x000D_
_x000D_
_x000D_
_x000D_
</v>
      </c>
      <c r="BY120" s="31" t="str">
        <f>IF(AR120,VLOOKUP(B120,'(Ref) Countries'!A:B,2,)&amp;IF(LEN(C120)&gt;1,"-"&amp;LOWER(SUBSTITUTE(C120," ","-")),"")&amp;"-"&amp;LOWER(SUBSTITUTE(G120," ","-"))&amp;".md","")</f>
        <v>us_ca-santa-cruz-mission-santa-cruz.md</v>
      </c>
      <c r="BZ120" s="29" t="str">
        <f>IF(LEN(Y120)&gt;1,VLOOKUP(Y120,'Tag List'!$A:$B,2,),"")</f>
        <v>Franciscian Missions in California</v>
      </c>
      <c r="CA120" s="29" t="str">
        <f>IF(LEN(Z120)&gt;1,VLOOKUP(Z120,'Tag List'!$A:$B,2,),"")</f>
        <v>Order of Friars Minor (Fransiscans)</v>
      </c>
      <c r="CB120" s="29" t="str">
        <f>IF(LEN(AA120)&gt;1,VLOOKUP(AA120,'Tag List'!$A:$B,2,),"")</f>
        <v/>
      </c>
      <c r="CC120" s="29" t="str">
        <f>IF(LEN(Y120)&gt;1,GetTagPage(BZ120,Y120),"")</f>
        <v>[Franciscian Missions in California](/tags/california-missions)</v>
      </c>
      <c r="CD120" s="29" t="str">
        <f>IF(LEN(Z120)&gt;1,GetTagPage(CA120,Z120),"")</f>
        <v>[Order of Friars Minor (Fransiscans)](/tags/franciscans)</v>
      </c>
      <c r="CE120" s="29" t="str">
        <f>IF(LEN(AA120)&gt;1,GetTagPage(CB120,AA120),"")</f>
        <v/>
      </c>
      <c r="CF120" s="29" t="str">
        <f t="shared" si="741"/>
        <v xml:space="preserve">| [Franciscian Missions in California](/tags/california-missions), [Order of Friars Minor (Fransiscans)](/tags/franciscans) </v>
      </c>
      <c r="CG120" s="29" t="str">
        <f t="shared" si="742"/>
        <v xml:space="preserve">| [](/places/us_ca-santa-cruz-mission-santa-cruz) </v>
      </c>
      <c r="CH120" s="29" t="str">
        <f>"| "&amp;IF(AR120,GetTagPage(B120,VLOOKUP(B120,'(Ref) Countries'!A:C,3,)),B120)&amp; " "</f>
        <v xml:space="preserve">| [US California](/tags/usa
- california) </v>
      </c>
      <c r="CI120" s="29" t="str">
        <f t="shared" si="743"/>
        <v xml:space="preserve">|  </v>
      </c>
      <c r="CJ120" s="29" t="str">
        <f t="shared" si="744"/>
        <v xml:space="preserve">| [Link](/places/us_ca-santa-cruz-mission-santa-cruz) </v>
      </c>
      <c r="CK120" s="29" t="str">
        <f t="shared" si="745"/>
        <v xml:space="preserve">
| [](/places/us_ca-santa-cruz-mission-santa-cruz) | [US California](/tags/usa
- california) |  | [Link](/places/us_ca-santa-cruz-mission-santa-cruz) [Official site](http://www.holycrosssantacruz.com/mission-santa-cruz/)| [Franciscian Missions in California](/tags/california-missions), [Order of Friars Minor (Fransiscans)](/tags/franciscans) |</v>
      </c>
    </row>
    <row r="121" spans="1:89" ht="24.9" x14ac:dyDescent="0.4">
      <c r="A121" s="14" t="s">
        <v>1320</v>
      </c>
      <c r="B121" s="24" t="s">
        <v>1912</v>
      </c>
      <c r="C121" s="15" t="s">
        <v>2335</v>
      </c>
      <c r="D121" s="15">
        <v>36.404839082598102</v>
      </c>
      <c r="E121" s="49">
        <v>-121.35576157378701</v>
      </c>
      <c r="F121" s="24" t="s">
        <v>2315</v>
      </c>
      <c r="G121" s="121" t="s">
        <v>2356</v>
      </c>
      <c r="H121" s="15" t="s">
        <v>1827</v>
      </c>
      <c r="I121" s="15" t="b">
        <v>1</v>
      </c>
      <c r="K121" s="15" t="b">
        <v>1</v>
      </c>
      <c r="L121" s="24" t="s">
        <v>2368</v>
      </c>
      <c r="N121" s="15" t="s">
        <v>2387</v>
      </c>
      <c r="O121" s="15" t="s">
        <v>336</v>
      </c>
      <c r="P121" s="60" t="s">
        <v>2395</v>
      </c>
      <c r="Q121" s="15" t="s">
        <v>2408</v>
      </c>
      <c r="R121" s="64" t="s">
        <v>336</v>
      </c>
      <c r="S121" s="60" t="s">
        <v>2417</v>
      </c>
      <c r="T121" s="15" t="s">
        <v>2430</v>
      </c>
      <c r="U121" s="64" t="s">
        <v>336</v>
      </c>
      <c r="Y121" s="15" t="s">
        <v>2448</v>
      </c>
      <c r="Z121" s="15" t="s">
        <v>2442</v>
      </c>
      <c r="AR121" s="28" t="b">
        <f t="shared" si="713"/>
        <v>1</v>
      </c>
      <c r="AS121" s="29" t="str">
        <f t="shared" si="714"/>
        <v>title: "Mission Nuestra Senora de la Soledad (Mission Soledad)"</v>
      </c>
      <c r="AT121" s="29" t="str">
        <f t="shared" si="715"/>
        <v>location: {lat: 36.4048390825981, lng: -121.355761573787}</v>
      </c>
      <c r="AU121" s="29" t="str">
        <f t="shared" si="716"/>
        <v>level: local</v>
      </c>
      <c r="AV121" s="29" t="str">
        <f>"- "&amp;VLOOKUP(B121,'(Ref) Countries'!A:C,3,)</f>
        <v>- usa
- california</v>
      </c>
      <c r="AW121" s="29" t="str">
        <f t="shared" si="717"/>
        <v>- soledad</v>
      </c>
      <c r="AX121" s="29" t="str">
        <f t="shared" si="718"/>
        <v>- churches</v>
      </c>
      <c r="AY121" s="29" t="str">
        <f t="shared" si="719"/>
        <v/>
      </c>
      <c r="AZ121" s="29" t="str">
        <f t="shared" si="720"/>
        <v>- holy-persons</v>
      </c>
      <c r="BA121" s="29" t="str">
        <f t="shared" si="721"/>
        <v>- california-missions</v>
      </c>
      <c r="BB121" s="29" t="str">
        <f t="shared" si="722"/>
        <v>- franciscans</v>
      </c>
      <c r="BC121" s="29" t="str">
        <f t="shared" si="723"/>
        <v/>
      </c>
      <c r="BD121" s="29" t="str">
        <f t="shared" si="724"/>
        <v/>
      </c>
      <c r="BE121" s="29" t="str">
        <f t="shared" si="725"/>
        <v/>
      </c>
      <c r="BF121" s="29" t="str">
        <f t="shared" si="726"/>
        <v/>
      </c>
      <c r="BG121" s="29" t="str">
        <f t="shared" si="727"/>
        <v/>
      </c>
      <c r="BH121" s="29" t="str">
        <f t="shared" si="728"/>
        <v/>
      </c>
      <c r="BI121" s="29" t="str">
        <f t="shared" si="729"/>
        <v/>
      </c>
      <c r="BJ121" s="29" t="str">
        <f t="shared" si="730"/>
        <v/>
      </c>
      <c r="BK121" s="29" t="str">
        <f t="shared" si="731"/>
        <v xml:space="preserve">tags:
- usa
- california_x000D_
- soledad_x000D_
- churches_x000D_
- holy-persons_x000D_
- california-missions_x000D_
- franciscans_x000D_
</v>
      </c>
      <c r="BL121" s="29" t="str">
        <f t="shared" si="732"/>
        <v>[Official site](http://missionsoledad.com/)</v>
      </c>
      <c r="BM121" s="29" t="str">
        <f t="shared" si="733"/>
        <v>[California Missions Foundation page](https://californiamissionsfoundation.org/mission-la-soledad/)</v>
      </c>
      <c r="BN121" s="29" t="str">
        <f t="shared" si="734"/>
        <v>[Missions California page](https://www.missionscalifornia.com/missions/nuestra-senora-de-la-soledad/)</v>
      </c>
      <c r="BO121" s="29" t="str">
        <f t="shared" si="735"/>
        <v/>
      </c>
      <c r="BP121" s="29" t="str">
        <f t="shared" si="736"/>
        <v xml:space="preserve">* [Official site](http://missionsoledad.com/)
* [California Missions Foundation page](https://californiamissionsfoundation.org/mission-la-soledad/)
* [Missions California page](https://www.missionscalifornia.com/missions/nuestra-senora-de-la-soledad/)
</v>
      </c>
      <c r="BQ121" s="29" t="str">
        <f t="shared" si="737"/>
        <v/>
      </c>
      <c r="BR121" s="29" t="str">
        <f t="shared" si="738"/>
        <v/>
      </c>
      <c r="BS121" s="29" t="str">
        <f t="shared" si="739"/>
        <v/>
      </c>
      <c r="BT121" s="29" t="str">
        <f>IF(LEN(_xludf.concat(BQ121:BS121))&gt;0,_xludf.concat("| ",BQ121," | ",BR121," | ",BS121," |"),"")</f>
        <v/>
      </c>
      <c r="BU121" s="29" t="str">
        <f t="shared" si="740"/>
        <v/>
      </c>
      <c r="BV121" s="29" t="str">
        <f>IF(LEN(BP121&amp;BU121)&gt;0,concatll("#### More Information",BP121,BU121),"")</f>
        <v xml:space="preserve">#### More Information_x000D_
_x000D_
* [Official site](http://missionsoledad.com/)
* [California Missions Foundation page](https://californiamissionsfoundation.org/mission-la-soledad/)
* [Missions California page](https://www.missionscalifornia.com/missions/nuestra-senora-de-la-soledad/)
_x000D_
_x000D_
</v>
      </c>
      <c r="BW121" s="29" t="str">
        <f>IF(LEN(M121)&gt;1,concatll("#### Author's Note",M121),"")</f>
        <v/>
      </c>
      <c r="BX121" s="23" t="str">
        <f>IF(AR121,concatll(concatl("---",AS121:AU121,BK121,"---"),L121,BV121:BW121),"")</f>
        <v xml:space="preserve">---_x000D_
title: "Mission Nuestra Senora de la Soledad (Mission Soledad)"_x000D_
location: {lat: 36.4048390825981, lng: -121.355761573787}_x000D_
level: local_x000D_
tags:
- usa
- california_x000D_
- soledad_x000D_
- churches_x000D_
- holy-persons_x000D_
- california-missions_x000D_
- franciscans_x000D_
_x000D_
---_x000D_
_x000D_
_x000D_
The 13th of the 21 California missions, founded in 1791._x000D_
_x000D_
#### More Information_x000D_
_x000D_
* [Official site](http://missionsoledad.com/)
* [California Missions Foundation page](https://californiamissionsfoundation.org/mission-la-soledad/)
* [Missions California page](https://www.missionscalifornia.com/missions/nuestra-senora-de-la-soledad/)
_x000D_
_x000D_
_x000D_
_x000D_
</v>
      </c>
      <c r="BY121" s="31" t="str">
        <f>IF(AR121,VLOOKUP(B121,'(Ref) Countries'!A:B,2,)&amp;IF(LEN(C121)&gt;1,"-"&amp;LOWER(SUBSTITUTE(C121," ","-")),"")&amp;"-"&amp;LOWER(SUBSTITUTE(G121," ","-"))&amp;".md","")</f>
        <v>us_ca-soledad-mission-soledad.md</v>
      </c>
      <c r="BZ121" s="29" t="str">
        <f>IF(LEN(Y121)&gt;1,VLOOKUP(Y121,'Tag List'!$A:$B,2,),"")</f>
        <v>Franciscian Missions in California</v>
      </c>
      <c r="CA121" s="29" t="str">
        <f>IF(LEN(Z121)&gt;1,VLOOKUP(Z121,'Tag List'!$A:$B,2,),"")</f>
        <v>Order of Friars Minor (Fransiscans)</v>
      </c>
      <c r="CB121" s="29" t="str">
        <f>IF(LEN(AA121)&gt;1,VLOOKUP(AA121,'Tag List'!$A:$B,2,),"")</f>
        <v/>
      </c>
      <c r="CC121" s="29" t="str">
        <f>IF(LEN(Y121)&gt;1,GetTagPage(BZ121,Y121),"")</f>
        <v>[Franciscian Missions in California](/tags/california-missions)</v>
      </c>
      <c r="CD121" s="29" t="str">
        <f>IF(LEN(Z121)&gt;1,GetTagPage(CA121,Z121),"")</f>
        <v>[Order of Friars Minor (Fransiscans)](/tags/franciscans)</v>
      </c>
      <c r="CE121" s="29" t="str">
        <f>IF(LEN(AA121)&gt;1,GetTagPage(CB121,AA121),"")</f>
        <v/>
      </c>
      <c r="CF121" s="29" t="str">
        <f t="shared" si="741"/>
        <v xml:space="preserve">| [Franciscian Missions in California](/tags/california-missions), [Order of Friars Minor (Fransiscans)](/tags/franciscans) </v>
      </c>
      <c r="CG121" s="29" t="str">
        <f t="shared" si="742"/>
        <v xml:space="preserve">| [](/places/us_ca-soledad-mission-soledad) </v>
      </c>
      <c r="CH121" s="29" t="str">
        <f>"| "&amp;IF(AR121,GetTagPage(B121,VLOOKUP(B121,'(Ref) Countries'!A:C,3,)),B121)&amp; " "</f>
        <v xml:space="preserve">| [US California](/tags/usa
- california) </v>
      </c>
      <c r="CI121" s="29" t="str">
        <f t="shared" si="743"/>
        <v xml:space="preserve">|  </v>
      </c>
      <c r="CJ121" s="29" t="str">
        <f t="shared" si="744"/>
        <v xml:space="preserve">| [Link](/places/us_ca-soledad-mission-soledad) </v>
      </c>
      <c r="CK121" s="29" t="str">
        <f t="shared" si="745"/>
        <v xml:space="preserve">
| [](/places/us_ca-soledad-mission-soledad) | [US California](/tags/usa
- california) |  | [Link](/places/us_ca-soledad-mission-soledad) [Official site](http://missionsoledad.com/)| [Franciscian Missions in California](/tags/california-missions), [Order of Friars Minor (Fransiscans)](/tags/franciscans) |</v>
      </c>
    </row>
    <row r="122" spans="1:89" ht="24.9" x14ac:dyDescent="0.4">
      <c r="A122" s="14" t="s">
        <v>1320</v>
      </c>
      <c r="B122" s="24" t="s">
        <v>1912</v>
      </c>
      <c r="C122" s="15" t="s">
        <v>2336</v>
      </c>
      <c r="D122" s="15">
        <v>37.533403637449297</v>
      </c>
      <c r="E122" s="49">
        <v>-121.919695300919</v>
      </c>
      <c r="F122" s="24" t="s">
        <v>2316</v>
      </c>
      <c r="G122" s="53" t="s">
        <v>2316</v>
      </c>
      <c r="H122" s="15" t="s">
        <v>1827</v>
      </c>
      <c r="I122" s="15" t="b">
        <v>1</v>
      </c>
      <c r="K122" s="15" t="b">
        <v>1</v>
      </c>
      <c r="L122" s="24" t="s">
        <v>2369</v>
      </c>
      <c r="N122" s="15" t="s">
        <v>2388</v>
      </c>
      <c r="O122" s="15" t="s">
        <v>336</v>
      </c>
      <c r="P122" s="60" t="s">
        <v>2395</v>
      </c>
      <c r="Q122" s="15" t="s">
        <v>2409</v>
      </c>
      <c r="R122" s="64" t="s">
        <v>336</v>
      </c>
      <c r="S122" s="60" t="s">
        <v>2417</v>
      </c>
      <c r="T122" s="15" t="s">
        <v>2431</v>
      </c>
      <c r="U122" s="64" t="s">
        <v>336</v>
      </c>
      <c r="Y122" s="15" t="s">
        <v>2448</v>
      </c>
      <c r="Z122" s="15" t="s">
        <v>2442</v>
      </c>
      <c r="AR122" s="28" t="b">
        <f t="shared" si="713"/>
        <v>1</v>
      </c>
      <c r="AS122" s="29" t="str">
        <f t="shared" si="714"/>
        <v>title: "Mission San Jose"</v>
      </c>
      <c r="AT122" s="29" t="str">
        <f t="shared" si="715"/>
        <v>location: {lat: 37.5334036374493, lng: -121.919695300919}</v>
      </c>
      <c r="AU122" s="29" t="str">
        <f t="shared" si="716"/>
        <v>level: local</v>
      </c>
      <c r="AV122" s="29" t="str">
        <f>"- "&amp;VLOOKUP(B122,'(Ref) Countries'!A:C,3,)</f>
        <v>- usa
- california</v>
      </c>
      <c r="AW122" s="29" t="str">
        <f t="shared" si="717"/>
        <v>- fremont</v>
      </c>
      <c r="AX122" s="29" t="str">
        <f t="shared" si="718"/>
        <v>- churches</v>
      </c>
      <c r="AY122" s="29" t="str">
        <f t="shared" si="719"/>
        <v/>
      </c>
      <c r="AZ122" s="29" t="str">
        <f t="shared" si="720"/>
        <v>- holy-persons</v>
      </c>
      <c r="BA122" s="29" t="str">
        <f t="shared" si="721"/>
        <v>- california-missions</v>
      </c>
      <c r="BB122" s="29" t="str">
        <f t="shared" si="722"/>
        <v>- franciscans</v>
      </c>
      <c r="BC122" s="29" t="str">
        <f t="shared" si="723"/>
        <v/>
      </c>
      <c r="BD122" s="29" t="str">
        <f t="shared" si="724"/>
        <v/>
      </c>
      <c r="BE122" s="29" t="str">
        <f t="shared" si="725"/>
        <v/>
      </c>
      <c r="BF122" s="29" t="str">
        <f t="shared" si="726"/>
        <v/>
      </c>
      <c r="BG122" s="29" t="str">
        <f t="shared" si="727"/>
        <v/>
      </c>
      <c r="BH122" s="29" t="str">
        <f t="shared" si="728"/>
        <v/>
      </c>
      <c r="BI122" s="29" t="str">
        <f t="shared" si="729"/>
        <v/>
      </c>
      <c r="BJ122" s="29" t="str">
        <f t="shared" si="730"/>
        <v/>
      </c>
      <c r="BK122" s="29" t="str">
        <f t="shared" si="731"/>
        <v xml:space="preserve">tags:
- usa
- california_x000D_
- fremont_x000D_
- churches_x000D_
- holy-persons_x000D_
- california-missions_x000D_
- franciscans_x000D_
</v>
      </c>
      <c r="BL122" s="29" t="str">
        <f t="shared" si="732"/>
        <v>[Official site](http://www.missionsanjose.org/)</v>
      </c>
      <c r="BM122" s="29" t="str">
        <f t="shared" si="733"/>
        <v>[California Missions Foundation page](https://californiamissionsfoundation.org/mission-san-jose/)</v>
      </c>
      <c r="BN122" s="29" t="str">
        <f t="shared" si="734"/>
        <v>[Missions California page](https://www.missionscalifornia.com/missions/san-jose/)</v>
      </c>
      <c r="BO122" s="29" t="str">
        <f t="shared" si="735"/>
        <v/>
      </c>
      <c r="BP122" s="29" t="str">
        <f t="shared" si="736"/>
        <v xml:space="preserve">* [Official site](http://www.missionsanjose.org/)
* [California Missions Foundation page](https://californiamissionsfoundation.org/mission-san-jose/)
* [Missions California page](https://www.missionscalifornia.com/missions/san-jose/)
</v>
      </c>
      <c r="BQ122" s="29" t="str">
        <f t="shared" si="737"/>
        <v/>
      </c>
      <c r="BR122" s="29" t="str">
        <f t="shared" si="738"/>
        <v/>
      </c>
      <c r="BS122" s="29" t="str">
        <f t="shared" si="739"/>
        <v/>
      </c>
      <c r="BT122" s="29" t="str">
        <f>IF(LEN(_xludf.concat(BQ122:BS122))&gt;0,_xludf.concat("| ",BQ122," | ",BR122," | ",BS122," |"),"")</f>
        <v/>
      </c>
      <c r="BU122" s="29" t="str">
        <f t="shared" si="740"/>
        <v/>
      </c>
      <c r="BV122" s="29" t="str">
        <f>IF(LEN(BP122&amp;BU122)&gt;0,concatll("#### More Information",BP122,BU122),"")</f>
        <v xml:space="preserve">#### More Information_x000D_
_x000D_
* [Official site](http://www.missionsanjose.org/)
* [California Missions Foundation page](https://californiamissionsfoundation.org/mission-san-jose/)
* [Missions California page](https://www.missionscalifornia.com/missions/san-jose/)
_x000D_
_x000D_
</v>
      </c>
      <c r="BW122" s="29" t="str">
        <f>IF(LEN(M122)&gt;1,concatll("#### Author's Note",M122),"")</f>
        <v/>
      </c>
      <c r="BX122" s="23" t="str">
        <f>IF(AR122,concatll(concatl("---",AS122:AU122,BK122,"---"),L122,BV122:BW122),"")</f>
        <v xml:space="preserve">---_x000D_
title: "Mission San Jose"_x000D_
location: {lat: 37.5334036374493, lng: -121.919695300919}_x000D_
level: local_x000D_
tags:
- usa
- california_x000D_
- fremont_x000D_
- churches_x000D_
- holy-persons_x000D_
- california-missions_x000D_
- franciscans_x000D_
_x000D_
---_x000D_
_x000D_
_x000D_
The 14th of the 21 California missions, founded in 1797._x000D_
_x000D_
#### More Information_x000D_
_x000D_
* [Official site](http://www.missionsanjose.org/)
* [California Missions Foundation page](https://californiamissionsfoundation.org/mission-san-jose/)
* [Missions California page](https://www.missionscalifornia.com/missions/san-jose/)
_x000D_
_x000D_
_x000D_
_x000D_
</v>
      </c>
      <c r="BY122" s="31" t="str">
        <f>IF(AR122,VLOOKUP(B122,'(Ref) Countries'!A:B,2,)&amp;IF(LEN(C122)&gt;1,"-"&amp;LOWER(SUBSTITUTE(C122," ","-")),"")&amp;"-"&amp;LOWER(SUBSTITUTE(G122," ","-"))&amp;".md","")</f>
        <v>us_ca-fremont-mission-san-jose.md</v>
      </c>
      <c r="BZ122" s="29" t="str">
        <f>IF(LEN(Y122)&gt;1,VLOOKUP(Y122,'Tag List'!$A:$B,2,),"")</f>
        <v>Franciscian Missions in California</v>
      </c>
      <c r="CA122" s="29" t="str">
        <f>IF(LEN(Z122)&gt;1,VLOOKUP(Z122,'Tag List'!$A:$B,2,),"")</f>
        <v>Order of Friars Minor (Fransiscans)</v>
      </c>
      <c r="CB122" s="29" t="str">
        <f>IF(LEN(AA122)&gt;1,VLOOKUP(AA122,'Tag List'!$A:$B,2,),"")</f>
        <v/>
      </c>
      <c r="CC122" s="29" t="str">
        <f>IF(LEN(Y122)&gt;1,GetTagPage(BZ122,Y122),"")</f>
        <v>[Franciscian Missions in California](/tags/california-missions)</v>
      </c>
      <c r="CD122" s="29" t="str">
        <f>IF(LEN(Z122)&gt;1,GetTagPage(CA122,Z122),"")</f>
        <v>[Order of Friars Minor (Fransiscans)](/tags/franciscans)</v>
      </c>
      <c r="CE122" s="29" t="str">
        <f>IF(LEN(AA122)&gt;1,GetTagPage(CB122,AA122),"")</f>
        <v/>
      </c>
      <c r="CF122" s="29" t="str">
        <f t="shared" si="741"/>
        <v xml:space="preserve">| [Franciscian Missions in California](/tags/california-missions), [Order of Friars Minor (Fransiscans)](/tags/franciscans) </v>
      </c>
      <c r="CG122" s="29" t="str">
        <f t="shared" si="742"/>
        <v xml:space="preserve">| [](/places/us_ca-fremont-mission-san-jose) </v>
      </c>
      <c r="CH122" s="29" t="str">
        <f>"| "&amp;IF(AR122,GetTagPage(B122,VLOOKUP(B122,'(Ref) Countries'!A:C,3,)),B122)&amp; " "</f>
        <v xml:space="preserve">| [US California](/tags/usa
- california) </v>
      </c>
      <c r="CI122" s="29" t="str">
        <f t="shared" si="743"/>
        <v xml:space="preserve">|  </v>
      </c>
      <c r="CJ122" s="29" t="str">
        <f t="shared" si="744"/>
        <v xml:space="preserve">| [Link](/places/us_ca-fremont-mission-san-jose) </v>
      </c>
      <c r="CK122" s="29" t="str">
        <f t="shared" si="745"/>
        <v xml:space="preserve">
| [](/places/us_ca-fremont-mission-san-jose) | [US California](/tags/usa
- california) |  | [Link](/places/us_ca-fremont-mission-san-jose) [Official site](http://www.missionsanjose.org/)| [Franciscian Missions in California](/tags/california-missions), [Order of Friars Minor (Fransiscans)](/tags/franciscans) |</v>
      </c>
    </row>
    <row r="123" spans="1:89" ht="24.9" x14ac:dyDescent="0.4">
      <c r="A123" s="14" t="s">
        <v>1320</v>
      </c>
      <c r="B123" s="24" t="s">
        <v>1912</v>
      </c>
      <c r="C123" s="15" t="s">
        <v>2337</v>
      </c>
      <c r="D123" s="15">
        <v>36.845891014947597</v>
      </c>
      <c r="E123" s="49">
        <v>-121.53575268911899</v>
      </c>
      <c r="F123" s="24" t="s">
        <v>2317</v>
      </c>
      <c r="G123" s="53" t="s">
        <v>2317</v>
      </c>
      <c r="H123" s="15" t="s">
        <v>1827</v>
      </c>
      <c r="I123" s="15" t="b">
        <v>1</v>
      </c>
      <c r="K123" s="15" t="b">
        <v>1</v>
      </c>
      <c r="L123" s="24" t="s">
        <v>2370</v>
      </c>
      <c r="N123" s="15" t="s">
        <v>2389</v>
      </c>
      <c r="O123" s="15" t="s">
        <v>336</v>
      </c>
      <c r="P123" s="60" t="s">
        <v>2395</v>
      </c>
      <c r="Q123" s="15" t="s">
        <v>2410</v>
      </c>
      <c r="R123" s="64" t="s">
        <v>336</v>
      </c>
      <c r="S123" s="60" t="s">
        <v>2417</v>
      </c>
      <c r="T123" s="15" t="s">
        <v>2432</v>
      </c>
      <c r="U123" s="64" t="s">
        <v>336</v>
      </c>
      <c r="Y123" s="15" t="s">
        <v>2448</v>
      </c>
      <c r="Z123" s="15" t="s">
        <v>2442</v>
      </c>
      <c r="AR123" s="28" t="b">
        <f t="shared" si="713"/>
        <v>1</v>
      </c>
      <c r="AS123" s="29" t="str">
        <f t="shared" si="714"/>
        <v>title: "Mission San Juan Bautista"</v>
      </c>
      <c r="AT123" s="29" t="str">
        <f t="shared" si="715"/>
        <v>location: {lat: 36.8458910149476, lng: -121.535752689119}</v>
      </c>
      <c r="AU123" s="29" t="str">
        <f t="shared" si="716"/>
        <v>level: local</v>
      </c>
      <c r="AV123" s="29" t="str">
        <f>"- "&amp;VLOOKUP(B123,'(Ref) Countries'!A:C,3,)</f>
        <v>- usa
- california</v>
      </c>
      <c r="AW123" s="29" t="str">
        <f t="shared" si="717"/>
        <v>- san-juan-bautista</v>
      </c>
      <c r="AX123" s="29" t="str">
        <f t="shared" si="718"/>
        <v>- churches</v>
      </c>
      <c r="AY123" s="29" t="str">
        <f t="shared" si="719"/>
        <v/>
      </c>
      <c r="AZ123" s="29" t="str">
        <f t="shared" si="720"/>
        <v>- holy-persons</v>
      </c>
      <c r="BA123" s="29" t="str">
        <f t="shared" si="721"/>
        <v>- california-missions</v>
      </c>
      <c r="BB123" s="29" t="str">
        <f t="shared" si="722"/>
        <v>- franciscans</v>
      </c>
      <c r="BC123" s="29" t="str">
        <f t="shared" si="723"/>
        <v/>
      </c>
      <c r="BD123" s="29" t="str">
        <f t="shared" si="724"/>
        <v/>
      </c>
      <c r="BE123" s="29" t="str">
        <f t="shared" si="725"/>
        <v/>
      </c>
      <c r="BF123" s="29" t="str">
        <f t="shared" si="726"/>
        <v/>
      </c>
      <c r="BG123" s="29" t="str">
        <f t="shared" si="727"/>
        <v/>
      </c>
      <c r="BH123" s="29" t="str">
        <f t="shared" si="728"/>
        <v/>
      </c>
      <c r="BI123" s="29" t="str">
        <f t="shared" si="729"/>
        <v/>
      </c>
      <c r="BJ123" s="29" t="str">
        <f t="shared" si="730"/>
        <v/>
      </c>
      <c r="BK123" s="29" t="str">
        <f t="shared" si="731"/>
        <v xml:space="preserve">tags:
- usa
- california_x000D_
- san-juan-bautista_x000D_
- churches_x000D_
- holy-persons_x000D_
- california-missions_x000D_
- franciscans_x000D_
</v>
      </c>
      <c r="BL123" s="29" t="str">
        <f t="shared" si="732"/>
        <v>[Official site](http://www.oldmissionsjb.org/)</v>
      </c>
      <c r="BM123" s="29" t="str">
        <f t="shared" si="733"/>
        <v>[California Missions Foundation page](https://californiamissionsfoundation.org/mission-san-juan-bautista/)</v>
      </c>
      <c r="BN123" s="29" t="str">
        <f t="shared" si="734"/>
        <v>[Missions California page](https://www.missionscalifornia.com/missions/san-juan-bautista/)</v>
      </c>
      <c r="BO123" s="29" t="str">
        <f t="shared" si="735"/>
        <v/>
      </c>
      <c r="BP123" s="29" t="str">
        <f t="shared" si="736"/>
        <v xml:space="preserve">* [Official site](http://www.oldmissionsjb.org/)
* [California Missions Foundation page](https://californiamissionsfoundation.org/mission-san-juan-bautista/)
* [Missions California page](https://www.missionscalifornia.com/missions/san-juan-bautista/)
</v>
      </c>
      <c r="BQ123" s="29" t="str">
        <f t="shared" si="737"/>
        <v/>
      </c>
      <c r="BR123" s="29" t="str">
        <f t="shared" si="738"/>
        <v/>
      </c>
      <c r="BS123" s="29" t="str">
        <f t="shared" si="739"/>
        <v/>
      </c>
      <c r="BT123" s="29" t="str">
        <f>IF(LEN(_xludf.concat(BQ123:BS123))&gt;0,_xludf.concat("| ",BQ123," | ",BR123," | ",BS123," |"),"")</f>
        <v/>
      </c>
      <c r="BU123" s="29" t="str">
        <f t="shared" si="740"/>
        <v/>
      </c>
      <c r="BV123" s="29" t="str">
        <f>IF(LEN(BP123&amp;BU123)&gt;0,concatll("#### More Information",BP123,BU123),"")</f>
        <v xml:space="preserve">#### More Information_x000D_
_x000D_
* [Official site](http://www.oldmissionsjb.org/)
* [California Missions Foundation page](https://californiamissionsfoundation.org/mission-san-juan-bautista/)
* [Missions California page](https://www.missionscalifornia.com/missions/san-juan-bautista/)
_x000D_
_x000D_
</v>
      </c>
      <c r="BW123" s="29" t="str">
        <f>IF(LEN(M123)&gt;1,concatll("#### Author's Note",M123),"")</f>
        <v/>
      </c>
      <c r="BX123" s="23" t="str">
        <f>IF(AR123,concatll(concatl("---",AS123:AU123,BK123,"---"),L123,BV123:BW123),"")</f>
        <v xml:space="preserve">---_x000D_
title: "Mission San Juan Bautista"_x000D_
location: {lat: 36.8458910149476, lng: -121.535752689119}_x000D_
level: local_x000D_
tags:
- usa
- california_x000D_
- san-juan-bautista_x000D_
- churches_x000D_
- holy-persons_x000D_
- california-missions_x000D_
- franciscans_x000D_
_x000D_
---_x000D_
_x000D_
_x000D_
The 15th of the 21 California missions, founded in 1797._x000D_
_x000D_
#### More Information_x000D_
_x000D_
* [Official site](http://www.oldmissionsjb.org/)
* [California Missions Foundation page](https://californiamissionsfoundation.org/mission-san-juan-bautista/)
* [Missions California page](https://www.missionscalifornia.com/missions/san-juan-bautista/)
_x000D_
_x000D_
_x000D_
_x000D_
</v>
      </c>
      <c r="BY123" s="31" t="str">
        <f>IF(AR123,VLOOKUP(B123,'(Ref) Countries'!A:B,2,)&amp;IF(LEN(C123)&gt;1,"-"&amp;LOWER(SUBSTITUTE(C123," ","-")),"")&amp;"-"&amp;LOWER(SUBSTITUTE(G123," ","-"))&amp;".md","")</f>
        <v>us_ca-san-juan-bautista-mission-san-juan-bautista.md</v>
      </c>
      <c r="BZ123" s="29" t="str">
        <f>IF(LEN(Y123)&gt;1,VLOOKUP(Y123,'Tag List'!$A:$B,2,),"")</f>
        <v>Franciscian Missions in California</v>
      </c>
      <c r="CA123" s="29" t="str">
        <f>IF(LEN(Z123)&gt;1,VLOOKUP(Z123,'Tag List'!$A:$B,2,),"")</f>
        <v>Order of Friars Minor (Fransiscans)</v>
      </c>
      <c r="CB123" s="29" t="str">
        <f>IF(LEN(AA123)&gt;1,VLOOKUP(AA123,'Tag List'!$A:$B,2,),"")</f>
        <v/>
      </c>
      <c r="CC123" s="29" t="str">
        <f>IF(LEN(Y123)&gt;1,GetTagPage(BZ123,Y123),"")</f>
        <v>[Franciscian Missions in California](/tags/california-missions)</v>
      </c>
      <c r="CD123" s="29" t="str">
        <f>IF(LEN(Z123)&gt;1,GetTagPage(CA123,Z123),"")</f>
        <v>[Order of Friars Minor (Fransiscans)](/tags/franciscans)</v>
      </c>
      <c r="CE123" s="29" t="str">
        <f>IF(LEN(AA123)&gt;1,GetTagPage(CB123,AA123),"")</f>
        <v/>
      </c>
      <c r="CF123" s="29" t="str">
        <f t="shared" si="741"/>
        <v xml:space="preserve">| [Franciscian Missions in California](/tags/california-missions), [Order of Friars Minor (Fransiscans)](/tags/franciscans) </v>
      </c>
      <c r="CG123" s="29" t="str">
        <f t="shared" si="742"/>
        <v xml:space="preserve">| [](/places/us_ca-san-juan-bautista-mission-san-juan-bautista) </v>
      </c>
      <c r="CH123" s="29" t="str">
        <f>"| "&amp;IF(AR123,GetTagPage(B123,VLOOKUP(B123,'(Ref) Countries'!A:C,3,)),B123)&amp; " "</f>
        <v xml:space="preserve">| [US California](/tags/usa
- california) </v>
      </c>
      <c r="CI123" s="29" t="str">
        <f t="shared" si="743"/>
        <v xml:space="preserve">|  </v>
      </c>
      <c r="CJ123" s="29" t="str">
        <f t="shared" si="744"/>
        <v xml:space="preserve">| [Link](/places/us_ca-san-juan-bautista-mission-san-juan-bautista) </v>
      </c>
      <c r="CK123" s="29" t="str">
        <f t="shared" si="745"/>
        <v xml:space="preserve">
| [](/places/us_ca-san-juan-bautista-mission-san-juan-bautista) | [US California](/tags/usa
- california) |  | [Link](/places/us_ca-san-juan-bautista-mission-san-juan-bautista) [Official site](http://www.oldmissionsjb.org/)| [Franciscian Missions in California](/tags/california-missions), [Order of Friars Minor (Fransiscans)](/tags/franciscans) |</v>
      </c>
    </row>
    <row r="124" spans="1:89" ht="24.9" x14ac:dyDescent="0.4">
      <c r="A124" s="14" t="s">
        <v>1320</v>
      </c>
      <c r="B124" s="24" t="s">
        <v>1912</v>
      </c>
      <c r="C124" s="15" t="s">
        <v>2338</v>
      </c>
      <c r="D124" s="15">
        <v>35.744934541386101</v>
      </c>
      <c r="E124" s="49">
        <v>-120.69716204497</v>
      </c>
      <c r="F124" s="24" t="s">
        <v>2318</v>
      </c>
      <c r="G124" s="121" t="s">
        <v>2352</v>
      </c>
      <c r="H124" s="15" t="s">
        <v>1827</v>
      </c>
      <c r="I124" s="15" t="b">
        <v>1</v>
      </c>
      <c r="K124" s="15" t="b">
        <v>1</v>
      </c>
      <c r="L124" s="24" t="s">
        <v>2371</v>
      </c>
      <c r="N124" s="15" t="s">
        <v>2390</v>
      </c>
      <c r="O124" s="15" t="s">
        <v>336</v>
      </c>
      <c r="P124" s="60" t="s">
        <v>2395</v>
      </c>
      <c r="Q124" s="15" t="s">
        <v>2411</v>
      </c>
      <c r="R124" s="64" t="s">
        <v>336</v>
      </c>
      <c r="S124" s="60" t="s">
        <v>2417</v>
      </c>
      <c r="T124" s="15" t="s">
        <v>2433</v>
      </c>
      <c r="U124" s="64" t="s">
        <v>336</v>
      </c>
      <c r="Y124" s="15" t="s">
        <v>2448</v>
      </c>
      <c r="Z124" s="15" t="s">
        <v>2442</v>
      </c>
      <c r="AR124" s="28" t="b">
        <f t="shared" si="713"/>
        <v>1</v>
      </c>
      <c r="AS124" s="29" t="str">
        <f t="shared" si="714"/>
        <v>title: "Mission San Miguel Arcangel"</v>
      </c>
      <c r="AT124" s="29" t="str">
        <f t="shared" si="715"/>
        <v>location: {lat: 35.7449345413861, lng: -120.69716204497}</v>
      </c>
      <c r="AU124" s="29" t="str">
        <f t="shared" si="716"/>
        <v>level: local</v>
      </c>
      <c r="AV124" s="29" t="str">
        <f>"- "&amp;VLOOKUP(B124,'(Ref) Countries'!A:C,3,)</f>
        <v>- usa
- california</v>
      </c>
      <c r="AW124" s="29" t="str">
        <f t="shared" si="717"/>
        <v>- san-miguel</v>
      </c>
      <c r="AX124" s="29" t="str">
        <f t="shared" si="718"/>
        <v>- churches</v>
      </c>
      <c r="AY124" s="29" t="str">
        <f t="shared" si="719"/>
        <v/>
      </c>
      <c r="AZ124" s="29" t="str">
        <f t="shared" si="720"/>
        <v>- holy-persons</v>
      </c>
      <c r="BA124" s="29" t="str">
        <f t="shared" si="721"/>
        <v>- california-missions</v>
      </c>
      <c r="BB124" s="29" t="str">
        <f t="shared" si="722"/>
        <v>- franciscans</v>
      </c>
      <c r="BC124" s="29" t="str">
        <f t="shared" si="723"/>
        <v/>
      </c>
      <c r="BD124" s="29" t="str">
        <f t="shared" si="724"/>
        <v/>
      </c>
      <c r="BE124" s="29" t="str">
        <f t="shared" si="725"/>
        <v/>
      </c>
      <c r="BF124" s="29" t="str">
        <f t="shared" si="726"/>
        <v/>
      </c>
      <c r="BG124" s="29" t="str">
        <f t="shared" si="727"/>
        <v/>
      </c>
      <c r="BH124" s="29" t="str">
        <f t="shared" si="728"/>
        <v/>
      </c>
      <c r="BI124" s="29" t="str">
        <f t="shared" si="729"/>
        <v/>
      </c>
      <c r="BJ124" s="29" t="str">
        <f t="shared" si="730"/>
        <v/>
      </c>
      <c r="BK124" s="29" t="str">
        <f t="shared" si="731"/>
        <v xml:space="preserve">tags:
- usa
- california_x000D_
- san-miguel_x000D_
- churches_x000D_
- holy-persons_x000D_
- california-missions_x000D_
- franciscans_x000D_
</v>
      </c>
      <c r="BL124" s="29" t="str">
        <f t="shared" si="732"/>
        <v>[Official site](http://www.missionsanmiguel.org/)</v>
      </c>
      <c r="BM124" s="29" t="str">
        <f t="shared" si="733"/>
        <v>[California Missions Foundation page](https://californiamissionsfoundation.org/mission-san-miguel/)</v>
      </c>
      <c r="BN124" s="29" t="str">
        <f t="shared" si="734"/>
        <v>[Missions California page](https://www.missionscalifornia.com/missions/san-miguel-arcangel/)</v>
      </c>
      <c r="BO124" s="29" t="str">
        <f t="shared" si="735"/>
        <v/>
      </c>
      <c r="BP124" s="29" t="str">
        <f t="shared" si="736"/>
        <v xml:space="preserve">* [Official site](http://www.missionsanmiguel.org/)
* [California Missions Foundation page](https://californiamissionsfoundation.org/mission-san-miguel/)
* [Missions California page](https://www.missionscalifornia.com/missions/san-miguel-arcangel/)
</v>
      </c>
      <c r="BQ124" s="29" t="str">
        <f t="shared" si="737"/>
        <v/>
      </c>
      <c r="BR124" s="29" t="str">
        <f t="shared" si="738"/>
        <v/>
      </c>
      <c r="BS124" s="29" t="str">
        <f t="shared" si="739"/>
        <v/>
      </c>
      <c r="BT124" s="29" t="str">
        <f>IF(LEN(_xludf.concat(BQ124:BS124))&gt;0,_xludf.concat("| ",BQ124," | ",BR124," | ",BS124," |"),"")</f>
        <v/>
      </c>
      <c r="BU124" s="29" t="str">
        <f t="shared" si="740"/>
        <v/>
      </c>
      <c r="BV124" s="29" t="str">
        <f>IF(LEN(BP124&amp;BU124)&gt;0,concatll("#### More Information",BP124,BU124),"")</f>
        <v xml:space="preserve">#### More Information_x000D_
_x000D_
* [Official site](http://www.missionsanmiguel.org/)
* [California Missions Foundation page](https://californiamissionsfoundation.org/mission-san-miguel/)
* [Missions California page](https://www.missionscalifornia.com/missions/san-miguel-arcangel/)
_x000D_
_x000D_
</v>
      </c>
      <c r="BW124" s="29" t="str">
        <f>IF(LEN(M124)&gt;1,concatll("#### Author's Note",M124),"")</f>
        <v/>
      </c>
      <c r="BX124" s="23" t="str">
        <f>IF(AR124,concatll(concatl("---",AS124:AU124,BK124,"---"),L124,BV124:BW124),"")</f>
        <v xml:space="preserve">---_x000D_
title: "Mission San Miguel Arcangel"_x000D_
location: {lat: 35.7449345413861, lng: -120.69716204497}_x000D_
level: local_x000D_
tags:
- usa
- california_x000D_
- san-miguel_x000D_
- churches_x000D_
- holy-persons_x000D_
- california-missions_x000D_
- franciscans_x000D_
_x000D_
---_x000D_
_x000D_
_x000D_
The 16th of the 21 California missions, founded in 1797._x000D_
_x000D_
#### More Information_x000D_
_x000D_
* [Official site](http://www.missionsanmiguel.org/)
* [California Missions Foundation page](https://californiamissionsfoundation.org/mission-san-miguel/)
* [Missions California page](https://www.missionscalifornia.com/missions/san-miguel-arcangel/)
_x000D_
_x000D_
_x000D_
_x000D_
</v>
      </c>
      <c r="BY124" s="31" t="str">
        <f>IF(AR124,VLOOKUP(B124,'(Ref) Countries'!A:B,2,)&amp;IF(LEN(C124)&gt;1,"-"&amp;LOWER(SUBSTITUTE(C124," ","-")),"")&amp;"-"&amp;LOWER(SUBSTITUTE(G124," ","-"))&amp;".md","")</f>
        <v>us_ca-san-miguel-mission-san-miguel.md</v>
      </c>
      <c r="BZ124" s="29" t="str">
        <f>IF(LEN(Y124)&gt;1,VLOOKUP(Y124,'Tag List'!$A:$B,2,),"")</f>
        <v>Franciscian Missions in California</v>
      </c>
      <c r="CA124" s="29" t="str">
        <f>IF(LEN(Z124)&gt;1,VLOOKUP(Z124,'Tag List'!$A:$B,2,),"")</f>
        <v>Order of Friars Minor (Fransiscans)</v>
      </c>
      <c r="CB124" s="29" t="str">
        <f>IF(LEN(AA124)&gt;1,VLOOKUP(AA124,'Tag List'!$A:$B,2,),"")</f>
        <v/>
      </c>
      <c r="CC124" s="29" t="str">
        <f>IF(LEN(Y124)&gt;1,GetTagPage(BZ124,Y124),"")</f>
        <v>[Franciscian Missions in California](/tags/california-missions)</v>
      </c>
      <c r="CD124" s="29" t="str">
        <f>IF(LEN(Z124)&gt;1,GetTagPage(CA124,Z124),"")</f>
        <v>[Order of Friars Minor (Fransiscans)](/tags/franciscans)</v>
      </c>
      <c r="CE124" s="29" t="str">
        <f>IF(LEN(AA124)&gt;1,GetTagPage(CB124,AA124),"")</f>
        <v/>
      </c>
      <c r="CF124" s="29" t="str">
        <f t="shared" si="741"/>
        <v xml:space="preserve">| [Franciscian Missions in California](/tags/california-missions), [Order of Friars Minor (Fransiscans)](/tags/franciscans) </v>
      </c>
      <c r="CG124" s="29" t="str">
        <f t="shared" si="742"/>
        <v xml:space="preserve">| [](/places/us_ca-san-miguel-mission-san-miguel) </v>
      </c>
      <c r="CH124" s="29" t="str">
        <f>"| "&amp;IF(AR124,GetTagPage(B124,VLOOKUP(B124,'(Ref) Countries'!A:C,3,)),B124)&amp; " "</f>
        <v xml:space="preserve">| [US California](/tags/usa
- california) </v>
      </c>
      <c r="CI124" s="29" t="str">
        <f t="shared" si="743"/>
        <v xml:space="preserve">|  </v>
      </c>
      <c r="CJ124" s="29" t="str">
        <f t="shared" si="744"/>
        <v xml:space="preserve">| [Link](/places/us_ca-san-miguel-mission-san-miguel) </v>
      </c>
      <c r="CK124" s="29" t="str">
        <f t="shared" si="745"/>
        <v xml:space="preserve">
| [](/places/us_ca-san-miguel-mission-san-miguel) | [US California](/tags/usa
- california) |  | [Link](/places/us_ca-san-miguel-mission-san-miguel) [Official site](http://www.missionsanmiguel.org/)| [Franciscian Missions in California](/tags/california-missions), [Order of Friars Minor (Fransiscans)](/tags/franciscans) |</v>
      </c>
    </row>
    <row r="125" spans="1:89" ht="24.9" x14ac:dyDescent="0.4">
      <c r="A125" s="14" t="s">
        <v>1320</v>
      </c>
      <c r="B125" s="24" t="s">
        <v>1912</v>
      </c>
      <c r="C125" s="15" t="s">
        <v>2339</v>
      </c>
      <c r="D125" s="15">
        <v>34.272871781930903</v>
      </c>
      <c r="E125" s="49">
        <v>-118.461632373847</v>
      </c>
      <c r="F125" s="24" t="s">
        <v>2319</v>
      </c>
      <c r="G125" s="121" t="s">
        <v>2353</v>
      </c>
      <c r="H125" s="15" t="s">
        <v>1827</v>
      </c>
      <c r="I125" s="15" t="b">
        <v>1</v>
      </c>
      <c r="K125" s="15" t="b">
        <v>1</v>
      </c>
      <c r="L125" s="24" t="s">
        <v>2372</v>
      </c>
      <c r="O125" s="15" t="s">
        <v>336</v>
      </c>
      <c r="P125" s="60" t="s">
        <v>2395</v>
      </c>
      <c r="Q125" s="15" t="s">
        <v>2412</v>
      </c>
      <c r="R125" s="64" t="s">
        <v>336</v>
      </c>
      <c r="S125" s="60" t="s">
        <v>2417</v>
      </c>
      <c r="T125" s="15" t="s">
        <v>2434</v>
      </c>
      <c r="U125" s="64" t="s">
        <v>336</v>
      </c>
      <c r="Y125" s="15" t="s">
        <v>2448</v>
      </c>
      <c r="Z125" s="15" t="s">
        <v>2442</v>
      </c>
      <c r="AR125" s="28" t="b">
        <f t="shared" si="713"/>
        <v>1</v>
      </c>
      <c r="AS125" s="29" t="str">
        <f t="shared" si="714"/>
        <v>title: "Mission San Fernando Rey de Espana"</v>
      </c>
      <c r="AT125" s="29" t="str">
        <f t="shared" si="715"/>
        <v>location: {lat: 34.2728717819309, lng: -118.461632373847}</v>
      </c>
      <c r="AU125" s="29" t="str">
        <f t="shared" si="716"/>
        <v>level: local</v>
      </c>
      <c r="AV125" s="29" t="str">
        <f>"- "&amp;VLOOKUP(B125,'(Ref) Countries'!A:C,3,)</f>
        <v>- usa
- california</v>
      </c>
      <c r="AW125" s="29" t="str">
        <f t="shared" si="717"/>
        <v>- mission-hills</v>
      </c>
      <c r="AX125" s="29" t="str">
        <f t="shared" si="718"/>
        <v>- churches</v>
      </c>
      <c r="AY125" s="29" t="str">
        <f t="shared" si="719"/>
        <v/>
      </c>
      <c r="AZ125" s="29" t="str">
        <f t="shared" si="720"/>
        <v>- holy-persons</v>
      </c>
      <c r="BA125" s="29" t="str">
        <f t="shared" si="721"/>
        <v>- california-missions</v>
      </c>
      <c r="BB125" s="29" t="str">
        <f t="shared" si="722"/>
        <v>- franciscans</v>
      </c>
      <c r="BC125" s="29" t="str">
        <f t="shared" si="723"/>
        <v/>
      </c>
      <c r="BD125" s="29" t="str">
        <f t="shared" si="724"/>
        <v/>
      </c>
      <c r="BE125" s="29" t="str">
        <f t="shared" si="725"/>
        <v/>
      </c>
      <c r="BF125" s="29" t="str">
        <f t="shared" si="726"/>
        <v/>
      </c>
      <c r="BG125" s="29" t="str">
        <f t="shared" si="727"/>
        <v/>
      </c>
      <c r="BH125" s="29" t="str">
        <f t="shared" si="728"/>
        <v/>
      </c>
      <c r="BI125" s="29" t="str">
        <f t="shared" si="729"/>
        <v/>
      </c>
      <c r="BJ125" s="29" t="str">
        <f t="shared" si="730"/>
        <v/>
      </c>
      <c r="BK125" s="29" t="str">
        <f t="shared" si="731"/>
        <v xml:space="preserve">tags:
- usa
- california_x000D_
- mission-hills_x000D_
- churches_x000D_
- holy-persons_x000D_
- california-missions_x000D_
- franciscans_x000D_
</v>
      </c>
      <c r="BL125" s="29" t="str">
        <f t="shared" si="732"/>
        <v/>
      </c>
      <c r="BM125" s="29" t="str">
        <f t="shared" si="733"/>
        <v>[California Missions Foundation page](https://californiamissionsfoundation.org/mission-san-fernando/)</v>
      </c>
      <c r="BN125" s="29" t="str">
        <f t="shared" si="734"/>
        <v>[Missions California page](https://www.missionscalifornia.com/missions/san-fernando-rey-de-espana/)</v>
      </c>
      <c r="BO125" s="29" t="str">
        <f t="shared" si="735"/>
        <v/>
      </c>
      <c r="BP125" s="29" t="str">
        <f t="shared" si="736"/>
        <v xml:space="preserve">* [California Missions Foundation page](https://californiamissionsfoundation.org/mission-san-fernando/)
* [Missions California page](https://www.missionscalifornia.com/missions/san-fernando-rey-de-espana/)
</v>
      </c>
      <c r="BQ125" s="29" t="str">
        <f t="shared" si="737"/>
        <v/>
      </c>
      <c r="BR125" s="29" t="str">
        <f t="shared" si="738"/>
        <v/>
      </c>
      <c r="BS125" s="29" t="str">
        <f t="shared" si="739"/>
        <v/>
      </c>
      <c r="BT125" s="29" t="str">
        <f>IF(LEN(_xludf.concat(BQ125:BS125))&gt;0,_xludf.concat("| ",BQ125," | ",BR125," | ",BS125," |"),"")</f>
        <v/>
      </c>
      <c r="BU125" s="29" t="str">
        <f t="shared" si="740"/>
        <v/>
      </c>
      <c r="BV125" s="29" t="str">
        <f>IF(LEN(BP125&amp;BU125)&gt;0,concatll("#### More Information",BP125,BU125),"")</f>
        <v xml:space="preserve">#### More Information_x000D_
_x000D_
* [California Missions Foundation page](https://californiamissionsfoundation.org/mission-san-fernando/)
* [Missions California page](https://www.missionscalifornia.com/missions/san-fernando-rey-de-espana/)
_x000D_
_x000D_
</v>
      </c>
      <c r="BW125" s="29" t="str">
        <f>IF(LEN(M125)&gt;1,concatll("#### Author's Note",M125),"")</f>
        <v/>
      </c>
      <c r="BX125" s="23" t="str">
        <f>IF(AR125,concatll(concatl("---",AS125:AU125,BK125,"---"),L125,BV125:BW125),"")</f>
        <v xml:space="preserve">---_x000D_
title: "Mission San Fernando Rey de Espana"_x000D_
location: {lat: 34.2728717819309, lng: -118.461632373847}_x000D_
level: local_x000D_
tags:
- usa
- california_x000D_
- mission-hills_x000D_
- churches_x000D_
- holy-persons_x000D_
- california-missions_x000D_
- franciscans_x000D_
_x000D_
---_x000D_
_x000D_
_x000D_
The 17th of the 21 California missions, founded in 1797._x000D_
_x000D_
#### More Information_x000D_
_x000D_
* [California Missions Foundation page](https://californiamissionsfoundation.org/mission-san-fernando/)
* [Missions California page](https://www.missionscalifornia.com/missions/san-fernando-rey-de-espana/)
_x000D_
_x000D_
_x000D_
_x000D_
</v>
      </c>
      <c r="BY125" s="31" t="str">
        <f>IF(AR125,VLOOKUP(B125,'(Ref) Countries'!A:B,2,)&amp;IF(LEN(C125)&gt;1,"-"&amp;LOWER(SUBSTITUTE(C125," ","-")),"")&amp;"-"&amp;LOWER(SUBSTITUTE(G125," ","-"))&amp;".md","")</f>
        <v>us_ca-mission-hills-mission-san-fernando.md</v>
      </c>
      <c r="BZ125" s="29" t="str">
        <f>IF(LEN(Y125)&gt;1,VLOOKUP(Y125,'Tag List'!$A:$B,2,),"")</f>
        <v>Franciscian Missions in California</v>
      </c>
      <c r="CA125" s="29" t="str">
        <f>IF(LEN(Z125)&gt;1,VLOOKUP(Z125,'Tag List'!$A:$B,2,),"")</f>
        <v>Order of Friars Minor (Fransiscans)</v>
      </c>
      <c r="CB125" s="29" t="str">
        <f>IF(LEN(AA125)&gt;1,VLOOKUP(AA125,'Tag List'!$A:$B,2,),"")</f>
        <v/>
      </c>
      <c r="CC125" s="29" t="str">
        <f>IF(LEN(Y125)&gt;1,GetTagPage(BZ125,Y125),"")</f>
        <v>[Franciscian Missions in California](/tags/california-missions)</v>
      </c>
      <c r="CD125" s="29" t="str">
        <f>IF(LEN(Z125)&gt;1,GetTagPage(CA125,Z125),"")</f>
        <v>[Order of Friars Minor (Fransiscans)](/tags/franciscans)</v>
      </c>
      <c r="CE125" s="29" t="str">
        <f>IF(LEN(AA125)&gt;1,GetTagPage(CB125,AA125),"")</f>
        <v/>
      </c>
      <c r="CF125" s="29" t="str">
        <f t="shared" si="741"/>
        <v xml:space="preserve">| [Franciscian Missions in California](/tags/california-missions), [Order of Friars Minor (Fransiscans)](/tags/franciscans) </v>
      </c>
      <c r="CG125" s="29" t="str">
        <f t="shared" si="742"/>
        <v xml:space="preserve">| [](/places/us_ca-mission-hills-mission-san-fernando) </v>
      </c>
      <c r="CH125" s="29" t="str">
        <f>"| "&amp;IF(AR125,GetTagPage(B125,VLOOKUP(B125,'(Ref) Countries'!A:C,3,)),B125)&amp; " "</f>
        <v xml:space="preserve">| [US California](/tags/usa
- california) </v>
      </c>
      <c r="CI125" s="29" t="str">
        <f t="shared" si="743"/>
        <v xml:space="preserve">|  </v>
      </c>
      <c r="CJ125" s="29" t="str">
        <f t="shared" si="744"/>
        <v xml:space="preserve">| [Link](/places/us_ca-mission-hills-mission-san-fernando) </v>
      </c>
      <c r="CK125" s="29" t="str">
        <f t="shared" si="745"/>
        <v xml:space="preserve">
| [](/places/us_ca-mission-hills-mission-san-fernando) | [US California](/tags/usa
- california) |  | [Link](/places/us_ca-mission-hills-mission-san-fernando) | [Franciscian Missions in California](/tags/california-missions), [Order of Friars Minor (Fransiscans)](/tags/franciscans) |</v>
      </c>
    </row>
    <row r="126" spans="1:89" ht="24.9" x14ac:dyDescent="0.4">
      <c r="A126" s="14" t="s">
        <v>1320</v>
      </c>
      <c r="B126" s="24" t="s">
        <v>1912</v>
      </c>
      <c r="C126" s="15" t="s">
        <v>2340</v>
      </c>
      <c r="D126" s="15">
        <v>33.232169550864199</v>
      </c>
      <c r="E126" s="49">
        <v>-117.31975640271099</v>
      </c>
      <c r="F126" s="24" t="s">
        <v>2320</v>
      </c>
      <c r="G126" s="121" t="s">
        <v>2349</v>
      </c>
      <c r="H126" s="15" t="s">
        <v>1827</v>
      </c>
      <c r="I126" s="15" t="b">
        <v>1</v>
      </c>
      <c r="K126" s="15" t="b">
        <v>1</v>
      </c>
      <c r="L126" s="118" t="s">
        <v>2446</v>
      </c>
      <c r="N126" s="15" t="s">
        <v>2391</v>
      </c>
      <c r="O126" s="15" t="s">
        <v>336</v>
      </c>
      <c r="P126" s="60" t="s">
        <v>2395</v>
      </c>
      <c r="Q126" s="15" t="s">
        <v>2413</v>
      </c>
      <c r="R126" s="64" t="s">
        <v>336</v>
      </c>
      <c r="S126" s="60" t="s">
        <v>2417</v>
      </c>
      <c r="T126" s="15" t="s">
        <v>2435</v>
      </c>
      <c r="U126" s="64" t="s">
        <v>336</v>
      </c>
      <c r="Y126" s="15" t="s">
        <v>2448</v>
      </c>
      <c r="Z126" s="15" t="s">
        <v>2442</v>
      </c>
      <c r="AA126" s="15" t="s">
        <v>1424</v>
      </c>
      <c r="AR126" s="28" t="b">
        <f t="shared" si="713"/>
        <v>1</v>
      </c>
      <c r="AS126" s="29" t="str">
        <f t="shared" si="714"/>
        <v>title: "Mission San Luis Rey de Francia"</v>
      </c>
      <c r="AT126" s="29" t="str">
        <f t="shared" si="715"/>
        <v>location: {lat: 33.2321695508642, lng: -117.319756402711}</v>
      </c>
      <c r="AU126" s="29" t="str">
        <f t="shared" si="716"/>
        <v>level: local</v>
      </c>
      <c r="AV126" s="29" t="str">
        <f>"- "&amp;VLOOKUP(B126,'(Ref) Countries'!A:C,3,)</f>
        <v>- usa
- california</v>
      </c>
      <c r="AW126" s="29" t="str">
        <f t="shared" si="717"/>
        <v>- oceanside</v>
      </c>
      <c r="AX126" s="29" t="str">
        <f t="shared" si="718"/>
        <v>- churches</v>
      </c>
      <c r="AY126" s="29" t="str">
        <f t="shared" si="719"/>
        <v/>
      </c>
      <c r="AZ126" s="29" t="str">
        <f t="shared" si="720"/>
        <v>- holy-persons</v>
      </c>
      <c r="BA126" s="29" t="str">
        <f t="shared" si="721"/>
        <v>- california-missions</v>
      </c>
      <c r="BB126" s="29" t="str">
        <f t="shared" si="722"/>
        <v>- franciscans</v>
      </c>
      <c r="BC126" s="29" t="str">
        <f t="shared" si="723"/>
        <v>- communities</v>
      </c>
      <c r="BD126" s="29" t="str">
        <f t="shared" si="724"/>
        <v/>
      </c>
      <c r="BE126" s="29" t="str">
        <f t="shared" si="725"/>
        <v/>
      </c>
      <c r="BF126" s="29" t="str">
        <f t="shared" si="726"/>
        <v/>
      </c>
      <c r="BG126" s="29" t="str">
        <f t="shared" si="727"/>
        <v/>
      </c>
      <c r="BH126" s="29" t="str">
        <f t="shared" si="728"/>
        <v/>
      </c>
      <c r="BI126" s="29" t="str">
        <f t="shared" si="729"/>
        <v/>
      </c>
      <c r="BJ126" s="29" t="str">
        <f t="shared" si="730"/>
        <v/>
      </c>
      <c r="BK126" s="29" t="str">
        <f t="shared" si="731"/>
        <v xml:space="preserve">tags:
- usa
- california_x000D_
- oceanside_x000D_
- churches_x000D_
- holy-persons_x000D_
- california-missions_x000D_
- franciscans_x000D_
- communities_x000D_
</v>
      </c>
      <c r="BL126" s="29" t="str">
        <f t="shared" si="732"/>
        <v>[Official site](https://www.sanluisrey.org/)</v>
      </c>
      <c r="BM126" s="29" t="str">
        <f t="shared" si="733"/>
        <v>[California Missions Foundation page](https://californiamissionsfoundation.org/mission-san-luis-rey/)</v>
      </c>
      <c r="BN126" s="29" t="str">
        <f t="shared" si="734"/>
        <v>[Missions California page](https://www.missionscalifornia.com/missions/san-luis-rey-francia/)</v>
      </c>
      <c r="BO126" s="29" t="str">
        <f t="shared" si="735"/>
        <v/>
      </c>
      <c r="BP126" s="29" t="str">
        <f t="shared" si="736"/>
        <v xml:space="preserve">* [Official site](https://www.sanluisrey.org/)
* [California Missions Foundation page](https://californiamissionsfoundation.org/mission-san-luis-rey/)
* [Missions California page](https://www.missionscalifornia.com/missions/san-luis-rey-francia/)
</v>
      </c>
      <c r="BQ126" s="29" t="str">
        <f t="shared" si="737"/>
        <v/>
      </c>
      <c r="BR126" s="29" t="str">
        <f t="shared" si="738"/>
        <v/>
      </c>
      <c r="BS126" s="29" t="str">
        <f t="shared" si="739"/>
        <v/>
      </c>
      <c r="BT126" s="29" t="str">
        <f>IF(LEN(_xludf.concat(BQ126:BS126))&gt;0,_xludf.concat("| ",BQ126," | ",BR126," | ",BS126," |"),"")</f>
        <v/>
      </c>
      <c r="BU126" s="29" t="str">
        <f t="shared" si="740"/>
        <v/>
      </c>
      <c r="BV126" s="29" t="str">
        <f>IF(LEN(BP126&amp;BU126)&gt;0,concatll("#### More Information",BP126,BU126),"")</f>
        <v xml:space="preserve">#### More Information_x000D_
_x000D_
* [Official site](https://www.sanluisrey.org/)
* [California Missions Foundation page](https://californiamissionsfoundation.org/mission-san-luis-rey/)
* [Missions California page](https://www.missionscalifornia.com/missions/san-luis-rey-francia/)
_x000D_
_x000D_
</v>
      </c>
      <c r="BW126" s="29" t="str">
        <f>IF(LEN(M126)&gt;1,concatll("#### Author's Note",M126),"")</f>
        <v/>
      </c>
      <c r="BX126" s="23" t="str">
        <f>IF(AR126,concatll(concatl("---",AS126:AU126,BK126,"---"),L126,BV126:BW126),"")</f>
        <v xml:space="preserve">---_x000D_
title: "Mission San Luis Rey de Francia"_x000D_
location: {lat: 33.2321695508642, lng: -117.319756402711}_x000D_
level: local_x000D_
tags:
- usa
- california_x000D_
- oceanside_x000D_
- churches_x000D_
- holy-persons_x000D_
- california-missions_x000D_
- franciscans_x000D_
- communities_x000D_
_x000D_
---_x000D_
_x000D_
_x000D_
The 18th of the 21 California missions, founded in 1798.  It is attached to the Franciscan community of the same name._x000D_
_x000D_
#### More Information_x000D_
_x000D_
* [Official site](https://www.sanluisrey.org/)
* [California Missions Foundation page](https://californiamissionsfoundation.org/mission-san-luis-rey/)
* [Missions California page](https://www.missionscalifornia.com/missions/san-luis-rey-francia/)
_x000D_
_x000D_
_x000D_
_x000D_
</v>
      </c>
      <c r="BY126" s="31" t="str">
        <f>IF(AR126,VLOOKUP(B126,'(Ref) Countries'!A:B,2,)&amp;IF(LEN(C126)&gt;1,"-"&amp;LOWER(SUBSTITUTE(C126," ","-")),"")&amp;"-"&amp;LOWER(SUBSTITUTE(G126," ","-"))&amp;".md","")</f>
        <v>us_ca-oceanside-mission-san-luis.md</v>
      </c>
      <c r="BZ126" s="29" t="str">
        <f>IF(LEN(Y126)&gt;1,VLOOKUP(Y126,'Tag List'!$A:$B,2,),"")</f>
        <v>Franciscian Missions in California</v>
      </c>
      <c r="CA126" s="29" t="str">
        <f>IF(LEN(Z126)&gt;1,VLOOKUP(Z126,'Tag List'!$A:$B,2,),"")</f>
        <v>Order of Friars Minor (Fransiscans)</v>
      </c>
      <c r="CB126" s="29" t="str">
        <f>IF(LEN(AA126)&gt;1,VLOOKUP(AA126,'Tag List'!$A:$B,2,),"")</f>
        <v>Religious Communities</v>
      </c>
      <c r="CC126" s="29" t="str">
        <f>IF(LEN(Y126)&gt;1,GetTagPage(BZ126,Y126),"")</f>
        <v>[Franciscian Missions in California](/tags/california-missions)</v>
      </c>
      <c r="CD126" s="29" t="str">
        <f>IF(LEN(Z126)&gt;1,GetTagPage(CA126,Z126),"")</f>
        <v>[Order of Friars Minor (Fransiscans)](/tags/franciscans)</v>
      </c>
      <c r="CE126" s="29" t="str">
        <f>IF(LEN(AA126)&gt;1,GetTagPage(CB126,AA126),"")</f>
        <v>[Religious Communities](/tags/communities)</v>
      </c>
      <c r="CF126" s="29" t="str">
        <f t="shared" si="741"/>
        <v xml:space="preserve">| [Franciscian Missions in California](/tags/california-missions), [Order of Friars Minor (Fransiscans)](/tags/franciscans), [Religious Communities](/tags/communities) </v>
      </c>
      <c r="CG126" s="29" t="str">
        <f t="shared" si="742"/>
        <v xml:space="preserve">| [](/places/us_ca-oceanside-mission-san-luis) </v>
      </c>
      <c r="CH126" s="29" t="str">
        <f>"| "&amp;IF(AR126,GetTagPage(B126,VLOOKUP(B126,'(Ref) Countries'!A:C,3,)),B126)&amp; " "</f>
        <v xml:space="preserve">| [US California](/tags/usa
- california) </v>
      </c>
      <c r="CI126" s="29" t="str">
        <f t="shared" si="743"/>
        <v xml:space="preserve">|  </v>
      </c>
      <c r="CJ126" s="29" t="str">
        <f t="shared" si="744"/>
        <v xml:space="preserve">| [Link](/places/us_ca-oceanside-mission-san-luis) </v>
      </c>
      <c r="CK126" s="29" t="str">
        <f t="shared" si="745"/>
        <v xml:space="preserve">
| [](/places/us_ca-oceanside-mission-san-luis) | [US California](/tags/usa
- california) |  | [Link](/places/us_ca-oceanside-mission-san-luis) [Official site](https://www.sanluisrey.org/)| [Franciscian Missions in California](/tags/california-missions), [Order of Friars Minor (Fransiscans)](/tags/franciscans), [Religious Communities](/tags/communities) |</v>
      </c>
    </row>
    <row r="127" spans="1:89" ht="24.9" x14ac:dyDescent="0.4">
      <c r="A127" s="14" t="s">
        <v>1320</v>
      </c>
      <c r="B127" s="24" t="s">
        <v>1912</v>
      </c>
      <c r="C127" s="15" t="s">
        <v>2341</v>
      </c>
      <c r="D127" s="15">
        <v>34.594730577400298</v>
      </c>
      <c r="E127" s="49">
        <v>-120.13640525849399</v>
      </c>
      <c r="F127" s="24" t="s">
        <v>2321</v>
      </c>
      <c r="G127" s="53" t="s">
        <v>2321</v>
      </c>
      <c r="H127" s="15" t="s">
        <v>1827</v>
      </c>
      <c r="I127" s="15" t="b">
        <v>1</v>
      </c>
      <c r="K127" s="15" t="b">
        <v>1</v>
      </c>
      <c r="L127" s="24" t="s">
        <v>2373</v>
      </c>
      <c r="N127" s="15" t="s">
        <v>2392</v>
      </c>
      <c r="O127" s="15" t="s">
        <v>336</v>
      </c>
      <c r="P127" s="60" t="s">
        <v>2395</v>
      </c>
      <c r="Q127" s="15" t="s">
        <v>2414</v>
      </c>
      <c r="R127" s="64" t="s">
        <v>336</v>
      </c>
      <c r="S127" s="60" t="s">
        <v>2417</v>
      </c>
      <c r="T127" s="15" t="s">
        <v>2436</v>
      </c>
      <c r="U127" s="64" t="s">
        <v>336</v>
      </c>
      <c r="Y127" s="15" t="s">
        <v>2448</v>
      </c>
      <c r="Z127" s="15" t="s">
        <v>2442</v>
      </c>
      <c r="AR127" s="28" t="b">
        <f t="shared" si="713"/>
        <v>1</v>
      </c>
      <c r="AS127" s="29" t="str">
        <f t="shared" si="714"/>
        <v>title: "Mission Santa Ines"</v>
      </c>
      <c r="AT127" s="29" t="str">
        <f t="shared" si="715"/>
        <v>location: {lat: 34.5947305774003, lng: -120.136405258494}</v>
      </c>
      <c r="AU127" s="29" t="str">
        <f t="shared" si="716"/>
        <v>level: local</v>
      </c>
      <c r="AV127" s="29" t="str">
        <f>"- "&amp;VLOOKUP(B127,'(Ref) Countries'!A:C,3,)</f>
        <v>- usa
- california</v>
      </c>
      <c r="AW127" s="29" t="str">
        <f t="shared" si="717"/>
        <v>- solvang</v>
      </c>
      <c r="AX127" s="29" t="str">
        <f t="shared" si="718"/>
        <v>- churches</v>
      </c>
      <c r="AY127" s="29" t="str">
        <f t="shared" si="719"/>
        <v/>
      </c>
      <c r="AZ127" s="29" t="str">
        <f t="shared" si="720"/>
        <v>- holy-persons</v>
      </c>
      <c r="BA127" s="29" t="str">
        <f t="shared" si="721"/>
        <v>- california-missions</v>
      </c>
      <c r="BB127" s="29" t="str">
        <f t="shared" si="722"/>
        <v>- franciscans</v>
      </c>
      <c r="BC127" s="29" t="str">
        <f t="shared" si="723"/>
        <v/>
      </c>
      <c r="BD127" s="29" t="str">
        <f t="shared" si="724"/>
        <v/>
      </c>
      <c r="BE127" s="29" t="str">
        <f t="shared" si="725"/>
        <v/>
      </c>
      <c r="BF127" s="29" t="str">
        <f t="shared" si="726"/>
        <v/>
      </c>
      <c r="BG127" s="29" t="str">
        <f t="shared" si="727"/>
        <v/>
      </c>
      <c r="BH127" s="29" t="str">
        <f t="shared" si="728"/>
        <v/>
      </c>
      <c r="BI127" s="29" t="str">
        <f t="shared" si="729"/>
        <v/>
      </c>
      <c r="BJ127" s="29" t="str">
        <f t="shared" si="730"/>
        <v/>
      </c>
      <c r="BK127" s="29" t="str">
        <f t="shared" si="731"/>
        <v xml:space="preserve">tags:
- usa
- california_x000D_
- solvang_x000D_
- churches_x000D_
- holy-persons_x000D_
- california-missions_x000D_
- franciscans_x000D_
</v>
      </c>
      <c r="BL127" s="29" t="str">
        <f t="shared" si="732"/>
        <v>[Official site](https://missionsantaines.org/)</v>
      </c>
      <c r="BM127" s="29" t="str">
        <f t="shared" si="733"/>
        <v>[California Missions Foundation page](https://californiamissionsfoundation.org/mission-santa-ines/)</v>
      </c>
      <c r="BN127" s="29" t="str">
        <f t="shared" si="734"/>
        <v>[Missions California page](https://www.missionscalifornia.com/missions/santa-ines-virgen-y-martir/)</v>
      </c>
      <c r="BO127" s="29" t="str">
        <f t="shared" si="735"/>
        <v/>
      </c>
      <c r="BP127" s="29" t="str">
        <f t="shared" si="736"/>
        <v xml:space="preserve">* [Official site](https://missionsantaines.org/)
* [California Missions Foundation page](https://californiamissionsfoundation.org/mission-santa-ines/)
* [Missions California page](https://www.missionscalifornia.com/missions/santa-ines-virgen-y-martir/)
</v>
      </c>
      <c r="BQ127" s="29" t="str">
        <f t="shared" si="737"/>
        <v/>
      </c>
      <c r="BR127" s="29" t="str">
        <f t="shared" si="738"/>
        <v/>
      </c>
      <c r="BS127" s="29" t="str">
        <f t="shared" si="739"/>
        <v/>
      </c>
      <c r="BT127" s="29" t="str">
        <f>IF(LEN(_xludf.concat(BQ127:BS127))&gt;0,_xludf.concat("| ",BQ127," | ",BR127," | ",BS127," |"),"")</f>
        <v/>
      </c>
      <c r="BU127" s="29" t="str">
        <f t="shared" si="740"/>
        <v/>
      </c>
      <c r="BV127" s="29" t="str">
        <f>IF(LEN(BP127&amp;BU127)&gt;0,concatll("#### More Information",BP127,BU127),"")</f>
        <v xml:space="preserve">#### More Information_x000D_
_x000D_
* [Official site](https://missionsantaines.org/)
* [California Missions Foundation page](https://californiamissionsfoundation.org/mission-santa-ines/)
* [Missions California page](https://www.missionscalifornia.com/missions/santa-ines-virgen-y-martir/)
_x000D_
_x000D_
</v>
      </c>
      <c r="BW127" s="29" t="str">
        <f>IF(LEN(M127)&gt;1,concatll("#### Author's Note",M127),"")</f>
        <v/>
      </c>
      <c r="BX127" s="23" t="str">
        <f>IF(AR127,concatll(concatl("---",AS127:AU127,BK127,"---"),L127,BV127:BW127),"")</f>
        <v xml:space="preserve">---_x000D_
title: "Mission Santa Ines"_x000D_
location: {lat: 34.5947305774003, lng: -120.136405258494}_x000D_
level: local_x000D_
tags:
- usa
- california_x000D_
- solvang_x000D_
- churches_x000D_
- holy-persons_x000D_
- california-missions_x000D_
- franciscans_x000D_
_x000D_
---_x000D_
_x000D_
_x000D_
The 19th of the 21 California missions, founded in 1804._x000D_
_x000D_
#### More Information_x000D_
_x000D_
* [Official site](https://missionsantaines.org/)
* [California Missions Foundation page](https://californiamissionsfoundation.org/mission-santa-ines/)
* [Missions California page](https://www.missionscalifornia.com/missions/santa-ines-virgen-y-martir/)
_x000D_
_x000D_
_x000D_
_x000D_
</v>
      </c>
      <c r="BY127" s="31" t="str">
        <f>IF(AR127,VLOOKUP(B127,'(Ref) Countries'!A:B,2,)&amp;IF(LEN(C127)&gt;1,"-"&amp;LOWER(SUBSTITUTE(C127," ","-")),"")&amp;"-"&amp;LOWER(SUBSTITUTE(G127," ","-"))&amp;".md","")</f>
        <v>us_ca-solvang-mission-santa-ines.md</v>
      </c>
      <c r="BZ127" s="29" t="str">
        <f>IF(LEN(Y127)&gt;1,VLOOKUP(Y127,'Tag List'!$A:$B,2,),"")</f>
        <v>Franciscian Missions in California</v>
      </c>
      <c r="CA127" s="29" t="str">
        <f>IF(LEN(Z127)&gt;1,VLOOKUP(Z127,'Tag List'!$A:$B,2,),"")</f>
        <v>Order of Friars Minor (Fransiscans)</v>
      </c>
      <c r="CB127" s="29" t="str">
        <f>IF(LEN(AA127)&gt;1,VLOOKUP(AA127,'Tag List'!$A:$B,2,),"")</f>
        <v/>
      </c>
      <c r="CC127" s="29" t="str">
        <f>IF(LEN(Y127)&gt;1,GetTagPage(BZ127,Y127),"")</f>
        <v>[Franciscian Missions in California](/tags/california-missions)</v>
      </c>
      <c r="CD127" s="29" t="str">
        <f>IF(LEN(Z127)&gt;1,GetTagPage(CA127,Z127),"")</f>
        <v>[Order of Friars Minor (Fransiscans)](/tags/franciscans)</v>
      </c>
      <c r="CE127" s="29" t="str">
        <f>IF(LEN(AA127)&gt;1,GetTagPage(CB127,AA127),"")</f>
        <v/>
      </c>
      <c r="CF127" s="29" t="str">
        <f t="shared" si="741"/>
        <v xml:space="preserve">| [Franciscian Missions in California](/tags/california-missions), [Order of Friars Minor (Fransiscans)](/tags/franciscans) </v>
      </c>
      <c r="CG127" s="29" t="str">
        <f t="shared" si="742"/>
        <v xml:space="preserve">| [](/places/us_ca-solvang-mission-santa-ines) </v>
      </c>
      <c r="CH127" s="29" t="str">
        <f>"| "&amp;IF(AR127,GetTagPage(B127,VLOOKUP(B127,'(Ref) Countries'!A:C,3,)),B127)&amp; " "</f>
        <v xml:space="preserve">| [US California](/tags/usa
- california) </v>
      </c>
      <c r="CI127" s="29" t="str">
        <f t="shared" si="743"/>
        <v xml:space="preserve">|  </v>
      </c>
      <c r="CJ127" s="29" t="str">
        <f t="shared" si="744"/>
        <v xml:space="preserve">| [Link](/places/us_ca-solvang-mission-santa-ines) </v>
      </c>
      <c r="CK127" s="29" t="str">
        <f t="shared" si="745"/>
        <v xml:space="preserve">
| [](/places/us_ca-solvang-mission-santa-ines) | [US California](/tags/usa
- california) |  | [Link](/places/us_ca-solvang-mission-santa-ines) [Official site](https://missionsantaines.org/)| [Franciscian Missions in California](/tags/california-missions), [Order of Friars Minor (Fransiscans)](/tags/franciscans) |</v>
      </c>
    </row>
    <row r="128" spans="1:89" ht="24.9" x14ac:dyDescent="0.4">
      <c r="A128" s="14" t="s">
        <v>1320</v>
      </c>
      <c r="B128" s="24" t="s">
        <v>1912</v>
      </c>
      <c r="C128" s="15" t="s">
        <v>2342</v>
      </c>
      <c r="D128" s="15">
        <v>37.974237142318998</v>
      </c>
      <c r="E128" s="49">
        <v>-122.52797457374101</v>
      </c>
      <c r="F128" s="118" t="s">
        <v>2357</v>
      </c>
      <c r="G128" s="121" t="s">
        <v>2354</v>
      </c>
      <c r="H128" s="15" t="s">
        <v>1827</v>
      </c>
      <c r="I128" s="15" t="b">
        <v>1</v>
      </c>
      <c r="K128" s="15" t="b">
        <v>1</v>
      </c>
      <c r="L128" s="24" t="s">
        <v>2374</v>
      </c>
      <c r="N128" s="15" t="s">
        <v>2393</v>
      </c>
      <c r="O128" s="15" t="s">
        <v>336</v>
      </c>
      <c r="P128" s="60" t="s">
        <v>2395</v>
      </c>
      <c r="Q128" s="15" t="s">
        <v>2415</v>
      </c>
      <c r="R128" s="64" t="s">
        <v>336</v>
      </c>
      <c r="S128" s="60" t="s">
        <v>2417</v>
      </c>
      <c r="T128" s="15" t="s">
        <v>2437</v>
      </c>
      <c r="U128" s="64" t="s">
        <v>336</v>
      </c>
      <c r="Y128" s="15" t="s">
        <v>2448</v>
      </c>
      <c r="Z128" s="15" t="s">
        <v>2442</v>
      </c>
      <c r="AR128" s="28" t="b">
        <f t="shared" si="713"/>
        <v>1</v>
      </c>
      <c r="AS128" s="29" t="str">
        <f t="shared" si="714"/>
        <v>title: "Mission San Rafael Arcangel"</v>
      </c>
      <c r="AT128" s="29" t="str">
        <f t="shared" si="715"/>
        <v>location: {lat: 37.974237142319, lng: -122.527974573741}</v>
      </c>
      <c r="AU128" s="29" t="str">
        <f t="shared" si="716"/>
        <v>level: local</v>
      </c>
      <c r="AV128" s="29" t="str">
        <f>"- "&amp;VLOOKUP(B128,'(Ref) Countries'!A:C,3,)</f>
        <v>- usa
- california</v>
      </c>
      <c r="AW128" s="29" t="str">
        <f t="shared" si="717"/>
        <v>- san-rafael</v>
      </c>
      <c r="AX128" s="29" t="str">
        <f t="shared" si="718"/>
        <v>- churches</v>
      </c>
      <c r="AY128" s="29" t="str">
        <f t="shared" si="719"/>
        <v/>
      </c>
      <c r="AZ128" s="29" t="str">
        <f t="shared" si="720"/>
        <v>- holy-persons</v>
      </c>
      <c r="BA128" s="29" t="str">
        <f t="shared" si="721"/>
        <v>- california-missions</v>
      </c>
      <c r="BB128" s="29" t="str">
        <f t="shared" si="722"/>
        <v>- franciscans</v>
      </c>
      <c r="BC128" s="29" t="str">
        <f t="shared" si="723"/>
        <v/>
      </c>
      <c r="BD128" s="29" t="str">
        <f t="shared" si="724"/>
        <v/>
      </c>
      <c r="BE128" s="29" t="str">
        <f t="shared" si="725"/>
        <v/>
      </c>
      <c r="BF128" s="29" t="str">
        <f t="shared" si="726"/>
        <v/>
      </c>
      <c r="BG128" s="29" t="str">
        <f t="shared" si="727"/>
        <v/>
      </c>
      <c r="BH128" s="29" t="str">
        <f t="shared" si="728"/>
        <v/>
      </c>
      <c r="BI128" s="29" t="str">
        <f t="shared" si="729"/>
        <v/>
      </c>
      <c r="BJ128" s="29" t="str">
        <f t="shared" si="730"/>
        <v/>
      </c>
      <c r="BK128" s="29" t="str">
        <f t="shared" si="731"/>
        <v xml:space="preserve">tags:
- usa
- california_x000D_
- san-rafael_x000D_
- churches_x000D_
- holy-persons_x000D_
- california-missions_x000D_
- franciscans_x000D_
</v>
      </c>
      <c r="BL128" s="29" t="str">
        <f t="shared" si="732"/>
        <v>[Official site](http://saintraphael.com/)</v>
      </c>
      <c r="BM128" s="29" t="str">
        <f t="shared" si="733"/>
        <v>[California Missions Foundation page](https://californiamissionsfoundation.org/mission-san-rafael/)</v>
      </c>
      <c r="BN128" s="29" t="str">
        <f t="shared" si="734"/>
        <v>[Missions California page](https://www.missionscalifornia.com/missions/san-rafael-arcangel/)</v>
      </c>
      <c r="BO128" s="29" t="str">
        <f t="shared" si="735"/>
        <v/>
      </c>
      <c r="BP128" s="29" t="str">
        <f t="shared" si="736"/>
        <v xml:space="preserve">* [Official site](http://saintraphael.com/)
* [California Missions Foundation page](https://californiamissionsfoundation.org/mission-san-rafael/)
* [Missions California page](https://www.missionscalifornia.com/missions/san-rafael-arcangel/)
</v>
      </c>
      <c r="BQ128" s="29" t="str">
        <f t="shared" si="737"/>
        <v/>
      </c>
      <c r="BR128" s="29" t="str">
        <f t="shared" si="738"/>
        <v/>
      </c>
      <c r="BS128" s="29" t="str">
        <f t="shared" si="739"/>
        <v/>
      </c>
      <c r="BT128" s="29" t="str">
        <f>IF(LEN(_xludf.concat(BQ128:BS128))&gt;0,_xludf.concat("| ",BQ128," | ",BR128," | ",BS128," |"),"")</f>
        <v/>
      </c>
      <c r="BU128" s="29" t="str">
        <f t="shared" si="740"/>
        <v/>
      </c>
      <c r="BV128" s="29" t="str">
        <f>IF(LEN(BP128&amp;BU128)&gt;0,concatll("#### More Information",BP128,BU128),"")</f>
        <v xml:space="preserve">#### More Information_x000D_
_x000D_
* [Official site](http://saintraphael.com/)
* [California Missions Foundation page](https://californiamissionsfoundation.org/mission-san-rafael/)
* [Missions California page](https://www.missionscalifornia.com/missions/san-rafael-arcangel/)
_x000D_
_x000D_
</v>
      </c>
      <c r="BW128" s="29" t="str">
        <f>IF(LEN(M128)&gt;1,concatll("#### Author's Note",M128),"")</f>
        <v/>
      </c>
      <c r="BX128" s="23" t="str">
        <f>IF(AR128,concatll(concatl("---",AS128:AU128,BK128,"---"),L128,BV128:BW128),"")</f>
        <v xml:space="preserve">---_x000D_
title: "Mission San Rafael Arcangel"_x000D_
location: {lat: 37.974237142319, lng: -122.527974573741}_x000D_
level: local_x000D_
tags:
- usa
- california_x000D_
- san-rafael_x000D_
- churches_x000D_
- holy-persons_x000D_
- california-missions_x000D_
- franciscans_x000D_
_x000D_
---_x000D_
_x000D_
_x000D_
The 20th of the 21 California missions, founded in 1817._x000D_
_x000D_
#### More Information_x000D_
_x000D_
* [Official site](http://saintraphael.com/)
* [California Missions Foundation page](https://californiamissionsfoundation.org/mission-san-rafael/)
* [Missions California page](https://www.missionscalifornia.com/missions/san-rafael-arcangel/)
_x000D_
_x000D_
_x000D_
_x000D_
</v>
      </c>
      <c r="BY128" s="31" t="str">
        <f>IF(AR128,VLOOKUP(B128,'(Ref) Countries'!A:B,2,)&amp;IF(LEN(C128)&gt;1,"-"&amp;LOWER(SUBSTITUTE(C128," ","-")),"")&amp;"-"&amp;LOWER(SUBSTITUTE(G128," ","-"))&amp;".md","")</f>
        <v>us_ca-san-rafael-mission-san-rafael.md</v>
      </c>
      <c r="BZ128" s="29" t="str">
        <f>IF(LEN(Y128)&gt;1,VLOOKUP(Y128,'Tag List'!$A:$B,2,),"")</f>
        <v>Franciscian Missions in California</v>
      </c>
      <c r="CA128" s="29" t="str">
        <f>IF(LEN(Z128)&gt;1,VLOOKUP(Z128,'Tag List'!$A:$B,2,),"")</f>
        <v>Order of Friars Minor (Fransiscans)</v>
      </c>
      <c r="CB128" s="29" t="str">
        <f>IF(LEN(AA128)&gt;1,VLOOKUP(AA128,'Tag List'!$A:$B,2,),"")</f>
        <v/>
      </c>
      <c r="CC128" s="29" t="str">
        <f>IF(LEN(Y128)&gt;1,GetTagPage(BZ128,Y128),"")</f>
        <v>[Franciscian Missions in California](/tags/california-missions)</v>
      </c>
      <c r="CD128" s="29" t="str">
        <f>IF(LEN(Z128)&gt;1,GetTagPage(CA128,Z128),"")</f>
        <v>[Order of Friars Minor (Fransiscans)](/tags/franciscans)</v>
      </c>
      <c r="CE128" s="29" t="str">
        <f>IF(LEN(AA128)&gt;1,GetTagPage(CB128,AA128),"")</f>
        <v/>
      </c>
      <c r="CF128" s="29" t="str">
        <f t="shared" si="741"/>
        <v xml:space="preserve">| [Franciscian Missions in California](/tags/california-missions), [Order of Friars Minor (Fransiscans)](/tags/franciscans) </v>
      </c>
      <c r="CG128" s="29" t="str">
        <f t="shared" si="742"/>
        <v xml:space="preserve">| [](/places/us_ca-san-rafael-mission-san-rafael) </v>
      </c>
      <c r="CH128" s="29" t="str">
        <f>"| "&amp;IF(AR128,GetTagPage(B128,VLOOKUP(B128,'(Ref) Countries'!A:C,3,)),B128)&amp; " "</f>
        <v xml:space="preserve">| [US California](/tags/usa
- california) </v>
      </c>
      <c r="CI128" s="29" t="str">
        <f t="shared" si="743"/>
        <v xml:space="preserve">|  </v>
      </c>
      <c r="CJ128" s="29" t="str">
        <f t="shared" si="744"/>
        <v xml:space="preserve">| [Link](/places/us_ca-san-rafael-mission-san-rafael) </v>
      </c>
      <c r="CK128" s="29" t="str">
        <f t="shared" si="745"/>
        <v xml:space="preserve">
| [](/places/us_ca-san-rafael-mission-san-rafael) | [US California](/tags/usa
- california) |  | [Link](/places/us_ca-san-rafael-mission-san-rafael) [Official site](http://saintraphael.com/)| [Franciscian Missions in California](/tags/california-missions), [Order of Friars Minor (Fransiscans)](/tags/franciscans) |</v>
      </c>
    </row>
    <row r="129" spans="1:89" ht="49.75" x14ac:dyDescent="0.4">
      <c r="A129" s="14" t="s">
        <v>1320</v>
      </c>
      <c r="B129" s="24" t="s">
        <v>1912</v>
      </c>
      <c r="C129" s="15" t="s">
        <v>2343</v>
      </c>
      <c r="D129" s="15">
        <v>38.293693030927699</v>
      </c>
      <c r="E129" s="49">
        <v>-122.45588850256701</v>
      </c>
      <c r="F129" s="24" t="s">
        <v>2322</v>
      </c>
      <c r="G129" s="53" t="s">
        <v>2322</v>
      </c>
      <c r="H129" s="15" t="s">
        <v>1827</v>
      </c>
      <c r="K129" s="15" t="b">
        <v>1</v>
      </c>
      <c r="L129" s="118" t="s">
        <v>2445</v>
      </c>
      <c r="N129" s="15" t="s">
        <v>2394</v>
      </c>
      <c r="O129" s="15" t="s">
        <v>336</v>
      </c>
      <c r="P129" s="60" t="s">
        <v>2395</v>
      </c>
      <c r="Q129" s="15" t="s">
        <v>2416</v>
      </c>
      <c r="R129" s="64" t="s">
        <v>336</v>
      </c>
      <c r="S129" s="60" t="s">
        <v>2417</v>
      </c>
      <c r="T129" s="15" t="s">
        <v>2438</v>
      </c>
      <c r="U129" s="64" t="s">
        <v>336</v>
      </c>
      <c r="Y129" s="15" t="s">
        <v>2448</v>
      </c>
      <c r="Z129" s="15" t="s">
        <v>2442</v>
      </c>
      <c r="AA129" s="15" t="s">
        <v>2130</v>
      </c>
      <c r="AR129" s="28" t="b">
        <f t="shared" si="713"/>
        <v>1</v>
      </c>
      <c r="AS129" s="29" t="str">
        <f t="shared" si="714"/>
        <v>title: "Mission San Francisco Solano"</v>
      </c>
      <c r="AT129" s="29" t="str">
        <f t="shared" si="715"/>
        <v>location: {lat: 38.2936930309277, lng: -122.455888502567}</v>
      </c>
      <c r="AU129" s="29" t="str">
        <f t="shared" si="716"/>
        <v>level: local</v>
      </c>
      <c r="AV129" s="29" t="str">
        <f>"- "&amp;VLOOKUP(B129,'(Ref) Countries'!A:C,3,)</f>
        <v>- usa
- california</v>
      </c>
      <c r="AW129" s="29" t="str">
        <f t="shared" si="717"/>
        <v>- sonoma</v>
      </c>
      <c r="AX129" s="29" t="str">
        <f t="shared" si="718"/>
        <v/>
      </c>
      <c r="AY129" s="29" t="str">
        <f t="shared" si="719"/>
        <v/>
      </c>
      <c r="AZ129" s="29" t="str">
        <f t="shared" si="720"/>
        <v>- holy-persons</v>
      </c>
      <c r="BA129" s="29" t="str">
        <f t="shared" si="721"/>
        <v>- california-missions</v>
      </c>
      <c r="BB129" s="29" t="str">
        <f t="shared" si="722"/>
        <v>- franciscans</v>
      </c>
      <c r="BC129" s="29" t="str">
        <f t="shared" si="723"/>
        <v>- closed</v>
      </c>
      <c r="BD129" s="29" t="str">
        <f t="shared" si="724"/>
        <v/>
      </c>
      <c r="BE129" s="29" t="str">
        <f t="shared" si="725"/>
        <v/>
      </c>
      <c r="BF129" s="29" t="str">
        <f t="shared" si="726"/>
        <v/>
      </c>
      <c r="BG129" s="29" t="str">
        <f t="shared" si="727"/>
        <v/>
      </c>
      <c r="BH129" s="29" t="str">
        <f t="shared" si="728"/>
        <v/>
      </c>
      <c r="BI129" s="29" t="str">
        <f t="shared" si="729"/>
        <v/>
      </c>
      <c r="BJ129" s="29" t="str">
        <f t="shared" si="730"/>
        <v/>
      </c>
      <c r="BK129" s="29" t="str">
        <f t="shared" si="731"/>
        <v xml:space="preserve">tags:
- usa
- california_x000D_
- sonoma_x000D_
- holy-persons_x000D_
- california-missions_x000D_
- franciscans_x000D_
- closed_x000D_
</v>
      </c>
      <c r="BL129" s="29" t="str">
        <f t="shared" si="732"/>
        <v>[Official site](https://www.parks.ca.gov/?page_id=479)</v>
      </c>
      <c r="BM129" s="29" t="str">
        <f t="shared" si="733"/>
        <v>[California Missions Foundation page](https://californiamissionsfoundation.org/mission-san-francisco-solano/)</v>
      </c>
      <c r="BN129" s="29" t="str">
        <f t="shared" si="734"/>
        <v>[Missions California page](https://www.missionscalifornia.com/missions/san-francisco-solano/)</v>
      </c>
      <c r="BO129" s="29" t="str">
        <f t="shared" si="735"/>
        <v/>
      </c>
      <c r="BP129" s="29" t="str">
        <f t="shared" si="736"/>
        <v xml:space="preserve">* [Official site](https://www.parks.ca.gov/?page_id=479)
* [California Missions Foundation page](https://californiamissionsfoundation.org/mission-san-francisco-solano/)
* [Missions California page](https://www.missionscalifornia.com/missions/san-francisco-solano/)
</v>
      </c>
      <c r="BQ129" s="29" t="str">
        <f t="shared" si="737"/>
        <v/>
      </c>
      <c r="BR129" s="29" t="str">
        <f t="shared" si="738"/>
        <v/>
      </c>
      <c r="BS129" s="29" t="str">
        <f t="shared" si="739"/>
        <v/>
      </c>
      <c r="BT129" s="29" t="str">
        <f>IF(LEN(_xludf.concat(BQ129:BS129))&gt;0,_xludf.concat("| ",BQ129," | ",BR129," | ",BS129," |"),"")</f>
        <v/>
      </c>
      <c r="BU129" s="29" t="str">
        <f t="shared" si="740"/>
        <v/>
      </c>
      <c r="BV129" s="29" t="str">
        <f>IF(LEN(BP129&amp;BU129)&gt;0,concatll("#### More Information",BP129,BU129),"")</f>
        <v xml:space="preserve">#### More Information_x000D_
_x000D_
* [Official site](https://www.parks.ca.gov/?page_id=479)
* [California Missions Foundation page](https://californiamissionsfoundation.org/mission-san-francisco-solano/)
* [Missions California page](https://www.missionscalifornia.com/missions/san-francisco-solano/)
_x000D_
_x000D_
</v>
      </c>
      <c r="BW129" s="29" t="str">
        <f>IF(LEN(M129)&gt;1,concatll("#### Author's Note",M129),"")</f>
        <v/>
      </c>
      <c r="BX129" s="23" t="str">
        <f>IF(AR129,concatll(concatl("---",AS129:AU129,BK129,"---"),L129,BV129:BW129),"")</f>
        <v xml:space="preserve">---_x000D_
title: "Mission San Francisco Solano"_x000D_
location: {lat: 38.2936930309277, lng: -122.455888502567}_x000D_
level: local_x000D_
tags:
- usa
- california_x000D_
- sonoma_x000D_
- holy-persons_x000D_
- california-missions_x000D_
- franciscans_x000D_
- closed_x000D_
_x000D_
---_x000D_
_x000D_
_x000D_
The 21st of the 21 California missions, founded in 1823.  The mission only remained so for 11 years before being secularized.  The Bear Flag Revolt of June 14, 1816 occurred directly across from the mission, declaring California a republic.  Today the mission is part of a public park._x000D_
_x000D_
#### More Information_x000D_
_x000D_
* [Official site](https://www.parks.ca.gov/?page_id=479)
* [California Missions Foundation page](https://californiamissionsfoundation.org/mission-san-francisco-solano/)
* [Missions California page](https://www.missionscalifornia.com/missions/san-francisco-solano/)
_x000D_
_x000D_
_x000D_
_x000D_
</v>
      </c>
      <c r="BY129" s="31" t="str">
        <f>IF(AR129,VLOOKUP(B129,'(Ref) Countries'!A:B,2,)&amp;IF(LEN(C129)&gt;1,"-"&amp;LOWER(SUBSTITUTE(C129," ","-")),"")&amp;"-"&amp;LOWER(SUBSTITUTE(G129," ","-"))&amp;".md","")</f>
        <v>us_ca-sonoma-mission-san-francisco-solano.md</v>
      </c>
      <c r="BZ129" s="29" t="str">
        <f>IF(LEN(Y129)&gt;1,VLOOKUP(Y129,'Tag List'!$A:$B,2,),"")</f>
        <v>Franciscian Missions in California</v>
      </c>
      <c r="CA129" s="29" t="str">
        <f>IF(LEN(Z129)&gt;1,VLOOKUP(Z129,'Tag List'!$A:$B,2,),"")</f>
        <v>Order of Friars Minor (Fransiscans)</v>
      </c>
      <c r="CB129" s="29" t="str">
        <f>IF(LEN(AA129)&gt;1,VLOOKUP(AA129,'Tag List'!$A:$B,2,),"")</f>
        <v>Closed or Deconsecrated Sites</v>
      </c>
      <c r="CC129" s="29" t="str">
        <f>IF(LEN(Y129)&gt;1,GetTagPage(BZ129,Y129),"")</f>
        <v>[Franciscian Missions in California](/tags/california-missions)</v>
      </c>
      <c r="CD129" s="29" t="str">
        <f>IF(LEN(Z129)&gt;1,GetTagPage(CA129,Z129),"")</f>
        <v>[Order of Friars Minor (Fransiscans)](/tags/franciscans)</v>
      </c>
      <c r="CE129" s="29" t="str">
        <f>IF(LEN(AA129)&gt;1,GetTagPage(CB129,AA129),"")</f>
        <v>[Closed or Deconsecrated Sites](/tags/closed)</v>
      </c>
      <c r="CF129" s="29" t="str">
        <f t="shared" si="741"/>
        <v xml:space="preserve">| [Franciscian Missions in California](/tags/california-missions), [Order of Friars Minor (Fransiscans)](/tags/franciscans), [Closed or Deconsecrated Sites](/tags/closed) </v>
      </c>
      <c r="CG129" s="29" t="str">
        <f t="shared" si="742"/>
        <v xml:space="preserve">| [](/places/us_ca-sonoma-mission-san-francisco-solano) </v>
      </c>
      <c r="CH129" s="29" t="str">
        <f>"| "&amp;IF(AR129,GetTagPage(B129,VLOOKUP(B129,'(Ref) Countries'!A:C,3,)),B129)&amp; " "</f>
        <v xml:space="preserve">| [US California](/tags/usa
- california) </v>
      </c>
      <c r="CI129" s="29" t="str">
        <f t="shared" si="743"/>
        <v xml:space="preserve">|  </v>
      </c>
      <c r="CJ129" s="29" t="str">
        <f t="shared" si="744"/>
        <v xml:space="preserve">| [Link](/places/us_ca-sonoma-mission-san-francisco-solano) </v>
      </c>
      <c r="CK129" s="29" t="str">
        <f t="shared" si="745"/>
        <v xml:space="preserve">
| [](/places/us_ca-sonoma-mission-san-francisco-solano) | [US California](/tags/usa
- california) |  | [Link](/places/us_ca-sonoma-mission-san-francisco-solano) [Official site](https://www.parks.ca.gov/?page_id=479)| [Franciscian Missions in California](/tags/california-missions), [Order of Friars Minor (Fransiscans)](/tags/franciscans), [Closed or Deconsecrated Sites](/tags/closed) |</v>
      </c>
    </row>
    <row r="130" spans="1:89" ht="37.299999999999997" x14ac:dyDescent="0.4">
      <c r="A130" s="14" t="s">
        <v>1320</v>
      </c>
      <c r="B130" s="24" t="s">
        <v>2</v>
      </c>
      <c r="C130" s="15" t="s">
        <v>2451</v>
      </c>
      <c r="D130" s="15">
        <v>15.391251440231599</v>
      </c>
      <c r="E130" s="49">
        <v>73.903795958225004</v>
      </c>
      <c r="F130" s="24" t="s">
        <v>2452</v>
      </c>
      <c r="G130" s="53" t="s">
        <v>2455</v>
      </c>
      <c r="H130" s="15" t="s">
        <v>1827</v>
      </c>
      <c r="I130" s="15" t="b">
        <v>1</v>
      </c>
      <c r="K130" s="15" t="b">
        <v>1</v>
      </c>
      <c r="L130" s="118" t="s">
        <v>2458</v>
      </c>
      <c r="N130" s="15" t="s">
        <v>2457</v>
      </c>
      <c r="O130" s="15" t="s">
        <v>336</v>
      </c>
      <c r="P130" s="60" t="s">
        <v>2456</v>
      </c>
      <c r="Q130" s="15" t="s">
        <v>2453</v>
      </c>
      <c r="R130" s="64" t="s">
        <v>336</v>
      </c>
      <c r="Y130" s="15" t="s">
        <v>2454</v>
      </c>
      <c r="Z130" s="124" t="s">
        <v>2459</v>
      </c>
      <c r="AR130" s="28" t="b">
        <f t="shared" si="713"/>
        <v>1</v>
      </c>
      <c r="AS130" s="29" t="str">
        <f t="shared" si="714"/>
        <v>title: "Sanctuary of St. Joseph Vaz"</v>
      </c>
      <c r="AT130" s="29" t="str">
        <f t="shared" si="715"/>
        <v>location: {lat: 15.3912514402316, lng: 73.903795958225}</v>
      </c>
      <c r="AU130" s="29" t="str">
        <f t="shared" si="716"/>
        <v>level: local</v>
      </c>
      <c r="AV130" s="29" t="str">
        <f>"- "&amp;VLOOKUP(B130,'(Ref) Countries'!A:C,3,)</f>
        <v>- india</v>
      </c>
      <c r="AW130" s="29" t="str">
        <f t="shared" si="717"/>
        <v>- goa</v>
      </c>
      <c r="AX130" s="29" t="str">
        <f t="shared" si="718"/>
        <v>- churches</v>
      </c>
      <c r="AY130" s="29" t="str">
        <f t="shared" si="719"/>
        <v/>
      </c>
      <c r="AZ130" s="29" t="str">
        <f t="shared" si="720"/>
        <v>- holy-persons</v>
      </c>
      <c r="BA130" s="29" t="str">
        <f t="shared" si="721"/>
        <v>- joseph-vaz</v>
      </c>
      <c r="BB130" s="29" t="str">
        <f t="shared" si="722"/>
        <v>- oratorians</v>
      </c>
      <c r="BC130" s="29" t="str">
        <f t="shared" si="723"/>
        <v/>
      </c>
      <c r="BD130" s="29" t="str">
        <f t="shared" si="724"/>
        <v/>
      </c>
      <c r="BE130" s="29" t="str">
        <f t="shared" si="725"/>
        <v/>
      </c>
      <c r="BF130" s="29" t="str">
        <f t="shared" si="726"/>
        <v/>
      </c>
      <c r="BG130" s="29" t="str">
        <f t="shared" si="727"/>
        <v/>
      </c>
      <c r="BH130" s="29" t="str">
        <f t="shared" si="728"/>
        <v/>
      </c>
      <c r="BI130" s="29" t="str">
        <f t="shared" si="729"/>
        <v/>
      </c>
      <c r="BJ130" s="29" t="str">
        <f t="shared" si="730"/>
        <v/>
      </c>
      <c r="BK130" s="29" t="str">
        <f t="shared" si="731"/>
        <v xml:space="preserve">tags:
- india_x000D_
- goa_x000D_
- churches_x000D_
- holy-persons_x000D_
- joseph-vaz_x000D_
- oratorians_x000D_
</v>
      </c>
      <c r="BL130" s="29" t="str">
        <f t="shared" si="732"/>
        <v>[Official site](https://blessedjosephvaz.org/sanctuary.htm)</v>
      </c>
      <c r="BM130" s="29" t="str">
        <f t="shared" si="733"/>
        <v>[Missionary Oblates of Mary Immaculate biography](https://www.omiworld.org/our-charism/our-saints/non-oblate-causes/saint-joseph-vaz-1651-1711/biography/)</v>
      </c>
      <c r="BN130" s="29" t="str">
        <f t="shared" si="734"/>
        <v/>
      </c>
      <c r="BO130" s="29" t="str">
        <f t="shared" si="735"/>
        <v/>
      </c>
      <c r="BP130" s="29" t="str">
        <f t="shared" si="736"/>
        <v xml:space="preserve">* [Official site](https://blessedjosephvaz.org/sanctuary.htm)
* [Missionary Oblates of Mary Immaculate biography](https://www.omiworld.org/our-charism/our-saints/non-oblate-causes/saint-joseph-vaz-1651-1711/biography/)
</v>
      </c>
      <c r="BQ130" s="29" t="str">
        <f t="shared" si="737"/>
        <v/>
      </c>
      <c r="BR130" s="29" t="str">
        <f t="shared" si="738"/>
        <v/>
      </c>
      <c r="BS130" s="29" t="str">
        <f t="shared" si="739"/>
        <v/>
      </c>
      <c r="BT130" s="29" t="str">
        <f>IF(LEN(_xludf.concat(BQ130:BS130))&gt;0,_xludf.concat("| ",BQ130," | ",BR130," | ",BS130," |"),"")</f>
        <v/>
      </c>
      <c r="BU130" s="29" t="str">
        <f t="shared" si="740"/>
        <v/>
      </c>
      <c r="BV130" s="29" t="str">
        <f>IF(LEN(BP130&amp;BU130)&gt;0,concatll("#### More Information",BP130,BU130),"")</f>
        <v xml:space="preserve">#### More Information_x000D_
_x000D_
* [Official site](https://blessedjosephvaz.org/sanctuary.htm)
* [Missionary Oblates of Mary Immaculate biography](https://www.omiworld.org/our-charism/our-saints/non-oblate-causes/saint-joseph-vaz-1651-1711/biography/)
_x000D_
_x000D_
</v>
      </c>
      <c r="BW130" s="29" t="str">
        <f>IF(LEN(M130)&gt;1,concatll("#### Author's Note",M130),"")</f>
        <v/>
      </c>
      <c r="BX130" s="23" t="str">
        <f>IF(AR130,concatll(concatl("---",AS130:AU130,BK130,"---"),L130,BV130:BW130),"")</f>
        <v xml:space="preserve">---_x000D_
title: "Sanctuary of St. Joseph Vaz"_x000D_
location: {lat: 15.3912514402316, lng: 73.903795958225}_x000D_
level: local_x000D_
tags:
- india_x000D_
- goa_x000D_
- churches_x000D_
- holy-persons_x000D_
- joseph-vaz_x000D_
- oratorians_x000D_
_x000D_
---_x000D_
_x000D_
_x000D_
St. Joseph Vaz was a priest form Goa, India, who became a missionary in Ceylon (now Sri Lanka), preaching to the abandoned Catholics in a largely Buddhist country.  This shrine is located in the city of his birth._x000D_
_x000D_
#### More Information_x000D_
_x000D_
* [Official site](https://blessedjosephvaz.org/sanctuary.htm)
* [Missionary Oblates of Mary Immaculate biography](https://www.omiworld.org/our-charism/our-saints/non-oblate-causes/saint-joseph-vaz-1651-1711/biography/)
_x000D_
_x000D_
_x000D_
_x000D_
</v>
      </c>
      <c r="BY130" s="31" t="str">
        <f>IF(AR130,VLOOKUP(B130,'(Ref) Countries'!A:B,2,)&amp;IF(LEN(C130)&gt;1,"-"&amp;LOWER(SUBSTITUTE(C130," ","-")),"")&amp;"-"&amp;LOWER(SUBSTITUTE(G130," ","-"))&amp;".md","")</f>
        <v>in-goa-st-joseph-vaz.md</v>
      </c>
      <c r="BZ130" s="29" t="str">
        <f>IF(LEN(Y130)&gt;1,VLOOKUP(Y130,'Tag List'!$A:$B,2,),"")</f>
        <v>St. Joseph Vaz, CO</v>
      </c>
      <c r="CA130" s="29" t="str">
        <f>IF(LEN(Z130)&gt;1,VLOOKUP(Z130,'Tag List'!$A:$B,2,),"")</f>
        <v>Oratory of St. Philip Neri (Oratorians)</v>
      </c>
      <c r="CB130" s="29" t="str">
        <f>IF(LEN(AA130)&gt;1,VLOOKUP(AA130,'Tag List'!$A:$B,2,),"")</f>
        <v/>
      </c>
      <c r="CC130" s="29" t="str">
        <f>IF(LEN(Y130)&gt;1,GetTagPage(BZ130,Y130),"")</f>
        <v>[St. Joseph Vaz, CO](/tags/joseph-vaz)</v>
      </c>
      <c r="CD130" s="29" t="str">
        <f>IF(LEN(Z130)&gt;1,GetTagPage(CA130,Z130),"")</f>
        <v>[Oratory of St. Philip Neri (Oratorians)](/tags/oratorians)</v>
      </c>
      <c r="CE130" s="29" t="str">
        <f>IF(LEN(AA130)&gt;1,GetTagPage(CB130,AA130),"")</f>
        <v/>
      </c>
      <c r="CF130" s="29" t="str">
        <f t="shared" si="741"/>
        <v xml:space="preserve">| [St. Joseph Vaz, CO](/tags/joseph-vaz), [Oratory of St. Philip Neri (Oratorians)](/tags/oratorians) </v>
      </c>
      <c r="CG130" s="29" t="str">
        <f t="shared" si="742"/>
        <v xml:space="preserve">| [](/places/in-goa-st-joseph-vaz) </v>
      </c>
      <c r="CH130" s="29" t="str">
        <f>"| "&amp;IF(AR130,GetTagPage(B130,VLOOKUP(B130,'(Ref) Countries'!A:C,3,)),B130)&amp; " "</f>
        <v xml:space="preserve">| [India](/tags/india) </v>
      </c>
      <c r="CI130" s="29" t="str">
        <f t="shared" si="743"/>
        <v xml:space="preserve">|  </v>
      </c>
      <c r="CJ130" s="29" t="str">
        <f t="shared" si="744"/>
        <v xml:space="preserve">| [Link](/places/in-goa-st-joseph-vaz) </v>
      </c>
      <c r="CK130" s="29" t="str">
        <f t="shared" si="745"/>
        <v xml:space="preserve">
| [](/places/in-goa-st-joseph-vaz) | [India](/tags/india) |  | [Link](/places/in-goa-st-joseph-vaz) [Official site](https://blessedjosephvaz.org/sanctuary.htm)| [St. Joseph Vaz, CO](/tags/joseph-vaz), [Oratory of St. Philip Neri (Oratorians)](/tags/oratorians) |</v>
      </c>
    </row>
    <row r="131" spans="1:89" ht="124.3" x14ac:dyDescent="0.4">
      <c r="A131" s="14" t="s">
        <v>1049</v>
      </c>
      <c r="B131" s="126" t="s">
        <v>2469</v>
      </c>
      <c r="C131" s="127" t="s">
        <v>2471</v>
      </c>
      <c r="D131" s="15">
        <v>37.9524398007025</v>
      </c>
      <c r="E131" s="49">
        <v>27.367911346038099</v>
      </c>
      <c r="F131" s="126" t="s">
        <v>2472</v>
      </c>
      <c r="G131" s="128" t="s">
        <v>2473</v>
      </c>
      <c r="H131" s="127" t="s">
        <v>1715</v>
      </c>
      <c r="K131" s="15" t="b">
        <v>1</v>
      </c>
      <c r="L131" s="131" t="s">
        <v>2492</v>
      </c>
      <c r="Y131" s="127" t="s">
        <v>2476</v>
      </c>
      <c r="Z131" s="127" t="s">
        <v>2474</v>
      </c>
      <c r="AA131" s="138" t="s">
        <v>2130</v>
      </c>
      <c r="AR131" s="28" t="b">
        <f t="shared" ref="AR131" si="746">IF(OR(A131="Done",A131="In Progress"),TRUE)</f>
        <v>1</v>
      </c>
      <c r="AS131" s="29" t="str">
        <f t="shared" ref="AS131" si="747">"title: """&amp;F131&amp;""""</f>
        <v>title: "Basilica of St. John"</v>
      </c>
      <c r="AT131" s="29" t="str">
        <f t="shared" ref="AT131" si="748">"location: {lat: "&amp;D131&amp;", lng: "&amp;E131&amp;"}"</f>
        <v>location: {lat: 37.9524398007025, lng: 27.3679113460381}</v>
      </c>
      <c r="AU131" s="29" t="str">
        <f t="shared" ref="AU131" si="749">"level: "&amp;H131</f>
        <v>level: global</v>
      </c>
      <c r="AV131" s="29" t="str">
        <f>"- "&amp;VLOOKUP(B131,'(Ref) Countries'!A:C,3,)</f>
        <v>- turkey</v>
      </c>
      <c r="AW131" s="29" t="str">
        <f t="shared" ref="AW131" si="750">IF(LEN(C131)&gt;1,"- "&amp;LOWER(SUBSTITUTE(C131," ","-")),"")</f>
        <v>- ephesus</v>
      </c>
      <c r="AX131" s="29" t="str">
        <f t="shared" ref="AX131" si="751">IF(I131,"- churches","")</f>
        <v/>
      </c>
      <c r="AY131" s="29" t="str">
        <f t="shared" ref="AY131" si="752">IF(J131,"- marian-sites","")</f>
        <v/>
      </c>
      <c r="AZ131" s="29" t="str">
        <f t="shared" ref="AZ131" si="753">IF(K131,"- holy-persons","")</f>
        <v>- holy-persons</v>
      </c>
      <c r="BA131" s="29" t="str">
        <f t="shared" ref="BA131" si="754">IF(LEN(Y131)&gt;0,"- "&amp;Y131,"")</f>
        <v>- john-apostle</v>
      </c>
      <c r="BB131" s="29" t="str">
        <f t="shared" ref="BB131" si="755">IF(LEN(Z131)&gt;0,"- "&amp;Z131,"")</f>
        <v>- apostles</v>
      </c>
      <c r="BC131" s="29" t="str">
        <f t="shared" ref="BC131" si="756">IF(LEN(AA131)&gt;0,"- "&amp;AA131,"")</f>
        <v>- closed</v>
      </c>
      <c r="BD131" s="29" t="str">
        <f t="shared" ref="BD131" si="757">IF(LEN(AB131)&gt;0,"- "&amp;AB131,"")</f>
        <v/>
      </c>
      <c r="BE131" s="29" t="str">
        <f t="shared" ref="BE131" si="758">IF(LEN(AC131)&gt;0,"- "&amp;AC131,"")</f>
        <v/>
      </c>
      <c r="BF131" s="29" t="str">
        <f t="shared" ref="BF131" si="759">IF(LEN(AD131)&gt;0,"- "&amp;AD131,"")</f>
        <v/>
      </c>
      <c r="BG131" s="29" t="str">
        <f t="shared" ref="BG131" si="760">IF(LEN(AE131)&gt;0,"- "&amp;AE131,"")</f>
        <v/>
      </c>
      <c r="BH131" s="29" t="str">
        <f t="shared" ref="BH131" si="761">IF(LEN(AF131)&gt;0,"- "&amp;AF131,"")</f>
        <v/>
      </c>
      <c r="BI131" s="29" t="str">
        <f t="shared" ref="BI131" si="762">IF(LEN(AG131)&gt;0,"- "&amp;AG131,"")</f>
        <v/>
      </c>
      <c r="BJ131" s="29" t="str">
        <f t="shared" ref="BJ131" si="763">IF(LEN(AH131)&gt;0,"- "&amp;AH131,"")</f>
        <v/>
      </c>
      <c r="BK131" s="29" t="str">
        <f t="shared" ref="BK131" si="764">"tags:"&amp;CHAR(10)&amp;concatl(AV131:BJ131)</f>
        <v xml:space="preserve">tags:
- turkey_x000D_
- ephesus_x000D_
- holy-persons_x000D_
- john-apostle_x000D_
- apostles_x000D_
- closed_x000D_
</v>
      </c>
      <c r="BL131" s="29" t="str">
        <f t="shared" ref="BL131" si="765">IF(LEN(N131)&gt;0,TRIM(CONCATENATE("[Official site](",N131,") ",O131)),"")</f>
        <v/>
      </c>
      <c r="BM131" s="29" t="str">
        <f t="shared" ref="BM131" si="766">IF(LEN(Q131)&gt;0,TRIM(CONCATENATE("["&amp;P131&amp;"](",Q131,") ",R131)),"")</f>
        <v/>
      </c>
      <c r="BN131" s="29" t="str">
        <f t="shared" ref="BN131" si="767">IF(LEN(T131)&gt;0,TRIM(CONCATENATE("["&amp;S131&amp;"](",T131,") ",U131)),"")</f>
        <v/>
      </c>
      <c r="BO131" s="29" t="str">
        <f t="shared" ref="BO131" si="768">IF(LEN(W131)&gt;0,TRIM(CONCATENATE("["&amp;V131&amp;"](",W131,") ",X131)),"")</f>
        <v/>
      </c>
      <c r="BP131" s="29" t="str">
        <f t="shared" ref="BP131" si="769">IF(LEN(BL131)&gt;0,"* "&amp;BL131&amp;CHAR(10),"")&amp;
IF(LEN(BM131)&gt;0,"* "&amp;BM131&amp;CHAR(10),"")&amp;
IF(LEN(BN131)&gt;0,"* "&amp;BN131&amp;CHAR(10),"")&amp;
IF(LEN(BO131)&gt;0,"* "&amp;BO131&amp;CHAR(10),"")</f>
        <v/>
      </c>
      <c r="BQ131" s="29" t="str">
        <f t="shared" ref="BQ131" si="770">IF(LEN(AK131)&gt;0,TRIM(CONCATENATE("[Link](",AK131,") ",AL131)),"")</f>
        <v/>
      </c>
      <c r="BR131" s="29" t="str">
        <f t="shared" ref="BR131" si="771">IF(LEN(AM131)&gt;0,TRIM(CONCATENATE("[Link](",AM131,") ",AN131)),"")</f>
        <v/>
      </c>
      <c r="BS131" s="29" t="str">
        <f t="shared" ref="BS131" si="772">IF(LEN(AO131)&gt;0,TRIM(CONCATENATE("[Link](",AO131,") ",AP131)),"")</f>
        <v/>
      </c>
      <c r="BT131" s="29" t="str">
        <f>IF(LEN(_xludf.concat(BQ131:BS131))&gt;0,_xludf.concat("| ",BQ131," | ",BR131," | ",BS131," |"),"")</f>
        <v/>
      </c>
      <c r="BU131" s="29" t="str">
        <f t="shared" ref="BU131" si="773">IF(J131,concatl("| The Real Presence | Miracle Hunter | MaryPages |","| --- | --- | --- |",BT131),"")</f>
        <v/>
      </c>
      <c r="BV131" s="29" t="str">
        <f>IF(LEN(BP131&amp;BU131)&gt;0,concatll("#### More Information",BP131,BU131),"")</f>
        <v/>
      </c>
      <c r="BW131" s="29" t="str">
        <f>IF(LEN(M131)&gt;1,concatll("#### Author's Note",M131),"")</f>
        <v/>
      </c>
      <c r="BX131" s="23" t="str">
        <f>IF(AR131,concatll(concatl("---",AS131:AU131,BK131,"---"),L131,BV131:BW131),"")</f>
        <v xml:space="preserve">---_x000D_
title: "Basilica of St. John"_x000D_
location: {lat: 37.9524398007025, lng: 27.3679113460381}_x000D_
level: global_x000D_
tags:
- turkey_x000D_
- ephesus_x000D_
- holy-persons_x000D_
- john-apostle_x000D_
- apostles_x000D_
- closed_x000D_
_x000D_
---_x000D_
_x000D_
_x000D_
Completed in 565 AD, the basilica was built over the believed burial site of St. John the Apostle.  According to legend, St. John (as the Beloved Disciple) took the Virgin Mary to Ephesus in her final years, and [her possible house](/places/tr-ephesus-house-of-the-virgin-mary) overlooks the ancient city of Ephesus.  The church is one of only four thought to have been built over the tomb of an apostle, alongside [St. Peter's Basilica in Vatican City](/places/va-st-peter), [the Basilica of Santiago de Compostela](/places/es-santiago-de-compostela-catedral-de-santiago) in Spain, and St. Thomas Cathedral Basilica in India.
Today the ruins are part of the UNESCO World Heritage Site of Ephesus._x000D_
_x000D_
</v>
      </c>
      <c r="BY131" s="31" t="str">
        <f>IF(AR131,VLOOKUP(B131,'(Ref) Countries'!A:B,2,)&amp;IF(LEN(C131)&gt;1,"-"&amp;LOWER(SUBSTITUTE(C131," ","-")),"")&amp;"-"&amp;LOWER(SUBSTITUTE(G131," ","-"))&amp;".md","")</f>
        <v>tr-ephesus-basilica-of-st-john.md</v>
      </c>
      <c r="BZ131" s="29" t="str">
        <f>IF(LEN(Y131)&gt;1,VLOOKUP(Y131,'Tag List'!$A:$B,2,),"")</f>
        <v>St. John the Apostle</v>
      </c>
      <c r="CA131" s="29" t="str">
        <f>IF(LEN(Z131)&gt;1,VLOOKUP(Z131,'Tag List'!$A:$B,2,),"")</f>
        <v>Sites Related to the Twelve Apostles</v>
      </c>
      <c r="CB131" s="29" t="str">
        <f>IF(LEN(AA131)&gt;1,VLOOKUP(AA131,'Tag List'!$A:$B,2,),"")</f>
        <v>Closed or Deconsecrated Sites</v>
      </c>
      <c r="CC131" s="29" t="str">
        <f>IF(LEN(Y131)&gt;1,GetTagPage(BZ131,Y131),"")</f>
        <v>[St. John the Apostle](/tags/john-apostle)</v>
      </c>
      <c r="CD131" s="29" t="str">
        <f>IF(LEN(Z131)&gt;1,GetTagPage(CA131,Z131),"")</f>
        <v>[Sites Related to the Twelve Apostles](/tags/apostles)</v>
      </c>
      <c r="CE131" s="29" t="str">
        <f>IF(LEN(AA131)&gt;1,GetTagPage(CB131,AA131),"")</f>
        <v>[Closed or Deconsecrated Sites](/tags/closed)</v>
      </c>
      <c r="CF131" s="29" t="str">
        <f t="shared" ref="CF131" si="774">"|"&amp;IF(LEN(CC131)&gt;1," "&amp;CC131,"")&amp;IF(LEN(CD131)&gt;1,", "&amp;CD131,"")&amp;IF(LEN(CE131)&gt;1,", "&amp;CE131,"")&amp;" "</f>
        <v xml:space="preserve">| [St. John the Apostle](/tags/john-apostle), [Sites Related to the Twelve Apostles](/tags/apostles), [Closed or Deconsecrated Sites](/tags/closed) </v>
      </c>
      <c r="CG131" s="29" t="str">
        <f t="shared" ref="CG131" si="775">"| "&amp;IF(AR131,"["&amp;AI131&amp;"](/places/"&amp;SUBSTITUTE(BY131,".md","")&amp;")",AI131)&amp;" "</f>
        <v xml:space="preserve">| [](/places/tr-ephesus-basilica-of-st-john) </v>
      </c>
      <c r="CH131" s="29" t="str">
        <f>"| "&amp;IF(AR131,GetTagPage(B131,VLOOKUP(B131,'(Ref) Countries'!A:C,3,)),B131)&amp; " "</f>
        <v xml:space="preserve">| [Turkey](/tags/turkey) </v>
      </c>
      <c r="CI131" s="29" t="str">
        <f t="shared" ref="CI131" si="776">"| "&amp;AJ131&amp;" "</f>
        <v xml:space="preserve">|  </v>
      </c>
      <c r="CJ131" s="29" t="str">
        <f t="shared" ref="CJ131" si="777">"|"&amp;IF(AR131," [Link](/places/"&amp;SUBSTITUTE(BY131,".md","")&amp;")","")&amp;" "</f>
        <v xml:space="preserve">| [Link](/places/tr-ephesus-basilica-of-st-john) </v>
      </c>
      <c r="CK131" s="29" t="str">
        <f t="shared" ref="CK131" si="778">"
"&amp;CG131&amp;CH131&amp;CI131&amp;CJ131&amp;BL131&amp;BQ131&amp;BR131&amp;BS131&amp;CF131&amp;"|"</f>
        <v xml:space="preserve">
| [](/places/tr-ephesus-basilica-of-st-john) | [Turkey](/tags/turkey) |  | [Link](/places/tr-ephesus-basilica-of-st-john) | [St. John the Apostle](/tags/john-apostle), [Sites Related to the Twelve Apostles](/tags/apostles), [Closed or Deconsecrated Sites](/tags/closed) |</v>
      </c>
    </row>
    <row r="132" spans="1:89" ht="111.9" x14ac:dyDescent="0.4">
      <c r="A132" s="14" t="s">
        <v>1320</v>
      </c>
      <c r="B132" s="24" t="s">
        <v>2469</v>
      </c>
      <c r="C132" s="15" t="s">
        <v>2471</v>
      </c>
      <c r="D132" s="15">
        <v>37.911596002771098</v>
      </c>
      <c r="E132" s="49">
        <v>27.334141839748199</v>
      </c>
      <c r="F132" s="126" t="s">
        <v>2478</v>
      </c>
      <c r="G132" s="53" t="s">
        <v>2478</v>
      </c>
      <c r="H132" s="15" t="s">
        <v>1715</v>
      </c>
      <c r="J132" s="15" t="b">
        <v>1</v>
      </c>
      <c r="L132" s="126" t="s">
        <v>2481</v>
      </c>
      <c r="M132" s="128" t="s">
        <v>2482</v>
      </c>
      <c r="Y132" s="15" t="s">
        <v>2479</v>
      </c>
      <c r="AR132" s="28" t="b">
        <f t="shared" ref="AR132" si="779">IF(OR(A132="Done",A132="In Progress"),TRUE)</f>
        <v>1</v>
      </c>
      <c r="AS132" s="29" t="str">
        <f t="shared" ref="AS132" si="780">"title: """&amp;F132&amp;""""</f>
        <v>title: "House of the Virgin Mary"</v>
      </c>
      <c r="AT132" s="29" t="str">
        <f t="shared" ref="AT132" si="781">"location: {lat: "&amp;D132&amp;", lng: "&amp;E132&amp;"}"</f>
        <v>location: {lat: 37.9115960027711, lng: 27.3341418397482}</v>
      </c>
      <c r="AU132" s="29" t="str">
        <f t="shared" ref="AU132" si="782">"level: "&amp;H132</f>
        <v>level: global</v>
      </c>
      <c r="AV132" s="29" t="str">
        <f>"- "&amp;VLOOKUP(B132,'(Ref) Countries'!A:C,3,)</f>
        <v>- turkey</v>
      </c>
      <c r="AW132" s="29" t="str">
        <f t="shared" ref="AW132" si="783">IF(LEN(C132)&gt;1,"- "&amp;LOWER(SUBSTITUTE(C132," ","-")),"")</f>
        <v>- ephesus</v>
      </c>
      <c r="AX132" s="29" t="str">
        <f t="shared" ref="AX132" si="784">IF(I132,"- churches","")</f>
        <v/>
      </c>
      <c r="AY132" s="29" t="str">
        <f t="shared" ref="AY132" si="785">IF(J132,"- marian-sites","")</f>
        <v>- marian-sites</v>
      </c>
      <c r="AZ132" s="29" t="str">
        <f t="shared" ref="AZ132" si="786">IF(K132,"- holy-persons","")</f>
        <v/>
      </c>
      <c r="BA132" s="29" t="str">
        <f t="shared" ref="BA132" si="787">IF(LEN(Y132)&gt;0,"- "&amp;Y132,"")</f>
        <v>- anne-catherine-emmerich</v>
      </c>
      <c r="BB132" s="29" t="str">
        <f t="shared" ref="BB132" si="788">IF(LEN(Z132)&gt;0,"- "&amp;Z132,"")</f>
        <v/>
      </c>
      <c r="BC132" s="29" t="str">
        <f t="shared" ref="BC132" si="789">IF(LEN(AA132)&gt;0,"- "&amp;AA132,"")</f>
        <v/>
      </c>
      <c r="BD132" s="29" t="str">
        <f t="shared" ref="BD132" si="790">IF(LEN(AB132)&gt;0,"- "&amp;AB132,"")</f>
        <v/>
      </c>
      <c r="BE132" s="29" t="str">
        <f t="shared" ref="BE132" si="791">IF(LEN(AC132)&gt;0,"- "&amp;AC132,"")</f>
        <v/>
      </c>
      <c r="BF132" s="29" t="str">
        <f t="shared" ref="BF132" si="792">IF(LEN(AD132)&gt;0,"- "&amp;AD132,"")</f>
        <v/>
      </c>
      <c r="BG132" s="29" t="str">
        <f t="shared" ref="BG132" si="793">IF(LEN(AE132)&gt;0,"- "&amp;AE132,"")</f>
        <v/>
      </c>
      <c r="BH132" s="29" t="str">
        <f t="shared" ref="BH132" si="794">IF(LEN(AF132)&gt;0,"- "&amp;AF132,"")</f>
        <v/>
      </c>
      <c r="BI132" s="29" t="str">
        <f t="shared" ref="BI132" si="795">IF(LEN(AG132)&gt;0,"- "&amp;AG132,"")</f>
        <v/>
      </c>
      <c r="BJ132" s="29" t="str">
        <f t="shared" ref="BJ132" si="796">IF(LEN(AH132)&gt;0,"- "&amp;AH132,"")</f>
        <v/>
      </c>
      <c r="BK132" s="29" t="str">
        <f t="shared" ref="BK132" si="797">"tags:"&amp;CHAR(10)&amp;concatl(AV132:BJ132)</f>
        <v xml:space="preserve">tags:
- turkey_x000D_
- ephesus_x000D_
- marian-sites_x000D_
- anne-catherine-emmerich_x000D_
</v>
      </c>
      <c r="BL132" s="29" t="str">
        <f t="shared" ref="BL132" si="798">IF(LEN(N132)&gt;0,TRIM(CONCATENATE("[Official site](",N132,") ",O132)),"")</f>
        <v/>
      </c>
      <c r="BM132" s="29" t="str">
        <f t="shared" ref="BM132" si="799">IF(LEN(Q132)&gt;0,TRIM(CONCATENATE("["&amp;P132&amp;"](",Q132,") ",R132)),"")</f>
        <v/>
      </c>
      <c r="BN132" s="29" t="str">
        <f t="shared" ref="BN132" si="800">IF(LEN(T132)&gt;0,TRIM(CONCATENATE("["&amp;S132&amp;"](",T132,") ",U132)),"")</f>
        <v/>
      </c>
      <c r="BO132" s="29" t="str">
        <f t="shared" ref="BO132" si="801">IF(LEN(W132)&gt;0,TRIM(CONCATENATE("["&amp;V132&amp;"](",W132,") ",X132)),"")</f>
        <v/>
      </c>
      <c r="BP132" s="29" t="str">
        <f t="shared" ref="BP132" si="802">IF(LEN(BL132)&gt;0,"* "&amp;BL132&amp;CHAR(10),"")&amp;
IF(LEN(BM132)&gt;0,"* "&amp;BM132&amp;CHAR(10),"")&amp;
IF(LEN(BN132)&gt;0,"* "&amp;BN132&amp;CHAR(10),"")&amp;
IF(LEN(BO132)&gt;0,"* "&amp;BO132&amp;CHAR(10),"")</f>
        <v/>
      </c>
      <c r="BQ132" s="29" t="str">
        <f t="shared" ref="BQ132" si="803">IF(LEN(AK132)&gt;0,TRIM(CONCATENATE("[Link](",AK132,") ",AL132)),"")</f>
        <v/>
      </c>
      <c r="BR132" s="29" t="str">
        <f t="shared" ref="BR132" si="804">IF(LEN(AM132)&gt;0,TRIM(CONCATENATE("[Link](",AM132,") ",AN132)),"")</f>
        <v/>
      </c>
      <c r="BS132" s="29" t="str">
        <f t="shared" ref="BS132" si="805">IF(LEN(AO132)&gt;0,TRIM(CONCATENATE("[Link](",AO132,") ",AP132)),"")</f>
        <v/>
      </c>
      <c r="BT132" s="29" t="str">
        <f>IF(LEN(_xludf.concat(BQ132:BS132))&gt;0,_xludf.concat("| ",BQ132," | ",BR132," | ",BS132," |"),"")</f>
        <v/>
      </c>
      <c r="BU132" s="29" t="str">
        <f t="shared" ref="BU132" si="806">IF(J132,concatl("| The Real Presence | Miracle Hunter | MaryPages |","| --- | --- | --- |",BT132),"")</f>
        <v xml:space="preserve">| The Real Presence | Miracle Hunter | MaryPages |_x000D_
| --- | --- | --- |_x000D_
</v>
      </c>
      <c r="BV132" s="29" t="str">
        <f>IF(LEN(BP132&amp;BU132)&gt;0,concatll("#### More Information",BP132,BU132),"")</f>
        <v xml:space="preserve">#### More Information_x000D_
_x000D_
| The Real Presence | Miracle Hunter | MaryPages |_x000D_
| --- | --- | --- |_x000D_
_x000D_
_x000D_
</v>
      </c>
      <c r="BW132" s="29" t="str">
        <f>IF(LEN(M132)&gt;1,concatll("#### Author's Note",M132),"")</f>
        <v xml:space="preserve">#### Author's Note_x000D_
_x000D_
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
-JMM_x000D_
_x000D_
</v>
      </c>
      <c r="BX132" s="23" t="str">
        <f>IF(AR132,concatll(concatl("---",AS132:AU132,BK132,"---"),L132,BV132:BW132),"")</f>
        <v xml:space="preserve">---_x000D_
title: "House of the Virgin Mary"_x000D_
location: {lat: 37.9115960027711, lng: 27.3341418397482}_x000D_
level: global_x000D_
tags:
- turkey_x000D_
- ephesus_x000D_
- marian-sites_x000D_
- anne-catherine-emmerich_x000D_
_x000D_
---_x000D_
_x000D_
_x000D_
This house was discovered in 1881 based on the descriptions of Bl. Anne Catherine Emmerich, a bedridden German nun who had never left her own country.  Among other visions of the lives of Jesus and the Virgin Mary, Bl. Emmerich described the land around the house where the Virgin Mary may have spent her final years before her Assumption into heaven.
The Catholic Church has not issued an opinion on the veracity of the house, but several popes have conveyed blessings and visited the site._x000D_
_x000D_
#### More Information_x000D_
_x000D_
| The Real Presence | Miracle Hunter | MaryPages |_x000D_
| --- | --- | --- |_x000D_
_x000D_
_x000D_
_x000D_
_x000D_
#### Author's Note_x000D_
_x000D_
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
-JMM_x000D_
_x000D_
_x000D_
_x000D_
</v>
      </c>
      <c r="BY132" s="31" t="str">
        <f>IF(AR132,VLOOKUP(B132,'(Ref) Countries'!A:B,2,)&amp;IF(LEN(C132)&gt;1,"-"&amp;LOWER(SUBSTITUTE(C132," ","-")),"")&amp;"-"&amp;LOWER(SUBSTITUTE(G132," ","-"))&amp;".md","")</f>
        <v>tr-ephesus-house-of-the-virgin-mary.md</v>
      </c>
      <c r="BZ132" s="29" t="str">
        <f>IF(LEN(Y132)&gt;1,VLOOKUP(Y132,'Tag List'!$A:$B,2,),"")</f>
        <v>Bl. Anne Catherine Emmerich</v>
      </c>
      <c r="CA132" s="29" t="str">
        <f>IF(LEN(Z132)&gt;1,VLOOKUP(Z132,'Tag List'!$A:$B,2,),"")</f>
        <v/>
      </c>
      <c r="CB132" s="29" t="str">
        <f>IF(LEN(AA132)&gt;1,VLOOKUP(AA132,'Tag List'!$A:$B,2,),"")</f>
        <v/>
      </c>
      <c r="CC132" s="29" t="str">
        <f>IF(LEN(Y132)&gt;1,GetTagPage(BZ132,Y132),"")</f>
        <v>[Bl. Anne Catherine Emmerich](/tags/anne-catherine-emmerich)</v>
      </c>
      <c r="CD132" s="29" t="str">
        <f>IF(LEN(Z132)&gt;1,GetTagPage(CA132,Z132),"")</f>
        <v/>
      </c>
      <c r="CE132" s="29" t="str">
        <f>IF(LEN(AA132)&gt;1,GetTagPage(CB132,AA132),"")</f>
        <v/>
      </c>
      <c r="CF132" s="29" t="str">
        <f t="shared" ref="CF132" si="807">"|"&amp;IF(LEN(CC132)&gt;1," "&amp;CC132,"")&amp;IF(LEN(CD132)&gt;1,", "&amp;CD132,"")&amp;IF(LEN(CE132)&gt;1,", "&amp;CE132,"")&amp;" "</f>
        <v xml:space="preserve">| [Bl. Anne Catherine Emmerich](/tags/anne-catherine-emmerich) </v>
      </c>
      <c r="CG132" s="29" t="str">
        <f t="shared" ref="CG132" si="808">"| "&amp;IF(AR132,"["&amp;AI132&amp;"](/places/"&amp;SUBSTITUTE(BY132,".md","")&amp;")",AI132)&amp;" "</f>
        <v xml:space="preserve">| [](/places/tr-ephesus-house-of-the-virgin-mary) </v>
      </c>
      <c r="CH132" s="29" t="str">
        <f>"| "&amp;IF(AR132,GetTagPage(B132,VLOOKUP(B132,'(Ref) Countries'!A:C,3,)),B132)&amp; " "</f>
        <v xml:space="preserve">| [Turkey](/tags/turkey) </v>
      </c>
      <c r="CI132" s="29" t="str">
        <f t="shared" ref="CI132" si="809">"| "&amp;AJ132&amp;" "</f>
        <v xml:space="preserve">|  </v>
      </c>
      <c r="CJ132" s="29" t="str">
        <f t="shared" ref="CJ132" si="810">"|"&amp;IF(AR132," [Link](/places/"&amp;SUBSTITUTE(BY132,".md","")&amp;")","")&amp;" "</f>
        <v xml:space="preserve">| [Link](/places/tr-ephesus-house-of-the-virgin-mary) </v>
      </c>
      <c r="CK132" s="29" t="str">
        <f t="shared" ref="CK132" si="811">"
"&amp;CG132&amp;CH132&amp;CI132&amp;CJ132&amp;BL132&amp;BQ132&amp;BR132&amp;BS132&amp;CF132&amp;"|"</f>
        <v xml:space="preserve">
| [](/places/tr-ephesus-house-of-the-virgin-mary) | [Turkey](/tags/turkey) |  | [Link](/places/tr-ephesus-house-of-the-virgin-mary) | [Bl. Anne Catherine Emmerich](/tags/anne-catherine-emmerich) |</v>
      </c>
    </row>
    <row r="133" spans="1:89" ht="37.299999999999997" x14ac:dyDescent="0.4">
      <c r="A133" s="14" t="s">
        <v>1320</v>
      </c>
      <c r="B133" s="24" t="s">
        <v>2469</v>
      </c>
      <c r="C133" s="15" t="s">
        <v>2471</v>
      </c>
      <c r="D133" s="15">
        <v>37.944605964085902</v>
      </c>
      <c r="E133" s="49">
        <v>27.339194715340302</v>
      </c>
      <c r="F133" s="126" t="s">
        <v>2483</v>
      </c>
      <c r="G133" s="53" t="s">
        <v>2483</v>
      </c>
      <c r="H133" s="127" t="s">
        <v>1827</v>
      </c>
      <c r="L133" s="126" t="s">
        <v>2484</v>
      </c>
      <c r="Y133" s="138" t="s">
        <v>2130</v>
      </c>
      <c r="AA133" s="138"/>
      <c r="AR133" s="28" t="b">
        <f t="shared" ref="AR133" si="812">IF(OR(A133="Done",A133="In Progress"),TRUE)</f>
        <v>1</v>
      </c>
      <c r="AS133" s="29" t="str">
        <f t="shared" ref="AS133" si="813">"title: """&amp;F133&amp;""""</f>
        <v>title: "Church of Mary"</v>
      </c>
      <c r="AT133" s="29" t="str">
        <f t="shared" ref="AT133" si="814">"location: {lat: "&amp;D133&amp;", lng: "&amp;E133&amp;"}"</f>
        <v>location: {lat: 37.9446059640859, lng: 27.3391947153403}</v>
      </c>
      <c r="AU133" s="29" t="str">
        <f t="shared" ref="AU133" si="815">"level: "&amp;H133</f>
        <v>level: local</v>
      </c>
      <c r="AV133" s="29" t="str">
        <f>"- "&amp;VLOOKUP(B133,'(Ref) Countries'!A:C,3,)</f>
        <v>- turkey</v>
      </c>
      <c r="AW133" s="29" t="str">
        <f t="shared" ref="AW133" si="816">IF(LEN(C133)&gt;1,"- "&amp;LOWER(SUBSTITUTE(C133," ","-")),"")</f>
        <v>- ephesus</v>
      </c>
      <c r="AX133" s="29" t="str">
        <f t="shared" ref="AX133" si="817">IF(I133,"- churches","")</f>
        <v/>
      </c>
      <c r="AY133" s="29" t="str">
        <f t="shared" ref="AY133" si="818">IF(J133,"- marian-sites","")</f>
        <v/>
      </c>
      <c r="AZ133" s="29" t="str">
        <f t="shared" ref="AZ133" si="819">IF(K133,"- holy-persons","")</f>
        <v/>
      </c>
      <c r="BA133" s="29" t="str">
        <f t="shared" ref="BA133" si="820">IF(LEN(Y133)&gt;0,"- "&amp;Y133,"")</f>
        <v>- closed</v>
      </c>
      <c r="BB133" s="29" t="str">
        <f t="shared" ref="BB133" si="821">IF(LEN(Z133)&gt;0,"- "&amp;Z133,"")</f>
        <v/>
      </c>
      <c r="BC133" s="29" t="str">
        <f t="shared" ref="BC133" si="822">IF(LEN(AA133)&gt;0,"- "&amp;AA133,"")</f>
        <v/>
      </c>
      <c r="BD133" s="29" t="str">
        <f t="shared" ref="BD133" si="823">IF(LEN(AB133)&gt;0,"- "&amp;AB133,"")</f>
        <v/>
      </c>
      <c r="BE133" s="29" t="str">
        <f t="shared" ref="BE133" si="824">IF(LEN(AC133)&gt;0,"- "&amp;AC133,"")</f>
        <v/>
      </c>
      <c r="BF133" s="29" t="str">
        <f t="shared" ref="BF133" si="825">IF(LEN(AD133)&gt;0,"- "&amp;AD133,"")</f>
        <v/>
      </c>
      <c r="BG133" s="29" t="str">
        <f t="shared" ref="BG133" si="826">IF(LEN(AE133)&gt;0,"- "&amp;AE133,"")</f>
        <v/>
      </c>
      <c r="BH133" s="29" t="str">
        <f t="shared" ref="BH133" si="827">IF(LEN(AF133)&gt;0,"- "&amp;AF133,"")</f>
        <v/>
      </c>
      <c r="BI133" s="29" t="str">
        <f t="shared" ref="BI133" si="828">IF(LEN(AG133)&gt;0,"- "&amp;AG133,"")</f>
        <v/>
      </c>
      <c r="BJ133" s="29" t="str">
        <f t="shared" ref="BJ133" si="829">IF(LEN(AH133)&gt;0,"- "&amp;AH133,"")</f>
        <v/>
      </c>
      <c r="BK133" s="29" t="str">
        <f t="shared" ref="BK133" si="830">"tags:"&amp;CHAR(10)&amp;concatl(AV133:BJ133)</f>
        <v xml:space="preserve">tags:
- turkey_x000D_
- ephesus_x000D_
- closed_x000D_
</v>
      </c>
      <c r="BL133" s="29" t="str">
        <f t="shared" ref="BL133" si="831">IF(LEN(N133)&gt;0,TRIM(CONCATENATE("[Official site](",N133,") ",O133)),"")</f>
        <v/>
      </c>
      <c r="BM133" s="29" t="str">
        <f t="shared" ref="BM133" si="832">IF(LEN(Q133)&gt;0,TRIM(CONCATENATE("["&amp;P133&amp;"](",Q133,") ",R133)),"")</f>
        <v/>
      </c>
      <c r="BN133" s="29" t="str">
        <f t="shared" ref="BN133" si="833">IF(LEN(T133)&gt;0,TRIM(CONCATENATE("["&amp;S133&amp;"](",T133,") ",U133)),"")</f>
        <v/>
      </c>
      <c r="BO133" s="29" t="str">
        <f t="shared" ref="BO133" si="834">IF(LEN(W133)&gt;0,TRIM(CONCATENATE("["&amp;V133&amp;"](",W133,") ",X133)),"")</f>
        <v/>
      </c>
      <c r="BP133" s="29" t="str">
        <f t="shared" ref="BP133" si="835">IF(LEN(BL133)&gt;0,"* "&amp;BL133&amp;CHAR(10),"")&amp;
IF(LEN(BM133)&gt;0,"* "&amp;BM133&amp;CHAR(10),"")&amp;
IF(LEN(BN133)&gt;0,"* "&amp;BN133&amp;CHAR(10),"")&amp;
IF(LEN(BO133)&gt;0,"* "&amp;BO133&amp;CHAR(10),"")</f>
        <v/>
      </c>
      <c r="BQ133" s="29" t="str">
        <f t="shared" ref="BQ133" si="836">IF(LEN(AK133)&gt;0,TRIM(CONCATENATE("[Link](",AK133,") ",AL133)),"")</f>
        <v/>
      </c>
      <c r="BR133" s="29" t="str">
        <f t="shared" ref="BR133" si="837">IF(LEN(AM133)&gt;0,TRIM(CONCATENATE("[Link](",AM133,") ",AN133)),"")</f>
        <v/>
      </c>
      <c r="BS133" s="29" t="str">
        <f t="shared" ref="BS133" si="838">IF(LEN(AO133)&gt;0,TRIM(CONCATENATE("[Link](",AO133,") ",AP133)),"")</f>
        <v/>
      </c>
      <c r="BT133" s="29" t="str">
        <f>IF(LEN(_xludf.concat(BQ133:BS133))&gt;0,_xludf.concat("| ",BQ133," | ",BR133," | ",BS133," |"),"")</f>
        <v/>
      </c>
      <c r="BU133" s="29" t="str">
        <f t="shared" ref="BU133" si="839">IF(J133,concatl("| The Real Presence | Miracle Hunter | MaryPages |","| --- | --- | --- |",BT133),"")</f>
        <v/>
      </c>
      <c r="BV133" s="29" t="str">
        <f>IF(LEN(BP133&amp;BU133)&gt;0,concatll("#### More Information",BP133,BU133),"")</f>
        <v/>
      </c>
      <c r="BW133" s="29" t="str">
        <f>IF(LEN(M133)&gt;1,concatll("#### Author's Note",M133),"")</f>
        <v/>
      </c>
      <c r="BX133" s="23" t="str">
        <f>IF(AR133,concatll(concatl("---",AS133:AU133,BK133,"---"),L133,BV133:BW133),"")</f>
        <v xml:space="preserve">---_x000D_
title: "Church of Mary"_x000D_
location: {lat: 37.9446059640859, lng: 27.3391947153403}_x000D_
level: local_x000D_
tags:
- turkey_x000D_
- ephesus_x000D_
- closed_x000D_
_x000D_
---_x000D_
_x000D_
_x000D_
Built in the 5th centry, possibly for the First Council of Ephesus (the third ecumenical council of the early church).  The Second Council of Ephesus may also have been held here._x000D_
_x000D_
</v>
      </c>
      <c r="BY133" s="31" t="str">
        <f>IF(AR133,VLOOKUP(B133,'(Ref) Countries'!A:B,2,)&amp;IF(LEN(C133)&gt;1,"-"&amp;LOWER(SUBSTITUTE(C133," ","-")),"")&amp;"-"&amp;LOWER(SUBSTITUTE(G133," ","-"))&amp;".md","")</f>
        <v>tr-ephesus-church-of-mary.md</v>
      </c>
      <c r="BZ133" s="29" t="str">
        <f>IF(LEN(Y133)&gt;1,VLOOKUP(Y133,'Tag List'!$A:$B,2,),"")</f>
        <v>Closed or Deconsecrated Sites</v>
      </c>
      <c r="CA133" s="29" t="str">
        <f>IF(LEN(Z133)&gt;1,VLOOKUP(Z133,'Tag List'!$A:$B,2,),"")</f>
        <v/>
      </c>
      <c r="CB133" s="29" t="str">
        <f>IF(LEN(AA133)&gt;1,VLOOKUP(AA133,'Tag List'!$A:$B,2,),"")</f>
        <v/>
      </c>
      <c r="CC133" s="29" t="str">
        <f>IF(LEN(Y133)&gt;1,GetTagPage(BZ133,Y133),"")</f>
        <v>[Closed or Deconsecrated Sites](/tags/closed)</v>
      </c>
      <c r="CD133" s="29" t="str">
        <f>IF(LEN(Z133)&gt;1,GetTagPage(CA133,Z133),"")</f>
        <v/>
      </c>
      <c r="CE133" s="29" t="str">
        <f>IF(LEN(AA133)&gt;1,GetTagPage(CB133,AA133),"")</f>
        <v/>
      </c>
      <c r="CF133" s="29" t="str">
        <f t="shared" ref="CF133" si="840">"|"&amp;IF(LEN(CC133)&gt;1," "&amp;CC133,"")&amp;IF(LEN(CD133)&gt;1,", "&amp;CD133,"")&amp;IF(LEN(CE133)&gt;1,", "&amp;CE133,"")&amp;" "</f>
        <v xml:space="preserve">| [Closed or Deconsecrated Sites](/tags/closed) </v>
      </c>
      <c r="CG133" s="29" t="str">
        <f t="shared" ref="CG133" si="841">"| "&amp;IF(AR133,"["&amp;AI133&amp;"](/places/"&amp;SUBSTITUTE(BY133,".md","")&amp;")",AI133)&amp;" "</f>
        <v xml:space="preserve">| [](/places/tr-ephesus-church-of-mary) </v>
      </c>
      <c r="CH133" s="29" t="str">
        <f>"| "&amp;IF(AR133,GetTagPage(B133,VLOOKUP(B133,'(Ref) Countries'!A:C,3,)),B133)&amp; " "</f>
        <v xml:space="preserve">| [Turkey](/tags/turkey) </v>
      </c>
      <c r="CI133" s="29" t="str">
        <f t="shared" ref="CI133" si="842">"| "&amp;AJ133&amp;" "</f>
        <v xml:space="preserve">|  </v>
      </c>
      <c r="CJ133" s="29" t="str">
        <f t="shared" ref="CJ133" si="843">"|"&amp;IF(AR133," [Link](/places/"&amp;SUBSTITUTE(BY133,".md","")&amp;")","")&amp;" "</f>
        <v xml:space="preserve">| [Link](/places/tr-ephesus-church-of-mary) </v>
      </c>
      <c r="CK133" s="29" t="str">
        <f t="shared" ref="CK133" si="844">"
"&amp;CG133&amp;CH133&amp;CI133&amp;CJ133&amp;BL133&amp;BQ133&amp;BR133&amp;BS133&amp;CF133&amp;"|"</f>
        <v xml:space="preserve">
| [](/places/tr-ephesus-church-of-mary) | [Turkey](/tags/turkey) |  | [Link](/places/tr-ephesus-church-of-mary) | [Closed or Deconsecrated Sites](/tags/closed) |</v>
      </c>
    </row>
    <row r="134" spans="1:89" ht="74.599999999999994" x14ac:dyDescent="0.4">
      <c r="A134" s="14" t="s">
        <v>1320</v>
      </c>
      <c r="B134" s="132" t="s">
        <v>2485</v>
      </c>
      <c r="D134" s="15">
        <v>41.902118788029298</v>
      </c>
      <c r="E134" s="49">
        <v>12.4539366999999</v>
      </c>
      <c r="F134" s="132" t="s">
        <v>2486</v>
      </c>
      <c r="G134" s="134" t="s">
        <v>2126</v>
      </c>
      <c r="H134" s="133" t="s">
        <v>1715</v>
      </c>
      <c r="L134" s="137" t="s">
        <v>2491</v>
      </c>
      <c r="N134" s="15" t="s">
        <v>2487</v>
      </c>
      <c r="O134" s="135" t="s">
        <v>336</v>
      </c>
      <c r="Y134" s="133" t="s">
        <v>2488</v>
      </c>
      <c r="Z134" s="133" t="s">
        <v>998</v>
      </c>
      <c r="AR134" s="28" t="b">
        <f t="shared" ref="AR134:AR135" si="845">IF(OR(A134="Done",A134="In Progress"),TRUE)</f>
        <v>1</v>
      </c>
      <c r="AS134" s="29" t="str">
        <f t="shared" ref="AS134:AS135" si="846">"title: """&amp;F134&amp;""""</f>
        <v>title: "St. Peter's Basilica"</v>
      </c>
      <c r="AT134" s="29" t="str">
        <f t="shared" ref="AT134" si="847">"location: {lat: "&amp;D134&amp;", lng: "&amp;E134&amp;"}"</f>
        <v>location: {lat: 41.9021187880293, lng: 12.4539366999999}</v>
      </c>
      <c r="AU134" s="29" t="str">
        <f t="shared" ref="AU134:AU135" si="848">"level: "&amp;H134</f>
        <v>level: global</v>
      </c>
      <c r="AV134" s="29" t="str">
        <f>"- "&amp;VLOOKUP(B134,'(Ref) Countries'!A:C,3,)</f>
        <v>- vatican
- rome</v>
      </c>
      <c r="AW134" s="29" t="str">
        <f t="shared" ref="AW134" si="849">IF(LEN(C134)&gt;1,"- "&amp;LOWER(SUBSTITUTE(C134," ","-")),"")</f>
        <v/>
      </c>
      <c r="AX134" s="29" t="str">
        <f t="shared" ref="AX134" si="850">IF(I134,"- churches","")</f>
        <v/>
      </c>
      <c r="AY134" s="29" t="str">
        <f t="shared" ref="AY134" si="851">IF(J134,"- marian-sites","")</f>
        <v/>
      </c>
      <c r="AZ134" s="29" t="str">
        <f t="shared" ref="AZ134" si="852">IF(K134,"- holy-persons","")</f>
        <v/>
      </c>
      <c r="BA134" s="29" t="str">
        <f t="shared" ref="BA134" si="853">IF(LEN(Y134)&gt;0,"- "&amp;Y134,"")</f>
        <v>- peter</v>
      </c>
      <c r="BB134" s="29" t="str">
        <f t="shared" ref="BB134" si="854">IF(LEN(Z134)&gt;0,"- "&amp;Z134,"")</f>
        <v>- papal-basilicas</v>
      </c>
      <c r="BC134" s="29" t="str">
        <f t="shared" ref="BC134" si="855">IF(LEN(AA134)&gt;0,"- "&amp;AA134,"")</f>
        <v/>
      </c>
      <c r="BD134" s="29" t="str">
        <f t="shared" ref="BD134" si="856">IF(LEN(AB134)&gt;0,"- "&amp;AB134,"")</f>
        <v/>
      </c>
      <c r="BE134" s="29" t="str">
        <f t="shared" ref="BE134" si="857">IF(LEN(AC134)&gt;0,"- "&amp;AC134,"")</f>
        <v/>
      </c>
      <c r="BF134" s="29" t="str">
        <f t="shared" ref="BF134" si="858">IF(LEN(AD134)&gt;0,"- "&amp;AD134,"")</f>
        <v/>
      </c>
      <c r="BG134" s="29" t="str">
        <f t="shared" ref="BG134" si="859">IF(LEN(AE134)&gt;0,"- "&amp;AE134,"")</f>
        <v/>
      </c>
      <c r="BH134" s="29" t="str">
        <f t="shared" ref="BH134" si="860">IF(LEN(AF134)&gt;0,"- "&amp;AF134,"")</f>
        <v/>
      </c>
      <c r="BI134" s="29" t="str">
        <f t="shared" ref="BI134" si="861">IF(LEN(AG134)&gt;0,"- "&amp;AG134,"")</f>
        <v/>
      </c>
      <c r="BJ134" s="29" t="str">
        <f t="shared" ref="BJ134" si="862">IF(LEN(AH134)&gt;0,"- "&amp;AH134,"")</f>
        <v/>
      </c>
      <c r="BK134" s="29" t="str">
        <f t="shared" ref="BK134" si="863">"tags:"&amp;CHAR(10)&amp;concatl(AV134:BJ134)</f>
        <v xml:space="preserve">tags:
- vatican
- rome_x000D_
- peter_x000D_
- papal-basilicas_x000D_
</v>
      </c>
      <c r="BL134" s="29" t="str">
        <f t="shared" ref="BL134" si="864">IF(LEN(N134)&gt;0,TRIM(CONCATENATE("[Official site](",N134,") ",O134)),"")</f>
        <v>[Official site](https://www.basilicasanpietro.va/en.html)</v>
      </c>
      <c r="BM134" s="29" t="str">
        <f t="shared" ref="BM134" si="865">IF(LEN(Q134)&gt;0,TRIM(CONCATENATE("["&amp;P134&amp;"](",Q134,") ",R134)),"")</f>
        <v/>
      </c>
      <c r="BN134" s="29" t="str">
        <f t="shared" ref="BN134" si="866">IF(LEN(T134)&gt;0,TRIM(CONCATENATE("["&amp;S134&amp;"](",T134,") ",U134)),"")</f>
        <v/>
      </c>
      <c r="BO134" s="29" t="str">
        <f t="shared" ref="BO134" si="867">IF(LEN(W134)&gt;0,TRIM(CONCATENATE("["&amp;V134&amp;"](",W134,") ",X134)),"")</f>
        <v/>
      </c>
      <c r="BP134" s="29" t="str">
        <f t="shared" ref="BP134" si="868">IF(LEN(BL134)&gt;0,"* "&amp;BL134&amp;CHAR(10),"")&amp;
IF(LEN(BM134)&gt;0,"* "&amp;BM134&amp;CHAR(10),"")&amp;
IF(LEN(BN134)&gt;0,"* "&amp;BN134&amp;CHAR(10),"")&amp;
IF(LEN(BO134)&gt;0,"* "&amp;BO134&amp;CHAR(10),"")</f>
        <v xml:space="preserve">* [Official site](https://www.basilicasanpietro.va/en.html)
</v>
      </c>
      <c r="BQ134" s="29" t="str">
        <f t="shared" ref="BQ134" si="869">IF(LEN(AK134)&gt;0,TRIM(CONCATENATE("[Link](",AK134,") ",AL134)),"")</f>
        <v/>
      </c>
      <c r="BR134" s="29" t="str">
        <f t="shared" ref="BR134" si="870">IF(LEN(AM134)&gt;0,TRIM(CONCATENATE("[Link](",AM134,") ",AN134)),"")</f>
        <v/>
      </c>
      <c r="BS134" s="29" t="str">
        <f t="shared" ref="BS134" si="871">IF(LEN(AO134)&gt;0,TRIM(CONCATENATE("[Link](",AO134,") ",AP134)),"")</f>
        <v/>
      </c>
      <c r="BT134" s="29" t="str">
        <f>IF(LEN(_xludf.concat(BQ134:BS134))&gt;0,_xludf.concat("| ",BQ134," | ",BR134," | ",BS134," |"),"")</f>
        <v/>
      </c>
      <c r="BU134" s="29" t="str">
        <f t="shared" ref="BU134" si="872">IF(J134,concatl("| The Real Presence | Miracle Hunter | MaryPages |","| --- | --- | --- |",BT134),"")</f>
        <v/>
      </c>
      <c r="BV134" s="29" t="str">
        <f>IF(LEN(BP134&amp;BU134)&gt;0,concatll("#### More Information",BP134,BU134),"")</f>
        <v xml:space="preserve">#### More Information_x000D_
_x000D_
* [Official site](https://www.basilicasanpietro.va/en.html)
_x000D_
_x000D_
</v>
      </c>
      <c r="BW134" s="29" t="str">
        <f>IF(LEN(M134)&gt;1,concatll("#### Author's Note",M134),"")</f>
        <v/>
      </c>
      <c r="BX134" s="23" t="str">
        <f>IF(AR134,concatll(concatl("---",AS134:AU134,BK134,"---"),L134,BV134:BW134),"")</f>
        <v xml:space="preserve">---_x000D_
title: "St. Peter's Basilica"_x000D_
location: {lat: 41.9021187880293, lng: 12.4539366999999}_x000D_
level: global_x000D_
tags:
- vatican
- rome_x000D_
- peter_x000D_
- papal-basilicas_x000D_
_x000D_
---_x000D_
_x000D_
_x000D_
Possibly the most famous church in the world, and one of the four papal basilicas, the current building was built between 1506 and 1626, replacing the original from the time of Constantine in the 4th century.
St. Peter's tomb lies beneath the high altar of the basilica, and the church continues to be a place of interment for popes, cardinals and bishops._x000D_
_x000D_
#### More Information_x000D_
_x000D_
* [Official site](https://www.basilicasanpietro.va/en.html)
_x000D_
_x000D_
_x000D_
_x000D_
</v>
      </c>
      <c r="BY134" s="31" t="str">
        <f>IF(AR134,VLOOKUP(B134,'(Ref) Countries'!A:B,2,)&amp;IF(LEN(C134)&gt;1,"-"&amp;LOWER(SUBSTITUTE(C134," ","-")),"")&amp;"-"&amp;LOWER(SUBSTITUTE(G134," ","-"))&amp;".md","")</f>
        <v>va-st-peter.md</v>
      </c>
      <c r="BZ134" s="29" t="str">
        <f>IF(LEN(Y134)&gt;1,VLOOKUP(Y134,'Tag List'!$A:$B,2,),"")</f>
        <v>St. Peter</v>
      </c>
      <c r="CA134" s="29" t="str">
        <f>IF(LEN(Z134)&gt;1,VLOOKUP(Z134,'Tag List'!$A:$B,2,),"")</f>
        <v>Papal Basilicas</v>
      </c>
      <c r="CB134" s="29" t="str">
        <f>IF(LEN(AA134)&gt;1,VLOOKUP(AA134,'Tag List'!$A:$B,2,),"")</f>
        <v/>
      </c>
      <c r="CC134" s="29" t="str">
        <f>IF(LEN(Y134)&gt;1,GetTagPage(BZ134,Y134),"")</f>
        <v>[St. Peter](/tags/peter)</v>
      </c>
      <c r="CD134" s="29" t="str">
        <f>IF(LEN(Z134)&gt;1,GetTagPage(CA134,Z134),"")</f>
        <v>[Papal Basilicas](/tags/papal-basilicas)</v>
      </c>
      <c r="CE134" s="29" t="str">
        <f>IF(LEN(AA134)&gt;1,GetTagPage(CB134,AA134),"")</f>
        <v/>
      </c>
      <c r="CF134" s="29" t="str">
        <f t="shared" ref="CF134" si="873">"|"&amp;IF(LEN(CC134)&gt;1," "&amp;CC134,"")&amp;IF(LEN(CD134)&gt;1,", "&amp;CD134,"")&amp;IF(LEN(CE134)&gt;1,", "&amp;CE134,"")&amp;" "</f>
        <v xml:space="preserve">| [St. Peter](/tags/peter), [Papal Basilicas](/tags/papal-basilicas) </v>
      </c>
      <c r="CG134" s="29" t="str">
        <f t="shared" ref="CG134" si="874">"| "&amp;IF(AR134,"["&amp;AI134&amp;"](/places/"&amp;SUBSTITUTE(BY134,".md","")&amp;")",AI134)&amp;" "</f>
        <v xml:space="preserve">| [](/places/va-st-peter) </v>
      </c>
      <c r="CH134" s="29" t="str">
        <f>"| "&amp;IF(AR134,GetTagPage(B134,VLOOKUP(B134,'(Ref) Countries'!A:C,3,)),B134)&amp; " "</f>
        <v xml:space="preserve">| [Vatican City](/tags/vatican
- rome) </v>
      </c>
      <c r="CI134" s="29" t="str">
        <f t="shared" ref="CI134" si="875">"| "&amp;AJ134&amp;" "</f>
        <v xml:space="preserve">|  </v>
      </c>
      <c r="CJ134" s="29" t="str">
        <f t="shared" ref="CJ134" si="876">"|"&amp;IF(AR134," [Link](/places/"&amp;SUBSTITUTE(BY134,".md","")&amp;")","")&amp;" "</f>
        <v xml:space="preserve">| [Link](/places/va-st-peter) </v>
      </c>
      <c r="CK134" s="29" t="str">
        <f t="shared" ref="CK134" si="877">"
"&amp;CG134&amp;CH134&amp;CI134&amp;CJ134&amp;BL134&amp;BQ134&amp;BR134&amp;BS134&amp;CF134&amp;"|"</f>
        <v xml:space="preserve">
| [](/places/va-st-peter) | [Vatican City](/tags/vatican
- rome) |  | [Link](/places/va-st-peter) [Official site](https://www.basilicasanpietro.va/en.html)| [St. Peter](/tags/peter), [Papal Basilicas](/tags/papal-basilicas) |</v>
      </c>
    </row>
    <row r="135" spans="1:89" ht="37.299999999999997" x14ac:dyDescent="0.4">
      <c r="A135" s="14" t="s">
        <v>1320</v>
      </c>
      <c r="B135" s="24" t="s">
        <v>740</v>
      </c>
      <c r="C135" s="138" t="s">
        <v>2504</v>
      </c>
      <c r="D135" s="15">
        <v>20.4247269</v>
      </c>
      <c r="E135" s="49">
        <v>106.1588304</v>
      </c>
      <c r="F135" s="137" t="s">
        <v>2495</v>
      </c>
      <c r="G135" s="139" t="s">
        <v>2494</v>
      </c>
      <c r="H135" s="138" t="s">
        <v>1715</v>
      </c>
      <c r="I135" s="15" t="b">
        <v>1</v>
      </c>
      <c r="K135" s="15" t="b">
        <v>1</v>
      </c>
      <c r="L135" s="137" t="s">
        <v>2496</v>
      </c>
      <c r="M135" s="139" t="s">
        <v>2497</v>
      </c>
      <c r="P135" s="140" t="s">
        <v>2499</v>
      </c>
      <c r="Q135" s="60" t="s">
        <v>2498</v>
      </c>
      <c r="Y135" s="15" t="s">
        <v>2500</v>
      </c>
      <c r="Z135" s="15" t="s">
        <v>2501</v>
      </c>
      <c r="AR135" s="28" t="b">
        <f t="shared" si="845"/>
        <v>1</v>
      </c>
      <c r="AS135" s="29" t="str">
        <f t="shared" si="846"/>
        <v>title: "Basilica of the Immaculate Conception at Ha Nam"</v>
      </c>
      <c r="AU135" s="29" t="str">
        <f t="shared" si="848"/>
        <v>level: global</v>
      </c>
      <c r="AY135" s="29" t="str">
        <f t="shared" ref="AY135" si="878">IF(J135,"- marian-sites","")</f>
        <v/>
      </c>
      <c r="AZ135" s="29" t="str">
        <f t="shared" ref="AZ135" si="879">IF(K135,"- holy-persons","")</f>
        <v>- holy-persons</v>
      </c>
      <c r="BA135" s="29" t="str">
        <f t="shared" ref="BA135" si="880">IF(LEN(Y135)&gt;0,"- "&amp;Y135,"")</f>
        <v>- vietnamese-martyrs</v>
      </c>
      <c r="BB135" s="29" t="str">
        <f t="shared" ref="BB135" si="881">IF(LEN(Z135)&gt;0,"- "&amp;Z135,"")</f>
        <v>- andrew-dung-lac</v>
      </c>
      <c r="BC135" s="29" t="str">
        <f t="shared" ref="BC135" si="882">IF(LEN(AA135)&gt;0,"- "&amp;AA135,"")</f>
        <v/>
      </c>
      <c r="BD135" s="29" t="str">
        <f t="shared" ref="BD135" si="883">IF(LEN(AB135)&gt;0,"- "&amp;AB135,"")</f>
        <v/>
      </c>
      <c r="BE135" s="29" t="str">
        <f t="shared" ref="BE135" si="884">IF(LEN(AC135)&gt;0,"- "&amp;AC135,"")</f>
        <v/>
      </c>
      <c r="BF135" s="29" t="str">
        <f t="shared" ref="BF135" si="885">IF(LEN(AD135)&gt;0,"- "&amp;AD135,"")</f>
        <v/>
      </c>
      <c r="BG135" s="29" t="str">
        <f t="shared" ref="BG135" si="886">IF(LEN(AE135)&gt;0,"- "&amp;AE135,"")</f>
        <v/>
      </c>
      <c r="BH135" s="29" t="str">
        <f t="shared" ref="BH135" si="887">IF(LEN(AF135)&gt;0,"- "&amp;AF135,"")</f>
        <v/>
      </c>
      <c r="BI135" s="29" t="str">
        <f t="shared" ref="BI135" si="888">IF(LEN(AG135)&gt;0,"- "&amp;AG135,"")</f>
        <v/>
      </c>
      <c r="BJ135" s="29" t="str">
        <f t="shared" ref="BJ135" si="889">IF(LEN(AH135)&gt;0,"- "&amp;AH135,"")</f>
        <v/>
      </c>
      <c r="BK135" s="29" t="str">
        <f t="shared" ref="BK135" si="890">"tags:"&amp;CHAR(10)&amp;concatl(AV135:BJ135)</f>
        <v xml:space="preserve">tags:
- holy-persons_x000D_
- vietnamese-martyrs_x000D_
- andrew-dung-lac_x000D_
</v>
      </c>
      <c r="BL135" s="29" t="str">
        <f t="shared" ref="BL135" si="891">IF(LEN(N135)&gt;0,TRIM(CONCATENATE("[Official site](",N135,") ",O135)),"")</f>
        <v/>
      </c>
      <c r="BM135" s="29" t="str">
        <f t="shared" ref="BM135" si="892">IF(LEN(Q135)&gt;0,TRIM(CONCATENATE("["&amp;P135&amp;"](",Q135,") ",R135)),"")</f>
        <v>[Saint Andrew Dung and Companions](https://mycatholic.life/saints/saints-of-the-liturgical-year/november-24-saint-andrew-dung-lac-and-his-companions-martyrs-memorial/)</v>
      </c>
      <c r="BN135" s="29" t="str">
        <f t="shared" ref="BN135" si="893">IF(LEN(T135)&gt;0,TRIM(CONCATENATE("["&amp;S135&amp;"](",T135,") ",U135)),"")</f>
        <v/>
      </c>
      <c r="BO135" s="29" t="str">
        <f t="shared" ref="BO135" si="894">IF(LEN(W135)&gt;0,TRIM(CONCATENATE("["&amp;V135&amp;"](",W135,") ",X135)),"")</f>
        <v/>
      </c>
      <c r="BP135" s="29" t="str">
        <f t="shared" ref="BP135" si="895">IF(LEN(BL135)&gt;0,"* "&amp;BL135&amp;CHAR(10),"")&amp;
IF(LEN(BM135)&gt;0,"* "&amp;BM135&amp;CHAR(10),"")&amp;
IF(LEN(BN135)&gt;0,"* "&amp;BN135&amp;CHAR(10),"")&amp;
IF(LEN(BO135)&gt;0,"* "&amp;BO135&amp;CHAR(10),"")</f>
        <v xml:space="preserve">* [Saint Andrew Dung and Companions](https://mycatholic.life/saints/saints-of-the-liturgical-year/november-24-saint-andrew-dung-lac-and-his-companions-martyrs-memorial/)
</v>
      </c>
      <c r="BQ135" s="29" t="str">
        <f t="shared" ref="BQ135" si="896">IF(LEN(AK135)&gt;0,TRIM(CONCATENATE("[Link](",AK135,") ",AL135)),"")</f>
        <v/>
      </c>
      <c r="BR135" s="29" t="str">
        <f t="shared" ref="BR135" si="897">IF(LEN(AM135)&gt;0,TRIM(CONCATENATE("[Link](",AM135,") ",AN135)),"")</f>
        <v/>
      </c>
      <c r="BS135" s="29" t="str">
        <f t="shared" ref="BS135" si="898">IF(LEN(AO135)&gt;0,TRIM(CONCATENATE("[Link](",AO135,") ",AP135)),"")</f>
        <v/>
      </c>
      <c r="BT135" s="29" t="str">
        <f>IF(LEN(_xludf.concat(BQ135:BS135))&gt;0,_xludf.concat("| ",BQ135," | ",BR135," | ",BS135," |"),"")</f>
        <v/>
      </c>
      <c r="BU135" s="29" t="str">
        <f t="shared" ref="BU135" si="899">IF(J135,concatl("| The Real Presence | Miracle Hunter | MaryPages |","| --- | --- | --- |",BT135),"")</f>
        <v/>
      </c>
      <c r="BV135" s="29" t="str">
        <f>IF(LEN(BP135&amp;BU135)&gt;0,concatll("#### More Information",BP135,BU135),"")</f>
        <v xml:space="preserve">#### More Information_x000D_
_x000D_
* [Saint Andrew Dung and Companions](https://mycatholic.life/saints/saints-of-the-liturgical-year/november-24-saint-andrew-dung-lac-and-his-companions-martyrs-memorial/)
_x000D_
_x000D_
</v>
      </c>
      <c r="BW135" s="29" t="str">
        <f>IF(LEN(M135)&gt;1,concatll("#### Author's Note",M135),"")</f>
        <v xml:space="preserve">#### Author's Note_x000D_
_x000D_
Need more information on this. Duy and Alex might help with finding the official site/ more information_x000D_
_x000D_
</v>
      </c>
      <c r="BX135" s="23" t="str">
        <f>IF(AR135,concatll(concatl("---",AS135:AU135,BK135,"---"),L135,BV135:BW135),"")</f>
        <v xml:space="preserve">---_x000D_
title: "Basilica of the Immaculate Conception at Ha Nam"_x000D_
level: global_x000D_
tags:
- holy-persons_x000D_
- vietnamese-martyrs_x000D_
- andrew-dung-lac_x000D_
_x000D_
---_x000D_
_x000D_
_x000D_
This Basilica is a shrine in rememberance of the Vietnamese Martyrs, St. Andrew Dung-Lac and Companions killed during the persecution of the Christians in Vietnam in the 18th and 19th century_x000D_
_x000D_
#### More Information_x000D_
_x000D_
* [Saint Andrew Dung and Companions](https://mycatholic.life/saints/saints-of-the-liturgical-year/november-24-saint-andrew-dung-lac-and-his-companions-martyrs-memorial/)
_x000D_
_x000D_
_x000D_
_x000D_
#### Author's Note_x000D_
_x000D_
Need more information on this. Duy and Alex might help with finding the official site/ more information_x000D_
_x000D_
_x000D_
_x000D_
</v>
      </c>
      <c r="BY135" s="31" t="str">
        <f>IF(AR135,VLOOKUP(B135,'(Ref) Countries'!A:B,2,)&amp;IF(LEN(C135)&gt;1,"-"&amp;LOWER(SUBSTITUTE(C135," ","-")),"")&amp;"-"&amp;LOWER(SUBSTITUTE(G135," ","-"))&amp;".md","")</f>
        <v>vn-ha-nam-st-andrew-dung-lac-and-companions.md</v>
      </c>
      <c r="BZ135" s="29" t="str">
        <f>IF(LEN(Y135)&gt;1,VLOOKUP(Y135,'Tag List'!$A:$B,2,),"")</f>
        <v>Vietnamese Martyrs</v>
      </c>
      <c r="CA135" s="29" t="str">
        <f>IF(LEN(Z135)&gt;1,VLOOKUP(Z135,'Tag List'!$A:$B,2,),"")</f>
        <v>St. Andrew Dung-Lac and Companions</v>
      </c>
      <c r="CB135" s="29" t="str">
        <f>IF(LEN(AA135)&gt;1,VLOOKUP(AA135,'Tag List'!$A:$B,2,),"")</f>
        <v/>
      </c>
      <c r="CC135" s="29" t="str">
        <f>IF(LEN(Y135)&gt;1,GetTagPage(BZ135,Y135),"")</f>
        <v>[Vietnamese Martyrs](/tags/vietnamese-martyrs)</v>
      </c>
      <c r="CD135" s="29" t="str">
        <f>IF(LEN(Z135)&gt;1,GetTagPage(CA135,Z135),"")</f>
        <v>[St. Andrew Dung-Lac and Companions](/tags/andrew-dung-lac)</v>
      </c>
      <c r="CE135" s="29" t="str">
        <f>IF(LEN(AA135)&gt;1,GetTagPage(CB135,AA135),"")</f>
        <v/>
      </c>
      <c r="CF135" s="29" t="str">
        <f t="shared" ref="CF135" si="900">"|"&amp;IF(LEN(CC135)&gt;1," "&amp;CC135,"")&amp;IF(LEN(CD135)&gt;1,", "&amp;CD135,"")&amp;IF(LEN(CE135)&gt;1,", "&amp;CE135,"")&amp;" "</f>
        <v xml:space="preserve">| [Vietnamese Martyrs](/tags/vietnamese-martyrs), [St. Andrew Dung-Lac and Companions](/tags/andrew-dung-lac) </v>
      </c>
      <c r="CG135" s="29" t="str">
        <f t="shared" ref="CG135" si="901">"| "&amp;IF(AR135,"["&amp;AI135&amp;"](/places/"&amp;SUBSTITUTE(BY135,".md","")&amp;")",AI135)&amp;" "</f>
        <v xml:space="preserve">| [](/places/vn-ha-nam-st-andrew-dung-lac-and-companions) </v>
      </c>
      <c r="CH135" s="29" t="str">
        <f>"| "&amp;IF(AR135,GetTagPage(B135,VLOOKUP(B135,'(Ref) Countries'!A:C,3,)),B135)&amp; " "</f>
        <v xml:space="preserve">| [Vietnam](/tags/vietnam) </v>
      </c>
      <c r="CI135" s="29" t="str">
        <f t="shared" ref="CI135" si="902">"| "&amp;AJ135&amp;" "</f>
        <v xml:space="preserve">|  </v>
      </c>
      <c r="CJ135" s="29" t="str">
        <f t="shared" ref="CJ135" si="903">"|"&amp;IF(AR135," [Link](/places/"&amp;SUBSTITUTE(BY135,".md","")&amp;")","")&amp;" "</f>
        <v xml:space="preserve">| [Link](/places/vn-ha-nam-st-andrew-dung-lac-and-companions) </v>
      </c>
      <c r="CK135" s="29" t="str">
        <f t="shared" ref="CK135" si="904">"
"&amp;CG135&amp;CH135&amp;CI135&amp;CJ135&amp;BL135&amp;BQ135&amp;BR135&amp;BS135&amp;CF135&amp;"|"</f>
        <v xml:space="preserve">
| [](/places/vn-ha-nam-st-andrew-dung-lac-and-companions) | [Vietnam](/tags/vietnam) |  | [Link](/places/vn-ha-nam-st-andrew-dung-lac-and-companions) | [Vietnamese Martyrs](/tags/vietnamese-martyrs), [St. Andrew Dung-Lac and Companions](/tags/andrew-dung-lac) |</v>
      </c>
    </row>
  </sheetData>
  <autoFilter ref="A1:CQ130" xr:uid="{A598B8B3-DE60-41C5-96BA-7CC5FA9AD3BE}"/>
  <conditionalFormatting sqref="A1:AP1048576 AR1:CK1048576">
    <cfRule type="expression" dxfId="8" priority="2">
      <formula>IF($A1="Blocked",TRUE,FALSE)</formula>
    </cfRule>
    <cfRule type="expression" dxfId="7" priority="3">
      <formula>IF($A1="In Progress",TRUE,FALSE)</formula>
    </cfRule>
  </conditionalFormatting>
  <conditionalFormatting sqref="AI1:AP1048576">
    <cfRule type="expression" dxfId="6" priority="1">
      <formula>IF(AND($A1&lt;&gt;0,$J1=0),TRUE,FALSE)</formula>
    </cfRule>
  </conditionalFormatting>
  <hyperlinks>
    <hyperlink ref="AI2" r:id="rId1" display="http://www.therealpresence.org/eucharst/misc/BVM/09_ZARAGOZA_60x96.pdf" xr:uid="{C32278E4-7B7A-4954-906D-9C47B409BA2E}"/>
    <hyperlink ref="AI3" r:id="rId2" display="http://www.therealpresence.org/eucharst/misc/BVM/68_LE_PUY_60x96.pdf" xr:uid="{CA03B079-2CAD-492C-9E3F-618DC97F1315}"/>
    <hyperlink ref="AI5" r:id="rId3" display="http://www.therealpresence.org/eucharst/misc/BVM/117_ROMA_60x96.pdf" xr:uid="{19903BBD-2E0B-4FC0-B12B-17CA17D1BEAD}"/>
    <hyperlink ref="AI6" r:id="rId4" display="http://www.therealpresence.org/eucharst/misc/BVM/90_TINDARI_60x96.pdf" xr:uid="{5DEB3489-2F6D-49A0-874C-5F62C2659263}"/>
    <hyperlink ref="AI7" r:id="rId5" display="http://www.therealpresence.org/eucharst/misc/BVM/153_WALSINGHAM_60x96.pdf" xr:uid="{F08A0A36-1EB4-43EE-82AF-E0260EA92604}"/>
    <hyperlink ref="AI8" r:id="rId6" display="http://www.therealpresence.org/eucharst/misc/BVM/138_SWIETA_LIPKA_60x96.pdf" xr:uid="{A5DE945D-29BF-4310-B2D2-A673B5065271}"/>
    <hyperlink ref="AI9" r:id="rId7" display="http://www.therealpresence.org/eucharst/misc/BVM/13_VALVERDE_60x96.pdf" xr:uid="{7BCA5074-E5ED-4665-ABB7-0692B0D6A186}"/>
    <hyperlink ref="AI11" r:id="rId8" display="http://www.therealpresence.org/eucharst/misc/BVM/32_VAILANKANNI_60x96.pdf" xr:uid="{489E131A-8E14-46B5-BB24-7DDA799C38FB}"/>
    <hyperlink ref="AI12" r:id="rId9" display="http://www.therealpresence.org/eucharst/misc/BVM/70_GUADALUPE_96x96.pdf" xr:uid="{B1B8B53E-5BAF-460A-AABE-EF5672BC9ACC}"/>
    <hyperlink ref="AI13" r:id="rId10" display="http://www.therealpresence.org/eucharst/misc/BVM/137_SVETA_GORA_60x96.pdf" xr:uid="{DF9F5ACF-66C9-4DC5-971D-5E7894EEDBED}"/>
    <hyperlink ref="AI14" r:id="rId11" display="http://www.therealpresence.org/eucharst/misc/BVM/140_GOZO_60x96.pdf" xr:uid="{12021650-E5C0-4596-B9DA-B5910F446D73}"/>
    <hyperlink ref="AI16" r:id="rId12" display="http://www.therealpresence.org/eucharst/misc/BVM/112_LUJAN_96x96.pdf" xr:uid="{9C9EE3D2-20D5-4611-BE8D-C4DEC3E1DD45}"/>
    <hyperlink ref="AI17" r:id="rId13" display="http://www.therealpresence.org/eucharst/misc/BVM/94_CAYSASAY_60x96.pdf" xr:uid="{E30EF88F-2468-4403-A13B-FC90525FB784}"/>
    <hyperlink ref="AI18" r:id="rId14" display="http://www.therealpresence.org/eucharst/misc/BVM/104_DOROSZLO_60x96.pdf" xr:uid="{D355AD30-56C2-4752-AF84-7613A746082C}"/>
    <hyperlink ref="AI19" r:id="rId15" display="http://www.therealpresence.org/eucharst/misc/BVM/57_SILUVA_96x96.pdf" xr:uid="{57CA58CD-A9F6-41BA-9AFE-3EF68EFC1E97}"/>
    <hyperlink ref="AI20" r:id="rId16" display="http://www.therealpresence.org/eucharst/misc/BVM/88_MANAOAG_60x96.pdf" xr:uid="{9B5AE47B-71F0-4951-BA0C-73F35609D322}"/>
    <hyperlink ref="AI21" r:id="rId17" display="http://www.therealpresence.org/eucharst/misc/BVM/102_CUBA_96x96.pdf" xr:uid="{AE52E191-4C08-4325-AAC1-F431733684EE}"/>
    <hyperlink ref="AI22" r:id="rId18" display="http://www.therealpresence.org/eucharst/misc/BVM/69_LAUS_140x96.pdf" xr:uid="{47EBC17E-3022-4B54-8C06-F6E30985CF34}"/>
    <hyperlink ref="AI23" r:id="rId19" display="http://www.therealpresence.org/eucharst/misc/BVM/109_LAJAS_96x96.pdf" xr:uid="{5E55BC1B-CDB5-4035-B57A-F4F9C4615022}"/>
    <hyperlink ref="AI24" r:id="rId20" display="http://www.therealpresence.org/eucharst/misc/BVM/21_LAVANG_60x96.pdf" xr:uid="{E25E80BB-D05A-4AE7-A237-C4CE83C48226}"/>
    <hyperlink ref="AI25" r:id="rId21" display="http://www.therealpresence.org/eucharst/misc/BVM/110_LICHEN_96x96.pdf" xr:uid="{C3DA243D-69BB-40E7-B6C2-682AC414D5CF}"/>
    <hyperlink ref="AI26" r:id="rId22" display="http://www.therealpresence.org/eucharst/misc/BVM/06_PARIGI_60x96.pdf" xr:uid="{B55806A6-B198-4A9F-8B4E-C8B236010F2F}"/>
    <hyperlink ref="AI27" r:id="rId23" display="http://www.therealpresence.org/eucharst/misc/BVM/23_ROMA_60x96.pdf" xr:uid="{04873456-C162-4CCF-A15B-B99C615CE702}"/>
    <hyperlink ref="AI28" r:id="rId24" display="http://www.therealpresence.org/eucharst/misc/BVM/30_LA_SALETTE_96x96.pdf" xr:uid="{196A5320-6676-4EF1-8332-90C055C3F324}"/>
    <hyperlink ref="AI29" r:id="rId25" display="http://www.therealpresence.org/eucharst/misc/BVM/40_LOURDES_140x96.pdf" xr:uid="{0E442E49-F47F-4E39-B0F8-7BD5EE632E6A}"/>
    <hyperlink ref="AI30" r:id="rId26" display="http://www.therealpresence.org/eucharst/misc/BVM/89_FILIPOV_96x96.pdf" xr:uid="{487ABD3A-F8BB-4BE0-ACFC-033D0C037295}"/>
    <hyperlink ref="AI31" r:id="rId27" display="http://www.therealpresence.org/eucharst/misc/BVM/26_PONTMAIN_60x96.pdf" xr:uid="{1C4295E7-38F2-4746-9EA4-3167D315BC85}"/>
    <hyperlink ref="AI32" r:id="rId28" display="http://www.therealpresence.org/eucharst/misc/BVM/07_PELLEVOISIN_60x96.pdf" xr:uid="{D2B26C3B-937B-4D07-805A-79B71B01D389}"/>
    <hyperlink ref="AI33" r:id="rId29" display="http://www.therealpresence.org/eucharst/misc/BVM/85_GIETRZALD_96x96.pdf" xr:uid="{2E378F3D-BCCF-40CC-B461-739D7CE2DB36}"/>
    <hyperlink ref="AI34" r:id="rId30" display="http://www.therealpresence.org/eucharst/misc/BVM/63_KNOCK_60x96.pdf" xr:uid="{7AEA5702-3D74-45DC-BBA5-772B410C7ABB}"/>
    <hyperlink ref="AI35" r:id="rId31" display="http://www.therealpresence.org/eucharst/misc/BVM/154_FATIMA_96x96_1.pdf" xr:uid="{BBE3D2C4-1E15-438E-874E-7C013CE9F038}"/>
    <hyperlink ref="AI36" r:id="rId32" display="http://www.therealpresence.org/eucharst/misc/BVM/128_KALLIKULAM_60x96.pdf" xr:uid="{EC20155A-4D8F-4B9A-8BC9-AD53DDAA3B2D}"/>
    <hyperlink ref="AI37" r:id="rId33" display="http://www.therealpresence.org/eucharst/misc/BVM/124_NGOME_140x96.pdf" xr:uid="{4235EB2E-6994-48B8-B2B9-BD0AF0481CF3}"/>
    <hyperlink ref="AI38" r:id="rId34" display="http://www.therealpresence.org/eucharst/misc/BVM/144_ZEITUN_96x96.pdf" xr:uid="{0EDD73A9-5A3C-4483-A3C8-1A95818F3C4B}"/>
    <hyperlink ref="AI39" r:id="rId35" display="http://www.therealpresence.org/eucharst/misc/BVM/01_AKITA_60x96.pdf" xr:uid="{FA8314A8-A194-4DAE-9A7E-65EECB2DC573}"/>
    <hyperlink ref="AI40" r:id="rId36" display="http://www.therealpresence.org/eucharst/misc/BVM/16_CUAPA_60x96.pdf" xr:uid="{71244677-A467-4D01-B899-925B6A0E0158}"/>
    <hyperlink ref="AI41" r:id="rId37" display="http://www.therealpresence.org/eucharst/misc/BVM/20_KIBEHO_96x96.pdf" xr:uid="{FF0B29AE-9B16-4798-BF10-3705A44A3613}"/>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9" id="{1BCE7D4C-278A-4156-90B9-020449CA49D6}">
            <xm:f>IF(AND(LEN(Y1)&lt;&gt;0,ROW(Y1)&gt;1,ISNA(VLOOKUP(Y1,'Tag List'!$A:$B,2,))),TRUE,FALSE)</xm:f>
            <x14:dxf>
              <fill>
                <patternFill>
                  <bgColor rgb="FFFF0000"/>
                </patternFill>
              </fill>
            </x14:dxf>
          </x14:cfRule>
          <xm:sqref>Y1:AH1048576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DC2CDB7-970C-41B0-825B-FE221D5E63BF}">
          <x14:formula1>
            <xm:f>'(Ref) Countries'!$A:$A</xm:f>
          </x14:formula1>
          <xm:sqref>B1:B1048576</xm:sqref>
        </x14:dataValidation>
        <x14:dataValidation type="list" allowBlank="1" showInputMessage="1" showErrorMessage="1" xr:uid="{4D7BA9E5-C59A-4982-8ECD-C721C2B91B0B}">
          <x14:formula1>
            <xm:f>'Tag List'!$A:$A</xm:f>
          </x14:formula1>
          <xm:sqref>Y1:AH1048576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26362-28F5-49C7-A8E7-A6E16D86518E}">
  <sheetPr codeName="Sheet6"/>
  <dimension ref="A1:E62"/>
  <sheetViews>
    <sheetView workbookViewId="0">
      <pane ySplit="1" topLeftCell="A35" activePane="bottomLeft" state="frozen"/>
      <selection pane="bottomLeft" activeCell="C63" sqref="C63"/>
    </sheetView>
  </sheetViews>
  <sheetFormatPr defaultColWidth="9.15234375" defaultRowHeight="12.45" x14ac:dyDescent="0.3"/>
  <cols>
    <col min="1" max="1" width="23.69140625" style="21" bestFit="1" customWidth="1"/>
    <col min="2" max="2" width="46.3046875" style="21" bestFit="1" customWidth="1"/>
    <col min="3" max="3" width="12.15234375" style="21" bestFit="1" customWidth="1"/>
    <col min="4" max="16384" width="9.15234375" style="21"/>
  </cols>
  <sheetData>
    <row r="1" spans="1:5" s="20" customFormat="1" x14ac:dyDescent="0.3">
      <c r="A1" s="20" t="s">
        <v>1427</v>
      </c>
      <c r="B1" s="20" t="s">
        <v>1428</v>
      </c>
      <c r="C1" s="20" t="s">
        <v>2132</v>
      </c>
    </row>
    <row r="2" spans="1:5" x14ac:dyDescent="0.3">
      <c r="A2" s="21" t="s">
        <v>1035</v>
      </c>
      <c r="B2" s="21" t="s">
        <v>1429</v>
      </c>
      <c r="C2" s="94" t="s">
        <v>1755</v>
      </c>
    </row>
    <row r="3" spans="1:5" x14ac:dyDescent="0.3">
      <c r="A3" s="94" t="s">
        <v>2133</v>
      </c>
      <c r="B3" s="21" t="s">
        <v>1430</v>
      </c>
    </row>
    <row r="4" spans="1:5" x14ac:dyDescent="0.3">
      <c r="A4" s="21" t="s">
        <v>1403</v>
      </c>
      <c r="B4" s="21" t="s">
        <v>1431</v>
      </c>
      <c r="C4" s="21" t="s">
        <v>2138</v>
      </c>
    </row>
    <row r="5" spans="1:5" x14ac:dyDescent="0.3">
      <c r="A5" s="21" t="s">
        <v>998</v>
      </c>
      <c r="B5" s="21" t="s">
        <v>1432</v>
      </c>
      <c r="C5" s="21" t="s">
        <v>2134</v>
      </c>
    </row>
    <row r="6" spans="1:5" x14ac:dyDescent="0.3">
      <c r="A6" s="21" t="s">
        <v>1417</v>
      </c>
      <c r="B6" s="21" t="s">
        <v>1434</v>
      </c>
      <c r="C6" s="94" t="s">
        <v>1755</v>
      </c>
    </row>
    <row r="7" spans="1:5" x14ac:dyDescent="0.3">
      <c r="A7" s="21" t="s">
        <v>486</v>
      </c>
      <c r="B7" s="21" t="s">
        <v>1435</v>
      </c>
      <c r="C7" s="94" t="s">
        <v>1755</v>
      </c>
    </row>
    <row r="8" spans="1:5" x14ac:dyDescent="0.3">
      <c r="A8" s="21" t="s">
        <v>1424</v>
      </c>
      <c r="B8" s="21" t="s">
        <v>1437</v>
      </c>
      <c r="C8" s="94" t="s">
        <v>2134</v>
      </c>
    </row>
    <row r="9" spans="1:5" x14ac:dyDescent="0.3">
      <c r="A9" s="21" t="s">
        <v>487</v>
      </c>
      <c r="B9" s="94" t="s">
        <v>2135</v>
      </c>
      <c r="C9" s="94" t="s">
        <v>1755</v>
      </c>
    </row>
    <row r="10" spans="1:5" x14ac:dyDescent="0.3">
      <c r="A10" s="21" t="s">
        <v>488</v>
      </c>
      <c r="B10" s="21" t="s">
        <v>1436</v>
      </c>
      <c r="C10" s="94" t="s">
        <v>1755</v>
      </c>
    </row>
    <row r="11" spans="1:5" x14ac:dyDescent="0.3">
      <c r="A11" s="21" t="s">
        <v>489</v>
      </c>
      <c r="B11" s="125" t="s">
        <v>2463</v>
      </c>
      <c r="C11" s="94" t="s">
        <v>1755</v>
      </c>
      <c r="E11" s="21" t="s">
        <v>2450</v>
      </c>
    </row>
    <row r="12" spans="1:5" x14ac:dyDescent="0.3">
      <c r="A12" s="21" t="s">
        <v>490</v>
      </c>
      <c r="B12" s="21" t="s">
        <v>1438</v>
      </c>
      <c r="C12" s="94" t="s">
        <v>1755</v>
      </c>
    </row>
    <row r="13" spans="1:5" x14ac:dyDescent="0.3">
      <c r="A13" s="21" t="s">
        <v>1425</v>
      </c>
      <c r="B13" s="21" t="s">
        <v>1439</v>
      </c>
      <c r="C13" s="94" t="s">
        <v>1755</v>
      </c>
    </row>
    <row r="14" spans="1:5" x14ac:dyDescent="0.3">
      <c r="A14" s="21" t="s">
        <v>1319</v>
      </c>
      <c r="B14" s="94" t="s">
        <v>2136</v>
      </c>
      <c r="C14" s="94" t="s">
        <v>1755</v>
      </c>
    </row>
    <row r="15" spans="1:5" x14ac:dyDescent="0.3">
      <c r="A15" s="21" t="s">
        <v>1018</v>
      </c>
      <c r="B15" s="21" t="s">
        <v>1441</v>
      </c>
      <c r="C15" s="94" t="s">
        <v>2138</v>
      </c>
    </row>
    <row r="16" spans="1:5" x14ac:dyDescent="0.3">
      <c r="A16" s="21" t="s">
        <v>1426</v>
      </c>
      <c r="B16" s="21" t="s">
        <v>1440</v>
      </c>
      <c r="C16" s="94" t="s">
        <v>1755</v>
      </c>
    </row>
    <row r="17" spans="1:5" x14ac:dyDescent="0.3">
      <c r="A17" s="21" t="s">
        <v>1703</v>
      </c>
      <c r="B17" s="125" t="s">
        <v>2464</v>
      </c>
      <c r="C17" s="21" t="s">
        <v>1755</v>
      </c>
    </row>
    <row r="18" spans="1:5" x14ac:dyDescent="0.3">
      <c r="A18" s="21" t="s">
        <v>1720</v>
      </c>
      <c r="B18" s="125" t="s">
        <v>2465</v>
      </c>
      <c r="C18" s="21" t="s">
        <v>1755</v>
      </c>
    </row>
    <row r="19" spans="1:5" x14ac:dyDescent="0.3">
      <c r="A19" s="21" t="s">
        <v>1721</v>
      </c>
      <c r="B19" s="125" t="s">
        <v>2467</v>
      </c>
      <c r="C19" s="21" t="s">
        <v>1755</v>
      </c>
      <c r="E19" s="21" t="s">
        <v>2466</v>
      </c>
    </row>
    <row r="20" spans="1:5" x14ac:dyDescent="0.3">
      <c r="A20" s="21" t="s">
        <v>1753</v>
      </c>
      <c r="B20" s="22" t="s">
        <v>1754</v>
      </c>
      <c r="C20" s="21" t="s">
        <v>1755</v>
      </c>
    </row>
    <row r="21" spans="1:5" x14ac:dyDescent="0.3">
      <c r="A21" s="21" t="s">
        <v>1757</v>
      </c>
      <c r="B21" s="22" t="s">
        <v>1758</v>
      </c>
    </row>
    <row r="22" spans="1:5" x14ac:dyDescent="0.3">
      <c r="A22" s="22" t="s">
        <v>1756</v>
      </c>
      <c r="B22" s="22" t="s">
        <v>1759</v>
      </c>
    </row>
    <row r="23" spans="1:5" x14ac:dyDescent="0.3">
      <c r="A23" s="21" t="s">
        <v>1765</v>
      </c>
      <c r="B23" s="125" t="s">
        <v>2468</v>
      </c>
      <c r="C23" s="21" t="s">
        <v>1755</v>
      </c>
    </row>
    <row r="24" spans="1:5" x14ac:dyDescent="0.3">
      <c r="A24" s="94" t="s">
        <v>1835</v>
      </c>
      <c r="B24" s="94" t="s">
        <v>1837</v>
      </c>
      <c r="C24" s="21" t="s">
        <v>1755</v>
      </c>
    </row>
    <row r="25" spans="1:5" x14ac:dyDescent="0.3">
      <c r="A25" s="94" t="s">
        <v>1836</v>
      </c>
      <c r="B25" s="94" t="s">
        <v>1838</v>
      </c>
      <c r="C25" s="21" t="s">
        <v>1755</v>
      </c>
    </row>
    <row r="26" spans="1:5" x14ac:dyDescent="0.3">
      <c r="A26" s="94" t="s">
        <v>1839</v>
      </c>
      <c r="B26" s="94" t="s">
        <v>1840</v>
      </c>
      <c r="C26" s="21" t="s">
        <v>1755</v>
      </c>
    </row>
    <row r="27" spans="1:5" x14ac:dyDescent="0.3">
      <c r="A27" s="21" t="s">
        <v>1845</v>
      </c>
      <c r="B27" s="94" t="s">
        <v>1846</v>
      </c>
      <c r="C27" s="21" t="s">
        <v>1755</v>
      </c>
    </row>
    <row r="28" spans="1:5" x14ac:dyDescent="0.3">
      <c r="A28" s="94" t="s">
        <v>1857</v>
      </c>
      <c r="B28" s="94" t="s">
        <v>1858</v>
      </c>
      <c r="C28" s="94" t="s">
        <v>2134</v>
      </c>
    </row>
    <row r="29" spans="1:5" x14ac:dyDescent="0.3">
      <c r="A29" s="21" t="s">
        <v>1866</v>
      </c>
      <c r="B29" s="94" t="s">
        <v>1867</v>
      </c>
      <c r="C29" s="21" t="s">
        <v>1755</v>
      </c>
    </row>
    <row r="30" spans="1:5" x14ac:dyDescent="0.3">
      <c r="A30" s="94" t="s">
        <v>1895</v>
      </c>
      <c r="B30" s="94" t="s">
        <v>1896</v>
      </c>
      <c r="C30" s="21" t="s">
        <v>1755</v>
      </c>
    </row>
    <row r="31" spans="1:5" x14ac:dyDescent="0.3">
      <c r="A31" s="94" t="s">
        <v>2015</v>
      </c>
      <c r="B31" s="94" t="s">
        <v>2016</v>
      </c>
      <c r="C31" s="21" t="s">
        <v>1755</v>
      </c>
    </row>
    <row r="32" spans="1:5" x14ac:dyDescent="0.3">
      <c r="A32" s="94" t="s">
        <v>2033</v>
      </c>
      <c r="B32" s="94" t="s">
        <v>2034</v>
      </c>
      <c r="C32" s="21" t="s">
        <v>1755</v>
      </c>
    </row>
    <row r="33" spans="1:5" x14ac:dyDescent="0.3">
      <c r="A33" s="21" t="s">
        <v>2042</v>
      </c>
      <c r="B33" s="94" t="s">
        <v>2045</v>
      </c>
      <c r="C33" s="21" t="s">
        <v>1755</v>
      </c>
    </row>
    <row r="34" spans="1:5" x14ac:dyDescent="0.3">
      <c r="A34" s="21" t="s">
        <v>2043</v>
      </c>
      <c r="B34" s="94" t="s">
        <v>2046</v>
      </c>
      <c r="C34" s="21" t="s">
        <v>1755</v>
      </c>
    </row>
    <row r="35" spans="1:5" x14ac:dyDescent="0.3">
      <c r="A35" s="21" t="s">
        <v>2044</v>
      </c>
      <c r="B35" s="94" t="s">
        <v>2049</v>
      </c>
      <c r="C35" s="21" t="s">
        <v>1755</v>
      </c>
    </row>
    <row r="36" spans="1:5" x14ac:dyDescent="0.3">
      <c r="A36" s="94" t="s">
        <v>2052</v>
      </c>
      <c r="B36" s="94" t="s">
        <v>2050</v>
      </c>
      <c r="C36" s="21" t="s">
        <v>1755</v>
      </c>
    </row>
    <row r="37" spans="1:5" x14ac:dyDescent="0.3">
      <c r="A37" s="94" t="s">
        <v>2047</v>
      </c>
      <c r="B37" s="94" t="s">
        <v>2048</v>
      </c>
    </row>
    <row r="38" spans="1:5" x14ac:dyDescent="0.3">
      <c r="A38" s="94" t="s">
        <v>2071</v>
      </c>
      <c r="B38" s="94" t="s">
        <v>2072</v>
      </c>
      <c r="C38" s="94" t="s">
        <v>2137</v>
      </c>
    </row>
    <row r="39" spans="1:5" x14ac:dyDescent="0.3">
      <c r="A39" s="94" t="s">
        <v>2073</v>
      </c>
      <c r="B39" s="94" t="s">
        <v>2074</v>
      </c>
      <c r="C39" s="94" t="s">
        <v>2137</v>
      </c>
    </row>
    <row r="40" spans="1:5" x14ac:dyDescent="0.3">
      <c r="A40" s="94" t="s">
        <v>2130</v>
      </c>
      <c r="B40" s="94" t="s">
        <v>2131</v>
      </c>
      <c r="C40" s="94" t="s">
        <v>2134</v>
      </c>
    </row>
    <row r="41" spans="1:5" x14ac:dyDescent="0.3">
      <c r="A41" s="107" t="s">
        <v>2144</v>
      </c>
      <c r="B41" s="107" t="s">
        <v>2145</v>
      </c>
      <c r="C41" s="107" t="s">
        <v>2137</v>
      </c>
    </row>
    <row r="42" spans="1:5" x14ac:dyDescent="0.3">
      <c r="A42" s="107" t="s">
        <v>2143</v>
      </c>
      <c r="B42" s="107" t="s">
        <v>2146</v>
      </c>
      <c r="C42" s="107" t="s">
        <v>2137</v>
      </c>
    </row>
    <row r="43" spans="1:5" x14ac:dyDescent="0.3">
      <c r="A43" s="107" t="s">
        <v>2148</v>
      </c>
      <c r="B43" s="107" t="s">
        <v>2149</v>
      </c>
      <c r="C43" s="107" t="s">
        <v>1755</v>
      </c>
      <c r="E43" s="21" t="s">
        <v>2208</v>
      </c>
    </row>
    <row r="44" spans="1:5" x14ac:dyDescent="0.3">
      <c r="A44" s="107" t="s">
        <v>2147</v>
      </c>
      <c r="B44" s="107" t="s">
        <v>2150</v>
      </c>
      <c r="C44" s="21" t="s">
        <v>1755</v>
      </c>
    </row>
    <row r="45" spans="1:5" x14ac:dyDescent="0.3">
      <c r="A45" s="107" t="s">
        <v>2181</v>
      </c>
      <c r="B45" s="107" t="s">
        <v>2182</v>
      </c>
      <c r="C45" s="107" t="s">
        <v>2137</v>
      </c>
    </row>
    <row r="46" spans="1:5" x14ac:dyDescent="0.3">
      <c r="A46" s="107" t="s">
        <v>2251</v>
      </c>
      <c r="B46" s="107" t="s">
        <v>2252</v>
      </c>
      <c r="C46" s="107" t="s">
        <v>1755</v>
      </c>
    </row>
    <row r="47" spans="1:5" x14ac:dyDescent="0.3">
      <c r="A47" s="107" t="s">
        <v>2253</v>
      </c>
      <c r="B47" s="107" t="s">
        <v>2254</v>
      </c>
      <c r="C47" s="107" t="s">
        <v>1755</v>
      </c>
    </row>
    <row r="48" spans="1:5" x14ac:dyDescent="0.3">
      <c r="A48" s="107" t="s">
        <v>2255</v>
      </c>
      <c r="B48" s="107" t="s">
        <v>2256</v>
      </c>
      <c r="C48" s="107" t="s">
        <v>1755</v>
      </c>
    </row>
    <row r="49" spans="1:3" x14ac:dyDescent="0.3">
      <c r="A49" s="115" t="s">
        <v>2288</v>
      </c>
      <c r="B49" s="115" t="s">
        <v>2289</v>
      </c>
      <c r="C49" s="115" t="s">
        <v>1755</v>
      </c>
    </row>
    <row r="50" spans="1:3" x14ac:dyDescent="0.3">
      <c r="A50" s="120" t="s">
        <v>2300</v>
      </c>
      <c r="B50" s="120" t="s">
        <v>2301</v>
      </c>
      <c r="C50" s="120" t="s">
        <v>2134</v>
      </c>
    </row>
    <row r="51" spans="1:3" x14ac:dyDescent="0.3">
      <c r="A51" s="120" t="s">
        <v>2439</v>
      </c>
      <c r="B51" s="120" t="s">
        <v>2440</v>
      </c>
      <c r="C51" s="120" t="s">
        <v>2134</v>
      </c>
    </row>
    <row r="52" spans="1:3" x14ac:dyDescent="0.3">
      <c r="A52" s="120" t="s">
        <v>2441</v>
      </c>
      <c r="B52" s="125" t="s">
        <v>2462</v>
      </c>
      <c r="C52" s="120" t="s">
        <v>1755</v>
      </c>
    </row>
    <row r="53" spans="1:3" x14ac:dyDescent="0.3">
      <c r="A53" s="120" t="s">
        <v>2442</v>
      </c>
      <c r="B53" s="120" t="s">
        <v>2443</v>
      </c>
      <c r="C53" s="120" t="s">
        <v>2134</v>
      </c>
    </row>
    <row r="54" spans="1:3" x14ac:dyDescent="0.3">
      <c r="A54" s="120" t="s">
        <v>2448</v>
      </c>
      <c r="B54" s="120" t="s">
        <v>2449</v>
      </c>
      <c r="C54" s="120" t="s">
        <v>2134</v>
      </c>
    </row>
    <row r="55" spans="1:3" x14ac:dyDescent="0.3">
      <c r="A55" s="120" t="s">
        <v>2454</v>
      </c>
      <c r="B55" s="125" t="s">
        <v>2461</v>
      </c>
      <c r="C55" s="120" t="s">
        <v>1755</v>
      </c>
    </row>
    <row r="56" spans="1:3" x14ac:dyDescent="0.3">
      <c r="A56" s="125" t="s">
        <v>2459</v>
      </c>
      <c r="B56" s="125" t="s">
        <v>2460</v>
      </c>
      <c r="C56" s="125" t="s">
        <v>2137</v>
      </c>
    </row>
    <row r="57" spans="1:3" x14ac:dyDescent="0.3">
      <c r="A57" s="129" t="s">
        <v>2474</v>
      </c>
      <c r="B57" s="129" t="s">
        <v>2475</v>
      </c>
      <c r="C57" s="129" t="s">
        <v>2134</v>
      </c>
    </row>
    <row r="58" spans="1:3" x14ac:dyDescent="0.3">
      <c r="A58" s="129" t="s">
        <v>2476</v>
      </c>
      <c r="B58" s="129" t="s">
        <v>2477</v>
      </c>
      <c r="C58" s="129" t="s">
        <v>1755</v>
      </c>
    </row>
    <row r="59" spans="1:3" x14ac:dyDescent="0.3">
      <c r="A59" s="129" t="s">
        <v>2479</v>
      </c>
      <c r="B59" s="129" t="s">
        <v>2480</v>
      </c>
      <c r="C59" s="129" t="s">
        <v>1755</v>
      </c>
    </row>
    <row r="60" spans="1:3" x14ac:dyDescent="0.3">
      <c r="A60" s="136" t="s">
        <v>2488</v>
      </c>
      <c r="B60" s="136" t="s">
        <v>2489</v>
      </c>
      <c r="C60" s="136" t="s">
        <v>1755</v>
      </c>
    </row>
    <row r="61" spans="1:3" x14ac:dyDescent="0.3">
      <c r="A61" s="141" t="s">
        <v>2500</v>
      </c>
      <c r="B61" s="141" t="s">
        <v>2502</v>
      </c>
      <c r="C61" s="141" t="s">
        <v>1755</v>
      </c>
    </row>
    <row r="62" spans="1:3" x14ac:dyDescent="0.3">
      <c r="A62" s="141" t="s">
        <v>2501</v>
      </c>
      <c r="B62" s="141" t="s">
        <v>2503</v>
      </c>
      <c r="C62" s="141" t="s">
        <v>1755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53212-52F5-4A7D-9FB7-1079DAE6F64C}">
  <sheetPr codeName="Sheet5"/>
  <dimension ref="A1:C302"/>
  <sheetViews>
    <sheetView workbookViewId="0">
      <pane ySplit="1" topLeftCell="A291" activePane="bottomLeft" state="frozen"/>
      <selection pane="bottomLeft" activeCell="A302" sqref="A302"/>
    </sheetView>
  </sheetViews>
  <sheetFormatPr defaultColWidth="9.15234375" defaultRowHeight="12.45" x14ac:dyDescent="0.4"/>
  <cols>
    <col min="1" max="1" width="45.3828125" style="15" bestFit="1" customWidth="1"/>
    <col min="2" max="2" width="16.3046875" style="15" bestFit="1" customWidth="1"/>
    <col min="3" max="3" width="40.84375" style="15" bestFit="1" customWidth="1"/>
    <col min="4" max="16384" width="9.15234375" style="15"/>
  </cols>
  <sheetData>
    <row r="1" spans="1:3" s="14" customFormat="1" x14ac:dyDescent="0.4">
      <c r="A1" s="14" t="s">
        <v>485</v>
      </c>
      <c r="B1" s="14" t="s">
        <v>2139</v>
      </c>
      <c r="C1" s="14" t="s">
        <v>339</v>
      </c>
    </row>
    <row r="2" spans="1:3" x14ac:dyDescent="0.4">
      <c r="A2" s="15" t="s">
        <v>491</v>
      </c>
      <c r="B2" s="15" t="s">
        <v>741</v>
      </c>
      <c r="C2" s="15" t="s">
        <v>1457</v>
      </c>
    </row>
    <row r="3" spans="1:3" x14ac:dyDescent="0.4">
      <c r="A3" s="15" t="s">
        <v>492</v>
      </c>
      <c r="B3" s="15" t="s">
        <v>742</v>
      </c>
      <c r="C3" s="16" t="s">
        <v>1458</v>
      </c>
    </row>
    <row r="4" spans="1:3" x14ac:dyDescent="0.4">
      <c r="A4" s="15" t="s">
        <v>493</v>
      </c>
      <c r="B4" s="15" t="s">
        <v>743</v>
      </c>
      <c r="C4" s="15" t="s">
        <v>1459</v>
      </c>
    </row>
    <row r="5" spans="1:3" x14ac:dyDescent="0.4">
      <c r="A5" s="15" t="s">
        <v>494</v>
      </c>
      <c r="B5" s="15" t="s">
        <v>744</v>
      </c>
      <c r="C5" s="16" t="s">
        <v>1460</v>
      </c>
    </row>
    <row r="6" spans="1:3" x14ac:dyDescent="0.4">
      <c r="A6" s="15" t="s">
        <v>495</v>
      </c>
      <c r="B6" s="15" t="s">
        <v>745</v>
      </c>
      <c r="C6" s="15" t="s">
        <v>1461</v>
      </c>
    </row>
    <row r="7" spans="1:3" x14ac:dyDescent="0.4">
      <c r="A7" s="15" t="s">
        <v>496</v>
      </c>
      <c r="B7" s="15" t="s">
        <v>746</v>
      </c>
      <c r="C7" s="15" t="s">
        <v>1462</v>
      </c>
    </row>
    <row r="8" spans="1:3" x14ac:dyDescent="0.4">
      <c r="A8" s="15" t="s">
        <v>497</v>
      </c>
      <c r="B8" s="15" t="s">
        <v>747</v>
      </c>
      <c r="C8" s="15" t="s">
        <v>1463</v>
      </c>
    </row>
    <row r="9" spans="1:3" x14ac:dyDescent="0.4">
      <c r="A9" s="15" t="s">
        <v>498</v>
      </c>
      <c r="B9" s="15" t="s">
        <v>748</v>
      </c>
      <c r="C9" s="15" t="s">
        <v>1464</v>
      </c>
    </row>
    <row r="10" spans="1:3" x14ac:dyDescent="0.4">
      <c r="A10" s="15" t="s">
        <v>499</v>
      </c>
      <c r="B10" s="15" t="s">
        <v>749</v>
      </c>
      <c r="C10" s="15" t="s">
        <v>1465</v>
      </c>
    </row>
    <row r="11" spans="1:3" x14ac:dyDescent="0.4">
      <c r="A11" s="15" t="s">
        <v>500</v>
      </c>
      <c r="B11" s="15" t="s">
        <v>750</v>
      </c>
      <c r="C11" s="15" t="s">
        <v>1466</v>
      </c>
    </row>
    <row r="12" spans="1:3" x14ac:dyDescent="0.4">
      <c r="A12" s="15" t="s">
        <v>501</v>
      </c>
      <c r="B12" s="15" t="s">
        <v>751</v>
      </c>
      <c r="C12" s="16" t="s">
        <v>1467</v>
      </c>
    </row>
    <row r="13" spans="1:3" x14ac:dyDescent="0.4">
      <c r="A13" s="15" t="s">
        <v>502</v>
      </c>
      <c r="B13" s="15" t="s">
        <v>752</v>
      </c>
      <c r="C13" s="15" t="s">
        <v>1468</v>
      </c>
    </row>
    <row r="14" spans="1:3" x14ac:dyDescent="0.4">
      <c r="A14" s="15" t="s">
        <v>503</v>
      </c>
      <c r="B14" s="15" t="s">
        <v>753</v>
      </c>
      <c r="C14" s="15" t="s">
        <v>1469</v>
      </c>
    </row>
    <row r="15" spans="1:3" x14ac:dyDescent="0.4">
      <c r="A15" s="15" t="s">
        <v>504</v>
      </c>
      <c r="B15" s="15" t="s">
        <v>754</v>
      </c>
      <c r="C15" s="15" t="s">
        <v>1470</v>
      </c>
    </row>
    <row r="16" spans="1:3" x14ac:dyDescent="0.4">
      <c r="A16" s="15" t="s">
        <v>734</v>
      </c>
      <c r="B16" s="15" t="s">
        <v>755</v>
      </c>
      <c r="C16" s="16" t="s">
        <v>1471</v>
      </c>
    </row>
    <row r="17" spans="1:3" x14ac:dyDescent="0.4">
      <c r="A17" s="15" t="s">
        <v>505</v>
      </c>
      <c r="B17" s="15" t="s">
        <v>756</v>
      </c>
      <c r="C17" s="15" t="s">
        <v>1472</v>
      </c>
    </row>
    <row r="18" spans="1:3" x14ac:dyDescent="0.4">
      <c r="A18" s="15" t="s">
        <v>506</v>
      </c>
      <c r="B18" s="15" t="s">
        <v>757</v>
      </c>
      <c r="C18" s="16" t="s">
        <v>1473</v>
      </c>
    </row>
    <row r="19" spans="1:3" x14ac:dyDescent="0.4">
      <c r="A19" s="15" t="s">
        <v>507</v>
      </c>
      <c r="B19" s="15" t="s">
        <v>758</v>
      </c>
      <c r="C19" s="15" t="s">
        <v>1474</v>
      </c>
    </row>
    <row r="20" spans="1:3" x14ac:dyDescent="0.4">
      <c r="A20" s="15" t="s">
        <v>508</v>
      </c>
      <c r="B20" s="15" t="s">
        <v>759</v>
      </c>
      <c r="C20" s="15" t="s">
        <v>1475</v>
      </c>
    </row>
    <row r="21" spans="1:3" x14ac:dyDescent="0.4">
      <c r="A21" s="15" t="s">
        <v>509</v>
      </c>
      <c r="B21" s="15" t="s">
        <v>760</v>
      </c>
      <c r="C21" s="15" t="s">
        <v>1476</v>
      </c>
    </row>
    <row r="22" spans="1:3" x14ac:dyDescent="0.4">
      <c r="A22" s="15" t="s">
        <v>510</v>
      </c>
      <c r="B22" s="15" t="s">
        <v>761</v>
      </c>
      <c r="C22" s="16" t="s">
        <v>1477</v>
      </c>
    </row>
    <row r="23" spans="1:3" x14ac:dyDescent="0.4">
      <c r="A23" s="15" t="s">
        <v>511</v>
      </c>
      <c r="B23" s="15" t="s">
        <v>762</v>
      </c>
      <c r="C23" s="15" t="s">
        <v>1478</v>
      </c>
    </row>
    <row r="24" spans="1:3" x14ac:dyDescent="0.4">
      <c r="A24" s="15" t="s">
        <v>512</v>
      </c>
      <c r="B24" s="15" t="s">
        <v>763</v>
      </c>
      <c r="C24" s="15" t="s">
        <v>1479</v>
      </c>
    </row>
    <row r="25" spans="1:3" x14ac:dyDescent="0.4">
      <c r="A25" s="15" t="s">
        <v>513</v>
      </c>
      <c r="B25" s="15" t="s">
        <v>764</v>
      </c>
      <c r="C25" s="15" t="s">
        <v>1480</v>
      </c>
    </row>
    <row r="26" spans="1:3" x14ac:dyDescent="0.4">
      <c r="A26" s="15" t="s">
        <v>514</v>
      </c>
      <c r="B26" s="15" t="s">
        <v>765</v>
      </c>
      <c r="C26" s="15" t="s">
        <v>1481</v>
      </c>
    </row>
    <row r="27" spans="1:3" x14ac:dyDescent="0.4">
      <c r="A27" s="15" t="s">
        <v>733</v>
      </c>
      <c r="B27" s="15" t="s">
        <v>766</v>
      </c>
      <c r="C27" s="16" t="s">
        <v>1482</v>
      </c>
    </row>
    <row r="28" spans="1:3" x14ac:dyDescent="0.4">
      <c r="A28" s="15" t="s">
        <v>515</v>
      </c>
      <c r="B28" s="15" t="s">
        <v>767</v>
      </c>
      <c r="C28" s="15" t="s">
        <v>1483</v>
      </c>
    </row>
    <row r="29" spans="1:3" x14ac:dyDescent="0.4">
      <c r="A29" s="15" t="s">
        <v>516</v>
      </c>
      <c r="B29" s="15" t="s">
        <v>768</v>
      </c>
      <c r="C29" s="16" t="s">
        <v>1484</v>
      </c>
    </row>
    <row r="30" spans="1:3" x14ac:dyDescent="0.4">
      <c r="A30" s="15" t="s">
        <v>708</v>
      </c>
      <c r="B30" s="15" t="s">
        <v>769</v>
      </c>
      <c r="C30" s="15" t="s">
        <v>1485</v>
      </c>
    </row>
    <row r="31" spans="1:3" x14ac:dyDescent="0.4">
      <c r="A31" s="15" t="s">
        <v>517</v>
      </c>
      <c r="B31" s="15" t="s">
        <v>770</v>
      </c>
      <c r="C31" s="16" t="s">
        <v>1486</v>
      </c>
    </row>
    <row r="32" spans="1:3" x14ac:dyDescent="0.4">
      <c r="A32" s="15" t="s">
        <v>518</v>
      </c>
      <c r="B32" s="15" t="s">
        <v>771</v>
      </c>
      <c r="C32" s="15" t="s">
        <v>1487</v>
      </c>
    </row>
    <row r="33" spans="1:3" x14ac:dyDescent="0.4">
      <c r="A33" s="15" t="s">
        <v>519</v>
      </c>
      <c r="B33" s="15" t="s">
        <v>772</v>
      </c>
      <c r="C33" s="15" t="s">
        <v>1488</v>
      </c>
    </row>
    <row r="34" spans="1:3" x14ac:dyDescent="0.4">
      <c r="A34" s="15" t="s">
        <v>520</v>
      </c>
      <c r="B34" s="15" t="s">
        <v>773</v>
      </c>
      <c r="C34" s="15" t="s">
        <v>1489</v>
      </c>
    </row>
    <row r="35" spans="1:3" x14ac:dyDescent="0.4">
      <c r="A35" s="15" t="s">
        <v>521</v>
      </c>
      <c r="B35" s="15" t="s">
        <v>774</v>
      </c>
      <c r="C35" s="16" t="s">
        <v>1490</v>
      </c>
    </row>
    <row r="36" spans="1:3" x14ac:dyDescent="0.4">
      <c r="A36" s="15" t="s">
        <v>522</v>
      </c>
      <c r="B36" s="15" t="s">
        <v>775</v>
      </c>
      <c r="C36" s="15" t="s">
        <v>1491</v>
      </c>
    </row>
    <row r="37" spans="1:3" x14ac:dyDescent="0.4">
      <c r="A37" s="15" t="s">
        <v>523</v>
      </c>
      <c r="B37" s="15" t="s">
        <v>776</v>
      </c>
      <c r="C37" s="15" t="s">
        <v>1492</v>
      </c>
    </row>
    <row r="38" spans="1:3" x14ac:dyDescent="0.4">
      <c r="A38" s="15" t="s">
        <v>524</v>
      </c>
      <c r="B38" s="15" t="s">
        <v>777</v>
      </c>
      <c r="C38" s="15" t="s">
        <v>1493</v>
      </c>
    </row>
    <row r="39" spans="1:3" x14ac:dyDescent="0.4">
      <c r="A39" s="15" t="s">
        <v>525</v>
      </c>
      <c r="B39" s="15" t="s">
        <v>778</v>
      </c>
      <c r="C39" s="15" t="s">
        <v>1494</v>
      </c>
    </row>
    <row r="40" spans="1:3" x14ac:dyDescent="0.4">
      <c r="A40" s="15" t="s">
        <v>526</v>
      </c>
      <c r="B40" s="15" t="s">
        <v>779</v>
      </c>
      <c r="C40" s="16" t="s">
        <v>1495</v>
      </c>
    </row>
    <row r="41" spans="1:3" x14ac:dyDescent="0.4">
      <c r="A41" s="15" t="s">
        <v>709</v>
      </c>
      <c r="B41" s="15" t="s">
        <v>780</v>
      </c>
      <c r="C41" s="16" t="s">
        <v>1496</v>
      </c>
    </row>
    <row r="42" spans="1:3" x14ac:dyDescent="0.4">
      <c r="A42" s="15" t="s">
        <v>527</v>
      </c>
      <c r="B42" s="15" t="s">
        <v>781</v>
      </c>
      <c r="C42" s="16" t="s">
        <v>1497</v>
      </c>
    </row>
    <row r="43" spans="1:3" x14ac:dyDescent="0.4">
      <c r="A43" s="15" t="s">
        <v>528</v>
      </c>
      <c r="B43" s="15" t="s">
        <v>782</v>
      </c>
      <c r="C43" s="15" t="s">
        <v>1498</v>
      </c>
    </row>
    <row r="44" spans="1:3" x14ac:dyDescent="0.4">
      <c r="A44" s="15" t="s">
        <v>529</v>
      </c>
      <c r="B44" s="15" t="s">
        <v>783</v>
      </c>
      <c r="C44" s="15" t="s">
        <v>1499</v>
      </c>
    </row>
    <row r="45" spans="1:3" x14ac:dyDescent="0.4">
      <c r="A45" s="15" t="s">
        <v>732</v>
      </c>
      <c r="B45" s="15" t="s">
        <v>784</v>
      </c>
      <c r="C45" s="16" t="s">
        <v>1500</v>
      </c>
    </row>
    <row r="46" spans="1:3" x14ac:dyDescent="0.4">
      <c r="A46" s="15" t="s">
        <v>530</v>
      </c>
      <c r="B46" s="15" t="s">
        <v>785</v>
      </c>
      <c r="C46" s="16" t="s">
        <v>1501</v>
      </c>
    </row>
    <row r="47" spans="1:3" x14ac:dyDescent="0.4">
      <c r="A47" s="15" t="s">
        <v>531</v>
      </c>
      <c r="B47" s="15" t="s">
        <v>786</v>
      </c>
      <c r="C47" s="15" t="s">
        <v>1502</v>
      </c>
    </row>
    <row r="48" spans="1:3" x14ac:dyDescent="0.4">
      <c r="A48" s="15" t="s">
        <v>532</v>
      </c>
      <c r="B48" s="15" t="s">
        <v>787</v>
      </c>
      <c r="C48" s="15" t="s">
        <v>1503</v>
      </c>
    </row>
    <row r="49" spans="1:3" x14ac:dyDescent="0.4">
      <c r="A49" s="15" t="s">
        <v>533</v>
      </c>
      <c r="B49" s="15" t="s">
        <v>788</v>
      </c>
      <c r="C49" s="15" t="s">
        <v>1504</v>
      </c>
    </row>
    <row r="50" spans="1:3" x14ac:dyDescent="0.4">
      <c r="A50" s="15" t="s">
        <v>534</v>
      </c>
      <c r="B50" s="15" t="s">
        <v>789</v>
      </c>
      <c r="C50" s="15" t="s">
        <v>1505</v>
      </c>
    </row>
    <row r="51" spans="1:3" x14ac:dyDescent="0.4">
      <c r="A51" s="15" t="s">
        <v>535</v>
      </c>
      <c r="B51" s="15" t="s">
        <v>790</v>
      </c>
      <c r="C51" s="16" t="s">
        <v>1506</v>
      </c>
    </row>
    <row r="52" spans="1:3" x14ac:dyDescent="0.4">
      <c r="A52" s="15" t="s">
        <v>536</v>
      </c>
      <c r="B52" s="15" t="s">
        <v>791</v>
      </c>
      <c r="C52" s="15" t="s">
        <v>1507</v>
      </c>
    </row>
    <row r="53" spans="1:3" x14ac:dyDescent="0.4">
      <c r="A53" s="15" t="s">
        <v>537</v>
      </c>
      <c r="B53" s="15" t="s">
        <v>792</v>
      </c>
      <c r="C53" s="16" t="s">
        <v>1508</v>
      </c>
    </row>
    <row r="54" spans="1:3" x14ac:dyDescent="0.4">
      <c r="A54" s="15" t="s">
        <v>538</v>
      </c>
      <c r="B54" s="15" t="s">
        <v>793</v>
      </c>
      <c r="C54" s="15" t="s">
        <v>1509</v>
      </c>
    </row>
    <row r="55" spans="1:3" x14ac:dyDescent="0.4">
      <c r="A55" s="15" t="s">
        <v>539</v>
      </c>
      <c r="B55" s="15" t="s">
        <v>794</v>
      </c>
      <c r="C55" s="16" t="s">
        <v>1510</v>
      </c>
    </row>
    <row r="56" spans="1:3" x14ac:dyDescent="0.4">
      <c r="A56" s="15" t="s">
        <v>540</v>
      </c>
      <c r="B56" s="15" t="s">
        <v>795</v>
      </c>
      <c r="C56" s="15" t="s">
        <v>1511</v>
      </c>
    </row>
    <row r="57" spans="1:3" x14ac:dyDescent="0.4">
      <c r="A57" s="15" t="s">
        <v>541</v>
      </c>
      <c r="B57" s="15" t="s">
        <v>796</v>
      </c>
      <c r="C57" s="15" t="s">
        <v>1512</v>
      </c>
    </row>
    <row r="58" spans="1:3" x14ac:dyDescent="0.4">
      <c r="A58" s="15" t="s">
        <v>542</v>
      </c>
      <c r="B58" s="15" t="s">
        <v>797</v>
      </c>
      <c r="C58" s="15" t="s">
        <v>1513</v>
      </c>
    </row>
    <row r="59" spans="1:3" x14ac:dyDescent="0.4">
      <c r="A59" s="15" t="s">
        <v>543</v>
      </c>
      <c r="B59" s="15" t="s">
        <v>798</v>
      </c>
      <c r="C59" s="15" t="s">
        <v>1514</v>
      </c>
    </row>
    <row r="60" spans="1:3" x14ac:dyDescent="0.4">
      <c r="A60" s="15" t="s">
        <v>544</v>
      </c>
      <c r="B60" s="15" t="s">
        <v>799</v>
      </c>
      <c r="C60" s="15" t="s">
        <v>1515</v>
      </c>
    </row>
    <row r="61" spans="1:3" x14ac:dyDescent="0.4">
      <c r="A61" s="15" t="s">
        <v>545</v>
      </c>
      <c r="B61" s="15" t="s">
        <v>800</v>
      </c>
      <c r="C61" s="15" t="s">
        <v>1516</v>
      </c>
    </row>
    <row r="62" spans="1:3" x14ac:dyDescent="0.4">
      <c r="A62" s="15" t="s">
        <v>546</v>
      </c>
      <c r="B62" s="15" t="s">
        <v>801</v>
      </c>
      <c r="C62" s="16" t="s">
        <v>1517</v>
      </c>
    </row>
    <row r="63" spans="1:3" x14ac:dyDescent="0.4">
      <c r="A63" s="15" t="s">
        <v>547</v>
      </c>
      <c r="B63" s="15" t="s">
        <v>802</v>
      </c>
      <c r="C63" s="15" t="s">
        <v>1518</v>
      </c>
    </row>
    <row r="64" spans="1:3" x14ac:dyDescent="0.4">
      <c r="A64" s="15" t="s">
        <v>548</v>
      </c>
      <c r="B64" s="15" t="s">
        <v>803</v>
      </c>
      <c r="C64" s="15" t="s">
        <v>1519</v>
      </c>
    </row>
    <row r="65" spans="1:3" x14ac:dyDescent="0.4">
      <c r="A65" s="15" t="s">
        <v>549</v>
      </c>
      <c r="B65" s="15" t="s">
        <v>804</v>
      </c>
      <c r="C65" s="15" t="s">
        <v>1520</v>
      </c>
    </row>
    <row r="66" spans="1:3" x14ac:dyDescent="0.4">
      <c r="A66" s="15" t="s">
        <v>21</v>
      </c>
      <c r="B66" s="15" t="s">
        <v>805</v>
      </c>
      <c r="C66" s="15" t="s">
        <v>1521</v>
      </c>
    </row>
    <row r="67" spans="1:3" x14ac:dyDescent="0.4">
      <c r="A67" s="15" t="s">
        <v>550</v>
      </c>
      <c r="B67" s="15" t="s">
        <v>806</v>
      </c>
      <c r="C67" s="16" t="s">
        <v>1522</v>
      </c>
    </row>
    <row r="68" spans="1:3" x14ac:dyDescent="0.4">
      <c r="A68" s="15" t="s">
        <v>551</v>
      </c>
      <c r="B68" s="15" t="s">
        <v>807</v>
      </c>
      <c r="C68" s="15" t="s">
        <v>1523</v>
      </c>
    </row>
    <row r="69" spans="1:3" x14ac:dyDescent="0.4">
      <c r="A69" s="15" t="s">
        <v>552</v>
      </c>
      <c r="B69" s="15" t="s">
        <v>808</v>
      </c>
      <c r="C69" s="15" t="s">
        <v>1524</v>
      </c>
    </row>
    <row r="70" spans="1:3" x14ac:dyDescent="0.4">
      <c r="A70" s="15" t="s">
        <v>553</v>
      </c>
      <c r="B70" s="15" t="s">
        <v>809</v>
      </c>
      <c r="C70" s="15" t="s">
        <v>1525</v>
      </c>
    </row>
    <row r="71" spans="1:3" x14ac:dyDescent="0.4">
      <c r="A71" s="15" t="s">
        <v>554</v>
      </c>
      <c r="B71" s="15" t="s">
        <v>810</v>
      </c>
      <c r="C71" s="15" t="s">
        <v>1526</v>
      </c>
    </row>
    <row r="72" spans="1:3" x14ac:dyDescent="0.4">
      <c r="A72" s="15" t="s">
        <v>555</v>
      </c>
      <c r="B72" s="15" t="s">
        <v>811</v>
      </c>
      <c r="C72" s="15" t="s">
        <v>1527</v>
      </c>
    </row>
    <row r="73" spans="1:3" x14ac:dyDescent="0.4">
      <c r="A73" s="15" t="s">
        <v>710</v>
      </c>
      <c r="B73" s="15" t="s">
        <v>812</v>
      </c>
      <c r="C73" s="16" t="s">
        <v>1528</v>
      </c>
    </row>
    <row r="74" spans="1:3" x14ac:dyDescent="0.4">
      <c r="A74" s="15" t="s">
        <v>711</v>
      </c>
      <c r="B74" s="15" t="s">
        <v>813</v>
      </c>
      <c r="C74" s="15" t="s">
        <v>1529</v>
      </c>
    </row>
    <row r="75" spans="1:3" x14ac:dyDescent="0.4">
      <c r="A75" s="15" t="s">
        <v>556</v>
      </c>
      <c r="B75" s="15" t="s">
        <v>814</v>
      </c>
      <c r="C75" s="16" t="s">
        <v>1530</v>
      </c>
    </row>
    <row r="76" spans="1:3" x14ac:dyDescent="0.4">
      <c r="A76" s="15" t="s">
        <v>557</v>
      </c>
      <c r="B76" s="15" t="s">
        <v>815</v>
      </c>
      <c r="C76" s="15" t="s">
        <v>1444</v>
      </c>
    </row>
    <row r="77" spans="1:3" x14ac:dyDescent="0.4">
      <c r="A77" s="15" t="s">
        <v>558</v>
      </c>
      <c r="B77" s="15" t="s">
        <v>816</v>
      </c>
      <c r="C77" s="15" t="s">
        <v>1531</v>
      </c>
    </row>
    <row r="78" spans="1:3" x14ac:dyDescent="0.4">
      <c r="A78" s="15" t="s">
        <v>735</v>
      </c>
      <c r="B78" s="15" t="s">
        <v>817</v>
      </c>
      <c r="C78" s="16" t="s">
        <v>1442</v>
      </c>
    </row>
    <row r="79" spans="1:3" x14ac:dyDescent="0.4">
      <c r="A79" s="15" t="s">
        <v>559</v>
      </c>
      <c r="B79" s="15" t="s">
        <v>818</v>
      </c>
      <c r="C79" s="15" t="s">
        <v>1532</v>
      </c>
    </row>
    <row r="80" spans="1:3" x14ac:dyDescent="0.4">
      <c r="A80" s="15" t="s">
        <v>560</v>
      </c>
      <c r="B80" s="15" t="s">
        <v>819</v>
      </c>
      <c r="C80" s="15" t="s">
        <v>1533</v>
      </c>
    </row>
    <row r="81" spans="1:3" x14ac:dyDescent="0.4">
      <c r="A81" s="15" t="s">
        <v>561</v>
      </c>
      <c r="B81" s="15" t="s">
        <v>820</v>
      </c>
      <c r="C81" s="16" t="s">
        <v>1534</v>
      </c>
    </row>
    <row r="82" spans="1:3" x14ac:dyDescent="0.4">
      <c r="A82" s="15" t="s">
        <v>562</v>
      </c>
      <c r="B82" s="15" t="s">
        <v>821</v>
      </c>
      <c r="C82" s="15" t="s">
        <v>1535</v>
      </c>
    </row>
    <row r="83" spans="1:3" x14ac:dyDescent="0.4">
      <c r="A83" s="15" t="s">
        <v>563</v>
      </c>
      <c r="B83" s="15" t="s">
        <v>822</v>
      </c>
      <c r="C83" s="15" t="s">
        <v>1536</v>
      </c>
    </row>
    <row r="84" spans="1:3" x14ac:dyDescent="0.4">
      <c r="A84" s="15" t="s">
        <v>564</v>
      </c>
      <c r="B84" s="15" t="s">
        <v>823</v>
      </c>
      <c r="C84" s="15" t="s">
        <v>1537</v>
      </c>
    </row>
    <row r="85" spans="1:3" x14ac:dyDescent="0.4">
      <c r="A85" s="15" t="s">
        <v>565</v>
      </c>
      <c r="B85" s="15" t="s">
        <v>824</v>
      </c>
      <c r="C85" s="15" t="s">
        <v>1538</v>
      </c>
    </row>
    <row r="86" spans="1:3" x14ac:dyDescent="0.4">
      <c r="A86" s="15" t="s">
        <v>566</v>
      </c>
      <c r="B86" s="15" t="s">
        <v>825</v>
      </c>
      <c r="C86" s="15" t="s">
        <v>1539</v>
      </c>
    </row>
    <row r="87" spans="1:3" x14ac:dyDescent="0.4">
      <c r="A87" s="15" t="s">
        <v>567</v>
      </c>
      <c r="B87" s="15" t="s">
        <v>826</v>
      </c>
      <c r="C87" s="15" t="s">
        <v>1540</v>
      </c>
    </row>
    <row r="88" spans="1:3" x14ac:dyDescent="0.4">
      <c r="A88" s="15" t="s">
        <v>568</v>
      </c>
      <c r="B88" s="15" t="s">
        <v>827</v>
      </c>
      <c r="C88" s="15" t="s">
        <v>1541</v>
      </c>
    </row>
    <row r="89" spans="1:3" x14ac:dyDescent="0.4">
      <c r="A89" s="15" t="s">
        <v>569</v>
      </c>
      <c r="B89" s="15" t="s">
        <v>828</v>
      </c>
      <c r="C89" s="16" t="s">
        <v>1542</v>
      </c>
    </row>
    <row r="90" spans="1:3" x14ac:dyDescent="0.4">
      <c r="A90" s="15" t="s">
        <v>570</v>
      </c>
      <c r="B90" s="15" t="s">
        <v>829</v>
      </c>
      <c r="C90" s="15" t="s">
        <v>1543</v>
      </c>
    </row>
    <row r="91" spans="1:3" x14ac:dyDescent="0.4">
      <c r="A91" s="15" t="s">
        <v>571</v>
      </c>
      <c r="B91" s="15" t="s">
        <v>830</v>
      </c>
      <c r="C91" s="16" t="s">
        <v>1544</v>
      </c>
    </row>
    <row r="92" spans="1:3" x14ac:dyDescent="0.4">
      <c r="A92" s="15" t="s">
        <v>572</v>
      </c>
      <c r="B92" s="15" t="s">
        <v>831</v>
      </c>
      <c r="C92" s="15" t="s">
        <v>1545</v>
      </c>
    </row>
    <row r="93" spans="1:3" x14ac:dyDescent="0.4">
      <c r="A93" s="15" t="s">
        <v>573</v>
      </c>
      <c r="B93" s="15" t="s">
        <v>832</v>
      </c>
      <c r="C93" s="15" t="s">
        <v>1546</v>
      </c>
    </row>
    <row r="94" spans="1:3" x14ac:dyDescent="0.4">
      <c r="A94" s="15" t="s">
        <v>574</v>
      </c>
      <c r="B94" s="15" t="s">
        <v>833</v>
      </c>
      <c r="C94" s="15" t="s">
        <v>1547</v>
      </c>
    </row>
    <row r="95" spans="1:3" x14ac:dyDescent="0.4">
      <c r="A95" s="15" t="s">
        <v>575</v>
      </c>
      <c r="B95" s="15" t="s">
        <v>834</v>
      </c>
      <c r="C95" s="15" t="s">
        <v>1548</v>
      </c>
    </row>
    <row r="96" spans="1:3" x14ac:dyDescent="0.4">
      <c r="A96" s="15" t="s">
        <v>576</v>
      </c>
      <c r="B96" s="15" t="s">
        <v>835</v>
      </c>
      <c r="C96" s="16" t="s">
        <v>1549</v>
      </c>
    </row>
    <row r="97" spans="1:3" x14ac:dyDescent="0.4">
      <c r="A97" s="15" t="s">
        <v>577</v>
      </c>
      <c r="B97" s="15" t="s">
        <v>836</v>
      </c>
      <c r="C97" s="16" t="s">
        <v>1550</v>
      </c>
    </row>
    <row r="98" spans="1:3" x14ac:dyDescent="0.4">
      <c r="A98" s="15" t="s">
        <v>578</v>
      </c>
      <c r="B98" s="15" t="s">
        <v>837</v>
      </c>
      <c r="C98" s="15" t="s">
        <v>1551</v>
      </c>
    </row>
    <row r="99" spans="1:3" x14ac:dyDescent="0.4">
      <c r="A99" s="15" t="s">
        <v>579</v>
      </c>
      <c r="B99" s="15" t="s">
        <v>838</v>
      </c>
      <c r="C99" s="15" t="s">
        <v>1552</v>
      </c>
    </row>
    <row r="100" spans="1:3" x14ac:dyDescent="0.4">
      <c r="A100" s="15" t="s">
        <v>580</v>
      </c>
      <c r="B100" s="15" t="s">
        <v>839</v>
      </c>
      <c r="C100" s="15" t="s">
        <v>1553</v>
      </c>
    </row>
    <row r="101" spans="1:3" x14ac:dyDescent="0.4">
      <c r="A101" s="15" t="s">
        <v>581</v>
      </c>
      <c r="B101" s="15" t="s">
        <v>840</v>
      </c>
      <c r="C101" s="15" t="s">
        <v>1554</v>
      </c>
    </row>
    <row r="102" spans="1:3" x14ac:dyDescent="0.4">
      <c r="A102" s="15" t="s">
        <v>582</v>
      </c>
      <c r="B102" s="15" t="s">
        <v>452</v>
      </c>
      <c r="C102" s="15" t="s">
        <v>1555</v>
      </c>
    </row>
    <row r="103" spans="1:3" x14ac:dyDescent="0.4">
      <c r="A103" s="15" t="s">
        <v>583</v>
      </c>
      <c r="B103" s="15" t="s">
        <v>841</v>
      </c>
      <c r="C103" s="15" t="s">
        <v>1556</v>
      </c>
    </row>
    <row r="104" spans="1:3" x14ac:dyDescent="0.4">
      <c r="A104" s="15" t="s">
        <v>584</v>
      </c>
      <c r="B104" s="15" t="s">
        <v>842</v>
      </c>
      <c r="C104" s="15" t="s">
        <v>1557</v>
      </c>
    </row>
    <row r="105" spans="1:3" x14ac:dyDescent="0.4">
      <c r="A105" s="15" t="s">
        <v>585</v>
      </c>
      <c r="B105" s="15" t="s">
        <v>843</v>
      </c>
      <c r="C105" s="16" t="s">
        <v>1558</v>
      </c>
    </row>
    <row r="106" spans="1:3" x14ac:dyDescent="0.4">
      <c r="A106" s="15" t="s">
        <v>2</v>
      </c>
      <c r="B106" s="15" t="s">
        <v>844</v>
      </c>
      <c r="C106" s="15" t="s">
        <v>1559</v>
      </c>
    </row>
    <row r="107" spans="1:3" x14ac:dyDescent="0.4">
      <c r="A107" s="15" t="s">
        <v>586</v>
      </c>
      <c r="B107" s="15" t="s">
        <v>845</v>
      </c>
      <c r="C107" s="16" t="s">
        <v>1560</v>
      </c>
    </row>
    <row r="108" spans="1:3" x14ac:dyDescent="0.4">
      <c r="A108" s="15" t="s">
        <v>587</v>
      </c>
      <c r="B108" s="15" t="s">
        <v>846</v>
      </c>
      <c r="C108" s="15" t="s">
        <v>1561</v>
      </c>
    </row>
    <row r="109" spans="1:3" x14ac:dyDescent="0.4">
      <c r="A109" s="15" t="s">
        <v>712</v>
      </c>
      <c r="B109" s="15" t="s">
        <v>847</v>
      </c>
      <c r="C109" s="15" t="s">
        <v>1562</v>
      </c>
    </row>
    <row r="110" spans="1:3" x14ac:dyDescent="0.4">
      <c r="A110" s="15" t="s">
        <v>588</v>
      </c>
      <c r="B110" s="15" t="s">
        <v>848</v>
      </c>
      <c r="C110" s="15" t="s">
        <v>1563</v>
      </c>
    </row>
    <row r="111" spans="1:3" x14ac:dyDescent="0.4">
      <c r="A111" s="15" t="s">
        <v>11</v>
      </c>
      <c r="B111" s="15" t="s">
        <v>849</v>
      </c>
      <c r="C111" s="15" t="s">
        <v>1443</v>
      </c>
    </row>
    <row r="112" spans="1:3" x14ac:dyDescent="0.4">
      <c r="A112" s="15" t="s">
        <v>589</v>
      </c>
      <c r="B112" s="15" t="s">
        <v>850</v>
      </c>
      <c r="C112" s="15" t="s">
        <v>1564</v>
      </c>
    </row>
    <row r="113" spans="1:3" x14ac:dyDescent="0.4">
      <c r="A113" s="15" t="s">
        <v>590</v>
      </c>
      <c r="B113" s="15" t="s">
        <v>851</v>
      </c>
      <c r="C113" s="15" t="s">
        <v>1565</v>
      </c>
    </row>
    <row r="114" spans="1:3" x14ac:dyDescent="0.4">
      <c r="A114" s="15" t="s">
        <v>591</v>
      </c>
      <c r="B114" s="15" t="s">
        <v>852</v>
      </c>
      <c r="C114" s="15" t="s">
        <v>1566</v>
      </c>
    </row>
    <row r="115" spans="1:3" x14ac:dyDescent="0.4">
      <c r="A115" s="15" t="s">
        <v>592</v>
      </c>
      <c r="B115" s="15" t="s">
        <v>853</v>
      </c>
      <c r="C115" s="15" t="s">
        <v>1567</v>
      </c>
    </row>
    <row r="116" spans="1:3" x14ac:dyDescent="0.4">
      <c r="A116" s="15" t="s">
        <v>593</v>
      </c>
      <c r="B116" s="15" t="s">
        <v>854</v>
      </c>
      <c r="C116" s="15" t="s">
        <v>1568</v>
      </c>
    </row>
    <row r="117" spans="1:3" x14ac:dyDescent="0.4">
      <c r="A117" s="15" t="s">
        <v>594</v>
      </c>
      <c r="B117" s="15" t="s">
        <v>855</v>
      </c>
      <c r="C117" s="15" t="s">
        <v>1569</v>
      </c>
    </row>
    <row r="118" spans="1:3" x14ac:dyDescent="0.4">
      <c r="A118" s="15" t="s">
        <v>595</v>
      </c>
      <c r="B118" s="15" t="s">
        <v>856</v>
      </c>
      <c r="C118" s="15" t="s">
        <v>1570</v>
      </c>
    </row>
    <row r="119" spans="1:3" x14ac:dyDescent="0.4">
      <c r="A119" s="15" t="s">
        <v>596</v>
      </c>
      <c r="B119" s="15" t="s">
        <v>857</v>
      </c>
      <c r="C119" s="15" t="s">
        <v>1571</v>
      </c>
    </row>
    <row r="120" spans="1:3" x14ac:dyDescent="0.4">
      <c r="A120" s="15" t="s">
        <v>597</v>
      </c>
      <c r="B120" s="15" t="s">
        <v>858</v>
      </c>
      <c r="C120" s="15" t="s">
        <v>1572</v>
      </c>
    </row>
    <row r="121" spans="1:3" x14ac:dyDescent="0.4">
      <c r="A121" s="15" t="s">
        <v>598</v>
      </c>
      <c r="B121" s="15" t="s">
        <v>859</v>
      </c>
      <c r="C121" s="16" t="s">
        <v>1573</v>
      </c>
    </row>
    <row r="122" spans="1:3" x14ac:dyDescent="0.4">
      <c r="A122" s="15" t="s">
        <v>713</v>
      </c>
      <c r="B122" s="15" t="s">
        <v>860</v>
      </c>
      <c r="C122" s="16" t="s">
        <v>1574</v>
      </c>
    </row>
    <row r="123" spans="1:3" x14ac:dyDescent="0.4">
      <c r="A123" s="15" t="s">
        <v>719</v>
      </c>
      <c r="B123" s="15" t="s">
        <v>861</v>
      </c>
      <c r="C123" s="16" t="s">
        <v>1575</v>
      </c>
    </row>
    <row r="124" spans="1:3" x14ac:dyDescent="0.4">
      <c r="A124" s="15" t="s">
        <v>599</v>
      </c>
      <c r="B124" s="15" t="s">
        <v>862</v>
      </c>
      <c r="C124" s="15" t="s">
        <v>1576</v>
      </c>
    </row>
    <row r="125" spans="1:3" x14ac:dyDescent="0.4">
      <c r="A125" s="15" t="s">
        <v>600</v>
      </c>
      <c r="B125" s="15" t="s">
        <v>863</v>
      </c>
      <c r="C125" s="16" t="s">
        <v>1577</v>
      </c>
    </row>
    <row r="126" spans="1:3" x14ac:dyDescent="0.4">
      <c r="A126" s="15" t="s">
        <v>601</v>
      </c>
      <c r="B126" s="15" t="s">
        <v>864</v>
      </c>
      <c r="C126" s="15" t="s">
        <v>1578</v>
      </c>
    </row>
    <row r="127" spans="1:3" x14ac:dyDescent="0.4">
      <c r="A127" s="15" t="s">
        <v>736</v>
      </c>
      <c r="B127" s="15" t="s">
        <v>865</v>
      </c>
      <c r="C127" s="15" t="s">
        <v>1579</v>
      </c>
    </row>
    <row r="128" spans="1:3" x14ac:dyDescent="0.4">
      <c r="A128" s="15" t="s">
        <v>483</v>
      </c>
      <c r="B128" s="15" t="s">
        <v>866</v>
      </c>
      <c r="C128" s="15" t="s">
        <v>1580</v>
      </c>
    </row>
    <row r="129" spans="1:3" x14ac:dyDescent="0.4">
      <c r="A129" s="15" t="s">
        <v>602</v>
      </c>
      <c r="B129" s="15" t="s">
        <v>867</v>
      </c>
      <c r="C129" s="16" t="s">
        <v>1581</v>
      </c>
    </row>
    <row r="130" spans="1:3" x14ac:dyDescent="0.4">
      <c r="A130" s="15" t="s">
        <v>603</v>
      </c>
      <c r="B130" s="15" t="s">
        <v>868</v>
      </c>
      <c r="C130" s="15" t="s">
        <v>1582</v>
      </c>
    </row>
    <row r="131" spans="1:3" x14ac:dyDescent="0.4">
      <c r="A131" s="15" t="s">
        <v>604</v>
      </c>
      <c r="B131" s="15" t="s">
        <v>869</v>
      </c>
      <c r="C131" s="16" t="s">
        <v>1583</v>
      </c>
    </row>
    <row r="132" spans="1:3" x14ac:dyDescent="0.4">
      <c r="A132" s="15" t="s">
        <v>605</v>
      </c>
      <c r="B132" s="15" t="s">
        <v>870</v>
      </c>
      <c r="C132" s="15" t="s">
        <v>1584</v>
      </c>
    </row>
    <row r="133" spans="1:3" x14ac:dyDescent="0.4">
      <c r="A133" s="15" t="s">
        <v>606</v>
      </c>
      <c r="B133" s="15" t="s">
        <v>871</v>
      </c>
      <c r="C133" s="15" t="s">
        <v>1585</v>
      </c>
    </row>
    <row r="134" spans="1:3" x14ac:dyDescent="0.4">
      <c r="A134" s="15" t="s">
        <v>607</v>
      </c>
      <c r="B134" s="15" t="s">
        <v>872</v>
      </c>
      <c r="C134" s="15" t="s">
        <v>1586</v>
      </c>
    </row>
    <row r="135" spans="1:3" x14ac:dyDescent="0.4">
      <c r="A135" s="15" t="s">
        <v>608</v>
      </c>
      <c r="B135" s="15" t="s">
        <v>873</v>
      </c>
      <c r="C135" s="15" t="s">
        <v>1587</v>
      </c>
    </row>
    <row r="136" spans="1:3" x14ac:dyDescent="0.4">
      <c r="A136" s="15" t="s">
        <v>609</v>
      </c>
      <c r="B136" s="15" t="s">
        <v>874</v>
      </c>
      <c r="C136" s="15" t="s">
        <v>1588</v>
      </c>
    </row>
    <row r="137" spans="1:3" x14ac:dyDescent="0.4">
      <c r="A137" s="15" t="s">
        <v>610</v>
      </c>
      <c r="B137" s="15" t="s">
        <v>875</v>
      </c>
      <c r="C137" s="15" t="s">
        <v>1589</v>
      </c>
    </row>
    <row r="138" spans="1:3" x14ac:dyDescent="0.4">
      <c r="A138" s="15" t="s">
        <v>611</v>
      </c>
      <c r="B138" s="15" t="s">
        <v>876</v>
      </c>
      <c r="C138" s="15" t="s">
        <v>1590</v>
      </c>
    </row>
    <row r="139" spans="1:3" x14ac:dyDescent="0.4">
      <c r="A139" s="15" t="s">
        <v>612</v>
      </c>
      <c r="B139" s="15" t="s">
        <v>877</v>
      </c>
      <c r="C139" s="15" t="s">
        <v>1591</v>
      </c>
    </row>
    <row r="140" spans="1:3" x14ac:dyDescent="0.4">
      <c r="A140" s="15" t="s">
        <v>720</v>
      </c>
      <c r="B140" s="15" t="s">
        <v>878</v>
      </c>
      <c r="C140" s="15" t="s">
        <v>1592</v>
      </c>
    </row>
    <row r="141" spans="1:3" x14ac:dyDescent="0.4">
      <c r="A141" s="15" t="s">
        <v>613</v>
      </c>
      <c r="B141" s="15" t="s">
        <v>879</v>
      </c>
      <c r="C141" s="15" t="s">
        <v>1593</v>
      </c>
    </row>
    <row r="142" spans="1:3" x14ac:dyDescent="0.4">
      <c r="A142" s="15" t="s">
        <v>714</v>
      </c>
      <c r="B142" s="15" t="s">
        <v>880</v>
      </c>
      <c r="C142" s="16" t="s">
        <v>1594</v>
      </c>
    </row>
    <row r="143" spans="1:3" x14ac:dyDescent="0.4">
      <c r="A143" s="15" t="s">
        <v>614</v>
      </c>
      <c r="B143" s="15" t="s">
        <v>881</v>
      </c>
      <c r="C143" s="15" t="s">
        <v>1595</v>
      </c>
    </row>
    <row r="144" spans="1:3" x14ac:dyDescent="0.4">
      <c r="A144" s="15" t="s">
        <v>615</v>
      </c>
      <c r="B144" s="15" t="s">
        <v>882</v>
      </c>
      <c r="C144" s="16" t="s">
        <v>1596</v>
      </c>
    </row>
    <row r="145" spans="1:3" x14ac:dyDescent="0.4">
      <c r="A145" s="15" t="s">
        <v>616</v>
      </c>
      <c r="B145" s="15" t="s">
        <v>883</v>
      </c>
      <c r="C145" s="16" t="s">
        <v>1597</v>
      </c>
    </row>
    <row r="146" spans="1:3" x14ac:dyDescent="0.4">
      <c r="A146" s="15" t="s">
        <v>617</v>
      </c>
      <c r="B146" s="15" t="s">
        <v>884</v>
      </c>
      <c r="C146" s="15" t="s">
        <v>1598</v>
      </c>
    </row>
    <row r="147" spans="1:3" x14ac:dyDescent="0.4">
      <c r="A147" s="15" t="s">
        <v>618</v>
      </c>
      <c r="B147" s="15" t="s">
        <v>885</v>
      </c>
      <c r="C147" s="15" t="s">
        <v>1599</v>
      </c>
    </row>
    <row r="148" spans="1:3" x14ac:dyDescent="0.4">
      <c r="A148" s="15" t="s">
        <v>619</v>
      </c>
      <c r="B148" s="15" t="s">
        <v>886</v>
      </c>
      <c r="C148" s="15" t="s">
        <v>1600</v>
      </c>
    </row>
    <row r="149" spans="1:3" x14ac:dyDescent="0.4">
      <c r="A149" s="15" t="s">
        <v>620</v>
      </c>
      <c r="B149" s="15" t="s">
        <v>887</v>
      </c>
      <c r="C149" s="15" t="s">
        <v>1601</v>
      </c>
    </row>
    <row r="150" spans="1:3" x14ac:dyDescent="0.4">
      <c r="A150" s="15" t="s">
        <v>622</v>
      </c>
      <c r="B150" s="15" t="s">
        <v>888</v>
      </c>
      <c r="C150" s="16" t="s">
        <v>1602</v>
      </c>
    </row>
    <row r="151" spans="1:3" x14ac:dyDescent="0.4">
      <c r="A151" s="15" t="s">
        <v>623</v>
      </c>
      <c r="B151" s="15" t="s">
        <v>889</v>
      </c>
      <c r="C151" s="15" t="s">
        <v>1603</v>
      </c>
    </row>
    <row r="152" spans="1:3" x14ac:dyDescent="0.4">
      <c r="A152" s="15" t="s">
        <v>624</v>
      </c>
      <c r="B152" s="15" t="s">
        <v>890</v>
      </c>
      <c r="C152" s="15" t="s">
        <v>1604</v>
      </c>
    </row>
    <row r="153" spans="1:3" x14ac:dyDescent="0.4">
      <c r="A153" s="15" t="s">
        <v>625</v>
      </c>
      <c r="B153" s="15" t="s">
        <v>891</v>
      </c>
      <c r="C153" s="15" t="s">
        <v>1605</v>
      </c>
    </row>
    <row r="154" spans="1:3" x14ac:dyDescent="0.4">
      <c r="A154" s="15" t="s">
        <v>626</v>
      </c>
      <c r="B154" s="15" t="s">
        <v>892</v>
      </c>
      <c r="C154" s="15" t="s">
        <v>1606</v>
      </c>
    </row>
    <row r="155" spans="1:3" x14ac:dyDescent="0.4">
      <c r="A155" s="15" t="s">
        <v>627</v>
      </c>
      <c r="B155" s="15" t="s">
        <v>893</v>
      </c>
      <c r="C155" s="15" t="s">
        <v>1607</v>
      </c>
    </row>
    <row r="156" spans="1:3" x14ac:dyDescent="0.4">
      <c r="A156" s="15" t="s">
        <v>628</v>
      </c>
      <c r="B156" s="15" t="s">
        <v>894</v>
      </c>
      <c r="C156" s="15" t="s">
        <v>1608</v>
      </c>
    </row>
    <row r="157" spans="1:3" x14ac:dyDescent="0.4">
      <c r="A157" s="15" t="s">
        <v>629</v>
      </c>
      <c r="B157" s="15" t="s">
        <v>895</v>
      </c>
      <c r="C157" s="15" t="s">
        <v>1609</v>
      </c>
    </row>
    <row r="158" spans="1:3" x14ac:dyDescent="0.4">
      <c r="A158" s="15" t="s">
        <v>630</v>
      </c>
      <c r="B158" s="15" t="s">
        <v>896</v>
      </c>
      <c r="C158" s="15" t="s">
        <v>1610</v>
      </c>
    </row>
    <row r="159" spans="1:3" x14ac:dyDescent="0.4">
      <c r="A159" s="15" t="s">
        <v>631</v>
      </c>
      <c r="B159" s="15" t="s">
        <v>897</v>
      </c>
      <c r="C159" s="15" t="s">
        <v>1611</v>
      </c>
    </row>
    <row r="160" spans="1:3" x14ac:dyDescent="0.4">
      <c r="A160" s="15" t="s">
        <v>632</v>
      </c>
      <c r="B160" s="15" t="s">
        <v>898</v>
      </c>
      <c r="C160" s="15" t="s">
        <v>1612</v>
      </c>
    </row>
    <row r="161" spans="1:3" x14ac:dyDescent="0.4">
      <c r="A161" s="15" t="s">
        <v>633</v>
      </c>
      <c r="B161" s="15" t="s">
        <v>899</v>
      </c>
      <c r="C161" s="15" t="s">
        <v>1613</v>
      </c>
    </row>
    <row r="162" spans="1:3" x14ac:dyDescent="0.4">
      <c r="A162" s="15" t="s">
        <v>634</v>
      </c>
      <c r="B162" s="15" t="s">
        <v>900</v>
      </c>
      <c r="C162" s="16" t="s">
        <v>1614</v>
      </c>
    </row>
    <row r="163" spans="1:3" x14ac:dyDescent="0.4">
      <c r="A163" s="15" t="s">
        <v>635</v>
      </c>
      <c r="B163" s="15" t="s">
        <v>901</v>
      </c>
      <c r="C163" s="15" t="s">
        <v>1615</v>
      </c>
    </row>
    <row r="164" spans="1:3" x14ac:dyDescent="0.4">
      <c r="A164" s="15" t="s">
        <v>636</v>
      </c>
      <c r="B164" s="15" t="s">
        <v>902</v>
      </c>
      <c r="C164" s="16" t="s">
        <v>1616</v>
      </c>
    </row>
    <row r="165" spans="1:3" x14ac:dyDescent="0.4">
      <c r="A165" s="15" t="s">
        <v>637</v>
      </c>
      <c r="B165" s="15" t="s">
        <v>903</v>
      </c>
      <c r="C165" s="15" t="s">
        <v>1617</v>
      </c>
    </row>
    <row r="166" spans="1:3" x14ac:dyDescent="0.4">
      <c r="A166" s="15" t="s">
        <v>638</v>
      </c>
      <c r="B166" s="15" t="s">
        <v>904</v>
      </c>
      <c r="C166" s="15" t="s">
        <v>1618</v>
      </c>
    </row>
    <row r="167" spans="1:3" x14ac:dyDescent="0.4">
      <c r="A167" s="15" t="s">
        <v>721</v>
      </c>
      <c r="B167" s="15" t="s">
        <v>905</v>
      </c>
      <c r="C167" s="15" t="s">
        <v>1619</v>
      </c>
    </row>
    <row r="168" spans="1:3" x14ac:dyDescent="0.4">
      <c r="A168" s="15" t="s">
        <v>639</v>
      </c>
      <c r="B168" s="15" t="s">
        <v>906</v>
      </c>
      <c r="C168" s="15" t="s">
        <v>1620</v>
      </c>
    </row>
    <row r="169" spans="1:3" x14ac:dyDescent="0.4">
      <c r="A169" s="15" t="s">
        <v>640</v>
      </c>
      <c r="B169" s="15" t="s">
        <v>907</v>
      </c>
      <c r="C169" s="15" t="s">
        <v>1621</v>
      </c>
    </row>
    <row r="170" spans="1:3" x14ac:dyDescent="0.4">
      <c r="A170" s="15" t="s">
        <v>641</v>
      </c>
      <c r="B170" s="15" t="s">
        <v>908</v>
      </c>
      <c r="C170" s="15" t="s">
        <v>1622</v>
      </c>
    </row>
    <row r="171" spans="1:3" x14ac:dyDescent="0.4">
      <c r="A171" s="15" t="s">
        <v>642</v>
      </c>
      <c r="B171" s="15" t="s">
        <v>909</v>
      </c>
      <c r="C171" s="15" t="s">
        <v>1623</v>
      </c>
    </row>
    <row r="172" spans="1:3" x14ac:dyDescent="0.4">
      <c r="A172" s="15" t="s">
        <v>643</v>
      </c>
      <c r="B172" s="15" t="s">
        <v>910</v>
      </c>
      <c r="C172" s="16" t="s">
        <v>1624</v>
      </c>
    </row>
    <row r="173" spans="1:3" x14ac:dyDescent="0.4">
      <c r="A173" s="15" t="s">
        <v>644</v>
      </c>
      <c r="B173" s="15" t="s">
        <v>911</v>
      </c>
      <c r="C173" s="15" t="s">
        <v>1625</v>
      </c>
    </row>
    <row r="174" spans="1:3" x14ac:dyDescent="0.4">
      <c r="A174" s="15" t="s">
        <v>645</v>
      </c>
      <c r="B174" s="15" t="s">
        <v>912</v>
      </c>
      <c r="C174" s="15" t="s">
        <v>1626</v>
      </c>
    </row>
    <row r="175" spans="1:3" x14ac:dyDescent="0.4">
      <c r="A175" s="15" t="s">
        <v>646</v>
      </c>
      <c r="B175" s="15" t="s">
        <v>913</v>
      </c>
      <c r="C175" s="15" t="s">
        <v>1627</v>
      </c>
    </row>
    <row r="176" spans="1:3" x14ac:dyDescent="0.4">
      <c r="A176" s="15" t="s">
        <v>647</v>
      </c>
      <c r="B176" s="15" t="s">
        <v>914</v>
      </c>
      <c r="C176" s="16" t="s">
        <v>1628</v>
      </c>
    </row>
    <row r="177" spans="1:3" x14ac:dyDescent="0.4">
      <c r="A177" s="15" t="s">
        <v>648</v>
      </c>
      <c r="B177" s="15" t="s">
        <v>915</v>
      </c>
      <c r="C177" s="16" t="s">
        <v>1629</v>
      </c>
    </row>
    <row r="178" spans="1:3" x14ac:dyDescent="0.4">
      <c r="A178" s="15" t="s">
        <v>649</v>
      </c>
      <c r="B178" s="15" t="s">
        <v>916</v>
      </c>
      <c r="C178" s="15" t="s">
        <v>1630</v>
      </c>
    </row>
    <row r="179" spans="1:3" x14ac:dyDescent="0.4">
      <c r="A179" s="15" t="s">
        <v>650</v>
      </c>
      <c r="B179" s="15" t="s">
        <v>917</v>
      </c>
      <c r="C179" s="15" t="s">
        <v>1631</v>
      </c>
    </row>
    <row r="180" spans="1:3" x14ac:dyDescent="0.4">
      <c r="A180" s="15" t="s">
        <v>651</v>
      </c>
      <c r="B180" s="15" t="s">
        <v>918</v>
      </c>
      <c r="C180" s="15" t="s">
        <v>1446</v>
      </c>
    </row>
    <row r="181" spans="1:3" x14ac:dyDescent="0.4">
      <c r="A181" s="15" t="s">
        <v>652</v>
      </c>
      <c r="B181" s="15" t="s">
        <v>919</v>
      </c>
      <c r="C181" s="16" t="s">
        <v>1632</v>
      </c>
    </row>
    <row r="182" spans="1:3" x14ac:dyDescent="0.4">
      <c r="A182" s="15" t="s">
        <v>653</v>
      </c>
      <c r="B182" s="15" t="s">
        <v>920</v>
      </c>
      <c r="C182" s="15" t="s">
        <v>1633</v>
      </c>
    </row>
    <row r="183" spans="1:3" x14ac:dyDescent="0.4">
      <c r="A183" s="15" t="s">
        <v>654</v>
      </c>
      <c r="B183" s="15" t="s">
        <v>921</v>
      </c>
      <c r="C183" s="16" t="s">
        <v>1634</v>
      </c>
    </row>
    <row r="184" spans="1:3" x14ac:dyDescent="0.4">
      <c r="A184" s="15" t="s">
        <v>722</v>
      </c>
      <c r="B184" s="15" t="s">
        <v>922</v>
      </c>
      <c r="C184" s="15" t="s">
        <v>1635</v>
      </c>
    </row>
    <row r="185" spans="1:3" x14ac:dyDescent="0.4">
      <c r="A185" s="15" t="s">
        <v>655</v>
      </c>
      <c r="B185" s="15" t="s">
        <v>923</v>
      </c>
      <c r="C185" s="15" t="s">
        <v>1445</v>
      </c>
    </row>
    <row r="186" spans="1:3" x14ac:dyDescent="0.4">
      <c r="A186" s="15" t="s">
        <v>656</v>
      </c>
      <c r="B186" s="15" t="s">
        <v>924</v>
      </c>
      <c r="C186" s="15" t="s">
        <v>1636</v>
      </c>
    </row>
    <row r="187" spans="1:3" x14ac:dyDescent="0.4">
      <c r="A187" s="15" t="s">
        <v>657</v>
      </c>
      <c r="B187" s="15" t="s">
        <v>925</v>
      </c>
      <c r="C187" s="15" t="s">
        <v>1637</v>
      </c>
    </row>
    <row r="188" spans="1:3" x14ac:dyDescent="0.4">
      <c r="A188" s="15" t="s">
        <v>658</v>
      </c>
      <c r="B188" s="15" t="s">
        <v>926</v>
      </c>
      <c r="C188" s="15" t="s">
        <v>1638</v>
      </c>
    </row>
    <row r="189" spans="1:3" x14ac:dyDescent="0.4">
      <c r="A189" s="15" t="s">
        <v>659</v>
      </c>
      <c r="B189" s="15" t="s">
        <v>927</v>
      </c>
      <c r="C189" s="15" t="s">
        <v>1639</v>
      </c>
    </row>
    <row r="190" spans="1:3" x14ac:dyDescent="0.4">
      <c r="A190" s="15" t="s">
        <v>660</v>
      </c>
      <c r="B190" s="15" t="s">
        <v>928</v>
      </c>
      <c r="C190" s="15" t="s">
        <v>1640</v>
      </c>
    </row>
    <row r="191" spans="1:3" x14ac:dyDescent="0.4">
      <c r="A191" s="15" t="s">
        <v>661</v>
      </c>
      <c r="B191" s="15" t="s">
        <v>929</v>
      </c>
      <c r="C191" s="15" t="s">
        <v>1641</v>
      </c>
    </row>
    <row r="192" spans="1:3" x14ac:dyDescent="0.4">
      <c r="A192" s="15" t="s">
        <v>737</v>
      </c>
      <c r="B192" s="15" t="s">
        <v>930</v>
      </c>
      <c r="C192" s="15" t="s">
        <v>1642</v>
      </c>
    </row>
    <row r="193" spans="1:3" x14ac:dyDescent="0.4">
      <c r="A193" s="15" t="s">
        <v>482</v>
      </c>
      <c r="B193" s="15" t="s">
        <v>931</v>
      </c>
      <c r="C193" s="15" t="s">
        <v>1643</v>
      </c>
    </row>
    <row r="194" spans="1:3" x14ac:dyDescent="0.4">
      <c r="A194" s="15" t="s">
        <v>662</v>
      </c>
      <c r="B194" s="15" t="s">
        <v>932</v>
      </c>
      <c r="C194" s="16" t="s">
        <v>1644</v>
      </c>
    </row>
    <row r="195" spans="1:3" x14ac:dyDescent="0.4">
      <c r="A195" s="15" t="s">
        <v>663</v>
      </c>
      <c r="B195" s="15" t="s">
        <v>933</v>
      </c>
      <c r="C195" s="16" t="s">
        <v>1645</v>
      </c>
    </row>
    <row r="196" spans="1:3" x14ac:dyDescent="0.4">
      <c r="A196" s="15" t="s">
        <v>664</v>
      </c>
      <c r="B196" s="15" t="s">
        <v>934</v>
      </c>
      <c r="C196" s="15" t="s">
        <v>1646</v>
      </c>
    </row>
    <row r="197" spans="1:3" x14ac:dyDescent="0.4">
      <c r="A197" s="15" t="s">
        <v>665</v>
      </c>
      <c r="B197" s="15" t="s">
        <v>935</v>
      </c>
      <c r="C197" s="15" t="s">
        <v>1647</v>
      </c>
    </row>
    <row r="198" spans="1:3" x14ac:dyDescent="0.4">
      <c r="A198" s="15" t="s">
        <v>666</v>
      </c>
      <c r="B198" s="15" t="s">
        <v>936</v>
      </c>
      <c r="C198" s="15" t="s">
        <v>1648</v>
      </c>
    </row>
    <row r="199" spans="1:3" x14ac:dyDescent="0.4">
      <c r="A199" s="15" t="s">
        <v>667</v>
      </c>
      <c r="B199" s="15" t="s">
        <v>937</v>
      </c>
      <c r="C199" s="15" t="s">
        <v>1649</v>
      </c>
    </row>
    <row r="200" spans="1:3" x14ac:dyDescent="0.4">
      <c r="A200" s="15" t="s">
        <v>668</v>
      </c>
      <c r="B200" s="15" t="s">
        <v>938</v>
      </c>
      <c r="C200" s="16" t="s">
        <v>1650</v>
      </c>
    </row>
    <row r="201" spans="1:3" x14ac:dyDescent="0.4">
      <c r="A201" s="15" t="s">
        <v>669</v>
      </c>
      <c r="B201" s="15" t="s">
        <v>939</v>
      </c>
      <c r="C201" s="15" t="s">
        <v>1651</v>
      </c>
    </row>
    <row r="202" spans="1:3" x14ac:dyDescent="0.4">
      <c r="A202" s="15" t="s">
        <v>670</v>
      </c>
      <c r="B202" s="15" t="s">
        <v>940</v>
      </c>
      <c r="C202" s="16" t="s">
        <v>1652</v>
      </c>
    </row>
    <row r="203" spans="1:3" x14ac:dyDescent="0.4">
      <c r="A203" s="15" t="s">
        <v>671</v>
      </c>
      <c r="B203" s="15" t="s">
        <v>941</v>
      </c>
      <c r="C203" s="15" t="s">
        <v>1653</v>
      </c>
    </row>
    <row r="204" spans="1:3" x14ac:dyDescent="0.4">
      <c r="A204" s="15" t="s">
        <v>672</v>
      </c>
      <c r="B204" s="15" t="s">
        <v>942</v>
      </c>
      <c r="C204" s="16" t="s">
        <v>1654</v>
      </c>
    </row>
    <row r="205" spans="1:3" x14ac:dyDescent="0.4">
      <c r="A205" s="15" t="s">
        <v>673</v>
      </c>
      <c r="B205" s="15" t="s">
        <v>943</v>
      </c>
      <c r="C205" s="16" t="s">
        <v>1655</v>
      </c>
    </row>
    <row r="206" spans="1:3" x14ac:dyDescent="0.4">
      <c r="A206" s="15" t="s">
        <v>674</v>
      </c>
      <c r="B206" s="15" t="s">
        <v>944</v>
      </c>
      <c r="C206" s="15" t="s">
        <v>1656</v>
      </c>
    </row>
    <row r="207" spans="1:3" x14ac:dyDescent="0.4">
      <c r="A207" s="15" t="s">
        <v>675</v>
      </c>
      <c r="B207" s="15" t="s">
        <v>945</v>
      </c>
      <c r="C207" s="15" t="s">
        <v>1657</v>
      </c>
    </row>
    <row r="208" spans="1:3" x14ac:dyDescent="0.4">
      <c r="A208" s="15" t="s">
        <v>676</v>
      </c>
      <c r="B208" s="15" t="s">
        <v>946</v>
      </c>
      <c r="C208" s="15" t="s">
        <v>1658</v>
      </c>
    </row>
    <row r="209" spans="1:3" x14ac:dyDescent="0.4">
      <c r="A209" s="15" t="s">
        <v>677</v>
      </c>
      <c r="B209" s="15" t="s">
        <v>947</v>
      </c>
      <c r="C209" s="16" t="s">
        <v>1659</v>
      </c>
    </row>
    <row r="210" spans="1:3" x14ac:dyDescent="0.4">
      <c r="A210" s="15" t="s">
        <v>678</v>
      </c>
      <c r="B210" s="15" t="s">
        <v>948</v>
      </c>
      <c r="C210" s="16" t="s">
        <v>1660</v>
      </c>
    </row>
    <row r="211" spans="1:3" x14ac:dyDescent="0.4">
      <c r="A211" s="15" t="s">
        <v>679</v>
      </c>
      <c r="B211" s="15" t="s">
        <v>949</v>
      </c>
      <c r="C211" s="16" t="s">
        <v>1661</v>
      </c>
    </row>
    <row r="212" spans="1:3" x14ac:dyDescent="0.4">
      <c r="A212" s="15" t="s">
        <v>715</v>
      </c>
      <c r="B212" s="15" t="s">
        <v>950</v>
      </c>
      <c r="C212" s="16" t="s">
        <v>1662</v>
      </c>
    </row>
    <row r="213" spans="1:3" x14ac:dyDescent="0.4">
      <c r="A213" s="15" t="s">
        <v>738</v>
      </c>
      <c r="B213" s="15" t="s">
        <v>951</v>
      </c>
      <c r="C213" s="15" t="s">
        <v>1663</v>
      </c>
    </row>
    <row r="214" spans="1:3" x14ac:dyDescent="0.4">
      <c r="A214" s="15" t="s">
        <v>680</v>
      </c>
      <c r="B214" s="15" t="s">
        <v>952</v>
      </c>
      <c r="C214" s="15" t="s">
        <v>1664</v>
      </c>
    </row>
    <row r="215" spans="1:3" x14ac:dyDescent="0.4">
      <c r="A215" s="15" t="s">
        <v>739</v>
      </c>
      <c r="B215" s="15" t="s">
        <v>953</v>
      </c>
      <c r="C215" s="16" t="s">
        <v>1665</v>
      </c>
    </row>
    <row r="216" spans="1:3" x14ac:dyDescent="0.4">
      <c r="A216" s="15" t="s">
        <v>681</v>
      </c>
      <c r="B216" s="15" t="s">
        <v>954</v>
      </c>
      <c r="C216" s="15" t="s">
        <v>1666</v>
      </c>
    </row>
    <row r="217" spans="1:3" x14ac:dyDescent="0.4">
      <c r="A217" s="15" t="s">
        <v>682</v>
      </c>
      <c r="B217" s="15" t="s">
        <v>955</v>
      </c>
      <c r="C217" s="16" t="s">
        <v>1667</v>
      </c>
    </row>
    <row r="218" spans="1:3" x14ac:dyDescent="0.4">
      <c r="A218" s="15" t="s">
        <v>683</v>
      </c>
      <c r="B218" s="15" t="s">
        <v>956</v>
      </c>
      <c r="C218" s="15" t="s">
        <v>1668</v>
      </c>
    </row>
    <row r="219" spans="1:3" x14ac:dyDescent="0.4">
      <c r="A219" s="15" t="s">
        <v>684</v>
      </c>
      <c r="B219" s="15" t="s">
        <v>957</v>
      </c>
      <c r="C219" s="15" t="s">
        <v>1669</v>
      </c>
    </row>
    <row r="220" spans="1:3" x14ac:dyDescent="0.4">
      <c r="A220" s="15" t="s">
        <v>685</v>
      </c>
      <c r="B220" s="15" t="s">
        <v>958</v>
      </c>
      <c r="C220" s="15" t="s">
        <v>1670</v>
      </c>
    </row>
    <row r="221" spans="1:3" x14ac:dyDescent="0.4">
      <c r="A221" s="15" t="s">
        <v>686</v>
      </c>
      <c r="B221" s="15" t="s">
        <v>959</v>
      </c>
      <c r="C221" s="15" t="s">
        <v>1671</v>
      </c>
    </row>
    <row r="222" spans="1:3" x14ac:dyDescent="0.4">
      <c r="A222" s="15" t="s">
        <v>687</v>
      </c>
      <c r="B222" s="15" t="s">
        <v>960</v>
      </c>
      <c r="C222" s="15" t="s">
        <v>1672</v>
      </c>
    </row>
    <row r="223" spans="1:3" x14ac:dyDescent="0.4">
      <c r="A223" s="15" t="s">
        <v>688</v>
      </c>
      <c r="B223" s="15" t="s">
        <v>961</v>
      </c>
      <c r="C223" s="15" t="s">
        <v>1673</v>
      </c>
    </row>
    <row r="224" spans="1:3" x14ac:dyDescent="0.4">
      <c r="A224" s="15" t="s">
        <v>689</v>
      </c>
      <c r="B224" s="15" t="s">
        <v>962</v>
      </c>
      <c r="C224" s="15" t="s">
        <v>1674</v>
      </c>
    </row>
    <row r="225" spans="1:3" x14ac:dyDescent="0.4">
      <c r="A225" s="15" t="s">
        <v>690</v>
      </c>
      <c r="B225" s="15" t="s">
        <v>963</v>
      </c>
      <c r="C225" s="15" t="s">
        <v>1675</v>
      </c>
    </row>
    <row r="226" spans="1:3" x14ac:dyDescent="0.4">
      <c r="A226" s="127" t="s">
        <v>2469</v>
      </c>
      <c r="B226" s="15" t="s">
        <v>964</v>
      </c>
      <c r="C226" s="127" t="s">
        <v>2470</v>
      </c>
    </row>
    <row r="227" spans="1:3" x14ac:dyDescent="0.4">
      <c r="A227" s="15" t="s">
        <v>691</v>
      </c>
      <c r="B227" s="15" t="s">
        <v>965</v>
      </c>
      <c r="C227" s="16" t="s">
        <v>1676</v>
      </c>
    </row>
    <row r="228" spans="1:3" x14ac:dyDescent="0.4">
      <c r="A228" s="15" t="s">
        <v>692</v>
      </c>
      <c r="B228" s="15" t="s">
        <v>966</v>
      </c>
      <c r="C228" s="15" t="s">
        <v>1677</v>
      </c>
    </row>
    <row r="229" spans="1:3" x14ac:dyDescent="0.4">
      <c r="A229" s="15" t="s">
        <v>723</v>
      </c>
      <c r="B229" s="15" t="s">
        <v>967</v>
      </c>
      <c r="C229" s="15" t="s">
        <v>1678</v>
      </c>
    </row>
    <row r="230" spans="1:3" x14ac:dyDescent="0.4">
      <c r="A230" s="15" t="s">
        <v>724</v>
      </c>
      <c r="B230" s="15" t="s">
        <v>968</v>
      </c>
      <c r="C230" s="15" t="s">
        <v>1679</v>
      </c>
    </row>
    <row r="231" spans="1:3" x14ac:dyDescent="0.4">
      <c r="A231" s="15" t="s">
        <v>693</v>
      </c>
      <c r="B231" s="15" t="s">
        <v>969</v>
      </c>
      <c r="C231" s="15" t="s">
        <v>1680</v>
      </c>
    </row>
    <row r="232" spans="1:3" x14ac:dyDescent="0.4">
      <c r="A232" s="15" t="s">
        <v>694</v>
      </c>
      <c r="B232" s="15" t="s">
        <v>970</v>
      </c>
      <c r="C232" s="15" t="s">
        <v>1681</v>
      </c>
    </row>
    <row r="233" spans="1:3" x14ac:dyDescent="0.4">
      <c r="A233" s="15" t="s">
        <v>695</v>
      </c>
      <c r="B233" s="15" t="s">
        <v>971</v>
      </c>
      <c r="C233" s="16" t="s">
        <v>1682</v>
      </c>
    </row>
    <row r="234" spans="1:3" x14ac:dyDescent="0.4">
      <c r="A234" s="15" t="s">
        <v>697</v>
      </c>
      <c r="B234" s="15" t="s">
        <v>973</v>
      </c>
      <c r="C234" s="15" t="s">
        <v>1684</v>
      </c>
    </row>
    <row r="235" spans="1:3" x14ac:dyDescent="0.4">
      <c r="A235" s="15" t="s">
        <v>698</v>
      </c>
      <c r="B235" s="15" t="s">
        <v>974</v>
      </c>
      <c r="C235" s="15" t="s">
        <v>1685</v>
      </c>
    </row>
    <row r="236" spans="1:3" x14ac:dyDescent="0.4">
      <c r="A236" s="133" t="s">
        <v>2485</v>
      </c>
      <c r="B236" s="15" t="s">
        <v>975</v>
      </c>
      <c r="C236" s="135" t="s">
        <v>2490</v>
      </c>
    </row>
    <row r="237" spans="1:3" x14ac:dyDescent="0.4">
      <c r="A237" s="15" t="s">
        <v>699</v>
      </c>
      <c r="B237" s="15" t="s">
        <v>976</v>
      </c>
      <c r="C237" s="16" t="s">
        <v>1686</v>
      </c>
    </row>
    <row r="238" spans="1:3" x14ac:dyDescent="0.4">
      <c r="A238" s="15" t="s">
        <v>716</v>
      </c>
      <c r="B238" s="15" t="s">
        <v>977</v>
      </c>
      <c r="C238" s="15" t="s">
        <v>1687</v>
      </c>
    </row>
    <row r="239" spans="1:3" x14ac:dyDescent="0.4">
      <c r="A239" s="15" t="s">
        <v>717</v>
      </c>
      <c r="B239" s="15" t="s">
        <v>978</v>
      </c>
      <c r="C239" s="16" t="s">
        <v>1688</v>
      </c>
    </row>
    <row r="240" spans="1:3" x14ac:dyDescent="0.4">
      <c r="A240" s="15" t="s">
        <v>718</v>
      </c>
      <c r="B240" s="15" t="s">
        <v>979</v>
      </c>
      <c r="C240" s="16" t="s">
        <v>1689</v>
      </c>
    </row>
    <row r="241" spans="1:3" x14ac:dyDescent="0.4">
      <c r="A241" s="15" t="s">
        <v>740</v>
      </c>
      <c r="B241" s="15" t="s">
        <v>980</v>
      </c>
      <c r="C241" s="15" t="s">
        <v>1690</v>
      </c>
    </row>
    <row r="242" spans="1:3" x14ac:dyDescent="0.4">
      <c r="A242" s="15" t="s">
        <v>700</v>
      </c>
      <c r="B242" s="15" t="s">
        <v>981</v>
      </c>
      <c r="C242" s="15" t="s">
        <v>1691</v>
      </c>
    </row>
    <row r="243" spans="1:3" x14ac:dyDescent="0.4">
      <c r="A243" s="15" t="s">
        <v>701</v>
      </c>
      <c r="B243" s="15" t="s">
        <v>982</v>
      </c>
      <c r="C243" s="16" t="s">
        <v>1692</v>
      </c>
    </row>
    <row r="244" spans="1:3" x14ac:dyDescent="0.4">
      <c r="A244" s="15" t="s">
        <v>702</v>
      </c>
      <c r="B244" s="15" t="s">
        <v>983</v>
      </c>
      <c r="C244" s="15" t="s">
        <v>1693</v>
      </c>
    </row>
    <row r="245" spans="1:3" x14ac:dyDescent="0.4">
      <c r="A245" s="15" t="s">
        <v>703</v>
      </c>
      <c r="B245" s="15" t="s">
        <v>984</v>
      </c>
      <c r="C245" s="15" t="s">
        <v>1694</v>
      </c>
    </row>
    <row r="246" spans="1:3" x14ac:dyDescent="0.4">
      <c r="A246" s="15" t="s">
        <v>704</v>
      </c>
      <c r="B246" s="15" t="s">
        <v>985</v>
      </c>
      <c r="C246" s="15" t="s">
        <v>1695</v>
      </c>
    </row>
    <row r="247" spans="1:3" x14ac:dyDescent="0.4">
      <c r="A247" s="15" t="s">
        <v>705</v>
      </c>
      <c r="B247" s="15" t="s">
        <v>986</v>
      </c>
      <c r="C247" s="16" t="s">
        <v>1696</v>
      </c>
    </row>
    <row r="248" spans="1:3" x14ac:dyDescent="0.4">
      <c r="A248" s="15" t="s">
        <v>706</v>
      </c>
      <c r="B248" s="15" t="s">
        <v>987</v>
      </c>
      <c r="C248" s="15" t="s">
        <v>1697</v>
      </c>
    </row>
    <row r="249" spans="1:3" x14ac:dyDescent="0.4">
      <c r="A249" s="15" t="s">
        <v>707</v>
      </c>
      <c r="B249" s="15" t="s">
        <v>988</v>
      </c>
      <c r="C249" s="15" t="s">
        <v>1698</v>
      </c>
    </row>
    <row r="250" spans="1:3" x14ac:dyDescent="0.4">
      <c r="A250" s="15" t="s">
        <v>696</v>
      </c>
      <c r="B250" s="15" t="s">
        <v>972</v>
      </c>
      <c r="C250" s="16" t="s">
        <v>1683</v>
      </c>
    </row>
    <row r="251" spans="1:3" x14ac:dyDescent="0.4">
      <c r="A251" s="15" t="s">
        <v>1909</v>
      </c>
      <c r="B251" s="15" t="s">
        <v>1959</v>
      </c>
      <c r="C251" s="23" t="str">
        <f>"usa"&amp;CHAR(10)&amp;"- "&amp;SUBSTITUTE(LOWER(MID(A251,4,LEN(A251)))," ","-")</f>
        <v>usa
- alabama</v>
      </c>
    </row>
    <row r="252" spans="1:3" x14ac:dyDescent="0.4">
      <c r="A252" s="15" t="s">
        <v>1910</v>
      </c>
      <c r="B252" s="15" t="s">
        <v>1960</v>
      </c>
      <c r="C252" s="23" t="str">
        <f t="shared" ref="C252:C301" si="0">"usa"&amp;CHAR(10)&amp;"- "&amp;SUBSTITUTE(LOWER(MID(A252,4,LEN(A252)))," ","-")</f>
        <v>usa
- alaska</v>
      </c>
    </row>
    <row r="253" spans="1:3" x14ac:dyDescent="0.4">
      <c r="A253" s="15" t="s">
        <v>1911</v>
      </c>
      <c r="B253" s="15" t="s">
        <v>1961</v>
      </c>
      <c r="C253" s="23" t="str">
        <f t="shared" si="0"/>
        <v>usa
- arizona</v>
      </c>
    </row>
    <row r="254" spans="1:3" x14ac:dyDescent="0.4">
      <c r="A254" s="15" t="s">
        <v>1908</v>
      </c>
      <c r="B254" s="15" t="s">
        <v>1962</v>
      </c>
      <c r="C254" s="23" t="str">
        <f t="shared" si="0"/>
        <v>usa
- arkansas</v>
      </c>
    </row>
    <row r="255" spans="1:3" x14ac:dyDescent="0.4">
      <c r="A255" s="15" t="s">
        <v>1912</v>
      </c>
      <c r="B255" s="15" t="s">
        <v>1963</v>
      </c>
      <c r="C255" s="23" t="str">
        <f t="shared" si="0"/>
        <v>usa
- california</v>
      </c>
    </row>
    <row r="256" spans="1:3" x14ac:dyDescent="0.4">
      <c r="A256" s="15" t="s">
        <v>1913</v>
      </c>
      <c r="B256" s="15" t="s">
        <v>1964</v>
      </c>
      <c r="C256" s="23" t="str">
        <f t="shared" si="0"/>
        <v>usa
- colorado</v>
      </c>
    </row>
    <row r="257" spans="1:3" x14ac:dyDescent="0.4">
      <c r="A257" s="15" t="s">
        <v>1914</v>
      </c>
      <c r="B257" s="15" t="s">
        <v>1965</v>
      </c>
      <c r="C257" s="23" t="str">
        <f t="shared" si="0"/>
        <v>usa
- connecticut</v>
      </c>
    </row>
    <row r="258" spans="1:3" x14ac:dyDescent="0.4">
      <c r="A258" s="15" t="s">
        <v>1915</v>
      </c>
      <c r="B258" s="15" t="s">
        <v>1966</v>
      </c>
      <c r="C258" s="23" t="str">
        <f t="shared" si="0"/>
        <v>usa
- delaware</v>
      </c>
    </row>
    <row r="259" spans="1:3" x14ac:dyDescent="0.4">
      <c r="A259" s="15" t="s">
        <v>1916</v>
      </c>
      <c r="B259" s="15" t="s">
        <v>1967</v>
      </c>
      <c r="C259" s="23" t="str">
        <f t="shared" si="0"/>
        <v>usa
- dc</v>
      </c>
    </row>
    <row r="260" spans="1:3" x14ac:dyDescent="0.4">
      <c r="A260" s="15" t="s">
        <v>1917</v>
      </c>
      <c r="B260" s="15" t="s">
        <v>1968</v>
      </c>
      <c r="C260" s="23" t="str">
        <f t="shared" si="0"/>
        <v>usa
- florida</v>
      </c>
    </row>
    <row r="261" spans="1:3" x14ac:dyDescent="0.4">
      <c r="A261" s="15" t="s">
        <v>1918</v>
      </c>
      <c r="B261" s="15" t="s">
        <v>1969</v>
      </c>
      <c r="C261" s="23" t="str">
        <f t="shared" si="0"/>
        <v>usa
- georgia</v>
      </c>
    </row>
    <row r="262" spans="1:3" x14ac:dyDescent="0.4">
      <c r="A262" s="15" t="s">
        <v>1919</v>
      </c>
      <c r="B262" s="15" t="s">
        <v>1970</v>
      </c>
      <c r="C262" s="23" t="str">
        <f t="shared" si="0"/>
        <v>usa
- hawaii</v>
      </c>
    </row>
    <row r="263" spans="1:3" x14ac:dyDescent="0.4">
      <c r="A263" s="15" t="s">
        <v>1920</v>
      </c>
      <c r="B263" s="15" t="s">
        <v>1971</v>
      </c>
      <c r="C263" s="23" t="str">
        <f t="shared" si="0"/>
        <v>usa
- idaho</v>
      </c>
    </row>
    <row r="264" spans="1:3" x14ac:dyDescent="0.4">
      <c r="A264" s="15" t="s">
        <v>1921</v>
      </c>
      <c r="B264" s="15" t="s">
        <v>1972</v>
      </c>
      <c r="C264" s="23" t="str">
        <f t="shared" si="0"/>
        <v>usa
- illinois</v>
      </c>
    </row>
    <row r="265" spans="1:3" x14ac:dyDescent="0.4">
      <c r="A265" s="15" t="s">
        <v>1922</v>
      </c>
      <c r="B265" s="15" t="s">
        <v>1973</v>
      </c>
      <c r="C265" s="23" t="str">
        <f t="shared" si="0"/>
        <v>usa
- indiana</v>
      </c>
    </row>
    <row r="266" spans="1:3" x14ac:dyDescent="0.4">
      <c r="A266" s="15" t="s">
        <v>1923</v>
      </c>
      <c r="B266" s="15" t="s">
        <v>1974</v>
      </c>
      <c r="C266" s="23" t="str">
        <f t="shared" si="0"/>
        <v>usa
- iowa</v>
      </c>
    </row>
    <row r="267" spans="1:3" x14ac:dyDescent="0.4">
      <c r="A267" s="15" t="s">
        <v>1924</v>
      </c>
      <c r="B267" s="15" t="s">
        <v>1975</v>
      </c>
      <c r="C267" s="23" t="str">
        <f t="shared" si="0"/>
        <v>usa
- kansas</v>
      </c>
    </row>
    <row r="268" spans="1:3" x14ac:dyDescent="0.4">
      <c r="A268" s="15" t="s">
        <v>1925</v>
      </c>
      <c r="B268" s="15" t="s">
        <v>1976</v>
      </c>
      <c r="C268" s="23" t="str">
        <f t="shared" si="0"/>
        <v>usa
- kentucky</v>
      </c>
    </row>
    <row r="269" spans="1:3" x14ac:dyDescent="0.4">
      <c r="A269" s="15" t="s">
        <v>1926</v>
      </c>
      <c r="B269" s="15" t="s">
        <v>1977</v>
      </c>
      <c r="C269" s="23" t="str">
        <f t="shared" si="0"/>
        <v>usa
- louisiana</v>
      </c>
    </row>
    <row r="270" spans="1:3" x14ac:dyDescent="0.4">
      <c r="A270" s="15" t="s">
        <v>1927</v>
      </c>
      <c r="B270" s="15" t="s">
        <v>1978</v>
      </c>
      <c r="C270" s="23" t="str">
        <f t="shared" si="0"/>
        <v>usa
- maine</v>
      </c>
    </row>
    <row r="271" spans="1:3" x14ac:dyDescent="0.4">
      <c r="A271" s="15" t="s">
        <v>1928</v>
      </c>
      <c r="B271" s="15" t="s">
        <v>1979</v>
      </c>
      <c r="C271" s="23" t="str">
        <f t="shared" si="0"/>
        <v>usa
- maryland</v>
      </c>
    </row>
    <row r="272" spans="1:3" x14ac:dyDescent="0.4">
      <c r="A272" s="15" t="s">
        <v>1929</v>
      </c>
      <c r="B272" s="15" t="s">
        <v>1980</v>
      </c>
      <c r="C272" s="23" t="str">
        <f t="shared" si="0"/>
        <v>usa
- massachusetts</v>
      </c>
    </row>
    <row r="273" spans="1:3" x14ac:dyDescent="0.4">
      <c r="A273" s="15" t="s">
        <v>1930</v>
      </c>
      <c r="B273" s="15" t="s">
        <v>1981</v>
      </c>
      <c r="C273" s="23" t="str">
        <f t="shared" si="0"/>
        <v>usa
- michigan</v>
      </c>
    </row>
    <row r="274" spans="1:3" x14ac:dyDescent="0.4">
      <c r="A274" s="15" t="s">
        <v>1931</v>
      </c>
      <c r="B274" s="15" t="s">
        <v>1982</v>
      </c>
      <c r="C274" s="23" t="str">
        <f t="shared" si="0"/>
        <v>usa
- minnesota</v>
      </c>
    </row>
    <row r="275" spans="1:3" x14ac:dyDescent="0.4">
      <c r="A275" s="15" t="s">
        <v>1932</v>
      </c>
      <c r="B275" s="15" t="s">
        <v>1983</v>
      </c>
      <c r="C275" s="23" t="str">
        <f t="shared" si="0"/>
        <v>usa
- mississippi</v>
      </c>
    </row>
    <row r="276" spans="1:3" x14ac:dyDescent="0.4">
      <c r="A276" s="15" t="s">
        <v>1933</v>
      </c>
      <c r="B276" s="15" t="s">
        <v>1984</v>
      </c>
      <c r="C276" s="23" t="str">
        <f t="shared" si="0"/>
        <v>usa
- missouri</v>
      </c>
    </row>
    <row r="277" spans="1:3" x14ac:dyDescent="0.4">
      <c r="A277" s="15" t="s">
        <v>1934</v>
      </c>
      <c r="B277" s="15" t="s">
        <v>1985</v>
      </c>
      <c r="C277" s="23" t="str">
        <f t="shared" si="0"/>
        <v>usa
- montana</v>
      </c>
    </row>
    <row r="278" spans="1:3" x14ac:dyDescent="0.4">
      <c r="A278" s="15" t="s">
        <v>1935</v>
      </c>
      <c r="B278" s="15" t="s">
        <v>1986</v>
      </c>
      <c r="C278" s="23" t="str">
        <f t="shared" si="0"/>
        <v>usa
- nebraska</v>
      </c>
    </row>
    <row r="279" spans="1:3" x14ac:dyDescent="0.4">
      <c r="A279" s="15" t="s">
        <v>1936</v>
      </c>
      <c r="B279" s="15" t="s">
        <v>1987</v>
      </c>
      <c r="C279" s="23" t="str">
        <f t="shared" si="0"/>
        <v>usa
- nevada</v>
      </c>
    </row>
    <row r="280" spans="1:3" x14ac:dyDescent="0.4">
      <c r="A280" s="15" t="s">
        <v>1937</v>
      </c>
      <c r="B280" s="15" t="s">
        <v>1988</v>
      </c>
      <c r="C280" s="23" t="str">
        <f t="shared" si="0"/>
        <v>usa
- new-hampshire</v>
      </c>
    </row>
    <row r="281" spans="1:3" x14ac:dyDescent="0.4">
      <c r="A281" s="15" t="s">
        <v>1938</v>
      </c>
      <c r="B281" s="15" t="s">
        <v>1989</v>
      </c>
      <c r="C281" s="23" t="str">
        <f t="shared" si="0"/>
        <v>usa
- new-jersey</v>
      </c>
    </row>
    <row r="282" spans="1:3" x14ac:dyDescent="0.4">
      <c r="A282" s="15" t="s">
        <v>1939</v>
      </c>
      <c r="B282" s="15" t="s">
        <v>1990</v>
      </c>
      <c r="C282" s="23" t="str">
        <f t="shared" si="0"/>
        <v>usa
- new-mexico</v>
      </c>
    </row>
    <row r="283" spans="1:3" x14ac:dyDescent="0.4">
      <c r="A283" s="15" t="s">
        <v>1940</v>
      </c>
      <c r="B283" s="15" t="s">
        <v>1991</v>
      </c>
      <c r="C283" s="23" t="str">
        <f t="shared" si="0"/>
        <v>usa
- new-york</v>
      </c>
    </row>
    <row r="284" spans="1:3" x14ac:dyDescent="0.4">
      <c r="A284" s="15" t="s">
        <v>1941</v>
      </c>
      <c r="B284" s="15" t="s">
        <v>1992</v>
      </c>
      <c r="C284" s="23" t="str">
        <f t="shared" si="0"/>
        <v>usa
- north-carolina</v>
      </c>
    </row>
    <row r="285" spans="1:3" x14ac:dyDescent="0.4">
      <c r="A285" s="15" t="s">
        <v>1942</v>
      </c>
      <c r="B285" s="15" t="s">
        <v>1993</v>
      </c>
      <c r="C285" s="23" t="str">
        <f t="shared" si="0"/>
        <v>usa
- north-dakota</v>
      </c>
    </row>
    <row r="286" spans="1:3" x14ac:dyDescent="0.4">
      <c r="A286" s="15" t="s">
        <v>1943</v>
      </c>
      <c r="B286" s="15" t="s">
        <v>1994</v>
      </c>
      <c r="C286" s="23" t="str">
        <f t="shared" si="0"/>
        <v>usa
- ohio</v>
      </c>
    </row>
    <row r="287" spans="1:3" x14ac:dyDescent="0.4">
      <c r="A287" s="15" t="s">
        <v>1944</v>
      </c>
      <c r="B287" s="15" t="s">
        <v>1995</v>
      </c>
      <c r="C287" s="23" t="str">
        <f t="shared" si="0"/>
        <v>usa
- oklahoma</v>
      </c>
    </row>
    <row r="288" spans="1:3" x14ac:dyDescent="0.4">
      <c r="A288" s="15" t="s">
        <v>1945</v>
      </c>
      <c r="B288" s="15" t="s">
        <v>1996</v>
      </c>
      <c r="C288" s="23" t="str">
        <f t="shared" si="0"/>
        <v>usa
- oregon</v>
      </c>
    </row>
    <row r="289" spans="1:3" x14ac:dyDescent="0.4">
      <c r="A289" s="15" t="s">
        <v>1946</v>
      </c>
      <c r="B289" s="15" t="s">
        <v>1997</v>
      </c>
      <c r="C289" s="23" t="str">
        <f t="shared" si="0"/>
        <v>usa
- pennsylvania</v>
      </c>
    </row>
    <row r="290" spans="1:3" x14ac:dyDescent="0.4">
      <c r="A290" s="15" t="s">
        <v>1947</v>
      </c>
      <c r="B290" s="15" t="s">
        <v>1998</v>
      </c>
      <c r="C290" s="23" t="str">
        <f t="shared" si="0"/>
        <v>usa
- rhode-island</v>
      </c>
    </row>
    <row r="291" spans="1:3" x14ac:dyDescent="0.4">
      <c r="A291" s="15" t="s">
        <v>1948</v>
      </c>
      <c r="B291" s="15" t="s">
        <v>1999</v>
      </c>
      <c r="C291" s="23" t="str">
        <f t="shared" si="0"/>
        <v>usa
- south-carolina</v>
      </c>
    </row>
    <row r="292" spans="1:3" x14ac:dyDescent="0.4">
      <c r="A292" s="15" t="s">
        <v>1949</v>
      </c>
      <c r="B292" s="15" t="s">
        <v>2000</v>
      </c>
      <c r="C292" s="23" t="str">
        <f t="shared" si="0"/>
        <v>usa
- south-dakota</v>
      </c>
    </row>
    <row r="293" spans="1:3" x14ac:dyDescent="0.4">
      <c r="A293" s="15" t="s">
        <v>1950</v>
      </c>
      <c r="B293" s="15" t="s">
        <v>2001</v>
      </c>
      <c r="C293" s="23" t="str">
        <f t="shared" si="0"/>
        <v>usa
- tennessee</v>
      </c>
    </row>
    <row r="294" spans="1:3" x14ac:dyDescent="0.4">
      <c r="A294" s="15" t="s">
        <v>1951</v>
      </c>
      <c r="B294" s="15" t="s">
        <v>2002</v>
      </c>
      <c r="C294" s="23" t="str">
        <f t="shared" si="0"/>
        <v>usa
- texas</v>
      </c>
    </row>
    <row r="295" spans="1:3" x14ac:dyDescent="0.4">
      <c r="A295" s="15" t="s">
        <v>1952</v>
      </c>
      <c r="B295" s="15" t="s">
        <v>2003</v>
      </c>
      <c r="C295" s="23" t="str">
        <f t="shared" si="0"/>
        <v>usa
- utah</v>
      </c>
    </row>
    <row r="296" spans="1:3" x14ac:dyDescent="0.4">
      <c r="A296" s="15" t="s">
        <v>1953</v>
      </c>
      <c r="B296" s="15" t="s">
        <v>2004</v>
      </c>
      <c r="C296" s="23" t="str">
        <f t="shared" si="0"/>
        <v>usa
- vermont</v>
      </c>
    </row>
    <row r="297" spans="1:3" x14ac:dyDescent="0.4">
      <c r="A297" s="15" t="s">
        <v>1954</v>
      </c>
      <c r="B297" s="15" t="s">
        <v>2005</v>
      </c>
      <c r="C297" s="23" t="str">
        <f t="shared" si="0"/>
        <v>usa
- virginia</v>
      </c>
    </row>
    <row r="298" spans="1:3" x14ac:dyDescent="0.4">
      <c r="A298" s="15" t="s">
        <v>1955</v>
      </c>
      <c r="B298" s="15" t="s">
        <v>2006</v>
      </c>
      <c r="C298" s="23" t="str">
        <f t="shared" si="0"/>
        <v>usa
- washington</v>
      </c>
    </row>
    <row r="299" spans="1:3" x14ac:dyDescent="0.4">
      <c r="A299" s="15" t="s">
        <v>1956</v>
      </c>
      <c r="B299" s="15" t="s">
        <v>2007</v>
      </c>
      <c r="C299" s="23" t="str">
        <f t="shared" si="0"/>
        <v>usa
- west-virginia</v>
      </c>
    </row>
    <row r="300" spans="1:3" x14ac:dyDescent="0.4">
      <c r="A300" s="15" t="s">
        <v>1957</v>
      </c>
      <c r="B300" s="15" t="s">
        <v>2008</v>
      </c>
      <c r="C300" s="23" t="str">
        <f t="shared" si="0"/>
        <v>usa
- wisconsin</v>
      </c>
    </row>
    <row r="301" spans="1:3" x14ac:dyDescent="0.4">
      <c r="A301" s="15" t="s">
        <v>1958</v>
      </c>
      <c r="B301" s="15" t="s">
        <v>2009</v>
      </c>
      <c r="C301" s="23" t="str">
        <f t="shared" si="0"/>
        <v>usa
- wyoming</v>
      </c>
    </row>
    <row r="302" spans="1:3" x14ac:dyDescent="0.4">
      <c r="A302" s="138"/>
      <c r="C302" s="138"/>
    </row>
  </sheetData>
  <autoFilter ref="A1:C249" xr:uid="{64B53212-52F5-4A7D-9FB7-1079DAE6F64C}"/>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8B8B3-DE60-41C5-96BA-7CC5FA9AD3BE}">
  <sheetPr codeName="Sheet4"/>
  <dimension ref="A1:AP124"/>
  <sheetViews>
    <sheetView zoomScale="80" zoomScaleNormal="80" workbookViewId="0">
      <pane xSplit="1" ySplit="1" topLeftCell="B73" activePane="bottomRight" state="frozen"/>
      <selection pane="topRight" activeCell="B1" sqref="B1"/>
      <selection pane="bottomLeft" activeCell="A2" sqref="A2"/>
      <selection pane="bottomRight" activeCell="N116" sqref="N116"/>
    </sheetView>
  </sheetViews>
  <sheetFormatPr defaultColWidth="9.15234375" defaultRowHeight="12.45" x14ac:dyDescent="0.4"/>
  <cols>
    <col min="1" max="1" width="10.3828125" style="14" bestFit="1" customWidth="1"/>
    <col min="2" max="2" width="9.84375" style="24" bestFit="1" customWidth="1"/>
    <col min="3" max="3" width="14.3828125" style="15" customWidth="1"/>
    <col min="4" max="4" width="3.84375" style="52" bestFit="1" customWidth="1"/>
    <col min="5" max="5" width="4.3828125" style="49" bestFit="1" customWidth="1"/>
    <col min="6" max="6" width="38.15234375" style="24" bestFit="1" customWidth="1"/>
    <col min="7" max="7" width="38.15234375" style="53" customWidth="1"/>
    <col min="8" max="8" width="9.3828125" style="15" bestFit="1" customWidth="1"/>
    <col min="9" max="9" width="9.3828125" style="15" customWidth="1"/>
    <col min="10" max="11" width="14.3828125" style="15" customWidth="1"/>
    <col min="12" max="12" width="69" style="24" customWidth="1"/>
    <col min="13" max="13" width="45.53515625" style="53" customWidth="1"/>
    <col min="14" max="15" width="9.15234375" style="15"/>
    <col min="16" max="16" width="9.15234375" style="60"/>
    <col min="17" max="17" width="9.15234375" style="15"/>
    <col min="18" max="18" width="9.15234375" style="64"/>
    <col min="19" max="19" width="9.15234375" style="60"/>
    <col min="20" max="20" width="9.15234375" style="15"/>
    <col min="21" max="21" width="9.15234375" style="64"/>
    <col min="22" max="23" width="9.15234375" style="15"/>
    <col min="24" max="24" width="9.15234375" style="49"/>
    <col min="25" max="34" width="18.84375" style="15" customWidth="1"/>
    <col min="35" max="35" width="36.3046875" style="91" bestFit="1" customWidth="1"/>
    <col min="36" max="36" width="21" style="88" bestFit="1" customWidth="1"/>
    <col min="37" max="37" width="18.3828125" style="15" bestFit="1" customWidth="1"/>
    <col min="38" max="38" width="18.3828125" style="15" customWidth="1"/>
    <col min="39" max="39" width="14.3828125" style="15" bestFit="1" customWidth="1"/>
    <col min="40" max="41" width="14.3828125" style="15" customWidth="1"/>
    <col min="42" max="42" width="14.3828125" style="49" customWidth="1"/>
    <col min="43" max="16384" width="9.15234375" style="15"/>
  </cols>
  <sheetData>
    <row r="1" spans="1:42" s="67" customFormat="1" ht="12.9" thickBot="1" x14ac:dyDescent="0.45">
      <c r="A1" s="67" t="s">
        <v>1321</v>
      </c>
      <c r="B1" s="68" t="s">
        <v>485</v>
      </c>
      <c r="C1" s="67" t="s">
        <v>1722</v>
      </c>
      <c r="D1" s="73" t="s">
        <v>341</v>
      </c>
      <c r="E1" s="74" t="s">
        <v>342</v>
      </c>
      <c r="F1" s="68" t="s">
        <v>727</v>
      </c>
      <c r="G1" s="70" t="s">
        <v>728</v>
      </c>
      <c r="H1" s="67" t="s">
        <v>1714</v>
      </c>
      <c r="I1" s="67" t="s">
        <v>1796</v>
      </c>
      <c r="J1" s="67" t="s">
        <v>1767</v>
      </c>
      <c r="K1" s="67" t="s">
        <v>1755</v>
      </c>
      <c r="L1" s="68" t="s">
        <v>165</v>
      </c>
      <c r="M1" s="70" t="s">
        <v>369</v>
      </c>
      <c r="N1" s="67" t="s">
        <v>1778</v>
      </c>
      <c r="O1" s="67" t="s">
        <v>1775</v>
      </c>
      <c r="P1" s="71" t="s">
        <v>1776</v>
      </c>
      <c r="Q1" s="67" t="s">
        <v>1777</v>
      </c>
      <c r="R1" s="72" t="s">
        <v>1779</v>
      </c>
      <c r="S1" s="71" t="s">
        <v>1780</v>
      </c>
      <c r="T1" s="67" t="s">
        <v>1781</v>
      </c>
      <c r="U1" s="72" t="s">
        <v>1782</v>
      </c>
      <c r="V1" s="67" t="s">
        <v>1783</v>
      </c>
      <c r="W1" s="67" t="s">
        <v>1784</v>
      </c>
      <c r="X1" s="74" t="s">
        <v>1785</v>
      </c>
      <c r="Y1" s="67" t="s">
        <v>1418</v>
      </c>
      <c r="Z1" s="67" t="s">
        <v>1420</v>
      </c>
      <c r="AA1" s="67" t="s">
        <v>1422</v>
      </c>
      <c r="AB1" s="67" t="s">
        <v>1768</v>
      </c>
      <c r="AC1" s="67" t="s">
        <v>1769</v>
      </c>
      <c r="AD1" s="67" t="s">
        <v>1770</v>
      </c>
      <c r="AE1" s="67" t="s">
        <v>1771</v>
      </c>
      <c r="AF1" s="67" t="s">
        <v>1772</v>
      </c>
      <c r="AG1" s="67" t="s">
        <v>1773</v>
      </c>
      <c r="AH1" s="67" t="s">
        <v>1774</v>
      </c>
      <c r="AI1" s="86" t="s">
        <v>1767</v>
      </c>
      <c r="AJ1" s="69" t="s">
        <v>163</v>
      </c>
      <c r="AK1" s="67" t="s">
        <v>333</v>
      </c>
      <c r="AL1" s="67" t="s">
        <v>1325</v>
      </c>
      <c r="AM1" s="67" t="s">
        <v>335</v>
      </c>
      <c r="AN1" s="67" t="s">
        <v>1326</v>
      </c>
      <c r="AO1" s="67" t="s">
        <v>350</v>
      </c>
      <c r="AP1" s="74" t="s">
        <v>1327</v>
      </c>
    </row>
    <row r="2" spans="1:42" x14ac:dyDescent="0.4">
      <c r="B2" s="24" t="s">
        <v>552</v>
      </c>
      <c r="H2" s="15" t="s">
        <v>1715</v>
      </c>
      <c r="I2" s="25" t="b">
        <v>1</v>
      </c>
      <c r="J2" s="15" t="b">
        <v>1</v>
      </c>
      <c r="N2" s="15" t="s">
        <v>336</v>
      </c>
      <c r="O2" s="15" t="s">
        <v>336</v>
      </c>
      <c r="Y2" s="39"/>
      <c r="Z2" s="39"/>
      <c r="AA2" s="39"/>
      <c r="AB2" s="39"/>
      <c r="AC2" s="39"/>
      <c r="AD2" s="39"/>
      <c r="AE2" s="39"/>
      <c r="AF2" s="39"/>
      <c r="AG2" s="39"/>
      <c r="AH2" s="39"/>
      <c r="AI2" s="87" t="s">
        <v>625</v>
      </c>
      <c r="AJ2" s="88" t="s">
        <v>1062</v>
      </c>
      <c r="AK2" s="15" t="s">
        <v>183</v>
      </c>
      <c r="AL2" s="15" t="s">
        <v>336</v>
      </c>
      <c r="AM2" s="15" t="s">
        <v>336</v>
      </c>
      <c r="AN2" s="15" t="s">
        <v>336</v>
      </c>
      <c r="AO2" s="15" t="s">
        <v>336</v>
      </c>
      <c r="AP2" s="49" t="s">
        <v>336</v>
      </c>
    </row>
    <row r="3" spans="1:42" x14ac:dyDescent="0.4">
      <c r="B3" s="24" t="s">
        <v>11</v>
      </c>
      <c r="H3" s="15" t="s">
        <v>1715</v>
      </c>
      <c r="I3" s="25" t="b">
        <v>1</v>
      </c>
      <c r="J3" s="15" t="b">
        <v>1</v>
      </c>
      <c r="N3" s="15" t="s">
        <v>336</v>
      </c>
      <c r="O3" s="15" t="s">
        <v>336</v>
      </c>
      <c r="Y3" s="15" t="s">
        <v>336</v>
      </c>
      <c r="AI3" s="87" t="s">
        <v>1183</v>
      </c>
      <c r="AJ3" s="88">
        <v>1000</v>
      </c>
      <c r="AK3" s="15" t="s">
        <v>185</v>
      </c>
      <c r="AL3" s="15" t="s">
        <v>336</v>
      </c>
      <c r="AM3" s="15" t="s">
        <v>336</v>
      </c>
      <c r="AN3" s="15" t="s">
        <v>336</v>
      </c>
      <c r="AO3" s="15" t="s">
        <v>336</v>
      </c>
      <c r="AP3" s="49" t="s">
        <v>336</v>
      </c>
    </row>
    <row r="4" spans="1:42" x14ac:dyDescent="0.4">
      <c r="B4" s="24" t="s">
        <v>11</v>
      </c>
      <c r="H4" s="15" t="s">
        <v>1715</v>
      </c>
      <c r="I4" s="25" t="b">
        <v>1</v>
      </c>
      <c r="J4" s="15" t="b">
        <v>1</v>
      </c>
      <c r="N4" s="15" t="s">
        <v>336</v>
      </c>
      <c r="O4" s="15" t="s">
        <v>336</v>
      </c>
      <c r="Y4" s="15" t="s">
        <v>336</v>
      </c>
      <c r="AI4" s="87" t="s">
        <v>1184</v>
      </c>
      <c r="AJ4" s="88">
        <v>1001</v>
      </c>
      <c r="AK4" s="15" t="s">
        <v>186</v>
      </c>
      <c r="AL4" s="15" t="s">
        <v>336</v>
      </c>
      <c r="AM4" s="15" t="s">
        <v>336</v>
      </c>
      <c r="AN4" s="15" t="s">
        <v>336</v>
      </c>
      <c r="AO4" s="15" t="s">
        <v>336</v>
      </c>
      <c r="AP4" s="49" t="s">
        <v>336</v>
      </c>
    </row>
    <row r="5" spans="1:42" x14ac:dyDescent="0.4">
      <c r="B5" s="24" t="s">
        <v>557</v>
      </c>
      <c r="H5" s="15" t="s">
        <v>1715</v>
      </c>
      <c r="I5" s="25" t="b">
        <v>1</v>
      </c>
      <c r="J5" s="15" t="b">
        <v>1</v>
      </c>
      <c r="N5" s="15" t="s">
        <v>336</v>
      </c>
      <c r="O5" s="15" t="s">
        <v>336</v>
      </c>
      <c r="Y5" s="15" t="s">
        <v>336</v>
      </c>
      <c r="AI5" s="87" t="s">
        <v>1185</v>
      </c>
      <c r="AJ5" s="88">
        <v>1105</v>
      </c>
      <c r="AK5" s="15" t="s">
        <v>187</v>
      </c>
      <c r="AL5" s="15" t="s">
        <v>336</v>
      </c>
      <c r="AM5" s="15" t="s">
        <v>336</v>
      </c>
      <c r="AN5" s="15" t="s">
        <v>336</v>
      </c>
      <c r="AO5" s="15" t="s">
        <v>336</v>
      </c>
      <c r="AP5" s="49" t="s">
        <v>336</v>
      </c>
    </row>
    <row r="6" spans="1:42" x14ac:dyDescent="0.4">
      <c r="B6" s="24" t="s">
        <v>655</v>
      </c>
      <c r="H6" s="15" t="s">
        <v>1715</v>
      </c>
      <c r="I6" s="25" t="b">
        <v>1</v>
      </c>
      <c r="J6" s="15" t="b">
        <v>1</v>
      </c>
      <c r="N6" s="15" t="s">
        <v>336</v>
      </c>
      <c r="O6" s="15" t="s">
        <v>336</v>
      </c>
      <c r="Y6" s="15" t="s">
        <v>336</v>
      </c>
      <c r="AI6" s="87" t="s">
        <v>1186</v>
      </c>
      <c r="AJ6" s="88">
        <v>1182</v>
      </c>
      <c r="AK6" s="15" t="s">
        <v>188</v>
      </c>
      <c r="AL6" s="15" t="s">
        <v>336</v>
      </c>
      <c r="AM6" s="15" t="s">
        <v>336</v>
      </c>
      <c r="AN6" s="15" t="s">
        <v>336</v>
      </c>
      <c r="AO6" s="15" t="s">
        <v>336</v>
      </c>
      <c r="AP6" s="49" t="s">
        <v>336</v>
      </c>
    </row>
    <row r="7" spans="1:42" x14ac:dyDescent="0.4">
      <c r="B7" s="24" t="s">
        <v>11</v>
      </c>
      <c r="H7" s="15" t="s">
        <v>1715</v>
      </c>
      <c r="I7" s="25" t="b">
        <v>1</v>
      </c>
      <c r="J7" s="15" t="b">
        <v>1</v>
      </c>
      <c r="N7" s="15" t="s">
        <v>336</v>
      </c>
      <c r="O7" s="15" t="s">
        <v>336</v>
      </c>
      <c r="Y7" s="15" t="s">
        <v>336</v>
      </c>
      <c r="AI7" s="87" t="s">
        <v>1188</v>
      </c>
      <c r="AJ7" s="88">
        <v>1216</v>
      </c>
      <c r="AK7" s="15" t="s">
        <v>190</v>
      </c>
      <c r="AL7" s="15" t="s">
        <v>336</v>
      </c>
      <c r="AM7" s="15" t="s">
        <v>336</v>
      </c>
      <c r="AN7" s="15" t="s">
        <v>336</v>
      </c>
      <c r="AO7" s="15" t="s">
        <v>336</v>
      </c>
      <c r="AP7" s="49" t="s">
        <v>336</v>
      </c>
    </row>
    <row r="8" spans="1:42" x14ac:dyDescent="0.4">
      <c r="B8" s="24" t="s">
        <v>655</v>
      </c>
      <c r="H8" s="15" t="s">
        <v>1715</v>
      </c>
      <c r="I8" s="25" t="b">
        <v>1</v>
      </c>
      <c r="J8" s="15" t="b">
        <v>1</v>
      </c>
      <c r="N8" s="15" t="s">
        <v>336</v>
      </c>
      <c r="O8" s="15" t="s">
        <v>336</v>
      </c>
      <c r="Y8" s="15" t="s">
        <v>336</v>
      </c>
      <c r="AI8" s="87" t="s">
        <v>1189</v>
      </c>
      <c r="AJ8" s="88">
        <v>1220</v>
      </c>
      <c r="AK8" s="15" t="s">
        <v>191</v>
      </c>
      <c r="AL8" s="15" t="s">
        <v>336</v>
      </c>
      <c r="AM8" s="15" t="s">
        <v>336</v>
      </c>
      <c r="AN8" s="15" t="s">
        <v>336</v>
      </c>
      <c r="AO8" s="15" t="s">
        <v>336</v>
      </c>
      <c r="AP8" s="49" t="s">
        <v>336</v>
      </c>
    </row>
    <row r="9" spans="1:42" x14ac:dyDescent="0.4">
      <c r="B9" s="24" t="s">
        <v>552</v>
      </c>
      <c r="H9" s="15" t="s">
        <v>1715</v>
      </c>
      <c r="I9" s="25" t="b">
        <v>1</v>
      </c>
      <c r="J9" s="15" t="b">
        <v>1</v>
      </c>
      <c r="N9" s="15" t="s">
        <v>336</v>
      </c>
      <c r="O9" s="15" t="s">
        <v>336</v>
      </c>
      <c r="Y9" s="15" t="s">
        <v>336</v>
      </c>
      <c r="AI9" s="87" t="s">
        <v>1190</v>
      </c>
      <c r="AJ9" s="88">
        <v>1222</v>
      </c>
      <c r="AK9" s="15" t="s">
        <v>192</v>
      </c>
      <c r="AL9" s="15" t="s">
        <v>336</v>
      </c>
      <c r="AM9" s="15" t="s">
        <v>336</v>
      </c>
      <c r="AN9" s="15" t="s">
        <v>336</v>
      </c>
      <c r="AO9" s="15" t="s">
        <v>336</v>
      </c>
      <c r="AP9" s="49" t="s">
        <v>336</v>
      </c>
    </row>
    <row r="10" spans="1:42" x14ac:dyDescent="0.4">
      <c r="B10" s="24" t="s">
        <v>11</v>
      </c>
      <c r="H10" s="15" t="s">
        <v>1715</v>
      </c>
      <c r="I10" s="25" t="b">
        <v>1</v>
      </c>
      <c r="J10" s="15" t="b">
        <v>1</v>
      </c>
      <c r="N10" s="15" t="s">
        <v>336</v>
      </c>
      <c r="O10" s="15" t="s">
        <v>336</v>
      </c>
      <c r="Y10" s="15" t="s">
        <v>336</v>
      </c>
      <c r="AI10" s="87" t="s">
        <v>1191</v>
      </c>
      <c r="AJ10" s="88">
        <v>1233</v>
      </c>
      <c r="AK10" s="15" t="s">
        <v>193</v>
      </c>
      <c r="AL10" s="15" t="s">
        <v>336</v>
      </c>
      <c r="AM10" s="15" t="s">
        <v>336</v>
      </c>
      <c r="AN10" s="15" t="s">
        <v>336</v>
      </c>
      <c r="AO10" s="15" t="s">
        <v>336</v>
      </c>
      <c r="AP10" s="49" t="s">
        <v>336</v>
      </c>
    </row>
    <row r="11" spans="1:42" ht="24.9" x14ac:dyDescent="0.4">
      <c r="B11" s="24" t="s">
        <v>735</v>
      </c>
      <c r="H11" s="15" t="s">
        <v>1715</v>
      </c>
      <c r="I11" s="25" t="b">
        <v>1</v>
      </c>
      <c r="J11" s="15" t="b">
        <v>1</v>
      </c>
      <c r="N11" s="15" t="s">
        <v>336</v>
      </c>
      <c r="O11" s="15" t="s">
        <v>336</v>
      </c>
      <c r="Y11" s="15" t="s">
        <v>336</v>
      </c>
      <c r="AI11" s="87" t="s">
        <v>1192</v>
      </c>
      <c r="AJ11" s="88">
        <v>1251</v>
      </c>
      <c r="AK11" s="15" t="s">
        <v>194</v>
      </c>
      <c r="AL11" s="15" t="s">
        <v>336</v>
      </c>
      <c r="AM11" s="15" t="s">
        <v>336</v>
      </c>
      <c r="AN11" s="15" t="s">
        <v>336</v>
      </c>
      <c r="AO11" s="15" t="s">
        <v>336</v>
      </c>
      <c r="AP11" s="49" t="s">
        <v>336</v>
      </c>
    </row>
    <row r="12" spans="1:42" x14ac:dyDescent="0.4">
      <c r="B12" s="27" t="s">
        <v>11</v>
      </c>
      <c r="C12" s="35" t="s">
        <v>1002</v>
      </c>
      <c r="H12" s="15" t="s">
        <v>1715</v>
      </c>
      <c r="I12" s="25" t="b">
        <v>1</v>
      </c>
      <c r="J12" s="15" t="b">
        <v>1</v>
      </c>
      <c r="N12" s="15" t="s">
        <v>336</v>
      </c>
      <c r="O12" s="15" t="s">
        <v>336</v>
      </c>
      <c r="Y12" s="39"/>
      <c r="AI12" s="87" t="s">
        <v>1308</v>
      </c>
      <c r="AJ12" s="88">
        <v>1256</v>
      </c>
      <c r="AK12" s="15" t="s">
        <v>195</v>
      </c>
      <c r="AL12" s="15" t="s">
        <v>336</v>
      </c>
      <c r="AM12" s="15" t="s">
        <v>336</v>
      </c>
      <c r="AN12" s="15" t="s">
        <v>336</v>
      </c>
      <c r="AO12" s="15" t="s">
        <v>336</v>
      </c>
      <c r="AP12" s="49" t="s">
        <v>336</v>
      </c>
    </row>
    <row r="13" spans="1:42" x14ac:dyDescent="0.4">
      <c r="B13" s="24" t="s">
        <v>11</v>
      </c>
      <c r="H13" s="15" t="s">
        <v>1715</v>
      </c>
      <c r="I13" s="25" t="b">
        <v>1</v>
      </c>
      <c r="J13" s="15" t="b">
        <v>1</v>
      </c>
      <c r="N13" s="15" t="s">
        <v>336</v>
      </c>
      <c r="O13" s="15" t="s">
        <v>336</v>
      </c>
      <c r="Y13" s="15" t="s">
        <v>336</v>
      </c>
      <c r="AI13" s="87" t="s">
        <v>1193</v>
      </c>
      <c r="AJ13" s="88">
        <v>1310</v>
      </c>
      <c r="AK13" s="15" t="s">
        <v>196</v>
      </c>
      <c r="AL13" s="15" t="s">
        <v>336</v>
      </c>
      <c r="AM13" s="15" t="s">
        <v>336</v>
      </c>
      <c r="AN13" s="15" t="s">
        <v>336</v>
      </c>
      <c r="AO13" s="15" t="s">
        <v>336</v>
      </c>
      <c r="AP13" s="49" t="s">
        <v>336</v>
      </c>
    </row>
    <row r="14" spans="1:42" x14ac:dyDescent="0.4">
      <c r="B14" s="24" t="s">
        <v>11</v>
      </c>
      <c r="H14" s="15" t="s">
        <v>1715</v>
      </c>
      <c r="I14" s="25" t="b">
        <v>1</v>
      </c>
      <c r="J14" s="15" t="b">
        <v>1</v>
      </c>
      <c r="N14" s="15" t="s">
        <v>336</v>
      </c>
      <c r="O14" s="15" t="s">
        <v>336</v>
      </c>
      <c r="Y14" s="15" t="s">
        <v>336</v>
      </c>
      <c r="AI14" s="87" t="s">
        <v>1194</v>
      </c>
      <c r="AJ14" s="88">
        <v>1336</v>
      </c>
      <c r="AK14" s="15" t="s">
        <v>197</v>
      </c>
      <c r="AL14" s="15" t="s">
        <v>336</v>
      </c>
      <c r="AM14" s="15" t="s">
        <v>336</v>
      </c>
      <c r="AN14" s="15" t="s">
        <v>336</v>
      </c>
      <c r="AO14" s="15" t="s">
        <v>336</v>
      </c>
      <c r="AP14" s="49" t="s">
        <v>336</v>
      </c>
    </row>
    <row r="15" spans="1:42" x14ac:dyDescent="0.4">
      <c r="B15" s="24" t="s">
        <v>11</v>
      </c>
      <c r="H15" s="15" t="s">
        <v>1715</v>
      </c>
      <c r="I15" s="25" t="b">
        <v>1</v>
      </c>
      <c r="J15" s="15" t="b">
        <v>1</v>
      </c>
      <c r="N15" s="15" t="s">
        <v>336</v>
      </c>
      <c r="O15" s="15" t="s">
        <v>336</v>
      </c>
      <c r="Y15" s="15" t="s">
        <v>336</v>
      </c>
      <c r="AI15" s="87" t="s">
        <v>1195</v>
      </c>
      <c r="AJ15" s="88">
        <v>1350</v>
      </c>
      <c r="AK15" s="15" t="s">
        <v>198</v>
      </c>
      <c r="AL15" s="15" t="s">
        <v>336</v>
      </c>
      <c r="AM15" s="15" t="s">
        <v>336</v>
      </c>
      <c r="AN15" s="15" t="s">
        <v>336</v>
      </c>
      <c r="AO15" s="15" t="s">
        <v>336</v>
      </c>
      <c r="AP15" s="49" t="s">
        <v>336</v>
      </c>
    </row>
    <row r="16" spans="1:42" x14ac:dyDescent="0.4">
      <c r="B16" s="24" t="s">
        <v>11</v>
      </c>
      <c r="H16" s="15" t="s">
        <v>1715</v>
      </c>
      <c r="I16" s="25" t="b">
        <v>1</v>
      </c>
      <c r="J16" s="15" t="b">
        <v>1</v>
      </c>
      <c r="N16" s="15" t="s">
        <v>336</v>
      </c>
      <c r="O16" s="15" t="s">
        <v>336</v>
      </c>
      <c r="Y16" s="15" t="s">
        <v>336</v>
      </c>
      <c r="AI16" s="87" t="s">
        <v>1197</v>
      </c>
      <c r="AJ16" s="88">
        <v>1420</v>
      </c>
      <c r="AK16" s="15" t="s">
        <v>200</v>
      </c>
      <c r="AL16" s="15" t="s">
        <v>336</v>
      </c>
      <c r="AM16" s="15" t="s">
        <v>336</v>
      </c>
      <c r="AN16" s="15" t="s">
        <v>336</v>
      </c>
      <c r="AO16" s="15" t="s">
        <v>336</v>
      </c>
      <c r="AP16" s="49" t="s">
        <v>336</v>
      </c>
    </row>
    <row r="17" spans="2:42" x14ac:dyDescent="0.4">
      <c r="B17" s="24" t="s">
        <v>552</v>
      </c>
      <c r="H17" s="15" t="s">
        <v>1715</v>
      </c>
      <c r="I17" s="25" t="b">
        <v>1</v>
      </c>
      <c r="J17" s="15" t="b">
        <v>1</v>
      </c>
      <c r="N17" s="15" t="s">
        <v>336</v>
      </c>
      <c r="O17" s="15" t="s">
        <v>336</v>
      </c>
      <c r="Y17" s="15" t="s">
        <v>336</v>
      </c>
      <c r="AI17" s="87" t="s">
        <v>1198</v>
      </c>
      <c r="AJ17" s="88">
        <v>1420</v>
      </c>
      <c r="AK17" s="15" t="s">
        <v>201</v>
      </c>
      <c r="AL17" s="15" t="s">
        <v>336</v>
      </c>
      <c r="AM17" s="15" t="s">
        <v>336</v>
      </c>
      <c r="AN17" s="15" t="s">
        <v>336</v>
      </c>
      <c r="AO17" s="15" t="s">
        <v>336</v>
      </c>
      <c r="AP17" s="49" t="s">
        <v>336</v>
      </c>
    </row>
    <row r="18" spans="2:42" x14ac:dyDescent="0.4">
      <c r="B18" s="24" t="s">
        <v>11</v>
      </c>
      <c r="H18" s="15" t="s">
        <v>1715</v>
      </c>
      <c r="I18" s="25" t="b">
        <v>1</v>
      </c>
      <c r="J18" s="15" t="b">
        <v>1</v>
      </c>
      <c r="N18" s="15" t="s">
        <v>336</v>
      </c>
      <c r="O18" s="15" t="s">
        <v>336</v>
      </c>
      <c r="Y18" s="15" t="s">
        <v>336</v>
      </c>
      <c r="AI18" s="87" t="s">
        <v>1199</v>
      </c>
      <c r="AJ18" s="88" t="s">
        <v>1079</v>
      </c>
      <c r="AK18" s="15" t="s">
        <v>202</v>
      </c>
      <c r="AL18" s="15" t="s">
        <v>336</v>
      </c>
      <c r="AM18" s="15" t="s">
        <v>336</v>
      </c>
      <c r="AN18" s="15" t="s">
        <v>336</v>
      </c>
      <c r="AO18" s="15" t="s">
        <v>336</v>
      </c>
      <c r="AP18" s="49" t="s">
        <v>336</v>
      </c>
    </row>
    <row r="19" spans="2:42" x14ac:dyDescent="0.4">
      <c r="B19" s="24" t="s">
        <v>11</v>
      </c>
      <c r="H19" s="15" t="s">
        <v>1715</v>
      </c>
      <c r="I19" s="25" t="b">
        <v>1</v>
      </c>
      <c r="J19" s="15" t="b">
        <v>1</v>
      </c>
      <c r="N19" s="15" t="s">
        <v>336</v>
      </c>
      <c r="O19" s="15" t="s">
        <v>336</v>
      </c>
      <c r="Y19" s="15" t="s">
        <v>336</v>
      </c>
      <c r="AI19" s="87" t="s">
        <v>1200</v>
      </c>
      <c r="AJ19" s="88">
        <v>1432</v>
      </c>
      <c r="AK19" s="15" t="s">
        <v>203</v>
      </c>
      <c r="AL19" s="15" t="s">
        <v>336</v>
      </c>
      <c r="AM19" s="15" t="s">
        <v>336</v>
      </c>
      <c r="AN19" s="15" t="s">
        <v>336</v>
      </c>
      <c r="AO19" s="15" t="s">
        <v>336</v>
      </c>
      <c r="AP19" s="49" t="s">
        <v>336</v>
      </c>
    </row>
    <row r="20" spans="2:42" x14ac:dyDescent="0.4">
      <c r="B20" s="24" t="s">
        <v>11</v>
      </c>
      <c r="H20" s="15" t="s">
        <v>1715</v>
      </c>
      <c r="I20" s="25" t="b">
        <v>1</v>
      </c>
      <c r="J20" s="15" t="b">
        <v>1</v>
      </c>
      <c r="N20" s="15" t="s">
        <v>336</v>
      </c>
      <c r="O20" s="15" t="s">
        <v>336</v>
      </c>
      <c r="Y20" s="15" t="s">
        <v>336</v>
      </c>
      <c r="AI20" s="87" t="s">
        <v>1201</v>
      </c>
      <c r="AJ20" s="88">
        <v>1440</v>
      </c>
      <c r="AK20" s="15" t="s">
        <v>204</v>
      </c>
      <c r="AL20" s="15" t="s">
        <v>336</v>
      </c>
      <c r="AM20" s="15" t="s">
        <v>336</v>
      </c>
      <c r="AN20" s="15" t="s">
        <v>336</v>
      </c>
      <c r="AO20" s="15" t="s">
        <v>336</v>
      </c>
      <c r="AP20" s="49" t="s">
        <v>336</v>
      </c>
    </row>
    <row r="21" spans="2:42" x14ac:dyDescent="0.4">
      <c r="B21" s="24" t="s">
        <v>552</v>
      </c>
      <c r="H21" s="15" t="s">
        <v>1715</v>
      </c>
      <c r="I21" s="25" t="b">
        <v>1</v>
      </c>
      <c r="J21" s="15" t="b">
        <v>1</v>
      </c>
      <c r="N21" s="15" t="s">
        <v>336</v>
      </c>
      <c r="O21" s="15" t="s">
        <v>336</v>
      </c>
      <c r="Y21" s="15" t="s">
        <v>336</v>
      </c>
      <c r="AI21" s="87" t="s">
        <v>1202</v>
      </c>
      <c r="AJ21" s="88">
        <v>1443</v>
      </c>
      <c r="AK21" s="15" t="s">
        <v>205</v>
      </c>
      <c r="AL21" s="15" t="s">
        <v>336</v>
      </c>
      <c r="AM21" s="15" t="s">
        <v>336</v>
      </c>
      <c r="AN21" s="15" t="s">
        <v>336</v>
      </c>
      <c r="AO21" s="15" t="s">
        <v>336</v>
      </c>
      <c r="AP21" s="49" t="s">
        <v>336</v>
      </c>
    </row>
    <row r="22" spans="2:42" x14ac:dyDescent="0.4">
      <c r="B22" s="24" t="s">
        <v>11</v>
      </c>
      <c r="H22" s="15" t="s">
        <v>1715</v>
      </c>
      <c r="I22" s="25" t="b">
        <v>1</v>
      </c>
      <c r="J22" s="15" t="b">
        <v>1</v>
      </c>
      <c r="N22" s="15" t="s">
        <v>336</v>
      </c>
      <c r="O22" s="15" t="s">
        <v>336</v>
      </c>
      <c r="Y22" s="15" t="s">
        <v>336</v>
      </c>
      <c r="AI22" s="87" t="s">
        <v>1313</v>
      </c>
      <c r="AJ22" s="88" t="s">
        <v>1312</v>
      </c>
      <c r="AK22" s="15" t="s">
        <v>206</v>
      </c>
      <c r="AL22" s="15" t="s">
        <v>336</v>
      </c>
      <c r="AM22" s="15" t="s">
        <v>336</v>
      </c>
      <c r="AN22" s="15" t="s">
        <v>336</v>
      </c>
      <c r="AO22" s="15" t="s">
        <v>336</v>
      </c>
      <c r="AP22" s="49" t="s">
        <v>336</v>
      </c>
    </row>
    <row r="23" spans="2:42" x14ac:dyDescent="0.4">
      <c r="B23" s="24" t="s">
        <v>11</v>
      </c>
      <c r="H23" s="15" t="s">
        <v>1715</v>
      </c>
      <c r="I23" s="25" t="b">
        <v>1</v>
      </c>
      <c r="J23" s="15" t="b">
        <v>1</v>
      </c>
      <c r="N23" s="15" t="s">
        <v>336</v>
      </c>
      <c r="O23" s="15" t="s">
        <v>336</v>
      </c>
      <c r="Y23" s="15" t="s">
        <v>336</v>
      </c>
      <c r="AI23" s="87" t="s">
        <v>1203</v>
      </c>
      <c r="AJ23" s="88">
        <v>1453</v>
      </c>
      <c r="AK23" s="15" t="s">
        <v>207</v>
      </c>
      <c r="AL23" s="15" t="s">
        <v>336</v>
      </c>
      <c r="AM23" s="15" t="s">
        <v>336</v>
      </c>
      <c r="AN23" s="15" t="s">
        <v>336</v>
      </c>
      <c r="AO23" s="15" t="s">
        <v>336</v>
      </c>
      <c r="AP23" s="49" t="s">
        <v>336</v>
      </c>
    </row>
    <row r="24" spans="2:42" x14ac:dyDescent="0.4">
      <c r="B24" s="24" t="s">
        <v>11</v>
      </c>
      <c r="H24" s="15" t="s">
        <v>1715</v>
      </c>
      <c r="I24" s="25" t="b">
        <v>1</v>
      </c>
      <c r="J24" s="15" t="b">
        <v>1</v>
      </c>
      <c r="N24" s="15" t="s">
        <v>336</v>
      </c>
      <c r="O24" s="15" t="s">
        <v>336</v>
      </c>
      <c r="Y24" s="15" t="s">
        <v>336</v>
      </c>
      <c r="AI24" s="87" t="s">
        <v>1204</v>
      </c>
      <c r="AJ24" s="88">
        <v>1462</v>
      </c>
      <c r="AK24" s="15" t="s">
        <v>208</v>
      </c>
      <c r="AL24" s="15" t="s">
        <v>336</v>
      </c>
      <c r="AM24" s="15" t="s">
        <v>336</v>
      </c>
      <c r="AN24" s="15" t="s">
        <v>336</v>
      </c>
      <c r="AO24" s="15" t="s">
        <v>336</v>
      </c>
      <c r="AP24" s="49" t="s">
        <v>336</v>
      </c>
    </row>
    <row r="25" spans="2:42" x14ac:dyDescent="0.4">
      <c r="B25" s="24" t="s">
        <v>11</v>
      </c>
      <c r="H25" s="15" t="s">
        <v>1715</v>
      </c>
      <c r="I25" s="25" t="b">
        <v>1</v>
      </c>
      <c r="J25" s="15" t="b">
        <v>1</v>
      </c>
      <c r="N25" s="15" t="s">
        <v>336</v>
      </c>
      <c r="O25" s="15" t="s">
        <v>336</v>
      </c>
      <c r="Y25" s="15" t="s">
        <v>336</v>
      </c>
      <c r="AI25" s="87" t="s">
        <v>1205</v>
      </c>
      <c r="AJ25" s="88">
        <v>1467</v>
      </c>
      <c r="AK25" s="15" t="s">
        <v>209</v>
      </c>
      <c r="AL25" s="15" t="s">
        <v>336</v>
      </c>
      <c r="AM25" s="15" t="s">
        <v>336</v>
      </c>
      <c r="AN25" s="15" t="s">
        <v>336</v>
      </c>
      <c r="AO25" s="15" t="s">
        <v>336</v>
      </c>
      <c r="AP25" s="49" t="s">
        <v>336</v>
      </c>
    </row>
    <row r="26" spans="2:42" x14ac:dyDescent="0.4">
      <c r="B26" s="24" t="s">
        <v>11</v>
      </c>
      <c r="H26" s="15" t="s">
        <v>1715</v>
      </c>
      <c r="I26" s="25" t="b">
        <v>1</v>
      </c>
      <c r="J26" s="15" t="b">
        <v>1</v>
      </c>
      <c r="N26" s="15" t="s">
        <v>336</v>
      </c>
      <c r="O26" s="15" t="s">
        <v>336</v>
      </c>
      <c r="Y26" s="15" t="s">
        <v>336</v>
      </c>
      <c r="AI26" s="87" t="s">
        <v>1206</v>
      </c>
      <c r="AJ26" s="88">
        <v>1470</v>
      </c>
      <c r="AK26" s="15" t="s">
        <v>210</v>
      </c>
      <c r="AL26" s="15" t="s">
        <v>336</v>
      </c>
      <c r="AM26" s="15" t="s">
        <v>336</v>
      </c>
      <c r="AN26" s="15" t="s">
        <v>336</v>
      </c>
      <c r="AO26" s="15" t="s">
        <v>336</v>
      </c>
      <c r="AP26" s="49" t="s">
        <v>336</v>
      </c>
    </row>
    <row r="27" spans="2:42" x14ac:dyDescent="0.4">
      <c r="B27" s="24" t="s">
        <v>11</v>
      </c>
      <c r="H27" s="15" t="s">
        <v>1715</v>
      </c>
      <c r="I27" s="25" t="b">
        <v>1</v>
      </c>
      <c r="J27" s="15" t="b">
        <v>1</v>
      </c>
      <c r="N27" s="15" t="s">
        <v>336</v>
      </c>
      <c r="O27" s="15" t="s">
        <v>336</v>
      </c>
      <c r="Y27" s="15" t="s">
        <v>336</v>
      </c>
      <c r="AI27" s="87" t="s">
        <v>1207</v>
      </c>
      <c r="AJ27" s="88">
        <v>1480</v>
      </c>
      <c r="AK27" s="15" t="s">
        <v>211</v>
      </c>
      <c r="AL27" s="15" t="s">
        <v>336</v>
      </c>
      <c r="AM27" s="15" t="s">
        <v>336</v>
      </c>
      <c r="AN27" s="15" t="s">
        <v>336</v>
      </c>
      <c r="AO27" s="15" t="s">
        <v>336</v>
      </c>
      <c r="AP27" s="49" t="s">
        <v>336</v>
      </c>
    </row>
    <row r="28" spans="2:42" x14ac:dyDescent="0.4">
      <c r="B28" s="24" t="s">
        <v>552</v>
      </c>
      <c r="H28" s="15" t="s">
        <v>1715</v>
      </c>
      <c r="I28" s="25" t="b">
        <v>1</v>
      </c>
      <c r="J28" s="15" t="b">
        <v>1</v>
      </c>
      <c r="N28" s="15" t="s">
        <v>336</v>
      </c>
      <c r="O28" s="15" t="s">
        <v>336</v>
      </c>
      <c r="Y28" s="15" t="s">
        <v>336</v>
      </c>
      <c r="AI28" s="87" t="s">
        <v>1208</v>
      </c>
      <c r="AJ28" s="88">
        <v>1481</v>
      </c>
      <c r="AK28" s="15" t="s">
        <v>212</v>
      </c>
      <c r="AL28" s="15" t="s">
        <v>336</v>
      </c>
      <c r="AM28" s="15" t="s">
        <v>336</v>
      </c>
      <c r="AN28" s="15" t="s">
        <v>336</v>
      </c>
      <c r="AO28" s="15" t="s">
        <v>336</v>
      </c>
      <c r="AP28" s="49" t="s">
        <v>336</v>
      </c>
    </row>
    <row r="29" spans="2:42" x14ac:dyDescent="0.4">
      <c r="B29" s="24" t="s">
        <v>11</v>
      </c>
      <c r="H29" s="15" t="s">
        <v>1715</v>
      </c>
      <c r="I29" s="25" t="b">
        <v>1</v>
      </c>
      <c r="J29" s="15" t="b">
        <v>1</v>
      </c>
      <c r="N29" s="15" t="s">
        <v>336</v>
      </c>
      <c r="O29" s="15" t="s">
        <v>336</v>
      </c>
      <c r="Y29" s="15" t="s">
        <v>336</v>
      </c>
      <c r="AI29" s="87" t="s">
        <v>1209</v>
      </c>
      <c r="AJ29" s="88">
        <v>1483</v>
      </c>
      <c r="AK29" s="15" t="s">
        <v>213</v>
      </c>
      <c r="AL29" s="15" t="s">
        <v>336</v>
      </c>
      <c r="AM29" s="15" t="s">
        <v>336</v>
      </c>
      <c r="AN29" s="15" t="s">
        <v>336</v>
      </c>
      <c r="AO29" s="15" t="s">
        <v>336</v>
      </c>
      <c r="AP29" s="49" t="s">
        <v>336</v>
      </c>
    </row>
    <row r="30" spans="2:42" x14ac:dyDescent="0.4">
      <c r="B30" s="24" t="s">
        <v>552</v>
      </c>
      <c r="H30" s="15" t="s">
        <v>1715</v>
      </c>
      <c r="I30" s="25" t="b">
        <v>1</v>
      </c>
      <c r="J30" s="15" t="b">
        <v>1</v>
      </c>
      <c r="N30" s="15" t="s">
        <v>336</v>
      </c>
      <c r="O30" s="15" t="s">
        <v>336</v>
      </c>
      <c r="Y30" s="15" t="s">
        <v>336</v>
      </c>
      <c r="AI30" s="87" t="s">
        <v>1210</v>
      </c>
      <c r="AJ30" s="88">
        <v>1484</v>
      </c>
      <c r="AK30" s="15" t="s">
        <v>214</v>
      </c>
      <c r="AL30" s="15" t="s">
        <v>336</v>
      </c>
      <c r="AM30" s="15" t="s">
        <v>336</v>
      </c>
      <c r="AN30" s="15" t="s">
        <v>336</v>
      </c>
      <c r="AO30" s="15" t="s">
        <v>336</v>
      </c>
      <c r="AP30" s="49" t="s">
        <v>336</v>
      </c>
    </row>
    <row r="31" spans="2:42" x14ac:dyDescent="0.4">
      <c r="B31" s="24" t="s">
        <v>11</v>
      </c>
      <c r="H31" s="15" t="s">
        <v>1715</v>
      </c>
      <c r="I31" s="25" t="b">
        <v>1</v>
      </c>
      <c r="J31" s="15" t="b">
        <v>1</v>
      </c>
      <c r="N31" s="15" t="s">
        <v>336</v>
      </c>
      <c r="O31" s="15" t="s">
        <v>336</v>
      </c>
      <c r="Y31" s="15" t="s">
        <v>336</v>
      </c>
      <c r="AI31" s="87" t="s">
        <v>1211</v>
      </c>
      <c r="AJ31" s="88">
        <v>1484</v>
      </c>
      <c r="AK31" s="15" t="s">
        <v>215</v>
      </c>
      <c r="AL31" s="15" t="s">
        <v>336</v>
      </c>
      <c r="AM31" s="15" t="s">
        <v>336</v>
      </c>
      <c r="AN31" s="15" t="s">
        <v>336</v>
      </c>
      <c r="AO31" s="15" t="s">
        <v>336</v>
      </c>
      <c r="AP31" s="49" t="s">
        <v>336</v>
      </c>
    </row>
    <row r="32" spans="2:42" x14ac:dyDescent="0.4">
      <c r="B32" s="24" t="s">
        <v>11</v>
      </c>
      <c r="H32" s="15" t="s">
        <v>1715</v>
      </c>
      <c r="I32" s="25" t="b">
        <v>1</v>
      </c>
      <c r="J32" s="15" t="b">
        <v>1</v>
      </c>
      <c r="N32" s="15" t="s">
        <v>336</v>
      </c>
      <c r="O32" s="15" t="s">
        <v>336</v>
      </c>
      <c r="Y32" s="15" t="s">
        <v>336</v>
      </c>
      <c r="AI32" s="87" t="s">
        <v>1212</v>
      </c>
      <c r="AJ32" s="88">
        <v>1490</v>
      </c>
      <c r="AK32" s="15" t="s">
        <v>216</v>
      </c>
      <c r="AL32" s="15" t="s">
        <v>336</v>
      </c>
      <c r="AM32" s="15" t="s">
        <v>336</v>
      </c>
      <c r="AN32" s="15" t="s">
        <v>336</v>
      </c>
      <c r="AO32" s="15" t="s">
        <v>336</v>
      </c>
      <c r="AP32" s="49" t="s">
        <v>336</v>
      </c>
    </row>
    <row r="33" spans="2:42" x14ac:dyDescent="0.4">
      <c r="B33" s="24" t="s">
        <v>557</v>
      </c>
      <c r="H33" s="15" t="s">
        <v>1715</v>
      </c>
      <c r="I33" s="25" t="b">
        <v>1</v>
      </c>
      <c r="J33" s="15" t="b">
        <v>1</v>
      </c>
      <c r="N33" s="15" t="s">
        <v>336</v>
      </c>
      <c r="O33" s="15" t="s">
        <v>336</v>
      </c>
      <c r="Y33" s="15" t="s">
        <v>336</v>
      </c>
      <c r="AI33" s="87" t="s">
        <v>1213</v>
      </c>
      <c r="AJ33" s="88">
        <v>1491</v>
      </c>
      <c r="AK33" s="15" t="s">
        <v>217</v>
      </c>
      <c r="AL33" s="15" t="s">
        <v>336</v>
      </c>
      <c r="AM33" s="15" t="s">
        <v>336</v>
      </c>
      <c r="AN33" s="15" t="s">
        <v>336</v>
      </c>
      <c r="AO33" s="15" t="s">
        <v>336</v>
      </c>
      <c r="AP33" s="49" t="s">
        <v>336</v>
      </c>
    </row>
    <row r="34" spans="2:42" x14ac:dyDescent="0.4">
      <c r="B34" s="24" t="s">
        <v>11</v>
      </c>
      <c r="H34" s="15" t="s">
        <v>1715</v>
      </c>
      <c r="I34" s="25" t="b">
        <v>1</v>
      </c>
      <c r="J34" s="15" t="b">
        <v>1</v>
      </c>
      <c r="N34" s="15" t="s">
        <v>336</v>
      </c>
      <c r="O34" s="15" t="s">
        <v>336</v>
      </c>
      <c r="Y34" s="15" t="s">
        <v>336</v>
      </c>
      <c r="AI34" s="87" t="s">
        <v>1214</v>
      </c>
      <c r="AJ34" s="88">
        <v>1492</v>
      </c>
      <c r="AK34" s="15" t="s">
        <v>218</v>
      </c>
      <c r="AL34" s="15" t="s">
        <v>336</v>
      </c>
      <c r="AM34" s="15" t="s">
        <v>336</v>
      </c>
      <c r="AN34" s="15" t="s">
        <v>336</v>
      </c>
      <c r="AO34" s="15" t="s">
        <v>336</v>
      </c>
      <c r="AP34" s="49" t="s">
        <v>336</v>
      </c>
    </row>
    <row r="35" spans="2:42" x14ac:dyDescent="0.4">
      <c r="B35" s="24" t="s">
        <v>11</v>
      </c>
      <c r="H35" s="15" t="s">
        <v>1715</v>
      </c>
      <c r="I35" s="25" t="b">
        <v>1</v>
      </c>
      <c r="J35" s="15" t="b">
        <v>1</v>
      </c>
      <c r="N35" s="15" t="s">
        <v>336</v>
      </c>
      <c r="O35" s="15" t="s">
        <v>336</v>
      </c>
      <c r="Y35" s="15" t="s">
        <v>336</v>
      </c>
      <c r="AI35" s="87" t="s">
        <v>1215</v>
      </c>
      <c r="AJ35" s="88">
        <v>1494</v>
      </c>
      <c r="AK35" s="15" t="s">
        <v>219</v>
      </c>
      <c r="AL35" s="15" t="s">
        <v>336</v>
      </c>
      <c r="AM35" s="15" t="s">
        <v>336</v>
      </c>
      <c r="AN35" s="15" t="s">
        <v>336</v>
      </c>
      <c r="AO35" s="15" t="s">
        <v>336</v>
      </c>
      <c r="AP35" s="49" t="s">
        <v>336</v>
      </c>
    </row>
    <row r="36" spans="2:42" x14ac:dyDescent="0.4">
      <c r="B36" s="24" t="s">
        <v>11</v>
      </c>
      <c r="H36" s="15" t="s">
        <v>1715</v>
      </c>
      <c r="I36" s="25" t="b">
        <v>1</v>
      </c>
      <c r="J36" s="15" t="b">
        <v>1</v>
      </c>
      <c r="N36" s="15" t="s">
        <v>336</v>
      </c>
      <c r="O36" s="15" t="s">
        <v>336</v>
      </c>
      <c r="Y36" s="15" t="s">
        <v>336</v>
      </c>
      <c r="AI36" s="87" t="s">
        <v>1216</v>
      </c>
      <c r="AJ36" s="88">
        <v>1496</v>
      </c>
      <c r="AK36" s="15" t="s">
        <v>220</v>
      </c>
      <c r="AL36" s="15" t="s">
        <v>336</v>
      </c>
      <c r="AM36" s="15" t="s">
        <v>336</v>
      </c>
      <c r="AN36" s="15" t="s">
        <v>336</v>
      </c>
      <c r="AO36" s="15" t="s">
        <v>336</v>
      </c>
      <c r="AP36" s="49" t="s">
        <v>336</v>
      </c>
    </row>
    <row r="37" spans="2:42" x14ac:dyDescent="0.4">
      <c r="B37" s="24" t="s">
        <v>11</v>
      </c>
      <c r="H37" s="15" t="s">
        <v>1715</v>
      </c>
      <c r="I37" s="25" t="b">
        <v>1</v>
      </c>
      <c r="J37" s="15" t="b">
        <v>1</v>
      </c>
      <c r="N37" s="15" t="s">
        <v>336</v>
      </c>
      <c r="O37" s="15" t="s">
        <v>336</v>
      </c>
      <c r="Y37" s="15" t="s">
        <v>336</v>
      </c>
      <c r="AI37" s="87" t="s">
        <v>1217</v>
      </c>
      <c r="AJ37" s="88" t="s">
        <v>1096</v>
      </c>
      <c r="AK37" s="15" t="s">
        <v>221</v>
      </c>
      <c r="AL37" s="15" t="s">
        <v>336</v>
      </c>
      <c r="AM37" s="15" t="s">
        <v>336</v>
      </c>
      <c r="AN37" s="15" t="s">
        <v>336</v>
      </c>
      <c r="AO37" s="15" t="s">
        <v>336</v>
      </c>
      <c r="AP37" s="49" t="s">
        <v>336</v>
      </c>
    </row>
    <row r="38" spans="2:42" x14ac:dyDescent="0.4">
      <c r="B38" s="24" t="s">
        <v>531</v>
      </c>
      <c r="H38" s="15" t="s">
        <v>1715</v>
      </c>
      <c r="I38" s="25" t="b">
        <v>1</v>
      </c>
      <c r="J38" s="15" t="b">
        <v>1</v>
      </c>
      <c r="N38" s="15" t="s">
        <v>336</v>
      </c>
      <c r="O38" s="15" t="s">
        <v>336</v>
      </c>
      <c r="Y38" s="15" t="s">
        <v>336</v>
      </c>
      <c r="AI38" s="87" t="s">
        <v>1219</v>
      </c>
      <c r="AJ38" s="88" t="s">
        <v>1096</v>
      </c>
      <c r="AK38" s="15" t="s">
        <v>223</v>
      </c>
      <c r="AL38" s="15" t="s">
        <v>336</v>
      </c>
      <c r="AM38" s="15" t="s">
        <v>336</v>
      </c>
      <c r="AN38" s="15" t="s">
        <v>336</v>
      </c>
      <c r="AO38" s="15" t="s">
        <v>336</v>
      </c>
      <c r="AP38" s="49" t="s">
        <v>336</v>
      </c>
    </row>
    <row r="39" spans="2:42" x14ac:dyDescent="0.4">
      <c r="B39" s="24" t="s">
        <v>502</v>
      </c>
      <c r="H39" s="15" t="s">
        <v>1715</v>
      </c>
      <c r="I39" s="25" t="b">
        <v>1</v>
      </c>
      <c r="J39" s="15" t="b">
        <v>1</v>
      </c>
      <c r="N39" s="15" t="s">
        <v>336</v>
      </c>
      <c r="O39" s="15" t="s">
        <v>336</v>
      </c>
      <c r="Y39" s="15" t="s">
        <v>336</v>
      </c>
      <c r="AI39" s="87" t="s">
        <v>1220</v>
      </c>
      <c r="AJ39" s="88" t="s">
        <v>1096</v>
      </c>
      <c r="AK39" s="15" t="s">
        <v>224</v>
      </c>
      <c r="AL39" s="15" t="s">
        <v>336</v>
      </c>
      <c r="AM39" s="15" t="s">
        <v>336</v>
      </c>
      <c r="AN39" s="15" t="s">
        <v>336</v>
      </c>
      <c r="AO39" s="15" t="s">
        <v>336</v>
      </c>
      <c r="AP39" s="49" t="s">
        <v>336</v>
      </c>
    </row>
    <row r="40" spans="2:42" x14ac:dyDescent="0.4">
      <c r="B40" s="24" t="s">
        <v>11</v>
      </c>
      <c r="H40" s="15" t="s">
        <v>1715</v>
      </c>
      <c r="I40" s="25" t="b">
        <v>1</v>
      </c>
      <c r="J40" s="15" t="b">
        <v>1</v>
      </c>
      <c r="N40" s="15" t="s">
        <v>336</v>
      </c>
      <c r="O40" s="15" t="s">
        <v>336</v>
      </c>
      <c r="Y40" s="15" t="s">
        <v>336</v>
      </c>
      <c r="AI40" s="87" t="s">
        <v>1221</v>
      </c>
      <c r="AJ40" s="88">
        <v>1504</v>
      </c>
      <c r="AK40" s="15" t="s">
        <v>225</v>
      </c>
      <c r="AL40" s="15" t="s">
        <v>336</v>
      </c>
      <c r="AM40" s="15" t="s">
        <v>336</v>
      </c>
      <c r="AN40" s="15" t="s">
        <v>336</v>
      </c>
      <c r="AO40" s="15" t="s">
        <v>336</v>
      </c>
      <c r="AP40" s="49" t="s">
        <v>336</v>
      </c>
    </row>
    <row r="41" spans="2:42" x14ac:dyDescent="0.4">
      <c r="B41" s="24" t="s">
        <v>11</v>
      </c>
      <c r="H41" s="15" t="s">
        <v>1715</v>
      </c>
      <c r="I41" s="25" t="b">
        <v>1</v>
      </c>
      <c r="J41" s="15" t="b">
        <v>1</v>
      </c>
      <c r="N41" s="15" t="s">
        <v>336</v>
      </c>
      <c r="O41" s="15" t="s">
        <v>336</v>
      </c>
      <c r="Y41" s="15" t="s">
        <v>336</v>
      </c>
      <c r="AI41" s="87" t="s">
        <v>1222</v>
      </c>
      <c r="AJ41" s="88">
        <v>1510</v>
      </c>
      <c r="AK41" s="15" t="s">
        <v>226</v>
      </c>
      <c r="AL41" s="15" t="s">
        <v>336</v>
      </c>
      <c r="AM41" s="15" t="s">
        <v>336</v>
      </c>
      <c r="AN41" s="15" t="s">
        <v>336</v>
      </c>
      <c r="AO41" s="15" t="s">
        <v>336</v>
      </c>
      <c r="AP41" s="49" t="s">
        <v>336</v>
      </c>
    </row>
    <row r="42" spans="2:42" x14ac:dyDescent="0.4">
      <c r="B42" s="24" t="s">
        <v>11</v>
      </c>
      <c r="H42" s="15" t="s">
        <v>1715</v>
      </c>
      <c r="I42" s="25" t="b">
        <v>1</v>
      </c>
      <c r="J42" s="15" t="b">
        <v>1</v>
      </c>
      <c r="N42" s="15" t="s">
        <v>336</v>
      </c>
      <c r="O42" s="15" t="s">
        <v>336</v>
      </c>
      <c r="Y42" s="15" t="s">
        <v>336</v>
      </c>
      <c r="AI42" s="87" t="s">
        <v>1223</v>
      </c>
      <c r="AJ42" s="88">
        <v>1510</v>
      </c>
      <c r="AK42" s="15" t="s">
        <v>227</v>
      </c>
      <c r="AL42" s="15" t="s">
        <v>336</v>
      </c>
      <c r="AM42" s="15" t="s">
        <v>336</v>
      </c>
      <c r="AN42" s="15" t="s">
        <v>336</v>
      </c>
      <c r="AO42" s="15" t="s">
        <v>336</v>
      </c>
      <c r="AP42" s="49" t="s">
        <v>336</v>
      </c>
    </row>
    <row r="43" spans="2:42" x14ac:dyDescent="0.4">
      <c r="B43" s="24" t="s">
        <v>11</v>
      </c>
      <c r="H43" s="15" t="s">
        <v>1715</v>
      </c>
      <c r="I43" s="25" t="b">
        <v>1</v>
      </c>
      <c r="J43" s="15" t="b">
        <v>1</v>
      </c>
      <c r="N43" s="15" t="s">
        <v>336</v>
      </c>
      <c r="O43" s="15" t="s">
        <v>336</v>
      </c>
      <c r="Y43" s="15" t="s">
        <v>336</v>
      </c>
      <c r="AI43" s="87" t="s">
        <v>1224</v>
      </c>
      <c r="AJ43" s="88">
        <v>1510</v>
      </c>
      <c r="AK43" s="15" t="s">
        <v>228</v>
      </c>
      <c r="AL43" s="15" t="s">
        <v>336</v>
      </c>
      <c r="AM43" s="15" t="s">
        <v>336</v>
      </c>
      <c r="AN43" s="15" t="s">
        <v>336</v>
      </c>
      <c r="AO43" s="15" t="s">
        <v>336</v>
      </c>
      <c r="AP43" s="49" t="s">
        <v>336</v>
      </c>
    </row>
    <row r="44" spans="2:42" x14ac:dyDescent="0.4">
      <c r="B44" s="24" t="s">
        <v>651</v>
      </c>
      <c r="H44" s="15" t="s">
        <v>1715</v>
      </c>
      <c r="I44" s="25" t="b">
        <v>1</v>
      </c>
      <c r="J44" s="15" t="b">
        <v>1</v>
      </c>
      <c r="N44" s="15" t="s">
        <v>336</v>
      </c>
      <c r="O44" s="15" t="s">
        <v>336</v>
      </c>
      <c r="Y44" s="15" t="s">
        <v>336</v>
      </c>
      <c r="AI44" s="87" t="s">
        <v>1225</v>
      </c>
      <c r="AJ44" s="88">
        <v>1513</v>
      </c>
      <c r="AK44" s="15" t="s">
        <v>229</v>
      </c>
      <c r="AL44" s="15" t="s">
        <v>336</v>
      </c>
      <c r="AM44" s="15" t="s">
        <v>336</v>
      </c>
      <c r="AN44" s="15" t="s">
        <v>336</v>
      </c>
      <c r="AO44" s="15" t="s">
        <v>336</v>
      </c>
      <c r="AP44" s="49" t="s">
        <v>336</v>
      </c>
    </row>
    <row r="45" spans="2:42" x14ac:dyDescent="0.4">
      <c r="B45" s="24" t="s">
        <v>557</v>
      </c>
      <c r="H45" s="15" t="s">
        <v>1715</v>
      </c>
      <c r="I45" s="25" t="b">
        <v>1</v>
      </c>
      <c r="J45" s="15" t="b">
        <v>1</v>
      </c>
      <c r="N45" s="15" t="s">
        <v>336</v>
      </c>
      <c r="O45" s="15" t="s">
        <v>336</v>
      </c>
      <c r="Y45" s="15" t="s">
        <v>336</v>
      </c>
      <c r="AI45" s="87" t="s">
        <v>1226</v>
      </c>
      <c r="AJ45" s="88">
        <v>1515</v>
      </c>
      <c r="AK45" s="15" t="s">
        <v>230</v>
      </c>
      <c r="AL45" s="15" t="s">
        <v>336</v>
      </c>
      <c r="AM45" s="15" t="s">
        <v>336</v>
      </c>
      <c r="AN45" s="15" t="s">
        <v>336</v>
      </c>
      <c r="AO45" s="15" t="s">
        <v>336</v>
      </c>
      <c r="AP45" s="49" t="s">
        <v>336</v>
      </c>
    </row>
    <row r="46" spans="2:42" x14ac:dyDescent="0.4">
      <c r="B46" s="24" t="s">
        <v>11</v>
      </c>
      <c r="H46" s="15" t="s">
        <v>1715</v>
      </c>
      <c r="I46" s="25" t="b">
        <v>1</v>
      </c>
      <c r="J46" s="15" t="b">
        <v>1</v>
      </c>
      <c r="N46" s="15" t="s">
        <v>336</v>
      </c>
      <c r="O46" s="15" t="s">
        <v>336</v>
      </c>
      <c r="Y46" s="15" t="s">
        <v>336</v>
      </c>
      <c r="AI46" s="87" t="s">
        <v>1227</v>
      </c>
      <c r="AJ46" s="88">
        <v>1519</v>
      </c>
      <c r="AK46" s="15" t="s">
        <v>231</v>
      </c>
      <c r="AL46" s="15" t="s">
        <v>336</v>
      </c>
      <c r="AM46" s="15" t="s">
        <v>336</v>
      </c>
      <c r="AN46" s="15" t="s">
        <v>336</v>
      </c>
      <c r="AO46" s="15" t="s">
        <v>336</v>
      </c>
      <c r="AP46" s="49" t="s">
        <v>336</v>
      </c>
    </row>
    <row r="47" spans="2:42" x14ac:dyDescent="0.4">
      <c r="B47" s="24" t="s">
        <v>557</v>
      </c>
      <c r="H47" s="15" t="s">
        <v>1715</v>
      </c>
      <c r="I47" s="25" t="b">
        <v>1</v>
      </c>
      <c r="J47" s="15" t="b">
        <v>1</v>
      </c>
      <c r="N47" s="15" t="s">
        <v>336</v>
      </c>
      <c r="O47" s="15" t="s">
        <v>336</v>
      </c>
      <c r="Y47" s="15" t="s">
        <v>336</v>
      </c>
      <c r="AI47" s="87" t="s">
        <v>1228</v>
      </c>
      <c r="AJ47" s="88" t="s">
        <v>1102</v>
      </c>
      <c r="AK47" s="15" t="s">
        <v>232</v>
      </c>
      <c r="AL47" s="15" t="s">
        <v>336</v>
      </c>
      <c r="AM47" s="15" t="s">
        <v>336</v>
      </c>
      <c r="AN47" s="15" t="s">
        <v>336</v>
      </c>
      <c r="AO47" s="15" t="s">
        <v>336</v>
      </c>
      <c r="AP47" s="49" t="s">
        <v>336</v>
      </c>
    </row>
    <row r="48" spans="2:42" x14ac:dyDescent="0.4">
      <c r="B48" s="24" t="s">
        <v>11</v>
      </c>
      <c r="H48" s="15" t="s">
        <v>1715</v>
      </c>
      <c r="I48" s="25" t="b">
        <v>1</v>
      </c>
      <c r="J48" s="15" t="b">
        <v>1</v>
      </c>
      <c r="N48" s="15" t="s">
        <v>336</v>
      </c>
      <c r="O48" s="15" t="s">
        <v>336</v>
      </c>
      <c r="Y48" s="15" t="s">
        <v>336</v>
      </c>
      <c r="AI48" s="87" t="s">
        <v>1229</v>
      </c>
      <c r="AJ48" s="88">
        <v>1521</v>
      </c>
      <c r="AK48" s="15" t="s">
        <v>233</v>
      </c>
      <c r="AL48" s="15" t="s">
        <v>336</v>
      </c>
      <c r="AM48" s="15" t="s">
        <v>336</v>
      </c>
      <c r="AN48" s="15" t="s">
        <v>336</v>
      </c>
      <c r="AO48" s="15" t="s">
        <v>336</v>
      </c>
      <c r="AP48" s="49" t="s">
        <v>336</v>
      </c>
    </row>
    <row r="49" spans="2:42" x14ac:dyDescent="0.4">
      <c r="B49" s="24" t="s">
        <v>11</v>
      </c>
      <c r="H49" s="15" t="s">
        <v>1715</v>
      </c>
      <c r="I49" s="25" t="b">
        <v>1</v>
      </c>
      <c r="J49" s="15" t="b">
        <v>1</v>
      </c>
      <c r="N49" s="15" t="s">
        <v>336</v>
      </c>
      <c r="O49" s="15" t="s">
        <v>336</v>
      </c>
      <c r="Y49" s="15" t="s">
        <v>336</v>
      </c>
      <c r="AI49" s="87" t="s">
        <v>1230</v>
      </c>
      <c r="AJ49" s="88">
        <v>1521</v>
      </c>
      <c r="AK49" s="15" t="s">
        <v>234</v>
      </c>
      <c r="AL49" s="15" t="s">
        <v>336</v>
      </c>
      <c r="AM49" s="15" t="s">
        <v>336</v>
      </c>
      <c r="AN49" s="15" t="s">
        <v>336</v>
      </c>
      <c r="AO49" s="15" t="s">
        <v>336</v>
      </c>
      <c r="AP49" s="49" t="s">
        <v>336</v>
      </c>
    </row>
    <row r="50" spans="2:42" x14ac:dyDescent="0.4">
      <c r="B50" s="24" t="s">
        <v>11</v>
      </c>
      <c r="H50" s="15" t="s">
        <v>1715</v>
      </c>
      <c r="I50" s="25" t="b">
        <v>1</v>
      </c>
      <c r="J50" s="15" t="b">
        <v>1</v>
      </c>
      <c r="N50" s="15" t="s">
        <v>336</v>
      </c>
      <c r="O50" s="15" t="s">
        <v>336</v>
      </c>
      <c r="Y50" s="15" t="s">
        <v>336</v>
      </c>
      <c r="AI50" s="87" t="s">
        <v>1231</v>
      </c>
      <c r="AJ50" s="88">
        <v>1525</v>
      </c>
      <c r="AK50" s="15" t="s">
        <v>235</v>
      </c>
      <c r="AL50" s="15" t="s">
        <v>336</v>
      </c>
      <c r="AM50" s="15" t="s">
        <v>336</v>
      </c>
      <c r="AN50" s="15" t="s">
        <v>336</v>
      </c>
      <c r="AO50" s="15" t="s">
        <v>336</v>
      </c>
      <c r="AP50" s="49" t="s">
        <v>336</v>
      </c>
    </row>
    <row r="51" spans="2:42" x14ac:dyDescent="0.4">
      <c r="B51" s="24" t="s">
        <v>11</v>
      </c>
      <c r="H51" s="15" t="s">
        <v>1715</v>
      </c>
      <c r="I51" s="25" t="b">
        <v>1</v>
      </c>
      <c r="J51" s="15" t="b">
        <v>1</v>
      </c>
      <c r="N51" s="15" t="s">
        <v>336</v>
      </c>
      <c r="O51" s="15" t="s">
        <v>336</v>
      </c>
      <c r="Y51" s="15" t="s">
        <v>336</v>
      </c>
      <c r="AI51" s="87" t="s">
        <v>1232</v>
      </c>
      <c r="AJ51" s="88">
        <v>1528</v>
      </c>
      <c r="AK51" s="15" t="s">
        <v>236</v>
      </c>
      <c r="AL51" s="15" t="s">
        <v>336</v>
      </c>
      <c r="AM51" s="15" t="s">
        <v>336</v>
      </c>
      <c r="AN51" s="15" t="s">
        <v>336</v>
      </c>
      <c r="AO51" s="15" t="s">
        <v>336</v>
      </c>
      <c r="AP51" s="49" t="s">
        <v>336</v>
      </c>
    </row>
    <row r="52" spans="2:42" x14ac:dyDescent="0.4">
      <c r="B52" s="24" t="s">
        <v>11</v>
      </c>
      <c r="H52" s="15" t="s">
        <v>1715</v>
      </c>
      <c r="I52" s="25" t="b">
        <v>1</v>
      </c>
      <c r="J52" s="15" t="b">
        <v>1</v>
      </c>
      <c r="N52" s="15" t="s">
        <v>336</v>
      </c>
      <c r="O52" s="15" t="s">
        <v>336</v>
      </c>
      <c r="Y52" s="15" t="s">
        <v>336</v>
      </c>
      <c r="AI52" s="87" t="s">
        <v>1233</v>
      </c>
      <c r="AJ52" s="88">
        <v>1536</v>
      </c>
      <c r="AK52" s="15" t="s">
        <v>238</v>
      </c>
      <c r="AL52" s="15" t="s">
        <v>336</v>
      </c>
      <c r="AM52" s="15" t="s">
        <v>336</v>
      </c>
      <c r="AN52" s="15" t="s">
        <v>336</v>
      </c>
      <c r="AO52" s="15" t="s">
        <v>336</v>
      </c>
      <c r="AP52" s="49" t="s">
        <v>336</v>
      </c>
    </row>
    <row r="53" spans="2:42" x14ac:dyDescent="0.4">
      <c r="B53" s="24" t="s">
        <v>630</v>
      </c>
      <c r="H53" s="15" t="s">
        <v>1715</v>
      </c>
      <c r="I53" s="25" t="b">
        <v>1</v>
      </c>
      <c r="J53" s="15" t="b">
        <v>1</v>
      </c>
      <c r="N53" s="15" t="s">
        <v>336</v>
      </c>
      <c r="O53" s="15" t="s">
        <v>336</v>
      </c>
      <c r="Y53" s="15" t="s">
        <v>336</v>
      </c>
      <c r="AI53" s="87" t="s">
        <v>1235</v>
      </c>
      <c r="AJ53" s="88">
        <v>1541</v>
      </c>
      <c r="AK53" s="15" t="s">
        <v>240</v>
      </c>
      <c r="AL53" s="15" t="s">
        <v>336</v>
      </c>
      <c r="AM53" s="15" t="s">
        <v>336</v>
      </c>
      <c r="AN53" s="15" t="s">
        <v>336</v>
      </c>
      <c r="AO53" s="15" t="s">
        <v>336</v>
      </c>
      <c r="AP53" s="49" t="s">
        <v>336</v>
      </c>
    </row>
    <row r="54" spans="2:42" x14ac:dyDescent="0.4">
      <c r="B54" s="24" t="s">
        <v>11</v>
      </c>
      <c r="H54" s="15" t="s">
        <v>1715</v>
      </c>
      <c r="I54" s="25" t="b">
        <v>1</v>
      </c>
      <c r="J54" s="15" t="b">
        <v>1</v>
      </c>
      <c r="N54" s="15" t="s">
        <v>336</v>
      </c>
      <c r="O54" s="15" t="s">
        <v>336</v>
      </c>
      <c r="Y54" s="15" t="s">
        <v>336</v>
      </c>
      <c r="AI54" s="87" t="s">
        <v>1236</v>
      </c>
      <c r="AJ54" s="88">
        <v>1543</v>
      </c>
      <c r="AK54" s="15" t="s">
        <v>241</v>
      </c>
      <c r="AL54" s="15" t="s">
        <v>336</v>
      </c>
      <c r="AM54" s="15" t="s">
        <v>336</v>
      </c>
      <c r="AN54" s="15" t="s">
        <v>336</v>
      </c>
      <c r="AO54" s="15" t="s">
        <v>336</v>
      </c>
      <c r="AP54" s="49" t="s">
        <v>336</v>
      </c>
    </row>
    <row r="55" spans="2:42" x14ac:dyDescent="0.4">
      <c r="B55" s="24" t="s">
        <v>11</v>
      </c>
      <c r="H55" s="15" t="s">
        <v>1715</v>
      </c>
      <c r="I55" s="25" t="b">
        <v>1</v>
      </c>
      <c r="J55" s="15" t="b">
        <v>1</v>
      </c>
      <c r="N55" s="15" t="s">
        <v>336</v>
      </c>
      <c r="O55" s="15" t="s">
        <v>336</v>
      </c>
      <c r="Y55" s="15" t="s">
        <v>336</v>
      </c>
      <c r="AI55" s="87" t="s">
        <v>1237</v>
      </c>
      <c r="AJ55" s="88">
        <v>1553</v>
      </c>
      <c r="AK55" s="15" t="s">
        <v>242</v>
      </c>
      <c r="AL55" s="15" t="s">
        <v>336</v>
      </c>
      <c r="AM55" s="15" t="s">
        <v>336</v>
      </c>
      <c r="AN55" s="15" t="s">
        <v>336</v>
      </c>
      <c r="AO55" s="15" t="s">
        <v>336</v>
      </c>
      <c r="AP55" s="49" t="s">
        <v>336</v>
      </c>
    </row>
    <row r="56" spans="2:42" x14ac:dyDescent="0.4">
      <c r="B56" s="24" t="s">
        <v>11</v>
      </c>
      <c r="H56" s="15" t="s">
        <v>1715</v>
      </c>
      <c r="I56" s="25" t="b">
        <v>1</v>
      </c>
      <c r="J56" s="15" t="b">
        <v>1</v>
      </c>
      <c r="N56" s="15" t="s">
        <v>336</v>
      </c>
      <c r="O56" s="15" t="s">
        <v>336</v>
      </c>
      <c r="Y56" s="15" t="s">
        <v>336</v>
      </c>
      <c r="AI56" s="87" t="s">
        <v>1238</v>
      </c>
      <c r="AJ56" s="88">
        <v>1555</v>
      </c>
      <c r="AK56" s="15" t="s">
        <v>243</v>
      </c>
      <c r="AL56" s="15" t="s">
        <v>336</v>
      </c>
      <c r="AM56" s="15" t="s">
        <v>336</v>
      </c>
      <c r="AN56" s="15" t="s">
        <v>336</v>
      </c>
      <c r="AO56" s="15" t="s">
        <v>336</v>
      </c>
      <c r="AP56" s="49" t="s">
        <v>336</v>
      </c>
    </row>
    <row r="57" spans="2:42" x14ac:dyDescent="0.4">
      <c r="B57" s="24" t="s">
        <v>11</v>
      </c>
      <c r="H57" s="15" t="s">
        <v>1715</v>
      </c>
      <c r="I57" s="25" t="b">
        <v>1</v>
      </c>
      <c r="J57" s="15" t="b">
        <v>1</v>
      </c>
      <c r="N57" s="15" t="s">
        <v>336</v>
      </c>
      <c r="O57" s="15" t="s">
        <v>336</v>
      </c>
      <c r="Y57" s="15" t="s">
        <v>336</v>
      </c>
      <c r="AI57" s="87" t="s">
        <v>1239</v>
      </c>
      <c r="AJ57" s="88">
        <v>1556</v>
      </c>
      <c r="AK57" s="15" t="s">
        <v>244</v>
      </c>
      <c r="AL57" s="15" t="s">
        <v>336</v>
      </c>
      <c r="AM57" s="15" t="s">
        <v>336</v>
      </c>
      <c r="AN57" s="15" t="s">
        <v>336</v>
      </c>
      <c r="AO57" s="15" t="s">
        <v>336</v>
      </c>
      <c r="AP57" s="49" t="s">
        <v>336</v>
      </c>
    </row>
    <row r="58" spans="2:42" x14ac:dyDescent="0.4">
      <c r="B58" s="24" t="s">
        <v>11</v>
      </c>
      <c r="H58" s="15" t="s">
        <v>1715</v>
      </c>
      <c r="I58" s="25" t="b">
        <v>1</v>
      </c>
      <c r="J58" s="15" t="b">
        <v>1</v>
      </c>
      <c r="N58" s="15" t="s">
        <v>336</v>
      </c>
      <c r="O58" s="15" t="s">
        <v>336</v>
      </c>
      <c r="Y58" s="15" t="s">
        <v>336</v>
      </c>
      <c r="AI58" s="87" t="s">
        <v>1240</v>
      </c>
      <c r="AJ58" s="88">
        <v>1557</v>
      </c>
      <c r="AK58" s="15" t="s">
        <v>245</v>
      </c>
      <c r="AL58" s="15" t="s">
        <v>336</v>
      </c>
      <c r="AM58" s="15" t="s">
        <v>336</v>
      </c>
      <c r="AN58" s="15" t="s">
        <v>336</v>
      </c>
      <c r="AO58" s="15" t="s">
        <v>336</v>
      </c>
      <c r="AP58" s="49" t="s">
        <v>336</v>
      </c>
    </row>
    <row r="59" spans="2:42" x14ac:dyDescent="0.4">
      <c r="B59" s="24" t="s">
        <v>11</v>
      </c>
      <c r="H59" s="15" t="s">
        <v>1715</v>
      </c>
      <c r="I59" s="25" t="b">
        <v>1</v>
      </c>
      <c r="J59" s="15" t="b">
        <v>1</v>
      </c>
      <c r="N59" s="15" t="s">
        <v>336</v>
      </c>
      <c r="O59" s="15" t="s">
        <v>336</v>
      </c>
      <c r="Y59" s="15" t="s">
        <v>336</v>
      </c>
      <c r="AI59" s="87" t="s">
        <v>1241</v>
      </c>
      <c r="AJ59" s="88">
        <v>1558</v>
      </c>
      <c r="AK59" s="15" t="s">
        <v>246</v>
      </c>
      <c r="AL59" s="15" t="s">
        <v>336</v>
      </c>
      <c r="AM59" s="15" t="s">
        <v>336</v>
      </c>
      <c r="AN59" s="15" t="s">
        <v>336</v>
      </c>
      <c r="AO59" s="15" t="s">
        <v>336</v>
      </c>
      <c r="AP59" s="49" t="s">
        <v>336</v>
      </c>
    </row>
    <row r="60" spans="2:42" x14ac:dyDescent="0.4">
      <c r="B60" s="24" t="s">
        <v>11</v>
      </c>
      <c r="H60" s="15" t="s">
        <v>1715</v>
      </c>
      <c r="I60" s="25" t="b">
        <v>1</v>
      </c>
      <c r="J60" s="15" t="b">
        <v>1</v>
      </c>
      <c r="N60" s="15" t="s">
        <v>336</v>
      </c>
      <c r="O60" s="15" t="s">
        <v>336</v>
      </c>
      <c r="Y60" s="15" t="s">
        <v>336</v>
      </c>
      <c r="AI60" s="87" t="s">
        <v>1242</v>
      </c>
      <c r="AJ60" s="88">
        <v>1562</v>
      </c>
      <c r="AK60" s="15" t="s">
        <v>247</v>
      </c>
      <c r="AL60" s="15" t="s">
        <v>336</v>
      </c>
      <c r="AM60" s="15" t="s">
        <v>336</v>
      </c>
      <c r="AN60" s="15" t="s">
        <v>336</v>
      </c>
      <c r="AO60" s="15" t="s">
        <v>336</v>
      </c>
      <c r="AP60" s="49" t="s">
        <v>336</v>
      </c>
    </row>
    <row r="61" spans="2:42" x14ac:dyDescent="0.4">
      <c r="B61" s="24" t="s">
        <v>11</v>
      </c>
      <c r="H61" s="15" t="s">
        <v>1715</v>
      </c>
      <c r="I61" s="25" t="b">
        <v>1</v>
      </c>
      <c r="J61" s="15" t="b">
        <v>1</v>
      </c>
      <c r="N61" s="15" t="s">
        <v>336</v>
      </c>
      <c r="O61" s="15" t="s">
        <v>336</v>
      </c>
      <c r="Y61" s="15" t="s">
        <v>336</v>
      </c>
      <c r="AI61" s="87" t="s">
        <v>1244</v>
      </c>
      <c r="AJ61" s="88">
        <v>1576</v>
      </c>
      <c r="AK61" s="15" t="s">
        <v>249</v>
      </c>
      <c r="AL61" s="15" t="s">
        <v>336</v>
      </c>
      <c r="AM61" s="15" t="s">
        <v>336</v>
      </c>
      <c r="AN61" s="15" t="s">
        <v>336</v>
      </c>
      <c r="AO61" s="15" t="s">
        <v>336</v>
      </c>
      <c r="AP61" s="49" t="s">
        <v>336</v>
      </c>
    </row>
    <row r="62" spans="2:42" x14ac:dyDescent="0.4">
      <c r="B62" s="24" t="s">
        <v>11</v>
      </c>
      <c r="H62" s="15" t="s">
        <v>1715</v>
      </c>
      <c r="I62" s="25" t="b">
        <v>1</v>
      </c>
      <c r="J62" s="15" t="b">
        <v>1</v>
      </c>
      <c r="N62" s="15" t="s">
        <v>336</v>
      </c>
      <c r="O62" s="15" t="s">
        <v>336</v>
      </c>
      <c r="Y62" s="15" t="s">
        <v>336</v>
      </c>
      <c r="AI62" s="87" t="s">
        <v>1245</v>
      </c>
      <c r="AJ62" s="88">
        <v>1583</v>
      </c>
      <c r="AK62" s="15" t="s">
        <v>250</v>
      </c>
      <c r="AL62" s="15" t="s">
        <v>336</v>
      </c>
      <c r="AM62" s="15" t="s">
        <v>336</v>
      </c>
      <c r="AN62" s="15" t="s">
        <v>336</v>
      </c>
      <c r="AO62" s="15" t="s">
        <v>336</v>
      </c>
      <c r="AP62" s="49" t="s">
        <v>336</v>
      </c>
    </row>
    <row r="63" spans="2:42" x14ac:dyDescent="0.4">
      <c r="B63" s="24" t="s">
        <v>534</v>
      </c>
      <c r="H63" s="15" t="s">
        <v>1715</v>
      </c>
      <c r="I63" s="25" t="b">
        <v>1</v>
      </c>
      <c r="J63" s="15" t="b">
        <v>1</v>
      </c>
      <c r="N63" s="15" t="s">
        <v>336</v>
      </c>
      <c r="O63" s="15" t="s">
        <v>336</v>
      </c>
      <c r="Y63" s="15" t="s">
        <v>336</v>
      </c>
      <c r="AI63" s="87" t="s">
        <v>1246</v>
      </c>
      <c r="AJ63" s="88">
        <v>1586</v>
      </c>
      <c r="AK63" s="15" t="s">
        <v>251</v>
      </c>
      <c r="AL63" s="15" t="s">
        <v>336</v>
      </c>
      <c r="AM63" s="15" t="s">
        <v>336</v>
      </c>
      <c r="AN63" s="15" t="s">
        <v>336</v>
      </c>
      <c r="AO63" s="15" t="s">
        <v>336</v>
      </c>
      <c r="AP63" s="49" t="s">
        <v>336</v>
      </c>
    </row>
    <row r="64" spans="2:42" x14ac:dyDescent="0.4">
      <c r="B64" s="24" t="s">
        <v>548</v>
      </c>
      <c r="H64" s="15" t="s">
        <v>1715</v>
      </c>
      <c r="I64" s="25" t="b">
        <v>1</v>
      </c>
      <c r="J64" s="15" t="b">
        <v>1</v>
      </c>
      <c r="N64" s="15" t="s">
        <v>336</v>
      </c>
      <c r="O64" s="15" t="s">
        <v>336</v>
      </c>
      <c r="Y64" s="15" t="s">
        <v>336</v>
      </c>
      <c r="AI64" s="87" t="s">
        <v>1247</v>
      </c>
      <c r="AJ64" s="88">
        <v>1586</v>
      </c>
      <c r="AK64" s="15" t="s">
        <v>252</v>
      </c>
      <c r="AL64" s="15" t="s">
        <v>336</v>
      </c>
      <c r="AM64" s="15" t="s">
        <v>336</v>
      </c>
      <c r="AN64" s="15" t="s">
        <v>336</v>
      </c>
      <c r="AO64" s="15" t="s">
        <v>336</v>
      </c>
      <c r="AP64" s="49" t="s">
        <v>336</v>
      </c>
    </row>
    <row r="65" spans="2:42" x14ac:dyDescent="0.4">
      <c r="B65" s="24" t="s">
        <v>548</v>
      </c>
      <c r="H65" s="15" t="s">
        <v>1715</v>
      </c>
      <c r="I65" s="25" t="b">
        <v>1</v>
      </c>
      <c r="J65" s="15" t="b">
        <v>1</v>
      </c>
      <c r="N65" s="15" t="s">
        <v>336</v>
      </c>
      <c r="O65" s="15" t="s">
        <v>336</v>
      </c>
      <c r="Y65" s="15" t="s">
        <v>336</v>
      </c>
      <c r="AI65" s="87" t="s">
        <v>1248</v>
      </c>
      <c r="AJ65" s="88" t="s">
        <v>1120</v>
      </c>
      <c r="AK65" s="15" t="s">
        <v>253</v>
      </c>
      <c r="AL65" s="15" t="s">
        <v>336</v>
      </c>
      <c r="AM65" s="15" t="s">
        <v>336</v>
      </c>
      <c r="AN65" s="15" t="s">
        <v>336</v>
      </c>
      <c r="AO65" s="15" t="s">
        <v>336</v>
      </c>
      <c r="AP65" s="49" t="s">
        <v>336</v>
      </c>
    </row>
    <row r="66" spans="2:42" x14ac:dyDescent="0.4">
      <c r="B66" s="24" t="s">
        <v>11</v>
      </c>
      <c r="H66" s="15" t="s">
        <v>1715</v>
      </c>
      <c r="I66" s="25" t="b">
        <v>1</v>
      </c>
      <c r="J66" s="15" t="b">
        <v>1</v>
      </c>
      <c r="N66" s="15" t="s">
        <v>336</v>
      </c>
      <c r="O66" s="15" t="s">
        <v>336</v>
      </c>
      <c r="Y66" s="15" t="s">
        <v>336</v>
      </c>
      <c r="AI66" s="87" t="s">
        <v>1249</v>
      </c>
      <c r="AJ66" s="88">
        <v>1597</v>
      </c>
      <c r="AK66" s="15" t="s">
        <v>254</v>
      </c>
      <c r="AL66" s="15" t="s">
        <v>336</v>
      </c>
      <c r="AM66" s="15" t="s">
        <v>336</v>
      </c>
      <c r="AN66" s="15" t="s">
        <v>336</v>
      </c>
      <c r="AO66" s="15" t="s">
        <v>336</v>
      </c>
      <c r="AP66" s="49" t="s">
        <v>336</v>
      </c>
    </row>
    <row r="67" spans="2:42" x14ac:dyDescent="0.4">
      <c r="B67" s="24" t="s">
        <v>657</v>
      </c>
      <c r="H67" s="15" t="s">
        <v>1715</v>
      </c>
      <c r="I67" s="25" t="b">
        <v>1</v>
      </c>
      <c r="J67" s="15" t="b">
        <v>1</v>
      </c>
      <c r="N67" s="15" t="s">
        <v>336</v>
      </c>
      <c r="O67" s="15" t="s">
        <v>336</v>
      </c>
      <c r="Y67" s="15" t="s">
        <v>336</v>
      </c>
      <c r="AI67" s="87" t="s">
        <v>1252</v>
      </c>
      <c r="AJ67" s="88" t="s">
        <v>1123</v>
      </c>
      <c r="AK67" s="15" t="s">
        <v>257</v>
      </c>
      <c r="AL67" s="15" t="s">
        <v>336</v>
      </c>
      <c r="AM67" s="15" t="s">
        <v>336</v>
      </c>
      <c r="AN67" s="15" t="s">
        <v>336</v>
      </c>
      <c r="AO67" s="15" t="s">
        <v>336</v>
      </c>
      <c r="AP67" s="49" t="s">
        <v>336</v>
      </c>
    </row>
    <row r="68" spans="2:42" x14ac:dyDescent="0.4">
      <c r="B68" s="24" t="s">
        <v>557</v>
      </c>
      <c r="H68" s="15" t="s">
        <v>1715</v>
      </c>
      <c r="I68" s="25" t="b">
        <v>1</v>
      </c>
      <c r="J68" s="15" t="b">
        <v>1</v>
      </c>
      <c r="N68" s="15" t="s">
        <v>336</v>
      </c>
      <c r="O68" s="15" t="s">
        <v>336</v>
      </c>
      <c r="Y68" s="15" t="s">
        <v>336</v>
      </c>
      <c r="AI68" s="87" t="s">
        <v>1250</v>
      </c>
      <c r="AJ68" s="89" t="s">
        <v>1410</v>
      </c>
      <c r="AK68" s="15" t="s">
        <v>255</v>
      </c>
      <c r="AL68" s="15" t="s">
        <v>336</v>
      </c>
      <c r="AM68" s="15" t="s">
        <v>336</v>
      </c>
      <c r="AN68" s="15" t="s">
        <v>336</v>
      </c>
      <c r="AO68" s="15" t="s">
        <v>336</v>
      </c>
      <c r="AP68" s="49" t="s">
        <v>336</v>
      </c>
    </row>
    <row r="69" spans="2:42" x14ac:dyDescent="0.4">
      <c r="B69" s="24" t="s">
        <v>11</v>
      </c>
      <c r="H69" s="15" t="s">
        <v>1715</v>
      </c>
      <c r="I69" s="25" t="b">
        <v>1</v>
      </c>
      <c r="J69" s="15" t="b">
        <v>1</v>
      </c>
      <c r="N69" s="15" t="s">
        <v>336</v>
      </c>
      <c r="O69" s="15" t="s">
        <v>336</v>
      </c>
      <c r="Y69" s="15" t="s">
        <v>336</v>
      </c>
      <c r="AI69" s="87" t="s">
        <v>1255</v>
      </c>
      <c r="AJ69" s="88">
        <v>1607</v>
      </c>
      <c r="AK69" s="15" t="s">
        <v>260</v>
      </c>
      <c r="AL69" s="15" t="s">
        <v>336</v>
      </c>
      <c r="AM69" s="15" t="s">
        <v>336</v>
      </c>
      <c r="AN69" s="15" t="s">
        <v>336</v>
      </c>
      <c r="AO69" s="15" t="s">
        <v>336</v>
      </c>
      <c r="AP69" s="49" t="s">
        <v>336</v>
      </c>
    </row>
    <row r="70" spans="2:42" x14ac:dyDescent="0.4">
      <c r="B70" s="24" t="s">
        <v>11</v>
      </c>
      <c r="H70" s="15" t="s">
        <v>1715</v>
      </c>
      <c r="I70" s="25" t="b">
        <v>1</v>
      </c>
      <c r="J70" s="15" t="b">
        <v>1</v>
      </c>
      <c r="N70" s="15" t="s">
        <v>336</v>
      </c>
      <c r="O70" s="15" t="s">
        <v>336</v>
      </c>
      <c r="Y70" s="15" t="s">
        <v>336</v>
      </c>
      <c r="AI70" s="87" t="s">
        <v>1257</v>
      </c>
      <c r="AJ70" s="88">
        <v>1616</v>
      </c>
      <c r="AK70" s="15" t="s">
        <v>264</v>
      </c>
      <c r="AL70" s="15" t="s">
        <v>336</v>
      </c>
      <c r="AM70" s="15" t="s">
        <v>336</v>
      </c>
      <c r="AN70" s="15" t="s">
        <v>336</v>
      </c>
      <c r="AO70" s="15" t="s">
        <v>336</v>
      </c>
      <c r="AP70" s="49" t="s">
        <v>336</v>
      </c>
    </row>
    <row r="71" spans="2:42" x14ac:dyDescent="0.4">
      <c r="B71" s="24" t="s">
        <v>502</v>
      </c>
      <c r="H71" s="15" t="s">
        <v>1715</v>
      </c>
      <c r="I71" s="25" t="b">
        <v>1</v>
      </c>
      <c r="J71" s="15" t="b">
        <v>1</v>
      </c>
      <c r="N71" s="15" t="s">
        <v>336</v>
      </c>
      <c r="O71" s="15" t="s">
        <v>336</v>
      </c>
      <c r="Y71" s="15" t="s">
        <v>336</v>
      </c>
      <c r="AI71" s="87" t="s">
        <v>1258</v>
      </c>
      <c r="AJ71" s="88">
        <v>1633</v>
      </c>
      <c r="AK71" s="15" t="s">
        <v>265</v>
      </c>
      <c r="AL71" s="15" t="s">
        <v>336</v>
      </c>
      <c r="AM71" s="15" t="s">
        <v>336</v>
      </c>
      <c r="AN71" s="15" t="s">
        <v>336</v>
      </c>
      <c r="AO71" s="15" t="s">
        <v>336</v>
      </c>
      <c r="AP71" s="49" t="s">
        <v>336</v>
      </c>
    </row>
    <row r="72" spans="2:42" x14ac:dyDescent="0.4">
      <c r="B72" s="24" t="s">
        <v>535</v>
      </c>
      <c r="H72" s="15" t="s">
        <v>1715</v>
      </c>
      <c r="I72" s="25" t="b">
        <v>1</v>
      </c>
      <c r="J72" s="15" t="b">
        <v>1</v>
      </c>
      <c r="N72" s="15" t="s">
        <v>336</v>
      </c>
      <c r="O72" s="15" t="s">
        <v>336</v>
      </c>
      <c r="Y72" s="15" t="s">
        <v>336</v>
      </c>
      <c r="AI72" s="87" t="s">
        <v>1259</v>
      </c>
      <c r="AJ72" s="88">
        <v>1635</v>
      </c>
      <c r="AK72" s="15" t="s">
        <v>266</v>
      </c>
      <c r="AL72" s="15" t="s">
        <v>336</v>
      </c>
      <c r="AM72" s="15" t="s">
        <v>336</v>
      </c>
      <c r="AN72" s="15" t="s">
        <v>336</v>
      </c>
      <c r="AO72" s="15" t="s">
        <v>336</v>
      </c>
      <c r="AP72" s="49" t="s">
        <v>336</v>
      </c>
    </row>
    <row r="73" spans="2:42" x14ac:dyDescent="0.4">
      <c r="B73" s="24" t="s">
        <v>542</v>
      </c>
      <c r="H73" s="15" t="s">
        <v>1715</v>
      </c>
      <c r="I73" s="25" t="b">
        <v>1</v>
      </c>
      <c r="J73" s="15" t="b">
        <v>1</v>
      </c>
      <c r="N73" s="15" t="s">
        <v>336</v>
      </c>
      <c r="O73" s="15" t="s">
        <v>336</v>
      </c>
      <c r="Y73" s="15" t="s">
        <v>336</v>
      </c>
      <c r="AI73" s="87" t="s">
        <v>1260</v>
      </c>
      <c r="AJ73" s="88">
        <v>1641</v>
      </c>
      <c r="AK73" s="15" t="s">
        <v>267</v>
      </c>
      <c r="AL73" s="15" t="s">
        <v>336</v>
      </c>
      <c r="AM73" s="15" t="s">
        <v>336</v>
      </c>
      <c r="AN73" s="15" t="s">
        <v>336</v>
      </c>
      <c r="AO73" s="15" t="s">
        <v>336</v>
      </c>
      <c r="AP73" s="49" t="s">
        <v>336</v>
      </c>
    </row>
    <row r="74" spans="2:42" x14ac:dyDescent="0.4">
      <c r="B74" s="24" t="s">
        <v>557</v>
      </c>
      <c r="H74" s="15" t="s">
        <v>1715</v>
      </c>
      <c r="I74" s="25" t="b">
        <v>1</v>
      </c>
      <c r="J74" s="15" t="b">
        <v>1</v>
      </c>
      <c r="N74" s="15" t="s">
        <v>336</v>
      </c>
      <c r="O74" s="15" t="s">
        <v>336</v>
      </c>
      <c r="Y74" s="15" t="s">
        <v>336</v>
      </c>
      <c r="AI74" s="87" t="s">
        <v>1261</v>
      </c>
      <c r="AJ74" s="88">
        <v>1649</v>
      </c>
      <c r="AK74" s="15" t="s">
        <v>268</v>
      </c>
      <c r="AL74" s="15" t="s">
        <v>336</v>
      </c>
      <c r="AM74" s="15" t="s">
        <v>336</v>
      </c>
      <c r="AN74" s="15" t="s">
        <v>336</v>
      </c>
      <c r="AO74" s="15" t="s">
        <v>336</v>
      </c>
      <c r="AP74" s="49" t="s">
        <v>336</v>
      </c>
    </row>
    <row r="75" spans="2:42" x14ac:dyDescent="0.4">
      <c r="B75" s="24" t="s">
        <v>716</v>
      </c>
      <c r="H75" s="15" t="s">
        <v>1715</v>
      </c>
      <c r="I75" s="25" t="b">
        <v>1</v>
      </c>
      <c r="J75" s="15" t="b">
        <v>1</v>
      </c>
      <c r="N75" s="15" t="s">
        <v>336</v>
      </c>
      <c r="O75" s="15" t="s">
        <v>336</v>
      </c>
      <c r="Y75" s="15" t="s">
        <v>336</v>
      </c>
      <c r="AI75" s="87" t="s">
        <v>1262</v>
      </c>
      <c r="AJ75" s="88">
        <v>1651</v>
      </c>
      <c r="AK75" s="15" t="s">
        <v>269</v>
      </c>
      <c r="AL75" s="15" t="s">
        <v>336</v>
      </c>
      <c r="AM75" s="15" t="s">
        <v>336</v>
      </c>
      <c r="AN75" s="15" t="s">
        <v>336</v>
      </c>
      <c r="AO75" s="15" t="s">
        <v>336</v>
      </c>
      <c r="AP75" s="49" t="s">
        <v>336</v>
      </c>
    </row>
    <row r="76" spans="2:42" x14ac:dyDescent="0.4">
      <c r="B76" s="24" t="s">
        <v>557</v>
      </c>
      <c r="H76" s="15" t="s">
        <v>1715</v>
      </c>
      <c r="I76" s="25" t="b">
        <v>1</v>
      </c>
      <c r="J76" s="15" t="b">
        <v>1</v>
      </c>
      <c r="N76" s="15" t="s">
        <v>336</v>
      </c>
      <c r="O76" s="15" t="s">
        <v>336</v>
      </c>
      <c r="Y76" s="15" t="s">
        <v>336</v>
      </c>
      <c r="AI76" s="87" t="s">
        <v>1263</v>
      </c>
      <c r="AJ76" s="88">
        <v>1652</v>
      </c>
      <c r="AK76" s="15" t="s">
        <v>270</v>
      </c>
      <c r="AL76" s="15" t="s">
        <v>336</v>
      </c>
      <c r="AM76" s="15" t="s">
        <v>336</v>
      </c>
      <c r="AN76" s="15" t="s">
        <v>336</v>
      </c>
      <c r="AO76" s="15" t="s">
        <v>336</v>
      </c>
      <c r="AP76" s="49" t="s">
        <v>336</v>
      </c>
    </row>
    <row r="77" spans="2:42" x14ac:dyDescent="0.4">
      <c r="B77" s="24" t="s">
        <v>11</v>
      </c>
      <c r="H77" s="15" t="s">
        <v>1715</v>
      </c>
      <c r="I77" s="25" t="b">
        <v>1</v>
      </c>
      <c r="J77" s="15" t="b">
        <v>1</v>
      </c>
      <c r="N77" s="15" t="s">
        <v>336</v>
      </c>
      <c r="O77" s="15" t="s">
        <v>336</v>
      </c>
      <c r="Y77" s="15" t="s">
        <v>336</v>
      </c>
      <c r="AI77" s="87" t="s">
        <v>1264</v>
      </c>
      <c r="AJ77" s="88">
        <v>1655</v>
      </c>
      <c r="AK77" s="15" t="s">
        <v>271</v>
      </c>
      <c r="AL77" s="15" t="s">
        <v>336</v>
      </c>
      <c r="AM77" s="15" t="s">
        <v>336</v>
      </c>
      <c r="AN77" s="15" t="s">
        <v>336</v>
      </c>
      <c r="AO77" s="15" t="s">
        <v>336</v>
      </c>
      <c r="AP77" s="49" t="s">
        <v>336</v>
      </c>
    </row>
    <row r="78" spans="2:42" x14ac:dyDescent="0.4">
      <c r="B78" s="24" t="s">
        <v>11</v>
      </c>
      <c r="H78" s="15" t="s">
        <v>1715</v>
      </c>
      <c r="I78" s="25" t="b">
        <v>1</v>
      </c>
      <c r="J78" s="15" t="b">
        <v>1</v>
      </c>
      <c r="N78" s="15" t="s">
        <v>336</v>
      </c>
      <c r="O78" s="15" t="s">
        <v>336</v>
      </c>
      <c r="Y78" s="15" t="s">
        <v>336</v>
      </c>
      <c r="AI78" s="87" t="s">
        <v>1265</v>
      </c>
      <c r="AJ78" s="88">
        <v>1671</v>
      </c>
      <c r="AK78" s="15" t="s">
        <v>273</v>
      </c>
      <c r="AL78" s="15" t="s">
        <v>336</v>
      </c>
      <c r="AM78" s="15" t="s">
        <v>336</v>
      </c>
      <c r="AN78" s="15" t="s">
        <v>336</v>
      </c>
      <c r="AO78" s="15" t="s">
        <v>336</v>
      </c>
      <c r="AP78" s="49" t="s">
        <v>336</v>
      </c>
    </row>
    <row r="79" spans="2:42" x14ac:dyDescent="0.4">
      <c r="B79" s="24" t="s">
        <v>581</v>
      </c>
      <c r="H79" s="15" t="s">
        <v>1715</v>
      </c>
      <c r="I79" s="25" t="b">
        <v>1</v>
      </c>
      <c r="J79" s="15" t="b">
        <v>1</v>
      </c>
      <c r="N79" s="15" t="s">
        <v>336</v>
      </c>
      <c r="O79" s="15" t="s">
        <v>336</v>
      </c>
      <c r="Y79" s="15" t="s">
        <v>336</v>
      </c>
      <c r="AI79" s="87" t="s">
        <v>1266</v>
      </c>
      <c r="AJ79" s="88" t="s">
        <v>1137</v>
      </c>
      <c r="AK79" s="15" t="s">
        <v>274</v>
      </c>
      <c r="AL79" s="15" t="s">
        <v>336</v>
      </c>
      <c r="AM79" s="15" t="s">
        <v>336</v>
      </c>
      <c r="AN79" s="15" t="s">
        <v>336</v>
      </c>
      <c r="AO79" s="15" t="s">
        <v>336</v>
      </c>
      <c r="AP79" s="49" t="s">
        <v>336</v>
      </c>
    </row>
    <row r="80" spans="2:42" x14ac:dyDescent="0.4">
      <c r="B80" s="24" t="s">
        <v>708</v>
      </c>
      <c r="H80" s="15" t="s">
        <v>1715</v>
      </c>
      <c r="I80" s="25" t="b">
        <v>1</v>
      </c>
      <c r="J80" s="15" t="b">
        <v>1</v>
      </c>
      <c r="N80" s="15" t="s">
        <v>336</v>
      </c>
      <c r="O80" s="15" t="s">
        <v>336</v>
      </c>
      <c r="Y80" s="15" t="s">
        <v>336</v>
      </c>
      <c r="AI80" s="87" t="s">
        <v>1267</v>
      </c>
      <c r="AJ80" s="88" t="s">
        <v>1138</v>
      </c>
      <c r="AK80" s="15" t="s">
        <v>275</v>
      </c>
      <c r="AL80" s="15" t="s">
        <v>336</v>
      </c>
      <c r="AM80" s="15" t="s">
        <v>336</v>
      </c>
      <c r="AN80" s="15" t="s">
        <v>336</v>
      </c>
      <c r="AO80" s="15" t="s">
        <v>336</v>
      </c>
      <c r="AP80" s="49" t="s">
        <v>336</v>
      </c>
    </row>
    <row r="81" spans="2:42" x14ac:dyDescent="0.4">
      <c r="B81" s="24" t="s">
        <v>708</v>
      </c>
      <c r="H81" s="15" t="s">
        <v>1715</v>
      </c>
      <c r="I81" s="25" t="b">
        <v>1</v>
      </c>
      <c r="J81" s="15" t="b">
        <v>1</v>
      </c>
      <c r="N81" s="15" t="s">
        <v>336</v>
      </c>
      <c r="O81" s="15" t="s">
        <v>336</v>
      </c>
      <c r="Y81" s="15" t="s">
        <v>336</v>
      </c>
      <c r="AI81" s="87" t="s">
        <v>1268</v>
      </c>
      <c r="AJ81" s="89" t="s">
        <v>1409</v>
      </c>
      <c r="AK81" s="15" t="s">
        <v>276</v>
      </c>
      <c r="AL81" s="15" t="s">
        <v>336</v>
      </c>
      <c r="AM81" s="15" t="s">
        <v>336</v>
      </c>
      <c r="AN81" s="15" t="s">
        <v>336</v>
      </c>
      <c r="AO81" s="15" t="s">
        <v>336</v>
      </c>
      <c r="AP81" s="49" t="s">
        <v>336</v>
      </c>
    </row>
    <row r="82" spans="2:42" x14ac:dyDescent="0.4">
      <c r="B82" s="24" t="s">
        <v>11</v>
      </c>
      <c r="H82" s="15" t="s">
        <v>1715</v>
      </c>
      <c r="I82" s="25" t="b">
        <v>1</v>
      </c>
      <c r="J82" s="15" t="b">
        <v>1</v>
      </c>
      <c r="N82" s="15" t="s">
        <v>336</v>
      </c>
      <c r="O82" s="15" t="s">
        <v>336</v>
      </c>
      <c r="Y82" s="15" t="s">
        <v>336</v>
      </c>
      <c r="AI82" s="87" t="s">
        <v>1269</v>
      </c>
      <c r="AJ82" s="88">
        <v>1716</v>
      </c>
      <c r="AK82" s="15" t="s">
        <v>277</v>
      </c>
      <c r="AL82" s="15" t="s">
        <v>336</v>
      </c>
      <c r="AM82" s="15" t="s">
        <v>336</v>
      </c>
      <c r="AN82" s="15" t="s">
        <v>336</v>
      </c>
      <c r="AO82" s="15" t="s">
        <v>336</v>
      </c>
      <c r="AP82" s="49" t="s">
        <v>336</v>
      </c>
    </row>
    <row r="83" spans="2:42" x14ac:dyDescent="0.4">
      <c r="B83" s="24" t="s">
        <v>518</v>
      </c>
      <c r="H83" s="15" t="s">
        <v>1715</v>
      </c>
      <c r="I83" s="25" t="b">
        <v>1</v>
      </c>
      <c r="J83" s="15" t="b">
        <v>1</v>
      </c>
      <c r="N83" s="15" t="s">
        <v>336</v>
      </c>
      <c r="O83" s="15" t="s">
        <v>336</v>
      </c>
      <c r="Y83" s="15" t="s">
        <v>336</v>
      </c>
      <c r="AI83" s="87" t="s">
        <v>1270</v>
      </c>
      <c r="AJ83" s="88">
        <v>1717</v>
      </c>
      <c r="AK83" s="15" t="s">
        <v>278</v>
      </c>
      <c r="AL83" s="15" t="s">
        <v>336</v>
      </c>
      <c r="AM83" s="15" t="s">
        <v>336</v>
      </c>
      <c r="AN83" s="15" t="s">
        <v>336</v>
      </c>
      <c r="AO83" s="15" t="s">
        <v>336</v>
      </c>
      <c r="AP83" s="49" t="s">
        <v>336</v>
      </c>
    </row>
    <row r="84" spans="2:42" x14ac:dyDescent="0.4">
      <c r="B84" s="24" t="s">
        <v>11</v>
      </c>
      <c r="H84" s="15" t="s">
        <v>1715</v>
      </c>
      <c r="I84" s="25" t="b">
        <v>1</v>
      </c>
      <c r="J84" s="15" t="b">
        <v>1</v>
      </c>
      <c r="N84" s="15" t="s">
        <v>336</v>
      </c>
      <c r="O84" s="15" t="s">
        <v>336</v>
      </c>
      <c r="Y84" s="15" t="s">
        <v>336</v>
      </c>
      <c r="AI84" s="87" t="s">
        <v>1271</v>
      </c>
      <c r="AJ84" s="88" t="s">
        <v>1142</v>
      </c>
      <c r="AK84" s="15" t="s">
        <v>279</v>
      </c>
      <c r="AL84" s="15" t="s">
        <v>336</v>
      </c>
      <c r="AM84" s="15" t="s">
        <v>336</v>
      </c>
      <c r="AN84" s="15" t="s">
        <v>336</v>
      </c>
      <c r="AO84" s="15" t="s">
        <v>336</v>
      </c>
      <c r="AP84" s="49" t="s">
        <v>336</v>
      </c>
    </row>
    <row r="85" spans="2:42" x14ac:dyDescent="0.4">
      <c r="B85" s="24" t="s">
        <v>11</v>
      </c>
      <c r="C85" s="35" t="s">
        <v>1002</v>
      </c>
      <c r="H85" s="15" t="s">
        <v>1715</v>
      </c>
      <c r="I85" s="25" t="b">
        <v>1</v>
      </c>
      <c r="J85" s="15" t="b">
        <v>1</v>
      </c>
      <c r="N85" s="15" t="s">
        <v>336</v>
      </c>
      <c r="O85" s="15" t="s">
        <v>336</v>
      </c>
      <c r="Y85" s="39"/>
      <c r="AI85" s="87" t="s">
        <v>1310</v>
      </c>
      <c r="AJ85" s="88">
        <v>1740</v>
      </c>
      <c r="AK85" s="15" t="s">
        <v>280</v>
      </c>
      <c r="AL85" s="15" t="s">
        <v>336</v>
      </c>
      <c r="AM85" s="15" t="s">
        <v>336</v>
      </c>
      <c r="AN85" s="15" t="s">
        <v>336</v>
      </c>
      <c r="AO85" s="15" t="s">
        <v>336</v>
      </c>
      <c r="AP85" s="49" t="s">
        <v>336</v>
      </c>
    </row>
    <row r="86" spans="2:42" x14ac:dyDescent="0.4">
      <c r="B86" s="24" t="s">
        <v>708</v>
      </c>
      <c r="H86" s="15" t="s">
        <v>1715</v>
      </c>
      <c r="I86" s="25" t="b">
        <v>1</v>
      </c>
      <c r="J86" s="15" t="b">
        <v>1</v>
      </c>
      <c r="N86" s="15" t="s">
        <v>336</v>
      </c>
      <c r="O86" s="15" t="s">
        <v>336</v>
      </c>
      <c r="Y86" s="15" t="s">
        <v>336</v>
      </c>
      <c r="AI86" s="87" t="s">
        <v>1272</v>
      </c>
      <c r="AJ86" s="88">
        <v>1750</v>
      </c>
      <c r="AK86" s="15" t="s">
        <v>281</v>
      </c>
      <c r="AL86" s="15" t="s">
        <v>336</v>
      </c>
      <c r="AM86" s="15" t="s">
        <v>336</v>
      </c>
      <c r="AN86" s="15" t="s">
        <v>336</v>
      </c>
      <c r="AO86" s="15" t="s">
        <v>336</v>
      </c>
      <c r="AP86" s="49" t="s">
        <v>336</v>
      </c>
    </row>
    <row r="87" spans="2:42" x14ac:dyDescent="0.4">
      <c r="B87" s="24" t="s">
        <v>502</v>
      </c>
      <c r="H87" s="15" t="s">
        <v>1715</v>
      </c>
      <c r="I87" s="25" t="b">
        <v>1</v>
      </c>
      <c r="J87" s="15" t="b">
        <v>1</v>
      </c>
      <c r="N87" s="15" t="s">
        <v>336</v>
      </c>
      <c r="O87" s="15" t="s">
        <v>336</v>
      </c>
      <c r="Y87" s="15" t="s">
        <v>336</v>
      </c>
      <c r="AI87" s="87" t="s">
        <v>1274</v>
      </c>
      <c r="AJ87" s="88">
        <v>1797</v>
      </c>
      <c r="AK87" s="15" t="s">
        <v>283</v>
      </c>
      <c r="AL87" s="15" t="s">
        <v>336</v>
      </c>
      <c r="AM87" s="15" t="s">
        <v>336</v>
      </c>
      <c r="AN87" s="15" t="s">
        <v>336</v>
      </c>
      <c r="AO87" s="15" t="s">
        <v>336</v>
      </c>
      <c r="AP87" s="49" t="s">
        <v>336</v>
      </c>
    </row>
    <row r="88" spans="2:42" x14ac:dyDescent="0.4">
      <c r="B88" s="24" t="s">
        <v>557</v>
      </c>
      <c r="H88" s="15" t="s">
        <v>1715</v>
      </c>
      <c r="I88" s="25" t="b">
        <v>1</v>
      </c>
      <c r="J88" s="15" t="b">
        <v>1</v>
      </c>
      <c r="N88" s="15" t="s">
        <v>336</v>
      </c>
      <c r="O88" s="15" t="s">
        <v>336</v>
      </c>
      <c r="Y88" s="15" t="s">
        <v>336</v>
      </c>
      <c r="AI88" s="87" t="s">
        <v>1276</v>
      </c>
      <c r="AJ88" s="88">
        <v>1803</v>
      </c>
      <c r="AK88" s="15" t="s">
        <v>285</v>
      </c>
      <c r="AL88" s="15" t="s">
        <v>336</v>
      </c>
      <c r="AM88" s="15" t="s">
        <v>336</v>
      </c>
      <c r="AN88" s="15" t="s">
        <v>336</v>
      </c>
      <c r="AO88" s="15" t="s">
        <v>336</v>
      </c>
      <c r="AP88" s="49" t="s">
        <v>336</v>
      </c>
    </row>
    <row r="89" spans="2:42" x14ac:dyDescent="0.4">
      <c r="B89" s="24" t="s">
        <v>11</v>
      </c>
      <c r="H89" s="15" t="s">
        <v>1715</v>
      </c>
      <c r="I89" s="25" t="b">
        <v>1</v>
      </c>
      <c r="J89" s="15" t="b">
        <v>1</v>
      </c>
      <c r="N89" s="15" t="s">
        <v>336</v>
      </c>
      <c r="O89" s="15" t="s">
        <v>336</v>
      </c>
      <c r="Y89" s="15" t="s">
        <v>336</v>
      </c>
      <c r="AI89" s="87" t="s">
        <v>1277</v>
      </c>
      <c r="AJ89" s="88">
        <v>1853</v>
      </c>
      <c r="AK89" s="15" t="s">
        <v>290</v>
      </c>
      <c r="AL89" s="15" t="s">
        <v>336</v>
      </c>
      <c r="AM89" s="15" t="s">
        <v>336</v>
      </c>
      <c r="AN89" s="15" t="s">
        <v>336</v>
      </c>
      <c r="AO89" s="15" t="s">
        <v>336</v>
      </c>
      <c r="AP89" s="49" t="s">
        <v>336</v>
      </c>
    </row>
    <row r="90" spans="2:42" x14ac:dyDescent="0.4">
      <c r="B90" s="24" t="s">
        <v>11</v>
      </c>
      <c r="H90" s="15" t="s">
        <v>1715</v>
      </c>
      <c r="I90" s="25" t="b">
        <v>1</v>
      </c>
      <c r="J90" s="15" t="b">
        <v>1</v>
      </c>
      <c r="N90" s="15" t="s">
        <v>336</v>
      </c>
      <c r="O90" s="15" t="s">
        <v>336</v>
      </c>
      <c r="Y90" s="15" t="s">
        <v>336</v>
      </c>
      <c r="AI90" s="87" t="s">
        <v>1278</v>
      </c>
      <c r="AJ90" s="88" t="s">
        <v>1150</v>
      </c>
      <c r="AK90" s="15" t="s">
        <v>291</v>
      </c>
      <c r="AL90" s="15" t="s">
        <v>336</v>
      </c>
      <c r="AM90" s="15" t="s">
        <v>336</v>
      </c>
      <c r="AN90" s="15" t="s">
        <v>336</v>
      </c>
      <c r="AO90" s="15" t="s">
        <v>336</v>
      </c>
      <c r="AP90" s="49" t="s">
        <v>336</v>
      </c>
    </row>
    <row r="91" spans="2:42" ht="37.299999999999997" x14ac:dyDescent="0.4">
      <c r="B91" s="24" t="s">
        <v>696</v>
      </c>
      <c r="H91" s="15" t="s">
        <v>1715</v>
      </c>
      <c r="I91" s="25" t="b">
        <v>1</v>
      </c>
      <c r="J91" s="15" t="b">
        <v>1</v>
      </c>
      <c r="N91" s="15" t="s">
        <v>336</v>
      </c>
      <c r="O91" s="15" t="s">
        <v>336</v>
      </c>
      <c r="Y91" s="15" t="s">
        <v>336</v>
      </c>
      <c r="AI91" s="87" t="s">
        <v>1279</v>
      </c>
      <c r="AJ91" s="88">
        <v>1859</v>
      </c>
      <c r="AK91" s="15" t="s">
        <v>293</v>
      </c>
      <c r="AL91" s="15" t="s">
        <v>336</v>
      </c>
      <c r="AM91" s="15" t="s">
        <v>336</v>
      </c>
      <c r="AN91" s="15" t="s">
        <v>336</v>
      </c>
      <c r="AO91" s="15" t="s">
        <v>336</v>
      </c>
      <c r="AP91" s="49" t="s">
        <v>336</v>
      </c>
    </row>
    <row r="92" spans="2:42" x14ac:dyDescent="0.4">
      <c r="B92" s="24" t="s">
        <v>11</v>
      </c>
      <c r="H92" s="15" t="s">
        <v>1715</v>
      </c>
      <c r="I92" s="25" t="b">
        <v>1</v>
      </c>
      <c r="J92" s="15" t="b">
        <v>1</v>
      </c>
      <c r="N92" s="15" t="s">
        <v>336</v>
      </c>
      <c r="O92" s="15" t="s">
        <v>336</v>
      </c>
      <c r="Y92" s="15" t="s">
        <v>336</v>
      </c>
      <c r="AI92" s="87" t="s">
        <v>1280</v>
      </c>
      <c r="AJ92" s="88">
        <v>1861</v>
      </c>
      <c r="AK92" s="15" t="s">
        <v>294</v>
      </c>
      <c r="AL92" s="15" t="s">
        <v>336</v>
      </c>
      <c r="AM92" s="15" t="s">
        <v>336</v>
      </c>
      <c r="AN92" s="15" t="s">
        <v>336</v>
      </c>
      <c r="AO92" s="15" t="s">
        <v>336</v>
      </c>
      <c r="AP92" s="49" t="s">
        <v>336</v>
      </c>
    </row>
    <row r="93" spans="2:42" x14ac:dyDescent="0.4">
      <c r="B93" s="24" t="s">
        <v>557</v>
      </c>
      <c r="H93" s="15" t="s">
        <v>1715</v>
      </c>
      <c r="I93" s="25" t="b">
        <v>1</v>
      </c>
      <c r="J93" s="15" t="b">
        <v>1</v>
      </c>
      <c r="N93" s="15" t="s">
        <v>336</v>
      </c>
      <c r="O93" s="15" t="s">
        <v>336</v>
      </c>
      <c r="Y93" s="15" t="s">
        <v>336</v>
      </c>
      <c r="AI93" s="87" t="s">
        <v>1281</v>
      </c>
      <c r="AJ93" s="88">
        <v>1873</v>
      </c>
      <c r="AK93" s="15" t="s">
        <v>297</v>
      </c>
      <c r="AL93" s="15" t="s">
        <v>336</v>
      </c>
      <c r="AM93" s="15" t="s">
        <v>336</v>
      </c>
      <c r="AN93" s="15" t="s">
        <v>336</v>
      </c>
      <c r="AO93" s="15" t="s">
        <v>336</v>
      </c>
      <c r="AP93" s="49" t="s">
        <v>336</v>
      </c>
    </row>
    <row r="94" spans="2:42" x14ac:dyDescent="0.4">
      <c r="B94" s="24" t="s">
        <v>11</v>
      </c>
      <c r="H94" s="15" t="s">
        <v>1715</v>
      </c>
      <c r="I94" s="25" t="b">
        <v>1</v>
      </c>
      <c r="J94" s="15" t="b">
        <v>1</v>
      </c>
      <c r="N94" s="15" t="s">
        <v>336</v>
      </c>
      <c r="O94" s="15" t="s">
        <v>336</v>
      </c>
      <c r="Y94" s="15" t="s">
        <v>336</v>
      </c>
      <c r="AI94" s="87" t="s">
        <v>1282</v>
      </c>
      <c r="AJ94" s="88">
        <v>1875</v>
      </c>
      <c r="AK94" s="15" t="s">
        <v>298</v>
      </c>
      <c r="AL94" s="15" t="s">
        <v>336</v>
      </c>
      <c r="AM94" s="15" t="s">
        <v>336</v>
      </c>
      <c r="AN94" s="15" t="s">
        <v>336</v>
      </c>
      <c r="AO94" s="15" t="s">
        <v>336</v>
      </c>
      <c r="AP94" s="49" t="s">
        <v>336</v>
      </c>
    </row>
    <row r="95" spans="2:42" x14ac:dyDescent="0.4">
      <c r="B95" s="24" t="s">
        <v>11</v>
      </c>
      <c r="H95" s="15" t="s">
        <v>1715</v>
      </c>
      <c r="I95" s="25" t="b">
        <v>1</v>
      </c>
      <c r="J95" s="15" t="b">
        <v>1</v>
      </c>
      <c r="N95" s="15" t="s">
        <v>336</v>
      </c>
      <c r="O95" s="15" t="s">
        <v>336</v>
      </c>
      <c r="Y95" s="15" t="s">
        <v>336</v>
      </c>
      <c r="AI95" s="87" t="s">
        <v>1284</v>
      </c>
      <c r="AJ95" s="88">
        <v>1888</v>
      </c>
      <c r="AK95" s="15" t="s">
        <v>302</v>
      </c>
      <c r="AL95" s="15" t="s">
        <v>336</v>
      </c>
      <c r="AM95" s="15" t="s">
        <v>336</v>
      </c>
      <c r="AN95" s="15" t="s">
        <v>336</v>
      </c>
      <c r="AO95" s="15" t="s">
        <v>336</v>
      </c>
      <c r="AP95" s="49" t="s">
        <v>336</v>
      </c>
    </row>
    <row r="96" spans="2:42" x14ac:dyDescent="0.4">
      <c r="B96" s="24" t="s">
        <v>651</v>
      </c>
      <c r="H96" s="15" t="s">
        <v>1715</v>
      </c>
      <c r="I96" s="25" t="b">
        <v>1</v>
      </c>
      <c r="J96" s="15" t="b">
        <v>1</v>
      </c>
      <c r="N96" s="15" t="s">
        <v>336</v>
      </c>
      <c r="O96" s="15" t="s">
        <v>336</v>
      </c>
      <c r="Y96" s="15" t="s">
        <v>336</v>
      </c>
      <c r="AI96" s="87" t="s">
        <v>1285</v>
      </c>
      <c r="AJ96" s="88">
        <v>1894</v>
      </c>
      <c r="AK96" s="15" t="s">
        <v>303</v>
      </c>
      <c r="AL96" s="15" t="s">
        <v>336</v>
      </c>
      <c r="AM96" s="15" t="s">
        <v>336</v>
      </c>
      <c r="AN96" s="15" t="s">
        <v>336</v>
      </c>
      <c r="AO96" s="15" t="s">
        <v>336</v>
      </c>
      <c r="AP96" s="49" t="s">
        <v>336</v>
      </c>
    </row>
    <row r="97" spans="2:42" x14ac:dyDescent="0.4">
      <c r="B97" s="24" t="s">
        <v>716</v>
      </c>
      <c r="H97" s="15" t="s">
        <v>1715</v>
      </c>
      <c r="I97" s="25" t="b">
        <v>1</v>
      </c>
      <c r="J97" s="15" t="b">
        <v>1</v>
      </c>
      <c r="N97" s="15" t="s">
        <v>336</v>
      </c>
      <c r="O97" s="15" t="s">
        <v>336</v>
      </c>
      <c r="Y97" s="15" t="s">
        <v>336</v>
      </c>
      <c r="AI97" s="87" t="s">
        <v>1286</v>
      </c>
      <c r="AJ97" s="89" t="s">
        <v>1411</v>
      </c>
      <c r="AK97" s="15" t="s">
        <v>304</v>
      </c>
      <c r="AL97" s="15" t="s">
        <v>336</v>
      </c>
      <c r="AM97" s="15" t="s">
        <v>336</v>
      </c>
      <c r="AN97" s="15" t="s">
        <v>336</v>
      </c>
      <c r="AO97" s="15" t="s">
        <v>336</v>
      </c>
      <c r="AP97" s="49" t="s">
        <v>336</v>
      </c>
    </row>
    <row r="98" spans="2:42" x14ac:dyDescent="0.4">
      <c r="B98" s="24" t="s">
        <v>533</v>
      </c>
      <c r="H98" s="15" t="s">
        <v>1715</v>
      </c>
      <c r="I98" s="25" t="b">
        <v>1</v>
      </c>
      <c r="J98" s="15" t="b">
        <v>1</v>
      </c>
      <c r="N98" s="15" t="s">
        <v>336</v>
      </c>
      <c r="O98" s="15" t="s">
        <v>336</v>
      </c>
      <c r="Y98" s="15" t="s">
        <v>336</v>
      </c>
      <c r="AI98" s="87" t="s">
        <v>1287</v>
      </c>
      <c r="AJ98" s="88" t="s">
        <v>1159</v>
      </c>
      <c r="AK98" s="15" t="s">
        <v>305</v>
      </c>
      <c r="AL98" s="15" t="s">
        <v>336</v>
      </c>
      <c r="AM98" s="15" t="s">
        <v>336</v>
      </c>
      <c r="AN98" s="15" t="s">
        <v>336</v>
      </c>
      <c r="AO98" s="15" t="s">
        <v>336</v>
      </c>
      <c r="AP98" s="49" t="s">
        <v>336</v>
      </c>
    </row>
    <row r="99" spans="2:42" x14ac:dyDescent="0.4">
      <c r="B99" s="24" t="s">
        <v>11</v>
      </c>
      <c r="H99" s="15" t="s">
        <v>1715</v>
      </c>
      <c r="I99" s="25" t="b">
        <v>1</v>
      </c>
      <c r="J99" s="15" t="b">
        <v>1</v>
      </c>
      <c r="N99" s="15" t="s">
        <v>336</v>
      </c>
      <c r="O99" s="15" t="s">
        <v>336</v>
      </c>
      <c r="Y99" s="15" t="s">
        <v>336</v>
      </c>
      <c r="AI99" s="87" t="s">
        <v>1288</v>
      </c>
      <c r="AJ99" s="88">
        <v>1918</v>
      </c>
      <c r="AK99" s="15" t="s">
        <v>307</v>
      </c>
      <c r="AL99" s="15" t="s">
        <v>336</v>
      </c>
      <c r="AM99" s="15" t="s">
        <v>336</v>
      </c>
      <c r="AN99" s="15" t="s">
        <v>336</v>
      </c>
      <c r="AO99" s="15" t="s">
        <v>336</v>
      </c>
      <c r="AP99" s="49" t="s">
        <v>336</v>
      </c>
    </row>
    <row r="100" spans="2:42" x14ac:dyDescent="0.4">
      <c r="B100" s="24" t="s">
        <v>11</v>
      </c>
      <c r="H100" s="15" t="s">
        <v>1715</v>
      </c>
      <c r="I100" s="25" t="b">
        <v>1</v>
      </c>
      <c r="J100" s="15" t="b">
        <v>1</v>
      </c>
      <c r="N100" s="15" t="s">
        <v>336</v>
      </c>
      <c r="O100" s="15" t="s">
        <v>336</v>
      </c>
      <c r="Y100" s="15" t="s">
        <v>336</v>
      </c>
      <c r="AI100" s="87" t="s">
        <v>1289</v>
      </c>
      <c r="AJ100" s="88">
        <v>1924</v>
      </c>
      <c r="AK100" s="15" t="s">
        <v>308</v>
      </c>
      <c r="AL100" s="15" t="s">
        <v>336</v>
      </c>
      <c r="AM100" s="15" t="s">
        <v>336</v>
      </c>
      <c r="AN100" s="15" t="s">
        <v>336</v>
      </c>
      <c r="AO100" s="15" t="s">
        <v>336</v>
      </c>
      <c r="AP100" s="49" t="s">
        <v>336</v>
      </c>
    </row>
    <row r="101" spans="2:42" x14ac:dyDescent="0.4">
      <c r="B101" s="24" t="s">
        <v>552</v>
      </c>
      <c r="H101" s="15" t="s">
        <v>1715</v>
      </c>
      <c r="I101" s="25" t="b">
        <v>1</v>
      </c>
      <c r="J101" s="15" t="b">
        <v>1</v>
      </c>
      <c r="N101" s="15" t="s">
        <v>336</v>
      </c>
      <c r="O101" s="15" t="s">
        <v>336</v>
      </c>
      <c r="Y101" s="15" t="s">
        <v>336</v>
      </c>
      <c r="AI101" s="87" t="s">
        <v>1290</v>
      </c>
      <c r="AJ101" s="89" t="s">
        <v>1162</v>
      </c>
      <c r="AK101" s="15" t="s">
        <v>309</v>
      </c>
      <c r="AL101" s="15" t="s">
        <v>336</v>
      </c>
      <c r="AM101" s="15" t="s">
        <v>336</v>
      </c>
      <c r="AN101" s="15" t="s">
        <v>336</v>
      </c>
      <c r="AO101" s="15" t="s">
        <v>336</v>
      </c>
      <c r="AP101" s="49" t="s">
        <v>336</v>
      </c>
    </row>
    <row r="102" spans="2:42" x14ac:dyDescent="0.4">
      <c r="B102" s="24" t="s">
        <v>518</v>
      </c>
      <c r="H102" s="15" t="s">
        <v>1715</v>
      </c>
      <c r="I102" s="25" t="b">
        <v>1</v>
      </c>
      <c r="J102" s="15" t="b">
        <v>1</v>
      </c>
      <c r="N102" s="15" t="s">
        <v>336</v>
      </c>
      <c r="O102" s="15" t="s">
        <v>336</v>
      </c>
      <c r="Y102" s="15" t="s">
        <v>336</v>
      </c>
      <c r="AI102" s="87" t="s">
        <v>1291</v>
      </c>
      <c r="AJ102" s="88">
        <v>1929</v>
      </c>
      <c r="AK102" s="15" t="s">
        <v>310</v>
      </c>
      <c r="AL102" s="15" t="s">
        <v>336</v>
      </c>
      <c r="AM102" s="15" t="s">
        <v>336</v>
      </c>
      <c r="AN102" s="15" t="s">
        <v>336</v>
      </c>
      <c r="AO102" s="15" t="s">
        <v>336</v>
      </c>
      <c r="AP102" s="49" t="s">
        <v>336</v>
      </c>
    </row>
    <row r="103" spans="2:42" x14ac:dyDescent="0.4">
      <c r="B103" s="24" t="s">
        <v>509</v>
      </c>
      <c r="D103" s="52">
        <v>50.108666599999999</v>
      </c>
      <c r="E103" s="49">
        <v>4.9609611999999998</v>
      </c>
      <c r="F103" s="43" t="s">
        <v>346</v>
      </c>
      <c r="G103" s="79"/>
      <c r="H103" s="44" t="s">
        <v>1715</v>
      </c>
      <c r="I103" s="25" t="b">
        <v>1</v>
      </c>
      <c r="J103" s="15" t="b">
        <v>1</v>
      </c>
      <c r="N103" s="15" t="s">
        <v>347</v>
      </c>
      <c r="O103" s="15" t="s">
        <v>336</v>
      </c>
      <c r="Y103" s="16" t="s">
        <v>336</v>
      </c>
      <c r="Z103" s="16"/>
      <c r="AA103" s="16"/>
      <c r="AB103" s="16"/>
      <c r="AC103" s="16"/>
      <c r="AD103" s="16"/>
      <c r="AE103" s="16"/>
      <c r="AF103" s="16"/>
      <c r="AG103" s="16"/>
      <c r="AH103" s="16"/>
      <c r="AI103" s="87" t="s">
        <v>992</v>
      </c>
      <c r="AJ103" s="88">
        <v>1932</v>
      </c>
      <c r="AK103" s="15" t="s">
        <v>311</v>
      </c>
      <c r="AL103" s="15" t="s">
        <v>336</v>
      </c>
      <c r="AM103" s="15" t="s">
        <v>336</v>
      </c>
      <c r="AN103" s="15" t="s">
        <v>336</v>
      </c>
      <c r="AO103" s="15" t="s">
        <v>336</v>
      </c>
      <c r="AP103" s="49" t="s">
        <v>336</v>
      </c>
    </row>
    <row r="104" spans="2:42" x14ac:dyDescent="0.4">
      <c r="B104" s="24" t="s">
        <v>509</v>
      </c>
      <c r="D104" s="52">
        <v>50.538244800000001</v>
      </c>
      <c r="E104" s="49">
        <v>5.7507225999999996</v>
      </c>
      <c r="F104" s="43" t="s">
        <v>343</v>
      </c>
      <c r="G104" s="79"/>
      <c r="H104" s="44" t="s">
        <v>1715</v>
      </c>
      <c r="I104" s="25" t="b">
        <v>1</v>
      </c>
      <c r="J104" s="15" t="b">
        <v>1</v>
      </c>
      <c r="N104" s="15" t="s">
        <v>344</v>
      </c>
      <c r="O104" s="15" t="s">
        <v>336</v>
      </c>
      <c r="Y104" s="16" t="s">
        <v>336</v>
      </c>
      <c r="Z104" s="16"/>
      <c r="AA104" s="16"/>
      <c r="AB104" s="16"/>
      <c r="AC104" s="16"/>
      <c r="AD104" s="16"/>
      <c r="AE104" s="16"/>
      <c r="AF104" s="16"/>
      <c r="AG104" s="16"/>
      <c r="AH104" s="16"/>
      <c r="AI104" s="87" t="s">
        <v>991</v>
      </c>
      <c r="AJ104" s="88">
        <v>1933</v>
      </c>
      <c r="AK104" s="15" t="s">
        <v>312</v>
      </c>
      <c r="AL104" s="15" t="s">
        <v>336</v>
      </c>
      <c r="AM104" s="15" t="s">
        <v>336</v>
      </c>
      <c r="AN104" s="15" t="s">
        <v>336</v>
      </c>
      <c r="AO104" s="15" t="s">
        <v>336</v>
      </c>
      <c r="AP104" s="49" t="s">
        <v>336</v>
      </c>
    </row>
    <row r="105" spans="2:42" x14ac:dyDescent="0.4">
      <c r="B105" s="24" t="s">
        <v>518</v>
      </c>
      <c r="H105" s="15" t="s">
        <v>1715</v>
      </c>
      <c r="I105" s="25" t="b">
        <v>1</v>
      </c>
      <c r="J105" s="15" t="b">
        <v>1</v>
      </c>
      <c r="N105" s="15" t="s">
        <v>336</v>
      </c>
      <c r="O105" s="15" t="s">
        <v>336</v>
      </c>
      <c r="Y105" s="15" t="s">
        <v>336</v>
      </c>
      <c r="AI105" s="87" t="s">
        <v>1292</v>
      </c>
      <c r="AJ105" s="88">
        <v>1936</v>
      </c>
      <c r="AK105" s="15" t="s">
        <v>313</v>
      </c>
      <c r="AL105" s="15" t="s">
        <v>336</v>
      </c>
      <c r="AM105" s="15" t="s">
        <v>336</v>
      </c>
      <c r="AN105" s="15" t="s">
        <v>336</v>
      </c>
      <c r="AO105" s="15" t="s">
        <v>336</v>
      </c>
      <c r="AP105" s="49" t="s">
        <v>336</v>
      </c>
    </row>
    <row r="106" spans="2:42" x14ac:dyDescent="0.4">
      <c r="B106" s="24" t="s">
        <v>542</v>
      </c>
      <c r="H106" s="15" t="s">
        <v>1715</v>
      </c>
      <c r="I106" s="25" t="b">
        <v>1</v>
      </c>
      <c r="J106" s="15" t="b">
        <v>1</v>
      </c>
      <c r="N106" s="15" t="s">
        <v>336</v>
      </c>
      <c r="O106" s="15" t="s">
        <v>336</v>
      </c>
      <c r="Y106" s="15" t="s">
        <v>336</v>
      </c>
      <c r="AI106" s="87" t="s">
        <v>1293</v>
      </c>
      <c r="AJ106" s="89" t="s">
        <v>1165</v>
      </c>
      <c r="AK106" s="15" t="s">
        <v>314</v>
      </c>
      <c r="AL106" s="15" t="s">
        <v>336</v>
      </c>
      <c r="AM106" s="15" t="s">
        <v>336</v>
      </c>
      <c r="AN106" s="15" t="s">
        <v>336</v>
      </c>
      <c r="AO106" s="15" t="s">
        <v>336</v>
      </c>
      <c r="AP106" s="49" t="s">
        <v>336</v>
      </c>
    </row>
    <row r="107" spans="2:42" x14ac:dyDescent="0.4">
      <c r="B107" s="24" t="s">
        <v>11</v>
      </c>
      <c r="H107" s="15" t="s">
        <v>1715</v>
      </c>
      <c r="I107" s="25" t="b">
        <v>1</v>
      </c>
      <c r="J107" s="15" t="b">
        <v>1</v>
      </c>
      <c r="N107" s="15" t="s">
        <v>336</v>
      </c>
      <c r="O107" s="15" t="s">
        <v>336</v>
      </c>
      <c r="Y107" s="15" t="s">
        <v>336</v>
      </c>
      <c r="AI107" s="87" t="s">
        <v>1294</v>
      </c>
      <c r="AJ107" s="89" t="s">
        <v>1166</v>
      </c>
      <c r="AK107" s="15" t="s">
        <v>315</v>
      </c>
      <c r="AL107" s="15" t="s">
        <v>336</v>
      </c>
      <c r="AM107" s="15" t="s">
        <v>336</v>
      </c>
      <c r="AN107" s="15" t="s">
        <v>336</v>
      </c>
      <c r="AO107" s="15" t="s">
        <v>336</v>
      </c>
      <c r="AP107" s="49" t="s">
        <v>336</v>
      </c>
    </row>
    <row r="108" spans="2:42" x14ac:dyDescent="0.4">
      <c r="B108" s="24" t="s">
        <v>542</v>
      </c>
      <c r="H108" s="15" t="s">
        <v>1715</v>
      </c>
      <c r="I108" s="25" t="b">
        <v>1</v>
      </c>
      <c r="J108" s="15" t="b">
        <v>1</v>
      </c>
      <c r="N108" s="15" t="s">
        <v>336</v>
      </c>
      <c r="O108" s="15" t="s">
        <v>336</v>
      </c>
      <c r="Y108" s="15" t="s">
        <v>336</v>
      </c>
      <c r="AI108" s="87" t="s">
        <v>1296</v>
      </c>
      <c r="AJ108" s="89" t="s">
        <v>1168</v>
      </c>
      <c r="AK108" s="15" t="s">
        <v>317</v>
      </c>
      <c r="AL108" s="15" t="s">
        <v>336</v>
      </c>
      <c r="AM108" s="15" t="s">
        <v>336</v>
      </c>
      <c r="AN108" s="15" t="s">
        <v>336</v>
      </c>
      <c r="AO108" s="15" t="s">
        <v>336</v>
      </c>
      <c r="AP108" s="49" t="s">
        <v>336</v>
      </c>
    </row>
    <row r="109" spans="2:42" x14ac:dyDescent="0.4">
      <c r="B109" s="24" t="s">
        <v>651</v>
      </c>
      <c r="H109" s="15" t="s">
        <v>1715</v>
      </c>
      <c r="I109" s="25" t="b">
        <v>1</v>
      </c>
      <c r="J109" s="15" t="b">
        <v>1</v>
      </c>
      <c r="N109" s="15" t="s">
        <v>336</v>
      </c>
      <c r="O109" s="15" t="s">
        <v>336</v>
      </c>
      <c r="Y109" s="15" t="s">
        <v>336</v>
      </c>
      <c r="AI109" s="87" t="s">
        <v>1297</v>
      </c>
      <c r="AJ109" s="88">
        <v>1943</v>
      </c>
      <c r="AK109" s="15" t="s">
        <v>318</v>
      </c>
      <c r="AL109" s="15" t="s">
        <v>336</v>
      </c>
      <c r="AM109" s="15" t="s">
        <v>336</v>
      </c>
      <c r="AN109" s="15" t="s">
        <v>336</v>
      </c>
      <c r="AO109" s="15" t="s">
        <v>336</v>
      </c>
      <c r="AP109" s="49" t="s">
        <v>336</v>
      </c>
    </row>
    <row r="110" spans="2:42" x14ac:dyDescent="0.4">
      <c r="B110" s="24" t="s">
        <v>552</v>
      </c>
      <c r="H110" s="15" t="s">
        <v>1715</v>
      </c>
      <c r="I110" s="25" t="b">
        <v>1</v>
      </c>
      <c r="J110" s="15" t="b">
        <v>1</v>
      </c>
      <c r="N110" s="15" t="s">
        <v>336</v>
      </c>
      <c r="O110" s="15" t="s">
        <v>336</v>
      </c>
      <c r="Y110" s="15" t="s">
        <v>336</v>
      </c>
      <c r="AI110" s="87" t="s">
        <v>1298</v>
      </c>
      <c r="AJ110" s="88">
        <v>1945</v>
      </c>
      <c r="AK110" s="15" t="s">
        <v>319</v>
      </c>
      <c r="AL110" s="15" t="s">
        <v>336</v>
      </c>
      <c r="AM110" s="15" t="s">
        <v>336</v>
      </c>
      <c r="AN110" s="15" t="s">
        <v>336</v>
      </c>
      <c r="AO110" s="15" t="s">
        <v>336</v>
      </c>
      <c r="AP110" s="49" t="s">
        <v>336</v>
      </c>
    </row>
    <row r="111" spans="2:42" x14ac:dyDescent="0.4">
      <c r="B111" s="24" t="s">
        <v>557</v>
      </c>
      <c r="H111" s="15" t="s">
        <v>1715</v>
      </c>
      <c r="I111" s="25" t="b">
        <v>1</v>
      </c>
      <c r="J111" s="15" t="b">
        <v>1</v>
      </c>
      <c r="N111" s="15" t="s">
        <v>336</v>
      </c>
      <c r="O111" s="15" t="s">
        <v>336</v>
      </c>
      <c r="Y111" s="15" t="s">
        <v>336</v>
      </c>
      <c r="AI111" s="87" t="s">
        <v>1299</v>
      </c>
      <c r="AJ111" s="88">
        <v>1947</v>
      </c>
      <c r="AK111" s="15" t="s">
        <v>320</v>
      </c>
      <c r="AL111" s="15" t="s">
        <v>336</v>
      </c>
      <c r="AM111" s="15" t="s">
        <v>336</v>
      </c>
      <c r="AN111" s="15" t="s">
        <v>336</v>
      </c>
      <c r="AO111" s="15" t="s">
        <v>336</v>
      </c>
      <c r="AP111" s="49" t="s">
        <v>336</v>
      </c>
    </row>
    <row r="112" spans="2:42" x14ac:dyDescent="0.4">
      <c r="B112" s="24" t="s">
        <v>542</v>
      </c>
      <c r="H112" s="15" t="s">
        <v>1715</v>
      </c>
      <c r="I112" s="25" t="b">
        <v>1</v>
      </c>
      <c r="J112" s="15" t="b">
        <v>1</v>
      </c>
      <c r="N112" s="15" t="s">
        <v>336</v>
      </c>
      <c r="O112" s="15" t="s">
        <v>336</v>
      </c>
      <c r="Y112" s="15" t="s">
        <v>336</v>
      </c>
      <c r="AI112" s="87" t="s">
        <v>1300</v>
      </c>
      <c r="AJ112" s="89" t="s">
        <v>1172</v>
      </c>
      <c r="AK112" s="15" t="s">
        <v>321</v>
      </c>
      <c r="AL112" s="15" t="s">
        <v>336</v>
      </c>
      <c r="AM112" s="15" t="s">
        <v>336</v>
      </c>
      <c r="AN112" s="15" t="s">
        <v>336</v>
      </c>
      <c r="AO112" s="15" t="s">
        <v>336</v>
      </c>
      <c r="AP112" s="49" t="s">
        <v>336</v>
      </c>
    </row>
    <row r="113" spans="1:42" x14ac:dyDescent="0.4">
      <c r="B113" s="24" t="s">
        <v>11</v>
      </c>
      <c r="H113" s="15" t="s">
        <v>1715</v>
      </c>
      <c r="I113" s="25" t="b">
        <v>1</v>
      </c>
      <c r="J113" s="15" t="b">
        <v>1</v>
      </c>
      <c r="N113" s="15" t="s">
        <v>336</v>
      </c>
      <c r="O113" s="15" t="s">
        <v>336</v>
      </c>
      <c r="Y113" s="15" t="s">
        <v>336</v>
      </c>
      <c r="AI113" s="87" t="s">
        <v>1301</v>
      </c>
      <c r="AJ113" s="88">
        <v>1951</v>
      </c>
      <c r="AK113" s="15" t="s">
        <v>322</v>
      </c>
      <c r="AL113" s="15" t="s">
        <v>336</v>
      </c>
      <c r="AM113" s="15" t="s">
        <v>336</v>
      </c>
      <c r="AN113" s="15" t="s">
        <v>336</v>
      </c>
      <c r="AO113" s="15" t="s">
        <v>336</v>
      </c>
      <c r="AP113" s="49" t="s">
        <v>336</v>
      </c>
    </row>
    <row r="114" spans="1:42" x14ac:dyDescent="0.4">
      <c r="B114" s="24" t="s">
        <v>11</v>
      </c>
      <c r="H114" s="15" t="s">
        <v>1715</v>
      </c>
      <c r="I114" s="25" t="b">
        <v>1</v>
      </c>
      <c r="J114" s="15" t="b">
        <v>1</v>
      </c>
      <c r="N114" s="15" t="s">
        <v>336</v>
      </c>
      <c r="O114" s="15" t="s">
        <v>336</v>
      </c>
      <c r="Y114" s="15" t="s">
        <v>336</v>
      </c>
      <c r="AI114" s="87" t="s">
        <v>1302</v>
      </c>
      <c r="AJ114" s="88">
        <v>1953</v>
      </c>
      <c r="AK114" s="15" t="s">
        <v>323</v>
      </c>
      <c r="AL114" s="15" t="s">
        <v>336</v>
      </c>
      <c r="AM114" s="15" t="s">
        <v>336</v>
      </c>
      <c r="AN114" s="15" t="s">
        <v>336</v>
      </c>
      <c r="AO114" s="15" t="s">
        <v>336</v>
      </c>
      <c r="AP114" s="49" t="s">
        <v>336</v>
      </c>
    </row>
    <row r="115" spans="1:42" ht="37.299999999999997" x14ac:dyDescent="0.4">
      <c r="B115" s="24" t="s">
        <v>696</v>
      </c>
      <c r="H115" s="15" t="s">
        <v>1715</v>
      </c>
      <c r="I115" s="25" t="b">
        <v>1</v>
      </c>
      <c r="J115" s="15" t="b">
        <v>1</v>
      </c>
      <c r="N115" s="15" t="s">
        <v>336</v>
      </c>
      <c r="O115" s="15" t="s">
        <v>336</v>
      </c>
      <c r="Y115" s="15" t="s">
        <v>336</v>
      </c>
      <c r="AI115" s="87" t="s">
        <v>1304</v>
      </c>
      <c r="AJ115" s="88" t="s">
        <v>1176</v>
      </c>
      <c r="AK115" s="15" t="s">
        <v>325</v>
      </c>
      <c r="AL115" s="15" t="s">
        <v>336</v>
      </c>
      <c r="AM115" s="15" t="s">
        <v>336</v>
      </c>
      <c r="AN115" s="15" t="s">
        <v>336</v>
      </c>
      <c r="AO115" s="15" t="s">
        <v>336</v>
      </c>
      <c r="AP115" s="49" t="s">
        <v>336</v>
      </c>
    </row>
    <row r="116" spans="1:42" ht="99.45" x14ac:dyDescent="0.4">
      <c r="A116" s="14" t="s">
        <v>1322</v>
      </c>
      <c r="B116" s="24" t="s">
        <v>719</v>
      </c>
      <c r="D116" s="52">
        <v>37.204861473063303</v>
      </c>
      <c r="E116" s="49">
        <v>126.81640992516</v>
      </c>
      <c r="F116" s="41" t="s">
        <v>1394</v>
      </c>
      <c r="G116" s="53" t="s">
        <v>1394</v>
      </c>
      <c r="H116" s="15" t="s">
        <v>1715</v>
      </c>
      <c r="I116" s="25" t="b">
        <v>1</v>
      </c>
      <c r="J116" s="15" t="b">
        <v>1</v>
      </c>
      <c r="L116" s="41" t="s">
        <v>1333</v>
      </c>
      <c r="M116" s="55" t="s">
        <v>1743</v>
      </c>
      <c r="N116" s="15" t="s">
        <v>336</v>
      </c>
      <c r="O116" s="15" t="s">
        <v>336</v>
      </c>
      <c r="Y116" s="15" t="s">
        <v>336</v>
      </c>
      <c r="AI116" s="87" t="s">
        <v>1307</v>
      </c>
      <c r="AJ116" s="88">
        <v>1984</v>
      </c>
      <c r="AK116" s="15" t="s">
        <v>330</v>
      </c>
      <c r="AL116" s="15" t="s">
        <v>336</v>
      </c>
      <c r="AM116" s="15" t="s">
        <v>336</v>
      </c>
      <c r="AN116" s="15" t="s">
        <v>336</v>
      </c>
      <c r="AO116" s="15" t="s">
        <v>336</v>
      </c>
      <c r="AP116" s="49" t="s">
        <v>336</v>
      </c>
    </row>
    <row r="117" spans="1:42" ht="49.75" x14ac:dyDescent="0.4">
      <c r="A117" s="14" t="s">
        <v>1322</v>
      </c>
      <c r="B117" s="24" t="s">
        <v>637</v>
      </c>
      <c r="D117" s="52">
        <v>7.2085798653578497</v>
      </c>
      <c r="E117" s="49">
        <v>7.8115900693840503</v>
      </c>
      <c r="F117" s="24" t="s">
        <v>1042</v>
      </c>
      <c r="G117" s="53" t="s">
        <v>1043</v>
      </c>
      <c r="H117" s="15" t="s">
        <v>1715</v>
      </c>
      <c r="I117" s="25" t="b">
        <v>1</v>
      </c>
      <c r="J117" s="15" t="b">
        <v>1</v>
      </c>
      <c r="L117" s="24" t="s">
        <v>1045</v>
      </c>
      <c r="N117" s="15" t="s">
        <v>1041</v>
      </c>
      <c r="O117" s="15" t="s">
        <v>336</v>
      </c>
      <c r="Y117" s="15" t="s">
        <v>336</v>
      </c>
      <c r="AI117" s="87" t="s">
        <v>1047</v>
      </c>
      <c r="AJ117" s="88" t="s">
        <v>1046</v>
      </c>
      <c r="AK117" s="15" t="s">
        <v>331</v>
      </c>
      <c r="AL117" s="15" t="s">
        <v>336</v>
      </c>
      <c r="AM117" s="15" t="s">
        <v>1044</v>
      </c>
      <c r="AN117" s="15" t="s">
        <v>336</v>
      </c>
      <c r="AO117" s="15" t="s">
        <v>336</v>
      </c>
      <c r="AP117" s="49" t="s">
        <v>336</v>
      </c>
    </row>
    <row r="118" spans="1:42" x14ac:dyDescent="0.4">
      <c r="A118" s="14" t="s">
        <v>1322</v>
      </c>
      <c r="B118" s="24" t="s">
        <v>483</v>
      </c>
      <c r="D118" s="52">
        <v>34.149450392589202</v>
      </c>
      <c r="E118" s="49">
        <v>36.1356779618907</v>
      </c>
      <c r="F118" s="24" t="s">
        <v>1040</v>
      </c>
      <c r="G118" s="53" t="s">
        <v>1040</v>
      </c>
      <c r="H118" s="15" t="s">
        <v>1715</v>
      </c>
      <c r="I118" s="25" t="b">
        <v>1</v>
      </c>
      <c r="J118" s="15" t="b">
        <v>1</v>
      </c>
      <c r="N118" s="15" t="s">
        <v>336</v>
      </c>
      <c r="O118" s="15" t="s">
        <v>336</v>
      </c>
      <c r="Y118" s="15" t="s">
        <v>336</v>
      </c>
      <c r="AI118" s="87" t="s">
        <v>1048</v>
      </c>
      <c r="AJ118" s="88">
        <v>2004</v>
      </c>
      <c r="AK118" s="15" t="s">
        <v>332</v>
      </c>
      <c r="AL118" s="15" t="s">
        <v>336</v>
      </c>
      <c r="AM118" s="15" t="s">
        <v>336</v>
      </c>
      <c r="AN118" s="15" t="s">
        <v>336</v>
      </c>
      <c r="AO118" s="15" t="s">
        <v>336</v>
      </c>
      <c r="AP118" s="49" t="s">
        <v>336</v>
      </c>
    </row>
    <row r="119" spans="1:42" x14ac:dyDescent="0.4">
      <c r="I119" s="25" t="b">
        <v>1</v>
      </c>
      <c r="J119" s="15" t="b">
        <v>1</v>
      </c>
      <c r="O119" s="15" t="s">
        <v>336</v>
      </c>
      <c r="AI119" s="91" t="s">
        <v>1037</v>
      </c>
      <c r="AK119" s="15" t="s">
        <v>336</v>
      </c>
      <c r="AL119" s="15" t="s">
        <v>336</v>
      </c>
      <c r="AM119" s="15" t="s">
        <v>336</v>
      </c>
      <c r="AN119" s="15" t="s">
        <v>336</v>
      </c>
      <c r="AO119" s="15" t="s">
        <v>336</v>
      </c>
      <c r="AP119" s="49" t="s">
        <v>336</v>
      </c>
    </row>
    <row r="120" spans="1:42" x14ac:dyDescent="0.4">
      <c r="I120" s="25" t="b">
        <v>1</v>
      </c>
      <c r="J120" s="15" t="b">
        <v>1</v>
      </c>
      <c r="O120" s="15" t="s">
        <v>336</v>
      </c>
      <c r="AI120" s="91" t="s">
        <v>1038</v>
      </c>
      <c r="AK120" s="15" t="s">
        <v>336</v>
      </c>
      <c r="AL120" s="15" t="s">
        <v>336</v>
      </c>
      <c r="AM120" s="15" t="s">
        <v>336</v>
      </c>
      <c r="AN120" s="15" t="s">
        <v>336</v>
      </c>
      <c r="AO120" s="15" t="s">
        <v>336</v>
      </c>
      <c r="AP120" s="49" t="s">
        <v>336</v>
      </c>
    </row>
    <row r="121" spans="1:42" x14ac:dyDescent="0.4">
      <c r="I121" s="25" t="b">
        <v>1</v>
      </c>
      <c r="J121" s="15" t="b">
        <v>1</v>
      </c>
      <c r="O121" s="15" t="s">
        <v>336</v>
      </c>
      <c r="AI121" s="91" t="s">
        <v>1039</v>
      </c>
      <c r="AK121" s="15" t="s">
        <v>336</v>
      </c>
      <c r="AL121" s="15" t="s">
        <v>336</v>
      </c>
      <c r="AM121" s="15" t="s">
        <v>336</v>
      </c>
      <c r="AN121" s="15" t="s">
        <v>336</v>
      </c>
      <c r="AO121" s="15" t="s">
        <v>336</v>
      </c>
      <c r="AP121" s="49" t="s">
        <v>336</v>
      </c>
    </row>
    <row r="122" spans="1:42" ht="24.9" x14ac:dyDescent="0.4">
      <c r="A122" s="14" t="s">
        <v>1322</v>
      </c>
      <c r="B122" s="24" t="s">
        <v>669</v>
      </c>
      <c r="D122" s="52">
        <v>46.329000000000001</v>
      </c>
      <c r="E122" s="49">
        <v>14.2324</v>
      </c>
      <c r="F122" s="24" t="s">
        <v>1392</v>
      </c>
      <c r="G122" s="53" t="s">
        <v>1388</v>
      </c>
      <c r="I122" s="25" t="b">
        <v>1</v>
      </c>
      <c r="J122" s="15" t="b">
        <v>1</v>
      </c>
      <c r="L122" s="24" t="s">
        <v>1393</v>
      </c>
      <c r="N122" s="15" t="s">
        <v>1391</v>
      </c>
      <c r="O122" s="15" t="s">
        <v>336</v>
      </c>
      <c r="AK122" s="15" t="s">
        <v>336</v>
      </c>
      <c r="AL122" s="15" t="s">
        <v>336</v>
      </c>
      <c r="AM122" s="15" t="s">
        <v>336</v>
      </c>
      <c r="AN122" s="15" t="s">
        <v>336</v>
      </c>
      <c r="AO122" s="15" t="s">
        <v>336</v>
      </c>
    </row>
    <row r="123" spans="1:42" x14ac:dyDescent="0.4">
      <c r="B123" s="24" t="s">
        <v>11</v>
      </c>
      <c r="C123" s="35" t="s">
        <v>1002</v>
      </c>
      <c r="F123" s="24" t="s">
        <v>1396</v>
      </c>
      <c r="I123" s="25" t="b">
        <v>1</v>
      </c>
      <c r="J123" s="15" t="b">
        <v>1</v>
      </c>
      <c r="L123" s="24" t="s">
        <v>1395</v>
      </c>
      <c r="O123" s="15" t="s">
        <v>336</v>
      </c>
      <c r="AK123" s="15" t="s">
        <v>336</v>
      </c>
      <c r="AL123" s="15" t="s">
        <v>336</v>
      </c>
      <c r="AM123" s="15" t="s">
        <v>336</v>
      </c>
      <c r="AN123" s="15" t="s">
        <v>336</v>
      </c>
      <c r="AO123" s="15" t="s">
        <v>336</v>
      </c>
    </row>
    <row r="124" spans="1:42" x14ac:dyDescent="0.4">
      <c r="A124" s="14" t="s">
        <v>1322</v>
      </c>
      <c r="I124" s="25" t="b">
        <v>1</v>
      </c>
      <c r="J124" s="15" t="b">
        <v>1</v>
      </c>
      <c r="O124" s="15" t="s">
        <v>1707</v>
      </c>
      <c r="AI124" s="91" t="s">
        <v>1705</v>
      </c>
      <c r="AK124" s="15" t="s">
        <v>336</v>
      </c>
      <c r="AL124" s="15" t="s">
        <v>336</v>
      </c>
      <c r="AM124" s="15" t="s">
        <v>336</v>
      </c>
      <c r="AN124" s="15" t="s">
        <v>336</v>
      </c>
      <c r="AO124" s="15" t="s">
        <v>336</v>
      </c>
    </row>
  </sheetData>
  <autoFilter ref="A1:AT124" xr:uid="{A598B8B3-DE60-41C5-96BA-7CC5FA9AD3BE}"/>
  <phoneticPr fontId="26" type="noConversion"/>
  <conditionalFormatting sqref="A1:AP1048576">
    <cfRule type="expression" dxfId="4" priority="9">
      <formula>IF($A1="Blocked",TRUE,FALSE)</formula>
    </cfRule>
    <cfRule type="expression" dxfId="3" priority="10">
      <formula>IF($A1="In Progress",TRUE,FALSE)</formula>
    </cfRule>
    <cfRule type="expression" dxfId="2" priority="31">
      <formula>IF($A1="Done",TRUE,FALSE)</formula>
    </cfRule>
  </conditionalFormatting>
  <conditionalFormatting sqref="AI1:AP1048576">
    <cfRule type="expression" dxfId="1" priority="1">
      <formula>IF(AND($A1&lt;&gt;0,$J1=0),TRUE,FALSE)</formula>
    </cfRule>
  </conditionalFormatting>
  <hyperlinks>
    <hyperlink ref="AI2" r:id="rId1" display="http://www.therealpresence.org/eucharst/misc/BVM/121_MONTSERRAT_60x96.pdf" xr:uid="{658E6E9B-A674-43A9-856E-0FD22B9E7C1C}"/>
    <hyperlink ref="AI3" r:id="rId2" display="http://www.therealpresence.org/eucharst/misc/BVM/80_MONTEFORTINO_60x96.pdf" xr:uid="{36A2CD01-016A-49DA-B178-47912F7C1C64}"/>
    <hyperlink ref="AI4" r:id="rId3" display="http://www.therealpresence.org/eucharst/misc/BVM/86_FOGGIA_60x96.pdf" xr:uid="{48179079-2376-47F5-8744-DD73EE09F2D5}"/>
    <hyperlink ref="AI5" r:id="rId4" display="http://www.therealpresence.org/eucharst/misc/BVM/37_ARRAS_60x96.pdf" xr:uid="{1E61FC3E-3B23-43A3-942D-53934E3112B3}"/>
    <hyperlink ref="AI6" r:id="rId5" display="http://www.therealpresence.org/eucharst/misc/BVM/123_NAZARE_96x96.pdf" xr:uid="{E15897B5-901D-47B8-AD5E-F2B13A66EDA7}"/>
    <hyperlink ref="AI7" r:id="rId6" display="http://www.therealpresence.org/eucharst/misc/BVM/38_ASSISI_60x96.pdf" xr:uid="{5726E936-FC46-4A5C-8C28-68CC84714782}"/>
    <hyperlink ref="AI8" r:id="rId7" display="http://www.therealpresence.org/eucharst/misc/BVM/136_ARCOS_60x96.pdf" xr:uid="{0E2BE527-EB5C-4435-9D95-B2DB27EF60F5}"/>
    <hyperlink ref="AI9" r:id="rId8" display="http://www.therealpresence.org/eucharst/misc/BVM/35_CORTES_60x96.pdf" xr:uid="{42A568B9-C0D2-4696-A02E-B496E9DE17D0}"/>
    <hyperlink ref="AI10" r:id="rId9" display="http://www.therealpresence.org/eucharst/misc/BVM/18_FIRENZE_60x96.pdf" xr:uid="{2DDBDFF6-77B2-4F97-9CD3-3648ED364359}"/>
    <hyperlink ref="AI11" r:id="rId10" display="http://www.therealpresence.org/eucharst/misc/BVM/05_AYLESFORD_60x96.pdf" xr:uid="{13B71A39-C730-4715-BA19-BA311AF077F1}"/>
    <hyperlink ref="AI12" r:id="rId11" display="http://www.therealpresence.org/eucharst/misc/BVM/133_ROMA_POZZO_60x96.pdf" xr:uid="{156758DA-2CDB-497B-81EA-E97CF7B3C093}"/>
    <hyperlink ref="AI13" r:id="rId12" display="http://www.therealpresence.org/eucharst/misc/BVM/148_LORETO_140x96.pdf" xr:uid="{FA202AAD-0270-4673-906F-29BFCEFDE41E}"/>
    <hyperlink ref="AI14" r:id="rId13" display="http://www.therealpresence.org/eucharst/misc/BVM/44_BRA_60x96.pdf" xr:uid="{EB93A5A8-7B4F-4ACE-8AF8-3700A0B7F0F0}"/>
    <hyperlink ref="AI15" r:id="rId14" display="http://www.therealpresence.org/eucharst/misc/BVM/74_ROVERANO_60x96.pdf" xr:uid="{E1F811F0-46F8-48B6-B383-BFEC77E0E209}"/>
    <hyperlink ref="AI16" r:id="rId15" display="http://www.therealpresence.org/eucharst/misc/BVM/43_CASTEL_GODEGO_60x96.pdf" xr:uid="{DD5E87B0-EADA-44FE-A963-E111A0241358}"/>
    <hyperlink ref="AI17" r:id="rId16" display="http://www.therealpresence.org/eucharst/misc/BVM/100_CORDOBA_60x96.pdf" xr:uid="{0A45FB25-0F12-4D96-A86E-93B9BE1616E8}"/>
    <hyperlink ref="AI18" r:id="rId17" display="http://www.therealpresence.org/eucharst/misc/BVM/58_MONTE_BERICO_60x96.pdf" xr:uid="{C7B0CA35-23A2-4D18-A448-456F2716259C}"/>
    <hyperlink ref="AI19" r:id="rId18" display="http://www.therealpresence.org/eucharst/misc/BVM/15_CARAVAGGIO_60x96.pdf" xr:uid="{2FD14D81-EEF7-45A1-9EA8-7F38714203B2}"/>
    <hyperlink ref="AI20" r:id="rId19" display="http://www.therealpresence.org/eucharst/misc/BVM/50_DESENZANO_DI_ALBINO_60x96.pd.pdf" xr:uid="{8DCE04EE-B3ED-4A82-945F-06B600F8F507}"/>
    <hyperlink ref="AI21" r:id="rId20" display="http://www.therealpresence.org/eucharst/misc/BVM/105_FUERTEVENTURA_60x96.pdf" xr:uid="{51DD2E9F-A9A5-4709-B162-AFBB59BF146D}"/>
    <hyperlink ref="AI22" r:id="rId21" display="http://www.therealpresence.org/eucharst/misc/BVM/115_S_ANASTASIA_96x96.pdf" xr:uid="{C48F931D-3F37-434F-8944-6820E24EB787}"/>
    <hyperlink ref="AI23" r:id="rId22" display="http://www.therealpresence.org/eucharst/misc/BVM/45_GHISALBA_60x96.pdf" xr:uid="{157E0100-A401-4662-A4A9-79002FC171BC}"/>
    <hyperlink ref="AI24" r:id="rId23" display="http://www.therealpresence.org/eucharst/misc/BVM/72_GARLASCO_60x96.pdf" xr:uid="{87B3628E-2EAC-438B-9A4A-5663B3F530DC}"/>
    <hyperlink ref="AI25" r:id="rId24" display="http://www.therealpresence.org/eucharst/misc/BVM/71_GENAZZANO_60x96.pdf" xr:uid="{07F0F5EC-4DC7-40B5-BCE0-4A78A4CC07B1}"/>
    <hyperlink ref="AI26" r:id="rId25" display="http://www.therealpresence.org/eucharst/misc/BVM/75_BADIA_DI_CAVA_60x96.pdf" xr:uid="{D18FCF9D-7AFF-4CBB-9317-CE8CE7D71798}"/>
    <hyperlink ref="AI27" r:id="rId26" display="http://www.therealpresence.org/eucharst/misc/BVM/42_BOCCADIRIO_60x96.pdf" xr:uid="{AD97BE69-C666-4F94-90EB-4EBEB216B37B}"/>
    <hyperlink ref="AI28" r:id="rId27" display="http://www.therealpresence.org/eucharst/misc/BVM/106_TEROR_60x96.pdf" xr:uid="{2F89AE55-31FC-4B7C-8610-26D7B1F5D284}"/>
    <hyperlink ref="AI29" r:id="rId28" display="http://www.therealpresence.org/eucharst/misc/BVM/49_IMOLA_60x96.pdf" xr:uid="{1B73B395-7BD4-4BFD-BCD1-E59A6204D253}"/>
    <hyperlink ref="AI30" r:id="rId29" display="http://www.therealpresence.org/eucharst/misc/BVM/67_AGRES_60x96.pdf" xr:uid="{6863FB2D-822D-4494-8A6E-2DE8EB2FB6DB}"/>
    <hyperlink ref="AI31" r:id="rId30" display="http://www.therealpresence.org/eucharst/misc/BVM/55_MADONNA_DEL_SASSO_60x96.pdf" xr:uid="{F4DE8BF9-7563-4FBF-9DBA-0A19527F73B4}"/>
    <hyperlink ref="AI32" r:id="rId31" display="http://www.therealpresence.org/eucharst/misc/BVM/64_GENOVA_60x96.pdf" xr:uid="{85836A41-D29E-4C50-B688-A501C7D24025}"/>
    <hyperlink ref="AI33" r:id="rId32" display="http://www.therealpresence.org/eucharst/misc/BVM/24_TROIS_EPIS_60x96.pdf" xr:uid="{33CFC5C9-F857-4635-B1B8-DAD3A9BBB42B}"/>
    <hyperlink ref="AI34" r:id="rId33" display="http://www.therealpresence.org/eucharst/misc/BVM/51_GALLIVAGGIO_60x96.pdf" xr:uid="{8D37C3E2-0C3E-4C44-AB01-0C79B4F29ECF}"/>
    <hyperlink ref="AI35" r:id="rId34" display="http://www.therealpresence.org/eucharst/misc/BVM/87_RE_60x96.pdf" xr:uid="{F770EBFE-550F-47A7-81F9-07ADB2609C57}"/>
    <hyperlink ref="AI36" r:id="rId35" display="http://www.therealpresence.org/eucharst/misc/BVM/47_BETTOLA_60x96.pdf" xr:uid="{81B329D8-37EC-40E1-9B48-9950C2EA7171}"/>
    <hyperlink ref="AI37" r:id="rId36" display="http://www.therealpresence.org/eucharst/misc/BVM/65_MOLARE_60x96.pdf" xr:uid="{0F617741-444E-4CA6-8D0E-29AE663EBB43}"/>
    <hyperlink ref="AI38" r:id="rId37" display="http://www.therealpresence.org/eucharst/misc/BVM/98_ANDACOLLO_CILE_60x96.pdf" xr:uid="{60DB5ACB-64B7-47DE-A160-8CC02E93F301}"/>
    <hyperlink ref="AI39" r:id="rId38" display="http://www.therealpresence.org/eucharst/misc/BVM/111_LUGGAU_60x96.pdf" xr:uid="{92BE830A-EA3F-49CC-94D3-4325C270BD4F}"/>
    <hyperlink ref="AI40" r:id="rId39" display="http://www.therealpresence.org/eucharst/misc/BVM/79_TIRANO_96x96.pdf" xr:uid="{B7685827-D50E-42E9-A817-13ABF385F280}"/>
    <hyperlink ref="AI41" r:id="rId40" display="http://www.therealpresence.org/eucharst/misc/BVM/122_MOTTA_DI_LIV_96x96.pdf" xr:uid="{6180EFD9-C993-4C32-9F30-F3E8FF5F7ED4}"/>
    <hyperlink ref="AI42" r:id="rId41" display="http://www.therealpresence.org/eucharst/misc/BVM/66_PESCHIERA_S-GARDA_60x96.pdf" xr:uid="{61000713-E5CF-4D85-83B0-1C1ACDB21E28}"/>
    <hyperlink ref="AI43" r:id="rId42" display="http://www.therealpresence.org/eucharst/misc/BVM/41_BERGAMO_60x96.pdf" xr:uid="{42BD3F37-12F2-4217-9717-512CA3DDF697}"/>
    <hyperlink ref="AI44" r:id="rId43" display="http://www.therealpresence.org/eucharst/misc/BVM/134_RZESZOW_96x96.pdf" xr:uid="{5C7CC109-5BCF-4547-9F64-E0CCFE3861C6}"/>
    <hyperlink ref="AI45" r:id="rId44" display="http://www.therealpresence.org/eucharst/misc/BVM/84_GARAISON_60x96.pdf" xr:uid="{CFA36045-F0E1-4EFF-83EF-78FC2166F51B}"/>
    <hyperlink ref="AI46" r:id="rId45" display="http://www.therealpresence.org/eucharst/misc/BVM/34_ADRO_60x96.pdf" xr:uid="{3E6ED1F2-8D29-4D07-A363-F70125EDC398}"/>
    <hyperlink ref="AI47" r:id="rId46" display="http://www.therealpresence.org/eucharst/misc/BVM/83_COTIGNAC_60x96.pdf" xr:uid="{9935782A-99CF-4468-B553-384E7871E642}"/>
    <hyperlink ref="AI48" r:id="rId47" display="http://www.therealpresence.org/eucharst/misc/BVM/114_CORI_60x96.pdf" xr:uid="{B1CA8A89-FD41-43D4-9FBA-9B10C767A55E}"/>
    <hyperlink ref="AI49" r:id="rId48" display="http://www.therealpresence.org/eucharst/misc/BVM/48_CUSSANIO_60x96.pdf" xr:uid="{AA54506B-CD7E-4830-9490-F08C6005F1BA}"/>
    <hyperlink ref="AI50" r:id="rId49" display="http://www.therealpresence.org/eucharst/misc/BVM/53_CRESCENTINO_60x96.pdf" xr:uid="{153A73E3-6180-43DE-82C2-255ACEB3AFD2}"/>
    <hyperlink ref="AI51" r:id="rId50" display="http://www.therealpresence.org/eucharst/misc/BVM/81_ORNAVASSO_60x96.pdf" xr:uid="{E1DAA1D0-2B11-4D8D-9CD3-5356C2F9D287}"/>
    <hyperlink ref="AI52" r:id="rId51" display="http://www.therealpresence.org/eucharst/misc/BVM/29_SAVONA_60x96.pdf" xr:uid="{FB635B0C-D72D-4B60-A8E4-D3DFCCAD8260}"/>
    <hyperlink ref="AI53" r:id="rId52" display="http://www.therealpresence.org/eucharst/misc/BVM/127_OCOTLAN_96x96.pdf" xr:uid="{325EE6B5-4467-4CF0-83EA-8FA3AD7CC536}"/>
    <hyperlink ref="AI54" r:id="rId53" display="http://www.therealpresence.org/eucharst/misc/BVM/116_VACCIAGO_60x96.pdf" xr:uid="{44FD30A3-C33D-47B3-9C34-AD34EBD00D27}"/>
    <hyperlink ref="AI55" r:id="rId54" display="http://www.therealpresence.org/eucharst/misc/BVM/60_PIETRALBA_96x96.pdf" xr:uid="{5503B245-E9C6-4988-9829-CA03AFEBA3C9}"/>
    <hyperlink ref="AI56" r:id="rId55" display="http://www.therealpresence.org/eucharst/misc/BVM/10_CORBETTA_60x96.pdf" xr:uid="{2FABD729-44EA-4566-B1C8-3062EA71A601}"/>
    <hyperlink ref="AI57" r:id="rId56" display="http://www.therealpresence.org/eucharst/misc/BVM/02_ARCOLA_60x96.pdf" xr:uid="{50C58042-92C7-41A9-B4C1-452A8ACABDF0}"/>
    <hyperlink ref="AI58" r:id="rId57" display="http://www.therealpresence.org/eucharst/misc/BVM/56_GIULIANOVA_96x96.pdf" xr:uid="{11F90242-10B7-4B74-93FB-111FD422B7FF}"/>
    <hyperlink ref="AI59" r:id="rId58" display="http://www.therealpresence.org/eucharst/misc/BVM/62_GEROSA_60x96.pdf" xr:uid="{7F1CA3BF-FF1A-4C18-89E2-B0DCE4FF6F8F}"/>
    <hyperlink ref="AI60" r:id="rId59" display="http://www.therealpresence.org/eucharst/misc/BVM/141_MONCRIVELLO_60x96.pdf" xr:uid="{423C4352-5EFA-4FFA-853E-2F3B6D864D68}"/>
    <hyperlink ref="AI61" r:id="rId60" display="http://www.therealpresence.org/eucharst/misc/BVM/52_CASALBORDINO_60x96.pdf" xr:uid="{EA754CC6-1573-4520-8B78-4272013C5F1B}"/>
    <hyperlink ref="AI62" r:id="rId61" display="http://www.therealpresence.org/eucharst/misc/BVM/129_LUMARZO_60x96.pdf" xr:uid="{4D2E8507-75F5-41AC-95C2-9CA5E6CF5D96}"/>
    <hyperlink ref="AI63" r:id="rId62" display="http://www.therealpresence.org/eucharst/misc/BVM/97_CHIQUINQUIRA_96x96.pdf" xr:uid="{6BDAC134-A626-4E8C-A47D-C8A4CA25D576}"/>
    <hyperlink ref="AI64" r:id="rId63" display="http://www.therealpresence.org/eucharst/misc/BVM/131_QUINCHE_60x96.pdf" xr:uid="{B0CB984F-EA72-4B4D-91CB-64C411D5122B}"/>
    <hyperlink ref="AI65" r:id="rId64" display="http://www.therealpresence.org/eucharst/misc/BVM/132_QUITO_96x96.pdf" xr:uid="{EA433108-048C-44E1-BF9E-FE443A50501F}"/>
    <hyperlink ref="AI66" r:id="rId65" display="http://www.therealpresence.org/eucharst/misc/BVM/120_RAPALLO_60x96.pdf" xr:uid="{2835A9F5-BBFF-4B51-8641-41722DBF8266}"/>
    <hyperlink ref="AI68" r:id="rId66" display="http://www.therealpresence.org/eucharst/misc/BVM/61_BETHARRAM_60x96.pdf" xr:uid="{ED0FF0A2-B5FB-416F-935C-8F1E3A56E919}"/>
    <hyperlink ref="AI67" r:id="rId67" display="http://www.therealpresence.org/eucharst/misc/BVM/92_CAACUPE_96x96.pdf" xr:uid="{2C6F0ED3-0F25-4A42-9AC3-8586122F624F}"/>
    <hyperlink ref="AI69" r:id="rId68" display="http://www.therealpresence.org/eucharst/misc/BVM/36_ARDESIO_60x96.pdf" xr:uid="{95AA4A67-B484-4AB0-9B24-FB3CFED15185}"/>
    <hyperlink ref="AI70" r:id="rId69" display="http://www.therealpresence.org/eucharst/misc/BVM/22_MONFERRATO_60x96.pdf" xr:uid="{77140C4C-B10E-4EED-BD16-EEB483169235}"/>
    <hyperlink ref="AI71" r:id="rId70" display="http://www.therealpresence.org/eucharst/misc/BVM/118_MARBACH_60x96.pdf" xr:uid="{49AEECFE-7026-4ADE-837D-2C045323EEE8}"/>
    <hyperlink ref="AI72" r:id="rId71" display="http://www.therealpresence.org/eucharst/misc/BVM/101_CARTAGO_60x96.pdf" xr:uid="{B32B2671-B1BC-4839-BEDF-829003AB9195}"/>
    <hyperlink ref="AI73" r:id="rId72" display="http://www.therealpresence.org/eucharst/misc/BVM/107_KEVELAER_96x96.pdf" xr:uid="{5E962AFC-DFF1-4526-8697-E5901E0EF29F}"/>
    <hyperlink ref="AI74" r:id="rId73" display="http://www.therealpresence.org/eucharst/misc/BVM/125_PLANTEES_60x96.pdf" xr:uid="{AC2E78FF-05DF-4C33-9B3B-FBE4366FE71E}"/>
    <hyperlink ref="AI75" r:id="rId74" display="http://www.therealpresence.org/eucharst/misc/BVM/14_GUANARE_60x96.pdf" xr:uid="{99D173D7-9767-4AE2-A309-0B187552C3C3}"/>
    <hyperlink ref="AI76" r:id="rId75" display="http://www.therealpresence.org/eucharst/misc/BVM/108_LA_PRENESSAYE_60x96.pdf" xr:uid="{AF3119AD-13D5-4162-930A-5FBA9FD56734}"/>
    <hyperlink ref="AI77" r:id="rId76" display="http://www.therealpresence.org/eucharst/misc/BVM/08_PIEVE_DI_TAGLIAM_60x96.pdf" xr:uid="{455D0193-CDE9-4EE1-BF45-711FAECC323E}"/>
    <hyperlink ref="AI78" r:id="rId77" display="http://www.therealpresence.org/eucharst/misc/BVM/54_SAN_BARTOLOMEO_60x96.pdf" xr:uid="{93CA0389-9EEA-4B54-81E0-06DD805D7DC2}"/>
    <hyperlink ref="AI79" r:id="rId78" display="http://www.therealpresence.org/eucharst/misc/BVM/145_GYOR_96x96.pdf" xr:uid="{CFAABB82-E9FE-438C-8EFB-6E6CCBC86B12}"/>
    <hyperlink ref="AI80" r:id="rId79" display="http://www.therealpresence.org/eucharst/misc/BVM/73_COTOCA_60x96.pdf" xr:uid="{AB18FD7E-93BC-44E5-B692-BD548A58EB64}"/>
    <hyperlink ref="AI81" r:id="rId80" display="http://www.therealpresence.org/eucharst/misc/BVM/142_QUILLACOLLO_60x96.pdf" xr:uid="{5B95BB6E-AB2F-4F91-84AB-2CEAF7A2AF2E}"/>
    <hyperlink ref="AI82" r:id="rId81" display="http://www.therealpresence.org/eucharst/misc/BVM/130_PELLESTRINA_96x96.pdf" xr:uid="{7C650E65-0C8F-4BBE-B7AC-E316951911B6}"/>
    <hyperlink ref="AI83" r:id="rId82" display="http://www.therealpresence.org/eucharst/misc/BVM/77_VALE_DO_PARAIBA_60x96.pdf" xr:uid="{36F54A94-A819-4E3A-BF73-8BB5F67D261B}"/>
    <hyperlink ref="AI84" r:id="rId83" display="http://www.therealpresence.org/eucharst/misc/BVM/59_MONTAGNAGA_96x96.pdf" xr:uid="{A57AC6E6-E3F3-450F-AC76-6C7ACFD807EA}"/>
    <hyperlink ref="AI85" r:id="rId84" display="http://www.therealpresence.org/eucharst/misc/BVM/17_DIVINO_AMORE_60x96.pdf" xr:uid="{E9488973-4DDA-43BC-8753-B947895F234D}"/>
    <hyperlink ref="AI86" r:id="rId85" display="http://www.therealpresence.org/eucharst/misc/BVM/95_CHAGUAYA_60x96.pdf" xr:uid="{F1436C3E-E077-4D5D-8DCD-487F99872005}"/>
    <hyperlink ref="AI87" r:id="rId86" display="http://www.therealpresence.org/eucharst/misc/BVM/33_ABSAM_60x96.pdf" xr:uid="{7A28C84E-1A47-4E6C-A875-FE5E481E37C2}"/>
    <hyperlink ref="AI88" r:id="rId87" display="http://www.therealpresence.org/eucharst/misc/BVM/126_ORNANS_60x96.pdf" xr:uid="{143C3561-04AA-4E6D-B492-1116C35BC8F6}"/>
    <hyperlink ref="AI89" r:id="rId88" display="http://www.therealpresence.org/eucharst/misc/BVM/03_BORGO_CERRETO_60x96.pdf" xr:uid="{4926A5BA-39D3-4AAB-AE40-84962745F74F}"/>
    <hyperlink ref="AI90" r:id="rId89" display="http://www.therealpresence.org/eucharst/misc/BVM/27_PORZUS_60x96.pdf" xr:uid="{AE448702-0AE6-4824-8292-FC690F65F292}"/>
    <hyperlink ref="AI91" r:id="rId90" display="http://www.therealpresence.org/eucharst/misc/BVM/96_CHAMPION_140x96.pdf" xr:uid="{44028370-F8B6-43A4-A825-962E70ACD4F7}"/>
    <hyperlink ref="AI92" r:id="rId91" display="http://www.therealpresence.org/eucharst/misc/BVM/12_MONTEFALCO_60x96.pdf" xr:uid="{B16C0D43-ED60-4623-A9F2-1E207A251936}"/>
    <hyperlink ref="AI93" r:id="rId92" display="http://www.therealpresence.org/eucharst/misc/BVM/135_S_BAUZILLE_96x96.pdf" xr:uid="{094B2CDB-AAC6-426B-B694-52394C5C7CDE}"/>
    <hyperlink ref="AI94" r:id="rId93" display="http://www.therealpresence.org/eucharst/misc/BVM/25_POMPEI_96x96.pdf" xr:uid="{7855DA74-4DC7-4DFC-A86D-C4634173906A}"/>
    <hyperlink ref="AI95" r:id="rId94" display="http://www.therealpresence.org/eucharst/misc/BVM/82_CASTELPETROSO_60x96.pdf" xr:uid="{FBE95745-1B76-4C80-883C-A6020A15B608}"/>
    <hyperlink ref="AI96" r:id="rId95" display="http://www.therealpresence.org/eucharst/misc/BVM/139_SZCZYRK_60x96.pdf" xr:uid="{121E7A4D-4303-4DAA-9897-1183BCA5910B}"/>
    <hyperlink ref="AI97" r:id="rId96" display="http://www.therealpresence.org/eucharst/misc/BVM/91_BETANIA_96x96.pdf" xr:uid="{3BCB6EBD-DCB8-4074-9D4D-1173E3A9EABD}"/>
    <hyperlink ref="AI98" r:id="rId97" display="http://www.therealpresence.org/eucharst/misc/BVM/103_DONG_LU_96x96.pdf" xr:uid="{D7F2F771-C91C-4D3D-A5FC-CA3544461DEE}"/>
    <hyperlink ref="AI99" r:id="rId98" display="http://www.therealpresence.org/eucharst/misc/BVM/46_TORINO_60x96.pdf" xr:uid="{A174A645-F78D-41C4-93D9-E221F4743567}"/>
    <hyperlink ref="AI100" r:id="rId99" display="http://www.therealpresence.org/eucharst/misc/BVM/04_CERNUSCO_60x96.pdf" xr:uid="{E75F4D6C-7F2D-42B7-AD95-AEA5CC77B8FA}"/>
    <hyperlink ref="AI101" r:id="rId100" display="http://www.therealpresence.org/eucharst/misc/BVM/31_PONTEVEDRA_96x96.pdf" xr:uid="{6C5F5E1F-8B5D-4F82-A5EC-268028A3EED6}"/>
    <hyperlink ref="AI102" r:id="rId101" display="http://www.therealpresence.org/eucharst/misc/BVM/93_CAMPINAS_140x96.pdf" xr:uid="{D6AB0E35-C295-429B-ACFF-748EF46301A1}"/>
    <hyperlink ref="AI103" r:id="rId102" display="http://www.therealpresence.org/eucharst/misc/BVM/11_BEAURAING_60x96.pdf" xr:uid="{37CEF409-57CF-4D13-913D-F64B7E896A99}"/>
    <hyperlink ref="AI104" r:id="rId103" display="http://www.therealpresence.org/eucharst/misc/BVM/39_BANNEAUX_96x96.pdf" xr:uid="{748AB8C2-22F4-4367-ADE3-D07A53A37B2A}"/>
    <hyperlink ref="AI105" r:id="rId104" display="http://www.therealpresence.org/eucharst/misc/BVM/151_PESQUEIRA_140x96.pdf" xr:uid="{DF2684F1-F924-422C-8B92-EEFB862919A3}"/>
    <hyperlink ref="AI106" r:id="rId105" display="http://www.therealpresence.org/eucharst/misc/BVM/146_HEEDE_140x96.pdf" xr:uid="{283ABDD9-4A18-41D3-9848-B942E3DA66C9}"/>
    <hyperlink ref="AI107" r:id="rId106" display="http://www.therealpresence.org/eucharst/misc/BVM/119_MILANO_96x96.pdf" xr:uid="{0B286280-543C-4FE4-8976-937CDA0EA8A3}"/>
    <hyperlink ref="AI108" r:id="rId107" display="http://www.therealpresence.org/eucharst/misc/BVM/149_MARIENFRIED_140x96.pdf" xr:uid="{A2098EFD-FA68-4C40-8A09-435034E8AE42}"/>
    <hyperlink ref="AI109" r:id="rId108" display="http://www.therealpresence.org/eucharst/misc/BVM/152_SIEKIERKI_96x96.pdf" xr:uid="{6D525FF3-4BEF-4DF2-8105-41DD53AF646E}"/>
    <hyperlink ref="AI110" r:id="rId109" display="http://www.therealpresence.org/eucharst/misc/BVM/99_CODOSERA_140x96.pdf" xr:uid="{D20B9B74-3D05-482F-89D3-7A01CF38BB0D}"/>
    <hyperlink ref="AI111" r:id="rId110" display="http://www.therealpresence.org/eucharst/misc/BVM/19_ILE_BOUCHARD_96x96.pdf" xr:uid="{2D46B144-73F0-442E-8D39-1C183D12A98E}"/>
    <hyperlink ref="AI112" r:id="rId111" display="http://www.therealpresence.org/eucharst/misc/BVM/147_HEROLDSBACH_140x96.pdf" xr:uid="{5D3A2EE4-7DFB-42DC-BB77-A5626BEFCF4C}"/>
    <hyperlink ref="AI113" r:id="rId112" display="http://www.therealpresence.org/eucharst/misc/BVM/113_ROGOROTTO_60x96.pdf" xr:uid="{537D0338-2304-4311-9079-AD8E4BA5FCEA}"/>
    <hyperlink ref="AI114" r:id="rId113" display="http://www.therealpresence.org/eucharst/misc/BVM/28_SIRACUSA_60x96.pdf" xr:uid="{BF63BB12-D370-451B-9471-DF48A49742CE}"/>
    <hyperlink ref="AI115" r:id="rId114" display="http://www.therealpresence.org/eucharst/misc/BVM/150_FOSTORIA_140x96.pdf" xr:uid="{2CFD9A99-1D1B-4BC0-8A3E-BB77A5CC9464}"/>
    <hyperlink ref="AI116" r:id="rId115" display="http://www.therealpresence.org/eucharst/misc/BVM/143_NAMYANG_96x96.pdf" xr:uid="{68B3F2D2-FBAF-4933-B5BA-1876F5425328}"/>
    <hyperlink ref="AI117" r:id="rId116" display="http://www.therealpresence.org/eucharst/misc/BVM/76_AOKPE_140x96.pdf" xr:uid="{7312975A-9717-402C-AD13-23C5A77984AB}"/>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93" id="{00000000-000E-0000-0100-000040000000}">
            <xm:f>IF(AND(LEN(Y1)&lt;&gt;0,ROW(Y1)&gt;1,ISNA(VLOOKUP(Y1,'Tag List'!$A:$B,2,))),TRUE,FALSE)</xm:f>
            <x14:dxf>
              <fill>
                <patternFill>
                  <bgColor rgb="FFFF0000"/>
                </patternFill>
              </fill>
            </x14:dxf>
          </x14:cfRule>
          <xm:sqref>Y1:AH1048576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D5823-F486-49BF-A605-B1946548406F}">
  <sheetPr codeName="Sheet1"/>
  <dimension ref="A1:I66"/>
  <sheetViews>
    <sheetView topLeftCell="A5" zoomScaleNormal="100" workbookViewId="0">
      <selection activeCell="A11" sqref="A11"/>
    </sheetView>
  </sheetViews>
  <sheetFormatPr defaultColWidth="9.15234375" defaultRowHeight="12.45" x14ac:dyDescent="0.4"/>
  <cols>
    <col min="1" max="1" width="7" style="5" bestFit="1" customWidth="1"/>
    <col min="2" max="2" width="16.3828125" style="12" bestFit="1" customWidth="1"/>
    <col min="3" max="3" width="40.3046875" style="5" bestFit="1" customWidth="1"/>
    <col min="4" max="4" width="77.15234375" style="13" customWidth="1"/>
    <col min="5" max="5" width="19.84375" style="13" bestFit="1" customWidth="1"/>
    <col min="6" max="6" width="19.84375" style="13" customWidth="1"/>
    <col min="7" max="8" width="11" style="5" customWidth="1"/>
    <col min="9" max="16384" width="9.15234375" style="5"/>
  </cols>
  <sheetData>
    <row r="1" spans="1:9" s="2" customFormat="1" x14ac:dyDescent="0.4">
      <c r="A1" s="2" t="s">
        <v>174</v>
      </c>
      <c r="B1" s="3" t="s">
        <v>163</v>
      </c>
      <c r="C1" s="2" t="s">
        <v>164</v>
      </c>
      <c r="D1" s="4" t="s">
        <v>166</v>
      </c>
      <c r="E1" s="4" t="s">
        <v>173</v>
      </c>
      <c r="F1" s="4"/>
      <c r="G1" s="2" t="s">
        <v>158</v>
      </c>
      <c r="I1" s="2" t="s">
        <v>159</v>
      </c>
    </row>
    <row r="2" spans="1:9" ht="62.15" x14ac:dyDescent="0.4">
      <c r="A2" s="5" t="s">
        <v>167</v>
      </c>
      <c r="B2" s="6" t="s">
        <v>0</v>
      </c>
      <c r="C2" s="9" t="s">
        <v>1</v>
      </c>
      <c r="D2" s="8" t="s">
        <v>90</v>
      </c>
      <c r="E2" s="8"/>
      <c r="F2" s="8"/>
    </row>
    <row r="3" spans="1:9" ht="37.299999999999997" x14ac:dyDescent="0.4">
      <c r="A3" s="5" t="s">
        <v>168</v>
      </c>
      <c r="B3" s="10"/>
      <c r="C3" s="9" t="s">
        <v>2</v>
      </c>
      <c r="D3" s="8" t="s">
        <v>92</v>
      </c>
      <c r="E3" s="8"/>
      <c r="F3" s="8"/>
    </row>
    <row r="4" spans="1:9" ht="49.75" x14ac:dyDescent="0.4">
      <c r="B4" s="6">
        <v>81</v>
      </c>
      <c r="C4" s="9" t="s">
        <v>3</v>
      </c>
      <c r="D4" s="8" t="s">
        <v>93</v>
      </c>
      <c r="E4" s="8"/>
      <c r="F4" s="8"/>
    </row>
    <row r="5" spans="1:9" ht="62.15" x14ac:dyDescent="0.4">
      <c r="B5" s="6">
        <v>231</v>
      </c>
      <c r="C5" s="7" t="s">
        <v>5</v>
      </c>
      <c r="D5" s="8" t="s">
        <v>169</v>
      </c>
      <c r="E5" s="8"/>
      <c r="F5" s="8"/>
      <c r="G5" s="5" t="s">
        <v>94</v>
      </c>
    </row>
    <row r="6" spans="1:9" ht="62.15" x14ac:dyDescent="0.4">
      <c r="B6" s="6" t="s">
        <v>6</v>
      </c>
      <c r="C6" s="7" t="s">
        <v>7</v>
      </c>
      <c r="D6" s="8" t="s">
        <v>96</v>
      </c>
      <c r="E6" s="8"/>
      <c r="F6" s="8"/>
      <c r="G6" s="5" t="s">
        <v>97</v>
      </c>
    </row>
    <row r="7" spans="1:9" ht="62.15" x14ac:dyDescent="0.4">
      <c r="B7" s="6" t="s">
        <v>9</v>
      </c>
      <c r="C7" s="9" t="s">
        <v>10</v>
      </c>
      <c r="D7" s="8" t="s">
        <v>170</v>
      </c>
      <c r="E7" s="8"/>
      <c r="F7" s="8"/>
    </row>
    <row r="8" spans="1:9" ht="87" x14ac:dyDescent="0.4">
      <c r="A8" s="5" t="s">
        <v>167</v>
      </c>
      <c r="B8" s="6" t="s">
        <v>9</v>
      </c>
      <c r="C8" s="9" t="s">
        <v>11</v>
      </c>
      <c r="D8" s="8" t="s">
        <v>171</v>
      </c>
      <c r="E8" s="8"/>
      <c r="F8" s="8"/>
    </row>
    <row r="9" spans="1:9" ht="74.599999999999994" x14ac:dyDescent="0.4">
      <c r="B9" s="6">
        <v>305</v>
      </c>
      <c r="C9" s="9" t="s">
        <v>12</v>
      </c>
      <c r="D9" s="8" t="s">
        <v>172</v>
      </c>
      <c r="E9" s="8"/>
      <c r="F9" s="8"/>
      <c r="G9" s="5" t="s">
        <v>98</v>
      </c>
    </row>
    <row r="10" spans="1:9" ht="87" x14ac:dyDescent="0.4">
      <c r="B10" s="6">
        <v>325</v>
      </c>
      <c r="C10" s="7" t="s">
        <v>13</v>
      </c>
      <c r="D10" s="8" t="s">
        <v>99</v>
      </c>
      <c r="E10" s="8"/>
      <c r="F10" s="8"/>
      <c r="G10" s="5" t="s">
        <v>100</v>
      </c>
    </row>
    <row r="11" spans="1:9" ht="49.75" x14ac:dyDescent="0.4">
      <c r="B11" s="6">
        <v>335</v>
      </c>
      <c r="C11" s="9" t="s">
        <v>4</v>
      </c>
      <c r="D11" s="8" t="s">
        <v>1397</v>
      </c>
      <c r="E11" s="8"/>
      <c r="F11" s="8"/>
      <c r="G11" s="5" t="s">
        <v>101</v>
      </c>
    </row>
    <row r="12" spans="1:9" ht="99.45" x14ac:dyDescent="0.4">
      <c r="B12" s="6" t="s">
        <v>14</v>
      </c>
      <c r="C12" s="11" t="s">
        <v>15</v>
      </c>
      <c r="D12" s="8" t="s">
        <v>102</v>
      </c>
      <c r="E12" s="8"/>
      <c r="F12" s="8"/>
    </row>
    <row r="13" spans="1:9" ht="87" x14ac:dyDescent="0.4">
      <c r="B13" s="6">
        <v>363</v>
      </c>
      <c r="C13" s="7" t="s">
        <v>16</v>
      </c>
      <c r="D13" s="8" t="s">
        <v>104</v>
      </c>
      <c r="E13" s="8"/>
      <c r="F13" s="8"/>
      <c r="G13" s="5" t="s">
        <v>105</v>
      </c>
    </row>
    <row r="14" spans="1:9" ht="62.15" x14ac:dyDescent="0.4">
      <c r="B14" s="6">
        <v>371</v>
      </c>
      <c r="C14" s="7" t="s">
        <v>17</v>
      </c>
      <c r="D14" s="8" t="s">
        <v>106</v>
      </c>
      <c r="E14" s="8"/>
      <c r="F14" s="8"/>
      <c r="G14" s="5" t="s">
        <v>107</v>
      </c>
    </row>
    <row r="15" spans="1:9" ht="37.299999999999997" x14ac:dyDescent="0.4">
      <c r="B15" s="6">
        <v>380</v>
      </c>
      <c r="C15" s="7" t="s">
        <v>18</v>
      </c>
      <c r="D15" s="8" t="s">
        <v>108</v>
      </c>
      <c r="E15" s="8"/>
      <c r="F15" s="8"/>
      <c r="G15" s="5" t="s">
        <v>109</v>
      </c>
    </row>
    <row r="16" spans="1:9" ht="111.9" x14ac:dyDescent="0.4">
      <c r="B16" s="6" t="s">
        <v>19</v>
      </c>
      <c r="C16" s="11" t="s">
        <v>20</v>
      </c>
      <c r="D16" s="8" t="s">
        <v>110</v>
      </c>
      <c r="E16" s="8"/>
      <c r="F16" s="8"/>
    </row>
    <row r="17" spans="2:7" ht="161.6" x14ac:dyDescent="0.4">
      <c r="B17" s="6">
        <v>420</v>
      </c>
      <c r="C17" s="9" t="s">
        <v>21</v>
      </c>
      <c r="D17" s="8" t="s">
        <v>111</v>
      </c>
      <c r="E17" s="8"/>
      <c r="F17" s="8"/>
    </row>
    <row r="18" spans="2:7" ht="74.599999999999994" x14ac:dyDescent="0.4">
      <c r="B18" s="6">
        <v>431</v>
      </c>
      <c r="C18" s="9" t="s">
        <v>22</v>
      </c>
      <c r="D18" s="8" t="s">
        <v>112</v>
      </c>
      <c r="E18" s="8"/>
      <c r="F18" s="8"/>
      <c r="G18" s="5" t="s">
        <v>113</v>
      </c>
    </row>
    <row r="19" spans="2:7" ht="87" x14ac:dyDescent="0.4">
      <c r="B19" s="6" t="s">
        <v>23</v>
      </c>
      <c r="C19" s="11" t="s">
        <v>24</v>
      </c>
      <c r="D19" s="8" t="s">
        <v>114</v>
      </c>
      <c r="E19" s="8"/>
      <c r="F19" s="8"/>
      <c r="G19" s="5" t="s">
        <v>115</v>
      </c>
    </row>
    <row r="20" spans="2:7" ht="161.6" x14ac:dyDescent="0.4">
      <c r="B20" s="6">
        <v>455</v>
      </c>
      <c r="C20" s="9" t="s">
        <v>20</v>
      </c>
      <c r="D20" s="8" t="s">
        <v>116</v>
      </c>
      <c r="E20" s="8"/>
      <c r="F20" s="8"/>
      <c r="G20" s="5" t="s">
        <v>86</v>
      </c>
    </row>
    <row r="21" spans="2:7" x14ac:dyDescent="0.4">
      <c r="B21" s="6" t="s">
        <v>25</v>
      </c>
      <c r="C21" s="8" t="s">
        <v>74</v>
      </c>
      <c r="D21" s="8" t="s">
        <v>74</v>
      </c>
      <c r="E21" s="8"/>
      <c r="F21" s="8"/>
    </row>
    <row r="22" spans="2:7" x14ac:dyDescent="0.4">
      <c r="B22" s="6">
        <v>492</v>
      </c>
      <c r="C22" s="9" t="s">
        <v>26</v>
      </c>
      <c r="D22" s="8" t="s">
        <v>75</v>
      </c>
      <c r="E22" s="8"/>
      <c r="F22" s="8"/>
    </row>
    <row r="23" spans="2:7" ht="62.15" x14ac:dyDescent="0.4">
      <c r="B23" s="6" t="s">
        <v>27</v>
      </c>
      <c r="C23" s="9" t="s">
        <v>28</v>
      </c>
      <c r="D23" s="8" t="s">
        <v>117</v>
      </c>
      <c r="E23" s="8"/>
      <c r="F23" s="8"/>
    </row>
    <row r="24" spans="2:7" x14ac:dyDescent="0.4">
      <c r="B24" s="6">
        <v>526</v>
      </c>
      <c r="C24" s="9" t="s">
        <v>8</v>
      </c>
      <c r="D24" s="8" t="s">
        <v>76</v>
      </c>
      <c r="E24" s="8"/>
      <c r="F24" s="8"/>
    </row>
    <row r="25" spans="2:7" x14ac:dyDescent="0.4">
      <c r="B25" s="6">
        <v>530</v>
      </c>
      <c r="C25" s="8" t="s">
        <v>77</v>
      </c>
      <c r="D25" s="8" t="s">
        <v>77</v>
      </c>
      <c r="E25" s="8"/>
      <c r="F25" s="8"/>
    </row>
    <row r="26" spans="2:7" x14ac:dyDescent="0.4">
      <c r="B26" s="6">
        <v>535</v>
      </c>
      <c r="C26" s="8" t="s">
        <v>78</v>
      </c>
      <c r="D26" s="8" t="s">
        <v>78</v>
      </c>
      <c r="E26" s="8"/>
      <c r="F26" s="8"/>
    </row>
    <row r="27" spans="2:7" ht="149.15" x14ac:dyDescent="0.4">
      <c r="B27" s="6">
        <v>538</v>
      </c>
      <c r="C27" s="9" t="s">
        <v>29</v>
      </c>
      <c r="D27" s="8" t="s">
        <v>118</v>
      </c>
      <c r="E27" s="8"/>
      <c r="F27" s="8"/>
    </row>
    <row r="28" spans="2:7" x14ac:dyDescent="0.4">
      <c r="B28" s="6" t="s">
        <v>30</v>
      </c>
      <c r="C28" s="8" t="s">
        <v>79</v>
      </c>
      <c r="D28" s="8" t="s">
        <v>79</v>
      </c>
      <c r="E28" s="8"/>
      <c r="F28" s="8"/>
    </row>
    <row r="29" spans="2:7" x14ac:dyDescent="0.4">
      <c r="B29" s="6" t="s">
        <v>30</v>
      </c>
      <c r="C29" s="8" t="s">
        <v>80</v>
      </c>
      <c r="D29" s="8" t="s">
        <v>80</v>
      </c>
      <c r="E29" s="8"/>
      <c r="F29" s="8"/>
    </row>
    <row r="30" spans="2:7" ht="216" customHeight="1" x14ac:dyDescent="0.4">
      <c r="B30" s="6" t="s">
        <v>30</v>
      </c>
      <c r="C30" s="9" t="s">
        <v>31</v>
      </c>
      <c r="D30" s="8" t="s">
        <v>119</v>
      </c>
      <c r="E30" s="8"/>
      <c r="F30" s="8"/>
      <c r="G30" s="5" t="s">
        <v>120</v>
      </c>
    </row>
    <row r="31" spans="2:7" ht="37.299999999999997" x14ac:dyDescent="0.4">
      <c r="B31" s="6">
        <v>552</v>
      </c>
      <c r="C31" s="9" t="s">
        <v>20</v>
      </c>
      <c r="D31" s="8" t="s">
        <v>32</v>
      </c>
      <c r="E31" s="8"/>
      <c r="F31" s="8"/>
      <c r="G31" s="5" t="s">
        <v>86</v>
      </c>
    </row>
    <row r="32" spans="2:7" x14ac:dyDescent="0.4">
      <c r="B32" s="6">
        <v>552</v>
      </c>
      <c r="C32" s="9" t="s">
        <v>33</v>
      </c>
      <c r="D32" s="8" t="s">
        <v>81</v>
      </c>
      <c r="E32" s="8"/>
      <c r="F32" s="8"/>
    </row>
    <row r="33" spans="2:7" ht="74.599999999999994" x14ac:dyDescent="0.4">
      <c r="B33" s="6">
        <v>560</v>
      </c>
      <c r="C33" s="7" t="s">
        <v>34</v>
      </c>
      <c r="D33" s="8" t="s">
        <v>121</v>
      </c>
      <c r="E33" s="8"/>
      <c r="F33" s="8"/>
      <c r="G33" s="5" t="s">
        <v>122</v>
      </c>
    </row>
    <row r="34" spans="2:7" ht="74.599999999999994" x14ac:dyDescent="0.4">
      <c r="B34" s="6" t="s">
        <v>35</v>
      </c>
      <c r="C34" s="9" t="s">
        <v>36</v>
      </c>
      <c r="D34" s="8" t="s">
        <v>37</v>
      </c>
      <c r="E34" s="8"/>
      <c r="F34" s="8"/>
      <c r="G34" s="5" t="s">
        <v>87</v>
      </c>
    </row>
    <row r="35" spans="2:7" ht="62.15" x14ac:dyDescent="0.4">
      <c r="B35" s="6" t="s">
        <v>38</v>
      </c>
      <c r="C35" s="9" t="s">
        <v>39</v>
      </c>
      <c r="D35" s="8" t="s">
        <v>40</v>
      </c>
      <c r="E35" s="8"/>
      <c r="F35" s="8"/>
      <c r="G35" s="5" t="s">
        <v>123</v>
      </c>
    </row>
    <row r="36" spans="2:7" ht="409.6" x14ac:dyDescent="0.4">
      <c r="B36" s="6" t="s">
        <v>38</v>
      </c>
      <c r="C36" s="9" t="s">
        <v>20</v>
      </c>
      <c r="D36" s="8" t="s">
        <v>124</v>
      </c>
      <c r="E36" s="8"/>
      <c r="F36" s="8"/>
    </row>
    <row r="37" spans="2:7" x14ac:dyDescent="0.4">
      <c r="B37" s="6">
        <v>626</v>
      </c>
      <c r="C37" s="9" t="s">
        <v>41</v>
      </c>
      <c r="D37" s="8" t="s">
        <v>82</v>
      </c>
      <c r="E37" s="8"/>
      <c r="F37" s="8"/>
    </row>
    <row r="38" spans="2:7" ht="136.75" x14ac:dyDescent="0.4">
      <c r="B38" s="6">
        <v>636</v>
      </c>
      <c r="C38" s="9" t="s">
        <v>42</v>
      </c>
      <c r="D38" s="8" t="s">
        <v>126</v>
      </c>
      <c r="E38" s="8"/>
      <c r="F38" s="8"/>
      <c r="G38" s="5" t="s">
        <v>125</v>
      </c>
    </row>
    <row r="39" spans="2:7" x14ac:dyDescent="0.4">
      <c r="B39" s="6">
        <v>658</v>
      </c>
      <c r="C39" s="8" t="s">
        <v>83</v>
      </c>
      <c r="D39" s="8" t="s">
        <v>83</v>
      </c>
      <c r="E39" s="8"/>
      <c r="F39" s="8"/>
    </row>
    <row r="40" spans="2:7" ht="99.45" x14ac:dyDescent="0.4">
      <c r="B40" s="6">
        <v>660</v>
      </c>
      <c r="C40" s="11" t="s">
        <v>43</v>
      </c>
      <c r="D40" s="8" t="s">
        <v>127</v>
      </c>
      <c r="E40" s="8"/>
      <c r="F40" s="8"/>
    </row>
    <row r="41" spans="2:7" ht="87" x14ac:dyDescent="0.4">
      <c r="B41" s="6" t="s">
        <v>44</v>
      </c>
      <c r="C41" s="7" t="s">
        <v>45</v>
      </c>
      <c r="D41" s="8" t="s">
        <v>129</v>
      </c>
      <c r="E41" s="8"/>
      <c r="F41" s="8"/>
      <c r="G41" s="5" t="s">
        <v>128</v>
      </c>
    </row>
    <row r="42" spans="2:7" ht="37.299999999999997" x14ac:dyDescent="0.4">
      <c r="B42" s="6">
        <v>663</v>
      </c>
      <c r="C42" s="7" t="s">
        <v>46</v>
      </c>
      <c r="D42" s="8" t="s">
        <v>130</v>
      </c>
      <c r="E42" s="8"/>
      <c r="F42" s="8"/>
      <c r="G42" s="5" t="s">
        <v>131</v>
      </c>
    </row>
    <row r="43" spans="2:7" ht="335.6" x14ac:dyDescent="0.4">
      <c r="B43" s="6" t="s">
        <v>160</v>
      </c>
      <c r="C43" s="9" t="s">
        <v>47</v>
      </c>
      <c r="D43" s="8" t="s">
        <v>132</v>
      </c>
      <c r="E43" s="8"/>
      <c r="F43" s="8"/>
    </row>
    <row r="44" spans="2:7" ht="74.599999999999994" x14ac:dyDescent="0.4">
      <c r="B44" s="6" t="s">
        <v>48</v>
      </c>
      <c r="C44" s="9" t="s">
        <v>49</v>
      </c>
      <c r="D44" s="8" t="s">
        <v>134</v>
      </c>
      <c r="E44" s="8"/>
      <c r="F44" s="8"/>
      <c r="G44" s="5" t="s">
        <v>133</v>
      </c>
    </row>
    <row r="45" spans="2:7" ht="136.75" x14ac:dyDescent="0.4">
      <c r="B45" s="6" t="s">
        <v>161</v>
      </c>
      <c r="C45" s="9" t="s">
        <v>50</v>
      </c>
      <c r="D45" s="8" t="s">
        <v>135</v>
      </c>
      <c r="E45" s="8"/>
      <c r="F45" s="8"/>
    </row>
    <row r="46" spans="2:7" ht="124.3" x14ac:dyDescent="0.4">
      <c r="B46" s="6">
        <v>714</v>
      </c>
      <c r="C46" s="9" t="s">
        <v>20</v>
      </c>
      <c r="D46" s="8" t="s">
        <v>136</v>
      </c>
      <c r="E46" s="8"/>
      <c r="F46" s="8"/>
      <c r="G46" s="5" t="s">
        <v>86</v>
      </c>
    </row>
    <row r="47" spans="2:7" ht="111.9" x14ac:dyDescent="0.4">
      <c r="B47" s="6">
        <v>715</v>
      </c>
      <c r="C47" s="9" t="s">
        <v>51</v>
      </c>
      <c r="D47" s="8" t="s">
        <v>137</v>
      </c>
      <c r="E47" s="8"/>
      <c r="F47" s="8"/>
      <c r="G47" s="5" t="s">
        <v>88</v>
      </c>
    </row>
    <row r="48" spans="2:7" ht="49.75" x14ac:dyDescent="0.4">
      <c r="B48" s="6">
        <v>720</v>
      </c>
      <c r="C48" s="9" t="s">
        <v>52</v>
      </c>
      <c r="D48" s="8" t="s">
        <v>138</v>
      </c>
      <c r="E48" s="8"/>
      <c r="F48" s="8"/>
    </row>
    <row r="49" spans="2:8" ht="111.9" x14ac:dyDescent="0.4">
      <c r="B49" s="6">
        <v>727</v>
      </c>
      <c r="C49" s="11" t="s">
        <v>53</v>
      </c>
      <c r="D49" s="8" t="s">
        <v>139</v>
      </c>
      <c r="E49" s="8"/>
      <c r="F49" s="8"/>
    </row>
    <row r="50" spans="2:8" ht="62.15" x14ac:dyDescent="0.4">
      <c r="B50" s="6">
        <v>731</v>
      </c>
      <c r="C50" s="9" t="s">
        <v>54</v>
      </c>
      <c r="D50" s="8" t="s">
        <v>140</v>
      </c>
      <c r="E50" s="8"/>
      <c r="F50" s="8"/>
    </row>
    <row r="51" spans="2:8" ht="87" x14ac:dyDescent="0.4">
      <c r="B51" s="6">
        <v>754</v>
      </c>
      <c r="C51" s="9" t="s">
        <v>55</v>
      </c>
      <c r="D51" s="8" t="s">
        <v>141</v>
      </c>
      <c r="E51" s="8"/>
      <c r="F51" s="8"/>
    </row>
    <row r="52" spans="2:8" ht="174" x14ac:dyDescent="0.4">
      <c r="B52" s="6">
        <v>766</v>
      </c>
      <c r="C52" s="9" t="s">
        <v>56</v>
      </c>
      <c r="D52" s="8" t="s">
        <v>142</v>
      </c>
      <c r="E52" s="8"/>
      <c r="F52" s="8"/>
    </row>
    <row r="53" spans="2:8" ht="149.15" x14ac:dyDescent="0.4">
      <c r="B53" s="6" t="s">
        <v>57</v>
      </c>
      <c r="C53" s="9" t="s">
        <v>58</v>
      </c>
      <c r="D53" s="8" t="s">
        <v>143</v>
      </c>
      <c r="E53" s="8"/>
      <c r="F53" s="8"/>
    </row>
    <row r="54" spans="2:8" ht="149.15" x14ac:dyDescent="0.4">
      <c r="B54" s="6" t="s">
        <v>59</v>
      </c>
      <c r="C54" s="9" t="s">
        <v>60</v>
      </c>
      <c r="D54" s="8" t="s">
        <v>144</v>
      </c>
      <c r="E54" s="8"/>
      <c r="F54" s="8"/>
    </row>
    <row r="55" spans="2:8" ht="62.15" x14ac:dyDescent="0.4">
      <c r="B55" s="6">
        <v>836</v>
      </c>
      <c r="C55" s="9" t="s">
        <v>61</v>
      </c>
      <c r="D55" s="8" t="s">
        <v>145</v>
      </c>
      <c r="E55" s="8"/>
      <c r="F55" s="8"/>
    </row>
    <row r="56" spans="2:8" x14ac:dyDescent="0.4">
      <c r="B56" s="6">
        <v>840</v>
      </c>
      <c r="C56" s="9" t="s">
        <v>17</v>
      </c>
      <c r="D56" s="8" t="s">
        <v>84</v>
      </c>
      <c r="E56" s="8"/>
      <c r="F56" s="8"/>
    </row>
    <row r="57" spans="2:8" ht="99.45" x14ac:dyDescent="0.4">
      <c r="B57" s="6" t="s">
        <v>62</v>
      </c>
      <c r="C57" s="9" t="s">
        <v>63</v>
      </c>
      <c r="D57" s="8" t="s">
        <v>147</v>
      </c>
      <c r="E57" s="8"/>
      <c r="F57" s="8"/>
      <c r="G57" s="5" t="s">
        <v>146</v>
      </c>
    </row>
    <row r="58" spans="2:8" x14ac:dyDescent="0.4">
      <c r="B58" s="6">
        <v>930</v>
      </c>
      <c r="C58" s="9" t="s">
        <v>64</v>
      </c>
      <c r="D58" s="8" t="s">
        <v>85</v>
      </c>
      <c r="E58" s="8"/>
      <c r="F58" s="8"/>
    </row>
    <row r="59" spans="2:8" ht="409.6" x14ac:dyDescent="0.4">
      <c r="B59" s="6" t="s">
        <v>65</v>
      </c>
      <c r="C59" s="9" t="s">
        <v>66</v>
      </c>
      <c r="D59" s="8" t="s">
        <v>148</v>
      </c>
      <c r="E59" s="8"/>
      <c r="F59" s="8"/>
      <c r="G59" s="7" t="s">
        <v>89</v>
      </c>
      <c r="H59" s="7"/>
    </row>
    <row r="60" spans="2:8" ht="223.75" x14ac:dyDescent="0.4">
      <c r="B60" s="6" t="s">
        <v>67</v>
      </c>
      <c r="C60" s="9" t="s">
        <v>162</v>
      </c>
      <c r="D60" s="8" t="s">
        <v>149</v>
      </c>
      <c r="E60" s="8"/>
      <c r="F60" s="8"/>
    </row>
    <row r="61" spans="2:8" ht="136.75" x14ac:dyDescent="0.4">
      <c r="B61" s="6">
        <v>959</v>
      </c>
      <c r="C61" s="9" t="s">
        <v>68</v>
      </c>
      <c r="D61" s="8" t="s">
        <v>151</v>
      </c>
      <c r="E61" s="8"/>
      <c r="F61" s="8"/>
      <c r="G61" s="5" t="s">
        <v>150</v>
      </c>
    </row>
    <row r="62" spans="2:8" ht="211.3" x14ac:dyDescent="0.4">
      <c r="B62" s="6">
        <v>963</v>
      </c>
      <c r="C62" s="9" t="s">
        <v>69</v>
      </c>
      <c r="D62" s="8" t="s">
        <v>152</v>
      </c>
      <c r="E62" s="8"/>
      <c r="F62" s="8"/>
    </row>
    <row r="63" spans="2:8" ht="49.75" x14ac:dyDescent="0.4">
      <c r="B63" s="6">
        <v>965</v>
      </c>
      <c r="C63" s="9" t="s">
        <v>70</v>
      </c>
      <c r="D63" s="8" t="s">
        <v>153</v>
      </c>
      <c r="E63" s="8"/>
      <c r="F63" s="8"/>
    </row>
    <row r="64" spans="2:8" ht="62.15" x14ac:dyDescent="0.4">
      <c r="B64" s="6">
        <v>970</v>
      </c>
      <c r="C64" s="9" t="s">
        <v>71</v>
      </c>
      <c r="D64" s="8" t="s">
        <v>155</v>
      </c>
      <c r="E64" s="8"/>
      <c r="F64" s="8"/>
      <c r="G64" s="5" t="s">
        <v>154</v>
      </c>
    </row>
    <row r="65" spans="2:6" ht="74.599999999999994" x14ac:dyDescent="0.4">
      <c r="B65" s="6">
        <v>980</v>
      </c>
      <c r="C65" s="9" t="s">
        <v>72</v>
      </c>
      <c r="D65" s="8" t="s">
        <v>156</v>
      </c>
      <c r="E65" s="8"/>
      <c r="F65" s="8"/>
    </row>
    <row r="66" spans="2:6" ht="62.15" x14ac:dyDescent="0.4">
      <c r="B66" s="10"/>
      <c r="C66" s="9" t="s">
        <v>73</v>
      </c>
      <c r="D66" s="8" t="s">
        <v>157</v>
      </c>
      <c r="E66" s="8"/>
      <c r="F66" s="8"/>
    </row>
  </sheetData>
  <autoFilter ref="B1:G66" xr:uid="{BF8D5823-F486-49BF-A605-B1946548406F}"/>
  <hyperlinks>
    <hyperlink ref="C5" r:id="rId1" display="https://www.miraclehunter.com/marian_apparitions/approved_apparitions/neocaesarea/index.html" xr:uid="{E631A424-6B0B-41C0-A70C-AF182AF9166E}"/>
    <hyperlink ref="C6" r:id="rId2" display="https://www.miraclehunter.com/marian_apparitions/approved_apparitions/lenola/index.html" xr:uid="{8FFAE014-978A-4C4D-892C-1C26A56844A0}"/>
    <hyperlink ref="C10" r:id="rId3" display="https://www.miraclehunter.com/marian_apparitions/approved_apparitions/myra/index.html" xr:uid="{DBCC7C48-5C61-4C02-95A6-B8E751D8668F}"/>
    <hyperlink ref="C13" r:id="rId4" display="https://www.miraclehunter.com/marian_apparitions/approved_apparitions/caesarea/index.html" xr:uid="{4900009C-F6E8-4619-8026-47AE07F8A54E}"/>
    <hyperlink ref="C14" r:id="rId5" display="https://www.miraclehunter.com/marian_apparitions/approved_apparitions/tours/index.html" xr:uid="{D9697B1B-3D3F-4BB2-B8AB-505C5804AD1F}"/>
    <hyperlink ref="C15" r:id="rId6" display="https://www.miraclehunter.com/marian_apparitions/approved_apparitions/tagaste/index.html" xr:uid="{F751076E-614E-4EB1-84FF-7BDD0E163487}"/>
    <hyperlink ref="C33" r:id="rId7" display="https://www.miraclehunter.com/marian_apparitions/approved_apparitions/genoa/index.html" xr:uid="{A5B46782-A0AE-4FCC-B9A6-1C55A75AEFDF}"/>
    <hyperlink ref="C41" r:id="rId8" display="https://www.miraclehunter.com/marian_apparitions/approved_apparitions/toledo/index.html" xr:uid="{15971DC5-D02E-4346-8F04-B829B3CF9CC7}"/>
    <hyperlink ref="C42" r:id="rId9" display="https://www.miraclehunter.com/marian_apparitions/approved_apparitions/benevento/index.html" xr:uid="{8E814CAE-2F33-4C03-B053-0339AEAB74F0}"/>
    <hyperlink ref="G59" r:id="rId10" xr:uid="{95547131-84D7-4392-A921-5C8142C00772}"/>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8A5E8-E436-4289-AF0B-1BD0BA68A638}">
  <sheetPr codeName="Sheet7"/>
  <dimension ref="A1:F154"/>
  <sheetViews>
    <sheetView workbookViewId="0">
      <selection activeCell="B18" sqref="B18"/>
    </sheetView>
  </sheetViews>
  <sheetFormatPr defaultColWidth="9.15234375" defaultRowHeight="12.45" x14ac:dyDescent="0.3"/>
  <cols>
    <col min="1" max="1" width="62.84375" style="1" bestFit="1" customWidth="1"/>
    <col min="2" max="2" width="11.84375" style="1" bestFit="1" customWidth="1"/>
    <col min="3" max="3" width="9.69140625" style="1" bestFit="1" customWidth="1"/>
    <col min="4" max="4" width="46.3828125" style="1" bestFit="1" customWidth="1"/>
    <col min="5" max="5" width="33.3046875" style="1" bestFit="1" customWidth="1"/>
    <col min="6" max="16384" width="9.15234375" style="1"/>
  </cols>
  <sheetData>
    <row r="1" spans="1:6" s="20" customFormat="1" x14ac:dyDescent="0.3">
      <c r="A1" s="20" t="s">
        <v>178</v>
      </c>
      <c r="B1" s="20" t="s">
        <v>485</v>
      </c>
      <c r="C1" s="20" t="s">
        <v>163</v>
      </c>
    </row>
    <row r="2" spans="1:6" x14ac:dyDescent="0.3">
      <c r="A2" s="1" t="s">
        <v>1036</v>
      </c>
      <c r="B2" s="1" t="s">
        <v>552</v>
      </c>
      <c r="C2" s="1">
        <v>40</v>
      </c>
      <c r="D2" s="1" t="e">
        <f>MID(A2,FIND(". ",A2)+2,LEN(A2))</f>
        <v>#VALUE!</v>
      </c>
      <c r="E2" s="1" t="e">
        <v>#VALUE!</v>
      </c>
    </row>
    <row r="3" spans="1:6" x14ac:dyDescent="0.3">
      <c r="A3" s="1" t="str">
        <f>E3</f>
        <v>Le Puy En Velay</v>
      </c>
      <c r="B3" s="1" t="str">
        <f>F3</f>
        <v>France</v>
      </c>
      <c r="C3" s="1">
        <v>47</v>
      </c>
      <c r="D3" s="1" t="e">
        <f t="shared" ref="D3:D66" si="0">MID(A3,FIND(". ",A3)+2,LEN(A3))</f>
        <v>#VALUE!</v>
      </c>
      <c r="E3" s="1" t="s">
        <v>1180</v>
      </c>
      <c r="F3" s="1" t="s">
        <v>557</v>
      </c>
    </row>
    <row r="4" spans="1:6" x14ac:dyDescent="0.3">
      <c r="A4" s="1" t="s">
        <v>1309</v>
      </c>
      <c r="B4" s="1" t="s">
        <v>730</v>
      </c>
      <c r="C4" s="1">
        <v>352</v>
      </c>
      <c r="D4" s="1" t="e">
        <f t="shared" si="0"/>
        <v>#VALUE!</v>
      </c>
      <c r="E4" s="1" t="e">
        <v>#VALUE!</v>
      </c>
    </row>
    <row r="5" spans="1:6" x14ac:dyDescent="0.3">
      <c r="A5" s="1" t="str">
        <f t="shared" ref="A5:A59" si="1">E5</f>
        <v>Tindari</v>
      </c>
      <c r="B5" s="1" t="str">
        <f t="shared" ref="B5:B17" si="2">F5</f>
        <v>Italy</v>
      </c>
      <c r="C5" s="1" t="s">
        <v>1061</v>
      </c>
      <c r="D5" s="1" t="e">
        <f t="shared" si="0"/>
        <v>#VALUE!</v>
      </c>
      <c r="E5" s="1" t="s">
        <v>1181</v>
      </c>
      <c r="F5" s="1" t="s">
        <v>11</v>
      </c>
    </row>
    <row r="6" spans="1:6" x14ac:dyDescent="0.3">
      <c r="A6" s="1" t="str">
        <f t="shared" si="1"/>
        <v>Montserrat</v>
      </c>
      <c r="B6" s="1" t="str">
        <f t="shared" si="2"/>
        <v>Spain</v>
      </c>
      <c r="C6" s="1" t="s">
        <v>1062</v>
      </c>
      <c r="D6" s="1" t="e">
        <f t="shared" si="0"/>
        <v>#VALUE!</v>
      </c>
      <c r="E6" s="1" t="s">
        <v>625</v>
      </c>
      <c r="F6" s="1" t="s">
        <v>552</v>
      </c>
    </row>
    <row r="7" spans="1:6" x14ac:dyDescent="0.3">
      <c r="A7" s="1" t="str">
        <f t="shared" si="1"/>
        <v>Walsingham</v>
      </c>
      <c r="B7" s="1" t="str">
        <f t="shared" si="2"/>
        <v>United Kingdom</v>
      </c>
      <c r="C7" s="1" t="s">
        <v>1063</v>
      </c>
      <c r="D7" s="1" t="e">
        <f t="shared" si="0"/>
        <v>#VALUE!</v>
      </c>
      <c r="E7" s="1" t="s">
        <v>1182</v>
      </c>
      <c r="F7" s="1" t="s">
        <v>735</v>
      </c>
    </row>
    <row r="8" spans="1:6" x14ac:dyDescent="0.3">
      <c r="A8" s="1" t="str">
        <f t="shared" si="1"/>
        <v>Montefortino</v>
      </c>
      <c r="B8" s="1" t="str">
        <f t="shared" si="2"/>
        <v>Italy</v>
      </c>
      <c r="C8" s="1" t="s">
        <v>1064</v>
      </c>
      <c r="D8" s="1" t="e">
        <f t="shared" si="0"/>
        <v>#VALUE!</v>
      </c>
      <c r="E8" s="1" t="s">
        <v>1183</v>
      </c>
      <c r="F8" s="1" t="s">
        <v>11</v>
      </c>
    </row>
    <row r="9" spans="1:6" x14ac:dyDescent="0.3">
      <c r="A9" s="1" t="str">
        <f t="shared" si="1"/>
        <v>Foggia</v>
      </c>
      <c r="B9" s="1" t="str">
        <f t="shared" si="2"/>
        <v>Italy</v>
      </c>
      <c r="C9" s="1" t="s">
        <v>1065</v>
      </c>
      <c r="D9" s="1" t="e">
        <f t="shared" si="0"/>
        <v>#VALUE!</v>
      </c>
      <c r="E9" s="1" t="s">
        <v>1184</v>
      </c>
      <c r="F9" s="1" t="s">
        <v>11</v>
      </c>
    </row>
    <row r="10" spans="1:6" x14ac:dyDescent="0.3">
      <c r="A10" s="1" t="str">
        <f t="shared" si="1"/>
        <v>Arras</v>
      </c>
      <c r="B10" s="1" t="str">
        <f t="shared" si="2"/>
        <v>France</v>
      </c>
      <c r="C10" s="1" t="s">
        <v>1066</v>
      </c>
      <c r="D10" s="1" t="e">
        <f t="shared" si="0"/>
        <v>#VALUE!</v>
      </c>
      <c r="E10" s="1" t="s">
        <v>1185</v>
      </c>
      <c r="F10" s="1" t="s">
        <v>557</v>
      </c>
    </row>
    <row r="11" spans="1:6" x14ac:dyDescent="0.3">
      <c r="A11" s="1" t="str">
        <f t="shared" si="1"/>
        <v>Nazaré</v>
      </c>
      <c r="B11" s="1" t="str">
        <f t="shared" si="2"/>
        <v>Portugal</v>
      </c>
      <c r="C11" s="1" t="s">
        <v>1067</v>
      </c>
      <c r="D11" s="1" t="e">
        <f t="shared" si="0"/>
        <v>#VALUE!</v>
      </c>
      <c r="E11" s="1" t="s">
        <v>1186</v>
      </c>
      <c r="F11" s="1" t="s">
        <v>655</v>
      </c>
    </row>
    <row r="12" spans="1:6" x14ac:dyDescent="0.3">
      <c r="A12" s="1" t="str">
        <f t="shared" si="1"/>
        <v>Swieta Lipka</v>
      </c>
      <c r="B12" s="1" t="str">
        <f t="shared" si="2"/>
        <v>Poland</v>
      </c>
      <c r="C12" s="1" t="s">
        <v>1068</v>
      </c>
      <c r="D12" s="1" t="e">
        <f t="shared" si="0"/>
        <v>#VALUE!</v>
      </c>
      <c r="E12" s="1" t="s">
        <v>1187</v>
      </c>
      <c r="F12" s="1" t="s">
        <v>651</v>
      </c>
    </row>
    <row r="13" spans="1:6" x14ac:dyDescent="0.3">
      <c r="A13" s="1" t="str">
        <f t="shared" si="1"/>
        <v>Assisi</v>
      </c>
      <c r="B13" s="1" t="str">
        <f t="shared" si="2"/>
        <v>Italy</v>
      </c>
      <c r="C13" s="1" t="s">
        <v>1069</v>
      </c>
      <c r="D13" s="1" t="e">
        <f t="shared" si="0"/>
        <v>#VALUE!</v>
      </c>
      <c r="E13" s="1" t="s">
        <v>1188</v>
      </c>
      <c r="F13" s="1" t="s">
        <v>11</v>
      </c>
    </row>
    <row r="14" spans="1:6" x14ac:dyDescent="0.3">
      <c r="A14" s="1" t="str">
        <f t="shared" si="1"/>
        <v>Arcos de Valdevez</v>
      </c>
      <c r="B14" s="1" t="str">
        <f t="shared" si="2"/>
        <v>Portugal</v>
      </c>
      <c r="C14" s="1" t="s">
        <v>1070</v>
      </c>
      <c r="D14" s="1" t="e">
        <f t="shared" si="0"/>
        <v>#VALUE!</v>
      </c>
      <c r="E14" s="1" t="s">
        <v>1189</v>
      </c>
      <c r="F14" s="1" t="s">
        <v>655</v>
      </c>
    </row>
    <row r="15" spans="1:6" x14ac:dyDescent="0.3">
      <c r="A15" s="1" t="str">
        <f t="shared" si="1"/>
        <v>Cortes</v>
      </c>
      <c r="B15" s="1" t="str">
        <f t="shared" si="2"/>
        <v>Spain</v>
      </c>
      <c r="C15" s="1" t="s">
        <v>1071</v>
      </c>
      <c r="D15" s="1" t="e">
        <f t="shared" si="0"/>
        <v>#VALUE!</v>
      </c>
      <c r="E15" s="1" t="s">
        <v>1190</v>
      </c>
      <c r="F15" s="1" t="s">
        <v>552</v>
      </c>
    </row>
    <row r="16" spans="1:6" x14ac:dyDescent="0.3">
      <c r="A16" s="1" t="str">
        <f t="shared" si="1"/>
        <v>Florence</v>
      </c>
      <c r="B16" s="1" t="str">
        <f t="shared" si="2"/>
        <v>Italy</v>
      </c>
      <c r="C16" s="1" t="s">
        <v>1072</v>
      </c>
      <c r="D16" s="1" t="e">
        <f t="shared" si="0"/>
        <v>#VALUE!</v>
      </c>
      <c r="E16" s="1" t="s">
        <v>1191</v>
      </c>
      <c r="F16" s="1" t="s">
        <v>11</v>
      </c>
    </row>
    <row r="17" spans="1:6" x14ac:dyDescent="0.3">
      <c r="A17" s="1" t="str">
        <f t="shared" si="1"/>
        <v>Aylesford</v>
      </c>
      <c r="B17" s="1" t="str">
        <f t="shared" si="2"/>
        <v>United Kingdom</v>
      </c>
      <c r="C17" s="1" t="s">
        <v>1073</v>
      </c>
      <c r="D17" s="1" t="e">
        <f t="shared" si="0"/>
        <v>#VALUE!</v>
      </c>
      <c r="E17" s="1" t="s">
        <v>1192</v>
      </c>
      <c r="F17" s="1" t="s">
        <v>735</v>
      </c>
    </row>
    <row r="18" spans="1:6" x14ac:dyDescent="0.3">
      <c r="A18" s="1" t="str">
        <f t="shared" si="1"/>
        <v>Rome (Santa Maria in Via)</v>
      </c>
      <c r="B18" s="1" t="s">
        <v>730</v>
      </c>
      <c r="C18" s="1" t="s">
        <v>1074</v>
      </c>
      <c r="D18" s="1" t="e">
        <f t="shared" si="0"/>
        <v>#VALUE!</v>
      </c>
      <c r="E18" s="1" t="s">
        <v>1308</v>
      </c>
      <c r="F18" s="1" t="s">
        <v>11</v>
      </c>
    </row>
    <row r="19" spans="1:6" x14ac:dyDescent="0.3">
      <c r="A19" s="1" t="str">
        <f t="shared" si="1"/>
        <v>The Holy House of Nazareth at Loreto </v>
      </c>
      <c r="B19" s="1" t="str">
        <f t="shared" ref="B19:B59" si="3">F19</f>
        <v>Italy</v>
      </c>
      <c r="C19" s="1" t="s">
        <v>1075</v>
      </c>
      <c r="D19" s="1" t="e">
        <f t="shared" si="0"/>
        <v>#VALUE!</v>
      </c>
      <c r="E19" s="1" t="s">
        <v>1193</v>
      </c>
      <c r="F19" s="1" t="s">
        <v>11</v>
      </c>
    </row>
    <row r="20" spans="1:6" x14ac:dyDescent="0.3">
      <c r="A20" s="1" t="str">
        <f t="shared" si="1"/>
        <v>Bra</v>
      </c>
      <c r="B20" s="1" t="str">
        <f t="shared" si="3"/>
        <v>Italy</v>
      </c>
      <c r="C20" s="1" t="s">
        <v>1076</v>
      </c>
      <c r="D20" s="1" t="e">
        <f t="shared" si="0"/>
        <v>#VALUE!</v>
      </c>
      <c r="E20" s="1" t="s">
        <v>1194</v>
      </c>
      <c r="F20" s="1" t="s">
        <v>11</v>
      </c>
    </row>
    <row r="21" spans="1:6" x14ac:dyDescent="0.3">
      <c r="A21" s="1" t="str">
        <f t="shared" si="1"/>
        <v>Roverano</v>
      </c>
      <c r="B21" s="1" t="str">
        <f t="shared" si="3"/>
        <v>Italy</v>
      </c>
      <c r="C21" s="1" t="s">
        <v>1077</v>
      </c>
      <c r="D21" s="1" t="e">
        <f t="shared" si="0"/>
        <v>#VALUE!</v>
      </c>
      <c r="E21" s="1" t="s">
        <v>1195</v>
      </c>
      <c r="F21" s="1" t="s">
        <v>11</v>
      </c>
    </row>
    <row r="22" spans="1:6" x14ac:dyDescent="0.3">
      <c r="A22" s="1" t="str">
        <f t="shared" si="1"/>
        <v>Valverdo Di Rezzato</v>
      </c>
      <c r="B22" s="1" t="str">
        <f t="shared" si="3"/>
        <v>Italy</v>
      </c>
      <c r="C22" s="1" t="s">
        <v>1311</v>
      </c>
      <c r="D22" s="1" t="e">
        <f t="shared" si="0"/>
        <v>#VALUE!</v>
      </c>
      <c r="E22" s="1" t="s">
        <v>1196</v>
      </c>
      <c r="F22" s="1" t="s">
        <v>11</v>
      </c>
    </row>
    <row r="23" spans="1:6" x14ac:dyDescent="0.3">
      <c r="A23" s="1" t="str">
        <f t="shared" si="1"/>
        <v>Castel Godego</v>
      </c>
      <c r="B23" s="1" t="str">
        <f t="shared" si="3"/>
        <v>Italy</v>
      </c>
      <c r="C23" s="1" t="s">
        <v>1078</v>
      </c>
      <c r="D23" s="1" t="e">
        <f t="shared" si="0"/>
        <v>#VALUE!</v>
      </c>
      <c r="E23" s="1" t="s">
        <v>1197</v>
      </c>
      <c r="F23" s="1" t="s">
        <v>11</v>
      </c>
    </row>
    <row r="24" spans="1:6" x14ac:dyDescent="0.3">
      <c r="A24" s="1" t="str">
        <f t="shared" si="1"/>
        <v>Cordoba</v>
      </c>
      <c r="B24" s="1" t="str">
        <f t="shared" si="3"/>
        <v>Spain</v>
      </c>
      <c r="C24" s="1" t="s">
        <v>1078</v>
      </c>
      <c r="D24" s="1" t="e">
        <f t="shared" si="0"/>
        <v>#VALUE!</v>
      </c>
      <c r="E24" s="1" t="s">
        <v>1198</v>
      </c>
      <c r="F24" s="1" t="s">
        <v>552</v>
      </c>
    </row>
    <row r="25" spans="1:6" x14ac:dyDescent="0.3">
      <c r="A25" s="1" t="str">
        <f t="shared" si="1"/>
        <v>Monte Berico</v>
      </c>
      <c r="B25" s="1" t="str">
        <f t="shared" si="3"/>
        <v>Italy</v>
      </c>
      <c r="C25" s="1" t="s">
        <v>1079</v>
      </c>
      <c r="D25" s="1" t="e">
        <f t="shared" si="0"/>
        <v>#VALUE!</v>
      </c>
      <c r="E25" s="1" t="s">
        <v>1199</v>
      </c>
      <c r="F25" s="1" t="s">
        <v>11</v>
      </c>
    </row>
    <row r="26" spans="1:6" x14ac:dyDescent="0.3">
      <c r="A26" s="1" t="str">
        <f t="shared" si="1"/>
        <v>Caravaggio</v>
      </c>
      <c r="B26" s="1" t="str">
        <f t="shared" si="3"/>
        <v>Italy</v>
      </c>
      <c r="C26" s="1" t="s">
        <v>1080</v>
      </c>
      <c r="D26" s="1" t="e">
        <f t="shared" si="0"/>
        <v>#VALUE!</v>
      </c>
      <c r="E26" s="1" t="s">
        <v>1200</v>
      </c>
      <c r="F26" s="1" t="s">
        <v>11</v>
      </c>
    </row>
    <row r="27" spans="1:6" x14ac:dyDescent="0.3">
      <c r="A27" s="1" t="str">
        <f t="shared" si="1"/>
        <v>Desenzano Di Albino</v>
      </c>
      <c r="B27" s="1" t="str">
        <f t="shared" si="3"/>
        <v>Italy</v>
      </c>
      <c r="C27" s="1" t="s">
        <v>1081</v>
      </c>
      <c r="D27" s="1" t="e">
        <f t="shared" si="0"/>
        <v>#VALUE!</v>
      </c>
      <c r="E27" s="1" t="s">
        <v>1201</v>
      </c>
      <c r="F27" s="1" t="s">
        <v>11</v>
      </c>
    </row>
    <row r="28" spans="1:6" x14ac:dyDescent="0.3">
      <c r="A28" s="1" t="str">
        <f t="shared" si="1"/>
        <v>Fuerteventura</v>
      </c>
      <c r="B28" s="1" t="str">
        <f t="shared" si="3"/>
        <v>Spain</v>
      </c>
      <c r="C28" s="1" t="s">
        <v>1082</v>
      </c>
      <c r="D28" s="1" t="e">
        <f t="shared" si="0"/>
        <v>#VALUE!</v>
      </c>
      <c r="E28" s="1" t="s">
        <v>1202</v>
      </c>
      <c r="F28" s="1" t="s">
        <v>552</v>
      </c>
    </row>
    <row r="29" spans="1:6" x14ac:dyDescent="0.3">
      <c r="A29" s="1" t="str">
        <f t="shared" si="1"/>
        <v>Sant'Anastasia</v>
      </c>
      <c r="B29" s="1" t="str">
        <f t="shared" si="3"/>
        <v>Italy</v>
      </c>
      <c r="C29" s="1" t="s">
        <v>1312</v>
      </c>
      <c r="D29" s="1" t="e">
        <f t="shared" si="0"/>
        <v>#VALUE!</v>
      </c>
      <c r="E29" s="1" t="s">
        <v>1313</v>
      </c>
      <c r="F29" s="1" t="s">
        <v>11</v>
      </c>
    </row>
    <row r="30" spans="1:6" x14ac:dyDescent="0.3">
      <c r="A30" s="1" t="str">
        <f t="shared" si="1"/>
        <v>Ghisalba</v>
      </c>
      <c r="B30" s="1" t="str">
        <f t="shared" si="3"/>
        <v>Italy</v>
      </c>
      <c r="C30" s="1" t="s">
        <v>1083</v>
      </c>
      <c r="D30" s="1" t="e">
        <f t="shared" si="0"/>
        <v>#VALUE!</v>
      </c>
      <c r="E30" s="1" t="s">
        <v>1203</v>
      </c>
      <c r="F30" s="1" t="s">
        <v>11</v>
      </c>
    </row>
    <row r="31" spans="1:6" x14ac:dyDescent="0.3">
      <c r="A31" s="1" t="str">
        <f t="shared" si="1"/>
        <v>Garlasco</v>
      </c>
      <c r="B31" s="1" t="str">
        <f t="shared" si="3"/>
        <v>Italy</v>
      </c>
      <c r="C31" s="1" t="s">
        <v>1084</v>
      </c>
      <c r="D31" s="1" t="e">
        <f t="shared" si="0"/>
        <v>#VALUE!</v>
      </c>
      <c r="E31" s="1" t="s">
        <v>1204</v>
      </c>
      <c r="F31" s="1" t="s">
        <v>11</v>
      </c>
    </row>
    <row r="32" spans="1:6" x14ac:dyDescent="0.3">
      <c r="A32" s="1" t="str">
        <f t="shared" si="1"/>
        <v>Genazzano</v>
      </c>
      <c r="B32" s="1" t="str">
        <f t="shared" si="3"/>
        <v>Italy</v>
      </c>
      <c r="C32" s="1" t="s">
        <v>1085</v>
      </c>
      <c r="D32" s="1" t="e">
        <f t="shared" si="0"/>
        <v>#VALUE!</v>
      </c>
      <c r="E32" s="1" t="s">
        <v>1205</v>
      </c>
      <c r="F32" s="1" t="s">
        <v>11</v>
      </c>
    </row>
    <row r="33" spans="1:6" x14ac:dyDescent="0.3">
      <c r="A33" s="1" t="str">
        <f t="shared" si="1"/>
        <v>Badia Di Cava</v>
      </c>
      <c r="B33" s="1" t="str">
        <f t="shared" si="3"/>
        <v>Italy</v>
      </c>
      <c r="C33" s="1" t="s">
        <v>1086</v>
      </c>
      <c r="D33" s="1" t="e">
        <f t="shared" si="0"/>
        <v>#VALUE!</v>
      </c>
      <c r="E33" s="1" t="s">
        <v>1206</v>
      </c>
      <c r="F33" s="1" t="s">
        <v>11</v>
      </c>
    </row>
    <row r="34" spans="1:6" x14ac:dyDescent="0.3">
      <c r="A34" s="1" t="str">
        <f t="shared" si="1"/>
        <v>Boccadirio</v>
      </c>
      <c r="B34" s="1" t="str">
        <f t="shared" si="3"/>
        <v>Italy</v>
      </c>
      <c r="C34" s="1" t="s">
        <v>1087</v>
      </c>
      <c r="D34" s="1" t="e">
        <f t="shared" si="0"/>
        <v>#VALUE!</v>
      </c>
      <c r="E34" s="1" t="s">
        <v>1207</v>
      </c>
      <c r="F34" s="1" t="s">
        <v>11</v>
      </c>
    </row>
    <row r="35" spans="1:6" x14ac:dyDescent="0.3">
      <c r="A35" s="1" t="str">
        <f t="shared" si="1"/>
        <v>Teror</v>
      </c>
      <c r="B35" s="1" t="str">
        <f t="shared" si="3"/>
        <v>Spain</v>
      </c>
      <c r="C35" s="1" t="s">
        <v>1088</v>
      </c>
      <c r="D35" s="1" t="e">
        <f t="shared" si="0"/>
        <v>#VALUE!</v>
      </c>
      <c r="E35" s="1" t="s">
        <v>1208</v>
      </c>
      <c r="F35" s="1" t="s">
        <v>552</v>
      </c>
    </row>
    <row r="36" spans="1:6" x14ac:dyDescent="0.3">
      <c r="A36" s="1" t="str">
        <f t="shared" si="1"/>
        <v>Imola</v>
      </c>
      <c r="B36" s="1" t="str">
        <f t="shared" si="3"/>
        <v>Italy</v>
      </c>
      <c r="C36" s="1" t="s">
        <v>1089</v>
      </c>
      <c r="D36" s="1" t="e">
        <f t="shared" si="0"/>
        <v>#VALUE!</v>
      </c>
      <c r="E36" s="1" t="s">
        <v>1209</v>
      </c>
      <c r="F36" s="1" t="s">
        <v>11</v>
      </c>
    </row>
    <row r="37" spans="1:6" x14ac:dyDescent="0.3">
      <c r="A37" s="1" t="str">
        <f t="shared" si="1"/>
        <v>Agres</v>
      </c>
      <c r="B37" s="1" t="str">
        <f t="shared" si="3"/>
        <v>Spain</v>
      </c>
      <c r="C37" s="1" t="s">
        <v>1090</v>
      </c>
      <c r="D37" s="1" t="e">
        <f t="shared" si="0"/>
        <v>#VALUE!</v>
      </c>
      <c r="E37" s="1" t="s">
        <v>1210</v>
      </c>
      <c r="F37" s="1" t="s">
        <v>552</v>
      </c>
    </row>
    <row r="38" spans="1:6" x14ac:dyDescent="0.3">
      <c r="A38" s="1" t="str">
        <f t="shared" si="1"/>
        <v>Pontassieve</v>
      </c>
      <c r="B38" s="1" t="str">
        <f t="shared" si="3"/>
        <v>Italy</v>
      </c>
      <c r="C38" s="1" t="s">
        <v>1090</v>
      </c>
      <c r="D38" s="1" t="e">
        <f t="shared" si="0"/>
        <v>#VALUE!</v>
      </c>
      <c r="E38" s="1" t="s">
        <v>1211</v>
      </c>
      <c r="F38" s="1" t="s">
        <v>11</v>
      </c>
    </row>
    <row r="39" spans="1:6" x14ac:dyDescent="0.3">
      <c r="A39" s="1" t="str">
        <f t="shared" si="1"/>
        <v>Genoa</v>
      </c>
      <c r="B39" s="1" t="str">
        <f t="shared" si="3"/>
        <v>Italy</v>
      </c>
      <c r="C39" s="1" t="s">
        <v>1091</v>
      </c>
      <c r="D39" s="1" t="e">
        <f t="shared" si="0"/>
        <v>#VALUE!</v>
      </c>
      <c r="E39" s="1" t="s">
        <v>1212</v>
      </c>
      <c r="F39" s="1" t="s">
        <v>11</v>
      </c>
    </row>
    <row r="40" spans="1:6" x14ac:dyDescent="0.3">
      <c r="A40" s="1" t="str">
        <f t="shared" si="1"/>
        <v>Trois-Epis</v>
      </c>
      <c r="B40" s="1" t="str">
        <f t="shared" si="3"/>
        <v>France</v>
      </c>
      <c r="C40" s="1" t="s">
        <v>1092</v>
      </c>
      <c r="D40" s="1" t="e">
        <f t="shared" si="0"/>
        <v>#VALUE!</v>
      </c>
      <c r="E40" s="1" t="s">
        <v>1213</v>
      </c>
      <c r="F40" s="1" t="s">
        <v>557</v>
      </c>
    </row>
    <row r="41" spans="1:6" x14ac:dyDescent="0.3">
      <c r="A41" s="1" t="str">
        <f t="shared" si="1"/>
        <v>Gallivaggio</v>
      </c>
      <c r="B41" s="1" t="str">
        <f t="shared" si="3"/>
        <v>Italy</v>
      </c>
      <c r="C41" s="1" t="s">
        <v>1093</v>
      </c>
      <c r="D41" s="1" t="e">
        <f t="shared" si="0"/>
        <v>#VALUE!</v>
      </c>
      <c r="E41" s="1" t="s">
        <v>1214</v>
      </c>
      <c r="F41" s="1" t="s">
        <v>11</v>
      </c>
    </row>
    <row r="42" spans="1:6" x14ac:dyDescent="0.3">
      <c r="A42" s="1" t="str">
        <f t="shared" si="1"/>
        <v>Re</v>
      </c>
      <c r="B42" s="1" t="str">
        <f t="shared" si="3"/>
        <v>Italy</v>
      </c>
      <c r="C42" s="1" t="s">
        <v>1094</v>
      </c>
      <c r="D42" s="1" t="e">
        <f t="shared" si="0"/>
        <v>#VALUE!</v>
      </c>
      <c r="E42" s="1" t="s">
        <v>1215</v>
      </c>
      <c r="F42" s="1" t="s">
        <v>11</v>
      </c>
    </row>
    <row r="43" spans="1:6" x14ac:dyDescent="0.3">
      <c r="A43" s="1" t="str">
        <f t="shared" si="1"/>
        <v>Bettola</v>
      </c>
      <c r="B43" s="1" t="str">
        <f t="shared" si="3"/>
        <v>Italy</v>
      </c>
      <c r="C43" s="1" t="s">
        <v>1095</v>
      </c>
      <c r="D43" s="1" t="e">
        <f t="shared" si="0"/>
        <v>#VALUE!</v>
      </c>
      <c r="E43" s="1" t="s">
        <v>1216</v>
      </c>
      <c r="F43" s="1" t="s">
        <v>11</v>
      </c>
    </row>
    <row r="44" spans="1:6" x14ac:dyDescent="0.3">
      <c r="A44" s="1" t="str">
        <f t="shared" si="1"/>
        <v>Molare</v>
      </c>
      <c r="B44" s="1" t="str">
        <f t="shared" si="3"/>
        <v>Italy</v>
      </c>
      <c r="C44" s="1" t="s">
        <v>1096</v>
      </c>
      <c r="D44" s="1" t="e">
        <f t="shared" si="0"/>
        <v>#VALUE!</v>
      </c>
      <c r="E44" s="1" t="s">
        <v>1217</v>
      </c>
      <c r="F44" s="1" t="s">
        <v>11</v>
      </c>
    </row>
    <row r="45" spans="1:6" x14ac:dyDescent="0.3">
      <c r="A45" s="1" t="str">
        <f t="shared" si="1"/>
        <v>Vailankanni</v>
      </c>
      <c r="B45" s="1" t="str">
        <f t="shared" si="3"/>
        <v>India</v>
      </c>
      <c r="C45" s="1" t="s">
        <v>1096</v>
      </c>
      <c r="D45" s="1" t="e">
        <f t="shared" si="0"/>
        <v>#VALUE!</v>
      </c>
      <c r="E45" s="1" t="s">
        <v>1218</v>
      </c>
      <c r="F45" s="1" t="s">
        <v>2</v>
      </c>
    </row>
    <row r="46" spans="1:6" x14ac:dyDescent="0.3">
      <c r="A46" s="1" t="str">
        <f t="shared" si="1"/>
        <v>Andacollo</v>
      </c>
      <c r="B46" s="1" t="str">
        <f t="shared" si="3"/>
        <v>Chile</v>
      </c>
      <c r="C46" s="1" t="s">
        <v>1096</v>
      </c>
      <c r="D46" s="1" t="e">
        <f t="shared" si="0"/>
        <v>#VALUE!</v>
      </c>
      <c r="E46" s="1" t="s">
        <v>1219</v>
      </c>
      <c r="F46" s="1" t="s">
        <v>531</v>
      </c>
    </row>
    <row r="47" spans="1:6" x14ac:dyDescent="0.3">
      <c r="A47" s="1" t="str">
        <f t="shared" si="1"/>
        <v>Luggau</v>
      </c>
      <c r="B47" s="1" t="str">
        <f t="shared" si="3"/>
        <v>Austria</v>
      </c>
      <c r="C47" s="1" t="s">
        <v>1096</v>
      </c>
      <c r="D47" s="1" t="e">
        <f t="shared" si="0"/>
        <v>#VALUE!</v>
      </c>
      <c r="E47" s="1" t="s">
        <v>1220</v>
      </c>
      <c r="F47" s="1" t="s">
        <v>502</v>
      </c>
    </row>
    <row r="48" spans="1:6" x14ac:dyDescent="0.3">
      <c r="A48" s="1" t="str">
        <f t="shared" si="1"/>
        <v>Tirano</v>
      </c>
      <c r="B48" s="1" t="str">
        <f t="shared" si="3"/>
        <v>Italy</v>
      </c>
      <c r="C48" s="1" t="s">
        <v>1097</v>
      </c>
      <c r="D48" s="1" t="e">
        <f t="shared" si="0"/>
        <v>#VALUE!</v>
      </c>
      <c r="E48" s="1" t="s">
        <v>1221</v>
      </c>
      <c r="F48" s="1" t="s">
        <v>11</v>
      </c>
    </row>
    <row r="49" spans="1:6" x14ac:dyDescent="0.3">
      <c r="A49" s="1" t="str">
        <f t="shared" si="1"/>
        <v>Motta Di Livenza</v>
      </c>
      <c r="B49" s="1" t="str">
        <f t="shared" si="3"/>
        <v>Italy</v>
      </c>
      <c r="C49" s="1" t="s">
        <v>1098</v>
      </c>
      <c r="D49" s="1" t="e">
        <f t="shared" si="0"/>
        <v>#VALUE!</v>
      </c>
      <c r="E49" s="1" t="s">
        <v>1222</v>
      </c>
      <c r="F49" s="1" t="s">
        <v>11</v>
      </c>
    </row>
    <row r="50" spans="1:6" x14ac:dyDescent="0.3">
      <c r="A50" s="1" t="str">
        <f t="shared" si="1"/>
        <v>Peschiera Sul Garda</v>
      </c>
      <c r="B50" s="1" t="str">
        <f t="shared" si="3"/>
        <v>Italy</v>
      </c>
      <c r="C50" s="1" t="s">
        <v>1098</v>
      </c>
      <c r="D50" s="1" t="e">
        <f t="shared" si="0"/>
        <v>#VALUE!</v>
      </c>
      <c r="E50" s="1" t="s">
        <v>1223</v>
      </c>
      <c r="F50" s="1" t="s">
        <v>11</v>
      </c>
    </row>
    <row r="51" spans="1:6" x14ac:dyDescent="0.3">
      <c r="A51" s="1" t="str">
        <f t="shared" si="1"/>
        <v>Bergamo</v>
      </c>
      <c r="B51" s="1" t="str">
        <f t="shared" si="3"/>
        <v>Italy</v>
      </c>
      <c r="C51" s="1" t="s">
        <v>1098</v>
      </c>
      <c r="D51" s="1" t="e">
        <f t="shared" si="0"/>
        <v>#VALUE!</v>
      </c>
      <c r="E51" s="1" t="s">
        <v>1224</v>
      </c>
      <c r="F51" s="1" t="s">
        <v>11</v>
      </c>
    </row>
    <row r="52" spans="1:6" x14ac:dyDescent="0.3">
      <c r="A52" s="1" t="str">
        <f t="shared" si="1"/>
        <v>Rzeszów</v>
      </c>
      <c r="B52" s="1" t="str">
        <f t="shared" si="3"/>
        <v>Poland</v>
      </c>
      <c r="C52" s="1" t="s">
        <v>1099</v>
      </c>
      <c r="D52" s="1" t="e">
        <f t="shared" si="0"/>
        <v>#VALUE!</v>
      </c>
      <c r="E52" s="1" t="s">
        <v>1225</v>
      </c>
      <c r="F52" s="1" t="s">
        <v>651</v>
      </c>
    </row>
    <row r="53" spans="1:6" x14ac:dyDescent="0.3">
      <c r="A53" s="1" t="str">
        <f t="shared" si="1"/>
        <v>Garaison</v>
      </c>
      <c r="B53" s="1" t="str">
        <f t="shared" si="3"/>
        <v>France</v>
      </c>
      <c r="C53" s="1" t="s">
        <v>1100</v>
      </c>
      <c r="D53" s="1" t="e">
        <f t="shared" si="0"/>
        <v>#VALUE!</v>
      </c>
      <c r="E53" s="1" t="s">
        <v>1226</v>
      </c>
      <c r="F53" s="1" t="s">
        <v>557</v>
      </c>
    </row>
    <row r="54" spans="1:6" x14ac:dyDescent="0.3">
      <c r="A54" s="1" t="str">
        <f t="shared" si="1"/>
        <v>Adro</v>
      </c>
      <c r="B54" s="1" t="str">
        <f t="shared" si="3"/>
        <v>Italy</v>
      </c>
      <c r="C54" s="1" t="s">
        <v>1101</v>
      </c>
      <c r="D54" s="1" t="e">
        <f t="shared" si="0"/>
        <v>#VALUE!</v>
      </c>
      <c r="E54" s="1" t="s">
        <v>1227</v>
      </c>
      <c r="F54" s="1" t="s">
        <v>11</v>
      </c>
    </row>
    <row r="55" spans="1:6" x14ac:dyDescent="0.3">
      <c r="A55" s="1" t="str">
        <f t="shared" si="1"/>
        <v>Cotignac</v>
      </c>
      <c r="B55" s="1" t="str">
        <f t="shared" si="3"/>
        <v>France</v>
      </c>
      <c r="C55" s="1" t="s">
        <v>1102</v>
      </c>
      <c r="D55" s="1" t="e">
        <f t="shared" si="0"/>
        <v>#VALUE!</v>
      </c>
      <c r="E55" s="1" t="s">
        <v>1228</v>
      </c>
      <c r="F55" s="1" t="s">
        <v>557</v>
      </c>
    </row>
    <row r="56" spans="1:6" x14ac:dyDescent="0.3">
      <c r="A56" s="1" t="str">
        <f t="shared" si="1"/>
        <v>Cori</v>
      </c>
      <c r="B56" s="1" t="str">
        <f t="shared" si="3"/>
        <v>Italy</v>
      </c>
      <c r="C56" s="1" t="s">
        <v>1103</v>
      </c>
      <c r="D56" s="1" t="e">
        <f t="shared" si="0"/>
        <v>#VALUE!</v>
      </c>
      <c r="E56" s="1" t="s">
        <v>1229</v>
      </c>
      <c r="F56" s="1" t="s">
        <v>11</v>
      </c>
    </row>
    <row r="57" spans="1:6" x14ac:dyDescent="0.3">
      <c r="A57" s="1" t="str">
        <f t="shared" si="1"/>
        <v>Cussanio</v>
      </c>
      <c r="B57" s="1" t="str">
        <f t="shared" si="3"/>
        <v>Italy</v>
      </c>
      <c r="C57" s="1" t="s">
        <v>1103</v>
      </c>
      <c r="D57" s="1" t="e">
        <f t="shared" si="0"/>
        <v>#VALUE!</v>
      </c>
      <c r="E57" s="1" t="s">
        <v>1230</v>
      </c>
      <c r="F57" s="1" t="s">
        <v>11</v>
      </c>
    </row>
    <row r="58" spans="1:6" x14ac:dyDescent="0.3">
      <c r="A58" s="1" t="str">
        <f t="shared" si="1"/>
        <v>Crescentino</v>
      </c>
      <c r="B58" s="1" t="str">
        <f t="shared" si="3"/>
        <v>Italy</v>
      </c>
      <c r="C58" s="1" t="s">
        <v>1104</v>
      </c>
      <c r="D58" s="1" t="e">
        <f t="shared" si="0"/>
        <v>#VALUE!</v>
      </c>
      <c r="E58" s="1" t="s">
        <v>1231</v>
      </c>
      <c r="F58" s="1" t="s">
        <v>11</v>
      </c>
    </row>
    <row r="59" spans="1:6" x14ac:dyDescent="0.3">
      <c r="A59" s="1" t="str">
        <f t="shared" si="1"/>
        <v>Ornavasso</v>
      </c>
      <c r="B59" s="1" t="str">
        <f t="shared" si="3"/>
        <v>Italy</v>
      </c>
      <c r="C59" s="1" t="s">
        <v>1105</v>
      </c>
      <c r="D59" s="1" t="e">
        <f t="shared" si="0"/>
        <v>#VALUE!</v>
      </c>
      <c r="E59" s="1" t="s">
        <v>1232</v>
      </c>
      <c r="F59" s="1" t="s">
        <v>11</v>
      </c>
    </row>
    <row r="60" spans="1:6" x14ac:dyDescent="0.3">
      <c r="A60" s="1" t="s">
        <v>1003</v>
      </c>
      <c r="B60" s="1" t="s">
        <v>630</v>
      </c>
      <c r="C60" s="1">
        <v>1531</v>
      </c>
      <c r="D60" s="1" t="e">
        <f t="shared" si="0"/>
        <v>#VALUE!</v>
      </c>
      <c r="E60" s="1" t="e">
        <v>#VALUE!</v>
      </c>
    </row>
    <row r="61" spans="1:6" x14ac:dyDescent="0.3">
      <c r="A61" s="1" t="str">
        <f t="shared" ref="A61:A72" si="4">E61</f>
        <v>Savona</v>
      </c>
      <c r="B61" s="1" t="str">
        <f t="shared" ref="B61:B72" si="5">F61</f>
        <v>Italy</v>
      </c>
      <c r="C61" s="1" t="s">
        <v>1106</v>
      </c>
      <c r="D61" s="1" t="e">
        <f t="shared" si="0"/>
        <v>#VALUE!</v>
      </c>
      <c r="E61" s="1" t="s">
        <v>1233</v>
      </c>
      <c r="F61" s="1" t="s">
        <v>11</v>
      </c>
    </row>
    <row r="62" spans="1:6" x14ac:dyDescent="0.3">
      <c r="A62" s="1" t="str">
        <f t="shared" si="4"/>
        <v>Sveta Gora</v>
      </c>
      <c r="B62" s="1" t="str">
        <f t="shared" si="5"/>
        <v>Slovenia</v>
      </c>
      <c r="C62" s="1" t="s">
        <v>1107</v>
      </c>
      <c r="D62" s="1" t="e">
        <f t="shared" si="0"/>
        <v>#VALUE!</v>
      </c>
      <c r="E62" s="1" t="s">
        <v>1234</v>
      </c>
      <c r="F62" s="1" t="s">
        <v>669</v>
      </c>
    </row>
    <row r="63" spans="1:6" x14ac:dyDescent="0.3">
      <c r="A63" s="1" t="str">
        <f t="shared" si="4"/>
        <v>Ocotlán</v>
      </c>
      <c r="B63" s="1" t="str">
        <f t="shared" si="5"/>
        <v>Mexico</v>
      </c>
      <c r="C63" s="1" t="s">
        <v>1108</v>
      </c>
      <c r="D63" s="1" t="e">
        <f t="shared" si="0"/>
        <v>#VALUE!</v>
      </c>
      <c r="E63" s="1" t="s">
        <v>1235</v>
      </c>
      <c r="F63" s="1" t="s">
        <v>630</v>
      </c>
    </row>
    <row r="64" spans="1:6" x14ac:dyDescent="0.3">
      <c r="A64" s="1" t="str">
        <f t="shared" si="4"/>
        <v>Vacciago</v>
      </c>
      <c r="B64" s="1" t="str">
        <f t="shared" si="5"/>
        <v>Italy</v>
      </c>
      <c r="C64" s="1" t="s">
        <v>1109</v>
      </c>
      <c r="D64" s="1" t="e">
        <f t="shared" si="0"/>
        <v>#VALUE!</v>
      </c>
      <c r="E64" s="1" t="s">
        <v>1236</v>
      </c>
      <c r="F64" s="1" t="s">
        <v>11</v>
      </c>
    </row>
    <row r="65" spans="1:6" x14ac:dyDescent="0.3">
      <c r="A65" s="1" t="str">
        <f t="shared" si="4"/>
        <v>Pietralba</v>
      </c>
      <c r="B65" s="1" t="str">
        <f t="shared" si="5"/>
        <v>Italy</v>
      </c>
      <c r="C65" s="1" t="s">
        <v>1110</v>
      </c>
      <c r="D65" s="1" t="e">
        <f t="shared" si="0"/>
        <v>#VALUE!</v>
      </c>
      <c r="E65" s="1" t="s">
        <v>1237</v>
      </c>
      <c r="F65" s="1" t="s">
        <v>11</v>
      </c>
    </row>
    <row r="66" spans="1:6" x14ac:dyDescent="0.3">
      <c r="A66" s="1" t="str">
        <f t="shared" si="4"/>
        <v>Corbetta</v>
      </c>
      <c r="B66" s="1" t="str">
        <f t="shared" si="5"/>
        <v>Italy</v>
      </c>
      <c r="C66" s="1" t="s">
        <v>1111</v>
      </c>
      <c r="D66" s="1" t="e">
        <f t="shared" si="0"/>
        <v>#VALUE!</v>
      </c>
      <c r="E66" s="1" t="s">
        <v>1238</v>
      </c>
      <c r="F66" s="1" t="s">
        <v>11</v>
      </c>
    </row>
    <row r="67" spans="1:6" x14ac:dyDescent="0.3">
      <c r="A67" s="1" t="str">
        <f t="shared" si="4"/>
        <v>Arcola</v>
      </c>
      <c r="B67" s="1" t="str">
        <f t="shared" si="5"/>
        <v>Italy</v>
      </c>
      <c r="C67" s="1" t="s">
        <v>1112</v>
      </c>
      <c r="D67" s="1" t="e">
        <f t="shared" ref="D67:D130" si="6">MID(A67,FIND(". ",A67)+2,LEN(A67))</f>
        <v>#VALUE!</v>
      </c>
      <c r="E67" s="1" t="s">
        <v>1239</v>
      </c>
      <c r="F67" s="1" t="s">
        <v>11</v>
      </c>
    </row>
    <row r="68" spans="1:6" x14ac:dyDescent="0.3">
      <c r="A68" s="1" t="str">
        <f t="shared" si="4"/>
        <v>Giulianova</v>
      </c>
      <c r="B68" s="1" t="str">
        <f t="shared" si="5"/>
        <v>Italy</v>
      </c>
      <c r="C68" s="1" t="s">
        <v>1113</v>
      </c>
      <c r="D68" s="1" t="e">
        <f t="shared" si="6"/>
        <v>#VALUE!</v>
      </c>
      <c r="E68" s="1" t="s">
        <v>1240</v>
      </c>
      <c r="F68" s="1" t="s">
        <v>11</v>
      </c>
    </row>
    <row r="69" spans="1:6" x14ac:dyDescent="0.3">
      <c r="A69" s="1" t="str">
        <f t="shared" si="4"/>
        <v>Gerosa</v>
      </c>
      <c r="B69" s="1" t="str">
        <f t="shared" si="5"/>
        <v>Italy</v>
      </c>
      <c r="C69" s="1" t="s">
        <v>1114</v>
      </c>
      <c r="D69" s="1" t="e">
        <f t="shared" si="6"/>
        <v>#VALUE!</v>
      </c>
      <c r="E69" s="1" t="s">
        <v>1241</v>
      </c>
      <c r="F69" s="1" t="s">
        <v>11</v>
      </c>
    </row>
    <row r="70" spans="1:6" x14ac:dyDescent="0.3">
      <c r="A70" s="1" t="str">
        <f t="shared" si="4"/>
        <v>Moncrivello</v>
      </c>
      <c r="B70" s="1" t="str">
        <f t="shared" si="5"/>
        <v>Italy</v>
      </c>
      <c r="C70" s="1" t="s">
        <v>1115</v>
      </c>
      <c r="D70" s="1" t="e">
        <f t="shared" si="6"/>
        <v>#VALUE!</v>
      </c>
      <c r="E70" s="1" t="s">
        <v>1242</v>
      </c>
      <c r="F70" s="1" t="s">
        <v>11</v>
      </c>
    </row>
    <row r="71" spans="1:6" x14ac:dyDescent="0.3">
      <c r="A71" s="1" t="str">
        <f t="shared" si="4"/>
        <v>Gozo</v>
      </c>
      <c r="B71" s="1" t="str">
        <f t="shared" si="5"/>
        <v>Malta</v>
      </c>
      <c r="C71" s="1" t="s">
        <v>1116</v>
      </c>
      <c r="D71" s="1" t="e">
        <f t="shared" si="6"/>
        <v>#VALUE!</v>
      </c>
      <c r="E71" s="1" t="s">
        <v>1243</v>
      </c>
      <c r="F71" s="1" t="s">
        <v>626</v>
      </c>
    </row>
    <row r="72" spans="1:6" x14ac:dyDescent="0.3">
      <c r="A72" s="1" t="str">
        <f t="shared" si="4"/>
        <v>Casalbordino</v>
      </c>
      <c r="B72" s="1" t="str">
        <f t="shared" si="5"/>
        <v>Italy</v>
      </c>
      <c r="C72" s="1" t="s">
        <v>1117</v>
      </c>
      <c r="D72" s="1" t="e">
        <f t="shared" si="6"/>
        <v>#VALUE!</v>
      </c>
      <c r="E72" s="1" t="s">
        <v>1244</v>
      </c>
      <c r="F72" s="1" t="s">
        <v>11</v>
      </c>
    </row>
    <row r="73" spans="1:6" x14ac:dyDescent="0.3">
      <c r="A73" s="1" t="s">
        <v>1050</v>
      </c>
      <c r="B73" s="1" t="s">
        <v>651</v>
      </c>
      <c r="C73" s="1">
        <v>1578</v>
      </c>
      <c r="D73" s="1" t="e">
        <f t="shared" si="6"/>
        <v>#VALUE!</v>
      </c>
      <c r="E73" s="1" t="e">
        <v>#VALUE!</v>
      </c>
    </row>
    <row r="74" spans="1:6" x14ac:dyDescent="0.3">
      <c r="A74" s="1" t="str">
        <f t="shared" ref="A74:A84" si="7">E74</f>
        <v>Lumarzo</v>
      </c>
      <c r="B74" s="1" t="str">
        <f t="shared" ref="B74:B84" si="8">F74</f>
        <v>Italy</v>
      </c>
      <c r="C74" s="1" t="s">
        <v>1118</v>
      </c>
      <c r="D74" s="1" t="e">
        <f t="shared" si="6"/>
        <v>#VALUE!</v>
      </c>
      <c r="E74" s="1" t="s">
        <v>1245</v>
      </c>
      <c r="F74" s="1" t="s">
        <v>11</v>
      </c>
    </row>
    <row r="75" spans="1:6" x14ac:dyDescent="0.3">
      <c r="A75" s="1" t="str">
        <f t="shared" si="7"/>
        <v>Chiquinquirá</v>
      </c>
      <c r="B75" s="1" t="str">
        <f t="shared" si="8"/>
        <v>Colombia</v>
      </c>
      <c r="C75" s="1" t="s">
        <v>1119</v>
      </c>
      <c r="D75" s="1" t="e">
        <f t="shared" si="6"/>
        <v>#VALUE!</v>
      </c>
      <c r="E75" s="1" t="s">
        <v>1246</v>
      </c>
      <c r="F75" s="1" t="s">
        <v>534</v>
      </c>
    </row>
    <row r="76" spans="1:6" x14ac:dyDescent="0.3">
      <c r="A76" s="1" t="str">
        <f t="shared" si="7"/>
        <v>Quinche</v>
      </c>
      <c r="B76" s="1" t="str">
        <f t="shared" si="8"/>
        <v>Ecuador</v>
      </c>
      <c r="C76" s="1" t="s">
        <v>1119</v>
      </c>
      <c r="D76" s="1" t="e">
        <f t="shared" si="6"/>
        <v>#VALUE!</v>
      </c>
      <c r="E76" s="1" t="s">
        <v>1247</v>
      </c>
      <c r="F76" s="1" t="s">
        <v>548</v>
      </c>
    </row>
    <row r="77" spans="1:6" x14ac:dyDescent="0.3">
      <c r="A77" s="1" t="str">
        <f t="shared" si="7"/>
        <v>Quito</v>
      </c>
      <c r="B77" s="1" t="str">
        <f t="shared" si="8"/>
        <v>Ecuador</v>
      </c>
      <c r="C77" s="1" t="s">
        <v>1120</v>
      </c>
      <c r="D77" s="1" t="e">
        <f t="shared" si="6"/>
        <v>#VALUE!</v>
      </c>
      <c r="E77" s="1" t="s">
        <v>1248</v>
      </c>
      <c r="F77" s="1" t="s">
        <v>548</v>
      </c>
    </row>
    <row r="78" spans="1:6" x14ac:dyDescent="0.3">
      <c r="A78" s="1" t="str">
        <f t="shared" si="7"/>
        <v>Rapallo</v>
      </c>
      <c r="B78" s="1" t="str">
        <f t="shared" si="8"/>
        <v>Italy</v>
      </c>
      <c r="C78" s="1" t="s">
        <v>1121</v>
      </c>
      <c r="D78" s="1" t="e">
        <f t="shared" si="6"/>
        <v>#VALUE!</v>
      </c>
      <c r="E78" s="1" t="s">
        <v>1249</v>
      </c>
      <c r="F78" s="1" t="s">
        <v>11</v>
      </c>
    </row>
    <row r="79" spans="1:6" x14ac:dyDescent="0.3">
      <c r="A79" s="1" t="str">
        <f t="shared" si="7"/>
        <v>Bétharram</v>
      </c>
      <c r="B79" s="1" t="str">
        <f t="shared" si="8"/>
        <v>France</v>
      </c>
      <c r="C79" s="1" t="s">
        <v>1122</v>
      </c>
      <c r="D79" s="1" t="e">
        <f t="shared" si="6"/>
        <v>#VALUE!</v>
      </c>
      <c r="E79" s="1" t="s">
        <v>1250</v>
      </c>
      <c r="F79" s="1" t="s">
        <v>557</v>
      </c>
    </row>
    <row r="80" spans="1:6" x14ac:dyDescent="0.3">
      <c r="A80" s="1" t="str">
        <f t="shared" si="7"/>
        <v>Luján</v>
      </c>
      <c r="B80" s="1" t="str">
        <f t="shared" si="8"/>
        <v>Argentina</v>
      </c>
      <c r="C80" s="1" t="s">
        <v>1123</v>
      </c>
      <c r="D80" s="1" t="e">
        <f t="shared" si="6"/>
        <v>#VALUE!</v>
      </c>
      <c r="E80" s="1" t="s">
        <v>1251</v>
      </c>
      <c r="F80" s="1" t="s">
        <v>500</v>
      </c>
    </row>
    <row r="81" spans="1:6" x14ac:dyDescent="0.3">
      <c r="A81" s="1" t="str">
        <f t="shared" si="7"/>
        <v>Caacupé</v>
      </c>
      <c r="B81" s="1" t="str">
        <f t="shared" si="8"/>
        <v>Paraguay</v>
      </c>
      <c r="C81" s="1" t="s">
        <v>1123</v>
      </c>
      <c r="D81" s="1" t="e">
        <f t="shared" si="6"/>
        <v>#VALUE!</v>
      </c>
      <c r="E81" s="1" t="s">
        <v>1252</v>
      </c>
      <c r="F81" s="1" t="s">
        <v>657</v>
      </c>
    </row>
    <row r="82" spans="1:6" x14ac:dyDescent="0.3">
      <c r="A82" s="1" t="str">
        <f t="shared" si="7"/>
        <v>Caysasay</v>
      </c>
      <c r="B82" s="1" t="str">
        <f t="shared" si="8"/>
        <v>Philippines</v>
      </c>
      <c r="C82" s="1" t="s">
        <v>1124</v>
      </c>
      <c r="D82" s="1" t="e">
        <f t="shared" si="6"/>
        <v>#VALUE!</v>
      </c>
      <c r="E82" s="1" t="s">
        <v>1253</v>
      </c>
      <c r="F82" s="1" t="s">
        <v>649</v>
      </c>
    </row>
    <row r="83" spans="1:6" x14ac:dyDescent="0.3">
      <c r="A83" s="1" t="str">
        <f t="shared" si="7"/>
        <v>Doroszló</v>
      </c>
      <c r="B83" s="1" t="str">
        <f t="shared" si="8"/>
        <v>Serbia</v>
      </c>
      <c r="C83" s="1" t="s">
        <v>1124</v>
      </c>
      <c r="D83" s="1" t="e">
        <f t="shared" si="6"/>
        <v>#VALUE!</v>
      </c>
      <c r="E83" s="1" t="s">
        <v>1254</v>
      </c>
      <c r="F83" s="1" t="s">
        <v>661</v>
      </c>
    </row>
    <row r="84" spans="1:6" x14ac:dyDescent="0.3">
      <c r="A84" s="1" t="str">
        <f t="shared" si="7"/>
        <v>Ardesio</v>
      </c>
      <c r="B84" s="1" t="str">
        <f t="shared" si="8"/>
        <v>Italy</v>
      </c>
      <c r="C84" s="1" t="s">
        <v>1125</v>
      </c>
      <c r="D84" s="1" t="e">
        <f t="shared" si="6"/>
        <v>#VALUE!</v>
      </c>
      <c r="E84" s="1" t="s">
        <v>1255</v>
      </c>
      <c r="F84" s="1" t="s">
        <v>11</v>
      </c>
    </row>
    <row r="85" spans="1:6" x14ac:dyDescent="0.3">
      <c r="A85" s="1" t="s">
        <v>1004</v>
      </c>
      <c r="B85" s="1" t="s">
        <v>607</v>
      </c>
      <c r="C85" s="1">
        <v>1608</v>
      </c>
      <c r="D85" s="1" t="e">
        <f t="shared" si="6"/>
        <v>#VALUE!</v>
      </c>
      <c r="E85" s="1" t="e">
        <v>#VALUE!</v>
      </c>
    </row>
    <row r="86" spans="1:6" x14ac:dyDescent="0.3">
      <c r="A86" s="1" t="str">
        <f t="shared" ref="A86:A95" si="9">E86</f>
        <v>Manaoag</v>
      </c>
      <c r="B86" s="1" t="str">
        <f t="shared" ref="B86:B95" si="10">F86</f>
        <v>Philippines</v>
      </c>
      <c r="C86" s="1" t="s">
        <v>1126</v>
      </c>
      <c r="D86" s="1" t="e">
        <f t="shared" si="6"/>
        <v>#VALUE!</v>
      </c>
      <c r="E86" s="1" t="s">
        <v>1256</v>
      </c>
      <c r="F86" s="1" t="s">
        <v>649</v>
      </c>
    </row>
    <row r="87" spans="1:6" x14ac:dyDescent="0.3">
      <c r="A87" s="1" t="str">
        <f t="shared" si="9"/>
        <v>El Cobre</v>
      </c>
      <c r="B87" s="1" t="str">
        <f t="shared" si="10"/>
        <v>Cuba</v>
      </c>
      <c r="C87" s="1" t="s">
        <v>1127</v>
      </c>
      <c r="D87" s="1" t="e">
        <f t="shared" si="6"/>
        <v>#VALUE!</v>
      </c>
      <c r="E87" s="1" t="s">
        <v>1314</v>
      </c>
      <c r="F87" s="1" t="s">
        <v>536</v>
      </c>
    </row>
    <row r="88" spans="1:6" x14ac:dyDescent="0.3">
      <c r="A88" s="1" t="str">
        <f t="shared" si="9"/>
        <v>San Salvatore Monferrato</v>
      </c>
      <c r="B88" s="1" t="str">
        <f t="shared" si="10"/>
        <v>Italy</v>
      </c>
      <c r="C88" s="1" t="s">
        <v>1128</v>
      </c>
      <c r="D88" s="1" t="e">
        <f t="shared" si="6"/>
        <v>#VALUE!</v>
      </c>
      <c r="E88" s="1" t="s">
        <v>1257</v>
      </c>
      <c r="F88" s="1" t="s">
        <v>11</v>
      </c>
    </row>
    <row r="89" spans="1:6" x14ac:dyDescent="0.3">
      <c r="A89" s="1" t="str">
        <f t="shared" si="9"/>
        <v>Marbach</v>
      </c>
      <c r="B89" s="1" t="str">
        <f t="shared" si="10"/>
        <v>Austria</v>
      </c>
      <c r="C89" s="1" t="s">
        <v>1129</v>
      </c>
      <c r="D89" s="1" t="e">
        <f t="shared" si="6"/>
        <v>#VALUE!</v>
      </c>
      <c r="E89" s="1" t="s">
        <v>1258</v>
      </c>
      <c r="F89" s="1" t="s">
        <v>502</v>
      </c>
    </row>
    <row r="90" spans="1:6" x14ac:dyDescent="0.3">
      <c r="A90" s="1" t="str">
        <f t="shared" si="9"/>
        <v>Cartago</v>
      </c>
      <c r="B90" s="1" t="str">
        <f t="shared" si="10"/>
        <v>Costa Rica</v>
      </c>
      <c r="C90" s="1" t="s">
        <v>1130</v>
      </c>
      <c r="D90" s="1" t="e">
        <f t="shared" si="6"/>
        <v>#VALUE!</v>
      </c>
      <c r="E90" s="1" t="s">
        <v>1259</v>
      </c>
      <c r="F90" s="1" t="s">
        <v>535</v>
      </c>
    </row>
    <row r="91" spans="1:6" x14ac:dyDescent="0.3">
      <c r="A91" s="1" t="str">
        <f t="shared" si="9"/>
        <v>Kevelaer</v>
      </c>
      <c r="B91" s="1" t="str">
        <f t="shared" si="10"/>
        <v>Germany</v>
      </c>
      <c r="C91" s="1" t="s">
        <v>1131</v>
      </c>
      <c r="D91" s="1" t="e">
        <f t="shared" si="6"/>
        <v>#VALUE!</v>
      </c>
      <c r="E91" s="1" t="s">
        <v>1260</v>
      </c>
      <c r="F91" s="1" t="s">
        <v>542</v>
      </c>
    </row>
    <row r="92" spans="1:6" x14ac:dyDescent="0.3">
      <c r="A92" s="1" t="str">
        <f t="shared" si="9"/>
        <v>Plantées</v>
      </c>
      <c r="B92" s="1" t="str">
        <f t="shared" si="10"/>
        <v>France</v>
      </c>
      <c r="C92" s="1" t="s">
        <v>1132</v>
      </c>
      <c r="D92" s="1" t="e">
        <f t="shared" si="6"/>
        <v>#VALUE!</v>
      </c>
      <c r="E92" s="1" t="s">
        <v>1261</v>
      </c>
      <c r="F92" s="1" t="s">
        <v>557</v>
      </c>
    </row>
    <row r="93" spans="1:6" x14ac:dyDescent="0.3">
      <c r="A93" s="1" t="str">
        <f t="shared" si="9"/>
        <v>Guanare</v>
      </c>
      <c r="B93" s="1" t="str">
        <f t="shared" si="10"/>
        <v>Venezuela</v>
      </c>
      <c r="C93" s="1" t="s">
        <v>1133</v>
      </c>
      <c r="D93" s="1" t="e">
        <f t="shared" si="6"/>
        <v>#VALUE!</v>
      </c>
      <c r="E93" s="1" t="s">
        <v>1262</v>
      </c>
      <c r="F93" s="1" t="s">
        <v>716</v>
      </c>
    </row>
    <row r="94" spans="1:6" x14ac:dyDescent="0.3">
      <c r="A94" s="1" t="str">
        <f t="shared" si="9"/>
        <v>La Prenessaye</v>
      </c>
      <c r="B94" s="1" t="str">
        <f t="shared" si="10"/>
        <v>France</v>
      </c>
      <c r="C94" s="1" t="s">
        <v>1134</v>
      </c>
      <c r="D94" s="1" t="e">
        <f t="shared" si="6"/>
        <v>#VALUE!</v>
      </c>
      <c r="E94" s="1" t="s">
        <v>1263</v>
      </c>
      <c r="F94" s="1" t="s">
        <v>557</v>
      </c>
    </row>
    <row r="95" spans="1:6" x14ac:dyDescent="0.3">
      <c r="A95" s="1" t="str">
        <f t="shared" si="9"/>
        <v>Pieve Di Tagliamento</v>
      </c>
      <c r="B95" s="1" t="str">
        <f t="shared" si="10"/>
        <v>Italy</v>
      </c>
      <c r="C95" s="1" t="s">
        <v>1135</v>
      </c>
      <c r="D95" s="1" t="e">
        <f t="shared" si="6"/>
        <v>#VALUE!</v>
      </c>
      <c r="E95" s="1" t="s">
        <v>1264</v>
      </c>
      <c r="F95" s="1" t="s">
        <v>11</v>
      </c>
    </row>
    <row r="96" spans="1:6" x14ac:dyDescent="0.3">
      <c r="A96" s="1" t="s">
        <v>1007</v>
      </c>
      <c r="B96" s="1" t="s">
        <v>557</v>
      </c>
      <c r="C96" s="1" t="s">
        <v>1010</v>
      </c>
      <c r="D96" s="1" t="e">
        <f t="shared" si="6"/>
        <v>#VALUE!</v>
      </c>
      <c r="E96" s="1" t="e">
        <v>#VALUE!</v>
      </c>
    </row>
    <row r="97" spans="1:6" x14ac:dyDescent="0.3">
      <c r="A97" s="1" t="str">
        <f t="shared" ref="A97:A109" si="11">E97</f>
        <v>San Bartolomeo Al Mare</v>
      </c>
      <c r="B97" s="1" t="str">
        <f t="shared" ref="B97:B103" si="12">F97</f>
        <v>Italy</v>
      </c>
      <c r="C97" s="1" t="s">
        <v>1136</v>
      </c>
      <c r="D97" s="1" t="e">
        <f t="shared" si="6"/>
        <v>#VALUE!</v>
      </c>
      <c r="E97" s="1" t="s">
        <v>1265</v>
      </c>
      <c r="F97" s="1" t="s">
        <v>11</v>
      </c>
    </row>
    <row r="98" spans="1:6" x14ac:dyDescent="0.3">
      <c r="A98" s="1" t="str">
        <f t="shared" si="11"/>
        <v>Máriapócs and Gyõr</v>
      </c>
      <c r="B98" s="1" t="str">
        <f t="shared" si="12"/>
        <v>Hungary</v>
      </c>
      <c r="C98" s="1" t="s">
        <v>1137</v>
      </c>
      <c r="D98" s="1" t="e">
        <f t="shared" si="6"/>
        <v>#VALUE!</v>
      </c>
      <c r="E98" s="1" t="s">
        <v>1266</v>
      </c>
      <c r="F98" s="1" t="s">
        <v>581</v>
      </c>
    </row>
    <row r="99" spans="1:6" x14ac:dyDescent="0.3">
      <c r="A99" s="1" t="str">
        <f t="shared" si="11"/>
        <v>Cotoca</v>
      </c>
      <c r="B99" s="1" t="str">
        <f t="shared" si="12"/>
        <v>Bolivia</v>
      </c>
      <c r="C99" s="1" t="s">
        <v>1138</v>
      </c>
      <c r="D99" s="1" t="e">
        <f t="shared" si="6"/>
        <v>#VALUE!</v>
      </c>
      <c r="E99" s="1" t="s">
        <v>1267</v>
      </c>
      <c r="F99" s="1" t="s">
        <v>708</v>
      </c>
    </row>
    <row r="100" spans="1:6" x14ac:dyDescent="0.3">
      <c r="A100" s="1" t="str">
        <f t="shared" si="11"/>
        <v>Quillacollo</v>
      </c>
      <c r="B100" s="1" t="str">
        <f t="shared" si="12"/>
        <v>Bolivia</v>
      </c>
      <c r="C100" s="1" t="s">
        <v>1139</v>
      </c>
      <c r="D100" s="1" t="e">
        <f t="shared" si="6"/>
        <v>#VALUE!</v>
      </c>
      <c r="E100" s="1" t="s">
        <v>1268</v>
      </c>
      <c r="F100" s="1" t="s">
        <v>708</v>
      </c>
    </row>
    <row r="101" spans="1:6" x14ac:dyDescent="0.3">
      <c r="A101" s="1" t="str">
        <f t="shared" si="11"/>
        <v>Pellestrina</v>
      </c>
      <c r="B101" s="1" t="str">
        <f t="shared" si="12"/>
        <v>Italy</v>
      </c>
      <c r="C101" s="1" t="s">
        <v>1140</v>
      </c>
      <c r="D101" s="1" t="e">
        <f t="shared" si="6"/>
        <v>#VALUE!</v>
      </c>
      <c r="E101" s="1" t="s">
        <v>1269</v>
      </c>
      <c r="F101" s="1" t="s">
        <v>11</v>
      </c>
    </row>
    <row r="102" spans="1:6" x14ac:dyDescent="0.3">
      <c r="A102" s="1" t="str">
        <f t="shared" si="11"/>
        <v>Vale Do Paraíba</v>
      </c>
      <c r="B102" s="1" t="str">
        <f t="shared" si="12"/>
        <v>Brazil</v>
      </c>
      <c r="C102" s="1" t="s">
        <v>1141</v>
      </c>
      <c r="D102" s="1" t="e">
        <f t="shared" si="6"/>
        <v>#VALUE!</v>
      </c>
      <c r="E102" s="1" t="s">
        <v>1270</v>
      </c>
      <c r="F102" s="1" t="s">
        <v>518</v>
      </c>
    </row>
    <row r="103" spans="1:6" x14ac:dyDescent="0.3">
      <c r="A103" s="1" t="str">
        <f t="shared" si="11"/>
        <v>Montagnaga Di Pine’</v>
      </c>
      <c r="B103" s="1" t="str">
        <f t="shared" si="12"/>
        <v>Italy</v>
      </c>
      <c r="C103" s="1" t="s">
        <v>1142</v>
      </c>
      <c r="D103" s="1" t="e">
        <f t="shared" si="6"/>
        <v>#VALUE!</v>
      </c>
      <c r="E103" s="1" t="s">
        <v>1271</v>
      </c>
      <c r="F103" s="1" t="s">
        <v>11</v>
      </c>
    </row>
    <row r="104" spans="1:6" x14ac:dyDescent="0.3">
      <c r="A104" s="1" t="str">
        <f t="shared" si="11"/>
        <v>Rome (Our Lady of Divine Love)</v>
      </c>
      <c r="B104" s="1" t="s">
        <v>730</v>
      </c>
      <c r="C104" s="1" t="s">
        <v>1143</v>
      </c>
      <c r="D104" s="1" t="e">
        <f t="shared" si="6"/>
        <v>#VALUE!</v>
      </c>
      <c r="E104" s="1" t="s">
        <v>1310</v>
      </c>
      <c r="F104" s="1" t="s">
        <v>11</v>
      </c>
    </row>
    <row r="105" spans="1:6" x14ac:dyDescent="0.3">
      <c r="A105" s="1" t="str">
        <f t="shared" si="11"/>
        <v>Chaguaya</v>
      </c>
      <c r="B105" s="1" t="str">
        <f>F105</f>
        <v>Bolivia</v>
      </c>
      <c r="C105" s="1" t="s">
        <v>1144</v>
      </c>
      <c r="D105" s="1" t="e">
        <f t="shared" si="6"/>
        <v>#VALUE!</v>
      </c>
      <c r="E105" s="1" t="s">
        <v>1272</v>
      </c>
      <c r="F105" s="1" t="s">
        <v>708</v>
      </c>
    </row>
    <row r="106" spans="1:6" x14ac:dyDescent="0.3">
      <c r="A106" s="1" t="str">
        <f t="shared" si="11"/>
        <v>Las Lajas</v>
      </c>
      <c r="B106" s="1" t="str">
        <f>F106</f>
        <v>Colombia</v>
      </c>
      <c r="C106" s="1" t="s">
        <v>1145</v>
      </c>
      <c r="D106" s="1" t="e">
        <f t="shared" si="6"/>
        <v>#VALUE!</v>
      </c>
      <c r="E106" s="1" t="s">
        <v>1273</v>
      </c>
      <c r="F106" s="1" t="s">
        <v>534</v>
      </c>
    </row>
    <row r="107" spans="1:6" x14ac:dyDescent="0.3">
      <c r="A107" s="1" t="str">
        <f t="shared" si="11"/>
        <v>Absam</v>
      </c>
      <c r="B107" s="1" t="str">
        <f>F107</f>
        <v>Austria</v>
      </c>
      <c r="C107" s="1" t="s">
        <v>1146</v>
      </c>
      <c r="D107" s="1" t="e">
        <f t="shared" si="6"/>
        <v>#VALUE!</v>
      </c>
      <c r="E107" s="1" t="s">
        <v>1274</v>
      </c>
      <c r="F107" s="1" t="s">
        <v>502</v>
      </c>
    </row>
    <row r="108" spans="1:6" x14ac:dyDescent="0.3">
      <c r="A108" s="1" t="str">
        <f t="shared" si="11"/>
        <v>La Vang</v>
      </c>
      <c r="B108" s="1" t="str">
        <f>F108</f>
        <v>Vietnam</v>
      </c>
      <c r="C108" s="1" t="s">
        <v>1147</v>
      </c>
      <c r="D108" s="1" t="e">
        <f t="shared" si="6"/>
        <v>#VALUE!</v>
      </c>
      <c r="E108" s="1" t="s">
        <v>1275</v>
      </c>
      <c r="F108" s="1" t="s">
        <v>740</v>
      </c>
    </row>
    <row r="109" spans="1:6" x14ac:dyDescent="0.3">
      <c r="A109" s="1" t="str">
        <f t="shared" si="11"/>
        <v>Ornans</v>
      </c>
      <c r="B109" s="1" t="str">
        <f>F109</f>
        <v>France</v>
      </c>
      <c r="C109" s="1" t="s">
        <v>1148</v>
      </c>
      <c r="D109" s="1" t="e">
        <f t="shared" si="6"/>
        <v>#VALUE!</v>
      </c>
      <c r="E109" s="1" t="s">
        <v>1276</v>
      </c>
      <c r="F109" s="1" t="s">
        <v>557</v>
      </c>
    </row>
    <row r="110" spans="1:6" x14ac:dyDescent="0.3">
      <c r="A110" s="1" t="s">
        <v>1019</v>
      </c>
      <c r="B110" s="1" t="s">
        <v>651</v>
      </c>
      <c r="C110" s="1" t="s">
        <v>1020</v>
      </c>
      <c r="D110" s="1" t="e">
        <f t="shared" si="6"/>
        <v>#VALUE!</v>
      </c>
      <c r="E110" s="1" t="e">
        <v>#VALUE!</v>
      </c>
    </row>
    <row r="111" spans="1:6" x14ac:dyDescent="0.3">
      <c r="A111" s="1" t="s">
        <v>1023</v>
      </c>
      <c r="B111" s="1" t="s">
        <v>731</v>
      </c>
      <c r="C111" s="1">
        <v>1830</v>
      </c>
      <c r="D111" s="1" t="e">
        <f t="shared" si="6"/>
        <v>#VALUE!</v>
      </c>
      <c r="E111" s="1" t="e">
        <v>#VALUE!</v>
      </c>
    </row>
    <row r="112" spans="1:6" x14ac:dyDescent="0.3">
      <c r="A112" s="1" t="s">
        <v>1002</v>
      </c>
      <c r="B112" s="1" t="s">
        <v>730</v>
      </c>
      <c r="C112" s="1">
        <v>1842</v>
      </c>
      <c r="D112" s="1" t="e">
        <f t="shared" si="6"/>
        <v>#VALUE!</v>
      </c>
      <c r="E112" s="1" t="e">
        <v>#VALUE!</v>
      </c>
    </row>
    <row r="113" spans="1:6" x14ac:dyDescent="0.3">
      <c r="A113" s="1" t="s">
        <v>1024</v>
      </c>
      <c r="B113" s="1" t="s">
        <v>557</v>
      </c>
      <c r="C113" s="1">
        <v>1846</v>
      </c>
      <c r="D113" s="1" t="e">
        <f t="shared" si="6"/>
        <v>#VALUE!</v>
      </c>
      <c r="E113" s="1" t="e">
        <v>#VALUE!</v>
      </c>
    </row>
    <row r="114" spans="1:6" x14ac:dyDescent="0.3">
      <c r="A114" s="1" t="str">
        <f>E114</f>
        <v>Cerreto Di Sorano</v>
      </c>
      <c r="B114" s="1" t="str">
        <f>F114</f>
        <v>Italy</v>
      </c>
      <c r="C114" s="1" t="s">
        <v>1149</v>
      </c>
      <c r="D114" s="1" t="e">
        <f t="shared" si="6"/>
        <v>#VALUE!</v>
      </c>
      <c r="E114" s="1" t="s">
        <v>1277</v>
      </c>
      <c r="F114" s="1" t="s">
        <v>11</v>
      </c>
    </row>
    <row r="115" spans="1:6" x14ac:dyDescent="0.3">
      <c r="A115" s="1" t="str">
        <f>E115</f>
        <v>Porzus Degli Slavi</v>
      </c>
      <c r="B115" s="1" t="str">
        <f>F115</f>
        <v>Italy</v>
      </c>
      <c r="C115" s="1" t="s">
        <v>1150</v>
      </c>
      <c r="D115" s="1" t="e">
        <f t="shared" si="6"/>
        <v>#VALUE!</v>
      </c>
      <c r="E115" s="1" t="s">
        <v>1278</v>
      </c>
      <c r="F115" s="1" t="s">
        <v>11</v>
      </c>
    </row>
    <row r="116" spans="1:6" x14ac:dyDescent="0.3">
      <c r="A116" s="1" t="s">
        <v>997</v>
      </c>
      <c r="B116" s="1" t="s">
        <v>557</v>
      </c>
      <c r="C116" s="1">
        <v>1858</v>
      </c>
      <c r="D116" s="1" t="e">
        <f t="shared" si="6"/>
        <v>#VALUE!</v>
      </c>
      <c r="E116" s="1" t="e">
        <v>#VALUE!</v>
      </c>
    </row>
    <row r="117" spans="1:6" x14ac:dyDescent="0.3">
      <c r="A117" s="1" t="str">
        <f>E117</f>
        <v>Champion</v>
      </c>
      <c r="B117" s="1" t="str">
        <f>F117</f>
        <v>United States of America</v>
      </c>
      <c r="C117" s="1" t="s">
        <v>1151</v>
      </c>
      <c r="D117" s="1" t="e">
        <f t="shared" si="6"/>
        <v>#VALUE!</v>
      </c>
      <c r="E117" s="1" t="s">
        <v>1279</v>
      </c>
      <c r="F117" s="1" t="s">
        <v>696</v>
      </c>
    </row>
    <row r="118" spans="1:6" x14ac:dyDescent="0.3">
      <c r="A118" s="1" t="str">
        <f>E118</f>
        <v>Montefalco</v>
      </c>
      <c r="B118" s="1" t="str">
        <f>F118</f>
        <v>Italy</v>
      </c>
      <c r="C118" s="1" t="s">
        <v>1152</v>
      </c>
      <c r="D118" s="1" t="e">
        <f t="shared" si="6"/>
        <v>#VALUE!</v>
      </c>
      <c r="E118" s="1" t="s">
        <v>1280</v>
      </c>
      <c r="F118" s="1" t="s">
        <v>11</v>
      </c>
    </row>
    <row r="119" spans="1:6" x14ac:dyDescent="0.3">
      <c r="A119" s="1" t="s">
        <v>995</v>
      </c>
      <c r="B119" s="1" t="s">
        <v>541</v>
      </c>
      <c r="C119" s="1">
        <v>1866</v>
      </c>
      <c r="D119" s="1" t="e">
        <f t="shared" si="6"/>
        <v>#VALUE!</v>
      </c>
      <c r="E119" s="1" t="e">
        <v>#VALUE!</v>
      </c>
    </row>
    <row r="120" spans="1:6" x14ac:dyDescent="0.3">
      <c r="A120" s="1" t="s">
        <v>996</v>
      </c>
      <c r="B120" s="1" t="s">
        <v>557</v>
      </c>
      <c r="C120" s="1">
        <v>1871</v>
      </c>
      <c r="D120" s="1" t="e">
        <f t="shared" si="6"/>
        <v>#VALUE!</v>
      </c>
      <c r="E120" s="1" t="e">
        <v>#VALUE!</v>
      </c>
    </row>
    <row r="121" spans="1:6" x14ac:dyDescent="0.3">
      <c r="A121" s="1" t="str">
        <f t="shared" ref="A121:B123" si="13">E121</f>
        <v>Saint Bauzille de la Sylve</v>
      </c>
      <c r="B121" s="1" t="str">
        <f t="shared" si="13"/>
        <v>France</v>
      </c>
      <c r="C121" s="1" t="s">
        <v>1153</v>
      </c>
      <c r="D121" s="1" t="e">
        <f t="shared" si="6"/>
        <v>#VALUE!</v>
      </c>
      <c r="E121" s="1" t="s">
        <v>1281</v>
      </c>
      <c r="F121" s="1" t="s">
        <v>557</v>
      </c>
    </row>
    <row r="122" spans="1:6" x14ac:dyDescent="0.3">
      <c r="A122" s="1" t="str">
        <f t="shared" si="13"/>
        <v>Pompei</v>
      </c>
      <c r="B122" s="1" t="str">
        <f t="shared" si="13"/>
        <v>Italy</v>
      </c>
      <c r="C122" s="1" t="s">
        <v>1154</v>
      </c>
      <c r="D122" s="1" t="e">
        <f t="shared" si="6"/>
        <v>#VALUE!</v>
      </c>
      <c r="E122" s="1" t="s">
        <v>1282</v>
      </c>
      <c r="F122" s="1" t="s">
        <v>11</v>
      </c>
    </row>
    <row r="123" spans="1:6" x14ac:dyDescent="0.3">
      <c r="A123" s="1" t="str">
        <f t="shared" si="13"/>
        <v>Pellovoisin</v>
      </c>
      <c r="B123" s="1" t="str">
        <f t="shared" si="13"/>
        <v>France</v>
      </c>
      <c r="C123" s="1" t="s">
        <v>1155</v>
      </c>
      <c r="D123" s="1" t="e">
        <f t="shared" si="6"/>
        <v>#VALUE!</v>
      </c>
      <c r="E123" s="1" t="s">
        <v>1283</v>
      </c>
      <c r="F123" s="1" t="s">
        <v>557</v>
      </c>
    </row>
    <row r="124" spans="1:6" x14ac:dyDescent="0.3">
      <c r="A124" s="1" t="s">
        <v>994</v>
      </c>
      <c r="B124" s="1" t="s">
        <v>651</v>
      </c>
      <c r="C124" s="1">
        <v>1877</v>
      </c>
      <c r="D124" s="1" t="e">
        <f t="shared" si="6"/>
        <v>#VALUE!</v>
      </c>
      <c r="E124" s="1" t="e">
        <v>#VALUE!</v>
      </c>
    </row>
    <row r="125" spans="1:6" x14ac:dyDescent="0.3">
      <c r="A125" s="1" t="s">
        <v>993</v>
      </c>
      <c r="B125" s="1" t="s">
        <v>583</v>
      </c>
      <c r="C125" s="1">
        <v>1879</v>
      </c>
      <c r="D125" s="1" t="e">
        <f t="shared" si="6"/>
        <v>#VALUE!</v>
      </c>
      <c r="E125" s="1" t="e">
        <v>#VALUE!</v>
      </c>
    </row>
    <row r="126" spans="1:6" x14ac:dyDescent="0.3">
      <c r="A126" s="1" t="str">
        <f t="shared" ref="A126:B129" si="14">E126</f>
        <v>Castelpetroso</v>
      </c>
      <c r="B126" s="1" t="str">
        <f t="shared" si="14"/>
        <v>Italy</v>
      </c>
      <c r="C126" s="1" t="s">
        <v>1156</v>
      </c>
      <c r="D126" s="1" t="e">
        <f t="shared" si="6"/>
        <v>#VALUE!</v>
      </c>
      <c r="E126" s="1" t="s">
        <v>1284</v>
      </c>
      <c r="F126" s="1" t="s">
        <v>11</v>
      </c>
    </row>
    <row r="127" spans="1:6" x14ac:dyDescent="0.3">
      <c r="A127" s="1" t="str">
        <f t="shared" si="14"/>
        <v>Szczyrk</v>
      </c>
      <c r="B127" s="1" t="str">
        <f t="shared" si="14"/>
        <v>Poland</v>
      </c>
      <c r="C127" s="1" t="s">
        <v>1157</v>
      </c>
      <c r="D127" s="1" t="e">
        <f t="shared" si="6"/>
        <v>#VALUE!</v>
      </c>
      <c r="E127" s="1" t="s">
        <v>1285</v>
      </c>
      <c r="F127" s="1" t="s">
        <v>651</v>
      </c>
    </row>
    <row r="128" spans="1:6" x14ac:dyDescent="0.3">
      <c r="A128" s="1" t="str">
        <f t="shared" si="14"/>
        <v>Betania</v>
      </c>
      <c r="B128" s="1" t="str">
        <f t="shared" si="14"/>
        <v>Venezuela</v>
      </c>
      <c r="C128" s="1" t="s">
        <v>1158</v>
      </c>
      <c r="D128" s="1" t="e">
        <f t="shared" si="6"/>
        <v>#VALUE!</v>
      </c>
      <c r="E128" s="1" t="s">
        <v>1286</v>
      </c>
      <c r="F128" s="1" t="s">
        <v>716</v>
      </c>
    </row>
    <row r="129" spans="1:6" x14ac:dyDescent="0.3">
      <c r="A129" s="1" t="str">
        <f t="shared" si="14"/>
        <v>Dong Lu</v>
      </c>
      <c r="B129" s="1" t="str">
        <f t="shared" si="14"/>
        <v>China</v>
      </c>
      <c r="C129" s="1" t="s">
        <v>1159</v>
      </c>
      <c r="D129" s="1" t="e">
        <f t="shared" si="6"/>
        <v>#VALUE!</v>
      </c>
      <c r="E129" s="1" t="s">
        <v>1287</v>
      </c>
      <c r="F129" s="1" t="s">
        <v>533</v>
      </c>
    </row>
    <row r="130" spans="1:6" x14ac:dyDescent="0.3">
      <c r="A130" s="1" t="s">
        <v>725</v>
      </c>
      <c r="B130" s="1" t="s">
        <v>655</v>
      </c>
      <c r="C130" s="1">
        <v>1916</v>
      </c>
      <c r="D130" s="1" t="e">
        <f t="shared" si="6"/>
        <v>#VALUE!</v>
      </c>
      <c r="E130" s="1" t="e">
        <v>#VALUE!</v>
      </c>
    </row>
    <row r="131" spans="1:6" x14ac:dyDescent="0.3">
      <c r="A131" s="1" t="str">
        <f t="shared" ref="A131:B134" si="15">E131</f>
        <v>Turin</v>
      </c>
      <c r="B131" s="1" t="str">
        <f t="shared" si="15"/>
        <v>Italy</v>
      </c>
      <c r="C131" s="1" t="s">
        <v>1160</v>
      </c>
      <c r="D131" s="1" t="e">
        <f t="shared" ref="D131:D154" si="16">MID(A131,FIND(". ",A131)+2,LEN(A131))</f>
        <v>#VALUE!</v>
      </c>
      <c r="E131" s="1" t="s">
        <v>1288</v>
      </c>
      <c r="F131" s="1" t="s">
        <v>11</v>
      </c>
    </row>
    <row r="132" spans="1:6" x14ac:dyDescent="0.3">
      <c r="A132" s="1" t="str">
        <f t="shared" si="15"/>
        <v>Cernusco Sul Naviglio</v>
      </c>
      <c r="B132" s="1" t="str">
        <f t="shared" si="15"/>
        <v>Italy</v>
      </c>
      <c r="C132" s="1" t="s">
        <v>1161</v>
      </c>
      <c r="D132" s="1" t="e">
        <f t="shared" si="16"/>
        <v>#VALUE!</v>
      </c>
      <c r="E132" s="1" t="s">
        <v>1289</v>
      </c>
      <c r="F132" s="1" t="s">
        <v>11</v>
      </c>
    </row>
    <row r="133" spans="1:6" x14ac:dyDescent="0.3">
      <c r="A133" s="1" t="str">
        <f t="shared" si="15"/>
        <v>Pontevedra and Tuy</v>
      </c>
      <c r="B133" s="1" t="str">
        <f t="shared" si="15"/>
        <v>Spain</v>
      </c>
      <c r="C133" s="1" t="s">
        <v>1162</v>
      </c>
      <c r="D133" s="1" t="e">
        <f t="shared" si="16"/>
        <v>#VALUE!</v>
      </c>
      <c r="E133" s="1" t="s">
        <v>1290</v>
      </c>
      <c r="F133" s="1" t="s">
        <v>552</v>
      </c>
    </row>
    <row r="134" spans="1:6" x14ac:dyDescent="0.3">
      <c r="A134" s="1" t="str">
        <f t="shared" si="15"/>
        <v>Campiñas</v>
      </c>
      <c r="B134" s="1" t="str">
        <f t="shared" si="15"/>
        <v>Brazil</v>
      </c>
      <c r="C134" s="1" t="s">
        <v>1163</v>
      </c>
      <c r="D134" s="1" t="e">
        <f t="shared" si="16"/>
        <v>#VALUE!</v>
      </c>
      <c r="E134" s="1" t="s">
        <v>1291</v>
      </c>
      <c r="F134" s="1" t="s">
        <v>518</v>
      </c>
    </row>
    <row r="135" spans="1:6" x14ac:dyDescent="0.3">
      <c r="A135" s="1" t="s">
        <v>992</v>
      </c>
      <c r="B135" s="1" t="s">
        <v>509</v>
      </c>
      <c r="C135" s="1">
        <v>1932</v>
      </c>
      <c r="D135" s="1" t="e">
        <f t="shared" si="16"/>
        <v>#VALUE!</v>
      </c>
      <c r="E135" s="1" t="e">
        <v>#VALUE!</v>
      </c>
    </row>
    <row r="136" spans="1:6" x14ac:dyDescent="0.3">
      <c r="A136" s="1" t="s">
        <v>991</v>
      </c>
      <c r="B136" s="1" t="s">
        <v>509</v>
      </c>
      <c r="C136" s="1">
        <v>1933</v>
      </c>
      <c r="D136" s="1" t="e">
        <f t="shared" si="16"/>
        <v>#VALUE!</v>
      </c>
      <c r="E136" s="1" t="e">
        <v>#VALUE!</v>
      </c>
    </row>
    <row r="137" spans="1:6" x14ac:dyDescent="0.3">
      <c r="A137" s="1" t="str">
        <f t="shared" ref="A137:A149" si="17">E137</f>
        <v>Pesqueira</v>
      </c>
      <c r="B137" s="1" t="str">
        <f t="shared" ref="B137:B149" si="18">F137</f>
        <v>Brazil</v>
      </c>
      <c r="C137" s="1" t="s">
        <v>1164</v>
      </c>
      <c r="D137" s="1" t="e">
        <f t="shared" si="16"/>
        <v>#VALUE!</v>
      </c>
      <c r="E137" s="1" t="s">
        <v>1292</v>
      </c>
      <c r="F137" s="1" t="s">
        <v>518</v>
      </c>
    </row>
    <row r="138" spans="1:6" x14ac:dyDescent="0.3">
      <c r="A138" s="1" t="str">
        <f t="shared" si="17"/>
        <v>Heede</v>
      </c>
      <c r="B138" s="1" t="str">
        <f t="shared" si="18"/>
        <v>Germany</v>
      </c>
      <c r="C138" s="1" t="s">
        <v>1165</v>
      </c>
      <c r="D138" s="1" t="e">
        <f t="shared" si="16"/>
        <v>#VALUE!</v>
      </c>
      <c r="E138" s="1" t="s">
        <v>1293</v>
      </c>
      <c r="F138" s="1" t="s">
        <v>542</v>
      </c>
    </row>
    <row r="139" spans="1:6" x14ac:dyDescent="0.3">
      <c r="A139" s="1" t="str">
        <f t="shared" si="17"/>
        <v>Milan</v>
      </c>
      <c r="B139" s="1" t="str">
        <f t="shared" si="18"/>
        <v>Italy</v>
      </c>
      <c r="C139" s="1" t="s">
        <v>1166</v>
      </c>
      <c r="D139" s="1" t="e">
        <f t="shared" si="16"/>
        <v>#VALUE!</v>
      </c>
      <c r="E139" s="1" t="s">
        <v>1294</v>
      </c>
      <c r="F139" s="1" t="s">
        <v>11</v>
      </c>
    </row>
    <row r="140" spans="1:6" x14ac:dyDescent="0.3">
      <c r="A140" s="1" t="str">
        <f t="shared" si="17"/>
        <v>Kallikulam</v>
      </c>
      <c r="B140" s="1" t="str">
        <f t="shared" si="18"/>
        <v>India</v>
      </c>
      <c r="C140" s="1" t="s">
        <v>1167</v>
      </c>
      <c r="D140" s="1" t="e">
        <f t="shared" si="16"/>
        <v>#VALUE!</v>
      </c>
      <c r="E140" s="1" t="s">
        <v>1295</v>
      </c>
      <c r="F140" s="1" t="s">
        <v>2</v>
      </c>
    </row>
    <row r="141" spans="1:6" x14ac:dyDescent="0.3">
      <c r="A141" s="1" t="str">
        <f t="shared" si="17"/>
        <v>Pfaffenhofen Marienfried</v>
      </c>
      <c r="B141" s="1" t="str">
        <f t="shared" si="18"/>
        <v>Germany</v>
      </c>
      <c r="C141" s="1" t="s">
        <v>1168</v>
      </c>
      <c r="D141" s="1" t="e">
        <f t="shared" si="16"/>
        <v>#VALUE!</v>
      </c>
      <c r="E141" s="1" t="s">
        <v>1296</v>
      </c>
      <c r="F141" s="1" t="s">
        <v>542</v>
      </c>
    </row>
    <row r="142" spans="1:6" x14ac:dyDescent="0.3">
      <c r="A142" s="1" t="str">
        <f t="shared" si="17"/>
        <v>Siekierki</v>
      </c>
      <c r="B142" s="1" t="str">
        <f t="shared" si="18"/>
        <v>Poland</v>
      </c>
      <c r="C142" s="1" t="s">
        <v>1169</v>
      </c>
      <c r="D142" s="1" t="e">
        <f t="shared" si="16"/>
        <v>#VALUE!</v>
      </c>
      <c r="E142" s="1" t="s">
        <v>1297</v>
      </c>
      <c r="F142" s="1" t="s">
        <v>651</v>
      </c>
    </row>
    <row r="143" spans="1:6" x14ac:dyDescent="0.3">
      <c r="A143" s="1" t="str">
        <f t="shared" si="17"/>
        <v>La Codosera</v>
      </c>
      <c r="B143" s="1" t="str">
        <f t="shared" si="18"/>
        <v>Spain</v>
      </c>
      <c r="C143" s="1" t="s">
        <v>1170</v>
      </c>
      <c r="D143" s="1" t="e">
        <f t="shared" si="16"/>
        <v>#VALUE!</v>
      </c>
      <c r="E143" s="1" t="s">
        <v>1298</v>
      </c>
      <c r="F143" s="1" t="s">
        <v>552</v>
      </c>
    </row>
    <row r="144" spans="1:6" x14ac:dyDescent="0.3">
      <c r="A144" s="1" t="str">
        <f t="shared" si="17"/>
        <v>Île-Bouchard</v>
      </c>
      <c r="B144" s="1" t="str">
        <f t="shared" si="18"/>
        <v>France</v>
      </c>
      <c r="C144" s="1" t="s">
        <v>1171</v>
      </c>
      <c r="D144" s="1" t="e">
        <f t="shared" si="16"/>
        <v>#VALUE!</v>
      </c>
      <c r="E144" s="1" t="s">
        <v>1299</v>
      </c>
      <c r="F144" s="1" t="s">
        <v>557</v>
      </c>
    </row>
    <row r="145" spans="1:6" x14ac:dyDescent="0.3">
      <c r="A145" s="1" t="str">
        <f t="shared" si="17"/>
        <v>Heroldsbach</v>
      </c>
      <c r="B145" s="1" t="str">
        <f t="shared" si="18"/>
        <v>Germany</v>
      </c>
      <c r="C145" s="1" t="s">
        <v>1172</v>
      </c>
      <c r="D145" s="1" t="e">
        <f t="shared" si="16"/>
        <v>#VALUE!</v>
      </c>
      <c r="E145" s="1" t="s">
        <v>1300</v>
      </c>
      <c r="F145" s="1" t="s">
        <v>542</v>
      </c>
    </row>
    <row r="146" spans="1:6" x14ac:dyDescent="0.3">
      <c r="A146" s="1" t="str">
        <f t="shared" si="17"/>
        <v>Rogorotto</v>
      </c>
      <c r="B146" s="1" t="str">
        <f t="shared" si="18"/>
        <v>Italy</v>
      </c>
      <c r="C146" s="1" t="s">
        <v>1173</v>
      </c>
      <c r="D146" s="1" t="e">
        <f t="shared" si="16"/>
        <v>#VALUE!</v>
      </c>
      <c r="E146" s="1" t="s">
        <v>1301</v>
      </c>
      <c r="F146" s="1" t="s">
        <v>11</v>
      </c>
    </row>
    <row r="147" spans="1:6" x14ac:dyDescent="0.3">
      <c r="A147" s="1" t="str">
        <f t="shared" si="17"/>
        <v>Syracuse</v>
      </c>
      <c r="B147" s="1" t="str">
        <f t="shared" si="18"/>
        <v>Italy</v>
      </c>
      <c r="C147" s="1" t="s">
        <v>1174</v>
      </c>
      <c r="D147" s="1" t="e">
        <f t="shared" si="16"/>
        <v>#VALUE!</v>
      </c>
      <c r="E147" s="1" t="s">
        <v>1302</v>
      </c>
      <c r="F147" s="1" t="s">
        <v>11</v>
      </c>
    </row>
    <row r="148" spans="1:6" x14ac:dyDescent="0.3">
      <c r="A148" s="1" t="str">
        <f t="shared" si="17"/>
        <v>Ngome</v>
      </c>
      <c r="B148" s="1" t="str">
        <f t="shared" si="18"/>
        <v>South Africa</v>
      </c>
      <c r="C148" s="1" t="s">
        <v>1175</v>
      </c>
      <c r="D148" s="1" t="e">
        <f t="shared" si="16"/>
        <v>#VALUE!</v>
      </c>
      <c r="E148" s="1" t="s">
        <v>1303</v>
      </c>
      <c r="F148" s="1" t="s">
        <v>705</v>
      </c>
    </row>
    <row r="149" spans="1:6" x14ac:dyDescent="0.3">
      <c r="A149" s="1" t="str">
        <f t="shared" si="17"/>
        <v>Fostoria</v>
      </c>
      <c r="B149" s="1" t="str">
        <f t="shared" si="18"/>
        <v>United States of America</v>
      </c>
      <c r="C149" s="1" t="s">
        <v>1176</v>
      </c>
      <c r="D149" s="1" t="e">
        <f t="shared" si="16"/>
        <v>#VALUE!</v>
      </c>
      <c r="E149" s="1" t="s">
        <v>1304</v>
      </c>
      <c r="F149" s="1" t="s">
        <v>696</v>
      </c>
    </row>
    <row r="150" spans="1:6" x14ac:dyDescent="0.3">
      <c r="A150" s="1" t="s">
        <v>1028</v>
      </c>
      <c r="B150" s="1" t="s">
        <v>21</v>
      </c>
      <c r="C150" s="1" t="s">
        <v>1011</v>
      </c>
      <c r="D150" s="1" t="e">
        <f t="shared" si="16"/>
        <v>#VALUE!</v>
      </c>
      <c r="E150" s="1" t="e">
        <v>#VALUE!</v>
      </c>
    </row>
    <row r="151" spans="1:6" x14ac:dyDescent="0.3">
      <c r="A151" s="1" t="str">
        <f>E151</f>
        <v>Akita</v>
      </c>
      <c r="B151" s="1" t="str">
        <f>F151</f>
        <v>Japan</v>
      </c>
      <c r="C151" s="1" t="s">
        <v>1177</v>
      </c>
      <c r="D151" s="1" t="e">
        <f t="shared" si="16"/>
        <v>#VALUE!</v>
      </c>
      <c r="E151" s="1" t="s">
        <v>1305</v>
      </c>
      <c r="F151" s="1" t="s">
        <v>592</v>
      </c>
    </row>
    <row r="152" spans="1:6" x14ac:dyDescent="0.3">
      <c r="A152" s="1" t="str">
        <f>E152</f>
        <v>Cuapa</v>
      </c>
      <c r="B152" s="1" t="str">
        <f>F152</f>
        <v>Nicaragua</v>
      </c>
      <c r="C152" s="1" t="s">
        <v>1178</v>
      </c>
      <c r="D152" s="1" t="e">
        <f t="shared" si="16"/>
        <v>#VALUE!</v>
      </c>
      <c r="E152" s="1" t="s">
        <v>1306</v>
      </c>
      <c r="F152" s="1" t="s">
        <v>638</v>
      </c>
    </row>
    <row r="153" spans="1:6" x14ac:dyDescent="0.3">
      <c r="A153" s="1" t="s">
        <v>484</v>
      </c>
      <c r="B153" s="1" t="s">
        <v>482</v>
      </c>
      <c r="C153" s="1">
        <v>1981</v>
      </c>
      <c r="D153" s="1" t="e">
        <f t="shared" si="16"/>
        <v>#VALUE!</v>
      </c>
      <c r="E153" s="1" t="e">
        <v>#VALUE!</v>
      </c>
    </row>
    <row r="154" spans="1:6" x14ac:dyDescent="0.3">
      <c r="A154" s="1" t="str">
        <f>E154</f>
        <v>Namyang</v>
      </c>
      <c r="B154" s="1" t="str">
        <f>F154</f>
        <v>South Korea</v>
      </c>
      <c r="C154" s="1" t="s">
        <v>1179</v>
      </c>
      <c r="D154" s="1" t="e">
        <f t="shared" si="16"/>
        <v>#VALUE!</v>
      </c>
      <c r="E154" s="1" t="s">
        <v>1307</v>
      </c>
      <c r="F154" s="1" t="s">
        <v>719</v>
      </c>
    </row>
  </sheetData>
  <autoFilter ref="A1:F154" xr:uid="{CF38A5E8-E436-4289-AF0B-1BD0BA68A63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49</vt:i4>
      </vt:variant>
    </vt:vector>
  </HeadingPairs>
  <TitlesOfParts>
    <vt:vector size="56" baseType="lpstr">
      <vt:lpstr>WP Site</vt:lpstr>
      <vt:lpstr>Live Sites</vt:lpstr>
      <vt:lpstr>Tag List</vt:lpstr>
      <vt:lpstr>(Ref) Countries</vt:lpstr>
      <vt:lpstr>Draft Sites</vt:lpstr>
      <vt:lpstr>Sheet1</vt:lpstr>
      <vt:lpstr>Sheet7</vt:lpstr>
      <vt:lpstr>Sheet1!adana</vt:lpstr>
      <vt:lpstr>Sheet1!alexandria</vt:lpstr>
      <vt:lpstr>Sheet1!athos</vt:lpstr>
      <vt:lpstr>Sheet1!behuard</vt:lpstr>
      <vt:lpstr>Sheet1!benevento</vt:lpstr>
      <vt:lpstr>Sheet1!bolougne</vt:lpstr>
      <vt:lpstr>Sheet1!caesarea</vt:lpstr>
      <vt:lpstr>Sheet1!canterbury980</vt:lpstr>
      <vt:lpstr>Sheet1!castelnuovo</vt:lpstr>
      <vt:lpstr>Sheet1!clermont</vt:lpstr>
      <vt:lpstr>Sheet1!cologne</vt:lpstr>
      <vt:lpstr>Sheet1!constantinople</vt:lpstr>
      <vt:lpstr>Sheet1!constantinople714</vt:lpstr>
      <vt:lpstr>Sheet1!corbie</vt:lpstr>
      <vt:lpstr>Sheet1!corentin</vt:lpstr>
      <vt:lpstr>Sheet1!egypt</vt:lpstr>
      <vt:lpstr>Sheet1!ensiedeln</vt:lpstr>
      <vt:lpstr>Sheet1!ephesus</vt:lpstr>
      <vt:lpstr>Sheet1!evesham</vt:lpstr>
      <vt:lpstr>Sheet1!farfa</vt:lpstr>
      <vt:lpstr>Sheet1!galla</vt:lpstr>
      <vt:lpstr>Sheet1!gargano</vt:lpstr>
      <vt:lpstr>Sheet1!genoa</vt:lpstr>
      <vt:lpstr>Sheet1!giudicaele</vt:lpstr>
      <vt:lpstr>Sheet1!gregoryoftours</vt:lpstr>
      <vt:lpstr>Sheet1!gualdotadino</vt:lpstr>
      <vt:lpstr>Sheet1!hainault</vt:lpstr>
      <vt:lpstr>Sheet1!herford</vt:lpstr>
      <vt:lpstr>Sheet1!india</vt:lpstr>
      <vt:lpstr>Sheet1!italy300</vt:lpstr>
      <vt:lpstr>Sheet1!kuravilangad</vt:lpstr>
      <vt:lpstr>Sheet1!maastricht</vt:lpstr>
      <vt:lpstr>Sheet1!mainz</vt:lpstr>
      <vt:lpstr>Sheet1!montreuil</vt:lpstr>
      <vt:lpstr>Sheet1!myra</vt:lpstr>
      <vt:lpstr>Sheet1!neocaesarea</vt:lpstr>
      <vt:lpstr>Sheet1!Patmos</vt:lpstr>
      <vt:lpstr>Sheet1!picciano</vt:lpstr>
      <vt:lpstr>Sheet1!propezzano</vt:lpstr>
      <vt:lpstr>Sheet1!reims</vt:lpstr>
      <vt:lpstr>Sheet1!rome526</vt:lpstr>
      <vt:lpstr>Sheet1!rosenthal</vt:lpstr>
      <vt:lpstr>Sheet1!savoy</vt:lpstr>
      <vt:lpstr>Sheet1!sicea</vt:lpstr>
      <vt:lpstr>Sheet1!spoleto</vt:lpstr>
      <vt:lpstr>Sheet1!tagaste</vt:lpstr>
      <vt:lpstr>Sheet1!toledo</vt:lpstr>
      <vt:lpstr>Sheet1!tolouse</vt:lpstr>
      <vt:lpstr>Sheet1!tours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Mueller</dc:creator>
  <cp:lastModifiedBy>Noel D'Souza</cp:lastModifiedBy>
  <dcterms:created xsi:type="dcterms:W3CDTF">2023-08-22T22:13:24Z</dcterms:created>
  <dcterms:modified xsi:type="dcterms:W3CDTF">2024-02-28T18:10:04Z</dcterms:modified>
</cp:coreProperties>
</file>