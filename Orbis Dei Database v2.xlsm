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jmuel\Documents\GitHub\orbis-dei.github.io\"/>
    </mc:Choice>
  </mc:AlternateContent>
  <xr:revisionPtr revIDLastSave="0" documentId="13_ncr:1_{0F931387-9D36-446B-986C-3DC835A83ECF}" xr6:coauthVersionLast="47" xr6:coauthVersionMax="47" xr10:uidLastSave="{00000000-0000-0000-0000-000000000000}"/>
  <bookViews>
    <workbookView xWindow="-120" yWindow="-120" windowWidth="29040" windowHeight="17520" firstSheet="1" activeTab="1" xr2:uid="{8DFEE2B0-96F0-470A-9396-053C4BBAF42B}"/>
  </bookViews>
  <sheets>
    <sheet name="WP Site" sheetId="4" state="hidden" r:id="rId1"/>
    <sheet name="Site List" sheetId="3" r:id="rId2"/>
    <sheet name="Tag List" sheetId="10" r:id="rId3"/>
    <sheet name="(Ref) Countries" sheetId="5" r:id="rId4"/>
    <sheet name="Sheet1" sheetId="1" r:id="rId5"/>
    <sheet name="Sheet7" sheetId="8" r:id="rId6"/>
  </sheets>
  <functionGroups builtInGroupCount="19"/>
  <definedNames>
    <definedName name="_xlnm._FilterDatabase" localSheetId="3" hidden="1">'(Ref) Countries'!$A$1:$C$250</definedName>
    <definedName name="_xlnm._FilterDatabase" localSheetId="4" hidden="1">Sheet1!$B$1:$G$66</definedName>
    <definedName name="_xlnm._FilterDatabase" localSheetId="5" hidden="1">Sheet7!$A$1:$F$154</definedName>
    <definedName name="_xlnm._FilterDatabase" localSheetId="1" hidden="1">'Site List'!$A$1:$CQ$168</definedName>
    <definedName name="adana" localSheetId="4">Sheet1!$C$27</definedName>
    <definedName name="alexandria" localSheetId="4">Sheet1!$C$9</definedName>
    <definedName name="athos" localSheetId="4">Sheet1!$C$62</definedName>
    <definedName name="behuard" localSheetId="4">Sheet1!$C$18</definedName>
    <definedName name="benevento" localSheetId="4">Sheet1!$C$42</definedName>
    <definedName name="bolougne" localSheetId="4">Sheet1!$C$38</definedName>
    <definedName name="caesarea" localSheetId="4">Sheet1!$C$13</definedName>
    <definedName name="canterbury980" localSheetId="4">Sheet1!$C$65</definedName>
    <definedName name="castelnuovo" localSheetId="4">Sheet1!$C$60</definedName>
    <definedName name="clermont" localSheetId="4">Sheet1!$C$43</definedName>
    <definedName name="cologne" localSheetId="4">Sheet1!$C$63</definedName>
    <definedName name="constantinople" localSheetId="4">Sheet1!$C$20</definedName>
    <definedName name="constantinople714" localSheetId="4">Sheet1!$C$46</definedName>
    <definedName name="corbie" localSheetId="4">Sheet1!$C$54</definedName>
    <definedName name="corentin" localSheetId="4">Sheet1!$C$21</definedName>
    <definedName name="egypt" localSheetId="4">Sheet1!$C$17</definedName>
    <definedName name="ensiedeln" localSheetId="4">Sheet1!$C$59</definedName>
    <definedName name="ephesus" localSheetId="4">Sheet1!$C$2</definedName>
    <definedName name="evesham" localSheetId="4">Sheet1!$C$45</definedName>
    <definedName name="farfa" localSheetId="4">Sheet1!$C$48</definedName>
    <definedName name="galla" localSheetId="4">Sheet1!$C$28</definedName>
    <definedName name="gargano" localSheetId="4">Sheet1!$C$22</definedName>
    <definedName name="genoa" localSheetId="4">Sheet1!$C$33</definedName>
    <definedName name="giudicaele" localSheetId="4">Sheet1!$C$39</definedName>
    <definedName name="gregoryoftours" localSheetId="4">Sheet1!$C$29</definedName>
    <definedName name="gualdotadino" localSheetId="4">Sheet1!$C$32</definedName>
    <definedName name="hainault" localSheetId="4">Sheet1!$C$40</definedName>
    <definedName name="herford" localSheetId="4">Sheet1!$C$61</definedName>
    <definedName name="india" localSheetId="4">Sheet1!$C$3</definedName>
    <definedName name="italy300" localSheetId="4">Sheet1!$C$7</definedName>
    <definedName name="kuravilangad" localSheetId="4">Sheet1!$C$11</definedName>
    <definedName name="lepuy" localSheetId="4">Sheet1!#REF!</definedName>
    <definedName name="maastricht" localSheetId="4">Sheet1!$C$49</definedName>
    <definedName name="mainz" localSheetId="4">Sheet1!$C$51</definedName>
    <definedName name="montreuil" localSheetId="4">Sheet1!$C$52</definedName>
    <definedName name="myra" localSheetId="4">Sheet1!$C$10</definedName>
    <definedName name="neocaesarea" localSheetId="4">Sheet1!$C$5</definedName>
    <definedName name="Patmos" localSheetId="4">Sheet1!$C$4</definedName>
    <definedName name="picciano" localSheetId="4">Sheet1!$C$66</definedName>
    <definedName name="propezzano" localSheetId="4">Sheet1!$C$47</definedName>
    <definedName name="reims" localSheetId="4">Sheet1!$C$58</definedName>
    <definedName name="rome258" localSheetId="4">Sheet1!#REF!</definedName>
    <definedName name="rome526" localSheetId="4">Sheet1!$C$24</definedName>
    <definedName name="rosenthal" localSheetId="4">Sheet1!$C$53</definedName>
    <definedName name="savoy" localSheetId="4">Sheet1!$C$50</definedName>
    <definedName name="sicea" localSheetId="4">Sheet1!$C$23</definedName>
    <definedName name="spoleto" localSheetId="4">Sheet1!$C$30</definedName>
    <definedName name="tagaste" localSheetId="4">Sheet1!$C$15</definedName>
    <definedName name="toledo" localSheetId="4">Sheet1!$C$41</definedName>
    <definedName name="tolouse" localSheetId="4">Sheet1!$C$55</definedName>
    <definedName name="tours" localSheetId="4">Sheet1!$C$14</definedName>
    <definedName name="zaragoza" localSheetId="4">Sheet1!#REF!</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W3" i="3" l="1"/>
  <c r="BW4" i="3"/>
  <c r="BW5" i="3"/>
  <c r="BW6" i="3"/>
  <c r="BW7" i="3"/>
  <c r="BW8" i="3"/>
  <c r="BW9" i="3"/>
  <c r="BW10" i="3"/>
  <c r="BW11" i="3"/>
  <c r="BW12" i="3"/>
  <c r="BW14" i="3"/>
  <c r="BW15" i="3"/>
  <c r="BW16" i="3"/>
  <c r="BW17" i="3"/>
  <c r="BW18" i="3"/>
  <c r="BW19" i="3"/>
  <c r="BW20" i="3"/>
  <c r="BW21" i="3"/>
  <c r="BW22" i="3"/>
  <c r="BW23" i="3"/>
  <c r="BW25" i="3"/>
  <c r="BW26" i="3"/>
  <c r="BW27" i="3"/>
  <c r="BW28" i="3"/>
  <c r="BW29" i="3"/>
  <c r="BW30" i="3"/>
  <c r="BW31" i="3"/>
  <c r="BW32" i="3"/>
  <c r="BW33" i="3"/>
  <c r="BW34" i="3"/>
  <c r="BW35" i="3"/>
  <c r="BW36" i="3"/>
  <c r="BW37" i="3"/>
  <c r="BW38" i="3"/>
  <c r="BW39" i="3"/>
  <c r="BW40" i="3"/>
  <c r="BW41" i="3"/>
  <c r="BW42" i="3"/>
  <c r="BW43" i="3"/>
  <c r="BW44" i="3"/>
  <c r="BW45" i="3"/>
  <c r="BW46" i="3"/>
  <c r="BW48" i="3"/>
  <c r="BW49" i="3"/>
  <c r="BW50" i="3"/>
  <c r="BW51" i="3"/>
  <c r="BW52" i="3"/>
  <c r="BW53" i="3"/>
  <c r="BW54" i="3"/>
  <c r="BW55" i="3"/>
  <c r="BW56" i="3"/>
  <c r="BW57" i="3"/>
  <c r="BW58" i="3"/>
  <c r="BW59" i="3"/>
  <c r="BW60" i="3"/>
  <c r="BW61" i="3"/>
  <c r="BW62" i="3"/>
  <c r="BW63" i="3"/>
  <c r="BW64" i="3"/>
  <c r="BW65" i="3"/>
  <c r="BW66" i="3"/>
  <c r="BW67" i="3"/>
  <c r="BW68" i="3"/>
  <c r="BW69" i="3"/>
  <c r="BW70" i="3"/>
  <c r="BW71" i="3"/>
  <c r="BW72" i="3"/>
  <c r="BW73" i="3"/>
  <c r="BW74" i="3"/>
  <c r="BW76" i="3"/>
  <c r="BW77" i="3"/>
  <c r="BW78" i="3"/>
  <c r="BW79" i="3"/>
  <c r="BW80" i="3"/>
  <c r="BW81" i="3"/>
  <c r="BW82" i="3"/>
  <c r="BW83" i="3"/>
  <c r="BW86" i="3"/>
  <c r="BW88" i="3"/>
  <c r="BW89" i="3"/>
  <c r="BW90" i="3"/>
  <c r="BW91" i="3"/>
  <c r="BW92" i="3"/>
  <c r="BW93" i="3"/>
  <c r="BW94" i="3"/>
  <c r="BW95" i="3"/>
  <c r="BW96" i="3"/>
  <c r="BW97" i="3"/>
  <c r="BW99" i="3"/>
  <c r="BW100" i="3"/>
  <c r="BW101" i="3"/>
  <c r="BW102" i="3"/>
  <c r="BW103" i="3"/>
  <c r="BW104" i="3"/>
  <c r="BW105" i="3"/>
  <c r="BW106" i="3"/>
  <c r="BW107" i="3"/>
  <c r="BW109" i="3"/>
  <c r="BW111" i="3"/>
  <c r="BW112" i="3"/>
  <c r="BW114" i="3"/>
  <c r="BW115" i="3"/>
  <c r="BW116" i="3"/>
  <c r="BW117" i="3"/>
  <c r="BW118" i="3"/>
  <c r="BW119" i="3"/>
  <c r="BW120" i="3"/>
  <c r="BW122" i="3"/>
  <c r="BW123" i="3"/>
  <c r="BW124" i="3"/>
  <c r="BW125" i="3"/>
  <c r="BW126" i="3"/>
  <c r="BW128" i="3"/>
  <c r="BW129" i="3"/>
  <c r="BW130" i="3"/>
  <c r="BW131" i="3"/>
  <c r="BW132" i="3"/>
  <c r="BW133" i="3"/>
  <c r="BW134" i="3"/>
  <c r="BW135" i="3"/>
  <c r="BW136" i="3"/>
  <c r="BW137" i="3"/>
  <c r="BW138" i="3"/>
  <c r="BW139" i="3"/>
  <c r="BW140" i="3"/>
  <c r="BW141" i="3"/>
  <c r="BW142" i="3"/>
  <c r="BW143" i="3"/>
  <c r="BW144" i="3"/>
  <c r="BW145" i="3"/>
  <c r="BW146" i="3"/>
  <c r="BW147" i="3"/>
  <c r="BW148" i="3"/>
  <c r="BW149" i="3"/>
  <c r="BW151" i="3"/>
  <c r="BW153" i="3"/>
  <c r="BW155" i="3"/>
  <c r="BW157" i="3"/>
  <c r="BW158" i="3"/>
  <c r="BW159" i="3"/>
  <c r="BW161" i="3"/>
  <c r="BW162" i="3"/>
  <c r="BW163" i="3"/>
  <c r="BW164" i="3"/>
  <c r="BW165" i="3"/>
  <c r="BW167" i="3"/>
  <c r="BW168" i="3"/>
  <c r="BL168" i="3"/>
  <c r="BL167" i="3"/>
  <c r="BL166" i="3"/>
  <c r="BL165" i="3"/>
  <c r="BL164" i="3"/>
  <c r="BL163" i="3"/>
  <c r="BL162" i="3"/>
  <c r="BL161" i="3"/>
  <c r="BL160" i="3"/>
  <c r="BL159" i="3"/>
  <c r="BL158" i="3"/>
  <c r="BL157" i="3"/>
  <c r="BL156" i="3"/>
  <c r="BL155" i="3"/>
  <c r="BL154" i="3"/>
  <c r="BL153" i="3"/>
  <c r="BL152" i="3"/>
  <c r="BL151" i="3"/>
  <c r="BL150" i="3"/>
  <c r="BL149" i="3"/>
  <c r="BL148" i="3"/>
  <c r="BL147" i="3"/>
  <c r="BL146" i="3"/>
  <c r="BL145" i="3"/>
  <c r="BL144" i="3"/>
  <c r="BL143" i="3"/>
  <c r="BL142" i="3"/>
  <c r="BL141" i="3"/>
  <c r="BL140" i="3"/>
  <c r="BL139" i="3"/>
  <c r="BL138" i="3"/>
  <c r="BL137" i="3"/>
  <c r="BL136" i="3"/>
  <c r="BL135" i="3"/>
  <c r="BL134" i="3"/>
  <c r="BL133" i="3"/>
  <c r="BL132" i="3"/>
  <c r="BL131" i="3"/>
  <c r="BL130" i="3"/>
  <c r="BL129" i="3"/>
  <c r="BL128" i="3"/>
  <c r="BL127" i="3"/>
  <c r="BL126" i="3"/>
  <c r="BL125" i="3"/>
  <c r="BL124" i="3"/>
  <c r="BL123" i="3"/>
  <c r="BL122" i="3"/>
  <c r="BL121" i="3"/>
  <c r="BL120" i="3"/>
  <c r="BL119" i="3"/>
  <c r="BL118" i="3"/>
  <c r="BL117" i="3"/>
  <c r="BL116" i="3"/>
  <c r="BL115" i="3"/>
  <c r="BL114" i="3"/>
  <c r="BL113" i="3"/>
  <c r="BL112" i="3"/>
  <c r="BL111" i="3"/>
  <c r="BL110" i="3"/>
  <c r="BL109" i="3"/>
  <c r="BL108" i="3"/>
  <c r="BL107" i="3"/>
  <c r="BL106" i="3"/>
  <c r="BL105" i="3"/>
  <c r="BL104" i="3"/>
  <c r="BL103" i="3"/>
  <c r="BL102" i="3"/>
  <c r="BL101" i="3"/>
  <c r="BL100" i="3"/>
  <c r="BL99" i="3"/>
  <c r="BL98" i="3"/>
  <c r="BL97" i="3"/>
  <c r="BL96" i="3"/>
  <c r="BL95" i="3"/>
  <c r="BL94" i="3"/>
  <c r="BL93" i="3"/>
  <c r="BL92" i="3"/>
  <c r="BL91" i="3"/>
  <c r="BL90" i="3"/>
  <c r="BL89" i="3"/>
  <c r="BL88" i="3"/>
  <c r="BL87" i="3"/>
  <c r="BL86" i="3"/>
  <c r="BL85" i="3"/>
  <c r="BL84" i="3"/>
  <c r="BL83" i="3"/>
  <c r="BL82" i="3"/>
  <c r="BL81" i="3"/>
  <c r="BL80" i="3"/>
  <c r="BL79" i="3"/>
  <c r="BL78" i="3"/>
  <c r="BL77" i="3"/>
  <c r="BL76" i="3"/>
  <c r="BL75" i="3"/>
  <c r="BL74" i="3"/>
  <c r="BL73" i="3"/>
  <c r="BL72" i="3"/>
  <c r="BL71" i="3"/>
  <c r="BL70" i="3"/>
  <c r="BL69" i="3"/>
  <c r="BL68" i="3"/>
  <c r="BL67" i="3"/>
  <c r="BL66" i="3"/>
  <c r="BL65" i="3"/>
  <c r="BL64" i="3"/>
  <c r="BL63" i="3"/>
  <c r="BL62" i="3"/>
  <c r="BL61" i="3"/>
  <c r="BL60" i="3"/>
  <c r="BL59" i="3"/>
  <c r="BL58" i="3"/>
  <c r="BL57" i="3"/>
  <c r="BL56" i="3"/>
  <c r="BL55" i="3"/>
  <c r="BL54" i="3"/>
  <c r="BL53" i="3"/>
  <c r="BL52" i="3"/>
  <c r="BL51" i="3"/>
  <c r="BL50" i="3"/>
  <c r="BL49" i="3"/>
  <c r="BL48" i="3"/>
  <c r="BL47" i="3"/>
  <c r="BL46" i="3"/>
  <c r="BL45" i="3"/>
  <c r="BL44" i="3"/>
  <c r="BL43" i="3"/>
  <c r="BL42" i="3"/>
  <c r="BL41" i="3"/>
  <c r="BL40" i="3"/>
  <c r="BL39" i="3"/>
  <c r="BL38" i="3"/>
  <c r="BL37" i="3"/>
  <c r="BL36" i="3"/>
  <c r="BL35" i="3"/>
  <c r="BL34" i="3"/>
  <c r="BL33" i="3"/>
  <c r="BL32" i="3"/>
  <c r="BL31" i="3"/>
  <c r="BL30" i="3"/>
  <c r="BL29" i="3"/>
  <c r="BL28" i="3"/>
  <c r="BL27" i="3"/>
  <c r="BL26" i="3"/>
  <c r="BL25" i="3"/>
  <c r="BL24" i="3"/>
  <c r="BL23" i="3"/>
  <c r="BL22" i="3"/>
  <c r="BL21" i="3"/>
  <c r="BL20" i="3"/>
  <c r="BL19" i="3"/>
  <c r="BL18" i="3"/>
  <c r="BL17" i="3"/>
  <c r="BL16" i="3"/>
  <c r="BL15" i="3"/>
  <c r="BL14" i="3"/>
  <c r="BL13" i="3"/>
  <c r="BL12" i="3"/>
  <c r="BL11" i="3"/>
  <c r="BL10" i="3"/>
  <c r="BL9" i="3"/>
  <c r="BL8" i="3"/>
  <c r="BL7" i="3"/>
  <c r="BL6" i="3"/>
  <c r="BL5" i="3"/>
  <c r="BL4" i="3"/>
  <c r="BL3" i="3"/>
  <c r="BM3" i="3"/>
  <c r="BN3" i="3"/>
  <c r="BO3" i="3"/>
  <c r="BM4" i="3"/>
  <c r="BN4" i="3"/>
  <c r="BO4" i="3"/>
  <c r="BM5" i="3"/>
  <c r="BN5" i="3"/>
  <c r="BO5" i="3"/>
  <c r="BM6" i="3"/>
  <c r="BN6" i="3"/>
  <c r="BO6" i="3"/>
  <c r="BM7" i="3"/>
  <c r="BN7" i="3"/>
  <c r="BO7" i="3"/>
  <c r="BM8" i="3"/>
  <c r="BN8" i="3"/>
  <c r="BO8" i="3"/>
  <c r="BM9" i="3"/>
  <c r="BN9" i="3"/>
  <c r="BO9" i="3"/>
  <c r="BM10" i="3"/>
  <c r="BN10" i="3"/>
  <c r="BO10" i="3"/>
  <c r="BM11" i="3"/>
  <c r="BN11" i="3"/>
  <c r="BO11" i="3"/>
  <c r="BM12" i="3"/>
  <c r="BN12" i="3"/>
  <c r="BO12" i="3"/>
  <c r="BM13" i="3"/>
  <c r="BN13" i="3"/>
  <c r="BO13" i="3"/>
  <c r="BM14" i="3"/>
  <c r="BN14" i="3"/>
  <c r="BO14" i="3"/>
  <c r="BM15" i="3"/>
  <c r="BN15" i="3"/>
  <c r="BO15" i="3"/>
  <c r="BM16" i="3"/>
  <c r="BN16" i="3"/>
  <c r="BO16" i="3"/>
  <c r="BM17" i="3"/>
  <c r="BN17" i="3"/>
  <c r="BO17" i="3"/>
  <c r="BM18" i="3"/>
  <c r="BN18" i="3"/>
  <c r="BO18" i="3"/>
  <c r="BM19" i="3"/>
  <c r="BN19" i="3"/>
  <c r="BO19" i="3"/>
  <c r="BM20" i="3"/>
  <c r="BN20" i="3"/>
  <c r="BO20" i="3"/>
  <c r="BM21" i="3"/>
  <c r="BN21" i="3"/>
  <c r="BO21" i="3"/>
  <c r="BM22" i="3"/>
  <c r="BN22" i="3"/>
  <c r="BO22" i="3"/>
  <c r="BM23" i="3"/>
  <c r="BN23" i="3"/>
  <c r="BO23" i="3"/>
  <c r="BM24" i="3"/>
  <c r="BN24" i="3"/>
  <c r="BO24" i="3"/>
  <c r="BM25" i="3"/>
  <c r="BN25" i="3"/>
  <c r="BO25" i="3"/>
  <c r="BM26" i="3"/>
  <c r="BN26" i="3"/>
  <c r="BO26" i="3"/>
  <c r="BM27" i="3"/>
  <c r="BN27" i="3"/>
  <c r="BO27" i="3"/>
  <c r="BM28" i="3"/>
  <c r="BN28" i="3"/>
  <c r="BO28" i="3"/>
  <c r="BM29" i="3"/>
  <c r="BN29" i="3"/>
  <c r="BO29" i="3"/>
  <c r="BM30" i="3"/>
  <c r="BN30" i="3"/>
  <c r="BO30" i="3"/>
  <c r="BM31" i="3"/>
  <c r="BN31" i="3"/>
  <c r="BO31" i="3"/>
  <c r="BM32" i="3"/>
  <c r="BN32" i="3"/>
  <c r="BO32" i="3"/>
  <c r="BM33" i="3"/>
  <c r="BN33" i="3"/>
  <c r="BO33" i="3"/>
  <c r="BM34" i="3"/>
  <c r="BN34" i="3"/>
  <c r="BO34" i="3"/>
  <c r="BM35" i="3"/>
  <c r="BN35" i="3"/>
  <c r="BO35" i="3"/>
  <c r="BM36" i="3"/>
  <c r="BN36" i="3"/>
  <c r="BO36" i="3"/>
  <c r="BM37" i="3"/>
  <c r="BN37" i="3"/>
  <c r="BO37" i="3"/>
  <c r="BM38" i="3"/>
  <c r="BN38" i="3"/>
  <c r="BO38" i="3"/>
  <c r="BM39" i="3"/>
  <c r="BN39" i="3"/>
  <c r="BO39" i="3"/>
  <c r="BM40" i="3"/>
  <c r="BN40" i="3"/>
  <c r="BO40" i="3"/>
  <c r="BM41" i="3"/>
  <c r="BN41" i="3"/>
  <c r="BO41" i="3"/>
  <c r="BM42" i="3"/>
  <c r="BN42" i="3"/>
  <c r="BO42" i="3"/>
  <c r="BM43" i="3"/>
  <c r="BN43" i="3"/>
  <c r="BO43" i="3"/>
  <c r="BM44" i="3"/>
  <c r="BN44" i="3"/>
  <c r="BO44" i="3"/>
  <c r="BM45" i="3"/>
  <c r="BN45" i="3"/>
  <c r="BO45" i="3"/>
  <c r="BM46" i="3"/>
  <c r="BN46" i="3"/>
  <c r="BO46" i="3"/>
  <c r="BM47" i="3"/>
  <c r="BN47" i="3"/>
  <c r="BO47" i="3"/>
  <c r="BM48" i="3"/>
  <c r="BN48" i="3"/>
  <c r="BO48" i="3"/>
  <c r="BM49" i="3"/>
  <c r="BN49" i="3"/>
  <c r="BO49" i="3"/>
  <c r="BM50" i="3"/>
  <c r="BN50" i="3"/>
  <c r="BO50" i="3"/>
  <c r="BM51" i="3"/>
  <c r="BN51" i="3"/>
  <c r="BO51" i="3"/>
  <c r="BM52" i="3"/>
  <c r="BN52" i="3"/>
  <c r="BO52" i="3"/>
  <c r="BM53" i="3"/>
  <c r="BN53" i="3"/>
  <c r="BO53" i="3"/>
  <c r="BM54" i="3"/>
  <c r="BN54" i="3"/>
  <c r="BO54" i="3"/>
  <c r="BM55" i="3"/>
  <c r="BN55" i="3"/>
  <c r="BO55" i="3"/>
  <c r="BM56" i="3"/>
  <c r="BN56" i="3"/>
  <c r="BO56" i="3"/>
  <c r="BM57" i="3"/>
  <c r="BN57" i="3"/>
  <c r="BO57" i="3"/>
  <c r="BM58" i="3"/>
  <c r="BN58" i="3"/>
  <c r="BO58" i="3"/>
  <c r="BM59" i="3"/>
  <c r="BN59" i="3"/>
  <c r="BO59" i="3"/>
  <c r="BM60" i="3"/>
  <c r="BN60" i="3"/>
  <c r="BO60" i="3"/>
  <c r="BM61" i="3"/>
  <c r="BN61" i="3"/>
  <c r="BO61" i="3"/>
  <c r="BM62" i="3"/>
  <c r="BN62" i="3"/>
  <c r="BO62" i="3"/>
  <c r="BM63" i="3"/>
  <c r="BN63" i="3"/>
  <c r="BO63" i="3"/>
  <c r="BM64" i="3"/>
  <c r="BN64" i="3"/>
  <c r="BO64" i="3"/>
  <c r="BM65" i="3"/>
  <c r="BN65" i="3"/>
  <c r="BO65" i="3"/>
  <c r="BM66" i="3"/>
  <c r="BN66" i="3"/>
  <c r="BO66" i="3"/>
  <c r="BM67" i="3"/>
  <c r="BN67" i="3"/>
  <c r="BO67" i="3"/>
  <c r="BM68" i="3"/>
  <c r="BN68" i="3"/>
  <c r="BO68" i="3"/>
  <c r="BM69" i="3"/>
  <c r="BN69" i="3"/>
  <c r="BO69" i="3"/>
  <c r="BM70" i="3"/>
  <c r="BN70" i="3"/>
  <c r="BO70" i="3"/>
  <c r="BM71" i="3"/>
  <c r="BN71" i="3"/>
  <c r="BO71" i="3"/>
  <c r="BM72" i="3"/>
  <c r="BN72" i="3"/>
  <c r="BO72" i="3"/>
  <c r="BM73" i="3"/>
  <c r="BN73" i="3"/>
  <c r="BO73" i="3"/>
  <c r="BM74" i="3"/>
  <c r="BN74" i="3"/>
  <c r="BO74" i="3"/>
  <c r="BM75" i="3"/>
  <c r="BN75" i="3"/>
  <c r="BO75" i="3"/>
  <c r="BM76" i="3"/>
  <c r="BN76" i="3"/>
  <c r="BO76" i="3"/>
  <c r="BM77" i="3"/>
  <c r="BN77" i="3"/>
  <c r="BO77" i="3"/>
  <c r="BM78" i="3"/>
  <c r="BN78" i="3"/>
  <c r="BO78" i="3"/>
  <c r="BM79" i="3"/>
  <c r="BN79" i="3"/>
  <c r="BO79" i="3"/>
  <c r="BM80" i="3"/>
  <c r="BN80" i="3"/>
  <c r="BO80" i="3"/>
  <c r="BM81" i="3"/>
  <c r="BN81" i="3"/>
  <c r="BO81" i="3"/>
  <c r="BM82" i="3"/>
  <c r="BN82" i="3"/>
  <c r="BO82" i="3"/>
  <c r="BM83" i="3"/>
  <c r="BN83" i="3"/>
  <c r="BO83" i="3"/>
  <c r="BM84" i="3"/>
  <c r="BN84" i="3"/>
  <c r="BO84" i="3"/>
  <c r="BM85" i="3"/>
  <c r="BN85" i="3"/>
  <c r="BO85" i="3"/>
  <c r="BM86" i="3"/>
  <c r="BN86" i="3"/>
  <c r="BO86" i="3"/>
  <c r="BM87" i="3"/>
  <c r="BN87" i="3"/>
  <c r="BO87" i="3"/>
  <c r="BM88" i="3"/>
  <c r="BN88" i="3"/>
  <c r="BO88" i="3"/>
  <c r="BM89" i="3"/>
  <c r="BN89" i="3"/>
  <c r="BO89" i="3"/>
  <c r="BM90" i="3"/>
  <c r="BN90" i="3"/>
  <c r="BO90" i="3"/>
  <c r="BM91" i="3"/>
  <c r="BN91" i="3"/>
  <c r="BO91" i="3"/>
  <c r="BM92" i="3"/>
  <c r="BN92" i="3"/>
  <c r="BO92" i="3"/>
  <c r="BM93" i="3"/>
  <c r="BN93" i="3"/>
  <c r="BO93" i="3"/>
  <c r="BM94" i="3"/>
  <c r="BN94" i="3"/>
  <c r="BO94" i="3"/>
  <c r="BM95" i="3"/>
  <c r="BN95" i="3"/>
  <c r="BO95" i="3"/>
  <c r="BM96" i="3"/>
  <c r="BN96" i="3"/>
  <c r="BO96" i="3"/>
  <c r="BM97" i="3"/>
  <c r="BN97" i="3"/>
  <c r="BO97" i="3"/>
  <c r="BM98" i="3"/>
  <c r="BN98" i="3"/>
  <c r="BO98" i="3"/>
  <c r="BM99" i="3"/>
  <c r="BN99" i="3"/>
  <c r="BO99" i="3"/>
  <c r="BM100" i="3"/>
  <c r="BN100" i="3"/>
  <c r="BO100" i="3"/>
  <c r="BM101" i="3"/>
  <c r="BN101" i="3"/>
  <c r="BO101" i="3"/>
  <c r="BM102" i="3"/>
  <c r="BN102" i="3"/>
  <c r="BO102" i="3"/>
  <c r="BM103" i="3"/>
  <c r="BN103" i="3"/>
  <c r="BO103" i="3"/>
  <c r="BM104" i="3"/>
  <c r="BN104" i="3"/>
  <c r="BO104" i="3"/>
  <c r="BM105" i="3"/>
  <c r="BN105" i="3"/>
  <c r="BO105" i="3"/>
  <c r="BM106" i="3"/>
  <c r="BN106" i="3"/>
  <c r="BO106" i="3"/>
  <c r="BM107" i="3"/>
  <c r="BN107" i="3"/>
  <c r="BO107" i="3"/>
  <c r="BM108" i="3"/>
  <c r="BN108" i="3"/>
  <c r="BO108" i="3"/>
  <c r="BM109" i="3"/>
  <c r="BN109" i="3"/>
  <c r="BO109" i="3"/>
  <c r="BM110" i="3"/>
  <c r="BN110" i="3"/>
  <c r="BO110" i="3"/>
  <c r="BM111" i="3"/>
  <c r="BN111" i="3"/>
  <c r="BO111" i="3"/>
  <c r="BM112" i="3"/>
  <c r="BN112" i="3"/>
  <c r="BO112" i="3"/>
  <c r="BM113" i="3"/>
  <c r="BN113" i="3"/>
  <c r="BO113" i="3"/>
  <c r="BM114" i="3"/>
  <c r="BN114" i="3"/>
  <c r="BO114" i="3"/>
  <c r="BM115" i="3"/>
  <c r="BN115" i="3"/>
  <c r="BO115" i="3"/>
  <c r="BM116" i="3"/>
  <c r="BN116" i="3"/>
  <c r="BO116" i="3"/>
  <c r="BM117" i="3"/>
  <c r="BN117" i="3"/>
  <c r="BO117" i="3"/>
  <c r="BM118" i="3"/>
  <c r="BN118" i="3"/>
  <c r="BO118" i="3"/>
  <c r="BM119" i="3"/>
  <c r="BN119" i="3"/>
  <c r="BO119" i="3"/>
  <c r="BM120" i="3"/>
  <c r="BN120" i="3"/>
  <c r="BO120" i="3"/>
  <c r="BM121" i="3"/>
  <c r="BN121" i="3"/>
  <c r="BO121" i="3"/>
  <c r="BM122" i="3"/>
  <c r="BN122" i="3"/>
  <c r="BO122" i="3"/>
  <c r="BM123" i="3"/>
  <c r="BN123" i="3"/>
  <c r="BO123" i="3"/>
  <c r="BM124" i="3"/>
  <c r="BN124" i="3"/>
  <c r="BO124" i="3"/>
  <c r="BM125" i="3"/>
  <c r="BN125" i="3"/>
  <c r="BO125" i="3"/>
  <c r="BM126" i="3"/>
  <c r="BN126" i="3"/>
  <c r="BO126" i="3"/>
  <c r="BM127" i="3"/>
  <c r="BN127" i="3"/>
  <c r="BO127" i="3"/>
  <c r="BM128" i="3"/>
  <c r="BN128" i="3"/>
  <c r="BO128" i="3"/>
  <c r="BM129" i="3"/>
  <c r="BN129" i="3"/>
  <c r="BO129" i="3"/>
  <c r="BM130" i="3"/>
  <c r="BN130" i="3"/>
  <c r="BO130" i="3"/>
  <c r="BM131" i="3"/>
  <c r="BN131" i="3"/>
  <c r="BO131" i="3"/>
  <c r="BM132" i="3"/>
  <c r="BN132" i="3"/>
  <c r="BO132" i="3"/>
  <c r="BM133" i="3"/>
  <c r="BN133" i="3"/>
  <c r="BO133" i="3"/>
  <c r="BM134" i="3"/>
  <c r="BN134" i="3"/>
  <c r="BO134" i="3"/>
  <c r="BM135" i="3"/>
  <c r="BN135" i="3"/>
  <c r="BO135" i="3"/>
  <c r="BM136" i="3"/>
  <c r="BN136" i="3"/>
  <c r="BO136" i="3"/>
  <c r="BM137" i="3"/>
  <c r="BN137" i="3"/>
  <c r="BO137" i="3"/>
  <c r="BM138" i="3"/>
  <c r="BN138" i="3"/>
  <c r="BO138" i="3"/>
  <c r="BM139" i="3"/>
  <c r="BN139" i="3"/>
  <c r="BO139" i="3"/>
  <c r="BM140" i="3"/>
  <c r="BN140" i="3"/>
  <c r="BO140" i="3"/>
  <c r="BM141" i="3"/>
  <c r="BN141" i="3"/>
  <c r="BO141" i="3"/>
  <c r="BM142" i="3"/>
  <c r="BN142" i="3"/>
  <c r="BO142" i="3"/>
  <c r="BM143" i="3"/>
  <c r="BN143" i="3"/>
  <c r="BO143" i="3"/>
  <c r="BM144" i="3"/>
  <c r="BN144" i="3"/>
  <c r="BO144" i="3"/>
  <c r="BM145" i="3"/>
  <c r="BN145" i="3"/>
  <c r="BO145" i="3"/>
  <c r="BM146" i="3"/>
  <c r="BN146" i="3"/>
  <c r="BO146" i="3"/>
  <c r="BM147" i="3"/>
  <c r="BN147" i="3"/>
  <c r="BO147" i="3"/>
  <c r="BM148" i="3"/>
  <c r="BN148" i="3"/>
  <c r="BO148" i="3"/>
  <c r="BM149" i="3"/>
  <c r="BN149" i="3"/>
  <c r="BO149" i="3"/>
  <c r="BM150" i="3"/>
  <c r="BN150" i="3"/>
  <c r="BO150" i="3"/>
  <c r="BM151" i="3"/>
  <c r="BN151" i="3"/>
  <c r="BO151" i="3"/>
  <c r="BM152" i="3"/>
  <c r="BN152" i="3"/>
  <c r="BO152" i="3"/>
  <c r="BM153" i="3"/>
  <c r="BN153" i="3"/>
  <c r="BO153" i="3"/>
  <c r="BM154" i="3"/>
  <c r="BN154" i="3"/>
  <c r="BO154" i="3"/>
  <c r="BM155" i="3"/>
  <c r="BN155" i="3"/>
  <c r="BO155" i="3"/>
  <c r="BM156" i="3"/>
  <c r="BN156" i="3"/>
  <c r="BO156" i="3"/>
  <c r="BM157" i="3"/>
  <c r="BN157" i="3"/>
  <c r="BO157" i="3"/>
  <c r="BM158" i="3"/>
  <c r="BN158" i="3"/>
  <c r="BO158" i="3"/>
  <c r="BM159" i="3"/>
  <c r="BN159" i="3"/>
  <c r="BO159" i="3"/>
  <c r="BM160" i="3"/>
  <c r="BN160" i="3"/>
  <c r="BO160" i="3"/>
  <c r="BM161" i="3"/>
  <c r="BN161" i="3"/>
  <c r="BO161" i="3"/>
  <c r="BM162" i="3"/>
  <c r="BN162" i="3"/>
  <c r="BO162" i="3"/>
  <c r="BM163" i="3"/>
  <c r="BN163" i="3"/>
  <c r="BO163" i="3"/>
  <c r="BM164" i="3"/>
  <c r="BN164" i="3"/>
  <c r="BO164" i="3"/>
  <c r="BM165" i="3"/>
  <c r="BN165" i="3"/>
  <c r="BO165" i="3"/>
  <c r="BM166" i="3"/>
  <c r="BN166" i="3"/>
  <c r="BO166" i="3"/>
  <c r="BM167" i="3"/>
  <c r="BN167" i="3"/>
  <c r="BO167" i="3"/>
  <c r="BM168" i="3"/>
  <c r="BN168" i="3"/>
  <c r="BO168" i="3"/>
  <c r="BO2" i="3"/>
  <c r="BN2" i="3"/>
  <c r="BM2" i="3"/>
  <c r="BQ3" i="3"/>
  <c r="BR3" i="3"/>
  <c r="BS3" i="3"/>
  <c r="BQ4" i="3"/>
  <c r="BR4" i="3"/>
  <c r="BS4" i="3"/>
  <c r="BQ5" i="3"/>
  <c r="BR5" i="3"/>
  <c r="BS5" i="3"/>
  <c r="BQ6" i="3"/>
  <c r="BR6" i="3"/>
  <c r="BS6" i="3"/>
  <c r="BQ7" i="3"/>
  <c r="BR7" i="3"/>
  <c r="BS7" i="3"/>
  <c r="BQ8" i="3"/>
  <c r="BR8" i="3"/>
  <c r="BS8" i="3"/>
  <c r="BQ9" i="3"/>
  <c r="BR9" i="3"/>
  <c r="BS9" i="3"/>
  <c r="BQ10" i="3"/>
  <c r="BR10" i="3"/>
  <c r="BS10" i="3"/>
  <c r="BQ11" i="3"/>
  <c r="BR11" i="3"/>
  <c r="BS11" i="3"/>
  <c r="BQ12" i="3"/>
  <c r="BR12" i="3"/>
  <c r="BS12" i="3"/>
  <c r="BQ13" i="3"/>
  <c r="BR13" i="3"/>
  <c r="BS13" i="3"/>
  <c r="BQ14" i="3"/>
  <c r="BR14" i="3"/>
  <c r="BS14" i="3"/>
  <c r="BQ15" i="3"/>
  <c r="BR15" i="3"/>
  <c r="BS15" i="3"/>
  <c r="BQ16" i="3"/>
  <c r="BR16" i="3"/>
  <c r="BS16" i="3"/>
  <c r="BQ17" i="3"/>
  <c r="BR17" i="3"/>
  <c r="BS17" i="3"/>
  <c r="BQ18" i="3"/>
  <c r="BR18" i="3"/>
  <c r="BS18" i="3"/>
  <c r="BQ19" i="3"/>
  <c r="BR19" i="3"/>
  <c r="BS19" i="3"/>
  <c r="BQ20" i="3"/>
  <c r="BR20" i="3"/>
  <c r="BS20" i="3"/>
  <c r="BQ21" i="3"/>
  <c r="BR21" i="3"/>
  <c r="BS21" i="3"/>
  <c r="BQ22" i="3"/>
  <c r="BR22" i="3"/>
  <c r="BS22" i="3"/>
  <c r="BQ23" i="3"/>
  <c r="BR23" i="3"/>
  <c r="BS23" i="3"/>
  <c r="BQ24" i="3"/>
  <c r="BR24" i="3"/>
  <c r="BS24" i="3"/>
  <c r="BQ25" i="3"/>
  <c r="BR25" i="3"/>
  <c r="BS25" i="3"/>
  <c r="BQ26" i="3"/>
  <c r="BR26" i="3"/>
  <c r="BS26" i="3"/>
  <c r="BQ27" i="3"/>
  <c r="BR27" i="3"/>
  <c r="BS27" i="3"/>
  <c r="BQ28" i="3"/>
  <c r="BR28" i="3"/>
  <c r="BS28" i="3"/>
  <c r="BQ29" i="3"/>
  <c r="BR29" i="3"/>
  <c r="BS29" i="3"/>
  <c r="BQ30" i="3"/>
  <c r="BR30" i="3"/>
  <c r="BS30" i="3"/>
  <c r="BQ31" i="3"/>
  <c r="BR31" i="3"/>
  <c r="BS31" i="3"/>
  <c r="BQ32" i="3"/>
  <c r="BR32" i="3"/>
  <c r="BS32" i="3"/>
  <c r="BQ33" i="3"/>
  <c r="BR33" i="3"/>
  <c r="BS33" i="3"/>
  <c r="BQ34" i="3"/>
  <c r="BR34" i="3"/>
  <c r="BS34" i="3"/>
  <c r="BQ35" i="3"/>
  <c r="BR35" i="3"/>
  <c r="BS35" i="3"/>
  <c r="BQ36" i="3"/>
  <c r="BR36" i="3"/>
  <c r="BS36" i="3"/>
  <c r="BQ37" i="3"/>
  <c r="BR37" i="3"/>
  <c r="BS37" i="3"/>
  <c r="BQ38" i="3"/>
  <c r="BR38" i="3"/>
  <c r="BS38" i="3"/>
  <c r="BQ39" i="3"/>
  <c r="BR39" i="3"/>
  <c r="BS39" i="3"/>
  <c r="BQ40" i="3"/>
  <c r="BR40" i="3"/>
  <c r="BS40" i="3"/>
  <c r="BQ41" i="3"/>
  <c r="BR41" i="3"/>
  <c r="BS41" i="3"/>
  <c r="BQ42" i="3"/>
  <c r="BR42" i="3"/>
  <c r="BS42" i="3"/>
  <c r="BQ43" i="3"/>
  <c r="BR43" i="3"/>
  <c r="BS43" i="3"/>
  <c r="BQ44" i="3"/>
  <c r="BR44" i="3"/>
  <c r="BS44" i="3"/>
  <c r="BQ45" i="3"/>
  <c r="BR45" i="3"/>
  <c r="BS45" i="3"/>
  <c r="BQ46" i="3"/>
  <c r="BR46" i="3"/>
  <c r="BS46" i="3"/>
  <c r="BQ47" i="3"/>
  <c r="BR47" i="3"/>
  <c r="BS47" i="3"/>
  <c r="BQ48" i="3"/>
  <c r="BR48" i="3"/>
  <c r="BS48" i="3"/>
  <c r="BQ49" i="3"/>
  <c r="BR49" i="3"/>
  <c r="BS49" i="3"/>
  <c r="BQ50" i="3"/>
  <c r="BR50" i="3"/>
  <c r="BS50" i="3"/>
  <c r="BQ51" i="3"/>
  <c r="BR51" i="3"/>
  <c r="BS51" i="3"/>
  <c r="BQ52" i="3"/>
  <c r="BR52" i="3"/>
  <c r="BS52" i="3"/>
  <c r="BQ53" i="3"/>
  <c r="BR53" i="3"/>
  <c r="BS53" i="3"/>
  <c r="BQ54" i="3"/>
  <c r="BR54" i="3"/>
  <c r="BS54" i="3"/>
  <c r="BQ55" i="3"/>
  <c r="BR55" i="3"/>
  <c r="BS55" i="3"/>
  <c r="BQ56" i="3"/>
  <c r="BR56" i="3"/>
  <c r="BS56" i="3"/>
  <c r="BQ57" i="3"/>
  <c r="BR57" i="3"/>
  <c r="BS57" i="3"/>
  <c r="BQ58" i="3"/>
  <c r="BR58" i="3"/>
  <c r="BS58" i="3"/>
  <c r="BQ59" i="3"/>
  <c r="BR59" i="3"/>
  <c r="BS59" i="3"/>
  <c r="BQ60" i="3"/>
  <c r="BR60" i="3"/>
  <c r="BS60" i="3"/>
  <c r="BQ61" i="3"/>
  <c r="BR61" i="3"/>
  <c r="BS61" i="3"/>
  <c r="BQ62" i="3"/>
  <c r="BR62" i="3"/>
  <c r="BS62" i="3"/>
  <c r="BQ63" i="3"/>
  <c r="BR63" i="3"/>
  <c r="BS63" i="3"/>
  <c r="BQ64" i="3"/>
  <c r="BR64" i="3"/>
  <c r="BS64" i="3"/>
  <c r="BQ65" i="3"/>
  <c r="BR65" i="3"/>
  <c r="BS65" i="3"/>
  <c r="BQ66" i="3"/>
  <c r="BR66" i="3"/>
  <c r="BS66" i="3"/>
  <c r="BQ67" i="3"/>
  <c r="BR67" i="3"/>
  <c r="BS67" i="3"/>
  <c r="BQ68" i="3"/>
  <c r="BR68" i="3"/>
  <c r="BS68" i="3"/>
  <c r="BQ69" i="3"/>
  <c r="BR69" i="3"/>
  <c r="BS69" i="3"/>
  <c r="BQ70" i="3"/>
  <c r="BR70" i="3"/>
  <c r="BS70" i="3"/>
  <c r="BQ71" i="3"/>
  <c r="BR71" i="3"/>
  <c r="BS71" i="3"/>
  <c r="BQ72" i="3"/>
  <c r="BR72" i="3"/>
  <c r="BS72" i="3"/>
  <c r="BQ73" i="3"/>
  <c r="BR73" i="3"/>
  <c r="BS73" i="3"/>
  <c r="BQ74" i="3"/>
  <c r="BR74" i="3"/>
  <c r="BS74" i="3"/>
  <c r="BQ75" i="3"/>
  <c r="BR75" i="3"/>
  <c r="BS75" i="3"/>
  <c r="BQ76" i="3"/>
  <c r="BR76" i="3"/>
  <c r="BS76" i="3"/>
  <c r="BQ77" i="3"/>
  <c r="BR77" i="3"/>
  <c r="BS77" i="3"/>
  <c r="BQ78" i="3"/>
  <c r="BR78" i="3"/>
  <c r="BS78" i="3"/>
  <c r="BQ79" i="3"/>
  <c r="BR79" i="3"/>
  <c r="BS79" i="3"/>
  <c r="BQ80" i="3"/>
  <c r="BR80" i="3"/>
  <c r="BS80" i="3"/>
  <c r="BQ81" i="3"/>
  <c r="BR81" i="3"/>
  <c r="BS81" i="3"/>
  <c r="BQ82" i="3"/>
  <c r="BR82" i="3"/>
  <c r="BS82" i="3"/>
  <c r="BQ83" i="3"/>
  <c r="BR83" i="3"/>
  <c r="BS83" i="3"/>
  <c r="BQ84" i="3"/>
  <c r="BR84" i="3"/>
  <c r="BS84" i="3"/>
  <c r="BQ85" i="3"/>
  <c r="BR85" i="3"/>
  <c r="BS85" i="3"/>
  <c r="BQ86" i="3"/>
  <c r="BR86" i="3"/>
  <c r="BS86" i="3"/>
  <c r="BQ87" i="3"/>
  <c r="BR87" i="3"/>
  <c r="BS87" i="3"/>
  <c r="BQ88" i="3"/>
  <c r="BR88" i="3"/>
  <c r="BS88" i="3"/>
  <c r="BQ89" i="3"/>
  <c r="BR89" i="3"/>
  <c r="BS89" i="3"/>
  <c r="BQ90" i="3"/>
  <c r="BR90" i="3"/>
  <c r="BS90" i="3"/>
  <c r="BQ91" i="3"/>
  <c r="BR91" i="3"/>
  <c r="BS91" i="3"/>
  <c r="BQ92" i="3"/>
  <c r="BR92" i="3"/>
  <c r="BS92" i="3"/>
  <c r="BQ93" i="3"/>
  <c r="BR93" i="3"/>
  <c r="BS93" i="3"/>
  <c r="BQ94" i="3"/>
  <c r="BR94" i="3"/>
  <c r="BS94" i="3"/>
  <c r="BQ95" i="3"/>
  <c r="BR95" i="3"/>
  <c r="BS95" i="3"/>
  <c r="BQ96" i="3"/>
  <c r="BR96" i="3"/>
  <c r="BS96" i="3"/>
  <c r="BQ97" i="3"/>
  <c r="BR97" i="3"/>
  <c r="BS97" i="3"/>
  <c r="BQ98" i="3"/>
  <c r="BR98" i="3"/>
  <c r="BS98" i="3"/>
  <c r="BQ99" i="3"/>
  <c r="BR99" i="3"/>
  <c r="BS99" i="3"/>
  <c r="BQ100" i="3"/>
  <c r="BR100" i="3"/>
  <c r="BS100" i="3"/>
  <c r="BQ101" i="3"/>
  <c r="BR101" i="3"/>
  <c r="BS101" i="3"/>
  <c r="BQ102" i="3"/>
  <c r="BR102" i="3"/>
  <c r="BS102" i="3"/>
  <c r="BQ103" i="3"/>
  <c r="BR103" i="3"/>
  <c r="BS103" i="3"/>
  <c r="BQ104" i="3"/>
  <c r="BR104" i="3"/>
  <c r="BS104" i="3"/>
  <c r="BQ105" i="3"/>
  <c r="BR105" i="3"/>
  <c r="BS105" i="3"/>
  <c r="BQ106" i="3"/>
  <c r="BR106" i="3"/>
  <c r="BS106" i="3"/>
  <c r="BQ107" i="3"/>
  <c r="BR107" i="3"/>
  <c r="BS107" i="3"/>
  <c r="BQ108" i="3"/>
  <c r="BR108" i="3"/>
  <c r="BS108" i="3"/>
  <c r="BQ109" i="3"/>
  <c r="BR109" i="3"/>
  <c r="BS109" i="3"/>
  <c r="BQ110" i="3"/>
  <c r="BR110" i="3"/>
  <c r="BS110" i="3"/>
  <c r="BQ111" i="3"/>
  <c r="BR111" i="3"/>
  <c r="BS111" i="3"/>
  <c r="BQ112" i="3"/>
  <c r="BR112" i="3"/>
  <c r="BS112" i="3"/>
  <c r="BQ113" i="3"/>
  <c r="BR113" i="3"/>
  <c r="BS113" i="3"/>
  <c r="BQ114" i="3"/>
  <c r="BR114" i="3"/>
  <c r="BS114" i="3"/>
  <c r="BQ115" i="3"/>
  <c r="BR115" i="3"/>
  <c r="BS115" i="3"/>
  <c r="BQ116" i="3"/>
  <c r="BR116" i="3"/>
  <c r="BS116" i="3"/>
  <c r="BQ117" i="3"/>
  <c r="BR117" i="3"/>
  <c r="BS117" i="3"/>
  <c r="BQ118" i="3"/>
  <c r="BR118" i="3"/>
  <c r="BS118" i="3"/>
  <c r="BQ119" i="3"/>
  <c r="BR119" i="3"/>
  <c r="BS119" i="3"/>
  <c r="BQ120" i="3"/>
  <c r="BR120" i="3"/>
  <c r="BS120" i="3"/>
  <c r="BQ121" i="3"/>
  <c r="BR121" i="3"/>
  <c r="BS121" i="3"/>
  <c r="BQ122" i="3"/>
  <c r="BR122" i="3"/>
  <c r="BS122" i="3"/>
  <c r="BQ123" i="3"/>
  <c r="BR123" i="3"/>
  <c r="BS123" i="3"/>
  <c r="BQ124" i="3"/>
  <c r="BR124" i="3"/>
  <c r="BS124" i="3"/>
  <c r="BQ125" i="3"/>
  <c r="BR125" i="3"/>
  <c r="BS125" i="3"/>
  <c r="BQ126" i="3"/>
  <c r="BR126" i="3"/>
  <c r="BS126" i="3"/>
  <c r="BQ127" i="3"/>
  <c r="BR127" i="3"/>
  <c r="BS127" i="3"/>
  <c r="BQ128" i="3"/>
  <c r="BR128" i="3"/>
  <c r="BS128" i="3"/>
  <c r="BQ129" i="3"/>
  <c r="BR129" i="3"/>
  <c r="BS129" i="3"/>
  <c r="BQ130" i="3"/>
  <c r="BR130" i="3"/>
  <c r="BS130" i="3"/>
  <c r="BQ131" i="3"/>
  <c r="BR131" i="3"/>
  <c r="BS131" i="3"/>
  <c r="BQ132" i="3"/>
  <c r="BR132" i="3"/>
  <c r="BS132" i="3"/>
  <c r="BQ133" i="3"/>
  <c r="BR133" i="3"/>
  <c r="BS133" i="3"/>
  <c r="BQ134" i="3"/>
  <c r="BR134" i="3"/>
  <c r="BS134" i="3"/>
  <c r="BQ135" i="3"/>
  <c r="BR135" i="3"/>
  <c r="BS135" i="3"/>
  <c r="BQ136" i="3"/>
  <c r="BR136" i="3"/>
  <c r="BS136" i="3"/>
  <c r="BQ137" i="3"/>
  <c r="BR137" i="3"/>
  <c r="BS137" i="3"/>
  <c r="BQ138" i="3"/>
  <c r="BR138" i="3"/>
  <c r="BS138" i="3"/>
  <c r="BQ139" i="3"/>
  <c r="BR139" i="3"/>
  <c r="BS139" i="3"/>
  <c r="BQ140" i="3"/>
  <c r="BR140" i="3"/>
  <c r="BS140" i="3"/>
  <c r="BQ141" i="3"/>
  <c r="BR141" i="3"/>
  <c r="BS141" i="3"/>
  <c r="BQ142" i="3"/>
  <c r="BR142" i="3"/>
  <c r="BS142" i="3"/>
  <c r="BQ143" i="3"/>
  <c r="BR143" i="3"/>
  <c r="BS143" i="3"/>
  <c r="BQ144" i="3"/>
  <c r="BR144" i="3"/>
  <c r="BS144" i="3"/>
  <c r="BQ145" i="3"/>
  <c r="BR145" i="3"/>
  <c r="BS145" i="3"/>
  <c r="BQ146" i="3"/>
  <c r="BR146" i="3"/>
  <c r="BS146" i="3"/>
  <c r="BQ147" i="3"/>
  <c r="BR147" i="3"/>
  <c r="BS147" i="3"/>
  <c r="BQ148" i="3"/>
  <c r="BR148" i="3"/>
  <c r="BS148" i="3"/>
  <c r="BQ149" i="3"/>
  <c r="BR149" i="3"/>
  <c r="BS149" i="3"/>
  <c r="BQ150" i="3"/>
  <c r="BR150" i="3"/>
  <c r="BS150" i="3"/>
  <c r="BQ151" i="3"/>
  <c r="BR151" i="3"/>
  <c r="BS151" i="3"/>
  <c r="BQ152" i="3"/>
  <c r="BR152" i="3"/>
  <c r="BS152" i="3"/>
  <c r="BQ153" i="3"/>
  <c r="BR153" i="3"/>
  <c r="BS153" i="3"/>
  <c r="BQ154" i="3"/>
  <c r="BR154" i="3"/>
  <c r="BS154" i="3"/>
  <c r="BQ155" i="3"/>
  <c r="BR155" i="3"/>
  <c r="BS155" i="3"/>
  <c r="BQ156" i="3"/>
  <c r="BR156" i="3"/>
  <c r="BS156" i="3"/>
  <c r="BQ157" i="3"/>
  <c r="BR157" i="3"/>
  <c r="BS157" i="3"/>
  <c r="BQ158" i="3"/>
  <c r="BR158" i="3"/>
  <c r="BS158" i="3"/>
  <c r="BQ159" i="3"/>
  <c r="BR159" i="3"/>
  <c r="BS159" i="3"/>
  <c r="BQ160" i="3"/>
  <c r="BR160" i="3"/>
  <c r="BS160" i="3"/>
  <c r="BQ161" i="3"/>
  <c r="BR161" i="3"/>
  <c r="BS161" i="3"/>
  <c r="BQ162" i="3"/>
  <c r="BR162" i="3"/>
  <c r="BS162" i="3"/>
  <c r="BQ163" i="3"/>
  <c r="BR163" i="3"/>
  <c r="BS163" i="3"/>
  <c r="BQ164" i="3"/>
  <c r="BR164" i="3"/>
  <c r="BS164" i="3"/>
  <c r="BQ165" i="3"/>
  <c r="BR165" i="3"/>
  <c r="BS165" i="3"/>
  <c r="BQ166" i="3"/>
  <c r="BR166" i="3"/>
  <c r="BS166" i="3"/>
  <c r="BQ167" i="3"/>
  <c r="BR167" i="3"/>
  <c r="BS167" i="3"/>
  <c r="BQ168" i="3"/>
  <c r="BR168" i="3"/>
  <c r="BS168" i="3"/>
  <c r="BS2" i="3"/>
  <c r="BR2" i="3"/>
  <c r="BQ2" i="3"/>
  <c r="BL2" i="3"/>
  <c r="AW3" i="3"/>
  <c r="AW4" i="3"/>
  <c r="AW5" i="3"/>
  <c r="AW6" i="3"/>
  <c r="AW7" i="3"/>
  <c r="AW8" i="3"/>
  <c r="AW9" i="3"/>
  <c r="AW10" i="3"/>
  <c r="AW11" i="3"/>
  <c r="AW12" i="3"/>
  <c r="AW13" i="3"/>
  <c r="AW14" i="3"/>
  <c r="AW15" i="3"/>
  <c r="AW16" i="3"/>
  <c r="AW17" i="3"/>
  <c r="AW18" i="3"/>
  <c r="AW19" i="3"/>
  <c r="AW20" i="3"/>
  <c r="AW21" i="3"/>
  <c r="AW22" i="3"/>
  <c r="AW23" i="3"/>
  <c r="AW24" i="3"/>
  <c r="AW25" i="3"/>
  <c r="AW26" i="3"/>
  <c r="AW27" i="3"/>
  <c r="AW28" i="3"/>
  <c r="AW29" i="3"/>
  <c r="AW30" i="3"/>
  <c r="AW31" i="3"/>
  <c r="AW32" i="3"/>
  <c r="AW33" i="3"/>
  <c r="AW34" i="3"/>
  <c r="AW35" i="3"/>
  <c r="AW36" i="3"/>
  <c r="AW37" i="3"/>
  <c r="AW38" i="3"/>
  <c r="AW39" i="3"/>
  <c r="AW40" i="3"/>
  <c r="AW41" i="3"/>
  <c r="AW42" i="3"/>
  <c r="AW43" i="3"/>
  <c r="AW44" i="3"/>
  <c r="AW45" i="3"/>
  <c r="AW46" i="3"/>
  <c r="AW47" i="3"/>
  <c r="AW48" i="3"/>
  <c r="AW49" i="3"/>
  <c r="AW50" i="3"/>
  <c r="AW51" i="3"/>
  <c r="AW52" i="3"/>
  <c r="AW53" i="3"/>
  <c r="AW54" i="3"/>
  <c r="AW55" i="3"/>
  <c r="AW56" i="3"/>
  <c r="AW57" i="3"/>
  <c r="AW58" i="3"/>
  <c r="AW59" i="3"/>
  <c r="AW60" i="3"/>
  <c r="AW61" i="3"/>
  <c r="AW62" i="3"/>
  <c r="AW63" i="3"/>
  <c r="AW64" i="3"/>
  <c r="AW65" i="3"/>
  <c r="AW66" i="3"/>
  <c r="AW67" i="3"/>
  <c r="AW68" i="3"/>
  <c r="AW69" i="3"/>
  <c r="AW70" i="3"/>
  <c r="AW71" i="3"/>
  <c r="AW72" i="3"/>
  <c r="AW73" i="3"/>
  <c r="AW74" i="3"/>
  <c r="AW75" i="3"/>
  <c r="AW76" i="3"/>
  <c r="AW77" i="3"/>
  <c r="AW78" i="3"/>
  <c r="AW79" i="3"/>
  <c r="AW80" i="3"/>
  <c r="AW81" i="3"/>
  <c r="AW82" i="3"/>
  <c r="AW83" i="3"/>
  <c r="AW84" i="3"/>
  <c r="AW85" i="3"/>
  <c r="AW86" i="3"/>
  <c r="AW87" i="3"/>
  <c r="AW88" i="3"/>
  <c r="AW89" i="3"/>
  <c r="AW90" i="3"/>
  <c r="AW91" i="3"/>
  <c r="AW92" i="3"/>
  <c r="AW93" i="3"/>
  <c r="AW94" i="3"/>
  <c r="AW95" i="3"/>
  <c r="AW96" i="3"/>
  <c r="AW97" i="3"/>
  <c r="AW98" i="3"/>
  <c r="AW99" i="3"/>
  <c r="AW100" i="3"/>
  <c r="AW101" i="3"/>
  <c r="AW102" i="3"/>
  <c r="AW103" i="3"/>
  <c r="AW104" i="3"/>
  <c r="AW105" i="3"/>
  <c r="AW106" i="3"/>
  <c r="AW107" i="3"/>
  <c r="AW108" i="3"/>
  <c r="AW109" i="3"/>
  <c r="AW110" i="3"/>
  <c r="AW111" i="3"/>
  <c r="AW112" i="3"/>
  <c r="AW113" i="3"/>
  <c r="AW114" i="3"/>
  <c r="AW115" i="3"/>
  <c r="AW116" i="3"/>
  <c r="AW117" i="3"/>
  <c r="AW118" i="3"/>
  <c r="AW119" i="3"/>
  <c r="AW120" i="3"/>
  <c r="AW121" i="3"/>
  <c r="AW122" i="3"/>
  <c r="AW123" i="3"/>
  <c r="AW124" i="3"/>
  <c r="AW125" i="3"/>
  <c r="AW126" i="3"/>
  <c r="AW127" i="3"/>
  <c r="AW128" i="3"/>
  <c r="AW129" i="3"/>
  <c r="AW130" i="3"/>
  <c r="AW131" i="3"/>
  <c r="AW132" i="3"/>
  <c r="AW133" i="3"/>
  <c r="AW134" i="3"/>
  <c r="AW135" i="3"/>
  <c r="AW136" i="3"/>
  <c r="AW137" i="3"/>
  <c r="AW138" i="3"/>
  <c r="AW139" i="3"/>
  <c r="AW140" i="3"/>
  <c r="AW141" i="3"/>
  <c r="AW142" i="3"/>
  <c r="AW143" i="3"/>
  <c r="AW144" i="3"/>
  <c r="AW145" i="3"/>
  <c r="AW146" i="3"/>
  <c r="AW147" i="3"/>
  <c r="AW148" i="3"/>
  <c r="AW149" i="3"/>
  <c r="AW150" i="3"/>
  <c r="AW151" i="3"/>
  <c r="AW152" i="3"/>
  <c r="AW153" i="3"/>
  <c r="AW154" i="3"/>
  <c r="AW155" i="3"/>
  <c r="AW156" i="3"/>
  <c r="AW157" i="3"/>
  <c r="AW158" i="3"/>
  <c r="AW159" i="3"/>
  <c r="AW160" i="3"/>
  <c r="AW161" i="3"/>
  <c r="AW162" i="3"/>
  <c r="AW163" i="3"/>
  <c r="AW164" i="3"/>
  <c r="AW165" i="3"/>
  <c r="AW166" i="3"/>
  <c r="AW167" i="3"/>
  <c r="AW168" i="3"/>
  <c r="AW2" i="3"/>
  <c r="AV3" i="3"/>
  <c r="AV4" i="3"/>
  <c r="AV5" i="3"/>
  <c r="AV6" i="3"/>
  <c r="AV7" i="3"/>
  <c r="AV8" i="3"/>
  <c r="AV9" i="3"/>
  <c r="AV10" i="3"/>
  <c r="AV11" i="3"/>
  <c r="AV12" i="3"/>
  <c r="AV13" i="3"/>
  <c r="AV14" i="3"/>
  <c r="AV15" i="3"/>
  <c r="AV16" i="3"/>
  <c r="AV17" i="3"/>
  <c r="AV18" i="3"/>
  <c r="AV19" i="3"/>
  <c r="AV20" i="3"/>
  <c r="AV21" i="3"/>
  <c r="AV22" i="3"/>
  <c r="AV23" i="3"/>
  <c r="AV24" i="3"/>
  <c r="AV25" i="3"/>
  <c r="AV26" i="3"/>
  <c r="AV27" i="3"/>
  <c r="AV28" i="3"/>
  <c r="AV29" i="3"/>
  <c r="AV30" i="3"/>
  <c r="AV31" i="3"/>
  <c r="AV32" i="3"/>
  <c r="AV33" i="3"/>
  <c r="AV34" i="3"/>
  <c r="AV35" i="3"/>
  <c r="AV36" i="3"/>
  <c r="AV37" i="3"/>
  <c r="AV38" i="3"/>
  <c r="AV39" i="3"/>
  <c r="AV40" i="3"/>
  <c r="AV41" i="3"/>
  <c r="AV42" i="3"/>
  <c r="AV43" i="3"/>
  <c r="AV44" i="3"/>
  <c r="AV45" i="3"/>
  <c r="AV46" i="3"/>
  <c r="AV47" i="3"/>
  <c r="AV48" i="3"/>
  <c r="AV49" i="3"/>
  <c r="AV50" i="3"/>
  <c r="AV51" i="3"/>
  <c r="AV52" i="3"/>
  <c r="AV53" i="3"/>
  <c r="AV54" i="3"/>
  <c r="AV55" i="3"/>
  <c r="AV56" i="3"/>
  <c r="AV57" i="3"/>
  <c r="AV58" i="3"/>
  <c r="AV59" i="3"/>
  <c r="AV60" i="3"/>
  <c r="AV61" i="3"/>
  <c r="AV62" i="3"/>
  <c r="AV63" i="3"/>
  <c r="AV64" i="3"/>
  <c r="AV65" i="3"/>
  <c r="AV66" i="3"/>
  <c r="AV67" i="3"/>
  <c r="AV68" i="3"/>
  <c r="AV69" i="3"/>
  <c r="AV70" i="3"/>
  <c r="AV71" i="3"/>
  <c r="AV72" i="3"/>
  <c r="AV73" i="3"/>
  <c r="AV74" i="3"/>
  <c r="AV75" i="3"/>
  <c r="AV76" i="3"/>
  <c r="AV77" i="3"/>
  <c r="AV78" i="3"/>
  <c r="AV79" i="3"/>
  <c r="AV80" i="3"/>
  <c r="AV81" i="3"/>
  <c r="AV82" i="3"/>
  <c r="AV83" i="3"/>
  <c r="AV84" i="3"/>
  <c r="AV85" i="3"/>
  <c r="AV86" i="3"/>
  <c r="AV87" i="3"/>
  <c r="AV88" i="3"/>
  <c r="AV89" i="3"/>
  <c r="AV90" i="3"/>
  <c r="AV91" i="3"/>
  <c r="AV92" i="3"/>
  <c r="AV93" i="3"/>
  <c r="AV94" i="3"/>
  <c r="AV95" i="3"/>
  <c r="AV96" i="3"/>
  <c r="AV97" i="3"/>
  <c r="AV98" i="3"/>
  <c r="AV99" i="3"/>
  <c r="AV100" i="3"/>
  <c r="AV101" i="3"/>
  <c r="AV102" i="3"/>
  <c r="AV103" i="3"/>
  <c r="AV104" i="3"/>
  <c r="AV105" i="3"/>
  <c r="AV106" i="3"/>
  <c r="AV107" i="3"/>
  <c r="AV108" i="3"/>
  <c r="AV109" i="3"/>
  <c r="AV110" i="3"/>
  <c r="AV111" i="3"/>
  <c r="AV112" i="3"/>
  <c r="AV113" i="3"/>
  <c r="AV114" i="3"/>
  <c r="AV115" i="3"/>
  <c r="AV116" i="3"/>
  <c r="AV117" i="3"/>
  <c r="AV118" i="3"/>
  <c r="AV119" i="3"/>
  <c r="AV120" i="3"/>
  <c r="AV121" i="3"/>
  <c r="AV122" i="3"/>
  <c r="AV123" i="3"/>
  <c r="AV124" i="3"/>
  <c r="AV125" i="3"/>
  <c r="AV126" i="3"/>
  <c r="AV127" i="3"/>
  <c r="AV128" i="3"/>
  <c r="AV129" i="3"/>
  <c r="AV130" i="3"/>
  <c r="AV131" i="3"/>
  <c r="AV132" i="3"/>
  <c r="AV133" i="3"/>
  <c r="AV134" i="3"/>
  <c r="AV135" i="3"/>
  <c r="AV136" i="3"/>
  <c r="AV137" i="3"/>
  <c r="AV138" i="3"/>
  <c r="AV139" i="3"/>
  <c r="AV140" i="3"/>
  <c r="AV141" i="3"/>
  <c r="AV142" i="3"/>
  <c r="AV143" i="3"/>
  <c r="AV144" i="3"/>
  <c r="AV145" i="3"/>
  <c r="AV146" i="3"/>
  <c r="AV147" i="3"/>
  <c r="AV148" i="3"/>
  <c r="AV149" i="3"/>
  <c r="AV150" i="3"/>
  <c r="AV151" i="3"/>
  <c r="AV152" i="3"/>
  <c r="AV153" i="3"/>
  <c r="AV154" i="3"/>
  <c r="AV155" i="3"/>
  <c r="AV156" i="3"/>
  <c r="AV157" i="3"/>
  <c r="AV158" i="3"/>
  <c r="AV159" i="3"/>
  <c r="AV160" i="3"/>
  <c r="AV161" i="3"/>
  <c r="AV162" i="3"/>
  <c r="AV163" i="3"/>
  <c r="AV164" i="3"/>
  <c r="AV165" i="3"/>
  <c r="AV166" i="3"/>
  <c r="AV167" i="3"/>
  <c r="AV168" i="3"/>
  <c r="AV2" i="3"/>
  <c r="AX3" i="3"/>
  <c r="AY3" i="3"/>
  <c r="AZ3" i="3"/>
  <c r="AX4" i="3"/>
  <c r="AY4" i="3"/>
  <c r="AZ4" i="3"/>
  <c r="AX5" i="3"/>
  <c r="AY5" i="3"/>
  <c r="AZ5" i="3"/>
  <c r="AX6" i="3"/>
  <c r="AY6" i="3"/>
  <c r="AZ6" i="3"/>
  <c r="AX7" i="3"/>
  <c r="AY7" i="3"/>
  <c r="AZ7" i="3"/>
  <c r="AX8" i="3"/>
  <c r="AY8" i="3"/>
  <c r="AZ8" i="3"/>
  <c r="AX9" i="3"/>
  <c r="AY9" i="3"/>
  <c r="AZ9" i="3"/>
  <c r="AX10" i="3"/>
  <c r="AY10" i="3"/>
  <c r="AZ10" i="3"/>
  <c r="AX11" i="3"/>
  <c r="AY11" i="3"/>
  <c r="AZ11" i="3"/>
  <c r="AX12" i="3"/>
  <c r="AY12" i="3"/>
  <c r="AZ12" i="3"/>
  <c r="AX13" i="3"/>
  <c r="AY13" i="3"/>
  <c r="AZ13" i="3"/>
  <c r="AX14" i="3"/>
  <c r="AY14" i="3"/>
  <c r="AZ14" i="3"/>
  <c r="AX15" i="3"/>
  <c r="AY15" i="3"/>
  <c r="AZ15" i="3"/>
  <c r="AX16" i="3"/>
  <c r="AY16" i="3"/>
  <c r="AZ16" i="3"/>
  <c r="AX17" i="3"/>
  <c r="AY17" i="3"/>
  <c r="AZ17" i="3"/>
  <c r="AX18" i="3"/>
  <c r="AY18" i="3"/>
  <c r="AZ18" i="3"/>
  <c r="AX19" i="3"/>
  <c r="AY19" i="3"/>
  <c r="AZ19" i="3"/>
  <c r="AX20" i="3"/>
  <c r="AY20" i="3"/>
  <c r="AZ20" i="3"/>
  <c r="AX21" i="3"/>
  <c r="AY21" i="3"/>
  <c r="AZ21" i="3"/>
  <c r="AX22" i="3"/>
  <c r="AY22" i="3"/>
  <c r="AZ22" i="3"/>
  <c r="AX23" i="3"/>
  <c r="AY23" i="3"/>
  <c r="AZ23" i="3"/>
  <c r="AX24" i="3"/>
  <c r="AY24" i="3"/>
  <c r="AZ24" i="3"/>
  <c r="AX25" i="3"/>
  <c r="AY25" i="3"/>
  <c r="AZ25" i="3"/>
  <c r="AX26" i="3"/>
  <c r="AY26" i="3"/>
  <c r="AZ26" i="3"/>
  <c r="AX27" i="3"/>
  <c r="AY27" i="3"/>
  <c r="AZ27" i="3"/>
  <c r="AX28" i="3"/>
  <c r="AY28" i="3"/>
  <c r="AZ28" i="3"/>
  <c r="AX29" i="3"/>
  <c r="AY29" i="3"/>
  <c r="AZ29" i="3"/>
  <c r="AX30" i="3"/>
  <c r="AY30" i="3"/>
  <c r="AZ30" i="3"/>
  <c r="AX31" i="3"/>
  <c r="AY31" i="3"/>
  <c r="AZ31" i="3"/>
  <c r="AX32" i="3"/>
  <c r="AY32" i="3"/>
  <c r="AZ32" i="3"/>
  <c r="AX33" i="3"/>
  <c r="AY33" i="3"/>
  <c r="AZ33" i="3"/>
  <c r="AX34" i="3"/>
  <c r="AY34" i="3"/>
  <c r="AZ34" i="3"/>
  <c r="AX35" i="3"/>
  <c r="AY35" i="3"/>
  <c r="AZ35" i="3"/>
  <c r="AX36" i="3"/>
  <c r="AY36" i="3"/>
  <c r="AZ36" i="3"/>
  <c r="AX37" i="3"/>
  <c r="AY37" i="3"/>
  <c r="AZ37" i="3"/>
  <c r="AX38" i="3"/>
  <c r="AY38" i="3"/>
  <c r="AZ38" i="3"/>
  <c r="AX39" i="3"/>
  <c r="AY39" i="3"/>
  <c r="AZ39" i="3"/>
  <c r="AX40" i="3"/>
  <c r="AY40" i="3"/>
  <c r="AZ40" i="3"/>
  <c r="AX41" i="3"/>
  <c r="AY41" i="3"/>
  <c r="AZ41" i="3"/>
  <c r="AX42" i="3"/>
  <c r="AY42" i="3"/>
  <c r="AZ42" i="3"/>
  <c r="AX43" i="3"/>
  <c r="AY43" i="3"/>
  <c r="AZ43" i="3"/>
  <c r="AX44" i="3"/>
  <c r="AY44" i="3"/>
  <c r="AZ44" i="3"/>
  <c r="AX45" i="3"/>
  <c r="AY45" i="3"/>
  <c r="AZ45" i="3"/>
  <c r="AX46" i="3"/>
  <c r="AY46" i="3"/>
  <c r="AZ46" i="3"/>
  <c r="AX47" i="3"/>
  <c r="AY47" i="3"/>
  <c r="AZ47" i="3"/>
  <c r="AX48" i="3"/>
  <c r="AY48" i="3"/>
  <c r="AZ48" i="3"/>
  <c r="AX49" i="3"/>
  <c r="AY49" i="3"/>
  <c r="AZ49" i="3"/>
  <c r="AX50" i="3"/>
  <c r="AY50" i="3"/>
  <c r="AZ50" i="3"/>
  <c r="AX51" i="3"/>
  <c r="AY51" i="3"/>
  <c r="AZ51" i="3"/>
  <c r="AX52" i="3"/>
  <c r="AY52" i="3"/>
  <c r="AZ52" i="3"/>
  <c r="AX53" i="3"/>
  <c r="AY53" i="3"/>
  <c r="AZ53" i="3"/>
  <c r="AX54" i="3"/>
  <c r="AY54" i="3"/>
  <c r="AZ54" i="3"/>
  <c r="AX55" i="3"/>
  <c r="AY55" i="3"/>
  <c r="AZ55" i="3"/>
  <c r="AX56" i="3"/>
  <c r="AY56" i="3"/>
  <c r="AZ56" i="3"/>
  <c r="AX57" i="3"/>
  <c r="AY57" i="3"/>
  <c r="AZ57" i="3"/>
  <c r="AX58" i="3"/>
  <c r="AY58" i="3"/>
  <c r="AZ58" i="3"/>
  <c r="AX59" i="3"/>
  <c r="AY59" i="3"/>
  <c r="AZ59" i="3"/>
  <c r="AX60" i="3"/>
  <c r="AY60" i="3"/>
  <c r="AZ60" i="3"/>
  <c r="AX61" i="3"/>
  <c r="AY61" i="3"/>
  <c r="AZ61" i="3"/>
  <c r="AX62" i="3"/>
  <c r="AY62" i="3"/>
  <c r="AZ62" i="3"/>
  <c r="AX63" i="3"/>
  <c r="AY63" i="3"/>
  <c r="AZ63" i="3"/>
  <c r="AX64" i="3"/>
  <c r="AY64" i="3"/>
  <c r="AZ64" i="3"/>
  <c r="AX65" i="3"/>
  <c r="AY65" i="3"/>
  <c r="AZ65" i="3"/>
  <c r="AX66" i="3"/>
  <c r="AY66" i="3"/>
  <c r="AZ66" i="3"/>
  <c r="AX67" i="3"/>
  <c r="AY67" i="3"/>
  <c r="AZ67" i="3"/>
  <c r="AX68" i="3"/>
  <c r="AY68" i="3"/>
  <c r="AZ68" i="3"/>
  <c r="AX69" i="3"/>
  <c r="AY69" i="3"/>
  <c r="AZ69" i="3"/>
  <c r="AX70" i="3"/>
  <c r="AY70" i="3"/>
  <c r="AZ70" i="3"/>
  <c r="AX71" i="3"/>
  <c r="AY71" i="3"/>
  <c r="AZ71" i="3"/>
  <c r="AX72" i="3"/>
  <c r="AY72" i="3"/>
  <c r="AZ72" i="3"/>
  <c r="AX73" i="3"/>
  <c r="AY73" i="3"/>
  <c r="AZ73" i="3"/>
  <c r="AX74" i="3"/>
  <c r="AY74" i="3"/>
  <c r="AZ74" i="3"/>
  <c r="AX75" i="3"/>
  <c r="AY75" i="3"/>
  <c r="AZ75" i="3"/>
  <c r="AX76" i="3"/>
  <c r="AY76" i="3"/>
  <c r="AZ76" i="3"/>
  <c r="AX77" i="3"/>
  <c r="AY77" i="3"/>
  <c r="AZ77" i="3"/>
  <c r="AX78" i="3"/>
  <c r="AY78" i="3"/>
  <c r="AZ78" i="3"/>
  <c r="AX79" i="3"/>
  <c r="AY79" i="3"/>
  <c r="AZ79" i="3"/>
  <c r="AX80" i="3"/>
  <c r="AY80" i="3"/>
  <c r="AZ80" i="3"/>
  <c r="AX81" i="3"/>
  <c r="AY81" i="3"/>
  <c r="AZ81" i="3"/>
  <c r="AX82" i="3"/>
  <c r="AY82" i="3"/>
  <c r="AZ82" i="3"/>
  <c r="AX83" i="3"/>
  <c r="AY83" i="3"/>
  <c r="AZ83" i="3"/>
  <c r="AX84" i="3"/>
  <c r="AY84" i="3"/>
  <c r="AZ84" i="3"/>
  <c r="AX85" i="3"/>
  <c r="AY85" i="3"/>
  <c r="AZ85" i="3"/>
  <c r="AX86" i="3"/>
  <c r="AY86" i="3"/>
  <c r="AZ86" i="3"/>
  <c r="AX87" i="3"/>
  <c r="AY87" i="3"/>
  <c r="AZ87" i="3"/>
  <c r="AX88" i="3"/>
  <c r="AY88" i="3"/>
  <c r="AZ88" i="3"/>
  <c r="AX89" i="3"/>
  <c r="AY89" i="3"/>
  <c r="AZ89" i="3"/>
  <c r="AX90" i="3"/>
  <c r="AY90" i="3"/>
  <c r="AZ90" i="3"/>
  <c r="AX91" i="3"/>
  <c r="AY91" i="3"/>
  <c r="AZ91" i="3"/>
  <c r="AX92" i="3"/>
  <c r="AY92" i="3"/>
  <c r="AZ92" i="3"/>
  <c r="AX93" i="3"/>
  <c r="AY93" i="3"/>
  <c r="AZ93" i="3"/>
  <c r="AX94" i="3"/>
  <c r="AY94" i="3"/>
  <c r="AZ94" i="3"/>
  <c r="AX95" i="3"/>
  <c r="AY95" i="3"/>
  <c r="AZ95" i="3"/>
  <c r="AX96" i="3"/>
  <c r="AY96" i="3"/>
  <c r="AZ96" i="3"/>
  <c r="AX97" i="3"/>
  <c r="AY97" i="3"/>
  <c r="AZ97" i="3"/>
  <c r="AX98" i="3"/>
  <c r="AY98" i="3"/>
  <c r="AZ98" i="3"/>
  <c r="AX99" i="3"/>
  <c r="AY99" i="3"/>
  <c r="AZ99" i="3"/>
  <c r="AX100" i="3"/>
  <c r="AY100" i="3"/>
  <c r="AZ100" i="3"/>
  <c r="AX101" i="3"/>
  <c r="AY101" i="3"/>
  <c r="AZ101" i="3"/>
  <c r="AX102" i="3"/>
  <c r="AY102" i="3"/>
  <c r="AZ102" i="3"/>
  <c r="AX103" i="3"/>
  <c r="AY103" i="3"/>
  <c r="AZ103" i="3"/>
  <c r="AX104" i="3"/>
  <c r="AY104" i="3"/>
  <c r="AZ104" i="3"/>
  <c r="AX105" i="3"/>
  <c r="AY105" i="3"/>
  <c r="AZ105" i="3"/>
  <c r="AX106" i="3"/>
  <c r="AY106" i="3"/>
  <c r="AZ106" i="3"/>
  <c r="AX107" i="3"/>
  <c r="AY107" i="3"/>
  <c r="AZ107" i="3"/>
  <c r="AX108" i="3"/>
  <c r="AY108" i="3"/>
  <c r="AZ108" i="3"/>
  <c r="AX109" i="3"/>
  <c r="AY109" i="3"/>
  <c r="AZ109" i="3"/>
  <c r="AX110" i="3"/>
  <c r="AY110" i="3"/>
  <c r="AZ110" i="3"/>
  <c r="AX111" i="3"/>
  <c r="AY111" i="3"/>
  <c r="AZ111" i="3"/>
  <c r="AX112" i="3"/>
  <c r="AY112" i="3"/>
  <c r="AZ112" i="3"/>
  <c r="AX113" i="3"/>
  <c r="AY113" i="3"/>
  <c r="AZ113" i="3"/>
  <c r="AX114" i="3"/>
  <c r="AY114" i="3"/>
  <c r="AZ114" i="3"/>
  <c r="AX115" i="3"/>
  <c r="AY115" i="3"/>
  <c r="AZ115" i="3"/>
  <c r="AX116" i="3"/>
  <c r="AY116" i="3"/>
  <c r="AZ116" i="3"/>
  <c r="AX117" i="3"/>
  <c r="AY117" i="3"/>
  <c r="AZ117" i="3"/>
  <c r="AX118" i="3"/>
  <c r="AY118" i="3"/>
  <c r="AZ118" i="3"/>
  <c r="AX119" i="3"/>
  <c r="AY119" i="3"/>
  <c r="AZ119" i="3"/>
  <c r="AX120" i="3"/>
  <c r="AY120" i="3"/>
  <c r="AZ120" i="3"/>
  <c r="AX121" i="3"/>
  <c r="AY121" i="3"/>
  <c r="AZ121" i="3"/>
  <c r="AX122" i="3"/>
  <c r="AY122" i="3"/>
  <c r="AZ122" i="3"/>
  <c r="AX123" i="3"/>
  <c r="AY123" i="3"/>
  <c r="AZ123" i="3"/>
  <c r="AX124" i="3"/>
  <c r="AY124" i="3"/>
  <c r="AZ124" i="3"/>
  <c r="AX125" i="3"/>
  <c r="AY125" i="3"/>
  <c r="AZ125" i="3"/>
  <c r="AX126" i="3"/>
  <c r="AY126" i="3"/>
  <c r="AZ126" i="3"/>
  <c r="AX127" i="3"/>
  <c r="AY127" i="3"/>
  <c r="AZ127" i="3"/>
  <c r="AX128" i="3"/>
  <c r="AY128" i="3"/>
  <c r="AZ128" i="3"/>
  <c r="AX129" i="3"/>
  <c r="AY129" i="3"/>
  <c r="AZ129" i="3"/>
  <c r="AX130" i="3"/>
  <c r="AY130" i="3"/>
  <c r="AZ130" i="3"/>
  <c r="AX131" i="3"/>
  <c r="AY131" i="3"/>
  <c r="AZ131" i="3"/>
  <c r="AX132" i="3"/>
  <c r="AY132" i="3"/>
  <c r="AZ132" i="3"/>
  <c r="AX133" i="3"/>
  <c r="AY133" i="3"/>
  <c r="AZ133" i="3"/>
  <c r="AX134" i="3"/>
  <c r="AY134" i="3"/>
  <c r="AZ134" i="3"/>
  <c r="AX135" i="3"/>
  <c r="AY135" i="3"/>
  <c r="AZ135" i="3"/>
  <c r="AX136" i="3"/>
  <c r="AY136" i="3"/>
  <c r="AZ136" i="3"/>
  <c r="AX137" i="3"/>
  <c r="AY137" i="3"/>
  <c r="AZ137" i="3"/>
  <c r="AX138" i="3"/>
  <c r="AY138" i="3"/>
  <c r="AZ138" i="3"/>
  <c r="AX139" i="3"/>
  <c r="AY139" i="3"/>
  <c r="AZ139" i="3"/>
  <c r="AX140" i="3"/>
  <c r="AY140" i="3"/>
  <c r="AZ140" i="3"/>
  <c r="AX141" i="3"/>
  <c r="AY141" i="3"/>
  <c r="AZ141" i="3"/>
  <c r="AX142" i="3"/>
  <c r="AY142" i="3"/>
  <c r="AZ142" i="3"/>
  <c r="AX143" i="3"/>
  <c r="AY143" i="3"/>
  <c r="AZ143" i="3"/>
  <c r="AX144" i="3"/>
  <c r="AY144" i="3"/>
  <c r="AZ144" i="3"/>
  <c r="AX145" i="3"/>
  <c r="AY145" i="3"/>
  <c r="AZ145" i="3"/>
  <c r="AX146" i="3"/>
  <c r="AY146" i="3"/>
  <c r="AZ146" i="3"/>
  <c r="AX147" i="3"/>
  <c r="AY147" i="3"/>
  <c r="AZ147" i="3"/>
  <c r="AX148" i="3"/>
  <c r="AY148" i="3"/>
  <c r="AZ148" i="3"/>
  <c r="AX149" i="3"/>
  <c r="AY149" i="3"/>
  <c r="AZ149" i="3"/>
  <c r="AX150" i="3"/>
  <c r="AY150" i="3"/>
  <c r="AZ150" i="3"/>
  <c r="AX151" i="3"/>
  <c r="AY151" i="3"/>
  <c r="AZ151" i="3"/>
  <c r="AX152" i="3"/>
  <c r="AY152" i="3"/>
  <c r="AZ152" i="3"/>
  <c r="AX153" i="3"/>
  <c r="AY153" i="3"/>
  <c r="AZ153" i="3"/>
  <c r="AX154" i="3"/>
  <c r="AY154" i="3"/>
  <c r="AZ154" i="3"/>
  <c r="AX155" i="3"/>
  <c r="AY155" i="3"/>
  <c r="AZ155" i="3"/>
  <c r="AX156" i="3"/>
  <c r="AY156" i="3"/>
  <c r="AZ156" i="3"/>
  <c r="AX157" i="3"/>
  <c r="AY157" i="3"/>
  <c r="AZ157" i="3"/>
  <c r="AX158" i="3"/>
  <c r="AY158" i="3"/>
  <c r="AZ158" i="3"/>
  <c r="AX159" i="3"/>
  <c r="AY159" i="3"/>
  <c r="AZ159" i="3"/>
  <c r="AX160" i="3"/>
  <c r="AY160" i="3"/>
  <c r="AZ160" i="3"/>
  <c r="AX161" i="3"/>
  <c r="AY161" i="3"/>
  <c r="AZ161" i="3"/>
  <c r="AX162" i="3"/>
  <c r="AY162" i="3"/>
  <c r="AZ162" i="3"/>
  <c r="AX163" i="3"/>
  <c r="AY163" i="3"/>
  <c r="AZ163" i="3"/>
  <c r="AX164" i="3"/>
  <c r="AY164" i="3"/>
  <c r="AZ164" i="3"/>
  <c r="AX165" i="3"/>
  <c r="AY165" i="3"/>
  <c r="AZ165" i="3"/>
  <c r="AX166" i="3"/>
  <c r="AY166" i="3"/>
  <c r="AZ166" i="3"/>
  <c r="AX167" i="3"/>
  <c r="AY167" i="3"/>
  <c r="AZ167" i="3"/>
  <c r="AX168" i="3"/>
  <c r="AY168" i="3"/>
  <c r="AZ168" i="3"/>
  <c r="AZ2" i="3"/>
  <c r="AY2" i="3"/>
  <c r="AX2" i="3"/>
  <c r="BA3" i="3"/>
  <c r="BB3" i="3"/>
  <c r="BC3" i="3"/>
  <c r="BD3" i="3"/>
  <c r="BE3" i="3"/>
  <c r="BF3" i="3"/>
  <c r="BG3" i="3"/>
  <c r="BH3" i="3"/>
  <c r="BI3" i="3"/>
  <c r="BJ3" i="3"/>
  <c r="BA4" i="3"/>
  <c r="BB4" i="3"/>
  <c r="BC4" i="3"/>
  <c r="BD4" i="3"/>
  <c r="BE4" i="3"/>
  <c r="BF4" i="3"/>
  <c r="BG4" i="3"/>
  <c r="BH4" i="3"/>
  <c r="BI4" i="3"/>
  <c r="BJ4" i="3"/>
  <c r="BA5" i="3"/>
  <c r="BB5" i="3"/>
  <c r="BC5" i="3"/>
  <c r="BD5" i="3"/>
  <c r="BE5" i="3"/>
  <c r="BF5" i="3"/>
  <c r="BG5" i="3"/>
  <c r="BH5" i="3"/>
  <c r="BI5" i="3"/>
  <c r="BJ5" i="3"/>
  <c r="BA6" i="3"/>
  <c r="BB6" i="3"/>
  <c r="BC6" i="3"/>
  <c r="BD6" i="3"/>
  <c r="BE6" i="3"/>
  <c r="BF6" i="3"/>
  <c r="BG6" i="3"/>
  <c r="BH6" i="3"/>
  <c r="BI6" i="3"/>
  <c r="BJ6" i="3"/>
  <c r="BA7" i="3"/>
  <c r="BB7" i="3"/>
  <c r="BC7" i="3"/>
  <c r="BD7" i="3"/>
  <c r="BE7" i="3"/>
  <c r="BF7" i="3"/>
  <c r="BG7" i="3"/>
  <c r="BH7" i="3"/>
  <c r="BI7" i="3"/>
  <c r="BJ7" i="3"/>
  <c r="BA8" i="3"/>
  <c r="BB8" i="3"/>
  <c r="BC8" i="3"/>
  <c r="BD8" i="3"/>
  <c r="BE8" i="3"/>
  <c r="BF8" i="3"/>
  <c r="BG8" i="3"/>
  <c r="BH8" i="3"/>
  <c r="BI8" i="3"/>
  <c r="BJ8" i="3"/>
  <c r="BA9" i="3"/>
  <c r="BB9" i="3"/>
  <c r="BC9" i="3"/>
  <c r="BD9" i="3"/>
  <c r="BE9" i="3"/>
  <c r="BF9" i="3"/>
  <c r="BG9" i="3"/>
  <c r="BH9" i="3"/>
  <c r="BI9" i="3"/>
  <c r="BJ9" i="3"/>
  <c r="BA10" i="3"/>
  <c r="BB10" i="3"/>
  <c r="BC10" i="3"/>
  <c r="BD10" i="3"/>
  <c r="BE10" i="3"/>
  <c r="BF10" i="3"/>
  <c r="BG10" i="3"/>
  <c r="BH10" i="3"/>
  <c r="BI10" i="3"/>
  <c r="BJ10" i="3"/>
  <c r="BA11" i="3"/>
  <c r="BB11" i="3"/>
  <c r="BC11" i="3"/>
  <c r="BD11" i="3"/>
  <c r="BE11" i="3"/>
  <c r="BF11" i="3"/>
  <c r="BG11" i="3"/>
  <c r="BH11" i="3"/>
  <c r="BI11" i="3"/>
  <c r="BJ11" i="3"/>
  <c r="BA12" i="3"/>
  <c r="BB12" i="3"/>
  <c r="BC12" i="3"/>
  <c r="BD12" i="3"/>
  <c r="BE12" i="3"/>
  <c r="BF12" i="3"/>
  <c r="BG12" i="3"/>
  <c r="BH12" i="3"/>
  <c r="BI12" i="3"/>
  <c r="BJ12" i="3"/>
  <c r="BA13" i="3"/>
  <c r="BB13" i="3"/>
  <c r="BC13" i="3"/>
  <c r="BD13" i="3"/>
  <c r="BE13" i="3"/>
  <c r="BF13" i="3"/>
  <c r="BG13" i="3"/>
  <c r="BH13" i="3"/>
  <c r="BI13" i="3"/>
  <c r="BJ13" i="3"/>
  <c r="BA14" i="3"/>
  <c r="BB14" i="3"/>
  <c r="BC14" i="3"/>
  <c r="BD14" i="3"/>
  <c r="BE14" i="3"/>
  <c r="BF14" i="3"/>
  <c r="BG14" i="3"/>
  <c r="BH14" i="3"/>
  <c r="BI14" i="3"/>
  <c r="BJ14" i="3"/>
  <c r="BA15" i="3"/>
  <c r="BB15" i="3"/>
  <c r="BC15" i="3"/>
  <c r="BD15" i="3"/>
  <c r="BE15" i="3"/>
  <c r="BF15" i="3"/>
  <c r="BG15" i="3"/>
  <c r="BH15" i="3"/>
  <c r="BI15" i="3"/>
  <c r="BJ15" i="3"/>
  <c r="BA16" i="3"/>
  <c r="BB16" i="3"/>
  <c r="BC16" i="3"/>
  <c r="BD16" i="3"/>
  <c r="BE16" i="3"/>
  <c r="BF16" i="3"/>
  <c r="BG16" i="3"/>
  <c r="BH16" i="3"/>
  <c r="BI16" i="3"/>
  <c r="BJ16" i="3"/>
  <c r="BA17" i="3"/>
  <c r="BB17" i="3"/>
  <c r="BC17" i="3"/>
  <c r="BD17" i="3"/>
  <c r="BE17" i="3"/>
  <c r="BF17" i="3"/>
  <c r="BG17" i="3"/>
  <c r="BH17" i="3"/>
  <c r="BI17" i="3"/>
  <c r="BJ17" i="3"/>
  <c r="BA18" i="3"/>
  <c r="BB18" i="3"/>
  <c r="BC18" i="3"/>
  <c r="BD18" i="3"/>
  <c r="BE18" i="3"/>
  <c r="BF18" i="3"/>
  <c r="BG18" i="3"/>
  <c r="BH18" i="3"/>
  <c r="BI18" i="3"/>
  <c r="BJ18" i="3"/>
  <c r="BA19" i="3"/>
  <c r="BB19" i="3"/>
  <c r="BC19" i="3"/>
  <c r="BD19" i="3"/>
  <c r="BE19" i="3"/>
  <c r="BF19" i="3"/>
  <c r="BG19" i="3"/>
  <c r="BH19" i="3"/>
  <c r="BI19" i="3"/>
  <c r="BJ19" i="3"/>
  <c r="BA20" i="3"/>
  <c r="BB20" i="3"/>
  <c r="BC20" i="3"/>
  <c r="BD20" i="3"/>
  <c r="BE20" i="3"/>
  <c r="BF20" i="3"/>
  <c r="BG20" i="3"/>
  <c r="BH20" i="3"/>
  <c r="BI20" i="3"/>
  <c r="BJ20" i="3"/>
  <c r="BA21" i="3"/>
  <c r="BB21" i="3"/>
  <c r="BC21" i="3"/>
  <c r="BD21" i="3"/>
  <c r="BE21" i="3"/>
  <c r="BF21" i="3"/>
  <c r="BG21" i="3"/>
  <c r="BH21" i="3"/>
  <c r="BI21" i="3"/>
  <c r="BJ21" i="3"/>
  <c r="BA22" i="3"/>
  <c r="BB22" i="3"/>
  <c r="BC22" i="3"/>
  <c r="BD22" i="3"/>
  <c r="BE22" i="3"/>
  <c r="BF22" i="3"/>
  <c r="BG22" i="3"/>
  <c r="BH22" i="3"/>
  <c r="BI22" i="3"/>
  <c r="BJ22" i="3"/>
  <c r="BA23" i="3"/>
  <c r="BB23" i="3"/>
  <c r="BC23" i="3"/>
  <c r="BD23" i="3"/>
  <c r="BE23" i="3"/>
  <c r="BF23" i="3"/>
  <c r="BG23" i="3"/>
  <c r="BH23" i="3"/>
  <c r="BI23" i="3"/>
  <c r="BJ23" i="3"/>
  <c r="BA24" i="3"/>
  <c r="BB24" i="3"/>
  <c r="BC24" i="3"/>
  <c r="BD24" i="3"/>
  <c r="BE24" i="3"/>
  <c r="BF24" i="3"/>
  <c r="BG24" i="3"/>
  <c r="BH24" i="3"/>
  <c r="BI24" i="3"/>
  <c r="BJ24" i="3"/>
  <c r="BA25" i="3"/>
  <c r="BB25" i="3"/>
  <c r="BC25" i="3"/>
  <c r="BD25" i="3"/>
  <c r="BE25" i="3"/>
  <c r="BF25" i="3"/>
  <c r="BG25" i="3"/>
  <c r="BH25" i="3"/>
  <c r="BI25" i="3"/>
  <c r="BJ25" i="3"/>
  <c r="BA26" i="3"/>
  <c r="BB26" i="3"/>
  <c r="BC26" i="3"/>
  <c r="BD26" i="3"/>
  <c r="BE26" i="3"/>
  <c r="BF26" i="3"/>
  <c r="BG26" i="3"/>
  <c r="BH26" i="3"/>
  <c r="BI26" i="3"/>
  <c r="BJ26" i="3"/>
  <c r="BA27" i="3"/>
  <c r="BB27" i="3"/>
  <c r="BC27" i="3"/>
  <c r="BD27" i="3"/>
  <c r="BE27" i="3"/>
  <c r="BF27" i="3"/>
  <c r="BG27" i="3"/>
  <c r="BH27" i="3"/>
  <c r="BI27" i="3"/>
  <c r="BJ27" i="3"/>
  <c r="BA28" i="3"/>
  <c r="BB28" i="3"/>
  <c r="BC28" i="3"/>
  <c r="BD28" i="3"/>
  <c r="BE28" i="3"/>
  <c r="BF28" i="3"/>
  <c r="BG28" i="3"/>
  <c r="BH28" i="3"/>
  <c r="BI28" i="3"/>
  <c r="BJ28" i="3"/>
  <c r="BA29" i="3"/>
  <c r="BB29" i="3"/>
  <c r="BC29" i="3"/>
  <c r="BD29" i="3"/>
  <c r="BE29" i="3"/>
  <c r="BF29" i="3"/>
  <c r="BG29" i="3"/>
  <c r="BH29" i="3"/>
  <c r="BI29" i="3"/>
  <c r="BJ29" i="3"/>
  <c r="BA30" i="3"/>
  <c r="BB30" i="3"/>
  <c r="BC30" i="3"/>
  <c r="BD30" i="3"/>
  <c r="BE30" i="3"/>
  <c r="BF30" i="3"/>
  <c r="BG30" i="3"/>
  <c r="BH30" i="3"/>
  <c r="BI30" i="3"/>
  <c r="BJ30" i="3"/>
  <c r="BA31" i="3"/>
  <c r="BB31" i="3"/>
  <c r="BC31" i="3"/>
  <c r="BD31" i="3"/>
  <c r="BE31" i="3"/>
  <c r="BF31" i="3"/>
  <c r="BG31" i="3"/>
  <c r="BH31" i="3"/>
  <c r="BI31" i="3"/>
  <c r="BJ31" i="3"/>
  <c r="BA32" i="3"/>
  <c r="BB32" i="3"/>
  <c r="BC32" i="3"/>
  <c r="BD32" i="3"/>
  <c r="BE32" i="3"/>
  <c r="BF32" i="3"/>
  <c r="BG32" i="3"/>
  <c r="BH32" i="3"/>
  <c r="BI32" i="3"/>
  <c r="BJ32" i="3"/>
  <c r="BA33" i="3"/>
  <c r="BB33" i="3"/>
  <c r="BC33" i="3"/>
  <c r="BD33" i="3"/>
  <c r="BE33" i="3"/>
  <c r="BF33" i="3"/>
  <c r="BG33" i="3"/>
  <c r="BH33" i="3"/>
  <c r="BI33" i="3"/>
  <c r="BJ33" i="3"/>
  <c r="BA34" i="3"/>
  <c r="BB34" i="3"/>
  <c r="BC34" i="3"/>
  <c r="BD34" i="3"/>
  <c r="BE34" i="3"/>
  <c r="BF34" i="3"/>
  <c r="BG34" i="3"/>
  <c r="BH34" i="3"/>
  <c r="BI34" i="3"/>
  <c r="BJ34" i="3"/>
  <c r="BA35" i="3"/>
  <c r="BB35" i="3"/>
  <c r="BC35" i="3"/>
  <c r="BD35" i="3"/>
  <c r="BE35" i="3"/>
  <c r="BF35" i="3"/>
  <c r="BG35" i="3"/>
  <c r="BH35" i="3"/>
  <c r="BI35" i="3"/>
  <c r="BJ35" i="3"/>
  <c r="BA36" i="3"/>
  <c r="BB36" i="3"/>
  <c r="BC36" i="3"/>
  <c r="BD36" i="3"/>
  <c r="BE36" i="3"/>
  <c r="BF36" i="3"/>
  <c r="BG36" i="3"/>
  <c r="BH36" i="3"/>
  <c r="BI36" i="3"/>
  <c r="BJ36" i="3"/>
  <c r="BA37" i="3"/>
  <c r="BB37" i="3"/>
  <c r="BC37" i="3"/>
  <c r="BD37" i="3"/>
  <c r="BE37" i="3"/>
  <c r="BF37" i="3"/>
  <c r="BG37" i="3"/>
  <c r="BH37" i="3"/>
  <c r="BI37" i="3"/>
  <c r="BJ37" i="3"/>
  <c r="BA38" i="3"/>
  <c r="BB38" i="3"/>
  <c r="BC38" i="3"/>
  <c r="BD38" i="3"/>
  <c r="BE38" i="3"/>
  <c r="BF38" i="3"/>
  <c r="BG38" i="3"/>
  <c r="BH38" i="3"/>
  <c r="BI38" i="3"/>
  <c r="BJ38" i="3"/>
  <c r="BA39" i="3"/>
  <c r="BB39" i="3"/>
  <c r="BC39" i="3"/>
  <c r="BD39" i="3"/>
  <c r="BE39" i="3"/>
  <c r="BF39" i="3"/>
  <c r="BG39" i="3"/>
  <c r="BH39" i="3"/>
  <c r="BI39" i="3"/>
  <c r="BJ39" i="3"/>
  <c r="BA40" i="3"/>
  <c r="BB40" i="3"/>
  <c r="BC40" i="3"/>
  <c r="BD40" i="3"/>
  <c r="BE40" i="3"/>
  <c r="BF40" i="3"/>
  <c r="BG40" i="3"/>
  <c r="BH40" i="3"/>
  <c r="BI40" i="3"/>
  <c r="BJ40" i="3"/>
  <c r="BA41" i="3"/>
  <c r="BB41" i="3"/>
  <c r="BC41" i="3"/>
  <c r="BD41" i="3"/>
  <c r="BE41" i="3"/>
  <c r="BF41" i="3"/>
  <c r="BG41" i="3"/>
  <c r="BH41" i="3"/>
  <c r="BI41" i="3"/>
  <c r="BJ41" i="3"/>
  <c r="BA42" i="3"/>
  <c r="BB42" i="3"/>
  <c r="BC42" i="3"/>
  <c r="BD42" i="3"/>
  <c r="BE42" i="3"/>
  <c r="BF42" i="3"/>
  <c r="BG42" i="3"/>
  <c r="BH42" i="3"/>
  <c r="BI42" i="3"/>
  <c r="BJ42" i="3"/>
  <c r="BA43" i="3"/>
  <c r="BB43" i="3"/>
  <c r="BC43" i="3"/>
  <c r="BD43" i="3"/>
  <c r="BE43" i="3"/>
  <c r="BF43" i="3"/>
  <c r="BG43" i="3"/>
  <c r="BH43" i="3"/>
  <c r="BI43" i="3"/>
  <c r="BJ43" i="3"/>
  <c r="BA44" i="3"/>
  <c r="BB44" i="3"/>
  <c r="BC44" i="3"/>
  <c r="BD44" i="3"/>
  <c r="BE44" i="3"/>
  <c r="BF44" i="3"/>
  <c r="BG44" i="3"/>
  <c r="BH44" i="3"/>
  <c r="BI44" i="3"/>
  <c r="BJ44" i="3"/>
  <c r="BA45" i="3"/>
  <c r="BB45" i="3"/>
  <c r="BC45" i="3"/>
  <c r="BD45" i="3"/>
  <c r="BE45" i="3"/>
  <c r="BF45" i="3"/>
  <c r="BG45" i="3"/>
  <c r="BH45" i="3"/>
  <c r="BI45" i="3"/>
  <c r="BJ45" i="3"/>
  <c r="BA46" i="3"/>
  <c r="BB46" i="3"/>
  <c r="BC46" i="3"/>
  <c r="BD46" i="3"/>
  <c r="BE46" i="3"/>
  <c r="BF46" i="3"/>
  <c r="BG46" i="3"/>
  <c r="BH46" i="3"/>
  <c r="BI46" i="3"/>
  <c r="BJ46" i="3"/>
  <c r="BA47" i="3"/>
  <c r="BB47" i="3"/>
  <c r="BC47" i="3"/>
  <c r="BD47" i="3"/>
  <c r="BE47" i="3"/>
  <c r="BF47" i="3"/>
  <c r="BG47" i="3"/>
  <c r="BH47" i="3"/>
  <c r="BI47" i="3"/>
  <c r="BJ47" i="3"/>
  <c r="BA48" i="3"/>
  <c r="BB48" i="3"/>
  <c r="BC48" i="3"/>
  <c r="BD48" i="3"/>
  <c r="BE48" i="3"/>
  <c r="BF48" i="3"/>
  <c r="BG48" i="3"/>
  <c r="BH48" i="3"/>
  <c r="BI48" i="3"/>
  <c r="BJ48" i="3"/>
  <c r="BA49" i="3"/>
  <c r="BB49" i="3"/>
  <c r="BC49" i="3"/>
  <c r="BD49" i="3"/>
  <c r="BE49" i="3"/>
  <c r="BF49" i="3"/>
  <c r="BG49" i="3"/>
  <c r="BH49" i="3"/>
  <c r="BI49" i="3"/>
  <c r="BJ49" i="3"/>
  <c r="BA50" i="3"/>
  <c r="BB50" i="3"/>
  <c r="BC50" i="3"/>
  <c r="BD50" i="3"/>
  <c r="BE50" i="3"/>
  <c r="BF50" i="3"/>
  <c r="BG50" i="3"/>
  <c r="BH50" i="3"/>
  <c r="BI50" i="3"/>
  <c r="BJ50" i="3"/>
  <c r="BA51" i="3"/>
  <c r="BB51" i="3"/>
  <c r="BC51" i="3"/>
  <c r="BD51" i="3"/>
  <c r="BE51" i="3"/>
  <c r="BF51" i="3"/>
  <c r="BG51" i="3"/>
  <c r="BH51" i="3"/>
  <c r="BI51" i="3"/>
  <c r="BJ51" i="3"/>
  <c r="BA52" i="3"/>
  <c r="BB52" i="3"/>
  <c r="BC52" i="3"/>
  <c r="BD52" i="3"/>
  <c r="BE52" i="3"/>
  <c r="BF52" i="3"/>
  <c r="BG52" i="3"/>
  <c r="BH52" i="3"/>
  <c r="BI52" i="3"/>
  <c r="BJ52" i="3"/>
  <c r="BA53" i="3"/>
  <c r="BB53" i="3"/>
  <c r="BC53" i="3"/>
  <c r="BD53" i="3"/>
  <c r="BE53" i="3"/>
  <c r="BF53" i="3"/>
  <c r="BG53" i="3"/>
  <c r="BH53" i="3"/>
  <c r="BI53" i="3"/>
  <c r="BJ53" i="3"/>
  <c r="BA54" i="3"/>
  <c r="BB54" i="3"/>
  <c r="BC54" i="3"/>
  <c r="BD54" i="3"/>
  <c r="BE54" i="3"/>
  <c r="BF54" i="3"/>
  <c r="BG54" i="3"/>
  <c r="BH54" i="3"/>
  <c r="BI54" i="3"/>
  <c r="BJ54" i="3"/>
  <c r="BA55" i="3"/>
  <c r="BB55" i="3"/>
  <c r="BC55" i="3"/>
  <c r="BD55" i="3"/>
  <c r="BE55" i="3"/>
  <c r="BF55" i="3"/>
  <c r="BG55" i="3"/>
  <c r="BH55" i="3"/>
  <c r="BI55" i="3"/>
  <c r="BJ55" i="3"/>
  <c r="BA56" i="3"/>
  <c r="BB56" i="3"/>
  <c r="BC56" i="3"/>
  <c r="BD56" i="3"/>
  <c r="BE56" i="3"/>
  <c r="BF56" i="3"/>
  <c r="BG56" i="3"/>
  <c r="BH56" i="3"/>
  <c r="BI56" i="3"/>
  <c r="BJ56" i="3"/>
  <c r="BA57" i="3"/>
  <c r="BB57" i="3"/>
  <c r="BC57" i="3"/>
  <c r="BD57" i="3"/>
  <c r="BE57" i="3"/>
  <c r="BF57" i="3"/>
  <c r="BG57" i="3"/>
  <c r="BH57" i="3"/>
  <c r="BI57" i="3"/>
  <c r="BJ57" i="3"/>
  <c r="BA58" i="3"/>
  <c r="BB58" i="3"/>
  <c r="BC58" i="3"/>
  <c r="BD58" i="3"/>
  <c r="BE58" i="3"/>
  <c r="BF58" i="3"/>
  <c r="BG58" i="3"/>
  <c r="BH58" i="3"/>
  <c r="BI58" i="3"/>
  <c r="BJ58" i="3"/>
  <c r="BA59" i="3"/>
  <c r="BB59" i="3"/>
  <c r="BC59" i="3"/>
  <c r="BD59" i="3"/>
  <c r="BE59" i="3"/>
  <c r="BF59" i="3"/>
  <c r="BG59" i="3"/>
  <c r="BH59" i="3"/>
  <c r="BI59" i="3"/>
  <c r="BJ59" i="3"/>
  <c r="BA60" i="3"/>
  <c r="BB60" i="3"/>
  <c r="BC60" i="3"/>
  <c r="BD60" i="3"/>
  <c r="BE60" i="3"/>
  <c r="BF60" i="3"/>
  <c r="BG60" i="3"/>
  <c r="BH60" i="3"/>
  <c r="BI60" i="3"/>
  <c r="BJ60" i="3"/>
  <c r="BA61" i="3"/>
  <c r="BB61" i="3"/>
  <c r="BC61" i="3"/>
  <c r="BD61" i="3"/>
  <c r="BE61" i="3"/>
  <c r="BF61" i="3"/>
  <c r="BG61" i="3"/>
  <c r="BH61" i="3"/>
  <c r="BI61" i="3"/>
  <c r="BJ61" i="3"/>
  <c r="BA62" i="3"/>
  <c r="BB62" i="3"/>
  <c r="BC62" i="3"/>
  <c r="BD62" i="3"/>
  <c r="BE62" i="3"/>
  <c r="BF62" i="3"/>
  <c r="BG62" i="3"/>
  <c r="BH62" i="3"/>
  <c r="BI62" i="3"/>
  <c r="BJ62" i="3"/>
  <c r="BA63" i="3"/>
  <c r="BB63" i="3"/>
  <c r="BC63" i="3"/>
  <c r="BD63" i="3"/>
  <c r="BE63" i="3"/>
  <c r="BF63" i="3"/>
  <c r="BG63" i="3"/>
  <c r="BH63" i="3"/>
  <c r="BI63" i="3"/>
  <c r="BJ63" i="3"/>
  <c r="BA64" i="3"/>
  <c r="BB64" i="3"/>
  <c r="BC64" i="3"/>
  <c r="BD64" i="3"/>
  <c r="BE64" i="3"/>
  <c r="BF64" i="3"/>
  <c r="BG64" i="3"/>
  <c r="BH64" i="3"/>
  <c r="BI64" i="3"/>
  <c r="BJ64" i="3"/>
  <c r="BA65" i="3"/>
  <c r="BB65" i="3"/>
  <c r="BC65" i="3"/>
  <c r="BD65" i="3"/>
  <c r="BE65" i="3"/>
  <c r="BF65" i="3"/>
  <c r="BG65" i="3"/>
  <c r="BH65" i="3"/>
  <c r="BI65" i="3"/>
  <c r="BJ65" i="3"/>
  <c r="BA66" i="3"/>
  <c r="BB66" i="3"/>
  <c r="BC66" i="3"/>
  <c r="BD66" i="3"/>
  <c r="BE66" i="3"/>
  <c r="BF66" i="3"/>
  <c r="BG66" i="3"/>
  <c r="BH66" i="3"/>
  <c r="BI66" i="3"/>
  <c r="BJ66" i="3"/>
  <c r="BA67" i="3"/>
  <c r="BB67" i="3"/>
  <c r="BC67" i="3"/>
  <c r="BD67" i="3"/>
  <c r="BE67" i="3"/>
  <c r="BF67" i="3"/>
  <c r="BG67" i="3"/>
  <c r="BH67" i="3"/>
  <c r="BI67" i="3"/>
  <c r="BJ67" i="3"/>
  <c r="BA68" i="3"/>
  <c r="BB68" i="3"/>
  <c r="BC68" i="3"/>
  <c r="BD68" i="3"/>
  <c r="BE68" i="3"/>
  <c r="BF68" i="3"/>
  <c r="BG68" i="3"/>
  <c r="BH68" i="3"/>
  <c r="BI68" i="3"/>
  <c r="BJ68" i="3"/>
  <c r="BA69" i="3"/>
  <c r="BB69" i="3"/>
  <c r="BC69" i="3"/>
  <c r="BD69" i="3"/>
  <c r="BE69" i="3"/>
  <c r="BF69" i="3"/>
  <c r="BG69" i="3"/>
  <c r="BH69" i="3"/>
  <c r="BI69" i="3"/>
  <c r="BJ69" i="3"/>
  <c r="BA70" i="3"/>
  <c r="BB70" i="3"/>
  <c r="BC70" i="3"/>
  <c r="BD70" i="3"/>
  <c r="BE70" i="3"/>
  <c r="BF70" i="3"/>
  <c r="BG70" i="3"/>
  <c r="BH70" i="3"/>
  <c r="BI70" i="3"/>
  <c r="BJ70" i="3"/>
  <c r="BA71" i="3"/>
  <c r="BB71" i="3"/>
  <c r="BC71" i="3"/>
  <c r="BD71" i="3"/>
  <c r="BE71" i="3"/>
  <c r="BF71" i="3"/>
  <c r="BG71" i="3"/>
  <c r="BH71" i="3"/>
  <c r="BI71" i="3"/>
  <c r="BJ71" i="3"/>
  <c r="BA72" i="3"/>
  <c r="BB72" i="3"/>
  <c r="BC72" i="3"/>
  <c r="BD72" i="3"/>
  <c r="BE72" i="3"/>
  <c r="BF72" i="3"/>
  <c r="BG72" i="3"/>
  <c r="BH72" i="3"/>
  <c r="BI72" i="3"/>
  <c r="BJ72" i="3"/>
  <c r="BA73" i="3"/>
  <c r="BB73" i="3"/>
  <c r="BC73" i="3"/>
  <c r="BD73" i="3"/>
  <c r="BE73" i="3"/>
  <c r="BF73" i="3"/>
  <c r="BG73" i="3"/>
  <c r="BH73" i="3"/>
  <c r="BI73" i="3"/>
  <c r="BJ73" i="3"/>
  <c r="BA74" i="3"/>
  <c r="BB74" i="3"/>
  <c r="BC74" i="3"/>
  <c r="BD74" i="3"/>
  <c r="BE74" i="3"/>
  <c r="BF74" i="3"/>
  <c r="BG74" i="3"/>
  <c r="BH74" i="3"/>
  <c r="BI74" i="3"/>
  <c r="BJ74" i="3"/>
  <c r="BA75" i="3"/>
  <c r="BB75" i="3"/>
  <c r="BC75" i="3"/>
  <c r="BD75" i="3"/>
  <c r="BE75" i="3"/>
  <c r="BF75" i="3"/>
  <c r="BG75" i="3"/>
  <c r="BH75" i="3"/>
  <c r="BI75" i="3"/>
  <c r="BJ75" i="3"/>
  <c r="BA76" i="3"/>
  <c r="BB76" i="3"/>
  <c r="BC76" i="3"/>
  <c r="BD76" i="3"/>
  <c r="BE76" i="3"/>
  <c r="BF76" i="3"/>
  <c r="BG76" i="3"/>
  <c r="BH76" i="3"/>
  <c r="BI76" i="3"/>
  <c r="BJ76" i="3"/>
  <c r="BA77" i="3"/>
  <c r="BB77" i="3"/>
  <c r="BC77" i="3"/>
  <c r="BD77" i="3"/>
  <c r="BE77" i="3"/>
  <c r="BF77" i="3"/>
  <c r="BG77" i="3"/>
  <c r="BH77" i="3"/>
  <c r="BI77" i="3"/>
  <c r="BJ77" i="3"/>
  <c r="BA78" i="3"/>
  <c r="BB78" i="3"/>
  <c r="BC78" i="3"/>
  <c r="BD78" i="3"/>
  <c r="BE78" i="3"/>
  <c r="BF78" i="3"/>
  <c r="BG78" i="3"/>
  <c r="BH78" i="3"/>
  <c r="BI78" i="3"/>
  <c r="BJ78" i="3"/>
  <c r="BA79" i="3"/>
  <c r="BB79" i="3"/>
  <c r="BC79" i="3"/>
  <c r="BD79" i="3"/>
  <c r="BE79" i="3"/>
  <c r="BF79" i="3"/>
  <c r="BG79" i="3"/>
  <c r="BH79" i="3"/>
  <c r="BI79" i="3"/>
  <c r="BJ79" i="3"/>
  <c r="BA80" i="3"/>
  <c r="BB80" i="3"/>
  <c r="BC80" i="3"/>
  <c r="BD80" i="3"/>
  <c r="BE80" i="3"/>
  <c r="BF80" i="3"/>
  <c r="BG80" i="3"/>
  <c r="BH80" i="3"/>
  <c r="BI80" i="3"/>
  <c r="BJ80" i="3"/>
  <c r="BA81" i="3"/>
  <c r="BB81" i="3"/>
  <c r="BC81" i="3"/>
  <c r="BD81" i="3"/>
  <c r="BE81" i="3"/>
  <c r="BF81" i="3"/>
  <c r="BG81" i="3"/>
  <c r="BH81" i="3"/>
  <c r="BI81" i="3"/>
  <c r="BJ81" i="3"/>
  <c r="BA82" i="3"/>
  <c r="BB82" i="3"/>
  <c r="BC82" i="3"/>
  <c r="BD82" i="3"/>
  <c r="BE82" i="3"/>
  <c r="BF82" i="3"/>
  <c r="BG82" i="3"/>
  <c r="BH82" i="3"/>
  <c r="BI82" i="3"/>
  <c r="BJ82" i="3"/>
  <c r="BA83" i="3"/>
  <c r="BB83" i="3"/>
  <c r="BC83" i="3"/>
  <c r="BD83" i="3"/>
  <c r="BE83" i="3"/>
  <c r="BF83" i="3"/>
  <c r="BG83" i="3"/>
  <c r="BH83" i="3"/>
  <c r="BI83" i="3"/>
  <c r="BJ83" i="3"/>
  <c r="BA84" i="3"/>
  <c r="BB84" i="3"/>
  <c r="BC84" i="3"/>
  <c r="BD84" i="3"/>
  <c r="BE84" i="3"/>
  <c r="BF84" i="3"/>
  <c r="BG84" i="3"/>
  <c r="BH84" i="3"/>
  <c r="BI84" i="3"/>
  <c r="BJ84" i="3"/>
  <c r="BA85" i="3"/>
  <c r="BB85" i="3"/>
  <c r="BC85" i="3"/>
  <c r="BD85" i="3"/>
  <c r="BE85" i="3"/>
  <c r="BF85" i="3"/>
  <c r="BG85" i="3"/>
  <c r="BH85" i="3"/>
  <c r="BI85" i="3"/>
  <c r="BJ85" i="3"/>
  <c r="BA86" i="3"/>
  <c r="BB86" i="3"/>
  <c r="BC86" i="3"/>
  <c r="BD86" i="3"/>
  <c r="BE86" i="3"/>
  <c r="BF86" i="3"/>
  <c r="BG86" i="3"/>
  <c r="BH86" i="3"/>
  <c r="BI86" i="3"/>
  <c r="BJ86" i="3"/>
  <c r="BA87" i="3"/>
  <c r="BB87" i="3"/>
  <c r="BC87" i="3"/>
  <c r="BD87" i="3"/>
  <c r="BE87" i="3"/>
  <c r="BF87" i="3"/>
  <c r="BG87" i="3"/>
  <c r="BH87" i="3"/>
  <c r="BI87" i="3"/>
  <c r="BJ87" i="3"/>
  <c r="BA88" i="3"/>
  <c r="BB88" i="3"/>
  <c r="BC88" i="3"/>
  <c r="BD88" i="3"/>
  <c r="BE88" i="3"/>
  <c r="BF88" i="3"/>
  <c r="BG88" i="3"/>
  <c r="BH88" i="3"/>
  <c r="BI88" i="3"/>
  <c r="BJ88" i="3"/>
  <c r="BA89" i="3"/>
  <c r="BB89" i="3"/>
  <c r="BC89" i="3"/>
  <c r="BD89" i="3"/>
  <c r="BE89" i="3"/>
  <c r="BF89" i="3"/>
  <c r="BG89" i="3"/>
  <c r="BH89" i="3"/>
  <c r="BI89" i="3"/>
  <c r="BJ89" i="3"/>
  <c r="BA90" i="3"/>
  <c r="BB90" i="3"/>
  <c r="BC90" i="3"/>
  <c r="BD90" i="3"/>
  <c r="BE90" i="3"/>
  <c r="BF90" i="3"/>
  <c r="BG90" i="3"/>
  <c r="BH90" i="3"/>
  <c r="BI90" i="3"/>
  <c r="BJ90" i="3"/>
  <c r="BA91" i="3"/>
  <c r="BB91" i="3"/>
  <c r="BC91" i="3"/>
  <c r="BD91" i="3"/>
  <c r="BE91" i="3"/>
  <c r="BF91" i="3"/>
  <c r="BG91" i="3"/>
  <c r="BH91" i="3"/>
  <c r="BI91" i="3"/>
  <c r="BJ91" i="3"/>
  <c r="BA92" i="3"/>
  <c r="BB92" i="3"/>
  <c r="BC92" i="3"/>
  <c r="BD92" i="3"/>
  <c r="BE92" i="3"/>
  <c r="BF92" i="3"/>
  <c r="BG92" i="3"/>
  <c r="BH92" i="3"/>
  <c r="BI92" i="3"/>
  <c r="BJ92" i="3"/>
  <c r="BA93" i="3"/>
  <c r="BB93" i="3"/>
  <c r="BC93" i="3"/>
  <c r="BD93" i="3"/>
  <c r="BE93" i="3"/>
  <c r="BF93" i="3"/>
  <c r="BG93" i="3"/>
  <c r="BH93" i="3"/>
  <c r="BI93" i="3"/>
  <c r="BJ93" i="3"/>
  <c r="BA94" i="3"/>
  <c r="BB94" i="3"/>
  <c r="BC94" i="3"/>
  <c r="BD94" i="3"/>
  <c r="BE94" i="3"/>
  <c r="BF94" i="3"/>
  <c r="BG94" i="3"/>
  <c r="BH94" i="3"/>
  <c r="BI94" i="3"/>
  <c r="BJ94" i="3"/>
  <c r="BA95" i="3"/>
  <c r="BB95" i="3"/>
  <c r="BC95" i="3"/>
  <c r="BD95" i="3"/>
  <c r="BE95" i="3"/>
  <c r="BF95" i="3"/>
  <c r="BG95" i="3"/>
  <c r="BH95" i="3"/>
  <c r="BI95" i="3"/>
  <c r="BJ95" i="3"/>
  <c r="BA96" i="3"/>
  <c r="BB96" i="3"/>
  <c r="BC96" i="3"/>
  <c r="BD96" i="3"/>
  <c r="BE96" i="3"/>
  <c r="BF96" i="3"/>
  <c r="BG96" i="3"/>
  <c r="BH96" i="3"/>
  <c r="BI96" i="3"/>
  <c r="BJ96" i="3"/>
  <c r="BA97" i="3"/>
  <c r="BB97" i="3"/>
  <c r="BC97" i="3"/>
  <c r="BD97" i="3"/>
  <c r="BE97" i="3"/>
  <c r="BF97" i="3"/>
  <c r="BG97" i="3"/>
  <c r="BH97" i="3"/>
  <c r="BI97" i="3"/>
  <c r="BJ97" i="3"/>
  <c r="BA98" i="3"/>
  <c r="BB98" i="3"/>
  <c r="BC98" i="3"/>
  <c r="BD98" i="3"/>
  <c r="BE98" i="3"/>
  <c r="BF98" i="3"/>
  <c r="BG98" i="3"/>
  <c r="BH98" i="3"/>
  <c r="BI98" i="3"/>
  <c r="BJ98" i="3"/>
  <c r="BA99" i="3"/>
  <c r="BB99" i="3"/>
  <c r="BC99" i="3"/>
  <c r="BD99" i="3"/>
  <c r="BE99" i="3"/>
  <c r="BF99" i="3"/>
  <c r="BG99" i="3"/>
  <c r="BH99" i="3"/>
  <c r="BI99" i="3"/>
  <c r="BJ99" i="3"/>
  <c r="BA100" i="3"/>
  <c r="BB100" i="3"/>
  <c r="BC100" i="3"/>
  <c r="BD100" i="3"/>
  <c r="BE100" i="3"/>
  <c r="BF100" i="3"/>
  <c r="BG100" i="3"/>
  <c r="BH100" i="3"/>
  <c r="BI100" i="3"/>
  <c r="BJ100" i="3"/>
  <c r="BA101" i="3"/>
  <c r="BB101" i="3"/>
  <c r="BC101" i="3"/>
  <c r="BD101" i="3"/>
  <c r="BE101" i="3"/>
  <c r="BF101" i="3"/>
  <c r="BG101" i="3"/>
  <c r="BH101" i="3"/>
  <c r="BI101" i="3"/>
  <c r="BJ101" i="3"/>
  <c r="BA102" i="3"/>
  <c r="BB102" i="3"/>
  <c r="BC102" i="3"/>
  <c r="BD102" i="3"/>
  <c r="BE102" i="3"/>
  <c r="BF102" i="3"/>
  <c r="BG102" i="3"/>
  <c r="BH102" i="3"/>
  <c r="BI102" i="3"/>
  <c r="BJ102" i="3"/>
  <c r="BA103" i="3"/>
  <c r="BB103" i="3"/>
  <c r="BC103" i="3"/>
  <c r="BD103" i="3"/>
  <c r="BE103" i="3"/>
  <c r="BF103" i="3"/>
  <c r="BG103" i="3"/>
  <c r="BH103" i="3"/>
  <c r="BI103" i="3"/>
  <c r="BJ103" i="3"/>
  <c r="BA104" i="3"/>
  <c r="BB104" i="3"/>
  <c r="BC104" i="3"/>
  <c r="BD104" i="3"/>
  <c r="BE104" i="3"/>
  <c r="BF104" i="3"/>
  <c r="BG104" i="3"/>
  <c r="BH104" i="3"/>
  <c r="BI104" i="3"/>
  <c r="BJ104" i="3"/>
  <c r="BA105" i="3"/>
  <c r="BB105" i="3"/>
  <c r="BC105" i="3"/>
  <c r="BD105" i="3"/>
  <c r="BE105" i="3"/>
  <c r="BF105" i="3"/>
  <c r="BG105" i="3"/>
  <c r="BH105" i="3"/>
  <c r="BI105" i="3"/>
  <c r="BJ105" i="3"/>
  <c r="BA106" i="3"/>
  <c r="BB106" i="3"/>
  <c r="BC106" i="3"/>
  <c r="BD106" i="3"/>
  <c r="BE106" i="3"/>
  <c r="BF106" i="3"/>
  <c r="BG106" i="3"/>
  <c r="BH106" i="3"/>
  <c r="BI106" i="3"/>
  <c r="BJ106" i="3"/>
  <c r="BA107" i="3"/>
  <c r="BB107" i="3"/>
  <c r="BC107" i="3"/>
  <c r="BD107" i="3"/>
  <c r="BE107" i="3"/>
  <c r="BF107" i="3"/>
  <c r="BG107" i="3"/>
  <c r="BH107" i="3"/>
  <c r="BI107" i="3"/>
  <c r="BJ107" i="3"/>
  <c r="BA108" i="3"/>
  <c r="BB108" i="3"/>
  <c r="BC108" i="3"/>
  <c r="BD108" i="3"/>
  <c r="BE108" i="3"/>
  <c r="BF108" i="3"/>
  <c r="BG108" i="3"/>
  <c r="BH108" i="3"/>
  <c r="BI108" i="3"/>
  <c r="BJ108" i="3"/>
  <c r="BA109" i="3"/>
  <c r="BB109" i="3"/>
  <c r="BC109" i="3"/>
  <c r="BD109" i="3"/>
  <c r="BE109" i="3"/>
  <c r="BF109" i="3"/>
  <c r="BG109" i="3"/>
  <c r="BH109" i="3"/>
  <c r="BI109" i="3"/>
  <c r="BJ109" i="3"/>
  <c r="BA110" i="3"/>
  <c r="BB110" i="3"/>
  <c r="BC110" i="3"/>
  <c r="BD110" i="3"/>
  <c r="BE110" i="3"/>
  <c r="BF110" i="3"/>
  <c r="BG110" i="3"/>
  <c r="BH110" i="3"/>
  <c r="BI110" i="3"/>
  <c r="BJ110" i="3"/>
  <c r="BA111" i="3"/>
  <c r="BB111" i="3"/>
  <c r="BC111" i="3"/>
  <c r="BD111" i="3"/>
  <c r="BE111" i="3"/>
  <c r="BF111" i="3"/>
  <c r="BG111" i="3"/>
  <c r="BH111" i="3"/>
  <c r="BI111" i="3"/>
  <c r="BJ111" i="3"/>
  <c r="BA112" i="3"/>
  <c r="BB112" i="3"/>
  <c r="BC112" i="3"/>
  <c r="BD112" i="3"/>
  <c r="BE112" i="3"/>
  <c r="BF112" i="3"/>
  <c r="BG112" i="3"/>
  <c r="BH112" i="3"/>
  <c r="BI112" i="3"/>
  <c r="BJ112" i="3"/>
  <c r="BA113" i="3"/>
  <c r="BB113" i="3"/>
  <c r="BC113" i="3"/>
  <c r="BD113" i="3"/>
  <c r="BE113" i="3"/>
  <c r="BF113" i="3"/>
  <c r="BG113" i="3"/>
  <c r="BH113" i="3"/>
  <c r="BI113" i="3"/>
  <c r="BJ113" i="3"/>
  <c r="BA114" i="3"/>
  <c r="BB114" i="3"/>
  <c r="BC114" i="3"/>
  <c r="BD114" i="3"/>
  <c r="BE114" i="3"/>
  <c r="BF114" i="3"/>
  <c r="BG114" i="3"/>
  <c r="BH114" i="3"/>
  <c r="BI114" i="3"/>
  <c r="BJ114" i="3"/>
  <c r="BA115" i="3"/>
  <c r="BB115" i="3"/>
  <c r="BC115" i="3"/>
  <c r="BD115" i="3"/>
  <c r="BE115" i="3"/>
  <c r="BF115" i="3"/>
  <c r="BG115" i="3"/>
  <c r="BH115" i="3"/>
  <c r="BI115" i="3"/>
  <c r="BJ115" i="3"/>
  <c r="BA116" i="3"/>
  <c r="BB116" i="3"/>
  <c r="BC116" i="3"/>
  <c r="BD116" i="3"/>
  <c r="BE116" i="3"/>
  <c r="BF116" i="3"/>
  <c r="BG116" i="3"/>
  <c r="BH116" i="3"/>
  <c r="BI116" i="3"/>
  <c r="BJ116" i="3"/>
  <c r="BA117" i="3"/>
  <c r="BB117" i="3"/>
  <c r="BC117" i="3"/>
  <c r="BD117" i="3"/>
  <c r="BE117" i="3"/>
  <c r="BF117" i="3"/>
  <c r="BG117" i="3"/>
  <c r="BH117" i="3"/>
  <c r="BI117" i="3"/>
  <c r="BJ117" i="3"/>
  <c r="BA118" i="3"/>
  <c r="BB118" i="3"/>
  <c r="BC118" i="3"/>
  <c r="BD118" i="3"/>
  <c r="BE118" i="3"/>
  <c r="BF118" i="3"/>
  <c r="BG118" i="3"/>
  <c r="BH118" i="3"/>
  <c r="BI118" i="3"/>
  <c r="BJ118" i="3"/>
  <c r="BA119" i="3"/>
  <c r="BB119" i="3"/>
  <c r="BC119" i="3"/>
  <c r="BD119" i="3"/>
  <c r="BE119" i="3"/>
  <c r="BF119" i="3"/>
  <c r="BG119" i="3"/>
  <c r="BH119" i="3"/>
  <c r="BI119" i="3"/>
  <c r="BJ119" i="3"/>
  <c r="BA120" i="3"/>
  <c r="BB120" i="3"/>
  <c r="BC120" i="3"/>
  <c r="BD120" i="3"/>
  <c r="BE120" i="3"/>
  <c r="BF120" i="3"/>
  <c r="BG120" i="3"/>
  <c r="BH120" i="3"/>
  <c r="BI120" i="3"/>
  <c r="BJ120" i="3"/>
  <c r="BA121" i="3"/>
  <c r="BB121" i="3"/>
  <c r="BC121" i="3"/>
  <c r="BD121" i="3"/>
  <c r="BE121" i="3"/>
  <c r="BF121" i="3"/>
  <c r="BG121" i="3"/>
  <c r="BH121" i="3"/>
  <c r="BI121" i="3"/>
  <c r="BJ121" i="3"/>
  <c r="BA122" i="3"/>
  <c r="BB122" i="3"/>
  <c r="BC122" i="3"/>
  <c r="BD122" i="3"/>
  <c r="BE122" i="3"/>
  <c r="BF122" i="3"/>
  <c r="BG122" i="3"/>
  <c r="BH122" i="3"/>
  <c r="BI122" i="3"/>
  <c r="BJ122" i="3"/>
  <c r="BA123" i="3"/>
  <c r="BB123" i="3"/>
  <c r="BC123" i="3"/>
  <c r="BD123" i="3"/>
  <c r="BE123" i="3"/>
  <c r="BF123" i="3"/>
  <c r="BG123" i="3"/>
  <c r="BH123" i="3"/>
  <c r="BI123" i="3"/>
  <c r="BJ123" i="3"/>
  <c r="BA124" i="3"/>
  <c r="BB124" i="3"/>
  <c r="BC124" i="3"/>
  <c r="BD124" i="3"/>
  <c r="BE124" i="3"/>
  <c r="BF124" i="3"/>
  <c r="BG124" i="3"/>
  <c r="BH124" i="3"/>
  <c r="BI124" i="3"/>
  <c r="BJ124" i="3"/>
  <c r="BA125" i="3"/>
  <c r="BB125" i="3"/>
  <c r="BC125" i="3"/>
  <c r="BD125" i="3"/>
  <c r="BE125" i="3"/>
  <c r="BF125" i="3"/>
  <c r="BG125" i="3"/>
  <c r="BH125" i="3"/>
  <c r="BI125" i="3"/>
  <c r="BJ125" i="3"/>
  <c r="BA126" i="3"/>
  <c r="BB126" i="3"/>
  <c r="BC126" i="3"/>
  <c r="BD126" i="3"/>
  <c r="BE126" i="3"/>
  <c r="BF126" i="3"/>
  <c r="BG126" i="3"/>
  <c r="BH126" i="3"/>
  <c r="BI126" i="3"/>
  <c r="BJ126" i="3"/>
  <c r="BA127" i="3"/>
  <c r="BB127" i="3"/>
  <c r="BC127" i="3"/>
  <c r="BD127" i="3"/>
  <c r="BE127" i="3"/>
  <c r="BF127" i="3"/>
  <c r="BG127" i="3"/>
  <c r="BH127" i="3"/>
  <c r="BI127" i="3"/>
  <c r="BJ127" i="3"/>
  <c r="BA128" i="3"/>
  <c r="BB128" i="3"/>
  <c r="BC128" i="3"/>
  <c r="BD128" i="3"/>
  <c r="BE128" i="3"/>
  <c r="BF128" i="3"/>
  <c r="BG128" i="3"/>
  <c r="BH128" i="3"/>
  <c r="BI128" i="3"/>
  <c r="BJ128" i="3"/>
  <c r="BA129" i="3"/>
  <c r="BB129" i="3"/>
  <c r="BC129" i="3"/>
  <c r="BD129" i="3"/>
  <c r="BE129" i="3"/>
  <c r="BF129" i="3"/>
  <c r="BG129" i="3"/>
  <c r="BH129" i="3"/>
  <c r="BI129" i="3"/>
  <c r="BJ129" i="3"/>
  <c r="BA130" i="3"/>
  <c r="BB130" i="3"/>
  <c r="BC130" i="3"/>
  <c r="BD130" i="3"/>
  <c r="BE130" i="3"/>
  <c r="BF130" i="3"/>
  <c r="BG130" i="3"/>
  <c r="BH130" i="3"/>
  <c r="BI130" i="3"/>
  <c r="BJ130" i="3"/>
  <c r="BA131" i="3"/>
  <c r="BB131" i="3"/>
  <c r="BC131" i="3"/>
  <c r="BD131" i="3"/>
  <c r="BE131" i="3"/>
  <c r="BF131" i="3"/>
  <c r="BG131" i="3"/>
  <c r="BH131" i="3"/>
  <c r="BI131" i="3"/>
  <c r="BJ131" i="3"/>
  <c r="BA132" i="3"/>
  <c r="BB132" i="3"/>
  <c r="BC132" i="3"/>
  <c r="BD132" i="3"/>
  <c r="BE132" i="3"/>
  <c r="BF132" i="3"/>
  <c r="BG132" i="3"/>
  <c r="BH132" i="3"/>
  <c r="BI132" i="3"/>
  <c r="BJ132" i="3"/>
  <c r="BA133" i="3"/>
  <c r="BB133" i="3"/>
  <c r="BC133" i="3"/>
  <c r="BD133" i="3"/>
  <c r="BE133" i="3"/>
  <c r="BF133" i="3"/>
  <c r="BG133" i="3"/>
  <c r="BH133" i="3"/>
  <c r="BI133" i="3"/>
  <c r="BJ133" i="3"/>
  <c r="BA134" i="3"/>
  <c r="BB134" i="3"/>
  <c r="BC134" i="3"/>
  <c r="BD134" i="3"/>
  <c r="BE134" i="3"/>
  <c r="BF134" i="3"/>
  <c r="BG134" i="3"/>
  <c r="BH134" i="3"/>
  <c r="BI134" i="3"/>
  <c r="BJ134" i="3"/>
  <c r="BA135" i="3"/>
  <c r="BB135" i="3"/>
  <c r="BC135" i="3"/>
  <c r="BD135" i="3"/>
  <c r="BE135" i="3"/>
  <c r="BF135" i="3"/>
  <c r="BG135" i="3"/>
  <c r="BH135" i="3"/>
  <c r="BI135" i="3"/>
  <c r="BJ135" i="3"/>
  <c r="BA136" i="3"/>
  <c r="BB136" i="3"/>
  <c r="BC136" i="3"/>
  <c r="BD136" i="3"/>
  <c r="BE136" i="3"/>
  <c r="BF136" i="3"/>
  <c r="BG136" i="3"/>
  <c r="BH136" i="3"/>
  <c r="BI136" i="3"/>
  <c r="BJ136" i="3"/>
  <c r="BA137" i="3"/>
  <c r="BB137" i="3"/>
  <c r="BC137" i="3"/>
  <c r="BD137" i="3"/>
  <c r="BE137" i="3"/>
  <c r="BF137" i="3"/>
  <c r="BG137" i="3"/>
  <c r="BH137" i="3"/>
  <c r="BI137" i="3"/>
  <c r="BJ137" i="3"/>
  <c r="BA138" i="3"/>
  <c r="BB138" i="3"/>
  <c r="BC138" i="3"/>
  <c r="BD138" i="3"/>
  <c r="BE138" i="3"/>
  <c r="BF138" i="3"/>
  <c r="BG138" i="3"/>
  <c r="BH138" i="3"/>
  <c r="BI138" i="3"/>
  <c r="BJ138" i="3"/>
  <c r="BA139" i="3"/>
  <c r="BB139" i="3"/>
  <c r="BC139" i="3"/>
  <c r="BD139" i="3"/>
  <c r="BE139" i="3"/>
  <c r="BF139" i="3"/>
  <c r="BG139" i="3"/>
  <c r="BH139" i="3"/>
  <c r="BI139" i="3"/>
  <c r="BJ139" i="3"/>
  <c r="BA140" i="3"/>
  <c r="BB140" i="3"/>
  <c r="BC140" i="3"/>
  <c r="BD140" i="3"/>
  <c r="BE140" i="3"/>
  <c r="BF140" i="3"/>
  <c r="BG140" i="3"/>
  <c r="BH140" i="3"/>
  <c r="BI140" i="3"/>
  <c r="BJ140" i="3"/>
  <c r="BA141" i="3"/>
  <c r="BB141" i="3"/>
  <c r="BC141" i="3"/>
  <c r="BD141" i="3"/>
  <c r="BE141" i="3"/>
  <c r="BF141" i="3"/>
  <c r="BG141" i="3"/>
  <c r="BH141" i="3"/>
  <c r="BI141" i="3"/>
  <c r="BJ141" i="3"/>
  <c r="BA142" i="3"/>
  <c r="BB142" i="3"/>
  <c r="BC142" i="3"/>
  <c r="BD142" i="3"/>
  <c r="BE142" i="3"/>
  <c r="BF142" i="3"/>
  <c r="BG142" i="3"/>
  <c r="BH142" i="3"/>
  <c r="BI142" i="3"/>
  <c r="BJ142" i="3"/>
  <c r="BA143" i="3"/>
  <c r="BB143" i="3"/>
  <c r="BC143" i="3"/>
  <c r="BD143" i="3"/>
  <c r="BE143" i="3"/>
  <c r="BF143" i="3"/>
  <c r="BG143" i="3"/>
  <c r="BH143" i="3"/>
  <c r="BI143" i="3"/>
  <c r="BJ143" i="3"/>
  <c r="BA144" i="3"/>
  <c r="BB144" i="3"/>
  <c r="BC144" i="3"/>
  <c r="BD144" i="3"/>
  <c r="BE144" i="3"/>
  <c r="BF144" i="3"/>
  <c r="BG144" i="3"/>
  <c r="BH144" i="3"/>
  <c r="BI144" i="3"/>
  <c r="BJ144" i="3"/>
  <c r="BA145" i="3"/>
  <c r="BB145" i="3"/>
  <c r="BC145" i="3"/>
  <c r="BD145" i="3"/>
  <c r="BE145" i="3"/>
  <c r="BF145" i="3"/>
  <c r="BG145" i="3"/>
  <c r="BH145" i="3"/>
  <c r="BI145" i="3"/>
  <c r="BJ145" i="3"/>
  <c r="BA146" i="3"/>
  <c r="BB146" i="3"/>
  <c r="BC146" i="3"/>
  <c r="BD146" i="3"/>
  <c r="BE146" i="3"/>
  <c r="BF146" i="3"/>
  <c r="BG146" i="3"/>
  <c r="BH146" i="3"/>
  <c r="BI146" i="3"/>
  <c r="BJ146" i="3"/>
  <c r="BA147" i="3"/>
  <c r="BB147" i="3"/>
  <c r="BC147" i="3"/>
  <c r="BD147" i="3"/>
  <c r="BE147" i="3"/>
  <c r="BF147" i="3"/>
  <c r="BG147" i="3"/>
  <c r="BH147" i="3"/>
  <c r="BI147" i="3"/>
  <c r="BJ147" i="3"/>
  <c r="BA148" i="3"/>
  <c r="BB148" i="3"/>
  <c r="BC148" i="3"/>
  <c r="BD148" i="3"/>
  <c r="BE148" i="3"/>
  <c r="BF148" i="3"/>
  <c r="BG148" i="3"/>
  <c r="BH148" i="3"/>
  <c r="BI148" i="3"/>
  <c r="BJ148" i="3"/>
  <c r="BA149" i="3"/>
  <c r="BB149" i="3"/>
  <c r="BC149" i="3"/>
  <c r="BD149" i="3"/>
  <c r="BE149" i="3"/>
  <c r="BF149" i="3"/>
  <c r="BG149" i="3"/>
  <c r="BH149" i="3"/>
  <c r="BI149" i="3"/>
  <c r="BJ149" i="3"/>
  <c r="BA150" i="3"/>
  <c r="BB150" i="3"/>
  <c r="BC150" i="3"/>
  <c r="BD150" i="3"/>
  <c r="BE150" i="3"/>
  <c r="BF150" i="3"/>
  <c r="BG150" i="3"/>
  <c r="BH150" i="3"/>
  <c r="BI150" i="3"/>
  <c r="BJ150" i="3"/>
  <c r="BA151" i="3"/>
  <c r="BB151" i="3"/>
  <c r="BC151" i="3"/>
  <c r="BD151" i="3"/>
  <c r="BE151" i="3"/>
  <c r="BF151" i="3"/>
  <c r="BG151" i="3"/>
  <c r="BH151" i="3"/>
  <c r="BI151" i="3"/>
  <c r="BJ151" i="3"/>
  <c r="BA152" i="3"/>
  <c r="BB152" i="3"/>
  <c r="BC152" i="3"/>
  <c r="BD152" i="3"/>
  <c r="BE152" i="3"/>
  <c r="BF152" i="3"/>
  <c r="BG152" i="3"/>
  <c r="BH152" i="3"/>
  <c r="BI152" i="3"/>
  <c r="BJ152" i="3"/>
  <c r="BA153" i="3"/>
  <c r="BB153" i="3"/>
  <c r="BC153" i="3"/>
  <c r="BD153" i="3"/>
  <c r="BE153" i="3"/>
  <c r="BF153" i="3"/>
  <c r="BG153" i="3"/>
  <c r="BH153" i="3"/>
  <c r="BI153" i="3"/>
  <c r="BJ153" i="3"/>
  <c r="BA154" i="3"/>
  <c r="BB154" i="3"/>
  <c r="BC154" i="3"/>
  <c r="BD154" i="3"/>
  <c r="BE154" i="3"/>
  <c r="BF154" i="3"/>
  <c r="BG154" i="3"/>
  <c r="BH154" i="3"/>
  <c r="BI154" i="3"/>
  <c r="BJ154" i="3"/>
  <c r="BA155" i="3"/>
  <c r="BB155" i="3"/>
  <c r="BC155" i="3"/>
  <c r="BD155" i="3"/>
  <c r="BE155" i="3"/>
  <c r="BF155" i="3"/>
  <c r="BG155" i="3"/>
  <c r="BH155" i="3"/>
  <c r="BI155" i="3"/>
  <c r="BJ155" i="3"/>
  <c r="BA156" i="3"/>
  <c r="BB156" i="3"/>
  <c r="BC156" i="3"/>
  <c r="BD156" i="3"/>
  <c r="BE156" i="3"/>
  <c r="BF156" i="3"/>
  <c r="BG156" i="3"/>
  <c r="BH156" i="3"/>
  <c r="BI156" i="3"/>
  <c r="BJ156" i="3"/>
  <c r="BA157" i="3"/>
  <c r="BB157" i="3"/>
  <c r="BC157" i="3"/>
  <c r="BD157" i="3"/>
  <c r="BE157" i="3"/>
  <c r="BF157" i="3"/>
  <c r="BG157" i="3"/>
  <c r="BH157" i="3"/>
  <c r="BI157" i="3"/>
  <c r="BJ157" i="3"/>
  <c r="BA158" i="3"/>
  <c r="BB158" i="3"/>
  <c r="BC158" i="3"/>
  <c r="BD158" i="3"/>
  <c r="BE158" i="3"/>
  <c r="BF158" i="3"/>
  <c r="BG158" i="3"/>
  <c r="BH158" i="3"/>
  <c r="BI158" i="3"/>
  <c r="BJ158" i="3"/>
  <c r="BA159" i="3"/>
  <c r="BB159" i="3"/>
  <c r="BC159" i="3"/>
  <c r="BD159" i="3"/>
  <c r="BE159" i="3"/>
  <c r="BF159" i="3"/>
  <c r="BG159" i="3"/>
  <c r="BH159" i="3"/>
  <c r="BI159" i="3"/>
  <c r="BJ159" i="3"/>
  <c r="BA160" i="3"/>
  <c r="BB160" i="3"/>
  <c r="BC160" i="3"/>
  <c r="BD160" i="3"/>
  <c r="BE160" i="3"/>
  <c r="BF160" i="3"/>
  <c r="BG160" i="3"/>
  <c r="BH160" i="3"/>
  <c r="BI160" i="3"/>
  <c r="BJ160" i="3"/>
  <c r="BA161" i="3"/>
  <c r="BB161" i="3"/>
  <c r="BC161" i="3"/>
  <c r="BD161" i="3"/>
  <c r="BE161" i="3"/>
  <c r="BF161" i="3"/>
  <c r="BG161" i="3"/>
  <c r="BH161" i="3"/>
  <c r="BI161" i="3"/>
  <c r="BJ161" i="3"/>
  <c r="BA162" i="3"/>
  <c r="BB162" i="3"/>
  <c r="BC162" i="3"/>
  <c r="BD162" i="3"/>
  <c r="BE162" i="3"/>
  <c r="BF162" i="3"/>
  <c r="BG162" i="3"/>
  <c r="BH162" i="3"/>
  <c r="BI162" i="3"/>
  <c r="BJ162" i="3"/>
  <c r="BA163" i="3"/>
  <c r="BB163" i="3"/>
  <c r="BC163" i="3"/>
  <c r="BD163" i="3"/>
  <c r="BE163" i="3"/>
  <c r="BF163" i="3"/>
  <c r="BG163" i="3"/>
  <c r="BH163" i="3"/>
  <c r="BI163" i="3"/>
  <c r="BJ163" i="3"/>
  <c r="BA164" i="3"/>
  <c r="BB164" i="3"/>
  <c r="BC164" i="3"/>
  <c r="BD164" i="3"/>
  <c r="BE164" i="3"/>
  <c r="BF164" i="3"/>
  <c r="BG164" i="3"/>
  <c r="BH164" i="3"/>
  <c r="BI164" i="3"/>
  <c r="BJ164" i="3"/>
  <c r="BA165" i="3"/>
  <c r="BB165" i="3"/>
  <c r="BC165" i="3"/>
  <c r="BD165" i="3"/>
  <c r="BE165" i="3"/>
  <c r="BF165" i="3"/>
  <c r="BG165" i="3"/>
  <c r="BH165" i="3"/>
  <c r="BI165" i="3"/>
  <c r="BJ165" i="3"/>
  <c r="BA166" i="3"/>
  <c r="BB166" i="3"/>
  <c r="BC166" i="3"/>
  <c r="BD166" i="3"/>
  <c r="BE166" i="3"/>
  <c r="BF166" i="3"/>
  <c r="BG166" i="3"/>
  <c r="BH166" i="3"/>
  <c r="BI166" i="3"/>
  <c r="BJ166" i="3"/>
  <c r="BA167" i="3"/>
  <c r="BB167" i="3"/>
  <c r="BC167" i="3"/>
  <c r="BD167" i="3"/>
  <c r="BE167" i="3"/>
  <c r="BF167" i="3"/>
  <c r="BG167" i="3"/>
  <c r="BH167" i="3"/>
  <c r="BI167" i="3"/>
  <c r="BJ167" i="3"/>
  <c r="BA168" i="3"/>
  <c r="BB168" i="3"/>
  <c r="BC168" i="3"/>
  <c r="BD168" i="3"/>
  <c r="BE168" i="3"/>
  <c r="BF168" i="3"/>
  <c r="BG168" i="3"/>
  <c r="BH168" i="3"/>
  <c r="BI168" i="3"/>
  <c r="BJ168" i="3"/>
  <c r="BB2" i="3"/>
  <c r="BC2" i="3"/>
  <c r="BD2" i="3"/>
  <c r="BE2" i="3"/>
  <c r="BF2" i="3"/>
  <c r="BG2" i="3"/>
  <c r="BH2" i="3"/>
  <c r="BI2" i="3"/>
  <c r="BJ2" i="3"/>
  <c r="BA2" i="3"/>
  <c r="CI168" i="3"/>
  <c r="CE168" i="3"/>
  <c r="CD168" i="3"/>
  <c r="CB168" i="3"/>
  <c r="CA168" i="3"/>
  <c r="BZ168" i="3"/>
  <c r="AU168" i="3"/>
  <c r="AT168" i="3"/>
  <c r="AS168" i="3"/>
  <c r="AR168" i="3"/>
  <c r="BY168" i="3" s="1"/>
  <c r="CI160" i="3"/>
  <c r="CE160" i="3"/>
  <c r="CB160" i="3"/>
  <c r="CA160" i="3"/>
  <c r="BZ160" i="3"/>
  <c r="AU160" i="3"/>
  <c r="AT160" i="3"/>
  <c r="AS160" i="3"/>
  <c r="AR160" i="3"/>
  <c r="BY160" i="3" s="1"/>
  <c r="CI167" i="3"/>
  <c r="CE167" i="3"/>
  <c r="CD167" i="3"/>
  <c r="CC167" i="3"/>
  <c r="CB167" i="3"/>
  <c r="CA167" i="3"/>
  <c r="BZ167" i="3"/>
  <c r="AU167" i="3"/>
  <c r="AT167" i="3"/>
  <c r="AS167" i="3"/>
  <c r="AR167" i="3"/>
  <c r="CI166" i="3"/>
  <c r="CB166" i="3"/>
  <c r="CA166" i="3"/>
  <c r="BZ166" i="3"/>
  <c r="AU166" i="3"/>
  <c r="AT166" i="3"/>
  <c r="AS166" i="3"/>
  <c r="AR166" i="3"/>
  <c r="BY166" i="3" s="1"/>
  <c r="CI165" i="3"/>
  <c r="CE165" i="3"/>
  <c r="CD165" i="3"/>
  <c r="CB165" i="3"/>
  <c r="CA165" i="3"/>
  <c r="BZ165" i="3"/>
  <c r="AU165" i="3"/>
  <c r="AT165" i="3"/>
  <c r="AS165" i="3"/>
  <c r="AR165" i="3"/>
  <c r="CI164" i="3"/>
  <c r="CE164" i="3"/>
  <c r="CD164" i="3"/>
  <c r="CC164" i="3"/>
  <c r="CB164" i="3"/>
  <c r="CA164" i="3"/>
  <c r="BZ164" i="3"/>
  <c r="AU164" i="3"/>
  <c r="AT164" i="3"/>
  <c r="AS164" i="3"/>
  <c r="AR164" i="3"/>
  <c r="CI163" i="3"/>
  <c r="CE163" i="3"/>
  <c r="CD163" i="3"/>
  <c r="CC163" i="3"/>
  <c r="CB163" i="3"/>
  <c r="CA163" i="3"/>
  <c r="BZ163" i="3"/>
  <c r="AU163" i="3"/>
  <c r="AT163" i="3"/>
  <c r="AS163" i="3"/>
  <c r="AR163" i="3"/>
  <c r="CJ163" i="3" s="1"/>
  <c r="CI162" i="3"/>
  <c r="CE162" i="3"/>
  <c r="CD162" i="3"/>
  <c r="CC162" i="3"/>
  <c r="CB162" i="3"/>
  <c r="CA162" i="3"/>
  <c r="BZ162" i="3"/>
  <c r="AU162" i="3"/>
  <c r="AT162" i="3"/>
  <c r="AS162" i="3"/>
  <c r="AR162" i="3"/>
  <c r="CI161" i="3"/>
  <c r="CE161" i="3"/>
  <c r="CD161" i="3"/>
  <c r="CC161" i="3"/>
  <c r="CB161" i="3"/>
  <c r="CA161" i="3"/>
  <c r="BZ161" i="3"/>
  <c r="AU161" i="3"/>
  <c r="AT161" i="3"/>
  <c r="AS161" i="3"/>
  <c r="AR161" i="3"/>
  <c r="AU159" i="3"/>
  <c r="AU158" i="3"/>
  <c r="AU157" i="3"/>
  <c r="AU156" i="3"/>
  <c r="AU155" i="3"/>
  <c r="AU154" i="3"/>
  <c r="AU153" i="3"/>
  <c r="AU152" i="3"/>
  <c r="AU151" i="3"/>
  <c r="AU150" i="3"/>
  <c r="AU149" i="3"/>
  <c r="AU148" i="3"/>
  <c r="AU147" i="3"/>
  <c r="AU146" i="3"/>
  <c r="AU145" i="3"/>
  <c r="AU144" i="3"/>
  <c r="AU143" i="3"/>
  <c r="AU142" i="3"/>
  <c r="AU141" i="3"/>
  <c r="AU140" i="3"/>
  <c r="AU139" i="3"/>
  <c r="AU138" i="3"/>
  <c r="AU137" i="3"/>
  <c r="AU136" i="3"/>
  <c r="AU135" i="3"/>
  <c r="AU134" i="3"/>
  <c r="AU133" i="3"/>
  <c r="AU132" i="3"/>
  <c r="AU131" i="3"/>
  <c r="AU130" i="3"/>
  <c r="AU129" i="3"/>
  <c r="AU128" i="3"/>
  <c r="AU127" i="3"/>
  <c r="AU126" i="3"/>
  <c r="AU125" i="3"/>
  <c r="AU124" i="3"/>
  <c r="AU123" i="3"/>
  <c r="AU122" i="3"/>
  <c r="AU121" i="3"/>
  <c r="AU120" i="3"/>
  <c r="AU119" i="3"/>
  <c r="AU118" i="3"/>
  <c r="AU117" i="3"/>
  <c r="AU116" i="3"/>
  <c r="AU115" i="3"/>
  <c r="AU114" i="3"/>
  <c r="AU113" i="3"/>
  <c r="AU112" i="3"/>
  <c r="AU111" i="3"/>
  <c r="AU110" i="3"/>
  <c r="AU109" i="3"/>
  <c r="AU108" i="3"/>
  <c r="AU107" i="3"/>
  <c r="AU106" i="3"/>
  <c r="AU105" i="3"/>
  <c r="AU104" i="3"/>
  <c r="AU103" i="3"/>
  <c r="AU102" i="3"/>
  <c r="AU101" i="3"/>
  <c r="AU100" i="3"/>
  <c r="AU99" i="3"/>
  <c r="AU98" i="3"/>
  <c r="AU97" i="3"/>
  <c r="AU96" i="3"/>
  <c r="AU95" i="3"/>
  <c r="AU94" i="3"/>
  <c r="AU93" i="3"/>
  <c r="AU92" i="3"/>
  <c r="AU91" i="3"/>
  <c r="AU90" i="3"/>
  <c r="AU89" i="3"/>
  <c r="AU88" i="3"/>
  <c r="AU87" i="3"/>
  <c r="AU86" i="3"/>
  <c r="AU85" i="3"/>
  <c r="AU84" i="3"/>
  <c r="AU83" i="3"/>
  <c r="AU82" i="3"/>
  <c r="AU81" i="3"/>
  <c r="AU80" i="3"/>
  <c r="AU79" i="3"/>
  <c r="AU78" i="3"/>
  <c r="AU77" i="3"/>
  <c r="AU76" i="3"/>
  <c r="AU75" i="3"/>
  <c r="AU74" i="3"/>
  <c r="AU73" i="3"/>
  <c r="AU72" i="3"/>
  <c r="AU71" i="3"/>
  <c r="AU70" i="3"/>
  <c r="AU69" i="3"/>
  <c r="AU68" i="3"/>
  <c r="AU67" i="3"/>
  <c r="AU66" i="3"/>
  <c r="AU65" i="3"/>
  <c r="AU64" i="3"/>
  <c r="AU63" i="3"/>
  <c r="AU62" i="3"/>
  <c r="AU61" i="3"/>
  <c r="AU60" i="3"/>
  <c r="AU59" i="3"/>
  <c r="AU58" i="3"/>
  <c r="AU57" i="3"/>
  <c r="AU56" i="3"/>
  <c r="AU55" i="3"/>
  <c r="AU54" i="3"/>
  <c r="AU53" i="3"/>
  <c r="AU52" i="3"/>
  <c r="AU51" i="3"/>
  <c r="AU50" i="3"/>
  <c r="AU49" i="3"/>
  <c r="AU48" i="3"/>
  <c r="AU47" i="3"/>
  <c r="AU46" i="3"/>
  <c r="AU45" i="3"/>
  <c r="AU44" i="3"/>
  <c r="AU43" i="3"/>
  <c r="AU42" i="3"/>
  <c r="AU41" i="3"/>
  <c r="AU40" i="3"/>
  <c r="AU39" i="3"/>
  <c r="AU38" i="3"/>
  <c r="AU37" i="3"/>
  <c r="AU36" i="3"/>
  <c r="AU35" i="3"/>
  <c r="AU34" i="3"/>
  <c r="AU33" i="3"/>
  <c r="AU32" i="3"/>
  <c r="AU31" i="3"/>
  <c r="AU30" i="3"/>
  <c r="AU29" i="3"/>
  <c r="AU28" i="3"/>
  <c r="AU27" i="3"/>
  <c r="AU26" i="3"/>
  <c r="AU25" i="3"/>
  <c r="AU24" i="3"/>
  <c r="AU23" i="3"/>
  <c r="AU22" i="3"/>
  <c r="AU21" i="3"/>
  <c r="AU20" i="3"/>
  <c r="AU19" i="3"/>
  <c r="AU18" i="3"/>
  <c r="AU17" i="3"/>
  <c r="AU16" i="3"/>
  <c r="AU15" i="3"/>
  <c r="AU14" i="3"/>
  <c r="AU13" i="3"/>
  <c r="AU12" i="3"/>
  <c r="AU11" i="3"/>
  <c r="AU10" i="3"/>
  <c r="AU9" i="3"/>
  <c r="AU8" i="3"/>
  <c r="AU7" i="3"/>
  <c r="AU6" i="3"/>
  <c r="AU5" i="3"/>
  <c r="AU4" i="3"/>
  <c r="AU3" i="3"/>
  <c r="AU2" i="3"/>
  <c r="CI3" i="3"/>
  <c r="CI4" i="3"/>
  <c r="CI5" i="3"/>
  <c r="CI6" i="3"/>
  <c r="CI7" i="3"/>
  <c r="CI8" i="3"/>
  <c r="CI9" i="3"/>
  <c r="CI10" i="3"/>
  <c r="CI11" i="3"/>
  <c r="CI12" i="3"/>
  <c r="CI13" i="3"/>
  <c r="CI14" i="3"/>
  <c r="CI15" i="3"/>
  <c r="CI16" i="3"/>
  <c r="CI17" i="3"/>
  <c r="CI18" i="3"/>
  <c r="CI19" i="3"/>
  <c r="CI20" i="3"/>
  <c r="CI21" i="3"/>
  <c r="CI22" i="3"/>
  <c r="CI23" i="3"/>
  <c r="CI24" i="3"/>
  <c r="CI25" i="3"/>
  <c r="CI26" i="3"/>
  <c r="CI27" i="3"/>
  <c r="CI28" i="3"/>
  <c r="CI29" i="3"/>
  <c r="CI30" i="3"/>
  <c r="CI31" i="3"/>
  <c r="CI32" i="3"/>
  <c r="CI33" i="3"/>
  <c r="CI34" i="3"/>
  <c r="CI35" i="3"/>
  <c r="CI36" i="3"/>
  <c r="CI37" i="3"/>
  <c r="CI38" i="3"/>
  <c r="CI39" i="3"/>
  <c r="CI40" i="3"/>
  <c r="CI41" i="3"/>
  <c r="CI42" i="3"/>
  <c r="CI43" i="3"/>
  <c r="CI44" i="3"/>
  <c r="CI45" i="3"/>
  <c r="CI46" i="3"/>
  <c r="CI47" i="3"/>
  <c r="CI48" i="3"/>
  <c r="CI49" i="3"/>
  <c r="CI50" i="3"/>
  <c r="CI51" i="3"/>
  <c r="CI52" i="3"/>
  <c r="CI53" i="3"/>
  <c r="CI54" i="3"/>
  <c r="CI55" i="3"/>
  <c r="CI56" i="3"/>
  <c r="CI57" i="3"/>
  <c r="CI58" i="3"/>
  <c r="CI59" i="3"/>
  <c r="CI60" i="3"/>
  <c r="CI61" i="3"/>
  <c r="CI62" i="3"/>
  <c r="CI63" i="3"/>
  <c r="CI64" i="3"/>
  <c r="CI65" i="3"/>
  <c r="CI66" i="3"/>
  <c r="CI67" i="3"/>
  <c r="CI68" i="3"/>
  <c r="CI69" i="3"/>
  <c r="CI70" i="3"/>
  <c r="CI71" i="3"/>
  <c r="CI72" i="3"/>
  <c r="CI73" i="3"/>
  <c r="CI74" i="3"/>
  <c r="CI75" i="3"/>
  <c r="CI76" i="3"/>
  <c r="CI77" i="3"/>
  <c r="CI78" i="3"/>
  <c r="CI79" i="3"/>
  <c r="CI80" i="3"/>
  <c r="CI81" i="3"/>
  <c r="CI82" i="3"/>
  <c r="CI83" i="3"/>
  <c r="CI84" i="3"/>
  <c r="CI85" i="3"/>
  <c r="CI86" i="3"/>
  <c r="CI87" i="3"/>
  <c r="CI88" i="3"/>
  <c r="CI89" i="3"/>
  <c r="CI90" i="3"/>
  <c r="CI91" i="3"/>
  <c r="CI92" i="3"/>
  <c r="CI93" i="3"/>
  <c r="CI94" i="3"/>
  <c r="CI95" i="3"/>
  <c r="CI96" i="3"/>
  <c r="CI97" i="3"/>
  <c r="CI98" i="3"/>
  <c r="CI99" i="3"/>
  <c r="CI100" i="3"/>
  <c r="CI101" i="3"/>
  <c r="CI102" i="3"/>
  <c r="CI103" i="3"/>
  <c r="CI104" i="3"/>
  <c r="CI105" i="3"/>
  <c r="CI106" i="3"/>
  <c r="CI107" i="3"/>
  <c r="CI108" i="3"/>
  <c r="CI109" i="3"/>
  <c r="CI110" i="3"/>
  <c r="CI111" i="3"/>
  <c r="CI112" i="3"/>
  <c r="CI113" i="3"/>
  <c r="CI114" i="3"/>
  <c r="CI115" i="3"/>
  <c r="CI116" i="3"/>
  <c r="CI117" i="3"/>
  <c r="CI118" i="3"/>
  <c r="CI119" i="3"/>
  <c r="CI120" i="3"/>
  <c r="CI121" i="3"/>
  <c r="CI122" i="3"/>
  <c r="CI123" i="3"/>
  <c r="CI124" i="3"/>
  <c r="CI125" i="3"/>
  <c r="CI126" i="3"/>
  <c r="CI127" i="3"/>
  <c r="CI128" i="3"/>
  <c r="CI129" i="3"/>
  <c r="CI130" i="3"/>
  <c r="CI131" i="3"/>
  <c r="CI132" i="3"/>
  <c r="CI133" i="3"/>
  <c r="CI134" i="3"/>
  <c r="CI135" i="3"/>
  <c r="CI136" i="3"/>
  <c r="CI137" i="3"/>
  <c r="CI138" i="3"/>
  <c r="CI139" i="3"/>
  <c r="CI140" i="3"/>
  <c r="CI141" i="3"/>
  <c r="CI142" i="3"/>
  <c r="CI143" i="3"/>
  <c r="CI144" i="3"/>
  <c r="CI145" i="3"/>
  <c r="CI146" i="3"/>
  <c r="CI147" i="3"/>
  <c r="CI148" i="3"/>
  <c r="CI149" i="3"/>
  <c r="CI150" i="3"/>
  <c r="CI151" i="3"/>
  <c r="CI152" i="3"/>
  <c r="CI153" i="3"/>
  <c r="CI154" i="3"/>
  <c r="CI155" i="3"/>
  <c r="CI156" i="3"/>
  <c r="CI157" i="3"/>
  <c r="CI158" i="3"/>
  <c r="CI159" i="3"/>
  <c r="CI2" i="3"/>
  <c r="AR3" i="3"/>
  <c r="BY3" i="3" s="1"/>
  <c r="AR4" i="3"/>
  <c r="BY4" i="3" s="1"/>
  <c r="AR5" i="3"/>
  <c r="BY5" i="3" s="1"/>
  <c r="AR6" i="3"/>
  <c r="BY6" i="3" s="1"/>
  <c r="AR7" i="3"/>
  <c r="AR8" i="3"/>
  <c r="BY8" i="3" s="1"/>
  <c r="AR9" i="3"/>
  <c r="AR10" i="3"/>
  <c r="AR11" i="3"/>
  <c r="CG11" i="3" s="1"/>
  <c r="AR12" i="3"/>
  <c r="AR13" i="3"/>
  <c r="BY13" i="3" s="1"/>
  <c r="AR14" i="3"/>
  <c r="AR15" i="3"/>
  <c r="AR16" i="3"/>
  <c r="CH16" i="3" s="1"/>
  <c r="AR17" i="3"/>
  <c r="AR18" i="3"/>
  <c r="AR19" i="3"/>
  <c r="AR20" i="3"/>
  <c r="CH20" i="3" s="1"/>
  <c r="AR21" i="3"/>
  <c r="AR22" i="3"/>
  <c r="AR23" i="3"/>
  <c r="BY23" i="3" s="1"/>
  <c r="AR24" i="3"/>
  <c r="BY24" i="3" s="1"/>
  <c r="AR25" i="3"/>
  <c r="AR26" i="3"/>
  <c r="CG26" i="3" s="1"/>
  <c r="AR27" i="3"/>
  <c r="AR28" i="3"/>
  <c r="AR29" i="3"/>
  <c r="AR30" i="3"/>
  <c r="CG30" i="3" s="1"/>
  <c r="AR31" i="3"/>
  <c r="AR32" i="3"/>
  <c r="AR33" i="3"/>
  <c r="AR34" i="3"/>
  <c r="CG34" i="3" s="1"/>
  <c r="AR35" i="3"/>
  <c r="AR36" i="3"/>
  <c r="AR37" i="3"/>
  <c r="AR38" i="3"/>
  <c r="CG38" i="3" s="1"/>
  <c r="AR39" i="3"/>
  <c r="AR40" i="3"/>
  <c r="AR41" i="3"/>
  <c r="AR42" i="3"/>
  <c r="CG42" i="3" s="1"/>
  <c r="AR43" i="3"/>
  <c r="AR44" i="3"/>
  <c r="AR45" i="3"/>
  <c r="AR46" i="3"/>
  <c r="CG46" i="3" s="1"/>
  <c r="AR47" i="3"/>
  <c r="BY47" i="3" s="1"/>
  <c r="AR48" i="3"/>
  <c r="AR49" i="3"/>
  <c r="AR50" i="3"/>
  <c r="AR51" i="3"/>
  <c r="CJ51" i="3" s="1"/>
  <c r="AR52" i="3"/>
  <c r="AR53" i="3"/>
  <c r="AR54" i="3"/>
  <c r="AR55" i="3"/>
  <c r="CJ55" i="3" s="1"/>
  <c r="AR56" i="3"/>
  <c r="AR57" i="3"/>
  <c r="AR58" i="3"/>
  <c r="AR59" i="3"/>
  <c r="CJ59" i="3" s="1"/>
  <c r="AR60" i="3"/>
  <c r="AR61" i="3"/>
  <c r="AR62" i="3"/>
  <c r="BY62" i="3" s="1"/>
  <c r="AR63" i="3"/>
  <c r="AR64" i="3"/>
  <c r="BY64" i="3" s="1"/>
  <c r="AR65" i="3"/>
  <c r="CH65" i="3" s="1"/>
  <c r="AR66" i="3"/>
  <c r="AR67" i="3"/>
  <c r="AR68" i="3"/>
  <c r="AR69" i="3"/>
  <c r="CH69" i="3" s="1"/>
  <c r="AR70" i="3"/>
  <c r="AR71" i="3"/>
  <c r="AR72" i="3"/>
  <c r="AR73" i="3"/>
  <c r="BY73" i="3" s="1"/>
  <c r="AR74" i="3"/>
  <c r="CJ74" i="3" s="1"/>
  <c r="AR75" i="3"/>
  <c r="BY75" i="3" s="1"/>
  <c r="AR76" i="3"/>
  <c r="AR77" i="3"/>
  <c r="AR78" i="3"/>
  <c r="AR79" i="3"/>
  <c r="CJ79" i="3" s="1"/>
  <c r="AR80" i="3"/>
  <c r="AR81" i="3"/>
  <c r="BY81" i="3" s="1"/>
  <c r="AR82" i="3"/>
  <c r="AR83" i="3"/>
  <c r="AR84" i="3"/>
  <c r="BY84" i="3" s="1"/>
  <c r="AR85" i="3"/>
  <c r="BY85" i="3" s="1"/>
  <c r="AR86" i="3"/>
  <c r="CJ86" i="3" s="1"/>
  <c r="AR87" i="3"/>
  <c r="BY87" i="3" s="1"/>
  <c r="AR88" i="3"/>
  <c r="BY88" i="3" s="1"/>
  <c r="AR89" i="3"/>
  <c r="BY89" i="3" s="1"/>
  <c r="AR90" i="3"/>
  <c r="AR91" i="3"/>
  <c r="AR92" i="3"/>
  <c r="AR93" i="3"/>
  <c r="CH93" i="3" s="1"/>
  <c r="AR94" i="3"/>
  <c r="AR95" i="3"/>
  <c r="AR96" i="3"/>
  <c r="AR97" i="3"/>
  <c r="CH97" i="3" s="1"/>
  <c r="AR98" i="3"/>
  <c r="BY98" i="3" s="1"/>
  <c r="AR99" i="3"/>
  <c r="AR100" i="3"/>
  <c r="AR101" i="3"/>
  <c r="AR102" i="3"/>
  <c r="CH102" i="3" s="1"/>
  <c r="AR103" i="3"/>
  <c r="AR104" i="3"/>
  <c r="AR105" i="3"/>
  <c r="AR106" i="3"/>
  <c r="CH106" i="3" s="1"/>
  <c r="AR107" i="3"/>
  <c r="AR108" i="3"/>
  <c r="BY108" i="3" s="1"/>
  <c r="AR109" i="3"/>
  <c r="AR110" i="3"/>
  <c r="BY110" i="3" s="1"/>
  <c r="AR111" i="3"/>
  <c r="AR112" i="3"/>
  <c r="BY112" i="3" s="1"/>
  <c r="AR113" i="3"/>
  <c r="BY113" i="3" s="1"/>
  <c r="AR114" i="3"/>
  <c r="BY114" i="3" s="1"/>
  <c r="AR115" i="3"/>
  <c r="BY115" i="3" s="1"/>
  <c r="AR116" i="3"/>
  <c r="CH116" i="3" s="1"/>
  <c r="AR117" i="3"/>
  <c r="AR118" i="3"/>
  <c r="BY118" i="3" s="1"/>
  <c r="AR119" i="3"/>
  <c r="AR120" i="3"/>
  <c r="AR121" i="3"/>
  <c r="BY121" i="3" s="1"/>
  <c r="AR122" i="3"/>
  <c r="BY122" i="3" s="1"/>
  <c r="AR123" i="3"/>
  <c r="CH123" i="3" s="1"/>
  <c r="AR124" i="3"/>
  <c r="AR125" i="3"/>
  <c r="BY125" i="3" s="1"/>
  <c r="AR126" i="3"/>
  <c r="BY126" i="3" s="1"/>
  <c r="AR127" i="3"/>
  <c r="BY127" i="3" s="1"/>
  <c r="AR128" i="3"/>
  <c r="AR129" i="3"/>
  <c r="AR130" i="3"/>
  <c r="CH130" i="3" s="1"/>
  <c r="AR131" i="3"/>
  <c r="AR132" i="3"/>
  <c r="BY132" i="3" s="1"/>
  <c r="AR133" i="3"/>
  <c r="AR134" i="3"/>
  <c r="AR135" i="3"/>
  <c r="CH135" i="3" s="1"/>
  <c r="AR136" i="3"/>
  <c r="AR137" i="3"/>
  <c r="AR138" i="3"/>
  <c r="AR139" i="3"/>
  <c r="CH139" i="3" s="1"/>
  <c r="AR140" i="3"/>
  <c r="AR141" i="3"/>
  <c r="AR142" i="3"/>
  <c r="BY142" i="3" s="1"/>
  <c r="AR143" i="3"/>
  <c r="AR144" i="3"/>
  <c r="CH144" i="3" s="1"/>
  <c r="AR145" i="3"/>
  <c r="AR146" i="3"/>
  <c r="AR147" i="3"/>
  <c r="AR148" i="3"/>
  <c r="CH148" i="3" s="1"/>
  <c r="AR149" i="3"/>
  <c r="AR150" i="3"/>
  <c r="BY150" i="3" s="1"/>
  <c r="AR151" i="3"/>
  <c r="AR152" i="3"/>
  <c r="BY152" i="3" s="1"/>
  <c r="AR153" i="3"/>
  <c r="BY153" i="3" s="1"/>
  <c r="AR154" i="3"/>
  <c r="BY154" i="3" s="1"/>
  <c r="AR155" i="3"/>
  <c r="BY155" i="3" s="1"/>
  <c r="AR156" i="3"/>
  <c r="AR157" i="3"/>
  <c r="CG157" i="3" s="1"/>
  <c r="AR158" i="3"/>
  <c r="AR159" i="3"/>
  <c r="BY159" i="3" s="1"/>
  <c r="AR2" i="3"/>
  <c r="BY2" i="3" s="1"/>
  <c r="CE3" i="3"/>
  <c r="CE4" i="3"/>
  <c r="CE5" i="3"/>
  <c r="CE6" i="3"/>
  <c r="CE7" i="3"/>
  <c r="CE8" i="3"/>
  <c r="CE9" i="3"/>
  <c r="CE10" i="3"/>
  <c r="CE11" i="3"/>
  <c r="CE12" i="3"/>
  <c r="CE13" i="3"/>
  <c r="CE14" i="3"/>
  <c r="CE15" i="3"/>
  <c r="CE16" i="3"/>
  <c r="CE17" i="3"/>
  <c r="CE18" i="3"/>
  <c r="CE19" i="3"/>
  <c r="CE20" i="3"/>
  <c r="CE21" i="3"/>
  <c r="CE22" i="3"/>
  <c r="CE23" i="3"/>
  <c r="CE24" i="3"/>
  <c r="CE25" i="3"/>
  <c r="CE26" i="3"/>
  <c r="CE27" i="3"/>
  <c r="CE28" i="3"/>
  <c r="CE29" i="3"/>
  <c r="CE30" i="3"/>
  <c r="CE31" i="3"/>
  <c r="CE32" i="3"/>
  <c r="CE33" i="3"/>
  <c r="CE34" i="3"/>
  <c r="CE35" i="3"/>
  <c r="CE36" i="3"/>
  <c r="CE37" i="3"/>
  <c r="CE38" i="3"/>
  <c r="CE39" i="3"/>
  <c r="CE40" i="3"/>
  <c r="CE41" i="3"/>
  <c r="CE42" i="3"/>
  <c r="CE43" i="3"/>
  <c r="CE44" i="3"/>
  <c r="CE45" i="3"/>
  <c r="CE46" i="3"/>
  <c r="CE47" i="3"/>
  <c r="CE48" i="3"/>
  <c r="CE49" i="3"/>
  <c r="CE50" i="3"/>
  <c r="CE51" i="3"/>
  <c r="CE52" i="3"/>
  <c r="CE53" i="3"/>
  <c r="CE54" i="3"/>
  <c r="CE55" i="3"/>
  <c r="CE56" i="3"/>
  <c r="CE57" i="3"/>
  <c r="CE58" i="3"/>
  <c r="CE59" i="3"/>
  <c r="CE60" i="3"/>
  <c r="CE61" i="3"/>
  <c r="CE62" i="3"/>
  <c r="CE63" i="3"/>
  <c r="CE64" i="3"/>
  <c r="CE65" i="3"/>
  <c r="CE66" i="3"/>
  <c r="CE67" i="3"/>
  <c r="CE68" i="3"/>
  <c r="CE69" i="3"/>
  <c r="CE70" i="3"/>
  <c r="CE71" i="3"/>
  <c r="CE72" i="3"/>
  <c r="CE73" i="3"/>
  <c r="CE74" i="3"/>
  <c r="CE75" i="3"/>
  <c r="CE76" i="3"/>
  <c r="CE77" i="3"/>
  <c r="CE78" i="3"/>
  <c r="CE79" i="3"/>
  <c r="CE80" i="3"/>
  <c r="CE81" i="3"/>
  <c r="CE82" i="3"/>
  <c r="CE83" i="3"/>
  <c r="CE84" i="3"/>
  <c r="CE85" i="3"/>
  <c r="CE86" i="3"/>
  <c r="CE87" i="3"/>
  <c r="CE88" i="3"/>
  <c r="CE89" i="3"/>
  <c r="CE90" i="3"/>
  <c r="CE91" i="3"/>
  <c r="CE92" i="3"/>
  <c r="CE93" i="3"/>
  <c r="CE94" i="3"/>
  <c r="CE95" i="3"/>
  <c r="CE96" i="3"/>
  <c r="CE97" i="3"/>
  <c r="CE98" i="3"/>
  <c r="CE99" i="3"/>
  <c r="CE100" i="3"/>
  <c r="CE101" i="3"/>
  <c r="CE102" i="3"/>
  <c r="CE103" i="3"/>
  <c r="CE104" i="3"/>
  <c r="CE105" i="3"/>
  <c r="CE106" i="3"/>
  <c r="CE107" i="3"/>
  <c r="CE108" i="3"/>
  <c r="CE109" i="3"/>
  <c r="CE110" i="3"/>
  <c r="CE111" i="3"/>
  <c r="CE112" i="3"/>
  <c r="CE114" i="3"/>
  <c r="CE115" i="3"/>
  <c r="CE116" i="3"/>
  <c r="CE117" i="3"/>
  <c r="CE118" i="3"/>
  <c r="CE119" i="3"/>
  <c r="CE120" i="3"/>
  <c r="CE121" i="3"/>
  <c r="CE122" i="3"/>
  <c r="CE123" i="3"/>
  <c r="CE124" i="3"/>
  <c r="CE125" i="3"/>
  <c r="CE126" i="3"/>
  <c r="CE127" i="3"/>
  <c r="CE128" i="3"/>
  <c r="CE129" i="3"/>
  <c r="CE130" i="3"/>
  <c r="CE131" i="3"/>
  <c r="CE132" i="3"/>
  <c r="CE133" i="3"/>
  <c r="CE134" i="3"/>
  <c r="CE135" i="3"/>
  <c r="CE136" i="3"/>
  <c r="CE137" i="3"/>
  <c r="CE138" i="3"/>
  <c r="CE139" i="3"/>
  <c r="CE140" i="3"/>
  <c r="CE141" i="3"/>
  <c r="CE142" i="3"/>
  <c r="CE143" i="3"/>
  <c r="CE144" i="3"/>
  <c r="CE145" i="3"/>
  <c r="CE146" i="3"/>
  <c r="CE147" i="3"/>
  <c r="CE148" i="3"/>
  <c r="CE149" i="3"/>
  <c r="CE150" i="3"/>
  <c r="CE151" i="3"/>
  <c r="CE152" i="3"/>
  <c r="CE153" i="3"/>
  <c r="CE154" i="3"/>
  <c r="CE155" i="3"/>
  <c r="CE156" i="3"/>
  <c r="CE157" i="3"/>
  <c r="CE158" i="3"/>
  <c r="CE159" i="3"/>
  <c r="CE2" i="3"/>
  <c r="CD3" i="3"/>
  <c r="CD4" i="3"/>
  <c r="CD6" i="3"/>
  <c r="CD7" i="3"/>
  <c r="CD8" i="3"/>
  <c r="CD9" i="3"/>
  <c r="CD10" i="3"/>
  <c r="CD11" i="3"/>
  <c r="CD12" i="3"/>
  <c r="CD13" i="3"/>
  <c r="CD14" i="3"/>
  <c r="CD15" i="3"/>
  <c r="CD16" i="3"/>
  <c r="CD17" i="3"/>
  <c r="CD18" i="3"/>
  <c r="CD19" i="3"/>
  <c r="CD20" i="3"/>
  <c r="CD21" i="3"/>
  <c r="CD22" i="3"/>
  <c r="CD23" i="3"/>
  <c r="CD24" i="3"/>
  <c r="CD25" i="3"/>
  <c r="CD26" i="3"/>
  <c r="CD27" i="3"/>
  <c r="CD28" i="3"/>
  <c r="CD29" i="3"/>
  <c r="CD30" i="3"/>
  <c r="CD31" i="3"/>
  <c r="CD32" i="3"/>
  <c r="CD33" i="3"/>
  <c r="CD34" i="3"/>
  <c r="CD35" i="3"/>
  <c r="CD36" i="3"/>
  <c r="CD37" i="3"/>
  <c r="CD38" i="3"/>
  <c r="CD39" i="3"/>
  <c r="CD40" i="3"/>
  <c r="CD41" i="3"/>
  <c r="CD42" i="3"/>
  <c r="CD43" i="3"/>
  <c r="CD44" i="3"/>
  <c r="CD45" i="3"/>
  <c r="CD46" i="3"/>
  <c r="CD47" i="3"/>
  <c r="CD48" i="3"/>
  <c r="CD49" i="3"/>
  <c r="CD50" i="3"/>
  <c r="CD51" i="3"/>
  <c r="CD52" i="3"/>
  <c r="CD53" i="3"/>
  <c r="CD54" i="3"/>
  <c r="CD55" i="3"/>
  <c r="CD56" i="3"/>
  <c r="CD57" i="3"/>
  <c r="CD58" i="3"/>
  <c r="CD59" i="3"/>
  <c r="CD60" i="3"/>
  <c r="CD61" i="3"/>
  <c r="CD62" i="3"/>
  <c r="CD63" i="3"/>
  <c r="CD64" i="3"/>
  <c r="CD65" i="3"/>
  <c r="CD66" i="3"/>
  <c r="CD67" i="3"/>
  <c r="CD68" i="3"/>
  <c r="CD69" i="3"/>
  <c r="CD70" i="3"/>
  <c r="CD71" i="3"/>
  <c r="CD72" i="3"/>
  <c r="CD73" i="3"/>
  <c r="CD74" i="3"/>
  <c r="CD76" i="3"/>
  <c r="CD77" i="3"/>
  <c r="CD78" i="3"/>
  <c r="CD79" i="3"/>
  <c r="CD80" i="3"/>
  <c r="CD81" i="3"/>
  <c r="CD82" i="3"/>
  <c r="CD83" i="3"/>
  <c r="CD84" i="3"/>
  <c r="CD85" i="3"/>
  <c r="CD86" i="3"/>
  <c r="CD87" i="3"/>
  <c r="CD88" i="3"/>
  <c r="CD89" i="3"/>
  <c r="CD90" i="3"/>
  <c r="CD91" i="3"/>
  <c r="CD92" i="3"/>
  <c r="CD93" i="3"/>
  <c r="CD94" i="3"/>
  <c r="CD95" i="3"/>
  <c r="CD96" i="3"/>
  <c r="CD97" i="3"/>
  <c r="CD98" i="3"/>
  <c r="CD99" i="3"/>
  <c r="CD100" i="3"/>
  <c r="CD101" i="3"/>
  <c r="CD102" i="3"/>
  <c r="CD103" i="3"/>
  <c r="CD104" i="3"/>
  <c r="CD105" i="3"/>
  <c r="CD106" i="3"/>
  <c r="CD107" i="3"/>
  <c r="CD108" i="3"/>
  <c r="CD109" i="3"/>
  <c r="CD110" i="3"/>
  <c r="CD111" i="3"/>
  <c r="CD112" i="3"/>
  <c r="CD115" i="3"/>
  <c r="CD116" i="3"/>
  <c r="CD117" i="3"/>
  <c r="CD118" i="3"/>
  <c r="CD119" i="3"/>
  <c r="CD120" i="3"/>
  <c r="CD121" i="3"/>
  <c r="CD122" i="3"/>
  <c r="CD123" i="3"/>
  <c r="CD124" i="3"/>
  <c r="CD125" i="3"/>
  <c r="CD126" i="3"/>
  <c r="CD127" i="3"/>
  <c r="CD128" i="3"/>
  <c r="CD129" i="3"/>
  <c r="CD130" i="3"/>
  <c r="CD131" i="3"/>
  <c r="CD133" i="3"/>
  <c r="CD134" i="3"/>
  <c r="CD135" i="3"/>
  <c r="CD136" i="3"/>
  <c r="CD137" i="3"/>
  <c r="CD138" i="3"/>
  <c r="CD139" i="3"/>
  <c r="CD140" i="3"/>
  <c r="CD141" i="3"/>
  <c r="CD142" i="3"/>
  <c r="CD143" i="3"/>
  <c r="CD144" i="3"/>
  <c r="CD145" i="3"/>
  <c r="CD146" i="3"/>
  <c r="CD147" i="3"/>
  <c r="CD148" i="3"/>
  <c r="CD149" i="3"/>
  <c r="CD150" i="3"/>
  <c r="CD151" i="3"/>
  <c r="CD152" i="3"/>
  <c r="CD153" i="3"/>
  <c r="CD154" i="3"/>
  <c r="CD155" i="3"/>
  <c r="CD156" i="3"/>
  <c r="CD157" i="3"/>
  <c r="CD158" i="3"/>
  <c r="CD2" i="3"/>
  <c r="CC7" i="3"/>
  <c r="CC8" i="3"/>
  <c r="CC9" i="3"/>
  <c r="CC10" i="3"/>
  <c r="CC11" i="3"/>
  <c r="CC12" i="3"/>
  <c r="CC13" i="3"/>
  <c r="CC14" i="3"/>
  <c r="CC15" i="3"/>
  <c r="CC16" i="3"/>
  <c r="CC17" i="3"/>
  <c r="CC18" i="3"/>
  <c r="CC20" i="3"/>
  <c r="CC21" i="3"/>
  <c r="CC22" i="3"/>
  <c r="CC23" i="3"/>
  <c r="CC25" i="3"/>
  <c r="CC26" i="3"/>
  <c r="CC27" i="3"/>
  <c r="CC28" i="3"/>
  <c r="CC29" i="3"/>
  <c r="CC30" i="3"/>
  <c r="CC31" i="3"/>
  <c r="CC32" i="3"/>
  <c r="CC33" i="3"/>
  <c r="CC34" i="3"/>
  <c r="CC35" i="3"/>
  <c r="CC36" i="3"/>
  <c r="CC37" i="3"/>
  <c r="CC38" i="3"/>
  <c r="CC39" i="3"/>
  <c r="CC40" i="3"/>
  <c r="CC41" i="3"/>
  <c r="CC42" i="3"/>
  <c r="CC43" i="3"/>
  <c r="CC44" i="3"/>
  <c r="CC45" i="3"/>
  <c r="CC46" i="3"/>
  <c r="CC47" i="3"/>
  <c r="CC48" i="3"/>
  <c r="CC49" i="3"/>
  <c r="CC50" i="3"/>
  <c r="CC51" i="3"/>
  <c r="CC52" i="3"/>
  <c r="CC53" i="3"/>
  <c r="CC54" i="3"/>
  <c r="CC55" i="3"/>
  <c r="CC56" i="3"/>
  <c r="CC57" i="3"/>
  <c r="CC58" i="3"/>
  <c r="CC59" i="3"/>
  <c r="CC60" i="3"/>
  <c r="CC61" i="3"/>
  <c r="CC63" i="3"/>
  <c r="CC64" i="3"/>
  <c r="CC65" i="3"/>
  <c r="CC66" i="3"/>
  <c r="CC67" i="3"/>
  <c r="CC68" i="3"/>
  <c r="CC69" i="3"/>
  <c r="CC70" i="3"/>
  <c r="CC71" i="3"/>
  <c r="CC72" i="3"/>
  <c r="CC73" i="3"/>
  <c r="CC74" i="3"/>
  <c r="CC76" i="3"/>
  <c r="CC77" i="3"/>
  <c r="CC78" i="3"/>
  <c r="CC79" i="3"/>
  <c r="CC80" i="3"/>
  <c r="CC81" i="3"/>
  <c r="CC82" i="3"/>
  <c r="CC83" i="3"/>
  <c r="CC84" i="3"/>
  <c r="CC85" i="3"/>
  <c r="CC86" i="3"/>
  <c r="CC87" i="3"/>
  <c r="CC88" i="3"/>
  <c r="CC89" i="3"/>
  <c r="CC90" i="3"/>
  <c r="CC91" i="3"/>
  <c r="CC92" i="3"/>
  <c r="CC93" i="3"/>
  <c r="CC94" i="3"/>
  <c r="CC95" i="3"/>
  <c r="CC96" i="3"/>
  <c r="CC97" i="3"/>
  <c r="CC99" i="3"/>
  <c r="CC100" i="3"/>
  <c r="CC101" i="3"/>
  <c r="CC102" i="3"/>
  <c r="CC103" i="3"/>
  <c r="CC104" i="3"/>
  <c r="CC105" i="3"/>
  <c r="CC107" i="3"/>
  <c r="CC108" i="3"/>
  <c r="CC109" i="3"/>
  <c r="CC110" i="3"/>
  <c r="CC111" i="3"/>
  <c r="CC112" i="3"/>
  <c r="CC115" i="3"/>
  <c r="CC116" i="3"/>
  <c r="CC117" i="3"/>
  <c r="CC119" i="3"/>
  <c r="CC120" i="3"/>
  <c r="CC121" i="3"/>
  <c r="CC122" i="3"/>
  <c r="CC123" i="3"/>
  <c r="CC124" i="3"/>
  <c r="CC125" i="3"/>
  <c r="CC126" i="3"/>
  <c r="CC127" i="3"/>
  <c r="CC128" i="3"/>
  <c r="CC129" i="3"/>
  <c r="CC130" i="3"/>
  <c r="CC131" i="3"/>
  <c r="CC133" i="3"/>
  <c r="CC134" i="3"/>
  <c r="CC135" i="3"/>
  <c r="CC136" i="3"/>
  <c r="CC137" i="3"/>
  <c r="CC138" i="3"/>
  <c r="CC139" i="3"/>
  <c r="CC140" i="3"/>
  <c r="CC141" i="3"/>
  <c r="CC142" i="3"/>
  <c r="CC143" i="3"/>
  <c r="CC144" i="3"/>
  <c r="CC145" i="3"/>
  <c r="CC146" i="3"/>
  <c r="CC147" i="3"/>
  <c r="CC148" i="3"/>
  <c r="CC149" i="3"/>
  <c r="CC151" i="3"/>
  <c r="CC153" i="3"/>
  <c r="CC154" i="3"/>
  <c r="CC155" i="3"/>
  <c r="CC156" i="3"/>
  <c r="CC157" i="3"/>
  <c r="CC158" i="3"/>
  <c r="CB159" i="3"/>
  <c r="CA159" i="3"/>
  <c r="BZ159" i="3"/>
  <c r="CB158" i="3"/>
  <c r="CA158" i="3"/>
  <c r="BZ158" i="3"/>
  <c r="CB157" i="3"/>
  <c r="CA157" i="3"/>
  <c r="BZ157" i="3"/>
  <c r="CB156" i="3"/>
  <c r="CA156" i="3"/>
  <c r="BZ156" i="3"/>
  <c r="CB155" i="3"/>
  <c r="CA155" i="3"/>
  <c r="BZ155" i="3"/>
  <c r="CB154" i="3"/>
  <c r="CA154" i="3"/>
  <c r="BZ154" i="3"/>
  <c r="CB153" i="3"/>
  <c r="CA153" i="3"/>
  <c r="BZ153" i="3"/>
  <c r="CB152" i="3"/>
  <c r="CA152" i="3"/>
  <c r="BZ152" i="3"/>
  <c r="CB151" i="3"/>
  <c r="CA151" i="3"/>
  <c r="BZ151" i="3"/>
  <c r="CB150" i="3"/>
  <c r="CA150" i="3"/>
  <c r="BZ150" i="3"/>
  <c r="CB149" i="3"/>
  <c r="CA149" i="3"/>
  <c r="BZ149" i="3"/>
  <c r="CB148" i="3"/>
  <c r="CA148" i="3"/>
  <c r="BZ148" i="3"/>
  <c r="CB147" i="3"/>
  <c r="CA147" i="3"/>
  <c r="BZ147" i="3"/>
  <c r="CB146" i="3"/>
  <c r="CA146" i="3"/>
  <c r="BZ146" i="3"/>
  <c r="CB145" i="3"/>
  <c r="CA145" i="3"/>
  <c r="BZ145" i="3"/>
  <c r="CB144" i="3"/>
  <c r="CA144" i="3"/>
  <c r="BZ144" i="3"/>
  <c r="CB143" i="3"/>
  <c r="CA143" i="3"/>
  <c r="BZ143" i="3"/>
  <c r="CB142" i="3"/>
  <c r="CA142" i="3"/>
  <c r="BZ142" i="3"/>
  <c r="CB141" i="3"/>
  <c r="CA141" i="3"/>
  <c r="BZ141" i="3"/>
  <c r="CB140" i="3"/>
  <c r="CA140" i="3"/>
  <c r="BZ140" i="3"/>
  <c r="CB139" i="3"/>
  <c r="CA139" i="3"/>
  <c r="BZ139" i="3"/>
  <c r="CB138" i="3"/>
  <c r="CA138" i="3"/>
  <c r="BZ138" i="3"/>
  <c r="CB137" i="3"/>
  <c r="CA137" i="3"/>
  <c r="BZ137" i="3"/>
  <c r="CB136" i="3"/>
  <c r="CA136" i="3"/>
  <c r="BZ136" i="3"/>
  <c r="CB135" i="3"/>
  <c r="CA135" i="3"/>
  <c r="BZ135" i="3"/>
  <c r="CB134" i="3"/>
  <c r="CA134" i="3"/>
  <c r="BZ134" i="3"/>
  <c r="CB133" i="3"/>
  <c r="CA133" i="3"/>
  <c r="BZ133" i="3"/>
  <c r="CB132" i="3"/>
  <c r="CA132" i="3"/>
  <c r="BZ132" i="3"/>
  <c r="CB131" i="3"/>
  <c r="CA131" i="3"/>
  <c r="BZ131" i="3"/>
  <c r="CB130" i="3"/>
  <c r="CA130" i="3"/>
  <c r="BZ130" i="3"/>
  <c r="CB129" i="3"/>
  <c r="CA129" i="3"/>
  <c r="BZ129" i="3"/>
  <c r="CB128" i="3"/>
  <c r="CA128" i="3"/>
  <c r="BZ128" i="3"/>
  <c r="CB127" i="3"/>
  <c r="CA127" i="3"/>
  <c r="BZ127" i="3"/>
  <c r="CB126" i="3"/>
  <c r="CA126" i="3"/>
  <c r="BZ126" i="3"/>
  <c r="CB125" i="3"/>
  <c r="CA125" i="3"/>
  <c r="BZ125" i="3"/>
  <c r="CB124" i="3"/>
  <c r="CA124" i="3"/>
  <c r="BZ124" i="3"/>
  <c r="CB123" i="3"/>
  <c r="CA123" i="3"/>
  <c r="BZ123" i="3"/>
  <c r="CB122" i="3"/>
  <c r="CA122" i="3"/>
  <c r="BZ122" i="3"/>
  <c r="CB121" i="3"/>
  <c r="CA121" i="3"/>
  <c r="BZ121" i="3"/>
  <c r="CB120" i="3"/>
  <c r="CA120" i="3"/>
  <c r="BZ120" i="3"/>
  <c r="CB119" i="3"/>
  <c r="CA119" i="3"/>
  <c r="BZ119" i="3"/>
  <c r="CB118" i="3"/>
  <c r="CA118" i="3"/>
  <c r="BZ118" i="3"/>
  <c r="CB117" i="3"/>
  <c r="CA117" i="3"/>
  <c r="BZ117" i="3"/>
  <c r="CB116" i="3"/>
  <c r="CA116" i="3"/>
  <c r="BZ116" i="3"/>
  <c r="CB115" i="3"/>
  <c r="CA115" i="3"/>
  <c r="BZ115" i="3"/>
  <c r="CB114" i="3"/>
  <c r="CA114" i="3"/>
  <c r="BZ114" i="3"/>
  <c r="CB113" i="3"/>
  <c r="CA113" i="3"/>
  <c r="BZ113" i="3"/>
  <c r="CB112" i="3"/>
  <c r="CA112" i="3"/>
  <c r="BZ112" i="3"/>
  <c r="CB111" i="3"/>
  <c r="CA111" i="3"/>
  <c r="BZ111" i="3"/>
  <c r="CB110" i="3"/>
  <c r="CA110" i="3"/>
  <c r="BZ110" i="3"/>
  <c r="CB109" i="3"/>
  <c r="CA109" i="3"/>
  <c r="BZ109" i="3"/>
  <c r="CB108" i="3"/>
  <c r="CA108" i="3"/>
  <c r="BZ108" i="3"/>
  <c r="CB107" i="3"/>
  <c r="CA107" i="3"/>
  <c r="BZ107" i="3"/>
  <c r="CB106" i="3"/>
  <c r="CA106" i="3"/>
  <c r="BZ106" i="3"/>
  <c r="CB105" i="3"/>
  <c r="CA105" i="3"/>
  <c r="BZ105" i="3"/>
  <c r="CB104" i="3"/>
  <c r="CA104" i="3"/>
  <c r="BZ104" i="3"/>
  <c r="CB103" i="3"/>
  <c r="CA103" i="3"/>
  <c r="BZ103" i="3"/>
  <c r="CB102" i="3"/>
  <c r="CA102" i="3"/>
  <c r="BZ102" i="3"/>
  <c r="CB101" i="3"/>
  <c r="CA101" i="3"/>
  <c r="BZ101" i="3"/>
  <c r="CB100" i="3"/>
  <c r="CA100" i="3"/>
  <c r="BZ100" i="3"/>
  <c r="CB99" i="3"/>
  <c r="CA99" i="3"/>
  <c r="BZ99" i="3"/>
  <c r="CB98" i="3"/>
  <c r="CA98" i="3"/>
  <c r="BZ98" i="3"/>
  <c r="CB97" i="3"/>
  <c r="CA97" i="3"/>
  <c r="BZ97" i="3"/>
  <c r="CB96" i="3"/>
  <c r="CA96" i="3"/>
  <c r="BZ96" i="3"/>
  <c r="CB95" i="3"/>
  <c r="CA95" i="3"/>
  <c r="BZ95" i="3"/>
  <c r="CB94" i="3"/>
  <c r="CA94" i="3"/>
  <c r="BZ94" i="3"/>
  <c r="CB93" i="3"/>
  <c r="CA93" i="3"/>
  <c r="BZ93" i="3"/>
  <c r="CB92" i="3"/>
  <c r="CA92" i="3"/>
  <c r="BZ92" i="3"/>
  <c r="CB91" i="3"/>
  <c r="CA91" i="3"/>
  <c r="BZ91" i="3"/>
  <c r="CB90" i="3"/>
  <c r="CA90" i="3"/>
  <c r="BZ90" i="3"/>
  <c r="CB89" i="3"/>
  <c r="CA89" i="3"/>
  <c r="BZ89" i="3"/>
  <c r="CB88" i="3"/>
  <c r="CA88" i="3"/>
  <c r="BZ88" i="3"/>
  <c r="CB87" i="3"/>
  <c r="CA87" i="3"/>
  <c r="BZ87" i="3"/>
  <c r="CB86" i="3"/>
  <c r="CA86" i="3"/>
  <c r="BZ86" i="3"/>
  <c r="CB85" i="3"/>
  <c r="CA85" i="3"/>
  <c r="BZ85" i="3"/>
  <c r="CB84" i="3"/>
  <c r="CA84" i="3"/>
  <c r="BZ84" i="3"/>
  <c r="CB83" i="3"/>
  <c r="CA83" i="3"/>
  <c r="BZ83" i="3"/>
  <c r="CB82" i="3"/>
  <c r="CA82" i="3"/>
  <c r="BZ82" i="3"/>
  <c r="CB81" i="3"/>
  <c r="CA81" i="3"/>
  <c r="BZ81" i="3"/>
  <c r="CB80" i="3"/>
  <c r="CA80" i="3"/>
  <c r="BZ80" i="3"/>
  <c r="CB79" i="3"/>
  <c r="CA79" i="3"/>
  <c r="BZ79" i="3"/>
  <c r="CB78" i="3"/>
  <c r="CA78" i="3"/>
  <c r="BZ78" i="3"/>
  <c r="CB77" i="3"/>
  <c r="CA77" i="3"/>
  <c r="BZ77" i="3"/>
  <c r="CB76" i="3"/>
  <c r="CA76" i="3"/>
  <c r="BZ76" i="3"/>
  <c r="CB75" i="3"/>
  <c r="CA75" i="3"/>
  <c r="BZ75" i="3"/>
  <c r="CB74" i="3"/>
  <c r="CA74" i="3"/>
  <c r="BZ74" i="3"/>
  <c r="CB73" i="3"/>
  <c r="CA73" i="3"/>
  <c r="BZ73" i="3"/>
  <c r="CB72" i="3"/>
  <c r="CA72" i="3"/>
  <c r="BZ72" i="3"/>
  <c r="CB71" i="3"/>
  <c r="CA71" i="3"/>
  <c r="BZ71" i="3"/>
  <c r="CB70" i="3"/>
  <c r="CA70" i="3"/>
  <c r="BZ70" i="3"/>
  <c r="CB69" i="3"/>
  <c r="CA69" i="3"/>
  <c r="BZ69" i="3"/>
  <c r="CB68" i="3"/>
  <c r="CA68" i="3"/>
  <c r="BZ68" i="3"/>
  <c r="CB67" i="3"/>
  <c r="CA67" i="3"/>
  <c r="BZ67" i="3"/>
  <c r="CB66" i="3"/>
  <c r="CA66" i="3"/>
  <c r="BZ66" i="3"/>
  <c r="CB65" i="3"/>
  <c r="CA65" i="3"/>
  <c r="BZ65" i="3"/>
  <c r="CB64" i="3"/>
  <c r="CA64" i="3"/>
  <c r="BZ64" i="3"/>
  <c r="CB63" i="3"/>
  <c r="CA63" i="3"/>
  <c r="BZ63" i="3"/>
  <c r="CB62" i="3"/>
  <c r="CA62" i="3"/>
  <c r="BZ62" i="3"/>
  <c r="CB61" i="3"/>
  <c r="CA61" i="3"/>
  <c r="BZ61" i="3"/>
  <c r="CB60" i="3"/>
  <c r="CA60" i="3"/>
  <c r="BZ60" i="3"/>
  <c r="CB59" i="3"/>
  <c r="CA59" i="3"/>
  <c r="BZ59" i="3"/>
  <c r="CB58" i="3"/>
  <c r="CA58" i="3"/>
  <c r="BZ58" i="3"/>
  <c r="CB57" i="3"/>
  <c r="CA57" i="3"/>
  <c r="BZ57" i="3"/>
  <c r="CB56" i="3"/>
  <c r="CA56" i="3"/>
  <c r="BZ56" i="3"/>
  <c r="CB55" i="3"/>
  <c r="CA55" i="3"/>
  <c r="BZ55" i="3"/>
  <c r="CB54" i="3"/>
  <c r="CA54" i="3"/>
  <c r="BZ54" i="3"/>
  <c r="CB53" i="3"/>
  <c r="CA53" i="3"/>
  <c r="BZ53" i="3"/>
  <c r="CB52" i="3"/>
  <c r="CA52" i="3"/>
  <c r="BZ52" i="3"/>
  <c r="CB51" i="3"/>
  <c r="CA51" i="3"/>
  <c r="BZ51" i="3"/>
  <c r="CB50" i="3"/>
  <c r="CA50" i="3"/>
  <c r="BZ50" i="3"/>
  <c r="CB49" i="3"/>
  <c r="CA49" i="3"/>
  <c r="BZ49" i="3"/>
  <c r="CB48" i="3"/>
  <c r="CA48" i="3"/>
  <c r="BZ48" i="3"/>
  <c r="CB47" i="3"/>
  <c r="CA47" i="3"/>
  <c r="BZ47" i="3"/>
  <c r="CB46" i="3"/>
  <c r="CA46" i="3"/>
  <c r="BZ46" i="3"/>
  <c r="CB45" i="3"/>
  <c r="CA45" i="3"/>
  <c r="BZ45" i="3"/>
  <c r="CB44" i="3"/>
  <c r="CA44" i="3"/>
  <c r="BZ44" i="3"/>
  <c r="CB43" i="3"/>
  <c r="CA43" i="3"/>
  <c r="BZ43" i="3"/>
  <c r="CB42" i="3"/>
  <c r="CA42" i="3"/>
  <c r="BZ42" i="3"/>
  <c r="CB41" i="3"/>
  <c r="CA41" i="3"/>
  <c r="BZ41" i="3"/>
  <c r="CB40" i="3"/>
  <c r="CA40" i="3"/>
  <c r="BZ40" i="3"/>
  <c r="CB39" i="3"/>
  <c r="CA39" i="3"/>
  <c r="BZ39" i="3"/>
  <c r="CB38" i="3"/>
  <c r="CA38" i="3"/>
  <c r="BZ38" i="3"/>
  <c r="CB37" i="3"/>
  <c r="CA37" i="3"/>
  <c r="BZ37" i="3"/>
  <c r="CB36" i="3"/>
  <c r="CA36" i="3"/>
  <c r="BZ36" i="3"/>
  <c r="CB35" i="3"/>
  <c r="CA35" i="3"/>
  <c r="BZ35" i="3"/>
  <c r="CB34" i="3"/>
  <c r="CA34" i="3"/>
  <c r="BZ34" i="3"/>
  <c r="CB33" i="3"/>
  <c r="CA33" i="3"/>
  <c r="BZ33" i="3"/>
  <c r="CB32" i="3"/>
  <c r="CA32" i="3"/>
  <c r="BZ32" i="3"/>
  <c r="CB31" i="3"/>
  <c r="CA31" i="3"/>
  <c r="BZ31" i="3"/>
  <c r="CB30" i="3"/>
  <c r="CA30" i="3"/>
  <c r="BZ30" i="3"/>
  <c r="CB29" i="3"/>
  <c r="CA29" i="3"/>
  <c r="BZ29" i="3"/>
  <c r="CB28" i="3"/>
  <c r="CA28" i="3"/>
  <c r="BZ28" i="3"/>
  <c r="CB27" i="3"/>
  <c r="CA27" i="3"/>
  <c r="BZ27" i="3"/>
  <c r="CB26" i="3"/>
  <c r="CA26" i="3"/>
  <c r="BZ26" i="3"/>
  <c r="CB25" i="3"/>
  <c r="CA25" i="3"/>
  <c r="BZ25" i="3"/>
  <c r="CB24" i="3"/>
  <c r="CA24" i="3"/>
  <c r="BZ24" i="3"/>
  <c r="CB23" i="3"/>
  <c r="CA23" i="3"/>
  <c r="BZ23" i="3"/>
  <c r="CB22" i="3"/>
  <c r="CA22" i="3"/>
  <c r="BZ22" i="3"/>
  <c r="CB21" i="3"/>
  <c r="CA21" i="3"/>
  <c r="BZ21" i="3"/>
  <c r="CB20" i="3"/>
  <c r="CA20" i="3"/>
  <c r="BZ20" i="3"/>
  <c r="CB19" i="3"/>
  <c r="CA19" i="3"/>
  <c r="BZ19" i="3"/>
  <c r="CB18" i="3"/>
  <c r="CA18" i="3"/>
  <c r="BZ18" i="3"/>
  <c r="CB17" i="3"/>
  <c r="CA17" i="3"/>
  <c r="BZ17" i="3"/>
  <c r="CB16" i="3"/>
  <c r="CA16" i="3"/>
  <c r="BZ16" i="3"/>
  <c r="CB15" i="3"/>
  <c r="CA15" i="3"/>
  <c r="BZ15" i="3"/>
  <c r="CB14" i="3"/>
  <c r="CA14" i="3"/>
  <c r="BZ14" i="3"/>
  <c r="CB13" i="3"/>
  <c r="CA13" i="3"/>
  <c r="BZ13" i="3"/>
  <c r="CB12" i="3"/>
  <c r="CA12" i="3"/>
  <c r="BZ12" i="3"/>
  <c r="CB11" i="3"/>
  <c r="CA11" i="3"/>
  <c r="BZ11" i="3"/>
  <c r="CB10" i="3"/>
  <c r="CA10" i="3"/>
  <c r="BZ10" i="3"/>
  <c r="CB9" i="3"/>
  <c r="CA9" i="3"/>
  <c r="BZ9" i="3"/>
  <c r="CB8" i="3"/>
  <c r="CA8" i="3"/>
  <c r="BZ8" i="3"/>
  <c r="CB7" i="3"/>
  <c r="CA7" i="3"/>
  <c r="BZ7" i="3"/>
  <c r="CB6" i="3"/>
  <c r="CA6" i="3"/>
  <c r="BZ6" i="3"/>
  <c r="CB5" i="3"/>
  <c r="CA5" i="3"/>
  <c r="BZ5" i="3"/>
  <c r="CB4" i="3"/>
  <c r="CA4" i="3"/>
  <c r="BZ4" i="3"/>
  <c r="CB3" i="3"/>
  <c r="CA3" i="3"/>
  <c r="BZ3" i="3"/>
  <c r="CB2" i="3"/>
  <c r="CA2" i="3"/>
  <c r="BZ2" i="3"/>
  <c r="AT24" i="3"/>
  <c r="AS24" i="3"/>
  <c r="AT4" i="3"/>
  <c r="AS4" i="3"/>
  <c r="A154" i="8"/>
  <c r="A152" i="8"/>
  <c r="A151" i="8"/>
  <c r="A149" i="8"/>
  <c r="D149" i="8" s="1"/>
  <c r="A148" i="8"/>
  <c r="A147" i="8"/>
  <c r="A146" i="8"/>
  <c r="A145" i="8"/>
  <c r="D145" i="8" s="1"/>
  <c r="A144" i="8"/>
  <c r="A143" i="8"/>
  <c r="A142" i="8"/>
  <c r="A141" i="8"/>
  <c r="A140" i="8"/>
  <c r="A139" i="8"/>
  <c r="A138" i="8"/>
  <c r="A137" i="8"/>
  <c r="D137" i="8" s="1"/>
  <c r="A134" i="8"/>
  <c r="A133" i="8"/>
  <c r="A132" i="8"/>
  <c r="A131" i="8"/>
  <c r="D131" i="8" s="1"/>
  <c r="A129" i="8"/>
  <c r="A128" i="8"/>
  <c r="A127" i="8"/>
  <c r="A126" i="8"/>
  <c r="D126" i="8" s="1"/>
  <c r="A123" i="8"/>
  <c r="A122" i="8"/>
  <c r="A121" i="8"/>
  <c r="A118" i="8"/>
  <c r="D118" i="8" s="1"/>
  <c r="A117" i="8"/>
  <c r="A115" i="8"/>
  <c r="A114" i="8"/>
  <c r="A109" i="8"/>
  <c r="D109" i="8" s="1"/>
  <c r="A108" i="8"/>
  <c r="A107" i="8"/>
  <c r="A106" i="8"/>
  <c r="A105" i="8"/>
  <c r="A104" i="8"/>
  <c r="A103" i="8"/>
  <c r="A102" i="8"/>
  <c r="A101" i="8"/>
  <c r="D101" i="8" s="1"/>
  <c r="A100" i="8"/>
  <c r="A99" i="8"/>
  <c r="A98" i="8"/>
  <c r="A97" i="8"/>
  <c r="D97" i="8" s="1"/>
  <c r="A95" i="8"/>
  <c r="A94" i="8"/>
  <c r="A93" i="8"/>
  <c r="A92" i="8"/>
  <c r="D92" i="8" s="1"/>
  <c r="A91" i="8"/>
  <c r="A90" i="8"/>
  <c r="A89" i="8"/>
  <c r="A88" i="8"/>
  <c r="A87" i="8"/>
  <c r="A86" i="8"/>
  <c r="A84" i="8"/>
  <c r="A83" i="8"/>
  <c r="D83" i="8" s="1"/>
  <c r="A82" i="8"/>
  <c r="A81" i="8"/>
  <c r="A80" i="8"/>
  <c r="A79" i="8"/>
  <c r="D79" i="8" s="1"/>
  <c r="A78" i="8"/>
  <c r="A77" i="8"/>
  <c r="A76" i="8"/>
  <c r="A75" i="8"/>
  <c r="D75" i="8" s="1"/>
  <c r="A74" i="8"/>
  <c r="A72" i="8"/>
  <c r="A71" i="8"/>
  <c r="A70" i="8"/>
  <c r="D70" i="8" s="1"/>
  <c r="A69" i="8"/>
  <c r="A68" i="8"/>
  <c r="A67" i="8"/>
  <c r="A66" i="8"/>
  <c r="D66" i="8" s="1"/>
  <c r="A65" i="8"/>
  <c r="A64" i="8"/>
  <c r="A63" i="8"/>
  <c r="A62" i="8"/>
  <c r="D62" i="8" s="1"/>
  <c r="A61" i="8"/>
  <c r="A59" i="8"/>
  <c r="A58" i="8"/>
  <c r="A57" i="8"/>
  <c r="A56" i="8"/>
  <c r="A55" i="8"/>
  <c r="A54" i="8"/>
  <c r="A53" i="8"/>
  <c r="D53" i="8" s="1"/>
  <c r="A52" i="8"/>
  <c r="A51" i="8"/>
  <c r="A50" i="8"/>
  <c r="A49" i="8"/>
  <c r="D49" i="8" s="1"/>
  <c r="A48" i="8"/>
  <c r="A47" i="8"/>
  <c r="A46" i="8"/>
  <c r="A45" i="8"/>
  <c r="D45" i="8" s="1"/>
  <c r="A44" i="8"/>
  <c r="A43" i="8"/>
  <c r="A42" i="8"/>
  <c r="A41" i="8"/>
  <c r="A40" i="8"/>
  <c r="A39" i="8"/>
  <c r="A38" i="8"/>
  <c r="A37" i="8"/>
  <c r="D37" i="8" s="1"/>
  <c r="A36" i="8"/>
  <c r="A35" i="8"/>
  <c r="A34" i="8"/>
  <c r="A33" i="8"/>
  <c r="D33" i="8" s="1"/>
  <c r="A32" i="8"/>
  <c r="A31" i="8"/>
  <c r="A30" i="8"/>
  <c r="A29" i="8"/>
  <c r="D29" i="8" s="1"/>
  <c r="A28" i="8"/>
  <c r="A27" i="8"/>
  <c r="A26" i="8"/>
  <c r="A25" i="8"/>
  <c r="A24" i="8"/>
  <c r="A23" i="8"/>
  <c r="A22" i="8"/>
  <c r="A21" i="8"/>
  <c r="D21" i="8" s="1"/>
  <c r="A20" i="8"/>
  <c r="A19" i="8"/>
  <c r="A18" i="8"/>
  <c r="A17" i="8"/>
  <c r="D17" i="8" s="1"/>
  <c r="A16" i="8"/>
  <c r="A15" i="8"/>
  <c r="A14" i="8"/>
  <c r="A13" i="8"/>
  <c r="D13" i="8" s="1"/>
  <c r="A12" i="8"/>
  <c r="A11" i="8"/>
  <c r="A10" i="8"/>
  <c r="A9" i="8"/>
  <c r="A8" i="8"/>
  <c r="A7" i="8"/>
  <c r="A6" i="8"/>
  <c r="A5" i="8"/>
  <c r="D5" i="8" s="1"/>
  <c r="A3" i="8"/>
  <c r="D141" i="8"/>
  <c r="D105" i="8"/>
  <c r="D88" i="8"/>
  <c r="D57" i="8"/>
  <c r="D41" i="8"/>
  <c r="D25" i="8"/>
  <c r="D9" i="8"/>
  <c r="B154" i="8"/>
  <c r="B152" i="8"/>
  <c r="B151" i="8"/>
  <c r="B149" i="8"/>
  <c r="B148" i="8"/>
  <c r="B147" i="8"/>
  <c r="B146" i="8"/>
  <c r="B145" i="8"/>
  <c r="B144" i="8"/>
  <c r="B143" i="8"/>
  <c r="B142" i="8"/>
  <c r="B141" i="8"/>
  <c r="B140" i="8"/>
  <c r="B139" i="8"/>
  <c r="B138" i="8"/>
  <c r="B137" i="8"/>
  <c r="B134" i="8"/>
  <c r="B133" i="8"/>
  <c r="B132" i="8"/>
  <c r="B131" i="8"/>
  <c r="B129" i="8"/>
  <c r="B128" i="8"/>
  <c r="B127" i="8"/>
  <c r="B126" i="8"/>
  <c r="B123" i="8"/>
  <c r="B122" i="8"/>
  <c r="B121" i="8"/>
  <c r="B118" i="8"/>
  <c r="B117" i="8"/>
  <c r="B115" i="8"/>
  <c r="B114" i="8"/>
  <c r="B109" i="8"/>
  <c r="B108" i="8"/>
  <c r="B107" i="8"/>
  <c r="B106" i="8"/>
  <c r="B105" i="8"/>
  <c r="B103" i="8"/>
  <c r="B102" i="8"/>
  <c r="B101" i="8"/>
  <c r="B100" i="8"/>
  <c r="B99" i="8"/>
  <c r="B98" i="8"/>
  <c r="B97" i="8"/>
  <c r="B95" i="8"/>
  <c r="B94" i="8"/>
  <c r="B93" i="8"/>
  <c r="B92" i="8"/>
  <c r="B91" i="8"/>
  <c r="B90" i="8"/>
  <c r="B89" i="8"/>
  <c r="B88" i="8"/>
  <c r="B87" i="8"/>
  <c r="B86" i="8"/>
  <c r="B84" i="8"/>
  <c r="B83" i="8"/>
  <c r="B82" i="8"/>
  <c r="B81" i="8"/>
  <c r="B80" i="8"/>
  <c r="B79" i="8"/>
  <c r="B78" i="8"/>
  <c r="B77" i="8"/>
  <c r="B76" i="8"/>
  <c r="B75" i="8"/>
  <c r="B74" i="8"/>
  <c r="B72" i="8"/>
  <c r="B71" i="8"/>
  <c r="B70" i="8"/>
  <c r="B69" i="8"/>
  <c r="B68" i="8"/>
  <c r="B67" i="8"/>
  <c r="B66" i="8"/>
  <c r="B65" i="8"/>
  <c r="B64" i="8"/>
  <c r="B63" i="8"/>
  <c r="B62" i="8"/>
  <c r="B61" i="8"/>
  <c r="B59" i="8"/>
  <c r="B58" i="8"/>
  <c r="B57" i="8"/>
  <c r="B56" i="8"/>
  <c r="B55" i="8"/>
  <c r="B54" i="8"/>
  <c r="B53" i="8"/>
  <c r="B52" i="8"/>
  <c r="B51" i="8"/>
  <c r="B50" i="8"/>
  <c r="B49" i="8"/>
  <c r="B48" i="8"/>
  <c r="B47" i="8"/>
  <c r="B46" i="8"/>
  <c r="B45" i="8"/>
  <c r="B44" i="8"/>
  <c r="B43" i="8"/>
  <c r="B42" i="8"/>
  <c r="B41" i="8"/>
  <c r="B40" i="8"/>
  <c r="B39" i="8"/>
  <c r="B38" i="8"/>
  <c r="B37" i="8"/>
  <c r="B36" i="8"/>
  <c r="B35" i="8"/>
  <c r="B34" i="8"/>
  <c r="B33" i="8"/>
  <c r="B32" i="8"/>
  <c r="B31" i="8"/>
  <c r="B30" i="8"/>
  <c r="B29" i="8"/>
  <c r="B28" i="8"/>
  <c r="B27" i="8"/>
  <c r="B26" i="8"/>
  <c r="B25" i="8"/>
  <c r="B24" i="8"/>
  <c r="B23" i="8"/>
  <c r="B22" i="8"/>
  <c r="B21" i="8"/>
  <c r="B20" i="8"/>
  <c r="B19" i="8"/>
  <c r="B17" i="8"/>
  <c r="B16" i="8"/>
  <c r="B15" i="8"/>
  <c r="B14" i="8"/>
  <c r="B13" i="8"/>
  <c r="B12" i="8"/>
  <c r="B11" i="8"/>
  <c r="B10" i="8"/>
  <c r="B9" i="8"/>
  <c r="B8" i="8"/>
  <c r="B7" i="8"/>
  <c r="B6" i="8"/>
  <c r="B5" i="8"/>
  <c r="B3" i="8"/>
  <c r="D3" i="8"/>
  <c r="D4" i="8"/>
  <c r="D6" i="8"/>
  <c r="D7" i="8"/>
  <c r="D8" i="8"/>
  <c r="D10" i="8"/>
  <c r="D11" i="8"/>
  <c r="D12" i="8"/>
  <c r="D14" i="8"/>
  <c r="D15" i="8"/>
  <c r="D16" i="8"/>
  <c r="D18" i="8"/>
  <c r="D19" i="8"/>
  <c r="D20" i="8"/>
  <c r="D22" i="8"/>
  <c r="D23" i="8"/>
  <c r="D24" i="8"/>
  <c r="D26" i="8"/>
  <c r="D27" i="8"/>
  <c r="D28" i="8"/>
  <c r="D30" i="8"/>
  <c r="D31" i="8"/>
  <c r="D32" i="8"/>
  <c r="D34" i="8"/>
  <c r="D35" i="8"/>
  <c r="D36" i="8"/>
  <c r="D38" i="8"/>
  <c r="D39" i="8"/>
  <c r="D40" i="8"/>
  <c r="D42" i="8"/>
  <c r="D43" i="8"/>
  <c r="D44" i="8"/>
  <c r="D46" i="8"/>
  <c r="D47" i="8"/>
  <c r="D48" i="8"/>
  <c r="D50" i="8"/>
  <c r="D51" i="8"/>
  <c r="D52" i="8"/>
  <c r="D54" i="8"/>
  <c r="D55" i="8"/>
  <c r="D56" i="8"/>
  <c r="D58" i="8"/>
  <c r="D59" i="8"/>
  <c r="D60" i="8"/>
  <c r="D61" i="8"/>
  <c r="D63" i="8"/>
  <c r="D64" i="8"/>
  <c r="D65" i="8"/>
  <c r="D67" i="8"/>
  <c r="D68" i="8"/>
  <c r="D69" i="8"/>
  <c r="D71" i="8"/>
  <c r="D72" i="8"/>
  <c r="D73" i="8"/>
  <c r="D74" i="8"/>
  <c r="D76" i="8"/>
  <c r="D77" i="8"/>
  <c r="D78" i="8"/>
  <c r="D80" i="8"/>
  <c r="D81" i="8"/>
  <c r="D82" i="8"/>
  <c r="D84" i="8"/>
  <c r="D85" i="8"/>
  <c r="D86" i="8"/>
  <c r="D87" i="8"/>
  <c r="D89" i="8"/>
  <c r="D90" i="8"/>
  <c r="D91" i="8"/>
  <c r="D93" i="8"/>
  <c r="D94" i="8"/>
  <c r="D95" i="8"/>
  <c r="D96" i="8"/>
  <c r="D98" i="8"/>
  <c r="D99" i="8"/>
  <c r="D100" i="8"/>
  <c r="D102" i="8"/>
  <c r="D103" i="8"/>
  <c r="D104" i="8"/>
  <c r="D106" i="8"/>
  <c r="D107" i="8"/>
  <c r="D108" i="8"/>
  <c r="D110" i="8"/>
  <c r="D111" i="8"/>
  <c r="D112" i="8"/>
  <c r="D113" i="8"/>
  <c r="D114" i="8"/>
  <c r="D115" i="8"/>
  <c r="D116" i="8"/>
  <c r="D117" i="8"/>
  <c r="D119" i="8"/>
  <c r="D120" i="8"/>
  <c r="D121" i="8"/>
  <c r="D122" i="8"/>
  <c r="D123" i="8"/>
  <c r="D124" i="8"/>
  <c r="D125" i="8"/>
  <c r="D127" i="8"/>
  <c r="D128" i="8"/>
  <c r="D129" i="8"/>
  <c r="D130" i="8"/>
  <c r="D132" i="8"/>
  <c r="D133" i="8"/>
  <c r="D134" i="8"/>
  <c r="D135" i="8"/>
  <c r="D136" i="8"/>
  <c r="D138" i="8"/>
  <c r="D139" i="8"/>
  <c r="D140" i="8"/>
  <c r="D142" i="8"/>
  <c r="D143" i="8"/>
  <c r="D144" i="8"/>
  <c r="D146" i="8"/>
  <c r="D147" i="8"/>
  <c r="D148" i="8"/>
  <c r="D150" i="8"/>
  <c r="D151" i="8"/>
  <c r="D152" i="8"/>
  <c r="D153" i="8"/>
  <c r="D154" i="8"/>
  <c r="D2" i="8"/>
  <c r="AT159" i="3"/>
  <c r="AS159" i="3"/>
  <c r="AT158" i="3"/>
  <c r="AT157" i="3"/>
  <c r="AT156" i="3"/>
  <c r="AT155" i="3"/>
  <c r="AT154" i="3"/>
  <c r="AT153" i="3"/>
  <c r="AT152" i="3"/>
  <c r="AT151" i="3"/>
  <c r="AT150" i="3"/>
  <c r="AT149" i="3"/>
  <c r="AT148" i="3"/>
  <c r="AT147" i="3"/>
  <c r="AT146" i="3"/>
  <c r="AT145" i="3"/>
  <c r="AT144" i="3"/>
  <c r="AT143" i="3"/>
  <c r="AT142" i="3"/>
  <c r="AT141" i="3"/>
  <c r="AT140" i="3"/>
  <c r="AT139" i="3"/>
  <c r="AT138" i="3"/>
  <c r="AT137" i="3"/>
  <c r="AT136" i="3"/>
  <c r="AT135" i="3"/>
  <c r="AT134" i="3"/>
  <c r="AT133" i="3"/>
  <c r="AT132" i="3"/>
  <c r="AT131" i="3"/>
  <c r="AT130" i="3"/>
  <c r="AT129" i="3"/>
  <c r="AT128" i="3"/>
  <c r="AT127" i="3"/>
  <c r="AT126" i="3"/>
  <c r="AT125" i="3"/>
  <c r="AT124" i="3"/>
  <c r="AT123" i="3"/>
  <c r="AT122" i="3"/>
  <c r="AT121" i="3"/>
  <c r="AT120" i="3"/>
  <c r="AT119" i="3"/>
  <c r="AT118" i="3"/>
  <c r="AT117" i="3"/>
  <c r="AT116" i="3"/>
  <c r="AT115" i="3"/>
  <c r="AT114" i="3"/>
  <c r="AT113" i="3"/>
  <c r="AT112" i="3"/>
  <c r="AT111" i="3"/>
  <c r="AT110" i="3"/>
  <c r="AT109" i="3"/>
  <c r="AT108" i="3"/>
  <c r="AT107" i="3"/>
  <c r="AT106" i="3"/>
  <c r="AT105" i="3"/>
  <c r="AT104" i="3"/>
  <c r="AT103" i="3"/>
  <c r="AT102" i="3"/>
  <c r="AT101" i="3"/>
  <c r="AT100" i="3"/>
  <c r="AT99" i="3"/>
  <c r="AT98" i="3"/>
  <c r="AT97" i="3"/>
  <c r="AT96" i="3"/>
  <c r="AT95" i="3"/>
  <c r="AT94" i="3"/>
  <c r="AT93" i="3"/>
  <c r="AT92" i="3"/>
  <c r="AT91" i="3"/>
  <c r="AT90" i="3"/>
  <c r="AT89" i="3"/>
  <c r="AT88" i="3"/>
  <c r="AT87" i="3"/>
  <c r="AT86" i="3"/>
  <c r="AT85" i="3"/>
  <c r="AT84" i="3"/>
  <c r="AT82" i="3"/>
  <c r="AT81" i="3"/>
  <c r="AT83" i="3"/>
  <c r="AT80" i="3"/>
  <c r="AT79" i="3"/>
  <c r="AT78" i="3"/>
  <c r="AT77" i="3"/>
  <c r="AT76" i="3"/>
  <c r="AT75" i="3"/>
  <c r="AT74" i="3"/>
  <c r="AT73" i="3"/>
  <c r="AT72" i="3"/>
  <c r="AT71" i="3"/>
  <c r="AT70" i="3"/>
  <c r="AT69" i="3"/>
  <c r="AT68" i="3"/>
  <c r="AT67" i="3"/>
  <c r="AT66" i="3"/>
  <c r="AT65" i="3"/>
  <c r="AT64" i="3"/>
  <c r="AT63" i="3"/>
  <c r="AT61" i="3"/>
  <c r="AT60" i="3"/>
  <c r="AT59" i="3"/>
  <c r="AT58" i="3"/>
  <c r="AT57" i="3"/>
  <c r="AT56" i="3"/>
  <c r="AT55" i="3"/>
  <c r="AT54" i="3"/>
  <c r="AT53" i="3"/>
  <c r="AT52" i="3"/>
  <c r="AT51" i="3"/>
  <c r="AT50" i="3"/>
  <c r="AT49" i="3"/>
  <c r="AT48" i="3"/>
  <c r="AT47" i="3"/>
  <c r="AT46" i="3"/>
  <c r="AT45" i="3"/>
  <c r="AT44" i="3"/>
  <c r="AT43" i="3"/>
  <c r="AT42" i="3"/>
  <c r="AT41" i="3"/>
  <c r="AT40" i="3"/>
  <c r="AT39" i="3"/>
  <c r="AT38" i="3"/>
  <c r="AT37" i="3"/>
  <c r="AT36" i="3"/>
  <c r="AT35" i="3"/>
  <c r="AT34" i="3"/>
  <c r="AT33" i="3"/>
  <c r="AT32" i="3"/>
  <c r="AT31" i="3"/>
  <c r="AT30" i="3"/>
  <c r="AT29" i="3"/>
  <c r="AT28" i="3"/>
  <c r="AT27" i="3"/>
  <c r="AT26" i="3"/>
  <c r="AT25" i="3"/>
  <c r="AT23" i="3"/>
  <c r="AT22" i="3"/>
  <c r="AT21" i="3"/>
  <c r="AT20" i="3"/>
  <c r="AT19" i="3"/>
  <c r="AT18" i="3"/>
  <c r="AT17" i="3"/>
  <c r="AT16" i="3"/>
  <c r="AT15" i="3"/>
  <c r="AT14" i="3"/>
  <c r="AT13" i="3"/>
  <c r="AT12" i="3"/>
  <c r="AT11" i="3"/>
  <c r="AT10" i="3"/>
  <c r="AT9" i="3"/>
  <c r="AT8" i="3"/>
  <c r="AT7" i="3"/>
  <c r="AT6" i="3"/>
  <c r="AT5" i="3"/>
  <c r="AT3" i="3"/>
  <c r="AT2" i="3"/>
  <c r="AS158" i="3"/>
  <c r="AS157" i="3"/>
  <c r="AS156" i="3"/>
  <c r="AS154" i="3"/>
  <c r="AS153" i="3"/>
  <c r="AS152" i="3"/>
  <c r="AS151" i="3"/>
  <c r="AS150" i="3"/>
  <c r="AS149" i="3"/>
  <c r="AS148" i="3"/>
  <c r="AS147" i="3"/>
  <c r="AS146" i="3"/>
  <c r="AS145" i="3"/>
  <c r="AS144" i="3"/>
  <c r="AS143" i="3"/>
  <c r="AS142" i="3"/>
  <c r="AS141" i="3"/>
  <c r="AS140" i="3"/>
  <c r="AS139" i="3"/>
  <c r="AS138" i="3"/>
  <c r="AS137" i="3"/>
  <c r="AS136" i="3"/>
  <c r="AS135" i="3"/>
  <c r="AS134" i="3"/>
  <c r="AS133" i="3"/>
  <c r="AS132" i="3"/>
  <c r="AS131" i="3"/>
  <c r="AS130" i="3"/>
  <c r="AS129" i="3"/>
  <c r="AS128" i="3"/>
  <c r="AS127" i="3"/>
  <c r="AS126" i="3"/>
  <c r="AS125" i="3"/>
  <c r="AS124" i="3"/>
  <c r="AS123" i="3"/>
  <c r="AS122" i="3"/>
  <c r="AS121" i="3"/>
  <c r="AS120" i="3"/>
  <c r="AS119" i="3"/>
  <c r="AS118" i="3"/>
  <c r="AS117" i="3"/>
  <c r="AS116" i="3"/>
  <c r="AS115" i="3"/>
  <c r="AS114" i="3"/>
  <c r="AS113" i="3"/>
  <c r="AS112" i="3"/>
  <c r="AS111" i="3"/>
  <c r="AS110" i="3"/>
  <c r="AS109" i="3"/>
  <c r="AS108" i="3"/>
  <c r="AS107" i="3"/>
  <c r="AS106" i="3"/>
  <c r="AS105" i="3"/>
  <c r="AS104" i="3"/>
  <c r="AS103" i="3"/>
  <c r="AS102" i="3"/>
  <c r="AS101" i="3"/>
  <c r="AS100" i="3"/>
  <c r="AS99" i="3"/>
  <c r="AS98" i="3"/>
  <c r="AS97" i="3"/>
  <c r="AS96" i="3"/>
  <c r="AS95" i="3"/>
  <c r="AS94" i="3"/>
  <c r="AS93" i="3"/>
  <c r="AS92" i="3"/>
  <c r="AS91" i="3"/>
  <c r="AS90" i="3"/>
  <c r="AS89" i="3"/>
  <c r="AS88" i="3"/>
  <c r="AS87" i="3"/>
  <c r="AS86" i="3"/>
  <c r="AS85" i="3"/>
  <c r="AS84" i="3"/>
  <c r="AS82" i="3"/>
  <c r="AS81" i="3"/>
  <c r="AS83" i="3"/>
  <c r="AS80" i="3"/>
  <c r="AS79" i="3"/>
  <c r="AS78" i="3"/>
  <c r="AS77" i="3"/>
  <c r="AS76" i="3"/>
  <c r="AS75" i="3"/>
  <c r="AS74" i="3"/>
  <c r="AS73" i="3"/>
  <c r="AS72" i="3"/>
  <c r="AS71" i="3"/>
  <c r="AS70" i="3"/>
  <c r="AS69" i="3"/>
  <c r="AS68" i="3"/>
  <c r="AS67" i="3"/>
  <c r="AS66" i="3"/>
  <c r="AS65" i="3"/>
  <c r="AS64" i="3"/>
  <c r="AS63" i="3"/>
  <c r="AS62" i="3"/>
  <c r="AS61" i="3"/>
  <c r="AS60" i="3"/>
  <c r="AS59" i="3"/>
  <c r="AS58" i="3"/>
  <c r="AS57" i="3"/>
  <c r="AS56" i="3"/>
  <c r="AS55" i="3"/>
  <c r="AS54" i="3"/>
  <c r="AS53" i="3"/>
  <c r="AS52" i="3"/>
  <c r="AS51" i="3"/>
  <c r="AS50" i="3"/>
  <c r="AS49" i="3"/>
  <c r="AS48" i="3"/>
  <c r="AS47" i="3"/>
  <c r="AS46" i="3"/>
  <c r="AS45" i="3"/>
  <c r="AS44" i="3"/>
  <c r="AS43" i="3"/>
  <c r="AS42" i="3"/>
  <c r="AS41" i="3"/>
  <c r="AS40" i="3"/>
  <c r="AS39" i="3"/>
  <c r="AS38" i="3"/>
  <c r="AS37" i="3"/>
  <c r="AS36" i="3"/>
  <c r="AS35" i="3"/>
  <c r="AS34" i="3"/>
  <c r="AS33" i="3"/>
  <c r="AS32" i="3"/>
  <c r="AS31" i="3"/>
  <c r="AS30" i="3"/>
  <c r="AS29" i="3"/>
  <c r="AS28" i="3"/>
  <c r="AS27" i="3"/>
  <c r="AS26" i="3"/>
  <c r="AS25" i="3"/>
  <c r="AS23" i="3"/>
  <c r="AS22" i="3"/>
  <c r="AS21" i="3"/>
  <c r="AS20" i="3"/>
  <c r="AS19" i="3"/>
  <c r="AS18" i="3"/>
  <c r="AS17" i="3"/>
  <c r="AS16" i="3"/>
  <c r="AS15" i="3"/>
  <c r="AS14" i="3"/>
  <c r="AS13" i="3"/>
  <c r="AS12" i="3"/>
  <c r="AS11" i="3"/>
  <c r="AS10" i="3"/>
  <c r="AS9" i="3"/>
  <c r="AS8" i="3"/>
  <c r="AS7" i="3"/>
  <c r="AS6" i="3"/>
  <c r="AS5" i="3"/>
  <c r="AS3" i="3"/>
  <c r="AS2" i="3"/>
  <c r="AS155" i="3"/>
  <c r="CC160" i="3"/>
  <c r="CD160" i="3"/>
  <c r="CC165" i="3"/>
  <c r="CC6" i="3"/>
  <c r="CC106" i="3"/>
  <c r="CD5" i="3"/>
  <c r="CC19" i="3"/>
  <c r="CD114" i="3"/>
  <c r="BU3" i="3"/>
  <c r="BU7" i="3"/>
  <c r="BU11" i="3"/>
  <c r="BU15" i="3"/>
  <c r="BU19" i="3"/>
  <c r="BU23" i="3"/>
  <c r="BU27" i="3"/>
  <c r="BU31" i="3"/>
  <c r="BU35" i="3"/>
  <c r="BU39" i="3"/>
  <c r="BU43" i="3"/>
  <c r="BU47" i="3"/>
  <c r="BU51" i="3"/>
  <c r="BU55" i="3"/>
  <c r="BU59" i="3"/>
  <c r="BU63" i="3"/>
  <c r="BU67" i="3"/>
  <c r="BU71" i="3"/>
  <c r="BU75" i="3"/>
  <c r="BU79" i="3"/>
  <c r="BU83" i="3"/>
  <c r="BU87" i="3"/>
  <c r="BU91" i="3"/>
  <c r="BU95" i="3"/>
  <c r="BU99" i="3"/>
  <c r="BU103" i="3"/>
  <c r="BU107" i="3"/>
  <c r="BU111" i="3"/>
  <c r="BU115" i="3"/>
  <c r="BU119" i="3"/>
  <c r="BU123" i="3"/>
  <c r="BU127" i="3"/>
  <c r="BU131" i="3"/>
  <c r="BU135" i="3"/>
  <c r="BU139" i="3"/>
  <c r="BU143" i="3"/>
  <c r="BU147" i="3"/>
  <c r="BU151" i="3"/>
  <c r="BU155" i="3"/>
  <c r="BU159" i="3"/>
  <c r="BU163" i="3"/>
  <c r="BU167" i="3"/>
  <c r="BU10" i="3"/>
  <c r="BU22" i="3"/>
  <c r="BU30" i="3"/>
  <c r="BU42" i="3"/>
  <c r="BU54" i="3"/>
  <c r="BU70" i="3"/>
  <c r="BU82" i="3"/>
  <c r="BU94" i="3"/>
  <c r="BU106" i="3"/>
  <c r="BU118" i="3"/>
  <c r="BU130" i="3"/>
  <c r="BU142" i="3"/>
  <c r="BU154" i="3"/>
  <c r="BU166" i="3"/>
  <c r="BU4" i="3"/>
  <c r="BU8" i="3"/>
  <c r="BU12" i="3"/>
  <c r="BU16" i="3"/>
  <c r="BU20" i="3"/>
  <c r="BU24" i="3"/>
  <c r="BU28" i="3"/>
  <c r="BU32" i="3"/>
  <c r="BU36" i="3"/>
  <c r="BU40" i="3"/>
  <c r="BU44" i="3"/>
  <c r="BU48" i="3"/>
  <c r="BU52" i="3"/>
  <c r="BU56" i="3"/>
  <c r="BU60" i="3"/>
  <c r="BU64" i="3"/>
  <c r="BU68" i="3"/>
  <c r="BU72" i="3"/>
  <c r="BU76" i="3"/>
  <c r="BU80" i="3"/>
  <c r="BU84" i="3"/>
  <c r="BU88" i="3"/>
  <c r="BU92" i="3"/>
  <c r="BU96" i="3"/>
  <c r="BU100" i="3"/>
  <c r="BU104" i="3"/>
  <c r="BU108" i="3"/>
  <c r="BU112" i="3"/>
  <c r="BU116" i="3"/>
  <c r="BU120" i="3"/>
  <c r="BU124" i="3"/>
  <c r="BU128" i="3"/>
  <c r="BU132" i="3"/>
  <c r="BU136" i="3"/>
  <c r="BU140" i="3"/>
  <c r="BU144" i="3"/>
  <c r="BU148" i="3"/>
  <c r="BU152" i="3"/>
  <c r="BU156" i="3"/>
  <c r="BU160" i="3"/>
  <c r="BU164" i="3"/>
  <c r="BU168" i="3"/>
  <c r="BU14" i="3"/>
  <c r="BU26" i="3"/>
  <c r="BU38" i="3"/>
  <c r="BU50" i="3"/>
  <c r="BU62" i="3"/>
  <c r="BU74" i="3"/>
  <c r="BU86" i="3"/>
  <c r="BU98" i="3"/>
  <c r="BU110" i="3"/>
  <c r="BU122" i="3"/>
  <c r="BU134" i="3"/>
  <c r="BU146" i="3"/>
  <c r="BU158" i="3"/>
  <c r="BU5" i="3"/>
  <c r="BU9" i="3"/>
  <c r="BU13" i="3"/>
  <c r="BU17" i="3"/>
  <c r="BU21" i="3"/>
  <c r="BU25" i="3"/>
  <c r="BU29" i="3"/>
  <c r="BU33" i="3"/>
  <c r="BU37" i="3"/>
  <c r="BU41" i="3"/>
  <c r="BU45" i="3"/>
  <c r="BU49" i="3"/>
  <c r="BU53" i="3"/>
  <c r="BU57" i="3"/>
  <c r="BU61" i="3"/>
  <c r="BU65" i="3"/>
  <c r="BU69" i="3"/>
  <c r="BU73" i="3"/>
  <c r="BU77" i="3"/>
  <c r="BU81" i="3"/>
  <c r="BU85" i="3"/>
  <c r="BU89" i="3"/>
  <c r="BU93" i="3"/>
  <c r="BU97" i="3"/>
  <c r="BU101" i="3"/>
  <c r="BU105" i="3"/>
  <c r="BU109" i="3"/>
  <c r="BU113" i="3"/>
  <c r="BU117" i="3"/>
  <c r="BU121" i="3"/>
  <c r="BU125" i="3"/>
  <c r="BU129" i="3"/>
  <c r="BU133" i="3"/>
  <c r="BU137" i="3"/>
  <c r="BU141" i="3"/>
  <c r="BU145" i="3"/>
  <c r="BU149" i="3"/>
  <c r="BU153" i="3"/>
  <c r="BU157" i="3"/>
  <c r="BU161" i="3"/>
  <c r="BU165" i="3"/>
  <c r="BU6" i="3"/>
  <c r="BU18" i="3"/>
  <c r="BU34" i="3"/>
  <c r="BU46" i="3"/>
  <c r="BU58" i="3"/>
  <c r="BU66" i="3"/>
  <c r="BU78" i="3"/>
  <c r="BU90" i="3"/>
  <c r="BU102" i="3"/>
  <c r="BU114" i="3"/>
  <c r="BU126" i="3"/>
  <c r="BU138" i="3"/>
  <c r="BU150" i="3"/>
  <c r="BU162" i="3"/>
  <c r="BU2" i="3"/>
  <c r="BT3" i="3"/>
  <c r="BT7" i="3"/>
  <c r="BT11" i="3"/>
  <c r="BT15" i="3"/>
  <c r="BT19" i="3"/>
  <c r="BT23" i="3"/>
  <c r="BT27" i="3"/>
  <c r="BT31" i="3"/>
  <c r="BT35" i="3"/>
  <c r="BT39" i="3"/>
  <c r="BT43" i="3"/>
  <c r="BT47" i="3"/>
  <c r="BT51" i="3"/>
  <c r="BT55" i="3"/>
  <c r="BT59" i="3"/>
  <c r="BT63" i="3"/>
  <c r="BT67" i="3"/>
  <c r="BT71" i="3"/>
  <c r="BT75" i="3"/>
  <c r="BT79" i="3"/>
  <c r="BT83" i="3"/>
  <c r="BT87" i="3"/>
  <c r="BT91" i="3"/>
  <c r="BT95" i="3"/>
  <c r="BT99" i="3"/>
  <c r="BT103" i="3"/>
  <c r="BT107" i="3"/>
  <c r="BT111" i="3"/>
  <c r="BT115" i="3"/>
  <c r="BT119" i="3"/>
  <c r="BT123" i="3"/>
  <c r="BT127" i="3"/>
  <c r="BT131" i="3"/>
  <c r="BT135" i="3"/>
  <c r="BT139" i="3"/>
  <c r="BT143" i="3"/>
  <c r="BT147" i="3"/>
  <c r="BT151" i="3"/>
  <c r="BT155" i="3"/>
  <c r="BT159" i="3"/>
  <c r="BT163" i="3"/>
  <c r="BT167" i="3"/>
  <c r="BT4" i="3"/>
  <c r="BT8" i="3"/>
  <c r="BT12" i="3"/>
  <c r="BT16" i="3"/>
  <c r="BT20" i="3"/>
  <c r="BT24" i="3"/>
  <c r="BT28" i="3"/>
  <c r="BT32" i="3"/>
  <c r="BT36" i="3"/>
  <c r="BT40" i="3"/>
  <c r="BT44" i="3"/>
  <c r="BT48" i="3"/>
  <c r="BT52" i="3"/>
  <c r="BT56" i="3"/>
  <c r="BT60" i="3"/>
  <c r="BT64" i="3"/>
  <c r="BT68" i="3"/>
  <c r="BT72" i="3"/>
  <c r="BT76" i="3"/>
  <c r="BT80" i="3"/>
  <c r="BT84" i="3"/>
  <c r="BT88" i="3"/>
  <c r="BT92" i="3"/>
  <c r="BT96" i="3"/>
  <c r="BT100" i="3"/>
  <c r="BT104" i="3"/>
  <c r="BT108" i="3"/>
  <c r="BT112" i="3"/>
  <c r="BT116" i="3"/>
  <c r="BT120" i="3"/>
  <c r="BT124" i="3"/>
  <c r="BT128" i="3"/>
  <c r="BT132" i="3"/>
  <c r="BT136" i="3"/>
  <c r="BT140" i="3"/>
  <c r="BT144" i="3"/>
  <c r="BT148" i="3"/>
  <c r="BT152" i="3"/>
  <c r="BT156" i="3"/>
  <c r="BT160" i="3"/>
  <c r="BT164" i="3"/>
  <c r="BT168" i="3"/>
  <c r="BT10" i="3"/>
  <c r="BT14" i="3"/>
  <c r="BT22" i="3"/>
  <c r="BT30" i="3"/>
  <c r="BT38" i="3"/>
  <c r="BT46" i="3"/>
  <c r="BT54" i="3"/>
  <c r="BT62" i="3"/>
  <c r="BT70" i="3"/>
  <c r="BT78" i="3"/>
  <c r="BT86" i="3"/>
  <c r="BT94" i="3"/>
  <c r="BT102" i="3"/>
  <c r="BT110" i="3"/>
  <c r="BT122" i="3"/>
  <c r="BT130" i="3"/>
  <c r="BT138" i="3"/>
  <c r="BT146" i="3"/>
  <c r="BT154" i="3"/>
  <c r="BT162" i="3"/>
  <c r="BT5" i="3"/>
  <c r="BT9" i="3"/>
  <c r="BT13" i="3"/>
  <c r="BT17" i="3"/>
  <c r="BT21" i="3"/>
  <c r="BT25" i="3"/>
  <c r="BT29" i="3"/>
  <c r="BT33" i="3"/>
  <c r="BT37" i="3"/>
  <c r="BT41" i="3"/>
  <c r="BT45" i="3"/>
  <c r="BT49" i="3"/>
  <c r="BT53" i="3"/>
  <c r="BT57" i="3"/>
  <c r="BT61" i="3"/>
  <c r="BT65" i="3"/>
  <c r="BT69" i="3"/>
  <c r="BT73" i="3"/>
  <c r="BT77" i="3"/>
  <c r="BT81" i="3"/>
  <c r="BT85" i="3"/>
  <c r="BT89" i="3"/>
  <c r="BT93" i="3"/>
  <c r="BT97" i="3"/>
  <c r="BT101" i="3"/>
  <c r="BT105" i="3"/>
  <c r="BT109" i="3"/>
  <c r="BT113" i="3"/>
  <c r="BT117" i="3"/>
  <c r="BT121" i="3"/>
  <c r="BT125" i="3"/>
  <c r="BT129" i="3"/>
  <c r="BT133" i="3"/>
  <c r="BT137" i="3"/>
  <c r="BT141" i="3"/>
  <c r="BT145" i="3"/>
  <c r="BT149" i="3"/>
  <c r="BT153" i="3"/>
  <c r="BT157" i="3"/>
  <c r="BT161" i="3"/>
  <c r="BT165" i="3"/>
  <c r="BT6" i="3"/>
  <c r="BT18" i="3"/>
  <c r="BT26" i="3"/>
  <c r="BT34" i="3"/>
  <c r="BT42" i="3"/>
  <c r="BT50" i="3"/>
  <c r="BT58" i="3"/>
  <c r="BT66" i="3"/>
  <c r="BT74" i="3"/>
  <c r="BT82" i="3"/>
  <c r="BT90" i="3"/>
  <c r="BT98" i="3"/>
  <c r="BT106" i="3"/>
  <c r="BT114" i="3"/>
  <c r="BT118" i="3"/>
  <c r="BT126" i="3"/>
  <c r="BT134" i="3"/>
  <c r="BT142" i="3"/>
  <c r="BT150" i="3"/>
  <c r="BT158" i="3"/>
  <c r="BT166" i="3"/>
  <c r="BT2" i="3"/>
  <c r="BW47" i="3"/>
  <c r="BW75" i="3"/>
  <c r="BW87" i="3"/>
  <c r="BW127" i="3"/>
  <c r="BW13" i="3"/>
  <c r="BW113" i="3"/>
  <c r="BW121" i="3"/>
  <c r="BW98" i="3"/>
  <c r="BW110" i="3"/>
  <c r="BW150" i="3"/>
  <c r="BW166" i="3"/>
  <c r="BW24" i="3"/>
  <c r="BW84" i="3"/>
  <c r="BW108" i="3"/>
  <c r="BW152" i="3"/>
  <c r="BW156" i="3"/>
  <c r="BW160" i="3"/>
  <c r="BW85" i="3"/>
  <c r="BW154" i="3"/>
  <c r="BW2" i="3"/>
  <c r="BK3" i="3"/>
  <c r="BK7" i="3"/>
  <c r="BK11" i="3"/>
  <c r="BK15" i="3"/>
  <c r="BK19" i="3"/>
  <c r="BK23" i="3"/>
  <c r="BK27" i="3"/>
  <c r="BK31" i="3"/>
  <c r="BK35" i="3"/>
  <c r="BK39" i="3"/>
  <c r="BK43" i="3"/>
  <c r="BK47" i="3"/>
  <c r="BK51" i="3"/>
  <c r="BK55" i="3"/>
  <c r="BK59" i="3"/>
  <c r="BK63" i="3"/>
  <c r="BK67" i="3"/>
  <c r="BK71" i="3"/>
  <c r="BK75" i="3"/>
  <c r="BK79" i="3"/>
  <c r="BK83" i="3"/>
  <c r="BK87" i="3"/>
  <c r="BK91" i="3"/>
  <c r="BK95" i="3"/>
  <c r="BK99" i="3"/>
  <c r="BK103" i="3"/>
  <c r="BK107" i="3"/>
  <c r="BK111" i="3"/>
  <c r="BK115" i="3"/>
  <c r="BK119" i="3"/>
  <c r="BK123" i="3"/>
  <c r="BK127" i="3"/>
  <c r="BK131" i="3"/>
  <c r="BK135" i="3"/>
  <c r="BK139" i="3"/>
  <c r="BK143" i="3"/>
  <c r="BK147" i="3"/>
  <c r="BK151" i="3"/>
  <c r="BK155" i="3"/>
  <c r="BK159" i="3"/>
  <c r="BK163" i="3"/>
  <c r="BK167" i="3"/>
  <c r="BK6" i="3"/>
  <c r="BK22" i="3"/>
  <c r="BK30" i="3"/>
  <c r="BK38" i="3"/>
  <c r="BK46" i="3"/>
  <c r="BK54" i="3"/>
  <c r="BK62" i="3"/>
  <c r="BK70" i="3"/>
  <c r="BK78" i="3"/>
  <c r="BK86" i="3"/>
  <c r="BK94" i="3"/>
  <c r="BK102" i="3"/>
  <c r="BK106" i="3"/>
  <c r="BK118" i="3"/>
  <c r="BK126" i="3"/>
  <c r="BK138" i="3"/>
  <c r="BK150" i="3"/>
  <c r="BK162" i="3"/>
  <c r="BK4" i="3"/>
  <c r="BK8" i="3"/>
  <c r="BK12" i="3"/>
  <c r="BK16" i="3"/>
  <c r="BK20" i="3"/>
  <c r="BK24" i="3"/>
  <c r="BK28" i="3"/>
  <c r="BK32" i="3"/>
  <c r="BK36" i="3"/>
  <c r="BK40" i="3"/>
  <c r="BK44" i="3"/>
  <c r="BK48" i="3"/>
  <c r="BK52" i="3"/>
  <c r="BK56" i="3"/>
  <c r="BK60" i="3"/>
  <c r="BK64" i="3"/>
  <c r="BK68" i="3"/>
  <c r="BK72" i="3"/>
  <c r="BK76" i="3"/>
  <c r="BK80" i="3"/>
  <c r="BK84" i="3"/>
  <c r="BK88" i="3"/>
  <c r="BK92" i="3"/>
  <c r="BK96" i="3"/>
  <c r="BK100" i="3"/>
  <c r="BK104" i="3"/>
  <c r="BK108" i="3"/>
  <c r="BK112" i="3"/>
  <c r="BK116" i="3"/>
  <c r="BK120" i="3"/>
  <c r="BK124" i="3"/>
  <c r="BK128" i="3"/>
  <c r="BK132" i="3"/>
  <c r="BK136" i="3"/>
  <c r="BK140" i="3"/>
  <c r="BK144" i="3"/>
  <c r="BK148" i="3"/>
  <c r="BK152" i="3"/>
  <c r="BK156" i="3"/>
  <c r="BK160" i="3"/>
  <c r="BK164" i="3"/>
  <c r="BK168" i="3"/>
  <c r="BK14" i="3"/>
  <c r="BK114" i="3"/>
  <c r="BK134" i="3"/>
  <c r="BK146" i="3"/>
  <c r="BK158" i="3"/>
  <c r="BK5" i="3"/>
  <c r="BK9" i="3"/>
  <c r="BK13" i="3"/>
  <c r="BK17" i="3"/>
  <c r="BK21" i="3"/>
  <c r="BK25" i="3"/>
  <c r="BK29" i="3"/>
  <c r="BK33" i="3"/>
  <c r="BK37" i="3"/>
  <c r="BK41" i="3"/>
  <c r="BK45" i="3"/>
  <c r="BK49" i="3"/>
  <c r="BK53" i="3"/>
  <c r="BK57" i="3"/>
  <c r="BK61" i="3"/>
  <c r="BK65" i="3"/>
  <c r="BK69" i="3"/>
  <c r="BK73" i="3"/>
  <c r="BK77" i="3"/>
  <c r="BK81" i="3"/>
  <c r="BK85" i="3"/>
  <c r="BK89" i="3"/>
  <c r="BK93" i="3"/>
  <c r="BK97" i="3"/>
  <c r="BK101" i="3"/>
  <c r="BK105" i="3"/>
  <c r="BK109" i="3"/>
  <c r="BK113" i="3"/>
  <c r="BK117" i="3"/>
  <c r="BK121" i="3"/>
  <c r="BK125" i="3"/>
  <c r="BK129" i="3"/>
  <c r="BK133" i="3"/>
  <c r="BK137" i="3"/>
  <c r="BK141" i="3"/>
  <c r="BK145" i="3"/>
  <c r="BK149" i="3"/>
  <c r="BK153" i="3"/>
  <c r="BK157" i="3"/>
  <c r="BK161" i="3"/>
  <c r="BK165" i="3"/>
  <c r="BK10" i="3"/>
  <c r="BK18" i="3"/>
  <c r="BK26" i="3"/>
  <c r="BK34" i="3"/>
  <c r="BK42" i="3"/>
  <c r="BK50" i="3"/>
  <c r="BK58" i="3"/>
  <c r="BK66" i="3"/>
  <c r="BK74" i="3"/>
  <c r="BK82" i="3"/>
  <c r="BK90" i="3"/>
  <c r="BK98" i="3"/>
  <c r="BK110" i="3"/>
  <c r="BK122" i="3"/>
  <c r="BK130" i="3"/>
  <c r="BK142" i="3"/>
  <c r="BK154" i="3"/>
  <c r="BK166" i="3"/>
  <c r="BK2" i="3"/>
  <c r="CE166" i="3"/>
  <c r="CH113" i="3"/>
  <c r="CC166" i="3"/>
  <c r="CE113" i="3"/>
  <c r="CH3" i="3"/>
  <c r="CH75" i="3"/>
  <c r="CH153" i="3"/>
  <c r="CH152" i="3"/>
  <c r="CC152" i="3"/>
  <c r="CC5" i="3"/>
  <c r="CH6" i="3"/>
  <c r="CH23" i="3"/>
  <c r="CH4" i="3"/>
  <c r="CC2" i="3"/>
  <c r="CC118" i="3"/>
  <c r="CH8" i="3"/>
  <c r="CD159" i="3"/>
  <c r="CC4" i="3"/>
  <c r="CH62" i="3"/>
  <c r="CH110" i="3"/>
  <c r="CH132" i="3"/>
  <c r="CH89" i="3"/>
  <c r="CH155" i="3"/>
  <c r="CH122" i="3"/>
  <c r="CH13" i="3"/>
  <c r="CH112" i="3"/>
  <c r="CH81" i="3"/>
  <c r="CC113" i="3"/>
  <c r="CC75" i="3"/>
  <c r="CC114" i="3"/>
  <c r="CH85" i="3"/>
  <c r="CD75" i="3"/>
  <c r="CC132" i="3"/>
  <c r="CH114" i="3"/>
  <c r="CC24" i="3"/>
  <c r="CC168" i="3"/>
  <c r="CH126" i="3"/>
  <c r="CD166" i="3"/>
  <c r="CD113" i="3"/>
  <c r="CH73" i="3"/>
  <c r="CH118" i="3"/>
  <c r="CH142" i="3"/>
  <c r="CH64" i="3"/>
  <c r="CH154" i="3"/>
  <c r="CC62" i="3"/>
  <c r="CH159" i="3"/>
  <c r="CD132" i="3"/>
  <c r="CH108" i="3"/>
  <c r="CH127" i="3"/>
  <c r="CH84" i="3"/>
  <c r="CC3" i="3"/>
  <c r="CC98" i="3"/>
  <c r="CH88" i="3"/>
  <c r="CC159" i="3"/>
  <c r="CH87" i="3"/>
  <c r="CH98" i="3"/>
  <c r="CH2" i="3"/>
  <c r="CH24" i="3"/>
  <c r="CH5" i="3"/>
  <c r="CC150" i="3"/>
  <c r="CH150" i="3"/>
  <c r="CH121" i="3"/>
  <c r="CH115" i="3"/>
  <c r="BP162" i="3" l="1"/>
  <c r="BP158" i="3"/>
  <c r="BP154" i="3"/>
  <c r="BP146" i="3"/>
  <c r="BP142" i="3"/>
  <c r="BP138" i="3"/>
  <c r="BP3" i="3"/>
  <c r="BP7" i="3"/>
  <c r="BP11" i="3"/>
  <c r="BP15" i="3"/>
  <c r="BP19" i="3"/>
  <c r="BP23" i="3"/>
  <c r="BP27" i="3"/>
  <c r="BP31" i="3"/>
  <c r="BP166" i="3"/>
  <c r="BP150" i="3"/>
  <c r="BX148" i="3"/>
  <c r="BX130" i="3"/>
  <c r="BX102" i="3"/>
  <c r="BX79" i="3"/>
  <c r="BX59" i="3"/>
  <c r="BX42" i="3"/>
  <c r="BX26" i="3"/>
  <c r="CG158" i="3"/>
  <c r="BX158" i="3"/>
  <c r="CH146" i="3"/>
  <c r="BX146" i="3"/>
  <c r="CH138" i="3"/>
  <c r="BX138" i="3"/>
  <c r="CH134" i="3"/>
  <c r="BX134" i="3"/>
  <c r="CH94" i="3"/>
  <c r="BX94" i="3"/>
  <c r="CH90" i="3"/>
  <c r="BX90" i="3"/>
  <c r="CG82" i="3"/>
  <c r="BX82" i="3"/>
  <c r="CG78" i="3"/>
  <c r="BX78" i="3"/>
  <c r="CJ70" i="3"/>
  <c r="BX70" i="3"/>
  <c r="CJ66" i="3"/>
  <c r="BX66" i="3"/>
  <c r="CG58" i="3"/>
  <c r="BX58" i="3"/>
  <c r="CG54" i="3"/>
  <c r="BX54" i="3"/>
  <c r="CG50" i="3"/>
  <c r="BX50" i="3"/>
  <c r="CJ22" i="3"/>
  <c r="BX22" i="3"/>
  <c r="CJ18" i="3"/>
  <c r="BX18" i="3"/>
  <c r="CJ14" i="3"/>
  <c r="BX14" i="3"/>
  <c r="CG10" i="3"/>
  <c r="BX10" i="3"/>
  <c r="CJ161" i="3"/>
  <c r="BX161" i="3"/>
  <c r="CJ165" i="3"/>
  <c r="BX165" i="3"/>
  <c r="BP35" i="3"/>
  <c r="BP39" i="3"/>
  <c r="BP43" i="3"/>
  <c r="BP47" i="3"/>
  <c r="BP51" i="3"/>
  <c r="BP55" i="3"/>
  <c r="BP59" i="3"/>
  <c r="BP63" i="3"/>
  <c r="BP67" i="3"/>
  <c r="BP71" i="3"/>
  <c r="BP75" i="3"/>
  <c r="BP79" i="3"/>
  <c r="BP83" i="3"/>
  <c r="BP87" i="3"/>
  <c r="BP91" i="3"/>
  <c r="BP95" i="3"/>
  <c r="BP99" i="3"/>
  <c r="BP103" i="3"/>
  <c r="BP107" i="3"/>
  <c r="BP111" i="3"/>
  <c r="BP115" i="3"/>
  <c r="BP119" i="3"/>
  <c r="BP123" i="3"/>
  <c r="BP127" i="3"/>
  <c r="BP131" i="3"/>
  <c r="BP135" i="3"/>
  <c r="BP139" i="3"/>
  <c r="BP143" i="3"/>
  <c r="BP147" i="3"/>
  <c r="BP151" i="3"/>
  <c r="BP155" i="3"/>
  <c r="BP159" i="3"/>
  <c r="BP163" i="3"/>
  <c r="BP167" i="3"/>
  <c r="BX144" i="3"/>
  <c r="BX123" i="3"/>
  <c r="BX97" i="3"/>
  <c r="BX74" i="3"/>
  <c r="BX55" i="3"/>
  <c r="BX38" i="3"/>
  <c r="BX20" i="3"/>
  <c r="CH151" i="3"/>
  <c r="BX151" i="3"/>
  <c r="CH143" i="3"/>
  <c r="BX143" i="3"/>
  <c r="CH119" i="3"/>
  <c r="BX119" i="3"/>
  <c r="CG111" i="3"/>
  <c r="BX111" i="3"/>
  <c r="CG83" i="3"/>
  <c r="BX83" i="3"/>
  <c r="CH67" i="3"/>
  <c r="BX67" i="3"/>
  <c r="CJ43" i="3"/>
  <c r="BX43" i="3"/>
  <c r="CJ39" i="3"/>
  <c r="BX39" i="3"/>
  <c r="CJ35" i="3"/>
  <c r="BX35" i="3"/>
  <c r="CJ31" i="3"/>
  <c r="BX31" i="3"/>
  <c r="CJ27" i="3"/>
  <c r="BX27" i="3"/>
  <c r="CH19" i="3"/>
  <c r="BX19" i="3"/>
  <c r="CH15" i="3"/>
  <c r="BX15" i="3"/>
  <c r="CH7" i="3"/>
  <c r="BX7" i="3"/>
  <c r="CG149" i="3"/>
  <c r="BX149" i="3"/>
  <c r="CG145" i="3"/>
  <c r="BX145" i="3"/>
  <c r="CG141" i="3"/>
  <c r="BX141" i="3"/>
  <c r="CG137" i="3"/>
  <c r="BX137" i="3"/>
  <c r="CG133" i="3"/>
  <c r="BX133" i="3"/>
  <c r="CH129" i="3"/>
  <c r="BX129" i="3"/>
  <c r="CG117" i="3"/>
  <c r="BX117" i="3"/>
  <c r="CG109" i="3"/>
  <c r="BX109" i="3"/>
  <c r="CG105" i="3"/>
  <c r="BX105" i="3"/>
  <c r="CG101" i="3"/>
  <c r="BX101" i="3"/>
  <c r="CG77" i="3"/>
  <c r="BX77" i="3"/>
  <c r="CG61" i="3"/>
  <c r="BX61" i="3"/>
  <c r="CG57" i="3"/>
  <c r="BX57" i="3"/>
  <c r="CG53" i="3"/>
  <c r="BX53" i="3"/>
  <c r="CG49" i="3"/>
  <c r="BX49" i="3"/>
  <c r="CG45" i="3"/>
  <c r="BX45" i="3"/>
  <c r="CG41" i="3"/>
  <c r="BX41" i="3"/>
  <c r="CG37" i="3"/>
  <c r="BX37" i="3"/>
  <c r="CG33" i="3"/>
  <c r="BX33" i="3"/>
  <c r="CG29" i="3"/>
  <c r="BX29" i="3"/>
  <c r="CG25" i="3"/>
  <c r="BX25" i="3"/>
  <c r="CH21" i="3"/>
  <c r="BX21" i="3"/>
  <c r="CH17" i="3"/>
  <c r="BX17" i="3"/>
  <c r="CG9" i="3"/>
  <c r="BX9" i="3"/>
  <c r="CJ164" i="3"/>
  <c r="BX164" i="3"/>
  <c r="BP2" i="3"/>
  <c r="BP165" i="3"/>
  <c r="BP161" i="3"/>
  <c r="BP157" i="3"/>
  <c r="BP153" i="3"/>
  <c r="BP149" i="3"/>
  <c r="BP145" i="3"/>
  <c r="BP141" i="3"/>
  <c r="BP137" i="3"/>
  <c r="BP134" i="3"/>
  <c r="BP133" i="3"/>
  <c r="BP130" i="3"/>
  <c r="BP129" i="3"/>
  <c r="BP126" i="3"/>
  <c r="BP125" i="3"/>
  <c r="BP122" i="3"/>
  <c r="BP121" i="3"/>
  <c r="BP118" i="3"/>
  <c r="BP117" i="3"/>
  <c r="BP114" i="3"/>
  <c r="BP113" i="3"/>
  <c r="BP110" i="3"/>
  <c r="BP109" i="3"/>
  <c r="BP106" i="3"/>
  <c r="BP105" i="3"/>
  <c r="BP102" i="3"/>
  <c r="BP101" i="3"/>
  <c r="BP98" i="3"/>
  <c r="BP97" i="3"/>
  <c r="BP94" i="3"/>
  <c r="BP93" i="3"/>
  <c r="BP90" i="3"/>
  <c r="BP89" i="3"/>
  <c r="BP86" i="3"/>
  <c r="BP85" i="3"/>
  <c r="BP82" i="3"/>
  <c r="BP81" i="3"/>
  <c r="BP78" i="3"/>
  <c r="BP77" i="3"/>
  <c r="BP74" i="3"/>
  <c r="BP73" i="3"/>
  <c r="BP70" i="3"/>
  <c r="BP69" i="3"/>
  <c r="BP66" i="3"/>
  <c r="BP65" i="3"/>
  <c r="BP62" i="3"/>
  <c r="BP61" i="3"/>
  <c r="BP58" i="3"/>
  <c r="BP57" i="3"/>
  <c r="BP54" i="3"/>
  <c r="BP53" i="3"/>
  <c r="BP50" i="3"/>
  <c r="BP49" i="3"/>
  <c r="BP46" i="3"/>
  <c r="BP45" i="3"/>
  <c r="BP42" i="3"/>
  <c r="BP41" i="3"/>
  <c r="BP38" i="3"/>
  <c r="BP37" i="3"/>
  <c r="BP34" i="3"/>
  <c r="BP33" i="3"/>
  <c r="BP30" i="3"/>
  <c r="BP29" i="3"/>
  <c r="BX163" i="3"/>
  <c r="BX139" i="3"/>
  <c r="BX116" i="3"/>
  <c r="BX93" i="3"/>
  <c r="BX69" i="3"/>
  <c r="BX51" i="3"/>
  <c r="BX34" i="3"/>
  <c r="BX16" i="3"/>
  <c r="CH147" i="3"/>
  <c r="BX147" i="3"/>
  <c r="CJ131" i="3"/>
  <c r="BX131" i="3"/>
  <c r="CJ107" i="3"/>
  <c r="BX107" i="3"/>
  <c r="CH103" i="3"/>
  <c r="BX103" i="3"/>
  <c r="CJ99" i="3"/>
  <c r="BX99" i="3"/>
  <c r="CH95" i="3"/>
  <c r="BX95" i="3"/>
  <c r="CH91" i="3"/>
  <c r="BX91" i="3"/>
  <c r="CH71" i="3"/>
  <c r="BX71" i="3"/>
  <c r="CG63" i="3"/>
  <c r="BX63" i="3"/>
  <c r="CJ162" i="3"/>
  <c r="BX162" i="3"/>
  <c r="CJ156" i="3"/>
  <c r="BX156" i="3"/>
  <c r="CH140" i="3"/>
  <c r="BX140" i="3"/>
  <c r="CH136" i="3"/>
  <c r="BX136" i="3"/>
  <c r="CJ128" i="3"/>
  <c r="BX128" i="3"/>
  <c r="CJ124" i="3"/>
  <c r="BX124" i="3"/>
  <c r="CH120" i="3"/>
  <c r="BX120" i="3"/>
  <c r="CH104" i="3"/>
  <c r="BX104" i="3"/>
  <c r="CH100" i="3"/>
  <c r="BX100" i="3"/>
  <c r="CH96" i="3"/>
  <c r="BX96" i="3"/>
  <c r="CH92" i="3"/>
  <c r="BX92" i="3"/>
  <c r="CH80" i="3"/>
  <c r="BX80" i="3"/>
  <c r="CJ76" i="3"/>
  <c r="BX76" i="3"/>
  <c r="CH72" i="3"/>
  <c r="BX72" i="3"/>
  <c r="CH68" i="3"/>
  <c r="BX68" i="3"/>
  <c r="CJ60" i="3"/>
  <c r="BX60" i="3"/>
  <c r="CJ56" i="3"/>
  <c r="BX56" i="3"/>
  <c r="CJ52" i="3"/>
  <c r="BX52" i="3"/>
  <c r="CJ48" i="3"/>
  <c r="BX48" i="3"/>
  <c r="CJ44" i="3"/>
  <c r="BX44" i="3"/>
  <c r="CJ40" i="3"/>
  <c r="BX40" i="3"/>
  <c r="CJ36" i="3"/>
  <c r="BX36" i="3"/>
  <c r="CJ32" i="3"/>
  <c r="BX32" i="3"/>
  <c r="CJ28" i="3"/>
  <c r="BX28" i="3"/>
  <c r="CJ12" i="3"/>
  <c r="BX12" i="3"/>
  <c r="CJ167" i="3"/>
  <c r="BX167" i="3"/>
  <c r="BX157" i="3"/>
  <c r="BX135" i="3"/>
  <c r="BX106" i="3"/>
  <c r="BX86" i="3"/>
  <c r="BX65" i="3"/>
  <c r="BX46" i="3"/>
  <c r="BX30" i="3"/>
  <c r="BX11" i="3"/>
  <c r="BP26" i="3"/>
  <c r="BP25" i="3"/>
  <c r="BP22" i="3"/>
  <c r="BP21" i="3"/>
  <c r="BP18" i="3"/>
  <c r="BP17" i="3"/>
  <c r="BP14" i="3"/>
  <c r="BP13" i="3"/>
  <c r="BP10" i="3"/>
  <c r="BP9" i="3"/>
  <c r="BP6" i="3"/>
  <c r="BP5" i="3"/>
  <c r="BP4" i="3"/>
  <c r="BP8" i="3"/>
  <c r="BP12" i="3"/>
  <c r="BP16" i="3"/>
  <c r="BP20" i="3"/>
  <c r="BP24" i="3"/>
  <c r="BP28" i="3"/>
  <c r="BP32" i="3"/>
  <c r="BP36" i="3"/>
  <c r="BP40" i="3"/>
  <c r="BP44" i="3"/>
  <c r="BP48" i="3"/>
  <c r="BP52" i="3"/>
  <c r="BP56" i="3"/>
  <c r="BP60" i="3"/>
  <c r="BP64" i="3"/>
  <c r="BP68" i="3"/>
  <c r="BP72" i="3"/>
  <c r="BP76" i="3"/>
  <c r="BP80" i="3"/>
  <c r="BP84" i="3"/>
  <c r="BP88" i="3"/>
  <c r="BP92" i="3"/>
  <c r="BP96" i="3"/>
  <c r="BP100" i="3"/>
  <c r="BP104" i="3"/>
  <c r="BP108" i="3"/>
  <c r="BP112" i="3"/>
  <c r="BP116" i="3"/>
  <c r="BP120" i="3"/>
  <c r="BP124" i="3"/>
  <c r="BP128" i="3"/>
  <c r="BP132" i="3"/>
  <c r="BP136" i="3"/>
  <c r="BP140" i="3"/>
  <c r="BP144" i="3"/>
  <c r="BP148" i="3"/>
  <c r="BP152" i="3"/>
  <c r="BP156" i="3"/>
  <c r="BP160" i="3"/>
  <c r="BP164" i="3"/>
  <c r="BP168" i="3"/>
  <c r="BY162" i="3"/>
  <c r="BY158" i="3"/>
  <c r="BY146" i="3"/>
  <c r="BY138" i="3"/>
  <c r="BY134" i="3"/>
  <c r="BY130" i="3"/>
  <c r="BY106" i="3"/>
  <c r="BY102" i="3"/>
  <c r="BY94" i="3"/>
  <c r="BY90" i="3"/>
  <c r="BY86" i="3"/>
  <c r="BY82" i="3"/>
  <c r="BY78" i="3"/>
  <c r="BY74" i="3"/>
  <c r="BY70" i="3"/>
  <c r="BY66" i="3"/>
  <c r="BY58" i="3"/>
  <c r="BY54" i="3"/>
  <c r="BY50" i="3"/>
  <c r="BY46" i="3"/>
  <c r="BY42" i="3"/>
  <c r="BY38" i="3"/>
  <c r="BY34" i="3"/>
  <c r="BY30" i="3"/>
  <c r="BY26" i="3"/>
  <c r="BY22" i="3"/>
  <c r="BY18" i="3"/>
  <c r="BY14" i="3"/>
  <c r="BY10" i="3"/>
  <c r="BY165" i="3"/>
  <c r="BY161" i="3"/>
  <c r="BY157" i="3"/>
  <c r="BY149" i="3"/>
  <c r="BY145" i="3"/>
  <c r="BY141" i="3"/>
  <c r="BY137" i="3"/>
  <c r="BY133" i="3"/>
  <c r="BY129" i="3"/>
  <c r="BY117" i="3"/>
  <c r="BY109" i="3"/>
  <c r="BY105" i="3"/>
  <c r="BY101" i="3"/>
  <c r="BY97" i="3"/>
  <c r="BY93" i="3"/>
  <c r="BY77" i="3"/>
  <c r="BY69" i="3"/>
  <c r="BY65" i="3"/>
  <c r="BY61" i="3"/>
  <c r="BY57" i="3"/>
  <c r="BY53" i="3"/>
  <c r="BY49" i="3"/>
  <c r="BY45" i="3"/>
  <c r="BY41" i="3"/>
  <c r="BY37" i="3"/>
  <c r="BY33" i="3"/>
  <c r="BY29" i="3"/>
  <c r="BY25" i="3"/>
  <c r="BY21" i="3"/>
  <c r="BY17" i="3"/>
  <c r="BY9" i="3"/>
  <c r="BY164" i="3"/>
  <c r="BY156" i="3"/>
  <c r="BY148" i="3"/>
  <c r="BY144" i="3"/>
  <c r="BY140" i="3"/>
  <c r="BY136" i="3"/>
  <c r="BY128" i="3"/>
  <c r="BY124" i="3"/>
  <c r="BY120" i="3"/>
  <c r="BY116" i="3"/>
  <c r="BY104" i="3"/>
  <c r="BY100" i="3"/>
  <c r="BY96" i="3"/>
  <c r="BY92" i="3"/>
  <c r="BY80" i="3"/>
  <c r="BY76" i="3"/>
  <c r="BY72" i="3"/>
  <c r="BY68" i="3"/>
  <c r="BY60" i="3"/>
  <c r="BY56" i="3"/>
  <c r="BY52" i="3"/>
  <c r="BY48" i="3"/>
  <c r="BY44" i="3"/>
  <c r="BY40" i="3"/>
  <c r="BY36" i="3"/>
  <c r="BY32" i="3"/>
  <c r="BY28" i="3"/>
  <c r="BY20" i="3"/>
  <c r="BY16" i="3"/>
  <c r="BY12" i="3"/>
  <c r="BY167" i="3"/>
  <c r="BY163" i="3"/>
  <c r="BY151" i="3"/>
  <c r="BY147" i="3"/>
  <c r="BY143" i="3"/>
  <c r="BY139" i="3"/>
  <c r="BY135" i="3"/>
  <c r="BY131" i="3"/>
  <c r="BY123" i="3"/>
  <c r="BY119" i="3"/>
  <c r="BY111" i="3"/>
  <c r="BY107" i="3"/>
  <c r="BY103" i="3"/>
  <c r="BY99" i="3"/>
  <c r="BY95" i="3"/>
  <c r="BY91" i="3"/>
  <c r="BY83" i="3"/>
  <c r="BY79" i="3"/>
  <c r="BY71" i="3"/>
  <c r="BY67" i="3"/>
  <c r="BY63" i="3"/>
  <c r="BY59" i="3"/>
  <c r="BY55" i="3"/>
  <c r="BY51" i="3"/>
  <c r="BY43" i="3"/>
  <c r="BY39" i="3"/>
  <c r="BY35" i="3"/>
  <c r="BY31" i="3"/>
  <c r="BY27" i="3"/>
  <c r="BY19" i="3"/>
  <c r="BY15" i="3"/>
  <c r="BY11" i="3"/>
  <c r="BY7" i="3"/>
  <c r="CJ168" i="3"/>
  <c r="CJ166" i="3"/>
  <c r="CJ24" i="3"/>
  <c r="CF168" i="3"/>
  <c r="CG168" i="3"/>
  <c r="CJ160" i="3"/>
  <c r="CG160" i="3"/>
  <c r="CF160" i="3"/>
  <c r="CF162" i="3"/>
  <c r="CF161" i="3"/>
  <c r="CF166" i="3"/>
  <c r="CF167" i="3"/>
  <c r="CF163" i="3"/>
  <c r="CF164" i="3"/>
  <c r="CF165" i="3"/>
  <c r="CG164" i="3"/>
  <c r="CG165" i="3"/>
  <c r="CG166" i="3"/>
  <c r="CG167" i="3"/>
  <c r="CH161" i="3"/>
  <c r="CH162" i="3"/>
  <c r="CH163" i="3"/>
  <c r="CH164" i="3"/>
  <c r="CH165" i="3"/>
  <c r="CH167" i="3"/>
  <c r="CG161" i="3"/>
  <c r="CG162" i="3"/>
  <c r="CG163" i="3"/>
  <c r="CJ153" i="3"/>
  <c r="CJ47" i="3"/>
  <c r="CJ127" i="3"/>
  <c r="CJ3" i="3"/>
  <c r="CJ155" i="3"/>
  <c r="CJ132" i="3"/>
  <c r="CJ152" i="3"/>
  <c r="CJ147" i="3"/>
  <c r="CH107" i="3"/>
  <c r="CJ114" i="3"/>
  <c r="CJ118" i="3"/>
  <c r="CJ122" i="3"/>
  <c r="CH99" i="3"/>
  <c r="CJ110" i="3"/>
  <c r="CJ126" i="3"/>
  <c r="CJ103" i="3"/>
  <c r="CJ62" i="3"/>
  <c r="CJ98" i="3"/>
  <c r="CJ150" i="3"/>
  <c r="CJ154" i="3"/>
  <c r="CJ2" i="3"/>
  <c r="CJ63" i="3"/>
  <c r="CJ64" i="3"/>
  <c r="CJ108" i="3"/>
  <c r="CJ139" i="3"/>
  <c r="CJ100" i="3"/>
  <c r="CJ7" i="3"/>
  <c r="CH56" i="3"/>
  <c r="CH12" i="3"/>
  <c r="CH76" i="3"/>
  <c r="CH32" i="3"/>
  <c r="CJ84" i="3"/>
  <c r="CJ88" i="3"/>
  <c r="CJ112" i="3"/>
  <c r="CG128" i="3"/>
  <c r="CJ123" i="3"/>
  <c r="CH131" i="3"/>
  <c r="CH48" i="3"/>
  <c r="CH128" i="3"/>
  <c r="CH40" i="3"/>
  <c r="CH157" i="3"/>
  <c r="CJ157" i="3"/>
  <c r="CJ144" i="3"/>
  <c r="CJ136" i="3"/>
  <c r="CJ120" i="3"/>
  <c r="CJ72" i="3"/>
  <c r="CJ16" i="3"/>
  <c r="CH156" i="3"/>
  <c r="CH124" i="3"/>
  <c r="CH61" i="3"/>
  <c r="CH53" i="3"/>
  <c r="CH45" i="3"/>
  <c r="CH37" i="3"/>
  <c r="CH29" i="3"/>
  <c r="CH9" i="3"/>
  <c r="CJ65" i="3"/>
  <c r="CH145" i="3"/>
  <c r="CH137" i="3"/>
  <c r="CH109" i="3"/>
  <c r="CJ8" i="3"/>
  <c r="CJ73" i="3"/>
  <c r="CJ85" i="3"/>
  <c r="CJ89" i="3"/>
  <c r="CJ113" i="3"/>
  <c r="CJ121" i="3"/>
  <c r="CF143" i="3"/>
  <c r="CF135" i="3"/>
  <c r="CF56" i="3"/>
  <c r="CF48" i="3"/>
  <c r="CF40" i="3"/>
  <c r="CF32" i="3"/>
  <c r="CF8" i="3"/>
  <c r="CJ159" i="3"/>
  <c r="CJ115" i="3"/>
  <c r="CJ87" i="3"/>
  <c r="CJ75" i="3"/>
  <c r="CJ23" i="3"/>
  <c r="CJ143" i="3"/>
  <c r="CJ135" i="3"/>
  <c r="CJ117" i="3"/>
  <c r="CJ104" i="3"/>
  <c r="CJ80" i="3"/>
  <c r="CJ69" i="3"/>
  <c r="CJ21" i="3"/>
  <c r="CH149" i="3"/>
  <c r="CH141" i="3"/>
  <c r="CH133" i="3"/>
  <c r="CH117" i="3"/>
  <c r="CH60" i="3"/>
  <c r="CH52" i="3"/>
  <c r="CH44" i="3"/>
  <c r="CH36" i="3"/>
  <c r="CH28" i="3"/>
  <c r="CJ109" i="3"/>
  <c r="CJ17" i="3"/>
  <c r="CJ5" i="3"/>
  <c r="CJ13" i="3"/>
  <c r="CJ81" i="3"/>
  <c r="CJ4" i="3"/>
  <c r="CJ6" i="3"/>
  <c r="CJ148" i="3"/>
  <c r="CJ140" i="3"/>
  <c r="CJ116" i="3"/>
  <c r="CJ77" i="3"/>
  <c r="CJ68" i="3"/>
  <c r="CJ20" i="3"/>
  <c r="CJ9" i="3"/>
  <c r="CH77" i="3"/>
  <c r="CH57" i="3"/>
  <c r="CH49" i="3"/>
  <c r="CH41" i="3"/>
  <c r="CH33" i="3"/>
  <c r="CH25" i="3"/>
  <c r="CJ130" i="3"/>
  <c r="CJ94" i="3"/>
  <c r="CJ90" i="3"/>
  <c r="CJ82" i="3"/>
  <c r="CJ58" i="3"/>
  <c r="CJ54" i="3"/>
  <c r="CJ50" i="3"/>
  <c r="CJ46" i="3"/>
  <c r="CJ42" i="3"/>
  <c r="CJ38" i="3"/>
  <c r="CJ34" i="3"/>
  <c r="CJ30" i="3"/>
  <c r="CJ26" i="3"/>
  <c r="CH70" i="3"/>
  <c r="CH66" i="3"/>
  <c r="CH22" i="3"/>
  <c r="CH18" i="3"/>
  <c r="CH14" i="3"/>
  <c r="CJ151" i="3"/>
  <c r="CJ146" i="3"/>
  <c r="CJ142" i="3"/>
  <c r="CJ138" i="3"/>
  <c r="CJ134" i="3"/>
  <c r="CJ129" i="3"/>
  <c r="CJ106" i="3"/>
  <c r="CJ102" i="3"/>
  <c r="CJ97" i="3"/>
  <c r="CJ93" i="3"/>
  <c r="CJ71" i="3"/>
  <c r="CJ67" i="3"/>
  <c r="CJ61" i="3"/>
  <c r="CJ57" i="3"/>
  <c r="CJ53" i="3"/>
  <c r="CJ49" i="3"/>
  <c r="CJ45" i="3"/>
  <c r="CJ41" i="3"/>
  <c r="CJ37" i="3"/>
  <c r="CJ33" i="3"/>
  <c r="CJ29" i="3"/>
  <c r="CJ25" i="3"/>
  <c r="CJ11" i="3"/>
  <c r="CH86" i="3"/>
  <c r="CH79" i="3"/>
  <c r="CH74" i="3"/>
  <c r="CH59" i="3"/>
  <c r="CH55" i="3"/>
  <c r="CH51" i="3"/>
  <c r="CH43" i="3"/>
  <c r="CH39" i="3"/>
  <c r="CH35" i="3"/>
  <c r="CH31" i="3"/>
  <c r="CH27" i="3"/>
  <c r="CF144" i="3"/>
  <c r="CF136" i="3"/>
  <c r="CG112" i="3"/>
  <c r="CG84" i="3"/>
  <c r="CG96" i="3"/>
  <c r="CJ158" i="3"/>
  <c r="CJ149" i="3"/>
  <c r="CJ145" i="3"/>
  <c r="CJ141" i="3"/>
  <c r="CJ137" i="3"/>
  <c r="CJ133" i="3"/>
  <c r="CJ119" i="3"/>
  <c r="CJ111" i="3"/>
  <c r="CJ105" i="3"/>
  <c r="CJ101" i="3"/>
  <c r="CJ96" i="3"/>
  <c r="CJ92" i="3"/>
  <c r="CJ19" i="3"/>
  <c r="CJ15" i="3"/>
  <c r="CJ10" i="3"/>
  <c r="CH111" i="3"/>
  <c r="CH105" i="3"/>
  <c r="CH101" i="3"/>
  <c r="CH83" i="3"/>
  <c r="CH78" i="3"/>
  <c r="CH63" i="3"/>
  <c r="CH58" i="3"/>
  <c r="CH54" i="3"/>
  <c r="CH50" i="3"/>
  <c r="CH46" i="3"/>
  <c r="CH42" i="3"/>
  <c r="CH38" i="3"/>
  <c r="CH34" i="3"/>
  <c r="CH30" i="3"/>
  <c r="CH26" i="3"/>
  <c r="CH11" i="3"/>
  <c r="CF23" i="3"/>
  <c r="CF19" i="3"/>
  <c r="CF15" i="3"/>
  <c r="CF11" i="3"/>
  <c r="CF7" i="3"/>
  <c r="CF47" i="3"/>
  <c r="CF35" i="3"/>
  <c r="CJ95" i="3"/>
  <c r="CJ91" i="3"/>
  <c r="CJ83" i="3"/>
  <c r="CJ78" i="3"/>
  <c r="CH158" i="3"/>
  <c r="CH82" i="3"/>
  <c r="CH10" i="3"/>
  <c r="CG125" i="3"/>
  <c r="CJ125" i="3"/>
  <c r="CF151" i="3"/>
  <c r="CF110" i="3"/>
  <c r="CF106" i="3"/>
  <c r="CF102" i="3"/>
  <c r="CF72" i="3"/>
  <c r="CF64" i="3"/>
  <c r="CF59" i="3"/>
  <c r="CF55" i="3"/>
  <c r="CF51" i="3"/>
  <c r="CF43" i="3"/>
  <c r="CF39" i="3"/>
  <c r="CF31" i="3"/>
  <c r="CF27" i="3"/>
  <c r="CG121" i="3"/>
  <c r="CG113" i="3"/>
  <c r="CG89" i="3"/>
  <c r="CG85" i="3"/>
  <c r="CG81" i="3"/>
  <c r="CG73" i="3"/>
  <c r="CG13" i="3"/>
  <c r="CF16" i="3"/>
  <c r="CG132" i="3"/>
  <c r="CF142" i="3"/>
  <c r="CF155" i="3"/>
  <c r="CF149" i="3"/>
  <c r="CF145" i="3"/>
  <c r="CF141" i="3"/>
  <c r="CF137" i="3"/>
  <c r="CF133" i="3"/>
  <c r="CF128" i="3"/>
  <c r="CF124" i="3"/>
  <c r="CF120" i="3"/>
  <c r="CF115" i="3"/>
  <c r="CF109" i="3"/>
  <c r="CF105" i="3"/>
  <c r="CF101" i="3"/>
  <c r="CF96" i="3"/>
  <c r="CF92" i="3"/>
  <c r="CF88" i="3"/>
  <c r="CF84" i="3"/>
  <c r="CF80" i="3"/>
  <c r="CF76" i="3"/>
  <c r="CF71" i="3"/>
  <c r="CF67" i="3"/>
  <c r="CF63" i="3"/>
  <c r="CF58" i="3"/>
  <c r="CF54" i="3"/>
  <c r="CF50" i="3"/>
  <c r="CF46" i="3"/>
  <c r="CF42" i="3"/>
  <c r="CF38" i="3"/>
  <c r="CF34" i="3"/>
  <c r="CF30" i="3"/>
  <c r="CF26" i="3"/>
  <c r="CF21" i="3"/>
  <c r="CF17" i="3"/>
  <c r="CF13" i="3"/>
  <c r="CF9" i="3"/>
  <c r="CF156" i="3"/>
  <c r="CF127" i="3"/>
  <c r="CF111" i="3"/>
  <c r="CF107" i="3"/>
  <c r="CF103" i="3"/>
  <c r="CF99" i="3"/>
  <c r="CF95" i="3"/>
  <c r="CF79" i="3"/>
  <c r="CF146" i="3"/>
  <c r="CF138" i="3"/>
  <c r="CF134" i="3"/>
  <c r="CF158" i="3"/>
  <c r="CF154" i="3"/>
  <c r="CF119" i="3"/>
  <c r="CF112" i="3"/>
  <c r="CF108" i="3"/>
  <c r="CF104" i="3"/>
  <c r="CF100" i="3"/>
  <c r="CF87" i="3"/>
  <c r="CF20" i="3"/>
  <c r="CF12" i="3"/>
  <c r="CF147" i="3"/>
  <c r="CF139" i="3"/>
  <c r="CF116" i="3"/>
  <c r="CF68" i="3"/>
  <c r="CF60" i="3"/>
  <c r="CF52" i="3"/>
  <c r="CF44" i="3"/>
  <c r="CF36" i="3"/>
  <c r="CF28" i="3"/>
  <c r="CF114" i="3"/>
  <c r="CF98" i="3"/>
  <c r="CF113" i="3"/>
  <c r="CF150" i="3"/>
  <c r="CF118" i="3"/>
  <c r="CF62" i="3"/>
  <c r="CF6" i="3"/>
  <c r="CF152" i="3"/>
  <c r="CF132" i="3"/>
  <c r="CF24" i="3"/>
  <c r="CF4" i="3"/>
  <c r="CF159" i="3"/>
  <c r="CF75" i="3"/>
  <c r="CF3" i="3"/>
  <c r="CF2" i="3"/>
  <c r="CF148" i="3"/>
  <c r="CF140" i="3"/>
  <c r="CF131" i="3"/>
  <c r="CF123" i="3"/>
  <c r="CF91" i="3"/>
  <c r="CF83" i="3"/>
  <c r="CF74" i="3"/>
  <c r="CF70" i="3"/>
  <c r="CF66" i="3"/>
  <c r="CF61" i="3"/>
  <c r="CF57" i="3"/>
  <c r="CF53" i="3"/>
  <c r="CF129" i="3"/>
  <c r="CF125" i="3"/>
  <c r="CF121" i="3"/>
  <c r="CF97" i="3"/>
  <c r="CF93" i="3"/>
  <c r="CF89" i="3"/>
  <c r="CF85" i="3"/>
  <c r="CF81" i="3"/>
  <c r="CF77" i="3"/>
  <c r="CF22" i="3"/>
  <c r="CF18" i="3"/>
  <c r="CF14" i="3"/>
  <c r="CF10" i="3"/>
  <c r="CF49" i="3"/>
  <c r="CF45" i="3"/>
  <c r="CF41" i="3"/>
  <c r="CF37" i="3"/>
  <c r="CF33" i="3"/>
  <c r="CF29" i="3"/>
  <c r="CF25" i="3"/>
  <c r="CF157" i="3"/>
  <c r="CF153" i="3"/>
  <c r="CF130" i="3"/>
  <c r="CF126" i="3"/>
  <c r="CF122" i="3"/>
  <c r="CF117" i="3"/>
  <c r="CF94" i="3"/>
  <c r="CF90" i="3"/>
  <c r="CF86" i="3"/>
  <c r="CF82" i="3"/>
  <c r="CF78" i="3"/>
  <c r="CF73" i="3"/>
  <c r="CF69" i="3"/>
  <c r="CF65" i="3"/>
  <c r="CF5" i="3"/>
  <c r="CG5" i="3"/>
  <c r="CG152" i="3"/>
  <c r="CG108" i="3"/>
  <c r="CG88" i="3"/>
  <c r="CG8" i="3"/>
  <c r="CG4" i="3"/>
  <c r="CG148" i="3"/>
  <c r="CG116" i="3"/>
  <c r="CG159" i="3"/>
  <c r="CG155" i="3"/>
  <c r="CG127" i="3"/>
  <c r="CG115" i="3"/>
  <c r="CG87" i="3"/>
  <c r="CG75" i="3"/>
  <c r="CG3" i="3"/>
  <c r="CG144" i="3"/>
  <c r="CG80" i="3"/>
  <c r="CG153" i="3"/>
  <c r="CG2" i="3"/>
  <c r="CG154" i="3"/>
  <c r="CG150" i="3"/>
  <c r="CG126" i="3"/>
  <c r="CG122" i="3"/>
  <c r="CG118" i="3"/>
  <c r="CG114" i="3"/>
  <c r="CG110" i="3"/>
  <c r="CG98" i="3"/>
  <c r="CG62" i="3"/>
  <c r="CG6" i="3"/>
  <c r="CG100" i="3"/>
  <c r="CG68" i="3"/>
  <c r="CG64" i="3"/>
  <c r="CG60" i="3"/>
  <c r="CG56" i="3"/>
  <c r="CG52" i="3"/>
  <c r="CG48" i="3"/>
  <c r="CG44" i="3"/>
  <c r="CG40" i="3"/>
  <c r="CG36" i="3"/>
  <c r="CG32" i="3"/>
  <c r="CG28" i="3"/>
  <c r="CG24" i="3"/>
  <c r="CG20" i="3"/>
  <c r="CG16" i="3"/>
  <c r="CG12" i="3"/>
  <c r="CG156" i="3"/>
  <c r="CG140" i="3"/>
  <c r="CG124" i="3"/>
  <c r="CG92" i="3"/>
  <c r="CG76" i="3"/>
  <c r="CG23" i="3"/>
  <c r="CG136" i="3"/>
  <c r="CG120" i="3"/>
  <c r="CG104" i="3"/>
  <c r="CG72" i="3"/>
  <c r="CG151" i="3"/>
  <c r="CG147" i="3"/>
  <c r="CG143" i="3"/>
  <c r="CG139" i="3"/>
  <c r="CG135" i="3"/>
  <c r="CG131" i="3"/>
  <c r="CG123" i="3"/>
  <c r="CG119" i="3"/>
  <c r="CG107" i="3"/>
  <c r="CG103" i="3"/>
  <c r="CG99" i="3"/>
  <c r="CG95" i="3"/>
  <c r="CG91" i="3"/>
  <c r="CG79" i="3"/>
  <c r="CG71" i="3"/>
  <c r="CG67" i="3"/>
  <c r="CG59" i="3"/>
  <c r="CG55" i="3"/>
  <c r="CG51" i="3"/>
  <c r="CG47" i="3"/>
  <c r="CG43" i="3"/>
  <c r="CG39" i="3"/>
  <c r="CG35" i="3"/>
  <c r="CG31" i="3"/>
  <c r="CG27" i="3"/>
  <c r="CG19" i="3"/>
  <c r="CG15" i="3"/>
  <c r="CG7" i="3"/>
  <c r="CG146" i="3"/>
  <c r="CG142" i="3"/>
  <c r="CG138" i="3"/>
  <c r="CG134" i="3"/>
  <c r="CG130" i="3"/>
  <c r="CG106" i="3"/>
  <c r="CG102" i="3"/>
  <c r="CG94" i="3"/>
  <c r="CG90" i="3"/>
  <c r="CG86" i="3"/>
  <c r="CG74" i="3"/>
  <c r="CG70" i="3"/>
  <c r="CG66" i="3"/>
  <c r="CG22" i="3"/>
  <c r="CG18" i="3"/>
  <c r="CG14" i="3"/>
  <c r="CG129" i="3"/>
  <c r="CG97" i="3"/>
  <c r="CG93" i="3"/>
  <c r="CG69" i="3"/>
  <c r="CG65" i="3"/>
  <c r="CG21" i="3"/>
  <c r="CG17" i="3"/>
  <c r="J4" i="4"/>
  <c r="J5" i="4"/>
  <c r="J6" i="4"/>
  <c r="J7" i="4"/>
  <c r="J8" i="4"/>
  <c r="J9" i="4"/>
  <c r="J10" i="4"/>
  <c r="J11" i="4"/>
  <c r="J12" i="4"/>
  <c r="J13" i="4"/>
  <c r="J14" i="4"/>
  <c r="J15" i="4"/>
  <c r="J16" i="4"/>
  <c r="J17" i="4"/>
  <c r="J18" i="4"/>
  <c r="J19" i="4"/>
  <c r="J20" i="4"/>
  <c r="J21" i="4"/>
  <c r="J22" i="4"/>
  <c r="J23" i="4"/>
  <c r="AT62" i="3"/>
  <c r="BV162" i="3"/>
  <c r="BV142" i="3"/>
  <c r="BX142" i="3" s="1"/>
  <c r="BV11" i="3"/>
  <c r="BV27" i="3"/>
  <c r="BV158" i="3"/>
  <c r="BV138" i="3"/>
  <c r="BV15" i="3"/>
  <c r="BV31" i="3"/>
  <c r="BV154" i="3"/>
  <c r="BX154" i="3" s="1"/>
  <c r="BV3" i="3"/>
  <c r="BX3" i="3" s="1"/>
  <c r="BV19" i="3"/>
  <c r="BV146" i="3"/>
  <c r="BV7" i="3"/>
  <c r="BV23" i="3"/>
  <c r="BX23" i="3" s="1"/>
  <c r="BV166" i="3"/>
  <c r="BX166" i="3" s="1"/>
  <c r="BV150" i="3"/>
  <c r="BX150" i="3" s="1"/>
  <c r="BV47" i="3"/>
  <c r="BX47" i="3" s="1"/>
  <c r="BV63" i="3"/>
  <c r="BV79" i="3"/>
  <c r="BV95" i="3"/>
  <c r="BV111" i="3"/>
  <c r="BV127" i="3"/>
  <c r="BX127" i="3" s="1"/>
  <c r="BV143" i="3"/>
  <c r="BV159" i="3"/>
  <c r="BX159" i="3" s="1"/>
  <c r="BV2" i="3"/>
  <c r="BX2" i="3" s="1"/>
  <c r="BV153" i="3"/>
  <c r="BX153" i="3" s="1"/>
  <c r="BV137" i="3"/>
  <c r="BV129" i="3"/>
  <c r="BV121" i="3"/>
  <c r="BX121" i="3" s="1"/>
  <c r="BV113" i="3"/>
  <c r="BX113" i="3" s="1"/>
  <c r="BV105" i="3"/>
  <c r="BV97" i="3"/>
  <c r="BV89" i="3"/>
  <c r="BX89" i="3" s="1"/>
  <c r="BV81" i="3"/>
  <c r="BX81" i="3" s="1"/>
  <c r="BV73" i="3"/>
  <c r="BX73" i="3" s="1"/>
  <c r="BV65" i="3"/>
  <c r="BV57" i="3"/>
  <c r="BV49" i="3"/>
  <c r="BV41" i="3"/>
  <c r="BV33" i="3"/>
  <c r="BV21" i="3"/>
  <c r="BV13" i="3"/>
  <c r="BX13" i="3" s="1"/>
  <c r="BV5" i="3"/>
  <c r="BX5" i="3" s="1"/>
  <c r="BV16" i="3"/>
  <c r="BV32" i="3"/>
  <c r="BV48" i="3"/>
  <c r="BV64" i="3"/>
  <c r="BX64" i="3" s="1"/>
  <c r="BV80" i="3"/>
  <c r="BV96" i="3"/>
  <c r="BV112" i="3"/>
  <c r="BX112" i="3" s="1"/>
  <c r="BV128" i="3"/>
  <c r="BV144" i="3"/>
  <c r="BV160" i="3"/>
  <c r="BX160" i="3" s="1"/>
  <c r="BV35" i="3"/>
  <c r="BV51" i="3"/>
  <c r="BV67" i="3"/>
  <c r="BV83" i="3"/>
  <c r="BV99" i="3"/>
  <c r="BV115" i="3"/>
  <c r="BX115" i="3" s="1"/>
  <c r="BV131" i="3"/>
  <c r="BV147" i="3"/>
  <c r="BV163" i="3"/>
  <c r="BV165" i="3"/>
  <c r="BV149" i="3"/>
  <c r="BV134" i="3"/>
  <c r="BV126" i="3"/>
  <c r="BX126" i="3" s="1"/>
  <c r="BV118" i="3"/>
  <c r="BX118" i="3" s="1"/>
  <c r="BV110" i="3"/>
  <c r="BX110" i="3" s="1"/>
  <c r="BV102" i="3"/>
  <c r="BV94" i="3"/>
  <c r="BV86" i="3"/>
  <c r="BV78" i="3"/>
  <c r="BV70" i="3"/>
  <c r="BV62" i="3"/>
  <c r="BV54" i="3"/>
  <c r="BV46" i="3"/>
  <c r="BV38" i="3"/>
  <c r="BV30" i="3"/>
  <c r="BV26" i="3"/>
  <c r="BV18" i="3"/>
  <c r="BV10" i="3"/>
  <c r="BV4" i="3"/>
  <c r="BX4" i="3" s="1"/>
  <c r="BV20" i="3"/>
  <c r="BV36" i="3"/>
  <c r="BV52" i="3"/>
  <c r="BV68" i="3"/>
  <c r="BV84" i="3"/>
  <c r="BX84" i="3" s="1"/>
  <c r="BV100" i="3"/>
  <c r="BV116" i="3"/>
  <c r="BV132" i="3"/>
  <c r="BX132" i="3" s="1"/>
  <c r="BV148" i="3"/>
  <c r="BV164" i="3"/>
  <c r="BV39" i="3"/>
  <c r="BV55" i="3"/>
  <c r="BV71" i="3"/>
  <c r="BV87" i="3"/>
  <c r="BX87" i="3" s="1"/>
  <c r="BV103" i="3"/>
  <c r="BV119" i="3"/>
  <c r="BV135" i="3"/>
  <c r="BV151" i="3"/>
  <c r="BV167" i="3"/>
  <c r="BV161" i="3"/>
  <c r="BV145" i="3"/>
  <c r="BV133" i="3"/>
  <c r="BV125" i="3"/>
  <c r="BX125" i="3" s="1"/>
  <c r="BV117" i="3"/>
  <c r="BV109" i="3"/>
  <c r="BV101" i="3"/>
  <c r="BV93" i="3"/>
  <c r="BV85" i="3"/>
  <c r="BX85" i="3" s="1"/>
  <c r="BV77" i="3"/>
  <c r="BV69" i="3"/>
  <c r="BV61" i="3"/>
  <c r="BV53" i="3"/>
  <c r="BV45" i="3"/>
  <c r="BV37" i="3"/>
  <c r="BV29" i="3"/>
  <c r="BV25" i="3"/>
  <c r="BV17" i="3"/>
  <c r="BV9" i="3"/>
  <c r="BV8" i="3"/>
  <c r="BX8" i="3" s="1"/>
  <c r="BV24" i="3"/>
  <c r="BX24" i="3" s="1"/>
  <c r="BV40" i="3"/>
  <c r="BV56" i="3"/>
  <c r="BV72" i="3"/>
  <c r="BV88" i="3"/>
  <c r="BX88" i="3" s="1"/>
  <c r="BV104" i="3"/>
  <c r="BV120" i="3"/>
  <c r="BV136" i="3"/>
  <c r="BV152" i="3"/>
  <c r="BX152" i="3" s="1"/>
  <c r="BV168" i="3"/>
  <c r="BX168" i="3" s="1"/>
  <c r="BV43" i="3"/>
  <c r="BV59" i="3"/>
  <c r="BV75" i="3"/>
  <c r="BX75" i="3" s="1"/>
  <c r="BV91" i="3"/>
  <c r="BV107" i="3"/>
  <c r="BV123" i="3"/>
  <c r="BV139" i="3"/>
  <c r="BV155" i="3"/>
  <c r="BX155" i="3" s="1"/>
  <c r="BV157" i="3"/>
  <c r="BV141" i="3"/>
  <c r="BV130" i="3"/>
  <c r="BV122" i="3"/>
  <c r="BX122" i="3" s="1"/>
  <c r="BV114" i="3"/>
  <c r="BX114" i="3" s="1"/>
  <c r="BV106" i="3"/>
  <c r="BV98" i="3"/>
  <c r="BX98" i="3" s="1"/>
  <c r="BV90" i="3"/>
  <c r="BV82" i="3"/>
  <c r="BV74" i="3"/>
  <c r="BV66" i="3"/>
  <c r="BV58" i="3"/>
  <c r="BV50" i="3"/>
  <c r="BV42" i="3"/>
  <c r="BV34" i="3"/>
  <c r="BV22" i="3"/>
  <c r="BV14" i="3"/>
  <c r="BV6" i="3"/>
  <c r="BX6" i="3" s="1"/>
  <c r="BV12" i="3"/>
  <c r="BV28" i="3"/>
  <c r="BV44" i="3"/>
  <c r="BV60" i="3"/>
  <c r="BV76" i="3"/>
  <c r="BV92" i="3"/>
  <c r="BV108" i="3"/>
  <c r="BX108" i="3" s="1"/>
  <c r="BV124" i="3"/>
  <c r="BV140" i="3"/>
  <c r="BV156" i="3"/>
  <c r="BX62" i="3"/>
  <c r="CH47" i="3"/>
  <c r="CH166" i="3"/>
  <c r="CH168" i="3"/>
  <c r="CH125" i="3"/>
  <c r="CH160" i="3"/>
  <c r="CK168" i="3" l="1"/>
  <c r="CK160" i="3"/>
  <c r="CK161" i="3"/>
  <c r="CK166" i="3"/>
  <c r="CK165" i="3"/>
  <c r="CK162" i="3"/>
  <c r="CK164" i="3"/>
  <c r="CK163" i="3"/>
  <c r="CK167" i="3"/>
  <c r="CK77" i="3"/>
  <c r="CK34" i="3"/>
  <c r="CK50" i="3"/>
  <c r="CK82" i="3"/>
  <c r="CK30" i="3"/>
  <c r="CK46" i="3"/>
  <c r="CK45" i="3"/>
  <c r="CK26" i="3"/>
  <c r="CK42" i="3"/>
  <c r="CK58" i="3"/>
  <c r="CK73" i="3"/>
  <c r="CK41" i="3"/>
  <c r="CK38" i="3"/>
  <c r="CK54" i="3"/>
  <c r="CK47" i="3"/>
  <c r="CK121" i="3"/>
  <c r="CK37" i="3"/>
  <c r="CK128" i="3"/>
  <c r="CK49" i="3"/>
  <c r="CK132" i="3"/>
  <c r="CK112" i="3"/>
  <c r="CK63" i="3"/>
  <c r="CK133" i="3"/>
  <c r="CK110" i="3"/>
  <c r="CK157" i="3"/>
  <c r="CK10" i="3"/>
  <c r="CK84" i="3"/>
  <c r="CK101" i="3"/>
  <c r="CK135" i="3"/>
  <c r="CK32" i="3"/>
  <c r="CK48" i="3"/>
  <c r="CK64" i="3"/>
  <c r="CK8" i="3"/>
  <c r="CK81" i="3"/>
  <c r="CK106" i="3"/>
  <c r="CK19" i="3"/>
  <c r="CK137" i="3"/>
  <c r="CK105" i="3"/>
  <c r="CK15" i="3"/>
  <c r="CK56" i="3"/>
  <c r="CK136" i="3"/>
  <c r="CK25" i="3"/>
  <c r="CK11" i="3"/>
  <c r="CK53" i="3"/>
  <c r="CK141" i="3"/>
  <c r="CK7" i="3"/>
  <c r="CK23" i="3"/>
  <c r="CK144" i="3"/>
  <c r="CK78" i="3"/>
  <c r="CK29" i="3"/>
  <c r="CK85" i="3"/>
  <c r="CK57" i="3"/>
  <c r="CK158" i="3"/>
  <c r="CK9" i="3"/>
  <c r="CK109" i="3"/>
  <c r="CK145" i="3"/>
  <c r="CK102" i="3"/>
  <c r="CK35" i="3"/>
  <c r="CK143" i="3"/>
  <c r="CK40" i="3"/>
  <c r="CK117" i="3"/>
  <c r="CK153" i="3"/>
  <c r="CK33" i="3"/>
  <c r="CK89" i="3"/>
  <c r="CK61" i="3"/>
  <c r="CK83" i="3"/>
  <c r="CK111" i="3"/>
  <c r="CK13" i="3"/>
  <c r="CK96" i="3"/>
  <c r="CK149" i="3"/>
  <c r="CK130" i="3"/>
  <c r="CK131" i="3"/>
  <c r="CK44" i="3"/>
  <c r="CK65" i="3"/>
  <c r="CK22" i="3"/>
  <c r="CK140" i="3"/>
  <c r="CK75" i="3"/>
  <c r="CK118" i="3"/>
  <c r="CK114" i="3"/>
  <c r="CK52" i="3"/>
  <c r="CK139" i="3"/>
  <c r="CK87" i="3"/>
  <c r="CK134" i="3"/>
  <c r="CK95" i="3"/>
  <c r="CK80" i="3"/>
  <c r="CK125" i="3"/>
  <c r="CK115" i="3"/>
  <c r="CK39" i="3"/>
  <c r="CK59" i="3"/>
  <c r="CK69" i="3"/>
  <c r="CK86" i="3"/>
  <c r="CK122" i="3"/>
  <c r="CK93" i="3"/>
  <c r="CK129" i="3"/>
  <c r="CK66" i="3"/>
  <c r="CK91" i="3"/>
  <c r="CK148" i="3"/>
  <c r="CK159" i="3"/>
  <c r="CK152" i="3"/>
  <c r="CK150" i="3"/>
  <c r="CK28" i="3"/>
  <c r="CK60" i="3"/>
  <c r="CK147" i="3"/>
  <c r="CK100" i="3"/>
  <c r="CK119" i="3"/>
  <c r="CK138" i="3"/>
  <c r="CK99" i="3"/>
  <c r="CK127" i="3"/>
  <c r="CK17" i="3"/>
  <c r="CK67" i="3"/>
  <c r="CK120" i="3"/>
  <c r="CK155" i="3"/>
  <c r="CK43" i="3"/>
  <c r="CK90" i="3"/>
  <c r="CK126" i="3"/>
  <c r="CK14" i="3"/>
  <c r="CK97" i="3"/>
  <c r="CK70" i="3"/>
  <c r="CK123" i="3"/>
  <c r="CK2" i="3"/>
  <c r="CK4" i="3"/>
  <c r="CK6" i="3"/>
  <c r="CK113" i="3"/>
  <c r="CK36" i="3"/>
  <c r="CK68" i="3"/>
  <c r="CK12" i="3"/>
  <c r="CK104" i="3"/>
  <c r="CK154" i="3"/>
  <c r="CK146" i="3"/>
  <c r="CK103" i="3"/>
  <c r="CK156" i="3"/>
  <c r="CK21" i="3"/>
  <c r="CK71" i="3"/>
  <c r="CK88" i="3"/>
  <c r="CK124" i="3"/>
  <c r="CK142" i="3"/>
  <c r="CK16" i="3"/>
  <c r="CK27" i="3"/>
  <c r="CK51" i="3"/>
  <c r="CK72" i="3"/>
  <c r="CK151" i="3"/>
  <c r="CK94" i="3"/>
  <c r="CK18" i="3"/>
  <c r="CK74" i="3"/>
  <c r="CK3" i="3"/>
  <c r="CK24" i="3"/>
  <c r="CK62" i="3"/>
  <c r="CK98" i="3"/>
  <c r="CK116" i="3"/>
  <c r="CK20" i="3"/>
  <c r="CK108" i="3"/>
  <c r="CK79" i="3"/>
  <c r="CK107" i="3"/>
  <c r="CK76" i="3"/>
  <c r="CK92" i="3"/>
  <c r="CK31" i="3"/>
  <c r="CK55" i="3"/>
  <c r="CK5" i="3"/>
</calcChain>
</file>

<file path=xl/sharedStrings.xml><?xml version="1.0" encoding="utf-8"?>
<sst xmlns="http://schemas.openxmlformats.org/spreadsheetml/2006/main" count="3883" uniqueCount="1839">
  <si>
    <t>ca. 48</t>
  </si>
  <si>
    <t>Ephesus, Asia Minor (Turkey)</t>
  </si>
  <si>
    <t>India</t>
  </si>
  <si>
    <t>Patmos (Greece)</t>
  </si>
  <si>
    <t>Kuravilangad (India)</t>
  </si>
  <si>
    <t>Neocaesarea (Asia Minor)</t>
  </si>
  <si>
    <t>ca. 250</t>
  </si>
  <si>
    <t>Lenola (Italy)</t>
  </si>
  <si>
    <t>Rome (Italy)</t>
  </si>
  <si>
    <t>ca. 300</t>
  </si>
  <si>
    <t>Edessa</t>
  </si>
  <si>
    <t>Italy</t>
  </si>
  <si>
    <t>Alexandria</t>
  </si>
  <si>
    <t>Myra, Lycia (Asia Minor)</t>
  </si>
  <si>
    <t>ca. 350</t>
  </si>
  <si>
    <t>Island of St. Nicholas (Italy)</t>
  </si>
  <si>
    <t>Caesarea (Asia Minor)</t>
  </si>
  <si>
    <t>Tours (France)</t>
  </si>
  <si>
    <t>Tagaste (Algeria)</t>
  </si>
  <si>
    <t>ca. 400</t>
  </si>
  <si>
    <t>Constantinople</t>
  </si>
  <si>
    <t>Egypt</t>
  </si>
  <si>
    <t>Behuard (France)</t>
  </si>
  <si>
    <t>450?</t>
  </si>
  <si>
    <t>Agde, Hérault, diocese of Montpelier (France)</t>
  </si>
  <si>
    <t>ca. 490</t>
  </si>
  <si>
    <t>Gargano, Naples (Italy)</t>
  </si>
  <si>
    <t>500?</t>
  </si>
  <si>
    <t>Sicea, Galatia (Turkey)</t>
  </si>
  <si>
    <t>Adana (Cilicia</t>
  </si>
  <si>
    <t>c. 550</t>
  </si>
  <si>
    <t>Spoleto (Italy)</t>
  </si>
  <si>
    <t>In 552 the Madonna would have appeared to a child jew to motivate, successfully, to shy away from the ill-treatment of his father. The child and his mother were expected to baptize after the event.</t>
  </si>
  <si>
    <t>Gualdo Tadino (Italy)</t>
  </si>
  <si>
    <t>Genoa (Italy)</t>
  </si>
  <si>
    <t>5th century</t>
  </si>
  <si>
    <t>Evesham, Worcestershire, England, UK</t>
  </si>
  <si>
    <t>In the 600s, a swineherd named Eoves saw an apparition of three women singing psalms and heavenly melodies. He told Bishop Egwin, who went the next day to the same place and saw the same vision. Bishop Egwin knew that the woman holding an open book and golden cross was the blessed Virgin. She made a sign of blessing with the cross and then her two maids disappeared. Egwin promised to build a shrine to Our Lady on the site of his vision. The shrine, destroyed under Henry VIII, has been revived, and a pilgrimage established on the second Sunday in June.</t>
  </si>
  <si>
    <t>6th century</t>
  </si>
  <si>
    <t>Saydnaya, Syria</t>
  </si>
  <si>
    <t>According to tradition, the Our Lady of Saydnaya Patriarchal Monastery was built by the Emperor Justinian I (527-65).  Legend relates that while the emperor was hunting in the Qalamoun region, he saw a vision of the Virgin Mary, who ordered him to build a convent on the high rock upon which she was standing.  The next day, Justinian began work on the foundations of the convent of Saydnaya, and when it was completed, the emperor’s sister Theodosia became its first superior.</t>
  </si>
  <si>
    <t>Constantinople (Turkey)</t>
  </si>
  <si>
    <t>Boulogne (France)</t>
  </si>
  <si>
    <t>Hainault, Flanders</t>
  </si>
  <si>
    <t>August 15, 660</t>
  </si>
  <si>
    <t>Toledo (Spain)</t>
  </si>
  <si>
    <t>Benevento (Italy)</t>
  </si>
  <si>
    <t>Clermont-Ferramd (France)</t>
  </si>
  <si>
    <t>6th c.</t>
  </si>
  <si>
    <t>Bonito (Italy)</t>
  </si>
  <si>
    <t>Evesham (England)</t>
  </si>
  <si>
    <t>Propezzano (Italy)</t>
  </si>
  <si>
    <t>Farfa (Italy)</t>
  </si>
  <si>
    <t>Maastricht (Germany)</t>
  </si>
  <si>
    <t>Savoy</t>
  </si>
  <si>
    <t>Mainz (Germany)</t>
  </si>
  <si>
    <t>Montreuil (France)</t>
  </si>
  <si>
    <t>c. 800</t>
  </si>
  <si>
    <t>Rosenthal (Germany)</t>
  </si>
  <si>
    <t>c. 810</t>
  </si>
  <si>
    <t>Corbie (France)</t>
  </si>
  <si>
    <t>Toulouse (France)</t>
  </si>
  <si>
    <t>ca. 900</t>
  </si>
  <si>
    <t>Blacherne (Istanbul)</t>
  </si>
  <si>
    <t>Reims (France)</t>
  </si>
  <si>
    <t>September 13, 948</t>
  </si>
  <si>
    <t>Einsiedeln (Switzerland)</t>
  </si>
  <si>
    <t>c. 950</t>
  </si>
  <si>
    <t>Herford (Germany)</t>
  </si>
  <si>
    <t>Mt. Athos (Greece)</t>
  </si>
  <si>
    <t>Cologne (Germany)</t>
  </si>
  <si>
    <t>Sion Les Saintos (France)</t>
  </si>
  <si>
    <t>Canterbury (England)</t>
  </si>
  <si>
    <t>PICCIANO (Italy)</t>
  </si>
  <si>
    <t>Visionary: Corentin</t>
  </si>
  <si>
    <t>Visionary: Pope Gelasio I</t>
  </si>
  <si>
    <t>Visionary: Pope John I</t>
  </si>
  <si>
    <t>Visionary: St. Dosithée</t>
  </si>
  <si>
    <t>Visionary: St. Melaine</t>
  </si>
  <si>
    <t>Visionary: St. Galla</t>
  </si>
  <si>
    <t>Visionary: St. Gregory of Tours (ca. 538 - v. 594)</t>
  </si>
  <si>
    <t>Visionary: Narsete</t>
  </si>
  <si>
    <t>Visionary: Patriarch Sergius</t>
  </si>
  <si>
    <t>Visionary: St. Giudicaele</t>
  </si>
  <si>
    <t>Visionary: Audrade of Sens</t>
  </si>
  <si>
    <t>Visionary: Fr. Gerhard</t>
  </si>
  <si>
    <t>https://it.wikipedia.org/wiki/Madonna_di_Costantinopoli</t>
  </si>
  <si>
    <t>http://www.wherewewalked.info</t>
  </si>
  <si>
    <t>http://www.teramonews.com/</t>
  </si>
  <si>
    <t>http://www.salvemariaregina.info</t>
  </si>
  <si>
    <t>Visionaries: The Apostles
According to some legends, the Holy Virgin Mary appeared to the apostles, three days after her Assumption into heaven. Clad in a bright light than the sun, she turned to them that they had begged for his help and protection from heaven: "I'll stay with you in eternity." Whether Mary rested in Ephesus or Jerusalem remains a controversial issue.</t>
  </si>
  <si>
    <t>https://www.miraclehunter.com/marian_apparitions/approved_apparitions/zaragoza/index.html</t>
  </si>
  <si>
    <t>Visionary: St. Thomas (Apostle)
According to some legends, the Holy Virgin Mary appeared to the St. Thomas in India, after her Assumption into heaven.</t>
  </si>
  <si>
    <t>Visionary: St. John the Evangelist
Title: The Woman Clothed in the Sun
According to some legends, St. John the Evengelist received a vision of the Virgin Mary before he composed the Book of Revelation.</t>
  </si>
  <si>
    <t>https://www.miraclehunter.com/marian_apparitions/approved_apparitions/neocaesarea/index.html</t>
  </si>
  <si>
    <t>https://www.miraclehunter.com/marian_apparitions/approved_apparitions/lepuy/index.html</t>
  </si>
  <si>
    <t>Visionary: St. Paterno (an Egyptian monk)
While passing through on the way to visit the graves of St. Peter and Paul, an Egyptian monk St. Paterno was brought to a secret community of persecuted Christians to help them bury those who died in a massacre at the hands of Emperor Decius. That night, Our Lady and Child appeared to him in a vision.</t>
  </si>
  <si>
    <t>https://www.miraclehunter.com/marian_apparitions/approved_apparitions/lenola/index.html</t>
  </si>
  <si>
    <t>https://www.miraclehunter.com/marian_apparitions/approved_apparitions/alexandria/index.html</t>
  </si>
  <si>
    <t>Visionary: St. Nicholas of Bari (the Miracle Worker) (c.270 - 345)
One of the most revered Orthodox saints, the healer Nicholas, Bishop of Myra, in Lycia (Asia Minor) in the first half of the fourth century, also known in Italy as Nicholas of Bari.
He would receive, according to tradition, two apparitions of the Virgin Mary, the first prior to his ordination, and the second during the celebration of a Holy Mass at the end of the Council of Nicaea. The two appearances urged him to fulfill his spiritual mission. In this council he was very committed to support the doctrine of the divinity of Christ.</t>
  </si>
  <si>
    <t>https://www.miraclehunter.com/marian_apparitions/approved_apparitions/myra/index.html</t>
  </si>
  <si>
    <t>http://kuravilangadpally.com/</t>
  </si>
  <si>
    <t>Visionary: a pious hermit
Title: Santa Maria a Mare
Towards the middle of the fourth century the Holy Virgin appeared to a pious hermit who had retired to the island to show him the place where he had buried a treasure with which he had to build him a church. The hermit, fearing a demonic temptation, did not obey. The Virgin appeared to him again, ordering him to obey. The hermit then dug at the place indicated and found a jeweled crown and vessels containing pieces of silver and gold. With the coins, he built the church, and crowned with a diadem found a statue of Madonna made raised above the altar.</t>
  </si>
  <si>
    <t>https://www.miraclehunter.com/marian_apparitions/approved_apparitions/rome/index.html</t>
  </si>
  <si>
    <t>Visionary: St. Basil (Bishop) (330 - 379)
Title: Sovereign Mediatrix of her Son Jesus
The Roman emperor Julian the Apostate, had decided to destroy, as soon as he returned from the war against the Persians, the Church of St. Basil, one of the leading bishops and theologians of the time. Then the Virgin Mary appeared to Basil, as "sovereign mediator of His Son Jesus," promising to protect him from the anger of the Roman emperor.The emperor was not able to implement his plans for he died on the battlefield in the third year of his reign.</t>
  </si>
  <si>
    <t>https://www.miraclehunter.com/marian_apparitions/approved_apparitions/caesarea/index.html</t>
  </si>
  <si>
    <t>Visionary: St. Martin of Tours
Sulpicius Severus (+ ca. 420), and inspired writer, columnist, in his biography of St. Martin of Tours (316/7-397), reports that he would often receive the grace of the apparitions of the Blessed Virgin Mary, especially by when it had become, in 371, bishop of Tours. The biographer says that Mary was acting against St. Martin in a dual capacity: as a queen and as a real mother.</t>
  </si>
  <si>
    <t>https://www.miraclehunter.com/marian_apparitions/approved_apparitions/tours/index.html</t>
  </si>
  <si>
    <t>Visionary: St. Monica (332-387)
The Virgin appeared to St. Monica (332-387), the mother of St. Augustine, consoling in her afflictions, and noted that she had to dress in her state of widowhood.</t>
  </si>
  <si>
    <t>https://www.miraclehunter.com/marian_apparitions/approved_apparitions/tagaste/index.html</t>
  </si>
  <si>
    <t>Title: Hodegetria
Visionaries: two blind people
The Hodegetria takes its name from the miracle of the blind and the monastery of Hodegium in Constantinople. According to legend, the Blessed Mother appeared to two blind people in Constantinople, took them by the hand and showed them the way or guided them to the monastery of Hodegium where she restored their sight. Since that time, the blind and all those who suffer eye disorders have come to wash their eyes in the waters from a spring near the church. Although distinctly Eastern, the Virgin Hodegetria has been and remains one of the preferred images of the West.</t>
  </si>
  <si>
    <t>Visionary: St. Mary of Egypt
According to her Life (not verified) written by the Palestinian hermit St. Zosima (V century), quoted by Alfonso Liguori, 52-53, she would have lived at the court of Alexandria working as an actress. At age thirty, she went to Jerusalem, where she converted during the feast of the Holy Cross. A irresistible force prevented the four times in a row to enter the Church of the Holy Sepulchre. An interior light touched her: she realized that she was rejected by the Lord for her sins. "I look up towards an image of the Virgin and began to pray: O Mother of God! Have pity on a poor sinner! You are the refuge of sinners, for the love of Jesus, your Son, help me! Immediately you hear an inner voice say: Well, since you turned to me and I want to convert, enter the church: the door will no longer closed for you. She did penance in church then return before the image of Mary. "My sovereign, here I am at your orders; where you want me to do penance? - depart, cross the Jordan, and find the place of your rest," She retired to the desert of Transjordan, which was found by two disciples of St. Cyriac.</t>
  </si>
  <si>
    <t>Visionary: St. Maurilius (364 - 435)
On the tiny island of Behuard, not far from the city of Angers lived Maurilio the hermit, who later became also bishop of this city. Around the year 431, he had an apparition of the Virgin Mary who showed him the spiritual path to follow. In gratitude Maurilio built on the spot a church dedicated to Mary, which has since become the destination of many pilgrimages.
Source: http://www.latheotokos.it</t>
  </si>
  <si>
    <t>http://www.latheotokos.it</t>
  </si>
  <si>
    <t>Visionary: monk
Title: Notre Dame de l’Agenouillade (Our Lady of the Kneeling)
With dating uncertain (around 450) the Virgin appeared on top of a rock to a monk of Saint-Severe from Syria, after an earthquake. According to the legend, the rock retained traces of the knees of the apparition. Hundreds of faithful venerate Our Lady of the Genuflection. In 1583, a convent of cappuchins was constructed at the location. But the sanctuary was destroyed in 1789, then it was taken over by the White Penitents in the 18th century.</t>
  </si>
  <si>
    <t>https://www.miraclehunter.com/marian_apparitions/approved_apparitions/agde/index.html</t>
  </si>
  <si>
    <t>Visionary: Emperor Leo I
Title: Our Lady of the Golden Fountain
According to legend, Emperor Leo I (457-474) one day while still a soldier, was leading a blind man walking around of town, when suddenly he heard a voice coming from above and saw the Holy Virgin. She predicted that he would become emperor and that the blind man regained his sight. She also asked him to erect a shrine in her honor. As the Holy Virgin had predicted, he became emperor and the blind man regained his sight. Leo I, to honor the promise made to the Mother of God, immediately built a large church on the site of the apparition.
In 455 , according to legend, the future emperor Leo I , as a soldier , was accompanying a blind person in a walk out of town, when he first heard a voice calling from above, then saw the Virgin Mary. The appearance would have predicted his future election to the imperial throne and the healing of the blind from their disability, and he urged the erection of a sanctuary in his name. After the fulfillment of prophecies , Leo built a church on the site of the reported Mariophany.</t>
  </si>
  <si>
    <t>Visionary: St. Theodore of Sicea (Bishop)
A native of Galatia, son of an imperial official, became a monk in Jerusalem. He was the victim of a poisoning attempt. The Virgin appears to him in a dream, reveals the name of the guilty man, puts in his hands three pills for him to reject the poison and then disappears. He was consecrated bishop in 590 of Anastasiopolis. He was canonized in 613.</t>
  </si>
  <si>
    <t>Visionary: St. Theophilus of Adana (The Penitent)
Saint Theophilus the Penitent, or Theophilus of Adana (died ca. 538), was a cleric in the sixth century Church who is said to have made a deal with the devil to gain an ecclesiastical position as bishop.
Years later, fearful for his soul, Theophilus repented and prayed to the Virgin for forgiveness. After forty days of fasting, the Virgin appeared to him and verbally chastised him. Theophilus begged forgiveness and Mary promised to intercede with God. He then fasted a further thirty days, at which time Mary appeared to him again, and granted him Absolution. However, Satan was unwilling to relinquish his hold over Theophilus, and it was a further three days before Theophilus awoke to find the damning contract on his chest. He then took the contract to the legitimate bishop and confessed all that he had done. The bishop burned the document, and Theophilus expired, out of sheer joy to be free from the burden of his contract.</t>
  </si>
  <si>
    <t>Visionary: St. Isaac of Spoleto
Isaac fled to Italy from his native Syria to escape life under the Monophysite heretics who denied that Christ had two natures (divine and human). Upon arriving in Spoleto, he obtained permission to remain in one of the city’s churches after dark in order to pray in the quiet of the night. He continued thus in prayer for three days and nights until a sacristan of the church, jealous of his piety, accused him of hypocrisy, struck him, and drove him away. The ill-tempered sacristan then fell under demonic possession. St. Isaac had stretched himself upon the body of his assailant. "Isaac is driving me out !" exclaimed the evil spirit, thus disclosing to the inhabitants of Spoleto the identity of the stranger. It was only through Isaac’s prayers that the demon was finally expelled. The townsfolk, convinced that they had in their midst a very holy man, offered him presents and would have built him a monastery, but he refused all gifts and retired to a cave on Monte Luco to live as a hermit. In his solitude he experienced a vision of the Blessed Virgin Mary, who instructed him to begin accepting followers to be trained in the religious life. Isaac subsequently established at Mount Luco a laura, a community of hermits, each living in his own cell, but regularly assembling for divine worship. He served as the community’s abbot. Saint Gregory the Great speaks of Isaac’s penchant for humor in sometimes yielding to “extreme joviality.”
All that we know of St. Isaac is derived from the third book of the Dialogues of St. Gregory.</t>
  </si>
  <si>
    <t>Catholic.org</t>
  </si>
  <si>
    <t>Title: Our Lady of the Vineyards
Visionary: Arghenta
Formerly outside the city walls of Genoa, the majestic "Santuario delle Santa Maria delle Vigne" takes its name from vineyards in the midst of which was first erected a chapel to the Virgin, with her appearance to a certain Lady Argenta in the sixth century. The seer, built a small chapel, the first step towards the current sanctuary.</t>
  </si>
  <si>
    <t>https://www.miraclehunter.com/marian_apparitions/approved_apparitions/genoa/index.html</t>
  </si>
  <si>
    <t>http://antiochpatriarchate.org/en/page/our-lady-of-saydnaya-patriarchal-monastery/146/</t>
  </si>
  <si>
    <t>Visionaries: St. Leo the Great
Title: Life-Giving Spring of the Most Holy Theotokos
Feast Day: May 10
There once was a beautiful church in Constantinople dedicated to the Mother of God, which had been built in the fifth century by the holy Emper...or Leo the Great (January 20) in the Seven Towers district.
Before becoming emperor, Leo was walking in a wooded area where he met a blind man who was thirsty and asked Leo to help him find water. Though he agreed to search for water, he was unable to find any. Suddenly, he heard a voice telling him that there was water nearby. He looked again, but still could not find the water. Then he heard the voice saying “Emperor Leo, go into the deepest part of the woods, and you will find water there. Take some of the cloudy water in your hands and give it to the blind man to drink.Then take the clay and put it on his eyes. Then you shall know who I am.” Leo obeyed these instructions, and the blind man regained his sight. Later, St Leo became emperor, just as the Theotokos had prophesied.
Leo built a church over the site at his own expense, and the water continued to work miraculous cures. Therefore, it was called “The Life-Giving Spring.”
After the Fall of Constantinople in 1453, the church was torn down by the Moslems, and the stones were used to build a mosque. Only a small chapel remained at the site of the church. Twenty-five steps led down into the chapel, which had a window in the roof to let the light in. The holy Spring was still there, surrounded by a railing.
After the Greek Revolution in 1821, even this little chapel was destroyed and the Spring was buried under the rubble. Christians later obtained permission to rebuild the chapel, and work began in July of 1833. While workmen were clearing the ground, they uncovered the foundations of the earlier church. The Sultan allowed them to build not just a chapel, but a new and beautiful church on the foundations of the old one.
Construction began on September 14, 1833, and was completed on December 30, 1834. Patriarch Constantine II consecrated the church on February 2, 1835, dedicating it to the Most Holy Theotokos.
The Turks desecrated and destroyed the church again on September 6, 1955. A smaller church now stands on the site, and the waters of the Life-Giving Spring continue to work miracles.
There is also a Life-Giving Spring Icon of the Most Holy Theotokos which is commemorated on April 4.
KONTAKION Tone 8
O most favored by God, you confer on me the healing of your grace from your inexhaustible Spring. Therefore, since you gave birth incomprehensibly to the Word, I implore you to refresh me with the dew of your grace that I might cry to you: Hail, O Water of salvation.</t>
  </si>
  <si>
    <t>https://www.miraclehunter.com/marian_apparitions/approved_apparitions/boulogne/index.html</t>
  </si>
  <si>
    <t>Visionaries: A crowd
Title: Our Lady of Boulogne (statue)
Feast: February 23
A rudderless ship without a crew was carrying a statue of the Virgin Mary and Child Jesus and landed at Boulogne, France. According to the legend, Mary appeared to the people gathered near the ship and announced that she had chosen the city as a place of grace. Pilgrimage to Our Lady of Boulogne is also related to the Marian devotion of Godfrey of Bouillon who, having gone on pilgrimage to Boulogne, he offered his crown of Jerusalem to the Mother of God. The ancient miraculous statue was destroyed during the French Revolution, only a hand of Mary was saved but it was still venerated. In 1866 a new cathedral was erected where it a copy of the statue of Mary was placed, revered as the "Star of the Sea."</t>
  </si>
  <si>
    <t>Visionary: St. Aldegonde of Maubeuge (c. 639–684)
La Vita prima Aldegundis (published and translated by Michel Rouche, Maubeuge, 1989) contains messages and visions of the Virgin that insist on her taking the role of the holy bride of Christ: "Thou shalt have no other husband but the Lord... The Lord has been married for eternity so that you receive this incorruptible crown: Then she saw Him adorned with wedding robes" (quoted by Jean Heuclin "The Marian cult in Gaul during the The High Middle Ages" La Devotion mariale de l'an mil a nos jous. Etudes reunies par Bruno Bethouart et Alain Lottin, artois Presses Universite, 2005, 70)</t>
  </si>
  <si>
    <t>https://www.miraclehunter.com/marian_apparitions/approved_apparitions/toledo/index.html</t>
  </si>
  <si>
    <t>Visionary: St. Ildefonso (607 - January 23, 667), Archbishop of Toledo (657-667)
Ildefonso, Archbishop of Toledo (657-667), had a strong Marian devotion and was a staunch defender of the true Christian faith. On the feast day of the Assumption of the Virgin Mary, in the early morning Ildefonso came in with some priests in the Cathedral of Toledo, and found it was, surprisingly, lit up. On the gate of the chapel, Mary praised the religious fervor of the bishop and handed him a valuable garment as a symbol of his protection. For a long time in the diocese of Toledo a special celebration was held to commemorate this apparition.</t>
  </si>
  <si>
    <t>Visionary: St. Barabatus (+682)
In 1663, the Virgin appeared to him under the walls of the besieged city of Constantine II, Eastern Roman Emperor (641-668), according to unverified sources, taken from the legend, 1999, 266.</t>
  </si>
  <si>
    <t>https://www.miraclehunter.com/marian_apparitions/approved_apparitions/benevento/index.html</t>
  </si>
  <si>
    <t>Title: Our Lady of the Snow
Visionary: St. Bonitus, bishop of Clermont-Ferrand
St. Bonitus, a devotee to the Blessed Virgin Mary, succeeded his elder brother in the episcopal office of Clermont. One morning after a night spent in prayer vigil, he saw the Mother of God with a large throng of angels and saints in his presence to celebrate the Sacrifice of the Mass. Two years later the bishop of Clermont retired permanently in the abbey of Manlieu, where he died in 710.
According to some uplifting stories of the thirteenth century, St.. Bonet saw the Virgin in 684 or 700, while praying alone in a church dedicated to St Michael. Sausseret reprints the facts reported in the bottom of a letter: "the guards closed the doors. St. Bonit, full of joy for a chance to give free rein to his mercy from that moment, lay prostrate on the floor of the bathroom of the temple with his tears. But as soon as he had been in this position, you feel suddenly come down from heaven and filled with the sounds of harmony. He saw, at the same time, all heavenly choirs fill the sacred area with this light and enter a multitude that his faith had blessed him with. There were, in fact, legions of angels and saints, who composed a the procession for their Queen, mother of Jesus Christ, who appeared after them, seated on a throne carried by seraphim and similar to a queen that a large honor guard precedes and accompanies [...] All these immortal beings continued along the main nave and when they came in front of 'main altar, some of them asked who among them would say the mass. Then the Blessed Virgin spoke up and said, 'Here Bonit, we seek you my faithful servant and excellent bishop, and worthy of fulfilling this holy function "
Some blessed then, obeying the order that she had just given detachment from others and went to the holy bishop who was trembling. Taken by the hand,he accompanied the choir. The saints clothed him in a pontifical ornaments and then he began to say mass with glorified beings as assistants [...] When Mass was over, the Holy Virgin, left him.&gt;&gt; (I, 118-120). Reliable historical sources are almost non-existent: Sausseret cites the reports of Surius, which in turn is based on oral testimony of two successor to Bonet.</t>
  </si>
  <si>
    <t>https://www.miraclehunter.com/marian_apparitions/approved_apparitions/bonito/index.html</t>
  </si>
  <si>
    <t>Visionaries: Some farmers
The modern shrine of the Blessed Mary of the Snow stands on the site where according to tradition in the late sixth century she had appeared to some farmers as a sweet female figure holding a baby. On her appearance, the oxen knelt. The figure, suspended in the air, was bathed in bright light and was accompanied by angels and archangels who sang sweet music. It was the Madonna. Since then devotion to the apparitions have continued.</t>
  </si>
  <si>
    <t>Visionary: St. Egwin (of Rochester), bishop of Worcester
The Bishop of Worcester, Saint Egwin, loved to retire to prayer in the quiet solitude of Evesham. One day, while the Bishop was drawing near to meditation, he saw the Blessed Virgin Mary with a court of angels, with a book in her left hand and a cross in her right hand. Bishop Egwin gratitude founded a convent in Evesham, on the site of the apparition and consecrated the church to the Immaculate Conception, Mother of God and Ever-Virgin Mary. In this place the Marian cult is still alive.
Charged with being overly strict by his clergy, Egwin went to Rome. Upon his return to England, he founded Eversham Monastery with the aid of the kingdom of Mercia. A vision of Mary prompted this founding. In 709, Egwin returned to Rome, accompanied by King Cenred of Mercia and King Offa of the East Saxons.</t>
  </si>
  <si>
    <t>Visionary: Mother of St. Stephen the Younger
in the early years of their marriage, the parents of St. Stephen the Younger (+ 764) had no children. The mother of Stephen decided to turn to the Mother of God and begged to be blessed with this great joy. With the hope to obtain this grace, the woman, animated by sincere fervor within, frequently went to pray in a church in Constantinople. One day, the Mother of God, moved with compassion, appeared to her and told her: "Your suffering is over, your prayer will be answered." In fact, the same year she gave birth to a son, Stephen, and consecrated him to God. He became a priest and a staunch defender of the faith. Stephen was especially active in the controversy concerning images under the Emperor Constantine The Iconoclast. He suffered martyrdom in 764.</t>
  </si>
  <si>
    <t>Visionary: Three Archbishops on the way back from the Holy Land
The legend is that three archbishop returning from the Holy Land stopped to rest, hanging their bags on a dogwood. When they tried to take them back to continue the journey the tree grew enormously and prevented them from taking their luggage. Fallen into a deep sleep, all three had the same dream: the Virgin showed them a model of a chapel and begged them to build one in her honor that place. So it was that they decided to build the altar in a church setting where the dogwood grew. Hearing about the miracle, Pope Gregory II went there and May 10 of that year, and consecrated the altar of the church.
Source: Article by Sergio Scacchia - 5.18.2007 - http://www.teramonews.com/</t>
  </si>
  <si>
    <t>Visionary: St. Thomas of Farfa
A native of Maurienne in Savoy, he went to Jerusalem with two companions. One night, he prayed at the Holy Sepulchre. The Virgin appears and tells him to return to the West. He then went to Italy where he became a hermit. The sources of this tale are not verifiable.</t>
  </si>
  <si>
    <t>Visionary: St. Hubert of Maastricht
Hubert of Maastricht (the saint, bishop of Maastricht, 727) In the 705-706 or so, the Virgin would appear, when the bishop's seat moved from Maastricht to Liege, according to unverified sources reported by Gamba, 1999, 267. According to legends that have spread from the end of the fourteenth century, he would have converted after a miraculous vision of a deer wearing a light cross between its horns. This story, in fact, comes from an early Christian text from the second century, told by a Roman officer, Eucstachio, who was martyred under the Emperor Trajan (23-117). The legend of the animal "Crucifer" was adapted from John of Damascus in the seventh century, then taken up by Jacopo da Varazze, in his Golden Legend (1261-1266).</t>
  </si>
  <si>
    <t>Visionary: St. Marino
Marino (saint, blessed, martyr, +731). A native of Savoy, became a hermit and attracted many followers. He thought about retiring to a secret location. One night, the Virgin, accompanied by the twelve apostles, appeared in his sleep, to help him survive his extreme loneliness. He died under the blows of the Saracens.</t>
  </si>
  <si>
    <t>Visionary: St. Boniface, Archbishop of Mainz
St. Boniface, "the apostle of the Germans" (672-754), was born in Windfrid at Crediton, in Devonshire, ordained to be a priest in 710, the metropolitan of the Beyond-Rhine (723), legate of Pope (738) Archbishop of Mainz (747), founder of the Abbey of Fulda, and regarded as the apostle of Germany. while he was absorbed in contemplation of a miraculous icon of the Mother of God hanging from an oak tree, heard Mary's voice say: "The trunk of this oak tree is to remain forever my portrait. " The circumstances of the occurrence and other details remain unknown.</t>
  </si>
  <si>
    <t>Visionary: St. Opportuna
Opportuna (saint, blessed, abbess of Ameneches, +766). Of Norman origin, the sister of St. Crodegando, bishop of Sees, heard her childhood God's call to renounce the world. Seeking her parents' permission to become religious, "Let me now follow the ways of my holy Lord and Mary, Mother of God. I refuse to join the children of other mothers, except that the Virgin conceived, growth remains Virgen: (AASS t. II-III, 222, n. 3) Shortly before her death, at the Norman monastery Montreuil, of which she was abbess, " St. Cecilia and St. Lucia appeared " Mary, Virgin most pure, wait your arrival so that you be united in heaven with her Son that you loved with all your heart in the world. Crowned with a crown of glory, your lamp access, you must come to the meeting of the Bridegroom [...]&gt;&gt; Iibid. 230 n.19) During her agony, she said: "Here is my Lord, the Blessed Virgin Mary, to whom I entrust you, that you will not see again for a long time in this world ". And stretching out her arms as if she wanted to embrace the Mother of God, herholy soul was freed from the flesh" (ibid. 230-231 n. 20) This story is dated to the first half of the ninth century.</t>
  </si>
  <si>
    <t>Visionary: Luciano Cerna and others
During the Saxon wars, a general of Charlemagne pitched camp near Ostro. In this place stood a woman in royal robes that wandered around the camp. Even after the departure of the soldiers were repeatedly observed its presence in the surrounding fields and meadows. The lady was seen once even by the noble Luciano Cerna during the chase, chased the man rode up to a linden tree where he discovered, full of surprise, a statue of the Blessed Virgin. In this place he built a chapel and placed it inside the statue that was revered. The image shows Mary with Child, in her right hand while holding a pear, the Child, in turn, holds an apple. The statue of the Virgin Mary has a golden royal robe interwoven with flowers, wearing a purple-red cape trimmed with gold and decorated with lilies on her head a beautiful crown of roses. The monastery of Maria Stella cirstercense became famous thanks to direct asset pilgrimage to "our beloved Lady of lime. The healings and answered prayers attest to the vitality of faith in this place.</t>
  </si>
  <si>
    <t>Visionary: St. Anscario, monk of Corbie, archbishop of Hamburg then bishop of Bremen (801-865)
St. Anscario was born in 801 in Picardy, near Corbie. In his youth the Blessed Virgin Mary appeared to him, urging him to devote his earthly life in the service of Catholicism. Anscario actively was engaged in apostolate, especially in Scandinavian countries. He was a teacher at the monastery school of Corvey, Monaco Benedictine, bishop of Hamburg (from 831) and Bremen (from 845). He was among the first evangelizers of Sweden and Denmark and, since 827, was known as "the apostle of the North." In 852, Anscario converted King Olaf of Sweden to the Catholic faith, thus promoting the spread of Catholicism in these lands. Pope Gregory IV appointed him legate of the Holy See for the whole of Scandinavia. He often retired to the monastary to meditate, but was also was very active in charitable and spiritual work. He died in Bremen in 865.</t>
  </si>
  <si>
    <t>Visionary: Gondislave
The holy archbishop of Toulouse, Gondisalve, received the grace of some of the apparitions of the Virgin Mary. Once, during the celebration of Holy Mass, the Mother of God appeared to him and expressed the desire of spreading the doctrine of the Immaculate Conception and the institution of a party concerned. Gondisalve dedicated to this task the rest of his life.</t>
  </si>
  <si>
    <t>http://amdn.vps1.spikly.com/qui-est-marie/1-octobre-orthodoxe-pokrov-protection-de-la-mere-de-dieu</t>
  </si>
  <si>
    <t>Visionary: Andrew and Epiphanius
The Russians attacked Blacherne in the year 860 but fled before the relic of Mary's cloak and they asked the missionaries for their country. 
In the next century (X century), to Blacherne, the Virgin appeared to Andrew, a Foolishness for Christ of Slavic origin, and his disciple Epiphanius. 
Hence the Orthodox feast of the "Protection of the Mother of God" celebrated on 1 October (14 per schedule Julian used by the Orthodox Churches of Slavic rite).  For a long time, the two seers saw the veil shine above the crowd, to which refers the Slavonic liturgy from 1 October (Pokrov).</t>
  </si>
  <si>
    <t xml:space="preserve">Visionary: St. Konrad, Bishop of Konstanz
Title: Our Lady of Einsiedeln
In 934, St. Eberhard of Strasbourg, arrived and set about building a large monastery and Church, the latter enclosing and protecting the hermit and martyr Meinrad's holy little chapel, which was only eight and a half yards long by six yards wide. When this work was completed in the summer of 948, Eberhard, having become the first Abbot of Einsiedeln, invited St. Konrad, the Bishop of Konstanz, to consecrate and dedicate the Chapel of Our Lady of the Hermits. St. Konrad's party, which included the Bishop of Augsburg and many princes and knights of the German Empire, arrived at the hermitage in the Dark Wood, on the eve of the Feast of the Exaltation of the Holy Cross. The holy Bishop of Konstanz retired to his room early in the evening in order to rest after the trip. However, despite his fatigue, he did not fail to get up, as was his custom, before midnight, and to go with several religious to pray in the chapel which he was due to consecrate the next morning. While he was fervently beseeching the Blessed Virgin to accept this holy shrine and to make it henceforth a center of pilgrimages where for centuries and centuries she would heal and help her suffering children, suddenly, at exactly midnight, St. Konrad and those with him began to hear the sound of many harmonious voices, chanting a melody of heavenly beauty. Looking up, he saw with amazement that the sanctuary of the chapel was filled with a brilliant light that made everything clearer than the brightest noonday sun, and that the altar was completely illuminated as for a solemn festival. Then he saw coming down from Heaven a magnificent procession of Angels under the leadership of St. Michael the Archangel. Some of them formed the choir and were chanting celestial psalms, while others bearing swinging golden censers took their places before the altar.
After the angels came St. Peter, St. Matthew, St. Mark, St. Luke, and St. John, St. Gregory, St. Augustine and St. Ambrose. Then came, vested as deacon and subdeacon, the Martyr-Saints Lawrence and Stephen. And finally, as High Priest, arrayed in pontifical vestments and wearing a violet chasuble, there appeared in all the splendor of His Divinity, Our Lord and Savior Jesus Christ. Then, as a breathtaking climax, just before God the Son began the Mass that was to consecrate this holy shrine forever to His Immaculate Mother, Mary herself took her place above the altar of her chapel, radiant with dazzling glory and attended by her train of angelic spirits! In speechless awe, St. Konrad followed every detail of this extraordinary Mass. He observed with rapt attention that the solemn ceremony was performed in the minutest particulars according to the ritual prescribed by the Church for the consecration of a temple, except that, at the Sanctus, the angels sang: "Holy God, have mercy on us in the court of the Glorious Virgin! Blessed be the Son of Mary Who has come to this place and Who is to reign for ages of ages!" More than an hour later, having formally dedicated the shrine to His Blessed Mother under the title of Our Lady of the Hermits, the King of Kings returned in all His majesty to Heaven with His distinguished company of Saints and Angels. The beautiful living Virgin vanished too, leaving in her place the lovely statue. The singing ceased. The bright light was magically extinguished. And soon the newly consecrated shrine was, to all outward appearances, exactly as it had been before. The saintly Bishop of Konstanz, however, remained kneeling for hours in ecstatic meditation over the marvels which he had just witnessed. Later that morning, when all the dignitaries had assembled, and after he had kept them waiting quite a while, he was politely informed that it was time for him to begin the dedication ceremony. Still deeply moved, he firmly declared that the chapel had already been miraculously consecrated by God Himself during the night. But when the Abbot Eberhard and the other officials refused to accept this story, and insisted that the ceremony for which so many persons had come together should start at once, St. Konrad yielded. Then another striking supernatural intervention took place: as the Bishop put his foot on the first altar step, the great Church was suddenly filled with a strong and impressive voice which everyone present heard exclaim three times: "Stop! Stop, Brother! This Chapel has been Divinely consecrated!"
Later on, a full investigation of these extraordinary events was undertaken by the highest civil and ecclesiastical authorities, and in the year 964, in the presence of the German Emperor Otto and of St. Konrad the Bishop, His Holiness Pope Leo VIII issued a bull confirming the miraculous dedication.
</t>
  </si>
  <si>
    <t>Visionaries: Cantelnovese townsperson
Title: Madonna delle Colture (Our Lady of the Crops)
Commemorated: January 15th
Santa Maria della Petrara is the mother church of the town of Castelnuovo di Conza in the province of Salerno in the region of Campania in southwest Italy.* It succeeded the Church of San Nicola around the tenth century. The site of present-day Castelnuovo dates back to antiquity. The name “Petrara” stems from an ancient village perched on a promontory with caverns and caves. The legend of Castelnuovo recounts that the Blessed Mother appeared to a Cantelnovese man or woman on the path and asked for a piece of ‘unfit’ bread. It is said the person went to his/her house and took a piece of leaven dough ‘smeared with oil or paste’ and offered it to the Madonna. It is said that the Lady asked that an image of her be placed in a church built on the spot. A statue was crafted depicting the Madonna with a piece of bread in her hand, a genuine product of the earth. So was born the image of Madonna delle Colture and the church of Santa Maria della Petrara, a title by which Our Lady is also known, as well as Maria della Petrara. The title is also quite popular in Syria where she is commemorated annually on January 15th. *Not far from Castelnuovo is the Benedictine monastery of St. Menna that plays prominently in the town’s early history. Castelnuovo was hit by the earthquake of January 14, 1466, and was at the epicenter of the earthquake of November 23, 1980.</t>
  </si>
  <si>
    <t>https://www.miraclehunter.com/marian_apparitions/approved_apparitions/herford/index.html</t>
  </si>
  <si>
    <t>Visionary: A beggar
Title: Our Lady of the Cross
A beggar who passed a convent suddenly heard someone call his name, turned and saw, to his great emotion, the Blessed Virgin Mary! The Mother of God reassured him with the sign of the cross after a blessing and then gave him the task of going to the monastery with a message of repentance and conversion. Madonna also sent the proof to say that this appearance would be seen a white dove on the wooden cross erected by the beggar in front of the convent. The abbess and nuns were convinced of the authenticity of the message when they saw the white dove perched on the cross. On the site of the apparition a church was later built, consecrated in 1011 by the Bishop of Paderborn, with the name of Our Lady of the Cross. Herford became a famous place of pilgrimage.</t>
  </si>
  <si>
    <t>Visionaries: St. Peter the Anthonite (Hermits on Mt. Athos)
Peter the Hesychast Aghiorita settled on the holy mountain in 681. Peter was a greek who was a soldier in the imperial court in Constantinople. After being a prisoner of the Arabs voted for the monastic life and went to Rome. One night he dreamed the Blessed Virgin Mary who told him that Mount Athos would become a monastic center. Guided by the mystical force of this vision, Peter went on the holy mountain where he lived for fifty years, until his death in a cave.
Abraham, who in 952 took the name of Athanasius, is considered the founder of monasticism cenobite on Mount Athos, was born in 925-30. in Trabzon on the Black Sea coast in his long stay in Constantinople, he had the opportunity to make friends with the brothers Leo and Nicephorus Phocas.
In 957, under a pseudonym, Athanasius settled on Mount Athos with an old hermit. He lived as a hermit in a first time and faced heavy temptations. One day the Virgin appeared to him and lifted him from these difficulties, consoling him and exhorting him not to leave the Mount and not fail in his monastic vocation. Inspired by this apparition, Athanasius devoted himself with greater zeal to understand the significance of its spiritual mission. Some time later, supported by the emperor,he beca,e the first superior of this monastery, which was established according to the Benedictine rule.</t>
  </si>
  <si>
    <t>Visionary: Herman I - Archbishop of Cologne
The Holy Virgin Mary appeared to the deacon Hermann von Bonn. In this apparition, he was inspired to become archbishop of Cologne, succeeding Bruno I. Unfortunately he fell astray and was deposed.</t>
  </si>
  <si>
    <t>http://www.catholic-hierarchy.org/diocese/dt520.html</t>
  </si>
  <si>
    <t>Visionary: St. Geraud (935-April 23, 994)
The Blessed Virgin Mary appeared on a hill to St. Geraud, Bishop of Toul, and manifest a desire to see that place in a church dedicated to her veneration. Saint Geraud fulfilled the desire of Mary as he built a Marian shrine on the site. The Bishop of Toul showed a tireless charitable and apostolic zeal; was canonized in 1050 by Pope Leo IX.</t>
  </si>
  <si>
    <t>Visionary: St. Dustin (909-988)
One night, while St. Dustin (909-988), archbishop of Canterbury since 960, visited the cathedral to pray, the Virgin Mary appeared to him with a heavenly choir. The Angels and the Saints sang hymns of praise and accompanied the bishop to the entrance of the cathedral, then disappeared. Dustano belonged to the Benedictine Order, devoted himself to the reform of the Church of England and to the renewal of monastic life.</t>
  </si>
  <si>
    <t>Visionary: A shepherd
Title: Our Lady of Picciano
Shortly before the year 1000, the Holy Virgin appeared on the branches of an oak to a shepherd of Abruzzo, looking for his lost cow found her kneeling at the foot of the tree. The church was built to commemorate the event in 1200, although there is evidence dating back to that time.</t>
  </si>
  <si>
    <t>MH</t>
  </si>
  <si>
    <t>Source</t>
  </si>
  <si>
    <r>
      <t>684</t>
    </r>
    <r>
      <rPr>
        <sz val="10"/>
        <color rgb="FF000000"/>
        <rFont val="Arial"/>
        <family val="2"/>
      </rPr>
      <t> </t>
    </r>
    <r>
      <rPr>
        <b/>
        <sz val="10"/>
        <color rgb="FF000000"/>
        <rFont val="Arial"/>
        <family val="2"/>
      </rPr>
      <t>or 700</t>
    </r>
  </si>
  <si>
    <r>
      <t>708</t>
    </r>
    <r>
      <rPr>
        <sz val="10"/>
        <color rgb="FF000000"/>
        <rFont val="Arial"/>
        <family val="2"/>
      </rPr>
      <t> </t>
    </r>
    <r>
      <rPr>
        <b/>
        <sz val="10"/>
        <color rgb="FF000000"/>
        <rFont val="Arial"/>
        <family val="2"/>
      </rPr>
      <t>or 717</t>
    </r>
  </si>
  <si>
    <r>
      <t>Castelnuovo di Conza</t>
    </r>
    <r>
      <rPr>
        <sz val="10"/>
        <color rgb="FF000000"/>
        <rFont val="Arial"/>
        <family val="2"/>
      </rPr>
      <t>,</t>
    </r>
    <r>
      <rPr>
        <b/>
        <sz val="10"/>
        <color rgb="FF000000"/>
        <rFont val="Arial"/>
        <family val="2"/>
      </rPr>
      <t> Salerno, Campania (Italy)</t>
    </r>
  </si>
  <si>
    <t>Year</t>
  </si>
  <si>
    <t>Location</t>
  </si>
  <si>
    <t>Description</t>
  </si>
  <si>
    <t>MH Description</t>
  </si>
  <si>
    <t>X</t>
  </si>
  <si>
    <t>?</t>
  </si>
  <si>
    <t>Visionary: St. Gregory the Wonder-Worker (213 ca.- 270)
The Virgin Mary and the Apostle John would appeared to St. Gregory the Wonderworker (213-270), before he was ordained bishop of Neocaesarea. The apostle, at the urging of Mary, would provide all the necessary clarifications to the Saint around the theological issues, particularly on the mystery of the Trinity, then the subject of strong controversy.</t>
  </si>
  <si>
    <t>Visionary: St. Alessio
According to an unverifiable medieval legend, Alessio, born in Rome around 350, in a senatorial family, received an apparition of the Virgin in a church in Edessa. The apparition called his name and prclaimed him a "man of God". The first account of the life and miracle of Alessio appeared in the west in the 10th century. The cult of St. Alessio was supressed in 1969.</t>
  </si>
  <si>
    <t>Visionary: St. Julian of Antioch, the "Poor Man", the Hospitaller (Martyr)
A personality of historic uncertainty, he promised on his wedding day to live in virginity with the future saint Basilissa. Being "both in prayer, their room trembled, then an overwhelming light appeared. Two choirs then appeared in the room, one of a great multitude of saints, manned by our Lord and Savior Jesus Christ, the other of innumerable virgins who had in their midst the Virgin of Virgins, Mother of God" according to Ribadeneira (according to Legende Doree of Jacopo da Varazze). This legendary tale has no trustworthy historical foundation.</t>
  </si>
  <si>
    <t>Visionary: St. Catherine of Alexandria
Legend says that St. Catherine of Alexandria studied philosophy when she was young as was fashionable in Alexandria's high society. During the course of her studies she learned about Christ. Then Catherine was converted by a vision of Our Lady and the Holy Child. She refused marriage to an emperor because Christ had already appeared to her in person and placed his gold ring on her finger (like St. Catherine of Siena). She later received a vision of Christ in prison.</t>
  </si>
  <si>
    <t>Title</t>
  </si>
  <si>
    <t>Found</t>
  </si>
  <si>
    <t>Santa Maria Maggiore (Our Lady of the Snows)</t>
  </si>
  <si>
    <t>https://www.vatican.va/various/basiliche/sm_maggiore/index_en.html</t>
  </si>
  <si>
    <t>https://www.marypages.com/our-lady-of-the-snows-en.html</t>
  </si>
  <si>
    <t>Site</t>
  </si>
  <si>
    <t>http://www.therealpresence.org/eucharst/misc/BVM/09_ZARAGOZA_60x96.pdf</t>
  </si>
  <si>
    <t>http://www.therealpresence.org/eucharst/misc/BVM/68_LE_PUY_60x96.pdf</t>
  </si>
  <si>
    <t>http://www.therealpresence.org/eucharst/misc/BVM/117_ROMA_60x96.pdf</t>
  </si>
  <si>
    <t>http://www.therealpresence.org/eucharst/misc/BVM/90_TINDARI_60x96.pdf</t>
  </si>
  <si>
    <t>http://www.therealpresence.org/eucharst/misc/BVM/121_MONTSERRAT_60x96.pdf</t>
  </si>
  <si>
    <t>http://www.therealpresence.org/eucharst/misc/BVM/153_WALSINGHAM_60x96.pdf</t>
  </si>
  <si>
    <t>http://www.therealpresence.org/eucharst/misc/BVM/80_MONTEFORTINO_60x96.pdf</t>
  </si>
  <si>
    <t>http://www.therealpresence.org/eucharst/misc/BVM/86_FOGGIA_60x96.pdf</t>
  </si>
  <si>
    <t>http://www.therealpresence.org/eucharst/misc/BVM/37_ARRAS_60x96.pdf</t>
  </si>
  <si>
    <t>http://www.therealpresence.org/eucharst/misc/BVM/123_NAZARE_96x96.pdf</t>
  </si>
  <si>
    <t>http://www.therealpresence.org/eucharst/misc/BVM/138_SWIETA_LIPKA_60x96.pdf</t>
  </si>
  <si>
    <t>http://www.therealpresence.org/eucharst/misc/BVM/38_ASSISI_60x96.pdf</t>
  </si>
  <si>
    <t>http://www.therealpresence.org/eucharst/misc/BVM/136_ARCOS_60x96.pdf</t>
  </si>
  <si>
    <t>http://www.therealpresence.org/eucharst/misc/BVM/35_CORTES_60x96.pdf</t>
  </si>
  <si>
    <t>http://www.therealpresence.org/eucharst/misc/BVM/18_FIRENZE_60x96.pdf</t>
  </si>
  <si>
    <t>http://www.therealpresence.org/eucharst/misc/BVM/05_AYLESFORD_60x96.pdf</t>
  </si>
  <si>
    <t>http://www.therealpresence.org/eucharst/misc/BVM/133_ROMA_POZZO_60x96.pdf</t>
  </si>
  <si>
    <t>http://www.therealpresence.org/eucharst/misc/BVM/148_LORETO_140x96.pdf</t>
  </si>
  <si>
    <t>http://www.therealpresence.org/eucharst/misc/BVM/44_BRA_60x96.pdf</t>
  </si>
  <si>
    <t>http://www.therealpresence.org/eucharst/misc/BVM/74_ROVERANO_60x96.pdf</t>
  </si>
  <si>
    <t>http://www.therealpresence.org/eucharst/misc/BVM/13_VALVERDE_60x96.pdf</t>
  </si>
  <si>
    <t>http://www.therealpresence.org/eucharst/misc/BVM/43_CASTEL_GODEGO_60x96.pdf</t>
  </si>
  <si>
    <t>http://www.therealpresence.org/eucharst/misc/BVM/100_CORDOBA_60x96.pdf</t>
  </si>
  <si>
    <t>http://www.therealpresence.org/eucharst/misc/BVM/58_MONTE_BERICO_60x96.pdf</t>
  </si>
  <si>
    <t>http://www.therealpresence.org/eucharst/misc/BVM/15_CARAVAGGIO_60x96.pdf</t>
  </si>
  <si>
    <t>http://www.therealpresence.org/eucharst/misc/BVM/50_DESENZANO_DI_ALBINO_60x96.pd.pdf</t>
  </si>
  <si>
    <t>http://www.therealpresence.org/eucharst/misc/BVM/105_FUERTEVENTURA_60x96.pdf</t>
  </si>
  <si>
    <t>http://www.therealpresence.org/eucharst/misc/BVM/115_S_ANASTASIA_96x96.pdf</t>
  </si>
  <si>
    <t>http://www.therealpresence.org/eucharst/misc/BVM/45_GHISALBA_60x96.pdf</t>
  </si>
  <si>
    <t>http://www.therealpresence.org/eucharst/misc/BVM/72_GARLASCO_60x96.pdf</t>
  </si>
  <si>
    <t>http://www.therealpresence.org/eucharst/misc/BVM/71_GENAZZANO_60x96.pdf</t>
  </si>
  <si>
    <t>http://www.therealpresence.org/eucharst/misc/BVM/75_BADIA_DI_CAVA_60x96.pdf</t>
  </si>
  <si>
    <t>http://www.therealpresence.org/eucharst/misc/BVM/42_BOCCADIRIO_60x96.pdf</t>
  </si>
  <si>
    <t>http://www.therealpresence.org/eucharst/misc/BVM/106_TEROR_60x96.pdf</t>
  </si>
  <si>
    <t>http://www.therealpresence.org/eucharst/misc/BVM/49_IMOLA_60x96.pdf</t>
  </si>
  <si>
    <t>http://www.therealpresence.org/eucharst/misc/BVM/67_AGRES_60x96.pdf</t>
  </si>
  <si>
    <t>http://www.therealpresence.org/eucharst/misc/BVM/55_MADONNA_DEL_SASSO_60x96.pdf</t>
  </si>
  <si>
    <t>http://www.therealpresence.org/eucharst/misc/BVM/64_GENOVA_60x96.pdf</t>
  </si>
  <si>
    <t>http://www.therealpresence.org/eucharst/misc/BVM/24_TROIS_EPIS_60x96.pdf</t>
  </si>
  <si>
    <t>http://www.therealpresence.org/eucharst/misc/BVM/51_GALLIVAGGIO_60x96.pdf</t>
  </si>
  <si>
    <t>http://www.therealpresence.org/eucharst/misc/BVM/87_RE_60x96.pdf</t>
  </si>
  <si>
    <t>http://www.therealpresence.org/eucharst/misc/BVM/47_BETTOLA_60x96.pdf</t>
  </si>
  <si>
    <t>http://www.therealpresence.org/eucharst/misc/BVM/65_MOLARE_60x96.pdf</t>
  </si>
  <si>
    <t>http://www.therealpresence.org/eucharst/misc/BVM/32_VAILANKANNI_60x96.pdf</t>
  </si>
  <si>
    <t>http://www.therealpresence.org/eucharst/misc/BVM/98_ANDACOLLO_CILE_60x96.pdf</t>
  </si>
  <si>
    <t>http://www.therealpresence.org/eucharst/misc/BVM/111_LUGGAU_60x96.pdf</t>
  </si>
  <si>
    <t>http://www.therealpresence.org/eucharst/misc/BVM/79_TIRANO_96x96.pdf</t>
  </si>
  <si>
    <t>http://www.therealpresence.org/eucharst/misc/BVM/122_MOTTA_DI_LIV_96x96.pdf</t>
  </si>
  <si>
    <t>http://www.therealpresence.org/eucharst/misc/BVM/66_PESCHIERA_S-GARDA_60x96.pdf</t>
  </si>
  <si>
    <t>http://www.therealpresence.org/eucharst/misc/BVM/41_BERGAMO_60x96.pdf</t>
  </si>
  <si>
    <t>http://www.therealpresence.org/eucharst/misc/BVM/134_RZESZOW_96x96.pdf</t>
  </si>
  <si>
    <t>http://www.therealpresence.org/eucharst/misc/BVM/84_GARAISON_60x96.pdf</t>
  </si>
  <si>
    <t>http://www.therealpresence.org/eucharst/misc/BVM/34_ADRO_60x96.pdf</t>
  </si>
  <si>
    <t>http://www.therealpresence.org/eucharst/misc/BVM/83_COTIGNAC_60x96.pdf</t>
  </si>
  <si>
    <t>http://www.therealpresence.org/eucharst/misc/BVM/114_CORI_60x96.pdf</t>
  </si>
  <si>
    <t>http://www.therealpresence.org/eucharst/misc/BVM/48_CUSSANIO_60x96.pdf</t>
  </si>
  <si>
    <t>http://www.therealpresence.org/eucharst/misc/BVM/53_CRESCENTINO_60x96.pdf</t>
  </si>
  <si>
    <t>http://www.therealpresence.org/eucharst/misc/BVM/81_ORNAVASSO_60x96.pdf</t>
  </si>
  <si>
    <t>http://www.therealpresence.org/eucharst/misc/BVM/70_GUADALUPE_96x96.pdf</t>
  </si>
  <si>
    <t>http://www.therealpresence.org/eucharst/misc/BVM/29_SAVONA_60x96.pdf</t>
  </si>
  <si>
    <t>http://www.therealpresence.org/eucharst/misc/BVM/137_SVETA_GORA_60x96.pdf</t>
  </si>
  <si>
    <t>http://www.therealpresence.org/eucharst/misc/BVM/127_OCOTLAN_96x96.pdf</t>
  </si>
  <si>
    <t>http://www.therealpresence.org/eucharst/misc/BVM/116_VACCIAGO_60x96.pdf</t>
  </si>
  <si>
    <t>http://www.therealpresence.org/eucharst/misc/BVM/60_PIETRALBA_96x96.pdf</t>
  </si>
  <si>
    <t>http://www.therealpresence.org/eucharst/misc/BVM/10_CORBETTA_60x96.pdf</t>
  </si>
  <si>
    <t>http://www.therealpresence.org/eucharst/misc/BVM/02_ARCOLA_60x96.pdf</t>
  </si>
  <si>
    <t>http://www.therealpresence.org/eucharst/misc/BVM/56_GIULIANOVA_96x96.pdf</t>
  </si>
  <si>
    <t>http://www.therealpresence.org/eucharst/misc/BVM/62_GEROSA_60x96.pdf</t>
  </si>
  <si>
    <t>http://www.therealpresence.org/eucharst/misc/BVM/141_MONCRIVELLO_60x96.pdf</t>
  </si>
  <si>
    <t>http://www.therealpresence.org/eucharst/misc/BVM/140_GOZO_60x96.pdf</t>
  </si>
  <si>
    <t>http://www.therealpresence.org/eucharst/misc/BVM/52_CASALBORDINO_60x96.pdf</t>
  </si>
  <si>
    <t>http://www.therealpresence.org/eucharst/misc/BVM/129_LUMARZO_60x96.pdf</t>
  </si>
  <si>
    <t>http://www.therealpresence.org/eucharst/misc/BVM/97_CHIQUINQUIRA_96x96.pdf</t>
  </si>
  <si>
    <t>http://www.therealpresence.org/eucharst/misc/BVM/131_QUINCHE_60x96.pdf</t>
  </si>
  <si>
    <t>http://www.therealpresence.org/eucharst/misc/BVM/132_QUITO_96x96.pdf</t>
  </si>
  <si>
    <t>http://www.therealpresence.org/eucharst/misc/BVM/120_RAPALLO_60x96.pdf</t>
  </si>
  <si>
    <t>http://www.therealpresence.org/eucharst/misc/BVM/61_BETHARRAM_60x96.pdf</t>
  </si>
  <si>
    <t>http://www.therealpresence.org/eucharst/misc/BVM/112_LUJAN_96x96.pdf</t>
  </si>
  <si>
    <t>http://www.therealpresence.org/eucharst/misc/BVM/92_CAACUPE_96x96.pdf</t>
  </si>
  <si>
    <t>http://www.therealpresence.org/eucharst/misc/BVM/94_CAYSASAY_60x96.pdf</t>
  </si>
  <si>
    <t>http://www.therealpresence.org/eucharst/misc/BVM/104_DOROSZLO_60x96.pdf</t>
  </si>
  <si>
    <t>http://www.therealpresence.org/eucharst/misc/BVM/36_ARDESIO_60x96.pdf</t>
  </si>
  <si>
    <t>http://www.therealpresence.org/eucharst/misc/BVM/57_SILUVA_96x96.pdf</t>
  </si>
  <si>
    <t>http://www.therealpresence.org/eucharst/misc/BVM/88_MANAOAG_60x96.pdf</t>
  </si>
  <si>
    <t>http://www.therealpresence.org/eucharst/misc/BVM/102_CUBA_96x96.pdf</t>
  </si>
  <si>
    <t>http://www.therealpresence.org/eucharst/misc/BVM/22_MONFERRATO_60x96.pdf</t>
  </si>
  <si>
    <t>http://www.therealpresence.org/eucharst/misc/BVM/118_MARBACH_60x96.pdf</t>
  </si>
  <si>
    <t>http://www.therealpresence.org/eucharst/misc/BVM/101_CARTAGO_60x96.pdf</t>
  </si>
  <si>
    <t>http://www.therealpresence.org/eucharst/misc/BVM/107_KEVELAER_96x96.pdf</t>
  </si>
  <si>
    <t>http://www.therealpresence.org/eucharst/misc/BVM/125_PLANTEES_60x96.pdf</t>
  </si>
  <si>
    <t>http://www.therealpresence.org/eucharst/misc/BVM/14_GUANARE_60x96.pdf</t>
  </si>
  <si>
    <t>http://www.therealpresence.org/eucharst/misc/BVM/108_LA_PRENESSAYE_60x96.pdf</t>
  </si>
  <si>
    <t>http://www.therealpresence.org/eucharst/misc/BVM/08_PIEVE_DI_TAGLIAM_60x96.pdf</t>
  </si>
  <si>
    <t>http://www.therealpresence.org/eucharst/misc/BVM/69_LAUS_140x96.pdf</t>
  </si>
  <si>
    <t>http://www.therealpresence.org/eucharst/misc/BVM/54_SAN_BARTOLOMEO_60x96.pdf</t>
  </si>
  <si>
    <t>http://www.therealpresence.org/eucharst/misc/BVM/145_GYOR_96x96.pdf</t>
  </si>
  <si>
    <t>http://www.therealpresence.org/eucharst/misc/BVM/73_COTOCA_60x96.pdf</t>
  </si>
  <si>
    <t>http://www.therealpresence.org/eucharst/misc/BVM/142_QUILLACOLLO_60x96.pdf</t>
  </si>
  <si>
    <t>http://www.therealpresence.org/eucharst/misc/BVM/130_PELLESTRINA_96x96.pdf</t>
  </si>
  <si>
    <t>http://www.therealpresence.org/eucharst/misc/BVM/77_VALE_DO_PARAIBA_60x96.pdf</t>
  </si>
  <si>
    <t>http://www.therealpresence.org/eucharst/misc/BVM/59_MONTAGNAGA_96x96.pdf</t>
  </si>
  <si>
    <t>http://www.therealpresence.org/eucharst/misc/BVM/17_DIVINO_AMORE_60x96.pdf</t>
  </si>
  <si>
    <t>http://www.therealpresence.org/eucharst/misc/BVM/95_CHAGUAYA_60x96.pdf</t>
  </si>
  <si>
    <t>http://www.therealpresence.org/eucharst/misc/BVM/109_LAJAS_96x96.pdf</t>
  </si>
  <si>
    <t>http://www.therealpresence.org/eucharst/misc/BVM/33_ABSAM_60x96.pdf</t>
  </si>
  <si>
    <t>http://www.therealpresence.org/eucharst/misc/BVM/21_LAVANG_60x96.pdf</t>
  </si>
  <si>
    <t>http://www.therealpresence.org/eucharst/misc/BVM/126_ORNANS_60x96.pdf</t>
  </si>
  <si>
    <t>http://www.therealpresence.org/eucharst/misc/BVM/110_LICHEN_96x96.pdf</t>
  </si>
  <si>
    <t>http://www.therealpresence.org/eucharst/misc/BVM/06_PARIGI_60x96.pdf</t>
  </si>
  <si>
    <t>http://www.therealpresence.org/eucharst/misc/BVM/23_ROMA_60x96.pdf</t>
  </si>
  <si>
    <t>http://www.therealpresence.org/eucharst/misc/BVM/30_LA_SALETTE_96x96.pdf</t>
  </si>
  <si>
    <t>http://www.therealpresence.org/eucharst/misc/BVM/03_BORGO_CERRETO_60x96.pdf</t>
  </si>
  <si>
    <t>http://www.therealpresence.org/eucharst/misc/BVM/27_PORZUS_60x96.pdf</t>
  </si>
  <si>
    <t>http://www.therealpresence.org/eucharst/misc/BVM/40_LOURDES_140x96.pdf</t>
  </si>
  <si>
    <t>http://www.therealpresence.org/eucharst/misc/BVM/96_CHAMPION_140x96.pdf</t>
  </si>
  <si>
    <t>http://www.therealpresence.org/eucharst/misc/BVM/12_MONTEFALCO_60x96.pdf</t>
  </si>
  <si>
    <t>http://www.therealpresence.org/eucharst/misc/BVM/89_FILIPOV_96x96.pdf</t>
  </si>
  <si>
    <t>http://www.therealpresence.org/eucharst/misc/BVM/26_PONTMAIN_60x96.pdf</t>
  </si>
  <si>
    <t>http://www.therealpresence.org/eucharst/misc/BVM/135_S_BAUZILLE_96x96.pdf</t>
  </si>
  <si>
    <t>http://www.therealpresence.org/eucharst/misc/BVM/25_POMPEI_96x96.pdf</t>
  </si>
  <si>
    <t>http://www.therealpresence.org/eucharst/misc/BVM/07_PELLEVOISIN_60x96.pdf</t>
  </si>
  <si>
    <t>http://www.therealpresence.org/eucharst/misc/BVM/85_GIETRZALD_96x96.pdf</t>
  </si>
  <si>
    <t>http://www.therealpresence.org/eucharst/misc/BVM/63_KNOCK_60x96.pdf</t>
  </si>
  <si>
    <t>http://www.therealpresence.org/eucharst/misc/BVM/82_CASTELPETROSO_60x96.pdf</t>
  </si>
  <si>
    <t>http://www.therealpresence.org/eucharst/misc/BVM/139_SZCZYRK_60x96.pdf</t>
  </si>
  <si>
    <t>http://www.therealpresence.org/eucharst/misc/BVM/91_BETANIA_96x96.pdf</t>
  </si>
  <si>
    <t>http://www.therealpresence.org/eucharst/misc/BVM/103_DONG_LU_96x96.pdf</t>
  </si>
  <si>
    <t>http://www.therealpresence.org/eucharst/misc/BVM/154_FATIMA_96x96_1.pdf</t>
  </si>
  <si>
    <t>http://www.therealpresence.org/eucharst/misc/BVM/46_TORINO_60x96.pdf</t>
  </si>
  <si>
    <t>http://www.therealpresence.org/eucharst/misc/BVM/04_CERNUSCO_60x96.pdf</t>
  </si>
  <si>
    <t>http://www.therealpresence.org/eucharst/misc/BVM/31_PONTEVEDRA_96x96.pdf</t>
  </si>
  <si>
    <t>http://www.therealpresence.org/eucharst/misc/BVM/93_CAMPINAS_140x96.pdf</t>
  </si>
  <si>
    <t>http://www.therealpresence.org/eucharst/misc/BVM/11_BEAURAING_60x96.pdf</t>
  </si>
  <si>
    <t>http://www.therealpresence.org/eucharst/misc/BVM/39_BANNEAUX_96x96.pdf</t>
  </si>
  <si>
    <t>http://www.therealpresence.org/eucharst/misc/BVM/151_PESQUEIRA_140x96.pdf</t>
  </si>
  <si>
    <t>http://www.therealpresence.org/eucharst/misc/BVM/146_HEEDE_140x96.pdf</t>
  </si>
  <si>
    <t>http://www.therealpresence.org/eucharst/misc/BVM/119_MILANO_96x96.pdf</t>
  </si>
  <si>
    <t>http://www.therealpresence.org/eucharst/misc/BVM/128_KALLIKULAM_60x96.pdf</t>
  </si>
  <si>
    <t>http://www.therealpresence.org/eucharst/misc/BVM/149_MARIENFRIED_140x96.pdf</t>
  </si>
  <si>
    <t>http://www.therealpresence.org/eucharst/misc/BVM/152_SIEKIERKI_96x96.pdf</t>
  </si>
  <si>
    <t>http://www.therealpresence.org/eucharst/misc/BVM/99_CODOSERA_140x96.pdf</t>
  </si>
  <si>
    <t>http://www.therealpresence.org/eucharst/misc/BVM/19_ILE_BOUCHARD_96x96.pdf</t>
  </si>
  <si>
    <t>http://www.therealpresence.org/eucharst/misc/BVM/147_HEROLDSBACH_140x96.pdf</t>
  </si>
  <si>
    <t>http://www.therealpresence.org/eucharst/misc/BVM/113_ROGOROTTO_60x96.pdf</t>
  </si>
  <si>
    <t>http://www.therealpresence.org/eucharst/misc/BVM/28_SIRACUSA_60x96.pdf</t>
  </si>
  <si>
    <t>http://www.therealpresence.org/eucharst/misc/BVM/124_NGOME_140x96.pdf</t>
  </si>
  <si>
    <t>http://www.therealpresence.org/eucharst/misc/BVM/150_FOSTORIA_140x96.pdf</t>
  </si>
  <si>
    <t>http://www.therealpresence.org/eucharst/misc/BVM/144_ZEITUN_96x96.pdf</t>
  </si>
  <si>
    <t>http://www.therealpresence.org/eucharst/misc/BVM/01_AKITA_60x96.pdf</t>
  </si>
  <si>
    <t>http://www.therealpresence.org/eucharst/misc/BVM/16_CUAPA_60x96.pdf</t>
  </si>
  <si>
    <t>http://www.therealpresence.org/eucharst/misc/BVM/20_KIBEHO_96x96.pdf</t>
  </si>
  <si>
    <t>http://www.therealpresence.org/eucharst/misc/BVM/143_NAMYANG_96x96.pdf</t>
  </si>
  <si>
    <t>http://www.therealpresence.org/eucharst/misc/BVM/76_AOKPE_140x96.pdf</t>
  </si>
  <si>
    <t>http://www.therealpresence.org/eucharst/misc/BVM/78_BECHWAT_60x96.pdf</t>
  </si>
  <si>
    <t>The Real Presence</t>
  </si>
  <si>
    <t>Basilica of Our Lady of Walsingham</t>
  </si>
  <si>
    <t>Miracle Hunter</t>
  </si>
  <si>
    <t/>
  </si>
  <si>
    <t>In 47 AD, Our Lady appeared to a recent Christian convert, in a chapel built few years before on a high mountain. This woman was plagued by a serious illness and no doctor had been able to help.  The Blessed Mother, during her appearance, completely cured her.</t>
  </si>
  <si>
    <t>A wealthy but childless Christian Roman couple wanted to appoint the Virgin Mary as heiress of their property. On the night of August 4, Mary appeared simultaneously to the couple and Pope Liberius, expressing the wish that a church be erected on Esquiline Hill.  The morning of August 5, miraculous snow fell on a narrow piece of land, upon which the Church of Liberius was constructed.  This Marian shrine was replaced in the fifth century with a great church named Santa Maria Maggiore, which is now one of the four papal basilicas.</t>
  </si>
  <si>
    <t>Tags</t>
  </si>
  <si>
    <t>https://kibeho-sanctuary.com/</t>
  </si>
  <si>
    <t>Lat</t>
  </si>
  <si>
    <t>Lng</t>
  </si>
  <si>
    <t>Our Lady of Banneux, Virgin of the Poor</t>
  </si>
  <si>
    <t>https://banneux-nd.be/</t>
  </si>
  <si>
    <t>Our Lady of Kibeho, Mother of the Word</t>
  </si>
  <si>
    <t>The Virgin with the Golden Heart</t>
  </si>
  <si>
    <t>https://sanctuairedebeauraing.be/</t>
  </si>
  <si>
    <t>Knock Shrine (Our Lady of Knock)</t>
  </si>
  <si>
    <t>https://www.knockshrine.ie/</t>
  </si>
  <si>
    <t>MaryPages</t>
  </si>
  <si>
    <t>http://www.miraclehunter.com/marian_apparitions/approved_apparitions/knock/index.html</t>
  </si>
  <si>
    <t>https://www.marypages.com/knock-(ireland)-en.html</t>
  </si>
  <si>
    <t>Our Lady of Gietrzwald</t>
  </si>
  <si>
    <t>In 1877, Our Lady appeared to Justyna Szafrynska (13) just before receiving her First Holy Communion.  The next day, Barbara Samulowska (12) also saw the "Bright Lady" sitting on the throne with Infant Christ among angels.  The Blessed Mother's ask of the girls was for them to pray the rosary daily.</t>
  </si>
  <si>
    <t>https://www.marypages.com/giertzwald-(poland)-en.html</t>
  </si>
  <si>
    <t>http://www.miraclehunter.com/marian_apparitions/approved_apparitions/gietrzwald/index.html</t>
  </si>
  <si>
    <t>https://sanktuariummaryjne.pl/</t>
  </si>
  <si>
    <t>Between 1981 and 1989, the Virgin Mary appeared to several girls in Rwanda.  She appeared to them with the name "Nyina wa Jambo" ("Mother of the Word"), synonymous with "Umubyeyl W'iamna" ("Mother of God").  Mary emphasized the call to pray the rosary and asked for penance and fasting.  The three girls reported a vision foreshadowing the Rwandan Genocide which would occur just 13 years later, which would claim one of their lives.</t>
  </si>
  <si>
    <t>https://www.miraclehunter.com/marian_apparitions/approved_apparitions/kibeho_rwanda/index.html</t>
  </si>
  <si>
    <t>https://www.marypages.com/kibeho-(rwanda)-en.html</t>
  </si>
  <si>
    <t>In 1871, during the Franco-Prussian War, Mary appeared on a farm to students at the nearby convent school.  Her message was written on a banner that unfurled from her feet: "But pray my children. God will hear you in a short time. My Son allows Himself to be moved by compassion."</t>
  </si>
  <si>
    <t>https://www.miraclehunter.com/marian_apparitions/approved_apparitions/pontmain/index.html)</t>
  </si>
  <si>
    <t>https://www.marypages.com/pontmain-(france)-en.html</t>
  </si>
  <si>
    <t>https://sanctuaire-pontmain.com/</t>
  </si>
  <si>
    <t>In 1866, Magdalene Kade, an orphaned 31 year woman bedridden due to many illnesses, received a vision of the Blessed Virgin Mary, who immediately cured her.  A bishop's commission examined the miraculous event and recognized the healing and supernatural character.  A church was built by 1885 and elevated to a minor basilica by Pope Leo XIII, who officially consecrated it and dedicated to Mary, "Help of Christians."</t>
  </si>
  <si>
    <t>https://www.miraclehunter.com/marian_apparitions/approved_apparitions/filippsdorf/index.html</t>
  </si>
  <si>
    <t>http://cz.poutni-mista-sluknovsko.cz/bazilika-minor-panny-marie-pomocnice-krestanu-filipov.html</t>
  </si>
  <si>
    <t>Basilica of Our Lady Help of Christians</t>
  </si>
  <si>
    <t>Author's Note</t>
  </si>
  <si>
    <t>Our Lady of Zion</t>
  </si>
  <si>
    <t>Our Lady of the Miraculous Medal</t>
  </si>
  <si>
    <t>Our Lady of La Salette</t>
  </si>
  <si>
    <t>Our Lady of Lourdes</t>
  </si>
  <si>
    <t>Our Lady of Siluva</t>
  </si>
  <si>
    <t>Our Lady of Consolation</t>
  </si>
  <si>
    <t>Our Lady of Licheń</t>
  </si>
  <si>
    <t>https://www.lichen.pl/</t>
  </si>
  <si>
    <t>a:2:{s:10:"hover_icon";s:74:"//orbisdei.org/wp-content/plugins/wp-google-maps/images/spotlight-poi3.png";s:12:"hover_retina";s:1:"0";}</t>
  </si>
  <si>
    <t>2, 3</t>
  </si>
  <si>
    <t>Blessed Stanley Rother Shrine</t>
  </si>
  <si>
    <t>https://www.rothershrine.org/</t>
  </si>
  <si>
    <t>The shrine was dedicated on February 17, 2023 with the Most Rev. Paul S. Coakley, Archbishop of Oklahoma City presiding.  The service was attended by 37 bishops, 147 priests, and hundreds of other religious and pilgrims.</t>
  </si>
  <si>
    <t>Blessed Stanley Rother Shrine, Southeast 89th Street, Oklahoma City, OK, USA</t>
  </si>
  <si>
    <t>St. James the Apostle Church</t>
  </si>
  <si>
    <t>Bl. Stanley Rother ministered to the native Tzâ€™utujil people of Guatemala for years at St. James the Apostle church, on the shores of Lake Atitlan.  This is where he was martyred on July 28, 1981.</t>
  </si>
  <si>
    <t>IGLESIA CATÃ“LICA SANTIAGO APÃ“STOL, Santiago AtitlÃ¡n, Guatemala</t>
  </si>
  <si>
    <t>Mount St. Mary's Seminary</t>
  </si>
  <si>
    <t>https://seminary.msmary.edu/</t>
  </si>
  <si>
    <t>Bl. Stanley Rother completed his studies at Mount Saint Maryâ€™s Seminary and was ordained a priest on May 25, 1963.</t>
  </si>
  <si>
    <t>Mount St. Maryâ€™s Seminary, Old Emmitsburg Road, Emmitsburg, MD, USA</t>
  </si>
  <si>
    <t>Assumption Seminary</t>
  </si>
  <si>
    <t>https://assumptionseminary.org/</t>
  </si>
  <si>
    <t>Bl. Stanley Rother was accepted as a seminarian and began his studies at Assumption Seminary.</t>
  </si>
  <si>
    <t>Assumption Seminary, West Woodlawn Avenue, San Antonio, TX, USA</t>
  </si>
  <si>
    <t>Holy Trinity Catholic Church</t>
  </si>
  <si>
    <t>https://www.holytrinityok.org/</t>
  </si>
  <si>
    <t>Bl. Stanley Rother was a parishioner at Holy Trinity Catholic Church, where he received his sacraments and studied at Holy Trinity Catholic School.</t>
  </si>
  <si>
    <t>Holy Trinity Catholic Church, Missouri Avenue, Okarche, OK, USA</t>
  </si>
  <si>
    <t>1, 3</t>
  </si>
  <si>
    <t>Shrine of Our Lady of Kibeho</t>
  </si>
  <si>
    <t>Sanctuaire de Notre-Dame de Banneux / Vierge des Pauvres</t>
  </si>
  <si>
    <t>Sanctuaire Notre-Dame de Beauraing / Vierge au CÅ“ur d'Or</t>
  </si>
  <si>
    <t>Our Lady of Knock</t>
  </si>
  <si>
    <t>Knock Shrine</t>
  </si>
  <si>
    <t>Bazylika Narodzenia NMP w GietrzwaÅ‚dzie</t>
  </si>
  <si>
    <t>Our Lady of Hope, Madonna of the Crucifix</t>
  </si>
  <si>
    <t>https://www.sanctuaire-pontmain.com/</t>
  </si>
  <si>
    <t>Sanctuaire Notre-Dame de Pontmain</t>
  </si>
  <si>
    <t>Our Lady Help of Christians</t>
  </si>
  <si>
    <t>https://cz.poutni-mista-sluknovsko.cz/</t>
  </si>
  <si>
    <t>Bazilika Panny Marie Pomocnice kÅ™esÅ¥anÅ¯</t>
  </si>
  <si>
    <t>https://lasalette.cef.fr/</t>
  </si>
  <si>
    <t>Sanctuaire Notre-Dame de la Salette</t>
  </si>
  <si>
    <t>https://www.madonnadelmiracolo.it/</t>
  </si>
  <si>
    <t>Basilica di Sant'Andrea delle Fratte</t>
  </si>
  <si>
    <t>https://www.chapellenotredamedelamedaillemiraculeuse.com/</t>
  </si>
  <si>
    <t>Chapelle Notre-Dame-de-la-MÃ©daille-Miraculeuse</t>
  </si>
  <si>
    <t>Our Lady of Laus, Our Lady of Happy Meetings</t>
  </si>
  <si>
    <t>https://www.sanctuaire-notredamedulaus.com/</t>
  </si>
  <si>
    <t>Sanctuaire Notre-Dame du Laus</t>
  </si>
  <si>
    <t>https://www.ourladyofsiluva.org/</t>
  </si>
  <si>
    <t>Å iluvos Å vÄ. MergelÄ—s Marijos ApsireiÅ¡kimo koplyÄia</t>
  </si>
  <si>
    <t>https://lezajsk.bernardyni.pl/</t>
  </si>
  <si>
    <t>Bazylika Zwiastowania NajÅ›wiÄ™tszej Maryi Panny w LeÅ¼ajsku</t>
  </si>
  <si>
    <t>Our Lady of Fatima</t>
  </si>
  <si>
    <t>https://www.fatima.pt/</t>
  </si>
  <si>
    <t>SantuÃ¡rio de FÃ¡tima</t>
  </si>
  <si>
    <t>https://www.lourdes-france.org/</t>
  </si>
  <si>
    <t>Basilique Notre Dame du Rosaire</t>
  </si>
  <si>
    <t>Our Lady of Guadalupe</t>
  </si>
  <si>
    <t>https://virgendeguadalupe.org.mx/</t>
  </si>
  <si>
    <t>Basilica of Our Lady of Guadalupe</t>
  </si>
  <si>
    <t>layergroup</t>
  </si>
  <si>
    <t>other_data</t>
  </si>
  <si>
    <t>sticky</t>
  </si>
  <si>
    <t>did</t>
  </si>
  <si>
    <t>type</t>
  </si>
  <si>
    <t>retina</t>
  </si>
  <si>
    <t>approved</t>
  </si>
  <si>
    <t>category</t>
  </si>
  <si>
    <t>infoopen</t>
  </si>
  <si>
    <t>title</t>
  </si>
  <si>
    <t>anim</t>
  </si>
  <si>
    <t>lng</t>
  </si>
  <si>
    <t>lat</t>
  </si>
  <si>
    <t>icon</t>
  </si>
  <si>
    <t>link</t>
  </si>
  <si>
    <t>pic</t>
  </si>
  <si>
    <t>description</t>
  </si>
  <si>
    <t>address</t>
  </si>
  <si>
    <t>map_id</t>
  </si>
  <si>
    <t>id</t>
  </si>
  <si>
    <t>In December 1531, the Virgin Mary appeared to St. Juan Diego and his uncle.  The miraculous image imprinted on Juan Diego's tilma is on display at the Basilica of Our Lady of Guadalupe, which is the most-visited Catholic shrine in the world.</t>
  </si>
  <si>
    <t>https://www.miraclehunter.com/marian_apparitions/approved_apparitions/guadalupe/index.html</t>
  </si>
  <si>
    <t>https://www.marypages.com/guadalupe-(mexico).html</t>
  </si>
  <si>
    <t>https://www.miraclehunter.com/marian_apparitions/approved_apparitions/lejask/index.html</t>
  </si>
  <si>
    <t>https://www.miraclehunter.com/marian_apparitions/approved_apparitions/rome1842/index.html</t>
  </si>
  <si>
    <t>https://www.marypages.com/rome-(itali%C3%AB).html</t>
  </si>
  <si>
    <t>Chapel of Our Lady of the Miraculous Medal</t>
  </si>
  <si>
    <t>https://www.marypages.com/paris-(france)-en.html</t>
  </si>
  <si>
    <t>https://www.miraclehunter.com/marian_apparitions/approved_apparitions/ruedubac/index.html</t>
  </si>
  <si>
    <t>One summer day, in 1608, a number of children were playing while tending their sheep in a field on the outskirts of the village of Siluva.  They beheld a beautiful young woman standing on the rock holding a baby in her arms and weeping bitterly.  The town which had lost its Catholic identity to the Calvinists over the course of 80 years was restored to the Faith.</t>
  </si>
  <si>
    <t>https://www.marypages.com/our-lady-of-siluva-en.html</t>
  </si>
  <si>
    <t>https://www.miraclehunter.com/marian_apparitions/approved_apparitions/siluva/index.html</t>
  </si>
  <si>
    <t>In a series of apparitions in 1858, the Virgin Mary appeared to St. Bernadette Soubirous.  The stream of holy water which St. Bernadette uncovered has become a well-known source of healing, and Lourdes is now a major pilgrimage destination.</t>
  </si>
  <si>
    <t>https://www.miraclehunter.com/marian_apparitions/approved_apparitions/lourdes/index.html</t>
  </si>
  <si>
    <t>https://www.marypages.com/lourdes-(frankrijk)-1858/</t>
  </si>
  <si>
    <t>Benoite Rencurel, a poor shepherdess, received apparitions from the Virgin Mary from 1664 until her death in 1718.  During the apparitions, the Blessed Mother asked for a church and a house for priests to be built, with the intent of drawing people to greater conversion, especially through the sacrament of penance.  The holy site now draws 120,000 pilgrims annually, and is associated with numerous physical healings.</t>
  </si>
  <si>
    <t>https://www.miraclehunter.com/marian_apparitions/approved_apparitions/laus/index.html</t>
  </si>
  <si>
    <t>https://www.marypages.com/laus-(france)-en.html</t>
  </si>
  <si>
    <t>While tending sheep in a field called the Cova de Iria, Lucia de Santos (aged 10) and her two cousins, Francisco and Jacinta Marto, reported six apparitions of Mary, who identified herself as "Our Lady of the Rosary."  Mary urged prayer of the rosary, penance for the conversion of sinners and consecration of Russia to her Immaculate Heart.</t>
  </si>
  <si>
    <t>https://www.miraclehunter.com/marian_apparitions/approved_apparitions/fatima/index.html</t>
  </si>
  <si>
    <t>https://www.marypages.com/fatima-(portugal)-1917.html</t>
  </si>
  <si>
    <t>Sanctuary of Our Lady of Gietrzwałd</t>
  </si>
  <si>
    <t>In 1846, the Blessed Virgin Mary appeared to 11-year-old Maximin Giraud and 14-year-old Melanie Calvat-Mathieu while they tended sheep in a small French Alpine village.  Her appearance in sorrow and tears called for conversion and repentance.</t>
  </si>
  <si>
    <t>https://www.miraclehunter.com/marian_apparitions/approved_apparitions/lasalette/index.html</t>
  </si>
  <si>
    <t>https://www.marypages.com/la-salette-(france)-en.html</t>
  </si>
  <si>
    <t>Sanctuary of Pontmain (Mother of Hope)</t>
  </si>
  <si>
    <t>According to legend, the Virgin Mary appeared in Licheń, Poland to Tomasz Klossowski, a wounded soldier, in 1813 who was healed and discovered a miraculous portrait of Our Lady.  She then appeared to a poor shepherd, Mikolaj Sikatka, in 1850 who promoted her devotion.  She foretold of a cholera epidemic and interceded for the healing of many who sought her help.</t>
  </si>
  <si>
    <t>https://www.marypages.com/lichen-(poland)-holy-mother-of-sorrow-en.html</t>
  </si>
  <si>
    <t>Shrine of Our Lady of Kibeho (Mother of the Word)</t>
  </si>
  <si>
    <t>Rwanda</t>
  </si>
  <si>
    <t>Lebanon</t>
  </si>
  <si>
    <t>Kibeho</t>
  </si>
  <si>
    <t>Country</t>
  </si>
  <si>
    <t>juan-diego</t>
  </si>
  <si>
    <t>benoite-rencurel</t>
  </si>
  <si>
    <t>catherine-laboure</t>
  </si>
  <si>
    <t>marie-alphonse-ratisbonne</t>
  </si>
  <si>
    <t>bernadette-soubirous</t>
  </si>
  <si>
    <t>Andorra</t>
  </si>
  <si>
    <t>United Arab Emirates</t>
  </si>
  <si>
    <t>Afghanistan</t>
  </si>
  <si>
    <t>Antigua and Barbuda</t>
  </si>
  <si>
    <t>Anguilla</t>
  </si>
  <si>
    <t>Albania</t>
  </si>
  <si>
    <t>Armenia</t>
  </si>
  <si>
    <t>Angola</t>
  </si>
  <si>
    <t>Antarctica</t>
  </si>
  <si>
    <t>Argentina</t>
  </si>
  <si>
    <t>American Samoa</t>
  </si>
  <si>
    <t>Austria</t>
  </si>
  <si>
    <t>Australia</t>
  </si>
  <si>
    <t>Aruba</t>
  </si>
  <si>
    <t>Azerbaijan</t>
  </si>
  <si>
    <t>Bosnia and Herzegovina</t>
  </si>
  <si>
    <t>Barbados</t>
  </si>
  <si>
    <t>Bangladesh</t>
  </si>
  <si>
    <t>Belgium</t>
  </si>
  <si>
    <t>Burkina Faso</t>
  </si>
  <si>
    <t>Bulgaria</t>
  </si>
  <si>
    <t>Bahrain</t>
  </si>
  <si>
    <t>Burundi</t>
  </si>
  <si>
    <t>Benin</t>
  </si>
  <si>
    <t>Bermuda</t>
  </si>
  <si>
    <t>Brunei Darussalam</t>
  </si>
  <si>
    <t>Bonaire, Sint Eustatius and Saba</t>
  </si>
  <si>
    <t>Brazil</t>
  </si>
  <si>
    <t>Bahamas</t>
  </si>
  <si>
    <t>Bhutan</t>
  </si>
  <si>
    <t>Bouvet Island</t>
  </si>
  <si>
    <t>Botswana</t>
  </si>
  <si>
    <t>Belarus</t>
  </si>
  <si>
    <t>Belize</t>
  </si>
  <si>
    <t>Canada</t>
  </si>
  <si>
    <t>Cocos (Keeling) Islands</t>
  </si>
  <si>
    <t>Central African Republic</t>
  </si>
  <si>
    <t>Congo</t>
  </si>
  <si>
    <t>Switzerland</t>
  </si>
  <si>
    <t>Cook Islands</t>
  </si>
  <si>
    <t>Chile</t>
  </si>
  <si>
    <t>Cameroon</t>
  </si>
  <si>
    <t>China</t>
  </si>
  <si>
    <t>Colombia</t>
  </si>
  <si>
    <t>Costa Rica</t>
  </si>
  <si>
    <t>Cuba</t>
  </si>
  <si>
    <t>Cabo Verde</t>
  </si>
  <si>
    <t>Curaçao</t>
  </si>
  <si>
    <t>Christmas Island</t>
  </si>
  <si>
    <t>Cyprus</t>
  </si>
  <si>
    <t>Czechia</t>
  </si>
  <si>
    <t>Germany</t>
  </si>
  <si>
    <t>Djibouti</t>
  </si>
  <si>
    <t>Denmark</t>
  </si>
  <si>
    <t>Dominica</t>
  </si>
  <si>
    <t>Dominican Republic</t>
  </si>
  <si>
    <t>Algeria</t>
  </si>
  <si>
    <t>Ecuador</t>
  </si>
  <si>
    <t>Estonia</t>
  </si>
  <si>
    <t>Western Sahara</t>
  </si>
  <si>
    <t>Eritrea</t>
  </si>
  <si>
    <t>Spain</t>
  </si>
  <si>
    <t>Ethiopia</t>
  </si>
  <si>
    <t>Finland</t>
  </si>
  <si>
    <t>Fiji</t>
  </si>
  <si>
    <t>Faroe Islands</t>
  </si>
  <si>
    <t>France</t>
  </si>
  <si>
    <t>Gabon</t>
  </si>
  <si>
    <t>Grenada</t>
  </si>
  <si>
    <t>Georgia</t>
  </si>
  <si>
    <t>French Guiana</t>
  </si>
  <si>
    <t>Guernsey</t>
  </si>
  <si>
    <t>Ghana</t>
  </si>
  <si>
    <t>Gibraltar</t>
  </si>
  <si>
    <t>Greenland</t>
  </si>
  <si>
    <t>Gambia</t>
  </si>
  <si>
    <t>Guinea</t>
  </si>
  <si>
    <t>Guadeloupe</t>
  </si>
  <si>
    <t>Equatorial Guinea</t>
  </si>
  <si>
    <t>Greece</t>
  </si>
  <si>
    <t>South Georgia and the South Sandwich Islands</t>
  </si>
  <si>
    <t>Guatemala</t>
  </si>
  <si>
    <t>Guam</t>
  </si>
  <si>
    <t>Guinea-Bissau</t>
  </si>
  <si>
    <t>Guyana</t>
  </si>
  <si>
    <t>Hong Kong</t>
  </si>
  <si>
    <t>Heard Island and McDonald Islands</t>
  </si>
  <si>
    <t>Honduras</t>
  </si>
  <si>
    <t>Croatia</t>
  </si>
  <si>
    <t>Haiti</t>
  </si>
  <si>
    <t>Hungary</t>
  </si>
  <si>
    <t>Indonesia</t>
  </si>
  <si>
    <t>Ireland</t>
  </si>
  <si>
    <t>Israel</t>
  </si>
  <si>
    <t>Isle of Man</t>
  </si>
  <si>
    <t>British Indian Ocean Territory</t>
  </si>
  <si>
    <t>Iraq</t>
  </si>
  <si>
    <t>Iceland</t>
  </si>
  <si>
    <t>Jersey</t>
  </si>
  <si>
    <t>Jamaica</t>
  </si>
  <si>
    <t>Jordan</t>
  </si>
  <si>
    <t>Japan</t>
  </si>
  <si>
    <t>Kenya</t>
  </si>
  <si>
    <t>Kyrgyzstan</t>
  </si>
  <si>
    <t>Cambodia</t>
  </si>
  <si>
    <t>Kiribati</t>
  </si>
  <si>
    <t>Comoros</t>
  </si>
  <si>
    <t>Saint Kitts and Nevis</t>
  </si>
  <si>
    <t>Kuwait</t>
  </si>
  <si>
    <t>Cayman Islands</t>
  </si>
  <si>
    <t>Kazakhstan</t>
  </si>
  <si>
    <t>Saint Lucia</t>
  </si>
  <si>
    <t>Liechtenstein</t>
  </si>
  <si>
    <t>Sri Lanka</t>
  </si>
  <si>
    <t>Liberia</t>
  </si>
  <si>
    <t>Lesotho</t>
  </si>
  <si>
    <t>Lithuania</t>
  </si>
  <si>
    <t>Luxembourg</t>
  </si>
  <si>
    <t>Latvia</t>
  </si>
  <si>
    <t>Libya</t>
  </si>
  <si>
    <t>Morocco</t>
  </si>
  <si>
    <t>Monaco</t>
  </si>
  <si>
    <t>Montenegro</t>
  </si>
  <si>
    <t>Madagascar</t>
  </si>
  <si>
    <t>Marshall Islands</t>
  </si>
  <si>
    <t>North Macedonia</t>
  </si>
  <si>
    <t>Mali</t>
  </si>
  <si>
    <t>Myanmar</t>
  </si>
  <si>
    <t>Mongolia</t>
  </si>
  <si>
    <t>Macao</t>
  </si>
  <si>
    <t>MP</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</si>
  <si>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</si>
  <si>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</si>
  <si>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</si>
  <si>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</si>
  <si>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</si>
  <si>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</si>
  <si>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</si>
  <si>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</si>
  <si>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</si>
  <si>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</si>
  <si>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</si>
  <si>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</si>
  <si>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</si>
  <si>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</si>
  <si>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</si>
  <si>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</si>
  <si>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</si>
  <si>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Norway</t>
  </si>
  <si>
    <t>Nepal</t>
  </si>
  <si>
    <t>Nauru</t>
  </si>
  <si>
    <t>Niue</t>
  </si>
  <si>
    <t>New Zealand</t>
  </si>
  <si>
    <t>Oman</t>
  </si>
  <si>
    <t>Panama</t>
  </si>
  <si>
    <t>Peru</t>
  </si>
  <si>
    <t>French Polynesia</t>
  </si>
  <si>
    <t>Papua New Guinea</t>
  </si>
  <si>
    <t>Philippines</t>
  </si>
  <si>
    <t>Pakistan</t>
  </si>
  <si>
    <t>Poland</t>
  </si>
  <si>
    <t>Saint Pierre and Miquelon</t>
  </si>
  <si>
    <t>Pitcairn</t>
  </si>
  <si>
    <t>Puerto Rico</t>
  </si>
  <si>
    <t>Portugal</t>
  </si>
  <si>
    <t>Palau</t>
  </si>
  <si>
    <t>Paraguay</t>
  </si>
  <si>
    <t>Qatar</t>
  </si>
  <si>
    <t>Réunion</t>
  </si>
  <si>
    <t>Romania</t>
  </si>
  <si>
    <t>Serbia</t>
  </si>
  <si>
    <t>Saudi Arabia</t>
  </si>
  <si>
    <t>Solomon Islands</t>
  </si>
  <si>
    <t>Seychelles</t>
  </si>
  <si>
    <t>Sudan</t>
  </si>
  <si>
    <t>Sweden</t>
  </si>
  <si>
    <t>Singapore</t>
  </si>
  <si>
    <t>Saint Helena, Ascension and Tristan da Cunha</t>
  </si>
  <si>
    <t>Slovenia</t>
  </si>
  <si>
    <t>Svalbard and Jan Mayen</t>
  </si>
  <si>
    <t>Slovakia</t>
  </si>
  <si>
    <t>Sierra Leone</t>
  </si>
  <si>
    <t>San Marino</t>
  </si>
  <si>
    <t>Senegal</t>
  </si>
  <si>
    <t>Somalia</t>
  </si>
  <si>
    <t>Suriname</t>
  </si>
  <si>
    <t>South Sudan</t>
  </si>
  <si>
    <t>Sao Tome and Principe</t>
  </si>
  <si>
    <t>El Salvador</t>
  </si>
  <si>
    <t>Eswatini</t>
  </si>
  <si>
    <t>Chad</t>
  </si>
  <si>
    <t>French Southern Territories</t>
  </si>
  <si>
    <t>Togo</t>
  </si>
  <si>
    <t>Thailand</t>
  </si>
  <si>
    <t>Tajikistan</t>
  </si>
  <si>
    <t>Tokelau</t>
  </si>
  <si>
    <t>Timor-Leste</t>
  </si>
  <si>
    <t>Turkmenistan</t>
  </si>
  <si>
    <t>Tunisia</t>
  </si>
  <si>
    <t>Tonga</t>
  </si>
  <si>
    <t>Türkiye</t>
  </si>
  <si>
    <t>Trinidad and Tobago</t>
  </si>
  <si>
    <t>Tuvalu</t>
  </si>
  <si>
    <t>Ukraine</t>
  </si>
  <si>
    <t>Uganda</t>
  </si>
  <si>
    <t>United States Minor Outlying Islands</t>
  </si>
  <si>
    <t>United States of America</t>
  </si>
  <si>
    <t>Uruguay</t>
  </si>
  <si>
    <t>Uzbekistan</t>
  </si>
  <si>
    <t>Saint Vincent and the Grenadines</t>
  </si>
  <si>
    <t>Vanuatu</t>
  </si>
  <si>
    <t>Wallis and Futuna</t>
  </si>
  <si>
    <t>Samoa</t>
  </si>
  <si>
    <t>Yemen</t>
  </si>
  <si>
    <t>Mayotte</t>
  </si>
  <si>
    <t>South Africa</t>
  </si>
  <si>
    <t>Zambia</t>
  </si>
  <si>
    <t>Zimbabwe</t>
  </si>
  <si>
    <t>ISO 3166 alpha-2</t>
  </si>
  <si>
    <t>Bolivia</t>
  </si>
  <si>
    <t>Democratic Republic of the Congo</t>
  </si>
  <si>
    <t>Falkland Islands</t>
  </si>
  <si>
    <t>Micronesia</t>
  </si>
  <si>
    <t>Iran</t>
  </si>
  <si>
    <t>North Korea</t>
  </si>
  <si>
    <t>Saint Martin</t>
  </si>
  <si>
    <t>Sint Maarten</t>
  </si>
  <si>
    <t>Venezuela</t>
  </si>
  <si>
    <t>British Virgin Islands</t>
  </si>
  <si>
    <t>US Virgin Islands</t>
  </si>
  <si>
    <t>South Korea</t>
  </si>
  <si>
    <t>Moldova</t>
  </si>
  <si>
    <t>Netherlands</t>
  </si>
  <si>
    <t>Palestine</t>
  </si>
  <si>
    <t>Taiwan</t>
  </si>
  <si>
    <t>Tanzania</t>
  </si>
  <si>
    <t>Fatima</t>
  </si>
  <si>
    <t>Shrine of Fatima</t>
  </si>
  <si>
    <t>Full Title</t>
  </si>
  <si>
    <t>Short Title</t>
  </si>
  <si>
    <t>S Maria Maggiore</t>
  </si>
  <si>
    <t>Italy-Rome</t>
  </si>
  <si>
    <t>France-Paris</t>
  </si>
  <si>
    <t>Cote d'Ivoire</t>
  </si>
  <si>
    <t>Saint Barthelemy</t>
  </si>
  <si>
    <t>Aland Islands</t>
  </si>
  <si>
    <t>United Kingdom</t>
  </si>
  <si>
    <t>Laos</t>
  </si>
  <si>
    <t>Russia</t>
  </si>
  <si>
    <t>Syria</t>
  </si>
  <si>
    <t>Turks and Caicos</t>
  </si>
  <si>
    <t>Vatican</t>
  </si>
  <si>
    <t>Vietnam</t>
  </si>
  <si>
    <t>ad</t>
  </si>
  <si>
    <t>ae</t>
  </si>
  <si>
    <t>af</t>
  </si>
  <si>
    <t>ag</t>
  </si>
  <si>
    <t>ai</t>
  </si>
  <si>
    <t>al</t>
  </si>
  <si>
    <t>am</t>
  </si>
  <si>
    <t>ao</t>
  </si>
  <si>
    <t>aq</t>
  </si>
  <si>
    <t>ar</t>
  </si>
  <si>
    <t>as</t>
  </si>
  <si>
    <t>at</t>
  </si>
  <si>
    <t>au</t>
  </si>
  <si>
    <t>aw</t>
  </si>
  <si>
    <t>ax</t>
  </si>
  <si>
    <t>az</t>
  </si>
  <si>
    <t>ba</t>
  </si>
  <si>
    <t>bb</t>
  </si>
  <si>
    <t>bd</t>
  </si>
  <si>
    <t>be</t>
  </si>
  <si>
    <t>bf</t>
  </si>
  <si>
    <t>bg</t>
  </si>
  <si>
    <t>bh</t>
  </si>
  <si>
    <t>bi</t>
  </si>
  <si>
    <t>bj</t>
  </si>
  <si>
    <t>bl</t>
  </si>
  <si>
    <t>bm</t>
  </si>
  <si>
    <t>bn</t>
  </si>
  <si>
    <t>bo</t>
  </si>
  <si>
    <t>bq</t>
  </si>
  <si>
    <t>br</t>
  </si>
  <si>
    <t>bs</t>
  </si>
  <si>
    <t>bt</t>
  </si>
  <si>
    <t>bv</t>
  </si>
  <si>
    <t>bw</t>
  </si>
  <si>
    <t>by</t>
  </si>
  <si>
    <t>bz</t>
  </si>
  <si>
    <t>ca</t>
  </si>
  <si>
    <t>cc</t>
  </si>
  <si>
    <t>cd</t>
  </si>
  <si>
    <t>cf</t>
  </si>
  <si>
    <t>cg</t>
  </si>
  <si>
    <t>ch</t>
  </si>
  <si>
    <t>ci</t>
  </si>
  <si>
    <t>ck</t>
  </si>
  <si>
    <t>cl</t>
  </si>
  <si>
    <t>cm</t>
  </si>
  <si>
    <t>cn</t>
  </si>
  <si>
    <t>co</t>
  </si>
  <si>
    <t>cr</t>
  </si>
  <si>
    <t>cu</t>
  </si>
  <si>
    <t>cv</t>
  </si>
  <si>
    <t>cw</t>
  </si>
  <si>
    <t>cx</t>
  </si>
  <si>
    <t>cy</t>
  </si>
  <si>
    <t>cz</t>
  </si>
  <si>
    <t>de</t>
  </si>
  <si>
    <t>dj</t>
  </si>
  <si>
    <t>dk</t>
  </si>
  <si>
    <t>dm</t>
  </si>
  <si>
    <t>do</t>
  </si>
  <si>
    <t>dz</t>
  </si>
  <si>
    <t>ec</t>
  </si>
  <si>
    <t>ee</t>
  </si>
  <si>
    <t>eg</t>
  </si>
  <si>
    <t>eh</t>
  </si>
  <si>
    <t>er</t>
  </si>
  <si>
    <t>es</t>
  </si>
  <si>
    <t>et</t>
  </si>
  <si>
    <t>fi</t>
  </si>
  <si>
    <t>fj</t>
  </si>
  <si>
    <t>fk</t>
  </si>
  <si>
    <t>fm</t>
  </si>
  <si>
    <t>fo</t>
  </si>
  <si>
    <t>fr</t>
  </si>
  <si>
    <t>ga</t>
  </si>
  <si>
    <t>gb</t>
  </si>
  <si>
    <t>gd</t>
  </si>
  <si>
    <t>ge</t>
  </si>
  <si>
    <t>gf</t>
  </si>
  <si>
    <t>gg</t>
  </si>
  <si>
    <t>gh</t>
  </si>
  <si>
    <t>gi</t>
  </si>
  <si>
    <t>gl</t>
  </si>
  <si>
    <t>gm</t>
  </si>
  <si>
    <t>gn</t>
  </si>
  <si>
    <t>gp</t>
  </si>
  <si>
    <t>gq</t>
  </si>
  <si>
    <t>gr</t>
  </si>
  <si>
    <t>gs</t>
  </si>
  <si>
    <t>gt</t>
  </si>
  <si>
    <t>gu</t>
  </si>
  <si>
    <t>gw</t>
  </si>
  <si>
    <t>gy</t>
  </si>
  <si>
    <t>hk</t>
  </si>
  <si>
    <t>hm</t>
  </si>
  <si>
    <t>hn</t>
  </si>
  <si>
    <t>hr</t>
  </si>
  <si>
    <t>ht</t>
  </si>
  <si>
    <t>hu</t>
  </si>
  <si>
    <t>ie</t>
  </si>
  <si>
    <t>il</t>
  </si>
  <si>
    <t>im</t>
  </si>
  <si>
    <t>in</t>
  </si>
  <si>
    <t>io</t>
  </si>
  <si>
    <t>iq</t>
  </si>
  <si>
    <t>ir</t>
  </si>
  <si>
    <t>is</t>
  </si>
  <si>
    <t>it</t>
  </si>
  <si>
    <t>je</t>
  </si>
  <si>
    <t>jm</t>
  </si>
  <si>
    <t>jo</t>
  </si>
  <si>
    <t>jp</t>
  </si>
  <si>
    <t>ke</t>
  </si>
  <si>
    <t>kg</t>
  </si>
  <si>
    <t>kh</t>
  </si>
  <si>
    <t>ki</t>
  </si>
  <si>
    <t>km</t>
  </si>
  <si>
    <t>kn</t>
  </si>
  <si>
    <t>kp</t>
  </si>
  <si>
    <t>kr</t>
  </si>
  <si>
    <t>kw</t>
  </si>
  <si>
    <t>ky</t>
  </si>
  <si>
    <t>kz</t>
  </si>
  <si>
    <t>la</t>
  </si>
  <si>
    <t>lb</t>
  </si>
  <si>
    <t>lc</t>
  </si>
  <si>
    <t>li</t>
  </si>
  <si>
    <t>lk</t>
  </si>
  <si>
    <t>lr</t>
  </si>
  <si>
    <t>ls</t>
  </si>
  <si>
    <t>lt</t>
  </si>
  <si>
    <t>lu</t>
  </si>
  <si>
    <t>lv</t>
  </si>
  <si>
    <t>ly</t>
  </si>
  <si>
    <t>ma</t>
  </si>
  <si>
    <t>mc</t>
  </si>
  <si>
    <t>md</t>
  </si>
  <si>
    <t>me</t>
  </si>
  <si>
    <t>mf</t>
  </si>
  <si>
    <t>mg</t>
  </si>
  <si>
    <t>mh</t>
  </si>
  <si>
    <t>mk</t>
  </si>
  <si>
    <t>ml</t>
  </si>
  <si>
    <t>mm</t>
  </si>
  <si>
    <t>mn</t>
  </si>
  <si>
    <t>mo</t>
  </si>
  <si>
    <t>mp</t>
  </si>
  <si>
    <t>mq</t>
  </si>
  <si>
    <t>mr</t>
  </si>
  <si>
    <t>ms</t>
  </si>
  <si>
    <t>mt</t>
  </si>
  <si>
    <t>mu</t>
  </si>
  <si>
    <t>mv</t>
  </si>
  <si>
    <t>mw</t>
  </si>
  <si>
    <t>mx</t>
  </si>
  <si>
    <t>my</t>
  </si>
  <si>
    <t>mz</t>
  </si>
  <si>
    <t>na</t>
  </si>
  <si>
    <t>nc</t>
  </si>
  <si>
    <t>ne</t>
  </si>
  <si>
    <t>nf</t>
  </si>
  <si>
    <t>ng</t>
  </si>
  <si>
    <t>ni</t>
  </si>
  <si>
    <t>nl</t>
  </si>
  <si>
    <t>no</t>
  </si>
  <si>
    <t>np</t>
  </si>
  <si>
    <t>nr</t>
  </si>
  <si>
    <t>nu</t>
  </si>
  <si>
    <t>nz</t>
  </si>
  <si>
    <t>om</t>
  </si>
  <si>
    <t>pa</t>
  </si>
  <si>
    <t>pe</t>
  </si>
  <si>
    <t>pf</t>
  </si>
  <si>
    <t>pg</t>
  </si>
  <si>
    <t>ph</t>
  </si>
  <si>
    <t>pk</t>
  </si>
  <si>
    <t>pl</t>
  </si>
  <si>
    <t>pm</t>
  </si>
  <si>
    <t>pn</t>
  </si>
  <si>
    <t>pr</t>
  </si>
  <si>
    <t>ps</t>
  </si>
  <si>
    <t>pt</t>
  </si>
  <si>
    <t>pw</t>
  </si>
  <si>
    <t>py</t>
  </si>
  <si>
    <t>qa</t>
  </si>
  <si>
    <t>re</t>
  </si>
  <si>
    <t>ro</t>
  </si>
  <si>
    <t>rs</t>
  </si>
  <si>
    <t>ru</t>
  </si>
  <si>
    <t>rw</t>
  </si>
  <si>
    <t>sa</t>
  </si>
  <si>
    <t>sb</t>
  </si>
  <si>
    <t>sc</t>
  </si>
  <si>
    <t>sd</t>
  </si>
  <si>
    <t>se</t>
  </si>
  <si>
    <t>sg</t>
  </si>
  <si>
    <t>sh</t>
  </si>
  <si>
    <t>si</t>
  </si>
  <si>
    <t>sj</t>
  </si>
  <si>
    <t>sk</t>
  </si>
  <si>
    <t>sl</t>
  </si>
  <si>
    <t>sm</t>
  </si>
  <si>
    <t>sn</t>
  </si>
  <si>
    <t>so</t>
  </si>
  <si>
    <t>sr</t>
  </si>
  <si>
    <t>ss</t>
  </si>
  <si>
    <t>st</t>
  </si>
  <si>
    <t>sv</t>
  </si>
  <si>
    <t>sx</t>
  </si>
  <si>
    <t>sy</t>
  </si>
  <si>
    <t>sz</t>
  </si>
  <si>
    <t>tc</t>
  </si>
  <si>
    <t>td</t>
  </si>
  <si>
    <t>tf</t>
  </si>
  <si>
    <t>tg</t>
  </si>
  <si>
    <t>th</t>
  </si>
  <si>
    <t>tj</t>
  </si>
  <si>
    <t>tk</t>
  </si>
  <si>
    <t>tl</t>
  </si>
  <si>
    <t>tm</t>
  </si>
  <si>
    <t>tn</t>
  </si>
  <si>
    <t>to</t>
  </si>
  <si>
    <t>tr</t>
  </si>
  <si>
    <t>tt</t>
  </si>
  <si>
    <t>tv</t>
  </si>
  <si>
    <t>tw</t>
  </si>
  <si>
    <t>tz</t>
  </si>
  <si>
    <t>ua</t>
  </si>
  <si>
    <t>ug</t>
  </si>
  <si>
    <t>um</t>
  </si>
  <si>
    <t>us</t>
  </si>
  <si>
    <t>uy</t>
  </si>
  <si>
    <t>uz</t>
  </si>
  <si>
    <t>va</t>
  </si>
  <si>
    <t>vc</t>
  </si>
  <si>
    <t>ve</t>
  </si>
  <si>
    <t>vg</t>
  </si>
  <si>
    <t>vi</t>
  </si>
  <si>
    <t>vn</t>
  </si>
  <si>
    <t>vu</t>
  </si>
  <si>
    <t>wf</t>
  </si>
  <si>
    <t>ws</t>
  </si>
  <si>
    <t>ye</t>
  </si>
  <si>
    <t>yt</t>
  </si>
  <si>
    <t>za</t>
  </si>
  <si>
    <t>zm</t>
  </si>
  <si>
    <t>zw</t>
  </si>
  <si>
    <t>Filename</t>
  </si>
  <si>
    <t>Sanctuary of Pontmain</t>
  </si>
  <si>
    <t>Banneux</t>
  </si>
  <si>
    <t>Beauraing</t>
  </si>
  <si>
    <t>Knock</t>
  </si>
  <si>
    <t>Gietrzwald</t>
  </si>
  <si>
    <t>Filipov</t>
  </si>
  <si>
    <t>Pontmain</t>
  </si>
  <si>
    <t>Lourdes</t>
  </si>
  <si>
    <t>papal-basilicas</t>
  </si>
  <si>
    <t>Page Title</t>
  </si>
  <si>
    <t>In 1879, 15 individuals witnessed the figures of Mary, Joseph, John the Evangelist, and a lamb and cross atop an altar, all enveloped in a bright light outside the local church.  The imagery is unique to Knock and holds eschatological significance for Catholics.</t>
  </si>
  <si>
    <t>OS</t>
  </si>
  <si>
    <t>Rome</t>
  </si>
  <si>
    <t>Guadalupe</t>
  </si>
  <si>
    <t>Šiluva</t>
  </si>
  <si>
    <t>Basilica of the Nativity of the Blessed Virgin Mary</t>
  </si>
  <si>
    <t>https://siluva.lt/</t>
  </si>
  <si>
    <t>Laus</t>
  </si>
  <si>
    <t>Sanctuary of Our Lady of Laus</t>
  </si>
  <si>
    <t>Sanctuary of Our Lady of Lourdes</t>
  </si>
  <si>
    <t>1664-1718</t>
  </si>
  <si>
    <t>1968-1970</t>
  </si>
  <si>
    <t>Virgin Mary Church in Zeitoun</t>
  </si>
  <si>
    <t>Virgin Mary Church in Zeitoun (Our Lady of Zeitoun, Our Lady of Light)</t>
  </si>
  <si>
    <t>In 1968 Our Lady began appearing over St. Mary's Coptic Orthodox church in Zeitoun, Egypt.  The church lies on the Matariya Road through which the Holy Family is traditionally known to have passed during their stay in Egypt.
For three years Our Lady appeared on many occasions, taking many forms and sometimes accompanied by doves and other phenomena. It is estimated that 40 million people across a variety of faiths witnessed these events.
The apparitions have been verified by both the Coptic Orthodox Church and the Roman Catholic Church through the Papal Residence in Cairo.</t>
  </si>
  <si>
    <t>https://www.miraclehunter.com/marian_apparitions/approved_apparitions/zeitun/index.html</t>
  </si>
  <si>
    <t>https://www.marypages.com/zeitoen-ca%C3%AFro-(egypt)-en.html</t>
  </si>
  <si>
    <t>https://www.stmaryztn.org/saintmary/en/</t>
  </si>
  <si>
    <t>coptic</t>
  </si>
  <si>
    <t>Licheń</t>
  </si>
  <si>
    <t>1813-1850</t>
  </si>
  <si>
    <t>Basilica of Our Lady of Licheń (Holy Mother of Sorrows, Queen of Poland)</t>
  </si>
  <si>
    <t>Basilica of Our Lady of Lichen</t>
  </si>
  <si>
    <t>Paris</t>
  </si>
  <si>
    <t>La Salette</t>
  </si>
  <si>
    <t>Sanctuary of Our Lady of La Salette</t>
  </si>
  <si>
    <t>Sant'Andrea delle Fratte (Shrine of Our Lady of the Miracle, Our Lady of Zion)</t>
  </si>
  <si>
    <t>Sant Andrea delle Fratte</t>
  </si>
  <si>
    <t>Zeitoun</t>
  </si>
  <si>
    <t>Basilica of the Nativity of the Blessed Virgin Mary (Our Lady of Siluva)</t>
  </si>
  <si>
    <t>Sanctuary of Our Lady of the Rosary of Fatima</t>
  </si>
  <si>
    <t>Cathedral-Basilica of Our Lady of the Pillar</t>
  </si>
  <si>
    <t>Cathedral Basilica of Our Lady of the Pillar</t>
  </si>
  <si>
    <t>https://catedraldezaragoza.es/basilica/</t>
  </si>
  <si>
    <t>https://www.marypages.com/our-lady-of-the-pillar.html</t>
  </si>
  <si>
    <t>james-greater</t>
  </si>
  <si>
    <t>Zaragoza</t>
  </si>
  <si>
    <t>Our Lady of Vladimir</t>
  </si>
  <si>
    <t>Our Lady of Altötting</t>
  </si>
  <si>
    <t>Our Lady of Noorieh Monastery</t>
  </si>
  <si>
    <t>Sanctuary of Our Lady of Bechouat</t>
  </si>
  <si>
    <t>https://www.ourladyofaokpe.com/</t>
  </si>
  <si>
    <t>Shrine of Our Lady of Aokpe (Mediatrix of all Graces)</t>
  </si>
  <si>
    <t>Shrine of Our Lady of Aokpe</t>
  </si>
  <si>
    <t>http://www.miraclehunter.com/marian_apparitions/approved_apparitions/aokpe/index.html</t>
  </si>
  <si>
    <t>The Virgin Mary began appearing in October 1992 to a twelve-year-old girl Christiana Agbo in Aokpe located in the small village in a remote area of Nigeria.  Over the years, visible miracles such as solar phenomena and a Eucharistic miracle took place at the site.</t>
  </si>
  <si>
    <t>1992-2004</t>
  </si>
  <si>
    <t>Aokpe</t>
  </si>
  <si>
    <t>Bechouat</t>
  </si>
  <si>
    <t>In Progress</t>
  </si>
  <si>
    <t>Leżajsk</t>
  </si>
  <si>
    <t>Basilica of the Annunciation of the Blessed Virgin Mary (Our Lady of Leżajsk, Lady of Consolation)</t>
  </si>
  <si>
    <t>Basilica of the Annunciation of the Blessed Virgin Mary</t>
  </si>
  <si>
    <t>In 1578, a pious woodcutter named Tomasz Michałek saw a bright light in the forest.  The Virgin asked him to alert the authorities to build a church.  Thomas, scared, did nothing.  The Virgin appeared again, asking him to take action and ending his silence.  Thomas approached the authorities but was not believed.  Under a subsequent priest, a small chapel was built, then a larger shrine in 1606.  Today the shrine is part of a larger Bernardine monastery, and contains the image of Our Lady of Consolation.</t>
  </si>
  <si>
    <t>Czestochowa</t>
  </si>
  <si>
    <t>Unknown</t>
  </si>
  <si>
    <t>Jasna Gora Monastery (Our Lady of Czestochowa)</t>
  </si>
  <si>
    <t>Jasna Gora Monastery</t>
  </si>
  <si>
    <t>https://jasnagora.pl/</t>
  </si>
  <si>
    <t>https://www.miraclehunter.com/marian_apparitions/approved_apparitions/czestochowa/</t>
  </si>
  <si>
    <t>https://www.marypages.com/czestochowa-(poland)-en.html</t>
  </si>
  <si>
    <t>The Monastery of Jasna Gora in Częstochowa, Poland, is the third-largest Catholic pilgrimage site in the world.  Home to the beloved miraculous icon of Our Lady of Częstochowa, the monastery is also the national shrine of Poland and a pillar of Polish Catholicism.</t>
  </si>
  <si>
    <t>5th and 6th Centuries</t>
  </si>
  <si>
    <t>9th Century</t>
  </si>
  <si>
    <t>11th Century</t>
  </si>
  <si>
    <t>1000</t>
  </si>
  <si>
    <t>1001</t>
  </si>
  <si>
    <t>1105</t>
  </si>
  <si>
    <t>1182</t>
  </si>
  <si>
    <t>13th Century</t>
  </si>
  <si>
    <t>1216</t>
  </si>
  <si>
    <t>1220</t>
  </si>
  <si>
    <t>1222</t>
  </si>
  <si>
    <t>1233</t>
  </si>
  <si>
    <t>1251</t>
  </si>
  <si>
    <t>1256</t>
  </si>
  <si>
    <t>1310</t>
  </si>
  <si>
    <t>1336</t>
  </si>
  <si>
    <t>1350</t>
  </si>
  <si>
    <t>1420</t>
  </si>
  <si>
    <t>1426-1428</t>
  </si>
  <si>
    <t>1432</t>
  </si>
  <si>
    <t>1440</t>
  </si>
  <si>
    <t>1443</t>
  </si>
  <si>
    <t>1453</t>
  </si>
  <si>
    <t>1462</t>
  </si>
  <si>
    <t>1467</t>
  </si>
  <si>
    <t>1470</t>
  </si>
  <si>
    <t>1480</t>
  </si>
  <si>
    <t>1481</t>
  </si>
  <si>
    <t>1483</t>
  </si>
  <si>
    <t>1484</t>
  </si>
  <si>
    <t>1490</t>
  </si>
  <si>
    <t>1491</t>
  </si>
  <si>
    <t>1492</t>
  </si>
  <si>
    <t>1494</t>
  </si>
  <si>
    <t>1496</t>
  </si>
  <si>
    <t>16th Century</t>
  </si>
  <si>
    <t>1504</t>
  </si>
  <si>
    <t>1510</t>
  </si>
  <si>
    <t>1513</t>
  </si>
  <si>
    <t>1515</t>
  </si>
  <si>
    <t>1519</t>
  </si>
  <si>
    <t>1519-1637</t>
  </si>
  <si>
    <t>1521</t>
  </si>
  <si>
    <t>1525</t>
  </si>
  <si>
    <t>1528</t>
  </si>
  <si>
    <t>1536</t>
  </si>
  <si>
    <t>1539</t>
  </si>
  <si>
    <t>1541</t>
  </si>
  <si>
    <t>1543</t>
  </si>
  <si>
    <t>1553</t>
  </si>
  <si>
    <t>1555</t>
  </si>
  <si>
    <t>1556</t>
  </si>
  <si>
    <t>1557</t>
  </si>
  <si>
    <t>1558</t>
  </si>
  <si>
    <t>1562</t>
  </si>
  <si>
    <t>1575</t>
  </si>
  <si>
    <t>1576</t>
  </si>
  <si>
    <t>1583</t>
  </si>
  <si>
    <t>1586</t>
  </si>
  <si>
    <t>1594-1634</t>
  </si>
  <si>
    <t>1597</t>
  </si>
  <si>
    <t>about the 17th Century</t>
  </si>
  <si>
    <t>17th Century</t>
  </si>
  <si>
    <t>1603</t>
  </si>
  <si>
    <t>1607</t>
  </si>
  <si>
    <t>1610</t>
  </si>
  <si>
    <t>1612</t>
  </si>
  <si>
    <t>1616</t>
  </si>
  <si>
    <t>1633</t>
  </si>
  <si>
    <t>1635</t>
  </si>
  <si>
    <t>1641</t>
  </si>
  <si>
    <t>1649</t>
  </si>
  <si>
    <t>1651</t>
  </si>
  <si>
    <t>1652</t>
  </si>
  <si>
    <t>1655</t>
  </si>
  <si>
    <t>1671</t>
  </si>
  <si>
    <t>1696-1697</t>
  </si>
  <si>
    <t>Late 18th Century</t>
  </si>
  <si>
    <t>circa 1700</t>
  </si>
  <si>
    <t>1716</t>
  </si>
  <si>
    <t>1717</t>
  </si>
  <si>
    <t>1729-1730</t>
  </si>
  <si>
    <t>1740</t>
  </si>
  <si>
    <t>1750</t>
  </si>
  <si>
    <t>1754</t>
  </si>
  <si>
    <t>1797</t>
  </si>
  <si>
    <t>1798</t>
  </si>
  <si>
    <t>1803</t>
  </si>
  <si>
    <t>1853</t>
  </si>
  <si>
    <t>1855-1856</t>
  </si>
  <si>
    <t>1859</t>
  </si>
  <si>
    <t>1861</t>
  </si>
  <si>
    <t>1873</t>
  </si>
  <si>
    <t>1875</t>
  </si>
  <si>
    <t>1876</t>
  </si>
  <si>
    <t>1888</t>
  </si>
  <si>
    <t>1894</t>
  </si>
  <si>
    <t>20th and 21st Centuries</t>
  </si>
  <si>
    <t>1900 and 1995</t>
  </si>
  <si>
    <t>1918</t>
  </si>
  <si>
    <t>1924</t>
  </si>
  <si>
    <t>1925-1926-1929</t>
  </si>
  <si>
    <t>1929</t>
  </si>
  <si>
    <t>1936</t>
  </si>
  <si>
    <t>1937-1940</t>
  </si>
  <si>
    <t>1938-1945</t>
  </si>
  <si>
    <t>1939</t>
  </si>
  <si>
    <t>1940-1946</t>
  </si>
  <si>
    <t>1943</t>
  </si>
  <si>
    <t>1945</t>
  </si>
  <si>
    <t>1947</t>
  </si>
  <si>
    <t>1949-1952</t>
  </si>
  <si>
    <t>1951</t>
  </si>
  <si>
    <t>1953</t>
  </si>
  <si>
    <t>1955-1971</t>
  </si>
  <si>
    <t>1956-1959</t>
  </si>
  <si>
    <t>1973</t>
  </si>
  <si>
    <t>1980</t>
  </si>
  <si>
    <t>1984</t>
  </si>
  <si>
    <t>Le Puy En Velay</t>
  </si>
  <si>
    <t>Tindari</t>
  </si>
  <si>
    <t>Walsingham</t>
  </si>
  <si>
    <t>Montefortino</t>
  </si>
  <si>
    <t>Foggia</t>
  </si>
  <si>
    <t>Arras</t>
  </si>
  <si>
    <t>Nazaré</t>
  </si>
  <si>
    <t>Swieta Lipka</t>
  </si>
  <si>
    <t>Assisi</t>
  </si>
  <si>
    <t>Arcos de Valdevez</t>
  </si>
  <si>
    <t>Cortes</t>
  </si>
  <si>
    <t>Florence</t>
  </si>
  <si>
    <t>Aylesford</t>
  </si>
  <si>
    <t>The Holy House of Nazareth at Loreto </t>
  </si>
  <si>
    <t>Bra</t>
  </si>
  <si>
    <t>Roverano</t>
  </si>
  <si>
    <t>Valverdo Di Rezzato</t>
  </si>
  <si>
    <t>Castel Godego</t>
  </si>
  <si>
    <t>Cordoba</t>
  </si>
  <si>
    <t>Monte Berico</t>
  </si>
  <si>
    <t>Caravaggio</t>
  </si>
  <si>
    <t>Desenzano Di Albino</t>
  </si>
  <si>
    <t>Fuerteventura</t>
  </si>
  <si>
    <t>Ghisalba</t>
  </si>
  <si>
    <t>Garlasco</t>
  </si>
  <si>
    <t>Genazzano</t>
  </si>
  <si>
    <t>Badia Di Cava</t>
  </si>
  <si>
    <t>Boccadirio</t>
  </si>
  <si>
    <t>Teror</t>
  </si>
  <si>
    <t>Imola</t>
  </si>
  <si>
    <t>Agres</t>
  </si>
  <si>
    <t>Pontassieve</t>
  </si>
  <si>
    <t>Genoa</t>
  </si>
  <si>
    <t>Trois-Epis</t>
  </si>
  <si>
    <t>Gallivaggio</t>
  </si>
  <si>
    <t>Re</t>
  </si>
  <si>
    <t>Bettola</t>
  </si>
  <si>
    <t>Molare</t>
  </si>
  <si>
    <t>Vailankanni</t>
  </si>
  <si>
    <t>Andacollo</t>
  </si>
  <si>
    <t>Luggau</t>
  </si>
  <si>
    <t>Tirano</t>
  </si>
  <si>
    <t>Motta Di Livenza</t>
  </si>
  <si>
    <t>Peschiera Sul Garda</t>
  </si>
  <si>
    <t>Bergamo</t>
  </si>
  <si>
    <t>Rzeszów</t>
  </si>
  <si>
    <t>Garaison</t>
  </si>
  <si>
    <t>Adro</t>
  </si>
  <si>
    <t>Cotignac</t>
  </si>
  <si>
    <t>Cori</t>
  </si>
  <si>
    <t>Cussanio</t>
  </si>
  <si>
    <t>Crescentino</t>
  </si>
  <si>
    <t>Ornavasso</t>
  </si>
  <si>
    <t>Savona</t>
  </si>
  <si>
    <t>Sveta Gora</t>
  </si>
  <si>
    <t>Ocotlán</t>
  </si>
  <si>
    <t>Vacciago</t>
  </si>
  <si>
    <t>Pietralba</t>
  </si>
  <si>
    <t>Corbetta</t>
  </si>
  <si>
    <t>Arcola</t>
  </si>
  <si>
    <t>Giulianova</t>
  </si>
  <si>
    <t>Gerosa</t>
  </si>
  <si>
    <t>Moncrivello</t>
  </si>
  <si>
    <t>Gozo</t>
  </si>
  <si>
    <t>Casalbordino</t>
  </si>
  <si>
    <t>Lumarzo</t>
  </si>
  <si>
    <t>Chiquinquirá</t>
  </si>
  <si>
    <t>Quinche</t>
  </si>
  <si>
    <t>Quito</t>
  </si>
  <si>
    <t>Rapallo</t>
  </si>
  <si>
    <t>Bétharram</t>
  </si>
  <si>
    <t>Luján</t>
  </si>
  <si>
    <t>Caacupé</t>
  </si>
  <si>
    <t>Caysasay</t>
  </si>
  <si>
    <t>Doroszló</t>
  </si>
  <si>
    <t>Ardesio</t>
  </si>
  <si>
    <t>Manaoag</t>
  </si>
  <si>
    <t>San Salvatore Monferrato</t>
  </si>
  <si>
    <t>Marbach</t>
  </si>
  <si>
    <t>Cartago</t>
  </si>
  <si>
    <t>Kevelaer</t>
  </si>
  <si>
    <t>Plantées</t>
  </si>
  <si>
    <t>Guanare</t>
  </si>
  <si>
    <t>La Prenessaye</t>
  </si>
  <si>
    <t>Pieve Di Tagliamento</t>
  </si>
  <si>
    <t>San Bartolomeo Al Mare</t>
  </si>
  <si>
    <t>Máriapócs and Gyõr</t>
  </si>
  <si>
    <t>Cotoca</t>
  </si>
  <si>
    <t>Quillacollo</t>
  </si>
  <si>
    <t>Pellestrina</t>
  </si>
  <si>
    <t>Vale Do Paraíba</t>
  </si>
  <si>
    <t>Montagnaga Di Pine’</t>
  </si>
  <si>
    <t>Chaguaya</t>
  </si>
  <si>
    <t>Las Lajas</t>
  </si>
  <si>
    <t>Absam</t>
  </si>
  <si>
    <t>La Vang</t>
  </si>
  <si>
    <t>Ornans</t>
  </si>
  <si>
    <t>Cerreto Di Sorano</t>
  </si>
  <si>
    <t>Porzus Degli Slavi</t>
  </si>
  <si>
    <t>Champion</t>
  </si>
  <si>
    <t>Montefalco</t>
  </si>
  <si>
    <t>Saint Bauzille de la Sylve</t>
  </si>
  <si>
    <t>Pompei</t>
  </si>
  <si>
    <t>Pellovoisin</t>
  </si>
  <si>
    <t>Castelpetroso</t>
  </si>
  <si>
    <t>Szczyrk</t>
  </si>
  <si>
    <t>Betania</t>
  </si>
  <si>
    <t>Dong Lu</t>
  </si>
  <si>
    <t>Turin</t>
  </si>
  <si>
    <t>Cernusco Sul Naviglio</t>
  </si>
  <si>
    <t>Pontevedra and Tuy</t>
  </si>
  <si>
    <t>Campiñas</t>
  </si>
  <si>
    <t>Pesqueira</t>
  </si>
  <si>
    <t>Heede</t>
  </si>
  <si>
    <t>Milan</t>
  </si>
  <si>
    <t>Kallikulam</t>
  </si>
  <si>
    <t>Pfaffenhofen Marienfried</t>
  </si>
  <si>
    <t>Siekierki</t>
  </si>
  <si>
    <t>La Codosera</t>
  </si>
  <si>
    <t>Île-Bouchard</t>
  </si>
  <si>
    <t>Heroldsbach</t>
  </si>
  <si>
    <t>Rogorotto</t>
  </si>
  <si>
    <t>Syracuse</t>
  </si>
  <si>
    <t>Ngome</t>
  </si>
  <si>
    <t>Fostoria</t>
  </si>
  <si>
    <t>Akita</t>
  </si>
  <si>
    <t>Cuapa</t>
  </si>
  <si>
    <t>Namyang</t>
  </si>
  <si>
    <t>Rome (Santa Maria in Via)</t>
  </si>
  <si>
    <t>Rome (Santa Maria Maggiore)</t>
  </si>
  <si>
    <t>Rome (Our Lady of Divine Love)</t>
  </si>
  <si>
    <t>1399, 1711</t>
  </si>
  <si>
    <t>1450, 1589</t>
  </si>
  <si>
    <t>Sant'Anastasia</t>
  </si>
  <si>
    <t>El Cobre</t>
  </si>
  <si>
    <t>Swieta Lipka Sanctuary</t>
  </si>
  <si>
    <t>Basilica of Our Lady of Charity of El Cobre</t>
  </si>
  <si>
    <t>Basilica of El Cobre</t>
  </si>
  <si>
    <t>Ngome Marian Shrine</t>
  </si>
  <si>
    <t>reinolda-may</t>
  </si>
  <si>
    <t>Done</t>
  </si>
  <si>
    <t>Status</t>
  </si>
  <si>
    <t>Blocked</t>
  </si>
  <si>
    <t>https://www.swlipka.pl/</t>
  </si>
  <si>
    <t>http://www.miraclehunter.com/marian_apparitions/approved_apparitions/apparitions_1200-1299.html</t>
  </si>
  <si>
    <t>The Real Presence Supplement</t>
  </si>
  <si>
    <t>Miracle Hunter Supplement</t>
  </si>
  <si>
    <t>MaryPages Supplement</t>
  </si>
  <si>
    <t>, [Link](http://www.therealpresence.org/eucharst/misc/BVM/154_FATIMA_140x96_2.pdf), [Link](http://www.therealpresence.org/eucharst/misc/BVM/154_FATIMA_96x96_3.pdf)</t>
  </si>
  <si>
    <t>http://www.miraclehunter.com/marian_apparitions/approved_apparitions/guaitara/index.html</t>
  </si>
  <si>
    <t>National Shrine Basilica of Our Lady of Las Lajas</t>
  </si>
  <si>
    <t>Basilica of Our Lady of Las Lajas</t>
  </si>
  <si>
    <t>https://www.laslajas.org/</t>
  </si>
  <si>
    <t>_Research in progress_</t>
  </si>
  <si>
    <t>http://www.ngome.co.za/</t>
  </si>
  <si>
    <t>https://santuariotindari.it/</t>
  </si>
  <si>
    <t xml:space="preserve"> (Search for "Swieta Lipka")</t>
  </si>
  <si>
    <t>Sanctuary of Tindari</t>
  </si>
  <si>
    <t>Sanctuary of Holy Mary of Tindari</t>
  </si>
  <si>
    <t>sicily</t>
  </si>
  <si>
    <t>Cathedral of Our Lady of Puy</t>
  </si>
  <si>
    <t>https://www.cathedraledupuy.org/</t>
  </si>
  <si>
    <t>camino-de-santiago</t>
  </si>
  <si>
    <t>5th or 6th Century</t>
  </si>
  <si>
    <t>In 1754, an Indian mother and her deaf-mute daughter Rosa were caught in a strong storm and sought refuge in a canyon between the lajas.  Rosa exclaimed with her first words "the mestiza is calling me," describing the figures of a woman and child.  When returning later, the mother saw an apparition of Our Lady and Child.
Some months later, Rosa died but returned to life when her mother prayed again at the cave. When the townspeople came to see, a miraculous image was burned into the rocks.
In the image, the Madonna presents a rosary to St. Dominic, keeling at her right.  Jesus gives a cord to St. Francis, kneeling to his left.
Testing has shown the image to be of indeterminate origin. Geologists from Germany bored core samples from several spots in the image.  There is no paint, no dye, nor any other pigment on the surface of the rock.  The colors are the colors of the rock itself and run uniformly to a depth of several feet.</t>
  </si>
  <si>
    <t>https://www.marypages.com/our-lady-of-cuapa-also-known-as-our-lady-of-nicaragua-en.html</t>
  </si>
  <si>
    <t>http://www.miraclehunter.com/marian_apparitions/approved_apparitions/cuapa/index.html</t>
  </si>
  <si>
    <t>Sanctuary of Our Lady of Cuapa</t>
  </si>
  <si>
    <t>National Sanctuary of Our Lady of Cuapa</t>
  </si>
  <si>
    <t>https://www.facebook.com/SDVirgendeCuapa</t>
  </si>
  <si>
    <t>https://www.marypages.com/akita-(japan)-en.html</t>
  </si>
  <si>
    <t>https://www.miraclehunter.com/marian_apparitions/approved_apparitions/akita/index.html</t>
  </si>
  <si>
    <t>https://www.miraclehunter.com/marian_apparitions/approved_apparitions/walsingham/index.html</t>
  </si>
  <si>
    <t>In 1061, Our Lady appeared to Richeldis de Faverches, a Catholic English noblewoman in the village of Walsingham in Norfolk, England.
Our Lady of Walsingham presented her with the plans of the Holy House of the Holy Family in Nazareth and asked that she build the house as a shrine and place of pilgrimage.</t>
  </si>
  <si>
    <t>https://www.walsingham.org.uk/</t>
  </si>
  <si>
    <t>Catholic National Shrine and Basilica of Our Lady of Walsingham</t>
  </si>
  <si>
    <t>https://www.marypages.com/our-lady-of-walsingham-en.html</t>
  </si>
  <si>
    <t>Seitai Hoshikai (Our Lady of Akita)</t>
  </si>
  <si>
    <t>Seitai Hoshikai</t>
  </si>
  <si>
    <t>https://www.seitaihoshikai.com/</t>
  </si>
  <si>
    <t>Sanctuary of the Our Lady of Valverde</t>
  </si>
  <si>
    <t>The Shrine of Our Lady of Valverde dates back to 1399, when Our Lady appeared to a farmer plowing his field.  During the summer of 1711, when the province was hit by a severe epidemic, the inhabitants of Rezzato prayed to Our Lady of Valverde.  On October 1, Our Lady appeared a second time to Paul Ogna, 8, and Francesco Pelizzari, 11, who went to collect chestnuts near the Sanctuary pond.  Our Lady promised the end of the epidemic.</t>
  </si>
  <si>
    <t>https://www.miraclehunter.com/marian_apparitions/approved_apparitions/apparitions_1700-1799.html</t>
  </si>
  <si>
    <t xml:space="preserve"> (Search for "Valverde")</t>
  </si>
  <si>
    <t>Valverde Di Rezzato</t>
  </si>
  <si>
    <t>https://www.uprezzatovirle.it/santuario-valverde</t>
  </si>
  <si>
    <t>http://www.tapinu.org/</t>
  </si>
  <si>
    <t>http://www.miraclehunter.com/marian_apparitions/approved_apparitions/tapinu/</t>
  </si>
  <si>
    <t>https://www.marypages.com/ta-pinu-malta-en.html</t>
  </si>
  <si>
    <t>Basilica of the Blessed Virgin of Ta' Pinu</t>
  </si>
  <si>
    <t>http://www.miraclehunter.com/marian_apparitions/approved_apparitions/lavang/index.html</t>
  </si>
  <si>
    <t>In 1798, many Christians took refuge in the Vietnamese jungle and prepared themselves for martyrdom.  At night, they often gathered in small groups to pray the rosary.  Unexpectedly, one night they were visited by an apparition of Our Blessed Mother in a long cape, holding a child in her arms, with two angels at her sides.  She comforted them and told them to boil the leaves from the surrounding trees to use as medicine.  She also told them that from that day on, all those who came to this place to pray, would have their prayers heard and answered.  All those who were present witnessed this miracle.</t>
  </si>
  <si>
    <t>Basilica of Our Lady of La Vang</t>
  </si>
  <si>
    <t>https://www.marypages.com/la-vang-vietnam-en.html</t>
  </si>
  <si>
    <t>Sister Agnes Sasagawa received visions of an angel and messages emanating from a wooden statue of Our Lady which wept 101 times, including one instance which was broadcast on Japanese national television in December 1973.</t>
  </si>
  <si>
    <t>Archdiocesan Shrine of Our Lady of Caysasay</t>
  </si>
  <si>
    <t>Shrine of Our Lady of Caysasay</t>
  </si>
  <si>
    <t>http://www.miraclehunter.com/marian_apparitions/approved_apparitions/caysasay/index.html</t>
  </si>
  <si>
    <t>https://www.facebook.com/CaysasayTaal</t>
  </si>
  <si>
    <t>Minor Basilica of Our Lady of the Rosary of Manaoag</t>
  </si>
  <si>
    <t>Tradition dicates that the Blessed Mother showed herself to a middle-aged farmer and gave him a message on where she wanted her church to be built, appearing to him on a tree amidst a heavenly glow.  Today the center of devotion is the miraculous image of Our Lady of the Holy Rosary (Nuestra Señora de Manaoag, or Apo Baket as known to the local townspeople).</t>
  </si>
  <si>
    <t>Basilica of Our Lady of the Rosary of Manaoag</t>
  </si>
  <si>
    <t>https://www.manaoagminorbasilica.org/</t>
  </si>
  <si>
    <t>https://www.miraclehunter.com/marian_apparitions/approved_apparitions/manaoag/index.html</t>
  </si>
  <si>
    <t>Basilica of the Holy Mother of God</t>
  </si>
  <si>
    <t>https://svetagora.si/</t>
  </si>
  <si>
    <t>In 1539, Our Blessed Mother appeared to a shepherdess on Mt. Skalnica, now called the Holy Mountain (Sveta Gora), and instructed her: "Tell the people, let them build me a house here and ask me for mercy." The shepherdess was imprisoned by the unbelieving secular authorities several times, but was always miraculously rescued.</t>
  </si>
  <si>
    <t>https://www.miraclehunter.com/marian_apparitions/approved_apparitions/apparitions_1500-1599.html</t>
  </si>
  <si>
    <t xml:space="preserve"> (Search "Sveta Gora")</t>
  </si>
  <si>
    <t xml:space="preserve"> (Search "Doroszlo")</t>
  </si>
  <si>
    <t>Diocesan Shrine of Mary, Help of Christians</t>
  </si>
  <si>
    <t>Shrine of Mary Help of Christians</t>
  </si>
  <si>
    <t>In 1792, the Virgin Mary appeared to a blind man, advising him to bathe his eyes in a miraculous fountain.  Upon his healing, a chapel was built and was eventually expanded to a larger church.</t>
  </si>
  <si>
    <t>https://szentkut.eu/</t>
  </si>
  <si>
    <t>https://marija.si/</t>
  </si>
  <si>
    <t>National Shrine of Mary Help of Christians at Brezje</t>
  </si>
  <si>
    <t>"1863 After several miraculous healings, pilgrimage to Brezje becomes widely popular making the church too small to welcome all the pilgrims"</t>
  </si>
  <si>
    <t>Shrine of Our Lady of the Rosary of Namyang</t>
  </si>
  <si>
    <t>https://en.wikipedia.org/wiki/Santa_Maria_della_Pace</t>
  </si>
  <si>
    <t>Santa Maria della Pace</t>
  </si>
  <si>
    <t>According to tradition, Our Lady appeared to a few shepherd children at Kuravilangad as they were tending their flock.  She asked them to build a church at the place from where a miraculous perpetual spring sprouted, which exists even today.  The children reported this matter to the elders and a church was built there.</t>
  </si>
  <si>
    <t>Kuravilangad</t>
  </si>
  <si>
    <t>Major Archiepiscopal Marth Mariam Archdeacon Pilgrim Church at Kuravilangad</t>
  </si>
  <si>
    <t>Marth Mariam Archdeacon Pilgrim Church at Kuravilangad</t>
  </si>
  <si>
    <t>https://www.miraclehunter.com/marian_apparitions/approved_apparitions/apparitions_0040-0999.html</t>
  </si>
  <si>
    <t xml:space="preserve"> (Search "Kuravilangad")</t>
  </si>
  <si>
    <t>syro-malabar</t>
  </si>
  <si>
    <t>Basilica of Our Lady of Lujan</t>
  </si>
  <si>
    <t>https://santuariodelujan.org.ar/</t>
  </si>
  <si>
    <t>http://www.miraclehunter.com/miraculous_images/icons_1600-1699.html</t>
  </si>
  <si>
    <t xml:space="preserve"> (Search "Lujan")</t>
  </si>
  <si>
    <t>Our Lady of Grace and St. Maria Goretti</t>
  </si>
  <si>
    <t>c. 1700</t>
  </si>
  <si>
    <t>c. 17th Century</t>
  </si>
  <si>
    <t>20th-21st Centuries</t>
  </si>
  <si>
    <t>Ludzmierz</t>
  </si>
  <si>
    <t>c. 1400</t>
  </si>
  <si>
    <t>Sanctuary of Our Lady Queen of Podhale</t>
  </si>
  <si>
    <t>This church was originally founded in the 13th century by Cistercians from France.  According to legend, around the year 1400, a merchant lost in the nearby swamps was led to the church by a figure he discerned to be Mary.  Out of gratitude, he commissioned a statue which can be found in the church today.
A regular visitor to the shrine was Karol Wojtyła, the future Pope St. John Paul II.  In August 1963, in his capacity as Archbishop of Kraków, the statue slipped during a ceremony and the future pontiff caught the scepter which had fallen out of the statue's grasp.  This scene was interpreted by many as a prophecy of his upcoming papacy.</t>
  </si>
  <si>
    <t>ps://www.mbludzm.pl/</t>
  </si>
  <si>
    <t>john-paul-ii</t>
  </si>
  <si>
    <t>Additional Tag 1</t>
  </si>
  <si>
    <t>AT1 Name</t>
  </si>
  <si>
    <t>Additional Tag 2</t>
  </si>
  <si>
    <t>AT2 Name</t>
  </si>
  <si>
    <t>Additional Tag 3</t>
  </si>
  <si>
    <t>AT3 Name</t>
  </si>
  <si>
    <t>communities</t>
  </si>
  <si>
    <t>lucia-dos-santos</t>
  </si>
  <si>
    <t>francisco-and-jacinta-marto</t>
  </si>
  <si>
    <t>Tag</t>
  </si>
  <si>
    <t>Name</t>
  </si>
  <si>
    <t>St. James the Greater</t>
  </si>
  <si>
    <t>Camino de Santiago</t>
  </si>
  <si>
    <t>Syro-Malabar Church</t>
  </si>
  <si>
    <t>Papal Basilicas</t>
  </si>
  <si>
    <t>Sicily</t>
  </si>
  <si>
    <t>Pope St. John Paul II</t>
  </si>
  <si>
    <t>St. Juan Diego</t>
  </si>
  <si>
    <t>St. Catherine Laboure</t>
  </si>
  <si>
    <t>Religious Communities</t>
  </si>
  <si>
    <t>? Benoite Rencurel</t>
  </si>
  <si>
    <t>Fr. Marie-Alphonse Ratisbonne</t>
  </si>
  <si>
    <t>St. Bernadette of Lourdes</t>
  </si>
  <si>
    <t>Bl. Lucia dos Santos</t>
  </si>
  <si>
    <t>Sts. Francisco and Jacinta Marto</t>
  </si>
  <si>
    <t>? Reinolda May</t>
  </si>
  <si>
    <t>Coptic Church</t>
  </si>
  <si>
    <t>uk</t>
  </si>
  <si>
    <t>italy</t>
  </si>
  <si>
    <t>france</t>
  </si>
  <si>
    <t>portugal</t>
  </si>
  <si>
    <t>poland</t>
  </si>
  <si>
    <t>AT Pages</t>
  </si>
  <si>
    <t>AT1 Page</t>
  </si>
  <si>
    <t>AT2 Page</t>
  </si>
  <si>
    <t>AT3 Page</t>
  </si>
  <si>
    <t>All Cols</t>
  </si>
  <si>
    <t>S</t>
  </si>
  <si>
    <t>C</t>
  </si>
  <si>
    <t>Ready</t>
  </si>
  <si>
    <t>Y</t>
  </si>
  <si>
    <t>OD</t>
  </si>
  <si>
    <t>rome</t>
  </si>
  <si>
    <t>andorra</t>
  </si>
  <si>
    <t>uae</t>
  </si>
  <si>
    <t>afghanistan</t>
  </si>
  <si>
    <t>antigua-barbuda</t>
  </si>
  <si>
    <t>anguilla</t>
  </si>
  <si>
    <t>albania</t>
  </si>
  <si>
    <t>armenia</t>
  </si>
  <si>
    <t>angola</t>
  </si>
  <si>
    <t>antarctica</t>
  </si>
  <si>
    <t>argentina</t>
  </si>
  <si>
    <t>american-samoa</t>
  </si>
  <si>
    <t>austria</t>
  </si>
  <si>
    <t>australia</t>
  </si>
  <si>
    <t>aruba</t>
  </si>
  <si>
    <t>aland-islands</t>
  </si>
  <si>
    <t>azerbaijan</t>
  </si>
  <si>
    <t>bosnia-herzegovina</t>
  </si>
  <si>
    <t>barbados</t>
  </si>
  <si>
    <t>bangladesh</t>
  </si>
  <si>
    <t>belgium</t>
  </si>
  <si>
    <t>burkina-faso</t>
  </si>
  <si>
    <t>bulgaria</t>
  </si>
  <si>
    <t>bahrain</t>
  </si>
  <si>
    <t>burundi</t>
  </si>
  <si>
    <t>benin</t>
  </si>
  <si>
    <t>saint-barthelemy</t>
  </si>
  <si>
    <t>bermuda</t>
  </si>
  <si>
    <t>brunei</t>
  </si>
  <si>
    <t>bolivia</t>
  </si>
  <si>
    <t>bonaire</t>
  </si>
  <si>
    <t>brazil</t>
  </si>
  <si>
    <t>bahamas</t>
  </si>
  <si>
    <t>bhutan</t>
  </si>
  <si>
    <t>bouvet-island</t>
  </si>
  <si>
    <t>botswana</t>
  </si>
  <si>
    <t>belarus</t>
  </si>
  <si>
    <t>belize</t>
  </si>
  <si>
    <t>canada</t>
  </si>
  <si>
    <t>cocos-islands</t>
  </si>
  <si>
    <t>drc</t>
  </si>
  <si>
    <t>central-african-republic</t>
  </si>
  <si>
    <t>congo</t>
  </si>
  <si>
    <t>switzerland</t>
  </si>
  <si>
    <t>ivory-coast</t>
  </si>
  <si>
    <t>cook-islands</t>
  </si>
  <si>
    <t>chile</t>
  </si>
  <si>
    <t>cameroon</t>
  </si>
  <si>
    <t>china</t>
  </si>
  <si>
    <t>colombia</t>
  </si>
  <si>
    <t>costa-rica</t>
  </si>
  <si>
    <t>cuba</t>
  </si>
  <si>
    <t>cabo-verde</t>
  </si>
  <si>
    <t>curaçao</t>
  </si>
  <si>
    <t>christmas-island</t>
  </si>
  <si>
    <t>cyprus</t>
  </si>
  <si>
    <t>czechia</t>
  </si>
  <si>
    <t>germany</t>
  </si>
  <si>
    <t>djibouti</t>
  </si>
  <si>
    <t>denmark</t>
  </si>
  <si>
    <t>dominica</t>
  </si>
  <si>
    <t>dominican-republic</t>
  </si>
  <si>
    <t>algeria</t>
  </si>
  <si>
    <t>ecuador</t>
  </si>
  <si>
    <t>estonia</t>
  </si>
  <si>
    <t>egypt</t>
  </si>
  <si>
    <t>western-sahara</t>
  </si>
  <si>
    <t>eritrea</t>
  </si>
  <si>
    <t>spain</t>
  </si>
  <si>
    <t>ethiopia</t>
  </si>
  <si>
    <t>finland</t>
  </si>
  <si>
    <t>fiji</t>
  </si>
  <si>
    <t>falkland-islands</t>
  </si>
  <si>
    <t>micronesia</t>
  </si>
  <si>
    <t>faroe-islands</t>
  </si>
  <si>
    <t>gabon</t>
  </si>
  <si>
    <t>grenada</t>
  </si>
  <si>
    <t>georgia</t>
  </si>
  <si>
    <t>french-guiana</t>
  </si>
  <si>
    <t>guernsey</t>
  </si>
  <si>
    <t>ghana</t>
  </si>
  <si>
    <t>gibraltar</t>
  </si>
  <si>
    <t>greenland</t>
  </si>
  <si>
    <t>gambia</t>
  </si>
  <si>
    <t>guinea</t>
  </si>
  <si>
    <t>guadeloupe</t>
  </si>
  <si>
    <t>equatorial-guinea</t>
  </si>
  <si>
    <t>greece</t>
  </si>
  <si>
    <t>south-georgia</t>
  </si>
  <si>
    <t>guatemala</t>
  </si>
  <si>
    <t>guam</t>
  </si>
  <si>
    <t>guinea-bissau</t>
  </si>
  <si>
    <t>guyana</t>
  </si>
  <si>
    <t>hong-kong</t>
  </si>
  <si>
    <t>heard-island</t>
  </si>
  <si>
    <t>honduras</t>
  </si>
  <si>
    <t>croatia</t>
  </si>
  <si>
    <t>haiti</t>
  </si>
  <si>
    <t>hungary</t>
  </si>
  <si>
    <t>indonesia</t>
  </si>
  <si>
    <t>ireland</t>
  </si>
  <si>
    <t>israel</t>
  </si>
  <si>
    <t>isle-of-man</t>
  </si>
  <si>
    <t>india</t>
  </si>
  <si>
    <t>biot</t>
  </si>
  <si>
    <t>iraq</t>
  </si>
  <si>
    <t>iran</t>
  </si>
  <si>
    <t>iceland</t>
  </si>
  <si>
    <t>jersey</t>
  </si>
  <si>
    <t>jamaica</t>
  </si>
  <si>
    <t>jordan</t>
  </si>
  <si>
    <t>japan</t>
  </si>
  <si>
    <t>kenya</t>
  </si>
  <si>
    <t>kyrgyzstan</t>
  </si>
  <si>
    <t>cambodia</t>
  </si>
  <si>
    <t>kiribati</t>
  </si>
  <si>
    <t>comoros</t>
  </si>
  <si>
    <t>kitts-nevis</t>
  </si>
  <si>
    <t>north-korea</t>
  </si>
  <si>
    <t>south-korea</t>
  </si>
  <si>
    <t>kuwait</t>
  </si>
  <si>
    <t>cayman-islands</t>
  </si>
  <si>
    <t>kazakhstan</t>
  </si>
  <si>
    <t>laos</t>
  </si>
  <si>
    <t>lebanon</t>
  </si>
  <si>
    <t>saint-lucia</t>
  </si>
  <si>
    <t>liechtenstein</t>
  </si>
  <si>
    <t>sri-lanka</t>
  </si>
  <si>
    <t>liberia</t>
  </si>
  <si>
    <t>lesotho</t>
  </si>
  <si>
    <t>lithuania</t>
  </si>
  <si>
    <t>luxembourg</t>
  </si>
  <si>
    <t>latvia</t>
  </si>
  <si>
    <t>libya</t>
  </si>
  <si>
    <t>morocco</t>
  </si>
  <si>
    <t>monaco</t>
  </si>
  <si>
    <t>moldova</t>
  </si>
  <si>
    <t>montenegro</t>
  </si>
  <si>
    <t>saint-martin</t>
  </si>
  <si>
    <t>madagascar</t>
  </si>
  <si>
    <t>marshall-islands</t>
  </si>
  <si>
    <t>north-macedonia</t>
  </si>
  <si>
    <t>mali</t>
  </si>
  <si>
    <t>myanmar</t>
  </si>
  <si>
    <t>mongolia</t>
  </si>
  <si>
    <t>macao</t>
  </si>
  <si>
    <t>northern-mariana-islands</t>
  </si>
  <si>
    <t>martinique</t>
  </si>
  <si>
    <t>mauritania</t>
  </si>
  <si>
    <t>montserrat</t>
  </si>
  <si>
    <t>malta</t>
  </si>
  <si>
    <t>mauritius</t>
  </si>
  <si>
    <t>maldives</t>
  </si>
  <si>
    <t>malawi</t>
  </si>
  <si>
    <t>mexico</t>
  </si>
  <si>
    <t>malaysia</t>
  </si>
  <si>
    <t>mozambique</t>
  </si>
  <si>
    <t>namibia</t>
  </si>
  <si>
    <t>new-caledonia</t>
  </si>
  <si>
    <t>niger</t>
  </si>
  <si>
    <t>norfolk-island</t>
  </si>
  <si>
    <t>nigeria</t>
  </si>
  <si>
    <t>nicaragua</t>
  </si>
  <si>
    <t>netherlands</t>
  </si>
  <si>
    <t>norway</t>
  </si>
  <si>
    <t>nepal</t>
  </si>
  <si>
    <t>nauru</t>
  </si>
  <si>
    <t>niue</t>
  </si>
  <si>
    <t>new-zealand</t>
  </si>
  <si>
    <t>oman</t>
  </si>
  <si>
    <t>panama</t>
  </si>
  <si>
    <t>peru</t>
  </si>
  <si>
    <t>french-polynesia</t>
  </si>
  <si>
    <t>png</t>
  </si>
  <si>
    <t>philippines</t>
  </si>
  <si>
    <t>pakistan</t>
  </si>
  <si>
    <t>saint-pierre-miquelon</t>
  </si>
  <si>
    <t>pitcairn</t>
  </si>
  <si>
    <t>puerto-rico</t>
  </si>
  <si>
    <t>palestine</t>
  </si>
  <si>
    <t>palau</t>
  </si>
  <si>
    <t>paraguay</t>
  </si>
  <si>
    <t>qatar</t>
  </si>
  <si>
    <t>réunion</t>
  </si>
  <si>
    <t>romania</t>
  </si>
  <si>
    <t>serbia</t>
  </si>
  <si>
    <t>russia</t>
  </si>
  <si>
    <t>rwanda</t>
  </si>
  <si>
    <t>saudi-arabia</t>
  </si>
  <si>
    <t>solomon-islands</t>
  </si>
  <si>
    <t>seychelles</t>
  </si>
  <si>
    <t>sudan</t>
  </si>
  <si>
    <t>sweden</t>
  </si>
  <si>
    <t>singapore</t>
  </si>
  <si>
    <t>saint-helena</t>
  </si>
  <si>
    <t>slovenia</t>
  </si>
  <si>
    <t>svalbard</t>
  </si>
  <si>
    <t>slovakia</t>
  </si>
  <si>
    <t>sierra-leone</t>
  </si>
  <si>
    <t>san-marino</t>
  </si>
  <si>
    <t>senegal</t>
  </si>
  <si>
    <t>somalia</t>
  </si>
  <si>
    <t>suriname</t>
  </si>
  <si>
    <t>south-sudan</t>
  </si>
  <si>
    <t>sao-tome-principe</t>
  </si>
  <si>
    <t>el-salvador</t>
  </si>
  <si>
    <t>sint-maarten</t>
  </si>
  <si>
    <t>syria</t>
  </si>
  <si>
    <t>eswatini</t>
  </si>
  <si>
    <t>turks-caicos</t>
  </si>
  <si>
    <t>chad</t>
  </si>
  <si>
    <t>french-southern-territories</t>
  </si>
  <si>
    <t>togo</t>
  </si>
  <si>
    <t>thailand</t>
  </si>
  <si>
    <t>tajikistan</t>
  </si>
  <si>
    <t>tokelau</t>
  </si>
  <si>
    <t>timor-leste</t>
  </si>
  <si>
    <t>turkmenistan</t>
  </si>
  <si>
    <t>tunisia</t>
  </si>
  <si>
    <t>tonga</t>
  </si>
  <si>
    <t>türkiye</t>
  </si>
  <si>
    <t>trinidad-tobago</t>
  </si>
  <si>
    <t>tuvalu</t>
  </si>
  <si>
    <t>taiwan</t>
  </si>
  <si>
    <t>tanzania</t>
  </si>
  <si>
    <t>ukraine</t>
  </si>
  <si>
    <t>uganda</t>
  </si>
  <si>
    <t>us-minor-outlying-islands</t>
  </si>
  <si>
    <t>usa</t>
  </si>
  <si>
    <t>uruguay</t>
  </si>
  <si>
    <t>uzbekistan</t>
  </si>
  <si>
    <t>saint-vincent-grenadines</t>
  </si>
  <si>
    <t>venezuela</t>
  </si>
  <si>
    <t>bvi</t>
  </si>
  <si>
    <t>usvi</t>
  </si>
  <si>
    <t>vietnam</t>
  </si>
  <si>
    <t>vanuatu</t>
  </si>
  <si>
    <t>wallis-futuna</t>
  </si>
  <si>
    <t>samoa</t>
  </si>
  <si>
    <t>yemen</t>
  </si>
  <si>
    <t>mayotte</t>
  </si>
  <si>
    <t>south-africa</t>
  </si>
  <si>
    <t>zambia</t>
  </si>
  <si>
    <t>zimbabwe</t>
  </si>
  <si>
    <t>Sanctuary of Pellevoisin</t>
  </si>
  <si>
    <t>https://www.pellevoisin.net/</t>
  </si>
  <si>
    <t>https://www.miraclehunter.com/marian_apparitions/approved_apparitions/pellevoisin/index.html</t>
  </si>
  <si>
    <t>https://www.marypages.com/pellevoisin-france-en.html</t>
  </si>
  <si>
    <t>vincent-de-paul</t>
  </si>
  <si>
    <t>St. Vincent de Paul</t>
  </si>
  <si>
    <t>Basilica of Our Lady of Good Health</t>
  </si>
  <si>
    <t>Our Lady of the Good Event</t>
  </si>
  <si>
    <t>https://www.velankannichurch.com/</t>
  </si>
  <si>
    <t>https://en.wikipedia.org/wiki/Our_Lady_of_the_Good_Event</t>
  </si>
  <si>
    <t>https://www.miraclehunter.com/marian_apparitions/approved_apparitions/vailankanni/</t>
  </si>
  <si>
    <t>According to tradition, there have been multiple apparitions of the Blessed Virgin Mary at Velankanni, also known as Our Lady of Good Health.  As tradition would have it, the first of many apparitions occured to a young boy who was delivering buttermilk.</t>
  </si>
  <si>
    <t>https://www.marypages.com/vailankanni-(india)-en.html</t>
  </si>
  <si>
    <t>Basilica of Our Lady of Good Health (Our Lady of Velankanni)</t>
  </si>
  <si>
    <t>In the 13th century, Our Blessed Mother appeared to a condemned innocent person in his prison cell. Bringing him a piece of wood and a knife, she told him to carve an image of the Blessed Mother with Child.  When he had done so, the jailers and judge were so moved they gave him back his freedom.  In gratitude for the divine assistance, the man sought to place the sculpture near a linden tree along the road, as Mary had suggested.  The present-day basilica was built next to this great linden tree, which was the site of many miracles and healings over the centuries.
With the Prussian occupation of Poland, the sanctuary was defiled and the linden tree cut down.  Upon Poland's independence, Jesuits were invited to renew the sanctuary, and it remains in beautiful condition to this day.</t>
  </si>
  <si>
    <t>Basilica of Ta Pinu</t>
  </si>
  <si>
    <t>Level</t>
  </si>
  <si>
    <t>global</t>
  </si>
  <si>
    <t>Athisaya Panimatha Shrine</t>
  </si>
  <si>
    <t>https://www.athisayapanimatha.com/</t>
  </si>
  <si>
    <t>Athisaya Panimatha (Our Lady of Snows) Shrine, Kallikulam</t>
  </si>
  <si>
    <t>Catherine Laboure, a novitiate in the order of the Sisters of Charity, received various visions of St. Vincent de Paul and of Jesus present in the Eucharist, before also experiencing two apparitions of the Blessed Virgin Mary.  In the first vision, 1830, Catherine was told of the impending travails of France and of an unspecified future mission.  Several months later she received a message detailing the designs for a medal, later known as the Miraculous Medal, now reproduced over a billion times and distributed around the world.  The apparition was investigated in 1836 and later approved.  St. Catherine worked for 46 more years in hospices of her Order tending to the aged and infirmed, and is now known as the patroness of seniors.  Her body currently lies incorrupt at the site of the apparition in Paris (immediate right side of the altar), alongside St. Louise de Marillac (left of the altar) and the heart of St. Vincent de Paul (furthest right).</t>
  </si>
  <si>
    <t>louise-de-marillac</t>
  </si>
  <si>
    <t>St. Louise de Marillac</t>
  </si>
  <si>
    <t>St. Jean-Gabriel Perboyre</t>
  </si>
  <si>
    <t>jean-gabriel-perboyre</t>
  </si>
  <si>
    <t>Region/City</t>
  </si>
  <si>
    <t>Augsberg</t>
  </si>
  <si>
    <t>St. Peter am Perlach (Mary Undoer of Knots)</t>
  </si>
  <si>
    <t>St Peter am Perlach</t>
  </si>
  <si>
    <t>https://www.marypages.com/mary-undoer-of-knots.html</t>
  </si>
  <si>
    <t>https://www.miraclehunter.com/news/francis/francis-marian-devotion.html</t>
  </si>
  <si>
    <t>https://sankt-peter-am-perlach.de</t>
  </si>
  <si>
    <t>Home of the image Our Lady Undoer of Knots.</t>
  </si>
  <si>
    <t>Unfortunately many modern visitors to the cathedral are more interested in its rooftop views, so it's important to be specific when asking for accurate information about services.  The cathedral website lists their service schedule [here](https://catedraldezaragoza.es/culto/).
-JMM</t>
  </si>
  <si>
    <t>Because of the Jesuit influence, there are noticeable similarities to the Chiesa del Gesù in Rome, both in decoration and function.  The image of Our Blessed Mother behind the altar is covered after each mass, similar to some Jesuit churches in Rome.
-JMM</t>
  </si>
  <si>
    <t>Some good information on [Catholic Shrine Basilica](https://catholicshrinebasilica.com/sanctuary-of-our-lady-of-ludzmierz-poland/).
-JMM</t>
  </si>
  <si>
    <t>The monastery has published an excellent history of the shrine [here](https://lezajsk.bernardyni.pl/historia/) (in Polish).
-JMM</t>
  </si>
  <si>
    <t>The Facebook page appears to be the official site.
-JMM</t>
  </si>
  <si>
    <t>At the time of this miracle the land belonged to Hungary; a few sources still refer to the site as Hungarian.  The two potential official pages listed may not be accurate; please [contact us](/contact) if you have any better information.
-JMM</t>
  </si>
  <si>
    <t>Additional info and a good history [here](https://www.ourladyofsiluva.org/our_lady/).
-JMM</t>
  </si>
  <si>
    <t>One of the most picturesque apparition sites to visit!  The road between Laus and nearby [La Salette](/places/fr-sanctuary-of-our-lady-of-la-salette) winds through the French Alpine countryside.
-JMM</t>
  </si>
  <si>
    <t>We can't find an official website or other social media page for the basilica.  If you know of one, please [contact us](/contact).
-JMM</t>
  </si>
  <si>
    <t>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
-JMM</t>
  </si>
  <si>
    <t>Thanks to the testimonies of the visionaries, pilgrims today can experience a very accurate representation of the original apparition.  The statues have been placed in the same place as the apparition, in front of the church wall and slightly above ground level.
-JMM</t>
  </si>
  <si>
    <t>You can read the statement issued by the Papal Residence in Cairo [here](https://www.stmaryztn.org/saintmary/en/apparition-story/papal-statment).
-JMM</t>
  </si>
  <si>
    <t>We can't find an official website for the parish; their Facebook page has been listed for now.
-JMM</t>
  </si>
  <si>
    <t>We were unable to find an official page which is still live; there is an unofficial Facebook page [here](https://www.facebook.com/pages/The-Shrine-of-Our-Lady-of-the-Rosary-of-Namyang/243668322481803).  Please [contact us](/contact) if you know the correct link!
-JMM</t>
  </si>
  <si>
    <t>Pope Francis has a special devotion to this image, explained in the Miracle Hunter link.
-JPY</t>
  </si>
  <si>
    <t>An Indonesian parish of the same name also has a [good history](https://velangkanni.com/en/about-annai-velangkanni/) of the apparition.
-NDS</t>
  </si>
  <si>
    <t>Mass intentions requested at the gift shop will be prayed for at the very next mass.  Similar to the custom at [Our Lady of the Miraculous Medal](/places/fr-paris-chapel-of-our-lady-of-the-miraculous-medal), grateful pilgrims have given thanks for answered prayers in the form of plaques lining the stairway down to the shrine.
-JMM</t>
  </si>
  <si>
    <t>Located in central Paris, OLMM is one of the more easily accessible Marian apparition sites, and often draws large crowds of pilgrims.  The nearby [St. Vincent de Paul Chapel](fr-paris-st-vincent-de-paul-chapel) is a short walk away and is often more peaceful.
OLMM is also a rare apparition site where the exact location of Our Blessed Mother is documented in precise detail.  The giftshop sells postcards detailing where in the chapel Mary appeared in each apparition to St. Catherine Laboure.
See also the related apparition of [Our Lady of Zion](/places/it-rome-sant-andrea-delle-fratte) in Rome.
-JMM</t>
  </si>
  <si>
    <t>Marie Alphonse Ratisbonne, an anti-Catholic Jew, befriended a baron in Rome and began wearing the [Miraculous Medal](/places/fr-paris-chapel-of-our-lady-of-the-miraculous-medal) as a simple test.  On January 20, 1842, after entering the church of Sant'Andrea delle Fratte, Ratisbonne experienced a vision of the Blessed Virgin Mary.  He converted to Catholicism, joined the priesthood, and began a ministry for the conversion of Jews.</t>
  </si>
  <si>
    <t>Basilica of Our Lady of Grace and St. Maria Goretti</t>
  </si>
  <si>
    <t>Basilica of Our Lady of Grace</t>
  </si>
  <si>
    <t>In Italian, Santuario di Nostra Signora delle Grazie e Santa Maria Goretti.  The church houses the remains of St. Maria Goretti, and what is believed to be the statue of Our Lady of Grace.
The remains of St. Maria Goretti lie in the crypt beneath the basilica.  The bones are encased in a wax statue; she is not incorrupt.
The church contains a statue called Our Lady of Grace, which may be the original statue from Ipswich.  Our Lady of Ipswich, along with Our Lady of Walsingham, was one of the largest pilgrimage sites in England up until the Reformation.  During this period, Our Lady of Grace may have been smuggled to Italy.  In modern times, the faithful hold a procession with the statue on the first Saturday each May.</t>
  </si>
  <si>
    <t xml:space="preserve"> (Search "Ipswich")</t>
  </si>
  <si>
    <t>http://www.santuarionettuno.it/</t>
  </si>
  <si>
    <t>On the basilica grounds, to the left of the main nave is a gift shop.  The people there can help you get to St. Maria Goretti's home in La Ferriere.
-JPY
The statue is credited with at least one historic miracle by St. Thomas More, but details are lacking; Miracle Hunter's page references the associated [Wikipedia article](https://en.wikipedia.org/wiki/Our_Lady_of_Ipswich).
-JMM</t>
  </si>
  <si>
    <t>maria-goretti</t>
  </si>
  <si>
    <t>St. Maria Goretti</t>
  </si>
  <si>
    <t>Holy Persons</t>
  </si>
  <si>
    <t>our-lady-of-ipswich</t>
  </si>
  <si>
    <t>our-lady-of-grace</t>
  </si>
  <si>
    <t>Our Lady of Grace</t>
  </si>
  <si>
    <t>Our Lady of Ipswich</t>
  </si>
  <si>
    <t>regional</t>
  </si>
  <si>
    <t>Mexico City</t>
  </si>
  <si>
    <t>Sanctuary of Oropa</t>
  </si>
  <si>
    <t>Sanctuary of Oropa (Black Madonna of Oropa)</t>
  </si>
  <si>
    <t>https://www.santuariodioropa.it/en/</t>
  </si>
  <si>
    <t>pier-giorgio-frassati</t>
  </si>
  <si>
    <t>Bl. Pier Giorgio Frassati</t>
  </si>
  <si>
    <t>According to tradition, this statue was brought to Italy from the Holy Land by Bishop Eusebius of Vercelli in the fourth century A.D.
Bl. Pier Giorgio Frassati would also hike in this area.  His family villa was nearby, and he would visit the shrine regularly.
![Santuario di Oropa](https://www.santuariodioropa.it/wp-content/uploads/2022/05/panoramica-oropa-foto-Tracanna-1024x576.jpg)</t>
  </si>
  <si>
    <t>Marian Site</t>
  </si>
  <si>
    <t>Additional Tag 4</t>
  </si>
  <si>
    <t>Additional Tag 5</t>
  </si>
  <si>
    <t>Additional Tag 6</t>
  </si>
  <si>
    <t>Additional Tag 7</t>
  </si>
  <si>
    <t>Additional Tag 8</t>
  </si>
  <si>
    <t>Additional Tag 9</t>
  </si>
  <si>
    <t>Additional Tag 10</t>
  </si>
  <si>
    <t>Official Site Comment</t>
  </si>
  <si>
    <t>Link 1 Name</t>
  </si>
  <si>
    <t>Link 1 URL</t>
  </si>
  <si>
    <t>Official Site URL</t>
  </si>
  <si>
    <t>Link 1 Description</t>
  </si>
  <si>
    <t>Link 2 Name</t>
  </si>
  <si>
    <t>Link 2 URL</t>
  </si>
  <si>
    <t>Link 2 Description</t>
  </si>
  <si>
    <t>Link 3 Name</t>
  </si>
  <si>
    <t>Link 3 URL</t>
  </si>
  <si>
    <t>Link 3 Description</t>
  </si>
  <si>
    <t>AT1</t>
  </si>
  <si>
    <t>AT2</t>
  </si>
  <si>
    <t>AT3</t>
  </si>
  <si>
    <t>AT4</t>
  </si>
  <si>
    <t>AT5</t>
  </si>
  <si>
    <t>AT6</t>
  </si>
  <si>
    <t>AT7</t>
  </si>
  <si>
    <t>AT8</t>
  </si>
  <si>
    <t>AT9</t>
  </si>
  <si>
    <t>AT10</t>
  </si>
  <si>
    <t>Church</t>
  </si>
  <si>
    <t>MS</t>
  </si>
  <si>
    <t>HP</t>
  </si>
  <si>
    <t>Ch</t>
  </si>
  <si>
    <t>Co</t>
  </si>
  <si>
    <t>Ci</t>
  </si>
  <si>
    <t>AN</t>
  </si>
  <si>
    <t>MST</t>
  </si>
  <si>
    <t>RP</t>
  </si>
  <si>
    <t>AL1</t>
  </si>
  <si>
    <t>AL2</t>
  </si>
  <si>
    <t>AL3</t>
  </si>
  <si>
    <t>MSL</t>
  </si>
  <si>
    <t>SM</t>
  </si>
  <si>
    <t>Page Content</t>
  </si>
  <si>
    <t>According to ancient Christian tradition, Mary appeared to the apostle James the Greater as he was preaching in Spain.  In 40 AD, while facing severe discouragement, St. James was praying on the banks of the Ebro River when the Blessed Mother appeared to him on a column, encouraging him to persevere in his missionary efforts.  This apparition is unique because Mary would have bilocated while still alive in Jerusalem or Ephesus.</t>
  </si>
  <si>
    <t>In 1630, a statue of the Immaculate Conception was being transported inland when its couriers overnighted near the Lujan River.  The following morning, the wagon become unexplainably heavy and immovable until the statue was unloaded.  Interpreting this as a sign, the patron and drivers left the statue there, where a chapel was built for pilgrims.  Over time and with many healings, Lujan has become one of the most frequented pilgrimage destinations in the world.</t>
  </si>
  <si>
    <t>ALL</t>
  </si>
  <si>
    <t>https://doroszlo.net/</t>
  </si>
  <si>
    <t>Additional site</t>
  </si>
  <si>
    <t>https://www.facebook.com/poutnimistofilipov</t>
  </si>
  <si>
    <t>https://www.facebook.com/ngomemarianshrine/</t>
  </si>
  <si>
    <t>https://www.facebook.com/profile.php?id=100069705631532</t>
  </si>
  <si>
    <t>(note: website not active at time of writing)</t>
  </si>
  <si>
    <t>Official Facebook page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</si>
</sst>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Calibri"/>
      <family val="2"/>
      <scheme val="minor"/>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u/>
      <sz val="11"/>
      <color theme="10"/>
      <name val="Calibri"/>
      <family val="2"/>
      <scheme val="minor"/>
    </font>
    <font>
      <sz val="10"/>
      <color theme="1"/>
      <name val="Arial"/>
      <family val="2"/>
    </font>
    <font>
      <b/>
      <sz val="10"/>
      <color rgb="FF000000"/>
      <name val="Arial"/>
      <family val="2"/>
    </font>
    <font>
      <u/>
      <sz val="10"/>
      <color theme="10"/>
      <name val="Arial"/>
      <family val="2"/>
    </font>
    <font>
      <sz val="10"/>
      <color rgb="FF000000"/>
      <name val="Arial"/>
      <family val="2"/>
    </font>
    <font>
      <b/>
      <sz val="10"/>
      <color theme="1"/>
      <name val="Arial"/>
      <family val="2"/>
    </font>
    <font>
      <b/>
      <sz val="10"/>
      <color rgb="FF00B050"/>
      <name val="Arial"/>
      <family val="2"/>
    </font>
    <font>
      <sz val="10"/>
      <color rgb="FF00B050"/>
      <name val="Arial"/>
      <family val="2"/>
    </font>
    <font>
      <b/>
      <sz val="10"/>
      <color rgb="FF0070C0"/>
      <name val="Arial"/>
      <family val="2"/>
    </font>
    <font>
      <sz val="10"/>
      <color rgb="FF0070C0"/>
      <name val="Arial"/>
      <family val="2"/>
    </font>
    <font>
      <b/>
      <sz val="10"/>
      <name val="Arial"/>
      <family val="2"/>
    </font>
    <font>
      <sz val="8"/>
      <name val="Calibri"/>
      <family val="2"/>
      <scheme val="minor"/>
    </font>
    <font>
      <b/>
      <sz val="10"/>
      <color rgb="FFFF0000"/>
      <name val="Arial"/>
      <family val="2"/>
    </font>
  </fonts>
  <fills count="5">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8" tint="0.79998168889431442"/>
        <bgColor indexed="64"/>
      </patternFill>
    </fill>
  </fills>
  <borders count="12">
    <border>
      <left/>
      <right/>
      <top/>
      <bottom/>
      <diagonal/>
    </border>
    <border>
      <left/>
      <right style="thin">
        <color auto="1"/>
      </right>
      <top/>
      <bottom/>
      <diagonal/>
    </border>
    <border>
      <left style="thin">
        <color auto="1"/>
      </left>
      <right/>
      <top/>
      <bottom/>
      <diagonal/>
    </border>
    <border>
      <left style="dashed">
        <color auto="1"/>
      </left>
      <right/>
      <top/>
      <bottom/>
      <diagonal/>
    </border>
    <border>
      <left/>
      <right style="dashed">
        <color auto="1"/>
      </right>
      <top/>
      <bottom/>
      <diagonal/>
    </border>
    <border>
      <left/>
      <right/>
      <top/>
      <bottom style="medium">
        <color auto="1"/>
      </bottom>
      <diagonal/>
    </border>
    <border>
      <left/>
      <right style="thin">
        <color auto="1"/>
      </right>
      <top/>
      <bottom style="medium">
        <color auto="1"/>
      </bottom>
      <diagonal/>
    </border>
    <border>
      <left style="dashed">
        <color auto="1"/>
      </left>
      <right/>
      <top/>
      <bottom style="medium">
        <color auto="1"/>
      </bottom>
      <diagonal/>
    </border>
    <border>
      <left/>
      <right style="dashed">
        <color auto="1"/>
      </right>
      <top/>
      <bottom style="medium">
        <color auto="1"/>
      </bottom>
      <diagonal/>
    </border>
    <border>
      <left style="thin">
        <color auto="1"/>
      </left>
      <right/>
      <top/>
      <bottom style="medium">
        <color auto="1"/>
      </bottom>
      <diagonal/>
    </border>
    <border>
      <left/>
      <right style="medium">
        <color auto="1"/>
      </right>
      <top/>
      <bottom/>
      <diagonal/>
    </border>
    <border>
      <left/>
      <right style="medium">
        <color auto="1"/>
      </right>
      <top/>
      <bottom style="medium">
        <color auto="1"/>
      </bottom>
      <diagonal/>
    </border>
  </borders>
  <cellStyleXfs count="2">
    <xf numFmtId="0" fontId="0" fillId="0" borderId="0"/>
    <xf numFmtId="0" fontId="7" fillId="0" borderId="0" applyNumberFormat="0" applyFill="0" applyBorder="0" applyAlignment="0" applyProtection="0"/>
  </cellStyleXfs>
  <cellXfs count="122">
    <xf numFmtId="0" fontId="0" fillId="0" borderId="0" xfId="0"/>
    <xf numFmtId="0" fontId="8" fillId="0" borderId="0" xfId="0" applyFont="1"/>
    <xf numFmtId="0" fontId="12" fillId="0" borderId="0" xfId="0" applyFont="1" applyAlignment="1">
      <alignment vertical="top"/>
    </xf>
    <xf numFmtId="0" fontId="12" fillId="0" borderId="0" xfId="0" applyFont="1" applyAlignment="1">
      <alignment horizontal="left" vertical="top"/>
    </xf>
    <xf numFmtId="0" fontId="12" fillId="0" borderId="0" xfId="0" applyFont="1" applyAlignment="1">
      <alignment vertical="top" wrapText="1"/>
    </xf>
    <xf numFmtId="0" fontId="8" fillId="0" borderId="0" xfId="0" applyFont="1" applyAlignment="1">
      <alignment vertical="top"/>
    </xf>
    <xf numFmtId="0" fontId="9" fillId="0" borderId="0" xfId="0" applyFont="1" applyAlignment="1">
      <alignment horizontal="left" vertical="top"/>
    </xf>
    <xf numFmtId="0" fontId="10" fillId="0" borderId="0" xfId="1" applyFont="1" applyFill="1" applyAlignment="1">
      <alignment vertical="top"/>
    </xf>
    <xf numFmtId="0" fontId="11" fillId="0" borderId="0" xfId="0" applyFont="1" applyAlignment="1">
      <alignment vertical="top" wrapText="1"/>
    </xf>
    <xf numFmtId="0" fontId="9" fillId="0" borderId="0" xfId="0" applyFont="1" applyAlignment="1">
      <alignment vertical="top"/>
    </xf>
    <xf numFmtId="0" fontId="11" fillId="0" borderId="0" xfId="0" applyFont="1" applyAlignment="1">
      <alignment horizontal="left" vertical="top"/>
    </xf>
    <xf numFmtId="0" fontId="11" fillId="0" borderId="0" xfId="0" applyFont="1" applyAlignment="1">
      <alignment vertical="top"/>
    </xf>
    <xf numFmtId="0" fontId="8" fillId="0" borderId="0" xfId="0" applyFont="1" applyAlignment="1">
      <alignment horizontal="left" vertical="top"/>
    </xf>
    <xf numFmtId="0" fontId="8" fillId="0" borderId="0" xfId="0" applyFont="1" applyAlignment="1">
      <alignment vertical="top" wrapText="1"/>
    </xf>
    <xf numFmtId="0" fontId="12" fillId="0" borderId="0" xfId="0" applyFont="1" applyAlignment="1">
      <alignment vertical="center"/>
    </xf>
    <xf numFmtId="0" fontId="8" fillId="0" borderId="0" xfId="0" applyFont="1" applyAlignment="1">
      <alignment vertical="center"/>
    </xf>
    <xf numFmtId="0" fontId="8" fillId="0" borderId="0" xfId="0" quotePrefix="1" applyFont="1" applyAlignment="1">
      <alignment vertical="center"/>
    </xf>
    <xf numFmtId="0" fontId="0" fillId="2" borderId="0" xfId="0" applyFill="1"/>
    <xf numFmtId="0" fontId="0" fillId="3" borderId="0" xfId="0" applyFill="1"/>
    <xf numFmtId="0" fontId="7" fillId="3" borderId="0" xfId="1" applyFill="1"/>
    <xf numFmtId="0" fontId="12" fillId="0" borderId="0" xfId="0" applyFont="1"/>
    <xf numFmtId="0" fontId="4" fillId="0" borderId="0" xfId="0" applyFont="1"/>
    <xf numFmtId="0" fontId="4" fillId="2" borderId="0" xfId="0" applyFont="1" applyFill="1"/>
    <xf numFmtId="0" fontId="2" fillId="0" borderId="0" xfId="0" applyFont="1"/>
    <xf numFmtId="0" fontId="16" fillId="0" borderId="0" xfId="0" applyFont="1" applyBorder="1" applyAlignment="1">
      <alignment vertical="center"/>
    </xf>
    <xf numFmtId="0" fontId="12" fillId="0" borderId="0" xfId="0" applyFont="1" applyBorder="1" applyAlignment="1">
      <alignment vertical="center"/>
    </xf>
    <xf numFmtId="0" fontId="17" fillId="0" borderId="0" xfId="0" applyFont="1" applyBorder="1" applyAlignment="1">
      <alignment vertical="center"/>
    </xf>
    <xf numFmtId="0" fontId="13" fillId="0" borderId="0" xfId="0" applyFont="1" applyBorder="1" applyAlignment="1">
      <alignment vertical="center"/>
    </xf>
    <xf numFmtId="0" fontId="17" fillId="0" borderId="0" xfId="1" applyFont="1" applyFill="1" applyBorder="1" applyAlignment="1">
      <alignment horizontal="left" vertical="center"/>
    </xf>
    <xf numFmtId="0" fontId="8" fillId="0" borderId="0" xfId="0" applyFont="1" applyBorder="1" applyAlignment="1">
      <alignment vertical="center" wrapText="1"/>
    </xf>
    <xf numFmtId="0" fontId="8" fillId="0" borderId="0" xfId="0" applyFont="1" applyBorder="1" applyAlignment="1">
      <alignment vertical="center"/>
    </xf>
    <xf numFmtId="0" fontId="8" fillId="0" borderId="0" xfId="0" applyFont="1" applyBorder="1" applyAlignment="1">
      <alignment horizontal="left" vertical="center"/>
    </xf>
    <xf numFmtId="0" fontId="3" fillId="0" borderId="0" xfId="0" applyFont="1" applyBorder="1" applyAlignment="1">
      <alignment vertical="center"/>
    </xf>
    <xf numFmtId="0" fontId="8" fillId="0" borderId="0" xfId="0" quotePrefix="1" applyFont="1" applyBorder="1" applyAlignment="1">
      <alignment vertical="center"/>
    </xf>
    <xf numFmtId="0" fontId="4" fillId="0" borderId="0" xfId="0" quotePrefix="1" applyFont="1" applyBorder="1" applyAlignment="1">
      <alignment vertical="center"/>
    </xf>
    <xf numFmtId="0" fontId="4" fillId="0" borderId="0" xfId="0" applyFont="1" applyBorder="1" applyAlignment="1">
      <alignment vertical="center" wrapText="1"/>
    </xf>
    <xf numFmtId="0" fontId="14" fillId="0" borderId="0" xfId="0" applyFont="1" applyBorder="1" applyAlignment="1">
      <alignment vertical="center" wrapText="1"/>
    </xf>
    <xf numFmtId="0" fontId="14" fillId="0" borderId="0" xfId="0" applyFont="1" applyBorder="1" applyAlignment="1">
      <alignment vertical="center"/>
    </xf>
    <xf numFmtId="0" fontId="14" fillId="0" borderId="0" xfId="0" quotePrefix="1" applyFont="1" applyBorder="1" applyAlignment="1">
      <alignment vertical="center"/>
    </xf>
    <xf numFmtId="0" fontId="16" fillId="0" borderId="0" xfId="0" applyFont="1" applyBorder="1" applyAlignment="1">
      <alignment vertical="center" wrapText="1"/>
    </xf>
    <xf numFmtId="0" fontId="5" fillId="0" borderId="0" xfId="0" applyFont="1" applyBorder="1" applyAlignment="1">
      <alignment vertical="center" wrapText="1"/>
    </xf>
    <xf numFmtId="0" fontId="5" fillId="0" borderId="0" xfId="0" quotePrefix="1" applyFont="1" applyBorder="1" applyAlignment="1">
      <alignment vertical="center"/>
    </xf>
    <xf numFmtId="0" fontId="5" fillId="0" borderId="0" xfId="0" applyFont="1" applyBorder="1" applyAlignment="1">
      <alignment vertical="center"/>
    </xf>
    <xf numFmtId="0" fontId="2" fillId="0" borderId="0" xfId="0" applyFont="1" applyBorder="1" applyAlignment="1">
      <alignment vertical="center"/>
    </xf>
    <xf numFmtId="0" fontId="8" fillId="0" borderId="0" xfId="0" quotePrefix="1" applyFont="1" applyBorder="1" applyAlignment="1">
      <alignment vertical="center" wrapText="1"/>
    </xf>
    <xf numFmtId="0" fontId="4" fillId="0" borderId="0" xfId="0" quotePrefix="1" applyFont="1" applyBorder="1" applyAlignment="1">
      <alignment vertical="center" wrapText="1"/>
    </xf>
    <xf numFmtId="0" fontId="14" fillId="0" borderId="0" xfId="0" quotePrefix="1" applyFont="1" applyBorder="1" applyAlignment="1">
      <alignment vertical="center" wrapText="1"/>
    </xf>
    <xf numFmtId="0" fontId="4" fillId="0" borderId="0" xfId="0" applyFont="1" applyBorder="1" applyAlignment="1">
      <alignment vertical="center"/>
    </xf>
    <xf numFmtId="0" fontId="3" fillId="0" borderId="0" xfId="0" applyFont="1" applyBorder="1" applyAlignment="1">
      <alignment vertical="center" wrapText="1"/>
    </xf>
    <xf numFmtId="0" fontId="4" fillId="0" borderId="0" xfId="0" applyFont="1" applyBorder="1" applyAlignment="1">
      <alignment horizontal="left" vertical="center"/>
    </xf>
    <xf numFmtId="0" fontId="6" fillId="0" borderId="0" xfId="0" applyFont="1" applyBorder="1" applyAlignment="1">
      <alignment vertical="center" wrapText="1"/>
    </xf>
    <xf numFmtId="0" fontId="6" fillId="0" borderId="0" xfId="0" applyFont="1" applyBorder="1" applyAlignment="1">
      <alignment vertical="center"/>
    </xf>
    <xf numFmtId="0" fontId="8" fillId="2" borderId="0" xfId="0" applyFont="1" applyFill="1" applyBorder="1" applyAlignment="1">
      <alignment vertical="center" wrapText="1"/>
    </xf>
    <xf numFmtId="0" fontId="8" fillId="2" borderId="0" xfId="0" applyFont="1" applyFill="1" applyBorder="1" applyAlignment="1">
      <alignment vertical="center"/>
    </xf>
    <xf numFmtId="0" fontId="2" fillId="0" borderId="0" xfId="0" applyFont="1" applyBorder="1" applyAlignment="1">
      <alignment vertical="center" wrapText="1"/>
    </xf>
    <xf numFmtId="0" fontId="2" fillId="0" borderId="0" xfId="0" quotePrefix="1" applyFont="1" applyBorder="1" applyAlignment="1">
      <alignment vertical="center" wrapText="1"/>
    </xf>
    <xf numFmtId="0" fontId="12" fillId="4" borderId="0" xfId="0" applyFont="1" applyFill="1" applyBorder="1" applyAlignment="1">
      <alignment vertical="center"/>
    </xf>
    <xf numFmtId="0" fontId="17" fillId="4" borderId="0" xfId="1" applyFont="1" applyFill="1" applyBorder="1" applyAlignment="1">
      <alignment horizontal="left" vertical="center"/>
    </xf>
    <xf numFmtId="0" fontId="8" fillId="4" borderId="0" xfId="0" applyFont="1" applyFill="1" applyBorder="1" applyAlignment="1">
      <alignment vertical="center" wrapText="1"/>
    </xf>
    <xf numFmtId="0" fontId="8" fillId="4" borderId="0" xfId="0" applyFont="1" applyFill="1" applyBorder="1" applyAlignment="1">
      <alignment vertical="center"/>
    </xf>
    <xf numFmtId="0" fontId="8" fillId="4" borderId="0" xfId="0" applyFont="1" applyFill="1" applyBorder="1" applyAlignment="1">
      <alignment horizontal="left" vertical="center"/>
    </xf>
    <xf numFmtId="0" fontId="8" fillId="4" borderId="0" xfId="0" quotePrefix="1" applyFont="1" applyFill="1" applyBorder="1" applyAlignment="1">
      <alignment vertical="center" wrapText="1"/>
    </xf>
    <xf numFmtId="0" fontId="14" fillId="4" borderId="0" xfId="0" applyFont="1" applyFill="1" applyBorder="1" applyAlignment="1">
      <alignment vertical="center"/>
    </xf>
    <xf numFmtId="0" fontId="14" fillId="4" borderId="0" xfId="0" quotePrefix="1" applyFont="1" applyFill="1" applyBorder="1" applyAlignment="1">
      <alignment vertical="center" wrapText="1"/>
    </xf>
    <xf numFmtId="0" fontId="2" fillId="0" borderId="0" xfId="0" applyFont="1" applyBorder="1" applyAlignment="1">
      <alignment horizontal="left" vertical="center"/>
    </xf>
    <xf numFmtId="0" fontId="1" fillId="0" borderId="0" xfId="0" applyFont="1" applyBorder="1" applyAlignment="1">
      <alignment vertical="center" wrapText="1"/>
    </xf>
    <xf numFmtId="0" fontId="1" fillId="0" borderId="0" xfId="0" applyFont="1" applyBorder="1" applyAlignment="1">
      <alignment vertical="center"/>
    </xf>
    <xf numFmtId="0" fontId="8" fillId="0" borderId="1" xfId="0" applyFont="1" applyBorder="1" applyAlignment="1">
      <alignment vertical="center"/>
    </xf>
    <xf numFmtId="0" fontId="8" fillId="0" borderId="1" xfId="0" quotePrefix="1" applyFont="1" applyBorder="1" applyAlignment="1">
      <alignment vertical="center"/>
    </xf>
    <xf numFmtId="0" fontId="5" fillId="0" borderId="1" xfId="0" quotePrefix="1" applyFont="1" applyBorder="1" applyAlignment="1">
      <alignment vertical="center"/>
    </xf>
    <xf numFmtId="0" fontId="8" fillId="4" borderId="1" xfId="0" applyFont="1" applyFill="1" applyBorder="1" applyAlignment="1">
      <alignment vertical="center"/>
    </xf>
    <xf numFmtId="0" fontId="8" fillId="0" borderId="2" xfId="0" applyFont="1" applyBorder="1" applyAlignment="1">
      <alignment vertical="center"/>
    </xf>
    <xf numFmtId="0" fontId="5" fillId="0" borderId="2" xfId="0" quotePrefix="1" applyFont="1" applyBorder="1" applyAlignment="1">
      <alignment vertical="center"/>
    </xf>
    <xf numFmtId="0" fontId="8" fillId="0" borderId="2" xfId="0" quotePrefix="1" applyFont="1" applyBorder="1" applyAlignment="1">
      <alignment vertical="center"/>
    </xf>
    <xf numFmtId="0" fontId="8" fillId="4" borderId="2" xfId="0" applyFont="1" applyFill="1" applyBorder="1" applyAlignment="1">
      <alignment vertical="center"/>
    </xf>
    <xf numFmtId="0" fontId="8" fillId="0" borderId="1" xfId="0" applyFont="1" applyBorder="1" applyAlignment="1">
      <alignment vertical="center" wrapText="1"/>
    </xf>
    <xf numFmtId="0" fontId="3" fillId="0" borderId="1" xfId="0" applyFont="1" applyBorder="1" applyAlignment="1">
      <alignment vertical="center" wrapText="1"/>
    </xf>
    <xf numFmtId="0" fontId="4" fillId="0" borderId="1" xfId="0" applyFont="1" applyBorder="1" applyAlignment="1">
      <alignment vertical="center" wrapText="1"/>
    </xf>
    <xf numFmtId="0" fontId="6" fillId="0" borderId="1" xfId="0" applyFont="1" applyBorder="1" applyAlignment="1">
      <alignment vertical="center" wrapText="1"/>
    </xf>
    <xf numFmtId="0" fontId="5" fillId="0" borderId="1" xfId="0" applyFont="1" applyBorder="1" applyAlignment="1">
      <alignment vertical="center" wrapText="1"/>
    </xf>
    <xf numFmtId="0" fontId="2" fillId="0" borderId="1" xfId="0" applyFont="1" applyBorder="1" applyAlignment="1">
      <alignment vertical="center" wrapText="1"/>
    </xf>
    <xf numFmtId="0" fontId="8" fillId="4" borderId="1" xfId="0" applyFont="1" applyFill="1" applyBorder="1" applyAlignment="1">
      <alignment vertical="center" wrapText="1"/>
    </xf>
    <xf numFmtId="0" fontId="8" fillId="0" borderId="3" xfId="0" quotePrefix="1" applyFont="1" applyBorder="1" applyAlignment="1">
      <alignment vertical="center"/>
    </xf>
    <xf numFmtId="0" fontId="8" fillId="0" borderId="3" xfId="0" applyFont="1" applyBorder="1" applyAlignment="1">
      <alignment vertical="center"/>
    </xf>
    <xf numFmtId="0" fontId="5" fillId="0" borderId="3" xfId="0" applyFont="1" applyBorder="1" applyAlignment="1">
      <alignment vertical="center"/>
    </xf>
    <xf numFmtId="0" fontId="8" fillId="4" borderId="3" xfId="0" applyFont="1" applyFill="1" applyBorder="1" applyAlignment="1">
      <alignment vertical="center"/>
    </xf>
    <xf numFmtId="0" fontId="2" fillId="0" borderId="3" xfId="0" applyFont="1" applyBorder="1" applyAlignment="1">
      <alignment vertical="center"/>
    </xf>
    <xf numFmtId="0" fontId="8" fillId="0" borderId="4" xfId="0" quotePrefix="1" applyFont="1" applyBorder="1" applyAlignment="1">
      <alignment vertical="center"/>
    </xf>
    <xf numFmtId="0" fontId="8" fillId="0" borderId="4" xfId="0" applyFont="1" applyBorder="1" applyAlignment="1">
      <alignment vertical="center"/>
    </xf>
    <xf numFmtId="0" fontId="5" fillId="0" borderId="4" xfId="0" applyFont="1" applyBorder="1" applyAlignment="1">
      <alignment vertical="center"/>
    </xf>
    <xf numFmtId="0" fontId="8" fillId="4" borderId="4" xfId="0" applyFont="1" applyFill="1" applyBorder="1" applyAlignment="1">
      <alignment vertical="center"/>
    </xf>
    <xf numFmtId="0" fontId="2" fillId="0" borderId="4" xfId="0" applyFont="1" applyBorder="1" applyAlignment="1">
      <alignment vertical="center"/>
    </xf>
    <xf numFmtId="0" fontId="12" fillId="0" borderId="5" xfId="0" applyFont="1" applyBorder="1" applyAlignment="1">
      <alignment vertical="center"/>
    </xf>
    <xf numFmtId="0" fontId="17" fillId="0" borderId="5" xfId="0" applyFont="1" applyBorder="1" applyAlignment="1">
      <alignment vertical="center"/>
    </xf>
    <xf numFmtId="0" fontId="12" fillId="0" borderId="5" xfId="0" applyFont="1" applyBorder="1" applyAlignment="1">
      <alignment vertical="center" wrapText="1"/>
    </xf>
    <xf numFmtId="0" fontId="12" fillId="0" borderId="5" xfId="0" applyFont="1" applyBorder="1" applyAlignment="1">
      <alignment horizontal="left" vertical="center"/>
    </xf>
    <xf numFmtId="0" fontId="12" fillId="0" borderId="6" xfId="0" applyFont="1" applyBorder="1" applyAlignment="1">
      <alignment vertical="center" wrapText="1"/>
    </xf>
    <xf numFmtId="0" fontId="12" fillId="0" borderId="7" xfId="0" applyFont="1" applyBorder="1" applyAlignment="1">
      <alignment vertical="center"/>
    </xf>
    <xf numFmtId="0" fontId="12" fillId="0" borderId="8" xfId="0" applyFont="1" applyBorder="1" applyAlignment="1">
      <alignment vertical="center"/>
    </xf>
    <xf numFmtId="0" fontId="12" fillId="0" borderId="9" xfId="0" applyFont="1" applyBorder="1" applyAlignment="1">
      <alignment vertical="center"/>
    </xf>
    <xf numFmtId="0" fontId="12" fillId="0" borderId="6" xfId="0" applyFont="1" applyBorder="1" applyAlignment="1">
      <alignment vertical="center"/>
    </xf>
    <xf numFmtId="0" fontId="13" fillId="0" borderId="5" xfId="0" applyFont="1" applyBorder="1" applyAlignment="1">
      <alignment vertical="center" wrapText="1"/>
    </xf>
    <xf numFmtId="0" fontId="13" fillId="0" borderId="5" xfId="0" applyFont="1" applyBorder="1" applyAlignment="1">
      <alignment vertical="center"/>
    </xf>
    <xf numFmtId="0" fontId="15" fillId="0" borderId="5" xfId="0" applyFont="1" applyBorder="1" applyAlignment="1">
      <alignment vertical="center" wrapText="1"/>
    </xf>
    <xf numFmtId="0" fontId="15" fillId="0" borderId="5" xfId="0" applyFont="1" applyBorder="1" applyAlignment="1">
      <alignment vertical="center"/>
    </xf>
    <xf numFmtId="0" fontId="8" fillId="2" borderId="1" xfId="0" applyFont="1" applyFill="1" applyBorder="1" applyAlignment="1">
      <alignment vertical="center" wrapText="1"/>
    </xf>
    <xf numFmtId="0" fontId="12" fillId="0" borderId="11" xfId="0" applyFont="1" applyBorder="1" applyAlignment="1">
      <alignment vertical="center"/>
    </xf>
    <xf numFmtId="0" fontId="4" fillId="0" borderId="10" xfId="0" quotePrefix="1" applyFont="1" applyBorder="1" applyAlignment="1">
      <alignment vertical="center"/>
    </xf>
    <xf numFmtId="0" fontId="8" fillId="0" borderId="10" xfId="0" applyFont="1" applyBorder="1" applyAlignment="1">
      <alignment vertical="center"/>
    </xf>
    <xf numFmtId="0" fontId="5" fillId="0" borderId="10" xfId="0" applyFont="1" applyBorder="1" applyAlignment="1">
      <alignment vertical="center"/>
    </xf>
    <xf numFmtId="0" fontId="8" fillId="0" borderId="10" xfId="0" quotePrefix="1" applyFont="1" applyBorder="1" applyAlignment="1">
      <alignment vertical="center" wrapText="1"/>
    </xf>
    <xf numFmtId="0" fontId="4" fillId="0" borderId="10" xfId="0" applyFont="1" applyBorder="1" applyAlignment="1">
      <alignment vertical="center"/>
    </xf>
    <xf numFmtId="0" fontId="8" fillId="0" borderId="10" xfId="0" applyFont="1" applyBorder="1" applyAlignment="1">
      <alignment vertical="center" wrapText="1"/>
    </xf>
    <xf numFmtId="0" fontId="8" fillId="0" borderId="10" xfId="0" quotePrefix="1" applyFont="1" applyBorder="1" applyAlignment="1">
      <alignment vertical="center"/>
    </xf>
    <xf numFmtId="0" fontId="2" fillId="0" borderId="10" xfId="0" quotePrefix="1" applyFont="1" applyBorder="1" applyAlignment="1">
      <alignment vertical="center" wrapText="1"/>
    </xf>
    <xf numFmtId="0" fontId="8" fillId="4" borderId="10" xfId="0" quotePrefix="1" applyFont="1" applyFill="1" applyBorder="1" applyAlignment="1">
      <alignment vertical="center" wrapText="1"/>
    </xf>
    <xf numFmtId="0" fontId="2" fillId="0" borderId="10" xfId="0" applyFont="1" applyBorder="1" applyAlignment="1">
      <alignment vertical="center"/>
    </xf>
    <xf numFmtId="0" fontId="19" fillId="0" borderId="5" xfId="0" applyFont="1" applyBorder="1" applyAlignment="1">
      <alignment vertical="center"/>
    </xf>
    <xf numFmtId="0" fontId="1" fillId="0" borderId="0" xfId="0" quotePrefix="1" applyFont="1" applyBorder="1" applyAlignment="1">
      <alignment vertical="center"/>
    </xf>
    <xf numFmtId="0" fontId="1" fillId="0" borderId="3" xfId="0" quotePrefix="1" applyFont="1" applyBorder="1" applyAlignment="1">
      <alignment vertical="center"/>
    </xf>
    <xf numFmtId="0" fontId="1" fillId="0" borderId="4" xfId="0" quotePrefix="1" applyFont="1" applyBorder="1" applyAlignment="1">
      <alignment vertical="center"/>
    </xf>
    <xf numFmtId="0" fontId="1" fillId="0" borderId="3" xfId="0" applyFont="1" applyBorder="1" applyAlignment="1">
      <alignment vertical="center"/>
    </xf>
  </cellXfs>
  <cellStyles count="2">
    <cellStyle name="Hyperlink" xfId="1" builtinId="8"/>
    <cellStyle name="Normal" xfId="0" builtinId="0"/>
  </cellStyles>
  <dxfs count="64">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9" tint="0.79998168889431442"/>
        </patternFill>
      </fill>
      <border>
        <vertical/>
        <horizontal/>
      </border>
    </dxf>
    <dxf>
      <fill>
        <patternFill>
          <bgColor theme="8" tint="0.79998168889431442"/>
        </patternFill>
      </fill>
    </dxf>
    <dxf>
      <fill>
        <patternFill>
          <bgColor theme="7"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9" tint="0.79998168889431442"/>
        </patternFill>
      </fill>
      <border>
        <vertical/>
        <horizontal/>
      </border>
    </dxf>
    <dxf>
      <fill>
        <patternFill>
          <bgColor theme="8" tint="0.79998168889431442"/>
        </patternFill>
      </fill>
    </dxf>
    <dxf>
      <fill>
        <patternFill>
          <bgColor theme="7" tint="0.79998168889431442"/>
        </patternFill>
      </fill>
    </dxf>
    <dxf>
      <fill>
        <patternFill>
          <bgColor rgb="FFFF0000"/>
        </patternFill>
      </fill>
    </dxf>
    <dxf>
      <fill>
        <patternFill>
          <bgColor theme="9" tint="0.79998168889431442"/>
        </patternFill>
      </fill>
      <border>
        <vertical/>
        <horizontal/>
      </border>
    </dxf>
    <dxf>
      <fill>
        <patternFill>
          <bgColor theme="8" tint="0.79998168889431442"/>
        </patternFill>
      </fill>
    </dxf>
    <dxf>
      <fill>
        <patternFill>
          <bgColor theme="7" tint="0.79998168889431442"/>
        </patternFill>
      </fill>
    </dxf>
    <dxf>
      <fill>
        <patternFill>
          <bgColor rgb="FFFF0000"/>
        </patternFill>
      </fill>
    </dxf>
    <dxf>
      <fill>
        <patternFill>
          <bgColor theme="9" tint="0.79998168889431442"/>
        </patternFill>
      </fill>
      <border>
        <vertical/>
        <horizontal/>
      </border>
    </dxf>
    <dxf>
      <fill>
        <patternFill>
          <bgColor theme="8" tint="0.79998168889431442"/>
        </patternFill>
      </fill>
    </dxf>
    <dxf>
      <fill>
        <patternFill>
          <bgColor theme="7" tint="0.79998168889431442"/>
        </patternFill>
      </fill>
    </dxf>
    <dxf>
      <fill>
        <patternFill>
          <bgColor rgb="FFFF0000"/>
        </patternFill>
      </fill>
    </dxf>
    <dxf>
      <fill>
        <patternFill>
          <bgColor theme="9" tint="0.79998168889431442"/>
        </patternFill>
      </fill>
      <border>
        <vertical/>
        <horizontal/>
      </border>
    </dxf>
    <dxf>
      <fill>
        <patternFill>
          <bgColor theme="8" tint="0.79998168889431442"/>
        </patternFill>
      </fill>
    </dxf>
    <dxf>
      <fill>
        <patternFill>
          <bgColor theme="7" tint="0.79998168889431442"/>
        </patternFill>
      </fill>
    </dxf>
    <dxf>
      <fill>
        <patternFill>
          <bgColor theme="9" tint="0.79998168889431442"/>
        </patternFill>
      </fill>
      <border>
        <vertical/>
        <horizontal/>
      </border>
    </dxf>
    <dxf>
      <fill>
        <patternFill>
          <bgColor theme="8" tint="0.79998168889431442"/>
        </patternFill>
      </fill>
    </dxf>
    <dxf>
      <fill>
        <patternFill>
          <bgColor theme="7" tint="0.79998168889431442"/>
        </patternFill>
      </fill>
    </dxf>
    <dxf>
      <fill>
        <patternFill>
          <bgColor rgb="FFFF0000"/>
        </patternFill>
      </fill>
    </dxf>
    <dxf>
      <fill>
        <patternFill>
          <bgColor theme="9" tint="0.79998168889431442"/>
        </patternFill>
      </fill>
      <border>
        <vertical/>
        <horizontal/>
      </border>
    </dxf>
    <dxf>
      <fill>
        <patternFill>
          <bgColor theme="8" tint="0.79998168889431442"/>
        </patternFill>
      </fill>
    </dxf>
    <dxf>
      <fill>
        <patternFill>
          <bgColor theme="7"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lourdes-france.org/" TargetMode="External"/><Relationship Id="rId2" Type="http://schemas.openxmlformats.org/officeDocument/2006/relationships/hyperlink" Target="https://www.fatima.pt/" TargetMode="External"/><Relationship Id="rId1" Type="http://schemas.openxmlformats.org/officeDocument/2006/relationships/hyperlink" Target="https://www.ourladyofsiluva.org/" TargetMode="External"/><Relationship Id="rId4" Type="http://schemas.openxmlformats.org/officeDocument/2006/relationships/hyperlink" Target="https://virgendeguadalupe.org.mx/" TargetMode="External"/></Relationships>
</file>

<file path=xl/worksheets/_rels/sheet2.xml.rels><?xml version="1.0" encoding="UTF-8" standalone="yes"?>
<Relationships xmlns="http://schemas.openxmlformats.org/package/2006/relationships"><Relationship Id="rId117" Type="http://schemas.openxmlformats.org/officeDocument/2006/relationships/hyperlink" Target="http://www.therealpresence.org/eucharst/misc/BVM/89_FILIPOV_96x96.pdf" TargetMode="External"/><Relationship Id="rId21" Type="http://schemas.openxmlformats.org/officeDocument/2006/relationships/hyperlink" Target="http://www.therealpresence.org/eucharst/misc/BVM/13_VALVERDE_60x96.pdf" TargetMode="External"/><Relationship Id="rId42" Type="http://schemas.openxmlformats.org/officeDocument/2006/relationships/hyperlink" Target="http://www.therealpresence.org/eucharst/misc/BVM/47_BETTOLA_60x96.pdf" TargetMode="External"/><Relationship Id="rId63" Type="http://schemas.openxmlformats.org/officeDocument/2006/relationships/hyperlink" Target="http://www.therealpresence.org/eucharst/misc/BVM/116_VACCIAGO_60x96.pdf" TargetMode="External"/><Relationship Id="rId84" Type="http://schemas.openxmlformats.org/officeDocument/2006/relationships/hyperlink" Target="http://www.therealpresence.org/eucharst/misc/BVM/88_MANAOAG_60x96.pdf" TargetMode="External"/><Relationship Id="rId138" Type="http://schemas.openxmlformats.org/officeDocument/2006/relationships/hyperlink" Target="http://www.therealpresence.org/eucharst/misc/BVM/128_KALLIKULAM_60x96.pdf" TargetMode="External"/><Relationship Id="rId107" Type="http://schemas.openxmlformats.org/officeDocument/2006/relationships/hyperlink" Target="http://www.therealpresence.org/eucharst/misc/BVM/126_ORNANS_60x96.pdf" TargetMode="External"/><Relationship Id="rId11" Type="http://schemas.openxmlformats.org/officeDocument/2006/relationships/hyperlink" Target="http://www.therealpresence.org/eucharst/misc/BVM/138_SWIETA_LIPKA_60x96.pdf" TargetMode="External"/><Relationship Id="rId32" Type="http://schemas.openxmlformats.org/officeDocument/2006/relationships/hyperlink" Target="http://www.therealpresence.org/eucharst/misc/BVM/75_BADIA_DI_CAVA_60x96.pdf" TargetMode="External"/><Relationship Id="rId53" Type="http://schemas.openxmlformats.org/officeDocument/2006/relationships/hyperlink" Target="http://www.therealpresence.org/eucharst/misc/BVM/34_ADRO_60x96.pdf" TargetMode="External"/><Relationship Id="rId74" Type="http://schemas.openxmlformats.org/officeDocument/2006/relationships/hyperlink" Target="http://www.therealpresence.org/eucharst/misc/BVM/131_QUINCHE_60x96.pdf" TargetMode="External"/><Relationship Id="rId128" Type="http://schemas.openxmlformats.org/officeDocument/2006/relationships/hyperlink" Target="http://www.therealpresence.org/eucharst/misc/BVM/154_FATIMA_96x96_1.pdf" TargetMode="External"/><Relationship Id="rId149" Type="http://schemas.openxmlformats.org/officeDocument/2006/relationships/hyperlink" Target="http://www.therealpresence.org/eucharst/misc/BVM/01_AKITA_60x96.pdf" TargetMode="External"/><Relationship Id="rId5" Type="http://schemas.openxmlformats.org/officeDocument/2006/relationships/hyperlink" Target="http://www.therealpresence.org/eucharst/misc/BVM/121_MONTSERRAT_60x96.pdf" TargetMode="External"/><Relationship Id="rId95" Type="http://schemas.openxmlformats.org/officeDocument/2006/relationships/hyperlink" Target="http://www.therealpresence.org/eucharst/misc/BVM/54_SAN_BARTOLOMEO_60x96.pdf" TargetMode="External"/><Relationship Id="rId22" Type="http://schemas.openxmlformats.org/officeDocument/2006/relationships/hyperlink" Target="http://www.therealpresence.org/eucharst/misc/BVM/43_CASTEL_GODEGO_60x96.pdf" TargetMode="External"/><Relationship Id="rId27" Type="http://schemas.openxmlformats.org/officeDocument/2006/relationships/hyperlink" Target="http://www.therealpresence.org/eucharst/misc/BVM/105_FUERTEVENTURA_60x96.pdf" TargetMode="External"/><Relationship Id="rId43" Type="http://schemas.openxmlformats.org/officeDocument/2006/relationships/hyperlink" Target="http://www.therealpresence.org/eucharst/misc/BVM/65_MOLARE_60x96.pdf" TargetMode="External"/><Relationship Id="rId48" Type="http://schemas.openxmlformats.org/officeDocument/2006/relationships/hyperlink" Target="http://www.therealpresence.org/eucharst/misc/BVM/122_MOTTA_DI_LIV_96x96.pdf" TargetMode="External"/><Relationship Id="rId64" Type="http://schemas.openxmlformats.org/officeDocument/2006/relationships/hyperlink" Target="http://www.therealpresence.org/eucharst/misc/BVM/60_PIETRALBA_96x96.pdf" TargetMode="External"/><Relationship Id="rId69" Type="http://schemas.openxmlformats.org/officeDocument/2006/relationships/hyperlink" Target="http://www.therealpresence.org/eucharst/misc/BVM/141_MONCRIVELLO_60x96.pdf" TargetMode="External"/><Relationship Id="rId113" Type="http://schemas.openxmlformats.org/officeDocument/2006/relationships/hyperlink" Target="http://www.therealpresence.org/eucharst/misc/BVM/27_PORZUS_60x96.pdf" TargetMode="External"/><Relationship Id="rId118" Type="http://schemas.openxmlformats.org/officeDocument/2006/relationships/hyperlink" Target="http://www.therealpresence.org/eucharst/misc/BVM/26_PONTMAIN_60x96.pdf" TargetMode="External"/><Relationship Id="rId134" Type="http://schemas.openxmlformats.org/officeDocument/2006/relationships/hyperlink" Target="http://www.therealpresence.org/eucharst/misc/BVM/39_BANNEAUX_96x96.pdf" TargetMode="External"/><Relationship Id="rId139" Type="http://schemas.openxmlformats.org/officeDocument/2006/relationships/hyperlink" Target="http://www.therealpresence.org/eucharst/misc/BVM/149_MARIENFRIED_140x96.pdf" TargetMode="External"/><Relationship Id="rId80" Type="http://schemas.openxmlformats.org/officeDocument/2006/relationships/hyperlink" Target="http://www.therealpresence.org/eucharst/misc/BVM/94_CAYSASAY_60x96.pdf" TargetMode="External"/><Relationship Id="rId85" Type="http://schemas.openxmlformats.org/officeDocument/2006/relationships/hyperlink" Target="http://www.therealpresence.org/eucharst/misc/BVM/102_CUBA_96x96.pdf" TargetMode="External"/><Relationship Id="rId150" Type="http://schemas.openxmlformats.org/officeDocument/2006/relationships/hyperlink" Target="http://www.therealpresence.org/eucharst/misc/BVM/16_CUAPA_60x96.pdf" TargetMode="External"/><Relationship Id="rId12" Type="http://schemas.openxmlformats.org/officeDocument/2006/relationships/hyperlink" Target="http://www.therealpresence.org/eucharst/misc/BVM/38_ASSISI_60x96.pdf" TargetMode="External"/><Relationship Id="rId17" Type="http://schemas.openxmlformats.org/officeDocument/2006/relationships/hyperlink" Target="http://www.therealpresence.org/eucharst/misc/BVM/133_ROMA_POZZO_60x96.pdf" TargetMode="External"/><Relationship Id="rId33" Type="http://schemas.openxmlformats.org/officeDocument/2006/relationships/hyperlink" Target="http://www.therealpresence.org/eucharst/misc/BVM/42_BOCCADIRIO_60x96.pdf" TargetMode="External"/><Relationship Id="rId38" Type="http://schemas.openxmlformats.org/officeDocument/2006/relationships/hyperlink" Target="http://www.therealpresence.org/eucharst/misc/BVM/64_GENOVA_60x96.pdf" TargetMode="External"/><Relationship Id="rId59" Type="http://schemas.openxmlformats.org/officeDocument/2006/relationships/hyperlink" Target="http://www.therealpresence.org/eucharst/misc/BVM/70_GUADALUPE_96x96.pdf" TargetMode="External"/><Relationship Id="rId103" Type="http://schemas.openxmlformats.org/officeDocument/2006/relationships/hyperlink" Target="http://www.therealpresence.org/eucharst/misc/BVM/95_CHAGUAYA_60x96.pdf" TargetMode="External"/><Relationship Id="rId108" Type="http://schemas.openxmlformats.org/officeDocument/2006/relationships/hyperlink" Target="http://www.therealpresence.org/eucharst/misc/BVM/110_LICHEN_96x96.pdf" TargetMode="External"/><Relationship Id="rId124" Type="http://schemas.openxmlformats.org/officeDocument/2006/relationships/hyperlink" Target="http://www.therealpresence.org/eucharst/misc/BVM/82_CASTELPETROSO_60x96.pdf" TargetMode="External"/><Relationship Id="rId129" Type="http://schemas.openxmlformats.org/officeDocument/2006/relationships/hyperlink" Target="http://www.therealpresence.org/eucharst/misc/BVM/46_TORINO_60x96.pdf" TargetMode="External"/><Relationship Id="rId54" Type="http://schemas.openxmlformats.org/officeDocument/2006/relationships/hyperlink" Target="http://www.therealpresence.org/eucharst/misc/BVM/83_COTIGNAC_60x96.pdf" TargetMode="External"/><Relationship Id="rId70" Type="http://schemas.openxmlformats.org/officeDocument/2006/relationships/hyperlink" Target="http://www.therealpresence.org/eucharst/misc/BVM/140_GOZO_60x96.pdf" TargetMode="External"/><Relationship Id="rId75" Type="http://schemas.openxmlformats.org/officeDocument/2006/relationships/hyperlink" Target="http://www.therealpresence.org/eucharst/misc/BVM/132_QUITO_96x96.pdf" TargetMode="External"/><Relationship Id="rId91" Type="http://schemas.openxmlformats.org/officeDocument/2006/relationships/hyperlink" Target="http://www.therealpresence.org/eucharst/misc/BVM/14_GUANARE_60x96.pdf" TargetMode="External"/><Relationship Id="rId96" Type="http://schemas.openxmlformats.org/officeDocument/2006/relationships/hyperlink" Target="http://www.therealpresence.org/eucharst/misc/BVM/145_GYOR_96x96.pdf" TargetMode="External"/><Relationship Id="rId140" Type="http://schemas.openxmlformats.org/officeDocument/2006/relationships/hyperlink" Target="http://www.therealpresence.org/eucharst/misc/BVM/152_SIEKIERKI_96x96.pdf" TargetMode="External"/><Relationship Id="rId145" Type="http://schemas.openxmlformats.org/officeDocument/2006/relationships/hyperlink" Target="http://www.therealpresence.org/eucharst/misc/BVM/28_SIRACUSA_60x96.pdf" TargetMode="External"/><Relationship Id="rId1" Type="http://schemas.openxmlformats.org/officeDocument/2006/relationships/hyperlink" Target="http://www.therealpresence.org/eucharst/misc/BVM/09_ZARAGOZA_60x96.pdf" TargetMode="External"/><Relationship Id="rId6" Type="http://schemas.openxmlformats.org/officeDocument/2006/relationships/hyperlink" Target="http://www.therealpresence.org/eucharst/misc/BVM/153_WALSINGHAM_60x96.pdf" TargetMode="External"/><Relationship Id="rId23" Type="http://schemas.openxmlformats.org/officeDocument/2006/relationships/hyperlink" Target="http://www.therealpresence.org/eucharst/misc/BVM/100_CORDOBA_60x96.pdf" TargetMode="External"/><Relationship Id="rId28" Type="http://schemas.openxmlformats.org/officeDocument/2006/relationships/hyperlink" Target="http://www.therealpresence.org/eucharst/misc/BVM/115_S_ANASTASIA_96x96.pdf" TargetMode="External"/><Relationship Id="rId49" Type="http://schemas.openxmlformats.org/officeDocument/2006/relationships/hyperlink" Target="http://www.therealpresence.org/eucharst/misc/BVM/66_PESCHIERA_S-GARDA_60x96.pdf" TargetMode="External"/><Relationship Id="rId114" Type="http://schemas.openxmlformats.org/officeDocument/2006/relationships/hyperlink" Target="http://www.therealpresence.org/eucharst/misc/BVM/40_LOURDES_140x96.pdf" TargetMode="External"/><Relationship Id="rId119" Type="http://schemas.openxmlformats.org/officeDocument/2006/relationships/hyperlink" Target="http://www.therealpresence.org/eucharst/misc/BVM/135_S_BAUZILLE_96x96.pdf" TargetMode="External"/><Relationship Id="rId44" Type="http://schemas.openxmlformats.org/officeDocument/2006/relationships/hyperlink" Target="http://www.therealpresence.org/eucharst/misc/BVM/32_VAILANKANNI_60x96.pdf" TargetMode="External"/><Relationship Id="rId60" Type="http://schemas.openxmlformats.org/officeDocument/2006/relationships/hyperlink" Target="http://www.therealpresence.org/eucharst/misc/BVM/29_SAVONA_60x96.pdf" TargetMode="External"/><Relationship Id="rId65" Type="http://schemas.openxmlformats.org/officeDocument/2006/relationships/hyperlink" Target="http://www.therealpresence.org/eucharst/misc/BVM/10_CORBETTA_60x96.pdf" TargetMode="External"/><Relationship Id="rId81" Type="http://schemas.openxmlformats.org/officeDocument/2006/relationships/hyperlink" Target="http://www.therealpresence.org/eucharst/misc/BVM/104_DOROSZLO_60x96.pdf" TargetMode="External"/><Relationship Id="rId86" Type="http://schemas.openxmlformats.org/officeDocument/2006/relationships/hyperlink" Target="http://www.therealpresence.org/eucharst/misc/BVM/22_MONFERRATO_60x96.pdf" TargetMode="External"/><Relationship Id="rId130" Type="http://schemas.openxmlformats.org/officeDocument/2006/relationships/hyperlink" Target="http://www.therealpresence.org/eucharst/misc/BVM/04_CERNUSCO_60x96.pdf" TargetMode="External"/><Relationship Id="rId135" Type="http://schemas.openxmlformats.org/officeDocument/2006/relationships/hyperlink" Target="http://www.therealpresence.org/eucharst/misc/BVM/151_PESQUEIRA_140x96.pdf" TargetMode="External"/><Relationship Id="rId151" Type="http://schemas.openxmlformats.org/officeDocument/2006/relationships/hyperlink" Target="http://www.therealpresence.org/eucharst/misc/BVM/20_KIBEHO_96x96.pdf" TargetMode="External"/><Relationship Id="rId13" Type="http://schemas.openxmlformats.org/officeDocument/2006/relationships/hyperlink" Target="http://www.therealpresence.org/eucharst/misc/BVM/136_ARCOS_60x96.pdf" TargetMode="External"/><Relationship Id="rId18" Type="http://schemas.openxmlformats.org/officeDocument/2006/relationships/hyperlink" Target="http://www.therealpresence.org/eucharst/misc/BVM/148_LORETO_140x96.pdf" TargetMode="External"/><Relationship Id="rId39" Type="http://schemas.openxmlformats.org/officeDocument/2006/relationships/hyperlink" Target="http://www.therealpresence.org/eucharst/misc/BVM/24_TROIS_EPIS_60x96.pdf" TargetMode="External"/><Relationship Id="rId109" Type="http://schemas.openxmlformats.org/officeDocument/2006/relationships/hyperlink" Target="http://www.therealpresence.org/eucharst/misc/BVM/06_PARIGI_60x96.pdf" TargetMode="External"/><Relationship Id="rId34" Type="http://schemas.openxmlformats.org/officeDocument/2006/relationships/hyperlink" Target="http://www.therealpresence.org/eucharst/misc/BVM/106_TEROR_60x96.pdf" TargetMode="External"/><Relationship Id="rId50" Type="http://schemas.openxmlformats.org/officeDocument/2006/relationships/hyperlink" Target="http://www.therealpresence.org/eucharst/misc/BVM/41_BERGAMO_60x96.pdf" TargetMode="External"/><Relationship Id="rId55" Type="http://schemas.openxmlformats.org/officeDocument/2006/relationships/hyperlink" Target="http://www.therealpresence.org/eucharst/misc/BVM/114_CORI_60x96.pdf" TargetMode="External"/><Relationship Id="rId76" Type="http://schemas.openxmlformats.org/officeDocument/2006/relationships/hyperlink" Target="http://www.therealpresence.org/eucharst/misc/BVM/120_RAPALLO_60x96.pdf" TargetMode="External"/><Relationship Id="rId97" Type="http://schemas.openxmlformats.org/officeDocument/2006/relationships/hyperlink" Target="http://www.therealpresence.org/eucharst/misc/BVM/73_COTOCA_60x96.pdf" TargetMode="External"/><Relationship Id="rId104" Type="http://schemas.openxmlformats.org/officeDocument/2006/relationships/hyperlink" Target="http://www.therealpresence.org/eucharst/misc/BVM/109_LAJAS_96x96.pdf" TargetMode="External"/><Relationship Id="rId120" Type="http://schemas.openxmlformats.org/officeDocument/2006/relationships/hyperlink" Target="http://www.therealpresence.org/eucharst/misc/BVM/25_POMPEI_96x96.pdf" TargetMode="External"/><Relationship Id="rId125" Type="http://schemas.openxmlformats.org/officeDocument/2006/relationships/hyperlink" Target="http://www.therealpresence.org/eucharst/misc/BVM/139_SZCZYRK_60x96.pdf" TargetMode="External"/><Relationship Id="rId141" Type="http://schemas.openxmlformats.org/officeDocument/2006/relationships/hyperlink" Target="http://www.therealpresence.org/eucharst/misc/BVM/99_CODOSERA_140x96.pdf" TargetMode="External"/><Relationship Id="rId146" Type="http://schemas.openxmlformats.org/officeDocument/2006/relationships/hyperlink" Target="http://www.therealpresence.org/eucharst/misc/BVM/124_NGOME_140x96.pdf" TargetMode="External"/><Relationship Id="rId7" Type="http://schemas.openxmlformats.org/officeDocument/2006/relationships/hyperlink" Target="http://www.therealpresence.org/eucharst/misc/BVM/80_MONTEFORTINO_60x96.pdf" TargetMode="External"/><Relationship Id="rId71" Type="http://schemas.openxmlformats.org/officeDocument/2006/relationships/hyperlink" Target="http://www.therealpresence.org/eucharst/misc/BVM/52_CASALBORDINO_60x96.pdf" TargetMode="External"/><Relationship Id="rId92" Type="http://schemas.openxmlformats.org/officeDocument/2006/relationships/hyperlink" Target="http://www.therealpresence.org/eucharst/misc/BVM/108_LA_PRENESSAYE_60x96.pdf" TargetMode="External"/><Relationship Id="rId2" Type="http://schemas.openxmlformats.org/officeDocument/2006/relationships/hyperlink" Target="http://www.therealpresence.org/eucharst/misc/BVM/68_LE_PUY_60x96.pdf" TargetMode="External"/><Relationship Id="rId29" Type="http://schemas.openxmlformats.org/officeDocument/2006/relationships/hyperlink" Target="http://www.therealpresence.org/eucharst/misc/BVM/45_GHISALBA_60x96.pdf" TargetMode="External"/><Relationship Id="rId24" Type="http://schemas.openxmlformats.org/officeDocument/2006/relationships/hyperlink" Target="http://www.therealpresence.org/eucharst/misc/BVM/58_MONTE_BERICO_60x96.pdf" TargetMode="External"/><Relationship Id="rId40" Type="http://schemas.openxmlformats.org/officeDocument/2006/relationships/hyperlink" Target="http://www.therealpresence.org/eucharst/misc/BVM/51_GALLIVAGGIO_60x96.pdf" TargetMode="External"/><Relationship Id="rId45" Type="http://schemas.openxmlformats.org/officeDocument/2006/relationships/hyperlink" Target="http://www.therealpresence.org/eucharst/misc/BVM/98_ANDACOLLO_CILE_60x96.pdf" TargetMode="External"/><Relationship Id="rId66" Type="http://schemas.openxmlformats.org/officeDocument/2006/relationships/hyperlink" Target="http://www.therealpresence.org/eucharst/misc/BVM/02_ARCOLA_60x96.pdf" TargetMode="External"/><Relationship Id="rId87" Type="http://schemas.openxmlformats.org/officeDocument/2006/relationships/hyperlink" Target="http://www.therealpresence.org/eucharst/misc/BVM/118_MARBACH_60x96.pdf" TargetMode="External"/><Relationship Id="rId110" Type="http://schemas.openxmlformats.org/officeDocument/2006/relationships/hyperlink" Target="http://www.therealpresence.org/eucharst/misc/BVM/23_ROMA_60x96.pdf" TargetMode="External"/><Relationship Id="rId115" Type="http://schemas.openxmlformats.org/officeDocument/2006/relationships/hyperlink" Target="http://www.therealpresence.org/eucharst/misc/BVM/96_CHAMPION_140x96.pdf" TargetMode="External"/><Relationship Id="rId131" Type="http://schemas.openxmlformats.org/officeDocument/2006/relationships/hyperlink" Target="http://www.therealpresence.org/eucharst/misc/BVM/31_PONTEVEDRA_96x96.pdf" TargetMode="External"/><Relationship Id="rId136" Type="http://schemas.openxmlformats.org/officeDocument/2006/relationships/hyperlink" Target="http://www.therealpresence.org/eucharst/misc/BVM/146_HEEDE_140x96.pdf" TargetMode="External"/><Relationship Id="rId61" Type="http://schemas.openxmlformats.org/officeDocument/2006/relationships/hyperlink" Target="http://www.therealpresence.org/eucharst/misc/BVM/137_SVETA_GORA_60x96.pdf" TargetMode="External"/><Relationship Id="rId82" Type="http://schemas.openxmlformats.org/officeDocument/2006/relationships/hyperlink" Target="http://www.therealpresence.org/eucharst/misc/BVM/36_ARDESIO_60x96.pdf" TargetMode="External"/><Relationship Id="rId152" Type="http://schemas.openxmlformats.org/officeDocument/2006/relationships/hyperlink" Target="http://www.therealpresence.org/eucharst/misc/BVM/143_NAMYANG_96x96.pdf" TargetMode="External"/><Relationship Id="rId19" Type="http://schemas.openxmlformats.org/officeDocument/2006/relationships/hyperlink" Target="http://www.therealpresence.org/eucharst/misc/BVM/44_BRA_60x96.pdf" TargetMode="External"/><Relationship Id="rId14" Type="http://schemas.openxmlformats.org/officeDocument/2006/relationships/hyperlink" Target="http://www.therealpresence.org/eucharst/misc/BVM/35_CORTES_60x96.pdf" TargetMode="External"/><Relationship Id="rId30" Type="http://schemas.openxmlformats.org/officeDocument/2006/relationships/hyperlink" Target="http://www.therealpresence.org/eucharst/misc/BVM/72_GARLASCO_60x96.pdf" TargetMode="External"/><Relationship Id="rId35" Type="http://schemas.openxmlformats.org/officeDocument/2006/relationships/hyperlink" Target="http://www.therealpresence.org/eucharst/misc/BVM/49_IMOLA_60x96.pdf" TargetMode="External"/><Relationship Id="rId56" Type="http://schemas.openxmlformats.org/officeDocument/2006/relationships/hyperlink" Target="http://www.therealpresence.org/eucharst/misc/BVM/48_CUSSANIO_60x96.pdf" TargetMode="External"/><Relationship Id="rId77" Type="http://schemas.openxmlformats.org/officeDocument/2006/relationships/hyperlink" Target="http://www.therealpresence.org/eucharst/misc/BVM/61_BETHARRAM_60x96.pdf" TargetMode="External"/><Relationship Id="rId100" Type="http://schemas.openxmlformats.org/officeDocument/2006/relationships/hyperlink" Target="http://www.therealpresence.org/eucharst/misc/BVM/77_VALE_DO_PARAIBA_60x96.pdf" TargetMode="External"/><Relationship Id="rId105" Type="http://schemas.openxmlformats.org/officeDocument/2006/relationships/hyperlink" Target="http://www.therealpresence.org/eucharst/misc/BVM/33_ABSAM_60x96.pdf" TargetMode="External"/><Relationship Id="rId126" Type="http://schemas.openxmlformats.org/officeDocument/2006/relationships/hyperlink" Target="http://www.therealpresence.org/eucharst/misc/BVM/91_BETANIA_96x96.pdf" TargetMode="External"/><Relationship Id="rId147" Type="http://schemas.openxmlformats.org/officeDocument/2006/relationships/hyperlink" Target="http://www.therealpresence.org/eucharst/misc/BVM/150_FOSTORIA_140x96.pdf" TargetMode="External"/><Relationship Id="rId8" Type="http://schemas.openxmlformats.org/officeDocument/2006/relationships/hyperlink" Target="http://www.therealpresence.org/eucharst/misc/BVM/86_FOGGIA_60x96.pdf" TargetMode="External"/><Relationship Id="rId51" Type="http://schemas.openxmlformats.org/officeDocument/2006/relationships/hyperlink" Target="http://www.therealpresence.org/eucharst/misc/BVM/134_RZESZOW_96x96.pdf" TargetMode="External"/><Relationship Id="rId72" Type="http://schemas.openxmlformats.org/officeDocument/2006/relationships/hyperlink" Target="http://www.therealpresence.org/eucharst/misc/BVM/129_LUMARZO_60x96.pdf" TargetMode="External"/><Relationship Id="rId93" Type="http://schemas.openxmlformats.org/officeDocument/2006/relationships/hyperlink" Target="http://www.therealpresence.org/eucharst/misc/BVM/08_PIEVE_DI_TAGLIAM_60x96.pdf" TargetMode="External"/><Relationship Id="rId98" Type="http://schemas.openxmlformats.org/officeDocument/2006/relationships/hyperlink" Target="http://www.therealpresence.org/eucharst/misc/BVM/142_QUILLACOLLO_60x96.pdf" TargetMode="External"/><Relationship Id="rId121" Type="http://schemas.openxmlformats.org/officeDocument/2006/relationships/hyperlink" Target="http://www.therealpresence.org/eucharst/misc/BVM/07_PELLEVOISIN_60x96.pdf" TargetMode="External"/><Relationship Id="rId142" Type="http://schemas.openxmlformats.org/officeDocument/2006/relationships/hyperlink" Target="http://www.therealpresence.org/eucharst/misc/BVM/19_ILE_BOUCHARD_96x96.pdf" TargetMode="External"/><Relationship Id="rId3" Type="http://schemas.openxmlformats.org/officeDocument/2006/relationships/hyperlink" Target="http://www.therealpresence.org/eucharst/misc/BVM/117_ROMA_60x96.pdf" TargetMode="External"/><Relationship Id="rId25" Type="http://schemas.openxmlformats.org/officeDocument/2006/relationships/hyperlink" Target="http://www.therealpresence.org/eucharst/misc/BVM/15_CARAVAGGIO_60x96.pdf" TargetMode="External"/><Relationship Id="rId46" Type="http://schemas.openxmlformats.org/officeDocument/2006/relationships/hyperlink" Target="http://www.therealpresence.org/eucharst/misc/BVM/111_LUGGAU_60x96.pdf" TargetMode="External"/><Relationship Id="rId67" Type="http://schemas.openxmlformats.org/officeDocument/2006/relationships/hyperlink" Target="http://www.therealpresence.org/eucharst/misc/BVM/56_GIULIANOVA_96x96.pdf" TargetMode="External"/><Relationship Id="rId116" Type="http://schemas.openxmlformats.org/officeDocument/2006/relationships/hyperlink" Target="http://www.therealpresence.org/eucharst/misc/BVM/12_MONTEFALCO_60x96.pdf" TargetMode="External"/><Relationship Id="rId137" Type="http://schemas.openxmlformats.org/officeDocument/2006/relationships/hyperlink" Target="http://www.therealpresence.org/eucharst/misc/BVM/119_MILANO_96x96.pdf" TargetMode="External"/><Relationship Id="rId20" Type="http://schemas.openxmlformats.org/officeDocument/2006/relationships/hyperlink" Target="http://www.therealpresence.org/eucharst/misc/BVM/74_ROVERANO_60x96.pdf" TargetMode="External"/><Relationship Id="rId41" Type="http://schemas.openxmlformats.org/officeDocument/2006/relationships/hyperlink" Target="http://www.therealpresence.org/eucharst/misc/BVM/87_RE_60x96.pdf" TargetMode="External"/><Relationship Id="rId62" Type="http://schemas.openxmlformats.org/officeDocument/2006/relationships/hyperlink" Target="http://www.therealpresence.org/eucharst/misc/BVM/127_OCOTLAN_96x96.pdf" TargetMode="External"/><Relationship Id="rId83" Type="http://schemas.openxmlformats.org/officeDocument/2006/relationships/hyperlink" Target="http://www.therealpresence.org/eucharst/misc/BVM/57_SILUVA_96x96.pdf" TargetMode="External"/><Relationship Id="rId88" Type="http://schemas.openxmlformats.org/officeDocument/2006/relationships/hyperlink" Target="http://www.therealpresence.org/eucharst/misc/BVM/101_CARTAGO_60x96.pdf" TargetMode="External"/><Relationship Id="rId111" Type="http://schemas.openxmlformats.org/officeDocument/2006/relationships/hyperlink" Target="http://www.therealpresence.org/eucharst/misc/BVM/30_LA_SALETTE_96x96.pdf" TargetMode="External"/><Relationship Id="rId132" Type="http://schemas.openxmlformats.org/officeDocument/2006/relationships/hyperlink" Target="http://www.therealpresence.org/eucharst/misc/BVM/93_CAMPINAS_140x96.pdf" TargetMode="External"/><Relationship Id="rId153" Type="http://schemas.openxmlformats.org/officeDocument/2006/relationships/hyperlink" Target="http://www.therealpresence.org/eucharst/misc/BVM/76_AOKPE_140x96.pdf" TargetMode="External"/><Relationship Id="rId15" Type="http://schemas.openxmlformats.org/officeDocument/2006/relationships/hyperlink" Target="http://www.therealpresence.org/eucharst/misc/BVM/18_FIRENZE_60x96.pdf" TargetMode="External"/><Relationship Id="rId36" Type="http://schemas.openxmlformats.org/officeDocument/2006/relationships/hyperlink" Target="http://www.therealpresence.org/eucharst/misc/BVM/67_AGRES_60x96.pdf" TargetMode="External"/><Relationship Id="rId57" Type="http://schemas.openxmlformats.org/officeDocument/2006/relationships/hyperlink" Target="http://www.therealpresence.org/eucharst/misc/BVM/53_CRESCENTINO_60x96.pdf" TargetMode="External"/><Relationship Id="rId106" Type="http://schemas.openxmlformats.org/officeDocument/2006/relationships/hyperlink" Target="http://www.therealpresence.org/eucharst/misc/BVM/21_LAVANG_60x96.pdf" TargetMode="External"/><Relationship Id="rId127" Type="http://schemas.openxmlformats.org/officeDocument/2006/relationships/hyperlink" Target="http://www.therealpresence.org/eucharst/misc/BVM/103_DONG_LU_96x96.pdf" TargetMode="External"/><Relationship Id="rId10" Type="http://schemas.openxmlformats.org/officeDocument/2006/relationships/hyperlink" Target="http://www.therealpresence.org/eucharst/misc/BVM/123_NAZARE_96x96.pdf" TargetMode="External"/><Relationship Id="rId31" Type="http://schemas.openxmlformats.org/officeDocument/2006/relationships/hyperlink" Target="http://www.therealpresence.org/eucharst/misc/BVM/71_GENAZZANO_60x96.pdf" TargetMode="External"/><Relationship Id="rId52" Type="http://schemas.openxmlformats.org/officeDocument/2006/relationships/hyperlink" Target="http://www.therealpresence.org/eucharst/misc/BVM/84_GARAISON_60x96.pdf" TargetMode="External"/><Relationship Id="rId73" Type="http://schemas.openxmlformats.org/officeDocument/2006/relationships/hyperlink" Target="http://www.therealpresence.org/eucharst/misc/BVM/97_CHIQUINQUIRA_96x96.pdf" TargetMode="External"/><Relationship Id="rId78" Type="http://schemas.openxmlformats.org/officeDocument/2006/relationships/hyperlink" Target="http://www.therealpresence.org/eucharst/misc/BVM/112_LUJAN_96x96.pdf" TargetMode="External"/><Relationship Id="rId94" Type="http://schemas.openxmlformats.org/officeDocument/2006/relationships/hyperlink" Target="http://www.therealpresence.org/eucharst/misc/BVM/69_LAUS_140x96.pdf" TargetMode="External"/><Relationship Id="rId99" Type="http://schemas.openxmlformats.org/officeDocument/2006/relationships/hyperlink" Target="http://www.therealpresence.org/eucharst/misc/BVM/130_PELLESTRINA_96x96.pdf" TargetMode="External"/><Relationship Id="rId101" Type="http://schemas.openxmlformats.org/officeDocument/2006/relationships/hyperlink" Target="http://www.therealpresence.org/eucharst/misc/BVM/59_MONTAGNAGA_96x96.pdf" TargetMode="External"/><Relationship Id="rId122" Type="http://schemas.openxmlformats.org/officeDocument/2006/relationships/hyperlink" Target="http://www.therealpresence.org/eucharst/misc/BVM/85_GIETRZALD_96x96.pdf" TargetMode="External"/><Relationship Id="rId143" Type="http://schemas.openxmlformats.org/officeDocument/2006/relationships/hyperlink" Target="http://www.therealpresence.org/eucharst/misc/BVM/147_HEROLDSBACH_140x96.pdf" TargetMode="External"/><Relationship Id="rId148" Type="http://schemas.openxmlformats.org/officeDocument/2006/relationships/hyperlink" Target="http://www.therealpresence.org/eucharst/misc/BVM/144_ZEITUN_96x96.pdf" TargetMode="External"/><Relationship Id="rId4" Type="http://schemas.openxmlformats.org/officeDocument/2006/relationships/hyperlink" Target="http://www.therealpresence.org/eucharst/misc/BVM/90_TINDARI_60x96.pdf" TargetMode="External"/><Relationship Id="rId9" Type="http://schemas.openxmlformats.org/officeDocument/2006/relationships/hyperlink" Target="http://www.therealpresence.org/eucharst/misc/BVM/37_ARRAS_60x96.pdf" TargetMode="External"/><Relationship Id="rId26" Type="http://schemas.openxmlformats.org/officeDocument/2006/relationships/hyperlink" Target="http://www.therealpresence.org/eucharst/misc/BVM/50_DESENZANO_DI_ALBINO_60x96.pd.pdf" TargetMode="External"/><Relationship Id="rId47" Type="http://schemas.openxmlformats.org/officeDocument/2006/relationships/hyperlink" Target="http://www.therealpresence.org/eucharst/misc/BVM/79_TIRANO_96x96.pdf" TargetMode="External"/><Relationship Id="rId68" Type="http://schemas.openxmlformats.org/officeDocument/2006/relationships/hyperlink" Target="http://www.therealpresence.org/eucharst/misc/BVM/62_GEROSA_60x96.pdf" TargetMode="External"/><Relationship Id="rId89" Type="http://schemas.openxmlformats.org/officeDocument/2006/relationships/hyperlink" Target="http://www.therealpresence.org/eucharst/misc/BVM/107_KEVELAER_96x96.pdf" TargetMode="External"/><Relationship Id="rId112" Type="http://schemas.openxmlformats.org/officeDocument/2006/relationships/hyperlink" Target="http://www.therealpresence.org/eucharst/misc/BVM/03_BORGO_CERRETO_60x96.pdf" TargetMode="External"/><Relationship Id="rId133" Type="http://schemas.openxmlformats.org/officeDocument/2006/relationships/hyperlink" Target="http://www.therealpresence.org/eucharst/misc/BVM/11_BEAURAING_60x96.pdf" TargetMode="External"/><Relationship Id="rId16" Type="http://schemas.openxmlformats.org/officeDocument/2006/relationships/hyperlink" Target="http://www.therealpresence.org/eucharst/misc/BVM/05_AYLESFORD_60x96.pdf" TargetMode="External"/><Relationship Id="rId37" Type="http://schemas.openxmlformats.org/officeDocument/2006/relationships/hyperlink" Target="http://www.therealpresence.org/eucharst/misc/BVM/55_MADONNA_DEL_SASSO_60x96.pdf" TargetMode="External"/><Relationship Id="rId58" Type="http://schemas.openxmlformats.org/officeDocument/2006/relationships/hyperlink" Target="http://www.therealpresence.org/eucharst/misc/BVM/81_ORNAVASSO_60x96.pdf" TargetMode="External"/><Relationship Id="rId79" Type="http://schemas.openxmlformats.org/officeDocument/2006/relationships/hyperlink" Target="http://www.therealpresence.org/eucharst/misc/BVM/92_CAACUPE_96x96.pdf" TargetMode="External"/><Relationship Id="rId102" Type="http://schemas.openxmlformats.org/officeDocument/2006/relationships/hyperlink" Target="http://www.therealpresence.org/eucharst/misc/BVM/17_DIVINO_AMORE_60x96.pdf" TargetMode="External"/><Relationship Id="rId123" Type="http://schemas.openxmlformats.org/officeDocument/2006/relationships/hyperlink" Target="http://www.therealpresence.org/eucharst/misc/BVM/63_KNOCK_60x96.pdf" TargetMode="External"/><Relationship Id="rId144" Type="http://schemas.openxmlformats.org/officeDocument/2006/relationships/hyperlink" Target="http://www.therealpresence.org/eucharst/misc/BVM/113_ROGOROTTO_60x96.pdf" TargetMode="External"/><Relationship Id="rId90" Type="http://schemas.openxmlformats.org/officeDocument/2006/relationships/hyperlink" Target="http://www.therealpresence.org/eucharst/misc/BVM/125_PLANTEES_60x96.pdf"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www.miraclehunter.com/marian_apparitions/approved_apparitions/toledo/index.html" TargetMode="External"/><Relationship Id="rId3" Type="http://schemas.openxmlformats.org/officeDocument/2006/relationships/hyperlink" Target="https://www.miraclehunter.com/marian_apparitions/approved_apparitions/myra/index.html" TargetMode="External"/><Relationship Id="rId7" Type="http://schemas.openxmlformats.org/officeDocument/2006/relationships/hyperlink" Target="https://www.miraclehunter.com/marian_apparitions/approved_apparitions/genoa/index.html" TargetMode="External"/><Relationship Id="rId2" Type="http://schemas.openxmlformats.org/officeDocument/2006/relationships/hyperlink" Target="https://www.miraclehunter.com/marian_apparitions/approved_apparitions/lenola/index.html" TargetMode="External"/><Relationship Id="rId1" Type="http://schemas.openxmlformats.org/officeDocument/2006/relationships/hyperlink" Target="https://www.miraclehunter.com/marian_apparitions/approved_apparitions/neocaesarea/index.html" TargetMode="External"/><Relationship Id="rId6" Type="http://schemas.openxmlformats.org/officeDocument/2006/relationships/hyperlink" Target="https://www.miraclehunter.com/marian_apparitions/approved_apparitions/tagaste/index.html" TargetMode="External"/><Relationship Id="rId5" Type="http://schemas.openxmlformats.org/officeDocument/2006/relationships/hyperlink" Target="https://www.miraclehunter.com/marian_apparitions/approved_apparitions/tours/index.html" TargetMode="External"/><Relationship Id="rId10" Type="http://schemas.openxmlformats.org/officeDocument/2006/relationships/hyperlink" Target="http://www.salvemariaregina.info/" TargetMode="External"/><Relationship Id="rId4" Type="http://schemas.openxmlformats.org/officeDocument/2006/relationships/hyperlink" Target="https://www.miraclehunter.com/marian_apparitions/approved_apparitions/caesarea/index.html" TargetMode="External"/><Relationship Id="rId9" Type="http://schemas.openxmlformats.org/officeDocument/2006/relationships/hyperlink" Target="https://www.miraclehunter.com/marian_apparitions/approved_apparitions/benevento/index.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E309CC-FA49-4023-9000-8624B69B6953}">
  <sheetPr codeName="Sheet3"/>
  <dimension ref="A1:U23"/>
  <sheetViews>
    <sheetView workbookViewId="0">
      <selection activeCell="A2" sqref="A2:XFD10"/>
    </sheetView>
  </sheetViews>
  <sheetFormatPr defaultRowHeight="15" x14ac:dyDescent="0.25"/>
  <cols>
    <col min="1" max="1" width="2.7109375" bestFit="1" customWidth="1"/>
    <col min="2" max="2" width="7.5703125" bestFit="1" customWidth="1"/>
    <col min="3" max="3" width="71.5703125" bestFit="1" customWidth="1"/>
    <col min="4" max="4" width="11" bestFit="1" customWidth="1"/>
    <col min="5" max="5" width="3.5703125" bestFit="1" customWidth="1"/>
    <col min="6" max="6" width="60" bestFit="1" customWidth="1"/>
    <col min="7" max="7" width="4.7109375" bestFit="1" customWidth="1"/>
    <col min="8" max="8" width="3.28515625" bestFit="1" customWidth="1"/>
    <col min="9" max="9" width="3.7109375" bestFit="1" customWidth="1"/>
    <col min="10" max="10" width="15.5703125" customWidth="1"/>
    <col min="11" max="11" width="5.42578125" bestFit="1" customWidth="1"/>
    <col min="12" max="12" width="45.28515625" bestFit="1" customWidth="1"/>
    <col min="14" max="14" width="8.5703125" bestFit="1" customWidth="1"/>
    <col min="15" max="15" width="9.42578125" bestFit="1" customWidth="1"/>
    <col min="16" max="16" width="6.28515625" bestFit="1" customWidth="1"/>
    <col min="17" max="17" width="5" bestFit="1" customWidth="1"/>
    <col min="18" max="18" width="3.85546875" bestFit="1" customWidth="1"/>
    <col min="19" max="19" width="6" bestFit="1" customWidth="1"/>
    <col min="20" max="20" width="10.7109375" bestFit="1" customWidth="1"/>
    <col min="21" max="21" width="10.5703125" bestFit="1" customWidth="1"/>
  </cols>
  <sheetData>
    <row r="1" spans="1:21" x14ac:dyDescent="0.25">
      <c r="A1" t="s">
        <v>452</v>
      </c>
      <c r="B1" t="s">
        <v>451</v>
      </c>
      <c r="C1" t="s">
        <v>450</v>
      </c>
      <c r="D1" t="s">
        <v>449</v>
      </c>
      <c r="E1" t="s">
        <v>448</v>
      </c>
      <c r="F1" t="s">
        <v>447</v>
      </c>
      <c r="G1" t="s">
        <v>446</v>
      </c>
      <c r="H1" t="s">
        <v>445</v>
      </c>
      <c r="I1" t="s">
        <v>444</v>
      </c>
      <c r="K1" t="s">
        <v>443</v>
      </c>
      <c r="L1" t="s">
        <v>442</v>
      </c>
      <c r="M1" t="s">
        <v>441</v>
      </c>
      <c r="N1" t="s">
        <v>440</v>
      </c>
      <c r="O1" t="s">
        <v>439</v>
      </c>
      <c r="P1" t="s">
        <v>438</v>
      </c>
      <c r="Q1" t="s">
        <v>437</v>
      </c>
      <c r="R1" t="s">
        <v>436</v>
      </c>
      <c r="S1" t="s">
        <v>435</v>
      </c>
      <c r="T1" t="s">
        <v>434</v>
      </c>
      <c r="U1" t="s">
        <v>433</v>
      </c>
    </row>
    <row r="2" spans="1:21" s="18" customFormat="1" x14ac:dyDescent="0.25">
      <c r="A2" s="18">
        <v>2</v>
      </c>
      <c r="B2" s="18">
        <v>1</v>
      </c>
      <c r="C2" s="18" t="s">
        <v>432</v>
      </c>
      <c r="F2" s="19" t="s">
        <v>431</v>
      </c>
      <c r="H2" s="18">
        <v>19.483432799999999</v>
      </c>
      <c r="I2" s="18">
        <v>-99.117410300000003</v>
      </c>
      <c r="K2" s="18">
        <v>0</v>
      </c>
      <c r="L2" s="18" t="s">
        <v>430</v>
      </c>
      <c r="M2" s="18">
        <v>0</v>
      </c>
      <c r="N2" s="18" t="s">
        <v>399</v>
      </c>
      <c r="O2" s="18">
        <v>1</v>
      </c>
      <c r="P2" s="18">
        <v>0</v>
      </c>
      <c r="Q2" s="18">
        <v>0</v>
      </c>
      <c r="S2" s="18">
        <v>0</v>
      </c>
      <c r="U2" s="18">
        <v>0</v>
      </c>
    </row>
    <row r="3" spans="1:21" s="18" customFormat="1" x14ac:dyDescent="0.25">
      <c r="A3" s="18">
        <v>3</v>
      </c>
      <c r="B3" s="18">
        <v>1</v>
      </c>
      <c r="C3" s="18" t="s">
        <v>429</v>
      </c>
      <c r="F3" s="19" t="s">
        <v>428</v>
      </c>
      <c r="H3" s="18">
        <v>43.0974206</v>
      </c>
      <c r="I3" s="18">
        <v>-5.8261100000000003E-2</v>
      </c>
      <c r="K3" s="18">
        <v>0</v>
      </c>
      <c r="L3" s="18" t="s">
        <v>373</v>
      </c>
      <c r="M3" s="18">
        <v>0</v>
      </c>
      <c r="N3" s="18" t="s">
        <v>399</v>
      </c>
      <c r="O3" s="18">
        <v>1</v>
      </c>
      <c r="P3" s="18">
        <v>0</v>
      </c>
      <c r="Q3" s="18">
        <v>0</v>
      </c>
      <c r="S3" s="18">
        <v>0</v>
      </c>
      <c r="U3" s="18">
        <v>0</v>
      </c>
    </row>
    <row r="4" spans="1:21" s="18" customFormat="1" x14ac:dyDescent="0.25">
      <c r="A4" s="18">
        <v>4</v>
      </c>
      <c r="B4" s="18">
        <v>1</v>
      </c>
      <c r="C4" s="18" t="s">
        <v>427</v>
      </c>
      <c r="F4" s="19" t="s">
        <v>426</v>
      </c>
      <c r="H4" s="18">
        <v>39.631263799999999</v>
      </c>
      <c r="I4" s="18">
        <v>-8.6731570999999992</v>
      </c>
      <c r="J4" s="18" t="str">
        <f t="shared" ref="J4:J23" si="0">"location: {lat: "&amp;H4&amp;", lng: "&amp;I4&amp;"}"</f>
        <v>location: {lat: 39.6312638, lng: -8.6731571}</v>
      </c>
      <c r="K4" s="18">
        <v>0</v>
      </c>
      <c r="L4" s="18" t="s">
        <v>425</v>
      </c>
      <c r="M4" s="18">
        <v>0</v>
      </c>
      <c r="N4" s="18" t="s">
        <v>399</v>
      </c>
      <c r="O4" s="18">
        <v>1</v>
      </c>
      <c r="P4" s="18">
        <v>0</v>
      </c>
      <c r="Q4" s="18">
        <v>0</v>
      </c>
      <c r="S4" s="18">
        <v>0</v>
      </c>
      <c r="U4" s="18">
        <v>0</v>
      </c>
    </row>
    <row r="5" spans="1:21" s="18" customFormat="1" x14ac:dyDescent="0.25">
      <c r="A5" s="18">
        <v>5</v>
      </c>
      <c r="B5" s="18">
        <v>1</v>
      </c>
      <c r="C5" s="18" t="s">
        <v>424</v>
      </c>
      <c r="F5" s="18" t="s">
        <v>423</v>
      </c>
      <c r="H5" s="18">
        <v>50.270467699999998</v>
      </c>
      <c r="I5" s="18">
        <v>22.408031600000001</v>
      </c>
      <c r="J5" s="18" t="str">
        <f t="shared" si="0"/>
        <v>location: {lat: 50.2704677, lng: 22.4080316}</v>
      </c>
      <c r="K5" s="18">
        <v>0</v>
      </c>
      <c r="L5" s="18" t="s">
        <v>375</v>
      </c>
      <c r="M5" s="18">
        <v>0</v>
      </c>
      <c r="N5" s="18" t="s">
        <v>399</v>
      </c>
      <c r="O5" s="18">
        <v>1</v>
      </c>
      <c r="P5" s="18">
        <v>0</v>
      </c>
      <c r="Q5" s="18">
        <v>0</v>
      </c>
      <c r="S5" s="18">
        <v>0</v>
      </c>
      <c r="U5" s="18">
        <v>0</v>
      </c>
    </row>
    <row r="6" spans="1:21" s="18" customFormat="1" x14ac:dyDescent="0.25">
      <c r="A6" s="18">
        <v>6</v>
      </c>
      <c r="B6" s="18">
        <v>1</v>
      </c>
      <c r="C6" s="18" t="s">
        <v>422</v>
      </c>
      <c r="F6" s="19" t="s">
        <v>421</v>
      </c>
      <c r="H6" s="18">
        <v>55.530612599999998</v>
      </c>
      <c r="I6" s="18">
        <v>23.219925199999999</v>
      </c>
      <c r="J6" s="18" t="str">
        <f t="shared" si="0"/>
        <v>location: {lat: 55.5306126, lng: 23.2199252}</v>
      </c>
      <c r="K6" s="18">
        <v>0</v>
      </c>
      <c r="L6" s="18" t="s">
        <v>374</v>
      </c>
      <c r="M6" s="18">
        <v>0</v>
      </c>
      <c r="N6" s="18" t="s">
        <v>399</v>
      </c>
      <c r="O6" s="18">
        <v>1</v>
      </c>
      <c r="P6" s="18">
        <v>0</v>
      </c>
      <c r="Q6" s="18">
        <v>0</v>
      </c>
      <c r="S6" s="18">
        <v>0</v>
      </c>
      <c r="U6" s="18">
        <v>0</v>
      </c>
    </row>
    <row r="7" spans="1:21" s="18" customFormat="1" x14ac:dyDescent="0.25">
      <c r="A7" s="18">
        <v>7</v>
      </c>
      <c r="B7" s="18">
        <v>1</v>
      </c>
      <c r="C7" s="18" t="s">
        <v>420</v>
      </c>
      <c r="F7" s="18" t="s">
        <v>419</v>
      </c>
      <c r="H7" s="18">
        <v>44.521201599999998</v>
      </c>
      <c r="I7" s="18">
        <v>6.1521160000000004</v>
      </c>
      <c r="J7" s="18" t="str">
        <f t="shared" si="0"/>
        <v>location: {lat: 44.5212016, lng: 6.152116}</v>
      </c>
      <c r="K7" s="18">
        <v>0</v>
      </c>
      <c r="L7" s="18" t="s">
        <v>418</v>
      </c>
      <c r="M7" s="18">
        <v>0</v>
      </c>
      <c r="N7" s="18" t="s">
        <v>399</v>
      </c>
      <c r="O7" s="18">
        <v>1</v>
      </c>
      <c r="P7" s="18">
        <v>0</v>
      </c>
      <c r="Q7" s="18">
        <v>0</v>
      </c>
      <c r="S7" s="18">
        <v>0</v>
      </c>
      <c r="U7" s="18">
        <v>0</v>
      </c>
    </row>
    <row r="8" spans="1:21" s="18" customFormat="1" x14ac:dyDescent="0.25">
      <c r="A8" s="18">
        <v>8</v>
      </c>
      <c r="B8" s="18">
        <v>1</v>
      </c>
      <c r="C8" s="18" t="s">
        <v>417</v>
      </c>
      <c r="F8" s="18" t="s">
        <v>416</v>
      </c>
      <c r="H8" s="18">
        <v>48.850785899999998</v>
      </c>
      <c r="I8" s="18">
        <v>2.3229912000000001</v>
      </c>
      <c r="J8" s="18" t="str">
        <f t="shared" si="0"/>
        <v>location: {lat: 48.8507859, lng: 2.3229912}</v>
      </c>
      <c r="K8" s="18">
        <v>0</v>
      </c>
      <c r="L8" s="18" t="s">
        <v>371</v>
      </c>
      <c r="M8" s="18">
        <v>0</v>
      </c>
      <c r="N8" s="18" t="s">
        <v>399</v>
      </c>
      <c r="O8" s="18">
        <v>1</v>
      </c>
      <c r="P8" s="18">
        <v>0</v>
      </c>
      <c r="Q8" s="18">
        <v>0</v>
      </c>
      <c r="S8" s="18">
        <v>0</v>
      </c>
      <c r="U8" s="18">
        <v>0</v>
      </c>
    </row>
    <row r="9" spans="1:21" s="18" customFormat="1" x14ac:dyDescent="0.25">
      <c r="A9" s="18">
        <v>9</v>
      </c>
      <c r="B9" s="18">
        <v>1</v>
      </c>
      <c r="C9" s="18" t="s">
        <v>415</v>
      </c>
      <c r="F9" s="18" t="s">
        <v>414</v>
      </c>
      <c r="H9" s="18">
        <v>41.903563699999999</v>
      </c>
      <c r="I9" s="18">
        <v>12.483673899999999</v>
      </c>
      <c r="J9" s="18" t="str">
        <f t="shared" si="0"/>
        <v>location: {lat: 41.9035637, lng: 12.4836739}</v>
      </c>
      <c r="K9" s="18">
        <v>0</v>
      </c>
      <c r="L9" s="18" t="s">
        <v>370</v>
      </c>
      <c r="M9" s="18">
        <v>0</v>
      </c>
      <c r="N9" s="18" t="s">
        <v>399</v>
      </c>
      <c r="O9" s="18">
        <v>1</v>
      </c>
      <c r="P9" s="18">
        <v>0</v>
      </c>
      <c r="Q9" s="18">
        <v>0</v>
      </c>
      <c r="S9" s="18">
        <v>0</v>
      </c>
      <c r="U9" s="18">
        <v>0</v>
      </c>
    </row>
    <row r="10" spans="1:21" s="18" customFormat="1" x14ac:dyDescent="0.25">
      <c r="A10" s="18">
        <v>10</v>
      </c>
      <c r="B10" s="18">
        <v>1</v>
      </c>
      <c r="C10" s="18" t="s">
        <v>413</v>
      </c>
      <c r="F10" s="18" t="s">
        <v>412</v>
      </c>
      <c r="H10" s="18">
        <v>44.8586296</v>
      </c>
      <c r="I10" s="18">
        <v>5.9788043999999996</v>
      </c>
      <c r="J10" s="18" t="str">
        <f t="shared" si="0"/>
        <v>location: {lat: 44.8586296, lng: 5.9788044}</v>
      </c>
      <c r="K10" s="18">
        <v>0</v>
      </c>
      <c r="L10" s="18" t="s">
        <v>372</v>
      </c>
      <c r="M10" s="18">
        <v>0</v>
      </c>
      <c r="N10" s="18" t="s">
        <v>399</v>
      </c>
      <c r="O10" s="18">
        <v>1</v>
      </c>
      <c r="P10" s="18">
        <v>0</v>
      </c>
      <c r="Q10" s="18">
        <v>0</v>
      </c>
      <c r="S10" s="18">
        <v>0</v>
      </c>
      <c r="U10" s="18">
        <v>0</v>
      </c>
    </row>
    <row r="11" spans="1:21" s="18" customFormat="1" x14ac:dyDescent="0.25">
      <c r="A11" s="18">
        <v>11</v>
      </c>
      <c r="B11" s="18">
        <v>1</v>
      </c>
      <c r="C11" s="18" t="s">
        <v>411</v>
      </c>
      <c r="F11" s="18" t="s">
        <v>410</v>
      </c>
      <c r="H11" s="18">
        <v>50.980685700000002</v>
      </c>
      <c r="I11" s="18">
        <v>14.597349899999999</v>
      </c>
      <c r="J11" s="18" t="str">
        <f t="shared" si="0"/>
        <v>location: {lat: 50.9806857, lng: 14.5973499}</v>
      </c>
      <c r="K11" s="18">
        <v>0</v>
      </c>
      <c r="L11" s="18" t="s">
        <v>409</v>
      </c>
      <c r="M11" s="18">
        <v>0</v>
      </c>
      <c r="N11" s="18" t="s">
        <v>399</v>
      </c>
      <c r="O11" s="18">
        <v>1</v>
      </c>
      <c r="P11" s="18">
        <v>0</v>
      </c>
      <c r="Q11" s="18">
        <v>0</v>
      </c>
      <c r="S11" s="18">
        <v>0</v>
      </c>
      <c r="U11" s="18">
        <v>0</v>
      </c>
    </row>
    <row r="12" spans="1:21" s="18" customFormat="1" x14ac:dyDescent="0.25">
      <c r="A12" s="18">
        <v>12</v>
      </c>
      <c r="B12" s="18">
        <v>1</v>
      </c>
      <c r="C12" s="18" t="s">
        <v>408</v>
      </c>
      <c r="F12" s="18" t="s">
        <v>407</v>
      </c>
      <c r="H12" s="18">
        <v>48.439602100000002</v>
      </c>
      <c r="I12" s="18">
        <v>-1.0592325</v>
      </c>
      <c r="J12" s="18" t="str">
        <f t="shared" si="0"/>
        <v>location: {lat: 48.4396021, lng: -1.0592325}</v>
      </c>
      <c r="K12" s="18">
        <v>0</v>
      </c>
      <c r="L12" s="18" t="s">
        <v>406</v>
      </c>
      <c r="M12" s="18">
        <v>0</v>
      </c>
      <c r="N12" s="18" t="s">
        <v>399</v>
      </c>
      <c r="O12" s="18">
        <v>1</v>
      </c>
      <c r="P12" s="18">
        <v>0</v>
      </c>
      <c r="Q12" s="18">
        <v>0</v>
      </c>
      <c r="S12" s="18">
        <v>0</v>
      </c>
      <c r="U12" s="18">
        <v>0</v>
      </c>
    </row>
    <row r="13" spans="1:21" s="18" customFormat="1" x14ac:dyDescent="0.25">
      <c r="A13" s="18">
        <v>13</v>
      </c>
      <c r="B13" s="18">
        <v>1</v>
      </c>
      <c r="C13" s="18" t="s">
        <v>405</v>
      </c>
      <c r="F13" s="18" t="s">
        <v>357</v>
      </c>
      <c r="H13" s="18">
        <v>53.7480853</v>
      </c>
      <c r="I13" s="18">
        <v>20.235602400000001</v>
      </c>
      <c r="J13" s="18" t="str">
        <f t="shared" si="0"/>
        <v>location: {lat: 53.7480853, lng: 20.2356024}</v>
      </c>
      <c r="K13" s="18">
        <v>0</v>
      </c>
      <c r="L13" s="18" t="s">
        <v>353</v>
      </c>
      <c r="M13" s="18">
        <v>0</v>
      </c>
      <c r="N13" s="18" t="s">
        <v>399</v>
      </c>
      <c r="O13" s="18">
        <v>1</v>
      </c>
      <c r="P13" s="18">
        <v>0</v>
      </c>
      <c r="Q13" s="18">
        <v>0</v>
      </c>
      <c r="S13" s="18">
        <v>0</v>
      </c>
      <c r="U13" s="18">
        <v>0</v>
      </c>
    </row>
    <row r="14" spans="1:21" s="18" customFormat="1" x14ac:dyDescent="0.25">
      <c r="A14" s="18">
        <v>14</v>
      </c>
      <c r="B14" s="18">
        <v>1</v>
      </c>
      <c r="C14" s="18" t="s">
        <v>404</v>
      </c>
      <c r="F14" s="18" t="s">
        <v>349</v>
      </c>
      <c r="H14" s="18">
        <v>53.792756199999999</v>
      </c>
      <c r="I14" s="18">
        <v>-8.9189810000000005</v>
      </c>
      <c r="J14" s="18" t="str">
        <f t="shared" si="0"/>
        <v>location: {lat: 53.7927562, lng: -8.918981}</v>
      </c>
      <c r="K14" s="18">
        <v>0</v>
      </c>
      <c r="L14" s="18" t="s">
        <v>403</v>
      </c>
      <c r="M14" s="18">
        <v>0</v>
      </c>
      <c r="N14" s="18" t="s">
        <v>399</v>
      </c>
      <c r="O14" s="18">
        <v>1</v>
      </c>
      <c r="P14" s="18">
        <v>0</v>
      </c>
      <c r="Q14" s="18">
        <v>0</v>
      </c>
      <c r="S14" s="18">
        <v>0</v>
      </c>
      <c r="U14" s="18">
        <v>0</v>
      </c>
    </row>
    <row r="15" spans="1:21" s="18" customFormat="1" x14ac:dyDescent="0.25">
      <c r="A15" s="18">
        <v>15</v>
      </c>
      <c r="B15" s="18">
        <v>1</v>
      </c>
      <c r="C15" s="18" t="s">
        <v>402</v>
      </c>
      <c r="F15" s="18" t="s">
        <v>347</v>
      </c>
      <c r="H15" s="18">
        <v>50.108666599999999</v>
      </c>
      <c r="I15" s="18">
        <v>4.9609611999999998</v>
      </c>
      <c r="J15" s="18" t="str">
        <f t="shared" si="0"/>
        <v>location: {lat: 50.1086666, lng: 4.9609612}</v>
      </c>
      <c r="K15" s="18">
        <v>0</v>
      </c>
      <c r="L15" s="18" t="s">
        <v>346</v>
      </c>
      <c r="M15" s="18">
        <v>0</v>
      </c>
      <c r="N15" s="18" t="s">
        <v>399</v>
      </c>
      <c r="O15" s="18">
        <v>1</v>
      </c>
      <c r="P15" s="18">
        <v>0</v>
      </c>
      <c r="Q15" s="18">
        <v>0</v>
      </c>
      <c r="S15" s="18">
        <v>0</v>
      </c>
      <c r="U15" s="18">
        <v>0</v>
      </c>
    </row>
    <row r="16" spans="1:21" s="18" customFormat="1" x14ac:dyDescent="0.25">
      <c r="A16" s="18">
        <v>16</v>
      </c>
      <c r="B16" s="18">
        <v>1</v>
      </c>
      <c r="C16" s="18" t="s">
        <v>401</v>
      </c>
      <c r="F16" s="18" t="s">
        <v>344</v>
      </c>
      <c r="H16" s="18">
        <v>50.538244800000001</v>
      </c>
      <c r="I16" s="18">
        <v>5.7507225999999996</v>
      </c>
      <c r="J16" s="18" t="str">
        <f t="shared" si="0"/>
        <v>location: {lat: 50.5382448, lng: 5.7507226}</v>
      </c>
      <c r="K16" s="18">
        <v>0</v>
      </c>
      <c r="L16" s="18" t="s">
        <v>343</v>
      </c>
      <c r="M16" s="18">
        <v>0</v>
      </c>
      <c r="N16" s="18" t="s">
        <v>399</v>
      </c>
      <c r="O16" s="18">
        <v>1</v>
      </c>
      <c r="P16" s="18">
        <v>0</v>
      </c>
      <c r="Q16" s="18">
        <v>0</v>
      </c>
      <c r="S16" s="18">
        <v>0</v>
      </c>
      <c r="U16" s="18">
        <v>0</v>
      </c>
    </row>
    <row r="17" spans="1:21" s="18" customFormat="1" x14ac:dyDescent="0.25">
      <c r="A17" s="18">
        <v>17</v>
      </c>
      <c r="B17" s="18">
        <v>1</v>
      </c>
      <c r="C17" s="18" t="s">
        <v>400</v>
      </c>
      <c r="F17" s="18" t="s">
        <v>340</v>
      </c>
      <c r="H17" s="18">
        <v>-2.6496097000000001</v>
      </c>
      <c r="I17" s="18">
        <v>29.553281200000001</v>
      </c>
      <c r="J17" s="18" t="str">
        <f t="shared" si="0"/>
        <v>location: {lat: -2.6496097, lng: 29.5532812}</v>
      </c>
      <c r="K17" s="18">
        <v>0</v>
      </c>
      <c r="L17" s="18" t="s">
        <v>345</v>
      </c>
      <c r="M17" s="18">
        <v>0</v>
      </c>
      <c r="N17" s="18" t="s">
        <v>399</v>
      </c>
      <c r="O17" s="18">
        <v>1</v>
      </c>
      <c r="P17" s="18">
        <v>0</v>
      </c>
      <c r="Q17" s="18">
        <v>0</v>
      </c>
      <c r="S17" s="18">
        <v>0</v>
      </c>
      <c r="T17" s="18" t="s">
        <v>378</v>
      </c>
      <c r="U17" s="18">
        <v>0</v>
      </c>
    </row>
    <row r="18" spans="1:21" s="17" customFormat="1" x14ac:dyDescent="0.25">
      <c r="A18" s="17">
        <v>18</v>
      </c>
      <c r="B18" s="17">
        <v>2</v>
      </c>
      <c r="C18" s="17" t="s">
        <v>398</v>
      </c>
      <c r="D18" s="17" t="s">
        <v>397</v>
      </c>
      <c r="F18" s="17" t="s">
        <v>396</v>
      </c>
      <c r="H18" s="17">
        <v>35.728490299999997</v>
      </c>
      <c r="I18" s="17">
        <v>-97.975802000000002</v>
      </c>
      <c r="J18" s="17" t="str">
        <f t="shared" si="0"/>
        <v>location: {lat: 35.7284903, lng: -97.975802}</v>
      </c>
      <c r="K18" s="17">
        <v>0</v>
      </c>
      <c r="L18" s="17" t="s">
        <v>395</v>
      </c>
      <c r="M18" s="17">
        <v>0</v>
      </c>
      <c r="N18" s="17" t="s">
        <v>379</v>
      </c>
      <c r="O18" s="17">
        <v>1</v>
      </c>
      <c r="P18" s="17">
        <v>0</v>
      </c>
      <c r="Q18" s="17">
        <v>0</v>
      </c>
      <c r="S18" s="17">
        <v>0</v>
      </c>
      <c r="T18" s="17" t="s">
        <v>378</v>
      </c>
      <c r="U18" s="17">
        <v>0</v>
      </c>
    </row>
    <row r="19" spans="1:21" s="17" customFormat="1" x14ac:dyDescent="0.25">
      <c r="A19" s="17">
        <v>19</v>
      </c>
      <c r="B19" s="17">
        <v>2</v>
      </c>
      <c r="C19" s="17" t="s">
        <v>394</v>
      </c>
      <c r="D19" s="17" t="s">
        <v>393</v>
      </c>
      <c r="F19" s="17" t="s">
        <v>392</v>
      </c>
      <c r="H19" s="17">
        <v>29.4538449</v>
      </c>
      <c r="I19" s="17">
        <v>-98.544839600000003</v>
      </c>
      <c r="J19" s="17" t="str">
        <f t="shared" si="0"/>
        <v>location: {lat: 29.4538449, lng: -98.5448396}</v>
      </c>
      <c r="K19" s="17">
        <v>0</v>
      </c>
      <c r="L19" s="17" t="s">
        <v>391</v>
      </c>
      <c r="M19" s="17">
        <v>0</v>
      </c>
      <c r="N19" s="17">
        <v>2</v>
      </c>
      <c r="O19" s="17">
        <v>1</v>
      </c>
      <c r="P19" s="17">
        <v>0</v>
      </c>
      <c r="Q19" s="17">
        <v>0</v>
      </c>
      <c r="S19" s="17">
        <v>0</v>
      </c>
      <c r="T19" s="17" t="s">
        <v>378</v>
      </c>
      <c r="U19" s="17">
        <v>0</v>
      </c>
    </row>
    <row r="20" spans="1:21" s="17" customFormat="1" x14ac:dyDescent="0.25">
      <c r="A20" s="17">
        <v>20</v>
      </c>
      <c r="B20" s="17">
        <v>2</v>
      </c>
      <c r="C20" s="17" t="s">
        <v>390</v>
      </c>
      <c r="D20" s="17" t="s">
        <v>389</v>
      </c>
      <c r="F20" s="17" t="s">
        <v>388</v>
      </c>
      <c r="H20" s="17">
        <v>39.679956300000001</v>
      </c>
      <c r="I20" s="17">
        <v>-77.354900599999993</v>
      </c>
      <c r="J20" s="17" t="str">
        <f t="shared" si="0"/>
        <v>location: {lat: 39.6799563, lng: -77.3549006}</v>
      </c>
      <c r="K20" s="17">
        <v>0</v>
      </c>
      <c r="L20" s="17" t="s">
        <v>387</v>
      </c>
      <c r="M20" s="17">
        <v>0</v>
      </c>
      <c r="N20" s="17">
        <v>2</v>
      </c>
      <c r="O20" s="17">
        <v>1</v>
      </c>
      <c r="P20" s="17">
        <v>0</v>
      </c>
      <c r="Q20" s="17">
        <v>0</v>
      </c>
      <c r="S20" s="17">
        <v>0</v>
      </c>
      <c r="T20" s="17" t="s">
        <v>378</v>
      </c>
      <c r="U20" s="17">
        <v>0</v>
      </c>
    </row>
    <row r="21" spans="1:21" s="17" customFormat="1" x14ac:dyDescent="0.25">
      <c r="A21" s="17">
        <v>21</v>
      </c>
      <c r="B21" s="17">
        <v>2</v>
      </c>
      <c r="C21" s="17" t="s">
        <v>386</v>
      </c>
      <c r="D21" s="17" t="s">
        <v>385</v>
      </c>
      <c r="H21" s="17">
        <v>14.6382897</v>
      </c>
      <c r="I21" s="17">
        <v>-91.229068299999994</v>
      </c>
      <c r="J21" s="17" t="str">
        <f t="shared" si="0"/>
        <v>location: {lat: 14.6382897, lng: -91.2290683}</v>
      </c>
      <c r="K21" s="17">
        <v>0</v>
      </c>
      <c r="L21" s="17" t="s">
        <v>384</v>
      </c>
      <c r="M21" s="17">
        <v>0</v>
      </c>
      <c r="N21" s="17" t="s">
        <v>379</v>
      </c>
      <c r="O21" s="17">
        <v>1</v>
      </c>
      <c r="P21" s="17">
        <v>0</v>
      </c>
      <c r="Q21" s="17">
        <v>0</v>
      </c>
      <c r="S21" s="17">
        <v>0</v>
      </c>
      <c r="T21" s="17" t="s">
        <v>378</v>
      </c>
      <c r="U21" s="17">
        <v>0</v>
      </c>
    </row>
    <row r="22" spans="1:21" s="17" customFormat="1" x14ac:dyDescent="0.25">
      <c r="A22" s="17">
        <v>22</v>
      </c>
      <c r="B22" s="17">
        <v>2</v>
      </c>
      <c r="C22" s="17" t="s">
        <v>383</v>
      </c>
      <c r="D22" s="17" t="s">
        <v>382</v>
      </c>
      <c r="F22" s="17" t="s">
        <v>381</v>
      </c>
      <c r="H22" s="17">
        <v>35.375707900000002</v>
      </c>
      <c r="I22" s="17">
        <v>-97.497563099999994</v>
      </c>
      <c r="J22" s="17" t="str">
        <f t="shared" si="0"/>
        <v>location: {lat: 35.3757079, lng: -97.4975631}</v>
      </c>
      <c r="K22" s="17">
        <v>0</v>
      </c>
      <c r="L22" s="17" t="s">
        <v>380</v>
      </c>
      <c r="M22" s="17">
        <v>0</v>
      </c>
      <c r="N22" s="17" t="s">
        <v>379</v>
      </c>
      <c r="O22" s="17">
        <v>1</v>
      </c>
      <c r="P22" s="17">
        <v>0</v>
      </c>
      <c r="Q22" s="17">
        <v>0</v>
      </c>
      <c r="S22" s="17">
        <v>0</v>
      </c>
      <c r="T22" s="17" t="s">
        <v>378</v>
      </c>
      <c r="U22" s="17">
        <v>0</v>
      </c>
    </row>
    <row r="23" spans="1:21" s="17" customFormat="1" x14ac:dyDescent="0.25">
      <c r="C23" s="17" t="s">
        <v>376</v>
      </c>
      <c r="F23" s="17" t="s">
        <v>377</v>
      </c>
      <c r="H23" s="17">
        <v>52.323174663905</v>
      </c>
      <c r="I23" s="17">
        <v>18.358046317017202</v>
      </c>
      <c r="J23" s="17" t="str">
        <f t="shared" si="0"/>
        <v>location: {lat: 52.323174663905, lng: 18.3580463170172}</v>
      </c>
      <c r="L23" s="17" t="s">
        <v>376</v>
      </c>
    </row>
  </sheetData>
  <hyperlinks>
    <hyperlink ref="F6" r:id="rId1" xr:uid="{2B7ACF1B-06D1-4EE4-B0B4-012E349221DB}"/>
    <hyperlink ref="F4" r:id="rId2" xr:uid="{1FC3C313-9847-4AFA-B1EE-9859E1D61C1E}"/>
    <hyperlink ref="F3" r:id="rId3" xr:uid="{4359F612-90AE-45AA-B1A3-0E0C036958CF}"/>
    <hyperlink ref="F2" r:id="rId4" xr:uid="{2BB0D3B8-461C-4646-B5A8-8BCB8C8FCA42}"/>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98B8B3-DE60-41C5-96BA-7CC5FA9AD3BE}">
  <sheetPr codeName="Sheet4"/>
  <dimension ref="A1:CL168"/>
  <sheetViews>
    <sheetView tabSelected="1" zoomScale="80" zoomScaleNormal="80" workbookViewId="0">
      <pane xSplit="2" ySplit="1" topLeftCell="BA2" activePane="bottomRight" state="frozen"/>
      <selection pane="topRight" activeCell="B1" sqref="B1"/>
      <selection pane="bottomLeft" activeCell="A2" sqref="A2"/>
      <selection pane="bottomRight" activeCell="BU2" sqref="BU2"/>
    </sheetView>
  </sheetViews>
  <sheetFormatPr defaultRowHeight="12.75" x14ac:dyDescent="0.25"/>
  <cols>
    <col min="1" max="1" width="10.42578125" style="25" bestFit="1" customWidth="1"/>
    <col min="2" max="2" width="36.28515625" style="26" bestFit="1" customWidth="1"/>
    <col min="3" max="3" width="9.85546875" style="29" bestFit="1" customWidth="1"/>
    <col min="4" max="4" width="14.42578125" style="30" customWidth="1"/>
    <col min="5" max="5" width="21" style="31" bestFit="1" customWidth="1"/>
    <col min="6" max="6" width="3.85546875" style="71" bestFit="1" customWidth="1"/>
    <col min="7" max="7" width="4.42578125" style="67" bestFit="1" customWidth="1"/>
    <col min="8" max="8" width="38.140625" style="29" bestFit="1" customWidth="1"/>
    <col min="9" max="9" width="38.140625" style="75" customWidth="1"/>
    <col min="10" max="10" width="9.42578125" style="30" bestFit="1" customWidth="1"/>
    <col min="11" max="11" width="9.42578125" style="30" customWidth="1"/>
    <col min="12" max="13" width="14.42578125" style="30" customWidth="1"/>
    <col min="14" max="14" width="69" style="29" customWidth="1"/>
    <col min="15" max="15" width="45.5703125" style="75" customWidth="1"/>
    <col min="16" max="17" width="9.140625" style="30"/>
    <col min="18" max="18" width="9.140625" style="83"/>
    <col min="19" max="19" width="9.140625" style="30"/>
    <col min="20" max="20" width="9.140625" style="88"/>
    <col min="21" max="21" width="9.140625" style="83"/>
    <col min="22" max="22" width="9.140625" style="30"/>
    <col min="23" max="23" width="9.140625" style="88"/>
    <col min="24" max="26" width="9.140625" style="30"/>
    <col min="27" max="27" width="18.42578125" style="71" bestFit="1" customWidth="1"/>
    <col min="28" max="28" width="18.42578125" style="30" customWidth="1"/>
    <col min="29" max="29" width="14.42578125" style="30" bestFit="1" customWidth="1"/>
    <col min="30" max="31" width="14.42578125" style="30" customWidth="1"/>
    <col min="32" max="32" width="14.42578125" style="67" customWidth="1"/>
    <col min="33" max="41" width="18.85546875" style="30" customWidth="1"/>
    <col min="42" max="42" width="18.85546875" style="108" customWidth="1"/>
    <col min="43" max="43" width="9.140625" style="30"/>
    <col min="44" max="44" width="9" style="36" bestFit="1" customWidth="1"/>
    <col min="45" max="45" width="10.28515625" style="37" bestFit="1" customWidth="1"/>
    <col min="46" max="46" width="8.85546875" style="37" bestFit="1" customWidth="1"/>
    <col min="47" max="47" width="8.85546875" style="37" customWidth="1"/>
    <col min="48" max="63" width="9.140625" style="37"/>
    <col min="64" max="71" width="7.140625" style="37" customWidth="1"/>
    <col min="72" max="75" width="9.140625" style="37"/>
    <col min="76" max="76" width="38.7109375" style="24" customWidth="1"/>
    <col min="77" max="77" width="38.7109375" style="39" customWidth="1"/>
    <col min="78" max="83" width="12" style="37" customWidth="1"/>
    <col min="84" max="84" width="11.85546875" style="37" bestFit="1" customWidth="1"/>
    <col min="85" max="89" width="11.85546875" style="37" customWidth="1"/>
    <col min="90" max="16384" width="9.140625" style="30"/>
  </cols>
  <sheetData>
    <row r="1" spans="1:90" s="92" customFormat="1" ht="13.5" thickBot="1" x14ac:dyDescent="0.3">
      <c r="A1" s="92" t="s">
        <v>1325</v>
      </c>
      <c r="B1" s="93" t="s">
        <v>178</v>
      </c>
      <c r="C1" s="94" t="s">
        <v>485</v>
      </c>
      <c r="D1" s="92" t="s">
        <v>1737</v>
      </c>
      <c r="E1" s="95" t="s">
        <v>163</v>
      </c>
      <c r="F1" s="99" t="s">
        <v>341</v>
      </c>
      <c r="G1" s="100" t="s">
        <v>342</v>
      </c>
      <c r="H1" s="94" t="s">
        <v>729</v>
      </c>
      <c r="I1" s="96" t="s">
        <v>730</v>
      </c>
      <c r="J1" s="92" t="s">
        <v>1727</v>
      </c>
      <c r="K1" s="92" t="s">
        <v>1814</v>
      </c>
      <c r="L1" s="92" t="s">
        <v>1785</v>
      </c>
      <c r="M1" s="92" t="s">
        <v>1772</v>
      </c>
      <c r="N1" s="94" t="s">
        <v>165</v>
      </c>
      <c r="O1" s="96" t="s">
        <v>369</v>
      </c>
      <c r="P1" s="92" t="s">
        <v>1796</v>
      </c>
      <c r="Q1" s="92" t="s">
        <v>1793</v>
      </c>
      <c r="R1" s="97" t="s">
        <v>1794</v>
      </c>
      <c r="S1" s="92" t="s">
        <v>1795</v>
      </c>
      <c r="T1" s="98" t="s">
        <v>1797</v>
      </c>
      <c r="U1" s="97" t="s">
        <v>1798</v>
      </c>
      <c r="V1" s="92" t="s">
        <v>1799</v>
      </c>
      <c r="W1" s="98" t="s">
        <v>1800</v>
      </c>
      <c r="X1" s="92" t="s">
        <v>1801</v>
      </c>
      <c r="Y1" s="92" t="s">
        <v>1802</v>
      </c>
      <c r="Z1" s="92" t="s">
        <v>1803</v>
      </c>
      <c r="AA1" s="99" t="s">
        <v>333</v>
      </c>
      <c r="AB1" s="92" t="s">
        <v>1329</v>
      </c>
      <c r="AC1" s="92" t="s">
        <v>335</v>
      </c>
      <c r="AD1" s="92" t="s">
        <v>1330</v>
      </c>
      <c r="AE1" s="92" t="s">
        <v>350</v>
      </c>
      <c r="AF1" s="100" t="s">
        <v>1331</v>
      </c>
      <c r="AG1" s="92" t="s">
        <v>1425</v>
      </c>
      <c r="AH1" s="92" t="s">
        <v>1427</v>
      </c>
      <c r="AI1" s="92" t="s">
        <v>1429</v>
      </c>
      <c r="AJ1" s="92" t="s">
        <v>1786</v>
      </c>
      <c r="AK1" s="92" t="s">
        <v>1787</v>
      </c>
      <c r="AL1" s="92" t="s">
        <v>1788</v>
      </c>
      <c r="AM1" s="92" t="s">
        <v>1789</v>
      </c>
      <c r="AN1" s="92" t="s">
        <v>1790</v>
      </c>
      <c r="AO1" s="92" t="s">
        <v>1791</v>
      </c>
      <c r="AP1" s="106" t="s">
        <v>1792</v>
      </c>
      <c r="AR1" s="101" t="s">
        <v>1464</v>
      </c>
      <c r="AS1" s="102" t="s">
        <v>1002</v>
      </c>
      <c r="AT1" s="102" t="s">
        <v>164</v>
      </c>
      <c r="AU1" s="117" t="s">
        <v>1727</v>
      </c>
      <c r="AV1" s="102" t="s">
        <v>1818</v>
      </c>
      <c r="AW1" s="102" t="s">
        <v>1819</v>
      </c>
      <c r="AX1" s="102" t="s">
        <v>1817</v>
      </c>
      <c r="AY1" s="102" t="s">
        <v>1815</v>
      </c>
      <c r="AZ1" s="102" t="s">
        <v>1816</v>
      </c>
      <c r="BA1" s="102" t="s">
        <v>1804</v>
      </c>
      <c r="BB1" s="102" t="s">
        <v>1805</v>
      </c>
      <c r="BC1" s="102" t="s">
        <v>1806</v>
      </c>
      <c r="BD1" s="102" t="s">
        <v>1807</v>
      </c>
      <c r="BE1" s="102" t="s">
        <v>1808</v>
      </c>
      <c r="BF1" s="102" t="s">
        <v>1809</v>
      </c>
      <c r="BG1" s="102" t="s">
        <v>1810</v>
      </c>
      <c r="BH1" s="102" t="s">
        <v>1811</v>
      </c>
      <c r="BI1" s="102" t="s">
        <v>1812</v>
      </c>
      <c r="BJ1" s="102" t="s">
        <v>1813</v>
      </c>
      <c r="BK1" s="102" t="s">
        <v>339</v>
      </c>
      <c r="BL1" s="102" t="s">
        <v>1004</v>
      </c>
      <c r="BM1" s="102" t="s">
        <v>1823</v>
      </c>
      <c r="BN1" s="102" t="s">
        <v>1824</v>
      </c>
      <c r="BO1" s="102" t="s">
        <v>1825</v>
      </c>
      <c r="BP1" s="102" t="s">
        <v>1831</v>
      </c>
      <c r="BQ1" s="102" t="s">
        <v>1822</v>
      </c>
      <c r="BR1" s="102" t="s">
        <v>158</v>
      </c>
      <c r="BS1" s="102" t="s">
        <v>621</v>
      </c>
      <c r="BT1" s="102" t="s">
        <v>1826</v>
      </c>
      <c r="BU1" s="102" t="s">
        <v>1821</v>
      </c>
      <c r="BV1" s="102" t="s">
        <v>1827</v>
      </c>
      <c r="BW1" s="102" t="s">
        <v>1820</v>
      </c>
      <c r="BX1" s="104" t="s">
        <v>1828</v>
      </c>
      <c r="BY1" s="103" t="s">
        <v>992</v>
      </c>
      <c r="BZ1" s="102" t="s">
        <v>1426</v>
      </c>
      <c r="CA1" s="102" t="s">
        <v>1428</v>
      </c>
      <c r="CB1" s="102" t="s">
        <v>1430</v>
      </c>
      <c r="CC1" s="102" t="s">
        <v>1458</v>
      </c>
      <c r="CD1" s="102" t="s">
        <v>1459</v>
      </c>
      <c r="CE1" s="102" t="s">
        <v>1460</v>
      </c>
      <c r="CF1" s="102" t="s">
        <v>1457</v>
      </c>
      <c r="CG1" s="102" t="s">
        <v>1462</v>
      </c>
      <c r="CH1" s="102" t="s">
        <v>1463</v>
      </c>
      <c r="CI1" s="102" t="s">
        <v>1465</v>
      </c>
      <c r="CJ1" s="102" t="s">
        <v>1466</v>
      </c>
      <c r="CK1" s="102" t="s">
        <v>1461</v>
      </c>
    </row>
    <row r="2" spans="1:90" ht="102" x14ac:dyDescent="0.25">
      <c r="A2" s="25" t="s">
        <v>1324</v>
      </c>
      <c r="B2" s="28" t="s">
        <v>1039</v>
      </c>
      <c r="C2" s="29" t="s">
        <v>552</v>
      </c>
      <c r="E2" s="31">
        <v>40</v>
      </c>
      <c r="F2" s="71">
        <v>41.656656769330702</v>
      </c>
      <c r="G2" s="67">
        <v>-0.87824062054636098</v>
      </c>
      <c r="H2" s="29" t="s">
        <v>1034</v>
      </c>
      <c r="I2" s="75" t="s">
        <v>1035</v>
      </c>
      <c r="J2" s="32" t="s">
        <v>1728</v>
      </c>
      <c r="K2" s="32" t="b">
        <v>1</v>
      </c>
      <c r="L2" s="30" t="b">
        <v>1</v>
      </c>
      <c r="N2" s="65" t="s">
        <v>1829</v>
      </c>
      <c r="O2" s="77" t="s">
        <v>1745</v>
      </c>
      <c r="P2" s="33" t="s">
        <v>1036</v>
      </c>
      <c r="Q2" s="33" t="s">
        <v>336</v>
      </c>
      <c r="R2" s="119"/>
      <c r="S2" s="118"/>
      <c r="T2" s="120"/>
      <c r="U2" s="82"/>
      <c r="V2" s="33"/>
      <c r="W2" s="87"/>
      <c r="X2" s="33"/>
      <c r="Y2" s="33"/>
      <c r="Z2" s="33"/>
      <c r="AA2" s="71" t="s">
        <v>179</v>
      </c>
      <c r="AB2" s="30" t="s">
        <v>336</v>
      </c>
      <c r="AC2" s="30" t="s">
        <v>91</v>
      </c>
      <c r="AD2" s="30" t="s">
        <v>336</v>
      </c>
      <c r="AE2" s="30" t="s">
        <v>1037</v>
      </c>
      <c r="AF2" s="67" t="s">
        <v>336</v>
      </c>
      <c r="AG2" s="33" t="s">
        <v>1038</v>
      </c>
      <c r="AH2" s="34"/>
      <c r="AI2" s="34"/>
      <c r="AJ2" s="34"/>
      <c r="AK2" s="34"/>
      <c r="AL2" s="34"/>
      <c r="AM2" s="34"/>
      <c r="AN2" s="34"/>
      <c r="AO2" s="34"/>
      <c r="AP2" s="107"/>
      <c r="AQ2" s="66"/>
      <c r="AR2" s="36" t="b">
        <f>IF(OR(A2="Done",A2="In Progress"),TRUE)</f>
        <v>1</v>
      </c>
      <c r="AS2" s="37" t="str">
        <f>"title: """&amp;H2&amp;""""</f>
        <v>title: "Cathedral-Basilica of Our Lady of the Pillar"</v>
      </c>
      <c r="AT2" s="37" t="str">
        <f>"location: {lat: "&amp;F2&amp;", lng: "&amp;G2&amp;"}"</f>
        <v>location: {lat: 41.6566567693307, lng: -0.878240620546361}</v>
      </c>
      <c r="AU2" s="37" t="str">
        <f>"level: "&amp;J2</f>
        <v>level: global</v>
      </c>
      <c r="AV2" s="37" t="str">
        <f>"- "&amp;VLOOKUP(C2,'(Ref) Countries'!A:C,3,)</f>
        <v>- spain</v>
      </c>
      <c r="AW2" s="37" t="str">
        <f>IF(LEN(D2)&gt;1,"- "&amp;LOWER(SUBSTITUTE(D2," ","-")),"")</f>
        <v/>
      </c>
      <c r="AX2" s="37" t="str">
        <f>IF(K2,"- churches","")</f>
        <v>- churches</v>
      </c>
      <c r="AY2" s="37" t="str">
        <f>IF(L2,"- marian-sites","")</f>
        <v>- marian-sites</v>
      </c>
      <c r="AZ2" s="37" t="str">
        <f>IF(M2,"- holy-persons","")</f>
        <v/>
      </c>
      <c r="BA2" s="37" t="str">
        <f>IF(LEN(AG2)&gt;0,"- "&amp;AG2,"")</f>
        <v>- james-greater</v>
      </c>
      <c r="BB2" s="37" t="str">
        <f>IF(LEN(AH2)&gt;0,"- "&amp;AH2,"")</f>
        <v/>
      </c>
      <c r="BC2" s="37" t="str">
        <f>IF(LEN(AI2)&gt;0,"- "&amp;AI2,"")</f>
        <v/>
      </c>
      <c r="BD2" s="37" t="str">
        <f>IF(LEN(AJ2)&gt;0,"- "&amp;AJ2,"")</f>
        <v/>
      </c>
      <c r="BE2" s="37" t="str">
        <f>IF(LEN(AK2)&gt;0,"- "&amp;AK2,"")</f>
        <v/>
      </c>
      <c r="BF2" s="37" t="str">
        <f>IF(LEN(AL2)&gt;0,"- "&amp;AL2,"")</f>
        <v/>
      </c>
      <c r="BG2" s="37" t="str">
        <f>IF(LEN(AM2)&gt;0,"- "&amp;AM2,"")</f>
        <v/>
      </c>
      <c r="BH2" s="37" t="str">
        <f>IF(LEN(AN2)&gt;0,"- "&amp;AN2,"")</f>
        <v/>
      </c>
      <c r="BI2" s="37" t="str">
        <f>IF(LEN(AO2)&gt;0,"- "&amp;AO2,"")</f>
        <v/>
      </c>
      <c r="BJ2" s="37" t="str">
        <f>IF(LEN(AP2)&gt;0,"- "&amp;AP2,"")</f>
        <v/>
      </c>
      <c r="BK2" s="37" t="str">
        <f>"tags:"&amp;CHAR(10)&amp;concatl(AV2:BJ2)</f>
        <v xml:space="preserve">tags:
- spain_x000D_
- churches_x000D_
- marian-sites_x000D_
- james-greater_x000D_
</v>
      </c>
      <c r="BL2" s="38" t="str">
        <f>IF(LEN(P2)&gt;0,TRIM(CONCATENATE("[Official site](",P2,") ",Q2)),"")</f>
        <v>[Official site](https://catedraldezaragoza.es/basilica/)</v>
      </c>
      <c r="BM2" s="38" t="str">
        <f>IF(LEN(S2)&gt;0,TRIM(CONCATENATE("["&amp;R2&amp;"](",S2,") ",T2)),"")</f>
        <v/>
      </c>
      <c r="BN2" s="38" t="str">
        <f>IF(LEN(V2)&gt;0,TRIM(CONCATENATE("["&amp;U2&amp;"](",V2,") ",W2)),"")</f>
        <v/>
      </c>
      <c r="BO2" s="38" t="str">
        <f>IF(LEN(Y2)&gt;0,TRIM(CONCATENATE("["&amp;X2&amp;"](",Y2,") ",Z2)),"")</f>
        <v/>
      </c>
      <c r="BP2" s="38" t="str">
        <f>IF(LEN(BL2)&gt;0,"* "&amp;BL2&amp;CHAR(10),"")&amp;
IF(LEN(BM2)&gt;0,"* "&amp;BM2&amp;CHAR(10),"")&amp;
IF(LEN(BN2)&gt;0,"* "&amp;BN2&amp;CHAR(10),"")&amp;
IF(LEN(BO2)&gt;0,"* "&amp;BO2&amp;CHAR(10),"")</f>
        <v xml:space="preserve">* [Official site](https://catedraldezaragoza.es/basilica/)
</v>
      </c>
      <c r="BQ2" s="38" t="str">
        <f>IF(LEN(AA2)&gt;0,TRIM(CONCATENATE("[Link](",AA2,") ",AB2)),"")</f>
        <v>[Link](http://www.therealpresence.org/eucharst/misc/BVM/09_ZARAGOZA_60x96.pdf)</v>
      </c>
      <c r="BR2" s="38" t="str">
        <f>IF(LEN(AC2)&gt;0,TRIM(CONCATENATE("[Link](",AC2,") ",AD2)),"")</f>
        <v>[Link](https://www.miraclehunter.com/marian_apparitions/approved_apparitions/zaragoza/index.html)</v>
      </c>
      <c r="BS2" s="38" t="str">
        <f>IF(LEN(AE2)&gt;0,TRIM(CONCATENATE("[Link](",AE2,") ",AF2)),"")</f>
        <v>[Link](https://www.marypages.com/our-lady-of-the-pillar.html)</v>
      </c>
      <c r="BT2" s="38" t="str">
        <f>IF(LEN(concat(BQ2:BS2))&gt;0,concat("| ",BQ2," | ",BR2," | ",BS2," |"),"")</f>
        <v>| [Link](http://www.therealpresence.org/eucharst/misc/BVM/09_ZARAGOZA_60x96.pdf) | [Link](https://www.miraclehunter.com/marian_apparitions/approved_apparitions/zaragoza/index.html) | [Link](https://www.marypages.com/our-lady-of-the-pillar.html) |</v>
      </c>
      <c r="BU2" s="37" t="str">
        <f>IF(L2,concatl("| The Real Presence | Miracle Hunter | MaryPages |","| --- | --- | --- |",BT2),"")</f>
        <v xml:space="preserve">| The Real Presence | Miracle Hunter | MaryPages |_x000D_
| --- | --- | --- |_x000D_
| [Link](http://www.therealpresence.org/eucharst/misc/BVM/09_ZARAGOZA_60x96.pdf) | [Link](https://www.miraclehunter.com/marian_apparitions/approved_apparitions/zaragoza/index.html) | [Link](https://www.marypages.com/our-lady-of-the-pillar.html) |_x000D_
</v>
      </c>
      <c r="BV2" s="37" t="str">
        <f>IF(LEN(BP2&amp;BU2)&gt;0,concatll("#### Source Material",BP2,BU2),"")</f>
        <v xml:space="preserve">#### Source Material_x000D_
_x000D_
* [Official site](https://catedraldezaragoza.es/basilica/)
_x000D_
_x000D_
| The Real Presence | Miracle Hunter | MaryPages |_x000D_
| --- | --- | --- |_x000D_
| [Link](http://www.therealpresence.org/eucharst/misc/BVM/09_ZARAGOZA_60x96.pdf) | [Link](https://www.miraclehunter.com/marian_apparitions/approved_apparitions/zaragoza/index.html) | [Link](https://www.marypages.com/our-lady-of-the-pillar.html) |_x000D_
_x000D_
_x000D_
</v>
      </c>
      <c r="BW2" s="37" t="str">
        <f>IF(LEN(O2)&gt;1,concatll("#### Author's Note",O2),"")</f>
        <v xml:space="preserve">#### Author's Note_x000D_
_x000D_
Unfortunately many modern visitors to the cathedral are more interested in its rooftop views, so it's important to be specific when asking for accurate information about services.  The cathedral website lists their service schedule [here](https://catedraldezaragoza.es/culto/).
-JMM_x000D_
_x000D_
</v>
      </c>
      <c r="BX2" s="24" t="str">
        <f>IF(AR2,concatll(concatl("---",AS2:AU2,BK2,"---"),N2,BV2:BW2),"")</f>
        <v xml:space="preserve">---_x000D_
title: "Cathedral-Basilica of Our Lady of the Pillar"_x000D_
location: {lat: 41.6566567693307, lng: -0.878240620546361}_x000D_
level: global_x000D_
tags:
- spain_x000D_
- churches_x000D_
- marian-sites_x000D_
- james-greater_x000D_
_x000D_
---_x000D_
_x000D_
_x000D_
According to ancient Christian tradition, Mary appeared to the apostle James the Greater as he was preaching in Spain.  In 40 AD, while facing severe discouragement, St. James was praying on the banks of the Ebro River when the Blessed Mother appeared to him on a column, encouraging him to persevere in his missionary efforts.  This apparition is unique because Mary would have bilocated while still alive in Jerusalem or Ephesus._x000D_
_x000D_
#### Source Material_x000D_
_x000D_
* [Official site](https://catedraldezaragoza.es/basilica/)
_x000D_
_x000D_
| The Real Presence | Miracle Hunter | MaryPages |_x000D_
| --- | --- | --- |_x000D_
| [Link](http://www.therealpresence.org/eucharst/misc/BVM/09_ZARAGOZA_60x96.pdf) | [Link](https://www.miraclehunter.com/marian_apparitions/approved_apparitions/zaragoza/index.html) | [Link](https://www.marypages.com/our-lady-of-the-pillar.html) |_x000D_
_x000D_
_x000D_
_x000D_
_x000D_
#### Author's Note_x000D_
_x000D_
Unfortunately many modern visitors to the cathedral are more interested in its rooftop views, so it's important to be specific when asking for accurate information about services.  The cathedral website lists their service schedule [here](https://catedraldezaragoza.es/culto/).
-JMM_x000D_
_x000D_
_x000D_
_x000D_
</v>
      </c>
      <c r="BY2" s="24" t="str">
        <f>IF(AR2,VLOOKUP(C2,'(Ref) Countries'!A:B,2,)&amp;IF(LEN(D2)&gt;1,"-"&amp;LOWER(SUBSTITUTE(D2," ","-")),"")&amp;"-"&amp;LOWER(SUBSTITUTE(I2," ","-"))&amp;".md","")</f>
        <v>es-cathedral-basilica-of-our-lady-of-the-pillar.md</v>
      </c>
      <c r="BZ2" s="38" t="str">
        <f>IF(LEN(AG2)&gt;1,VLOOKUP(AG2,'Tag List'!$A:$B,2,),"")</f>
        <v>St. James the Greater</v>
      </c>
      <c r="CA2" s="38" t="str">
        <f>IF(LEN(AH2)&gt;1,VLOOKUP(AH2,'Tag List'!$A:$B,2,),"")</f>
        <v/>
      </c>
      <c r="CB2" s="38" t="str">
        <f>IF(LEN(AI2)&gt;1,VLOOKUP(AI2,'Tag List'!$A:$B,2,),"")</f>
        <v/>
      </c>
      <c r="CC2" s="38" t="str">
        <f>IF(LEN(AG2)&gt;1,GetTagPage(BZ2,AG2),"")</f>
        <v>[St. James the Greater](/tags/james-greater)</v>
      </c>
      <c r="CD2" s="38" t="str">
        <f>IF(LEN(AH2)&gt;1,GetTagPage(CA2,AH2),"")</f>
        <v/>
      </c>
      <c r="CE2" s="38" t="str">
        <f>IF(LEN(AI2)&gt;1,GetTagPage(CB2,AI2),"")</f>
        <v/>
      </c>
      <c r="CF2" s="38" t="str">
        <f>"|"&amp;IF(LEN(CC2)&gt;1," "&amp;CC2,"")&amp;IF(LEN(CD2)&gt;1,", "&amp;CD2,"")&amp;IF(LEN(CE2)&gt;1,", "&amp;CE2,"")&amp;" "</f>
        <v xml:space="preserve">| [St. James the Greater](/tags/james-greater) </v>
      </c>
      <c r="CG2" s="38" t="str">
        <f>"| "&amp;IF(AR2,"["&amp;B2&amp;"](/places/"&amp;SUBSTITUTE(BY2,".md","")&amp;")",B2)&amp;" "</f>
        <v xml:space="preserve">| [Zaragoza](/places/es-cathedral-basilica-of-our-lady-of-the-pillar) </v>
      </c>
      <c r="CH2" s="38" t="str">
        <f>"| "&amp;IF(AR2,GetTagPage(C2,VLOOKUP(C2,'(Ref) Countries'!A:C,3,)),C2)&amp; " "</f>
        <v xml:space="preserve">| [Spain](/tags/spain) </v>
      </c>
      <c r="CI2" s="38" t="str">
        <f>"| "&amp;E2&amp;" "</f>
        <v xml:space="preserve">| 40 </v>
      </c>
      <c r="CJ2" s="38" t="str">
        <f>"|"&amp;IF(AR2," [Link](/places/"&amp;SUBSTITUTE(BY2,".md","")&amp;")","")&amp;" "</f>
        <v xml:space="preserve">| [Link](/places/es-cathedral-basilica-of-our-lady-of-the-pillar) </v>
      </c>
      <c r="CK2" s="37" t="str">
        <f>"
"&amp;CG2&amp;CH2&amp;CI2&amp;CJ2&amp;BL2&amp;BQ2&amp;BR2&amp;BS2&amp;CF2&amp;"|"</f>
        <v xml:space="preserve">
| [Zaragoza](/places/es-cathedral-basilica-of-our-lady-of-the-pillar) | [Spain](/tags/spain) | 40 | [Link](/places/es-cathedral-basilica-of-our-lady-of-the-pillar) [Official site](https://catedraldezaragoza.es/basilica/)[Link](http://www.therealpresence.org/eucharst/misc/BVM/09_ZARAGOZA_60x96.pdf)[Link](https://www.miraclehunter.com/marian_apparitions/approved_apparitions/zaragoza/index.html)[Link](https://www.marypages.com/our-lady-of-the-pillar.html)| [St. James the Greater](/tags/james-greater) |</v>
      </c>
      <c r="CL2" s="66"/>
    </row>
    <row r="3" spans="1:90" ht="51" x14ac:dyDescent="0.25">
      <c r="A3" s="25" t="s">
        <v>1324</v>
      </c>
      <c r="B3" s="28" t="s">
        <v>1184</v>
      </c>
      <c r="C3" s="29" t="s">
        <v>557</v>
      </c>
      <c r="D3" s="33"/>
      <c r="E3" s="31">
        <v>47</v>
      </c>
      <c r="F3" s="71">
        <v>45.045629644626899</v>
      </c>
      <c r="G3" s="67">
        <v>3.8846338389333201</v>
      </c>
      <c r="H3" s="29" t="s">
        <v>1344</v>
      </c>
      <c r="I3" s="75" t="s">
        <v>1344</v>
      </c>
      <c r="J3" s="30" t="s">
        <v>1728</v>
      </c>
      <c r="K3" s="32" t="b">
        <v>1</v>
      </c>
      <c r="L3" s="33" t="b">
        <v>1</v>
      </c>
      <c r="M3" s="33"/>
      <c r="N3" s="29" t="s">
        <v>337</v>
      </c>
      <c r="P3" s="33" t="s">
        <v>1345</v>
      </c>
      <c r="Q3" s="33" t="s">
        <v>336</v>
      </c>
      <c r="R3" s="82"/>
      <c r="S3" s="33"/>
      <c r="T3" s="87"/>
      <c r="U3" s="82"/>
      <c r="V3" s="33"/>
      <c r="W3" s="87"/>
      <c r="X3" s="33"/>
      <c r="Y3" s="33"/>
      <c r="Z3" s="33"/>
      <c r="AA3" s="71" t="s">
        <v>180</v>
      </c>
      <c r="AB3" s="30" t="s">
        <v>336</v>
      </c>
      <c r="AC3" s="33" t="s">
        <v>95</v>
      </c>
      <c r="AD3" s="33" t="s">
        <v>336</v>
      </c>
      <c r="AE3" s="33" t="s">
        <v>336</v>
      </c>
      <c r="AF3" s="68" t="s">
        <v>336</v>
      </c>
      <c r="AG3" s="30" t="s">
        <v>1346</v>
      </c>
      <c r="AR3" s="36" t="b">
        <f>IF(OR(A3="Done",A3="In Progress"),TRUE)</f>
        <v>1</v>
      </c>
      <c r="AS3" s="37" t="str">
        <f>"title: """&amp;H3&amp;""""</f>
        <v>title: "Cathedral of Our Lady of Puy"</v>
      </c>
      <c r="AT3" s="37" t="str">
        <f>"location: {lat: "&amp;F3&amp;", lng: "&amp;G3&amp;"}"</f>
        <v>location: {lat: 45.0456296446269, lng: 3.88463383893332}</v>
      </c>
      <c r="AU3" s="37" t="str">
        <f>"level: "&amp;J3</f>
        <v>level: global</v>
      </c>
      <c r="AV3" s="37" t="str">
        <f>"- "&amp;VLOOKUP(C3,'(Ref) Countries'!A:C,3,)</f>
        <v>- france</v>
      </c>
      <c r="AW3" s="37" t="str">
        <f t="shared" ref="AW3:AW66" si="0">IF(LEN(D3)&gt;1,"- "&amp;LOWER(SUBSTITUTE(D3," ","-")),"")</f>
        <v/>
      </c>
      <c r="AX3" s="37" t="str">
        <f t="shared" ref="AX3:AX66" si="1">IF(K3,"- churches","")</f>
        <v>- churches</v>
      </c>
      <c r="AY3" s="37" t="str">
        <f t="shared" ref="AY3:AY66" si="2">IF(L3,"- marian-sites","")</f>
        <v>- marian-sites</v>
      </c>
      <c r="AZ3" s="37" t="str">
        <f t="shared" ref="AZ3:AZ66" si="3">IF(M3,"- holy-persons","")</f>
        <v/>
      </c>
      <c r="BA3" s="37" t="str">
        <f t="shared" ref="BA3:BA66" si="4">IF(LEN(AG3)&gt;0,"- "&amp;AG3,"")</f>
        <v>- camino-de-santiago</v>
      </c>
      <c r="BB3" s="37" t="str">
        <f t="shared" ref="BB3:BB66" si="5">IF(LEN(AH3)&gt;0,"- "&amp;AH3,"")</f>
        <v/>
      </c>
      <c r="BC3" s="37" t="str">
        <f t="shared" ref="BC3:BC66" si="6">IF(LEN(AI3)&gt;0,"- "&amp;AI3,"")</f>
        <v/>
      </c>
      <c r="BD3" s="37" t="str">
        <f t="shared" ref="BD3:BD66" si="7">IF(LEN(AJ3)&gt;0,"- "&amp;AJ3,"")</f>
        <v/>
      </c>
      <c r="BE3" s="37" t="str">
        <f t="shared" ref="BE3:BE66" si="8">IF(LEN(AK3)&gt;0,"- "&amp;AK3,"")</f>
        <v/>
      </c>
      <c r="BF3" s="37" t="str">
        <f t="shared" ref="BF3:BF66" si="9">IF(LEN(AL3)&gt;0,"- "&amp;AL3,"")</f>
        <v/>
      </c>
      <c r="BG3" s="37" t="str">
        <f t="shared" ref="BG3:BG66" si="10">IF(LEN(AM3)&gt;0,"- "&amp;AM3,"")</f>
        <v/>
      </c>
      <c r="BH3" s="37" t="str">
        <f t="shared" ref="BH3:BH66" si="11">IF(LEN(AN3)&gt;0,"- "&amp;AN3,"")</f>
        <v/>
      </c>
      <c r="BI3" s="37" t="str">
        <f t="shared" ref="BI3:BI66" si="12">IF(LEN(AO3)&gt;0,"- "&amp;AO3,"")</f>
        <v/>
      </c>
      <c r="BJ3" s="37" t="str">
        <f t="shared" ref="BJ3:BJ66" si="13">IF(LEN(AP3)&gt;0,"- "&amp;AP3,"")</f>
        <v/>
      </c>
      <c r="BK3" s="37" t="str">
        <f t="shared" ref="BK3:BK66" si="14">"tags:"&amp;CHAR(10)&amp;concatl(AV3:BJ3)</f>
        <v xml:space="preserve">tags:
- france_x000D_
- churches_x000D_
- marian-sites_x000D_
- camino-de-santiago_x000D_
</v>
      </c>
      <c r="BL3" s="38" t="str">
        <f t="shared" ref="BL3:BL66" si="15">IF(LEN(P3)&gt;0,TRIM(CONCATENATE("[Official site](",P3,") ",Q3)),"")</f>
        <v>[Official site](https://www.cathedraledupuy.org/)</v>
      </c>
      <c r="BM3" s="38" t="str">
        <f t="shared" ref="BM3:BM66" si="16">IF(LEN(S3)&gt;0,TRIM(CONCATENATE("["&amp;R3&amp;"](",S3,") ",T3)),"")</f>
        <v/>
      </c>
      <c r="BN3" s="38" t="str">
        <f t="shared" ref="BN3:BN66" si="17">IF(LEN(V3)&gt;0,TRIM(CONCATENATE("["&amp;U3&amp;"](",V3,") ",W3)),"")</f>
        <v/>
      </c>
      <c r="BO3" s="38" t="str">
        <f t="shared" ref="BO3:BO66" si="18">IF(LEN(Y3)&gt;0,TRIM(CONCATENATE("["&amp;X3&amp;"](",Y3,") ",Z3)),"")</f>
        <v/>
      </c>
      <c r="BP3" s="38" t="str">
        <f t="shared" ref="BP3:BP66" si="19">IF(LEN(BL3)&gt;0,"* "&amp;BL3&amp;CHAR(10),"")&amp;
IF(LEN(BM3)&gt;0,"* "&amp;BM3&amp;CHAR(10),"")&amp;
IF(LEN(BN3)&gt;0,"* "&amp;BN3&amp;CHAR(10),"")&amp;
IF(LEN(BO3)&gt;0,"* "&amp;BO3&amp;CHAR(10),"")</f>
        <v xml:space="preserve">* [Official site](https://www.cathedraledupuy.org/)
</v>
      </c>
      <c r="BQ3" s="38" t="str">
        <f t="shared" ref="BQ3:BQ66" si="20">IF(LEN(AA3)&gt;0,TRIM(CONCATENATE("[Link](",AA3,") ",AB3)),"")</f>
        <v>[Link](http://www.therealpresence.org/eucharst/misc/BVM/68_LE_PUY_60x96.pdf)</v>
      </c>
      <c r="BR3" s="38" t="str">
        <f t="shared" ref="BR3:BR66" si="21">IF(LEN(AC3)&gt;0,TRIM(CONCATENATE("[Link](",AC3,") ",AD3)),"")</f>
        <v>[Link](https://www.miraclehunter.com/marian_apparitions/approved_apparitions/lepuy/index.html)</v>
      </c>
      <c r="BS3" s="38" t="str">
        <f t="shared" ref="BS3:BS66" si="22">IF(LEN(AE3)&gt;0,TRIM(CONCATENATE("[Link](",AE3,") ",AF3)),"")</f>
        <v/>
      </c>
      <c r="BT3" s="38" t="str">
        <f>IF(LEN(concat(BQ3:BS3))&gt;0,concat("| ",BQ3," | ",BR3," | ",BS3," |"),"")</f>
        <v>| [Link](http://www.therealpresence.org/eucharst/misc/BVM/68_LE_PUY_60x96.pdf) | [Link](https://www.miraclehunter.com/marian_apparitions/approved_apparitions/lepuy/index.html) |  |</v>
      </c>
      <c r="BU3" s="37" t="str">
        <f t="shared" ref="BU3:BU66" si="23">IF(L3,concatl("| The Real Presence | Miracle Hunter | MaryPages |","| --- | --- | --- |",BT3),"")</f>
        <v xml:space="preserve">| The Real Presence | Miracle Hunter | MaryPages |_x000D_
| --- | --- | --- |_x000D_
| [Link](http://www.therealpresence.org/eucharst/misc/BVM/68_LE_PUY_60x96.pdf) | [Link](https://www.miraclehunter.com/marian_apparitions/approved_apparitions/lepuy/index.html) |  |_x000D_
</v>
      </c>
      <c r="BV3" s="37" t="str">
        <f>IF(LEN(BP3&amp;BU3)&gt;0,concatll("#### Source Material",BP3,BU3),"")</f>
        <v xml:space="preserve">#### Source Material_x000D_
_x000D_
* [Official site](https://www.cathedraledupuy.org/)
_x000D_
_x000D_
| The Real Presence | Miracle Hunter | MaryPages |_x000D_
| --- | --- | --- |_x000D_
| [Link](http://www.therealpresence.org/eucharst/misc/BVM/68_LE_PUY_60x96.pdf) | [Link](https://www.miraclehunter.com/marian_apparitions/approved_apparitions/lepuy/index.html) |  |_x000D_
_x000D_
_x000D_
</v>
      </c>
      <c r="BW3" s="37" t="str">
        <f>IF(LEN(O3)&gt;1,concatll("#### Author's Note",O3),"")</f>
        <v/>
      </c>
      <c r="BX3" s="24" t="str">
        <f>IF(AR3,concatll(concatl("---",AS3:AU3,BK3,"---"),N3,BV3:BW3),"")</f>
        <v xml:space="preserve">---_x000D_
title: "Cathedral of Our Lady of Puy"_x000D_
location: {lat: 45.0456296446269, lng: 3.88463383893332}_x000D_
level: global_x000D_
tags:
- france_x000D_
- churches_x000D_
- marian-sites_x000D_
- camino-de-santiago_x000D_
_x000D_
---_x000D_
_x000D_
_x000D_
In 47 AD, Our Lady appeared to a recent Christian convert, in a chapel built few years before on a high mountain. This woman was plagued by a serious illness and no doctor had been able to help.  The Blessed Mother, during her appearance, completely cured her._x000D_
_x000D_
#### Source Material_x000D_
_x000D_
* [Official site](https://www.cathedraledupuy.org/)
_x000D_
_x000D_
| The Real Presence | Miracle Hunter | MaryPages |_x000D_
| --- | --- | --- |_x000D_
| [Link](http://www.therealpresence.org/eucharst/misc/BVM/68_LE_PUY_60x96.pdf) | [Link](https://www.miraclehunter.com/marian_apparitions/approved_apparitions/lepuy/index.html) |  |_x000D_
_x000D_
_x000D_
_x000D_
_x000D_
</v>
      </c>
      <c r="BY3" s="24" t="str">
        <f>IF(AR3,VLOOKUP(C3,'(Ref) Countries'!A:B,2,)&amp;IF(LEN(D3)&gt;1,"-"&amp;LOWER(SUBSTITUTE(D3," ","-")),"")&amp;"-"&amp;LOWER(SUBSTITUTE(I3," ","-"))&amp;".md","")</f>
        <v>fr-cathedral-of-our-lady-of-puy.md</v>
      </c>
      <c r="BZ3" s="37" t="str">
        <f>IF(LEN(AG3)&gt;1,VLOOKUP(AG3,'Tag List'!$A:$B,2,),"")</f>
        <v>Camino de Santiago</v>
      </c>
      <c r="CA3" s="37" t="str">
        <f>IF(LEN(AH3)&gt;1,VLOOKUP(AH3,'Tag List'!$A:$B,2,),"")</f>
        <v/>
      </c>
      <c r="CB3" s="37" t="str">
        <f>IF(LEN(AI3)&gt;1,VLOOKUP(AI3,'Tag List'!$A:$B,2,),"")</f>
        <v/>
      </c>
      <c r="CC3" s="38" t="str">
        <f>IF(LEN(AG3)&gt;1,GetTagPage(BZ3,AG3),"")</f>
        <v>[Camino de Santiago](/tags/camino-de-santiago)</v>
      </c>
      <c r="CD3" s="38" t="str">
        <f>IF(LEN(AH3)&gt;1,GetTagPage(CA3,AH3),"")</f>
        <v/>
      </c>
      <c r="CE3" s="38" t="str">
        <f>IF(LEN(AI3)&gt;1,GetTagPage(CB3,AI3),"")</f>
        <v/>
      </c>
      <c r="CF3" s="38" t="str">
        <f>"|"&amp;IF(LEN(CC3)&gt;1," "&amp;CC3,"")&amp;IF(LEN(CD3)&gt;1,", "&amp;CD3,"")&amp;IF(LEN(CE3)&gt;1,", "&amp;CE3,"")&amp;" "</f>
        <v xml:space="preserve">| [Camino de Santiago](/tags/camino-de-santiago) </v>
      </c>
      <c r="CG3" s="38" t="str">
        <f>"| "&amp;IF(AR3,"["&amp;B3&amp;"](/places/"&amp;SUBSTITUTE(BY3,".md","")&amp;")",B3)&amp;" "</f>
        <v xml:space="preserve">| [Le Puy En Velay](/places/fr-cathedral-of-our-lady-of-puy) </v>
      </c>
      <c r="CH3" s="38" t="str">
        <f>"| "&amp;IF(AR3,GetTagPage(C3,VLOOKUP(C3,'(Ref) Countries'!A:C,3,)),C3)&amp; " "</f>
        <v xml:space="preserve">| [France](/tags/france) </v>
      </c>
      <c r="CI3" s="38" t="str">
        <f>"| "&amp;E3&amp;" "</f>
        <v xml:space="preserve">| 47 </v>
      </c>
      <c r="CJ3" s="38" t="str">
        <f>"|"&amp;IF(AR3," [Link](/places/"&amp;SUBSTITUTE(BY3,".md","")&amp;")","")&amp;" "</f>
        <v xml:space="preserve">| [Link](/places/fr-cathedral-of-our-lady-of-puy) </v>
      </c>
      <c r="CK3" s="37" t="str">
        <f>"
"&amp;CG3&amp;CH3&amp;CI3&amp;CJ3&amp;BL3&amp;BQ3&amp;BR3&amp;BS3&amp;CF3&amp;"|"</f>
        <v xml:space="preserve">
| [Le Puy En Velay](/places/fr-cathedral-of-our-lady-of-puy) | [France](/tags/france) | 47 | [Link](/places/fr-cathedral-of-our-lady-of-puy) [Official site](https://www.cathedraledupuy.org/)[Link](http://www.therealpresence.org/eucharst/misc/BVM/68_LE_PUY_60x96.pdf)[Link](https://www.miraclehunter.com/marian_apparitions/approved_apparitions/lepuy/index.html)| [Camino de Santiago](/tags/camino-de-santiago) |</v>
      </c>
    </row>
    <row r="4" spans="1:90" ht="63.75" x14ac:dyDescent="0.25">
      <c r="A4" s="25" t="s">
        <v>1324</v>
      </c>
      <c r="B4" s="28" t="s">
        <v>1405</v>
      </c>
      <c r="C4" s="40" t="s">
        <v>2</v>
      </c>
      <c r="D4" s="41"/>
      <c r="E4" s="31">
        <v>335</v>
      </c>
      <c r="F4" s="71">
        <v>9.7544459999999997</v>
      </c>
      <c r="G4" s="67">
        <v>76.564819999999997</v>
      </c>
      <c r="H4" s="40" t="s">
        <v>1406</v>
      </c>
      <c r="I4" s="79" t="s">
        <v>1407</v>
      </c>
      <c r="J4" s="42" t="s">
        <v>1728</v>
      </c>
      <c r="K4" s="32" t="b">
        <v>1</v>
      </c>
      <c r="L4" s="41" t="b">
        <v>1</v>
      </c>
      <c r="M4" s="41"/>
      <c r="N4" s="29" t="s">
        <v>1404</v>
      </c>
      <c r="P4" s="33" t="s">
        <v>101</v>
      </c>
      <c r="Q4" s="33" t="s">
        <v>336</v>
      </c>
      <c r="R4" s="82"/>
      <c r="S4" s="33"/>
      <c r="T4" s="87"/>
      <c r="U4" s="82"/>
      <c r="V4" s="33"/>
      <c r="W4" s="87"/>
      <c r="X4" s="33"/>
      <c r="Y4" s="33"/>
      <c r="Z4" s="33"/>
      <c r="AA4" s="72" t="s">
        <v>336</v>
      </c>
      <c r="AB4" s="30" t="s">
        <v>336</v>
      </c>
      <c r="AC4" s="33" t="s">
        <v>1408</v>
      </c>
      <c r="AD4" s="41" t="s">
        <v>1409</v>
      </c>
      <c r="AE4" s="41" t="s">
        <v>336</v>
      </c>
      <c r="AF4" s="69" t="s">
        <v>336</v>
      </c>
      <c r="AG4" s="42" t="s">
        <v>1410</v>
      </c>
      <c r="AH4" s="42"/>
      <c r="AI4" s="42"/>
      <c r="AJ4" s="42"/>
      <c r="AK4" s="42"/>
      <c r="AL4" s="42"/>
      <c r="AM4" s="42"/>
      <c r="AN4" s="42"/>
      <c r="AO4" s="42"/>
      <c r="AP4" s="109"/>
      <c r="AR4" s="36" t="b">
        <f>IF(OR(A4="Done",A4="In Progress"),TRUE)</f>
        <v>1</v>
      </c>
      <c r="AS4" s="37" t="str">
        <f>"title: """&amp;H4&amp;""""</f>
        <v>title: "Major Archiepiscopal Marth Mariam Archdeacon Pilgrim Church at Kuravilangad"</v>
      </c>
      <c r="AT4" s="37" t="str">
        <f>"location: {lat: "&amp;F4&amp;", lng: "&amp;G4&amp;"}"</f>
        <v>location: {lat: 9.754446, lng: 76.56482}</v>
      </c>
      <c r="AU4" s="37" t="str">
        <f>"level: "&amp;J4</f>
        <v>level: global</v>
      </c>
      <c r="AV4" s="37" t="str">
        <f>"- "&amp;VLOOKUP(C4,'(Ref) Countries'!A:C,3,)</f>
        <v>- india</v>
      </c>
      <c r="AW4" s="37" t="str">
        <f t="shared" si="0"/>
        <v/>
      </c>
      <c r="AX4" s="37" t="str">
        <f t="shared" si="1"/>
        <v>- churches</v>
      </c>
      <c r="AY4" s="37" t="str">
        <f t="shared" si="2"/>
        <v>- marian-sites</v>
      </c>
      <c r="AZ4" s="37" t="str">
        <f t="shared" si="3"/>
        <v/>
      </c>
      <c r="BA4" s="37" t="str">
        <f t="shared" si="4"/>
        <v>- syro-malabar</v>
      </c>
      <c r="BB4" s="37" t="str">
        <f t="shared" si="5"/>
        <v/>
      </c>
      <c r="BC4" s="37" t="str">
        <f t="shared" si="6"/>
        <v/>
      </c>
      <c r="BD4" s="37" t="str">
        <f t="shared" si="7"/>
        <v/>
      </c>
      <c r="BE4" s="37" t="str">
        <f t="shared" si="8"/>
        <v/>
      </c>
      <c r="BF4" s="37" t="str">
        <f t="shared" si="9"/>
        <v/>
      </c>
      <c r="BG4" s="37" t="str">
        <f t="shared" si="10"/>
        <v/>
      </c>
      <c r="BH4" s="37" t="str">
        <f t="shared" si="11"/>
        <v/>
      </c>
      <c r="BI4" s="37" t="str">
        <f t="shared" si="12"/>
        <v/>
      </c>
      <c r="BJ4" s="37" t="str">
        <f t="shared" si="13"/>
        <v/>
      </c>
      <c r="BK4" s="37" t="str">
        <f t="shared" si="14"/>
        <v xml:space="preserve">tags:
- india_x000D_
- churches_x000D_
- marian-sites_x000D_
- syro-malabar_x000D_
</v>
      </c>
      <c r="BL4" s="38" t="str">
        <f t="shared" si="15"/>
        <v>[Official site](http://kuravilangadpally.com/)</v>
      </c>
      <c r="BM4" s="38" t="str">
        <f t="shared" si="16"/>
        <v/>
      </c>
      <c r="BN4" s="38" t="str">
        <f t="shared" si="17"/>
        <v/>
      </c>
      <c r="BO4" s="38" t="str">
        <f t="shared" si="18"/>
        <v/>
      </c>
      <c r="BP4" s="38" t="str">
        <f t="shared" si="19"/>
        <v xml:space="preserve">* [Official site](http://kuravilangadpally.com/)
</v>
      </c>
      <c r="BQ4" s="38" t="str">
        <f t="shared" si="20"/>
        <v/>
      </c>
      <c r="BR4" s="38" t="str">
        <f t="shared" si="21"/>
        <v>[Link](https://www.miraclehunter.com/marian_apparitions/approved_apparitions/apparitions_0040-0999.html) (Search "Kuravilangad")</v>
      </c>
      <c r="BS4" s="38" t="str">
        <f t="shared" si="22"/>
        <v/>
      </c>
      <c r="BT4" s="38" t="str">
        <f>IF(LEN(concat(BQ4:BS4))&gt;0,concat("| ",BQ4," | ",BR4," | ",BS4," |"),"")</f>
        <v>|  | [Link](https://www.miraclehunter.com/marian_apparitions/approved_apparitions/apparitions_0040-0999.html) (Search "Kuravilangad") |  |</v>
      </c>
      <c r="BU4" s="37" t="str">
        <f t="shared" si="23"/>
        <v xml:space="preserve">| The Real Presence | Miracle Hunter | MaryPages |_x000D_
| --- | --- | --- |_x000D_
|  | [Link](https://www.miraclehunter.com/marian_apparitions/approved_apparitions/apparitions_0040-0999.html) (Search "Kuravilangad") |  |_x000D_
</v>
      </c>
      <c r="BV4" s="37" t="str">
        <f>IF(LEN(BP4&amp;BU4)&gt;0,concatll("#### Source Material",BP4,BU4),"")</f>
        <v xml:space="preserve">#### Source Material_x000D_
_x000D_
* [Official site](http://kuravilangadpally.com/)
_x000D_
_x000D_
| The Real Presence | Miracle Hunter | MaryPages |_x000D_
| --- | --- | --- |_x000D_
|  | [Link](https://www.miraclehunter.com/marian_apparitions/approved_apparitions/apparitions_0040-0999.html) (Search "Kuravilangad") |  |_x000D_
_x000D_
_x000D_
</v>
      </c>
      <c r="BW4" s="37" t="str">
        <f>IF(LEN(O4)&gt;1,concatll("#### Author's Note",O4),"")</f>
        <v/>
      </c>
      <c r="BX4" s="24" t="str">
        <f>IF(AR4,concatll(concatl("---",AS4:AU4,BK4,"---"),N4,BV4:BW4),"")</f>
        <v xml:space="preserve">---_x000D_
title: "Major Archiepiscopal Marth Mariam Archdeacon Pilgrim Church at Kuravilangad"_x000D_
location: {lat: 9.754446, lng: 76.56482}_x000D_
level: global_x000D_
tags:
- india_x000D_
- churches_x000D_
- marian-sites_x000D_
- syro-malabar_x000D_
_x000D_
---_x000D_
_x000D_
_x000D_
According to tradition, Our Lady appeared to a few shepherd children at Kuravilangad as they were tending their flock.  She asked them to build a church at the place from where a miraculous perpetual spring sprouted, which exists even today.  The children reported this matter to the elders and a church was built there._x000D_
_x000D_
#### Source Material_x000D_
_x000D_
* [Official site](http://kuravilangadpally.com/)
_x000D_
_x000D_
| The Real Presence | Miracle Hunter | MaryPages |_x000D_
| --- | --- | --- |_x000D_
|  | [Link](https://www.miraclehunter.com/marian_apparitions/approved_apparitions/apparitions_0040-0999.html) (Search "Kuravilangad") |  |_x000D_
_x000D_
_x000D_
_x000D_
_x000D_
</v>
      </c>
      <c r="BY4" s="24" t="str">
        <f>IF(AR4,VLOOKUP(C4,'(Ref) Countries'!A:B,2,)&amp;IF(LEN(D4)&gt;1,"-"&amp;LOWER(SUBSTITUTE(D4," ","-")),"")&amp;"-"&amp;LOWER(SUBSTITUTE(I4," ","-"))&amp;".md","")</f>
        <v>in-marth-mariam-archdeacon-pilgrim-church-at-kuravilangad.md</v>
      </c>
      <c r="BZ4" s="37" t="str">
        <f>IF(LEN(AG4)&gt;1,VLOOKUP(AG4,'Tag List'!$A:$B,2,),"")</f>
        <v>Syro-Malabar Church</v>
      </c>
      <c r="CA4" s="37" t="str">
        <f>IF(LEN(AH4)&gt;1,VLOOKUP(AH4,'Tag List'!$A:$B,2,),"")</f>
        <v/>
      </c>
      <c r="CB4" s="37" t="str">
        <f>IF(LEN(AI4)&gt;1,VLOOKUP(AI4,'Tag List'!$A:$B,2,),"")</f>
        <v/>
      </c>
      <c r="CC4" s="38" t="str">
        <f>IF(LEN(AG4)&gt;1,GetTagPage(BZ4,AG4),"")</f>
        <v>[Syro-Malabar Church](/tags/syro-malabar)</v>
      </c>
      <c r="CD4" s="38" t="str">
        <f>IF(LEN(AH4)&gt;1,GetTagPage(CA4,AH4),"")</f>
        <v/>
      </c>
      <c r="CE4" s="38" t="str">
        <f>IF(LEN(AI4)&gt;1,GetTagPage(CB4,AI4),"")</f>
        <v/>
      </c>
      <c r="CF4" s="38" t="str">
        <f>"|"&amp;IF(LEN(CC4)&gt;1," "&amp;CC4,"")&amp;IF(LEN(CD4)&gt;1,", "&amp;CD4,"")&amp;IF(LEN(CE4)&gt;1,", "&amp;CE4,"")&amp;" "</f>
        <v xml:space="preserve">| [Syro-Malabar Church](/tags/syro-malabar) </v>
      </c>
      <c r="CG4" s="38" t="str">
        <f>"| "&amp;IF(AR4,"["&amp;B4&amp;"](/places/"&amp;SUBSTITUTE(BY4,".md","")&amp;")",B4)&amp;" "</f>
        <v xml:space="preserve">| [Kuravilangad](/places/in-marth-mariam-archdeacon-pilgrim-church-at-kuravilangad) </v>
      </c>
      <c r="CH4" s="38" t="str">
        <f>"| "&amp;IF(AR4,GetTagPage(C4,VLOOKUP(C4,'(Ref) Countries'!A:C,3,)),C4)&amp; " "</f>
        <v xml:space="preserve">| [India](/tags/india) </v>
      </c>
      <c r="CI4" s="38" t="str">
        <f>"| "&amp;E4&amp;" "</f>
        <v xml:space="preserve">| 335 </v>
      </c>
      <c r="CJ4" s="38" t="str">
        <f>"|"&amp;IF(AR4," [Link](/places/"&amp;SUBSTITUTE(BY4,".md","")&amp;")","")&amp;" "</f>
        <v xml:space="preserve">| [Link](/places/in-marth-mariam-archdeacon-pilgrim-church-at-kuravilangad) </v>
      </c>
      <c r="CK4" s="37" t="str">
        <f>"
"&amp;CG4&amp;CH4&amp;CI4&amp;CJ4&amp;BL4&amp;BQ4&amp;BR4&amp;BS4&amp;CF4&amp;"|"</f>
        <v xml:space="preserve">
| [Kuravilangad](/places/in-marth-mariam-archdeacon-pilgrim-church-at-kuravilangad) | [India](/tags/india) | 335 | [Link](/places/in-marth-mariam-archdeacon-pilgrim-church-at-kuravilangad) [Official site](http://kuravilangadpally.com/)[Link](https://www.miraclehunter.com/marian_apparitions/approved_apparitions/apparitions_0040-0999.html) (Search "Kuravilangad")| [Syro-Malabar Church](/tags/syro-malabar) |</v>
      </c>
    </row>
    <row r="5" spans="1:90" ht="102" x14ac:dyDescent="0.25">
      <c r="A5" s="25" t="s">
        <v>1324</v>
      </c>
      <c r="B5" s="28" t="s">
        <v>1313</v>
      </c>
      <c r="C5" s="35" t="s">
        <v>11</v>
      </c>
      <c r="D5" s="43" t="s">
        <v>1005</v>
      </c>
      <c r="E5" s="31">
        <v>352</v>
      </c>
      <c r="F5" s="71">
        <v>41.897293109963897</v>
      </c>
      <c r="G5" s="67">
        <v>12.4989743434214</v>
      </c>
      <c r="H5" s="29" t="s">
        <v>175</v>
      </c>
      <c r="I5" s="75" t="s">
        <v>731</v>
      </c>
      <c r="J5" s="30" t="s">
        <v>1728</v>
      </c>
      <c r="K5" s="32" t="b">
        <v>1</v>
      </c>
      <c r="L5" s="30" t="b">
        <v>1</v>
      </c>
      <c r="N5" s="29" t="s">
        <v>338</v>
      </c>
      <c r="P5" s="30" t="s">
        <v>176</v>
      </c>
      <c r="Q5" s="30" t="s">
        <v>336</v>
      </c>
      <c r="AA5" s="71" t="s">
        <v>181</v>
      </c>
      <c r="AB5" s="30" t="s">
        <v>336</v>
      </c>
      <c r="AC5" s="30" t="s">
        <v>103</v>
      </c>
      <c r="AD5" s="30" t="s">
        <v>336</v>
      </c>
      <c r="AE5" s="30" t="s">
        <v>177</v>
      </c>
      <c r="AF5" s="67" t="s">
        <v>336</v>
      </c>
      <c r="AG5" s="44" t="s">
        <v>1001</v>
      </c>
      <c r="AH5" s="45"/>
      <c r="AI5" s="44"/>
      <c r="AJ5" s="44"/>
      <c r="AK5" s="44"/>
      <c r="AL5" s="44"/>
      <c r="AM5" s="44"/>
      <c r="AN5" s="44"/>
      <c r="AO5" s="44"/>
      <c r="AP5" s="110"/>
      <c r="AR5" s="36" t="b">
        <f>IF(OR(A5="Done",A5="In Progress"),TRUE)</f>
        <v>1</v>
      </c>
      <c r="AS5" s="37" t="str">
        <f>"title: """&amp;H5&amp;""""</f>
        <v>title: "Santa Maria Maggiore (Our Lady of the Snows)"</v>
      </c>
      <c r="AT5" s="37" t="str">
        <f>"location: {lat: "&amp;F5&amp;", lng: "&amp;G5&amp;"}"</f>
        <v>location: {lat: 41.8972931099639, lng: 12.4989743434214}</v>
      </c>
      <c r="AU5" s="37" t="str">
        <f>"level: "&amp;J5</f>
        <v>level: global</v>
      </c>
      <c r="AV5" s="37" t="str">
        <f>"- "&amp;VLOOKUP(C5,'(Ref) Countries'!A:C,3,)</f>
        <v>- italy</v>
      </c>
      <c r="AW5" s="37" t="str">
        <f t="shared" si="0"/>
        <v>- rome</v>
      </c>
      <c r="AX5" s="37" t="str">
        <f t="shared" si="1"/>
        <v>- churches</v>
      </c>
      <c r="AY5" s="37" t="str">
        <f t="shared" si="2"/>
        <v>- marian-sites</v>
      </c>
      <c r="AZ5" s="37" t="str">
        <f t="shared" si="3"/>
        <v/>
      </c>
      <c r="BA5" s="37" t="str">
        <f t="shared" si="4"/>
        <v>- papal-basilicas</v>
      </c>
      <c r="BB5" s="37" t="str">
        <f t="shared" si="5"/>
        <v/>
      </c>
      <c r="BC5" s="37" t="str">
        <f t="shared" si="6"/>
        <v/>
      </c>
      <c r="BD5" s="37" t="str">
        <f t="shared" si="7"/>
        <v/>
      </c>
      <c r="BE5" s="37" t="str">
        <f t="shared" si="8"/>
        <v/>
      </c>
      <c r="BF5" s="37" t="str">
        <f t="shared" si="9"/>
        <v/>
      </c>
      <c r="BG5" s="37" t="str">
        <f t="shared" si="10"/>
        <v/>
      </c>
      <c r="BH5" s="37" t="str">
        <f t="shared" si="11"/>
        <v/>
      </c>
      <c r="BI5" s="37" t="str">
        <f t="shared" si="12"/>
        <v/>
      </c>
      <c r="BJ5" s="37" t="str">
        <f t="shared" si="13"/>
        <v/>
      </c>
      <c r="BK5" s="37" t="str">
        <f t="shared" si="14"/>
        <v xml:space="preserve">tags:
- italy_x000D_
- rome_x000D_
- churches_x000D_
- marian-sites_x000D_
- papal-basilicas_x000D_
</v>
      </c>
      <c r="BL5" s="38" t="str">
        <f t="shared" si="15"/>
        <v>[Official site](https://www.vatican.va/various/basiliche/sm_maggiore/index_en.html)</v>
      </c>
      <c r="BM5" s="38" t="str">
        <f t="shared" si="16"/>
        <v/>
      </c>
      <c r="BN5" s="38" t="str">
        <f t="shared" si="17"/>
        <v/>
      </c>
      <c r="BO5" s="38" t="str">
        <f t="shared" si="18"/>
        <v/>
      </c>
      <c r="BP5" s="38" t="str">
        <f t="shared" si="19"/>
        <v xml:space="preserve">* [Official site](https://www.vatican.va/various/basiliche/sm_maggiore/index_en.html)
</v>
      </c>
      <c r="BQ5" s="38" t="str">
        <f t="shared" si="20"/>
        <v>[Link](http://www.therealpresence.org/eucharst/misc/BVM/117_ROMA_60x96.pdf)</v>
      </c>
      <c r="BR5" s="38" t="str">
        <f t="shared" si="21"/>
        <v>[Link](https://www.miraclehunter.com/marian_apparitions/approved_apparitions/rome/index.html)</v>
      </c>
      <c r="BS5" s="38" t="str">
        <f t="shared" si="22"/>
        <v>[Link](https://www.marypages.com/our-lady-of-the-snows-en.html)</v>
      </c>
      <c r="BT5" s="38" t="str">
        <f>IF(LEN(concat(BQ5:BS5))&gt;0,concat("| ",BQ5," | ",BR5," | ",BS5," |"),"")</f>
        <v>| [Link](http://www.therealpresence.org/eucharst/misc/BVM/117_ROMA_60x96.pdf) | [Link](https://www.miraclehunter.com/marian_apparitions/approved_apparitions/rome/index.html) | [Link](https://www.marypages.com/our-lady-of-the-snows-en.html) |</v>
      </c>
      <c r="BU5" s="37" t="str">
        <f t="shared" si="23"/>
        <v xml:space="preserve">| The Real Presence | Miracle Hunter | MaryPages |_x000D_
| --- | --- | --- |_x000D_
| [Link](http://www.therealpresence.org/eucharst/misc/BVM/117_ROMA_60x96.pdf) | [Link](https://www.miraclehunter.com/marian_apparitions/approved_apparitions/rome/index.html) | [Link](https://www.marypages.com/our-lady-of-the-snows-en.html) |_x000D_
</v>
      </c>
      <c r="BV5" s="37" t="str">
        <f>IF(LEN(BP5&amp;BU5)&gt;0,concatll("#### Source Material",BP5,BU5),"")</f>
        <v xml:space="preserve">#### Source Material_x000D_
_x000D_
* [Official site](https://www.vatican.va/various/basiliche/sm_maggiore/index_en.html)
_x000D_
_x000D_
| The Real Presence | Miracle Hunter | MaryPages |_x000D_
| --- | --- | --- |_x000D_
| [Link](http://www.therealpresence.org/eucharst/misc/BVM/117_ROMA_60x96.pdf) | [Link](https://www.miraclehunter.com/marian_apparitions/approved_apparitions/rome/index.html) | [Link](https://www.marypages.com/our-lady-of-the-snows-en.html) |_x000D_
_x000D_
_x000D_
</v>
      </c>
      <c r="BW5" s="37" t="str">
        <f>IF(LEN(O5)&gt;1,concatll("#### Author's Note",O5),"")</f>
        <v/>
      </c>
      <c r="BX5" s="24" t="str">
        <f>IF(AR5,concatll(concatl("---",AS5:AU5,BK5,"---"),N5,BV5:BW5),"")</f>
        <v xml:space="preserve">---_x000D_
title: "Santa Maria Maggiore (Our Lady of the Snows)"_x000D_
location: {lat: 41.8972931099639, lng: 12.4989743434214}_x000D_
level: global_x000D_
tags:
- italy_x000D_
- rome_x000D_
- churches_x000D_
- marian-sites_x000D_
- papal-basilicas_x000D_
_x000D_
---_x000D_
_x000D_
_x000D_
A wealthy but childless Christian Roman couple wanted to appoint the Virgin Mary as heiress of their property. On the night of August 4, Mary appeared simultaneously to the couple and Pope Liberius, expressing the wish that a church be erected on Esquiline Hill.  The morning of August 5, miraculous snow fell on a narrow piece of land, upon which the Church of Liberius was constructed.  This Marian shrine was replaced in the fifth century with a great church named Santa Maria Maggiore, which is now one of the four papal basilicas._x000D_
_x000D_
#### Source Material_x000D_
_x000D_
* [Official site](https://www.vatican.va/various/basiliche/sm_maggiore/index_en.html)
_x000D_
_x000D_
| The Real Presence | Miracle Hunter | MaryPages |_x000D_
| --- | --- | --- |_x000D_
| [Link](http://www.therealpresence.org/eucharst/misc/BVM/117_ROMA_60x96.pdf) | [Link](https://www.miraclehunter.com/marian_apparitions/approved_apparitions/rome/index.html) | [Link](https://www.marypages.com/our-lady-of-the-snows-en.html) |_x000D_
_x000D_
_x000D_
_x000D_
_x000D_
</v>
      </c>
      <c r="BY5" s="24" t="str">
        <f>IF(AR5,VLOOKUP(C5,'(Ref) Countries'!A:B,2,)&amp;IF(LEN(D5)&gt;1,"-"&amp;LOWER(SUBSTITUTE(D5," ","-")),"")&amp;"-"&amp;LOWER(SUBSTITUTE(I5," ","-"))&amp;".md","")</f>
        <v>it-rome-s-maria-maggiore.md</v>
      </c>
      <c r="BZ5" s="46" t="str">
        <f>IF(LEN(AG5)&gt;1,VLOOKUP(AG5,'Tag List'!$A:$B,2,),"")</f>
        <v>Papal Basilicas</v>
      </c>
      <c r="CA5" s="46" t="str">
        <f>IF(LEN(AH5)&gt;1,VLOOKUP(AH5,'Tag List'!$A:$B,2,),"")</f>
        <v/>
      </c>
      <c r="CB5" s="46" t="str">
        <f>IF(LEN(AI5)&gt;1,VLOOKUP(AI5,'Tag List'!$A:$B,2,),"")</f>
        <v/>
      </c>
      <c r="CC5" s="38" t="str">
        <f>IF(LEN(AG5)&gt;1,GetTagPage(BZ5,AG5),"")</f>
        <v>[Papal Basilicas](/tags/papal-basilicas)</v>
      </c>
      <c r="CD5" s="38" t="str">
        <f>IF(LEN(AH5)&gt;1,GetTagPage(CA5,AH5),"")</f>
        <v/>
      </c>
      <c r="CE5" s="38" t="str">
        <f>IF(LEN(AI5)&gt;1,GetTagPage(CB5,AI5),"")</f>
        <v/>
      </c>
      <c r="CF5" s="38" t="str">
        <f>"|"&amp;IF(LEN(CC5)&gt;1," "&amp;CC5,"")&amp;IF(LEN(CD5)&gt;1,", "&amp;CD5,"")&amp;IF(LEN(CE5)&gt;1,", "&amp;CE5,"")&amp;" "</f>
        <v xml:space="preserve">| [Papal Basilicas](/tags/papal-basilicas) </v>
      </c>
      <c r="CG5" s="38" t="str">
        <f>"| "&amp;IF(AR5,"["&amp;B5&amp;"](/places/"&amp;SUBSTITUTE(BY5,".md","")&amp;")",B5)&amp;" "</f>
        <v xml:space="preserve">| [Rome (Santa Maria Maggiore)](/places/it-rome-s-maria-maggiore) </v>
      </c>
      <c r="CH5" s="38" t="str">
        <f>"| "&amp;IF(AR5,GetTagPage(C5,VLOOKUP(C5,'(Ref) Countries'!A:C,3,)),C5)&amp; " "</f>
        <v xml:space="preserve">| [Italy](/tags/italy) </v>
      </c>
      <c r="CI5" s="38" t="str">
        <f>"| "&amp;E5&amp;" "</f>
        <v xml:space="preserve">| 352 </v>
      </c>
      <c r="CJ5" s="38" t="str">
        <f>"|"&amp;IF(AR5," [Link](/places/"&amp;SUBSTITUTE(BY5,".md","")&amp;")","")&amp;" "</f>
        <v xml:space="preserve">| [Link](/places/it-rome-s-maria-maggiore) </v>
      </c>
      <c r="CK5" s="37" t="str">
        <f>"
"&amp;CG5&amp;CH5&amp;CI5&amp;CJ5&amp;BL5&amp;BQ5&amp;BR5&amp;BS5&amp;CF5&amp;"|"</f>
        <v xml:space="preserve">
| [Rome (Santa Maria Maggiore)](/places/it-rome-s-maria-maggiore) | [Italy](/tags/italy) | 352 | [Link](/places/it-rome-s-maria-maggiore) [Official site](https://www.vatican.va/various/basiliche/sm_maggiore/index_en.html)[Link](http://www.therealpresence.org/eucharst/misc/BVM/117_ROMA_60x96.pdf)[Link](https://www.miraclehunter.com/marian_apparitions/approved_apparitions/rome/index.html)[Link](https://www.marypages.com/our-lady-of-the-snows-en.html)| [Papal Basilicas](/tags/papal-basilicas) |</v>
      </c>
    </row>
    <row r="6" spans="1:90" x14ac:dyDescent="0.25">
      <c r="A6" s="25" t="s">
        <v>1052</v>
      </c>
      <c r="B6" s="28" t="s">
        <v>1185</v>
      </c>
      <c r="C6" s="29" t="s">
        <v>11</v>
      </c>
      <c r="D6" s="43" t="s">
        <v>1440</v>
      </c>
      <c r="E6" s="31" t="s">
        <v>1347</v>
      </c>
      <c r="F6" s="71">
        <v>38.141271460015901</v>
      </c>
      <c r="G6" s="67">
        <v>15.0456795824699</v>
      </c>
      <c r="H6" s="29" t="s">
        <v>1342</v>
      </c>
      <c r="I6" s="75" t="s">
        <v>1341</v>
      </c>
      <c r="J6" s="30" t="s">
        <v>1728</v>
      </c>
      <c r="K6" s="32" t="b">
        <v>1</v>
      </c>
      <c r="L6" s="30" t="b">
        <v>1</v>
      </c>
      <c r="N6" s="29" t="s">
        <v>1337</v>
      </c>
      <c r="P6" s="30" t="s">
        <v>1339</v>
      </c>
      <c r="Q6" s="30" t="s">
        <v>336</v>
      </c>
      <c r="AA6" s="71" t="s">
        <v>182</v>
      </c>
      <c r="AB6" s="30" t="s">
        <v>336</v>
      </c>
      <c r="AD6" s="30" t="s">
        <v>336</v>
      </c>
      <c r="AE6" s="30" t="s">
        <v>336</v>
      </c>
      <c r="AF6" s="67" t="s">
        <v>336</v>
      </c>
      <c r="AR6" s="36" t="b">
        <f>IF(OR(A6="Done",A6="In Progress"),TRUE)</f>
        <v>1</v>
      </c>
      <c r="AS6" s="37" t="str">
        <f>"title: """&amp;H6&amp;""""</f>
        <v>title: "Sanctuary of Holy Mary of Tindari"</v>
      </c>
      <c r="AT6" s="37" t="str">
        <f>"location: {lat: "&amp;F6&amp;", lng: "&amp;G6&amp;"}"</f>
        <v>location: {lat: 38.1412714600159, lng: 15.0456795824699}</v>
      </c>
      <c r="AU6" s="37" t="str">
        <f>"level: "&amp;J6</f>
        <v>level: global</v>
      </c>
      <c r="AV6" s="37" t="str">
        <f>"- "&amp;VLOOKUP(C6,'(Ref) Countries'!A:C,3,)</f>
        <v>- italy</v>
      </c>
      <c r="AW6" s="37" t="str">
        <f t="shared" si="0"/>
        <v>- sicily</v>
      </c>
      <c r="AX6" s="37" t="str">
        <f t="shared" si="1"/>
        <v>- churches</v>
      </c>
      <c r="AY6" s="37" t="str">
        <f t="shared" si="2"/>
        <v>- marian-sites</v>
      </c>
      <c r="AZ6" s="37" t="str">
        <f t="shared" si="3"/>
        <v/>
      </c>
      <c r="BA6" s="37" t="str">
        <f t="shared" si="4"/>
        <v/>
      </c>
      <c r="BB6" s="37" t="str">
        <f t="shared" si="5"/>
        <v/>
      </c>
      <c r="BC6" s="37" t="str">
        <f t="shared" si="6"/>
        <v/>
      </c>
      <c r="BD6" s="37" t="str">
        <f t="shared" si="7"/>
        <v/>
      </c>
      <c r="BE6" s="37" t="str">
        <f t="shared" si="8"/>
        <v/>
      </c>
      <c r="BF6" s="37" t="str">
        <f t="shared" si="9"/>
        <v/>
      </c>
      <c r="BG6" s="37" t="str">
        <f t="shared" si="10"/>
        <v/>
      </c>
      <c r="BH6" s="37" t="str">
        <f t="shared" si="11"/>
        <v/>
      </c>
      <c r="BI6" s="37" t="str">
        <f t="shared" si="12"/>
        <v/>
      </c>
      <c r="BJ6" s="37" t="str">
        <f t="shared" si="13"/>
        <v/>
      </c>
      <c r="BK6" s="37" t="str">
        <f t="shared" si="14"/>
        <v xml:space="preserve">tags:
- italy_x000D_
- sicily_x000D_
- churches_x000D_
- marian-sites_x000D_
</v>
      </c>
      <c r="BL6" s="38" t="str">
        <f t="shared" si="15"/>
        <v>[Official site](https://santuariotindari.it/)</v>
      </c>
      <c r="BM6" s="38" t="str">
        <f t="shared" si="16"/>
        <v/>
      </c>
      <c r="BN6" s="38" t="str">
        <f t="shared" si="17"/>
        <v/>
      </c>
      <c r="BO6" s="38" t="str">
        <f t="shared" si="18"/>
        <v/>
      </c>
      <c r="BP6" s="38" t="str">
        <f t="shared" si="19"/>
        <v xml:space="preserve">* [Official site](https://santuariotindari.it/)
</v>
      </c>
      <c r="BQ6" s="38" t="str">
        <f t="shared" si="20"/>
        <v>[Link](http://www.therealpresence.org/eucharst/misc/BVM/90_TINDARI_60x96.pdf)</v>
      </c>
      <c r="BR6" s="38" t="str">
        <f t="shared" si="21"/>
        <v/>
      </c>
      <c r="BS6" s="38" t="str">
        <f t="shared" si="22"/>
        <v/>
      </c>
      <c r="BT6" s="38" t="str">
        <f>IF(LEN(concat(BQ6:BS6))&gt;0,concat("| ",BQ6," | ",BR6," | ",BS6," |"),"")</f>
        <v>| [Link](http://www.therealpresence.org/eucharst/misc/BVM/90_TINDARI_60x96.pdf) |  |  |</v>
      </c>
      <c r="BU6" s="37" t="str">
        <f t="shared" si="23"/>
        <v xml:space="preserve">| The Real Presence | Miracle Hunter | MaryPages |_x000D_
| --- | --- | --- |_x000D_
| [Link](http://www.therealpresence.org/eucharst/misc/BVM/90_TINDARI_60x96.pdf) |  |  |_x000D_
</v>
      </c>
      <c r="BV6" s="37" t="str">
        <f>IF(LEN(BP6&amp;BU6)&gt;0,concatll("#### Source Material",BP6,BU6),"")</f>
        <v xml:space="preserve">#### Source Material_x000D_
_x000D_
* [Official site](https://santuariotindari.it/)
_x000D_
_x000D_
| The Real Presence | Miracle Hunter | MaryPages |_x000D_
| --- | --- | --- |_x000D_
| [Link](http://www.therealpresence.org/eucharst/misc/BVM/90_TINDARI_60x96.pdf) |  |  |_x000D_
_x000D_
_x000D_
</v>
      </c>
      <c r="BW6" s="37" t="str">
        <f>IF(LEN(O6)&gt;1,concatll("#### Author's Note",O6),"")</f>
        <v/>
      </c>
      <c r="BX6" s="24" t="str">
        <f>IF(AR6,concatll(concatl("---",AS6:AU6,BK6,"---"),N6,BV6:BW6),"")</f>
        <v xml:space="preserve">---_x000D_
title: "Sanctuary of Holy Mary of Tindari"_x000D_
location: {lat: 38.1412714600159, lng: 15.0456795824699}_x000D_
level: global_x000D_
tags:
- italy_x000D_
- sicily_x000D_
- churches_x000D_
- marian-sites_x000D_
_x000D_
---_x000D_
_x000D_
_x000D_
_Research in progress__x000D_
_x000D_
#### Source Material_x000D_
_x000D_
* [Official site](https://santuariotindari.it/)
_x000D_
_x000D_
| The Real Presence | Miracle Hunter | MaryPages |_x000D_
| --- | --- | --- |_x000D_
| [Link](http://www.therealpresence.org/eucharst/misc/BVM/90_TINDARI_60x96.pdf) |  |  |_x000D_
_x000D_
_x000D_
_x000D_
_x000D_
</v>
      </c>
      <c r="BY6" s="24" t="str">
        <f>IF(AR6,VLOOKUP(C6,'(Ref) Countries'!A:B,2,)&amp;IF(LEN(D6)&gt;1,"-"&amp;LOWER(SUBSTITUTE(D6," ","-")),"")&amp;"-"&amp;LOWER(SUBSTITUTE(I6," ","-"))&amp;".md","")</f>
        <v>it-sicily-sanctuary-of-tindari.md</v>
      </c>
      <c r="BZ6" s="37" t="str">
        <f>IF(LEN(AG6)&gt;1,VLOOKUP(AG6,'Tag List'!$A:$B,2,),"")</f>
        <v/>
      </c>
      <c r="CA6" s="37" t="str">
        <f>IF(LEN(AH6)&gt;1,VLOOKUP(AH6,'Tag List'!$A:$B,2,),"")</f>
        <v/>
      </c>
      <c r="CB6" s="37" t="str">
        <f>IF(LEN(AI6)&gt;1,VLOOKUP(AI6,'Tag List'!$A:$B,2,),"")</f>
        <v/>
      </c>
      <c r="CC6" s="38" t="str">
        <f>IF(LEN(AG6)&gt;1,GetTagPage(BZ6,AG6),"")</f>
        <v/>
      </c>
      <c r="CD6" s="38" t="str">
        <f>IF(LEN(AH6)&gt;1,GetTagPage(CA6,AH6),"")</f>
        <v/>
      </c>
      <c r="CE6" s="38" t="str">
        <f>IF(LEN(AI6)&gt;1,GetTagPage(CB6,AI6),"")</f>
        <v/>
      </c>
      <c r="CF6" s="38" t="str">
        <f>"|"&amp;IF(LEN(CC6)&gt;1," "&amp;CC6,"")&amp;IF(LEN(CD6)&gt;1,", "&amp;CD6,"")&amp;IF(LEN(CE6)&gt;1,", "&amp;CE6,"")&amp;" "</f>
        <v xml:space="preserve">| </v>
      </c>
      <c r="CG6" s="38" t="str">
        <f>"| "&amp;IF(AR6,"["&amp;B6&amp;"](/places/"&amp;SUBSTITUTE(BY6,".md","")&amp;")",B6)&amp;" "</f>
        <v xml:space="preserve">| [Tindari](/places/it-sicily-sanctuary-of-tindari) </v>
      </c>
      <c r="CH6" s="38" t="str">
        <f>"| "&amp;IF(AR6,GetTagPage(C6,VLOOKUP(C6,'(Ref) Countries'!A:C,3,)),C6)&amp; " "</f>
        <v xml:space="preserve">| [Italy](/tags/italy) </v>
      </c>
      <c r="CI6" s="38" t="str">
        <f>"| "&amp;E6&amp;" "</f>
        <v xml:space="preserve">| 5th or 6th Century </v>
      </c>
      <c r="CJ6" s="38" t="str">
        <f>"|"&amp;IF(AR6," [Link](/places/"&amp;SUBSTITUTE(BY6,".md","")&amp;")","")&amp;" "</f>
        <v xml:space="preserve">| [Link](/places/it-sicily-sanctuary-of-tindari) </v>
      </c>
      <c r="CK6" s="37" t="str">
        <f>"
"&amp;CG6&amp;CH6&amp;CI6&amp;CJ6&amp;BL6&amp;BQ6&amp;BR6&amp;BS6&amp;CF6&amp;"|"</f>
        <v xml:space="preserve">
| [Tindari](/places/it-sicily-sanctuary-of-tindari) | [Italy](/tags/italy) | 5th or 6th Century | [Link](/places/it-sicily-sanctuary-of-tindari) [Official site](https://santuariotindari.it/)[Link](http://www.therealpresence.org/eucharst/misc/BVM/90_TINDARI_60x96.pdf)| |</v>
      </c>
    </row>
    <row r="7" spans="1:90" x14ac:dyDescent="0.25">
      <c r="B7" s="28" t="s">
        <v>625</v>
      </c>
      <c r="C7" s="29" t="s">
        <v>552</v>
      </c>
      <c r="E7" s="31" t="s">
        <v>1066</v>
      </c>
      <c r="J7" s="30" t="s">
        <v>1728</v>
      </c>
      <c r="K7" s="32" t="b">
        <v>1</v>
      </c>
      <c r="L7" s="30" t="b">
        <v>1</v>
      </c>
      <c r="P7" s="30" t="s">
        <v>336</v>
      </c>
      <c r="Q7" s="30" t="s">
        <v>336</v>
      </c>
      <c r="AA7" s="71" t="s">
        <v>183</v>
      </c>
      <c r="AB7" s="30" t="s">
        <v>336</v>
      </c>
      <c r="AC7" s="30" t="s">
        <v>336</v>
      </c>
      <c r="AD7" s="30" t="s">
        <v>336</v>
      </c>
      <c r="AE7" s="30" t="s">
        <v>336</v>
      </c>
      <c r="AF7" s="67" t="s">
        <v>336</v>
      </c>
      <c r="AG7" s="47"/>
      <c r="AH7" s="47"/>
      <c r="AI7" s="47"/>
      <c r="AJ7" s="47"/>
      <c r="AK7" s="47"/>
      <c r="AL7" s="47"/>
      <c r="AM7" s="47"/>
      <c r="AN7" s="47"/>
      <c r="AO7" s="47"/>
      <c r="AP7" s="111"/>
      <c r="AR7" s="36" t="b">
        <f>IF(OR(A7="Done",A7="In Progress"),TRUE)</f>
        <v>0</v>
      </c>
      <c r="AS7" s="37" t="str">
        <f>"title: """&amp;H7&amp;""""</f>
        <v>title: ""</v>
      </c>
      <c r="AT7" s="37" t="str">
        <f>"location: {lat: "&amp;F7&amp;", lng: "&amp;G7&amp;"}"</f>
        <v>location: {lat: , lng: }</v>
      </c>
      <c r="AU7" s="37" t="str">
        <f>"level: "&amp;J7</f>
        <v>level: global</v>
      </c>
      <c r="AV7" s="37" t="str">
        <f>"- "&amp;VLOOKUP(C7,'(Ref) Countries'!A:C,3,)</f>
        <v>- spain</v>
      </c>
      <c r="AW7" s="37" t="str">
        <f t="shared" si="0"/>
        <v/>
      </c>
      <c r="AX7" s="37" t="str">
        <f t="shared" si="1"/>
        <v>- churches</v>
      </c>
      <c r="AY7" s="37" t="str">
        <f t="shared" si="2"/>
        <v>- marian-sites</v>
      </c>
      <c r="AZ7" s="37" t="str">
        <f t="shared" si="3"/>
        <v/>
      </c>
      <c r="BA7" s="37" t="str">
        <f t="shared" si="4"/>
        <v/>
      </c>
      <c r="BB7" s="37" t="str">
        <f t="shared" si="5"/>
        <v/>
      </c>
      <c r="BC7" s="37" t="str">
        <f t="shared" si="6"/>
        <v/>
      </c>
      <c r="BD7" s="37" t="str">
        <f t="shared" si="7"/>
        <v/>
      </c>
      <c r="BE7" s="37" t="str">
        <f t="shared" si="8"/>
        <v/>
      </c>
      <c r="BF7" s="37" t="str">
        <f t="shared" si="9"/>
        <v/>
      </c>
      <c r="BG7" s="37" t="str">
        <f t="shared" si="10"/>
        <v/>
      </c>
      <c r="BH7" s="37" t="str">
        <f t="shared" si="11"/>
        <v/>
      </c>
      <c r="BI7" s="37" t="str">
        <f t="shared" si="12"/>
        <v/>
      </c>
      <c r="BJ7" s="37" t="str">
        <f t="shared" si="13"/>
        <v/>
      </c>
      <c r="BK7" s="37" t="str">
        <f t="shared" si="14"/>
        <v xml:space="preserve">tags:
- spain_x000D_
- churches_x000D_
- marian-sites_x000D_
</v>
      </c>
      <c r="BL7" s="38" t="str">
        <f t="shared" si="15"/>
        <v/>
      </c>
      <c r="BM7" s="38" t="str">
        <f t="shared" si="16"/>
        <v/>
      </c>
      <c r="BN7" s="38" t="str">
        <f t="shared" si="17"/>
        <v/>
      </c>
      <c r="BO7" s="38" t="str">
        <f t="shared" si="18"/>
        <v/>
      </c>
      <c r="BP7" s="38" t="str">
        <f t="shared" si="19"/>
        <v/>
      </c>
      <c r="BQ7" s="38" t="str">
        <f t="shared" si="20"/>
        <v>[Link](http://www.therealpresence.org/eucharst/misc/BVM/121_MONTSERRAT_60x96.pdf)</v>
      </c>
      <c r="BR7" s="38" t="str">
        <f t="shared" si="21"/>
        <v/>
      </c>
      <c r="BS7" s="38" t="str">
        <f t="shared" si="22"/>
        <v/>
      </c>
      <c r="BT7" s="38" t="str">
        <f>IF(LEN(concat(BQ7:BS7))&gt;0,concat("| ",BQ7," | ",BR7," | ",BS7," |"),"")</f>
        <v>| [Link](http://www.therealpresence.org/eucharst/misc/BVM/121_MONTSERRAT_60x96.pdf) |  |  |</v>
      </c>
      <c r="BU7" s="37" t="str">
        <f t="shared" si="23"/>
        <v xml:space="preserve">| The Real Presence | Miracle Hunter | MaryPages |_x000D_
| --- | --- | --- |_x000D_
| [Link](http://www.therealpresence.org/eucharst/misc/BVM/121_MONTSERRAT_60x96.pdf) |  |  |_x000D_
</v>
      </c>
      <c r="BV7" s="37" t="str">
        <f>IF(LEN(BP7&amp;BU7)&gt;0,concatll("#### Source Material",BP7,BU7),"")</f>
        <v xml:space="preserve">#### Source Material_x000D_
_x000D_
| The Real Presence | Miracle Hunter | MaryPages |_x000D_
| --- | --- | --- |_x000D_
| [Link](http://www.therealpresence.org/eucharst/misc/BVM/121_MONTSERRAT_60x96.pdf) |  |  |_x000D_
_x000D_
_x000D_
</v>
      </c>
      <c r="BW7" s="37" t="str">
        <f>IF(LEN(O7)&gt;1,concatll("#### Author's Note",O7),"")</f>
        <v/>
      </c>
      <c r="BX7" s="24" t="str">
        <f>IF(AR7,concatll(concatl("---",AS7:AU7,BK7,"---"),N7,BV7:BW7),"")</f>
        <v/>
      </c>
      <c r="BY7" s="24" t="str">
        <f>IF(AR7,VLOOKUP(C7,'(Ref) Countries'!A:B,2,)&amp;IF(LEN(D7)&gt;1,"-"&amp;LOWER(SUBSTITUTE(D7," ","-")),"")&amp;"-"&amp;LOWER(SUBSTITUTE(I7," ","-"))&amp;".md","")</f>
        <v/>
      </c>
      <c r="BZ7" s="37" t="str">
        <f>IF(LEN(AG7)&gt;1,VLOOKUP(AG7,'Tag List'!$A:$B,2,),"")</f>
        <v/>
      </c>
      <c r="CA7" s="37" t="str">
        <f>IF(LEN(AH7)&gt;1,VLOOKUP(AH7,'Tag List'!$A:$B,2,),"")</f>
        <v/>
      </c>
      <c r="CB7" s="37" t="str">
        <f>IF(LEN(AI7)&gt;1,VLOOKUP(AI7,'Tag List'!$A:$B,2,),"")</f>
        <v/>
      </c>
      <c r="CC7" s="38" t="str">
        <f>IF(LEN(AG7)&gt;1,GetTagPage(BZ7,AG7),"")</f>
        <v/>
      </c>
      <c r="CD7" s="38" t="str">
        <f>IF(LEN(AH7)&gt;1,GetTagPage(CA7,AH7),"")</f>
        <v/>
      </c>
      <c r="CE7" s="38" t="str">
        <f>IF(LEN(AI7)&gt;1,GetTagPage(CB7,AI7),"")</f>
        <v/>
      </c>
      <c r="CF7" s="38" t="str">
        <f>"|"&amp;IF(LEN(CC7)&gt;1," "&amp;CC7,"")&amp;IF(LEN(CD7)&gt;1,", "&amp;CD7,"")&amp;IF(LEN(CE7)&gt;1,", "&amp;CE7,"")&amp;" "</f>
        <v xml:space="preserve">| </v>
      </c>
      <c r="CG7" s="38" t="str">
        <f>"| "&amp;IF(AR7,"["&amp;B7&amp;"](/places/"&amp;SUBSTITUTE(BY7,".md","")&amp;")",B7)&amp;" "</f>
        <v xml:space="preserve">| Montserrat </v>
      </c>
      <c r="CH7" s="38" t="str">
        <f>"| "&amp;IF(AR7,GetTagPage(C7,VLOOKUP(C7,'(Ref) Countries'!A:C,3,)),C7)&amp; " "</f>
        <v xml:space="preserve">| Spain </v>
      </c>
      <c r="CI7" s="38" t="str">
        <f>"| "&amp;E7&amp;" "</f>
        <v xml:space="preserve">| 9th Century </v>
      </c>
      <c r="CJ7" s="38" t="str">
        <f>"|"&amp;IF(AR7," [Link](/places/"&amp;SUBSTITUTE(BY7,".md","")&amp;")","")&amp;" "</f>
        <v xml:space="preserve">| </v>
      </c>
      <c r="CK7" s="37" t="str">
        <f>"
"&amp;CG7&amp;CH7&amp;CI7&amp;CJ7&amp;BL7&amp;BQ7&amp;BR7&amp;BS7&amp;CF7&amp;"|"</f>
        <v xml:space="preserve">
| Montserrat | Spain | 9th Century | [Link](http://www.therealpresence.org/eucharst/misc/BVM/121_MONTSERRAT_60x96.pdf)| |</v>
      </c>
    </row>
    <row r="8" spans="1:90" ht="76.5" x14ac:dyDescent="0.25">
      <c r="A8" s="25" t="s">
        <v>1052</v>
      </c>
      <c r="B8" s="28" t="s">
        <v>1186</v>
      </c>
      <c r="C8" s="29" t="s">
        <v>737</v>
      </c>
      <c r="E8" s="31" t="s">
        <v>1067</v>
      </c>
      <c r="F8" s="71">
        <v>52.880559553822799</v>
      </c>
      <c r="G8" s="67">
        <v>0.85276071534114095</v>
      </c>
      <c r="H8" s="29" t="s">
        <v>1359</v>
      </c>
      <c r="I8" s="75" t="s">
        <v>334</v>
      </c>
      <c r="J8" s="30" t="s">
        <v>1728</v>
      </c>
      <c r="K8" s="32" t="b">
        <v>1</v>
      </c>
      <c r="L8" s="30" t="b">
        <v>1</v>
      </c>
      <c r="N8" s="29" t="s">
        <v>1357</v>
      </c>
      <c r="P8" s="30" t="s">
        <v>1358</v>
      </c>
      <c r="Q8" s="30" t="s">
        <v>336</v>
      </c>
      <c r="AA8" s="71" t="s">
        <v>184</v>
      </c>
      <c r="AB8" s="30" t="s">
        <v>336</v>
      </c>
      <c r="AC8" s="30" t="s">
        <v>1356</v>
      </c>
      <c r="AD8" s="30" t="s">
        <v>336</v>
      </c>
      <c r="AE8" s="30" t="s">
        <v>1360</v>
      </c>
      <c r="AF8" s="67" t="s">
        <v>336</v>
      </c>
      <c r="AG8" s="30" t="s">
        <v>336</v>
      </c>
      <c r="AR8" s="36" t="b">
        <f>IF(OR(A8="Done",A8="In Progress"),TRUE)</f>
        <v>1</v>
      </c>
      <c r="AS8" s="37" t="str">
        <f>"title: """&amp;H8&amp;""""</f>
        <v>title: "Catholic National Shrine and Basilica of Our Lady of Walsingham"</v>
      </c>
      <c r="AT8" s="37" t="str">
        <f>"location: {lat: "&amp;F8&amp;", lng: "&amp;G8&amp;"}"</f>
        <v>location: {lat: 52.8805595538228, lng: 0.852760715341141}</v>
      </c>
      <c r="AU8" s="37" t="str">
        <f>"level: "&amp;J8</f>
        <v>level: global</v>
      </c>
      <c r="AV8" s="37" t="str">
        <f>"- "&amp;VLOOKUP(C8,'(Ref) Countries'!A:C,3,)</f>
        <v>- uk</v>
      </c>
      <c r="AW8" s="37" t="str">
        <f t="shared" si="0"/>
        <v/>
      </c>
      <c r="AX8" s="37" t="str">
        <f t="shared" si="1"/>
        <v>- churches</v>
      </c>
      <c r="AY8" s="37" t="str">
        <f t="shared" si="2"/>
        <v>- marian-sites</v>
      </c>
      <c r="AZ8" s="37" t="str">
        <f t="shared" si="3"/>
        <v/>
      </c>
      <c r="BA8" s="37" t="str">
        <f t="shared" si="4"/>
        <v/>
      </c>
      <c r="BB8" s="37" t="str">
        <f t="shared" si="5"/>
        <v/>
      </c>
      <c r="BC8" s="37" t="str">
        <f t="shared" si="6"/>
        <v/>
      </c>
      <c r="BD8" s="37" t="str">
        <f t="shared" si="7"/>
        <v/>
      </c>
      <c r="BE8" s="37" t="str">
        <f t="shared" si="8"/>
        <v/>
      </c>
      <c r="BF8" s="37" t="str">
        <f t="shared" si="9"/>
        <v/>
      </c>
      <c r="BG8" s="37" t="str">
        <f t="shared" si="10"/>
        <v/>
      </c>
      <c r="BH8" s="37" t="str">
        <f t="shared" si="11"/>
        <v/>
      </c>
      <c r="BI8" s="37" t="str">
        <f t="shared" si="12"/>
        <v/>
      </c>
      <c r="BJ8" s="37" t="str">
        <f t="shared" si="13"/>
        <v/>
      </c>
      <c r="BK8" s="37" t="str">
        <f t="shared" si="14"/>
        <v xml:space="preserve">tags:
- uk_x000D_
- churches_x000D_
- marian-sites_x000D_
</v>
      </c>
      <c r="BL8" s="38" t="str">
        <f t="shared" si="15"/>
        <v>[Official site](https://www.walsingham.org.uk/)</v>
      </c>
      <c r="BM8" s="38" t="str">
        <f t="shared" si="16"/>
        <v/>
      </c>
      <c r="BN8" s="38" t="str">
        <f t="shared" si="17"/>
        <v/>
      </c>
      <c r="BO8" s="38" t="str">
        <f t="shared" si="18"/>
        <v/>
      </c>
      <c r="BP8" s="38" t="str">
        <f t="shared" si="19"/>
        <v xml:space="preserve">* [Official site](https://www.walsingham.org.uk/)
</v>
      </c>
      <c r="BQ8" s="38" t="str">
        <f t="shared" si="20"/>
        <v>[Link](http://www.therealpresence.org/eucharst/misc/BVM/153_WALSINGHAM_60x96.pdf)</v>
      </c>
      <c r="BR8" s="38" t="str">
        <f t="shared" si="21"/>
        <v>[Link](https://www.miraclehunter.com/marian_apparitions/approved_apparitions/walsingham/index.html)</v>
      </c>
      <c r="BS8" s="38" t="str">
        <f t="shared" si="22"/>
        <v>[Link](https://www.marypages.com/our-lady-of-walsingham-en.html)</v>
      </c>
      <c r="BT8" s="38" t="str">
        <f>IF(LEN(concat(BQ8:BS8))&gt;0,concat("| ",BQ8," | ",BR8," | ",BS8," |"),"")</f>
        <v>| [Link](http://www.therealpresence.org/eucharst/misc/BVM/153_WALSINGHAM_60x96.pdf) | [Link](https://www.miraclehunter.com/marian_apparitions/approved_apparitions/walsingham/index.html) | [Link](https://www.marypages.com/our-lady-of-walsingham-en.html) |</v>
      </c>
      <c r="BU8" s="37" t="str">
        <f t="shared" si="23"/>
        <v xml:space="preserve">| The Real Presence | Miracle Hunter | MaryPages |_x000D_
| --- | --- | --- |_x000D_
| [Link](http://www.therealpresence.org/eucharst/misc/BVM/153_WALSINGHAM_60x96.pdf) | [Link](https://www.miraclehunter.com/marian_apparitions/approved_apparitions/walsingham/index.html) | [Link](https://www.marypages.com/our-lady-of-walsingham-en.html) |_x000D_
</v>
      </c>
      <c r="BV8" s="37" t="str">
        <f>IF(LEN(BP8&amp;BU8)&gt;0,concatll("#### Source Material",BP8,BU8),"")</f>
        <v xml:space="preserve">#### Source Material_x000D_
_x000D_
* [Official site](https://www.walsingham.org.uk/)
_x000D_
_x000D_
| The Real Presence | Miracle Hunter | MaryPages |_x000D_
| --- | --- | --- |_x000D_
| [Link](http://www.therealpresence.org/eucharst/misc/BVM/153_WALSINGHAM_60x96.pdf) | [Link](https://www.miraclehunter.com/marian_apparitions/approved_apparitions/walsingham/index.html) | [Link](https://www.marypages.com/our-lady-of-walsingham-en.html) |_x000D_
_x000D_
_x000D_
</v>
      </c>
      <c r="BW8" s="37" t="str">
        <f>IF(LEN(O8)&gt;1,concatll("#### Author's Note",O8),"")</f>
        <v/>
      </c>
      <c r="BX8" s="24" t="str">
        <f>IF(AR8,concatll(concatl("---",AS8:AU8,BK8,"---"),N8,BV8:BW8),"")</f>
        <v xml:space="preserve">---_x000D_
title: "Catholic National Shrine and Basilica of Our Lady of Walsingham"_x000D_
location: {lat: 52.8805595538228, lng: 0.852760715341141}_x000D_
level: global_x000D_
tags:
- uk_x000D_
- churches_x000D_
- marian-sites_x000D_
_x000D_
---_x000D_
_x000D_
_x000D_
In 1061, Our Lady appeared to Richeldis de Faverches, a Catholic English noblewoman in the village of Walsingham in Norfolk, England.
Our Lady of Walsingham presented her with the plans of the Holy House of the Holy Family in Nazareth and asked that she build the house as a shrine and place of pilgrimage._x000D_
_x000D_
#### Source Material_x000D_
_x000D_
* [Official site](https://www.walsingham.org.uk/)
_x000D_
_x000D_
| The Real Presence | Miracle Hunter | MaryPages |_x000D_
| --- | --- | --- |_x000D_
| [Link](http://www.therealpresence.org/eucharst/misc/BVM/153_WALSINGHAM_60x96.pdf) | [Link](https://www.miraclehunter.com/marian_apparitions/approved_apparitions/walsingham/index.html) | [Link](https://www.marypages.com/our-lady-of-walsingham-en.html) |_x000D_
_x000D_
_x000D_
_x000D_
_x000D_
</v>
      </c>
      <c r="BY8" s="24" t="str">
        <f>IF(AR8,VLOOKUP(C8,'(Ref) Countries'!A:B,2,)&amp;IF(LEN(D8)&gt;1,"-"&amp;LOWER(SUBSTITUTE(D8," ","-")),"")&amp;"-"&amp;LOWER(SUBSTITUTE(I8," ","-"))&amp;".md","")</f>
        <v>gb-basilica-of-our-lady-of-walsingham.md</v>
      </c>
      <c r="BZ8" s="37" t="str">
        <f>IF(LEN(AG8)&gt;1,VLOOKUP(AG8,'Tag List'!$A:$B,2,),"")</f>
        <v/>
      </c>
      <c r="CA8" s="37" t="str">
        <f>IF(LEN(AH8)&gt;1,VLOOKUP(AH8,'Tag List'!$A:$B,2,),"")</f>
        <v/>
      </c>
      <c r="CB8" s="37" t="str">
        <f>IF(LEN(AI8)&gt;1,VLOOKUP(AI8,'Tag List'!$A:$B,2,),"")</f>
        <v/>
      </c>
      <c r="CC8" s="38" t="str">
        <f>IF(LEN(AG8)&gt;1,GetTagPage(BZ8,AG8),"")</f>
        <v/>
      </c>
      <c r="CD8" s="38" t="str">
        <f>IF(LEN(AH8)&gt;1,GetTagPage(CA8,AH8),"")</f>
        <v/>
      </c>
      <c r="CE8" s="38" t="str">
        <f>IF(LEN(AI8)&gt;1,GetTagPage(CB8,AI8),"")</f>
        <v/>
      </c>
      <c r="CF8" s="38" t="str">
        <f>"|"&amp;IF(LEN(CC8)&gt;1," "&amp;CC8,"")&amp;IF(LEN(CD8)&gt;1,", "&amp;CD8,"")&amp;IF(LEN(CE8)&gt;1,", "&amp;CE8,"")&amp;" "</f>
        <v xml:space="preserve">| </v>
      </c>
      <c r="CG8" s="38" t="str">
        <f>"| "&amp;IF(AR8,"["&amp;B8&amp;"](/places/"&amp;SUBSTITUTE(BY8,".md","")&amp;")",B8)&amp;" "</f>
        <v xml:space="preserve">| [Walsingham](/places/gb-basilica-of-our-lady-of-walsingham) </v>
      </c>
      <c r="CH8" s="38" t="str">
        <f>"| "&amp;IF(AR8,GetTagPage(C8,VLOOKUP(C8,'(Ref) Countries'!A:C,3,)),C8)&amp; " "</f>
        <v xml:space="preserve">| [United Kingdom](/tags/uk) </v>
      </c>
      <c r="CI8" s="38" t="str">
        <f>"| "&amp;E8&amp;" "</f>
        <v xml:space="preserve">| 11th Century </v>
      </c>
      <c r="CJ8" s="38" t="str">
        <f>"|"&amp;IF(AR8," [Link](/places/"&amp;SUBSTITUTE(BY8,".md","")&amp;")","")&amp;" "</f>
        <v xml:space="preserve">| [Link](/places/gb-basilica-of-our-lady-of-walsingham) </v>
      </c>
      <c r="CK8" s="37" t="str">
        <f>"
"&amp;CG8&amp;CH8&amp;CI8&amp;CJ8&amp;BL8&amp;BQ8&amp;BR8&amp;BS8&amp;CF8&amp;"|"</f>
        <v xml:space="preserve">
| [Walsingham](/places/gb-basilica-of-our-lady-of-walsingham) | [United Kingdom](/tags/uk) | 11th Century | [Link](/places/gb-basilica-of-our-lady-of-walsingham) [Official site](https://www.walsingham.org.uk/)[Link](http://www.therealpresence.org/eucharst/misc/BVM/153_WALSINGHAM_60x96.pdf)[Link](https://www.miraclehunter.com/marian_apparitions/approved_apparitions/walsingham/index.html)[Link](https://www.marypages.com/our-lady-of-walsingham-en.html)| |</v>
      </c>
    </row>
    <row r="9" spans="1:90" x14ac:dyDescent="0.25">
      <c r="B9" s="28" t="s">
        <v>1187</v>
      </c>
      <c r="C9" s="29" t="s">
        <v>11</v>
      </c>
      <c r="E9" s="31">
        <v>1000</v>
      </c>
      <c r="J9" s="30" t="s">
        <v>1728</v>
      </c>
      <c r="K9" s="32" t="b">
        <v>1</v>
      </c>
      <c r="L9" s="30" t="b">
        <v>1</v>
      </c>
      <c r="P9" s="30" t="s">
        <v>336</v>
      </c>
      <c r="Q9" s="30" t="s">
        <v>336</v>
      </c>
      <c r="AA9" s="71" t="s">
        <v>185</v>
      </c>
      <c r="AB9" s="30" t="s">
        <v>336</v>
      </c>
      <c r="AC9" s="30" t="s">
        <v>336</v>
      </c>
      <c r="AD9" s="30" t="s">
        <v>336</v>
      </c>
      <c r="AE9" s="30" t="s">
        <v>336</v>
      </c>
      <c r="AF9" s="67" t="s">
        <v>336</v>
      </c>
      <c r="AG9" s="30" t="s">
        <v>336</v>
      </c>
      <c r="AR9" s="36" t="b">
        <f>IF(OR(A9="Done",A9="In Progress"),TRUE)</f>
        <v>0</v>
      </c>
      <c r="AS9" s="37" t="str">
        <f>"title: """&amp;H9&amp;""""</f>
        <v>title: ""</v>
      </c>
      <c r="AT9" s="37" t="str">
        <f>"location: {lat: "&amp;F9&amp;", lng: "&amp;G9&amp;"}"</f>
        <v>location: {lat: , lng: }</v>
      </c>
      <c r="AU9" s="37" t="str">
        <f>"level: "&amp;J9</f>
        <v>level: global</v>
      </c>
      <c r="AV9" s="37" t="str">
        <f>"- "&amp;VLOOKUP(C9,'(Ref) Countries'!A:C,3,)</f>
        <v>- italy</v>
      </c>
      <c r="AW9" s="37" t="str">
        <f t="shared" si="0"/>
        <v/>
      </c>
      <c r="AX9" s="37" t="str">
        <f t="shared" si="1"/>
        <v>- churches</v>
      </c>
      <c r="AY9" s="37" t="str">
        <f t="shared" si="2"/>
        <v>- marian-sites</v>
      </c>
      <c r="AZ9" s="37" t="str">
        <f t="shared" si="3"/>
        <v/>
      </c>
      <c r="BA9" s="37" t="str">
        <f t="shared" si="4"/>
        <v/>
      </c>
      <c r="BB9" s="37" t="str">
        <f t="shared" si="5"/>
        <v/>
      </c>
      <c r="BC9" s="37" t="str">
        <f t="shared" si="6"/>
        <v/>
      </c>
      <c r="BD9" s="37" t="str">
        <f t="shared" si="7"/>
        <v/>
      </c>
      <c r="BE9" s="37" t="str">
        <f t="shared" si="8"/>
        <v/>
      </c>
      <c r="BF9" s="37" t="str">
        <f t="shared" si="9"/>
        <v/>
      </c>
      <c r="BG9" s="37" t="str">
        <f t="shared" si="10"/>
        <v/>
      </c>
      <c r="BH9" s="37" t="str">
        <f t="shared" si="11"/>
        <v/>
      </c>
      <c r="BI9" s="37" t="str">
        <f t="shared" si="12"/>
        <v/>
      </c>
      <c r="BJ9" s="37" t="str">
        <f t="shared" si="13"/>
        <v/>
      </c>
      <c r="BK9" s="37" t="str">
        <f t="shared" si="14"/>
        <v xml:space="preserve">tags:
- italy_x000D_
- churches_x000D_
- marian-sites_x000D_
</v>
      </c>
      <c r="BL9" s="38" t="str">
        <f t="shared" si="15"/>
        <v/>
      </c>
      <c r="BM9" s="38" t="str">
        <f t="shared" si="16"/>
        <v/>
      </c>
      <c r="BN9" s="38" t="str">
        <f t="shared" si="17"/>
        <v/>
      </c>
      <c r="BO9" s="38" t="str">
        <f t="shared" si="18"/>
        <v/>
      </c>
      <c r="BP9" s="38" t="str">
        <f t="shared" si="19"/>
        <v/>
      </c>
      <c r="BQ9" s="38" t="str">
        <f t="shared" si="20"/>
        <v>[Link](http://www.therealpresence.org/eucharst/misc/BVM/80_MONTEFORTINO_60x96.pdf)</v>
      </c>
      <c r="BR9" s="38" t="str">
        <f t="shared" si="21"/>
        <v/>
      </c>
      <c r="BS9" s="38" t="str">
        <f t="shared" si="22"/>
        <v/>
      </c>
      <c r="BT9" s="38" t="str">
        <f>IF(LEN(concat(BQ9:BS9))&gt;0,concat("| ",BQ9," | ",BR9," | ",BS9," |"),"")</f>
        <v>| [Link](http://www.therealpresence.org/eucharst/misc/BVM/80_MONTEFORTINO_60x96.pdf) |  |  |</v>
      </c>
      <c r="BU9" s="37" t="str">
        <f t="shared" si="23"/>
        <v xml:space="preserve">| The Real Presence | Miracle Hunter | MaryPages |_x000D_
| --- | --- | --- |_x000D_
| [Link](http://www.therealpresence.org/eucharst/misc/BVM/80_MONTEFORTINO_60x96.pdf) |  |  |_x000D_
</v>
      </c>
      <c r="BV9" s="37" t="str">
        <f>IF(LEN(BP9&amp;BU9)&gt;0,concatll("#### Source Material",BP9,BU9),"")</f>
        <v xml:space="preserve">#### Source Material_x000D_
_x000D_
| The Real Presence | Miracle Hunter | MaryPages |_x000D_
| --- | --- | --- |_x000D_
| [Link](http://www.therealpresence.org/eucharst/misc/BVM/80_MONTEFORTINO_60x96.pdf) |  |  |_x000D_
_x000D_
_x000D_
</v>
      </c>
      <c r="BW9" s="37" t="str">
        <f>IF(LEN(O9)&gt;1,concatll("#### Author's Note",O9),"")</f>
        <v/>
      </c>
      <c r="BX9" s="24" t="str">
        <f>IF(AR9,concatll(concatl("---",AS9:AU9,BK9,"---"),N9,BV9:BW9),"")</f>
        <v/>
      </c>
      <c r="BY9" s="24" t="str">
        <f>IF(AR9,VLOOKUP(C9,'(Ref) Countries'!A:B,2,)&amp;IF(LEN(D9)&gt;1,"-"&amp;LOWER(SUBSTITUTE(D9," ","-")),"")&amp;"-"&amp;LOWER(SUBSTITUTE(I9," ","-"))&amp;".md","")</f>
        <v/>
      </c>
      <c r="BZ9" s="37" t="str">
        <f>IF(LEN(AG9)&gt;1,VLOOKUP(AG9,'Tag List'!$A:$B,2,),"")</f>
        <v/>
      </c>
      <c r="CA9" s="37" t="str">
        <f>IF(LEN(AH9)&gt;1,VLOOKUP(AH9,'Tag List'!$A:$B,2,),"")</f>
        <v/>
      </c>
      <c r="CB9" s="37" t="str">
        <f>IF(LEN(AI9)&gt;1,VLOOKUP(AI9,'Tag List'!$A:$B,2,),"")</f>
        <v/>
      </c>
      <c r="CC9" s="38" t="str">
        <f>IF(LEN(AG9)&gt;1,GetTagPage(BZ9,AG9),"")</f>
        <v/>
      </c>
      <c r="CD9" s="38" t="str">
        <f>IF(LEN(AH9)&gt;1,GetTagPage(CA9,AH9),"")</f>
        <v/>
      </c>
      <c r="CE9" s="38" t="str">
        <f>IF(LEN(AI9)&gt;1,GetTagPage(CB9,AI9),"")</f>
        <v/>
      </c>
      <c r="CF9" s="38" t="str">
        <f>"|"&amp;IF(LEN(CC9)&gt;1," "&amp;CC9,"")&amp;IF(LEN(CD9)&gt;1,", "&amp;CD9,"")&amp;IF(LEN(CE9)&gt;1,", "&amp;CE9,"")&amp;" "</f>
        <v xml:space="preserve">| </v>
      </c>
      <c r="CG9" s="38" t="str">
        <f>"| "&amp;IF(AR9,"["&amp;B9&amp;"](/places/"&amp;SUBSTITUTE(BY9,".md","")&amp;")",B9)&amp;" "</f>
        <v xml:space="preserve">| Montefortino </v>
      </c>
      <c r="CH9" s="38" t="str">
        <f>"| "&amp;IF(AR9,GetTagPage(C9,VLOOKUP(C9,'(Ref) Countries'!A:C,3,)),C9)&amp; " "</f>
        <v xml:space="preserve">| Italy </v>
      </c>
      <c r="CI9" s="38" t="str">
        <f>"| "&amp;E9&amp;" "</f>
        <v xml:space="preserve">| 1000 </v>
      </c>
      <c r="CJ9" s="38" t="str">
        <f>"|"&amp;IF(AR9," [Link](/places/"&amp;SUBSTITUTE(BY9,".md","")&amp;")","")&amp;" "</f>
        <v xml:space="preserve">| </v>
      </c>
      <c r="CK9" s="37" t="str">
        <f>"
"&amp;CG9&amp;CH9&amp;CI9&amp;CJ9&amp;BL9&amp;BQ9&amp;BR9&amp;BS9&amp;CF9&amp;"|"</f>
        <v xml:space="preserve">
| Montefortino | Italy | 1000 | [Link](http://www.therealpresence.org/eucharst/misc/BVM/80_MONTEFORTINO_60x96.pdf)| |</v>
      </c>
    </row>
    <row r="10" spans="1:90" x14ac:dyDescent="0.25">
      <c r="B10" s="28" t="s">
        <v>1188</v>
      </c>
      <c r="C10" s="29" t="s">
        <v>11</v>
      </c>
      <c r="E10" s="31">
        <v>1001</v>
      </c>
      <c r="J10" s="30" t="s">
        <v>1728</v>
      </c>
      <c r="K10" s="32" t="b">
        <v>1</v>
      </c>
      <c r="L10" s="30" t="b">
        <v>1</v>
      </c>
      <c r="P10" s="30" t="s">
        <v>336</v>
      </c>
      <c r="Q10" s="30" t="s">
        <v>336</v>
      </c>
      <c r="AA10" s="71" t="s">
        <v>186</v>
      </c>
      <c r="AB10" s="30" t="s">
        <v>336</v>
      </c>
      <c r="AC10" s="30" t="s">
        <v>336</v>
      </c>
      <c r="AD10" s="30" t="s">
        <v>336</v>
      </c>
      <c r="AE10" s="30" t="s">
        <v>336</v>
      </c>
      <c r="AF10" s="67" t="s">
        <v>336</v>
      </c>
      <c r="AG10" s="30" t="s">
        <v>336</v>
      </c>
      <c r="AR10" s="36" t="b">
        <f>IF(OR(A10="Done",A10="In Progress"),TRUE)</f>
        <v>0</v>
      </c>
      <c r="AS10" s="37" t="str">
        <f>"title: """&amp;H10&amp;""""</f>
        <v>title: ""</v>
      </c>
      <c r="AT10" s="37" t="str">
        <f>"location: {lat: "&amp;F10&amp;", lng: "&amp;G10&amp;"}"</f>
        <v>location: {lat: , lng: }</v>
      </c>
      <c r="AU10" s="37" t="str">
        <f>"level: "&amp;J10</f>
        <v>level: global</v>
      </c>
      <c r="AV10" s="37" t="str">
        <f>"- "&amp;VLOOKUP(C10,'(Ref) Countries'!A:C,3,)</f>
        <v>- italy</v>
      </c>
      <c r="AW10" s="37" t="str">
        <f t="shared" si="0"/>
        <v/>
      </c>
      <c r="AX10" s="37" t="str">
        <f t="shared" si="1"/>
        <v>- churches</v>
      </c>
      <c r="AY10" s="37" t="str">
        <f t="shared" si="2"/>
        <v>- marian-sites</v>
      </c>
      <c r="AZ10" s="37" t="str">
        <f t="shared" si="3"/>
        <v/>
      </c>
      <c r="BA10" s="37" t="str">
        <f t="shared" si="4"/>
        <v/>
      </c>
      <c r="BB10" s="37" t="str">
        <f t="shared" si="5"/>
        <v/>
      </c>
      <c r="BC10" s="37" t="str">
        <f t="shared" si="6"/>
        <v/>
      </c>
      <c r="BD10" s="37" t="str">
        <f t="shared" si="7"/>
        <v/>
      </c>
      <c r="BE10" s="37" t="str">
        <f t="shared" si="8"/>
        <v/>
      </c>
      <c r="BF10" s="37" t="str">
        <f t="shared" si="9"/>
        <v/>
      </c>
      <c r="BG10" s="37" t="str">
        <f t="shared" si="10"/>
        <v/>
      </c>
      <c r="BH10" s="37" t="str">
        <f t="shared" si="11"/>
        <v/>
      </c>
      <c r="BI10" s="37" t="str">
        <f t="shared" si="12"/>
        <v/>
      </c>
      <c r="BJ10" s="37" t="str">
        <f t="shared" si="13"/>
        <v/>
      </c>
      <c r="BK10" s="37" t="str">
        <f t="shared" si="14"/>
        <v xml:space="preserve">tags:
- italy_x000D_
- churches_x000D_
- marian-sites_x000D_
</v>
      </c>
      <c r="BL10" s="38" t="str">
        <f t="shared" si="15"/>
        <v/>
      </c>
      <c r="BM10" s="38" t="str">
        <f t="shared" si="16"/>
        <v/>
      </c>
      <c r="BN10" s="38" t="str">
        <f t="shared" si="17"/>
        <v/>
      </c>
      <c r="BO10" s="38" t="str">
        <f t="shared" si="18"/>
        <v/>
      </c>
      <c r="BP10" s="38" t="str">
        <f t="shared" si="19"/>
        <v/>
      </c>
      <c r="BQ10" s="38" t="str">
        <f t="shared" si="20"/>
        <v>[Link](http://www.therealpresence.org/eucharst/misc/BVM/86_FOGGIA_60x96.pdf)</v>
      </c>
      <c r="BR10" s="38" t="str">
        <f t="shared" si="21"/>
        <v/>
      </c>
      <c r="BS10" s="38" t="str">
        <f t="shared" si="22"/>
        <v/>
      </c>
      <c r="BT10" s="38" t="str">
        <f>IF(LEN(concat(BQ10:BS10))&gt;0,concat("| ",BQ10," | ",BR10," | ",BS10," |"),"")</f>
        <v>| [Link](http://www.therealpresence.org/eucharst/misc/BVM/86_FOGGIA_60x96.pdf) |  |  |</v>
      </c>
      <c r="BU10" s="37" t="str">
        <f t="shared" si="23"/>
        <v xml:space="preserve">| The Real Presence | Miracle Hunter | MaryPages |_x000D_
| --- | --- | --- |_x000D_
| [Link](http://www.therealpresence.org/eucharst/misc/BVM/86_FOGGIA_60x96.pdf) |  |  |_x000D_
</v>
      </c>
      <c r="BV10" s="37" t="str">
        <f>IF(LEN(BP10&amp;BU10)&gt;0,concatll("#### Source Material",BP10,BU10),"")</f>
        <v xml:space="preserve">#### Source Material_x000D_
_x000D_
| The Real Presence | Miracle Hunter | MaryPages |_x000D_
| --- | --- | --- |_x000D_
| [Link](http://www.therealpresence.org/eucharst/misc/BVM/86_FOGGIA_60x96.pdf) |  |  |_x000D_
_x000D_
_x000D_
</v>
      </c>
      <c r="BW10" s="37" t="str">
        <f>IF(LEN(O10)&gt;1,concatll("#### Author's Note",O10),"")</f>
        <v/>
      </c>
      <c r="BX10" s="24" t="str">
        <f>IF(AR10,concatll(concatl("---",AS10:AU10,BK10,"---"),N10,BV10:BW10),"")</f>
        <v/>
      </c>
      <c r="BY10" s="24" t="str">
        <f>IF(AR10,VLOOKUP(C10,'(Ref) Countries'!A:B,2,)&amp;IF(LEN(D10)&gt;1,"-"&amp;LOWER(SUBSTITUTE(D10," ","-")),"")&amp;"-"&amp;LOWER(SUBSTITUTE(I10," ","-"))&amp;".md","")</f>
        <v/>
      </c>
      <c r="BZ10" s="37" t="str">
        <f>IF(LEN(AG10)&gt;1,VLOOKUP(AG10,'Tag List'!$A:$B,2,),"")</f>
        <v/>
      </c>
      <c r="CA10" s="37" t="str">
        <f>IF(LEN(AH10)&gt;1,VLOOKUP(AH10,'Tag List'!$A:$B,2,),"")</f>
        <v/>
      </c>
      <c r="CB10" s="37" t="str">
        <f>IF(LEN(AI10)&gt;1,VLOOKUP(AI10,'Tag List'!$A:$B,2,),"")</f>
        <v/>
      </c>
      <c r="CC10" s="38" t="str">
        <f>IF(LEN(AG10)&gt;1,GetTagPage(BZ10,AG10),"")</f>
        <v/>
      </c>
      <c r="CD10" s="38" t="str">
        <f>IF(LEN(AH10)&gt;1,GetTagPage(CA10,AH10),"")</f>
        <v/>
      </c>
      <c r="CE10" s="38" t="str">
        <f>IF(LEN(AI10)&gt;1,GetTagPage(CB10,AI10),"")</f>
        <v/>
      </c>
      <c r="CF10" s="38" t="str">
        <f>"|"&amp;IF(LEN(CC10)&gt;1," "&amp;CC10,"")&amp;IF(LEN(CD10)&gt;1,", "&amp;CD10,"")&amp;IF(LEN(CE10)&gt;1,", "&amp;CE10,"")&amp;" "</f>
        <v xml:space="preserve">| </v>
      </c>
      <c r="CG10" s="38" t="str">
        <f>"| "&amp;IF(AR10,"["&amp;B10&amp;"](/places/"&amp;SUBSTITUTE(BY10,".md","")&amp;")",B10)&amp;" "</f>
        <v xml:space="preserve">| Foggia </v>
      </c>
      <c r="CH10" s="38" t="str">
        <f>"| "&amp;IF(AR10,GetTagPage(C10,VLOOKUP(C10,'(Ref) Countries'!A:C,3,)),C10)&amp; " "</f>
        <v xml:space="preserve">| Italy </v>
      </c>
      <c r="CI10" s="38" t="str">
        <f>"| "&amp;E10&amp;" "</f>
        <v xml:space="preserve">| 1001 </v>
      </c>
      <c r="CJ10" s="38" t="str">
        <f>"|"&amp;IF(AR10," [Link](/places/"&amp;SUBSTITUTE(BY10,".md","")&amp;")","")&amp;" "</f>
        <v xml:space="preserve">| </v>
      </c>
      <c r="CK10" s="37" t="str">
        <f>"
"&amp;CG10&amp;CH10&amp;CI10&amp;CJ10&amp;BL10&amp;BQ10&amp;BR10&amp;BS10&amp;CF10&amp;"|"</f>
        <v xml:space="preserve">
| Foggia | Italy | 1001 | [Link](http://www.therealpresence.org/eucharst/misc/BVM/86_FOGGIA_60x96.pdf)| |</v>
      </c>
    </row>
    <row r="11" spans="1:90" x14ac:dyDescent="0.25">
      <c r="B11" s="28" t="s">
        <v>1189</v>
      </c>
      <c r="C11" s="29" t="s">
        <v>557</v>
      </c>
      <c r="E11" s="31">
        <v>1105</v>
      </c>
      <c r="J11" s="30" t="s">
        <v>1728</v>
      </c>
      <c r="K11" s="32" t="b">
        <v>1</v>
      </c>
      <c r="L11" s="30" t="b">
        <v>1</v>
      </c>
      <c r="P11" s="30" t="s">
        <v>336</v>
      </c>
      <c r="Q11" s="30" t="s">
        <v>336</v>
      </c>
      <c r="AA11" s="71" t="s">
        <v>187</v>
      </c>
      <c r="AB11" s="30" t="s">
        <v>336</v>
      </c>
      <c r="AC11" s="30" t="s">
        <v>336</v>
      </c>
      <c r="AD11" s="30" t="s">
        <v>336</v>
      </c>
      <c r="AE11" s="30" t="s">
        <v>336</v>
      </c>
      <c r="AF11" s="67" t="s">
        <v>336</v>
      </c>
      <c r="AG11" s="30" t="s">
        <v>336</v>
      </c>
      <c r="AR11" s="36" t="b">
        <f>IF(OR(A11="Done",A11="In Progress"),TRUE)</f>
        <v>0</v>
      </c>
      <c r="AS11" s="37" t="str">
        <f>"title: """&amp;H11&amp;""""</f>
        <v>title: ""</v>
      </c>
      <c r="AT11" s="37" t="str">
        <f>"location: {lat: "&amp;F11&amp;", lng: "&amp;G11&amp;"}"</f>
        <v>location: {lat: , lng: }</v>
      </c>
      <c r="AU11" s="37" t="str">
        <f>"level: "&amp;J11</f>
        <v>level: global</v>
      </c>
      <c r="AV11" s="37" t="str">
        <f>"- "&amp;VLOOKUP(C11,'(Ref) Countries'!A:C,3,)</f>
        <v>- france</v>
      </c>
      <c r="AW11" s="37" t="str">
        <f t="shared" si="0"/>
        <v/>
      </c>
      <c r="AX11" s="37" t="str">
        <f t="shared" si="1"/>
        <v>- churches</v>
      </c>
      <c r="AY11" s="37" t="str">
        <f t="shared" si="2"/>
        <v>- marian-sites</v>
      </c>
      <c r="AZ11" s="37" t="str">
        <f t="shared" si="3"/>
        <v/>
      </c>
      <c r="BA11" s="37" t="str">
        <f t="shared" si="4"/>
        <v/>
      </c>
      <c r="BB11" s="37" t="str">
        <f t="shared" si="5"/>
        <v/>
      </c>
      <c r="BC11" s="37" t="str">
        <f t="shared" si="6"/>
        <v/>
      </c>
      <c r="BD11" s="37" t="str">
        <f t="shared" si="7"/>
        <v/>
      </c>
      <c r="BE11" s="37" t="str">
        <f t="shared" si="8"/>
        <v/>
      </c>
      <c r="BF11" s="37" t="str">
        <f t="shared" si="9"/>
        <v/>
      </c>
      <c r="BG11" s="37" t="str">
        <f t="shared" si="10"/>
        <v/>
      </c>
      <c r="BH11" s="37" t="str">
        <f t="shared" si="11"/>
        <v/>
      </c>
      <c r="BI11" s="37" t="str">
        <f t="shared" si="12"/>
        <v/>
      </c>
      <c r="BJ11" s="37" t="str">
        <f t="shared" si="13"/>
        <v/>
      </c>
      <c r="BK11" s="37" t="str">
        <f t="shared" si="14"/>
        <v xml:space="preserve">tags:
- france_x000D_
- churches_x000D_
- marian-sites_x000D_
</v>
      </c>
      <c r="BL11" s="38" t="str">
        <f t="shared" si="15"/>
        <v/>
      </c>
      <c r="BM11" s="38" t="str">
        <f t="shared" si="16"/>
        <v/>
      </c>
      <c r="BN11" s="38" t="str">
        <f t="shared" si="17"/>
        <v/>
      </c>
      <c r="BO11" s="38" t="str">
        <f t="shared" si="18"/>
        <v/>
      </c>
      <c r="BP11" s="38" t="str">
        <f t="shared" si="19"/>
        <v/>
      </c>
      <c r="BQ11" s="38" t="str">
        <f t="shared" si="20"/>
        <v>[Link](http://www.therealpresence.org/eucharst/misc/BVM/37_ARRAS_60x96.pdf)</v>
      </c>
      <c r="BR11" s="38" t="str">
        <f t="shared" si="21"/>
        <v/>
      </c>
      <c r="BS11" s="38" t="str">
        <f t="shared" si="22"/>
        <v/>
      </c>
      <c r="BT11" s="38" t="str">
        <f>IF(LEN(concat(BQ11:BS11))&gt;0,concat("| ",BQ11," | ",BR11," | ",BS11," |"),"")</f>
        <v>| [Link](http://www.therealpresence.org/eucharst/misc/BVM/37_ARRAS_60x96.pdf) |  |  |</v>
      </c>
      <c r="BU11" s="37" t="str">
        <f t="shared" si="23"/>
        <v xml:space="preserve">| The Real Presence | Miracle Hunter | MaryPages |_x000D_
| --- | --- | --- |_x000D_
| [Link](http://www.therealpresence.org/eucharst/misc/BVM/37_ARRAS_60x96.pdf) |  |  |_x000D_
</v>
      </c>
      <c r="BV11" s="37" t="str">
        <f>IF(LEN(BP11&amp;BU11)&gt;0,concatll("#### Source Material",BP11,BU11),"")</f>
        <v xml:space="preserve">#### Source Material_x000D_
_x000D_
| The Real Presence | Miracle Hunter | MaryPages |_x000D_
| --- | --- | --- |_x000D_
| [Link](http://www.therealpresence.org/eucharst/misc/BVM/37_ARRAS_60x96.pdf) |  |  |_x000D_
_x000D_
_x000D_
</v>
      </c>
      <c r="BW11" s="37" t="str">
        <f>IF(LEN(O11)&gt;1,concatll("#### Author's Note",O11),"")</f>
        <v/>
      </c>
      <c r="BX11" s="24" t="str">
        <f>IF(AR11,concatll(concatl("---",AS11:AU11,BK11,"---"),N11,BV11:BW11),"")</f>
        <v/>
      </c>
      <c r="BY11" s="24" t="str">
        <f>IF(AR11,VLOOKUP(C11,'(Ref) Countries'!A:B,2,)&amp;IF(LEN(D11)&gt;1,"-"&amp;LOWER(SUBSTITUTE(D11," ","-")),"")&amp;"-"&amp;LOWER(SUBSTITUTE(I11," ","-"))&amp;".md","")</f>
        <v/>
      </c>
      <c r="BZ11" s="37" t="str">
        <f>IF(LEN(AG11)&gt;1,VLOOKUP(AG11,'Tag List'!$A:$B,2,),"")</f>
        <v/>
      </c>
      <c r="CA11" s="37" t="str">
        <f>IF(LEN(AH11)&gt;1,VLOOKUP(AH11,'Tag List'!$A:$B,2,),"")</f>
        <v/>
      </c>
      <c r="CB11" s="37" t="str">
        <f>IF(LEN(AI11)&gt;1,VLOOKUP(AI11,'Tag List'!$A:$B,2,),"")</f>
        <v/>
      </c>
      <c r="CC11" s="38" t="str">
        <f>IF(LEN(AG11)&gt;1,GetTagPage(BZ11,AG11),"")</f>
        <v/>
      </c>
      <c r="CD11" s="38" t="str">
        <f>IF(LEN(AH11)&gt;1,GetTagPage(CA11,AH11),"")</f>
        <v/>
      </c>
      <c r="CE11" s="38" t="str">
        <f>IF(LEN(AI11)&gt;1,GetTagPage(CB11,AI11),"")</f>
        <v/>
      </c>
      <c r="CF11" s="38" t="str">
        <f>"|"&amp;IF(LEN(CC11)&gt;1," "&amp;CC11,"")&amp;IF(LEN(CD11)&gt;1,", "&amp;CD11,"")&amp;IF(LEN(CE11)&gt;1,", "&amp;CE11,"")&amp;" "</f>
        <v xml:space="preserve">| </v>
      </c>
      <c r="CG11" s="38" t="str">
        <f>"| "&amp;IF(AR11,"["&amp;B11&amp;"](/places/"&amp;SUBSTITUTE(BY11,".md","")&amp;")",B11)&amp;" "</f>
        <v xml:space="preserve">| Arras </v>
      </c>
      <c r="CH11" s="38" t="str">
        <f>"| "&amp;IF(AR11,GetTagPage(C11,VLOOKUP(C11,'(Ref) Countries'!A:C,3,)),C11)&amp; " "</f>
        <v xml:space="preserve">| France </v>
      </c>
      <c r="CI11" s="38" t="str">
        <f>"| "&amp;E11&amp;" "</f>
        <v xml:space="preserve">| 1105 </v>
      </c>
      <c r="CJ11" s="38" t="str">
        <f>"|"&amp;IF(AR11," [Link](/places/"&amp;SUBSTITUTE(BY11,".md","")&amp;")","")&amp;" "</f>
        <v xml:space="preserve">| </v>
      </c>
      <c r="CK11" s="37" t="str">
        <f>"
"&amp;CG11&amp;CH11&amp;CI11&amp;CJ11&amp;BL11&amp;BQ11&amp;BR11&amp;BS11&amp;CF11&amp;"|"</f>
        <v xml:space="preserve">
| Arras | France | 1105 | [Link](http://www.therealpresence.org/eucharst/misc/BVM/37_ARRAS_60x96.pdf)| |</v>
      </c>
    </row>
    <row r="12" spans="1:90" x14ac:dyDescent="0.25">
      <c r="B12" s="28" t="s">
        <v>1190</v>
      </c>
      <c r="C12" s="29" t="s">
        <v>655</v>
      </c>
      <c r="E12" s="31">
        <v>1182</v>
      </c>
      <c r="J12" s="30" t="s">
        <v>1728</v>
      </c>
      <c r="K12" s="32" t="b">
        <v>1</v>
      </c>
      <c r="L12" s="30" t="b">
        <v>1</v>
      </c>
      <c r="P12" s="30" t="s">
        <v>336</v>
      </c>
      <c r="Q12" s="30" t="s">
        <v>336</v>
      </c>
      <c r="AA12" s="71" t="s">
        <v>188</v>
      </c>
      <c r="AB12" s="30" t="s">
        <v>336</v>
      </c>
      <c r="AC12" s="30" t="s">
        <v>336</v>
      </c>
      <c r="AD12" s="30" t="s">
        <v>336</v>
      </c>
      <c r="AE12" s="30" t="s">
        <v>336</v>
      </c>
      <c r="AF12" s="67" t="s">
        <v>336</v>
      </c>
      <c r="AG12" s="30" t="s">
        <v>336</v>
      </c>
      <c r="AR12" s="36" t="b">
        <f>IF(OR(A12="Done",A12="In Progress"),TRUE)</f>
        <v>0</v>
      </c>
      <c r="AS12" s="37" t="str">
        <f>"title: """&amp;H12&amp;""""</f>
        <v>title: ""</v>
      </c>
      <c r="AT12" s="37" t="str">
        <f>"location: {lat: "&amp;F12&amp;", lng: "&amp;G12&amp;"}"</f>
        <v>location: {lat: , lng: }</v>
      </c>
      <c r="AU12" s="37" t="str">
        <f>"level: "&amp;J12</f>
        <v>level: global</v>
      </c>
      <c r="AV12" s="37" t="str">
        <f>"- "&amp;VLOOKUP(C12,'(Ref) Countries'!A:C,3,)</f>
        <v>- portugal</v>
      </c>
      <c r="AW12" s="37" t="str">
        <f t="shared" si="0"/>
        <v/>
      </c>
      <c r="AX12" s="37" t="str">
        <f t="shared" si="1"/>
        <v>- churches</v>
      </c>
      <c r="AY12" s="37" t="str">
        <f t="shared" si="2"/>
        <v>- marian-sites</v>
      </c>
      <c r="AZ12" s="37" t="str">
        <f t="shared" si="3"/>
        <v/>
      </c>
      <c r="BA12" s="37" t="str">
        <f t="shared" si="4"/>
        <v/>
      </c>
      <c r="BB12" s="37" t="str">
        <f t="shared" si="5"/>
        <v/>
      </c>
      <c r="BC12" s="37" t="str">
        <f t="shared" si="6"/>
        <v/>
      </c>
      <c r="BD12" s="37" t="str">
        <f t="shared" si="7"/>
        <v/>
      </c>
      <c r="BE12" s="37" t="str">
        <f t="shared" si="8"/>
        <v/>
      </c>
      <c r="BF12" s="37" t="str">
        <f t="shared" si="9"/>
        <v/>
      </c>
      <c r="BG12" s="37" t="str">
        <f t="shared" si="10"/>
        <v/>
      </c>
      <c r="BH12" s="37" t="str">
        <f t="shared" si="11"/>
        <v/>
      </c>
      <c r="BI12" s="37" t="str">
        <f t="shared" si="12"/>
        <v/>
      </c>
      <c r="BJ12" s="37" t="str">
        <f t="shared" si="13"/>
        <v/>
      </c>
      <c r="BK12" s="37" t="str">
        <f t="shared" si="14"/>
        <v xml:space="preserve">tags:
- portugal_x000D_
- churches_x000D_
- marian-sites_x000D_
</v>
      </c>
      <c r="BL12" s="38" t="str">
        <f t="shared" si="15"/>
        <v/>
      </c>
      <c r="BM12" s="38" t="str">
        <f t="shared" si="16"/>
        <v/>
      </c>
      <c r="BN12" s="38" t="str">
        <f t="shared" si="17"/>
        <v/>
      </c>
      <c r="BO12" s="38" t="str">
        <f t="shared" si="18"/>
        <v/>
      </c>
      <c r="BP12" s="38" t="str">
        <f t="shared" si="19"/>
        <v/>
      </c>
      <c r="BQ12" s="38" t="str">
        <f t="shared" si="20"/>
        <v>[Link](http://www.therealpresence.org/eucharst/misc/BVM/123_NAZARE_96x96.pdf)</v>
      </c>
      <c r="BR12" s="38" t="str">
        <f t="shared" si="21"/>
        <v/>
      </c>
      <c r="BS12" s="38" t="str">
        <f t="shared" si="22"/>
        <v/>
      </c>
      <c r="BT12" s="38" t="str">
        <f>IF(LEN(concat(BQ12:BS12))&gt;0,concat("| ",BQ12," | ",BR12," | ",BS12," |"),"")</f>
        <v>| [Link](http://www.therealpresence.org/eucharst/misc/BVM/123_NAZARE_96x96.pdf) |  |  |</v>
      </c>
      <c r="BU12" s="37" t="str">
        <f t="shared" si="23"/>
        <v xml:space="preserve">| The Real Presence | Miracle Hunter | MaryPages |_x000D_
| --- | --- | --- |_x000D_
| [Link](http://www.therealpresence.org/eucharst/misc/BVM/123_NAZARE_96x96.pdf) |  |  |_x000D_
</v>
      </c>
      <c r="BV12" s="37" t="str">
        <f>IF(LEN(BP12&amp;BU12)&gt;0,concatll("#### Source Material",BP12,BU12),"")</f>
        <v xml:space="preserve">#### Source Material_x000D_
_x000D_
| The Real Presence | Miracle Hunter | MaryPages |_x000D_
| --- | --- | --- |_x000D_
| [Link](http://www.therealpresence.org/eucharst/misc/BVM/123_NAZARE_96x96.pdf) |  |  |_x000D_
_x000D_
_x000D_
</v>
      </c>
      <c r="BW12" s="37" t="str">
        <f>IF(LEN(O12)&gt;1,concatll("#### Author's Note",O12),"")</f>
        <v/>
      </c>
      <c r="BX12" s="24" t="str">
        <f>IF(AR12,concatll(concatl("---",AS12:AU12,BK12,"---"),N12,BV12:BW12),"")</f>
        <v/>
      </c>
      <c r="BY12" s="24" t="str">
        <f>IF(AR12,VLOOKUP(C12,'(Ref) Countries'!A:B,2,)&amp;IF(LEN(D12)&gt;1,"-"&amp;LOWER(SUBSTITUTE(D12," ","-")),"")&amp;"-"&amp;LOWER(SUBSTITUTE(I12," ","-"))&amp;".md","")</f>
        <v/>
      </c>
      <c r="BZ12" s="37" t="str">
        <f>IF(LEN(AG12)&gt;1,VLOOKUP(AG12,'Tag List'!$A:$B,2,),"")</f>
        <v/>
      </c>
      <c r="CA12" s="37" t="str">
        <f>IF(LEN(AH12)&gt;1,VLOOKUP(AH12,'Tag List'!$A:$B,2,),"")</f>
        <v/>
      </c>
      <c r="CB12" s="37" t="str">
        <f>IF(LEN(AI12)&gt;1,VLOOKUP(AI12,'Tag List'!$A:$B,2,),"")</f>
        <v/>
      </c>
      <c r="CC12" s="38" t="str">
        <f>IF(LEN(AG12)&gt;1,GetTagPage(BZ12,AG12),"")</f>
        <v/>
      </c>
      <c r="CD12" s="38" t="str">
        <f>IF(LEN(AH12)&gt;1,GetTagPage(CA12,AH12),"")</f>
        <v/>
      </c>
      <c r="CE12" s="38" t="str">
        <f>IF(LEN(AI12)&gt;1,GetTagPage(CB12,AI12),"")</f>
        <v/>
      </c>
      <c r="CF12" s="38" t="str">
        <f>"|"&amp;IF(LEN(CC12)&gt;1," "&amp;CC12,"")&amp;IF(LEN(CD12)&gt;1,", "&amp;CD12,"")&amp;IF(LEN(CE12)&gt;1,", "&amp;CE12,"")&amp;" "</f>
        <v xml:space="preserve">| </v>
      </c>
      <c r="CG12" s="38" t="str">
        <f>"| "&amp;IF(AR12,"["&amp;B12&amp;"](/places/"&amp;SUBSTITUTE(BY12,".md","")&amp;")",B12)&amp;" "</f>
        <v xml:space="preserve">| Nazaré </v>
      </c>
      <c r="CH12" s="38" t="str">
        <f>"| "&amp;IF(AR12,GetTagPage(C12,VLOOKUP(C12,'(Ref) Countries'!A:C,3,)),C12)&amp; " "</f>
        <v xml:space="preserve">| Portugal </v>
      </c>
      <c r="CI12" s="38" t="str">
        <f>"| "&amp;E12&amp;" "</f>
        <v xml:space="preserve">| 1182 </v>
      </c>
      <c r="CJ12" s="38" t="str">
        <f>"|"&amp;IF(AR12," [Link](/places/"&amp;SUBSTITUTE(BY12,".md","")&amp;")","")&amp;" "</f>
        <v xml:space="preserve">| </v>
      </c>
      <c r="CK12" s="37" t="str">
        <f>"
"&amp;CG12&amp;CH12&amp;CI12&amp;CJ12&amp;BL12&amp;BQ12&amp;BR12&amp;BS12&amp;CF12&amp;"|"</f>
        <v xml:space="preserve">
| Nazaré | Portugal | 1182 | [Link](http://www.therealpresence.org/eucharst/misc/BVM/123_NAZARE_96x96.pdf)| |</v>
      </c>
    </row>
    <row r="13" spans="1:90" ht="153" x14ac:dyDescent="0.25">
      <c r="A13" s="25" t="s">
        <v>1324</v>
      </c>
      <c r="B13" s="28" t="s">
        <v>1191</v>
      </c>
      <c r="C13" s="29" t="s">
        <v>651</v>
      </c>
      <c r="E13" s="31" t="s">
        <v>1072</v>
      </c>
      <c r="F13" s="71">
        <v>54.024675490094602</v>
      </c>
      <c r="G13" s="67">
        <v>21.217746272668698</v>
      </c>
      <c r="H13" s="29" t="s">
        <v>1319</v>
      </c>
      <c r="I13" s="75" t="s">
        <v>1319</v>
      </c>
      <c r="J13" s="30" t="s">
        <v>1728</v>
      </c>
      <c r="K13" s="32" t="b">
        <v>1</v>
      </c>
      <c r="L13" s="30" t="b">
        <v>1</v>
      </c>
      <c r="N13" s="48" t="s">
        <v>1725</v>
      </c>
      <c r="O13" s="76" t="s">
        <v>1746</v>
      </c>
      <c r="P13" s="30" t="s">
        <v>1327</v>
      </c>
      <c r="Q13" s="30" t="s">
        <v>336</v>
      </c>
      <c r="AA13" s="71" t="s">
        <v>189</v>
      </c>
      <c r="AB13" s="30" t="s">
        <v>336</v>
      </c>
      <c r="AC13" s="30" t="s">
        <v>1328</v>
      </c>
      <c r="AD13" s="30" t="s">
        <v>1340</v>
      </c>
      <c r="AE13" s="30" t="s">
        <v>336</v>
      </c>
      <c r="AF13" s="67" t="s">
        <v>336</v>
      </c>
      <c r="AG13" s="30" t="s">
        <v>336</v>
      </c>
      <c r="AR13" s="36" t="b">
        <f>IF(OR(A13="Done",A13="In Progress"),TRUE)</f>
        <v>1</v>
      </c>
      <c r="AS13" s="37" t="str">
        <f>"title: """&amp;H13&amp;""""</f>
        <v>title: "Swieta Lipka Sanctuary"</v>
      </c>
      <c r="AT13" s="37" t="str">
        <f>"location: {lat: "&amp;F13&amp;", lng: "&amp;G13&amp;"}"</f>
        <v>location: {lat: 54.0246754900946, lng: 21.2177462726687}</v>
      </c>
      <c r="AU13" s="37" t="str">
        <f>"level: "&amp;J13</f>
        <v>level: global</v>
      </c>
      <c r="AV13" s="37" t="str">
        <f>"- "&amp;VLOOKUP(C13,'(Ref) Countries'!A:C,3,)</f>
        <v>- poland</v>
      </c>
      <c r="AW13" s="37" t="str">
        <f t="shared" si="0"/>
        <v/>
      </c>
      <c r="AX13" s="37" t="str">
        <f t="shared" si="1"/>
        <v>- churches</v>
      </c>
      <c r="AY13" s="37" t="str">
        <f t="shared" si="2"/>
        <v>- marian-sites</v>
      </c>
      <c r="AZ13" s="37" t="str">
        <f t="shared" si="3"/>
        <v/>
      </c>
      <c r="BA13" s="37" t="str">
        <f t="shared" si="4"/>
        <v/>
      </c>
      <c r="BB13" s="37" t="str">
        <f t="shared" si="5"/>
        <v/>
      </c>
      <c r="BC13" s="37" t="str">
        <f t="shared" si="6"/>
        <v/>
      </c>
      <c r="BD13" s="37" t="str">
        <f t="shared" si="7"/>
        <v/>
      </c>
      <c r="BE13" s="37" t="str">
        <f t="shared" si="8"/>
        <v/>
      </c>
      <c r="BF13" s="37" t="str">
        <f t="shared" si="9"/>
        <v/>
      </c>
      <c r="BG13" s="37" t="str">
        <f t="shared" si="10"/>
        <v/>
      </c>
      <c r="BH13" s="37" t="str">
        <f t="shared" si="11"/>
        <v/>
      </c>
      <c r="BI13" s="37" t="str">
        <f t="shared" si="12"/>
        <v/>
      </c>
      <c r="BJ13" s="37" t="str">
        <f t="shared" si="13"/>
        <v/>
      </c>
      <c r="BK13" s="37" t="str">
        <f t="shared" si="14"/>
        <v xml:space="preserve">tags:
- poland_x000D_
- churches_x000D_
- marian-sites_x000D_
</v>
      </c>
      <c r="BL13" s="38" t="str">
        <f t="shared" si="15"/>
        <v>[Official site](https://www.swlipka.pl/)</v>
      </c>
      <c r="BM13" s="38" t="str">
        <f t="shared" si="16"/>
        <v/>
      </c>
      <c r="BN13" s="38" t="str">
        <f t="shared" si="17"/>
        <v/>
      </c>
      <c r="BO13" s="38" t="str">
        <f t="shared" si="18"/>
        <v/>
      </c>
      <c r="BP13" s="38" t="str">
        <f t="shared" si="19"/>
        <v xml:space="preserve">* [Official site](https://www.swlipka.pl/)
</v>
      </c>
      <c r="BQ13" s="38" t="str">
        <f t="shared" si="20"/>
        <v>[Link](http://www.therealpresence.org/eucharst/misc/BVM/138_SWIETA_LIPKA_60x96.pdf)</v>
      </c>
      <c r="BR13" s="38" t="str">
        <f t="shared" si="21"/>
        <v>[Link](http://www.miraclehunter.com/marian_apparitions/approved_apparitions/apparitions_1200-1299.html) (Search for "Swieta Lipka")</v>
      </c>
      <c r="BS13" s="38" t="str">
        <f t="shared" si="22"/>
        <v/>
      </c>
      <c r="BT13" s="38" t="str">
        <f>IF(LEN(concat(BQ13:BS13))&gt;0,concat("| ",BQ13," | ",BR13," | ",BS13," |"),"")</f>
        <v>| [Link](http://www.therealpresence.org/eucharst/misc/BVM/138_SWIETA_LIPKA_60x96.pdf) | [Link](http://www.miraclehunter.com/marian_apparitions/approved_apparitions/apparitions_1200-1299.html) (Search for "Swieta Lipka") |  |</v>
      </c>
      <c r="BU13" s="37" t="str">
        <f t="shared" si="23"/>
        <v xml:space="preserve">| The Real Presence | Miracle Hunter | MaryPages |_x000D_
| --- | --- | --- |_x000D_
| [Link](http://www.therealpresence.org/eucharst/misc/BVM/138_SWIETA_LIPKA_60x96.pdf) | [Link](http://www.miraclehunter.com/marian_apparitions/approved_apparitions/apparitions_1200-1299.html) (Search for "Swieta Lipka") |  |_x000D_
</v>
      </c>
      <c r="BV13" s="37" t="str">
        <f>IF(LEN(BP13&amp;BU13)&gt;0,concatll("#### Source Material",BP13,BU13),"")</f>
        <v xml:space="preserve">#### Source Material_x000D_
_x000D_
* [Official site](https://www.swlipka.pl/)
_x000D_
_x000D_
| The Real Presence | Miracle Hunter | MaryPages |_x000D_
| --- | --- | --- |_x000D_
| [Link](http://www.therealpresence.org/eucharst/misc/BVM/138_SWIETA_LIPKA_60x96.pdf) | [Link](http://www.miraclehunter.com/marian_apparitions/approved_apparitions/apparitions_1200-1299.html) (Search for "Swieta Lipka") |  |_x000D_
_x000D_
_x000D_
</v>
      </c>
      <c r="BW13" s="37" t="str">
        <f>IF(LEN(O13)&gt;1,concatll("#### Author's Note",O13),"")</f>
        <v xml:space="preserve">#### Author's Note_x000D_
_x000D_
Because of the Jesuit influence, there are noticeable similarities to the Chiesa del Gesù in Rome, both in decoration and function.  The image of Our Blessed Mother behind the altar is covered after each mass, similar to some Jesuit churches in Rome.
-JMM_x000D_
_x000D_
</v>
      </c>
      <c r="BX13" s="24" t="str">
        <f>IF(AR13,concatll(concatl("---",AS13:AU13,BK13,"---"),N13,BV13:BW13),"")</f>
        <v xml:space="preserve">---_x000D_
title: "Swieta Lipka Sanctuary"_x000D_
location: {lat: 54.0246754900946, lng: 21.2177462726687}_x000D_
level: global_x000D_
tags:
- poland_x000D_
- churches_x000D_
- marian-sites_x000D_
_x000D_
---_x000D_
_x000D_
_x000D_
In the 13th century, Our Blessed Mother appeared to a condemned innocent person in his prison cell. Bringing him a piece of wood and a knife, she told him to carve an image of the Blessed Mother with Child.  When he had done so, the jailers and judge were so moved they gave him back his freedom.  In gratitude for the divine assistance, the man sought to place the sculpture near a linden tree along the road, as Mary had suggested.  The present-day basilica was built next to this great linden tree, which was the site of many miracles and healings over the centuries.
With the Prussian occupation of Poland, the sanctuary was defiled and the linden tree cut down.  Upon Poland's independence, Jesuits were invited to renew the sanctuary, and it remains in beautiful condition to this day._x000D_
_x000D_
#### Source Material_x000D_
_x000D_
* [Official site](https://www.swlipka.pl/)
_x000D_
_x000D_
| The Real Presence | Miracle Hunter | MaryPages |_x000D_
| --- | --- | --- |_x000D_
| [Link](http://www.therealpresence.org/eucharst/misc/BVM/138_SWIETA_LIPKA_60x96.pdf) | [Link](http://www.miraclehunter.com/marian_apparitions/approved_apparitions/apparitions_1200-1299.html) (Search for "Swieta Lipka") |  |_x000D_
_x000D_
_x000D_
_x000D_
_x000D_
#### Author's Note_x000D_
_x000D_
Because of the Jesuit influence, there are noticeable similarities to the Chiesa del Gesù in Rome, both in decoration and function.  The image of Our Blessed Mother behind the altar is covered after each mass, similar to some Jesuit churches in Rome.
-JMM_x000D_
_x000D_
_x000D_
_x000D_
</v>
      </c>
      <c r="BY13" s="24" t="str">
        <f>IF(AR13,VLOOKUP(C13,'(Ref) Countries'!A:B,2,)&amp;IF(LEN(D13)&gt;1,"-"&amp;LOWER(SUBSTITUTE(D13," ","-")),"")&amp;"-"&amp;LOWER(SUBSTITUTE(I13," ","-"))&amp;".md","")</f>
        <v>pl-swieta-lipka-sanctuary.md</v>
      </c>
      <c r="BZ13" s="37" t="str">
        <f>IF(LEN(AG13)&gt;1,VLOOKUP(AG13,'Tag List'!$A:$B,2,),"")</f>
        <v/>
      </c>
      <c r="CA13" s="37" t="str">
        <f>IF(LEN(AH13)&gt;1,VLOOKUP(AH13,'Tag List'!$A:$B,2,),"")</f>
        <v/>
      </c>
      <c r="CB13" s="37" t="str">
        <f>IF(LEN(AI13)&gt;1,VLOOKUP(AI13,'Tag List'!$A:$B,2,),"")</f>
        <v/>
      </c>
      <c r="CC13" s="38" t="str">
        <f>IF(LEN(AG13)&gt;1,GetTagPage(BZ13,AG13),"")</f>
        <v/>
      </c>
      <c r="CD13" s="38" t="str">
        <f>IF(LEN(AH13)&gt;1,GetTagPage(CA13,AH13),"")</f>
        <v/>
      </c>
      <c r="CE13" s="38" t="str">
        <f>IF(LEN(AI13)&gt;1,GetTagPage(CB13,AI13),"")</f>
        <v/>
      </c>
      <c r="CF13" s="38" t="str">
        <f>"|"&amp;IF(LEN(CC13)&gt;1," "&amp;CC13,"")&amp;IF(LEN(CD13)&gt;1,", "&amp;CD13,"")&amp;IF(LEN(CE13)&gt;1,", "&amp;CE13,"")&amp;" "</f>
        <v xml:space="preserve">| </v>
      </c>
      <c r="CG13" s="38" t="str">
        <f>"| "&amp;IF(AR13,"["&amp;B13&amp;"](/places/"&amp;SUBSTITUTE(BY13,".md","")&amp;")",B13)&amp;" "</f>
        <v xml:space="preserve">| [Swieta Lipka](/places/pl-swieta-lipka-sanctuary) </v>
      </c>
      <c r="CH13" s="38" t="str">
        <f>"| "&amp;IF(AR13,GetTagPage(C13,VLOOKUP(C13,'(Ref) Countries'!A:C,3,)),C13)&amp; " "</f>
        <v xml:space="preserve">| [Poland](/tags/poland) </v>
      </c>
      <c r="CI13" s="38" t="str">
        <f>"| "&amp;E13&amp;" "</f>
        <v xml:space="preserve">| 13th Century </v>
      </c>
      <c r="CJ13" s="38" t="str">
        <f>"|"&amp;IF(AR13," [Link](/places/"&amp;SUBSTITUTE(BY13,".md","")&amp;")","")&amp;" "</f>
        <v xml:space="preserve">| [Link](/places/pl-swieta-lipka-sanctuary) </v>
      </c>
      <c r="CK13" s="37" t="str">
        <f>"
"&amp;CG13&amp;CH13&amp;CI13&amp;CJ13&amp;BL13&amp;BQ13&amp;BR13&amp;BS13&amp;CF13&amp;"|"</f>
        <v xml:space="preserve">
| [Swieta Lipka](/places/pl-swieta-lipka-sanctuary) | [Poland](/tags/poland) | 13th Century | [Link](/places/pl-swieta-lipka-sanctuary) [Official site](https://www.swlipka.pl/)[Link](http://www.therealpresence.org/eucharst/misc/BVM/138_SWIETA_LIPKA_60x96.pdf)[Link](http://www.miraclehunter.com/marian_apparitions/approved_apparitions/apparitions_1200-1299.html) (Search for "Swieta Lipka")| |</v>
      </c>
    </row>
    <row r="14" spans="1:90" x14ac:dyDescent="0.25">
      <c r="B14" s="28" t="s">
        <v>1192</v>
      </c>
      <c r="C14" s="29" t="s">
        <v>11</v>
      </c>
      <c r="E14" s="31">
        <v>1216</v>
      </c>
      <c r="J14" s="30" t="s">
        <v>1728</v>
      </c>
      <c r="K14" s="32" t="b">
        <v>1</v>
      </c>
      <c r="L14" s="30" t="b">
        <v>1</v>
      </c>
      <c r="P14" s="30" t="s">
        <v>336</v>
      </c>
      <c r="Q14" s="30" t="s">
        <v>336</v>
      </c>
      <c r="AA14" s="71" t="s">
        <v>190</v>
      </c>
      <c r="AB14" s="30" t="s">
        <v>336</v>
      </c>
      <c r="AC14" s="30" t="s">
        <v>336</v>
      </c>
      <c r="AD14" s="30" t="s">
        <v>336</v>
      </c>
      <c r="AE14" s="30" t="s">
        <v>336</v>
      </c>
      <c r="AF14" s="67" t="s">
        <v>336</v>
      </c>
      <c r="AG14" s="30" t="s">
        <v>336</v>
      </c>
      <c r="AR14" s="36" t="b">
        <f>IF(OR(A14="Done",A14="In Progress"),TRUE)</f>
        <v>0</v>
      </c>
      <c r="AS14" s="37" t="str">
        <f>"title: """&amp;H14&amp;""""</f>
        <v>title: ""</v>
      </c>
      <c r="AT14" s="37" t="str">
        <f>"location: {lat: "&amp;F14&amp;", lng: "&amp;G14&amp;"}"</f>
        <v>location: {lat: , lng: }</v>
      </c>
      <c r="AU14" s="37" t="str">
        <f>"level: "&amp;J14</f>
        <v>level: global</v>
      </c>
      <c r="AV14" s="37" t="str">
        <f>"- "&amp;VLOOKUP(C14,'(Ref) Countries'!A:C,3,)</f>
        <v>- italy</v>
      </c>
      <c r="AW14" s="37" t="str">
        <f t="shared" si="0"/>
        <v/>
      </c>
      <c r="AX14" s="37" t="str">
        <f t="shared" si="1"/>
        <v>- churches</v>
      </c>
      <c r="AY14" s="37" t="str">
        <f t="shared" si="2"/>
        <v>- marian-sites</v>
      </c>
      <c r="AZ14" s="37" t="str">
        <f t="shared" si="3"/>
        <v/>
      </c>
      <c r="BA14" s="37" t="str">
        <f t="shared" si="4"/>
        <v/>
      </c>
      <c r="BB14" s="37" t="str">
        <f t="shared" si="5"/>
        <v/>
      </c>
      <c r="BC14" s="37" t="str">
        <f t="shared" si="6"/>
        <v/>
      </c>
      <c r="BD14" s="37" t="str">
        <f t="shared" si="7"/>
        <v/>
      </c>
      <c r="BE14" s="37" t="str">
        <f t="shared" si="8"/>
        <v/>
      </c>
      <c r="BF14" s="37" t="str">
        <f t="shared" si="9"/>
        <v/>
      </c>
      <c r="BG14" s="37" t="str">
        <f t="shared" si="10"/>
        <v/>
      </c>
      <c r="BH14" s="37" t="str">
        <f t="shared" si="11"/>
        <v/>
      </c>
      <c r="BI14" s="37" t="str">
        <f t="shared" si="12"/>
        <v/>
      </c>
      <c r="BJ14" s="37" t="str">
        <f t="shared" si="13"/>
        <v/>
      </c>
      <c r="BK14" s="37" t="str">
        <f t="shared" si="14"/>
        <v xml:space="preserve">tags:
- italy_x000D_
- churches_x000D_
- marian-sites_x000D_
</v>
      </c>
      <c r="BL14" s="38" t="str">
        <f t="shared" si="15"/>
        <v/>
      </c>
      <c r="BM14" s="38" t="str">
        <f t="shared" si="16"/>
        <v/>
      </c>
      <c r="BN14" s="38" t="str">
        <f t="shared" si="17"/>
        <v/>
      </c>
      <c r="BO14" s="38" t="str">
        <f t="shared" si="18"/>
        <v/>
      </c>
      <c r="BP14" s="38" t="str">
        <f t="shared" si="19"/>
        <v/>
      </c>
      <c r="BQ14" s="38" t="str">
        <f t="shared" si="20"/>
        <v>[Link](http://www.therealpresence.org/eucharst/misc/BVM/38_ASSISI_60x96.pdf)</v>
      </c>
      <c r="BR14" s="38" t="str">
        <f t="shared" si="21"/>
        <v/>
      </c>
      <c r="BS14" s="38" t="str">
        <f t="shared" si="22"/>
        <v/>
      </c>
      <c r="BT14" s="38" t="str">
        <f>IF(LEN(concat(BQ14:BS14))&gt;0,concat("| ",BQ14," | ",BR14," | ",BS14," |"),"")</f>
        <v>| [Link](http://www.therealpresence.org/eucharst/misc/BVM/38_ASSISI_60x96.pdf) |  |  |</v>
      </c>
      <c r="BU14" s="37" t="str">
        <f t="shared" si="23"/>
        <v xml:space="preserve">| The Real Presence | Miracle Hunter | MaryPages |_x000D_
| --- | --- | --- |_x000D_
| [Link](http://www.therealpresence.org/eucharst/misc/BVM/38_ASSISI_60x96.pdf) |  |  |_x000D_
</v>
      </c>
      <c r="BV14" s="37" t="str">
        <f>IF(LEN(BP14&amp;BU14)&gt;0,concatll("#### Source Material",BP14,BU14),"")</f>
        <v xml:space="preserve">#### Source Material_x000D_
_x000D_
| The Real Presence | Miracle Hunter | MaryPages |_x000D_
| --- | --- | --- |_x000D_
| [Link](http://www.therealpresence.org/eucharst/misc/BVM/38_ASSISI_60x96.pdf) |  |  |_x000D_
_x000D_
_x000D_
</v>
      </c>
      <c r="BW14" s="37" t="str">
        <f>IF(LEN(O14)&gt;1,concatll("#### Author's Note",O14),"")</f>
        <v/>
      </c>
      <c r="BX14" s="24" t="str">
        <f>IF(AR14,concatll(concatl("---",AS14:AU14,BK14,"---"),N14,BV14:BW14),"")</f>
        <v/>
      </c>
      <c r="BY14" s="24" t="str">
        <f>IF(AR14,VLOOKUP(C14,'(Ref) Countries'!A:B,2,)&amp;IF(LEN(D14)&gt;1,"-"&amp;LOWER(SUBSTITUTE(D14," ","-")),"")&amp;"-"&amp;LOWER(SUBSTITUTE(I14," ","-"))&amp;".md","")</f>
        <v/>
      </c>
      <c r="BZ14" s="37" t="str">
        <f>IF(LEN(AG14)&gt;1,VLOOKUP(AG14,'Tag List'!$A:$B,2,),"")</f>
        <v/>
      </c>
      <c r="CA14" s="37" t="str">
        <f>IF(LEN(AH14)&gt;1,VLOOKUP(AH14,'Tag List'!$A:$B,2,),"")</f>
        <v/>
      </c>
      <c r="CB14" s="37" t="str">
        <f>IF(LEN(AI14)&gt;1,VLOOKUP(AI14,'Tag List'!$A:$B,2,),"")</f>
        <v/>
      </c>
      <c r="CC14" s="38" t="str">
        <f>IF(LEN(AG14)&gt;1,GetTagPage(BZ14,AG14),"")</f>
        <v/>
      </c>
      <c r="CD14" s="38" t="str">
        <f>IF(LEN(AH14)&gt;1,GetTagPage(CA14,AH14),"")</f>
        <v/>
      </c>
      <c r="CE14" s="38" t="str">
        <f>IF(LEN(AI14)&gt;1,GetTagPage(CB14,AI14),"")</f>
        <v/>
      </c>
      <c r="CF14" s="38" t="str">
        <f>"|"&amp;IF(LEN(CC14)&gt;1," "&amp;CC14,"")&amp;IF(LEN(CD14)&gt;1,", "&amp;CD14,"")&amp;IF(LEN(CE14)&gt;1,", "&amp;CE14,"")&amp;" "</f>
        <v xml:space="preserve">| </v>
      </c>
      <c r="CG14" s="38" t="str">
        <f>"| "&amp;IF(AR14,"["&amp;B14&amp;"](/places/"&amp;SUBSTITUTE(BY14,".md","")&amp;")",B14)&amp;" "</f>
        <v xml:space="preserve">| Assisi </v>
      </c>
      <c r="CH14" s="38" t="str">
        <f>"| "&amp;IF(AR14,GetTagPage(C14,VLOOKUP(C14,'(Ref) Countries'!A:C,3,)),C14)&amp; " "</f>
        <v xml:space="preserve">| Italy </v>
      </c>
      <c r="CI14" s="38" t="str">
        <f>"| "&amp;E14&amp;" "</f>
        <v xml:space="preserve">| 1216 </v>
      </c>
      <c r="CJ14" s="38" t="str">
        <f>"|"&amp;IF(AR14," [Link](/places/"&amp;SUBSTITUTE(BY14,".md","")&amp;")","")&amp;" "</f>
        <v xml:space="preserve">| </v>
      </c>
      <c r="CK14" s="37" t="str">
        <f>"
"&amp;CG14&amp;CH14&amp;CI14&amp;CJ14&amp;BL14&amp;BQ14&amp;BR14&amp;BS14&amp;CF14&amp;"|"</f>
        <v xml:space="preserve">
| Assisi | Italy | 1216 | [Link](http://www.therealpresence.org/eucharst/misc/BVM/38_ASSISI_60x96.pdf)| |</v>
      </c>
    </row>
    <row r="15" spans="1:90" x14ac:dyDescent="0.25">
      <c r="B15" s="28" t="s">
        <v>1193</v>
      </c>
      <c r="C15" s="29" t="s">
        <v>655</v>
      </c>
      <c r="E15" s="31">
        <v>1220</v>
      </c>
      <c r="J15" s="30" t="s">
        <v>1728</v>
      </c>
      <c r="K15" s="32" t="b">
        <v>1</v>
      </c>
      <c r="L15" s="30" t="b">
        <v>1</v>
      </c>
      <c r="P15" s="30" t="s">
        <v>336</v>
      </c>
      <c r="Q15" s="30" t="s">
        <v>336</v>
      </c>
      <c r="AA15" s="71" t="s">
        <v>191</v>
      </c>
      <c r="AB15" s="30" t="s">
        <v>336</v>
      </c>
      <c r="AC15" s="30" t="s">
        <v>336</v>
      </c>
      <c r="AD15" s="30" t="s">
        <v>336</v>
      </c>
      <c r="AE15" s="30" t="s">
        <v>336</v>
      </c>
      <c r="AF15" s="67" t="s">
        <v>336</v>
      </c>
      <c r="AG15" s="30" t="s">
        <v>336</v>
      </c>
      <c r="AR15" s="36" t="b">
        <f>IF(OR(A15="Done",A15="In Progress"),TRUE)</f>
        <v>0</v>
      </c>
      <c r="AS15" s="37" t="str">
        <f>"title: """&amp;H15&amp;""""</f>
        <v>title: ""</v>
      </c>
      <c r="AT15" s="37" t="str">
        <f>"location: {lat: "&amp;F15&amp;", lng: "&amp;G15&amp;"}"</f>
        <v>location: {lat: , lng: }</v>
      </c>
      <c r="AU15" s="37" t="str">
        <f>"level: "&amp;J15</f>
        <v>level: global</v>
      </c>
      <c r="AV15" s="37" t="str">
        <f>"- "&amp;VLOOKUP(C15,'(Ref) Countries'!A:C,3,)</f>
        <v>- portugal</v>
      </c>
      <c r="AW15" s="37" t="str">
        <f t="shared" si="0"/>
        <v/>
      </c>
      <c r="AX15" s="37" t="str">
        <f t="shared" si="1"/>
        <v>- churches</v>
      </c>
      <c r="AY15" s="37" t="str">
        <f t="shared" si="2"/>
        <v>- marian-sites</v>
      </c>
      <c r="AZ15" s="37" t="str">
        <f t="shared" si="3"/>
        <v/>
      </c>
      <c r="BA15" s="37" t="str">
        <f t="shared" si="4"/>
        <v/>
      </c>
      <c r="BB15" s="37" t="str">
        <f t="shared" si="5"/>
        <v/>
      </c>
      <c r="BC15" s="37" t="str">
        <f t="shared" si="6"/>
        <v/>
      </c>
      <c r="BD15" s="37" t="str">
        <f t="shared" si="7"/>
        <v/>
      </c>
      <c r="BE15" s="37" t="str">
        <f t="shared" si="8"/>
        <v/>
      </c>
      <c r="BF15" s="37" t="str">
        <f t="shared" si="9"/>
        <v/>
      </c>
      <c r="BG15" s="37" t="str">
        <f t="shared" si="10"/>
        <v/>
      </c>
      <c r="BH15" s="37" t="str">
        <f t="shared" si="11"/>
        <v/>
      </c>
      <c r="BI15" s="37" t="str">
        <f t="shared" si="12"/>
        <v/>
      </c>
      <c r="BJ15" s="37" t="str">
        <f t="shared" si="13"/>
        <v/>
      </c>
      <c r="BK15" s="37" t="str">
        <f t="shared" si="14"/>
        <v xml:space="preserve">tags:
- portugal_x000D_
- churches_x000D_
- marian-sites_x000D_
</v>
      </c>
      <c r="BL15" s="38" t="str">
        <f t="shared" si="15"/>
        <v/>
      </c>
      <c r="BM15" s="38" t="str">
        <f t="shared" si="16"/>
        <v/>
      </c>
      <c r="BN15" s="38" t="str">
        <f t="shared" si="17"/>
        <v/>
      </c>
      <c r="BO15" s="38" t="str">
        <f t="shared" si="18"/>
        <v/>
      </c>
      <c r="BP15" s="38" t="str">
        <f t="shared" si="19"/>
        <v/>
      </c>
      <c r="BQ15" s="38" t="str">
        <f t="shared" si="20"/>
        <v>[Link](http://www.therealpresence.org/eucharst/misc/BVM/136_ARCOS_60x96.pdf)</v>
      </c>
      <c r="BR15" s="38" t="str">
        <f t="shared" si="21"/>
        <v/>
      </c>
      <c r="BS15" s="38" t="str">
        <f t="shared" si="22"/>
        <v/>
      </c>
      <c r="BT15" s="38" t="str">
        <f>IF(LEN(concat(BQ15:BS15))&gt;0,concat("| ",BQ15," | ",BR15," | ",BS15," |"),"")</f>
        <v>| [Link](http://www.therealpresence.org/eucharst/misc/BVM/136_ARCOS_60x96.pdf) |  |  |</v>
      </c>
      <c r="BU15" s="37" t="str">
        <f t="shared" si="23"/>
        <v xml:space="preserve">| The Real Presence | Miracle Hunter | MaryPages |_x000D_
| --- | --- | --- |_x000D_
| [Link](http://www.therealpresence.org/eucharst/misc/BVM/136_ARCOS_60x96.pdf) |  |  |_x000D_
</v>
      </c>
      <c r="BV15" s="37" t="str">
        <f>IF(LEN(BP15&amp;BU15)&gt;0,concatll("#### Source Material",BP15,BU15),"")</f>
        <v xml:space="preserve">#### Source Material_x000D_
_x000D_
| The Real Presence | Miracle Hunter | MaryPages |_x000D_
| --- | --- | --- |_x000D_
| [Link](http://www.therealpresence.org/eucharst/misc/BVM/136_ARCOS_60x96.pdf) |  |  |_x000D_
_x000D_
_x000D_
</v>
      </c>
      <c r="BW15" s="37" t="str">
        <f>IF(LEN(O15)&gt;1,concatll("#### Author's Note",O15),"")</f>
        <v/>
      </c>
      <c r="BX15" s="24" t="str">
        <f>IF(AR15,concatll(concatl("---",AS15:AU15,BK15,"---"),N15,BV15:BW15),"")</f>
        <v/>
      </c>
      <c r="BY15" s="24" t="str">
        <f>IF(AR15,VLOOKUP(C15,'(Ref) Countries'!A:B,2,)&amp;IF(LEN(D15)&gt;1,"-"&amp;LOWER(SUBSTITUTE(D15," ","-")),"")&amp;"-"&amp;LOWER(SUBSTITUTE(I15," ","-"))&amp;".md","")</f>
        <v/>
      </c>
      <c r="BZ15" s="37" t="str">
        <f>IF(LEN(AG15)&gt;1,VLOOKUP(AG15,'Tag List'!$A:$B,2,),"")</f>
        <v/>
      </c>
      <c r="CA15" s="37" t="str">
        <f>IF(LEN(AH15)&gt;1,VLOOKUP(AH15,'Tag List'!$A:$B,2,),"")</f>
        <v/>
      </c>
      <c r="CB15" s="37" t="str">
        <f>IF(LEN(AI15)&gt;1,VLOOKUP(AI15,'Tag List'!$A:$B,2,),"")</f>
        <v/>
      </c>
      <c r="CC15" s="38" t="str">
        <f>IF(LEN(AG15)&gt;1,GetTagPage(BZ15,AG15),"")</f>
        <v/>
      </c>
      <c r="CD15" s="38" t="str">
        <f>IF(LEN(AH15)&gt;1,GetTagPage(CA15,AH15),"")</f>
        <v/>
      </c>
      <c r="CE15" s="38" t="str">
        <f>IF(LEN(AI15)&gt;1,GetTagPage(CB15,AI15),"")</f>
        <v/>
      </c>
      <c r="CF15" s="38" t="str">
        <f>"|"&amp;IF(LEN(CC15)&gt;1," "&amp;CC15,"")&amp;IF(LEN(CD15)&gt;1,", "&amp;CD15,"")&amp;IF(LEN(CE15)&gt;1,", "&amp;CE15,"")&amp;" "</f>
        <v xml:space="preserve">| </v>
      </c>
      <c r="CG15" s="38" t="str">
        <f>"| "&amp;IF(AR15,"["&amp;B15&amp;"](/places/"&amp;SUBSTITUTE(BY15,".md","")&amp;")",B15)&amp;" "</f>
        <v xml:space="preserve">| Arcos de Valdevez </v>
      </c>
      <c r="CH15" s="38" t="str">
        <f>"| "&amp;IF(AR15,GetTagPage(C15,VLOOKUP(C15,'(Ref) Countries'!A:C,3,)),C15)&amp; " "</f>
        <v xml:space="preserve">| Portugal </v>
      </c>
      <c r="CI15" s="38" t="str">
        <f>"| "&amp;E15&amp;" "</f>
        <v xml:space="preserve">| 1220 </v>
      </c>
      <c r="CJ15" s="38" t="str">
        <f>"|"&amp;IF(AR15," [Link](/places/"&amp;SUBSTITUTE(BY15,".md","")&amp;")","")&amp;" "</f>
        <v xml:space="preserve">| </v>
      </c>
      <c r="CK15" s="37" t="str">
        <f>"
"&amp;CG15&amp;CH15&amp;CI15&amp;CJ15&amp;BL15&amp;BQ15&amp;BR15&amp;BS15&amp;CF15&amp;"|"</f>
        <v xml:space="preserve">
| Arcos de Valdevez | Portugal | 1220 | [Link](http://www.therealpresence.org/eucharst/misc/BVM/136_ARCOS_60x96.pdf)| |</v>
      </c>
    </row>
    <row r="16" spans="1:90" x14ac:dyDescent="0.25">
      <c r="B16" s="28" t="s">
        <v>1194</v>
      </c>
      <c r="C16" s="29" t="s">
        <v>552</v>
      </c>
      <c r="E16" s="31">
        <v>1222</v>
      </c>
      <c r="J16" s="30" t="s">
        <v>1728</v>
      </c>
      <c r="K16" s="32" t="b">
        <v>1</v>
      </c>
      <c r="L16" s="30" t="b">
        <v>1</v>
      </c>
      <c r="P16" s="30" t="s">
        <v>336</v>
      </c>
      <c r="Q16" s="30" t="s">
        <v>336</v>
      </c>
      <c r="AA16" s="71" t="s">
        <v>192</v>
      </c>
      <c r="AB16" s="30" t="s">
        <v>336</v>
      </c>
      <c r="AC16" s="30" t="s">
        <v>336</v>
      </c>
      <c r="AD16" s="30" t="s">
        <v>336</v>
      </c>
      <c r="AE16" s="30" t="s">
        <v>336</v>
      </c>
      <c r="AF16" s="67" t="s">
        <v>336</v>
      </c>
      <c r="AG16" s="30" t="s">
        <v>336</v>
      </c>
      <c r="AR16" s="36" t="b">
        <f>IF(OR(A16="Done",A16="In Progress"),TRUE)</f>
        <v>0</v>
      </c>
      <c r="AS16" s="37" t="str">
        <f>"title: """&amp;H16&amp;""""</f>
        <v>title: ""</v>
      </c>
      <c r="AT16" s="37" t="str">
        <f>"location: {lat: "&amp;F16&amp;", lng: "&amp;G16&amp;"}"</f>
        <v>location: {lat: , lng: }</v>
      </c>
      <c r="AU16" s="37" t="str">
        <f>"level: "&amp;J16</f>
        <v>level: global</v>
      </c>
      <c r="AV16" s="37" t="str">
        <f>"- "&amp;VLOOKUP(C16,'(Ref) Countries'!A:C,3,)</f>
        <v>- spain</v>
      </c>
      <c r="AW16" s="37" t="str">
        <f t="shared" si="0"/>
        <v/>
      </c>
      <c r="AX16" s="37" t="str">
        <f t="shared" si="1"/>
        <v>- churches</v>
      </c>
      <c r="AY16" s="37" t="str">
        <f t="shared" si="2"/>
        <v>- marian-sites</v>
      </c>
      <c r="AZ16" s="37" t="str">
        <f t="shared" si="3"/>
        <v/>
      </c>
      <c r="BA16" s="37" t="str">
        <f t="shared" si="4"/>
        <v/>
      </c>
      <c r="BB16" s="37" t="str">
        <f t="shared" si="5"/>
        <v/>
      </c>
      <c r="BC16" s="37" t="str">
        <f t="shared" si="6"/>
        <v/>
      </c>
      <c r="BD16" s="37" t="str">
        <f t="shared" si="7"/>
        <v/>
      </c>
      <c r="BE16" s="37" t="str">
        <f t="shared" si="8"/>
        <v/>
      </c>
      <c r="BF16" s="37" t="str">
        <f t="shared" si="9"/>
        <v/>
      </c>
      <c r="BG16" s="37" t="str">
        <f t="shared" si="10"/>
        <v/>
      </c>
      <c r="BH16" s="37" t="str">
        <f t="shared" si="11"/>
        <v/>
      </c>
      <c r="BI16" s="37" t="str">
        <f t="shared" si="12"/>
        <v/>
      </c>
      <c r="BJ16" s="37" t="str">
        <f t="shared" si="13"/>
        <v/>
      </c>
      <c r="BK16" s="37" t="str">
        <f t="shared" si="14"/>
        <v xml:space="preserve">tags:
- spain_x000D_
- churches_x000D_
- marian-sites_x000D_
</v>
      </c>
      <c r="BL16" s="38" t="str">
        <f t="shared" si="15"/>
        <v/>
      </c>
      <c r="BM16" s="38" t="str">
        <f t="shared" si="16"/>
        <v/>
      </c>
      <c r="BN16" s="38" t="str">
        <f t="shared" si="17"/>
        <v/>
      </c>
      <c r="BO16" s="38" t="str">
        <f t="shared" si="18"/>
        <v/>
      </c>
      <c r="BP16" s="38" t="str">
        <f t="shared" si="19"/>
        <v/>
      </c>
      <c r="BQ16" s="38" t="str">
        <f t="shared" si="20"/>
        <v>[Link](http://www.therealpresence.org/eucharst/misc/BVM/35_CORTES_60x96.pdf)</v>
      </c>
      <c r="BR16" s="38" t="str">
        <f t="shared" si="21"/>
        <v/>
      </c>
      <c r="BS16" s="38" t="str">
        <f t="shared" si="22"/>
        <v/>
      </c>
      <c r="BT16" s="38" t="str">
        <f>IF(LEN(concat(BQ16:BS16))&gt;0,concat("| ",BQ16," | ",BR16," | ",BS16," |"),"")</f>
        <v>| [Link](http://www.therealpresence.org/eucharst/misc/BVM/35_CORTES_60x96.pdf) |  |  |</v>
      </c>
      <c r="BU16" s="37" t="str">
        <f t="shared" si="23"/>
        <v xml:space="preserve">| The Real Presence | Miracle Hunter | MaryPages |_x000D_
| --- | --- | --- |_x000D_
| [Link](http://www.therealpresence.org/eucharst/misc/BVM/35_CORTES_60x96.pdf) |  |  |_x000D_
</v>
      </c>
      <c r="BV16" s="37" t="str">
        <f>IF(LEN(BP16&amp;BU16)&gt;0,concatll("#### Source Material",BP16,BU16),"")</f>
        <v xml:space="preserve">#### Source Material_x000D_
_x000D_
| The Real Presence | Miracle Hunter | MaryPages |_x000D_
| --- | --- | --- |_x000D_
| [Link](http://www.therealpresence.org/eucharst/misc/BVM/35_CORTES_60x96.pdf) |  |  |_x000D_
_x000D_
_x000D_
</v>
      </c>
      <c r="BW16" s="37" t="str">
        <f>IF(LEN(O16)&gt;1,concatll("#### Author's Note",O16),"")</f>
        <v/>
      </c>
      <c r="BX16" s="24" t="str">
        <f>IF(AR16,concatll(concatl("---",AS16:AU16,BK16,"---"),N16,BV16:BW16),"")</f>
        <v/>
      </c>
      <c r="BY16" s="24" t="str">
        <f>IF(AR16,VLOOKUP(C16,'(Ref) Countries'!A:B,2,)&amp;IF(LEN(D16)&gt;1,"-"&amp;LOWER(SUBSTITUTE(D16," ","-")),"")&amp;"-"&amp;LOWER(SUBSTITUTE(I16," ","-"))&amp;".md","")</f>
        <v/>
      </c>
      <c r="BZ16" s="37" t="str">
        <f>IF(LEN(AG16)&gt;1,VLOOKUP(AG16,'Tag List'!$A:$B,2,),"")</f>
        <v/>
      </c>
      <c r="CA16" s="37" t="str">
        <f>IF(LEN(AH16)&gt;1,VLOOKUP(AH16,'Tag List'!$A:$B,2,),"")</f>
        <v/>
      </c>
      <c r="CB16" s="37" t="str">
        <f>IF(LEN(AI16)&gt;1,VLOOKUP(AI16,'Tag List'!$A:$B,2,),"")</f>
        <v/>
      </c>
      <c r="CC16" s="38" t="str">
        <f>IF(LEN(AG16)&gt;1,GetTagPage(BZ16,AG16),"")</f>
        <v/>
      </c>
      <c r="CD16" s="38" t="str">
        <f>IF(LEN(AH16)&gt;1,GetTagPage(CA16,AH16),"")</f>
        <v/>
      </c>
      <c r="CE16" s="38" t="str">
        <f>IF(LEN(AI16)&gt;1,GetTagPage(CB16,AI16),"")</f>
        <v/>
      </c>
      <c r="CF16" s="38" t="str">
        <f>"|"&amp;IF(LEN(CC16)&gt;1," "&amp;CC16,"")&amp;IF(LEN(CD16)&gt;1,", "&amp;CD16,"")&amp;IF(LEN(CE16)&gt;1,", "&amp;CE16,"")&amp;" "</f>
        <v xml:space="preserve">| </v>
      </c>
      <c r="CG16" s="38" t="str">
        <f>"| "&amp;IF(AR16,"["&amp;B16&amp;"](/places/"&amp;SUBSTITUTE(BY16,".md","")&amp;")",B16)&amp;" "</f>
        <v xml:space="preserve">| Cortes </v>
      </c>
      <c r="CH16" s="38" t="str">
        <f>"| "&amp;IF(AR16,GetTagPage(C16,VLOOKUP(C16,'(Ref) Countries'!A:C,3,)),C16)&amp; " "</f>
        <v xml:space="preserve">| Spain </v>
      </c>
      <c r="CI16" s="38" t="str">
        <f>"| "&amp;E16&amp;" "</f>
        <v xml:space="preserve">| 1222 </v>
      </c>
      <c r="CJ16" s="38" t="str">
        <f>"|"&amp;IF(AR16," [Link](/places/"&amp;SUBSTITUTE(BY16,".md","")&amp;")","")&amp;" "</f>
        <v xml:space="preserve">| </v>
      </c>
      <c r="CK16" s="37" t="str">
        <f>"
"&amp;CG16&amp;CH16&amp;CI16&amp;CJ16&amp;BL16&amp;BQ16&amp;BR16&amp;BS16&amp;CF16&amp;"|"</f>
        <v xml:space="preserve">
| Cortes | Spain | 1222 | [Link](http://www.therealpresence.org/eucharst/misc/BVM/35_CORTES_60x96.pdf)| |</v>
      </c>
    </row>
    <row r="17" spans="1:89" x14ac:dyDescent="0.25">
      <c r="B17" s="28" t="s">
        <v>1195</v>
      </c>
      <c r="C17" s="29" t="s">
        <v>11</v>
      </c>
      <c r="E17" s="31">
        <v>1233</v>
      </c>
      <c r="J17" s="30" t="s">
        <v>1728</v>
      </c>
      <c r="K17" s="32" t="b">
        <v>1</v>
      </c>
      <c r="L17" s="30" t="b">
        <v>1</v>
      </c>
      <c r="P17" s="30" t="s">
        <v>336</v>
      </c>
      <c r="Q17" s="30" t="s">
        <v>336</v>
      </c>
      <c r="AA17" s="71" t="s">
        <v>193</v>
      </c>
      <c r="AB17" s="30" t="s">
        <v>336</v>
      </c>
      <c r="AC17" s="30" t="s">
        <v>336</v>
      </c>
      <c r="AD17" s="30" t="s">
        <v>336</v>
      </c>
      <c r="AE17" s="30" t="s">
        <v>336</v>
      </c>
      <c r="AF17" s="67" t="s">
        <v>336</v>
      </c>
      <c r="AG17" s="30" t="s">
        <v>336</v>
      </c>
      <c r="AR17" s="36" t="b">
        <f>IF(OR(A17="Done",A17="In Progress"),TRUE)</f>
        <v>0</v>
      </c>
      <c r="AS17" s="37" t="str">
        <f>"title: """&amp;H17&amp;""""</f>
        <v>title: ""</v>
      </c>
      <c r="AT17" s="37" t="str">
        <f>"location: {lat: "&amp;F17&amp;", lng: "&amp;G17&amp;"}"</f>
        <v>location: {lat: , lng: }</v>
      </c>
      <c r="AU17" s="37" t="str">
        <f>"level: "&amp;J17</f>
        <v>level: global</v>
      </c>
      <c r="AV17" s="37" t="str">
        <f>"- "&amp;VLOOKUP(C17,'(Ref) Countries'!A:C,3,)</f>
        <v>- italy</v>
      </c>
      <c r="AW17" s="37" t="str">
        <f t="shared" si="0"/>
        <v/>
      </c>
      <c r="AX17" s="37" t="str">
        <f t="shared" si="1"/>
        <v>- churches</v>
      </c>
      <c r="AY17" s="37" t="str">
        <f t="shared" si="2"/>
        <v>- marian-sites</v>
      </c>
      <c r="AZ17" s="37" t="str">
        <f t="shared" si="3"/>
        <v/>
      </c>
      <c r="BA17" s="37" t="str">
        <f t="shared" si="4"/>
        <v/>
      </c>
      <c r="BB17" s="37" t="str">
        <f t="shared" si="5"/>
        <v/>
      </c>
      <c r="BC17" s="37" t="str">
        <f t="shared" si="6"/>
        <v/>
      </c>
      <c r="BD17" s="37" t="str">
        <f t="shared" si="7"/>
        <v/>
      </c>
      <c r="BE17" s="37" t="str">
        <f t="shared" si="8"/>
        <v/>
      </c>
      <c r="BF17" s="37" t="str">
        <f t="shared" si="9"/>
        <v/>
      </c>
      <c r="BG17" s="37" t="str">
        <f t="shared" si="10"/>
        <v/>
      </c>
      <c r="BH17" s="37" t="str">
        <f t="shared" si="11"/>
        <v/>
      </c>
      <c r="BI17" s="37" t="str">
        <f t="shared" si="12"/>
        <v/>
      </c>
      <c r="BJ17" s="37" t="str">
        <f t="shared" si="13"/>
        <v/>
      </c>
      <c r="BK17" s="37" t="str">
        <f t="shared" si="14"/>
        <v xml:space="preserve">tags:
- italy_x000D_
- churches_x000D_
- marian-sites_x000D_
</v>
      </c>
      <c r="BL17" s="38" t="str">
        <f t="shared" si="15"/>
        <v/>
      </c>
      <c r="BM17" s="38" t="str">
        <f t="shared" si="16"/>
        <v/>
      </c>
      <c r="BN17" s="38" t="str">
        <f t="shared" si="17"/>
        <v/>
      </c>
      <c r="BO17" s="38" t="str">
        <f t="shared" si="18"/>
        <v/>
      </c>
      <c r="BP17" s="38" t="str">
        <f t="shared" si="19"/>
        <v/>
      </c>
      <c r="BQ17" s="38" t="str">
        <f t="shared" si="20"/>
        <v>[Link](http://www.therealpresence.org/eucharst/misc/BVM/18_FIRENZE_60x96.pdf)</v>
      </c>
      <c r="BR17" s="38" t="str">
        <f t="shared" si="21"/>
        <v/>
      </c>
      <c r="BS17" s="38" t="str">
        <f t="shared" si="22"/>
        <v/>
      </c>
      <c r="BT17" s="38" t="str">
        <f>IF(LEN(concat(BQ17:BS17))&gt;0,concat("| ",BQ17," | ",BR17," | ",BS17," |"),"")</f>
        <v>| [Link](http://www.therealpresence.org/eucharst/misc/BVM/18_FIRENZE_60x96.pdf) |  |  |</v>
      </c>
      <c r="BU17" s="37" t="str">
        <f t="shared" si="23"/>
        <v xml:space="preserve">| The Real Presence | Miracle Hunter | MaryPages |_x000D_
| --- | --- | --- |_x000D_
| [Link](http://www.therealpresence.org/eucharst/misc/BVM/18_FIRENZE_60x96.pdf) |  |  |_x000D_
</v>
      </c>
      <c r="BV17" s="37" t="str">
        <f>IF(LEN(BP17&amp;BU17)&gt;0,concatll("#### Source Material",BP17,BU17),"")</f>
        <v xml:space="preserve">#### Source Material_x000D_
_x000D_
| The Real Presence | Miracle Hunter | MaryPages |_x000D_
| --- | --- | --- |_x000D_
| [Link](http://www.therealpresence.org/eucharst/misc/BVM/18_FIRENZE_60x96.pdf) |  |  |_x000D_
_x000D_
_x000D_
</v>
      </c>
      <c r="BW17" s="37" t="str">
        <f>IF(LEN(O17)&gt;1,concatll("#### Author's Note",O17),"")</f>
        <v/>
      </c>
      <c r="BX17" s="24" t="str">
        <f>IF(AR17,concatll(concatl("---",AS17:AU17,BK17,"---"),N17,BV17:BW17),"")</f>
        <v/>
      </c>
      <c r="BY17" s="24" t="str">
        <f>IF(AR17,VLOOKUP(C17,'(Ref) Countries'!A:B,2,)&amp;IF(LEN(D17)&gt;1,"-"&amp;LOWER(SUBSTITUTE(D17," ","-")),"")&amp;"-"&amp;LOWER(SUBSTITUTE(I17," ","-"))&amp;".md","")</f>
        <v/>
      </c>
      <c r="BZ17" s="37" t="str">
        <f>IF(LEN(AG17)&gt;1,VLOOKUP(AG17,'Tag List'!$A:$B,2,),"")</f>
        <v/>
      </c>
      <c r="CA17" s="37" t="str">
        <f>IF(LEN(AH17)&gt;1,VLOOKUP(AH17,'Tag List'!$A:$B,2,),"")</f>
        <v/>
      </c>
      <c r="CB17" s="37" t="str">
        <f>IF(LEN(AI17)&gt;1,VLOOKUP(AI17,'Tag List'!$A:$B,2,),"")</f>
        <v/>
      </c>
      <c r="CC17" s="38" t="str">
        <f>IF(LEN(AG17)&gt;1,GetTagPage(BZ17,AG17),"")</f>
        <v/>
      </c>
      <c r="CD17" s="38" t="str">
        <f>IF(LEN(AH17)&gt;1,GetTagPage(CA17,AH17),"")</f>
        <v/>
      </c>
      <c r="CE17" s="38" t="str">
        <f>IF(LEN(AI17)&gt;1,GetTagPage(CB17,AI17),"")</f>
        <v/>
      </c>
      <c r="CF17" s="38" t="str">
        <f>"|"&amp;IF(LEN(CC17)&gt;1," "&amp;CC17,"")&amp;IF(LEN(CD17)&gt;1,", "&amp;CD17,"")&amp;IF(LEN(CE17)&gt;1,", "&amp;CE17,"")&amp;" "</f>
        <v xml:space="preserve">| </v>
      </c>
      <c r="CG17" s="38" t="str">
        <f>"| "&amp;IF(AR17,"["&amp;B17&amp;"](/places/"&amp;SUBSTITUTE(BY17,".md","")&amp;")",B17)&amp;" "</f>
        <v xml:space="preserve">| Florence </v>
      </c>
      <c r="CH17" s="38" t="str">
        <f>"| "&amp;IF(AR17,GetTagPage(C17,VLOOKUP(C17,'(Ref) Countries'!A:C,3,)),C17)&amp; " "</f>
        <v xml:space="preserve">| Italy </v>
      </c>
      <c r="CI17" s="38" t="str">
        <f>"| "&amp;E17&amp;" "</f>
        <v xml:space="preserve">| 1233 </v>
      </c>
      <c r="CJ17" s="38" t="str">
        <f>"|"&amp;IF(AR17," [Link](/places/"&amp;SUBSTITUTE(BY17,".md","")&amp;")","")&amp;" "</f>
        <v xml:space="preserve">| </v>
      </c>
      <c r="CK17" s="37" t="str">
        <f>"
"&amp;CG17&amp;CH17&amp;CI17&amp;CJ17&amp;BL17&amp;BQ17&amp;BR17&amp;BS17&amp;CF17&amp;"|"</f>
        <v xml:space="preserve">
| Florence | Italy | 1233 | [Link](http://www.therealpresence.org/eucharst/misc/BVM/18_FIRENZE_60x96.pdf)| |</v>
      </c>
    </row>
    <row r="18" spans="1:89" ht="25.5" x14ac:dyDescent="0.25">
      <c r="B18" s="28" t="s">
        <v>1196</v>
      </c>
      <c r="C18" s="29" t="s">
        <v>737</v>
      </c>
      <c r="E18" s="31">
        <v>1251</v>
      </c>
      <c r="J18" s="30" t="s">
        <v>1728</v>
      </c>
      <c r="K18" s="32" t="b">
        <v>1</v>
      </c>
      <c r="L18" s="30" t="b">
        <v>1</v>
      </c>
      <c r="P18" s="30" t="s">
        <v>336</v>
      </c>
      <c r="Q18" s="30" t="s">
        <v>336</v>
      </c>
      <c r="AA18" s="71" t="s">
        <v>194</v>
      </c>
      <c r="AB18" s="30" t="s">
        <v>336</v>
      </c>
      <c r="AC18" s="30" t="s">
        <v>336</v>
      </c>
      <c r="AD18" s="30" t="s">
        <v>336</v>
      </c>
      <c r="AE18" s="30" t="s">
        <v>336</v>
      </c>
      <c r="AF18" s="67" t="s">
        <v>336</v>
      </c>
      <c r="AG18" s="30" t="s">
        <v>336</v>
      </c>
      <c r="AR18" s="36" t="b">
        <f>IF(OR(A18="Done",A18="In Progress"),TRUE)</f>
        <v>0</v>
      </c>
      <c r="AS18" s="37" t="str">
        <f>"title: """&amp;H18&amp;""""</f>
        <v>title: ""</v>
      </c>
      <c r="AT18" s="37" t="str">
        <f>"location: {lat: "&amp;F18&amp;", lng: "&amp;G18&amp;"}"</f>
        <v>location: {lat: , lng: }</v>
      </c>
      <c r="AU18" s="37" t="str">
        <f>"level: "&amp;J18</f>
        <v>level: global</v>
      </c>
      <c r="AV18" s="37" t="str">
        <f>"- "&amp;VLOOKUP(C18,'(Ref) Countries'!A:C,3,)</f>
        <v>- uk</v>
      </c>
      <c r="AW18" s="37" t="str">
        <f t="shared" si="0"/>
        <v/>
      </c>
      <c r="AX18" s="37" t="str">
        <f t="shared" si="1"/>
        <v>- churches</v>
      </c>
      <c r="AY18" s="37" t="str">
        <f t="shared" si="2"/>
        <v>- marian-sites</v>
      </c>
      <c r="AZ18" s="37" t="str">
        <f t="shared" si="3"/>
        <v/>
      </c>
      <c r="BA18" s="37" t="str">
        <f t="shared" si="4"/>
        <v/>
      </c>
      <c r="BB18" s="37" t="str">
        <f t="shared" si="5"/>
        <v/>
      </c>
      <c r="BC18" s="37" t="str">
        <f t="shared" si="6"/>
        <v/>
      </c>
      <c r="BD18" s="37" t="str">
        <f t="shared" si="7"/>
        <v/>
      </c>
      <c r="BE18" s="37" t="str">
        <f t="shared" si="8"/>
        <v/>
      </c>
      <c r="BF18" s="37" t="str">
        <f t="shared" si="9"/>
        <v/>
      </c>
      <c r="BG18" s="37" t="str">
        <f t="shared" si="10"/>
        <v/>
      </c>
      <c r="BH18" s="37" t="str">
        <f t="shared" si="11"/>
        <v/>
      </c>
      <c r="BI18" s="37" t="str">
        <f t="shared" si="12"/>
        <v/>
      </c>
      <c r="BJ18" s="37" t="str">
        <f t="shared" si="13"/>
        <v/>
      </c>
      <c r="BK18" s="37" t="str">
        <f t="shared" si="14"/>
        <v xml:space="preserve">tags:
- uk_x000D_
- churches_x000D_
- marian-sites_x000D_
</v>
      </c>
      <c r="BL18" s="38" t="str">
        <f t="shared" si="15"/>
        <v/>
      </c>
      <c r="BM18" s="38" t="str">
        <f t="shared" si="16"/>
        <v/>
      </c>
      <c r="BN18" s="38" t="str">
        <f t="shared" si="17"/>
        <v/>
      </c>
      <c r="BO18" s="38" t="str">
        <f t="shared" si="18"/>
        <v/>
      </c>
      <c r="BP18" s="38" t="str">
        <f t="shared" si="19"/>
        <v/>
      </c>
      <c r="BQ18" s="38" t="str">
        <f t="shared" si="20"/>
        <v>[Link](http://www.therealpresence.org/eucharst/misc/BVM/05_AYLESFORD_60x96.pdf)</v>
      </c>
      <c r="BR18" s="38" t="str">
        <f t="shared" si="21"/>
        <v/>
      </c>
      <c r="BS18" s="38" t="str">
        <f t="shared" si="22"/>
        <v/>
      </c>
      <c r="BT18" s="38" t="str">
        <f>IF(LEN(concat(BQ18:BS18))&gt;0,concat("| ",BQ18," | ",BR18," | ",BS18," |"),"")</f>
        <v>| [Link](http://www.therealpresence.org/eucharst/misc/BVM/05_AYLESFORD_60x96.pdf) |  |  |</v>
      </c>
      <c r="BU18" s="37" t="str">
        <f t="shared" si="23"/>
        <v xml:space="preserve">| The Real Presence | Miracle Hunter | MaryPages |_x000D_
| --- | --- | --- |_x000D_
| [Link](http://www.therealpresence.org/eucharst/misc/BVM/05_AYLESFORD_60x96.pdf) |  |  |_x000D_
</v>
      </c>
      <c r="BV18" s="37" t="str">
        <f>IF(LEN(BP18&amp;BU18)&gt;0,concatll("#### Source Material",BP18,BU18),"")</f>
        <v xml:space="preserve">#### Source Material_x000D_
_x000D_
| The Real Presence | Miracle Hunter | MaryPages |_x000D_
| --- | --- | --- |_x000D_
| [Link](http://www.therealpresence.org/eucharst/misc/BVM/05_AYLESFORD_60x96.pdf) |  |  |_x000D_
_x000D_
_x000D_
</v>
      </c>
      <c r="BW18" s="37" t="str">
        <f>IF(LEN(O18)&gt;1,concatll("#### Author's Note",O18),"")</f>
        <v/>
      </c>
      <c r="BX18" s="24" t="str">
        <f>IF(AR18,concatll(concatl("---",AS18:AU18,BK18,"---"),N18,BV18:BW18),"")</f>
        <v/>
      </c>
      <c r="BY18" s="24" t="str">
        <f>IF(AR18,VLOOKUP(C18,'(Ref) Countries'!A:B,2,)&amp;IF(LEN(D18)&gt;1,"-"&amp;LOWER(SUBSTITUTE(D18," ","-")),"")&amp;"-"&amp;LOWER(SUBSTITUTE(I18," ","-"))&amp;".md","")</f>
        <v/>
      </c>
      <c r="BZ18" s="37" t="str">
        <f>IF(LEN(AG18)&gt;1,VLOOKUP(AG18,'Tag List'!$A:$B,2,),"")</f>
        <v/>
      </c>
      <c r="CA18" s="37" t="str">
        <f>IF(LEN(AH18)&gt;1,VLOOKUP(AH18,'Tag List'!$A:$B,2,),"")</f>
        <v/>
      </c>
      <c r="CB18" s="37" t="str">
        <f>IF(LEN(AI18)&gt;1,VLOOKUP(AI18,'Tag List'!$A:$B,2,),"")</f>
        <v/>
      </c>
      <c r="CC18" s="38" t="str">
        <f>IF(LEN(AG18)&gt;1,GetTagPage(BZ18,AG18),"")</f>
        <v/>
      </c>
      <c r="CD18" s="38" t="str">
        <f>IF(LEN(AH18)&gt;1,GetTagPage(CA18,AH18),"")</f>
        <v/>
      </c>
      <c r="CE18" s="38" t="str">
        <f>IF(LEN(AI18)&gt;1,GetTagPage(CB18,AI18),"")</f>
        <v/>
      </c>
      <c r="CF18" s="38" t="str">
        <f>"|"&amp;IF(LEN(CC18)&gt;1," "&amp;CC18,"")&amp;IF(LEN(CD18)&gt;1,", "&amp;CD18,"")&amp;IF(LEN(CE18)&gt;1,", "&amp;CE18,"")&amp;" "</f>
        <v xml:space="preserve">| </v>
      </c>
      <c r="CG18" s="38" t="str">
        <f>"| "&amp;IF(AR18,"["&amp;B18&amp;"](/places/"&amp;SUBSTITUTE(BY18,".md","")&amp;")",B18)&amp;" "</f>
        <v xml:space="preserve">| Aylesford </v>
      </c>
      <c r="CH18" s="38" t="str">
        <f>"| "&amp;IF(AR18,GetTagPage(C18,VLOOKUP(C18,'(Ref) Countries'!A:C,3,)),C18)&amp; " "</f>
        <v xml:space="preserve">| United Kingdom </v>
      </c>
      <c r="CI18" s="38" t="str">
        <f>"| "&amp;E18&amp;" "</f>
        <v xml:space="preserve">| 1251 </v>
      </c>
      <c r="CJ18" s="38" t="str">
        <f>"|"&amp;IF(AR18," [Link](/places/"&amp;SUBSTITUTE(BY18,".md","")&amp;")","")&amp;" "</f>
        <v xml:space="preserve">| </v>
      </c>
      <c r="CK18" s="37" t="str">
        <f>"
"&amp;CG18&amp;CH18&amp;CI18&amp;CJ18&amp;BL18&amp;BQ18&amp;BR18&amp;BS18&amp;CF18&amp;"|"</f>
        <v xml:space="preserve">
| Aylesford | United Kingdom | 1251 | [Link](http://www.therealpresence.org/eucharst/misc/BVM/05_AYLESFORD_60x96.pdf)| |</v>
      </c>
    </row>
    <row r="19" spans="1:89" x14ac:dyDescent="0.25">
      <c r="B19" s="28" t="s">
        <v>1312</v>
      </c>
      <c r="C19" s="35" t="s">
        <v>11</v>
      </c>
      <c r="D19" s="43" t="s">
        <v>1005</v>
      </c>
      <c r="E19" s="31">
        <v>1256</v>
      </c>
      <c r="J19" s="30" t="s">
        <v>1728</v>
      </c>
      <c r="K19" s="32" t="b">
        <v>1</v>
      </c>
      <c r="L19" s="30" t="b">
        <v>1</v>
      </c>
      <c r="P19" s="30" t="s">
        <v>336</v>
      </c>
      <c r="Q19" s="30" t="s">
        <v>336</v>
      </c>
      <c r="AA19" s="71" t="s">
        <v>195</v>
      </c>
      <c r="AB19" s="30" t="s">
        <v>336</v>
      </c>
      <c r="AC19" s="30" t="s">
        <v>336</v>
      </c>
      <c r="AD19" s="30" t="s">
        <v>336</v>
      </c>
      <c r="AE19" s="30" t="s">
        <v>336</v>
      </c>
      <c r="AF19" s="67" t="s">
        <v>336</v>
      </c>
      <c r="AG19" s="47"/>
      <c r="AR19" s="36" t="b">
        <f>IF(OR(A19="Done",A19="In Progress"),TRUE)</f>
        <v>0</v>
      </c>
      <c r="AS19" s="37" t="str">
        <f>"title: """&amp;H19&amp;""""</f>
        <v>title: ""</v>
      </c>
      <c r="AT19" s="37" t="str">
        <f>"location: {lat: "&amp;F19&amp;", lng: "&amp;G19&amp;"}"</f>
        <v>location: {lat: , lng: }</v>
      </c>
      <c r="AU19" s="37" t="str">
        <f>"level: "&amp;J19</f>
        <v>level: global</v>
      </c>
      <c r="AV19" s="37" t="str">
        <f>"- "&amp;VLOOKUP(C19,'(Ref) Countries'!A:C,3,)</f>
        <v>- italy</v>
      </c>
      <c r="AW19" s="37" t="str">
        <f t="shared" si="0"/>
        <v>- rome</v>
      </c>
      <c r="AX19" s="37" t="str">
        <f t="shared" si="1"/>
        <v>- churches</v>
      </c>
      <c r="AY19" s="37" t="str">
        <f t="shared" si="2"/>
        <v>- marian-sites</v>
      </c>
      <c r="AZ19" s="37" t="str">
        <f t="shared" si="3"/>
        <v/>
      </c>
      <c r="BA19" s="37" t="str">
        <f t="shared" si="4"/>
        <v/>
      </c>
      <c r="BB19" s="37" t="str">
        <f t="shared" si="5"/>
        <v/>
      </c>
      <c r="BC19" s="37" t="str">
        <f t="shared" si="6"/>
        <v/>
      </c>
      <c r="BD19" s="37" t="str">
        <f t="shared" si="7"/>
        <v/>
      </c>
      <c r="BE19" s="37" t="str">
        <f t="shared" si="8"/>
        <v/>
      </c>
      <c r="BF19" s="37" t="str">
        <f t="shared" si="9"/>
        <v/>
      </c>
      <c r="BG19" s="37" t="str">
        <f t="shared" si="10"/>
        <v/>
      </c>
      <c r="BH19" s="37" t="str">
        <f t="shared" si="11"/>
        <v/>
      </c>
      <c r="BI19" s="37" t="str">
        <f t="shared" si="12"/>
        <v/>
      </c>
      <c r="BJ19" s="37" t="str">
        <f t="shared" si="13"/>
        <v/>
      </c>
      <c r="BK19" s="37" t="str">
        <f t="shared" si="14"/>
        <v xml:space="preserve">tags:
- italy_x000D_
- rome_x000D_
- churches_x000D_
- marian-sites_x000D_
</v>
      </c>
      <c r="BL19" s="38" t="str">
        <f t="shared" si="15"/>
        <v/>
      </c>
      <c r="BM19" s="38" t="str">
        <f t="shared" si="16"/>
        <v/>
      </c>
      <c r="BN19" s="38" t="str">
        <f t="shared" si="17"/>
        <v/>
      </c>
      <c r="BO19" s="38" t="str">
        <f t="shared" si="18"/>
        <v/>
      </c>
      <c r="BP19" s="38" t="str">
        <f t="shared" si="19"/>
        <v/>
      </c>
      <c r="BQ19" s="38" t="str">
        <f t="shared" si="20"/>
        <v>[Link](http://www.therealpresence.org/eucharst/misc/BVM/133_ROMA_POZZO_60x96.pdf)</v>
      </c>
      <c r="BR19" s="38" t="str">
        <f t="shared" si="21"/>
        <v/>
      </c>
      <c r="BS19" s="38" t="str">
        <f t="shared" si="22"/>
        <v/>
      </c>
      <c r="BT19" s="38" t="str">
        <f>IF(LEN(concat(BQ19:BS19))&gt;0,concat("| ",BQ19," | ",BR19," | ",BS19," |"),"")</f>
        <v>| [Link](http://www.therealpresence.org/eucharst/misc/BVM/133_ROMA_POZZO_60x96.pdf) |  |  |</v>
      </c>
      <c r="BU19" s="37" t="str">
        <f t="shared" si="23"/>
        <v xml:space="preserve">| The Real Presence | Miracle Hunter | MaryPages |_x000D_
| --- | --- | --- |_x000D_
| [Link](http://www.therealpresence.org/eucharst/misc/BVM/133_ROMA_POZZO_60x96.pdf) |  |  |_x000D_
</v>
      </c>
      <c r="BV19" s="37" t="str">
        <f>IF(LEN(BP19&amp;BU19)&gt;0,concatll("#### Source Material",BP19,BU19),"")</f>
        <v xml:space="preserve">#### Source Material_x000D_
_x000D_
| The Real Presence | Miracle Hunter | MaryPages |_x000D_
| --- | --- | --- |_x000D_
| [Link](http://www.therealpresence.org/eucharst/misc/BVM/133_ROMA_POZZO_60x96.pdf) |  |  |_x000D_
_x000D_
_x000D_
</v>
      </c>
      <c r="BW19" s="37" t="str">
        <f>IF(LEN(O19)&gt;1,concatll("#### Author's Note",O19),"")</f>
        <v/>
      </c>
      <c r="BX19" s="24" t="str">
        <f>IF(AR19,concatll(concatl("---",AS19:AU19,BK19,"---"),N19,BV19:BW19),"")</f>
        <v/>
      </c>
      <c r="BY19" s="24" t="str">
        <f>IF(AR19,VLOOKUP(C19,'(Ref) Countries'!A:B,2,)&amp;IF(LEN(D19)&gt;1,"-"&amp;LOWER(SUBSTITUTE(D19," ","-")),"")&amp;"-"&amp;LOWER(SUBSTITUTE(I19," ","-"))&amp;".md","")</f>
        <v/>
      </c>
      <c r="BZ19" s="37" t="str">
        <f>IF(LEN(AG19)&gt;1,VLOOKUP(AG19,'Tag List'!$A:$B,2,),"")</f>
        <v/>
      </c>
      <c r="CA19" s="37" t="str">
        <f>IF(LEN(AH19)&gt;1,VLOOKUP(AH19,'Tag List'!$A:$B,2,),"")</f>
        <v/>
      </c>
      <c r="CB19" s="37" t="str">
        <f>IF(LEN(AI19)&gt;1,VLOOKUP(AI19,'Tag List'!$A:$B,2,),"")</f>
        <v/>
      </c>
      <c r="CC19" s="38" t="str">
        <f>IF(LEN(AG19)&gt;1,GetTagPage(BZ19,AG19),"")</f>
        <v/>
      </c>
      <c r="CD19" s="38" t="str">
        <f>IF(LEN(AH19)&gt;1,GetTagPage(CA19,AH19),"")</f>
        <v/>
      </c>
      <c r="CE19" s="38" t="str">
        <f>IF(LEN(AI19)&gt;1,GetTagPage(CB19,AI19),"")</f>
        <v/>
      </c>
      <c r="CF19" s="38" t="str">
        <f>"|"&amp;IF(LEN(CC19)&gt;1," "&amp;CC19,"")&amp;IF(LEN(CD19)&gt;1,", "&amp;CD19,"")&amp;IF(LEN(CE19)&gt;1,", "&amp;CE19,"")&amp;" "</f>
        <v xml:space="preserve">| </v>
      </c>
      <c r="CG19" s="38" t="str">
        <f>"| "&amp;IF(AR19,"["&amp;B19&amp;"](/places/"&amp;SUBSTITUTE(BY19,".md","")&amp;")",B19)&amp;" "</f>
        <v xml:space="preserve">| Rome (Santa Maria in Via) </v>
      </c>
      <c r="CH19" s="38" t="str">
        <f>"| "&amp;IF(AR19,GetTagPage(C19,VLOOKUP(C19,'(Ref) Countries'!A:C,3,)),C19)&amp; " "</f>
        <v xml:space="preserve">| Italy </v>
      </c>
      <c r="CI19" s="38" t="str">
        <f>"| "&amp;E19&amp;" "</f>
        <v xml:space="preserve">| 1256 </v>
      </c>
      <c r="CJ19" s="38" t="str">
        <f>"|"&amp;IF(AR19," [Link](/places/"&amp;SUBSTITUTE(BY19,".md","")&amp;")","")&amp;" "</f>
        <v xml:space="preserve">| </v>
      </c>
      <c r="CK19" s="37" t="str">
        <f>"
"&amp;CG19&amp;CH19&amp;CI19&amp;CJ19&amp;BL19&amp;BQ19&amp;BR19&amp;BS19&amp;CF19&amp;"|"</f>
        <v xml:space="preserve">
| Rome (Santa Maria in Via) | Italy | 1256 | [Link](http://www.therealpresence.org/eucharst/misc/BVM/133_ROMA_POZZO_60x96.pdf)| |</v>
      </c>
    </row>
    <row r="20" spans="1:89" x14ac:dyDescent="0.25">
      <c r="B20" s="28" t="s">
        <v>1197</v>
      </c>
      <c r="C20" s="29" t="s">
        <v>11</v>
      </c>
      <c r="E20" s="31">
        <v>1310</v>
      </c>
      <c r="J20" s="30" t="s">
        <v>1728</v>
      </c>
      <c r="K20" s="32" t="b">
        <v>1</v>
      </c>
      <c r="L20" s="30" t="b">
        <v>1</v>
      </c>
      <c r="P20" s="30" t="s">
        <v>336</v>
      </c>
      <c r="Q20" s="30" t="s">
        <v>336</v>
      </c>
      <c r="AA20" s="71" t="s">
        <v>196</v>
      </c>
      <c r="AB20" s="30" t="s">
        <v>336</v>
      </c>
      <c r="AC20" s="30" t="s">
        <v>336</v>
      </c>
      <c r="AD20" s="30" t="s">
        <v>336</v>
      </c>
      <c r="AE20" s="30" t="s">
        <v>336</v>
      </c>
      <c r="AF20" s="67" t="s">
        <v>336</v>
      </c>
      <c r="AG20" s="30" t="s">
        <v>336</v>
      </c>
      <c r="AR20" s="36" t="b">
        <f>IF(OR(A20="Done",A20="In Progress"),TRUE)</f>
        <v>0</v>
      </c>
      <c r="AS20" s="37" t="str">
        <f>"title: """&amp;H20&amp;""""</f>
        <v>title: ""</v>
      </c>
      <c r="AT20" s="37" t="str">
        <f>"location: {lat: "&amp;F20&amp;", lng: "&amp;G20&amp;"}"</f>
        <v>location: {lat: , lng: }</v>
      </c>
      <c r="AU20" s="37" t="str">
        <f>"level: "&amp;J20</f>
        <v>level: global</v>
      </c>
      <c r="AV20" s="37" t="str">
        <f>"- "&amp;VLOOKUP(C20,'(Ref) Countries'!A:C,3,)</f>
        <v>- italy</v>
      </c>
      <c r="AW20" s="37" t="str">
        <f t="shared" si="0"/>
        <v/>
      </c>
      <c r="AX20" s="37" t="str">
        <f t="shared" si="1"/>
        <v>- churches</v>
      </c>
      <c r="AY20" s="37" t="str">
        <f t="shared" si="2"/>
        <v>- marian-sites</v>
      </c>
      <c r="AZ20" s="37" t="str">
        <f t="shared" si="3"/>
        <v/>
      </c>
      <c r="BA20" s="37" t="str">
        <f t="shared" si="4"/>
        <v/>
      </c>
      <c r="BB20" s="37" t="str">
        <f t="shared" si="5"/>
        <v/>
      </c>
      <c r="BC20" s="37" t="str">
        <f t="shared" si="6"/>
        <v/>
      </c>
      <c r="BD20" s="37" t="str">
        <f t="shared" si="7"/>
        <v/>
      </c>
      <c r="BE20" s="37" t="str">
        <f t="shared" si="8"/>
        <v/>
      </c>
      <c r="BF20" s="37" t="str">
        <f t="shared" si="9"/>
        <v/>
      </c>
      <c r="BG20" s="37" t="str">
        <f t="shared" si="10"/>
        <v/>
      </c>
      <c r="BH20" s="37" t="str">
        <f t="shared" si="11"/>
        <v/>
      </c>
      <c r="BI20" s="37" t="str">
        <f t="shared" si="12"/>
        <v/>
      </c>
      <c r="BJ20" s="37" t="str">
        <f t="shared" si="13"/>
        <v/>
      </c>
      <c r="BK20" s="37" t="str">
        <f t="shared" si="14"/>
        <v xml:space="preserve">tags:
- italy_x000D_
- churches_x000D_
- marian-sites_x000D_
</v>
      </c>
      <c r="BL20" s="38" t="str">
        <f t="shared" si="15"/>
        <v/>
      </c>
      <c r="BM20" s="38" t="str">
        <f t="shared" si="16"/>
        <v/>
      </c>
      <c r="BN20" s="38" t="str">
        <f t="shared" si="17"/>
        <v/>
      </c>
      <c r="BO20" s="38" t="str">
        <f t="shared" si="18"/>
        <v/>
      </c>
      <c r="BP20" s="38" t="str">
        <f t="shared" si="19"/>
        <v/>
      </c>
      <c r="BQ20" s="38" t="str">
        <f t="shared" si="20"/>
        <v>[Link](http://www.therealpresence.org/eucharst/misc/BVM/148_LORETO_140x96.pdf)</v>
      </c>
      <c r="BR20" s="38" t="str">
        <f t="shared" si="21"/>
        <v/>
      </c>
      <c r="BS20" s="38" t="str">
        <f t="shared" si="22"/>
        <v/>
      </c>
      <c r="BT20" s="38" t="str">
        <f>IF(LEN(concat(BQ20:BS20))&gt;0,concat("| ",BQ20," | ",BR20," | ",BS20," |"),"")</f>
        <v>| [Link](http://www.therealpresence.org/eucharst/misc/BVM/148_LORETO_140x96.pdf) |  |  |</v>
      </c>
      <c r="BU20" s="37" t="str">
        <f t="shared" si="23"/>
        <v xml:space="preserve">| The Real Presence | Miracle Hunter | MaryPages |_x000D_
| --- | --- | --- |_x000D_
| [Link](http://www.therealpresence.org/eucharst/misc/BVM/148_LORETO_140x96.pdf) |  |  |_x000D_
</v>
      </c>
      <c r="BV20" s="37" t="str">
        <f>IF(LEN(BP20&amp;BU20)&gt;0,concatll("#### Source Material",BP20,BU20),"")</f>
        <v xml:space="preserve">#### Source Material_x000D_
_x000D_
| The Real Presence | Miracle Hunter | MaryPages |_x000D_
| --- | --- | --- |_x000D_
| [Link](http://www.therealpresence.org/eucharst/misc/BVM/148_LORETO_140x96.pdf) |  |  |_x000D_
_x000D_
_x000D_
</v>
      </c>
      <c r="BW20" s="37" t="str">
        <f>IF(LEN(O20)&gt;1,concatll("#### Author's Note",O20),"")</f>
        <v/>
      </c>
      <c r="BX20" s="24" t="str">
        <f>IF(AR20,concatll(concatl("---",AS20:AU20,BK20,"---"),N20,BV20:BW20),"")</f>
        <v/>
      </c>
      <c r="BY20" s="24" t="str">
        <f>IF(AR20,VLOOKUP(C20,'(Ref) Countries'!A:B,2,)&amp;IF(LEN(D20)&gt;1,"-"&amp;LOWER(SUBSTITUTE(D20," ","-")),"")&amp;"-"&amp;LOWER(SUBSTITUTE(I20," ","-"))&amp;".md","")</f>
        <v/>
      </c>
      <c r="BZ20" s="37" t="str">
        <f>IF(LEN(AG20)&gt;1,VLOOKUP(AG20,'Tag List'!$A:$B,2,),"")</f>
        <v/>
      </c>
      <c r="CA20" s="37" t="str">
        <f>IF(LEN(AH20)&gt;1,VLOOKUP(AH20,'Tag List'!$A:$B,2,),"")</f>
        <v/>
      </c>
      <c r="CB20" s="37" t="str">
        <f>IF(LEN(AI20)&gt;1,VLOOKUP(AI20,'Tag List'!$A:$B,2,),"")</f>
        <v/>
      </c>
      <c r="CC20" s="38" t="str">
        <f>IF(LEN(AG20)&gt;1,GetTagPage(BZ20,AG20),"")</f>
        <v/>
      </c>
      <c r="CD20" s="38" t="str">
        <f>IF(LEN(AH20)&gt;1,GetTagPage(CA20,AH20),"")</f>
        <v/>
      </c>
      <c r="CE20" s="38" t="str">
        <f>IF(LEN(AI20)&gt;1,GetTagPage(CB20,AI20),"")</f>
        <v/>
      </c>
      <c r="CF20" s="38" t="str">
        <f>"|"&amp;IF(LEN(CC20)&gt;1," "&amp;CC20,"")&amp;IF(LEN(CD20)&gt;1,", "&amp;CD20,"")&amp;IF(LEN(CE20)&gt;1,", "&amp;CE20,"")&amp;" "</f>
        <v xml:space="preserve">| </v>
      </c>
      <c r="CG20" s="38" t="str">
        <f>"| "&amp;IF(AR20,"["&amp;B20&amp;"](/places/"&amp;SUBSTITUTE(BY20,".md","")&amp;")",B20)&amp;" "</f>
        <v xml:space="preserve">| The Holy House of Nazareth at Loreto  </v>
      </c>
      <c r="CH20" s="38" t="str">
        <f>"| "&amp;IF(AR20,GetTagPage(C20,VLOOKUP(C20,'(Ref) Countries'!A:C,3,)),C20)&amp; " "</f>
        <v xml:space="preserve">| Italy </v>
      </c>
      <c r="CI20" s="38" t="str">
        <f>"| "&amp;E20&amp;" "</f>
        <v xml:space="preserve">| 1310 </v>
      </c>
      <c r="CJ20" s="38" t="str">
        <f>"|"&amp;IF(AR20," [Link](/places/"&amp;SUBSTITUTE(BY20,".md","")&amp;")","")&amp;" "</f>
        <v xml:space="preserve">| </v>
      </c>
      <c r="CK20" s="37" t="str">
        <f>"
"&amp;CG20&amp;CH20&amp;CI20&amp;CJ20&amp;BL20&amp;BQ20&amp;BR20&amp;BS20&amp;CF20&amp;"|"</f>
        <v xml:space="preserve">
| The Holy House of Nazareth at Loreto  | Italy | 1310 | [Link](http://www.therealpresence.org/eucharst/misc/BVM/148_LORETO_140x96.pdf)| |</v>
      </c>
    </row>
    <row r="21" spans="1:89" x14ac:dyDescent="0.25">
      <c r="B21" s="28" t="s">
        <v>1198</v>
      </c>
      <c r="C21" s="29" t="s">
        <v>11</v>
      </c>
      <c r="E21" s="31">
        <v>1336</v>
      </c>
      <c r="J21" s="30" t="s">
        <v>1728</v>
      </c>
      <c r="K21" s="32" t="b">
        <v>1</v>
      </c>
      <c r="L21" s="30" t="b">
        <v>1</v>
      </c>
      <c r="P21" s="30" t="s">
        <v>336</v>
      </c>
      <c r="Q21" s="30" t="s">
        <v>336</v>
      </c>
      <c r="AA21" s="71" t="s">
        <v>197</v>
      </c>
      <c r="AB21" s="30" t="s">
        <v>336</v>
      </c>
      <c r="AC21" s="30" t="s">
        <v>336</v>
      </c>
      <c r="AD21" s="30" t="s">
        <v>336</v>
      </c>
      <c r="AE21" s="30" t="s">
        <v>336</v>
      </c>
      <c r="AF21" s="67" t="s">
        <v>336</v>
      </c>
      <c r="AG21" s="30" t="s">
        <v>336</v>
      </c>
      <c r="AR21" s="36" t="b">
        <f>IF(OR(A21="Done",A21="In Progress"),TRUE)</f>
        <v>0</v>
      </c>
      <c r="AS21" s="37" t="str">
        <f>"title: """&amp;H21&amp;""""</f>
        <v>title: ""</v>
      </c>
      <c r="AT21" s="37" t="str">
        <f>"location: {lat: "&amp;F21&amp;", lng: "&amp;G21&amp;"}"</f>
        <v>location: {lat: , lng: }</v>
      </c>
      <c r="AU21" s="37" t="str">
        <f>"level: "&amp;J21</f>
        <v>level: global</v>
      </c>
      <c r="AV21" s="37" t="str">
        <f>"- "&amp;VLOOKUP(C21,'(Ref) Countries'!A:C,3,)</f>
        <v>- italy</v>
      </c>
      <c r="AW21" s="37" t="str">
        <f t="shared" si="0"/>
        <v/>
      </c>
      <c r="AX21" s="37" t="str">
        <f t="shared" si="1"/>
        <v>- churches</v>
      </c>
      <c r="AY21" s="37" t="str">
        <f t="shared" si="2"/>
        <v>- marian-sites</v>
      </c>
      <c r="AZ21" s="37" t="str">
        <f t="shared" si="3"/>
        <v/>
      </c>
      <c r="BA21" s="37" t="str">
        <f t="shared" si="4"/>
        <v/>
      </c>
      <c r="BB21" s="37" t="str">
        <f t="shared" si="5"/>
        <v/>
      </c>
      <c r="BC21" s="37" t="str">
        <f t="shared" si="6"/>
        <v/>
      </c>
      <c r="BD21" s="37" t="str">
        <f t="shared" si="7"/>
        <v/>
      </c>
      <c r="BE21" s="37" t="str">
        <f t="shared" si="8"/>
        <v/>
      </c>
      <c r="BF21" s="37" t="str">
        <f t="shared" si="9"/>
        <v/>
      </c>
      <c r="BG21" s="37" t="str">
        <f t="shared" si="10"/>
        <v/>
      </c>
      <c r="BH21" s="37" t="str">
        <f t="shared" si="11"/>
        <v/>
      </c>
      <c r="BI21" s="37" t="str">
        <f t="shared" si="12"/>
        <v/>
      </c>
      <c r="BJ21" s="37" t="str">
        <f t="shared" si="13"/>
        <v/>
      </c>
      <c r="BK21" s="37" t="str">
        <f t="shared" si="14"/>
        <v xml:space="preserve">tags:
- italy_x000D_
- churches_x000D_
- marian-sites_x000D_
</v>
      </c>
      <c r="BL21" s="38" t="str">
        <f t="shared" si="15"/>
        <v/>
      </c>
      <c r="BM21" s="38" t="str">
        <f t="shared" si="16"/>
        <v/>
      </c>
      <c r="BN21" s="38" t="str">
        <f t="shared" si="17"/>
        <v/>
      </c>
      <c r="BO21" s="38" t="str">
        <f t="shared" si="18"/>
        <v/>
      </c>
      <c r="BP21" s="38" t="str">
        <f t="shared" si="19"/>
        <v/>
      </c>
      <c r="BQ21" s="38" t="str">
        <f t="shared" si="20"/>
        <v>[Link](http://www.therealpresence.org/eucharst/misc/BVM/44_BRA_60x96.pdf)</v>
      </c>
      <c r="BR21" s="38" t="str">
        <f t="shared" si="21"/>
        <v/>
      </c>
      <c r="BS21" s="38" t="str">
        <f t="shared" si="22"/>
        <v/>
      </c>
      <c r="BT21" s="38" t="str">
        <f>IF(LEN(concat(BQ21:BS21))&gt;0,concat("| ",BQ21," | ",BR21," | ",BS21," |"),"")</f>
        <v>| [Link](http://www.therealpresence.org/eucharst/misc/BVM/44_BRA_60x96.pdf) |  |  |</v>
      </c>
      <c r="BU21" s="37" t="str">
        <f t="shared" si="23"/>
        <v xml:space="preserve">| The Real Presence | Miracle Hunter | MaryPages |_x000D_
| --- | --- | --- |_x000D_
| [Link](http://www.therealpresence.org/eucharst/misc/BVM/44_BRA_60x96.pdf) |  |  |_x000D_
</v>
      </c>
      <c r="BV21" s="37" t="str">
        <f>IF(LEN(BP21&amp;BU21)&gt;0,concatll("#### Source Material",BP21,BU21),"")</f>
        <v xml:space="preserve">#### Source Material_x000D_
_x000D_
| The Real Presence | Miracle Hunter | MaryPages |_x000D_
| --- | --- | --- |_x000D_
| [Link](http://www.therealpresence.org/eucharst/misc/BVM/44_BRA_60x96.pdf) |  |  |_x000D_
_x000D_
_x000D_
</v>
      </c>
      <c r="BW21" s="37" t="str">
        <f>IF(LEN(O21)&gt;1,concatll("#### Author's Note",O21),"")</f>
        <v/>
      </c>
      <c r="BX21" s="24" t="str">
        <f>IF(AR21,concatll(concatl("---",AS21:AU21,BK21,"---"),N21,BV21:BW21),"")</f>
        <v/>
      </c>
      <c r="BY21" s="24" t="str">
        <f>IF(AR21,VLOOKUP(C21,'(Ref) Countries'!A:B,2,)&amp;IF(LEN(D21)&gt;1,"-"&amp;LOWER(SUBSTITUTE(D21," ","-")),"")&amp;"-"&amp;LOWER(SUBSTITUTE(I21," ","-"))&amp;".md","")</f>
        <v/>
      </c>
      <c r="BZ21" s="37" t="str">
        <f>IF(LEN(AG21)&gt;1,VLOOKUP(AG21,'Tag List'!$A:$B,2,),"")</f>
        <v/>
      </c>
      <c r="CA21" s="37" t="str">
        <f>IF(LEN(AH21)&gt;1,VLOOKUP(AH21,'Tag List'!$A:$B,2,),"")</f>
        <v/>
      </c>
      <c r="CB21" s="37" t="str">
        <f>IF(LEN(AI21)&gt;1,VLOOKUP(AI21,'Tag List'!$A:$B,2,),"")</f>
        <v/>
      </c>
      <c r="CC21" s="38" t="str">
        <f>IF(LEN(AG21)&gt;1,GetTagPage(BZ21,AG21),"")</f>
        <v/>
      </c>
      <c r="CD21" s="38" t="str">
        <f>IF(LEN(AH21)&gt;1,GetTagPage(CA21,AH21),"")</f>
        <v/>
      </c>
      <c r="CE21" s="38" t="str">
        <f>IF(LEN(AI21)&gt;1,GetTagPage(CB21,AI21),"")</f>
        <v/>
      </c>
      <c r="CF21" s="38" t="str">
        <f>"|"&amp;IF(LEN(CC21)&gt;1," "&amp;CC21,"")&amp;IF(LEN(CD21)&gt;1,", "&amp;CD21,"")&amp;IF(LEN(CE21)&gt;1,", "&amp;CE21,"")&amp;" "</f>
        <v xml:space="preserve">| </v>
      </c>
      <c r="CG21" s="38" t="str">
        <f>"| "&amp;IF(AR21,"["&amp;B21&amp;"](/places/"&amp;SUBSTITUTE(BY21,".md","")&amp;")",B21)&amp;" "</f>
        <v xml:space="preserve">| Bra </v>
      </c>
      <c r="CH21" s="38" t="str">
        <f>"| "&amp;IF(AR21,GetTagPage(C21,VLOOKUP(C21,'(Ref) Countries'!A:C,3,)),C21)&amp; " "</f>
        <v xml:space="preserve">| Italy </v>
      </c>
      <c r="CI21" s="38" t="str">
        <f>"| "&amp;E21&amp;" "</f>
        <v xml:space="preserve">| 1336 </v>
      </c>
      <c r="CJ21" s="38" t="str">
        <f>"|"&amp;IF(AR21," [Link](/places/"&amp;SUBSTITUTE(BY21,".md","")&amp;")","")&amp;" "</f>
        <v xml:space="preserve">| </v>
      </c>
      <c r="CK21" s="37" t="str">
        <f>"
"&amp;CG21&amp;CH21&amp;CI21&amp;CJ21&amp;BL21&amp;BQ21&amp;BR21&amp;BS21&amp;CF21&amp;"|"</f>
        <v xml:space="preserve">
| Bra | Italy | 1336 | [Link](http://www.therealpresence.org/eucharst/misc/BVM/44_BRA_60x96.pdf)| |</v>
      </c>
    </row>
    <row r="22" spans="1:89" x14ac:dyDescent="0.25">
      <c r="B22" s="28" t="s">
        <v>1199</v>
      </c>
      <c r="C22" s="29" t="s">
        <v>11</v>
      </c>
      <c r="E22" s="31">
        <v>1350</v>
      </c>
      <c r="J22" s="30" t="s">
        <v>1728</v>
      </c>
      <c r="K22" s="32" t="b">
        <v>1</v>
      </c>
      <c r="L22" s="30" t="b">
        <v>1</v>
      </c>
      <c r="P22" s="30" t="s">
        <v>336</v>
      </c>
      <c r="Q22" s="30" t="s">
        <v>336</v>
      </c>
      <c r="AA22" s="71" t="s">
        <v>198</v>
      </c>
      <c r="AB22" s="30" t="s">
        <v>336</v>
      </c>
      <c r="AC22" s="30" t="s">
        <v>336</v>
      </c>
      <c r="AD22" s="30" t="s">
        <v>336</v>
      </c>
      <c r="AE22" s="30" t="s">
        <v>336</v>
      </c>
      <c r="AF22" s="67" t="s">
        <v>336</v>
      </c>
      <c r="AG22" s="30" t="s">
        <v>336</v>
      </c>
      <c r="AR22" s="36" t="b">
        <f>IF(OR(A22="Done",A22="In Progress"),TRUE)</f>
        <v>0</v>
      </c>
      <c r="AS22" s="37" t="str">
        <f>"title: """&amp;H22&amp;""""</f>
        <v>title: ""</v>
      </c>
      <c r="AT22" s="37" t="str">
        <f>"location: {lat: "&amp;F22&amp;", lng: "&amp;G22&amp;"}"</f>
        <v>location: {lat: , lng: }</v>
      </c>
      <c r="AU22" s="37" t="str">
        <f>"level: "&amp;J22</f>
        <v>level: global</v>
      </c>
      <c r="AV22" s="37" t="str">
        <f>"- "&amp;VLOOKUP(C22,'(Ref) Countries'!A:C,3,)</f>
        <v>- italy</v>
      </c>
      <c r="AW22" s="37" t="str">
        <f t="shared" si="0"/>
        <v/>
      </c>
      <c r="AX22" s="37" t="str">
        <f t="shared" si="1"/>
        <v>- churches</v>
      </c>
      <c r="AY22" s="37" t="str">
        <f t="shared" si="2"/>
        <v>- marian-sites</v>
      </c>
      <c r="AZ22" s="37" t="str">
        <f t="shared" si="3"/>
        <v/>
      </c>
      <c r="BA22" s="37" t="str">
        <f t="shared" si="4"/>
        <v/>
      </c>
      <c r="BB22" s="37" t="str">
        <f t="shared" si="5"/>
        <v/>
      </c>
      <c r="BC22" s="37" t="str">
        <f t="shared" si="6"/>
        <v/>
      </c>
      <c r="BD22" s="37" t="str">
        <f t="shared" si="7"/>
        <v/>
      </c>
      <c r="BE22" s="37" t="str">
        <f t="shared" si="8"/>
        <v/>
      </c>
      <c r="BF22" s="37" t="str">
        <f t="shared" si="9"/>
        <v/>
      </c>
      <c r="BG22" s="37" t="str">
        <f t="shared" si="10"/>
        <v/>
      </c>
      <c r="BH22" s="37" t="str">
        <f t="shared" si="11"/>
        <v/>
      </c>
      <c r="BI22" s="37" t="str">
        <f t="shared" si="12"/>
        <v/>
      </c>
      <c r="BJ22" s="37" t="str">
        <f t="shared" si="13"/>
        <v/>
      </c>
      <c r="BK22" s="37" t="str">
        <f t="shared" si="14"/>
        <v xml:space="preserve">tags:
- italy_x000D_
- churches_x000D_
- marian-sites_x000D_
</v>
      </c>
      <c r="BL22" s="38" t="str">
        <f t="shared" si="15"/>
        <v/>
      </c>
      <c r="BM22" s="38" t="str">
        <f t="shared" si="16"/>
        <v/>
      </c>
      <c r="BN22" s="38" t="str">
        <f t="shared" si="17"/>
        <v/>
      </c>
      <c r="BO22" s="38" t="str">
        <f t="shared" si="18"/>
        <v/>
      </c>
      <c r="BP22" s="38" t="str">
        <f t="shared" si="19"/>
        <v/>
      </c>
      <c r="BQ22" s="38" t="str">
        <f t="shared" si="20"/>
        <v>[Link](http://www.therealpresence.org/eucharst/misc/BVM/74_ROVERANO_60x96.pdf)</v>
      </c>
      <c r="BR22" s="38" t="str">
        <f t="shared" si="21"/>
        <v/>
      </c>
      <c r="BS22" s="38" t="str">
        <f t="shared" si="22"/>
        <v/>
      </c>
      <c r="BT22" s="38" t="str">
        <f>IF(LEN(concat(BQ22:BS22))&gt;0,concat("| ",BQ22," | ",BR22," | ",BS22," |"),"")</f>
        <v>| [Link](http://www.therealpresence.org/eucharst/misc/BVM/74_ROVERANO_60x96.pdf) |  |  |</v>
      </c>
      <c r="BU22" s="37" t="str">
        <f t="shared" si="23"/>
        <v xml:space="preserve">| The Real Presence | Miracle Hunter | MaryPages |_x000D_
| --- | --- | --- |_x000D_
| [Link](http://www.therealpresence.org/eucharst/misc/BVM/74_ROVERANO_60x96.pdf) |  |  |_x000D_
</v>
      </c>
      <c r="BV22" s="37" t="str">
        <f>IF(LEN(BP22&amp;BU22)&gt;0,concatll("#### Source Material",BP22,BU22),"")</f>
        <v xml:space="preserve">#### Source Material_x000D_
_x000D_
| The Real Presence | Miracle Hunter | MaryPages |_x000D_
| --- | --- | --- |_x000D_
| [Link](http://www.therealpresence.org/eucharst/misc/BVM/74_ROVERANO_60x96.pdf) |  |  |_x000D_
_x000D_
_x000D_
</v>
      </c>
      <c r="BW22" s="37" t="str">
        <f>IF(LEN(O22)&gt;1,concatll("#### Author's Note",O22),"")</f>
        <v/>
      </c>
      <c r="BX22" s="24" t="str">
        <f>IF(AR22,concatll(concatl("---",AS22:AU22,BK22,"---"),N22,BV22:BW22),"")</f>
        <v/>
      </c>
      <c r="BY22" s="24" t="str">
        <f>IF(AR22,VLOOKUP(C22,'(Ref) Countries'!A:B,2,)&amp;IF(LEN(D22)&gt;1,"-"&amp;LOWER(SUBSTITUTE(D22," ","-")),"")&amp;"-"&amp;LOWER(SUBSTITUTE(I22," ","-"))&amp;".md","")</f>
        <v/>
      </c>
      <c r="BZ22" s="37" t="str">
        <f>IF(LEN(AG22)&gt;1,VLOOKUP(AG22,'Tag List'!$A:$B,2,),"")</f>
        <v/>
      </c>
      <c r="CA22" s="37" t="str">
        <f>IF(LEN(AH22)&gt;1,VLOOKUP(AH22,'Tag List'!$A:$B,2,),"")</f>
        <v/>
      </c>
      <c r="CB22" s="37" t="str">
        <f>IF(LEN(AI22)&gt;1,VLOOKUP(AI22,'Tag List'!$A:$B,2,),"")</f>
        <v/>
      </c>
      <c r="CC22" s="38" t="str">
        <f>IF(LEN(AG22)&gt;1,GetTagPage(BZ22,AG22),"")</f>
        <v/>
      </c>
      <c r="CD22" s="38" t="str">
        <f>IF(LEN(AH22)&gt;1,GetTagPage(CA22,AH22),"")</f>
        <v/>
      </c>
      <c r="CE22" s="38" t="str">
        <f>IF(LEN(AI22)&gt;1,GetTagPage(CB22,AI22),"")</f>
        <v/>
      </c>
      <c r="CF22" s="38" t="str">
        <f>"|"&amp;IF(LEN(CC22)&gt;1," "&amp;CC22,"")&amp;IF(LEN(CD22)&gt;1,", "&amp;CD22,"")&amp;IF(LEN(CE22)&gt;1,", "&amp;CE22,"")&amp;" "</f>
        <v xml:space="preserve">| </v>
      </c>
      <c r="CG22" s="38" t="str">
        <f>"| "&amp;IF(AR22,"["&amp;B22&amp;"](/places/"&amp;SUBSTITUTE(BY22,".md","")&amp;")",B22)&amp;" "</f>
        <v xml:space="preserve">| Roverano </v>
      </c>
      <c r="CH22" s="38" t="str">
        <f>"| "&amp;IF(AR22,GetTagPage(C22,VLOOKUP(C22,'(Ref) Countries'!A:C,3,)),C22)&amp; " "</f>
        <v xml:space="preserve">| Italy </v>
      </c>
      <c r="CI22" s="38" t="str">
        <f>"| "&amp;E22&amp;" "</f>
        <v xml:space="preserve">| 1350 </v>
      </c>
      <c r="CJ22" s="38" t="str">
        <f>"|"&amp;IF(AR22," [Link](/places/"&amp;SUBSTITUTE(BY22,".md","")&amp;")","")&amp;" "</f>
        <v xml:space="preserve">| </v>
      </c>
      <c r="CK22" s="37" t="str">
        <f>"
"&amp;CG22&amp;CH22&amp;CI22&amp;CJ22&amp;BL22&amp;BQ22&amp;BR22&amp;BS22&amp;CF22&amp;"|"</f>
        <v xml:space="preserve">
| Roverano | Italy | 1350 | [Link](http://www.therealpresence.org/eucharst/misc/BVM/74_ROVERANO_60x96.pdf)| |</v>
      </c>
    </row>
    <row r="23" spans="1:89" ht="76.5" x14ac:dyDescent="0.25">
      <c r="A23" s="25" t="s">
        <v>1324</v>
      </c>
      <c r="B23" s="28" t="s">
        <v>1368</v>
      </c>
      <c r="C23" s="29" t="s">
        <v>11</v>
      </c>
      <c r="E23" s="31" t="s">
        <v>1315</v>
      </c>
      <c r="F23" s="71">
        <v>45.523673865207101</v>
      </c>
      <c r="G23" s="67">
        <v>10.3142692079531</v>
      </c>
      <c r="H23" s="29" t="s">
        <v>1364</v>
      </c>
      <c r="I23" s="75" t="s">
        <v>1364</v>
      </c>
      <c r="J23" s="30" t="s">
        <v>1728</v>
      </c>
      <c r="K23" s="32" t="b">
        <v>1</v>
      </c>
      <c r="L23" s="30" t="b">
        <v>1</v>
      </c>
      <c r="N23" s="29" t="s">
        <v>1365</v>
      </c>
      <c r="P23" s="30" t="s">
        <v>1369</v>
      </c>
      <c r="Q23" s="30" t="s">
        <v>336</v>
      </c>
      <c r="AA23" s="71" t="s">
        <v>199</v>
      </c>
      <c r="AB23" s="30" t="s">
        <v>336</v>
      </c>
      <c r="AC23" s="30" t="s">
        <v>1366</v>
      </c>
      <c r="AD23" s="30" t="s">
        <v>1367</v>
      </c>
      <c r="AE23" s="30" t="s">
        <v>336</v>
      </c>
      <c r="AF23" s="67" t="s">
        <v>336</v>
      </c>
      <c r="AG23" s="30" t="s">
        <v>336</v>
      </c>
      <c r="AR23" s="36" t="b">
        <f>IF(OR(A23="Done",A23="In Progress"),TRUE)</f>
        <v>1</v>
      </c>
      <c r="AS23" s="37" t="str">
        <f>"title: """&amp;H23&amp;""""</f>
        <v>title: "Sanctuary of the Our Lady of Valverde"</v>
      </c>
      <c r="AT23" s="37" t="str">
        <f>"location: {lat: "&amp;F23&amp;", lng: "&amp;G23&amp;"}"</f>
        <v>location: {lat: 45.5236738652071, lng: 10.3142692079531}</v>
      </c>
      <c r="AU23" s="37" t="str">
        <f>"level: "&amp;J23</f>
        <v>level: global</v>
      </c>
      <c r="AV23" s="37" t="str">
        <f>"- "&amp;VLOOKUP(C23,'(Ref) Countries'!A:C,3,)</f>
        <v>- italy</v>
      </c>
      <c r="AW23" s="37" t="str">
        <f t="shared" si="0"/>
        <v/>
      </c>
      <c r="AX23" s="37" t="str">
        <f t="shared" si="1"/>
        <v>- churches</v>
      </c>
      <c r="AY23" s="37" t="str">
        <f t="shared" si="2"/>
        <v>- marian-sites</v>
      </c>
      <c r="AZ23" s="37" t="str">
        <f t="shared" si="3"/>
        <v/>
      </c>
      <c r="BA23" s="37" t="str">
        <f t="shared" si="4"/>
        <v/>
      </c>
      <c r="BB23" s="37" t="str">
        <f t="shared" si="5"/>
        <v/>
      </c>
      <c r="BC23" s="37" t="str">
        <f t="shared" si="6"/>
        <v/>
      </c>
      <c r="BD23" s="37" t="str">
        <f t="shared" si="7"/>
        <v/>
      </c>
      <c r="BE23" s="37" t="str">
        <f t="shared" si="8"/>
        <v/>
      </c>
      <c r="BF23" s="37" t="str">
        <f t="shared" si="9"/>
        <v/>
      </c>
      <c r="BG23" s="37" t="str">
        <f t="shared" si="10"/>
        <v/>
      </c>
      <c r="BH23" s="37" t="str">
        <f t="shared" si="11"/>
        <v/>
      </c>
      <c r="BI23" s="37" t="str">
        <f t="shared" si="12"/>
        <v/>
      </c>
      <c r="BJ23" s="37" t="str">
        <f t="shared" si="13"/>
        <v/>
      </c>
      <c r="BK23" s="37" t="str">
        <f t="shared" si="14"/>
        <v xml:space="preserve">tags:
- italy_x000D_
- churches_x000D_
- marian-sites_x000D_
</v>
      </c>
      <c r="BL23" s="38" t="str">
        <f t="shared" si="15"/>
        <v>[Official site](https://www.uprezzatovirle.it/santuario-valverde)</v>
      </c>
      <c r="BM23" s="38" t="str">
        <f t="shared" si="16"/>
        <v/>
      </c>
      <c r="BN23" s="38" t="str">
        <f t="shared" si="17"/>
        <v/>
      </c>
      <c r="BO23" s="38" t="str">
        <f t="shared" si="18"/>
        <v/>
      </c>
      <c r="BP23" s="38" t="str">
        <f t="shared" si="19"/>
        <v xml:space="preserve">* [Official site](https://www.uprezzatovirle.it/santuario-valverde)
</v>
      </c>
      <c r="BQ23" s="38" t="str">
        <f t="shared" si="20"/>
        <v>[Link](http://www.therealpresence.org/eucharst/misc/BVM/13_VALVERDE_60x96.pdf)</v>
      </c>
      <c r="BR23" s="38" t="str">
        <f t="shared" si="21"/>
        <v>[Link](https://www.miraclehunter.com/marian_apparitions/approved_apparitions/apparitions_1700-1799.html) (Search for "Valverde")</v>
      </c>
      <c r="BS23" s="38" t="str">
        <f t="shared" si="22"/>
        <v/>
      </c>
      <c r="BT23" s="38" t="str">
        <f>IF(LEN(concat(BQ23:BS23))&gt;0,concat("| ",BQ23," | ",BR23," | ",BS23," |"),"")</f>
        <v>| [Link](http://www.therealpresence.org/eucharst/misc/BVM/13_VALVERDE_60x96.pdf) | [Link](https://www.miraclehunter.com/marian_apparitions/approved_apparitions/apparitions_1700-1799.html) (Search for "Valverde") |  |</v>
      </c>
      <c r="BU23" s="37" t="str">
        <f t="shared" si="23"/>
        <v xml:space="preserve">| The Real Presence | Miracle Hunter | MaryPages |_x000D_
| --- | --- | --- |_x000D_
| [Link](http://www.therealpresence.org/eucharst/misc/BVM/13_VALVERDE_60x96.pdf) | [Link](https://www.miraclehunter.com/marian_apparitions/approved_apparitions/apparitions_1700-1799.html) (Search for "Valverde") |  |_x000D_
</v>
      </c>
      <c r="BV23" s="37" t="str">
        <f>IF(LEN(BP23&amp;BU23)&gt;0,concatll("#### Source Material",BP23,BU23),"")</f>
        <v xml:space="preserve">#### Source Material_x000D_
_x000D_
* [Official site](https://www.uprezzatovirle.it/santuario-valverde)
_x000D_
_x000D_
| The Real Presence | Miracle Hunter | MaryPages |_x000D_
| --- | --- | --- |_x000D_
| [Link](http://www.therealpresence.org/eucharst/misc/BVM/13_VALVERDE_60x96.pdf) | [Link](https://www.miraclehunter.com/marian_apparitions/approved_apparitions/apparitions_1700-1799.html) (Search for "Valverde") |  |_x000D_
_x000D_
_x000D_
</v>
      </c>
      <c r="BW23" s="37" t="str">
        <f>IF(LEN(O23)&gt;1,concatll("#### Author's Note",O23),"")</f>
        <v/>
      </c>
      <c r="BX23" s="24" t="str">
        <f>IF(AR23,concatll(concatl("---",AS23:AU23,BK23,"---"),N23,BV23:BW23),"")</f>
        <v xml:space="preserve">---_x000D_
title: "Sanctuary of the Our Lady of Valverde"_x000D_
location: {lat: 45.5236738652071, lng: 10.3142692079531}_x000D_
level: global_x000D_
tags:
- italy_x000D_
- churches_x000D_
- marian-sites_x000D_
_x000D_
---_x000D_
_x000D_
_x000D_
The Shrine of Our Lady of Valverde dates back to 1399, when Our Lady appeared to a farmer plowing his field.  During the summer of 1711, when the province was hit by a severe epidemic, the inhabitants of Rezzato prayed to Our Lady of Valverde.  On October 1, Our Lady appeared a second time to Paul Ogna, 8, and Francesco Pelizzari, 11, who went to collect chestnuts near the Sanctuary pond.  Our Lady promised the end of the epidemic._x000D_
_x000D_
#### Source Material_x000D_
_x000D_
* [Official site](https://www.uprezzatovirle.it/santuario-valverde)
_x000D_
_x000D_
| The Real Presence | Miracle Hunter | MaryPages |_x000D_
| --- | --- | --- |_x000D_
| [Link](http://www.therealpresence.org/eucharst/misc/BVM/13_VALVERDE_60x96.pdf) | [Link](https://www.miraclehunter.com/marian_apparitions/approved_apparitions/apparitions_1700-1799.html) (Search for "Valverde") |  |_x000D_
_x000D_
_x000D_
_x000D_
_x000D_
</v>
      </c>
      <c r="BY23" s="24" t="str">
        <f>IF(AR23,VLOOKUP(C23,'(Ref) Countries'!A:B,2,)&amp;IF(LEN(D23)&gt;1,"-"&amp;LOWER(SUBSTITUTE(D23," ","-")),"")&amp;"-"&amp;LOWER(SUBSTITUTE(I23," ","-"))&amp;".md","")</f>
        <v>it-sanctuary-of-the-our-lady-of-valverde.md</v>
      </c>
      <c r="BZ23" s="37" t="str">
        <f>IF(LEN(AG23)&gt;1,VLOOKUP(AG23,'Tag List'!$A:$B,2,),"")</f>
        <v/>
      </c>
      <c r="CA23" s="37" t="str">
        <f>IF(LEN(AH23)&gt;1,VLOOKUP(AH23,'Tag List'!$A:$B,2,),"")</f>
        <v/>
      </c>
      <c r="CB23" s="37" t="str">
        <f>IF(LEN(AI23)&gt;1,VLOOKUP(AI23,'Tag List'!$A:$B,2,),"")</f>
        <v/>
      </c>
      <c r="CC23" s="38" t="str">
        <f>IF(LEN(AG23)&gt;1,GetTagPage(BZ23,AG23),"")</f>
        <v/>
      </c>
      <c r="CD23" s="38" t="str">
        <f>IF(LEN(AH23)&gt;1,GetTagPage(CA23,AH23),"")</f>
        <v/>
      </c>
      <c r="CE23" s="38" t="str">
        <f>IF(LEN(AI23)&gt;1,GetTagPage(CB23,AI23),"")</f>
        <v/>
      </c>
      <c r="CF23" s="38" t="str">
        <f>"|"&amp;IF(LEN(CC23)&gt;1," "&amp;CC23,"")&amp;IF(LEN(CD23)&gt;1,", "&amp;CD23,"")&amp;IF(LEN(CE23)&gt;1,", "&amp;CE23,"")&amp;" "</f>
        <v xml:space="preserve">| </v>
      </c>
      <c r="CG23" s="38" t="str">
        <f>"| "&amp;IF(AR23,"["&amp;B23&amp;"](/places/"&amp;SUBSTITUTE(BY23,".md","")&amp;")",B23)&amp;" "</f>
        <v xml:space="preserve">| [Valverde Di Rezzato](/places/it-sanctuary-of-the-our-lady-of-valverde) </v>
      </c>
      <c r="CH23" s="38" t="str">
        <f>"| "&amp;IF(AR23,GetTagPage(C23,VLOOKUP(C23,'(Ref) Countries'!A:C,3,)),C23)&amp; " "</f>
        <v xml:space="preserve">| [Italy](/tags/italy) </v>
      </c>
      <c r="CI23" s="38" t="str">
        <f>"| "&amp;E23&amp;" "</f>
        <v xml:space="preserve">| 1399, 1711 </v>
      </c>
      <c r="CJ23" s="38" t="str">
        <f>"|"&amp;IF(AR23," [Link](/places/"&amp;SUBSTITUTE(BY23,".md","")&amp;")","")&amp;" "</f>
        <v xml:space="preserve">| [Link](/places/it-sanctuary-of-the-our-lady-of-valverde) </v>
      </c>
      <c r="CK23" s="37" t="str">
        <f>"
"&amp;CG23&amp;CH23&amp;CI23&amp;CJ23&amp;BL23&amp;BQ23&amp;BR23&amp;BS23&amp;CF23&amp;"|"</f>
        <v xml:space="preserve">
| [Valverde Di Rezzato](/places/it-sanctuary-of-the-our-lady-of-valverde) | [Italy](/tags/italy) | 1399, 1711 | [Link](/places/it-sanctuary-of-the-our-lady-of-valverde) [Official site](https://www.uprezzatovirle.it/santuario-valverde)[Link](http://www.therealpresence.org/eucharst/misc/BVM/13_VALVERDE_60x96.pdf)[Link](https://www.miraclehunter.com/marian_apparitions/approved_apparitions/apparitions_1700-1799.html) (Search for "Valverde")| |</v>
      </c>
    </row>
    <row r="24" spans="1:89" ht="140.25" x14ac:dyDescent="0.25">
      <c r="A24" s="25" t="s">
        <v>1324</v>
      </c>
      <c r="B24" s="28" t="s">
        <v>1419</v>
      </c>
      <c r="C24" s="35" t="s">
        <v>651</v>
      </c>
      <c r="E24" s="49" t="s">
        <v>1420</v>
      </c>
      <c r="F24" s="71">
        <v>49.465129655108299</v>
      </c>
      <c r="G24" s="67">
        <v>19.982843057005098</v>
      </c>
      <c r="H24" s="35" t="s">
        <v>1421</v>
      </c>
      <c r="I24" s="75" t="s">
        <v>1421</v>
      </c>
      <c r="J24" s="30" t="s">
        <v>1728</v>
      </c>
      <c r="K24" s="32" t="b">
        <v>1</v>
      </c>
      <c r="L24" s="30" t="b">
        <v>1</v>
      </c>
      <c r="N24" s="35" t="s">
        <v>1422</v>
      </c>
      <c r="O24" s="77" t="s">
        <v>1747</v>
      </c>
      <c r="P24" s="30" t="s">
        <v>1423</v>
      </c>
      <c r="Q24" s="30" t="s">
        <v>336</v>
      </c>
      <c r="AA24" s="71" t="s">
        <v>336</v>
      </c>
      <c r="AB24" s="30" t="s">
        <v>336</v>
      </c>
      <c r="AC24" s="30" t="s">
        <v>336</v>
      </c>
      <c r="AD24" s="30" t="s">
        <v>336</v>
      </c>
      <c r="AE24" s="30" t="s">
        <v>336</v>
      </c>
      <c r="AF24" s="67" t="s">
        <v>336</v>
      </c>
      <c r="AG24" s="47" t="s">
        <v>1424</v>
      </c>
      <c r="AH24" s="47"/>
      <c r="AI24" s="47"/>
      <c r="AJ24" s="47"/>
      <c r="AK24" s="47"/>
      <c r="AL24" s="47"/>
      <c r="AM24" s="47"/>
      <c r="AN24" s="47"/>
      <c r="AO24" s="47"/>
      <c r="AP24" s="111"/>
      <c r="AR24" s="36" t="b">
        <f>IF(OR(A24="Done",A24="In Progress"),TRUE)</f>
        <v>1</v>
      </c>
      <c r="AS24" s="37" t="str">
        <f>"title: """&amp;H24&amp;""""</f>
        <v>title: "Sanctuary of Our Lady Queen of Podhale"</v>
      </c>
      <c r="AT24" s="37" t="str">
        <f>"location: {lat: "&amp;F24&amp;", lng: "&amp;G24&amp;"}"</f>
        <v>location: {lat: 49.4651296551083, lng: 19.9828430570051}</v>
      </c>
      <c r="AU24" s="37" t="str">
        <f>"level: "&amp;J24</f>
        <v>level: global</v>
      </c>
      <c r="AV24" s="37" t="str">
        <f>"- "&amp;VLOOKUP(C24,'(Ref) Countries'!A:C,3,)</f>
        <v>- poland</v>
      </c>
      <c r="AW24" s="37" t="str">
        <f t="shared" si="0"/>
        <v/>
      </c>
      <c r="AX24" s="37" t="str">
        <f t="shared" si="1"/>
        <v>- churches</v>
      </c>
      <c r="AY24" s="37" t="str">
        <f t="shared" si="2"/>
        <v>- marian-sites</v>
      </c>
      <c r="AZ24" s="37" t="str">
        <f t="shared" si="3"/>
        <v/>
      </c>
      <c r="BA24" s="37" t="str">
        <f t="shared" si="4"/>
        <v>- john-paul-ii</v>
      </c>
      <c r="BB24" s="37" t="str">
        <f t="shared" si="5"/>
        <v/>
      </c>
      <c r="BC24" s="37" t="str">
        <f t="shared" si="6"/>
        <v/>
      </c>
      <c r="BD24" s="37" t="str">
        <f t="shared" si="7"/>
        <v/>
      </c>
      <c r="BE24" s="37" t="str">
        <f t="shared" si="8"/>
        <v/>
      </c>
      <c r="BF24" s="37" t="str">
        <f t="shared" si="9"/>
        <v/>
      </c>
      <c r="BG24" s="37" t="str">
        <f t="shared" si="10"/>
        <v/>
      </c>
      <c r="BH24" s="37" t="str">
        <f t="shared" si="11"/>
        <v/>
      </c>
      <c r="BI24" s="37" t="str">
        <f t="shared" si="12"/>
        <v/>
      </c>
      <c r="BJ24" s="37" t="str">
        <f t="shared" si="13"/>
        <v/>
      </c>
      <c r="BK24" s="37" t="str">
        <f t="shared" si="14"/>
        <v xml:space="preserve">tags:
- poland_x000D_
- churches_x000D_
- marian-sites_x000D_
- john-paul-ii_x000D_
</v>
      </c>
      <c r="BL24" s="38" t="str">
        <f t="shared" si="15"/>
        <v>[Official site](ps://www.mbludzm.pl/)</v>
      </c>
      <c r="BM24" s="38" t="str">
        <f t="shared" si="16"/>
        <v/>
      </c>
      <c r="BN24" s="38" t="str">
        <f t="shared" si="17"/>
        <v/>
      </c>
      <c r="BO24" s="38" t="str">
        <f t="shared" si="18"/>
        <v/>
      </c>
      <c r="BP24" s="38" t="str">
        <f t="shared" si="19"/>
        <v xml:space="preserve">* [Official site](ps://www.mbludzm.pl/)
</v>
      </c>
      <c r="BQ24" s="38" t="str">
        <f t="shared" si="20"/>
        <v/>
      </c>
      <c r="BR24" s="38" t="str">
        <f t="shared" si="21"/>
        <v/>
      </c>
      <c r="BS24" s="38" t="str">
        <f t="shared" si="22"/>
        <v/>
      </c>
      <c r="BT24" s="38" t="str">
        <f>IF(LEN(concat(BQ24:BS24))&gt;0,concat("| ",BQ24," | ",BR24," | ",BS24," |"),"")</f>
        <v/>
      </c>
      <c r="BU24" s="37" t="str">
        <f t="shared" si="23"/>
        <v xml:space="preserve">| The Real Presence | Miracle Hunter | MaryPages |_x000D_
| --- | --- | --- |_x000D_
</v>
      </c>
      <c r="BV24" s="37" t="str">
        <f>IF(LEN(BP24&amp;BU24)&gt;0,concatll("#### Source Material",BP24,BU24),"")</f>
        <v xml:space="preserve">#### Source Material_x000D_
_x000D_
* [Official site](ps://www.mbludzm.pl/)
_x000D_
_x000D_
| The Real Presence | Miracle Hunter | MaryPages |_x000D_
| --- | --- | --- |_x000D_
_x000D_
_x000D_
</v>
      </c>
      <c r="BW24" s="37" t="str">
        <f>IF(LEN(O24)&gt;1,concatll("#### Author's Note",O24),"")</f>
        <v xml:space="preserve">#### Author's Note_x000D_
_x000D_
Some good information on [Catholic Shrine Basilica](https://catholicshrinebasilica.com/sanctuary-of-our-lady-of-ludzmierz-poland/).
-JMM_x000D_
_x000D_
</v>
      </c>
      <c r="BX24" s="24" t="str">
        <f>IF(AR24,concatll(concatl("---",AS24:AU24,BK24,"---"),N24,BV24:BW24),"")</f>
        <v xml:space="preserve">---_x000D_
title: "Sanctuary of Our Lady Queen of Podhale"_x000D_
location: {lat: 49.4651296551083, lng: 19.9828430570051}_x000D_
level: global_x000D_
tags:
- poland_x000D_
- churches_x000D_
- marian-sites_x000D_
- john-paul-ii_x000D_
_x000D_
---_x000D_
_x000D_
_x000D_
This church was originally founded in the 13th century by Cistercians from France.  According to legend, around the year 1400, a merchant lost in the nearby swamps was led to the church by a figure he discerned to be Mary.  Out of gratitude, he commissioned a statue which can be found in the church today.
A regular visitor to the shrine was Karol Wojtyła, the future Pope St. John Paul II.  In August 1963, in his capacity as Archbishop of Kraków, the statue slipped during a ceremony and the future pontiff caught the scepter which had fallen out of the statue's grasp.  This scene was interpreted by many as a prophecy of his upcoming papacy._x000D_
_x000D_
#### Source Material_x000D_
_x000D_
* [Official site](ps://www.mbludzm.pl/)
_x000D_
_x000D_
| The Real Presence | Miracle Hunter | MaryPages |_x000D_
| --- | --- | --- |_x000D_
_x000D_
_x000D_
_x000D_
_x000D_
#### Author's Note_x000D_
_x000D_
Some good information on [Catholic Shrine Basilica](https://catholicshrinebasilica.com/sanctuary-of-our-lady-of-ludzmierz-poland/).
-JMM_x000D_
_x000D_
_x000D_
_x000D_
</v>
      </c>
      <c r="BY24" s="24" t="str">
        <f>IF(AR24,VLOOKUP(C24,'(Ref) Countries'!A:B,2,)&amp;IF(LEN(D24)&gt;1,"-"&amp;LOWER(SUBSTITUTE(D24," ","-")),"")&amp;"-"&amp;LOWER(SUBSTITUTE(I24," ","-"))&amp;".md","")</f>
        <v>pl-sanctuary-of-our-lady-queen-of-podhale.md</v>
      </c>
      <c r="BZ24" s="37" t="str">
        <f>IF(LEN(AG24)&gt;1,VLOOKUP(AG24,'Tag List'!$A:$B,2,),"")</f>
        <v>Pope St. John Paul II</v>
      </c>
      <c r="CA24" s="37" t="str">
        <f>IF(LEN(AH24)&gt;1,VLOOKUP(AH24,'Tag List'!$A:$B,2,),"")</f>
        <v/>
      </c>
      <c r="CB24" s="37" t="str">
        <f>IF(LEN(AI24)&gt;1,VLOOKUP(AI24,'Tag List'!$A:$B,2,),"")</f>
        <v/>
      </c>
      <c r="CC24" s="38" t="str">
        <f>IF(LEN(AG24)&gt;1,GetTagPage(BZ24,AG24),"")</f>
        <v>[Pope St. John Paul II](/tags/john-paul-ii)</v>
      </c>
      <c r="CD24" s="38" t="str">
        <f>IF(LEN(AH24)&gt;1,GetTagPage(CA24,AH24),"")</f>
        <v/>
      </c>
      <c r="CE24" s="38" t="str">
        <f>IF(LEN(AI24)&gt;1,GetTagPage(CB24,AI24),"")</f>
        <v/>
      </c>
      <c r="CF24" s="38" t="str">
        <f>"|"&amp;IF(LEN(CC24)&gt;1," "&amp;CC24,"")&amp;IF(LEN(CD24)&gt;1,", "&amp;CD24,"")&amp;IF(LEN(CE24)&gt;1,", "&amp;CE24,"")&amp;" "</f>
        <v xml:space="preserve">| [Pope St. John Paul II](/tags/john-paul-ii) </v>
      </c>
      <c r="CG24" s="38" t="str">
        <f>"| "&amp;IF(AR24,"["&amp;B24&amp;"](/places/"&amp;SUBSTITUTE(BY24,".md","")&amp;")",B24)&amp;" "</f>
        <v xml:space="preserve">| [Ludzmierz](/places/pl-sanctuary-of-our-lady-queen-of-podhale) </v>
      </c>
      <c r="CH24" s="38" t="str">
        <f>"| "&amp;IF(AR24,GetTagPage(C24,VLOOKUP(C24,'(Ref) Countries'!A:C,3,)),C24)&amp; " "</f>
        <v xml:space="preserve">| [Poland](/tags/poland) </v>
      </c>
      <c r="CI24" s="38" t="str">
        <f>"| "&amp;E24&amp;" "</f>
        <v xml:space="preserve">| c. 1400 </v>
      </c>
      <c r="CJ24" s="38" t="str">
        <f>"|"&amp;IF(AR24," [Link](/places/"&amp;SUBSTITUTE(BY24,".md","")&amp;")","")&amp;" "</f>
        <v xml:space="preserve">| [Link](/places/pl-sanctuary-of-our-lady-queen-of-podhale) </v>
      </c>
      <c r="CK24" s="37" t="str">
        <f>"
"&amp;CG24&amp;CH24&amp;CI24&amp;CJ24&amp;BL24&amp;BQ24&amp;BR24&amp;BS24&amp;CF24&amp;"|"</f>
        <v xml:space="preserve">
| [Ludzmierz](/places/pl-sanctuary-of-our-lady-queen-of-podhale) | [Poland](/tags/poland) | c. 1400 | [Link](/places/pl-sanctuary-of-our-lady-queen-of-podhale) [Official site](ps://www.mbludzm.pl/)| [Pope St. John Paul II](/tags/john-paul-ii) |</v>
      </c>
    </row>
    <row r="25" spans="1:89" x14ac:dyDescent="0.25">
      <c r="B25" s="28" t="s">
        <v>1201</v>
      </c>
      <c r="C25" s="29" t="s">
        <v>11</v>
      </c>
      <c r="E25" s="31">
        <v>1420</v>
      </c>
      <c r="J25" s="30" t="s">
        <v>1728</v>
      </c>
      <c r="K25" s="32" t="b">
        <v>1</v>
      </c>
      <c r="L25" s="30" t="b">
        <v>1</v>
      </c>
      <c r="P25" s="30" t="s">
        <v>336</v>
      </c>
      <c r="Q25" s="30" t="s">
        <v>336</v>
      </c>
      <c r="AA25" s="71" t="s">
        <v>200</v>
      </c>
      <c r="AB25" s="30" t="s">
        <v>336</v>
      </c>
      <c r="AC25" s="30" t="s">
        <v>336</v>
      </c>
      <c r="AD25" s="30" t="s">
        <v>336</v>
      </c>
      <c r="AE25" s="30" t="s">
        <v>336</v>
      </c>
      <c r="AF25" s="67" t="s">
        <v>336</v>
      </c>
      <c r="AG25" s="30" t="s">
        <v>336</v>
      </c>
      <c r="AR25" s="36" t="b">
        <f>IF(OR(A25="Done",A25="In Progress"),TRUE)</f>
        <v>0</v>
      </c>
      <c r="AS25" s="37" t="str">
        <f>"title: """&amp;H25&amp;""""</f>
        <v>title: ""</v>
      </c>
      <c r="AT25" s="37" t="str">
        <f>"location: {lat: "&amp;F25&amp;", lng: "&amp;G25&amp;"}"</f>
        <v>location: {lat: , lng: }</v>
      </c>
      <c r="AU25" s="37" t="str">
        <f>"level: "&amp;J25</f>
        <v>level: global</v>
      </c>
      <c r="AV25" s="37" t="str">
        <f>"- "&amp;VLOOKUP(C25,'(Ref) Countries'!A:C,3,)</f>
        <v>- italy</v>
      </c>
      <c r="AW25" s="37" t="str">
        <f t="shared" si="0"/>
        <v/>
      </c>
      <c r="AX25" s="37" t="str">
        <f t="shared" si="1"/>
        <v>- churches</v>
      </c>
      <c r="AY25" s="37" t="str">
        <f t="shared" si="2"/>
        <v>- marian-sites</v>
      </c>
      <c r="AZ25" s="37" t="str">
        <f t="shared" si="3"/>
        <v/>
      </c>
      <c r="BA25" s="37" t="str">
        <f t="shared" si="4"/>
        <v/>
      </c>
      <c r="BB25" s="37" t="str">
        <f t="shared" si="5"/>
        <v/>
      </c>
      <c r="BC25" s="37" t="str">
        <f t="shared" si="6"/>
        <v/>
      </c>
      <c r="BD25" s="37" t="str">
        <f t="shared" si="7"/>
        <v/>
      </c>
      <c r="BE25" s="37" t="str">
        <f t="shared" si="8"/>
        <v/>
      </c>
      <c r="BF25" s="37" t="str">
        <f t="shared" si="9"/>
        <v/>
      </c>
      <c r="BG25" s="37" t="str">
        <f t="shared" si="10"/>
        <v/>
      </c>
      <c r="BH25" s="37" t="str">
        <f t="shared" si="11"/>
        <v/>
      </c>
      <c r="BI25" s="37" t="str">
        <f t="shared" si="12"/>
        <v/>
      </c>
      <c r="BJ25" s="37" t="str">
        <f t="shared" si="13"/>
        <v/>
      </c>
      <c r="BK25" s="37" t="str">
        <f t="shared" si="14"/>
        <v xml:space="preserve">tags:
- italy_x000D_
- churches_x000D_
- marian-sites_x000D_
</v>
      </c>
      <c r="BL25" s="38" t="str">
        <f t="shared" si="15"/>
        <v/>
      </c>
      <c r="BM25" s="38" t="str">
        <f t="shared" si="16"/>
        <v/>
      </c>
      <c r="BN25" s="38" t="str">
        <f t="shared" si="17"/>
        <v/>
      </c>
      <c r="BO25" s="38" t="str">
        <f t="shared" si="18"/>
        <v/>
      </c>
      <c r="BP25" s="38" t="str">
        <f t="shared" si="19"/>
        <v/>
      </c>
      <c r="BQ25" s="38" t="str">
        <f t="shared" si="20"/>
        <v>[Link](http://www.therealpresence.org/eucharst/misc/BVM/43_CASTEL_GODEGO_60x96.pdf)</v>
      </c>
      <c r="BR25" s="38" t="str">
        <f t="shared" si="21"/>
        <v/>
      </c>
      <c r="BS25" s="38" t="str">
        <f t="shared" si="22"/>
        <v/>
      </c>
      <c r="BT25" s="38" t="str">
        <f>IF(LEN(concat(BQ25:BS25))&gt;0,concat("| ",BQ25," | ",BR25," | ",BS25," |"),"")</f>
        <v>| [Link](http://www.therealpresence.org/eucharst/misc/BVM/43_CASTEL_GODEGO_60x96.pdf) |  |  |</v>
      </c>
      <c r="BU25" s="37" t="str">
        <f t="shared" si="23"/>
        <v xml:space="preserve">| The Real Presence | Miracle Hunter | MaryPages |_x000D_
| --- | --- | --- |_x000D_
| [Link](http://www.therealpresence.org/eucharst/misc/BVM/43_CASTEL_GODEGO_60x96.pdf) |  |  |_x000D_
</v>
      </c>
      <c r="BV25" s="37" t="str">
        <f>IF(LEN(BP25&amp;BU25)&gt;0,concatll("#### Source Material",BP25,BU25),"")</f>
        <v xml:space="preserve">#### Source Material_x000D_
_x000D_
| The Real Presence | Miracle Hunter | MaryPages |_x000D_
| --- | --- | --- |_x000D_
| [Link](http://www.therealpresence.org/eucharst/misc/BVM/43_CASTEL_GODEGO_60x96.pdf) |  |  |_x000D_
_x000D_
_x000D_
</v>
      </c>
      <c r="BW25" s="37" t="str">
        <f>IF(LEN(O25)&gt;1,concatll("#### Author's Note",O25),"")</f>
        <v/>
      </c>
      <c r="BX25" s="24" t="str">
        <f>IF(AR25,concatll(concatl("---",AS25:AU25,BK25,"---"),N25,BV25:BW25),"")</f>
        <v/>
      </c>
      <c r="BY25" s="24" t="str">
        <f>IF(AR25,VLOOKUP(C25,'(Ref) Countries'!A:B,2,)&amp;IF(LEN(D25)&gt;1,"-"&amp;LOWER(SUBSTITUTE(D25," ","-")),"")&amp;"-"&amp;LOWER(SUBSTITUTE(I25," ","-"))&amp;".md","")</f>
        <v/>
      </c>
      <c r="BZ25" s="37" t="str">
        <f>IF(LEN(AG25)&gt;1,VLOOKUP(AG25,'Tag List'!$A:$B,2,),"")</f>
        <v/>
      </c>
      <c r="CA25" s="37" t="str">
        <f>IF(LEN(AH25)&gt;1,VLOOKUP(AH25,'Tag List'!$A:$B,2,),"")</f>
        <v/>
      </c>
      <c r="CB25" s="37" t="str">
        <f>IF(LEN(AI25)&gt;1,VLOOKUP(AI25,'Tag List'!$A:$B,2,),"")</f>
        <v/>
      </c>
      <c r="CC25" s="38" t="str">
        <f>IF(LEN(AG25)&gt;1,GetTagPage(BZ25,AG25),"")</f>
        <v/>
      </c>
      <c r="CD25" s="38" t="str">
        <f>IF(LEN(AH25)&gt;1,GetTagPage(CA25,AH25),"")</f>
        <v/>
      </c>
      <c r="CE25" s="38" t="str">
        <f>IF(LEN(AI25)&gt;1,GetTagPage(CB25,AI25),"")</f>
        <v/>
      </c>
      <c r="CF25" s="38" t="str">
        <f>"|"&amp;IF(LEN(CC25)&gt;1," "&amp;CC25,"")&amp;IF(LEN(CD25)&gt;1,", "&amp;CD25,"")&amp;IF(LEN(CE25)&gt;1,", "&amp;CE25,"")&amp;" "</f>
        <v xml:space="preserve">| </v>
      </c>
      <c r="CG25" s="38" t="str">
        <f>"| "&amp;IF(AR25,"["&amp;B25&amp;"](/places/"&amp;SUBSTITUTE(BY25,".md","")&amp;")",B25)&amp;" "</f>
        <v xml:space="preserve">| Castel Godego </v>
      </c>
      <c r="CH25" s="38" t="str">
        <f>"| "&amp;IF(AR25,GetTagPage(C25,VLOOKUP(C25,'(Ref) Countries'!A:C,3,)),C25)&amp; " "</f>
        <v xml:space="preserve">| Italy </v>
      </c>
      <c r="CI25" s="38" t="str">
        <f>"| "&amp;E25&amp;" "</f>
        <v xml:space="preserve">| 1420 </v>
      </c>
      <c r="CJ25" s="38" t="str">
        <f>"|"&amp;IF(AR25," [Link](/places/"&amp;SUBSTITUTE(BY25,".md","")&amp;")","")&amp;" "</f>
        <v xml:space="preserve">| </v>
      </c>
      <c r="CK25" s="37" t="str">
        <f>"
"&amp;CG25&amp;CH25&amp;CI25&amp;CJ25&amp;BL25&amp;BQ25&amp;BR25&amp;BS25&amp;CF25&amp;"|"</f>
        <v xml:space="preserve">
| Castel Godego | Italy | 1420 | [Link](http://www.therealpresence.org/eucharst/misc/BVM/43_CASTEL_GODEGO_60x96.pdf)| |</v>
      </c>
    </row>
    <row r="26" spans="1:89" x14ac:dyDescent="0.25">
      <c r="B26" s="28" t="s">
        <v>1202</v>
      </c>
      <c r="C26" s="29" t="s">
        <v>552</v>
      </c>
      <c r="E26" s="31">
        <v>1420</v>
      </c>
      <c r="J26" s="30" t="s">
        <v>1728</v>
      </c>
      <c r="K26" s="32" t="b">
        <v>1</v>
      </c>
      <c r="L26" s="30" t="b">
        <v>1</v>
      </c>
      <c r="P26" s="30" t="s">
        <v>336</v>
      </c>
      <c r="Q26" s="30" t="s">
        <v>336</v>
      </c>
      <c r="AA26" s="71" t="s">
        <v>201</v>
      </c>
      <c r="AB26" s="30" t="s">
        <v>336</v>
      </c>
      <c r="AC26" s="30" t="s">
        <v>336</v>
      </c>
      <c r="AD26" s="30" t="s">
        <v>336</v>
      </c>
      <c r="AE26" s="30" t="s">
        <v>336</v>
      </c>
      <c r="AF26" s="67" t="s">
        <v>336</v>
      </c>
      <c r="AG26" s="30" t="s">
        <v>336</v>
      </c>
      <c r="AR26" s="36" t="b">
        <f>IF(OR(A26="Done",A26="In Progress"),TRUE)</f>
        <v>0</v>
      </c>
      <c r="AS26" s="37" t="str">
        <f>"title: """&amp;H26&amp;""""</f>
        <v>title: ""</v>
      </c>
      <c r="AT26" s="37" t="str">
        <f>"location: {lat: "&amp;F26&amp;", lng: "&amp;G26&amp;"}"</f>
        <v>location: {lat: , lng: }</v>
      </c>
      <c r="AU26" s="37" t="str">
        <f>"level: "&amp;J26</f>
        <v>level: global</v>
      </c>
      <c r="AV26" s="37" t="str">
        <f>"- "&amp;VLOOKUP(C26,'(Ref) Countries'!A:C,3,)</f>
        <v>- spain</v>
      </c>
      <c r="AW26" s="37" t="str">
        <f t="shared" si="0"/>
        <v/>
      </c>
      <c r="AX26" s="37" t="str">
        <f t="shared" si="1"/>
        <v>- churches</v>
      </c>
      <c r="AY26" s="37" t="str">
        <f t="shared" si="2"/>
        <v>- marian-sites</v>
      </c>
      <c r="AZ26" s="37" t="str">
        <f t="shared" si="3"/>
        <v/>
      </c>
      <c r="BA26" s="37" t="str">
        <f t="shared" si="4"/>
        <v/>
      </c>
      <c r="BB26" s="37" t="str">
        <f t="shared" si="5"/>
        <v/>
      </c>
      <c r="BC26" s="37" t="str">
        <f t="shared" si="6"/>
        <v/>
      </c>
      <c r="BD26" s="37" t="str">
        <f t="shared" si="7"/>
        <v/>
      </c>
      <c r="BE26" s="37" t="str">
        <f t="shared" si="8"/>
        <v/>
      </c>
      <c r="BF26" s="37" t="str">
        <f t="shared" si="9"/>
        <v/>
      </c>
      <c r="BG26" s="37" t="str">
        <f t="shared" si="10"/>
        <v/>
      </c>
      <c r="BH26" s="37" t="str">
        <f t="shared" si="11"/>
        <v/>
      </c>
      <c r="BI26" s="37" t="str">
        <f t="shared" si="12"/>
        <v/>
      </c>
      <c r="BJ26" s="37" t="str">
        <f t="shared" si="13"/>
        <v/>
      </c>
      <c r="BK26" s="37" t="str">
        <f t="shared" si="14"/>
        <v xml:space="preserve">tags:
- spain_x000D_
- churches_x000D_
- marian-sites_x000D_
</v>
      </c>
      <c r="BL26" s="38" t="str">
        <f t="shared" si="15"/>
        <v/>
      </c>
      <c r="BM26" s="38" t="str">
        <f t="shared" si="16"/>
        <v/>
      </c>
      <c r="BN26" s="38" t="str">
        <f t="shared" si="17"/>
        <v/>
      </c>
      <c r="BO26" s="38" t="str">
        <f t="shared" si="18"/>
        <v/>
      </c>
      <c r="BP26" s="38" t="str">
        <f t="shared" si="19"/>
        <v/>
      </c>
      <c r="BQ26" s="38" t="str">
        <f t="shared" si="20"/>
        <v>[Link](http://www.therealpresence.org/eucharst/misc/BVM/100_CORDOBA_60x96.pdf)</v>
      </c>
      <c r="BR26" s="38" t="str">
        <f t="shared" si="21"/>
        <v/>
      </c>
      <c r="BS26" s="38" t="str">
        <f t="shared" si="22"/>
        <v/>
      </c>
      <c r="BT26" s="38" t="str">
        <f>IF(LEN(concat(BQ26:BS26))&gt;0,concat("| ",BQ26," | ",BR26," | ",BS26," |"),"")</f>
        <v>| [Link](http://www.therealpresence.org/eucharst/misc/BVM/100_CORDOBA_60x96.pdf) |  |  |</v>
      </c>
      <c r="BU26" s="37" t="str">
        <f t="shared" si="23"/>
        <v xml:space="preserve">| The Real Presence | Miracle Hunter | MaryPages |_x000D_
| --- | --- | --- |_x000D_
| [Link](http://www.therealpresence.org/eucharst/misc/BVM/100_CORDOBA_60x96.pdf) |  |  |_x000D_
</v>
      </c>
      <c r="BV26" s="37" t="str">
        <f>IF(LEN(BP26&amp;BU26)&gt;0,concatll("#### Source Material",BP26,BU26),"")</f>
        <v xml:space="preserve">#### Source Material_x000D_
_x000D_
| The Real Presence | Miracle Hunter | MaryPages |_x000D_
| --- | --- | --- |_x000D_
| [Link](http://www.therealpresence.org/eucharst/misc/BVM/100_CORDOBA_60x96.pdf) |  |  |_x000D_
_x000D_
_x000D_
</v>
      </c>
      <c r="BW26" s="37" t="str">
        <f>IF(LEN(O26)&gt;1,concatll("#### Author's Note",O26),"")</f>
        <v/>
      </c>
      <c r="BX26" s="24" t="str">
        <f>IF(AR26,concatll(concatl("---",AS26:AU26,BK26,"---"),N26,BV26:BW26),"")</f>
        <v/>
      </c>
      <c r="BY26" s="24" t="str">
        <f>IF(AR26,VLOOKUP(C26,'(Ref) Countries'!A:B,2,)&amp;IF(LEN(D26)&gt;1,"-"&amp;LOWER(SUBSTITUTE(D26," ","-")),"")&amp;"-"&amp;LOWER(SUBSTITUTE(I26," ","-"))&amp;".md","")</f>
        <v/>
      </c>
      <c r="BZ26" s="37" t="str">
        <f>IF(LEN(AG26)&gt;1,VLOOKUP(AG26,'Tag List'!$A:$B,2,),"")</f>
        <v/>
      </c>
      <c r="CA26" s="37" t="str">
        <f>IF(LEN(AH26)&gt;1,VLOOKUP(AH26,'Tag List'!$A:$B,2,),"")</f>
        <v/>
      </c>
      <c r="CB26" s="37" t="str">
        <f>IF(LEN(AI26)&gt;1,VLOOKUP(AI26,'Tag List'!$A:$B,2,),"")</f>
        <v/>
      </c>
      <c r="CC26" s="38" t="str">
        <f>IF(LEN(AG26)&gt;1,GetTagPage(BZ26,AG26),"")</f>
        <v/>
      </c>
      <c r="CD26" s="38" t="str">
        <f>IF(LEN(AH26)&gt;1,GetTagPage(CA26,AH26),"")</f>
        <v/>
      </c>
      <c r="CE26" s="38" t="str">
        <f>IF(LEN(AI26)&gt;1,GetTagPage(CB26,AI26),"")</f>
        <v/>
      </c>
      <c r="CF26" s="38" t="str">
        <f>"|"&amp;IF(LEN(CC26)&gt;1," "&amp;CC26,"")&amp;IF(LEN(CD26)&gt;1,", "&amp;CD26,"")&amp;IF(LEN(CE26)&gt;1,", "&amp;CE26,"")&amp;" "</f>
        <v xml:space="preserve">| </v>
      </c>
      <c r="CG26" s="38" t="str">
        <f>"| "&amp;IF(AR26,"["&amp;B26&amp;"](/places/"&amp;SUBSTITUTE(BY26,".md","")&amp;")",B26)&amp;" "</f>
        <v xml:space="preserve">| Cordoba </v>
      </c>
      <c r="CH26" s="38" t="str">
        <f>"| "&amp;IF(AR26,GetTagPage(C26,VLOOKUP(C26,'(Ref) Countries'!A:C,3,)),C26)&amp; " "</f>
        <v xml:space="preserve">| Spain </v>
      </c>
      <c r="CI26" s="38" t="str">
        <f>"| "&amp;E26&amp;" "</f>
        <v xml:space="preserve">| 1420 </v>
      </c>
      <c r="CJ26" s="38" t="str">
        <f>"|"&amp;IF(AR26," [Link](/places/"&amp;SUBSTITUTE(BY26,".md","")&amp;")","")&amp;" "</f>
        <v xml:space="preserve">| </v>
      </c>
      <c r="CK26" s="37" t="str">
        <f>"
"&amp;CG26&amp;CH26&amp;CI26&amp;CJ26&amp;BL26&amp;BQ26&amp;BR26&amp;BS26&amp;CF26&amp;"|"</f>
        <v xml:space="preserve">
| Cordoba | Spain | 1420 | [Link](http://www.therealpresence.org/eucharst/misc/BVM/100_CORDOBA_60x96.pdf)| |</v>
      </c>
    </row>
    <row r="27" spans="1:89" x14ac:dyDescent="0.25">
      <c r="B27" s="28" t="s">
        <v>1203</v>
      </c>
      <c r="C27" s="29" t="s">
        <v>11</v>
      </c>
      <c r="E27" s="31" t="s">
        <v>1083</v>
      </c>
      <c r="J27" s="30" t="s">
        <v>1728</v>
      </c>
      <c r="K27" s="32" t="b">
        <v>1</v>
      </c>
      <c r="L27" s="30" t="b">
        <v>1</v>
      </c>
      <c r="P27" s="30" t="s">
        <v>336</v>
      </c>
      <c r="Q27" s="30" t="s">
        <v>336</v>
      </c>
      <c r="AA27" s="71" t="s">
        <v>202</v>
      </c>
      <c r="AB27" s="30" t="s">
        <v>336</v>
      </c>
      <c r="AC27" s="30" t="s">
        <v>336</v>
      </c>
      <c r="AD27" s="30" t="s">
        <v>336</v>
      </c>
      <c r="AE27" s="30" t="s">
        <v>336</v>
      </c>
      <c r="AF27" s="67" t="s">
        <v>336</v>
      </c>
      <c r="AG27" s="30" t="s">
        <v>336</v>
      </c>
      <c r="AR27" s="36" t="b">
        <f>IF(OR(A27="Done",A27="In Progress"),TRUE)</f>
        <v>0</v>
      </c>
      <c r="AS27" s="37" t="str">
        <f>"title: """&amp;H27&amp;""""</f>
        <v>title: ""</v>
      </c>
      <c r="AT27" s="37" t="str">
        <f>"location: {lat: "&amp;F27&amp;", lng: "&amp;G27&amp;"}"</f>
        <v>location: {lat: , lng: }</v>
      </c>
      <c r="AU27" s="37" t="str">
        <f>"level: "&amp;J27</f>
        <v>level: global</v>
      </c>
      <c r="AV27" s="37" t="str">
        <f>"- "&amp;VLOOKUP(C27,'(Ref) Countries'!A:C,3,)</f>
        <v>- italy</v>
      </c>
      <c r="AW27" s="37" t="str">
        <f t="shared" si="0"/>
        <v/>
      </c>
      <c r="AX27" s="37" t="str">
        <f t="shared" si="1"/>
        <v>- churches</v>
      </c>
      <c r="AY27" s="37" t="str">
        <f t="shared" si="2"/>
        <v>- marian-sites</v>
      </c>
      <c r="AZ27" s="37" t="str">
        <f t="shared" si="3"/>
        <v/>
      </c>
      <c r="BA27" s="37" t="str">
        <f t="shared" si="4"/>
        <v/>
      </c>
      <c r="BB27" s="37" t="str">
        <f t="shared" si="5"/>
        <v/>
      </c>
      <c r="BC27" s="37" t="str">
        <f t="shared" si="6"/>
        <v/>
      </c>
      <c r="BD27" s="37" t="str">
        <f t="shared" si="7"/>
        <v/>
      </c>
      <c r="BE27" s="37" t="str">
        <f t="shared" si="8"/>
        <v/>
      </c>
      <c r="BF27" s="37" t="str">
        <f t="shared" si="9"/>
        <v/>
      </c>
      <c r="BG27" s="37" t="str">
        <f t="shared" si="10"/>
        <v/>
      </c>
      <c r="BH27" s="37" t="str">
        <f t="shared" si="11"/>
        <v/>
      </c>
      <c r="BI27" s="37" t="str">
        <f t="shared" si="12"/>
        <v/>
      </c>
      <c r="BJ27" s="37" t="str">
        <f t="shared" si="13"/>
        <v/>
      </c>
      <c r="BK27" s="37" t="str">
        <f t="shared" si="14"/>
        <v xml:space="preserve">tags:
- italy_x000D_
- churches_x000D_
- marian-sites_x000D_
</v>
      </c>
      <c r="BL27" s="38" t="str">
        <f t="shared" si="15"/>
        <v/>
      </c>
      <c r="BM27" s="38" t="str">
        <f t="shared" si="16"/>
        <v/>
      </c>
      <c r="BN27" s="38" t="str">
        <f t="shared" si="17"/>
        <v/>
      </c>
      <c r="BO27" s="38" t="str">
        <f t="shared" si="18"/>
        <v/>
      </c>
      <c r="BP27" s="38" t="str">
        <f t="shared" si="19"/>
        <v/>
      </c>
      <c r="BQ27" s="38" t="str">
        <f t="shared" si="20"/>
        <v>[Link](http://www.therealpresence.org/eucharst/misc/BVM/58_MONTE_BERICO_60x96.pdf)</v>
      </c>
      <c r="BR27" s="38" t="str">
        <f t="shared" si="21"/>
        <v/>
      </c>
      <c r="BS27" s="38" t="str">
        <f t="shared" si="22"/>
        <v/>
      </c>
      <c r="BT27" s="38" t="str">
        <f>IF(LEN(concat(BQ27:BS27))&gt;0,concat("| ",BQ27," | ",BR27," | ",BS27," |"),"")</f>
        <v>| [Link](http://www.therealpresence.org/eucharst/misc/BVM/58_MONTE_BERICO_60x96.pdf) |  |  |</v>
      </c>
      <c r="BU27" s="37" t="str">
        <f t="shared" si="23"/>
        <v xml:space="preserve">| The Real Presence | Miracle Hunter | MaryPages |_x000D_
| --- | --- | --- |_x000D_
| [Link](http://www.therealpresence.org/eucharst/misc/BVM/58_MONTE_BERICO_60x96.pdf) |  |  |_x000D_
</v>
      </c>
      <c r="BV27" s="37" t="str">
        <f>IF(LEN(BP27&amp;BU27)&gt;0,concatll("#### Source Material",BP27,BU27),"")</f>
        <v xml:space="preserve">#### Source Material_x000D_
_x000D_
| The Real Presence | Miracle Hunter | MaryPages |_x000D_
| --- | --- | --- |_x000D_
| [Link](http://www.therealpresence.org/eucharst/misc/BVM/58_MONTE_BERICO_60x96.pdf) |  |  |_x000D_
_x000D_
_x000D_
</v>
      </c>
      <c r="BW27" s="37" t="str">
        <f>IF(LEN(O27)&gt;1,concatll("#### Author's Note",O27),"")</f>
        <v/>
      </c>
      <c r="BX27" s="24" t="str">
        <f>IF(AR27,concatll(concatl("---",AS27:AU27,BK27,"---"),N27,BV27:BW27),"")</f>
        <v/>
      </c>
      <c r="BY27" s="24" t="str">
        <f>IF(AR27,VLOOKUP(C27,'(Ref) Countries'!A:B,2,)&amp;IF(LEN(D27)&gt;1,"-"&amp;LOWER(SUBSTITUTE(D27," ","-")),"")&amp;"-"&amp;LOWER(SUBSTITUTE(I27," ","-"))&amp;".md","")</f>
        <v/>
      </c>
      <c r="BZ27" s="37" t="str">
        <f>IF(LEN(AG27)&gt;1,VLOOKUP(AG27,'Tag List'!$A:$B,2,),"")</f>
        <v/>
      </c>
      <c r="CA27" s="37" t="str">
        <f>IF(LEN(AH27)&gt;1,VLOOKUP(AH27,'Tag List'!$A:$B,2,),"")</f>
        <v/>
      </c>
      <c r="CB27" s="37" t="str">
        <f>IF(LEN(AI27)&gt;1,VLOOKUP(AI27,'Tag List'!$A:$B,2,),"")</f>
        <v/>
      </c>
      <c r="CC27" s="38" t="str">
        <f>IF(LEN(AG27)&gt;1,GetTagPage(BZ27,AG27),"")</f>
        <v/>
      </c>
      <c r="CD27" s="38" t="str">
        <f>IF(LEN(AH27)&gt;1,GetTagPage(CA27,AH27),"")</f>
        <v/>
      </c>
      <c r="CE27" s="38" t="str">
        <f>IF(LEN(AI27)&gt;1,GetTagPage(CB27,AI27),"")</f>
        <v/>
      </c>
      <c r="CF27" s="38" t="str">
        <f>"|"&amp;IF(LEN(CC27)&gt;1," "&amp;CC27,"")&amp;IF(LEN(CD27)&gt;1,", "&amp;CD27,"")&amp;IF(LEN(CE27)&gt;1,", "&amp;CE27,"")&amp;" "</f>
        <v xml:space="preserve">| </v>
      </c>
      <c r="CG27" s="38" t="str">
        <f>"| "&amp;IF(AR27,"["&amp;B27&amp;"](/places/"&amp;SUBSTITUTE(BY27,".md","")&amp;")",B27)&amp;" "</f>
        <v xml:space="preserve">| Monte Berico </v>
      </c>
      <c r="CH27" s="38" t="str">
        <f>"| "&amp;IF(AR27,GetTagPage(C27,VLOOKUP(C27,'(Ref) Countries'!A:C,3,)),C27)&amp; " "</f>
        <v xml:space="preserve">| Italy </v>
      </c>
      <c r="CI27" s="38" t="str">
        <f>"| "&amp;E27&amp;" "</f>
        <v xml:space="preserve">| 1426-1428 </v>
      </c>
      <c r="CJ27" s="38" t="str">
        <f>"|"&amp;IF(AR27," [Link](/places/"&amp;SUBSTITUTE(BY27,".md","")&amp;")","")&amp;" "</f>
        <v xml:space="preserve">| </v>
      </c>
      <c r="CK27" s="37" t="str">
        <f>"
"&amp;CG27&amp;CH27&amp;CI27&amp;CJ27&amp;BL27&amp;BQ27&amp;BR27&amp;BS27&amp;CF27&amp;"|"</f>
        <v xml:space="preserve">
| Monte Berico | Italy | 1426-1428 | [Link](http://www.therealpresence.org/eucharst/misc/BVM/58_MONTE_BERICO_60x96.pdf)| |</v>
      </c>
    </row>
    <row r="28" spans="1:89" x14ac:dyDescent="0.25">
      <c r="B28" s="28" t="s">
        <v>1204</v>
      </c>
      <c r="C28" s="29" t="s">
        <v>11</v>
      </c>
      <c r="E28" s="31">
        <v>1432</v>
      </c>
      <c r="J28" s="30" t="s">
        <v>1728</v>
      </c>
      <c r="K28" s="32" t="b">
        <v>1</v>
      </c>
      <c r="L28" s="30" t="b">
        <v>1</v>
      </c>
      <c r="P28" s="30" t="s">
        <v>336</v>
      </c>
      <c r="Q28" s="30" t="s">
        <v>336</v>
      </c>
      <c r="AA28" s="71" t="s">
        <v>203</v>
      </c>
      <c r="AB28" s="30" t="s">
        <v>336</v>
      </c>
      <c r="AC28" s="30" t="s">
        <v>336</v>
      </c>
      <c r="AD28" s="30" t="s">
        <v>336</v>
      </c>
      <c r="AE28" s="30" t="s">
        <v>336</v>
      </c>
      <c r="AF28" s="67" t="s">
        <v>336</v>
      </c>
      <c r="AG28" s="30" t="s">
        <v>336</v>
      </c>
      <c r="AR28" s="36" t="b">
        <f>IF(OR(A28="Done",A28="In Progress"),TRUE)</f>
        <v>0</v>
      </c>
      <c r="AS28" s="37" t="str">
        <f>"title: """&amp;H28&amp;""""</f>
        <v>title: ""</v>
      </c>
      <c r="AT28" s="37" t="str">
        <f>"location: {lat: "&amp;F28&amp;", lng: "&amp;G28&amp;"}"</f>
        <v>location: {lat: , lng: }</v>
      </c>
      <c r="AU28" s="37" t="str">
        <f>"level: "&amp;J28</f>
        <v>level: global</v>
      </c>
      <c r="AV28" s="37" t="str">
        <f>"- "&amp;VLOOKUP(C28,'(Ref) Countries'!A:C,3,)</f>
        <v>- italy</v>
      </c>
      <c r="AW28" s="37" t="str">
        <f t="shared" si="0"/>
        <v/>
      </c>
      <c r="AX28" s="37" t="str">
        <f t="shared" si="1"/>
        <v>- churches</v>
      </c>
      <c r="AY28" s="37" t="str">
        <f t="shared" si="2"/>
        <v>- marian-sites</v>
      </c>
      <c r="AZ28" s="37" t="str">
        <f t="shared" si="3"/>
        <v/>
      </c>
      <c r="BA28" s="37" t="str">
        <f t="shared" si="4"/>
        <v/>
      </c>
      <c r="BB28" s="37" t="str">
        <f t="shared" si="5"/>
        <v/>
      </c>
      <c r="BC28" s="37" t="str">
        <f t="shared" si="6"/>
        <v/>
      </c>
      <c r="BD28" s="37" t="str">
        <f t="shared" si="7"/>
        <v/>
      </c>
      <c r="BE28" s="37" t="str">
        <f t="shared" si="8"/>
        <v/>
      </c>
      <c r="BF28" s="37" t="str">
        <f t="shared" si="9"/>
        <v/>
      </c>
      <c r="BG28" s="37" t="str">
        <f t="shared" si="10"/>
        <v/>
      </c>
      <c r="BH28" s="37" t="str">
        <f t="shared" si="11"/>
        <v/>
      </c>
      <c r="BI28" s="37" t="str">
        <f t="shared" si="12"/>
        <v/>
      </c>
      <c r="BJ28" s="37" t="str">
        <f t="shared" si="13"/>
        <v/>
      </c>
      <c r="BK28" s="37" t="str">
        <f t="shared" si="14"/>
        <v xml:space="preserve">tags:
- italy_x000D_
- churches_x000D_
- marian-sites_x000D_
</v>
      </c>
      <c r="BL28" s="38" t="str">
        <f t="shared" si="15"/>
        <v/>
      </c>
      <c r="BM28" s="38" t="str">
        <f t="shared" si="16"/>
        <v/>
      </c>
      <c r="BN28" s="38" t="str">
        <f t="shared" si="17"/>
        <v/>
      </c>
      <c r="BO28" s="38" t="str">
        <f t="shared" si="18"/>
        <v/>
      </c>
      <c r="BP28" s="38" t="str">
        <f t="shared" si="19"/>
        <v/>
      </c>
      <c r="BQ28" s="38" t="str">
        <f t="shared" si="20"/>
        <v>[Link](http://www.therealpresence.org/eucharst/misc/BVM/15_CARAVAGGIO_60x96.pdf)</v>
      </c>
      <c r="BR28" s="38" t="str">
        <f t="shared" si="21"/>
        <v/>
      </c>
      <c r="BS28" s="38" t="str">
        <f t="shared" si="22"/>
        <v/>
      </c>
      <c r="BT28" s="38" t="str">
        <f>IF(LEN(concat(BQ28:BS28))&gt;0,concat("| ",BQ28," | ",BR28," | ",BS28," |"),"")</f>
        <v>| [Link](http://www.therealpresence.org/eucharst/misc/BVM/15_CARAVAGGIO_60x96.pdf) |  |  |</v>
      </c>
      <c r="BU28" s="37" t="str">
        <f t="shared" si="23"/>
        <v xml:space="preserve">| The Real Presence | Miracle Hunter | MaryPages |_x000D_
| --- | --- | --- |_x000D_
| [Link](http://www.therealpresence.org/eucharst/misc/BVM/15_CARAVAGGIO_60x96.pdf) |  |  |_x000D_
</v>
      </c>
      <c r="BV28" s="37" t="str">
        <f>IF(LEN(BP28&amp;BU28)&gt;0,concatll("#### Source Material",BP28,BU28),"")</f>
        <v xml:space="preserve">#### Source Material_x000D_
_x000D_
| The Real Presence | Miracle Hunter | MaryPages |_x000D_
| --- | --- | --- |_x000D_
| [Link](http://www.therealpresence.org/eucharst/misc/BVM/15_CARAVAGGIO_60x96.pdf) |  |  |_x000D_
_x000D_
_x000D_
</v>
      </c>
      <c r="BW28" s="37" t="str">
        <f>IF(LEN(O28)&gt;1,concatll("#### Author's Note",O28),"")</f>
        <v/>
      </c>
      <c r="BX28" s="24" t="str">
        <f>IF(AR28,concatll(concatl("---",AS28:AU28,BK28,"---"),N28,BV28:BW28),"")</f>
        <v/>
      </c>
      <c r="BY28" s="24" t="str">
        <f>IF(AR28,VLOOKUP(C28,'(Ref) Countries'!A:B,2,)&amp;IF(LEN(D28)&gt;1,"-"&amp;LOWER(SUBSTITUTE(D28," ","-")),"")&amp;"-"&amp;LOWER(SUBSTITUTE(I28," ","-"))&amp;".md","")</f>
        <v/>
      </c>
      <c r="BZ28" s="37" t="str">
        <f>IF(LEN(AG28)&gt;1,VLOOKUP(AG28,'Tag List'!$A:$B,2,),"")</f>
        <v/>
      </c>
      <c r="CA28" s="37" t="str">
        <f>IF(LEN(AH28)&gt;1,VLOOKUP(AH28,'Tag List'!$A:$B,2,),"")</f>
        <v/>
      </c>
      <c r="CB28" s="37" t="str">
        <f>IF(LEN(AI28)&gt;1,VLOOKUP(AI28,'Tag List'!$A:$B,2,),"")</f>
        <v/>
      </c>
      <c r="CC28" s="38" t="str">
        <f>IF(LEN(AG28)&gt;1,GetTagPage(BZ28,AG28),"")</f>
        <v/>
      </c>
      <c r="CD28" s="38" t="str">
        <f>IF(LEN(AH28)&gt;1,GetTagPage(CA28,AH28),"")</f>
        <v/>
      </c>
      <c r="CE28" s="38" t="str">
        <f>IF(LEN(AI28)&gt;1,GetTagPage(CB28,AI28),"")</f>
        <v/>
      </c>
      <c r="CF28" s="38" t="str">
        <f>"|"&amp;IF(LEN(CC28)&gt;1," "&amp;CC28,"")&amp;IF(LEN(CD28)&gt;1,", "&amp;CD28,"")&amp;IF(LEN(CE28)&gt;1,", "&amp;CE28,"")&amp;" "</f>
        <v xml:space="preserve">| </v>
      </c>
      <c r="CG28" s="38" t="str">
        <f>"| "&amp;IF(AR28,"["&amp;B28&amp;"](/places/"&amp;SUBSTITUTE(BY28,".md","")&amp;")",B28)&amp;" "</f>
        <v xml:space="preserve">| Caravaggio </v>
      </c>
      <c r="CH28" s="38" t="str">
        <f>"| "&amp;IF(AR28,GetTagPage(C28,VLOOKUP(C28,'(Ref) Countries'!A:C,3,)),C28)&amp; " "</f>
        <v xml:space="preserve">| Italy </v>
      </c>
      <c r="CI28" s="38" t="str">
        <f>"| "&amp;E28&amp;" "</f>
        <v xml:space="preserve">| 1432 </v>
      </c>
      <c r="CJ28" s="38" t="str">
        <f>"|"&amp;IF(AR28," [Link](/places/"&amp;SUBSTITUTE(BY28,".md","")&amp;")","")&amp;" "</f>
        <v xml:space="preserve">| </v>
      </c>
      <c r="CK28" s="37" t="str">
        <f>"
"&amp;CG28&amp;CH28&amp;CI28&amp;CJ28&amp;BL28&amp;BQ28&amp;BR28&amp;BS28&amp;CF28&amp;"|"</f>
        <v xml:space="preserve">
| Caravaggio | Italy | 1432 | [Link](http://www.therealpresence.org/eucharst/misc/BVM/15_CARAVAGGIO_60x96.pdf)| |</v>
      </c>
    </row>
    <row r="29" spans="1:89" x14ac:dyDescent="0.25">
      <c r="B29" s="28" t="s">
        <v>1205</v>
      </c>
      <c r="C29" s="29" t="s">
        <v>11</v>
      </c>
      <c r="E29" s="31">
        <v>1440</v>
      </c>
      <c r="J29" s="30" t="s">
        <v>1728</v>
      </c>
      <c r="K29" s="32" t="b">
        <v>1</v>
      </c>
      <c r="L29" s="30" t="b">
        <v>1</v>
      </c>
      <c r="P29" s="30" t="s">
        <v>336</v>
      </c>
      <c r="Q29" s="30" t="s">
        <v>336</v>
      </c>
      <c r="AA29" s="71" t="s">
        <v>204</v>
      </c>
      <c r="AB29" s="30" t="s">
        <v>336</v>
      </c>
      <c r="AC29" s="30" t="s">
        <v>336</v>
      </c>
      <c r="AD29" s="30" t="s">
        <v>336</v>
      </c>
      <c r="AE29" s="30" t="s">
        <v>336</v>
      </c>
      <c r="AF29" s="67" t="s">
        <v>336</v>
      </c>
      <c r="AG29" s="30" t="s">
        <v>336</v>
      </c>
      <c r="AR29" s="36" t="b">
        <f>IF(OR(A29="Done",A29="In Progress"),TRUE)</f>
        <v>0</v>
      </c>
      <c r="AS29" s="37" t="str">
        <f>"title: """&amp;H29&amp;""""</f>
        <v>title: ""</v>
      </c>
      <c r="AT29" s="37" t="str">
        <f>"location: {lat: "&amp;F29&amp;", lng: "&amp;G29&amp;"}"</f>
        <v>location: {lat: , lng: }</v>
      </c>
      <c r="AU29" s="37" t="str">
        <f>"level: "&amp;J29</f>
        <v>level: global</v>
      </c>
      <c r="AV29" s="37" t="str">
        <f>"- "&amp;VLOOKUP(C29,'(Ref) Countries'!A:C,3,)</f>
        <v>- italy</v>
      </c>
      <c r="AW29" s="37" t="str">
        <f t="shared" si="0"/>
        <v/>
      </c>
      <c r="AX29" s="37" t="str">
        <f t="shared" si="1"/>
        <v>- churches</v>
      </c>
      <c r="AY29" s="37" t="str">
        <f t="shared" si="2"/>
        <v>- marian-sites</v>
      </c>
      <c r="AZ29" s="37" t="str">
        <f t="shared" si="3"/>
        <v/>
      </c>
      <c r="BA29" s="37" t="str">
        <f t="shared" si="4"/>
        <v/>
      </c>
      <c r="BB29" s="37" t="str">
        <f t="shared" si="5"/>
        <v/>
      </c>
      <c r="BC29" s="37" t="str">
        <f t="shared" si="6"/>
        <v/>
      </c>
      <c r="BD29" s="37" t="str">
        <f t="shared" si="7"/>
        <v/>
      </c>
      <c r="BE29" s="37" t="str">
        <f t="shared" si="8"/>
        <v/>
      </c>
      <c r="BF29" s="37" t="str">
        <f t="shared" si="9"/>
        <v/>
      </c>
      <c r="BG29" s="37" t="str">
        <f t="shared" si="10"/>
        <v/>
      </c>
      <c r="BH29" s="37" t="str">
        <f t="shared" si="11"/>
        <v/>
      </c>
      <c r="BI29" s="37" t="str">
        <f t="shared" si="12"/>
        <v/>
      </c>
      <c r="BJ29" s="37" t="str">
        <f t="shared" si="13"/>
        <v/>
      </c>
      <c r="BK29" s="37" t="str">
        <f t="shared" si="14"/>
        <v xml:space="preserve">tags:
- italy_x000D_
- churches_x000D_
- marian-sites_x000D_
</v>
      </c>
      <c r="BL29" s="38" t="str">
        <f t="shared" si="15"/>
        <v/>
      </c>
      <c r="BM29" s="38" t="str">
        <f t="shared" si="16"/>
        <v/>
      </c>
      <c r="BN29" s="38" t="str">
        <f t="shared" si="17"/>
        <v/>
      </c>
      <c r="BO29" s="38" t="str">
        <f t="shared" si="18"/>
        <v/>
      </c>
      <c r="BP29" s="38" t="str">
        <f t="shared" si="19"/>
        <v/>
      </c>
      <c r="BQ29" s="38" t="str">
        <f t="shared" si="20"/>
        <v>[Link](http://www.therealpresence.org/eucharst/misc/BVM/50_DESENZANO_DI_ALBINO_60x96.pd.pdf)</v>
      </c>
      <c r="BR29" s="38" t="str">
        <f t="shared" si="21"/>
        <v/>
      </c>
      <c r="BS29" s="38" t="str">
        <f t="shared" si="22"/>
        <v/>
      </c>
      <c r="BT29" s="38" t="str">
        <f>IF(LEN(concat(BQ29:BS29))&gt;0,concat("| ",BQ29," | ",BR29," | ",BS29," |"),"")</f>
        <v>| [Link](http://www.therealpresence.org/eucharst/misc/BVM/50_DESENZANO_DI_ALBINO_60x96.pd.pdf) |  |  |</v>
      </c>
      <c r="BU29" s="37" t="str">
        <f t="shared" si="23"/>
        <v xml:space="preserve">| The Real Presence | Miracle Hunter | MaryPages |_x000D_
| --- | --- | --- |_x000D_
| [Link](http://www.therealpresence.org/eucharst/misc/BVM/50_DESENZANO_DI_ALBINO_60x96.pd.pdf) |  |  |_x000D_
</v>
      </c>
      <c r="BV29" s="37" t="str">
        <f>IF(LEN(BP29&amp;BU29)&gt;0,concatll("#### Source Material",BP29,BU29),"")</f>
        <v xml:space="preserve">#### Source Material_x000D_
_x000D_
| The Real Presence | Miracle Hunter | MaryPages |_x000D_
| --- | --- | --- |_x000D_
| [Link](http://www.therealpresence.org/eucharst/misc/BVM/50_DESENZANO_DI_ALBINO_60x96.pd.pdf) |  |  |_x000D_
_x000D_
_x000D_
</v>
      </c>
      <c r="BW29" s="37" t="str">
        <f>IF(LEN(O29)&gt;1,concatll("#### Author's Note",O29),"")</f>
        <v/>
      </c>
      <c r="BX29" s="24" t="str">
        <f>IF(AR29,concatll(concatl("---",AS29:AU29,BK29,"---"),N29,BV29:BW29),"")</f>
        <v/>
      </c>
      <c r="BY29" s="24" t="str">
        <f>IF(AR29,VLOOKUP(C29,'(Ref) Countries'!A:B,2,)&amp;IF(LEN(D29)&gt;1,"-"&amp;LOWER(SUBSTITUTE(D29," ","-")),"")&amp;"-"&amp;LOWER(SUBSTITUTE(I29," ","-"))&amp;".md","")</f>
        <v/>
      </c>
      <c r="BZ29" s="37" t="str">
        <f>IF(LEN(AG29)&gt;1,VLOOKUP(AG29,'Tag List'!$A:$B,2,),"")</f>
        <v/>
      </c>
      <c r="CA29" s="37" t="str">
        <f>IF(LEN(AH29)&gt;1,VLOOKUP(AH29,'Tag List'!$A:$B,2,),"")</f>
        <v/>
      </c>
      <c r="CB29" s="37" t="str">
        <f>IF(LEN(AI29)&gt;1,VLOOKUP(AI29,'Tag List'!$A:$B,2,),"")</f>
        <v/>
      </c>
      <c r="CC29" s="38" t="str">
        <f>IF(LEN(AG29)&gt;1,GetTagPage(BZ29,AG29),"")</f>
        <v/>
      </c>
      <c r="CD29" s="38" t="str">
        <f>IF(LEN(AH29)&gt;1,GetTagPage(CA29,AH29),"")</f>
        <v/>
      </c>
      <c r="CE29" s="38" t="str">
        <f>IF(LEN(AI29)&gt;1,GetTagPage(CB29,AI29),"")</f>
        <v/>
      </c>
      <c r="CF29" s="38" t="str">
        <f>"|"&amp;IF(LEN(CC29)&gt;1," "&amp;CC29,"")&amp;IF(LEN(CD29)&gt;1,", "&amp;CD29,"")&amp;IF(LEN(CE29)&gt;1,", "&amp;CE29,"")&amp;" "</f>
        <v xml:space="preserve">| </v>
      </c>
      <c r="CG29" s="38" t="str">
        <f>"| "&amp;IF(AR29,"["&amp;B29&amp;"](/places/"&amp;SUBSTITUTE(BY29,".md","")&amp;")",B29)&amp;" "</f>
        <v xml:space="preserve">| Desenzano Di Albino </v>
      </c>
      <c r="CH29" s="38" t="str">
        <f>"| "&amp;IF(AR29,GetTagPage(C29,VLOOKUP(C29,'(Ref) Countries'!A:C,3,)),C29)&amp; " "</f>
        <v xml:space="preserve">| Italy </v>
      </c>
      <c r="CI29" s="38" t="str">
        <f>"| "&amp;E29&amp;" "</f>
        <v xml:space="preserve">| 1440 </v>
      </c>
      <c r="CJ29" s="38" t="str">
        <f>"|"&amp;IF(AR29," [Link](/places/"&amp;SUBSTITUTE(BY29,".md","")&amp;")","")&amp;" "</f>
        <v xml:space="preserve">| </v>
      </c>
      <c r="CK29" s="37" t="str">
        <f>"
"&amp;CG29&amp;CH29&amp;CI29&amp;CJ29&amp;BL29&amp;BQ29&amp;BR29&amp;BS29&amp;CF29&amp;"|"</f>
        <v xml:space="preserve">
| Desenzano Di Albino | Italy | 1440 | [Link](http://www.therealpresence.org/eucharst/misc/BVM/50_DESENZANO_DI_ALBINO_60x96.pd.pdf)| |</v>
      </c>
    </row>
    <row r="30" spans="1:89" x14ac:dyDescent="0.25">
      <c r="B30" s="28" t="s">
        <v>1206</v>
      </c>
      <c r="C30" s="29" t="s">
        <v>552</v>
      </c>
      <c r="E30" s="31">
        <v>1443</v>
      </c>
      <c r="J30" s="30" t="s">
        <v>1728</v>
      </c>
      <c r="K30" s="32" t="b">
        <v>1</v>
      </c>
      <c r="L30" s="30" t="b">
        <v>1</v>
      </c>
      <c r="P30" s="30" t="s">
        <v>336</v>
      </c>
      <c r="Q30" s="30" t="s">
        <v>336</v>
      </c>
      <c r="AA30" s="71" t="s">
        <v>205</v>
      </c>
      <c r="AB30" s="30" t="s">
        <v>336</v>
      </c>
      <c r="AC30" s="30" t="s">
        <v>336</v>
      </c>
      <c r="AD30" s="30" t="s">
        <v>336</v>
      </c>
      <c r="AE30" s="30" t="s">
        <v>336</v>
      </c>
      <c r="AF30" s="67" t="s">
        <v>336</v>
      </c>
      <c r="AG30" s="30" t="s">
        <v>336</v>
      </c>
      <c r="AR30" s="36" t="b">
        <f>IF(OR(A30="Done",A30="In Progress"),TRUE)</f>
        <v>0</v>
      </c>
      <c r="AS30" s="37" t="str">
        <f>"title: """&amp;H30&amp;""""</f>
        <v>title: ""</v>
      </c>
      <c r="AT30" s="37" t="str">
        <f>"location: {lat: "&amp;F30&amp;", lng: "&amp;G30&amp;"}"</f>
        <v>location: {lat: , lng: }</v>
      </c>
      <c r="AU30" s="37" t="str">
        <f>"level: "&amp;J30</f>
        <v>level: global</v>
      </c>
      <c r="AV30" s="37" t="str">
        <f>"- "&amp;VLOOKUP(C30,'(Ref) Countries'!A:C,3,)</f>
        <v>- spain</v>
      </c>
      <c r="AW30" s="37" t="str">
        <f t="shared" si="0"/>
        <v/>
      </c>
      <c r="AX30" s="37" t="str">
        <f t="shared" si="1"/>
        <v>- churches</v>
      </c>
      <c r="AY30" s="37" t="str">
        <f t="shared" si="2"/>
        <v>- marian-sites</v>
      </c>
      <c r="AZ30" s="37" t="str">
        <f t="shared" si="3"/>
        <v/>
      </c>
      <c r="BA30" s="37" t="str">
        <f t="shared" si="4"/>
        <v/>
      </c>
      <c r="BB30" s="37" t="str">
        <f t="shared" si="5"/>
        <v/>
      </c>
      <c r="BC30" s="37" t="str">
        <f t="shared" si="6"/>
        <v/>
      </c>
      <c r="BD30" s="37" t="str">
        <f t="shared" si="7"/>
        <v/>
      </c>
      <c r="BE30" s="37" t="str">
        <f t="shared" si="8"/>
        <v/>
      </c>
      <c r="BF30" s="37" t="str">
        <f t="shared" si="9"/>
        <v/>
      </c>
      <c r="BG30" s="37" t="str">
        <f t="shared" si="10"/>
        <v/>
      </c>
      <c r="BH30" s="37" t="str">
        <f t="shared" si="11"/>
        <v/>
      </c>
      <c r="BI30" s="37" t="str">
        <f t="shared" si="12"/>
        <v/>
      </c>
      <c r="BJ30" s="37" t="str">
        <f t="shared" si="13"/>
        <v/>
      </c>
      <c r="BK30" s="37" t="str">
        <f t="shared" si="14"/>
        <v xml:space="preserve">tags:
- spain_x000D_
- churches_x000D_
- marian-sites_x000D_
</v>
      </c>
      <c r="BL30" s="38" t="str">
        <f t="shared" si="15"/>
        <v/>
      </c>
      <c r="BM30" s="38" t="str">
        <f t="shared" si="16"/>
        <v/>
      </c>
      <c r="BN30" s="38" t="str">
        <f t="shared" si="17"/>
        <v/>
      </c>
      <c r="BO30" s="38" t="str">
        <f t="shared" si="18"/>
        <v/>
      </c>
      <c r="BP30" s="38" t="str">
        <f t="shared" si="19"/>
        <v/>
      </c>
      <c r="BQ30" s="38" t="str">
        <f t="shared" si="20"/>
        <v>[Link](http://www.therealpresence.org/eucharst/misc/BVM/105_FUERTEVENTURA_60x96.pdf)</v>
      </c>
      <c r="BR30" s="38" t="str">
        <f t="shared" si="21"/>
        <v/>
      </c>
      <c r="BS30" s="38" t="str">
        <f t="shared" si="22"/>
        <v/>
      </c>
      <c r="BT30" s="38" t="str">
        <f>IF(LEN(concat(BQ30:BS30))&gt;0,concat("| ",BQ30," | ",BR30," | ",BS30," |"),"")</f>
        <v>| [Link](http://www.therealpresence.org/eucharst/misc/BVM/105_FUERTEVENTURA_60x96.pdf) |  |  |</v>
      </c>
      <c r="BU30" s="37" t="str">
        <f t="shared" si="23"/>
        <v xml:space="preserve">| The Real Presence | Miracle Hunter | MaryPages |_x000D_
| --- | --- | --- |_x000D_
| [Link](http://www.therealpresence.org/eucharst/misc/BVM/105_FUERTEVENTURA_60x96.pdf) |  |  |_x000D_
</v>
      </c>
      <c r="BV30" s="37" t="str">
        <f>IF(LEN(BP30&amp;BU30)&gt;0,concatll("#### Source Material",BP30,BU30),"")</f>
        <v xml:space="preserve">#### Source Material_x000D_
_x000D_
| The Real Presence | Miracle Hunter | MaryPages |_x000D_
| --- | --- | --- |_x000D_
| [Link](http://www.therealpresence.org/eucharst/misc/BVM/105_FUERTEVENTURA_60x96.pdf) |  |  |_x000D_
_x000D_
_x000D_
</v>
      </c>
      <c r="BW30" s="37" t="str">
        <f>IF(LEN(O30)&gt;1,concatll("#### Author's Note",O30),"")</f>
        <v/>
      </c>
      <c r="BX30" s="24" t="str">
        <f>IF(AR30,concatll(concatl("---",AS30:AU30,BK30,"---"),N30,BV30:BW30),"")</f>
        <v/>
      </c>
      <c r="BY30" s="24" t="str">
        <f>IF(AR30,VLOOKUP(C30,'(Ref) Countries'!A:B,2,)&amp;IF(LEN(D30)&gt;1,"-"&amp;LOWER(SUBSTITUTE(D30," ","-")),"")&amp;"-"&amp;LOWER(SUBSTITUTE(I30," ","-"))&amp;".md","")</f>
        <v/>
      </c>
      <c r="BZ30" s="37" t="str">
        <f>IF(LEN(AG30)&gt;1,VLOOKUP(AG30,'Tag List'!$A:$B,2,),"")</f>
        <v/>
      </c>
      <c r="CA30" s="37" t="str">
        <f>IF(LEN(AH30)&gt;1,VLOOKUP(AH30,'Tag List'!$A:$B,2,),"")</f>
        <v/>
      </c>
      <c r="CB30" s="37" t="str">
        <f>IF(LEN(AI30)&gt;1,VLOOKUP(AI30,'Tag List'!$A:$B,2,),"")</f>
        <v/>
      </c>
      <c r="CC30" s="38" t="str">
        <f>IF(LEN(AG30)&gt;1,GetTagPage(BZ30,AG30),"")</f>
        <v/>
      </c>
      <c r="CD30" s="38" t="str">
        <f>IF(LEN(AH30)&gt;1,GetTagPage(CA30,AH30),"")</f>
        <v/>
      </c>
      <c r="CE30" s="38" t="str">
        <f>IF(LEN(AI30)&gt;1,GetTagPage(CB30,AI30),"")</f>
        <v/>
      </c>
      <c r="CF30" s="38" t="str">
        <f>"|"&amp;IF(LEN(CC30)&gt;1," "&amp;CC30,"")&amp;IF(LEN(CD30)&gt;1,", "&amp;CD30,"")&amp;IF(LEN(CE30)&gt;1,", "&amp;CE30,"")&amp;" "</f>
        <v xml:space="preserve">| </v>
      </c>
      <c r="CG30" s="38" t="str">
        <f>"| "&amp;IF(AR30,"["&amp;B30&amp;"](/places/"&amp;SUBSTITUTE(BY30,".md","")&amp;")",B30)&amp;" "</f>
        <v xml:space="preserve">| Fuerteventura </v>
      </c>
      <c r="CH30" s="38" t="str">
        <f>"| "&amp;IF(AR30,GetTagPage(C30,VLOOKUP(C30,'(Ref) Countries'!A:C,3,)),C30)&amp; " "</f>
        <v xml:space="preserve">| Spain </v>
      </c>
      <c r="CI30" s="38" t="str">
        <f>"| "&amp;E30&amp;" "</f>
        <v xml:space="preserve">| 1443 </v>
      </c>
      <c r="CJ30" s="38" t="str">
        <f>"|"&amp;IF(AR30," [Link](/places/"&amp;SUBSTITUTE(BY30,".md","")&amp;")","")&amp;" "</f>
        <v xml:space="preserve">| </v>
      </c>
      <c r="CK30" s="37" t="str">
        <f>"
"&amp;CG30&amp;CH30&amp;CI30&amp;CJ30&amp;BL30&amp;BQ30&amp;BR30&amp;BS30&amp;CF30&amp;"|"</f>
        <v xml:space="preserve">
| Fuerteventura | Spain | 1443 | [Link](http://www.therealpresence.org/eucharst/misc/BVM/105_FUERTEVENTURA_60x96.pdf)| |</v>
      </c>
    </row>
    <row r="31" spans="1:89" x14ac:dyDescent="0.25">
      <c r="B31" s="28" t="s">
        <v>1317</v>
      </c>
      <c r="C31" s="29" t="s">
        <v>11</v>
      </c>
      <c r="E31" s="31" t="s">
        <v>1316</v>
      </c>
      <c r="J31" s="30" t="s">
        <v>1728</v>
      </c>
      <c r="K31" s="32" t="b">
        <v>1</v>
      </c>
      <c r="L31" s="30" t="b">
        <v>1</v>
      </c>
      <c r="P31" s="30" t="s">
        <v>336</v>
      </c>
      <c r="Q31" s="30" t="s">
        <v>336</v>
      </c>
      <c r="AA31" s="71" t="s">
        <v>206</v>
      </c>
      <c r="AB31" s="30" t="s">
        <v>336</v>
      </c>
      <c r="AC31" s="30" t="s">
        <v>336</v>
      </c>
      <c r="AD31" s="30" t="s">
        <v>336</v>
      </c>
      <c r="AE31" s="30" t="s">
        <v>336</v>
      </c>
      <c r="AF31" s="67" t="s">
        <v>336</v>
      </c>
      <c r="AG31" s="30" t="s">
        <v>336</v>
      </c>
      <c r="AR31" s="36" t="b">
        <f>IF(OR(A31="Done",A31="In Progress"),TRUE)</f>
        <v>0</v>
      </c>
      <c r="AS31" s="37" t="str">
        <f>"title: """&amp;H31&amp;""""</f>
        <v>title: ""</v>
      </c>
      <c r="AT31" s="37" t="str">
        <f>"location: {lat: "&amp;F31&amp;", lng: "&amp;G31&amp;"}"</f>
        <v>location: {lat: , lng: }</v>
      </c>
      <c r="AU31" s="37" t="str">
        <f>"level: "&amp;J31</f>
        <v>level: global</v>
      </c>
      <c r="AV31" s="37" t="str">
        <f>"- "&amp;VLOOKUP(C31,'(Ref) Countries'!A:C,3,)</f>
        <v>- italy</v>
      </c>
      <c r="AW31" s="37" t="str">
        <f t="shared" si="0"/>
        <v/>
      </c>
      <c r="AX31" s="37" t="str">
        <f t="shared" si="1"/>
        <v>- churches</v>
      </c>
      <c r="AY31" s="37" t="str">
        <f t="shared" si="2"/>
        <v>- marian-sites</v>
      </c>
      <c r="AZ31" s="37" t="str">
        <f t="shared" si="3"/>
        <v/>
      </c>
      <c r="BA31" s="37" t="str">
        <f t="shared" si="4"/>
        <v/>
      </c>
      <c r="BB31" s="37" t="str">
        <f t="shared" si="5"/>
        <v/>
      </c>
      <c r="BC31" s="37" t="str">
        <f t="shared" si="6"/>
        <v/>
      </c>
      <c r="BD31" s="37" t="str">
        <f t="shared" si="7"/>
        <v/>
      </c>
      <c r="BE31" s="37" t="str">
        <f t="shared" si="8"/>
        <v/>
      </c>
      <c r="BF31" s="37" t="str">
        <f t="shared" si="9"/>
        <v/>
      </c>
      <c r="BG31" s="37" t="str">
        <f t="shared" si="10"/>
        <v/>
      </c>
      <c r="BH31" s="37" t="str">
        <f t="shared" si="11"/>
        <v/>
      </c>
      <c r="BI31" s="37" t="str">
        <f t="shared" si="12"/>
        <v/>
      </c>
      <c r="BJ31" s="37" t="str">
        <f t="shared" si="13"/>
        <v/>
      </c>
      <c r="BK31" s="37" t="str">
        <f t="shared" si="14"/>
        <v xml:space="preserve">tags:
- italy_x000D_
- churches_x000D_
- marian-sites_x000D_
</v>
      </c>
      <c r="BL31" s="38" t="str">
        <f t="shared" si="15"/>
        <v/>
      </c>
      <c r="BM31" s="38" t="str">
        <f t="shared" si="16"/>
        <v/>
      </c>
      <c r="BN31" s="38" t="str">
        <f t="shared" si="17"/>
        <v/>
      </c>
      <c r="BO31" s="38" t="str">
        <f t="shared" si="18"/>
        <v/>
      </c>
      <c r="BP31" s="38" t="str">
        <f t="shared" si="19"/>
        <v/>
      </c>
      <c r="BQ31" s="38" t="str">
        <f t="shared" si="20"/>
        <v>[Link](http://www.therealpresence.org/eucharst/misc/BVM/115_S_ANASTASIA_96x96.pdf)</v>
      </c>
      <c r="BR31" s="38" t="str">
        <f t="shared" si="21"/>
        <v/>
      </c>
      <c r="BS31" s="38" t="str">
        <f t="shared" si="22"/>
        <v/>
      </c>
      <c r="BT31" s="38" t="str">
        <f>IF(LEN(concat(BQ31:BS31))&gt;0,concat("| ",BQ31," | ",BR31," | ",BS31," |"),"")</f>
        <v>| [Link](http://www.therealpresence.org/eucharst/misc/BVM/115_S_ANASTASIA_96x96.pdf) |  |  |</v>
      </c>
      <c r="BU31" s="37" t="str">
        <f t="shared" si="23"/>
        <v xml:space="preserve">| The Real Presence | Miracle Hunter | MaryPages |_x000D_
| --- | --- | --- |_x000D_
| [Link](http://www.therealpresence.org/eucharst/misc/BVM/115_S_ANASTASIA_96x96.pdf) |  |  |_x000D_
</v>
      </c>
      <c r="BV31" s="37" t="str">
        <f>IF(LEN(BP31&amp;BU31)&gt;0,concatll("#### Source Material",BP31,BU31),"")</f>
        <v xml:space="preserve">#### Source Material_x000D_
_x000D_
| The Real Presence | Miracle Hunter | MaryPages |_x000D_
| --- | --- | --- |_x000D_
| [Link](http://www.therealpresence.org/eucharst/misc/BVM/115_S_ANASTASIA_96x96.pdf) |  |  |_x000D_
_x000D_
_x000D_
</v>
      </c>
      <c r="BW31" s="37" t="str">
        <f>IF(LEN(O31)&gt;1,concatll("#### Author's Note",O31),"")</f>
        <v/>
      </c>
      <c r="BX31" s="24" t="str">
        <f>IF(AR31,concatll(concatl("---",AS31:AU31,BK31,"---"),N31,BV31:BW31),"")</f>
        <v/>
      </c>
      <c r="BY31" s="24" t="str">
        <f>IF(AR31,VLOOKUP(C31,'(Ref) Countries'!A:B,2,)&amp;IF(LEN(D31)&gt;1,"-"&amp;LOWER(SUBSTITUTE(D31," ","-")),"")&amp;"-"&amp;LOWER(SUBSTITUTE(I31," ","-"))&amp;".md","")</f>
        <v/>
      </c>
      <c r="BZ31" s="37" t="str">
        <f>IF(LEN(AG31)&gt;1,VLOOKUP(AG31,'Tag List'!$A:$B,2,),"")</f>
        <v/>
      </c>
      <c r="CA31" s="37" t="str">
        <f>IF(LEN(AH31)&gt;1,VLOOKUP(AH31,'Tag List'!$A:$B,2,),"")</f>
        <v/>
      </c>
      <c r="CB31" s="37" t="str">
        <f>IF(LEN(AI31)&gt;1,VLOOKUP(AI31,'Tag List'!$A:$B,2,),"")</f>
        <v/>
      </c>
      <c r="CC31" s="38" t="str">
        <f>IF(LEN(AG31)&gt;1,GetTagPage(BZ31,AG31),"")</f>
        <v/>
      </c>
      <c r="CD31" s="38" t="str">
        <f>IF(LEN(AH31)&gt;1,GetTagPage(CA31,AH31),"")</f>
        <v/>
      </c>
      <c r="CE31" s="38" t="str">
        <f>IF(LEN(AI31)&gt;1,GetTagPage(CB31,AI31),"")</f>
        <v/>
      </c>
      <c r="CF31" s="38" t="str">
        <f>"|"&amp;IF(LEN(CC31)&gt;1," "&amp;CC31,"")&amp;IF(LEN(CD31)&gt;1,", "&amp;CD31,"")&amp;IF(LEN(CE31)&gt;1,", "&amp;CE31,"")&amp;" "</f>
        <v xml:space="preserve">| </v>
      </c>
      <c r="CG31" s="38" t="str">
        <f>"| "&amp;IF(AR31,"["&amp;B31&amp;"](/places/"&amp;SUBSTITUTE(BY31,".md","")&amp;")",B31)&amp;" "</f>
        <v xml:space="preserve">| Sant'Anastasia </v>
      </c>
      <c r="CH31" s="38" t="str">
        <f>"| "&amp;IF(AR31,GetTagPage(C31,VLOOKUP(C31,'(Ref) Countries'!A:C,3,)),C31)&amp; " "</f>
        <v xml:space="preserve">| Italy </v>
      </c>
      <c r="CI31" s="38" t="str">
        <f>"| "&amp;E31&amp;" "</f>
        <v xml:space="preserve">| 1450, 1589 </v>
      </c>
      <c r="CJ31" s="38" t="str">
        <f>"|"&amp;IF(AR31," [Link](/places/"&amp;SUBSTITUTE(BY31,".md","")&amp;")","")&amp;" "</f>
        <v xml:space="preserve">| </v>
      </c>
      <c r="CK31" s="37" t="str">
        <f>"
"&amp;CG31&amp;CH31&amp;CI31&amp;CJ31&amp;BL31&amp;BQ31&amp;BR31&amp;BS31&amp;CF31&amp;"|"</f>
        <v xml:space="preserve">
| Sant'Anastasia | Italy | 1450, 1589 | [Link](http://www.therealpresence.org/eucharst/misc/BVM/115_S_ANASTASIA_96x96.pdf)| |</v>
      </c>
    </row>
    <row r="32" spans="1:89" x14ac:dyDescent="0.25">
      <c r="B32" s="28" t="s">
        <v>1207</v>
      </c>
      <c r="C32" s="29" t="s">
        <v>11</v>
      </c>
      <c r="E32" s="31">
        <v>1453</v>
      </c>
      <c r="J32" s="30" t="s">
        <v>1728</v>
      </c>
      <c r="K32" s="32" t="b">
        <v>1</v>
      </c>
      <c r="L32" s="30" t="b">
        <v>1</v>
      </c>
      <c r="P32" s="30" t="s">
        <v>336</v>
      </c>
      <c r="Q32" s="30" t="s">
        <v>336</v>
      </c>
      <c r="AA32" s="71" t="s">
        <v>207</v>
      </c>
      <c r="AB32" s="30" t="s">
        <v>336</v>
      </c>
      <c r="AC32" s="30" t="s">
        <v>336</v>
      </c>
      <c r="AD32" s="30" t="s">
        <v>336</v>
      </c>
      <c r="AE32" s="30" t="s">
        <v>336</v>
      </c>
      <c r="AF32" s="67" t="s">
        <v>336</v>
      </c>
      <c r="AG32" s="30" t="s">
        <v>336</v>
      </c>
      <c r="AR32" s="36" t="b">
        <f>IF(OR(A32="Done",A32="In Progress"),TRUE)</f>
        <v>0</v>
      </c>
      <c r="AS32" s="37" t="str">
        <f>"title: """&amp;H32&amp;""""</f>
        <v>title: ""</v>
      </c>
      <c r="AT32" s="37" t="str">
        <f>"location: {lat: "&amp;F32&amp;", lng: "&amp;G32&amp;"}"</f>
        <v>location: {lat: , lng: }</v>
      </c>
      <c r="AU32" s="37" t="str">
        <f>"level: "&amp;J32</f>
        <v>level: global</v>
      </c>
      <c r="AV32" s="37" t="str">
        <f>"- "&amp;VLOOKUP(C32,'(Ref) Countries'!A:C,3,)</f>
        <v>- italy</v>
      </c>
      <c r="AW32" s="37" t="str">
        <f t="shared" si="0"/>
        <v/>
      </c>
      <c r="AX32" s="37" t="str">
        <f t="shared" si="1"/>
        <v>- churches</v>
      </c>
      <c r="AY32" s="37" t="str">
        <f t="shared" si="2"/>
        <v>- marian-sites</v>
      </c>
      <c r="AZ32" s="37" t="str">
        <f t="shared" si="3"/>
        <v/>
      </c>
      <c r="BA32" s="37" t="str">
        <f t="shared" si="4"/>
        <v/>
      </c>
      <c r="BB32" s="37" t="str">
        <f t="shared" si="5"/>
        <v/>
      </c>
      <c r="BC32" s="37" t="str">
        <f t="shared" si="6"/>
        <v/>
      </c>
      <c r="BD32" s="37" t="str">
        <f t="shared" si="7"/>
        <v/>
      </c>
      <c r="BE32" s="37" t="str">
        <f t="shared" si="8"/>
        <v/>
      </c>
      <c r="BF32" s="37" t="str">
        <f t="shared" si="9"/>
        <v/>
      </c>
      <c r="BG32" s="37" t="str">
        <f t="shared" si="10"/>
        <v/>
      </c>
      <c r="BH32" s="37" t="str">
        <f t="shared" si="11"/>
        <v/>
      </c>
      <c r="BI32" s="37" t="str">
        <f t="shared" si="12"/>
        <v/>
      </c>
      <c r="BJ32" s="37" t="str">
        <f t="shared" si="13"/>
        <v/>
      </c>
      <c r="BK32" s="37" t="str">
        <f t="shared" si="14"/>
        <v xml:space="preserve">tags:
- italy_x000D_
- churches_x000D_
- marian-sites_x000D_
</v>
      </c>
      <c r="BL32" s="38" t="str">
        <f t="shared" si="15"/>
        <v/>
      </c>
      <c r="BM32" s="38" t="str">
        <f t="shared" si="16"/>
        <v/>
      </c>
      <c r="BN32" s="38" t="str">
        <f t="shared" si="17"/>
        <v/>
      </c>
      <c r="BO32" s="38" t="str">
        <f t="shared" si="18"/>
        <v/>
      </c>
      <c r="BP32" s="38" t="str">
        <f t="shared" si="19"/>
        <v/>
      </c>
      <c r="BQ32" s="38" t="str">
        <f t="shared" si="20"/>
        <v>[Link](http://www.therealpresence.org/eucharst/misc/BVM/45_GHISALBA_60x96.pdf)</v>
      </c>
      <c r="BR32" s="38" t="str">
        <f t="shared" si="21"/>
        <v/>
      </c>
      <c r="BS32" s="38" t="str">
        <f t="shared" si="22"/>
        <v/>
      </c>
      <c r="BT32" s="38" t="str">
        <f>IF(LEN(concat(BQ32:BS32))&gt;0,concat("| ",BQ32," | ",BR32," | ",BS32," |"),"")</f>
        <v>| [Link](http://www.therealpresence.org/eucharst/misc/BVM/45_GHISALBA_60x96.pdf) |  |  |</v>
      </c>
      <c r="BU32" s="37" t="str">
        <f t="shared" si="23"/>
        <v xml:space="preserve">| The Real Presence | Miracle Hunter | MaryPages |_x000D_
| --- | --- | --- |_x000D_
| [Link](http://www.therealpresence.org/eucharst/misc/BVM/45_GHISALBA_60x96.pdf) |  |  |_x000D_
</v>
      </c>
      <c r="BV32" s="37" t="str">
        <f>IF(LEN(BP32&amp;BU32)&gt;0,concatll("#### Source Material",BP32,BU32),"")</f>
        <v xml:space="preserve">#### Source Material_x000D_
_x000D_
| The Real Presence | Miracle Hunter | MaryPages |_x000D_
| --- | --- | --- |_x000D_
| [Link](http://www.therealpresence.org/eucharst/misc/BVM/45_GHISALBA_60x96.pdf) |  |  |_x000D_
_x000D_
_x000D_
</v>
      </c>
      <c r="BW32" s="37" t="str">
        <f>IF(LEN(O32)&gt;1,concatll("#### Author's Note",O32),"")</f>
        <v/>
      </c>
      <c r="BX32" s="24" t="str">
        <f>IF(AR32,concatll(concatl("---",AS32:AU32,BK32,"---"),N32,BV32:BW32),"")</f>
        <v/>
      </c>
      <c r="BY32" s="24" t="str">
        <f>IF(AR32,VLOOKUP(C32,'(Ref) Countries'!A:B,2,)&amp;IF(LEN(D32)&gt;1,"-"&amp;LOWER(SUBSTITUTE(D32," ","-")),"")&amp;"-"&amp;LOWER(SUBSTITUTE(I32," ","-"))&amp;".md","")</f>
        <v/>
      </c>
      <c r="BZ32" s="37" t="str">
        <f>IF(LEN(AG32)&gt;1,VLOOKUP(AG32,'Tag List'!$A:$B,2,),"")</f>
        <v/>
      </c>
      <c r="CA32" s="37" t="str">
        <f>IF(LEN(AH32)&gt;1,VLOOKUP(AH32,'Tag List'!$A:$B,2,),"")</f>
        <v/>
      </c>
      <c r="CB32" s="37" t="str">
        <f>IF(LEN(AI32)&gt;1,VLOOKUP(AI32,'Tag List'!$A:$B,2,),"")</f>
        <v/>
      </c>
      <c r="CC32" s="38" t="str">
        <f>IF(LEN(AG32)&gt;1,GetTagPage(BZ32,AG32),"")</f>
        <v/>
      </c>
      <c r="CD32" s="38" t="str">
        <f>IF(LEN(AH32)&gt;1,GetTagPage(CA32,AH32),"")</f>
        <v/>
      </c>
      <c r="CE32" s="38" t="str">
        <f>IF(LEN(AI32)&gt;1,GetTagPage(CB32,AI32),"")</f>
        <v/>
      </c>
      <c r="CF32" s="38" t="str">
        <f>"|"&amp;IF(LEN(CC32)&gt;1," "&amp;CC32,"")&amp;IF(LEN(CD32)&gt;1,", "&amp;CD32,"")&amp;IF(LEN(CE32)&gt;1,", "&amp;CE32,"")&amp;" "</f>
        <v xml:space="preserve">| </v>
      </c>
      <c r="CG32" s="38" t="str">
        <f>"| "&amp;IF(AR32,"["&amp;B32&amp;"](/places/"&amp;SUBSTITUTE(BY32,".md","")&amp;")",B32)&amp;" "</f>
        <v xml:space="preserve">| Ghisalba </v>
      </c>
      <c r="CH32" s="38" t="str">
        <f>"| "&amp;IF(AR32,GetTagPage(C32,VLOOKUP(C32,'(Ref) Countries'!A:C,3,)),C32)&amp; " "</f>
        <v xml:space="preserve">| Italy </v>
      </c>
      <c r="CI32" s="38" t="str">
        <f>"| "&amp;E32&amp;" "</f>
        <v xml:space="preserve">| 1453 </v>
      </c>
      <c r="CJ32" s="38" t="str">
        <f>"|"&amp;IF(AR32," [Link](/places/"&amp;SUBSTITUTE(BY32,".md","")&amp;")","")&amp;" "</f>
        <v xml:space="preserve">| </v>
      </c>
      <c r="CK32" s="37" t="str">
        <f>"
"&amp;CG32&amp;CH32&amp;CI32&amp;CJ32&amp;BL32&amp;BQ32&amp;BR32&amp;BS32&amp;CF32&amp;"|"</f>
        <v xml:space="preserve">
| Ghisalba | Italy | 1453 | [Link](http://www.therealpresence.org/eucharst/misc/BVM/45_GHISALBA_60x96.pdf)| |</v>
      </c>
    </row>
    <row r="33" spans="1:89" x14ac:dyDescent="0.25">
      <c r="B33" s="28" t="s">
        <v>1208</v>
      </c>
      <c r="C33" s="29" t="s">
        <v>11</v>
      </c>
      <c r="E33" s="31">
        <v>1462</v>
      </c>
      <c r="J33" s="30" t="s">
        <v>1728</v>
      </c>
      <c r="K33" s="32" t="b">
        <v>1</v>
      </c>
      <c r="L33" s="30" t="b">
        <v>1</v>
      </c>
      <c r="P33" s="30" t="s">
        <v>336</v>
      </c>
      <c r="Q33" s="30" t="s">
        <v>336</v>
      </c>
      <c r="AA33" s="71" t="s">
        <v>208</v>
      </c>
      <c r="AB33" s="30" t="s">
        <v>336</v>
      </c>
      <c r="AC33" s="30" t="s">
        <v>336</v>
      </c>
      <c r="AD33" s="30" t="s">
        <v>336</v>
      </c>
      <c r="AE33" s="30" t="s">
        <v>336</v>
      </c>
      <c r="AF33" s="67" t="s">
        <v>336</v>
      </c>
      <c r="AG33" s="30" t="s">
        <v>336</v>
      </c>
      <c r="AR33" s="36" t="b">
        <f>IF(OR(A33="Done",A33="In Progress"),TRUE)</f>
        <v>0</v>
      </c>
      <c r="AS33" s="37" t="str">
        <f>"title: """&amp;H33&amp;""""</f>
        <v>title: ""</v>
      </c>
      <c r="AT33" s="37" t="str">
        <f>"location: {lat: "&amp;F33&amp;", lng: "&amp;G33&amp;"}"</f>
        <v>location: {lat: , lng: }</v>
      </c>
      <c r="AU33" s="37" t="str">
        <f>"level: "&amp;J33</f>
        <v>level: global</v>
      </c>
      <c r="AV33" s="37" t="str">
        <f>"- "&amp;VLOOKUP(C33,'(Ref) Countries'!A:C,3,)</f>
        <v>- italy</v>
      </c>
      <c r="AW33" s="37" t="str">
        <f t="shared" si="0"/>
        <v/>
      </c>
      <c r="AX33" s="37" t="str">
        <f t="shared" si="1"/>
        <v>- churches</v>
      </c>
      <c r="AY33" s="37" t="str">
        <f t="shared" si="2"/>
        <v>- marian-sites</v>
      </c>
      <c r="AZ33" s="37" t="str">
        <f t="shared" si="3"/>
        <v/>
      </c>
      <c r="BA33" s="37" t="str">
        <f t="shared" si="4"/>
        <v/>
      </c>
      <c r="BB33" s="37" t="str">
        <f t="shared" si="5"/>
        <v/>
      </c>
      <c r="BC33" s="37" t="str">
        <f t="shared" si="6"/>
        <v/>
      </c>
      <c r="BD33" s="37" t="str">
        <f t="shared" si="7"/>
        <v/>
      </c>
      <c r="BE33" s="37" t="str">
        <f t="shared" si="8"/>
        <v/>
      </c>
      <c r="BF33" s="37" t="str">
        <f t="shared" si="9"/>
        <v/>
      </c>
      <c r="BG33" s="37" t="str">
        <f t="shared" si="10"/>
        <v/>
      </c>
      <c r="BH33" s="37" t="str">
        <f t="shared" si="11"/>
        <v/>
      </c>
      <c r="BI33" s="37" t="str">
        <f t="shared" si="12"/>
        <v/>
      </c>
      <c r="BJ33" s="37" t="str">
        <f t="shared" si="13"/>
        <v/>
      </c>
      <c r="BK33" s="37" t="str">
        <f t="shared" si="14"/>
        <v xml:space="preserve">tags:
- italy_x000D_
- churches_x000D_
- marian-sites_x000D_
</v>
      </c>
      <c r="BL33" s="38" t="str">
        <f t="shared" si="15"/>
        <v/>
      </c>
      <c r="BM33" s="38" t="str">
        <f t="shared" si="16"/>
        <v/>
      </c>
      <c r="BN33" s="38" t="str">
        <f t="shared" si="17"/>
        <v/>
      </c>
      <c r="BO33" s="38" t="str">
        <f t="shared" si="18"/>
        <v/>
      </c>
      <c r="BP33" s="38" t="str">
        <f t="shared" si="19"/>
        <v/>
      </c>
      <c r="BQ33" s="38" t="str">
        <f t="shared" si="20"/>
        <v>[Link](http://www.therealpresence.org/eucharst/misc/BVM/72_GARLASCO_60x96.pdf)</v>
      </c>
      <c r="BR33" s="38" t="str">
        <f t="shared" si="21"/>
        <v/>
      </c>
      <c r="BS33" s="38" t="str">
        <f t="shared" si="22"/>
        <v/>
      </c>
      <c r="BT33" s="38" t="str">
        <f>IF(LEN(concat(BQ33:BS33))&gt;0,concat("| ",BQ33," | ",BR33," | ",BS33," |"),"")</f>
        <v>| [Link](http://www.therealpresence.org/eucharst/misc/BVM/72_GARLASCO_60x96.pdf) |  |  |</v>
      </c>
      <c r="BU33" s="37" t="str">
        <f t="shared" si="23"/>
        <v xml:space="preserve">| The Real Presence | Miracle Hunter | MaryPages |_x000D_
| --- | --- | --- |_x000D_
| [Link](http://www.therealpresence.org/eucharst/misc/BVM/72_GARLASCO_60x96.pdf) |  |  |_x000D_
</v>
      </c>
      <c r="BV33" s="37" t="str">
        <f>IF(LEN(BP33&amp;BU33)&gt;0,concatll("#### Source Material",BP33,BU33),"")</f>
        <v xml:space="preserve">#### Source Material_x000D_
_x000D_
| The Real Presence | Miracle Hunter | MaryPages |_x000D_
| --- | --- | --- |_x000D_
| [Link](http://www.therealpresence.org/eucharst/misc/BVM/72_GARLASCO_60x96.pdf) |  |  |_x000D_
_x000D_
_x000D_
</v>
      </c>
      <c r="BW33" s="37" t="str">
        <f>IF(LEN(O33)&gt;1,concatll("#### Author's Note",O33),"")</f>
        <v/>
      </c>
      <c r="BX33" s="24" t="str">
        <f>IF(AR33,concatll(concatl("---",AS33:AU33,BK33,"---"),N33,BV33:BW33),"")</f>
        <v/>
      </c>
      <c r="BY33" s="24" t="str">
        <f>IF(AR33,VLOOKUP(C33,'(Ref) Countries'!A:B,2,)&amp;IF(LEN(D33)&gt;1,"-"&amp;LOWER(SUBSTITUTE(D33," ","-")),"")&amp;"-"&amp;LOWER(SUBSTITUTE(I33," ","-"))&amp;".md","")</f>
        <v/>
      </c>
      <c r="BZ33" s="37" t="str">
        <f>IF(LEN(AG33)&gt;1,VLOOKUP(AG33,'Tag List'!$A:$B,2,),"")</f>
        <v/>
      </c>
      <c r="CA33" s="37" t="str">
        <f>IF(LEN(AH33)&gt;1,VLOOKUP(AH33,'Tag List'!$A:$B,2,),"")</f>
        <v/>
      </c>
      <c r="CB33" s="37" t="str">
        <f>IF(LEN(AI33)&gt;1,VLOOKUP(AI33,'Tag List'!$A:$B,2,),"")</f>
        <v/>
      </c>
      <c r="CC33" s="38" t="str">
        <f>IF(LEN(AG33)&gt;1,GetTagPage(BZ33,AG33),"")</f>
        <v/>
      </c>
      <c r="CD33" s="38" t="str">
        <f>IF(LEN(AH33)&gt;1,GetTagPage(CA33,AH33),"")</f>
        <v/>
      </c>
      <c r="CE33" s="38" t="str">
        <f>IF(LEN(AI33)&gt;1,GetTagPage(CB33,AI33),"")</f>
        <v/>
      </c>
      <c r="CF33" s="38" t="str">
        <f>"|"&amp;IF(LEN(CC33)&gt;1," "&amp;CC33,"")&amp;IF(LEN(CD33)&gt;1,", "&amp;CD33,"")&amp;IF(LEN(CE33)&gt;1,", "&amp;CE33,"")&amp;" "</f>
        <v xml:space="preserve">| </v>
      </c>
      <c r="CG33" s="38" t="str">
        <f>"| "&amp;IF(AR33,"["&amp;B33&amp;"](/places/"&amp;SUBSTITUTE(BY33,".md","")&amp;")",B33)&amp;" "</f>
        <v xml:space="preserve">| Garlasco </v>
      </c>
      <c r="CH33" s="38" t="str">
        <f>"| "&amp;IF(AR33,GetTagPage(C33,VLOOKUP(C33,'(Ref) Countries'!A:C,3,)),C33)&amp; " "</f>
        <v xml:space="preserve">| Italy </v>
      </c>
      <c r="CI33" s="38" t="str">
        <f>"| "&amp;E33&amp;" "</f>
        <v xml:space="preserve">| 1462 </v>
      </c>
      <c r="CJ33" s="38" t="str">
        <f>"|"&amp;IF(AR33," [Link](/places/"&amp;SUBSTITUTE(BY33,".md","")&amp;")","")&amp;" "</f>
        <v xml:space="preserve">| </v>
      </c>
      <c r="CK33" s="37" t="str">
        <f>"
"&amp;CG33&amp;CH33&amp;CI33&amp;CJ33&amp;BL33&amp;BQ33&amp;BR33&amp;BS33&amp;CF33&amp;"|"</f>
        <v xml:space="preserve">
| Garlasco | Italy | 1462 | [Link](http://www.therealpresence.org/eucharst/misc/BVM/72_GARLASCO_60x96.pdf)| |</v>
      </c>
    </row>
    <row r="34" spans="1:89" x14ac:dyDescent="0.25">
      <c r="B34" s="28" t="s">
        <v>1209</v>
      </c>
      <c r="C34" s="29" t="s">
        <v>11</v>
      </c>
      <c r="E34" s="31">
        <v>1467</v>
      </c>
      <c r="J34" s="30" t="s">
        <v>1728</v>
      </c>
      <c r="K34" s="32" t="b">
        <v>1</v>
      </c>
      <c r="L34" s="30" t="b">
        <v>1</v>
      </c>
      <c r="P34" s="30" t="s">
        <v>336</v>
      </c>
      <c r="Q34" s="30" t="s">
        <v>336</v>
      </c>
      <c r="AA34" s="71" t="s">
        <v>209</v>
      </c>
      <c r="AB34" s="30" t="s">
        <v>336</v>
      </c>
      <c r="AC34" s="30" t="s">
        <v>336</v>
      </c>
      <c r="AD34" s="30" t="s">
        <v>336</v>
      </c>
      <c r="AE34" s="30" t="s">
        <v>336</v>
      </c>
      <c r="AF34" s="67" t="s">
        <v>336</v>
      </c>
      <c r="AG34" s="30" t="s">
        <v>336</v>
      </c>
      <c r="AR34" s="36" t="b">
        <f>IF(OR(A34="Done",A34="In Progress"),TRUE)</f>
        <v>0</v>
      </c>
      <c r="AS34" s="37" t="str">
        <f>"title: """&amp;H34&amp;""""</f>
        <v>title: ""</v>
      </c>
      <c r="AT34" s="37" t="str">
        <f>"location: {lat: "&amp;F34&amp;", lng: "&amp;G34&amp;"}"</f>
        <v>location: {lat: , lng: }</v>
      </c>
      <c r="AU34" s="37" t="str">
        <f>"level: "&amp;J34</f>
        <v>level: global</v>
      </c>
      <c r="AV34" s="37" t="str">
        <f>"- "&amp;VLOOKUP(C34,'(Ref) Countries'!A:C,3,)</f>
        <v>- italy</v>
      </c>
      <c r="AW34" s="37" t="str">
        <f t="shared" si="0"/>
        <v/>
      </c>
      <c r="AX34" s="37" t="str">
        <f t="shared" si="1"/>
        <v>- churches</v>
      </c>
      <c r="AY34" s="37" t="str">
        <f t="shared" si="2"/>
        <v>- marian-sites</v>
      </c>
      <c r="AZ34" s="37" t="str">
        <f t="shared" si="3"/>
        <v/>
      </c>
      <c r="BA34" s="37" t="str">
        <f t="shared" si="4"/>
        <v/>
      </c>
      <c r="BB34" s="37" t="str">
        <f t="shared" si="5"/>
        <v/>
      </c>
      <c r="BC34" s="37" t="str">
        <f t="shared" si="6"/>
        <v/>
      </c>
      <c r="BD34" s="37" t="str">
        <f t="shared" si="7"/>
        <v/>
      </c>
      <c r="BE34" s="37" t="str">
        <f t="shared" si="8"/>
        <v/>
      </c>
      <c r="BF34" s="37" t="str">
        <f t="shared" si="9"/>
        <v/>
      </c>
      <c r="BG34" s="37" t="str">
        <f t="shared" si="10"/>
        <v/>
      </c>
      <c r="BH34" s="37" t="str">
        <f t="shared" si="11"/>
        <v/>
      </c>
      <c r="BI34" s="37" t="str">
        <f t="shared" si="12"/>
        <v/>
      </c>
      <c r="BJ34" s="37" t="str">
        <f t="shared" si="13"/>
        <v/>
      </c>
      <c r="BK34" s="37" t="str">
        <f t="shared" si="14"/>
        <v xml:space="preserve">tags:
- italy_x000D_
- churches_x000D_
- marian-sites_x000D_
</v>
      </c>
      <c r="BL34" s="38" t="str">
        <f t="shared" si="15"/>
        <v/>
      </c>
      <c r="BM34" s="38" t="str">
        <f t="shared" si="16"/>
        <v/>
      </c>
      <c r="BN34" s="38" t="str">
        <f t="shared" si="17"/>
        <v/>
      </c>
      <c r="BO34" s="38" t="str">
        <f t="shared" si="18"/>
        <v/>
      </c>
      <c r="BP34" s="38" t="str">
        <f t="shared" si="19"/>
        <v/>
      </c>
      <c r="BQ34" s="38" t="str">
        <f t="shared" si="20"/>
        <v>[Link](http://www.therealpresence.org/eucharst/misc/BVM/71_GENAZZANO_60x96.pdf)</v>
      </c>
      <c r="BR34" s="38" t="str">
        <f t="shared" si="21"/>
        <v/>
      </c>
      <c r="BS34" s="38" t="str">
        <f t="shared" si="22"/>
        <v/>
      </c>
      <c r="BT34" s="38" t="str">
        <f>IF(LEN(concat(BQ34:BS34))&gt;0,concat("| ",BQ34," | ",BR34," | ",BS34," |"),"")</f>
        <v>| [Link](http://www.therealpresence.org/eucharst/misc/BVM/71_GENAZZANO_60x96.pdf) |  |  |</v>
      </c>
      <c r="BU34" s="37" t="str">
        <f t="shared" si="23"/>
        <v xml:space="preserve">| The Real Presence | Miracle Hunter | MaryPages |_x000D_
| --- | --- | --- |_x000D_
| [Link](http://www.therealpresence.org/eucharst/misc/BVM/71_GENAZZANO_60x96.pdf) |  |  |_x000D_
</v>
      </c>
      <c r="BV34" s="37" t="str">
        <f>IF(LEN(BP34&amp;BU34)&gt;0,concatll("#### Source Material",BP34,BU34),"")</f>
        <v xml:space="preserve">#### Source Material_x000D_
_x000D_
| The Real Presence | Miracle Hunter | MaryPages |_x000D_
| --- | --- | --- |_x000D_
| [Link](http://www.therealpresence.org/eucharst/misc/BVM/71_GENAZZANO_60x96.pdf) |  |  |_x000D_
_x000D_
_x000D_
</v>
      </c>
      <c r="BW34" s="37" t="str">
        <f>IF(LEN(O34)&gt;1,concatll("#### Author's Note",O34),"")</f>
        <v/>
      </c>
      <c r="BX34" s="24" t="str">
        <f>IF(AR34,concatll(concatl("---",AS34:AU34,BK34,"---"),N34,BV34:BW34),"")</f>
        <v/>
      </c>
      <c r="BY34" s="24" t="str">
        <f>IF(AR34,VLOOKUP(C34,'(Ref) Countries'!A:B,2,)&amp;IF(LEN(D34)&gt;1,"-"&amp;LOWER(SUBSTITUTE(D34," ","-")),"")&amp;"-"&amp;LOWER(SUBSTITUTE(I34," ","-"))&amp;".md","")</f>
        <v/>
      </c>
      <c r="BZ34" s="37" t="str">
        <f>IF(LEN(AG34)&gt;1,VLOOKUP(AG34,'Tag List'!$A:$B,2,),"")</f>
        <v/>
      </c>
      <c r="CA34" s="37" t="str">
        <f>IF(LEN(AH34)&gt;1,VLOOKUP(AH34,'Tag List'!$A:$B,2,),"")</f>
        <v/>
      </c>
      <c r="CB34" s="37" t="str">
        <f>IF(LEN(AI34)&gt;1,VLOOKUP(AI34,'Tag List'!$A:$B,2,),"")</f>
        <v/>
      </c>
      <c r="CC34" s="38" t="str">
        <f>IF(LEN(AG34)&gt;1,GetTagPage(BZ34,AG34),"")</f>
        <v/>
      </c>
      <c r="CD34" s="38" t="str">
        <f>IF(LEN(AH34)&gt;1,GetTagPage(CA34,AH34),"")</f>
        <v/>
      </c>
      <c r="CE34" s="38" t="str">
        <f>IF(LEN(AI34)&gt;1,GetTagPage(CB34,AI34),"")</f>
        <v/>
      </c>
      <c r="CF34" s="38" t="str">
        <f>"|"&amp;IF(LEN(CC34)&gt;1," "&amp;CC34,"")&amp;IF(LEN(CD34)&gt;1,", "&amp;CD34,"")&amp;IF(LEN(CE34)&gt;1,", "&amp;CE34,"")&amp;" "</f>
        <v xml:space="preserve">| </v>
      </c>
      <c r="CG34" s="38" t="str">
        <f>"| "&amp;IF(AR34,"["&amp;B34&amp;"](/places/"&amp;SUBSTITUTE(BY34,".md","")&amp;")",B34)&amp;" "</f>
        <v xml:space="preserve">| Genazzano </v>
      </c>
      <c r="CH34" s="38" t="str">
        <f>"| "&amp;IF(AR34,GetTagPage(C34,VLOOKUP(C34,'(Ref) Countries'!A:C,3,)),C34)&amp; " "</f>
        <v xml:space="preserve">| Italy </v>
      </c>
      <c r="CI34" s="38" t="str">
        <f>"| "&amp;E34&amp;" "</f>
        <v xml:space="preserve">| 1467 </v>
      </c>
      <c r="CJ34" s="38" t="str">
        <f>"|"&amp;IF(AR34," [Link](/places/"&amp;SUBSTITUTE(BY34,".md","")&amp;")","")&amp;" "</f>
        <v xml:space="preserve">| </v>
      </c>
      <c r="CK34" s="37" t="str">
        <f>"
"&amp;CG34&amp;CH34&amp;CI34&amp;CJ34&amp;BL34&amp;BQ34&amp;BR34&amp;BS34&amp;CF34&amp;"|"</f>
        <v xml:space="preserve">
| Genazzano | Italy | 1467 | [Link](http://www.therealpresence.org/eucharst/misc/BVM/71_GENAZZANO_60x96.pdf)| |</v>
      </c>
    </row>
    <row r="35" spans="1:89" x14ac:dyDescent="0.25">
      <c r="B35" s="28" t="s">
        <v>1210</v>
      </c>
      <c r="C35" s="29" t="s">
        <v>11</v>
      </c>
      <c r="E35" s="31">
        <v>1470</v>
      </c>
      <c r="J35" s="30" t="s">
        <v>1728</v>
      </c>
      <c r="K35" s="32" t="b">
        <v>1</v>
      </c>
      <c r="L35" s="30" t="b">
        <v>1</v>
      </c>
      <c r="P35" s="30" t="s">
        <v>336</v>
      </c>
      <c r="Q35" s="30" t="s">
        <v>336</v>
      </c>
      <c r="AA35" s="71" t="s">
        <v>210</v>
      </c>
      <c r="AB35" s="30" t="s">
        <v>336</v>
      </c>
      <c r="AC35" s="30" t="s">
        <v>336</v>
      </c>
      <c r="AD35" s="30" t="s">
        <v>336</v>
      </c>
      <c r="AE35" s="30" t="s">
        <v>336</v>
      </c>
      <c r="AF35" s="67" t="s">
        <v>336</v>
      </c>
      <c r="AG35" s="30" t="s">
        <v>336</v>
      </c>
      <c r="AR35" s="36" t="b">
        <f>IF(OR(A35="Done",A35="In Progress"),TRUE)</f>
        <v>0</v>
      </c>
      <c r="AS35" s="37" t="str">
        <f>"title: """&amp;H35&amp;""""</f>
        <v>title: ""</v>
      </c>
      <c r="AT35" s="37" t="str">
        <f>"location: {lat: "&amp;F35&amp;", lng: "&amp;G35&amp;"}"</f>
        <v>location: {lat: , lng: }</v>
      </c>
      <c r="AU35" s="37" t="str">
        <f>"level: "&amp;J35</f>
        <v>level: global</v>
      </c>
      <c r="AV35" s="37" t="str">
        <f>"- "&amp;VLOOKUP(C35,'(Ref) Countries'!A:C,3,)</f>
        <v>- italy</v>
      </c>
      <c r="AW35" s="37" t="str">
        <f t="shared" si="0"/>
        <v/>
      </c>
      <c r="AX35" s="37" t="str">
        <f t="shared" si="1"/>
        <v>- churches</v>
      </c>
      <c r="AY35" s="37" t="str">
        <f t="shared" si="2"/>
        <v>- marian-sites</v>
      </c>
      <c r="AZ35" s="37" t="str">
        <f t="shared" si="3"/>
        <v/>
      </c>
      <c r="BA35" s="37" t="str">
        <f t="shared" si="4"/>
        <v/>
      </c>
      <c r="BB35" s="37" t="str">
        <f t="shared" si="5"/>
        <v/>
      </c>
      <c r="BC35" s="37" t="str">
        <f t="shared" si="6"/>
        <v/>
      </c>
      <c r="BD35" s="37" t="str">
        <f t="shared" si="7"/>
        <v/>
      </c>
      <c r="BE35" s="37" t="str">
        <f t="shared" si="8"/>
        <v/>
      </c>
      <c r="BF35" s="37" t="str">
        <f t="shared" si="9"/>
        <v/>
      </c>
      <c r="BG35" s="37" t="str">
        <f t="shared" si="10"/>
        <v/>
      </c>
      <c r="BH35" s="37" t="str">
        <f t="shared" si="11"/>
        <v/>
      </c>
      <c r="BI35" s="37" t="str">
        <f t="shared" si="12"/>
        <v/>
      </c>
      <c r="BJ35" s="37" t="str">
        <f t="shared" si="13"/>
        <v/>
      </c>
      <c r="BK35" s="37" t="str">
        <f t="shared" si="14"/>
        <v xml:space="preserve">tags:
- italy_x000D_
- churches_x000D_
- marian-sites_x000D_
</v>
      </c>
      <c r="BL35" s="38" t="str">
        <f t="shared" si="15"/>
        <v/>
      </c>
      <c r="BM35" s="38" t="str">
        <f t="shared" si="16"/>
        <v/>
      </c>
      <c r="BN35" s="38" t="str">
        <f t="shared" si="17"/>
        <v/>
      </c>
      <c r="BO35" s="38" t="str">
        <f t="shared" si="18"/>
        <v/>
      </c>
      <c r="BP35" s="38" t="str">
        <f t="shared" si="19"/>
        <v/>
      </c>
      <c r="BQ35" s="38" t="str">
        <f t="shared" si="20"/>
        <v>[Link](http://www.therealpresence.org/eucharst/misc/BVM/75_BADIA_DI_CAVA_60x96.pdf)</v>
      </c>
      <c r="BR35" s="38" t="str">
        <f t="shared" si="21"/>
        <v/>
      </c>
      <c r="BS35" s="38" t="str">
        <f t="shared" si="22"/>
        <v/>
      </c>
      <c r="BT35" s="38" t="str">
        <f>IF(LEN(concat(BQ35:BS35))&gt;0,concat("| ",BQ35," | ",BR35," | ",BS35," |"),"")</f>
        <v>| [Link](http://www.therealpresence.org/eucharst/misc/BVM/75_BADIA_DI_CAVA_60x96.pdf) |  |  |</v>
      </c>
      <c r="BU35" s="37" t="str">
        <f t="shared" si="23"/>
        <v xml:space="preserve">| The Real Presence | Miracle Hunter | MaryPages |_x000D_
| --- | --- | --- |_x000D_
| [Link](http://www.therealpresence.org/eucharst/misc/BVM/75_BADIA_DI_CAVA_60x96.pdf) |  |  |_x000D_
</v>
      </c>
      <c r="BV35" s="37" t="str">
        <f>IF(LEN(BP35&amp;BU35)&gt;0,concatll("#### Source Material",BP35,BU35),"")</f>
        <v xml:space="preserve">#### Source Material_x000D_
_x000D_
| The Real Presence | Miracle Hunter | MaryPages |_x000D_
| --- | --- | --- |_x000D_
| [Link](http://www.therealpresence.org/eucharst/misc/BVM/75_BADIA_DI_CAVA_60x96.pdf) |  |  |_x000D_
_x000D_
_x000D_
</v>
      </c>
      <c r="BW35" s="37" t="str">
        <f>IF(LEN(O35)&gt;1,concatll("#### Author's Note",O35),"")</f>
        <v/>
      </c>
      <c r="BX35" s="24" t="str">
        <f>IF(AR35,concatll(concatl("---",AS35:AU35,BK35,"---"),N35,BV35:BW35),"")</f>
        <v/>
      </c>
      <c r="BY35" s="24" t="str">
        <f>IF(AR35,VLOOKUP(C35,'(Ref) Countries'!A:B,2,)&amp;IF(LEN(D35)&gt;1,"-"&amp;LOWER(SUBSTITUTE(D35," ","-")),"")&amp;"-"&amp;LOWER(SUBSTITUTE(I35," ","-"))&amp;".md","")</f>
        <v/>
      </c>
      <c r="BZ35" s="37" t="str">
        <f>IF(LEN(AG35)&gt;1,VLOOKUP(AG35,'Tag List'!$A:$B,2,),"")</f>
        <v/>
      </c>
      <c r="CA35" s="37" t="str">
        <f>IF(LEN(AH35)&gt;1,VLOOKUP(AH35,'Tag List'!$A:$B,2,),"")</f>
        <v/>
      </c>
      <c r="CB35" s="37" t="str">
        <f>IF(LEN(AI35)&gt;1,VLOOKUP(AI35,'Tag List'!$A:$B,2,),"")</f>
        <v/>
      </c>
      <c r="CC35" s="38" t="str">
        <f>IF(LEN(AG35)&gt;1,GetTagPage(BZ35,AG35),"")</f>
        <v/>
      </c>
      <c r="CD35" s="38" t="str">
        <f>IF(LEN(AH35)&gt;1,GetTagPage(CA35,AH35),"")</f>
        <v/>
      </c>
      <c r="CE35" s="38" t="str">
        <f>IF(LEN(AI35)&gt;1,GetTagPage(CB35,AI35),"")</f>
        <v/>
      </c>
      <c r="CF35" s="38" t="str">
        <f>"|"&amp;IF(LEN(CC35)&gt;1," "&amp;CC35,"")&amp;IF(LEN(CD35)&gt;1,", "&amp;CD35,"")&amp;IF(LEN(CE35)&gt;1,", "&amp;CE35,"")&amp;" "</f>
        <v xml:space="preserve">| </v>
      </c>
      <c r="CG35" s="38" t="str">
        <f>"| "&amp;IF(AR35,"["&amp;B35&amp;"](/places/"&amp;SUBSTITUTE(BY35,".md","")&amp;")",B35)&amp;" "</f>
        <v xml:space="preserve">| Badia Di Cava </v>
      </c>
      <c r="CH35" s="38" t="str">
        <f>"| "&amp;IF(AR35,GetTagPage(C35,VLOOKUP(C35,'(Ref) Countries'!A:C,3,)),C35)&amp; " "</f>
        <v xml:space="preserve">| Italy </v>
      </c>
      <c r="CI35" s="38" t="str">
        <f>"| "&amp;E35&amp;" "</f>
        <v xml:space="preserve">| 1470 </v>
      </c>
      <c r="CJ35" s="38" t="str">
        <f>"|"&amp;IF(AR35," [Link](/places/"&amp;SUBSTITUTE(BY35,".md","")&amp;")","")&amp;" "</f>
        <v xml:space="preserve">| </v>
      </c>
      <c r="CK35" s="37" t="str">
        <f>"
"&amp;CG35&amp;CH35&amp;CI35&amp;CJ35&amp;BL35&amp;BQ35&amp;BR35&amp;BS35&amp;CF35&amp;"|"</f>
        <v xml:space="preserve">
| Badia Di Cava | Italy | 1470 | [Link](http://www.therealpresence.org/eucharst/misc/BVM/75_BADIA_DI_CAVA_60x96.pdf)| |</v>
      </c>
    </row>
    <row r="36" spans="1:89" x14ac:dyDescent="0.25">
      <c r="B36" s="28" t="s">
        <v>1211</v>
      </c>
      <c r="C36" s="29" t="s">
        <v>11</v>
      </c>
      <c r="E36" s="31">
        <v>1480</v>
      </c>
      <c r="J36" s="30" t="s">
        <v>1728</v>
      </c>
      <c r="K36" s="32" t="b">
        <v>1</v>
      </c>
      <c r="L36" s="30" t="b">
        <v>1</v>
      </c>
      <c r="P36" s="30" t="s">
        <v>336</v>
      </c>
      <c r="Q36" s="30" t="s">
        <v>336</v>
      </c>
      <c r="AA36" s="71" t="s">
        <v>211</v>
      </c>
      <c r="AB36" s="30" t="s">
        <v>336</v>
      </c>
      <c r="AC36" s="30" t="s">
        <v>336</v>
      </c>
      <c r="AD36" s="30" t="s">
        <v>336</v>
      </c>
      <c r="AE36" s="30" t="s">
        <v>336</v>
      </c>
      <c r="AF36" s="67" t="s">
        <v>336</v>
      </c>
      <c r="AG36" s="30" t="s">
        <v>336</v>
      </c>
      <c r="AR36" s="36" t="b">
        <f>IF(OR(A36="Done",A36="In Progress"),TRUE)</f>
        <v>0</v>
      </c>
      <c r="AS36" s="37" t="str">
        <f>"title: """&amp;H36&amp;""""</f>
        <v>title: ""</v>
      </c>
      <c r="AT36" s="37" t="str">
        <f>"location: {lat: "&amp;F36&amp;", lng: "&amp;G36&amp;"}"</f>
        <v>location: {lat: , lng: }</v>
      </c>
      <c r="AU36" s="37" t="str">
        <f>"level: "&amp;J36</f>
        <v>level: global</v>
      </c>
      <c r="AV36" s="37" t="str">
        <f>"- "&amp;VLOOKUP(C36,'(Ref) Countries'!A:C,3,)</f>
        <v>- italy</v>
      </c>
      <c r="AW36" s="37" t="str">
        <f t="shared" si="0"/>
        <v/>
      </c>
      <c r="AX36" s="37" t="str">
        <f t="shared" si="1"/>
        <v>- churches</v>
      </c>
      <c r="AY36" s="37" t="str">
        <f t="shared" si="2"/>
        <v>- marian-sites</v>
      </c>
      <c r="AZ36" s="37" t="str">
        <f t="shared" si="3"/>
        <v/>
      </c>
      <c r="BA36" s="37" t="str">
        <f t="shared" si="4"/>
        <v/>
      </c>
      <c r="BB36" s="37" t="str">
        <f t="shared" si="5"/>
        <v/>
      </c>
      <c r="BC36" s="37" t="str">
        <f t="shared" si="6"/>
        <v/>
      </c>
      <c r="BD36" s="37" t="str">
        <f t="shared" si="7"/>
        <v/>
      </c>
      <c r="BE36" s="37" t="str">
        <f t="shared" si="8"/>
        <v/>
      </c>
      <c r="BF36" s="37" t="str">
        <f t="shared" si="9"/>
        <v/>
      </c>
      <c r="BG36" s="37" t="str">
        <f t="shared" si="10"/>
        <v/>
      </c>
      <c r="BH36" s="37" t="str">
        <f t="shared" si="11"/>
        <v/>
      </c>
      <c r="BI36" s="37" t="str">
        <f t="shared" si="12"/>
        <v/>
      </c>
      <c r="BJ36" s="37" t="str">
        <f t="shared" si="13"/>
        <v/>
      </c>
      <c r="BK36" s="37" t="str">
        <f t="shared" si="14"/>
        <v xml:space="preserve">tags:
- italy_x000D_
- churches_x000D_
- marian-sites_x000D_
</v>
      </c>
      <c r="BL36" s="38" t="str">
        <f t="shared" si="15"/>
        <v/>
      </c>
      <c r="BM36" s="38" t="str">
        <f t="shared" si="16"/>
        <v/>
      </c>
      <c r="BN36" s="38" t="str">
        <f t="shared" si="17"/>
        <v/>
      </c>
      <c r="BO36" s="38" t="str">
        <f t="shared" si="18"/>
        <v/>
      </c>
      <c r="BP36" s="38" t="str">
        <f t="shared" si="19"/>
        <v/>
      </c>
      <c r="BQ36" s="38" t="str">
        <f t="shared" si="20"/>
        <v>[Link](http://www.therealpresence.org/eucharst/misc/BVM/42_BOCCADIRIO_60x96.pdf)</v>
      </c>
      <c r="BR36" s="38" t="str">
        <f t="shared" si="21"/>
        <v/>
      </c>
      <c r="BS36" s="38" t="str">
        <f t="shared" si="22"/>
        <v/>
      </c>
      <c r="BT36" s="38" t="str">
        <f>IF(LEN(concat(BQ36:BS36))&gt;0,concat("| ",BQ36," | ",BR36," | ",BS36," |"),"")</f>
        <v>| [Link](http://www.therealpresence.org/eucharst/misc/BVM/42_BOCCADIRIO_60x96.pdf) |  |  |</v>
      </c>
      <c r="BU36" s="37" t="str">
        <f t="shared" si="23"/>
        <v xml:space="preserve">| The Real Presence | Miracle Hunter | MaryPages |_x000D_
| --- | --- | --- |_x000D_
| [Link](http://www.therealpresence.org/eucharst/misc/BVM/42_BOCCADIRIO_60x96.pdf) |  |  |_x000D_
</v>
      </c>
      <c r="BV36" s="37" t="str">
        <f>IF(LEN(BP36&amp;BU36)&gt;0,concatll("#### Source Material",BP36,BU36),"")</f>
        <v xml:space="preserve">#### Source Material_x000D_
_x000D_
| The Real Presence | Miracle Hunter | MaryPages |_x000D_
| --- | --- | --- |_x000D_
| [Link](http://www.therealpresence.org/eucharst/misc/BVM/42_BOCCADIRIO_60x96.pdf) |  |  |_x000D_
_x000D_
_x000D_
</v>
      </c>
      <c r="BW36" s="37" t="str">
        <f>IF(LEN(O36)&gt;1,concatll("#### Author's Note",O36),"")</f>
        <v/>
      </c>
      <c r="BX36" s="24" t="str">
        <f>IF(AR36,concatll(concatl("---",AS36:AU36,BK36,"---"),N36,BV36:BW36),"")</f>
        <v/>
      </c>
      <c r="BY36" s="24" t="str">
        <f>IF(AR36,VLOOKUP(C36,'(Ref) Countries'!A:B,2,)&amp;IF(LEN(D36)&gt;1,"-"&amp;LOWER(SUBSTITUTE(D36," ","-")),"")&amp;"-"&amp;LOWER(SUBSTITUTE(I36," ","-"))&amp;".md","")</f>
        <v/>
      </c>
      <c r="BZ36" s="37" t="str">
        <f>IF(LEN(AG36)&gt;1,VLOOKUP(AG36,'Tag List'!$A:$B,2,),"")</f>
        <v/>
      </c>
      <c r="CA36" s="37" t="str">
        <f>IF(LEN(AH36)&gt;1,VLOOKUP(AH36,'Tag List'!$A:$B,2,),"")</f>
        <v/>
      </c>
      <c r="CB36" s="37" t="str">
        <f>IF(LEN(AI36)&gt;1,VLOOKUP(AI36,'Tag List'!$A:$B,2,),"")</f>
        <v/>
      </c>
      <c r="CC36" s="38" t="str">
        <f>IF(LEN(AG36)&gt;1,GetTagPage(BZ36,AG36),"")</f>
        <v/>
      </c>
      <c r="CD36" s="38" t="str">
        <f>IF(LEN(AH36)&gt;1,GetTagPage(CA36,AH36),"")</f>
        <v/>
      </c>
      <c r="CE36" s="38" t="str">
        <f>IF(LEN(AI36)&gt;1,GetTagPage(CB36,AI36),"")</f>
        <v/>
      </c>
      <c r="CF36" s="38" t="str">
        <f>"|"&amp;IF(LEN(CC36)&gt;1," "&amp;CC36,"")&amp;IF(LEN(CD36)&gt;1,", "&amp;CD36,"")&amp;IF(LEN(CE36)&gt;1,", "&amp;CE36,"")&amp;" "</f>
        <v xml:space="preserve">| </v>
      </c>
      <c r="CG36" s="38" t="str">
        <f>"| "&amp;IF(AR36,"["&amp;B36&amp;"](/places/"&amp;SUBSTITUTE(BY36,".md","")&amp;")",B36)&amp;" "</f>
        <v xml:space="preserve">| Boccadirio </v>
      </c>
      <c r="CH36" s="38" t="str">
        <f>"| "&amp;IF(AR36,GetTagPage(C36,VLOOKUP(C36,'(Ref) Countries'!A:C,3,)),C36)&amp; " "</f>
        <v xml:space="preserve">| Italy </v>
      </c>
      <c r="CI36" s="38" t="str">
        <f>"| "&amp;E36&amp;" "</f>
        <v xml:space="preserve">| 1480 </v>
      </c>
      <c r="CJ36" s="38" t="str">
        <f>"|"&amp;IF(AR36," [Link](/places/"&amp;SUBSTITUTE(BY36,".md","")&amp;")","")&amp;" "</f>
        <v xml:space="preserve">| </v>
      </c>
      <c r="CK36" s="37" t="str">
        <f>"
"&amp;CG36&amp;CH36&amp;CI36&amp;CJ36&amp;BL36&amp;BQ36&amp;BR36&amp;BS36&amp;CF36&amp;"|"</f>
        <v xml:space="preserve">
| Boccadirio | Italy | 1480 | [Link](http://www.therealpresence.org/eucharst/misc/BVM/42_BOCCADIRIO_60x96.pdf)| |</v>
      </c>
    </row>
    <row r="37" spans="1:89" x14ac:dyDescent="0.25">
      <c r="B37" s="28" t="s">
        <v>1212</v>
      </c>
      <c r="C37" s="29" t="s">
        <v>552</v>
      </c>
      <c r="E37" s="31">
        <v>1481</v>
      </c>
      <c r="J37" s="30" t="s">
        <v>1728</v>
      </c>
      <c r="K37" s="32" t="b">
        <v>1</v>
      </c>
      <c r="L37" s="30" t="b">
        <v>1</v>
      </c>
      <c r="P37" s="30" t="s">
        <v>336</v>
      </c>
      <c r="Q37" s="30" t="s">
        <v>336</v>
      </c>
      <c r="AA37" s="71" t="s">
        <v>212</v>
      </c>
      <c r="AB37" s="30" t="s">
        <v>336</v>
      </c>
      <c r="AC37" s="30" t="s">
        <v>336</v>
      </c>
      <c r="AD37" s="30" t="s">
        <v>336</v>
      </c>
      <c r="AE37" s="30" t="s">
        <v>336</v>
      </c>
      <c r="AF37" s="67" t="s">
        <v>336</v>
      </c>
      <c r="AG37" s="30" t="s">
        <v>336</v>
      </c>
      <c r="AR37" s="36" t="b">
        <f>IF(OR(A37="Done",A37="In Progress"),TRUE)</f>
        <v>0</v>
      </c>
      <c r="AS37" s="37" t="str">
        <f>"title: """&amp;H37&amp;""""</f>
        <v>title: ""</v>
      </c>
      <c r="AT37" s="37" t="str">
        <f>"location: {lat: "&amp;F37&amp;", lng: "&amp;G37&amp;"}"</f>
        <v>location: {lat: , lng: }</v>
      </c>
      <c r="AU37" s="37" t="str">
        <f>"level: "&amp;J37</f>
        <v>level: global</v>
      </c>
      <c r="AV37" s="37" t="str">
        <f>"- "&amp;VLOOKUP(C37,'(Ref) Countries'!A:C,3,)</f>
        <v>- spain</v>
      </c>
      <c r="AW37" s="37" t="str">
        <f t="shared" si="0"/>
        <v/>
      </c>
      <c r="AX37" s="37" t="str">
        <f t="shared" si="1"/>
        <v>- churches</v>
      </c>
      <c r="AY37" s="37" t="str">
        <f t="shared" si="2"/>
        <v>- marian-sites</v>
      </c>
      <c r="AZ37" s="37" t="str">
        <f t="shared" si="3"/>
        <v/>
      </c>
      <c r="BA37" s="37" t="str">
        <f t="shared" si="4"/>
        <v/>
      </c>
      <c r="BB37" s="37" t="str">
        <f t="shared" si="5"/>
        <v/>
      </c>
      <c r="BC37" s="37" t="str">
        <f t="shared" si="6"/>
        <v/>
      </c>
      <c r="BD37" s="37" t="str">
        <f t="shared" si="7"/>
        <v/>
      </c>
      <c r="BE37" s="37" t="str">
        <f t="shared" si="8"/>
        <v/>
      </c>
      <c r="BF37" s="37" t="str">
        <f t="shared" si="9"/>
        <v/>
      </c>
      <c r="BG37" s="37" t="str">
        <f t="shared" si="10"/>
        <v/>
      </c>
      <c r="BH37" s="37" t="str">
        <f t="shared" si="11"/>
        <v/>
      </c>
      <c r="BI37" s="37" t="str">
        <f t="shared" si="12"/>
        <v/>
      </c>
      <c r="BJ37" s="37" t="str">
        <f t="shared" si="13"/>
        <v/>
      </c>
      <c r="BK37" s="37" t="str">
        <f t="shared" si="14"/>
        <v xml:space="preserve">tags:
- spain_x000D_
- churches_x000D_
- marian-sites_x000D_
</v>
      </c>
      <c r="BL37" s="38" t="str">
        <f t="shared" si="15"/>
        <v/>
      </c>
      <c r="BM37" s="38" t="str">
        <f t="shared" si="16"/>
        <v/>
      </c>
      <c r="BN37" s="38" t="str">
        <f t="shared" si="17"/>
        <v/>
      </c>
      <c r="BO37" s="38" t="str">
        <f t="shared" si="18"/>
        <v/>
      </c>
      <c r="BP37" s="38" t="str">
        <f t="shared" si="19"/>
        <v/>
      </c>
      <c r="BQ37" s="38" t="str">
        <f t="shared" si="20"/>
        <v>[Link](http://www.therealpresence.org/eucharst/misc/BVM/106_TEROR_60x96.pdf)</v>
      </c>
      <c r="BR37" s="38" t="str">
        <f t="shared" si="21"/>
        <v/>
      </c>
      <c r="BS37" s="38" t="str">
        <f t="shared" si="22"/>
        <v/>
      </c>
      <c r="BT37" s="38" t="str">
        <f>IF(LEN(concat(BQ37:BS37))&gt;0,concat("| ",BQ37," | ",BR37," | ",BS37," |"),"")</f>
        <v>| [Link](http://www.therealpresence.org/eucharst/misc/BVM/106_TEROR_60x96.pdf) |  |  |</v>
      </c>
      <c r="BU37" s="37" t="str">
        <f t="shared" si="23"/>
        <v xml:space="preserve">| The Real Presence | Miracle Hunter | MaryPages |_x000D_
| --- | --- | --- |_x000D_
| [Link](http://www.therealpresence.org/eucharst/misc/BVM/106_TEROR_60x96.pdf) |  |  |_x000D_
</v>
      </c>
      <c r="BV37" s="37" t="str">
        <f>IF(LEN(BP37&amp;BU37)&gt;0,concatll("#### Source Material",BP37,BU37),"")</f>
        <v xml:space="preserve">#### Source Material_x000D_
_x000D_
| The Real Presence | Miracle Hunter | MaryPages |_x000D_
| --- | --- | --- |_x000D_
| [Link](http://www.therealpresence.org/eucharst/misc/BVM/106_TEROR_60x96.pdf) |  |  |_x000D_
_x000D_
_x000D_
</v>
      </c>
      <c r="BW37" s="37" t="str">
        <f>IF(LEN(O37)&gt;1,concatll("#### Author's Note",O37),"")</f>
        <v/>
      </c>
      <c r="BX37" s="24" t="str">
        <f>IF(AR37,concatll(concatl("---",AS37:AU37,BK37,"---"),N37,BV37:BW37),"")</f>
        <v/>
      </c>
      <c r="BY37" s="24" t="str">
        <f>IF(AR37,VLOOKUP(C37,'(Ref) Countries'!A:B,2,)&amp;IF(LEN(D37)&gt;1,"-"&amp;LOWER(SUBSTITUTE(D37," ","-")),"")&amp;"-"&amp;LOWER(SUBSTITUTE(I37," ","-"))&amp;".md","")</f>
        <v/>
      </c>
      <c r="BZ37" s="37" t="str">
        <f>IF(LEN(AG37)&gt;1,VLOOKUP(AG37,'Tag List'!$A:$B,2,),"")</f>
        <v/>
      </c>
      <c r="CA37" s="37" t="str">
        <f>IF(LEN(AH37)&gt;1,VLOOKUP(AH37,'Tag List'!$A:$B,2,),"")</f>
        <v/>
      </c>
      <c r="CB37" s="37" t="str">
        <f>IF(LEN(AI37)&gt;1,VLOOKUP(AI37,'Tag List'!$A:$B,2,),"")</f>
        <v/>
      </c>
      <c r="CC37" s="38" t="str">
        <f>IF(LEN(AG37)&gt;1,GetTagPage(BZ37,AG37),"")</f>
        <v/>
      </c>
      <c r="CD37" s="38" t="str">
        <f>IF(LEN(AH37)&gt;1,GetTagPage(CA37,AH37),"")</f>
        <v/>
      </c>
      <c r="CE37" s="38" t="str">
        <f>IF(LEN(AI37)&gt;1,GetTagPage(CB37,AI37),"")</f>
        <v/>
      </c>
      <c r="CF37" s="38" t="str">
        <f>"|"&amp;IF(LEN(CC37)&gt;1," "&amp;CC37,"")&amp;IF(LEN(CD37)&gt;1,", "&amp;CD37,"")&amp;IF(LEN(CE37)&gt;1,", "&amp;CE37,"")&amp;" "</f>
        <v xml:space="preserve">| </v>
      </c>
      <c r="CG37" s="38" t="str">
        <f>"| "&amp;IF(AR37,"["&amp;B37&amp;"](/places/"&amp;SUBSTITUTE(BY37,".md","")&amp;")",B37)&amp;" "</f>
        <v xml:space="preserve">| Teror </v>
      </c>
      <c r="CH37" s="38" t="str">
        <f>"| "&amp;IF(AR37,GetTagPage(C37,VLOOKUP(C37,'(Ref) Countries'!A:C,3,)),C37)&amp; " "</f>
        <v xml:space="preserve">| Spain </v>
      </c>
      <c r="CI37" s="38" t="str">
        <f>"| "&amp;E37&amp;" "</f>
        <v xml:space="preserve">| 1481 </v>
      </c>
      <c r="CJ37" s="38" t="str">
        <f>"|"&amp;IF(AR37," [Link](/places/"&amp;SUBSTITUTE(BY37,".md","")&amp;")","")&amp;" "</f>
        <v xml:space="preserve">| </v>
      </c>
      <c r="CK37" s="37" t="str">
        <f>"
"&amp;CG37&amp;CH37&amp;CI37&amp;CJ37&amp;BL37&amp;BQ37&amp;BR37&amp;BS37&amp;CF37&amp;"|"</f>
        <v xml:space="preserve">
| Teror | Spain | 1481 | [Link](http://www.therealpresence.org/eucharst/misc/BVM/106_TEROR_60x96.pdf)| |</v>
      </c>
    </row>
    <row r="38" spans="1:89" x14ac:dyDescent="0.25">
      <c r="B38" s="28" t="s">
        <v>1213</v>
      </c>
      <c r="C38" s="29" t="s">
        <v>11</v>
      </c>
      <c r="E38" s="31">
        <v>1483</v>
      </c>
      <c r="J38" s="30" t="s">
        <v>1728</v>
      </c>
      <c r="K38" s="32" t="b">
        <v>1</v>
      </c>
      <c r="L38" s="30" t="b">
        <v>1</v>
      </c>
      <c r="P38" s="30" t="s">
        <v>336</v>
      </c>
      <c r="Q38" s="30" t="s">
        <v>336</v>
      </c>
      <c r="AA38" s="71" t="s">
        <v>213</v>
      </c>
      <c r="AB38" s="30" t="s">
        <v>336</v>
      </c>
      <c r="AC38" s="30" t="s">
        <v>336</v>
      </c>
      <c r="AD38" s="30" t="s">
        <v>336</v>
      </c>
      <c r="AE38" s="30" t="s">
        <v>336</v>
      </c>
      <c r="AF38" s="67" t="s">
        <v>336</v>
      </c>
      <c r="AG38" s="30" t="s">
        <v>336</v>
      </c>
      <c r="AR38" s="36" t="b">
        <f>IF(OR(A38="Done",A38="In Progress"),TRUE)</f>
        <v>0</v>
      </c>
      <c r="AS38" s="37" t="str">
        <f>"title: """&amp;H38&amp;""""</f>
        <v>title: ""</v>
      </c>
      <c r="AT38" s="37" t="str">
        <f>"location: {lat: "&amp;F38&amp;", lng: "&amp;G38&amp;"}"</f>
        <v>location: {lat: , lng: }</v>
      </c>
      <c r="AU38" s="37" t="str">
        <f>"level: "&amp;J38</f>
        <v>level: global</v>
      </c>
      <c r="AV38" s="37" t="str">
        <f>"- "&amp;VLOOKUP(C38,'(Ref) Countries'!A:C,3,)</f>
        <v>- italy</v>
      </c>
      <c r="AW38" s="37" t="str">
        <f t="shared" si="0"/>
        <v/>
      </c>
      <c r="AX38" s="37" t="str">
        <f t="shared" si="1"/>
        <v>- churches</v>
      </c>
      <c r="AY38" s="37" t="str">
        <f t="shared" si="2"/>
        <v>- marian-sites</v>
      </c>
      <c r="AZ38" s="37" t="str">
        <f t="shared" si="3"/>
        <v/>
      </c>
      <c r="BA38" s="37" t="str">
        <f t="shared" si="4"/>
        <v/>
      </c>
      <c r="BB38" s="37" t="str">
        <f t="shared" si="5"/>
        <v/>
      </c>
      <c r="BC38" s="37" t="str">
        <f t="shared" si="6"/>
        <v/>
      </c>
      <c r="BD38" s="37" t="str">
        <f t="shared" si="7"/>
        <v/>
      </c>
      <c r="BE38" s="37" t="str">
        <f t="shared" si="8"/>
        <v/>
      </c>
      <c r="BF38" s="37" t="str">
        <f t="shared" si="9"/>
        <v/>
      </c>
      <c r="BG38" s="37" t="str">
        <f t="shared" si="10"/>
        <v/>
      </c>
      <c r="BH38" s="37" t="str">
        <f t="shared" si="11"/>
        <v/>
      </c>
      <c r="BI38" s="37" t="str">
        <f t="shared" si="12"/>
        <v/>
      </c>
      <c r="BJ38" s="37" t="str">
        <f t="shared" si="13"/>
        <v/>
      </c>
      <c r="BK38" s="37" t="str">
        <f t="shared" si="14"/>
        <v xml:space="preserve">tags:
- italy_x000D_
- churches_x000D_
- marian-sites_x000D_
</v>
      </c>
      <c r="BL38" s="38" t="str">
        <f t="shared" si="15"/>
        <v/>
      </c>
      <c r="BM38" s="38" t="str">
        <f t="shared" si="16"/>
        <v/>
      </c>
      <c r="BN38" s="38" t="str">
        <f t="shared" si="17"/>
        <v/>
      </c>
      <c r="BO38" s="38" t="str">
        <f t="shared" si="18"/>
        <v/>
      </c>
      <c r="BP38" s="38" t="str">
        <f t="shared" si="19"/>
        <v/>
      </c>
      <c r="BQ38" s="38" t="str">
        <f t="shared" si="20"/>
        <v>[Link](http://www.therealpresence.org/eucharst/misc/BVM/49_IMOLA_60x96.pdf)</v>
      </c>
      <c r="BR38" s="38" t="str">
        <f t="shared" si="21"/>
        <v/>
      </c>
      <c r="BS38" s="38" t="str">
        <f t="shared" si="22"/>
        <v/>
      </c>
      <c r="BT38" s="38" t="str">
        <f>IF(LEN(concat(BQ38:BS38))&gt;0,concat("| ",BQ38," | ",BR38," | ",BS38," |"),"")</f>
        <v>| [Link](http://www.therealpresence.org/eucharst/misc/BVM/49_IMOLA_60x96.pdf) |  |  |</v>
      </c>
      <c r="BU38" s="37" t="str">
        <f t="shared" si="23"/>
        <v xml:space="preserve">| The Real Presence | Miracle Hunter | MaryPages |_x000D_
| --- | --- | --- |_x000D_
| [Link](http://www.therealpresence.org/eucharst/misc/BVM/49_IMOLA_60x96.pdf) |  |  |_x000D_
</v>
      </c>
      <c r="BV38" s="37" t="str">
        <f>IF(LEN(BP38&amp;BU38)&gt;0,concatll("#### Source Material",BP38,BU38),"")</f>
        <v xml:space="preserve">#### Source Material_x000D_
_x000D_
| The Real Presence | Miracle Hunter | MaryPages |_x000D_
| --- | --- | --- |_x000D_
| [Link](http://www.therealpresence.org/eucharst/misc/BVM/49_IMOLA_60x96.pdf) |  |  |_x000D_
_x000D_
_x000D_
</v>
      </c>
      <c r="BW38" s="37" t="str">
        <f>IF(LEN(O38)&gt;1,concatll("#### Author's Note",O38),"")</f>
        <v/>
      </c>
      <c r="BX38" s="24" t="str">
        <f>IF(AR38,concatll(concatl("---",AS38:AU38,BK38,"---"),N38,BV38:BW38),"")</f>
        <v/>
      </c>
      <c r="BY38" s="24" t="str">
        <f>IF(AR38,VLOOKUP(C38,'(Ref) Countries'!A:B,2,)&amp;IF(LEN(D38)&gt;1,"-"&amp;LOWER(SUBSTITUTE(D38," ","-")),"")&amp;"-"&amp;LOWER(SUBSTITUTE(I38," ","-"))&amp;".md","")</f>
        <v/>
      </c>
      <c r="BZ38" s="37" t="str">
        <f>IF(LEN(AG38)&gt;1,VLOOKUP(AG38,'Tag List'!$A:$B,2,),"")</f>
        <v/>
      </c>
      <c r="CA38" s="37" t="str">
        <f>IF(LEN(AH38)&gt;1,VLOOKUP(AH38,'Tag List'!$A:$B,2,),"")</f>
        <v/>
      </c>
      <c r="CB38" s="37" t="str">
        <f>IF(LEN(AI38)&gt;1,VLOOKUP(AI38,'Tag List'!$A:$B,2,),"")</f>
        <v/>
      </c>
      <c r="CC38" s="38" t="str">
        <f>IF(LEN(AG38)&gt;1,GetTagPage(BZ38,AG38),"")</f>
        <v/>
      </c>
      <c r="CD38" s="38" t="str">
        <f>IF(LEN(AH38)&gt;1,GetTagPage(CA38,AH38),"")</f>
        <v/>
      </c>
      <c r="CE38" s="38" t="str">
        <f>IF(LEN(AI38)&gt;1,GetTagPage(CB38,AI38),"")</f>
        <v/>
      </c>
      <c r="CF38" s="38" t="str">
        <f>"|"&amp;IF(LEN(CC38)&gt;1," "&amp;CC38,"")&amp;IF(LEN(CD38)&gt;1,", "&amp;CD38,"")&amp;IF(LEN(CE38)&gt;1,", "&amp;CE38,"")&amp;" "</f>
        <v xml:space="preserve">| </v>
      </c>
      <c r="CG38" s="38" t="str">
        <f>"| "&amp;IF(AR38,"["&amp;B38&amp;"](/places/"&amp;SUBSTITUTE(BY38,".md","")&amp;")",B38)&amp;" "</f>
        <v xml:space="preserve">| Imola </v>
      </c>
      <c r="CH38" s="38" t="str">
        <f>"| "&amp;IF(AR38,GetTagPage(C38,VLOOKUP(C38,'(Ref) Countries'!A:C,3,)),C38)&amp; " "</f>
        <v xml:space="preserve">| Italy </v>
      </c>
      <c r="CI38" s="38" t="str">
        <f>"| "&amp;E38&amp;" "</f>
        <v xml:space="preserve">| 1483 </v>
      </c>
      <c r="CJ38" s="38" t="str">
        <f>"|"&amp;IF(AR38," [Link](/places/"&amp;SUBSTITUTE(BY38,".md","")&amp;")","")&amp;" "</f>
        <v xml:space="preserve">| </v>
      </c>
      <c r="CK38" s="37" t="str">
        <f>"
"&amp;CG38&amp;CH38&amp;CI38&amp;CJ38&amp;BL38&amp;BQ38&amp;BR38&amp;BS38&amp;CF38&amp;"|"</f>
        <v xml:space="preserve">
| Imola | Italy | 1483 | [Link](http://www.therealpresence.org/eucharst/misc/BVM/49_IMOLA_60x96.pdf)| |</v>
      </c>
    </row>
    <row r="39" spans="1:89" x14ac:dyDescent="0.25">
      <c r="B39" s="28" t="s">
        <v>1214</v>
      </c>
      <c r="C39" s="29" t="s">
        <v>552</v>
      </c>
      <c r="E39" s="31">
        <v>1484</v>
      </c>
      <c r="J39" s="30" t="s">
        <v>1728</v>
      </c>
      <c r="K39" s="32" t="b">
        <v>1</v>
      </c>
      <c r="L39" s="30" t="b">
        <v>1</v>
      </c>
      <c r="P39" s="30" t="s">
        <v>336</v>
      </c>
      <c r="Q39" s="30" t="s">
        <v>336</v>
      </c>
      <c r="AA39" s="71" t="s">
        <v>214</v>
      </c>
      <c r="AB39" s="30" t="s">
        <v>336</v>
      </c>
      <c r="AC39" s="30" t="s">
        <v>336</v>
      </c>
      <c r="AD39" s="30" t="s">
        <v>336</v>
      </c>
      <c r="AE39" s="30" t="s">
        <v>336</v>
      </c>
      <c r="AF39" s="67" t="s">
        <v>336</v>
      </c>
      <c r="AG39" s="30" t="s">
        <v>336</v>
      </c>
      <c r="AR39" s="36" t="b">
        <f>IF(OR(A39="Done",A39="In Progress"),TRUE)</f>
        <v>0</v>
      </c>
      <c r="AS39" s="37" t="str">
        <f>"title: """&amp;H39&amp;""""</f>
        <v>title: ""</v>
      </c>
      <c r="AT39" s="37" t="str">
        <f>"location: {lat: "&amp;F39&amp;", lng: "&amp;G39&amp;"}"</f>
        <v>location: {lat: , lng: }</v>
      </c>
      <c r="AU39" s="37" t="str">
        <f>"level: "&amp;J39</f>
        <v>level: global</v>
      </c>
      <c r="AV39" s="37" t="str">
        <f>"- "&amp;VLOOKUP(C39,'(Ref) Countries'!A:C,3,)</f>
        <v>- spain</v>
      </c>
      <c r="AW39" s="37" t="str">
        <f t="shared" si="0"/>
        <v/>
      </c>
      <c r="AX39" s="37" t="str">
        <f t="shared" si="1"/>
        <v>- churches</v>
      </c>
      <c r="AY39" s="37" t="str">
        <f t="shared" si="2"/>
        <v>- marian-sites</v>
      </c>
      <c r="AZ39" s="37" t="str">
        <f t="shared" si="3"/>
        <v/>
      </c>
      <c r="BA39" s="37" t="str">
        <f t="shared" si="4"/>
        <v/>
      </c>
      <c r="BB39" s="37" t="str">
        <f t="shared" si="5"/>
        <v/>
      </c>
      <c r="BC39" s="37" t="str">
        <f t="shared" si="6"/>
        <v/>
      </c>
      <c r="BD39" s="37" t="str">
        <f t="shared" si="7"/>
        <v/>
      </c>
      <c r="BE39" s="37" t="str">
        <f t="shared" si="8"/>
        <v/>
      </c>
      <c r="BF39" s="37" t="str">
        <f t="shared" si="9"/>
        <v/>
      </c>
      <c r="BG39" s="37" t="str">
        <f t="shared" si="10"/>
        <v/>
      </c>
      <c r="BH39" s="37" t="str">
        <f t="shared" si="11"/>
        <v/>
      </c>
      <c r="BI39" s="37" t="str">
        <f t="shared" si="12"/>
        <v/>
      </c>
      <c r="BJ39" s="37" t="str">
        <f t="shared" si="13"/>
        <v/>
      </c>
      <c r="BK39" s="37" t="str">
        <f t="shared" si="14"/>
        <v xml:space="preserve">tags:
- spain_x000D_
- churches_x000D_
- marian-sites_x000D_
</v>
      </c>
      <c r="BL39" s="38" t="str">
        <f t="shared" si="15"/>
        <v/>
      </c>
      <c r="BM39" s="38" t="str">
        <f t="shared" si="16"/>
        <v/>
      </c>
      <c r="BN39" s="38" t="str">
        <f t="shared" si="17"/>
        <v/>
      </c>
      <c r="BO39" s="38" t="str">
        <f t="shared" si="18"/>
        <v/>
      </c>
      <c r="BP39" s="38" t="str">
        <f t="shared" si="19"/>
        <v/>
      </c>
      <c r="BQ39" s="38" t="str">
        <f t="shared" si="20"/>
        <v>[Link](http://www.therealpresence.org/eucharst/misc/BVM/67_AGRES_60x96.pdf)</v>
      </c>
      <c r="BR39" s="38" t="str">
        <f t="shared" si="21"/>
        <v/>
      </c>
      <c r="BS39" s="38" t="str">
        <f t="shared" si="22"/>
        <v/>
      </c>
      <c r="BT39" s="38" t="str">
        <f>IF(LEN(concat(BQ39:BS39))&gt;0,concat("| ",BQ39," | ",BR39," | ",BS39," |"),"")</f>
        <v>| [Link](http://www.therealpresence.org/eucharst/misc/BVM/67_AGRES_60x96.pdf) |  |  |</v>
      </c>
      <c r="BU39" s="37" t="str">
        <f t="shared" si="23"/>
        <v xml:space="preserve">| The Real Presence | Miracle Hunter | MaryPages |_x000D_
| --- | --- | --- |_x000D_
| [Link](http://www.therealpresence.org/eucharst/misc/BVM/67_AGRES_60x96.pdf) |  |  |_x000D_
</v>
      </c>
      <c r="BV39" s="37" t="str">
        <f>IF(LEN(BP39&amp;BU39)&gt;0,concatll("#### Source Material",BP39,BU39),"")</f>
        <v xml:space="preserve">#### Source Material_x000D_
_x000D_
| The Real Presence | Miracle Hunter | MaryPages |_x000D_
| --- | --- | --- |_x000D_
| [Link](http://www.therealpresence.org/eucharst/misc/BVM/67_AGRES_60x96.pdf) |  |  |_x000D_
_x000D_
_x000D_
</v>
      </c>
      <c r="BW39" s="37" t="str">
        <f>IF(LEN(O39)&gt;1,concatll("#### Author's Note",O39),"")</f>
        <v/>
      </c>
      <c r="BX39" s="24" t="str">
        <f>IF(AR39,concatll(concatl("---",AS39:AU39,BK39,"---"),N39,BV39:BW39),"")</f>
        <v/>
      </c>
      <c r="BY39" s="24" t="str">
        <f>IF(AR39,VLOOKUP(C39,'(Ref) Countries'!A:B,2,)&amp;IF(LEN(D39)&gt;1,"-"&amp;LOWER(SUBSTITUTE(D39," ","-")),"")&amp;"-"&amp;LOWER(SUBSTITUTE(I39," ","-"))&amp;".md","")</f>
        <v/>
      </c>
      <c r="BZ39" s="37" t="str">
        <f>IF(LEN(AG39)&gt;1,VLOOKUP(AG39,'Tag List'!$A:$B,2,),"")</f>
        <v/>
      </c>
      <c r="CA39" s="37" t="str">
        <f>IF(LEN(AH39)&gt;1,VLOOKUP(AH39,'Tag List'!$A:$B,2,),"")</f>
        <v/>
      </c>
      <c r="CB39" s="37" t="str">
        <f>IF(LEN(AI39)&gt;1,VLOOKUP(AI39,'Tag List'!$A:$B,2,),"")</f>
        <v/>
      </c>
      <c r="CC39" s="38" t="str">
        <f>IF(LEN(AG39)&gt;1,GetTagPage(BZ39,AG39),"")</f>
        <v/>
      </c>
      <c r="CD39" s="38" t="str">
        <f>IF(LEN(AH39)&gt;1,GetTagPage(CA39,AH39),"")</f>
        <v/>
      </c>
      <c r="CE39" s="38" t="str">
        <f>IF(LEN(AI39)&gt;1,GetTagPage(CB39,AI39),"")</f>
        <v/>
      </c>
      <c r="CF39" s="38" t="str">
        <f>"|"&amp;IF(LEN(CC39)&gt;1," "&amp;CC39,"")&amp;IF(LEN(CD39)&gt;1,", "&amp;CD39,"")&amp;IF(LEN(CE39)&gt;1,", "&amp;CE39,"")&amp;" "</f>
        <v xml:space="preserve">| </v>
      </c>
      <c r="CG39" s="38" t="str">
        <f>"| "&amp;IF(AR39,"["&amp;B39&amp;"](/places/"&amp;SUBSTITUTE(BY39,".md","")&amp;")",B39)&amp;" "</f>
        <v xml:space="preserve">| Agres </v>
      </c>
      <c r="CH39" s="38" t="str">
        <f>"| "&amp;IF(AR39,GetTagPage(C39,VLOOKUP(C39,'(Ref) Countries'!A:C,3,)),C39)&amp; " "</f>
        <v xml:space="preserve">| Spain </v>
      </c>
      <c r="CI39" s="38" t="str">
        <f>"| "&amp;E39&amp;" "</f>
        <v xml:space="preserve">| 1484 </v>
      </c>
      <c r="CJ39" s="38" t="str">
        <f>"|"&amp;IF(AR39," [Link](/places/"&amp;SUBSTITUTE(BY39,".md","")&amp;")","")&amp;" "</f>
        <v xml:space="preserve">| </v>
      </c>
      <c r="CK39" s="37" t="str">
        <f>"
"&amp;CG39&amp;CH39&amp;CI39&amp;CJ39&amp;BL39&amp;BQ39&amp;BR39&amp;BS39&amp;CF39&amp;"|"</f>
        <v xml:space="preserve">
| Agres | Spain | 1484 | [Link](http://www.therealpresence.org/eucharst/misc/BVM/67_AGRES_60x96.pdf)| |</v>
      </c>
    </row>
    <row r="40" spans="1:89" x14ac:dyDescent="0.25">
      <c r="B40" s="28" t="s">
        <v>1215</v>
      </c>
      <c r="C40" s="29" t="s">
        <v>11</v>
      </c>
      <c r="E40" s="31">
        <v>1484</v>
      </c>
      <c r="J40" s="30" t="s">
        <v>1728</v>
      </c>
      <c r="K40" s="32" t="b">
        <v>1</v>
      </c>
      <c r="L40" s="30" t="b">
        <v>1</v>
      </c>
      <c r="P40" s="30" t="s">
        <v>336</v>
      </c>
      <c r="Q40" s="30" t="s">
        <v>336</v>
      </c>
      <c r="AA40" s="71" t="s">
        <v>215</v>
      </c>
      <c r="AB40" s="30" t="s">
        <v>336</v>
      </c>
      <c r="AC40" s="30" t="s">
        <v>336</v>
      </c>
      <c r="AD40" s="30" t="s">
        <v>336</v>
      </c>
      <c r="AE40" s="30" t="s">
        <v>336</v>
      </c>
      <c r="AF40" s="67" t="s">
        <v>336</v>
      </c>
      <c r="AG40" s="30" t="s">
        <v>336</v>
      </c>
      <c r="AR40" s="36" t="b">
        <f>IF(OR(A40="Done",A40="In Progress"),TRUE)</f>
        <v>0</v>
      </c>
      <c r="AS40" s="37" t="str">
        <f>"title: """&amp;H40&amp;""""</f>
        <v>title: ""</v>
      </c>
      <c r="AT40" s="37" t="str">
        <f>"location: {lat: "&amp;F40&amp;", lng: "&amp;G40&amp;"}"</f>
        <v>location: {lat: , lng: }</v>
      </c>
      <c r="AU40" s="37" t="str">
        <f>"level: "&amp;J40</f>
        <v>level: global</v>
      </c>
      <c r="AV40" s="37" t="str">
        <f>"- "&amp;VLOOKUP(C40,'(Ref) Countries'!A:C,3,)</f>
        <v>- italy</v>
      </c>
      <c r="AW40" s="37" t="str">
        <f t="shared" si="0"/>
        <v/>
      </c>
      <c r="AX40" s="37" t="str">
        <f t="shared" si="1"/>
        <v>- churches</v>
      </c>
      <c r="AY40" s="37" t="str">
        <f t="shared" si="2"/>
        <v>- marian-sites</v>
      </c>
      <c r="AZ40" s="37" t="str">
        <f t="shared" si="3"/>
        <v/>
      </c>
      <c r="BA40" s="37" t="str">
        <f t="shared" si="4"/>
        <v/>
      </c>
      <c r="BB40" s="37" t="str">
        <f t="shared" si="5"/>
        <v/>
      </c>
      <c r="BC40" s="37" t="str">
        <f t="shared" si="6"/>
        <v/>
      </c>
      <c r="BD40" s="37" t="str">
        <f t="shared" si="7"/>
        <v/>
      </c>
      <c r="BE40" s="37" t="str">
        <f t="shared" si="8"/>
        <v/>
      </c>
      <c r="BF40" s="37" t="str">
        <f t="shared" si="9"/>
        <v/>
      </c>
      <c r="BG40" s="37" t="str">
        <f t="shared" si="10"/>
        <v/>
      </c>
      <c r="BH40" s="37" t="str">
        <f t="shared" si="11"/>
        <v/>
      </c>
      <c r="BI40" s="37" t="str">
        <f t="shared" si="12"/>
        <v/>
      </c>
      <c r="BJ40" s="37" t="str">
        <f t="shared" si="13"/>
        <v/>
      </c>
      <c r="BK40" s="37" t="str">
        <f t="shared" si="14"/>
        <v xml:space="preserve">tags:
- italy_x000D_
- churches_x000D_
- marian-sites_x000D_
</v>
      </c>
      <c r="BL40" s="38" t="str">
        <f t="shared" si="15"/>
        <v/>
      </c>
      <c r="BM40" s="38" t="str">
        <f t="shared" si="16"/>
        <v/>
      </c>
      <c r="BN40" s="38" t="str">
        <f t="shared" si="17"/>
        <v/>
      </c>
      <c r="BO40" s="38" t="str">
        <f t="shared" si="18"/>
        <v/>
      </c>
      <c r="BP40" s="38" t="str">
        <f t="shared" si="19"/>
        <v/>
      </c>
      <c r="BQ40" s="38" t="str">
        <f t="shared" si="20"/>
        <v>[Link](http://www.therealpresence.org/eucharst/misc/BVM/55_MADONNA_DEL_SASSO_60x96.pdf)</v>
      </c>
      <c r="BR40" s="38" t="str">
        <f t="shared" si="21"/>
        <v/>
      </c>
      <c r="BS40" s="38" t="str">
        <f t="shared" si="22"/>
        <v/>
      </c>
      <c r="BT40" s="38" t="str">
        <f>IF(LEN(concat(BQ40:BS40))&gt;0,concat("| ",BQ40," | ",BR40," | ",BS40," |"),"")</f>
        <v>| [Link](http://www.therealpresence.org/eucharst/misc/BVM/55_MADONNA_DEL_SASSO_60x96.pdf) |  |  |</v>
      </c>
      <c r="BU40" s="37" t="str">
        <f t="shared" si="23"/>
        <v xml:space="preserve">| The Real Presence | Miracle Hunter | MaryPages |_x000D_
| --- | --- | --- |_x000D_
| [Link](http://www.therealpresence.org/eucharst/misc/BVM/55_MADONNA_DEL_SASSO_60x96.pdf) |  |  |_x000D_
</v>
      </c>
      <c r="BV40" s="37" t="str">
        <f>IF(LEN(BP40&amp;BU40)&gt;0,concatll("#### Source Material",BP40,BU40),"")</f>
        <v xml:space="preserve">#### Source Material_x000D_
_x000D_
| The Real Presence | Miracle Hunter | MaryPages |_x000D_
| --- | --- | --- |_x000D_
| [Link](http://www.therealpresence.org/eucharst/misc/BVM/55_MADONNA_DEL_SASSO_60x96.pdf) |  |  |_x000D_
_x000D_
_x000D_
</v>
      </c>
      <c r="BW40" s="37" t="str">
        <f>IF(LEN(O40)&gt;1,concatll("#### Author's Note",O40),"")</f>
        <v/>
      </c>
      <c r="BX40" s="24" t="str">
        <f>IF(AR40,concatll(concatl("---",AS40:AU40,BK40,"---"),N40,BV40:BW40),"")</f>
        <v/>
      </c>
      <c r="BY40" s="24" t="str">
        <f>IF(AR40,VLOOKUP(C40,'(Ref) Countries'!A:B,2,)&amp;IF(LEN(D40)&gt;1,"-"&amp;LOWER(SUBSTITUTE(D40," ","-")),"")&amp;"-"&amp;LOWER(SUBSTITUTE(I40," ","-"))&amp;".md","")</f>
        <v/>
      </c>
      <c r="BZ40" s="37" t="str">
        <f>IF(LEN(AG40)&gt;1,VLOOKUP(AG40,'Tag List'!$A:$B,2,),"")</f>
        <v/>
      </c>
      <c r="CA40" s="37" t="str">
        <f>IF(LEN(AH40)&gt;1,VLOOKUP(AH40,'Tag List'!$A:$B,2,),"")</f>
        <v/>
      </c>
      <c r="CB40" s="37" t="str">
        <f>IF(LEN(AI40)&gt;1,VLOOKUP(AI40,'Tag List'!$A:$B,2,),"")</f>
        <v/>
      </c>
      <c r="CC40" s="38" t="str">
        <f>IF(LEN(AG40)&gt;1,GetTagPage(BZ40,AG40),"")</f>
        <v/>
      </c>
      <c r="CD40" s="38" t="str">
        <f>IF(LEN(AH40)&gt;1,GetTagPage(CA40,AH40),"")</f>
        <v/>
      </c>
      <c r="CE40" s="38" t="str">
        <f>IF(LEN(AI40)&gt;1,GetTagPage(CB40,AI40),"")</f>
        <v/>
      </c>
      <c r="CF40" s="38" t="str">
        <f>"|"&amp;IF(LEN(CC40)&gt;1," "&amp;CC40,"")&amp;IF(LEN(CD40)&gt;1,", "&amp;CD40,"")&amp;IF(LEN(CE40)&gt;1,", "&amp;CE40,"")&amp;" "</f>
        <v xml:space="preserve">| </v>
      </c>
      <c r="CG40" s="38" t="str">
        <f>"| "&amp;IF(AR40,"["&amp;B40&amp;"](/places/"&amp;SUBSTITUTE(BY40,".md","")&amp;")",B40)&amp;" "</f>
        <v xml:space="preserve">| Pontassieve </v>
      </c>
      <c r="CH40" s="38" t="str">
        <f>"| "&amp;IF(AR40,GetTagPage(C40,VLOOKUP(C40,'(Ref) Countries'!A:C,3,)),C40)&amp; " "</f>
        <v xml:space="preserve">| Italy </v>
      </c>
      <c r="CI40" s="38" t="str">
        <f>"| "&amp;E40&amp;" "</f>
        <v xml:space="preserve">| 1484 </v>
      </c>
      <c r="CJ40" s="38" t="str">
        <f>"|"&amp;IF(AR40," [Link](/places/"&amp;SUBSTITUTE(BY40,".md","")&amp;")","")&amp;" "</f>
        <v xml:space="preserve">| </v>
      </c>
      <c r="CK40" s="37" t="str">
        <f>"
"&amp;CG40&amp;CH40&amp;CI40&amp;CJ40&amp;BL40&amp;BQ40&amp;BR40&amp;BS40&amp;CF40&amp;"|"</f>
        <v xml:space="preserve">
| Pontassieve | Italy | 1484 | [Link](http://www.therealpresence.org/eucharst/misc/BVM/55_MADONNA_DEL_SASSO_60x96.pdf)| |</v>
      </c>
    </row>
    <row r="41" spans="1:89" x14ac:dyDescent="0.25">
      <c r="B41" s="28" t="s">
        <v>1216</v>
      </c>
      <c r="C41" s="29" t="s">
        <v>11</v>
      </c>
      <c r="E41" s="31">
        <v>1490</v>
      </c>
      <c r="J41" s="30" t="s">
        <v>1728</v>
      </c>
      <c r="K41" s="32" t="b">
        <v>1</v>
      </c>
      <c r="L41" s="30" t="b">
        <v>1</v>
      </c>
      <c r="P41" s="30" t="s">
        <v>336</v>
      </c>
      <c r="Q41" s="30" t="s">
        <v>336</v>
      </c>
      <c r="AA41" s="71" t="s">
        <v>216</v>
      </c>
      <c r="AB41" s="30" t="s">
        <v>336</v>
      </c>
      <c r="AC41" s="30" t="s">
        <v>336</v>
      </c>
      <c r="AD41" s="30" t="s">
        <v>336</v>
      </c>
      <c r="AE41" s="30" t="s">
        <v>336</v>
      </c>
      <c r="AF41" s="67" t="s">
        <v>336</v>
      </c>
      <c r="AG41" s="30" t="s">
        <v>336</v>
      </c>
      <c r="AR41" s="36" t="b">
        <f>IF(OR(A41="Done",A41="In Progress"),TRUE)</f>
        <v>0</v>
      </c>
      <c r="AS41" s="37" t="str">
        <f>"title: """&amp;H41&amp;""""</f>
        <v>title: ""</v>
      </c>
      <c r="AT41" s="37" t="str">
        <f>"location: {lat: "&amp;F41&amp;", lng: "&amp;G41&amp;"}"</f>
        <v>location: {lat: , lng: }</v>
      </c>
      <c r="AU41" s="37" t="str">
        <f>"level: "&amp;J41</f>
        <v>level: global</v>
      </c>
      <c r="AV41" s="37" t="str">
        <f>"- "&amp;VLOOKUP(C41,'(Ref) Countries'!A:C,3,)</f>
        <v>- italy</v>
      </c>
      <c r="AW41" s="37" t="str">
        <f t="shared" si="0"/>
        <v/>
      </c>
      <c r="AX41" s="37" t="str">
        <f t="shared" si="1"/>
        <v>- churches</v>
      </c>
      <c r="AY41" s="37" t="str">
        <f t="shared" si="2"/>
        <v>- marian-sites</v>
      </c>
      <c r="AZ41" s="37" t="str">
        <f t="shared" si="3"/>
        <v/>
      </c>
      <c r="BA41" s="37" t="str">
        <f t="shared" si="4"/>
        <v/>
      </c>
      <c r="BB41" s="37" t="str">
        <f t="shared" si="5"/>
        <v/>
      </c>
      <c r="BC41" s="37" t="str">
        <f t="shared" si="6"/>
        <v/>
      </c>
      <c r="BD41" s="37" t="str">
        <f t="shared" si="7"/>
        <v/>
      </c>
      <c r="BE41" s="37" t="str">
        <f t="shared" si="8"/>
        <v/>
      </c>
      <c r="BF41" s="37" t="str">
        <f t="shared" si="9"/>
        <v/>
      </c>
      <c r="BG41" s="37" t="str">
        <f t="shared" si="10"/>
        <v/>
      </c>
      <c r="BH41" s="37" t="str">
        <f t="shared" si="11"/>
        <v/>
      </c>
      <c r="BI41" s="37" t="str">
        <f t="shared" si="12"/>
        <v/>
      </c>
      <c r="BJ41" s="37" t="str">
        <f t="shared" si="13"/>
        <v/>
      </c>
      <c r="BK41" s="37" t="str">
        <f t="shared" si="14"/>
        <v xml:space="preserve">tags:
- italy_x000D_
- churches_x000D_
- marian-sites_x000D_
</v>
      </c>
      <c r="BL41" s="38" t="str">
        <f t="shared" si="15"/>
        <v/>
      </c>
      <c r="BM41" s="38" t="str">
        <f t="shared" si="16"/>
        <v/>
      </c>
      <c r="BN41" s="38" t="str">
        <f t="shared" si="17"/>
        <v/>
      </c>
      <c r="BO41" s="38" t="str">
        <f t="shared" si="18"/>
        <v/>
      </c>
      <c r="BP41" s="38" t="str">
        <f t="shared" si="19"/>
        <v/>
      </c>
      <c r="BQ41" s="38" t="str">
        <f t="shared" si="20"/>
        <v>[Link](http://www.therealpresence.org/eucharst/misc/BVM/64_GENOVA_60x96.pdf)</v>
      </c>
      <c r="BR41" s="38" t="str">
        <f t="shared" si="21"/>
        <v/>
      </c>
      <c r="BS41" s="38" t="str">
        <f t="shared" si="22"/>
        <v/>
      </c>
      <c r="BT41" s="38" t="str">
        <f>IF(LEN(concat(BQ41:BS41))&gt;0,concat("| ",BQ41," | ",BR41," | ",BS41," |"),"")</f>
        <v>| [Link](http://www.therealpresence.org/eucharst/misc/BVM/64_GENOVA_60x96.pdf) |  |  |</v>
      </c>
      <c r="BU41" s="37" t="str">
        <f t="shared" si="23"/>
        <v xml:space="preserve">| The Real Presence | Miracle Hunter | MaryPages |_x000D_
| --- | --- | --- |_x000D_
| [Link](http://www.therealpresence.org/eucharst/misc/BVM/64_GENOVA_60x96.pdf) |  |  |_x000D_
</v>
      </c>
      <c r="BV41" s="37" t="str">
        <f>IF(LEN(BP41&amp;BU41)&gt;0,concatll("#### Source Material",BP41,BU41),"")</f>
        <v xml:space="preserve">#### Source Material_x000D_
_x000D_
| The Real Presence | Miracle Hunter | MaryPages |_x000D_
| --- | --- | --- |_x000D_
| [Link](http://www.therealpresence.org/eucharst/misc/BVM/64_GENOVA_60x96.pdf) |  |  |_x000D_
_x000D_
_x000D_
</v>
      </c>
      <c r="BW41" s="37" t="str">
        <f>IF(LEN(O41)&gt;1,concatll("#### Author's Note",O41),"")</f>
        <v/>
      </c>
      <c r="BX41" s="24" t="str">
        <f>IF(AR41,concatll(concatl("---",AS41:AU41,BK41,"---"),N41,BV41:BW41),"")</f>
        <v/>
      </c>
      <c r="BY41" s="24" t="str">
        <f>IF(AR41,VLOOKUP(C41,'(Ref) Countries'!A:B,2,)&amp;IF(LEN(D41)&gt;1,"-"&amp;LOWER(SUBSTITUTE(D41," ","-")),"")&amp;"-"&amp;LOWER(SUBSTITUTE(I41," ","-"))&amp;".md","")</f>
        <v/>
      </c>
      <c r="BZ41" s="37" t="str">
        <f>IF(LEN(AG41)&gt;1,VLOOKUP(AG41,'Tag List'!$A:$B,2,),"")</f>
        <v/>
      </c>
      <c r="CA41" s="37" t="str">
        <f>IF(LEN(AH41)&gt;1,VLOOKUP(AH41,'Tag List'!$A:$B,2,),"")</f>
        <v/>
      </c>
      <c r="CB41" s="37" t="str">
        <f>IF(LEN(AI41)&gt;1,VLOOKUP(AI41,'Tag List'!$A:$B,2,),"")</f>
        <v/>
      </c>
      <c r="CC41" s="38" t="str">
        <f>IF(LEN(AG41)&gt;1,GetTagPage(BZ41,AG41),"")</f>
        <v/>
      </c>
      <c r="CD41" s="38" t="str">
        <f>IF(LEN(AH41)&gt;1,GetTagPage(CA41,AH41),"")</f>
        <v/>
      </c>
      <c r="CE41" s="38" t="str">
        <f>IF(LEN(AI41)&gt;1,GetTagPage(CB41,AI41),"")</f>
        <v/>
      </c>
      <c r="CF41" s="38" t="str">
        <f>"|"&amp;IF(LEN(CC41)&gt;1," "&amp;CC41,"")&amp;IF(LEN(CD41)&gt;1,", "&amp;CD41,"")&amp;IF(LEN(CE41)&gt;1,", "&amp;CE41,"")&amp;" "</f>
        <v xml:space="preserve">| </v>
      </c>
      <c r="CG41" s="38" t="str">
        <f>"| "&amp;IF(AR41,"["&amp;B41&amp;"](/places/"&amp;SUBSTITUTE(BY41,".md","")&amp;")",B41)&amp;" "</f>
        <v xml:space="preserve">| Genoa </v>
      </c>
      <c r="CH41" s="38" t="str">
        <f>"| "&amp;IF(AR41,GetTagPage(C41,VLOOKUP(C41,'(Ref) Countries'!A:C,3,)),C41)&amp; " "</f>
        <v xml:space="preserve">| Italy </v>
      </c>
      <c r="CI41" s="38" t="str">
        <f>"| "&amp;E41&amp;" "</f>
        <v xml:space="preserve">| 1490 </v>
      </c>
      <c r="CJ41" s="38" t="str">
        <f>"|"&amp;IF(AR41," [Link](/places/"&amp;SUBSTITUTE(BY41,".md","")&amp;")","")&amp;" "</f>
        <v xml:space="preserve">| </v>
      </c>
      <c r="CK41" s="37" t="str">
        <f>"
"&amp;CG41&amp;CH41&amp;CI41&amp;CJ41&amp;BL41&amp;BQ41&amp;BR41&amp;BS41&amp;CF41&amp;"|"</f>
        <v xml:space="preserve">
| Genoa | Italy | 1490 | [Link](http://www.therealpresence.org/eucharst/misc/BVM/64_GENOVA_60x96.pdf)| |</v>
      </c>
    </row>
    <row r="42" spans="1:89" x14ac:dyDescent="0.25">
      <c r="B42" s="28" t="s">
        <v>1217</v>
      </c>
      <c r="C42" s="29" t="s">
        <v>557</v>
      </c>
      <c r="E42" s="31">
        <v>1491</v>
      </c>
      <c r="J42" s="30" t="s">
        <v>1728</v>
      </c>
      <c r="K42" s="32" t="b">
        <v>1</v>
      </c>
      <c r="L42" s="30" t="b">
        <v>1</v>
      </c>
      <c r="P42" s="30" t="s">
        <v>336</v>
      </c>
      <c r="Q42" s="30" t="s">
        <v>336</v>
      </c>
      <c r="AA42" s="71" t="s">
        <v>217</v>
      </c>
      <c r="AB42" s="30" t="s">
        <v>336</v>
      </c>
      <c r="AC42" s="30" t="s">
        <v>336</v>
      </c>
      <c r="AD42" s="30" t="s">
        <v>336</v>
      </c>
      <c r="AE42" s="30" t="s">
        <v>336</v>
      </c>
      <c r="AF42" s="67" t="s">
        <v>336</v>
      </c>
      <c r="AG42" s="30" t="s">
        <v>336</v>
      </c>
      <c r="AR42" s="36" t="b">
        <f>IF(OR(A42="Done",A42="In Progress"),TRUE)</f>
        <v>0</v>
      </c>
      <c r="AS42" s="37" t="str">
        <f>"title: """&amp;H42&amp;""""</f>
        <v>title: ""</v>
      </c>
      <c r="AT42" s="37" t="str">
        <f>"location: {lat: "&amp;F42&amp;", lng: "&amp;G42&amp;"}"</f>
        <v>location: {lat: , lng: }</v>
      </c>
      <c r="AU42" s="37" t="str">
        <f>"level: "&amp;J42</f>
        <v>level: global</v>
      </c>
      <c r="AV42" s="37" t="str">
        <f>"- "&amp;VLOOKUP(C42,'(Ref) Countries'!A:C,3,)</f>
        <v>- france</v>
      </c>
      <c r="AW42" s="37" t="str">
        <f t="shared" si="0"/>
        <v/>
      </c>
      <c r="AX42" s="37" t="str">
        <f t="shared" si="1"/>
        <v>- churches</v>
      </c>
      <c r="AY42" s="37" t="str">
        <f t="shared" si="2"/>
        <v>- marian-sites</v>
      </c>
      <c r="AZ42" s="37" t="str">
        <f t="shared" si="3"/>
        <v/>
      </c>
      <c r="BA42" s="37" t="str">
        <f t="shared" si="4"/>
        <v/>
      </c>
      <c r="BB42" s="37" t="str">
        <f t="shared" si="5"/>
        <v/>
      </c>
      <c r="BC42" s="37" t="str">
        <f t="shared" si="6"/>
        <v/>
      </c>
      <c r="BD42" s="37" t="str">
        <f t="shared" si="7"/>
        <v/>
      </c>
      <c r="BE42" s="37" t="str">
        <f t="shared" si="8"/>
        <v/>
      </c>
      <c r="BF42" s="37" t="str">
        <f t="shared" si="9"/>
        <v/>
      </c>
      <c r="BG42" s="37" t="str">
        <f t="shared" si="10"/>
        <v/>
      </c>
      <c r="BH42" s="37" t="str">
        <f t="shared" si="11"/>
        <v/>
      </c>
      <c r="BI42" s="37" t="str">
        <f t="shared" si="12"/>
        <v/>
      </c>
      <c r="BJ42" s="37" t="str">
        <f t="shared" si="13"/>
        <v/>
      </c>
      <c r="BK42" s="37" t="str">
        <f t="shared" si="14"/>
        <v xml:space="preserve">tags:
- france_x000D_
- churches_x000D_
- marian-sites_x000D_
</v>
      </c>
      <c r="BL42" s="38" t="str">
        <f t="shared" si="15"/>
        <v/>
      </c>
      <c r="BM42" s="38" t="str">
        <f t="shared" si="16"/>
        <v/>
      </c>
      <c r="BN42" s="38" t="str">
        <f t="shared" si="17"/>
        <v/>
      </c>
      <c r="BO42" s="38" t="str">
        <f t="shared" si="18"/>
        <v/>
      </c>
      <c r="BP42" s="38" t="str">
        <f t="shared" si="19"/>
        <v/>
      </c>
      <c r="BQ42" s="38" t="str">
        <f t="shared" si="20"/>
        <v>[Link](http://www.therealpresence.org/eucharst/misc/BVM/24_TROIS_EPIS_60x96.pdf)</v>
      </c>
      <c r="BR42" s="38" t="str">
        <f t="shared" si="21"/>
        <v/>
      </c>
      <c r="BS42" s="38" t="str">
        <f t="shared" si="22"/>
        <v/>
      </c>
      <c r="BT42" s="38" t="str">
        <f>IF(LEN(concat(BQ42:BS42))&gt;0,concat("| ",BQ42," | ",BR42," | ",BS42," |"),"")</f>
        <v>| [Link](http://www.therealpresence.org/eucharst/misc/BVM/24_TROIS_EPIS_60x96.pdf) |  |  |</v>
      </c>
      <c r="BU42" s="37" t="str">
        <f t="shared" si="23"/>
        <v xml:space="preserve">| The Real Presence | Miracle Hunter | MaryPages |_x000D_
| --- | --- | --- |_x000D_
| [Link](http://www.therealpresence.org/eucharst/misc/BVM/24_TROIS_EPIS_60x96.pdf) |  |  |_x000D_
</v>
      </c>
      <c r="BV42" s="37" t="str">
        <f>IF(LEN(BP42&amp;BU42)&gt;0,concatll("#### Source Material",BP42,BU42),"")</f>
        <v xml:space="preserve">#### Source Material_x000D_
_x000D_
| The Real Presence | Miracle Hunter | MaryPages |_x000D_
| --- | --- | --- |_x000D_
| [Link](http://www.therealpresence.org/eucharst/misc/BVM/24_TROIS_EPIS_60x96.pdf) |  |  |_x000D_
_x000D_
_x000D_
</v>
      </c>
      <c r="BW42" s="37" t="str">
        <f>IF(LEN(O42)&gt;1,concatll("#### Author's Note",O42),"")</f>
        <v/>
      </c>
      <c r="BX42" s="24" t="str">
        <f>IF(AR42,concatll(concatl("---",AS42:AU42,BK42,"---"),N42,BV42:BW42),"")</f>
        <v/>
      </c>
      <c r="BY42" s="24" t="str">
        <f>IF(AR42,VLOOKUP(C42,'(Ref) Countries'!A:B,2,)&amp;IF(LEN(D42)&gt;1,"-"&amp;LOWER(SUBSTITUTE(D42," ","-")),"")&amp;"-"&amp;LOWER(SUBSTITUTE(I42," ","-"))&amp;".md","")</f>
        <v/>
      </c>
      <c r="BZ42" s="37" t="str">
        <f>IF(LEN(AG42)&gt;1,VLOOKUP(AG42,'Tag List'!$A:$B,2,),"")</f>
        <v/>
      </c>
      <c r="CA42" s="37" t="str">
        <f>IF(LEN(AH42)&gt;1,VLOOKUP(AH42,'Tag List'!$A:$B,2,),"")</f>
        <v/>
      </c>
      <c r="CB42" s="37" t="str">
        <f>IF(LEN(AI42)&gt;1,VLOOKUP(AI42,'Tag List'!$A:$B,2,),"")</f>
        <v/>
      </c>
      <c r="CC42" s="38" t="str">
        <f>IF(LEN(AG42)&gt;1,GetTagPage(BZ42,AG42),"")</f>
        <v/>
      </c>
      <c r="CD42" s="38" t="str">
        <f>IF(LEN(AH42)&gt;1,GetTagPage(CA42,AH42),"")</f>
        <v/>
      </c>
      <c r="CE42" s="38" t="str">
        <f>IF(LEN(AI42)&gt;1,GetTagPage(CB42,AI42),"")</f>
        <v/>
      </c>
      <c r="CF42" s="38" t="str">
        <f>"|"&amp;IF(LEN(CC42)&gt;1," "&amp;CC42,"")&amp;IF(LEN(CD42)&gt;1,", "&amp;CD42,"")&amp;IF(LEN(CE42)&gt;1,", "&amp;CE42,"")&amp;" "</f>
        <v xml:space="preserve">| </v>
      </c>
      <c r="CG42" s="38" t="str">
        <f>"| "&amp;IF(AR42,"["&amp;B42&amp;"](/places/"&amp;SUBSTITUTE(BY42,".md","")&amp;")",B42)&amp;" "</f>
        <v xml:space="preserve">| Trois-Epis </v>
      </c>
      <c r="CH42" s="38" t="str">
        <f>"| "&amp;IF(AR42,GetTagPage(C42,VLOOKUP(C42,'(Ref) Countries'!A:C,3,)),C42)&amp; " "</f>
        <v xml:space="preserve">| France </v>
      </c>
      <c r="CI42" s="38" t="str">
        <f>"| "&amp;E42&amp;" "</f>
        <v xml:space="preserve">| 1491 </v>
      </c>
      <c r="CJ42" s="38" t="str">
        <f>"|"&amp;IF(AR42," [Link](/places/"&amp;SUBSTITUTE(BY42,".md","")&amp;")","")&amp;" "</f>
        <v xml:space="preserve">| </v>
      </c>
      <c r="CK42" s="37" t="str">
        <f>"
"&amp;CG42&amp;CH42&amp;CI42&amp;CJ42&amp;BL42&amp;BQ42&amp;BR42&amp;BS42&amp;CF42&amp;"|"</f>
        <v xml:space="preserve">
| Trois-Epis | France | 1491 | [Link](http://www.therealpresence.org/eucharst/misc/BVM/24_TROIS_EPIS_60x96.pdf)| |</v>
      </c>
    </row>
    <row r="43" spans="1:89" x14ac:dyDescent="0.25">
      <c r="B43" s="28" t="s">
        <v>1218</v>
      </c>
      <c r="C43" s="29" t="s">
        <v>11</v>
      </c>
      <c r="E43" s="31">
        <v>1492</v>
      </c>
      <c r="J43" s="30" t="s">
        <v>1728</v>
      </c>
      <c r="K43" s="32" t="b">
        <v>1</v>
      </c>
      <c r="L43" s="30" t="b">
        <v>1</v>
      </c>
      <c r="P43" s="30" t="s">
        <v>336</v>
      </c>
      <c r="Q43" s="30" t="s">
        <v>336</v>
      </c>
      <c r="AA43" s="71" t="s">
        <v>218</v>
      </c>
      <c r="AB43" s="30" t="s">
        <v>336</v>
      </c>
      <c r="AC43" s="30" t="s">
        <v>336</v>
      </c>
      <c r="AD43" s="30" t="s">
        <v>336</v>
      </c>
      <c r="AE43" s="30" t="s">
        <v>336</v>
      </c>
      <c r="AF43" s="67" t="s">
        <v>336</v>
      </c>
      <c r="AG43" s="30" t="s">
        <v>336</v>
      </c>
      <c r="AR43" s="36" t="b">
        <f>IF(OR(A43="Done",A43="In Progress"),TRUE)</f>
        <v>0</v>
      </c>
      <c r="AS43" s="37" t="str">
        <f>"title: """&amp;H43&amp;""""</f>
        <v>title: ""</v>
      </c>
      <c r="AT43" s="37" t="str">
        <f>"location: {lat: "&amp;F43&amp;", lng: "&amp;G43&amp;"}"</f>
        <v>location: {lat: , lng: }</v>
      </c>
      <c r="AU43" s="37" t="str">
        <f>"level: "&amp;J43</f>
        <v>level: global</v>
      </c>
      <c r="AV43" s="37" t="str">
        <f>"- "&amp;VLOOKUP(C43,'(Ref) Countries'!A:C,3,)</f>
        <v>- italy</v>
      </c>
      <c r="AW43" s="37" t="str">
        <f t="shared" si="0"/>
        <v/>
      </c>
      <c r="AX43" s="37" t="str">
        <f t="shared" si="1"/>
        <v>- churches</v>
      </c>
      <c r="AY43" s="37" t="str">
        <f t="shared" si="2"/>
        <v>- marian-sites</v>
      </c>
      <c r="AZ43" s="37" t="str">
        <f t="shared" si="3"/>
        <v/>
      </c>
      <c r="BA43" s="37" t="str">
        <f t="shared" si="4"/>
        <v/>
      </c>
      <c r="BB43" s="37" t="str">
        <f t="shared" si="5"/>
        <v/>
      </c>
      <c r="BC43" s="37" t="str">
        <f t="shared" si="6"/>
        <v/>
      </c>
      <c r="BD43" s="37" t="str">
        <f t="shared" si="7"/>
        <v/>
      </c>
      <c r="BE43" s="37" t="str">
        <f t="shared" si="8"/>
        <v/>
      </c>
      <c r="BF43" s="37" t="str">
        <f t="shared" si="9"/>
        <v/>
      </c>
      <c r="BG43" s="37" t="str">
        <f t="shared" si="10"/>
        <v/>
      </c>
      <c r="BH43" s="37" t="str">
        <f t="shared" si="11"/>
        <v/>
      </c>
      <c r="BI43" s="37" t="str">
        <f t="shared" si="12"/>
        <v/>
      </c>
      <c r="BJ43" s="37" t="str">
        <f t="shared" si="13"/>
        <v/>
      </c>
      <c r="BK43" s="37" t="str">
        <f t="shared" si="14"/>
        <v xml:space="preserve">tags:
- italy_x000D_
- churches_x000D_
- marian-sites_x000D_
</v>
      </c>
      <c r="BL43" s="38" t="str">
        <f t="shared" si="15"/>
        <v/>
      </c>
      <c r="BM43" s="38" t="str">
        <f t="shared" si="16"/>
        <v/>
      </c>
      <c r="BN43" s="38" t="str">
        <f t="shared" si="17"/>
        <v/>
      </c>
      <c r="BO43" s="38" t="str">
        <f t="shared" si="18"/>
        <v/>
      </c>
      <c r="BP43" s="38" t="str">
        <f t="shared" si="19"/>
        <v/>
      </c>
      <c r="BQ43" s="38" t="str">
        <f t="shared" si="20"/>
        <v>[Link](http://www.therealpresence.org/eucharst/misc/BVM/51_GALLIVAGGIO_60x96.pdf)</v>
      </c>
      <c r="BR43" s="38" t="str">
        <f t="shared" si="21"/>
        <v/>
      </c>
      <c r="BS43" s="38" t="str">
        <f t="shared" si="22"/>
        <v/>
      </c>
      <c r="BT43" s="38" t="str">
        <f>IF(LEN(concat(BQ43:BS43))&gt;0,concat("| ",BQ43," | ",BR43," | ",BS43," |"),"")</f>
        <v>| [Link](http://www.therealpresence.org/eucharst/misc/BVM/51_GALLIVAGGIO_60x96.pdf) |  |  |</v>
      </c>
      <c r="BU43" s="37" t="str">
        <f t="shared" si="23"/>
        <v xml:space="preserve">| The Real Presence | Miracle Hunter | MaryPages |_x000D_
| --- | --- | --- |_x000D_
| [Link](http://www.therealpresence.org/eucharst/misc/BVM/51_GALLIVAGGIO_60x96.pdf) |  |  |_x000D_
</v>
      </c>
      <c r="BV43" s="37" t="str">
        <f>IF(LEN(BP43&amp;BU43)&gt;0,concatll("#### Source Material",BP43,BU43),"")</f>
        <v xml:space="preserve">#### Source Material_x000D_
_x000D_
| The Real Presence | Miracle Hunter | MaryPages |_x000D_
| --- | --- | --- |_x000D_
| [Link](http://www.therealpresence.org/eucharst/misc/BVM/51_GALLIVAGGIO_60x96.pdf) |  |  |_x000D_
_x000D_
_x000D_
</v>
      </c>
      <c r="BW43" s="37" t="str">
        <f>IF(LEN(O43)&gt;1,concatll("#### Author's Note",O43),"")</f>
        <v/>
      </c>
      <c r="BX43" s="24" t="str">
        <f>IF(AR43,concatll(concatl("---",AS43:AU43,BK43,"---"),N43,BV43:BW43),"")</f>
        <v/>
      </c>
      <c r="BY43" s="24" t="str">
        <f>IF(AR43,VLOOKUP(C43,'(Ref) Countries'!A:B,2,)&amp;IF(LEN(D43)&gt;1,"-"&amp;LOWER(SUBSTITUTE(D43," ","-")),"")&amp;"-"&amp;LOWER(SUBSTITUTE(I43," ","-"))&amp;".md","")</f>
        <v/>
      </c>
      <c r="BZ43" s="37" t="str">
        <f>IF(LEN(AG43)&gt;1,VLOOKUP(AG43,'Tag List'!$A:$B,2,),"")</f>
        <v/>
      </c>
      <c r="CA43" s="37" t="str">
        <f>IF(LEN(AH43)&gt;1,VLOOKUP(AH43,'Tag List'!$A:$B,2,),"")</f>
        <v/>
      </c>
      <c r="CB43" s="37" t="str">
        <f>IF(LEN(AI43)&gt;1,VLOOKUP(AI43,'Tag List'!$A:$B,2,),"")</f>
        <v/>
      </c>
      <c r="CC43" s="38" t="str">
        <f>IF(LEN(AG43)&gt;1,GetTagPage(BZ43,AG43),"")</f>
        <v/>
      </c>
      <c r="CD43" s="38" t="str">
        <f>IF(LEN(AH43)&gt;1,GetTagPage(CA43,AH43),"")</f>
        <v/>
      </c>
      <c r="CE43" s="38" t="str">
        <f>IF(LEN(AI43)&gt;1,GetTagPage(CB43,AI43),"")</f>
        <v/>
      </c>
      <c r="CF43" s="38" t="str">
        <f>"|"&amp;IF(LEN(CC43)&gt;1," "&amp;CC43,"")&amp;IF(LEN(CD43)&gt;1,", "&amp;CD43,"")&amp;IF(LEN(CE43)&gt;1,", "&amp;CE43,"")&amp;" "</f>
        <v xml:space="preserve">| </v>
      </c>
      <c r="CG43" s="38" t="str">
        <f>"| "&amp;IF(AR43,"["&amp;B43&amp;"](/places/"&amp;SUBSTITUTE(BY43,".md","")&amp;")",B43)&amp;" "</f>
        <v xml:space="preserve">| Gallivaggio </v>
      </c>
      <c r="CH43" s="38" t="str">
        <f>"| "&amp;IF(AR43,GetTagPage(C43,VLOOKUP(C43,'(Ref) Countries'!A:C,3,)),C43)&amp; " "</f>
        <v xml:space="preserve">| Italy </v>
      </c>
      <c r="CI43" s="38" t="str">
        <f>"| "&amp;E43&amp;" "</f>
        <v xml:space="preserve">| 1492 </v>
      </c>
      <c r="CJ43" s="38" t="str">
        <f>"|"&amp;IF(AR43," [Link](/places/"&amp;SUBSTITUTE(BY43,".md","")&amp;")","")&amp;" "</f>
        <v xml:space="preserve">| </v>
      </c>
      <c r="CK43" s="37" t="str">
        <f>"
"&amp;CG43&amp;CH43&amp;CI43&amp;CJ43&amp;BL43&amp;BQ43&amp;BR43&amp;BS43&amp;CF43&amp;"|"</f>
        <v xml:space="preserve">
| Gallivaggio | Italy | 1492 | [Link](http://www.therealpresence.org/eucharst/misc/BVM/51_GALLIVAGGIO_60x96.pdf)| |</v>
      </c>
    </row>
    <row r="44" spans="1:89" x14ac:dyDescent="0.25">
      <c r="B44" s="28" t="s">
        <v>1219</v>
      </c>
      <c r="C44" s="29" t="s">
        <v>11</v>
      </c>
      <c r="E44" s="31">
        <v>1494</v>
      </c>
      <c r="J44" s="30" t="s">
        <v>1728</v>
      </c>
      <c r="K44" s="32" t="b">
        <v>1</v>
      </c>
      <c r="L44" s="30" t="b">
        <v>1</v>
      </c>
      <c r="P44" s="30" t="s">
        <v>336</v>
      </c>
      <c r="Q44" s="30" t="s">
        <v>336</v>
      </c>
      <c r="AA44" s="71" t="s">
        <v>219</v>
      </c>
      <c r="AB44" s="30" t="s">
        <v>336</v>
      </c>
      <c r="AC44" s="30" t="s">
        <v>336</v>
      </c>
      <c r="AD44" s="30" t="s">
        <v>336</v>
      </c>
      <c r="AE44" s="30" t="s">
        <v>336</v>
      </c>
      <c r="AF44" s="67" t="s">
        <v>336</v>
      </c>
      <c r="AG44" s="30" t="s">
        <v>336</v>
      </c>
      <c r="AR44" s="36" t="b">
        <f>IF(OR(A44="Done",A44="In Progress"),TRUE)</f>
        <v>0</v>
      </c>
      <c r="AS44" s="37" t="str">
        <f>"title: """&amp;H44&amp;""""</f>
        <v>title: ""</v>
      </c>
      <c r="AT44" s="37" t="str">
        <f>"location: {lat: "&amp;F44&amp;", lng: "&amp;G44&amp;"}"</f>
        <v>location: {lat: , lng: }</v>
      </c>
      <c r="AU44" s="37" t="str">
        <f>"level: "&amp;J44</f>
        <v>level: global</v>
      </c>
      <c r="AV44" s="37" t="str">
        <f>"- "&amp;VLOOKUP(C44,'(Ref) Countries'!A:C,3,)</f>
        <v>- italy</v>
      </c>
      <c r="AW44" s="37" t="str">
        <f t="shared" si="0"/>
        <v/>
      </c>
      <c r="AX44" s="37" t="str">
        <f t="shared" si="1"/>
        <v>- churches</v>
      </c>
      <c r="AY44" s="37" t="str">
        <f t="shared" si="2"/>
        <v>- marian-sites</v>
      </c>
      <c r="AZ44" s="37" t="str">
        <f t="shared" si="3"/>
        <v/>
      </c>
      <c r="BA44" s="37" t="str">
        <f t="shared" si="4"/>
        <v/>
      </c>
      <c r="BB44" s="37" t="str">
        <f t="shared" si="5"/>
        <v/>
      </c>
      <c r="BC44" s="37" t="str">
        <f t="shared" si="6"/>
        <v/>
      </c>
      <c r="BD44" s="37" t="str">
        <f t="shared" si="7"/>
        <v/>
      </c>
      <c r="BE44" s="37" t="str">
        <f t="shared" si="8"/>
        <v/>
      </c>
      <c r="BF44" s="37" t="str">
        <f t="shared" si="9"/>
        <v/>
      </c>
      <c r="BG44" s="37" t="str">
        <f t="shared" si="10"/>
        <v/>
      </c>
      <c r="BH44" s="37" t="str">
        <f t="shared" si="11"/>
        <v/>
      </c>
      <c r="BI44" s="37" t="str">
        <f t="shared" si="12"/>
        <v/>
      </c>
      <c r="BJ44" s="37" t="str">
        <f t="shared" si="13"/>
        <v/>
      </c>
      <c r="BK44" s="37" t="str">
        <f t="shared" si="14"/>
        <v xml:space="preserve">tags:
- italy_x000D_
- churches_x000D_
- marian-sites_x000D_
</v>
      </c>
      <c r="BL44" s="38" t="str">
        <f t="shared" si="15"/>
        <v/>
      </c>
      <c r="BM44" s="38" t="str">
        <f t="shared" si="16"/>
        <v/>
      </c>
      <c r="BN44" s="38" t="str">
        <f t="shared" si="17"/>
        <v/>
      </c>
      <c r="BO44" s="38" t="str">
        <f t="shared" si="18"/>
        <v/>
      </c>
      <c r="BP44" s="38" t="str">
        <f t="shared" si="19"/>
        <v/>
      </c>
      <c r="BQ44" s="38" t="str">
        <f t="shared" si="20"/>
        <v>[Link](http://www.therealpresence.org/eucharst/misc/BVM/87_RE_60x96.pdf)</v>
      </c>
      <c r="BR44" s="38" t="str">
        <f t="shared" si="21"/>
        <v/>
      </c>
      <c r="BS44" s="38" t="str">
        <f t="shared" si="22"/>
        <v/>
      </c>
      <c r="BT44" s="38" t="str">
        <f>IF(LEN(concat(BQ44:BS44))&gt;0,concat("| ",BQ44," | ",BR44," | ",BS44," |"),"")</f>
        <v>| [Link](http://www.therealpresence.org/eucharst/misc/BVM/87_RE_60x96.pdf) |  |  |</v>
      </c>
      <c r="BU44" s="37" t="str">
        <f t="shared" si="23"/>
        <v xml:space="preserve">| The Real Presence | Miracle Hunter | MaryPages |_x000D_
| --- | --- | --- |_x000D_
| [Link](http://www.therealpresence.org/eucharst/misc/BVM/87_RE_60x96.pdf) |  |  |_x000D_
</v>
      </c>
      <c r="BV44" s="37" t="str">
        <f>IF(LEN(BP44&amp;BU44)&gt;0,concatll("#### Source Material",BP44,BU44),"")</f>
        <v xml:space="preserve">#### Source Material_x000D_
_x000D_
| The Real Presence | Miracle Hunter | MaryPages |_x000D_
| --- | --- | --- |_x000D_
| [Link](http://www.therealpresence.org/eucharst/misc/BVM/87_RE_60x96.pdf) |  |  |_x000D_
_x000D_
_x000D_
</v>
      </c>
      <c r="BW44" s="37" t="str">
        <f>IF(LEN(O44)&gt;1,concatll("#### Author's Note",O44),"")</f>
        <v/>
      </c>
      <c r="BX44" s="24" t="str">
        <f>IF(AR44,concatll(concatl("---",AS44:AU44,BK44,"---"),N44,BV44:BW44),"")</f>
        <v/>
      </c>
      <c r="BY44" s="24" t="str">
        <f>IF(AR44,VLOOKUP(C44,'(Ref) Countries'!A:B,2,)&amp;IF(LEN(D44)&gt;1,"-"&amp;LOWER(SUBSTITUTE(D44," ","-")),"")&amp;"-"&amp;LOWER(SUBSTITUTE(I44," ","-"))&amp;".md","")</f>
        <v/>
      </c>
      <c r="BZ44" s="37" t="str">
        <f>IF(LEN(AG44)&gt;1,VLOOKUP(AG44,'Tag List'!$A:$B,2,),"")</f>
        <v/>
      </c>
      <c r="CA44" s="37" t="str">
        <f>IF(LEN(AH44)&gt;1,VLOOKUP(AH44,'Tag List'!$A:$B,2,),"")</f>
        <v/>
      </c>
      <c r="CB44" s="37" t="str">
        <f>IF(LEN(AI44)&gt;1,VLOOKUP(AI44,'Tag List'!$A:$B,2,),"")</f>
        <v/>
      </c>
      <c r="CC44" s="38" t="str">
        <f>IF(LEN(AG44)&gt;1,GetTagPage(BZ44,AG44),"")</f>
        <v/>
      </c>
      <c r="CD44" s="38" t="str">
        <f>IF(LEN(AH44)&gt;1,GetTagPage(CA44,AH44),"")</f>
        <v/>
      </c>
      <c r="CE44" s="38" t="str">
        <f>IF(LEN(AI44)&gt;1,GetTagPage(CB44,AI44),"")</f>
        <v/>
      </c>
      <c r="CF44" s="38" t="str">
        <f>"|"&amp;IF(LEN(CC44)&gt;1," "&amp;CC44,"")&amp;IF(LEN(CD44)&gt;1,", "&amp;CD44,"")&amp;IF(LEN(CE44)&gt;1,", "&amp;CE44,"")&amp;" "</f>
        <v xml:space="preserve">| </v>
      </c>
      <c r="CG44" s="38" t="str">
        <f>"| "&amp;IF(AR44,"["&amp;B44&amp;"](/places/"&amp;SUBSTITUTE(BY44,".md","")&amp;")",B44)&amp;" "</f>
        <v xml:space="preserve">| Re </v>
      </c>
      <c r="CH44" s="38" t="str">
        <f>"| "&amp;IF(AR44,GetTagPage(C44,VLOOKUP(C44,'(Ref) Countries'!A:C,3,)),C44)&amp; " "</f>
        <v xml:space="preserve">| Italy </v>
      </c>
      <c r="CI44" s="38" t="str">
        <f>"| "&amp;E44&amp;" "</f>
        <v xml:space="preserve">| 1494 </v>
      </c>
      <c r="CJ44" s="38" t="str">
        <f>"|"&amp;IF(AR44," [Link](/places/"&amp;SUBSTITUTE(BY44,".md","")&amp;")","")&amp;" "</f>
        <v xml:space="preserve">| </v>
      </c>
      <c r="CK44" s="37" t="str">
        <f>"
"&amp;CG44&amp;CH44&amp;CI44&amp;CJ44&amp;BL44&amp;BQ44&amp;BR44&amp;BS44&amp;CF44&amp;"|"</f>
        <v xml:space="preserve">
| Re | Italy | 1494 | [Link](http://www.therealpresence.org/eucharst/misc/BVM/87_RE_60x96.pdf)| |</v>
      </c>
    </row>
    <row r="45" spans="1:89" x14ac:dyDescent="0.25">
      <c r="B45" s="28" t="s">
        <v>1220</v>
      </c>
      <c r="C45" s="29" t="s">
        <v>11</v>
      </c>
      <c r="E45" s="31">
        <v>1496</v>
      </c>
      <c r="J45" s="30" t="s">
        <v>1728</v>
      </c>
      <c r="K45" s="32" t="b">
        <v>1</v>
      </c>
      <c r="L45" s="30" t="b">
        <v>1</v>
      </c>
      <c r="P45" s="30" t="s">
        <v>336</v>
      </c>
      <c r="Q45" s="30" t="s">
        <v>336</v>
      </c>
      <c r="AA45" s="71" t="s">
        <v>220</v>
      </c>
      <c r="AB45" s="30" t="s">
        <v>336</v>
      </c>
      <c r="AC45" s="30" t="s">
        <v>336</v>
      </c>
      <c r="AD45" s="30" t="s">
        <v>336</v>
      </c>
      <c r="AE45" s="30" t="s">
        <v>336</v>
      </c>
      <c r="AF45" s="67" t="s">
        <v>336</v>
      </c>
      <c r="AG45" s="30" t="s">
        <v>336</v>
      </c>
      <c r="AR45" s="36" t="b">
        <f>IF(OR(A45="Done",A45="In Progress"),TRUE)</f>
        <v>0</v>
      </c>
      <c r="AS45" s="37" t="str">
        <f>"title: """&amp;H45&amp;""""</f>
        <v>title: ""</v>
      </c>
      <c r="AT45" s="37" t="str">
        <f>"location: {lat: "&amp;F45&amp;", lng: "&amp;G45&amp;"}"</f>
        <v>location: {lat: , lng: }</v>
      </c>
      <c r="AU45" s="37" t="str">
        <f>"level: "&amp;J45</f>
        <v>level: global</v>
      </c>
      <c r="AV45" s="37" t="str">
        <f>"- "&amp;VLOOKUP(C45,'(Ref) Countries'!A:C,3,)</f>
        <v>- italy</v>
      </c>
      <c r="AW45" s="37" t="str">
        <f t="shared" si="0"/>
        <v/>
      </c>
      <c r="AX45" s="37" t="str">
        <f t="shared" si="1"/>
        <v>- churches</v>
      </c>
      <c r="AY45" s="37" t="str">
        <f t="shared" si="2"/>
        <v>- marian-sites</v>
      </c>
      <c r="AZ45" s="37" t="str">
        <f t="shared" si="3"/>
        <v/>
      </c>
      <c r="BA45" s="37" t="str">
        <f t="shared" si="4"/>
        <v/>
      </c>
      <c r="BB45" s="37" t="str">
        <f t="shared" si="5"/>
        <v/>
      </c>
      <c r="BC45" s="37" t="str">
        <f t="shared" si="6"/>
        <v/>
      </c>
      <c r="BD45" s="37" t="str">
        <f t="shared" si="7"/>
        <v/>
      </c>
      <c r="BE45" s="37" t="str">
        <f t="shared" si="8"/>
        <v/>
      </c>
      <c r="BF45" s="37" t="str">
        <f t="shared" si="9"/>
        <v/>
      </c>
      <c r="BG45" s="37" t="str">
        <f t="shared" si="10"/>
        <v/>
      </c>
      <c r="BH45" s="37" t="str">
        <f t="shared" si="11"/>
        <v/>
      </c>
      <c r="BI45" s="37" t="str">
        <f t="shared" si="12"/>
        <v/>
      </c>
      <c r="BJ45" s="37" t="str">
        <f t="shared" si="13"/>
        <v/>
      </c>
      <c r="BK45" s="37" t="str">
        <f t="shared" si="14"/>
        <v xml:space="preserve">tags:
- italy_x000D_
- churches_x000D_
- marian-sites_x000D_
</v>
      </c>
      <c r="BL45" s="38" t="str">
        <f t="shared" si="15"/>
        <v/>
      </c>
      <c r="BM45" s="38" t="str">
        <f t="shared" si="16"/>
        <v/>
      </c>
      <c r="BN45" s="38" t="str">
        <f t="shared" si="17"/>
        <v/>
      </c>
      <c r="BO45" s="38" t="str">
        <f t="shared" si="18"/>
        <v/>
      </c>
      <c r="BP45" s="38" t="str">
        <f t="shared" si="19"/>
        <v/>
      </c>
      <c r="BQ45" s="38" t="str">
        <f t="shared" si="20"/>
        <v>[Link](http://www.therealpresence.org/eucharst/misc/BVM/47_BETTOLA_60x96.pdf)</v>
      </c>
      <c r="BR45" s="38" t="str">
        <f t="shared" si="21"/>
        <v/>
      </c>
      <c r="BS45" s="38" t="str">
        <f t="shared" si="22"/>
        <v/>
      </c>
      <c r="BT45" s="38" t="str">
        <f>IF(LEN(concat(BQ45:BS45))&gt;0,concat("| ",BQ45," | ",BR45," | ",BS45," |"),"")</f>
        <v>| [Link](http://www.therealpresence.org/eucharst/misc/BVM/47_BETTOLA_60x96.pdf) |  |  |</v>
      </c>
      <c r="BU45" s="37" t="str">
        <f t="shared" si="23"/>
        <v xml:space="preserve">| The Real Presence | Miracle Hunter | MaryPages |_x000D_
| --- | --- | --- |_x000D_
| [Link](http://www.therealpresence.org/eucharst/misc/BVM/47_BETTOLA_60x96.pdf) |  |  |_x000D_
</v>
      </c>
      <c r="BV45" s="37" t="str">
        <f>IF(LEN(BP45&amp;BU45)&gt;0,concatll("#### Source Material",BP45,BU45),"")</f>
        <v xml:space="preserve">#### Source Material_x000D_
_x000D_
| The Real Presence | Miracle Hunter | MaryPages |_x000D_
| --- | --- | --- |_x000D_
| [Link](http://www.therealpresence.org/eucharst/misc/BVM/47_BETTOLA_60x96.pdf) |  |  |_x000D_
_x000D_
_x000D_
</v>
      </c>
      <c r="BW45" s="37" t="str">
        <f>IF(LEN(O45)&gt;1,concatll("#### Author's Note",O45),"")</f>
        <v/>
      </c>
      <c r="BX45" s="24" t="str">
        <f>IF(AR45,concatll(concatl("---",AS45:AU45,BK45,"---"),N45,BV45:BW45),"")</f>
        <v/>
      </c>
      <c r="BY45" s="24" t="str">
        <f>IF(AR45,VLOOKUP(C45,'(Ref) Countries'!A:B,2,)&amp;IF(LEN(D45)&gt;1,"-"&amp;LOWER(SUBSTITUTE(D45," ","-")),"")&amp;"-"&amp;LOWER(SUBSTITUTE(I45," ","-"))&amp;".md","")</f>
        <v/>
      </c>
      <c r="BZ45" s="37" t="str">
        <f>IF(LEN(AG45)&gt;1,VLOOKUP(AG45,'Tag List'!$A:$B,2,),"")</f>
        <v/>
      </c>
      <c r="CA45" s="37" t="str">
        <f>IF(LEN(AH45)&gt;1,VLOOKUP(AH45,'Tag List'!$A:$B,2,),"")</f>
        <v/>
      </c>
      <c r="CB45" s="37" t="str">
        <f>IF(LEN(AI45)&gt;1,VLOOKUP(AI45,'Tag List'!$A:$B,2,),"")</f>
        <v/>
      </c>
      <c r="CC45" s="38" t="str">
        <f>IF(LEN(AG45)&gt;1,GetTagPage(BZ45,AG45),"")</f>
        <v/>
      </c>
      <c r="CD45" s="38" t="str">
        <f>IF(LEN(AH45)&gt;1,GetTagPage(CA45,AH45),"")</f>
        <v/>
      </c>
      <c r="CE45" s="38" t="str">
        <f>IF(LEN(AI45)&gt;1,GetTagPage(CB45,AI45),"")</f>
        <v/>
      </c>
      <c r="CF45" s="38" t="str">
        <f>"|"&amp;IF(LEN(CC45)&gt;1," "&amp;CC45,"")&amp;IF(LEN(CD45)&gt;1,", "&amp;CD45,"")&amp;IF(LEN(CE45)&gt;1,", "&amp;CE45,"")&amp;" "</f>
        <v xml:space="preserve">| </v>
      </c>
      <c r="CG45" s="38" t="str">
        <f>"| "&amp;IF(AR45,"["&amp;B45&amp;"](/places/"&amp;SUBSTITUTE(BY45,".md","")&amp;")",B45)&amp;" "</f>
        <v xml:space="preserve">| Bettola </v>
      </c>
      <c r="CH45" s="38" t="str">
        <f>"| "&amp;IF(AR45,GetTagPage(C45,VLOOKUP(C45,'(Ref) Countries'!A:C,3,)),C45)&amp; " "</f>
        <v xml:space="preserve">| Italy </v>
      </c>
      <c r="CI45" s="38" t="str">
        <f>"| "&amp;E45&amp;" "</f>
        <v xml:space="preserve">| 1496 </v>
      </c>
      <c r="CJ45" s="38" t="str">
        <f>"|"&amp;IF(AR45," [Link](/places/"&amp;SUBSTITUTE(BY45,".md","")&amp;")","")&amp;" "</f>
        <v xml:space="preserve">| </v>
      </c>
      <c r="CK45" s="37" t="str">
        <f>"
"&amp;CG45&amp;CH45&amp;CI45&amp;CJ45&amp;BL45&amp;BQ45&amp;BR45&amp;BS45&amp;CF45&amp;"|"</f>
        <v xml:space="preserve">
| Bettola | Italy | 1496 | [Link](http://www.therealpresence.org/eucharst/misc/BVM/47_BETTOLA_60x96.pdf)| |</v>
      </c>
    </row>
    <row r="46" spans="1:89" x14ac:dyDescent="0.25">
      <c r="B46" s="28" t="s">
        <v>1221</v>
      </c>
      <c r="C46" s="29" t="s">
        <v>11</v>
      </c>
      <c r="E46" s="31" t="s">
        <v>1100</v>
      </c>
      <c r="J46" s="30" t="s">
        <v>1728</v>
      </c>
      <c r="K46" s="32" t="b">
        <v>1</v>
      </c>
      <c r="L46" s="30" t="b">
        <v>1</v>
      </c>
      <c r="P46" s="30" t="s">
        <v>336</v>
      </c>
      <c r="Q46" s="30" t="s">
        <v>336</v>
      </c>
      <c r="AA46" s="71" t="s">
        <v>221</v>
      </c>
      <c r="AB46" s="30" t="s">
        <v>336</v>
      </c>
      <c r="AC46" s="30" t="s">
        <v>336</v>
      </c>
      <c r="AD46" s="30" t="s">
        <v>336</v>
      </c>
      <c r="AE46" s="30" t="s">
        <v>336</v>
      </c>
      <c r="AF46" s="67" t="s">
        <v>336</v>
      </c>
      <c r="AG46" s="30" t="s">
        <v>336</v>
      </c>
      <c r="AR46" s="36" t="b">
        <f>IF(OR(A46="Done",A46="In Progress"),TRUE)</f>
        <v>0</v>
      </c>
      <c r="AS46" s="37" t="str">
        <f>"title: """&amp;H46&amp;""""</f>
        <v>title: ""</v>
      </c>
      <c r="AT46" s="37" t="str">
        <f>"location: {lat: "&amp;F46&amp;", lng: "&amp;G46&amp;"}"</f>
        <v>location: {lat: , lng: }</v>
      </c>
      <c r="AU46" s="37" t="str">
        <f>"level: "&amp;J46</f>
        <v>level: global</v>
      </c>
      <c r="AV46" s="37" t="str">
        <f>"- "&amp;VLOOKUP(C46,'(Ref) Countries'!A:C,3,)</f>
        <v>- italy</v>
      </c>
      <c r="AW46" s="37" t="str">
        <f t="shared" si="0"/>
        <v/>
      </c>
      <c r="AX46" s="37" t="str">
        <f t="shared" si="1"/>
        <v>- churches</v>
      </c>
      <c r="AY46" s="37" t="str">
        <f t="shared" si="2"/>
        <v>- marian-sites</v>
      </c>
      <c r="AZ46" s="37" t="str">
        <f t="shared" si="3"/>
        <v/>
      </c>
      <c r="BA46" s="37" t="str">
        <f t="shared" si="4"/>
        <v/>
      </c>
      <c r="BB46" s="37" t="str">
        <f t="shared" si="5"/>
        <v/>
      </c>
      <c r="BC46" s="37" t="str">
        <f t="shared" si="6"/>
        <v/>
      </c>
      <c r="BD46" s="37" t="str">
        <f t="shared" si="7"/>
        <v/>
      </c>
      <c r="BE46" s="37" t="str">
        <f t="shared" si="8"/>
        <v/>
      </c>
      <c r="BF46" s="37" t="str">
        <f t="shared" si="9"/>
        <v/>
      </c>
      <c r="BG46" s="37" t="str">
        <f t="shared" si="10"/>
        <v/>
      </c>
      <c r="BH46" s="37" t="str">
        <f t="shared" si="11"/>
        <v/>
      </c>
      <c r="BI46" s="37" t="str">
        <f t="shared" si="12"/>
        <v/>
      </c>
      <c r="BJ46" s="37" t="str">
        <f t="shared" si="13"/>
        <v/>
      </c>
      <c r="BK46" s="37" t="str">
        <f t="shared" si="14"/>
        <v xml:space="preserve">tags:
- italy_x000D_
- churches_x000D_
- marian-sites_x000D_
</v>
      </c>
      <c r="BL46" s="38" t="str">
        <f t="shared" si="15"/>
        <v/>
      </c>
      <c r="BM46" s="38" t="str">
        <f t="shared" si="16"/>
        <v/>
      </c>
      <c r="BN46" s="38" t="str">
        <f t="shared" si="17"/>
        <v/>
      </c>
      <c r="BO46" s="38" t="str">
        <f t="shared" si="18"/>
        <v/>
      </c>
      <c r="BP46" s="38" t="str">
        <f t="shared" si="19"/>
        <v/>
      </c>
      <c r="BQ46" s="38" t="str">
        <f t="shared" si="20"/>
        <v>[Link](http://www.therealpresence.org/eucharst/misc/BVM/65_MOLARE_60x96.pdf)</v>
      </c>
      <c r="BR46" s="38" t="str">
        <f t="shared" si="21"/>
        <v/>
      </c>
      <c r="BS46" s="38" t="str">
        <f t="shared" si="22"/>
        <v/>
      </c>
      <c r="BT46" s="38" t="str">
        <f>IF(LEN(concat(BQ46:BS46))&gt;0,concat("| ",BQ46," | ",BR46," | ",BS46," |"),"")</f>
        <v>| [Link](http://www.therealpresence.org/eucharst/misc/BVM/65_MOLARE_60x96.pdf) |  |  |</v>
      </c>
      <c r="BU46" s="37" t="str">
        <f t="shared" si="23"/>
        <v xml:space="preserve">| The Real Presence | Miracle Hunter | MaryPages |_x000D_
| --- | --- | --- |_x000D_
| [Link](http://www.therealpresence.org/eucharst/misc/BVM/65_MOLARE_60x96.pdf) |  |  |_x000D_
</v>
      </c>
      <c r="BV46" s="37" t="str">
        <f>IF(LEN(BP46&amp;BU46)&gt;0,concatll("#### Source Material",BP46,BU46),"")</f>
        <v xml:space="preserve">#### Source Material_x000D_
_x000D_
| The Real Presence | Miracle Hunter | MaryPages |_x000D_
| --- | --- | --- |_x000D_
| [Link](http://www.therealpresence.org/eucharst/misc/BVM/65_MOLARE_60x96.pdf) |  |  |_x000D_
_x000D_
_x000D_
</v>
      </c>
      <c r="BW46" s="37" t="str">
        <f>IF(LEN(O46)&gt;1,concatll("#### Author's Note",O46),"")</f>
        <v/>
      </c>
      <c r="BX46" s="24" t="str">
        <f>IF(AR46,concatll(concatl("---",AS46:AU46,BK46,"---"),N46,BV46:BW46),"")</f>
        <v/>
      </c>
      <c r="BY46" s="24" t="str">
        <f>IF(AR46,VLOOKUP(C46,'(Ref) Countries'!A:B,2,)&amp;IF(LEN(D46)&gt;1,"-"&amp;LOWER(SUBSTITUTE(D46," ","-")),"")&amp;"-"&amp;LOWER(SUBSTITUTE(I46," ","-"))&amp;".md","")</f>
        <v/>
      </c>
      <c r="BZ46" s="37" t="str">
        <f>IF(LEN(AG46)&gt;1,VLOOKUP(AG46,'Tag List'!$A:$B,2,),"")</f>
        <v/>
      </c>
      <c r="CA46" s="37" t="str">
        <f>IF(LEN(AH46)&gt;1,VLOOKUP(AH46,'Tag List'!$A:$B,2,),"")</f>
        <v/>
      </c>
      <c r="CB46" s="37" t="str">
        <f>IF(LEN(AI46)&gt;1,VLOOKUP(AI46,'Tag List'!$A:$B,2,),"")</f>
        <v/>
      </c>
      <c r="CC46" s="38" t="str">
        <f>IF(LEN(AG46)&gt;1,GetTagPage(BZ46,AG46),"")</f>
        <v/>
      </c>
      <c r="CD46" s="38" t="str">
        <f>IF(LEN(AH46)&gt;1,GetTagPage(CA46,AH46),"")</f>
        <v/>
      </c>
      <c r="CE46" s="38" t="str">
        <f>IF(LEN(AI46)&gt;1,GetTagPage(CB46,AI46),"")</f>
        <v/>
      </c>
      <c r="CF46" s="38" t="str">
        <f>"|"&amp;IF(LEN(CC46)&gt;1," "&amp;CC46,"")&amp;IF(LEN(CD46)&gt;1,", "&amp;CD46,"")&amp;IF(LEN(CE46)&gt;1,", "&amp;CE46,"")&amp;" "</f>
        <v xml:space="preserve">| </v>
      </c>
      <c r="CG46" s="38" t="str">
        <f>"| "&amp;IF(AR46,"["&amp;B46&amp;"](/places/"&amp;SUBSTITUTE(BY46,".md","")&amp;")",B46)&amp;" "</f>
        <v xml:space="preserve">| Molare </v>
      </c>
      <c r="CH46" s="38" t="str">
        <f>"| "&amp;IF(AR46,GetTagPage(C46,VLOOKUP(C46,'(Ref) Countries'!A:C,3,)),C46)&amp; " "</f>
        <v xml:space="preserve">| Italy </v>
      </c>
      <c r="CI46" s="38" t="str">
        <f>"| "&amp;E46&amp;" "</f>
        <v xml:space="preserve">| 16th Century </v>
      </c>
      <c r="CJ46" s="38" t="str">
        <f>"|"&amp;IF(AR46," [Link](/places/"&amp;SUBSTITUTE(BY46,".md","")&amp;")","")&amp;" "</f>
        <v xml:space="preserve">| </v>
      </c>
      <c r="CK46" s="37" t="str">
        <f>"
"&amp;CG46&amp;CH46&amp;CI46&amp;CJ46&amp;BL46&amp;BQ46&amp;BR46&amp;BS46&amp;CF46&amp;"|"</f>
        <v xml:space="preserve">
| Molare | Italy | 16th Century | [Link](http://www.therealpresence.org/eucharst/misc/BVM/65_MOLARE_60x96.pdf)| |</v>
      </c>
    </row>
    <row r="47" spans="1:89" ht="63.75" x14ac:dyDescent="0.25">
      <c r="A47" s="25" t="s">
        <v>1324</v>
      </c>
      <c r="B47" s="28" t="s">
        <v>1222</v>
      </c>
      <c r="C47" s="29" t="s">
        <v>2</v>
      </c>
      <c r="E47" s="31" t="s">
        <v>1100</v>
      </c>
      <c r="F47" s="71">
        <v>10.6803068</v>
      </c>
      <c r="G47" s="67">
        <v>79.849313699999996</v>
      </c>
      <c r="H47" s="48" t="s">
        <v>1724</v>
      </c>
      <c r="I47" s="76" t="s">
        <v>1717</v>
      </c>
      <c r="J47" s="32" t="s">
        <v>1728</v>
      </c>
      <c r="K47" s="32" t="b">
        <v>1</v>
      </c>
      <c r="L47" s="30" t="b">
        <v>1</v>
      </c>
      <c r="N47" s="48" t="s">
        <v>1722</v>
      </c>
      <c r="O47" s="76" t="s">
        <v>1760</v>
      </c>
      <c r="P47" s="32" t="s">
        <v>1719</v>
      </c>
      <c r="Q47" s="30" t="s">
        <v>336</v>
      </c>
      <c r="AA47" s="71" t="s">
        <v>222</v>
      </c>
      <c r="AB47" s="30" t="s">
        <v>336</v>
      </c>
      <c r="AC47" s="32" t="s">
        <v>1721</v>
      </c>
      <c r="AD47" s="30" t="s">
        <v>336</v>
      </c>
      <c r="AE47" s="30" t="s">
        <v>1723</v>
      </c>
      <c r="AF47" s="67" t="s">
        <v>336</v>
      </c>
      <c r="AG47" s="30" t="s">
        <v>336</v>
      </c>
      <c r="AR47" s="36" t="b">
        <f>IF(OR(A47="Done",A47="In Progress"),TRUE)</f>
        <v>1</v>
      </c>
      <c r="AS47" s="37" t="str">
        <f>"title: """&amp;H47&amp;""""</f>
        <v>title: "Basilica of Our Lady of Good Health (Our Lady of Velankanni)"</v>
      </c>
      <c r="AT47" s="37" t="str">
        <f>"location: {lat: "&amp;F47&amp;", lng: "&amp;G47&amp;"}"</f>
        <v>location: {lat: 10.6803068, lng: 79.8493137}</v>
      </c>
      <c r="AU47" s="37" t="str">
        <f>"level: "&amp;J47</f>
        <v>level: global</v>
      </c>
      <c r="AV47" s="37" t="str">
        <f>"- "&amp;VLOOKUP(C47,'(Ref) Countries'!A:C,3,)</f>
        <v>- india</v>
      </c>
      <c r="AW47" s="37" t="str">
        <f t="shared" si="0"/>
        <v/>
      </c>
      <c r="AX47" s="37" t="str">
        <f t="shared" si="1"/>
        <v>- churches</v>
      </c>
      <c r="AY47" s="37" t="str">
        <f t="shared" si="2"/>
        <v>- marian-sites</v>
      </c>
      <c r="AZ47" s="37" t="str">
        <f t="shared" si="3"/>
        <v/>
      </c>
      <c r="BA47" s="37" t="str">
        <f t="shared" si="4"/>
        <v/>
      </c>
      <c r="BB47" s="37" t="str">
        <f t="shared" si="5"/>
        <v/>
      </c>
      <c r="BC47" s="37" t="str">
        <f t="shared" si="6"/>
        <v/>
      </c>
      <c r="BD47" s="37" t="str">
        <f t="shared" si="7"/>
        <v/>
      </c>
      <c r="BE47" s="37" t="str">
        <f t="shared" si="8"/>
        <v/>
      </c>
      <c r="BF47" s="37" t="str">
        <f t="shared" si="9"/>
        <v/>
      </c>
      <c r="BG47" s="37" t="str">
        <f t="shared" si="10"/>
        <v/>
      </c>
      <c r="BH47" s="37" t="str">
        <f t="shared" si="11"/>
        <v/>
      </c>
      <c r="BI47" s="37" t="str">
        <f t="shared" si="12"/>
        <v/>
      </c>
      <c r="BJ47" s="37" t="str">
        <f t="shared" si="13"/>
        <v/>
      </c>
      <c r="BK47" s="37" t="str">
        <f t="shared" si="14"/>
        <v xml:space="preserve">tags:
- india_x000D_
- churches_x000D_
- marian-sites_x000D_
</v>
      </c>
      <c r="BL47" s="38" t="str">
        <f t="shared" si="15"/>
        <v>[Official site](https://www.velankannichurch.com/)</v>
      </c>
      <c r="BM47" s="38" t="str">
        <f t="shared" si="16"/>
        <v/>
      </c>
      <c r="BN47" s="38" t="str">
        <f t="shared" si="17"/>
        <v/>
      </c>
      <c r="BO47" s="38" t="str">
        <f t="shared" si="18"/>
        <v/>
      </c>
      <c r="BP47" s="38" t="str">
        <f t="shared" si="19"/>
        <v xml:space="preserve">* [Official site](https://www.velankannichurch.com/)
</v>
      </c>
      <c r="BQ47" s="38" t="str">
        <f t="shared" si="20"/>
        <v>[Link](http://www.therealpresence.org/eucharst/misc/BVM/32_VAILANKANNI_60x96.pdf)</v>
      </c>
      <c r="BR47" s="38" t="str">
        <f t="shared" si="21"/>
        <v>[Link](https://www.miraclehunter.com/marian_apparitions/approved_apparitions/vailankanni/)</v>
      </c>
      <c r="BS47" s="38" t="str">
        <f t="shared" si="22"/>
        <v>[Link](https://www.marypages.com/vailankanni-(india)-en.html)</v>
      </c>
      <c r="BT47" s="38" t="str">
        <f>IF(LEN(concat(BQ47:BS47))&gt;0,concat("| ",BQ47," | ",BR47," | ",BS47," |"),"")</f>
        <v>| [Link](http://www.therealpresence.org/eucharst/misc/BVM/32_VAILANKANNI_60x96.pdf) | [Link](https://www.miraclehunter.com/marian_apparitions/approved_apparitions/vailankanni/) | [Link](https://www.marypages.com/vailankanni-(india)-en.html) |</v>
      </c>
      <c r="BU47" s="37" t="str">
        <f t="shared" si="23"/>
        <v xml:space="preserve">| The Real Presence | Miracle Hunter | MaryPages |_x000D_
| --- | --- | --- |_x000D_
| [Link](http://www.therealpresence.org/eucharst/misc/BVM/32_VAILANKANNI_60x96.pdf) | [Link](https://www.miraclehunter.com/marian_apparitions/approved_apparitions/vailankanni/) | [Link](https://www.marypages.com/vailankanni-(india)-en.html) |_x000D_
</v>
      </c>
      <c r="BV47" s="37" t="str">
        <f>IF(LEN(BP47&amp;BU47)&gt;0,concatll("#### Source Material",BP47,BU47),"")</f>
        <v xml:space="preserve">#### Source Material_x000D_
_x000D_
* [Official site](https://www.velankannichurch.com/)
_x000D_
_x000D_
| The Real Presence | Miracle Hunter | MaryPages |_x000D_
| --- | --- | --- |_x000D_
| [Link](http://www.therealpresence.org/eucharst/misc/BVM/32_VAILANKANNI_60x96.pdf) | [Link](https://www.miraclehunter.com/marian_apparitions/approved_apparitions/vailankanni/) | [Link](https://www.marypages.com/vailankanni-(india)-en.html) |_x000D_
_x000D_
_x000D_
</v>
      </c>
      <c r="BW47" s="37" t="str">
        <f>IF(LEN(O47)&gt;1,concatll("#### Author's Note",O47),"")</f>
        <v xml:space="preserve">#### Author's Note_x000D_
_x000D_
An Indonesian parish of the same name also has a [good history](https://velangkanni.com/en/about-annai-velangkanni/) of the apparition.
-NDS_x000D_
_x000D_
</v>
      </c>
      <c r="BX47" s="24" t="str">
        <f>IF(AR47,concatll(concatl("---",AS47:AU47,BK47,"---"),N47,BV47:BW47),"")</f>
        <v xml:space="preserve">---_x000D_
title: "Basilica of Our Lady of Good Health (Our Lady of Velankanni)"_x000D_
location: {lat: 10.6803068, lng: 79.8493137}_x000D_
level: global_x000D_
tags:
- india_x000D_
- churches_x000D_
- marian-sites_x000D_
_x000D_
---_x000D_
_x000D_
_x000D_
According to tradition, there have been multiple apparitions of the Blessed Virgin Mary at Velankanni, also known as Our Lady of Good Health.  As tradition would have it, the first of many apparitions occured to a young boy who was delivering buttermilk._x000D_
_x000D_
#### Source Material_x000D_
_x000D_
* [Official site](https://www.velankannichurch.com/)
_x000D_
_x000D_
| The Real Presence | Miracle Hunter | MaryPages |_x000D_
| --- | --- | --- |_x000D_
| [Link](http://www.therealpresence.org/eucharst/misc/BVM/32_VAILANKANNI_60x96.pdf) | [Link](https://www.miraclehunter.com/marian_apparitions/approved_apparitions/vailankanni/) | [Link](https://www.marypages.com/vailankanni-(india)-en.html) |_x000D_
_x000D_
_x000D_
_x000D_
_x000D_
#### Author's Note_x000D_
_x000D_
An Indonesian parish of the same name also has a [good history](https://velangkanni.com/en/about-annai-velangkanni/) of the apparition.
-NDS_x000D_
_x000D_
_x000D_
_x000D_
</v>
      </c>
      <c r="BY47" s="24" t="str">
        <f>IF(AR47,VLOOKUP(C47,'(Ref) Countries'!A:B,2,)&amp;IF(LEN(D47)&gt;1,"-"&amp;LOWER(SUBSTITUTE(D47," ","-")),"")&amp;"-"&amp;LOWER(SUBSTITUTE(I47," ","-"))&amp;".md","")</f>
        <v>in-basilica-of-our-lady-of-good-health.md</v>
      </c>
      <c r="BZ47" s="37" t="str">
        <f>IF(LEN(AG47)&gt;1,VLOOKUP(AG47,'Tag List'!$A:$B,2,),"")</f>
        <v/>
      </c>
      <c r="CA47" s="37" t="str">
        <f>IF(LEN(AH47)&gt;1,VLOOKUP(AH47,'Tag List'!$A:$B,2,),"")</f>
        <v/>
      </c>
      <c r="CB47" s="37" t="str">
        <f>IF(LEN(AI47)&gt;1,VLOOKUP(AI47,'Tag List'!$A:$B,2,),"")</f>
        <v/>
      </c>
      <c r="CC47" s="38" t="str">
        <f>IF(LEN(AG47)&gt;1,GetTagPage(BZ47,AG47),"")</f>
        <v/>
      </c>
      <c r="CD47" s="38" t="str">
        <f>IF(LEN(AH47)&gt;1,GetTagPage(CA47,AH47),"")</f>
        <v/>
      </c>
      <c r="CE47" s="38" t="str">
        <f>IF(LEN(AI47)&gt;1,GetTagPage(CB47,AI47),"")</f>
        <v/>
      </c>
      <c r="CF47" s="38" t="str">
        <f>"|"&amp;IF(LEN(CC47)&gt;1," "&amp;CC47,"")&amp;IF(LEN(CD47)&gt;1,", "&amp;CD47,"")&amp;IF(LEN(CE47)&gt;1,", "&amp;CE47,"")&amp;" "</f>
        <v xml:space="preserve">| </v>
      </c>
      <c r="CG47" s="38" t="str">
        <f>"| "&amp;IF(AR47,"["&amp;B47&amp;"](/places/"&amp;SUBSTITUTE(BY47,".md","")&amp;")",B47)&amp;" "</f>
        <v xml:space="preserve">| [Vailankanni](/places/in-basilica-of-our-lady-of-good-health) </v>
      </c>
      <c r="CH47" s="38" t="str">
        <f>"| "&amp;IF(AR47,GetTagPage(C47,VLOOKUP(C47,'(Ref) Countries'!A:C,3,)),C47)&amp; " "</f>
        <v xml:space="preserve">| [India](/tags/india) </v>
      </c>
      <c r="CI47" s="38" t="str">
        <f>"| "&amp;E47&amp;" "</f>
        <v xml:space="preserve">| 16th Century </v>
      </c>
      <c r="CJ47" s="38" t="str">
        <f>"|"&amp;IF(AR47," [Link](/places/"&amp;SUBSTITUTE(BY47,".md","")&amp;")","")&amp;" "</f>
        <v xml:space="preserve">| [Link](/places/in-basilica-of-our-lady-of-good-health) </v>
      </c>
      <c r="CK47" s="37" t="str">
        <f>"
"&amp;CG47&amp;CH47&amp;CI47&amp;CJ47&amp;BL47&amp;BQ47&amp;BR47&amp;BS47&amp;CF47&amp;"|"</f>
        <v xml:space="preserve">
| [Vailankanni](/places/in-basilica-of-our-lady-of-good-health) | [India](/tags/india) | 16th Century | [Link](/places/in-basilica-of-our-lady-of-good-health) [Official site](https://www.velankannichurch.com/)[Link](http://www.therealpresence.org/eucharst/misc/BVM/32_VAILANKANNI_60x96.pdf)[Link](https://www.miraclehunter.com/marian_apparitions/approved_apparitions/vailankanni/)[Link](https://www.marypages.com/vailankanni-(india)-en.html)| |</v>
      </c>
    </row>
    <row r="48" spans="1:89" x14ac:dyDescent="0.25">
      <c r="B48" s="28" t="s">
        <v>1223</v>
      </c>
      <c r="C48" s="29" t="s">
        <v>531</v>
      </c>
      <c r="E48" s="31" t="s">
        <v>1100</v>
      </c>
      <c r="J48" s="30" t="s">
        <v>1728</v>
      </c>
      <c r="K48" s="32" t="b">
        <v>1</v>
      </c>
      <c r="L48" s="30" t="b">
        <v>1</v>
      </c>
      <c r="P48" s="30" t="s">
        <v>336</v>
      </c>
      <c r="Q48" s="30" t="s">
        <v>336</v>
      </c>
      <c r="AA48" s="71" t="s">
        <v>223</v>
      </c>
      <c r="AB48" s="30" t="s">
        <v>336</v>
      </c>
      <c r="AC48" s="30" t="s">
        <v>336</v>
      </c>
      <c r="AD48" s="30" t="s">
        <v>336</v>
      </c>
      <c r="AE48" s="30" t="s">
        <v>336</v>
      </c>
      <c r="AF48" s="67" t="s">
        <v>336</v>
      </c>
      <c r="AG48" s="30" t="s">
        <v>336</v>
      </c>
      <c r="AR48" s="36" t="b">
        <f>IF(OR(A48="Done",A48="In Progress"),TRUE)</f>
        <v>0</v>
      </c>
      <c r="AS48" s="37" t="str">
        <f>"title: """&amp;H48&amp;""""</f>
        <v>title: ""</v>
      </c>
      <c r="AT48" s="37" t="str">
        <f>"location: {lat: "&amp;F48&amp;", lng: "&amp;G48&amp;"}"</f>
        <v>location: {lat: , lng: }</v>
      </c>
      <c r="AU48" s="37" t="str">
        <f>"level: "&amp;J48</f>
        <v>level: global</v>
      </c>
      <c r="AV48" s="37" t="str">
        <f>"- "&amp;VLOOKUP(C48,'(Ref) Countries'!A:C,3,)</f>
        <v>- chile</v>
      </c>
      <c r="AW48" s="37" t="str">
        <f t="shared" si="0"/>
        <v/>
      </c>
      <c r="AX48" s="37" t="str">
        <f t="shared" si="1"/>
        <v>- churches</v>
      </c>
      <c r="AY48" s="37" t="str">
        <f t="shared" si="2"/>
        <v>- marian-sites</v>
      </c>
      <c r="AZ48" s="37" t="str">
        <f t="shared" si="3"/>
        <v/>
      </c>
      <c r="BA48" s="37" t="str">
        <f t="shared" si="4"/>
        <v/>
      </c>
      <c r="BB48" s="37" t="str">
        <f t="shared" si="5"/>
        <v/>
      </c>
      <c r="BC48" s="37" t="str">
        <f t="shared" si="6"/>
        <v/>
      </c>
      <c r="BD48" s="37" t="str">
        <f t="shared" si="7"/>
        <v/>
      </c>
      <c r="BE48" s="37" t="str">
        <f t="shared" si="8"/>
        <v/>
      </c>
      <c r="BF48" s="37" t="str">
        <f t="shared" si="9"/>
        <v/>
      </c>
      <c r="BG48" s="37" t="str">
        <f t="shared" si="10"/>
        <v/>
      </c>
      <c r="BH48" s="37" t="str">
        <f t="shared" si="11"/>
        <v/>
      </c>
      <c r="BI48" s="37" t="str">
        <f t="shared" si="12"/>
        <v/>
      </c>
      <c r="BJ48" s="37" t="str">
        <f t="shared" si="13"/>
        <v/>
      </c>
      <c r="BK48" s="37" t="str">
        <f t="shared" si="14"/>
        <v xml:space="preserve">tags:
- chile_x000D_
- churches_x000D_
- marian-sites_x000D_
</v>
      </c>
      <c r="BL48" s="38" t="str">
        <f t="shared" si="15"/>
        <v/>
      </c>
      <c r="BM48" s="38" t="str">
        <f t="shared" si="16"/>
        <v/>
      </c>
      <c r="BN48" s="38" t="str">
        <f t="shared" si="17"/>
        <v/>
      </c>
      <c r="BO48" s="38" t="str">
        <f t="shared" si="18"/>
        <v/>
      </c>
      <c r="BP48" s="38" t="str">
        <f t="shared" si="19"/>
        <v/>
      </c>
      <c r="BQ48" s="38" t="str">
        <f t="shared" si="20"/>
        <v>[Link](http://www.therealpresence.org/eucharst/misc/BVM/98_ANDACOLLO_CILE_60x96.pdf)</v>
      </c>
      <c r="BR48" s="38" t="str">
        <f t="shared" si="21"/>
        <v/>
      </c>
      <c r="BS48" s="38" t="str">
        <f t="shared" si="22"/>
        <v/>
      </c>
      <c r="BT48" s="38" t="str">
        <f>IF(LEN(concat(BQ48:BS48))&gt;0,concat("| ",BQ48," | ",BR48," | ",BS48," |"),"")</f>
        <v>| [Link](http://www.therealpresence.org/eucharst/misc/BVM/98_ANDACOLLO_CILE_60x96.pdf) |  |  |</v>
      </c>
      <c r="BU48" s="37" t="str">
        <f t="shared" si="23"/>
        <v xml:space="preserve">| The Real Presence | Miracle Hunter | MaryPages |_x000D_
| --- | --- | --- |_x000D_
| [Link](http://www.therealpresence.org/eucharst/misc/BVM/98_ANDACOLLO_CILE_60x96.pdf) |  |  |_x000D_
</v>
      </c>
      <c r="BV48" s="37" t="str">
        <f>IF(LEN(BP48&amp;BU48)&gt;0,concatll("#### Source Material",BP48,BU48),"")</f>
        <v xml:space="preserve">#### Source Material_x000D_
_x000D_
| The Real Presence | Miracle Hunter | MaryPages |_x000D_
| --- | --- | --- |_x000D_
| [Link](http://www.therealpresence.org/eucharst/misc/BVM/98_ANDACOLLO_CILE_60x96.pdf) |  |  |_x000D_
_x000D_
_x000D_
</v>
      </c>
      <c r="BW48" s="37" t="str">
        <f>IF(LEN(O48)&gt;1,concatll("#### Author's Note",O48),"")</f>
        <v/>
      </c>
      <c r="BX48" s="24" t="str">
        <f>IF(AR48,concatll(concatl("---",AS48:AU48,BK48,"---"),N48,BV48:BW48),"")</f>
        <v/>
      </c>
      <c r="BY48" s="24" t="str">
        <f>IF(AR48,VLOOKUP(C48,'(Ref) Countries'!A:B,2,)&amp;IF(LEN(D48)&gt;1,"-"&amp;LOWER(SUBSTITUTE(D48," ","-")),"")&amp;"-"&amp;LOWER(SUBSTITUTE(I48," ","-"))&amp;".md","")</f>
        <v/>
      </c>
      <c r="BZ48" s="37" t="str">
        <f>IF(LEN(AG48)&gt;1,VLOOKUP(AG48,'Tag List'!$A:$B,2,),"")</f>
        <v/>
      </c>
      <c r="CA48" s="37" t="str">
        <f>IF(LEN(AH48)&gt;1,VLOOKUP(AH48,'Tag List'!$A:$B,2,),"")</f>
        <v/>
      </c>
      <c r="CB48" s="37" t="str">
        <f>IF(LEN(AI48)&gt;1,VLOOKUP(AI48,'Tag List'!$A:$B,2,),"")</f>
        <v/>
      </c>
      <c r="CC48" s="38" t="str">
        <f>IF(LEN(AG48)&gt;1,GetTagPage(BZ48,AG48),"")</f>
        <v/>
      </c>
      <c r="CD48" s="38" t="str">
        <f>IF(LEN(AH48)&gt;1,GetTagPage(CA48,AH48),"")</f>
        <v/>
      </c>
      <c r="CE48" s="38" t="str">
        <f>IF(LEN(AI48)&gt;1,GetTagPage(CB48,AI48),"")</f>
        <v/>
      </c>
      <c r="CF48" s="38" t="str">
        <f>"|"&amp;IF(LEN(CC48)&gt;1," "&amp;CC48,"")&amp;IF(LEN(CD48)&gt;1,", "&amp;CD48,"")&amp;IF(LEN(CE48)&gt;1,", "&amp;CE48,"")&amp;" "</f>
        <v xml:space="preserve">| </v>
      </c>
      <c r="CG48" s="38" t="str">
        <f>"| "&amp;IF(AR48,"["&amp;B48&amp;"](/places/"&amp;SUBSTITUTE(BY48,".md","")&amp;")",B48)&amp;" "</f>
        <v xml:space="preserve">| Andacollo </v>
      </c>
      <c r="CH48" s="38" t="str">
        <f>"| "&amp;IF(AR48,GetTagPage(C48,VLOOKUP(C48,'(Ref) Countries'!A:C,3,)),C48)&amp; " "</f>
        <v xml:space="preserve">| Chile </v>
      </c>
      <c r="CI48" s="38" t="str">
        <f>"| "&amp;E48&amp;" "</f>
        <v xml:space="preserve">| 16th Century </v>
      </c>
      <c r="CJ48" s="38" t="str">
        <f>"|"&amp;IF(AR48," [Link](/places/"&amp;SUBSTITUTE(BY48,".md","")&amp;")","")&amp;" "</f>
        <v xml:space="preserve">| </v>
      </c>
      <c r="CK48" s="37" t="str">
        <f>"
"&amp;CG48&amp;CH48&amp;CI48&amp;CJ48&amp;BL48&amp;BQ48&amp;BR48&amp;BS48&amp;CF48&amp;"|"</f>
        <v xml:space="preserve">
| Andacollo | Chile | 16th Century | [Link](http://www.therealpresence.org/eucharst/misc/BVM/98_ANDACOLLO_CILE_60x96.pdf)| |</v>
      </c>
    </row>
    <row r="49" spans="1:89" x14ac:dyDescent="0.25">
      <c r="B49" s="28" t="s">
        <v>1224</v>
      </c>
      <c r="C49" s="29" t="s">
        <v>502</v>
      </c>
      <c r="E49" s="31" t="s">
        <v>1100</v>
      </c>
      <c r="J49" s="30" t="s">
        <v>1728</v>
      </c>
      <c r="K49" s="32" t="b">
        <v>1</v>
      </c>
      <c r="L49" s="30" t="b">
        <v>1</v>
      </c>
      <c r="P49" s="30" t="s">
        <v>336</v>
      </c>
      <c r="Q49" s="30" t="s">
        <v>336</v>
      </c>
      <c r="AA49" s="71" t="s">
        <v>224</v>
      </c>
      <c r="AB49" s="30" t="s">
        <v>336</v>
      </c>
      <c r="AC49" s="30" t="s">
        <v>336</v>
      </c>
      <c r="AD49" s="30" t="s">
        <v>336</v>
      </c>
      <c r="AE49" s="30" t="s">
        <v>336</v>
      </c>
      <c r="AF49" s="67" t="s">
        <v>336</v>
      </c>
      <c r="AG49" s="30" t="s">
        <v>336</v>
      </c>
      <c r="AR49" s="36" t="b">
        <f>IF(OR(A49="Done",A49="In Progress"),TRUE)</f>
        <v>0</v>
      </c>
      <c r="AS49" s="37" t="str">
        <f>"title: """&amp;H49&amp;""""</f>
        <v>title: ""</v>
      </c>
      <c r="AT49" s="37" t="str">
        <f>"location: {lat: "&amp;F49&amp;", lng: "&amp;G49&amp;"}"</f>
        <v>location: {lat: , lng: }</v>
      </c>
      <c r="AU49" s="37" t="str">
        <f>"level: "&amp;J49</f>
        <v>level: global</v>
      </c>
      <c r="AV49" s="37" t="str">
        <f>"- "&amp;VLOOKUP(C49,'(Ref) Countries'!A:C,3,)</f>
        <v>- austria</v>
      </c>
      <c r="AW49" s="37" t="str">
        <f t="shared" si="0"/>
        <v/>
      </c>
      <c r="AX49" s="37" t="str">
        <f t="shared" si="1"/>
        <v>- churches</v>
      </c>
      <c r="AY49" s="37" t="str">
        <f t="shared" si="2"/>
        <v>- marian-sites</v>
      </c>
      <c r="AZ49" s="37" t="str">
        <f t="shared" si="3"/>
        <v/>
      </c>
      <c r="BA49" s="37" t="str">
        <f t="shared" si="4"/>
        <v/>
      </c>
      <c r="BB49" s="37" t="str">
        <f t="shared" si="5"/>
        <v/>
      </c>
      <c r="BC49" s="37" t="str">
        <f t="shared" si="6"/>
        <v/>
      </c>
      <c r="BD49" s="37" t="str">
        <f t="shared" si="7"/>
        <v/>
      </c>
      <c r="BE49" s="37" t="str">
        <f t="shared" si="8"/>
        <v/>
      </c>
      <c r="BF49" s="37" t="str">
        <f t="shared" si="9"/>
        <v/>
      </c>
      <c r="BG49" s="37" t="str">
        <f t="shared" si="10"/>
        <v/>
      </c>
      <c r="BH49" s="37" t="str">
        <f t="shared" si="11"/>
        <v/>
      </c>
      <c r="BI49" s="37" t="str">
        <f t="shared" si="12"/>
        <v/>
      </c>
      <c r="BJ49" s="37" t="str">
        <f t="shared" si="13"/>
        <v/>
      </c>
      <c r="BK49" s="37" t="str">
        <f t="shared" si="14"/>
        <v xml:space="preserve">tags:
- austria_x000D_
- churches_x000D_
- marian-sites_x000D_
</v>
      </c>
      <c r="BL49" s="38" t="str">
        <f t="shared" si="15"/>
        <v/>
      </c>
      <c r="BM49" s="38" t="str">
        <f t="shared" si="16"/>
        <v/>
      </c>
      <c r="BN49" s="38" t="str">
        <f t="shared" si="17"/>
        <v/>
      </c>
      <c r="BO49" s="38" t="str">
        <f t="shared" si="18"/>
        <v/>
      </c>
      <c r="BP49" s="38" t="str">
        <f t="shared" si="19"/>
        <v/>
      </c>
      <c r="BQ49" s="38" t="str">
        <f t="shared" si="20"/>
        <v>[Link](http://www.therealpresence.org/eucharst/misc/BVM/111_LUGGAU_60x96.pdf)</v>
      </c>
      <c r="BR49" s="38" t="str">
        <f t="shared" si="21"/>
        <v/>
      </c>
      <c r="BS49" s="38" t="str">
        <f t="shared" si="22"/>
        <v/>
      </c>
      <c r="BT49" s="38" t="str">
        <f>IF(LEN(concat(BQ49:BS49))&gt;0,concat("| ",BQ49," | ",BR49," | ",BS49," |"),"")</f>
        <v>| [Link](http://www.therealpresence.org/eucharst/misc/BVM/111_LUGGAU_60x96.pdf) |  |  |</v>
      </c>
      <c r="BU49" s="37" t="str">
        <f t="shared" si="23"/>
        <v xml:space="preserve">| The Real Presence | Miracle Hunter | MaryPages |_x000D_
| --- | --- | --- |_x000D_
| [Link](http://www.therealpresence.org/eucharst/misc/BVM/111_LUGGAU_60x96.pdf) |  |  |_x000D_
</v>
      </c>
      <c r="BV49" s="37" t="str">
        <f>IF(LEN(BP49&amp;BU49)&gt;0,concatll("#### Source Material",BP49,BU49),"")</f>
        <v xml:space="preserve">#### Source Material_x000D_
_x000D_
| The Real Presence | Miracle Hunter | MaryPages |_x000D_
| --- | --- | --- |_x000D_
| [Link](http://www.therealpresence.org/eucharst/misc/BVM/111_LUGGAU_60x96.pdf) |  |  |_x000D_
_x000D_
_x000D_
</v>
      </c>
      <c r="BW49" s="37" t="str">
        <f>IF(LEN(O49)&gt;1,concatll("#### Author's Note",O49),"")</f>
        <v/>
      </c>
      <c r="BX49" s="24" t="str">
        <f>IF(AR49,concatll(concatl("---",AS49:AU49,BK49,"---"),N49,BV49:BW49),"")</f>
        <v/>
      </c>
      <c r="BY49" s="24" t="str">
        <f>IF(AR49,VLOOKUP(C49,'(Ref) Countries'!A:B,2,)&amp;IF(LEN(D49)&gt;1,"-"&amp;LOWER(SUBSTITUTE(D49," ","-")),"")&amp;"-"&amp;LOWER(SUBSTITUTE(I49," ","-"))&amp;".md","")</f>
        <v/>
      </c>
      <c r="BZ49" s="37" t="str">
        <f>IF(LEN(AG49)&gt;1,VLOOKUP(AG49,'Tag List'!$A:$B,2,),"")</f>
        <v/>
      </c>
      <c r="CA49" s="37" t="str">
        <f>IF(LEN(AH49)&gt;1,VLOOKUP(AH49,'Tag List'!$A:$B,2,),"")</f>
        <v/>
      </c>
      <c r="CB49" s="37" t="str">
        <f>IF(LEN(AI49)&gt;1,VLOOKUP(AI49,'Tag List'!$A:$B,2,),"")</f>
        <v/>
      </c>
      <c r="CC49" s="38" t="str">
        <f>IF(LEN(AG49)&gt;1,GetTagPage(BZ49,AG49),"")</f>
        <v/>
      </c>
      <c r="CD49" s="38" t="str">
        <f>IF(LEN(AH49)&gt;1,GetTagPage(CA49,AH49),"")</f>
        <v/>
      </c>
      <c r="CE49" s="38" t="str">
        <f>IF(LEN(AI49)&gt;1,GetTagPage(CB49,AI49),"")</f>
        <v/>
      </c>
      <c r="CF49" s="38" t="str">
        <f>"|"&amp;IF(LEN(CC49)&gt;1," "&amp;CC49,"")&amp;IF(LEN(CD49)&gt;1,", "&amp;CD49,"")&amp;IF(LEN(CE49)&gt;1,", "&amp;CE49,"")&amp;" "</f>
        <v xml:space="preserve">| </v>
      </c>
      <c r="CG49" s="38" t="str">
        <f>"| "&amp;IF(AR49,"["&amp;B49&amp;"](/places/"&amp;SUBSTITUTE(BY49,".md","")&amp;")",B49)&amp;" "</f>
        <v xml:space="preserve">| Luggau </v>
      </c>
      <c r="CH49" s="38" t="str">
        <f>"| "&amp;IF(AR49,GetTagPage(C49,VLOOKUP(C49,'(Ref) Countries'!A:C,3,)),C49)&amp; " "</f>
        <v xml:space="preserve">| Austria </v>
      </c>
      <c r="CI49" s="38" t="str">
        <f>"| "&amp;E49&amp;" "</f>
        <v xml:space="preserve">| 16th Century </v>
      </c>
      <c r="CJ49" s="38" t="str">
        <f>"|"&amp;IF(AR49," [Link](/places/"&amp;SUBSTITUTE(BY49,".md","")&amp;")","")&amp;" "</f>
        <v xml:space="preserve">| </v>
      </c>
      <c r="CK49" s="37" t="str">
        <f>"
"&amp;CG49&amp;CH49&amp;CI49&amp;CJ49&amp;BL49&amp;BQ49&amp;BR49&amp;BS49&amp;CF49&amp;"|"</f>
        <v xml:space="preserve">
| Luggau | Austria | 16th Century | [Link](http://www.therealpresence.org/eucharst/misc/BVM/111_LUGGAU_60x96.pdf)| |</v>
      </c>
    </row>
    <row r="50" spans="1:89" x14ac:dyDescent="0.25">
      <c r="B50" s="28" t="s">
        <v>1225</v>
      </c>
      <c r="C50" s="29" t="s">
        <v>11</v>
      </c>
      <c r="E50" s="31">
        <v>1504</v>
      </c>
      <c r="J50" s="30" t="s">
        <v>1728</v>
      </c>
      <c r="K50" s="32" t="b">
        <v>1</v>
      </c>
      <c r="L50" s="30" t="b">
        <v>1</v>
      </c>
      <c r="P50" s="30" t="s">
        <v>336</v>
      </c>
      <c r="Q50" s="30" t="s">
        <v>336</v>
      </c>
      <c r="AA50" s="71" t="s">
        <v>225</v>
      </c>
      <c r="AB50" s="30" t="s">
        <v>336</v>
      </c>
      <c r="AC50" s="30" t="s">
        <v>336</v>
      </c>
      <c r="AD50" s="30" t="s">
        <v>336</v>
      </c>
      <c r="AE50" s="30" t="s">
        <v>336</v>
      </c>
      <c r="AF50" s="67" t="s">
        <v>336</v>
      </c>
      <c r="AG50" s="30" t="s">
        <v>336</v>
      </c>
      <c r="AR50" s="36" t="b">
        <f>IF(OR(A50="Done",A50="In Progress"),TRUE)</f>
        <v>0</v>
      </c>
      <c r="AS50" s="37" t="str">
        <f>"title: """&amp;H50&amp;""""</f>
        <v>title: ""</v>
      </c>
      <c r="AT50" s="37" t="str">
        <f>"location: {lat: "&amp;F50&amp;", lng: "&amp;G50&amp;"}"</f>
        <v>location: {lat: , lng: }</v>
      </c>
      <c r="AU50" s="37" t="str">
        <f>"level: "&amp;J50</f>
        <v>level: global</v>
      </c>
      <c r="AV50" s="37" t="str">
        <f>"- "&amp;VLOOKUP(C50,'(Ref) Countries'!A:C,3,)</f>
        <v>- italy</v>
      </c>
      <c r="AW50" s="37" t="str">
        <f t="shared" si="0"/>
        <v/>
      </c>
      <c r="AX50" s="37" t="str">
        <f t="shared" si="1"/>
        <v>- churches</v>
      </c>
      <c r="AY50" s="37" t="str">
        <f t="shared" si="2"/>
        <v>- marian-sites</v>
      </c>
      <c r="AZ50" s="37" t="str">
        <f t="shared" si="3"/>
        <v/>
      </c>
      <c r="BA50" s="37" t="str">
        <f t="shared" si="4"/>
        <v/>
      </c>
      <c r="BB50" s="37" t="str">
        <f t="shared" si="5"/>
        <v/>
      </c>
      <c r="BC50" s="37" t="str">
        <f t="shared" si="6"/>
        <v/>
      </c>
      <c r="BD50" s="37" t="str">
        <f t="shared" si="7"/>
        <v/>
      </c>
      <c r="BE50" s="37" t="str">
        <f t="shared" si="8"/>
        <v/>
      </c>
      <c r="BF50" s="37" t="str">
        <f t="shared" si="9"/>
        <v/>
      </c>
      <c r="BG50" s="37" t="str">
        <f t="shared" si="10"/>
        <v/>
      </c>
      <c r="BH50" s="37" t="str">
        <f t="shared" si="11"/>
        <v/>
      </c>
      <c r="BI50" s="37" t="str">
        <f t="shared" si="12"/>
        <v/>
      </c>
      <c r="BJ50" s="37" t="str">
        <f t="shared" si="13"/>
        <v/>
      </c>
      <c r="BK50" s="37" t="str">
        <f t="shared" si="14"/>
        <v xml:space="preserve">tags:
- italy_x000D_
- churches_x000D_
- marian-sites_x000D_
</v>
      </c>
      <c r="BL50" s="38" t="str">
        <f t="shared" si="15"/>
        <v/>
      </c>
      <c r="BM50" s="38" t="str">
        <f t="shared" si="16"/>
        <v/>
      </c>
      <c r="BN50" s="38" t="str">
        <f t="shared" si="17"/>
        <v/>
      </c>
      <c r="BO50" s="38" t="str">
        <f t="shared" si="18"/>
        <v/>
      </c>
      <c r="BP50" s="38" t="str">
        <f t="shared" si="19"/>
        <v/>
      </c>
      <c r="BQ50" s="38" t="str">
        <f t="shared" si="20"/>
        <v>[Link](http://www.therealpresence.org/eucharst/misc/BVM/79_TIRANO_96x96.pdf)</v>
      </c>
      <c r="BR50" s="38" t="str">
        <f t="shared" si="21"/>
        <v/>
      </c>
      <c r="BS50" s="38" t="str">
        <f t="shared" si="22"/>
        <v/>
      </c>
      <c r="BT50" s="38" t="str">
        <f>IF(LEN(concat(BQ50:BS50))&gt;0,concat("| ",BQ50," | ",BR50," | ",BS50," |"),"")</f>
        <v>| [Link](http://www.therealpresence.org/eucharst/misc/BVM/79_TIRANO_96x96.pdf) |  |  |</v>
      </c>
      <c r="BU50" s="37" t="str">
        <f t="shared" si="23"/>
        <v xml:space="preserve">| The Real Presence | Miracle Hunter | MaryPages |_x000D_
| --- | --- | --- |_x000D_
| [Link](http://www.therealpresence.org/eucharst/misc/BVM/79_TIRANO_96x96.pdf) |  |  |_x000D_
</v>
      </c>
      <c r="BV50" s="37" t="str">
        <f>IF(LEN(BP50&amp;BU50)&gt;0,concatll("#### Source Material",BP50,BU50),"")</f>
        <v xml:space="preserve">#### Source Material_x000D_
_x000D_
| The Real Presence | Miracle Hunter | MaryPages |_x000D_
| --- | --- | --- |_x000D_
| [Link](http://www.therealpresence.org/eucharst/misc/BVM/79_TIRANO_96x96.pdf) |  |  |_x000D_
_x000D_
_x000D_
</v>
      </c>
      <c r="BW50" s="37" t="str">
        <f>IF(LEN(O50)&gt;1,concatll("#### Author's Note",O50),"")</f>
        <v/>
      </c>
      <c r="BX50" s="24" t="str">
        <f>IF(AR50,concatll(concatl("---",AS50:AU50,BK50,"---"),N50,BV50:BW50),"")</f>
        <v/>
      </c>
      <c r="BY50" s="24" t="str">
        <f>IF(AR50,VLOOKUP(C50,'(Ref) Countries'!A:B,2,)&amp;IF(LEN(D50)&gt;1,"-"&amp;LOWER(SUBSTITUTE(D50," ","-")),"")&amp;"-"&amp;LOWER(SUBSTITUTE(I50," ","-"))&amp;".md","")</f>
        <v/>
      </c>
      <c r="BZ50" s="37" t="str">
        <f>IF(LEN(AG50)&gt;1,VLOOKUP(AG50,'Tag List'!$A:$B,2,),"")</f>
        <v/>
      </c>
      <c r="CA50" s="37" t="str">
        <f>IF(LEN(AH50)&gt;1,VLOOKUP(AH50,'Tag List'!$A:$B,2,),"")</f>
        <v/>
      </c>
      <c r="CB50" s="37" t="str">
        <f>IF(LEN(AI50)&gt;1,VLOOKUP(AI50,'Tag List'!$A:$B,2,),"")</f>
        <v/>
      </c>
      <c r="CC50" s="38" t="str">
        <f>IF(LEN(AG50)&gt;1,GetTagPage(BZ50,AG50),"")</f>
        <v/>
      </c>
      <c r="CD50" s="38" t="str">
        <f>IF(LEN(AH50)&gt;1,GetTagPage(CA50,AH50),"")</f>
        <v/>
      </c>
      <c r="CE50" s="38" t="str">
        <f>IF(LEN(AI50)&gt;1,GetTagPage(CB50,AI50),"")</f>
        <v/>
      </c>
      <c r="CF50" s="38" t="str">
        <f>"|"&amp;IF(LEN(CC50)&gt;1," "&amp;CC50,"")&amp;IF(LEN(CD50)&gt;1,", "&amp;CD50,"")&amp;IF(LEN(CE50)&gt;1,", "&amp;CE50,"")&amp;" "</f>
        <v xml:space="preserve">| </v>
      </c>
      <c r="CG50" s="38" t="str">
        <f>"| "&amp;IF(AR50,"["&amp;B50&amp;"](/places/"&amp;SUBSTITUTE(BY50,".md","")&amp;")",B50)&amp;" "</f>
        <v xml:space="preserve">| Tirano </v>
      </c>
      <c r="CH50" s="38" t="str">
        <f>"| "&amp;IF(AR50,GetTagPage(C50,VLOOKUP(C50,'(Ref) Countries'!A:C,3,)),C50)&amp; " "</f>
        <v xml:space="preserve">| Italy </v>
      </c>
      <c r="CI50" s="38" t="str">
        <f>"| "&amp;E50&amp;" "</f>
        <v xml:space="preserve">| 1504 </v>
      </c>
      <c r="CJ50" s="38" t="str">
        <f>"|"&amp;IF(AR50," [Link](/places/"&amp;SUBSTITUTE(BY50,".md","")&amp;")","")&amp;" "</f>
        <v xml:space="preserve">| </v>
      </c>
      <c r="CK50" s="37" t="str">
        <f>"
"&amp;CG50&amp;CH50&amp;CI50&amp;CJ50&amp;BL50&amp;BQ50&amp;BR50&amp;BS50&amp;CF50&amp;"|"</f>
        <v xml:space="preserve">
| Tirano | Italy | 1504 | [Link](http://www.therealpresence.org/eucharst/misc/BVM/79_TIRANO_96x96.pdf)| |</v>
      </c>
    </row>
    <row r="51" spans="1:89" x14ac:dyDescent="0.25">
      <c r="B51" s="28" t="s">
        <v>1226</v>
      </c>
      <c r="C51" s="29" t="s">
        <v>11</v>
      </c>
      <c r="E51" s="31">
        <v>1510</v>
      </c>
      <c r="J51" s="30" t="s">
        <v>1728</v>
      </c>
      <c r="K51" s="32" t="b">
        <v>1</v>
      </c>
      <c r="L51" s="30" t="b">
        <v>1</v>
      </c>
      <c r="P51" s="30" t="s">
        <v>336</v>
      </c>
      <c r="Q51" s="30" t="s">
        <v>336</v>
      </c>
      <c r="AA51" s="71" t="s">
        <v>226</v>
      </c>
      <c r="AB51" s="30" t="s">
        <v>336</v>
      </c>
      <c r="AC51" s="30" t="s">
        <v>336</v>
      </c>
      <c r="AD51" s="30" t="s">
        <v>336</v>
      </c>
      <c r="AE51" s="30" t="s">
        <v>336</v>
      </c>
      <c r="AF51" s="67" t="s">
        <v>336</v>
      </c>
      <c r="AG51" s="30" t="s">
        <v>336</v>
      </c>
      <c r="AR51" s="36" t="b">
        <f>IF(OR(A51="Done",A51="In Progress"),TRUE)</f>
        <v>0</v>
      </c>
      <c r="AS51" s="37" t="str">
        <f>"title: """&amp;H51&amp;""""</f>
        <v>title: ""</v>
      </c>
      <c r="AT51" s="37" t="str">
        <f>"location: {lat: "&amp;F51&amp;", lng: "&amp;G51&amp;"}"</f>
        <v>location: {lat: , lng: }</v>
      </c>
      <c r="AU51" s="37" t="str">
        <f>"level: "&amp;J51</f>
        <v>level: global</v>
      </c>
      <c r="AV51" s="37" t="str">
        <f>"- "&amp;VLOOKUP(C51,'(Ref) Countries'!A:C,3,)</f>
        <v>- italy</v>
      </c>
      <c r="AW51" s="37" t="str">
        <f t="shared" si="0"/>
        <v/>
      </c>
      <c r="AX51" s="37" t="str">
        <f t="shared" si="1"/>
        <v>- churches</v>
      </c>
      <c r="AY51" s="37" t="str">
        <f t="shared" si="2"/>
        <v>- marian-sites</v>
      </c>
      <c r="AZ51" s="37" t="str">
        <f t="shared" si="3"/>
        <v/>
      </c>
      <c r="BA51" s="37" t="str">
        <f t="shared" si="4"/>
        <v/>
      </c>
      <c r="BB51" s="37" t="str">
        <f t="shared" si="5"/>
        <v/>
      </c>
      <c r="BC51" s="37" t="str">
        <f t="shared" si="6"/>
        <v/>
      </c>
      <c r="BD51" s="37" t="str">
        <f t="shared" si="7"/>
        <v/>
      </c>
      <c r="BE51" s="37" t="str">
        <f t="shared" si="8"/>
        <v/>
      </c>
      <c r="BF51" s="37" t="str">
        <f t="shared" si="9"/>
        <v/>
      </c>
      <c r="BG51" s="37" t="str">
        <f t="shared" si="10"/>
        <v/>
      </c>
      <c r="BH51" s="37" t="str">
        <f t="shared" si="11"/>
        <v/>
      </c>
      <c r="BI51" s="37" t="str">
        <f t="shared" si="12"/>
        <v/>
      </c>
      <c r="BJ51" s="37" t="str">
        <f t="shared" si="13"/>
        <v/>
      </c>
      <c r="BK51" s="37" t="str">
        <f t="shared" si="14"/>
        <v xml:space="preserve">tags:
- italy_x000D_
- churches_x000D_
- marian-sites_x000D_
</v>
      </c>
      <c r="BL51" s="38" t="str">
        <f t="shared" si="15"/>
        <v/>
      </c>
      <c r="BM51" s="38" t="str">
        <f t="shared" si="16"/>
        <v/>
      </c>
      <c r="BN51" s="38" t="str">
        <f t="shared" si="17"/>
        <v/>
      </c>
      <c r="BO51" s="38" t="str">
        <f t="shared" si="18"/>
        <v/>
      </c>
      <c r="BP51" s="38" t="str">
        <f t="shared" si="19"/>
        <v/>
      </c>
      <c r="BQ51" s="38" t="str">
        <f t="shared" si="20"/>
        <v>[Link](http://www.therealpresence.org/eucharst/misc/BVM/122_MOTTA_DI_LIV_96x96.pdf)</v>
      </c>
      <c r="BR51" s="38" t="str">
        <f t="shared" si="21"/>
        <v/>
      </c>
      <c r="BS51" s="38" t="str">
        <f t="shared" si="22"/>
        <v/>
      </c>
      <c r="BT51" s="38" t="str">
        <f>IF(LEN(concat(BQ51:BS51))&gt;0,concat("| ",BQ51," | ",BR51," | ",BS51," |"),"")</f>
        <v>| [Link](http://www.therealpresence.org/eucharst/misc/BVM/122_MOTTA_DI_LIV_96x96.pdf) |  |  |</v>
      </c>
      <c r="BU51" s="37" t="str">
        <f t="shared" si="23"/>
        <v xml:space="preserve">| The Real Presence | Miracle Hunter | MaryPages |_x000D_
| --- | --- | --- |_x000D_
| [Link](http://www.therealpresence.org/eucharst/misc/BVM/122_MOTTA_DI_LIV_96x96.pdf) |  |  |_x000D_
</v>
      </c>
      <c r="BV51" s="37" t="str">
        <f>IF(LEN(BP51&amp;BU51)&gt;0,concatll("#### Source Material",BP51,BU51),"")</f>
        <v xml:space="preserve">#### Source Material_x000D_
_x000D_
| The Real Presence | Miracle Hunter | MaryPages |_x000D_
| --- | --- | --- |_x000D_
| [Link](http://www.therealpresence.org/eucharst/misc/BVM/122_MOTTA_DI_LIV_96x96.pdf) |  |  |_x000D_
_x000D_
_x000D_
</v>
      </c>
      <c r="BW51" s="37" t="str">
        <f>IF(LEN(O51)&gt;1,concatll("#### Author's Note",O51),"")</f>
        <v/>
      </c>
      <c r="BX51" s="24" t="str">
        <f>IF(AR51,concatll(concatl("---",AS51:AU51,BK51,"---"),N51,BV51:BW51),"")</f>
        <v/>
      </c>
      <c r="BY51" s="24" t="str">
        <f>IF(AR51,VLOOKUP(C51,'(Ref) Countries'!A:B,2,)&amp;IF(LEN(D51)&gt;1,"-"&amp;LOWER(SUBSTITUTE(D51," ","-")),"")&amp;"-"&amp;LOWER(SUBSTITUTE(I51," ","-"))&amp;".md","")</f>
        <v/>
      </c>
      <c r="BZ51" s="37" t="str">
        <f>IF(LEN(AG51)&gt;1,VLOOKUP(AG51,'Tag List'!$A:$B,2,),"")</f>
        <v/>
      </c>
      <c r="CA51" s="37" t="str">
        <f>IF(LEN(AH51)&gt;1,VLOOKUP(AH51,'Tag List'!$A:$B,2,),"")</f>
        <v/>
      </c>
      <c r="CB51" s="37" t="str">
        <f>IF(LEN(AI51)&gt;1,VLOOKUP(AI51,'Tag List'!$A:$B,2,),"")</f>
        <v/>
      </c>
      <c r="CC51" s="38" t="str">
        <f>IF(LEN(AG51)&gt;1,GetTagPage(BZ51,AG51),"")</f>
        <v/>
      </c>
      <c r="CD51" s="38" t="str">
        <f>IF(LEN(AH51)&gt;1,GetTagPage(CA51,AH51),"")</f>
        <v/>
      </c>
      <c r="CE51" s="38" t="str">
        <f>IF(LEN(AI51)&gt;1,GetTagPage(CB51,AI51),"")</f>
        <v/>
      </c>
      <c r="CF51" s="38" t="str">
        <f>"|"&amp;IF(LEN(CC51)&gt;1," "&amp;CC51,"")&amp;IF(LEN(CD51)&gt;1,", "&amp;CD51,"")&amp;IF(LEN(CE51)&gt;1,", "&amp;CE51,"")&amp;" "</f>
        <v xml:space="preserve">| </v>
      </c>
      <c r="CG51" s="38" t="str">
        <f>"| "&amp;IF(AR51,"["&amp;B51&amp;"](/places/"&amp;SUBSTITUTE(BY51,".md","")&amp;")",B51)&amp;" "</f>
        <v xml:space="preserve">| Motta Di Livenza </v>
      </c>
      <c r="CH51" s="38" t="str">
        <f>"| "&amp;IF(AR51,GetTagPage(C51,VLOOKUP(C51,'(Ref) Countries'!A:C,3,)),C51)&amp; " "</f>
        <v xml:space="preserve">| Italy </v>
      </c>
      <c r="CI51" s="38" t="str">
        <f>"| "&amp;E51&amp;" "</f>
        <v xml:space="preserve">| 1510 </v>
      </c>
      <c r="CJ51" s="38" t="str">
        <f>"|"&amp;IF(AR51," [Link](/places/"&amp;SUBSTITUTE(BY51,".md","")&amp;")","")&amp;" "</f>
        <v xml:space="preserve">| </v>
      </c>
      <c r="CK51" s="37" t="str">
        <f>"
"&amp;CG51&amp;CH51&amp;CI51&amp;CJ51&amp;BL51&amp;BQ51&amp;BR51&amp;BS51&amp;CF51&amp;"|"</f>
        <v xml:space="preserve">
| Motta Di Livenza | Italy | 1510 | [Link](http://www.therealpresence.org/eucharst/misc/BVM/122_MOTTA_DI_LIV_96x96.pdf)| |</v>
      </c>
    </row>
    <row r="52" spans="1:89" x14ac:dyDescent="0.25">
      <c r="B52" s="28" t="s">
        <v>1227</v>
      </c>
      <c r="C52" s="29" t="s">
        <v>11</v>
      </c>
      <c r="E52" s="31">
        <v>1510</v>
      </c>
      <c r="J52" s="30" t="s">
        <v>1728</v>
      </c>
      <c r="K52" s="32" t="b">
        <v>1</v>
      </c>
      <c r="L52" s="30" t="b">
        <v>1</v>
      </c>
      <c r="P52" s="30" t="s">
        <v>336</v>
      </c>
      <c r="Q52" s="30" t="s">
        <v>336</v>
      </c>
      <c r="AA52" s="71" t="s">
        <v>227</v>
      </c>
      <c r="AB52" s="30" t="s">
        <v>336</v>
      </c>
      <c r="AC52" s="30" t="s">
        <v>336</v>
      </c>
      <c r="AD52" s="30" t="s">
        <v>336</v>
      </c>
      <c r="AE52" s="30" t="s">
        <v>336</v>
      </c>
      <c r="AF52" s="67" t="s">
        <v>336</v>
      </c>
      <c r="AG52" s="30" t="s">
        <v>336</v>
      </c>
      <c r="AR52" s="36" t="b">
        <f>IF(OR(A52="Done",A52="In Progress"),TRUE)</f>
        <v>0</v>
      </c>
      <c r="AS52" s="37" t="str">
        <f>"title: """&amp;H52&amp;""""</f>
        <v>title: ""</v>
      </c>
      <c r="AT52" s="37" t="str">
        <f>"location: {lat: "&amp;F52&amp;", lng: "&amp;G52&amp;"}"</f>
        <v>location: {lat: , lng: }</v>
      </c>
      <c r="AU52" s="37" t="str">
        <f>"level: "&amp;J52</f>
        <v>level: global</v>
      </c>
      <c r="AV52" s="37" t="str">
        <f>"- "&amp;VLOOKUP(C52,'(Ref) Countries'!A:C,3,)</f>
        <v>- italy</v>
      </c>
      <c r="AW52" s="37" t="str">
        <f t="shared" si="0"/>
        <v/>
      </c>
      <c r="AX52" s="37" t="str">
        <f t="shared" si="1"/>
        <v>- churches</v>
      </c>
      <c r="AY52" s="37" t="str">
        <f t="shared" si="2"/>
        <v>- marian-sites</v>
      </c>
      <c r="AZ52" s="37" t="str">
        <f t="shared" si="3"/>
        <v/>
      </c>
      <c r="BA52" s="37" t="str">
        <f t="shared" si="4"/>
        <v/>
      </c>
      <c r="BB52" s="37" t="str">
        <f t="shared" si="5"/>
        <v/>
      </c>
      <c r="BC52" s="37" t="str">
        <f t="shared" si="6"/>
        <v/>
      </c>
      <c r="BD52" s="37" t="str">
        <f t="shared" si="7"/>
        <v/>
      </c>
      <c r="BE52" s="37" t="str">
        <f t="shared" si="8"/>
        <v/>
      </c>
      <c r="BF52" s="37" t="str">
        <f t="shared" si="9"/>
        <v/>
      </c>
      <c r="BG52" s="37" t="str">
        <f t="shared" si="10"/>
        <v/>
      </c>
      <c r="BH52" s="37" t="str">
        <f t="shared" si="11"/>
        <v/>
      </c>
      <c r="BI52" s="37" t="str">
        <f t="shared" si="12"/>
        <v/>
      </c>
      <c r="BJ52" s="37" t="str">
        <f t="shared" si="13"/>
        <v/>
      </c>
      <c r="BK52" s="37" t="str">
        <f t="shared" si="14"/>
        <v xml:space="preserve">tags:
- italy_x000D_
- churches_x000D_
- marian-sites_x000D_
</v>
      </c>
      <c r="BL52" s="38" t="str">
        <f t="shared" si="15"/>
        <v/>
      </c>
      <c r="BM52" s="38" t="str">
        <f t="shared" si="16"/>
        <v/>
      </c>
      <c r="BN52" s="38" t="str">
        <f t="shared" si="17"/>
        <v/>
      </c>
      <c r="BO52" s="38" t="str">
        <f t="shared" si="18"/>
        <v/>
      </c>
      <c r="BP52" s="38" t="str">
        <f t="shared" si="19"/>
        <v/>
      </c>
      <c r="BQ52" s="38" t="str">
        <f t="shared" si="20"/>
        <v>[Link](http://www.therealpresence.org/eucharst/misc/BVM/66_PESCHIERA_S-GARDA_60x96.pdf)</v>
      </c>
      <c r="BR52" s="38" t="str">
        <f t="shared" si="21"/>
        <v/>
      </c>
      <c r="BS52" s="38" t="str">
        <f t="shared" si="22"/>
        <v/>
      </c>
      <c r="BT52" s="38" t="str">
        <f>IF(LEN(concat(BQ52:BS52))&gt;0,concat("| ",BQ52," | ",BR52," | ",BS52," |"),"")</f>
        <v>| [Link](http://www.therealpresence.org/eucharst/misc/BVM/66_PESCHIERA_S-GARDA_60x96.pdf) |  |  |</v>
      </c>
      <c r="BU52" s="37" t="str">
        <f t="shared" si="23"/>
        <v xml:space="preserve">| The Real Presence | Miracle Hunter | MaryPages |_x000D_
| --- | --- | --- |_x000D_
| [Link](http://www.therealpresence.org/eucharst/misc/BVM/66_PESCHIERA_S-GARDA_60x96.pdf) |  |  |_x000D_
</v>
      </c>
      <c r="BV52" s="37" t="str">
        <f>IF(LEN(BP52&amp;BU52)&gt;0,concatll("#### Source Material",BP52,BU52),"")</f>
        <v xml:space="preserve">#### Source Material_x000D_
_x000D_
| The Real Presence | Miracle Hunter | MaryPages |_x000D_
| --- | --- | --- |_x000D_
| [Link](http://www.therealpresence.org/eucharst/misc/BVM/66_PESCHIERA_S-GARDA_60x96.pdf) |  |  |_x000D_
_x000D_
_x000D_
</v>
      </c>
      <c r="BW52" s="37" t="str">
        <f>IF(LEN(O52)&gt;1,concatll("#### Author's Note",O52),"")</f>
        <v/>
      </c>
      <c r="BX52" s="24" t="str">
        <f>IF(AR52,concatll(concatl("---",AS52:AU52,BK52,"---"),N52,BV52:BW52),"")</f>
        <v/>
      </c>
      <c r="BY52" s="24" t="str">
        <f>IF(AR52,VLOOKUP(C52,'(Ref) Countries'!A:B,2,)&amp;IF(LEN(D52)&gt;1,"-"&amp;LOWER(SUBSTITUTE(D52," ","-")),"")&amp;"-"&amp;LOWER(SUBSTITUTE(I52," ","-"))&amp;".md","")</f>
        <v/>
      </c>
      <c r="BZ52" s="37" t="str">
        <f>IF(LEN(AG52)&gt;1,VLOOKUP(AG52,'Tag List'!$A:$B,2,),"")</f>
        <v/>
      </c>
      <c r="CA52" s="37" t="str">
        <f>IF(LEN(AH52)&gt;1,VLOOKUP(AH52,'Tag List'!$A:$B,2,),"")</f>
        <v/>
      </c>
      <c r="CB52" s="37" t="str">
        <f>IF(LEN(AI52)&gt;1,VLOOKUP(AI52,'Tag List'!$A:$B,2,),"")</f>
        <v/>
      </c>
      <c r="CC52" s="38" t="str">
        <f>IF(LEN(AG52)&gt;1,GetTagPage(BZ52,AG52),"")</f>
        <v/>
      </c>
      <c r="CD52" s="38" t="str">
        <f>IF(LEN(AH52)&gt;1,GetTagPage(CA52,AH52),"")</f>
        <v/>
      </c>
      <c r="CE52" s="38" t="str">
        <f>IF(LEN(AI52)&gt;1,GetTagPage(CB52,AI52),"")</f>
        <v/>
      </c>
      <c r="CF52" s="38" t="str">
        <f>"|"&amp;IF(LEN(CC52)&gt;1," "&amp;CC52,"")&amp;IF(LEN(CD52)&gt;1,", "&amp;CD52,"")&amp;IF(LEN(CE52)&gt;1,", "&amp;CE52,"")&amp;" "</f>
        <v xml:space="preserve">| </v>
      </c>
      <c r="CG52" s="38" t="str">
        <f>"| "&amp;IF(AR52,"["&amp;B52&amp;"](/places/"&amp;SUBSTITUTE(BY52,".md","")&amp;")",B52)&amp;" "</f>
        <v xml:space="preserve">| Peschiera Sul Garda </v>
      </c>
      <c r="CH52" s="38" t="str">
        <f>"| "&amp;IF(AR52,GetTagPage(C52,VLOOKUP(C52,'(Ref) Countries'!A:C,3,)),C52)&amp; " "</f>
        <v xml:space="preserve">| Italy </v>
      </c>
      <c r="CI52" s="38" t="str">
        <f>"| "&amp;E52&amp;" "</f>
        <v xml:space="preserve">| 1510 </v>
      </c>
      <c r="CJ52" s="38" t="str">
        <f>"|"&amp;IF(AR52," [Link](/places/"&amp;SUBSTITUTE(BY52,".md","")&amp;")","")&amp;" "</f>
        <v xml:space="preserve">| </v>
      </c>
      <c r="CK52" s="37" t="str">
        <f>"
"&amp;CG52&amp;CH52&amp;CI52&amp;CJ52&amp;BL52&amp;BQ52&amp;BR52&amp;BS52&amp;CF52&amp;"|"</f>
        <v xml:space="preserve">
| Peschiera Sul Garda | Italy | 1510 | [Link](http://www.therealpresence.org/eucharst/misc/BVM/66_PESCHIERA_S-GARDA_60x96.pdf)| |</v>
      </c>
    </row>
    <row r="53" spans="1:89" x14ac:dyDescent="0.25">
      <c r="B53" s="28" t="s">
        <v>1228</v>
      </c>
      <c r="C53" s="29" t="s">
        <v>11</v>
      </c>
      <c r="E53" s="31">
        <v>1510</v>
      </c>
      <c r="J53" s="30" t="s">
        <v>1728</v>
      </c>
      <c r="K53" s="32" t="b">
        <v>1</v>
      </c>
      <c r="L53" s="30" t="b">
        <v>1</v>
      </c>
      <c r="P53" s="30" t="s">
        <v>336</v>
      </c>
      <c r="Q53" s="30" t="s">
        <v>336</v>
      </c>
      <c r="AA53" s="71" t="s">
        <v>228</v>
      </c>
      <c r="AB53" s="30" t="s">
        <v>336</v>
      </c>
      <c r="AC53" s="30" t="s">
        <v>336</v>
      </c>
      <c r="AD53" s="30" t="s">
        <v>336</v>
      </c>
      <c r="AE53" s="30" t="s">
        <v>336</v>
      </c>
      <c r="AF53" s="67" t="s">
        <v>336</v>
      </c>
      <c r="AG53" s="30" t="s">
        <v>336</v>
      </c>
      <c r="AR53" s="36" t="b">
        <f>IF(OR(A53="Done",A53="In Progress"),TRUE)</f>
        <v>0</v>
      </c>
      <c r="AS53" s="37" t="str">
        <f>"title: """&amp;H53&amp;""""</f>
        <v>title: ""</v>
      </c>
      <c r="AT53" s="37" t="str">
        <f>"location: {lat: "&amp;F53&amp;", lng: "&amp;G53&amp;"}"</f>
        <v>location: {lat: , lng: }</v>
      </c>
      <c r="AU53" s="37" t="str">
        <f>"level: "&amp;J53</f>
        <v>level: global</v>
      </c>
      <c r="AV53" s="37" t="str">
        <f>"- "&amp;VLOOKUP(C53,'(Ref) Countries'!A:C,3,)</f>
        <v>- italy</v>
      </c>
      <c r="AW53" s="37" t="str">
        <f t="shared" si="0"/>
        <v/>
      </c>
      <c r="AX53" s="37" t="str">
        <f t="shared" si="1"/>
        <v>- churches</v>
      </c>
      <c r="AY53" s="37" t="str">
        <f t="shared" si="2"/>
        <v>- marian-sites</v>
      </c>
      <c r="AZ53" s="37" t="str">
        <f t="shared" si="3"/>
        <v/>
      </c>
      <c r="BA53" s="37" t="str">
        <f t="shared" si="4"/>
        <v/>
      </c>
      <c r="BB53" s="37" t="str">
        <f t="shared" si="5"/>
        <v/>
      </c>
      <c r="BC53" s="37" t="str">
        <f t="shared" si="6"/>
        <v/>
      </c>
      <c r="BD53" s="37" t="str">
        <f t="shared" si="7"/>
        <v/>
      </c>
      <c r="BE53" s="37" t="str">
        <f t="shared" si="8"/>
        <v/>
      </c>
      <c r="BF53" s="37" t="str">
        <f t="shared" si="9"/>
        <v/>
      </c>
      <c r="BG53" s="37" t="str">
        <f t="shared" si="10"/>
        <v/>
      </c>
      <c r="BH53" s="37" t="str">
        <f t="shared" si="11"/>
        <v/>
      </c>
      <c r="BI53" s="37" t="str">
        <f t="shared" si="12"/>
        <v/>
      </c>
      <c r="BJ53" s="37" t="str">
        <f t="shared" si="13"/>
        <v/>
      </c>
      <c r="BK53" s="37" t="str">
        <f t="shared" si="14"/>
        <v xml:space="preserve">tags:
- italy_x000D_
- churches_x000D_
- marian-sites_x000D_
</v>
      </c>
      <c r="BL53" s="38" t="str">
        <f t="shared" si="15"/>
        <v/>
      </c>
      <c r="BM53" s="38" t="str">
        <f t="shared" si="16"/>
        <v/>
      </c>
      <c r="BN53" s="38" t="str">
        <f t="shared" si="17"/>
        <v/>
      </c>
      <c r="BO53" s="38" t="str">
        <f t="shared" si="18"/>
        <v/>
      </c>
      <c r="BP53" s="38" t="str">
        <f t="shared" si="19"/>
        <v/>
      </c>
      <c r="BQ53" s="38" t="str">
        <f t="shared" si="20"/>
        <v>[Link](http://www.therealpresence.org/eucharst/misc/BVM/41_BERGAMO_60x96.pdf)</v>
      </c>
      <c r="BR53" s="38" t="str">
        <f t="shared" si="21"/>
        <v/>
      </c>
      <c r="BS53" s="38" t="str">
        <f t="shared" si="22"/>
        <v/>
      </c>
      <c r="BT53" s="38" t="str">
        <f>IF(LEN(concat(BQ53:BS53))&gt;0,concat("| ",BQ53," | ",BR53," | ",BS53," |"),"")</f>
        <v>| [Link](http://www.therealpresence.org/eucharst/misc/BVM/41_BERGAMO_60x96.pdf) |  |  |</v>
      </c>
      <c r="BU53" s="37" t="str">
        <f t="shared" si="23"/>
        <v xml:space="preserve">| The Real Presence | Miracle Hunter | MaryPages |_x000D_
| --- | --- | --- |_x000D_
| [Link](http://www.therealpresence.org/eucharst/misc/BVM/41_BERGAMO_60x96.pdf) |  |  |_x000D_
</v>
      </c>
      <c r="BV53" s="37" t="str">
        <f>IF(LEN(BP53&amp;BU53)&gt;0,concatll("#### Source Material",BP53,BU53),"")</f>
        <v xml:space="preserve">#### Source Material_x000D_
_x000D_
| The Real Presence | Miracle Hunter | MaryPages |_x000D_
| --- | --- | --- |_x000D_
| [Link](http://www.therealpresence.org/eucharst/misc/BVM/41_BERGAMO_60x96.pdf) |  |  |_x000D_
_x000D_
_x000D_
</v>
      </c>
      <c r="BW53" s="37" t="str">
        <f>IF(LEN(O53)&gt;1,concatll("#### Author's Note",O53),"")</f>
        <v/>
      </c>
      <c r="BX53" s="24" t="str">
        <f>IF(AR53,concatll(concatl("---",AS53:AU53,BK53,"---"),N53,BV53:BW53),"")</f>
        <v/>
      </c>
      <c r="BY53" s="24" t="str">
        <f>IF(AR53,VLOOKUP(C53,'(Ref) Countries'!A:B,2,)&amp;IF(LEN(D53)&gt;1,"-"&amp;LOWER(SUBSTITUTE(D53," ","-")),"")&amp;"-"&amp;LOWER(SUBSTITUTE(I53," ","-"))&amp;".md","")</f>
        <v/>
      </c>
      <c r="BZ53" s="37" t="str">
        <f>IF(LEN(AG53)&gt;1,VLOOKUP(AG53,'Tag List'!$A:$B,2,),"")</f>
        <v/>
      </c>
      <c r="CA53" s="37" t="str">
        <f>IF(LEN(AH53)&gt;1,VLOOKUP(AH53,'Tag List'!$A:$B,2,),"")</f>
        <v/>
      </c>
      <c r="CB53" s="37" t="str">
        <f>IF(LEN(AI53)&gt;1,VLOOKUP(AI53,'Tag List'!$A:$B,2,),"")</f>
        <v/>
      </c>
      <c r="CC53" s="38" t="str">
        <f>IF(LEN(AG53)&gt;1,GetTagPage(BZ53,AG53),"")</f>
        <v/>
      </c>
      <c r="CD53" s="38" t="str">
        <f>IF(LEN(AH53)&gt;1,GetTagPage(CA53,AH53),"")</f>
        <v/>
      </c>
      <c r="CE53" s="38" t="str">
        <f>IF(LEN(AI53)&gt;1,GetTagPage(CB53,AI53),"")</f>
        <v/>
      </c>
      <c r="CF53" s="38" t="str">
        <f>"|"&amp;IF(LEN(CC53)&gt;1," "&amp;CC53,"")&amp;IF(LEN(CD53)&gt;1,", "&amp;CD53,"")&amp;IF(LEN(CE53)&gt;1,", "&amp;CE53,"")&amp;" "</f>
        <v xml:space="preserve">| </v>
      </c>
      <c r="CG53" s="38" t="str">
        <f>"| "&amp;IF(AR53,"["&amp;B53&amp;"](/places/"&amp;SUBSTITUTE(BY53,".md","")&amp;")",B53)&amp;" "</f>
        <v xml:space="preserve">| Bergamo </v>
      </c>
      <c r="CH53" s="38" t="str">
        <f>"| "&amp;IF(AR53,GetTagPage(C53,VLOOKUP(C53,'(Ref) Countries'!A:C,3,)),C53)&amp; " "</f>
        <v xml:space="preserve">| Italy </v>
      </c>
      <c r="CI53" s="38" t="str">
        <f>"| "&amp;E53&amp;" "</f>
        <v xml:space="preserve">| 1510 </v>
      </c>
      <c r="CJ53" s="38" t="str">
        <f>"|"&amp;IF(AR53," [Link](/places/"&amp;SUBSTITUTE(BY53,".md","")&amp;")","")&amp;" "</f>
        <v xml:space="preserve">| </v>
      </c>
      <c r="CK53" s="37" t="str">
        <f>"
"&amp;CG53&amp;CH53&amp;CI53&amp;CJ53&amp;BL53&amp;BQ53&amp;BR53&amp;BS53&amp;CF53&amp;"|"</f>
        <v xml:space="preserve">
| Bergamo | Italy | 1510 | [Link](http://www.therealpresence.org/eucharst/misc/BVM/41_BERGAMO_60x96.pdf)| |</v>
      </c>
    </row>
    <row r="54" spans="1:89" x14ac:dyDescent="0.25">
      <c r="B54" s="28" t="s">
        <v>1229</v>
      </c>
      <c r="C54" s="29" t="s">
        <v>651</v>
      </c>
      <c r="E54" s="31">
        <v>1513</v>
      </c>
      <c r="J54" s="30" t="s">
        <v>1728</v>
      </c>
      <c r="K54" s="32" t="b">
        <v>1</v>
      </c>
      <c r="L54" s="30" t="b">
        <v>1</v>
      </c>
      <c r="P54" s="30" t="s">
        <v>336</v>
      </c>
      <c r="Q54" s="30" t="s">
        <v>336</v>
      </c>
      <c r="AA54" s="71" t="s">
        <v>229</v>
      </c>
      <c r="AB54" s="30" t="s">
        <v>336</v>
      </c>
      <c r="AC54" s="30" t="s">
        <v>336</v>
      </c>
      <c r="AD54" s="30" t="s">
        <v>336</v>
      </c>
      <c r="AE54" s="30" t="s">
        <v>336</v>
      </c>
      <c r="AF54" s="67" t="s">
        <v>336</v>
      </c>
      <c r="AG54" s="30" t="s">
        <v>336</v>
      </c>
      <c r="AR54" s="36" t="b">
        <f>IF(OR(A54="Done",A54="In Progress"),TRUE)</f>
        <v>0</v>
      </c>
      <c r="AS54" s="37" t="str">
        <f>"title: """&amp;H54&amp;""""</f>
        <v>title: ""</v>
      </c>
      <c r="AT54" s="37" t="str">
        <f>"location: {lat: "&amp;F54&amp;", lng: "&amp;G54&amp;"}"</f>
        <v>location: {lat: , lng: }</v>
      </c>
      <c r="AU54" s="37" t="str">
        <f>"level: "&amp;J54</f>
        <v>level: global</v>
      </c>
      <c r="AV54" s="37" t="str">
        <f>"- "&amp;VLOOKUP(C54,'(Ref) Countries'!A:C,3,)</f>
        <v>- poland</v>
      </c>
      <c r="AW54" s="37" t="str">
        <f t="shared" si="0"/>
        <v/>
      </c>
      <c r="AX54" s="37" t="str">
        <f t="shared" si="1"/>
        <v>- churches</v>
      </c>
      <c r="AY54" s="37" t="str">
        <f t="shared" si="2"/>
        <v>- marian-sites</v>
      </c>
      <c r="AZ54" s="37" t="str">
        <f t="shared" si="3"/>
        <v/>
      </c>
      <c r="BA54" s="37" t="str">
        <f t="shared" si="4"/>
        <v/>
      </c>
      <c r="BB54" s="37" t="str">
        <f t="shared" si="5"/>
        <v/>
      </c>
      <c r="BC54" s="37" t="str">
        <f t="shared" si="6"/>
        <v/>
      </c>
      <c r="BD54" s="37" t="str">
        <f t="shared" si="7"/>
        <v/>
      </c>
      <c r="BE54" s="37" t="str">
        <f t="shared" si="8"/>
        <v/>
      </c>
      <c r="BF54" s="37" t="str">
        <f t="shared" si="9"/>
        <v/>
      </c>
      <c r="BG54" s="37" t="str">
        <f t="shared" si="10"/>
        <v/>
      </c>
      <c r="BH54" s="37" t="str">
        <f t="shared" si="11"/>
        <v/>
      </c>
      <c r="BI54" s="37" t="str">
        <f t="shared" si="12"/>
        <v/>
      </c>
      <c r="BJ54" s="37" t="str">
        <f t="shared" si="13"/>
        <v/>
      </c>
      <c r="BK54" s="37" t="str">
        <f t="shared" si="14"/>
        <v xml:space="preserve">tags:
- poland_x000D_
- churches_x000D_
- marian-sites_x000D_
</v>
      </c>
      <c r="BL54" s="38" t="str">
        <f t="shared" si="15"/>
        <v/>
      </c>
      <c r="BM54" s="38" t="str">
        <f t="shared" si="16"/>
        <v/>
      </c>
      <c r="BN54" s="38" t="str">
        <f t="shared" si="17"/>
        <v/>
      </c>
      <c r="BO54" s="38" t="str">
        <f t="shared" si="18"/>
        <v/>
      </c>
      <c r="BP54" s="38" t="str">
        <f t="shared" si="19"/>
        <v/>
      </c>
      <c r="BQ54" s="38" t="str">
        <f t="shared" si="20"/>
        <v>[Link](http://www.therealpresence.org/eucharst/misc/BVM/134_RZESZOW_96x96.pdf)</v>
      </c>
      <c r="BR54" s="38" t="str">
        <f t="shared" si="21"/>
        <v/>
      </c>
      <c r="BS54" s="38" t="str">
        <f t="shared" si="22"/>
        <v/>
      </c>
      <c r="BT54" s="38" t="str">
        <f>IF(LEN(concat(BQ54:BS54))&gt;0,concat("| ",BQ54," | ",BR54," | ",BS54," |"),"")</f>
        <v>| [Link](http://www.therealpresence.org/eucharst/misc/BVM/134_RZESZOW_96x96.pdf) |  |  |</v>
      </c>
      <c r="BU54" s="37" t="str">
        <f t="shared" si="23"/>
        <v xml:space="preserve">| The Real Presence | Miracle Hunter | MaryPages |_x000D_
| --- | --- | --- |_x000D_
| [Link](http://www.therealpresence.org/eucharst/misc/BVM/134_RZESZOW_96x96.pdf) |  |  |_x000D_
</v>
      </c>
      <c r="BV54" s="37" t="str">
        <f>IF(LEN(BP54&amp;BU54)&gt;0,concatll("#### Source Material",BP54,BU54),"")</f>
        <v xml:space="preserve">#### Source Material_x000D_
_x000D_
| The Real Presence | Miracle Hunter | MaryPages |_x000D_
| --- | --- | --- |_x000D_
| [Link](http://www.therealpresence.org/eucharst/misc/BVM/134_RZESZOW_96x96.pdf) |  |  |_x000D_
_x000D_
_x000D_
</v>
      </c>
      <c r="BW54" s="37" t="str">
        <f>IF(LEN(O54)&gt;1,concatll("#### Author's Note",O54),"")</f>
        <v/>
      </c>
      <c r="BX54" s="24" t="str">
        <f>IF(AR54,concatll(concatl("---",AS54:AU54,BK54,"---"),N54,BV54:BW54),"")</f>
        <v/>
      </c>
      <c r="BY54" s="24" t="str">
        <f>IF(AR54,VLOOKUP(C54,'(Ref) Countries'!A:B,2,)&amp;IF(LEN(D54)&gt;1,"-"&amp;LOWER(SUBSTITUTE(D54," ","-")),"")&amp;"-"&amp;LOWER(SUBSTITUTE(I54," ","-"))&amp;".md","")</f>
        <v/>
      </c>
      <c r="BZ54" s="37" t="str">
        <f>IF(LEN(AG54)&gt;1,VLOOKUP(AG54,'Tag List'!$A:$B,2,),"")</f>
        <v/>
      </c>
      <c r="CA54" s="37" t="str">
        <f>IF(LEN(AH54)&gt;1,VLOOKUP(AH54,'Tag List'!$A:$B,2,),"")</f>
        <v/>
      </c>
      <c r="CB54" s="37" t="str">
        <f>IF(LEN(AI54)&gt;1,VLOOKUP(AI54,'Tag List'!$A:$B,2,),"")</f>
        <v/>
      </c>
      <c r="CC54" s="38" t="str">
        <f>IF(LEN(AG54)&gt;1,GetTagPage(BZ54,AG54),"")</f>
        <v/>
      </c>
      <c r="CD54" s="38" t="str">
        <f>IF(LEN(AH54)&gt;1,GetTagPage(CA54,AH54),"")</f>
        <v/>
      </c>
      <c r="CE54" s="38" t="str">
        <f>IF(LEN(AI54)&gt;1,GetTagPage(CB54,AI54),"")</f>
        <v/>
      </c>
      <c r="CF54" s="38" t="str">
        <f>"|"&amp;IF(LEN(CC54)&gt;1," "&amp;CC54,"")&amp;IF(LEN(CD54)&gt;1,", "&amp;CD54,"")&amp;IF(LEN(CE54)&gt;1,", "&amp;CE54,"")&amp;" "</f>
        <v xml:space="preserve">| </v>
      </c>
      <c r="CG54" s="38" t="str">
        <f>"| "&amp;IF(AR54,"["&amp;B54&amp;"](/places/"&amp;SUBSTITUTE(BY54,".md","")&amp;")",B54)&amp;" "</f>
        <v xml:space="preserve">| Rzeszów </v>
      </c>
      <c r="CH54" s="38" t="str">
        <f>"| "&amp;IF(AR54,GetTagPage(C54,VLOOKUP(C54,'(Ref) Countries'!A:C,3,)),C54)&amp; " "</f>
        <v xml:space="preserve">| Poland </v>
      </c>
      <c r="CI54" s="38" t="str">
        <f>"| "&amp;E54&amp;" "</f>
        <v xml:space="preserve">| 1513 </v>
      </c>
      <c r="CJ54" s="38" t="str">
        <f>"|"&amp;IF(AR54," [Link](/places/"&amp;SUBSTITUTE(BY54,".md","")&amp;")","")&amp;" "</f>
        <v xml:space="preserve">| </v>
      </c>
      <c r="CK54" s="37" t="str">
        <f>"
"&amp;CG54&amp;CH54&amp;CI54&amp;CJ54&amp;BL54&amp;BQ54&amp;BR54&amp;BS54&amp;CF54&amp;"|"</f>
        <v xml:space="preserve">
| Rzeszów | Poland | 1513 | [Link](http://www.therealpresence.org/eucharst/misc/BVM/134_RZESZOW_96x96.pdf)| |</v>
      </c>
    </row>
    <row r="55" spans="1:89" x14ac:dyDescent="0.25">
      <c r="B55" s="28" t="s">
        <v>1230</v>
      </c>
      <c r="C55" s="29" t="s">
        <v>557</v>
      </c>
      <c r="E55" s="31">
        <v>1515</v>
      </c>
      <c r="J55" s="30" t="s">
        <v>1728</v>
      </c>
      <c r="K55" s="32" t="b">
        <v>1</v>
      </c>
      <c r="L55" s="30" t="b">
        <v>1</v>
      </c>
      <c r="P55" s="30" t="s">
        <v>336</v>
      </c>
      <c r="Q55" s="30" t="s">
        <v>336</v>
      </c>
      <c r="AA55" s="71" t="s">
        <v>230</v>
      </c>
      <c r="AB55" s="30" t="s">
        <v>336</v>
      </c>
      <c r="AC55" s="30" t="s">
        <v>336</v>
      </c>
      <c r="AD55" s="30" t="s">
        <v>336</v>
      </c>
      <c r="AE55" s="30" t="s">
        <v>336</v>
      </c>
      <c r="AF55" s="67" t="s">
        <v>336</v>
      </c>
      <c r="AG55" s="30" t="s">
        <v>336</v>
      </c>
      <c r="AR55" s="36" t="b">
        <f>IF(OR(A55="Done",A55="In Progress"),TRUE)</f>
        <v>0</v>
      </c>
      <c r="AS55" s="37" t="str">
        <f>"title: """&amp;H55&amp;""""</f>
        <v>title: ""</v>
      </c>
      <c r="AT55" s="37" t="str">
        <f>"location: {lat: "&amp;F55&amp;", lng: "&amp;G55&amp;"}"</f>
        <v>location: {lat: , lng: }</v>
      </c>
      <c r="AU55" s="37" t="str">
        <f>"level: "&amp;J55</f>
        <v>level: global</v>
      </c>
      <c r="AV55" s="37" t="str">
        <f>"- "&amp;VLOOKUP(C55,'(Ref) Countries'!A:C,3,)</f>
        <v>- france</v>
      </c>
      <c r="AW55" s="37" t="str">
        <f t="shared" si="0"/>
        <v/>
      </c>
      <c r="AX55" s="37" t="str">
        <f t="shared" si="1"/>
        <v>- churches</v>
      </c>
      <c r="AY55" s="37" t="str">
        <f t="shared" si="2"/>
        <v>- marian-sites</v>
      </c>
      <c r="AZ55" s="37" t="str">
        <f t="shared" si="3"/>
        <v/>
      </c>
      <c r="BA55" s="37" t="str">
        <f t="shared" si="4"/>
        <v/>
      </c>
      <c r="BB55" s="37" t="str">
        <f t="shared" si="5"/>
        <v/>
      </c>
      <c r="BC55" s="37" t="str">
        <f t="shared" si="6"/>
        <v/>
      </c>
      <c r="BD55" s="37" t="str">
        <f t="shared" si="7"/>
        <v/>
      </c>
      <c r="BE55" s="37" t="str">
        <f t="shared" si="8"/>
        <v/>
      </c>
      <c r="BF55" s="37" t="str">
        <f t="shared" si="9"/>
        <v/>
      </c>
      <c r="BG55" s="37" t="str">
        <f t="shared" si="10"/>
        <v/>
      </c>
      <c r="BH55" s="37" t="str">
        <f t="shared" si="11"/>
        <v/>
      </c>
      <c r="BI55" s="37" t="str">
        <f t="shared" si="12"/>
        <v/>
      </c>
      <c r="BJ55" s="37" t="str">
        <f t="shared" si="13"/>
        <v/>
      </c>
      <c r="BK55" s="37" t="str">
        <f t="shared" si="14"/>
        <v xml:space="preserve">tags:
- france_x000D_
- churches_x000D_
- marian-sites_x000D_
</v>
      </c>
      <c r="BL55" s="38" t="str">
        <f t="shared" si="15"/>
        <v/>
      </c>
      <c r="BM55" s="38" t="str">
        <f t="shared" si="16"/>
        <v/>
      </c>
      <c r="BN55" s="38" t="str">
        <f t="shared" si="17"/>
        <v/>
      </c>
      <c r="BO55" s="38" t="str">
        <f t="shared" si="18"/>
        <v/>
      </c>
      <c r="BP55" s="38" t="str">
        <f t="shared" si="19"/>
        <v/>
      </c>
      <c r="BQ55" s="38" t="str">
        <f t="shared" si="20"/>
        <v>[Link](http://www.therealpresence.org/eucharst/misc/BVM/84_GARAISON_60x96.pdf)</v>
      </c>
      <c r="BR55" s="38" t="str">
        <f t="shared" si="21"/>
        <v/>
      </c>
      <c r="BS55" s="38" t="str">
        <f t="shared" si="22"/>
        <v/>
      </c>
      <c r="BT55" s="38" t="str">
        <f>IF(LEN(concat(BQ55:BS55))&gt;0,concat("| ",BQ55," | ",BR55," | ",BS55," |"),"")</f>
        <v>| [Link](http://www.therealpresence.org/eucharst/misc/BVM/84_GARAISON_60x96.pdf) |  |  |</v>
      </c>
      <c r="BU55" s="37" t="str">
        <f t="shared" si="23"/>
        <v xml:space="preserve">| The Real Presence | Miracle Hunter | MaryPages |_x000D_
| --- | --- | --- |_x000D_
| [Link](http://www.therealpresence.org/eucharst/misc/BVM/84_GARAISON_60x96.pdf) |  |  |_x000D_
</v>
      </c>
      <c r="BV55" s="37" t="str">
        <f>IF(LEN(BP55&amp;BU55)&gt;0,concatll("#### Source Material",BP55,BU55),"")</f>
        <v xml:space="preserve">#### Source Material_x000D_
_x000D_
| The Real Presence | Miracle Hunter | MaryPages |_x000D_
| --- | --- | --- |_x000D_
| [Link](http://www.therealpresence.org/eucharst/misc/BVM/84_GARAISON_60x96.pdf) |  |  |_x000D_
_x000D_
_x000D_
</v>
      </c>
      <c r="BW55" s="37" t="str">
        <f>IF(LEN(O55)&gt;1,concatll("#### Author's Note",O55),"")</f>
        <v/>
      </c>
      <c r="BX55" s="24" t="str">
        <f>IF(AR55,concatll(concatl("---",AS55:AU55,BK55,"---"),N55,BV55:BW55),"")</f>
        <v/>
      </c>
      <c r="BY55" s="24" t="str">
        <f>IF(AR55,VLOOKUP(C55,'(Ref) Countries'!A:B,2,)&amp;IF(LEN(D55)&gt;1,"-"&amp;LOWER(SUBSTITUTE(D55," ","-")),"")&amp;"-"&amp;LOWER(SUBSTITUTE(I55," ","-"))&amp;".md","")</f>
        <v/>
      </c>
      <c r="BZ55" s="37" t="str">
        <f>IF(LEN(AG55)&gt;1,VLOOKUP(AG55,'Tag List'!$A:$B,2,),"")</f>
        <v/>
      </c>
      <c r="CA55" s="37" t="str">
        <f>IF(LEN(AH55)&gt;1,VLOOKUP(AH55,'Tag List'!$A:$B,2,),"")</f>
        <v/>
      </c>
      <c r="CB55" s="37" t="str">
        <f>IF(LEN(AI55)&gt;1,VLOOKUP(AI55,'Tag List'!$A:$B,2,),"")</f>
        <v/>
      </c>
      <c r="CC55" s="38" t="str">
        <f>IF(LEN(AG55)&gt;1,GetTagPage(BZ55,AG55),"")</f>
        <v/>
      </c>
      <c r="CD55" s="38" t="str">
        <f>IF(LEN(AH55)&gt;1,GetTagPage(CA55,AH55),"")</f>
        <v/>
      </c>
      <c r="CE55" s="38" t="str">
        <f>IF(LEN(AI55)&gt;1,GetTagPage(CB55,AI55),"")</f>
        <v/>
      </c>
      <c r="CF55" s="38" t="str">
        <f>"|"&amp;IF(LEN(CC55)&gt;1," "&amp;CC55,"")&amp;IF(LEN(CD55)&gt;1,", "&amp;CD55,"")&amp;IF(LEN(CE55)&gt;1,", "&amp;CE55,"")&amp;" "</f>
        <v xml:space="preserve">| </v>
      </c>
      <c r="CG55" s="38" t="str">
        <f>"| "&amp;IF(AR55,"["&amp;B55&amp;"](/places/"&amp;SUBSTITUTE(BY55,".md","")&amp;")",B55)&amp;" "</f>
        <v xml:space="preserve">| Garaison </v>
      </c>
      <c r="CH55" s="38" t="str">
        <f>"| "&amp;IF(AR55,GetTagPage(C55,VLOOKUP(C55,'(Ref) Countries'!A:C,3,)),C55)&amp; " "</f>
        <v xml:space="preserve">| France </v>
      </c>
      <c r="CI55" s="38" t="str">
        <f>"| "&amp;E55&amp;" "</f>
        <v xml:space="preserve">| 1515 </v>
      </c>
      <c r="CJ55" s="38" t="str">
        <f>"|"&amp;IF(AR55," [Link](/places/"&amp;SUBSTITUTE(BY55,".md","")&amp;")","")&amp;" "</f>
        <v xml:space="preserve">| </v>
      </c>
      <c r="CK55" s="37" t="str">
        <f>"
"&amp;CG55&amp;CH55&amp;CI55&amp;CJ55&amp;BL55&amp;BQ55&amp;BR55&amp;BS55&amp;CF55&amp;"|"</f>
        <v xml:space="preserve">
| Garaison | France | 1515 | [Link](http://www.therealpresence.org/eucharst/misc/BVM/84_GARAISON_60x96.pdf)| |</v>
      </c>
    </row>
    <row r="56" spans="1:89" x14ac:dyDescent="0.25">
      <c r="B56" s="28" t="s">
        <v>1231</v>
      </c>
      <c r="C56" s="29" t="s">
        <v>11</v>
      </c>
      <c r="E56" s="31">
        <v>1519</v>
      </c>
      <c r="J56" s="30" t="s">
        <v>1728</v>
      </c>
      <c r="K56" s="32" t="b">
        <v>1</v>
      </c>
      <c r="L56" s="30" t="b">
        <v>1</v>
      </c>
      <c r="P56" s="30" t="s">
        <v>336</v>
      </c>
      <c r="Q56" s="30" t="s">
        <v>336</v>
      </c>
      <c r="AA56" s="71" t="s">
        <v>231</v>
      </c>
      <c r="AB56" s="30" t="s">
        <v>336</v>
      </c>
      <c r="AC56" s="30" t="s">
        <v>336</v>
      </c>
      <c r="AD56" s="30" t="s">
        <v>336</v>
      </c>
      <c r="AE56" s="30" t="s">
        <v>336</v>
      </c>
      <c r="AF56" s="67" t="s">
        <v>336</v>
      </c>
      <c r="AG56" s="30" t="s">
        <v>336</v>
      </c>
      <c r="AR56" s="36" t="b">
        <f>IF(OR(A56="Done",A56="In Progress"),TRUE)</f>
        <v>0</v>
      </c>
      <c r="AS56" s="37" t="str">
        <f>"title: """&amp;H56&amp;""""</f>
        <v>title: ""</v>
      </c>
      <c r="AT56" s="37" t="str">
        <f>"location: {lat: "&amp;F56&amp;", lng: "&amp;G56&amp;"}"</f>
        <v>location: {lat: , lng: }</v>
      </c>
      <c r="AU56" s="37" t="str">
        <f>"level: "&amp;J56</f>
        <v>level: global</v>
      </c>
      <c r="AV56" s="37" t="str">
        <f>"- "&amp;VLOOKUP(C56,'(Ref) Countries'!A:C,3,)</f>
        <v>- italy</v>
      </c>
      <c r="AW56" s="37" t="str">
        <f t="shared" si="0"/>
        <v/>
      </c>
      <c r="AX56" s="37" t="str">
        <f t="shared" si="1"/>
        <v>- churches</v>
      </c>
      <c r="AY56" s="37" t="str">
        <f t="shared" si="2"/>
        <v>- marian-sites</v>
      </c>
      <c r="AZ56" s="37" t="str">
        <f t="shared" si="3"/>
        <v/>
      </c>
      <c r="BA56" s="37" t="str">
        <f t="shared" si="4"/>
        <v/>
      </c>
      <c r="BB56" s="37" t="str">
        <f t="shared" si="5"/>
        <v/>
      </c>
      <c r="BC56" s="37" t="str">
        <f t="shared" si="6"/>
        <v/>
      </c>
      <c r="BD56" s="37" t="str">
        <f t="shared" si="7"/>
        <v/>
      </c>
      <c r="BE56" s="37" t="str">
        <f t="shared" si="8"/>
        <v/>
      </c>
      <c r="BF56" s="37" t="str">
        <f t="shared" si="9"/>
        <v/>
      </c>
      <c r="BG56" s="37" t="str">
        <f t="shared" si="10"/>
        <v/>
      </c>
      <c r="BH56" s="37" t="str">
        <f t="shared" si="11"/>
        <v/>
      </c>
      <c r="BI56" s="37" t="str">
        <f t="shared" si="12"/>
        <v/>
      </c>
      <c r="BJ56" s="37" t="str">
        <f t="shared" si="13"/>
        <v/>
      </c>
      <c r="BK56" s="37" t="str">
        <f t="shared" si="14"/>
        <v xml:space="preserve">tags:
- italy_x000D_
- churches_x000D_
- marian-sites_x000D_
</v>
      </c>
      <c r="BL56" s="38" t="str">
        <f t="shared" si="15"/>
        <v/>
      </c>
      <c r="BM56" s="38" t="str">
        <f t="shared" si="16"/>
        <v/>
      </c>
      <c r="BN56" s="38" t="str">
        <f t="shared" si="17"/>
        <v/>
      </c>
      <c r="BO56" s="38" t="str">
        <f t="shared" si="18"/>
        <v/>
      </c>
      <c r="BP56" s="38" t="str">
        <f t="shared" si="19"/>
        <v/>
      </c>
      <c r="BQ56" s="38" t="str">
        <f t="shared" si="20"/>
        <v>[Link](http://www.therealpresence.org/eucharst/misc/BVM/34_ADRO_60x96.pdf)</v>
      </c>
      <c r="BR56" s="38" t="str">
        <f t="shared" si="21"/>
        <v/>
      </c>
      <c r="BS56" s="38" t="str">
        <f t="shared" si="22"/>
        <v/>
      </c>
      <c r="BT56" s="38" t="str">
        <f>IF(LEN(concat(BQ56:BS56))&gt;0,concat("| ",BQ56," | ",BR56," | ",BS56," |"),"")</f>
        <v>| [Link](http://www.therealpresence.org/eucharst/misc/BVM/34_ADRO_60x96.pdf) |  |  |</v>
      </c>
      <c r="BU56" s="37" t="str">
        <f t="shared" si="23"/>
        <v xml:space="preserve">| The Real Presence | Miracle Hunter | MaryPages |_x000D_
| --- | --- | --- |_x000D_
| [Link](http://www.therealpresence.org/eucharst/misc/BVM/34_ADRO_60x96.pdf) |  |  |_x000D_
</v>
      </c>
      <c r="BV56" s="37" t="str">
        <f>IF(LEN(BP56&amp;BU56)&gt;0,concatll("#### Source Material",BP56,BU56),"")</f>
        <v xml:space="preserve">#### Source Material_x000D_
_x000D_
| The Real Presence | Miracle Hunter | MaryPages |_x000D_
| --- | --- | --- |_x000D_
| [Link](http://www.therealpresence.org/eucharst/misc/BVM/34_ADRO_60x96.pdf) |  |  |_x000D_
_x000D_
_x000D_
</v>
      </c>
      <c r="BW56" s="37" t="str">
        <f>IF(LEN(O56)&gt;1,concatll("#### Author's Note",O56),"")</f>
        <v/>
      </c>
      <c r="BX56" s="24" t="str">
        <f>IF(AR56,concatll(concatl("---",AS56:AU56,BK56,"---"),N56,BV56:BW56),"")</f>
        <v/>
      </c>
      <c r="BY56" s="24" t="str">
        <f>IF(AR56,VLOOKUP(C56,'(Ref) Countries'!A:B,2,)&amp;IF(LEN(D56)&gt;1,"-"&amp;LOWER(SUBSTITUTE(D56," ","-")),"")&amp;"-"&amp;LOWER(SUBSTITUTE(I56," ","-"))&amp;".md","")</f>
        <v/>
      </c>
      <c r="BZ56" s="37" t="str">
        <f>IF(LEN(AG56)&gt;1,VLOOKUP(AG56,'Tag List'!$A:$B,2,),"")</f>
        <v/>
      </c>
      <c r="CA56" s="37" t="str">
        <f>IF(LEN(AH56)&gt;1,VLOOKUP(AH56,'Tag List'!$A:$B,2,),"")</f>
        <v/>
      </c>
      <c r="CB56" s="37" t="str">
        <f>IF(LEN(AI56)&gt;1,VLOOKUP(AI56,'Tag List'!$A:$B,2,),"")</f>
        <v/>
      </c>
      <c r="CC56" s="38" t="str">
        <f>IF(LEN(AG56)&gt;1,GetTagPage(BZ56,AG56),"")</f>
        <v/>
      </c>
      <c r="CD56" s="38" t="str">
        <f>IF(LEN(AH56)&gt;1,GetTagPage(CA56,AH56),"")</f>
        <v/>
      </c>
      <c r="CE56" s="38" t="str">
        <f>IF(LEN(AI56)&gt;1,GetTagPage(CB56,AI56),"")</f>
        <v/>
      </c>
      <c r="CF56" s="38" t="str">
        <f>"|"&amp;IF(LEN(CC56)&gt;1," "&amp;CC56,"")&amp;IF(LEN(CD56)&gt;1,", "&amp;CD56,"")&amp;IF(LEN(CE56)&gt;1,", "&amp;CE56,"")&amp;" "</f>
        <v xml:space="preserve">| </v>
      </c>
      <c r="CG56" s="38" t="str">
        <f>"| "&amp;IF(AR56,"["&amp;B56&amp;"](/places/"&amp;SUBSTITUTE(BY56,".md","")&amp;")",B56)&amp;" "</f>
        <v xml:space="preserve">| Adro </v>
      </c>
      <c r="CH56" s="38" t="str">
        <f>"| "&amp;IF(AR56,GetTagPage(C56,VLOOKUP(C56,'(Ref) Countries'!A:C,3,)),C56)&amp; " "</f>
        <v xml:space="preserve">| Italy </v>
      </c>
      <c r="CI56" s="38" t="str">
        <f>"| "&amp;E56&amp;" "</f>
        <v xml:space="preserve">| 1519 </v>
      </c>
      <c r="CJ56" s="38" t="str">
        <f>"|"&amp;IF(AR56," [Link](/places/"&amp;SUBSTITUTE(BY56,".md","")&amp;")","")&amp;" "</f>
        <v xml:space="preserve">| </v>
      </c>
      <c r="CK56" s="37" t="str">
        <f>"
"&amp;CG56&amp;CH56&amp;CI56&amp;CJ56&amp;BL56&amp;BQ56&amp;BR56&amp;BS56&amp;CF56&amp;"|"</f>
        <v xml:space="preserve">
| Adro | Italy | 1519 | [Link](http://www.therealpresence.org/eucharst/misc/BVM/34_ADRO_60x96.pdf)| |</v>
      </c>
    </row>
    <row r="57" spans="1:89" x14ac:dyDescent="0.25">
      <c r="B57" s="28" t="s">
        <v>1232</v>
      </c>
      <c r="C57" s="29" t="s">
        <v>557</v>
      </c>
      <c r="E57" s="31" t="s">
        <v>1106</v>
      </c>
      <c r="J57" s="30" t="s">
        <v>1728</v>
      </c>
      <c r="K57" s="32" t="b">
        <v>1</v>
      </c>
      <c r="L57" s="30" t="b">
        <v>1</v>
      </c>
      <c r="P57" s="30" t="s">
        <v>336</v>
      </c>
      <c r="Q57" s="30" t="s">
        <v>336</v>
      </c>
      <c r="AA57" s="71" t="s">
        <v>232</v>
      </c>
      <c r="AB57" s="30" t="s">
        <v>336</v>
      </c>
      <c r="AC57" s="30" t="s">
        <v>336</v>
      </c>
      <c r="AD57" s="30" t="s">
        <v>336</v>
      </c>
      <c r="AE57" s="30" t="s">
        <v>336</v>
      </c>
      <c r="AF57" s="67" t="s">
        <v>336</v>
      </c>
      <c r="AG57" s="30" t="s">
        <v>336</v>
      </c>
      <c r="AR57" s="36" t="b">
        <f>IF(OR(A57="Done",A57="In Progress"),TRUE)</f>
        <v>0</v>
      </c>
      <c r="AS57" s="37" t="str">
        <f>"title: """&amp;H57&amp;""""</f>
        <v>title: ""</v>
      </c>
      <c r="AT57" s="37" t="str">
        <f>"location: {lat: "&amp;F57&amp;", lng: "&amp;G57&amp;"}"</f>
        <v>location: {lat: , lng: }</v>
      </c>
      <c r="AU57" s="37" t="str">
        <f>"level: "&amp;J57</f>
        <v>level: global</v>
      </c>
      <c r="AV57" s="37" t="str">
        <f>"- "&amp;VLOOKUP(C57,'(Ref) Countries'!A:C,3,)</f>
        <v>- france</v>
      </c>
      <c r="AW57" s="37" t="str">
        <f t="shared" si="0"/>
        <v/>
      </c>
      <c r="AX57" s="37" t="str">
        <f t="shared" si="1"/>
        <v>- churches</v>
      </c>
      <c r="AY57" s="37" t="str">
        <f t="shared" si="2"/>
        <v>- marian-sites</v>
      </c>
      <c r="AZ57" s="37" t="str">
        <f t="shared" si="3"/>
        <v/>
      </c>
      <c r="BA57" s="37" t="str">
        <f t="shared" si="4"/>
        <v/>
      </c>
      <c r="BB57" s="37" t="str">
        <f t="shared" si="5"/>
        <v/>
      </c>
      <c r="BC57" s="37" t="str">
        <f t="shared" si="6"/>
        <v/>
      </c>
      <c r="BD57" s="37" t="str">
        <f t="shared" si="7"/>
        <v/>
      </c>
      <c r="BE57" s="37" t="str">
        <f t="shared" si="8"/>
        <v/>
      </c>
      <c r="BF57" s="37" t="str">
        <f t="shared" si="9"/>
        <v/>
      </c>
      <c r="BG57" s="37" t="str">
        <f t="shared" si="10"/>
        <v/>
      </c>
      <c r="BH57" s="37" t="str">
        <f t="shared" si="11"/>
        <v/>
      </c>
      <c r="BI57" s="37" t="str">
        <f t="shared" si="12"/>
        <v/>
      </c>
      <c r="BJ57" s="37" t="str">
        <f t="shared" si="13"/>
        <v/>
      </c>
      <c r="BK57" s="37" t="str">
        <f t="shared" si="14"/>
        <v xml:space="preserve">tags:
- france_x000D_
- churches_x000D_
- marian-sites_x000D_
</v>
      </c>
      <c r="BL57" s="38" t="str">
        <f t="shared" si="15"/>
        <v/>
      </c>
      <c r="BM57" s="38" t="str">
        <f t="shared" si="16"/>
        <v/>
      </c>
      <c r="BN57" s="38" t="str">
        <f t="shared" si="17"/>
        <v/>
      </c>
      <c r="BO57" s="38" t="str">
        <f t="shared" si="18"/>
        <v/>
      </c>
      <c r="BP57" s="38" t="str">
        <f t="shared" si="19"/>
        <v/>
      </c>
      <c r="BQ57" s="38" t="str">
        <f t="shared" si="20"/>
        <v>[Link](http://www.therealpresence.org/eucharst/misc/BVM/83_COTIGNAC_60x96.pdf)</v>
      </c>
      <c r="BR57" s="38" t="str">
        <f t="shared" si="21"/>
        <v/>
      </c>
      <c r="BS57" s="38" t="str">
        <f t="shared" si="22"/>
        <v/>
      </c>
      <c r="BT57" s="38" t="str">
        <f>IF(LEN(concat(BQ57:BS57))&gt;0,concat("| ",BQ57," | ",BR57," | ",BS57," |"),"")</f>
        <v>| [Link](http://www.therealpresence.org/eucharst/misc/BVM/83_COTIGNAC_60x96.pdf) |  |  |</v>
      </c>
      <c r="BU57" s="37" t="str">
        <f t="shared" si="23"/>
        <v xml:space="preserve">| The Real Presence | Miracle Hunter | MaryPages |_x000D_
| --- | --- | --- |_x000D_
| [Link](http://www.therealpresence.org/eucharst/misc/BVM/83_COTIGNAC_60x96.pdf) |  |  |_x000D_
</v>
      </c>
      <c r="BV57" s="37" t="str">
        <f>IF(LEN(BP57&amp;BU57)&gt;0,concatll("#### Source Material",BP57,BU57),"")</f>
        <v xml:space="preserve">#### Source Material_x000D_
_x000D_
| The Real Presence | Miracle Hunter | MaryPages |_x000D_
| --- | --- | --- |_x000D_
| [Link](http://www.therealpresence.org/eucharst/misc/BVM/83_COTIGNAC_60x96.pdf) |  |  |_x000D_
_x000D_
_x000D_
</v>
      </c>
      <c r="BW57" s="37" t="str">
        <f>IF(LEN(O57)&gt;1,concatll("#### Author's Note",O57),"")</f>
        <v/>
      </c>
      <c r="BX57" s="24" t="str">
        <f>IF(AR57,concatll(concatl("---",AS57:AU57,BK57,"---"),N57,BV57:BW57),"")</f>
        <v/>
      </c>
      <c r="BY57" s="24" t="str">
        <f>IF(AR57,VLOOKUP(C57,'(Ref) Countries'!A:B,2,)&amp;IF(LEN(D57)&gt;1,"-"&amp;LOWER(SUBSTITUTE(D57," ","-")),"")&amp;"-"&amp;LOWER(SUBSTITUTE(I57," ","-"))&amp;".md","")</f>
        <v/>
      </c>
      <c r="BZ57" s="37" t="str">
        <f>IF(LEN(AG57)&gt;1,VLOOKUP(AG57,'Tag List'!$A:$B,2,),"")</f>
        <v/>
      </c>
      <c r="CA57" s="37" t="str">
        <f>IF(LEN(AH57)&gt;1,VLOOKUP(AH57,'Tag List'!$A:$B,2,),"")</f>
        <v/>
      </c>
      <c r="CB57" s="37" t="str">
        <f>IF(LEN(AI57)&gt;1,VLOOKUP(AI57,'Tag List'!$A:$B,2,),"")</f>
        <v/>
      </c>
      <c r="CC57" s="38" t="str">
        <f>IF(LEN(AG57)&gt;1,GetTagPage(BZ57,AG57),"")</f>
        <v/>
      </c>
      <c r="CD57" s="38" t="str">
        <f>IF(LEN(AH57)&gt;1,GetTagPage(CA57,AH57),"")</f>
        <v/>
      </c>
      <c r="CE57" s="38" t="str">
        <f>IF(LEN(AI57)&gt;1,GetTagPage(CB57,AI57),"")</f>
        <v/>
      </c>
      <c r="CF57" s="38" t="str">
        <f>"|"&amp;IF(LEN(CC57)&gt;1," "&amp;CC57,"")&amp;IF(LEN(CD57)&gt;1,", "&amp;CD57,"")&amp;IF(LEN(CE57)&gt;1,", "&amp;CE57,"")&amp;" "</f>
        <v xml:space="preserve">| </v>
      </c>
      <c r="CG57" s="38" t="str">
        <f>"| "&amp;IF(AR57,"["&amp;B57&amp;"](/places/"&amp;SUBSTITUTE(BY57,".md","")&amp;")",B57)&amp;" "</f>
        <v xml:space="preserve">| Cotignac </v>
      </c>
      <c r="CH57" s="38" t="str">
        <f>"| "&amp;IF(AR57,GetTagPage(C57,VLOOKUP(C57,'(Ref) Countries'!A:C,3,)),C57)&amp; " "</f>
        <v xml:space="preserve">| France </v>
      </c>
      <c r="CI57" s="38" t="str">
        <f>"| "&amp;E57&amp;" "</f>
        <v xml:space="preserve">| 1519-1637 </v>
      </c>
      <c r="CJ57" s="38" t="str">
        <f>"|"&amp;IF(AR57," [Link](/places/"&amp;SUBSTITUTE(BY57,".md","")&amp;")","")&amp;" "</f>
        <v xml:space="preserve">| </v>
      </c>
      <c r="CK57" s="37" t="str">
        <f>"
"&amp;CG57&amp;CH57&amp;CI57&amp;CJ57&amp;BL57&amp;BQ57&amp;BR57&amp;BS57&amp;CF57&amp;"|"</f>
        <v xml:space="preserve">
| Cotignac | France | 1519-1637 | [Link](http://www.therealpresence.org/eucharst/misc/BVM/83_COTIGNAC_60x96.pdf)| |</v>
      </c>
    </row>
    <row r="58" spans="1:89" x14ac:dyDescent="0.25">
      <c r="B58" s="28" t="s">
        <v>1233</v>
      </c>
      <c r="C58" s="29" t="s">
        <v>11</v>
      </c>
      <c r="E58" s="31">
        <v>1521</v>
      </c>
      <c r="J58" s="30" t="s">
        <v>1728</v>
      </c>
      <c r="K58" s="32" t="b">
        <v>1</v>
      </c>
      <c r="L58" s="30" t="b">
        <v>1</v>
      </c>
      <c r="P58" s="30" t="s">
        <v>336</v>
      </c>
      <c r="Q58" s="30" t="s">
        <v>336</v>
      </c>
      <c r="AA58" s="71" t="s">
        <v>233</v>
      </c>
      <c r="AB58" s="30" t="s">
        <v>336</v>
      </c>
      <c r="AC58" s="30" t="s">
        <v>336</v>
      </c>
      <c r="AD58" s="30" t="s">
        <v>336</v>
      </c>
      <c r="AE58" s="30" t="s">
        <v>336</v>
      </c>
      <c r="AF58" s="67" t="s">
        <v>336</v>
      </c>
      <c r="AG58" s="30" t="s">
        <v>336</v>
      </c>
      <c r="AR58" s="36" t="b">
        <f>IF(OR(A58="Done",A58="In Progress"),TRUE)</f>
        <v>0</v>
      </c>
      <c r="AS58" s="37" t="str">
        <f>"title: """&amp;H58&amp;""""</f>
        <v>title: ""</v>
      </c>
      <c r="AT58" s="37" t="str">
        <f>"location: {lat: "&amp;F58&amp;", lng: "&amp;G58&amp;"}"</f>
        <v>location: {lat: , lng: }</v>
      </c>
      <c r="AU58" s="37" t="str">
        <f>"level: "&amp;J58</f>
        <v>level: global</v>
      </c>
      <c r="AV58" s="37" t="str">
        <f>"- "&amp;VLOOKUP(C58,'(Ref) Countries'!A:C,3,)</f>
        <v>- italy</v>
      </c>
      <c r="AW58" s="37" t="str">
        <f t="shared" si="0"/>
        <v/>
      </c>
      <c r="AX58" s="37" t="str">
        <f t="shared" si="1"/>
        <v>- churches</v>
      </c>
      <c r="AY58" s="37" t="str">
        <f t="shared" si="2"/>
        <v>- marian-sites</v>
      </c>
      <c r="AZ58" s="37" t="str">
        <f t="shared" si="3"/>
        <v/>
      </c>
      <c r="BA58" s="37" t="str">
        <f t="shared" si="4"/>
        <v/>
      </c>
      <c r="BB58" s="37" t="str">
        <f t="shared" si="5"/>
        <v/>
      </c>
      <c r="BC58" s="37" t="str">
        <f t="shared" si="6"/>
        <v/>
      </c>
      <c r="BD58" s="37" t="str">
        <f t="shared" si="7"/>
        <v/>
      </c>
      <c r="BE58" s="37" t="str">
        <f t="shared" si="8"/>
        <v/>
      </c>
      <c r="BF58" s="37" t="str">
        <f t="shared" si="9"/>
        <v/>
      </c>
      <c r="BG58" s="37" t="str">
        <f t="shared" si="10"/>
        <v/>
      </c>
      <c r="BH58" s="37" t="str">
        <f t="shared" si="11"/>
        <v/>
      </c>
      <c r="BI58" s="37" t="str">
        <f t="shared" si="12"/>
        <v/>
      </c>
      <c r="BJ58" s="37" t="str">
        <f t="shared" si="13"/>
        <v/>
      </c>
      <c r="BK58" s="37" t="str">
        <f t="shared" si="14"/>
        <v xml:space="preserve">tags:
- italy_x000D_
- churches_x000D_
- marian-sites_x000D_
</v>
      </c>
      <c r="BL58" s="38" t="str">
        <f t="shared" si="15"/>
        <v/>
      </c>
      <c r="BM58" s="38" t="str">
        <f t="shared" si="16"/>
        <v/>
      </c>
      <c r="BN58" s="38" t="str">
        <f t="shared" si="17"/>
        <v/>
      </c>
      <c r="BO58" s="38" t="str">
        <f t="shared" si="18"/>
        <v/>
      </c>
      <c r="BP58" s="38" t="str">
        <f t="shared" si="19"/>
        <v/>
      </c>
      <c r="BQ58" s="38" t="str">
        <f t="shared" si="20"/>
        <v>[Link](http://www.therealpresence.org/eucharst/misc/BVM/114_CORI_60x96.pdf)</v>
      </c>
      <c r="BR58" s="38" t="str">
        <f t="shared" si="21"/>
        <v/>
      </c>
      <c r="BS58" s="38" t="str">
        <f t="shared" si="22"/>
        <v/>
      </c>
      <c r="BT58" s="38" t="str">
        <f>IF(LEN(concat(BQ58:BS58))&gt;0,concat("| ",BQ58," | ",BR58," | ",BS58," |"),"")</f>
        <v>| [Link](http://www.therealpresence.org/eucharst/misc/BVM/114_CORI_60x96.pdf) |  |  |</v>
      </c>
      <c r="BU58" s="37" t="str">
        <f t="shared" si="23"/>
        <v xml:space="preserve">| The Real Presence | Miracle Hunter | MaryPages |_x000D_
| --- | --- | --- |_x000D_
| [Link](http://www.therealpresence.org/eucharst/misc/BVM/114_CORI_60x96.pdf) |  |  |_x000D_
</v>
      </c>
      <c r="BV58" s="37" t="str">
        <f>IF(LEN(BP58&amp;BU58)&gt;0,concatll("#### Source Material",BP58,BU58),"")</f>
        <v xml:space="preserve">#### Source Material_x000D_
_x000D_
| The Real Presence | Miracle Hunter | MaryPages |_x000D_
| --- | --- | --- |_x000D_
| [Link](http://www.therealpresence.org/eucharst/misc/BVM/114_CORI_60x96.pdf) |  |  |_x000D_
_x000D_
_x000D_
</v>
      </c>
      <c r="BW58" s="37" t="str">
        <f>IF(LEN(O58)&gt;1,concatll("#### Author's Note",O58),"")</f>
        <v/>
      </c>
      <c r="BX58" s="24" t="str">
        <f>IF(AR58,concatll(concatl("---",AS58:AU58,BK58,"---"),N58,BV58:BW58),"")</f>
        <v/>
      </c>
      <c r="BY58" s="24" t="str">
        <f>IF(AR58,VLOOKUP(C58,'(Ref) Countries'!A:B,2,)&amp;IF(LEN(D58)&gt;1,"-"&amp;LOWER(SUBSTITUTE(D58," ","-")),"")&amp;"-"&amp;LOWER(SUBSTITUTE(I58," ","-"))&amp;".md","")</f>
        <v/>
      </c>
      <c r="BZ58" s="37" t="str">
        <f>IF(LEN(AG58)&gt;1,VLOOKUP(AG58,'Tag List'!$A:$B,2,),"")</f>
        <v/>
      </c>
      <c r="CA58" s="37" t="str">
        <f>IF(LEN(AH58)&gt;1,VLOOKUP(AH58,'Tag List'!$A:$B,2,),"")</f>
        <v/>
      </c>
      <c r="CB58" s="37" t="str">
        <f>IF(LEN(AI58)&gt;1,VLOOKUP(AI58,'Tag List'!$A:$B,2,),"")</f>
        <v/>
      </c>
      <c r="CC58" s="38" t="str">
        <f>IF(LEN(AG58)&gt;1,GetTagPage(BZ58,AG58),"")</f>
        <v/>
      </c>
      <c r="CD58" s="38" t="str">
        <f>IF(LEN(AH58)&gt;1,GetTagPage(CA58,AH58),"")</f>
        <v/>
      </c>
      <c r="CE58" s="38" t="str">
        <f>IF(LEN(AI58)&gt;1,GetTagPage(CB58,AI58),"")</f>
        <v/>
      </c>
      <c r="CF58" s="38" t="str">
        <f>"|"&amp;IF(LEN(CC58)&gt;1," "&amp;CC58,"")&amp;IF(LEN(CD58)&gt;1,", "&amp;CD58,"")&amp;IF(LEN(CE58)&gt;1,", "&amp;CE58,"")&amp;" "</f>
        <v xml:space="preserve">| </v>
      </c>
      <c r="CG58" s="38" t="str">
        <f>"| "&amp;IF(AR58,"["&amp;B58&amp;"](/places/"&amp;SUBSTITUTE(BY58,".md","")&amp;")",B58)&amp;" "</f>
        <v xml:space="preserve">| Cori </v>
      </c>
      <c r="CH58" s="38" t="str">
        <f>"| "&amp;IF(AR58,GetTagPage(C58,VLOOKUP(C58,'(Ref) Countries'!A:C,3,)),C58)&amp; " "</f>
        <v xml:space="preserve">| Italy </v>
      </c>
      <c r="CI58" s="38" t="str">
        <f>"| "&amp;E58&amp;" "</f>
        <v xml:space="preserve">| 1521 </v>
      </c>
      <c r="CJ58" s="38" t="str">
        <f>"|"&amp;IF(AR58," [Link](/places/"&amp;SUBSTITUTE(BY58,".md","")&amp;")","")&amp;" "</f>
        <v xml:space="preserve">| </v>
      </c>
      <c r="CK58" s="37" t="str">
        <f>"
"&amp;CG58&amp;CH58&amp;CI58&amp;CJ58&amp;BL58&amp;BQ58&amp;BR58&amp;BS58&amp;CF58&amp;"|"</f>
        <v xml:space="preserve">
| Cori | Italy | 1521 | [Link](http://www.therealpresence.org/eucharst/misc/BVM/114_CORI_60x96.pdf)| |</v>
      </c>
    </row>
    <row r="59" spans="1:89" x14ac:dyDescent="0.25">
      <c r="B59" s="28" t="s">
        <v>1234</v>
      </c>
      <c r="C59" s="29" t="s">
        <v>11</v>
      </c>
      <c r="E59" s="31">
        <v>1521</v>
      </c>
      <c r="J59" s="30" t="s">
        <v>1728</v>
      </c>
      <c r="K59" s="32" t="b">
        <v>1</v>
      </c>
      <c r="L59" s="30" t="b">
        <v>1</v>
      </c>
      <c r="P59" s="30" t="s">
        <v>336</v>
      </c>
      <c r="Q59" s="30" t="s">
        <v>336</v>
      </c>
      <c r="AA59" s="71" t="s">
        <v>234</v>
      </c>
      <c r="AB59" s="30" t="s">
        <v>336</v>
      </c>
      <c r="AC59" s="30" t="s">
        <v>336</v>
      </c>
      <c r="AD59" s="30" t="s">
        <v>336</v>
      </c>
      <c r="AE59" s="30" t="s">
        <v>336</v>
      </c>
      <c r="AF59" s="67" t="s">
        <v>336</v>
      </c>
      <c r="AG59" s="30" t="s">
        <v>336</v>
      </c>
      <c r="AR59" s="36" t="b">
        <f>IF(OR(A59="Done",A59="In Progress"),TRUE)</f>
        <v>0</v>
      </c>
      <c r="AS59" s="37" t="str">
        <f>"title: """&amp;H59&amp;""""</f>
        <v>title: ""</v>
      </c>
      <c r="AT59" s="37" t="str">
        <f>"location: {lat: "&amp;F59&amp;", lng: "&amp;G59&amp;"}"</f>
        <v>location: {lat: , lng: }</v>
      </c>
      <c r="AU59" s="37" t="str">
        <f>"level: "&amp;J59</f>
        <v>level: global</v>
      </c>
      <c r="AV59" s="37" t="str">
        <f>"- "&amp;VLOOKUP(C59,'(Ref) Countries'!A:C,3,)</f>
        <v>- italy</v>
      </c>
      <c r="AW59" s="37" t="str">
        <f t="shared" si="0"/>
        <v/>
      </c>
      <c r="AX59" s="37" t="str">
        <f t="shared" si="1"/>
        <v>- churches</v>
      </c>
      <c r="AY59" s="37" t="str">
        <f t="shared" si="2"/>
        <v>- marian-sites</v>
      </c>
      <c r="AZ59" s="37" t="str">
        <f t="shared" si="3"/>
        <v/>
      </c>
      <c r="BA59" s="37" t="str">
        <f t="shared" si="4"/>
        <v/>
      </c>
      <c r="BB59" s="37" t="str">
        <f t="shared" si="5"/>
        <v/>
      </c>
      <c r="BC59" s="37" t="str">
        <f t="shared" si="6"/>
        <v/>
      </c>
      <c r="BD59" s="37" t="str">
        <f t="shared" si="7"/>
        <v/>
      </c>
      <c r="BE59" s="37" t="str">
        <f t="shared" si="8"/>
        <v/>
      </c>
      <c r="BF59" s="37" t="str">
        <f t="shared" si="9"/>
        <v/>
      </c>
      <c r="BG59" s="37" t="str">
        <f t="shared" si="10"/>
        <v/>
      </c>
      <c r="BH59" s="37" t="str">
        <f t="shared" si="11"/>
        <v/>
      </c>
      <c r="BI59" s="37" t="str">
        <f t="shared" si="12"/>
        <v/>
      </c>
      <c r="BJ59" s="37" t="str">
        <f t="shared" si="13"/>
        <v/>
      </c>
      <c r="BK59" s="37" t="str">
        <f t="shared" si="14"/>
        <v xml:space="preserve">tags:
- italy_x000D_
- churches_x000D_
- marian-sites_x000D_
</v>
      </c>
      <c r="BL59" s="38" t="str">
        <f t="shared" si="15"/>
        <v/>
      </c>
      <c r="BM59" s="38" t="str">
        <f t="shared" si="16"/>
        <v/>
      </c>
      <c r="BN59" s="38" t="str">
        <f t="shared" si="17"/>
        <v/>
      </c>
      <c r="BO59" s="38" t="str">
        <f t="shared" si="18"/>
        <v/>
      </c>
      <c r="BP59" s="38" t="str">
        <f t="shared" si="19"/>
        <v/>
      </c>
      <c r="BQ59" s="38" t="str">
        <f t="shared" si="20"/>
        <v>[Link](http://www.therealpresence.org/eucharst/misc/BVM/48_CUSSANIO_60x96.pdf)</v>
      </c>
      <c r="BR59" s="38" t="str">
        <f t="shared" si="21"/>
        <v/>
      </c>
      <c r="BS59" s="38" t="str">
        <f t="shared" si="22"/>
        <v/>
      </c>
      <c r="BT59" s="38" t="str">
        <f>IF(LEN(concat(BQ59:BS59))&gt;0,concat("| ",BQ59," | ",BR59," | ",BS59," |"),"")</f>
        <v>| [Link](http://www.therealpresence.org/eucharst/misc/BVM/48_CUSSANIO_60x96.pdf) |  |  |</v>
      </c>
      <c r="BU59" s="37" t="str">
        <f t="shared" si="23"/>
        <v xml:space="preserve">| The Real Presence | Miracle Hunter | MaryPages |_x000D_
| --- | --- | --- |_x000D_
| [Link](http://www.therealpresence.org/eucharst/misc/BVM/48_CUSSANIO_60x96.pdf) |  |  |_x000D_
</v>
      </c>
      <c r="BV59" s="37" t="str">
        <f>IF(LEN(BP59&amp;BU59)&gt;0,concatll("#### Source Material",BP59,BU59),"")</f>
        <v xml:space="preserve">#### Source Material_x000D_
_x000D_
| The Real Presence | Miracle Hunter | MaryPages |_x000D_
| --- | --- | --- |_x000D_
| [Link](http://www.therealpresence.org/eucharst/misc/BVM/48_CUSSANIO_60x96.pdf) |  |  |_x000D_
_x000D_
_x000D_
</v>
      </c>
      <c r="BW59" s="37" t="str">
        <f>IF(LEN(O59)&gt;1,concatll("#### Author's Note",O59),"")</f>
        <v/>
      </c>
      <c r="BX59" s="24" t="str">
        <f>IF(AR59,concatll(concatl("---",AS59:AU59,BK59,"---"),N59,BV59:BW59),"")</f>
        <v/>
      </c>
      <c r="BY59" s="24" t="str">
        <f>IF(AR59,VLOOKUP(C59,'(Ref) Countries'!A:B,2,)&amp;IF(LEN(D59)&gt;1,"-"&amp;LOWER(SUBSTITUTE(D59," ","-")),"")&amp;"-"&amp;LOWER(SUBSTITUTE(I59," ","-"))&amp;".md","")</f>
        <v/>
      </c>
      <c r="BZ59" s="37" t="str">
        <f>IF(LEN(AG59)&gt;1,VLOOKUP(AG59,'Tag List'!$A:$B,2,),"")</f>
        <v/>
      </c>
      <c r="CA59" s="37" t="str">
        <f>IF(LEN(AH59)&gt;1,VLOOKUP(AH59,'Tag List'!$A:$B,2,),"")</f>
        <v/>
      </c>
      <c r="CB59" s="37" t="str">
        <f>IF(LEN(AI59)&gt;1,VLOOKUP(AI59,'Tag List'!$A:$B,2,),"")</f>
        <v/>
      </c>
      <c r="CC59" s="38" t="str">
        <f>IF(LEN(AG59)&gt;1,GetTagPage(BZ59,AG59),"")</f>
        <v/>
      </c>
      <c r="CD59" s="38" t="str">
        <f>IF(LEN(AH59)&gt;1,GetTagPage(CA59,AH59),"")</f>
        <v/>
      </c>
      <c r="CE59" s="38" t="str">
        <f>IF(LEN(AI59)&gt;1,GetTagPage(CB59,AI59),"")</f>
        <v/>
      </c>
      <c r="CF59" s="38" t="str">
        <f>"|"&amp;IF(LEN(CC59)&gt;1," "&amp;CC59,"")&amp;IF(LEN(CD59)&gt;1,", "&amp;CD59,"")&amp;IF(LEN(CE59)&gt;1,", "&amp;CE59,"")&amp;" "</f>
        <v xml:space="preserve">| </v>
      </c>
      <c r="CG59" s="38" t="str">
        <f>"| "&amp;IF(AR59,"["&amp;B59&amp;"](/places/"&amp;SUBSTITUTE(BY59,".md","")&amp;")",B59)&amp;" "</f>
        <v xml:space="preserve">| Cussanio </v>
      </c>
      <c r="CH59" s="38" t="str">
        <f>"| "&amp;IF(AR59,GetTagPage(C59,VLOOKUP(C59,'(Ref) Countries'!A:C,3,)),C59)&amp; " "</f>
        <v xml:space="preserve">| Italy </v>
      </c>
      <c r="CI59" s="38" t="str">
        <f>"| "&amp;E59&amp;" "</f>
        <v xml:space="preserve">| 1521 </v>
      </c>
      <c r="CJ59" s="38" t="str">
        <f>"|"&amp;IF(AR59," [Link](/places/"&amp;SUBSTITUTE(BY59,".md","")&amp;")","")&amp;" "</f>
        <v xml:space="preserve">| </v>
      </c>
      <c r="CK59" s="37" t="str">
        <f>"
"&amp;CG59&amp;CH59&amp;CI59&amp;CJ59&amp;BL59&amp;BQ59&amp;BR59&amp;BS59&amp;CF59&amp;"|"</f>
        <v xml:space="preserve">
| Cussanio | Italy | 1521 | [Link](http://www.therealpresence.org/eucharst/misc/BVM/48_CUSSANIO_60x96.pdf)| |</v>
      </c>
    </row>
    <row r="60" spans="1:89" x14ac:dyDescent="0.25">
      <c r="B60" s="28" t="s">
        <v>1235</v>
      </c>
      <c r="C60" s="29" t="s">
        <v>11</v>
      </c>
      <c r="E60" s="31">
        <v>1525</v>
      </c>
      <c r="J60" s="30" t="s">
        <v>1728</v>
      </c>
      <c r="K60" s="32" t="b">
        <v>1</v>
      </c>
      <c r="L60" s="30" t="b">
        <v>1</v>
      </c>
      <c r="P60" s="30" t="s">
        <v>336</v>
      </c>
      <c r="Q60" s="30" t="s">
        <v>336</v>
      </c>
      <c r="AA60" s="71" t="s">
        <v>235</v>
      </c>
      <c r="AB60" s="30" t="s">
        <v>336</v>
      </c>
      <c r="AC60" s="30" t="s">
        <v>336</v>
      </c>
      <c r="AD60" s="30" t="s">
        <v>336</v>
      </c>
      <c r="AE60" s="30" t="s">
        <v>336</v>
      </c>
      <c r="AF60" s="67" t="s">
        <v>336</v>
      </c>
      <c r="AG60" s="30" t="s">
        <v>336</v>
      </c>
      <c r="AR60" s="36" t="b">
        <f>IF(OR(A60="Done",A60="In Progress"),TRUE)</f>
        <v>0</v>
      </c>
      <c r="AS60" s="37" t="str">
        <f>"title: """&amp;H60&amp;""""</f>
        <v>title: ""</v>
      </c>
      <c r="AT60" s="37" t="str">
        <f>"location: {lat: "&amp;F60&amp;", lng: "&amp;G60&amp;"}"</f>
        <v>location: {lat: , lng: }</v>
      </c>
      <c r="AU60" s="37" t="str">
        <f>"level: "&amp;J60</f>
        <v>level: global</v>
      </c>
      <c r="AV60" s="37" t="str">
        <f>"- "&amp;VLOOKUP(C60,'(Ref) Countries'!A:C,3,)</f>
        <v>- italy</v>
      </c>
      <c r="AW60" s="37" t="str">
        <f t="shared" si="0"/>
        <v/>
      </c>
      <c r="AX60" s="37" t="str">
        <f t="shared" si="1"/>
        <v>- churches</v>
      </c>
      <c r="AY60" s="37" t="str">
        <f t="shared" si="2"/>
        <v>- marian-sites</v>
      </c>
      <c r="AZ60" s="37" t="str">
        <f t="shared" si="3"/>
        <v/>
      </c>
      <c r="BA60" s="37" t="str">
        <f t="shared" si="4"/>
        <v/>
      </c>
      <c r="BB60" s="37" t="str">
        <f t="shared" si="5"/>
        <v/>
      </c>
      <c r="BC60" s="37" t="str">
        <f t="shared" si="6"/>
        <v/>
      </c>
      <c r="BD60" s="37" t="str">
        <f t="shared" si="7"/>
        <v/>
      </c>
      <c r="BE60" s="37" t="str">
        <f t="shared" si="8"/>
        <v/>
      </c>
      <c r="BF60" s="37" t="str">
        <f t="shared" si="9"/>
        <v/>
      </c>
      <c r="BG60" s="37" t="str">
        <f t="shared" si="10"/>
        <v/>
      </c>
      <c r="BH60" s="37" t="str">
        <f t="shared" si="11"/>
        <v/>
      </c>
      <c r="BI60" s="37" t="str">
        <f t="shared" si="12"/>
        <v/>
      </c>
      <c r="BJ60" s="37" t="str">
        <f t="shared" si="13"/>
        <v/>
      </c>
      <c r="BK60" s="37" t="str">
        <f t="shared" si="14"/>
        <v xml:space="preserve">tags:
- italy_x000D_
- churches_x000D_
- marian-sites_x000D_
</v>
      </c>
      <c r="BL60" s="38" t="str">
        <f t="shared" si="15"/>
        <v/>
      </c>
      <c r="BM60" s="38" t="str">
        <f t="shared" si="16"/>
        <v/>
      </c>
      <c r="BN60" s="38" t="str">
        <f t="shared" si="17"/>
        <v/>
      </c>
      <c r="BO60" s="38" t="str">
        <f t="shared" si="18"/>
        <v/>
      </c>
      <c r="BP60" s="38" t="str">
        <f t="shared" si="19"/>
        <v/>
      </c>
      <c r="BQ60" s="38" t="str">
        <f t="shared" si="20"/>
        <v>[Link](http://www.therealpresence.org/eucharst/misc/BVM/53_CRESCENTINO_60x96.pdf)</v>
      </c>
      <c r="BR60" s="38" t="str">
        <f t="shared" si="21"/>
        <v/>
      </c>
      <c r="BS60" s="38" t="str">
        <f t="shared" si="22"/>
        <v/>
      </c>
      <c r="BT60" s="38" t="str">
        <f>IF(LEN(concat(BQ60:BS60))&gt;0,concat("| ",BQ60," | ",BR60," | ",BS60," |"),"")</f>
        <v>| [Link](http://www.therealpresence.org/eucharst/misc/BVM/53_CRESCENTINO_60x96.pdf) |  |  |</v>
      </c>
      <c r="BU60" s="37" t="str">
        <f t="shared" si="23"/>
        <v xml:space="preserve">| The Real Presence | Miracle Hunter | MaryPages |_x000D_
| --- | --- | --- |_x000D_
| [Link](http://www.therealpresence.org/eucharst/misc/BVM/53_CRESCENTINO_60x96.pdf) |  |  |_x000D_
</v>
      </c>
      <c r="BV60" s="37" t="str">
        <f>IF(LEN(BP60&amp;BU60)&gt;0,concatll("#### Source Material",BP60,BU60),"")</f>
        <v xml:space="preserve">#### Source Material_x000D_
_x000D_
| The Real Presence | Miracle Hunter | MaryPages |_x000D_
| --- | --- | --- |_x000D_
| [Link](http://www.therealpresence.org/eucharst/misc/BVM/53_CRESCENTINO_60x96.pdf) |  |  |_x000D_
_x000D_
_x000D_
</v>
      </c>
      <c r="BW60" s="37" t="str">
        <f>IF(LEN(O60)&gt;1,concatll("#### Author's Note",O60),"")</f>
        <v/>
      </c>
      <c r="BX60" s="24" t="str">
        <f>IF(AR60,concatll(concatl("---",AS60:AU60,BK60,"---"),N60,BV60:BW60),"")</f>
        <v/>
      </c>
      <c r="BY60" s="24" t="str">
        <f>IF(AR60,VLOOKUP(C60,'(Ref) Countries'!A:B,2,)&amp;IF(LEN(D60)&gt;1,"-"&amp;LOWER(SUBSTITUTE(D60," ","-")),"")&amp;"-"&amp;LOWER(SUBSTITUTE(I60," ","-"))&amp;".md","")</f>
        <v/>
      </c>
      <c r="BZ60" s="37" t="str">
        <f>IF(LEN(AG60)&gt;1,VLOOKUP(AG60,'Tag List'!$A:$B,2,),"")</f>
        <v/>
      </c>
      <c r="CA60" s="37" t="str">
        <f>IF(LEN(AH60)&gt;1,VLOOKUP(AH60,'Tag List'!$A:$B,2,),"")</f>
        <v/>
      </c>
      <c r="CB60" s="37" t="str">
        <f>IF(LEN(AI60)&gt;1,VLOOKUP(AI60,'Tag List'!$A:$B,2,),"")</f>
        <v/>
      </c>
      <c r="CC60" s="38" t="str">
        <f>IF(LEN(AG60)&gt;1,GetTagPage(BZ60,AG60),"")</f>
        <v/>
      </c>
      <c r="CD60" s="38" t="str">
        <f>IF(LEN(AH60)&gt;1,GetTagPage(CA60,AH60),"")</f>
        <v/>
      </c>
      <c r="CE60" s="38" t="str">
        <f>IF(LEN(AI60)&gt;1,GetTagPage(CB60,AI60),"")</f>
        <v/>
      </c>
      <c r="CF60" s="38" t="str">
        <f>"|"&amp;IF(LEN(CC60)&gt;1," "&amp;CC60,"")&amp;IF(LEN(CD60)&gt;1,", "&amp;CD60,"")&amp;IF(LEN(CE60)&gt;1,", "&amp;CE60,"")&amp;" "</f>
        <v xml:space="preserve">| </v>
      </c>
      <c r="CG60" s="38" t="str">
        <f>"| "&amp;IF(AR60,"["&amp;B60&amp;"](/places/"&amp;SUBSTITUTE(BY60,".md","")&amp;")",B60)&amp;" "</f>
        <v xml:space="preserve">| Crescentino </v>
      </c>
      <c r="CH60" s="38" t="str">
        <f>"| "&amp;IF(AR60,GetTagPage(C60,VLOOKUP(C60,'(Ref) Countries'!A:C,3,)),C60)&amp; " "</f>
        <v xml:space="preserve">| Italy </v>
      </c>
      <c r="CI60" s="38" t="str">
        <f>"| "&amp;E60&amp;" "</f>
        <v xml:space="preserve">| 1525 </v>
      </c>
      <c r="CJ60" s="38" t="str">
        <f>"|"&amp;IF(AR60," [Link](/places/"&amp;SUBSTITUTE(BY60,".md","")&amp;")","")&amp;" "</f>
        <v xml:space="preserve">| </v>
      </c>
      <c r="CK60" s="37" t="str">
        <f>"
"&amp;CG60&amp;CH60&amp;CI60&amp;CJ60&amp;BL60&amp;BQ60&amp;BR60&amp;BS60&amp;CF60&amp;"|"</f>
        <v xml:space="preserve">
| Crescentino | Italy | 1525 | [Link](http://www.therealpresence.org/eucharst/misc/BVM/53_CRESCENTINO_60x96.pdf)| |</v>
      </c>
    </row>
    <row r="61" spans="1:89" x14ac:dyDescent="0.25">
      <c r="B61" s="28" t="s">
        <v>1236</v>
      </c>
      <c r="C61" s="29" t="s">
        <v>11</v>
      </c>
      <c r="E61" s="31">
        <v>1528</v>
      </c>
      <c r="J61" s="30" t="s">
        <v>1728</v>
      </c>
      <c r="K61" s="32" t="b">
        <v>1</v>
      </c>
      <c r="L61" s="30" t="b">
        <v>1</v>
      </c>
      <c r="P61" s="30" t="s">
        <v>336</v>
      </c>
      <c r="Q61" s="30" t="s">
        <v>336</v>
      </c>
      <c r="AA61" s="71" t="s">
        <v>236</v>
      </c>
      <c r="AB61" s="30" t="s">
        <v>336</v>
      </c>
      <c r="AC61" s="30" t="s">
        <v>336</v>
      </c>
      <c r="AD61" s="30" t="s">
        <v>336</v>
      </c>
      <c r="AE61" s="30" t="s">
        <v>336</v>
      </c>
      <c r="AF61" s="67" t="s">
        <v>336</v>
      </c>
      <c r="AG61" s="30" t="s">
        <v>336</v>
      </c>
      <c r="AR61" s="36" t="b">
        <f>IF(OR(A61="Done",A61="In Progress"),TRUE)</f>
        <v>0</v>
      </c>
      <c r="AS61" s="37" t="str">
        <f>"title: """&amp;H61&amp;""""</f>
        <v>title: ""</v>
      </c>
      <c r="AT61" s="37" t="str">
        <f>"location: {lat: "&amp;F61&amp;", lng: "&amp;G61&amp;"}"</f>
        <v>location: {lat: , lng: }</v>
      </c>
      <c r="AU61" s="37" t="str">
        <f>"level: "&amp;J61</f>
        <v>level: global</v>
      </c>
      <c r="AV61" s="37" t="str">
        <f>"- "&amp;VLOOKUP(C61,'(Ref) Countries'!A:C,3,)</f>
        <v>- italy</v>
      </c>
      <c r="AW61" s="37" t="str">
        <f t="shared" si="0"/>
        <v/>
      </c>
      <c r="AX61" s="37" t="str">
        <f t="shared" si="1"/>
        <v>- churches</v>
      </c>
      <c r="AY61" s="37" t="str">
        <f t="shared" si="2"/>
        <v>- marian-sites</v>
      </c>
      <c r="AZ61" s="37" t="str">
        <f t="shared" si="3"/>
        <v/>
      </c>
      <c r="BA61" s="37" t="str">
        <f t="shared" si="4"/>
        <v/>
      </c>
      <c r="BB61" s="37" t="str">
        <f t="shared" si="5"/>
        <v/>
      </c>
      <c r="BC61" s="37" t="str">
        <f t="shared" si="6"/>
        <v/>
      </c>
      <c r="BD61" s="37" t="str">
        <f t="shared" si="7"/>
        <v/>
      </c>
      <c r="BE61" s="37" t="str">
        <f t="shared" si="8"/>
        <v/>
      </c>
      <c r="BF61" s="37" t="str">
        <f t="shared" si="9"/>
        <v/>
      </c>
      <c r="BG61" s="37" t="str">
        <f t="shared" si="10"/>
        <v/>
      </c>
      <c r="BH61" s="37" t="str">
        <f t="shared" si="11"/>
        <v/>
      </c>
      <c r="BI61" s="37" t="str">
        <f t="shared" si="12"/>
        <v/>
      </c>
      <c r="BJ61" s="37" t="str">
        <f t="shared" si="13"/>
        <v/>
      </c>
      <c r="BK61" s="37" t="str">
        <f t="shared" si="14"/>
        <v xml:space="preserve">tags:
- italy_x000D_
- churches_x000D_
- marian-sites_x000D_
</v>
      </c>
      <c r="BL61" s="38" t="str">
        <f t="shared" si="15"/>
        <v/>
      </c>
      <c r="BM61" s="38" t="str">
        <f t="shared" si="16"/>
        <v/>
      </c>
      <c r="BN61" s="38" t="str">
        <f t="shared" si="17"/>
        <v/>
      </c>
      <c r="BO61" s="38" t="str">
        <f t="shared" si="18"/>
        <v/>
      </c>
      <c r="BP61" s="38" t="str">
        <f t="shared" si="19"/>
        <v/>
      </c>
      <c r="BQ61" s="38" t="str">
        <f t="shared" si="20"/>
        <v>[Link](http://www.therealpresence.org/eucharst/misc/BVM/81_ORNAVASSO_60x96.pdf)</v>
      </c>
      <c r="BR61" s="38" t="str">
        <f t="shared" si="21"/>
        <v/>
      </c>
      <c r="BS61" s="38" t="str">
        <f t="shared" si="22"/>
        <v/>
      </c>
      <c r="BT61" s="38" t="str">
        <f>IF(LEN(concat(BQ61:BS61))&gt;0,concat("| ",BQ61," | ",BR61," | ",BS61," |"),"")</f>
        <v>| [Link](http://www.therealpresence.org/eucharst/misc/BVM/81_ORNAVASSO_60x96.pdf) |  |  |</v>
      </c>
      <c r="BU61" s="37" t="str">
        <f t="shared" si="23"/>
        <v xml:space="preserve">| The Real Presence | Miracle Hunter | MaryPages |_x000D_
| --- | --- | --- |_x000D_
| [Link](http://www.therealpresence.org/eucharst/misc/BVM/81_ORNAVASSO_60x96.pdf) |  |  |_x000D_
</v>
      </c>
      <c r="BV61" s="37" t="str">
        <f>IF(LEN(BP61&amp;BU61)&gt;0,concatll("#### Source Material",BP61,BU61),"")</f>
        <v xml:space="preserve">#### Source Material_x000D_
_x000D_
| The Real Presence | Miracle Hunter | MaryPages |_x000D_
| --- | --- | --- |_x000D_
| [Link](http://www.therealpresence.org/eucharst/misc/BVM/81_ORNAVASSO_60x96.pdf) |  |  |_x000D_
_x000D_
_x000D_
</v>
      </c>
      <c r="BW61" s="37" t="str">
        <f>IF(LEN(O61)&gt;1,concatll("#### Author's Note",O61),"")</f>
        <v/>
      </c>
      <c r="BX61" s="24" t="str">
        <f>IF(AR61,concatll(concatl("---",AS61:AU61,BK61,"---"),N61,BV61:BW61),"")</f>
        <v/>
      </c>
      <c r="BY61" s="24" t="str">
        <f>IF(AR61,VLOOKUP(C61,'(Ref) Countries'!A:B,2,)&amp;IF(LEN(D61)&gt;1,"-"&amp;LOWER(SUBSTITUTE(D61," ","-")),"")&amp;"-"&amp;LOWER(SUBSTITUTE(I61," ","-"))&amp;".md","")</f>
        <v/>
      </c>
      <c r="BZ61" s="37" t="str">
        <f>IF(LEN(AG61)&gt;1,VLOOKUP(AG61,'Tag List'!$A:$B,2,),"")</f>
        <v/>
      </c>
      <c r="CA61" s="37" t="str">
        <f>IF(LEN(AH61)&gt;1,VLOOKUP(AH61,'Tag List'!$A:$B,2,),"")</f>
        <v/>
      </c>
      <c r="CB61" s="37" t="str">
        <f>IF(LEN(AI61)&gt;1,VLOOKUP(AI61,'Tag List'!$A:$B,2,),"")</f>
        <v/>
      </c>
      <c r="CC61" s="38" t="str">
        <f>IF(LEN(AG61)&gt;1,GetTagPage(BZ61,AG61),"")</f>
        <v/>
      </c>
      <c r="CD61" s="38" t="str">
        <f>IF(LEN(AH61)&gt;1,GetTagPage(CA61,AH61),"")</f>
        <v/>
      </c>
      <c r="CE61" s="38" t="str">
        <f>IF(LEN(AI61)&gt;1,GetTagPage(CB61,AI61),"")</f>
        <v/>
      </c>
      <c r="CF61" s="38" t="str">
        <f>"|"&amp;IF(LEN(CC61)&gt;1," "&amp;CC61,"")&amp;IF(LEN(CD61)&gt;1,", "&amp;CD61,"")&amp;IF(LEN(CE61)&gt;1,", "&amp;CE61,"")&amp;" "</f>
        <v xml:space="preserve">| </v>
      </c>
      <c r="CG61" s="38" t="str">
        <f>"| "&amp;IF(AR61,"["&amp;B61&amp;"](/places/"&amp;SUBSTITUTE(BY61,".md","")&amp;")",B61)&amp;" "</f>
        <v xml:space="preserve">| Ornavasso </v>
      </c>
      <c r="CH61" s="38" t="str">
        <f>"| "&amp;IF(AR61,GetTagPage(C61,VLOOKUP(C61,'(Ref) Countries'!A:C,3,)),C61)&amp; " "</f>
        <v xml:space="preserve">| Italy </v>
      </c>
      <c r="CI61" s="38" t="str">
        <f>"| "&amp;E61&amp;" "</f>
        <v xml:space="preserve">| 1528 </v>
      </c>
      <c r="CJ61" s="38" t="str">
        <f>"|"&amp;IF(AR61," [Link](/places/"&amp;SUBSTITUTE(BY61,".md","")&amp;")","")&amp;" "</f>
        <v xml:space="preserve">| </v>
      </c>
      <c r="CK61" s="37" t="str">
        <f>"
"&amp;CG61&amp;CH61&amp;CI61&amp;CJ61&amp;BL61&amp;BQ61&amp;BR61&amp;BS61&amp;CF61&amp;"|"</f>
        <v xml:space="preserve">
| Ornavasso | Italy | 1528 | [Link](http://www.therealpresence.org/eucharst/misc/BVM/81_ORNAVASSO_60x96.pdf)| |</v>
      </c>
    </row>
    <row r="62" spans="1:89" ht="51" x14ac:dyDescent="0.25">
      <c r="A62" s="25" t="s">
        <v>1324</v>
      </c>
      <c r="B62" s="28" t="s">
        <v>1006</v>
      </c>
      <c r="C62" s="29" t="s">
        <v>630</v>
      </c>
      <c r="D62" s="43" t="s">
        <v>1778</v>
      </c>
      <c r="E62" s="31">
        <v>1531</v>
      </c>
      <c r="F62" s="71">
        <v>19.483432799999999</v>
      </c>
      <c r="G62" s="67">
        <v>-99.117410300000003</v>
      </c>
      <c r="H62" s="29" t="s">
        <v>432</v>
      </c>
      <c r="I62" s="75" t="s">
        <v>432</v>
      </c>
      <c r="J62" s="30" t="s">
        <v>1728</v>
      </c>
      <c r="K62" s="32" t="b">
        <v>1</v>
      </c>
      <c r="L62" s="30" t="b">
        <v>1</v>
      </c>
      <c r="N62" s="29" t="s">
        <v>453</v>
      </c>
      <c r="P62" s="30" t="s">
        <v>431</v>
      </c>
      <c r="Q62" s="30" t="s">
        <v>336</v>
      </c>
      <c r="AA62" s="71" t="s">
        <v>237</v>
      </c>
      <c r="AB62" s="30" t="s">
        <v>336</v>
      </c>
      <c r="AC62" s="30" t="s">
        <v>454</v>
      </c>
      <c r="AD62" s="30" t="s">
        <v>336</v>
      </c>
      <c r="AE62" s="30" t="s">
        <v>455</v>
      </c>
      <c r="AF62" s="67" t="s">
        <v>336</v>
      </c>
      <c r="AG62" s="44" t="s">
        <v>486</v>
      </c>
      <c r="AH62" s="44"/>
      <c r="AI62" s="44"/>
      <c r="AJ62" s="44"/>
      <c r="AK62" s="44"/>
      <c r="AL62" s="44"/>
      <c r="AM62" s="44"/>
      <c r="AN62" s="44"/>
      <c r="AO62" s="44"/>
      <c r="AP62" s="110"/>
      <c r="AR62" s="36" t="b">
        <f>IF(OR(A62="Done",A62="In Progress"),TRUE)</f>
        <v>1</v>
      </c>
      <c r="AS62" s="37" t="str">
        <f>"title: """&amp;H62&amp;""""</f>
        <v>title: "Basilica of Our Lady of Guadalupe"</v>
      </c>
      <c r="AT62" s="37" t="str">
        <f>"location: {lat: "&amp;F62&amp;", lng: "&amp;G62&amp;"}"</f>
        <v>location: {lat: 19.4834328, lng: -99.1174103}</v>
      </c>
      <c r="AU62" s="37" t="str">
        <f>"level: "&amp;J62</f>
        <v>level: global</v>
      </c>
      <c r="AV62" s="37" t="str">
        <f>"- "&amp;VLOOKUP(C62,'(Ref) Countries'!A:C,3,)</f>
        <v>- mexico</v>
      </c>
      <c r="AW62" s="37" t="str">
        <f t="shared" si="0"/>
        <v>- mexico-city</v>
      </c>
      <c r="AX62" s="37" t="str">
        <f t="shared" si="1"/>
        <v>- churches</v>
      </c>
      <c r="AY62" s="37" t="str">
        <f t="shared" si="2"/>
        <v>- marian-sites</v>
      </c>
      <c r="AZ62" s="37" t="str">
        <f t="shared" si="3"/>
        <v/>
      </c>
      <c r="BA62" s="37" t="str">
        <f t="shared" si="4"/>
        <v>- juan-diego</v>
      </c>
      <c r="BB62" s="37" t="str">
        <f t="shared" si="5"/>
        <v/>
      </c>
      <c r="BC62" s="37" t="str">
        <f t="shared" si="6"/>
        <v/>
      </c>
      <c r="BD62" s="37" t="str">
        <f t="shared" si="7"/>
        <v/>
      </c>
      <c r="BE62" s="37" t="str">
        <f t="shared" si="8"/>
        <v/>
      </c>
      <c r="BF62" s="37" t="str">
        <f t="shared" si="9"/>
        <v/>
      </c>
      <c r="BG62" s="37" t="str">
        <f t="shared" si="10"/>
        <v/>
      </c>
      <c r="BH62" s="37" t="str">
        <f t="shared" si="11"/>
        <v/>
      </c>
      <c r="BI62" s="37" t="str">
        <f t="shared" si="12"/>
        <v/>
      </c>
      <c r="BJ62" s="37" t="str">
        <f t="shared" si="13"/>
        <v/>
      </c>
      <c r="BK62" s="37" t="str">
        <f t="shared" si="14"/>
        <v xml:space="preserve">tags:
- mexico_x000D_
- mexico-city_x000D_
- churches_x000D_
- marian-sites_x000D_
- juan-diego_x000D_
</v>
      </c>
      <c r="BL62" s="38" t="str">
        <f t="shared" si="15"/>
        <v>[Official site](https://virgendeguadalupe.org.mx/)</v>
      </c>
      <c r="BM62" s="38" t="str">
        <f t="shared" si="16"/>
        <v/>
      </c>
      <c r="BN62" s="38" t="str">
        <f t="shared" si="17"/>
        <v/>
      </c>
      <c r="BO62" s="38" t="str">
        <f t="shared" si="18"/>
        <v/>
      </c>
      <c r="BP62" s="38" t="str">
        <f t="shared" si="19"/>
        <v xml:space="preserve">* [Official site](https://virgendeguadalupe.org.mx/)
</v>
      </c>
      <c r="BQ62" s="38" t="str">
        <f t="shared" si="20"/>
        <v>[Link](http://www.therealpresence.org/eucharst/misc/BVM/70_GUADALUPE_96x96.pdf)</v>
      </c>
      <c r="BR62" s="38" t="str">
        <f t="shared" si="21"/>
        <v>[Link](https://www.miraclehunter.com/marian_apparitions/approved_apparitions/guadalupe/index.html)</v>
      </c>
      <c r="BS62" s="38" t="str">
        <f t="shared" si="22"/>
        <v>[Link](https://www.marypages.com/guadalupe-(mexico).html)</v>
      </c>
      <c r="BT62" s="38" t="str">
        <f>IF(LEN(concat(BQ62:BS62))&gt;0,concat("| ",BQ62," | ",BR62," | ",BS62," |"),"")</f>
        <v>| [Link](http://www.therealpresence.org/eucharst/misc/BVM/70_GUADALUPE_96x96.pdf) | [Link](https://www.miraclehunter.com/marian_apparitions/approved_apparitions/guadalupe/index.html) | [Link](https://www.marypages.com/guadalupe-(mexico).html) |</v>
      </c>
      <c r="BU62" s="37" t="str">
        <f t="shared" si="23"/>
        <v xml:space="preserve">| The Real Presence | Miracle Hunter | MaryPages |_x000D_
| --- | --- | --- |_x000D_
| [Link](http://www.therealpresence.org/eucharst/misc/BVM/70_GUADALUPE_96x96.pdf) | [Link](https://www.miraclehunter.com/marian_apparitions/approved_apparitions/guadalupe/index.html) | [Link](https://www.marypages.com/guadalupe-(mexico).html) |_x000D_
</v>
      </c>
      <c r="BV62" s="37" t="str">
        <f>IF(LEN(BP62&amp;BU62)&gt;0,concatll("#### Source Material",BP62,BU62),"")</f>
        <v xml:space="preserve">#### Source Material_x000D_
_x000D_
* [Official site](https://virgendeguadalupe.org.mx/)
_x000D_
_x000D_
| The Real Presence | Miracle Hunter | MaryPages |_x000D_
| --- | --- | --- |_x000D_
| [Link](http://www.therealpresence.org/eucharst/misc/BVM/70_GUADALUPE_96x96.pdf) | [Link](https://www.miraclehunter.com/marian_apparitions/approved_apparitions/guadalupe/index.html) | [Link](https://www.marypages.com/guadalupe-(mexico).html) |_x000D_
_x000D_
_x000D_
</v>
      </c>
      <c r="BW62" s="37" t="str">
        <f>IF(LEN(O62)&gt;1,concatll("#### Author's Note",O62),"")</f>
        <v/>
      </c>
      <c r="BX62" s="24" t="str">
        <f>IF(AR62,concatll(concatl("---",AS62:AU62,BK62,"---"),N62,BV62:BW62),"")</f>
        <v xml:space="preserve">---_x000D_
title: "Basilica of Our Lady of Guadalupe"_x000D_
location: {lat: 19.4834328, lng: -99.1174103}_x000D_
level: global_x000D_
tags:
- mexico_x000D_
- mexico-city_x000D_
- churches_x000D_
- marian-sites_x000D_
- juan-diego_x000D_
_x000D_
---_x000D_
_x000D_
_x000D_
In December 1531, the Virgin Mary appeared to St. Juan Diego and his uncle.  The miraculous image imprinted on Juan Diego's tilma is on display at the Basilica of Our Lady of Guadalupe, which is the most-visited Catholic shrine in the world._x000D_
_x000D_
#### Source Material_x000D_
_x000D_
* [Official site](https://virgendeguadalupe.org.mx/)
_x000D_
_x000D_
| The Real Presence | Miracle Hunter | MaryPages |_x000D_
| --- | --- | --- |_x000D_
| [Link](http://www.therealpresence.org/eucharst/misc/BVM/70_GUADALUPE_96x96.pdf) | [Link](https://www.miraclehunter.com/marian_apparitions/approved_apparitions/guadalupe/index.html) | [Link](https://www.marypages.com/guadalupe-(mexico).html) |_x000D_
_x000D_
_x000D_
_x000D_
_x000D_
</v>
      </c>
      <c r="BY62" s="24" t="str">
        <f>IF(AR62,VLOOKUP(C62,'(Ref) Countries'!A:B,2,)&amp;IF(LEN(D62)&gt;1,"-"&amp;LOWER(SUBSTITUTE(D62," ","-")),"")&amp;"-"&amp;LOWER(SUBSTITUTE(I62," ","-"))&amp;".md","")</f>
        <v>mx-mexico-city-basilica-of-our-lady-of-guadalupe.md</v>
      </c>
      <c r="BZ62" s="46" t="str">
        <f>IF(LEN(AG62)&gt;1,VLOOKUP(AG62,'Tag List'!$A:$B,2,),"")</f>
        <v>St. Juan Diego</v>
      </c>
      <c r="CA62" s="46" t="str">
        <f>IF(LEN(AH62)&gt;1,VLOOKUP(AH62,'Tag List'!$A:$B,2,),"")</f>
        <v/>
      </c>
      <c r="CB62" s="46" t="str">
        <f>IF(LEN(AI62)&gt;1,VLOOKUP(AI62,'Tag List'!$A:$B,2,),"")</f>
        <v/>
      </c>
      <c r="CC62" s="38" t="str">
        <f>IF(LEN(AG62)&gt;1,GetTagPage(BZ62,AG62),"")</f>
        <v>[St. Juan Diego](/tags/juan-diego)</v>
      </c>
      <c r="CD62" s="38" t="str">
        <f>IF(LEN(AH62)&gt;1,GetTagPage(CA62,AH62),"")</f>
        <v/>
      </c>
      <c r="CE62" s="38" t="str">
        <f>IF(LEN(AI62)&gt;1,GetTagPage(CB62,AI62),"")</f>
        <v/>
      </c>
      <c r="CF62" s="38" t="str">
        <f>"|"&amp;IF(LEN(CC62)&gt;1," "&amp;CC62,"")&amp;IF(LEN(CD62)&gt;1,", "&amp;CD62,"")&amp;IF(LEN(CE62)&gt;1,", "&amp;CE62,"")&amp;" "</f>
        <v xml:space="preserve">| [St. Juan Diego](/tags/juan-diego) </v>
      </c>
      <c r="CG62" s="38" t="str">
        <f>"| "&amp;IF(AR62,"["&amp;B62&amp;"](/places/"&amp;SUBSTITUTE(BY62,".md","")&amp;")",B62)&amp;" "</f>
        <v xml:space="preserve">| [Guadalupe](/places/mx-mexico-city-basilica-of-our-lady-of-guadalupe) </v>
      </c>
      <c r="CH62" s="38" t="str">
        <f>"| "&amp;IF(AR62,GetTagPage(C62,VLOOKUP(C62,'(Ref) Countries'!A:C,3,)),C62)&amp; " "</f>
        <v xml:space="preserve">| [Mexico](/tags/mexico) </v>
      </c>
      <c r="CI62" s="38" t="str">
        <f>"| "&amp;E62&amp;" "</f>
        <v xml:space="preserve">| 1531 </v>
      </c>
      <c r="CJ62" s="38" t="str">
        <f>"|"&amp;IF(AR62," [Link](/places/"&amp;SUBSTITUTE(BY62,".md","")&amp;")","")&amp;" "</f>
        <v xml:space="preserve">| [Link](/places/mx-mexico-city-basilica-of-our-lady-of-guadalupe) </v>
      </c>
      <c r="CK62" s="37" t="str">
        <f>"
"&amp;CG62&amp;CH62&amp;CI62&amp;CJ62&amp;BL62&amp;BQ62&amp;BR62&amp;BS62&amp;CF62&amp;"|"</f>
        <v xml:space="preserve">
| [Guadalupe](/places/mx-mexico-city-basilica-of-our-lady-of-guadalupe) | [Mexico](/tags/mexico) | 1531 | [Link](/places/mx-mexico-city-basilica-of-our-lady-of-guadalupe) [Official site](https://virgendeguadalupe.org.mx/)[Link](http://www.therealpresence.org/eucharst/misc/BVM/70_GUADALUPE_96x96.pdf)[Link](https://www.miraclehunter.com/marian_apparitions/approved_apparitions/guadalupe/index.html)[Link](https://www.marypages.com/guadalupe-(mexico).html)| [St. Juan Diego](/tags/juan-diego) |</v>
      </c>
    </row>
    <row r="63" spans="1:89" x14ac:dyDescent="0.25">
      <c r="B63" s="28" t="s">
        <v>1237</v>
      </c>
      <c r="C63" s="29" t="s">
        <v>11</v>
      </c>
      <c r="E63" s="31">
        <v>1536</v>
      </c>
      <c r="J63" s="30" t="s">
        <v>1728</v>
      </c>
      <c r="K63" s="32" t="b">
        <v>1</v>
      </c>
      <c r="L63" s="30" t="b">
        <v>1</v>
      </c>
      <c r="P63" s="30" t="s">
        <v>336</v>
      </c>
      <c r="Q63" s="30" t="s">
        <v>336</v>
      </c>
      <c r="AA63" s="71" t="s">
        <v>238</v>
      </c>
      <c r="AB63" s="30" t="s">
        <v>336</v>
      </c>
      <c r="AC63" s="30" t="s">
        <v>336</v>
      </c>
      <c r="AD63" s="30" t="s">
        <v>336</v>
      </c>
      <c r="AE63" s="30" t="s">
        <v>336</v>
      </c>
      <c r="AF63" s="67" t="s">
        <v>336</v>
      </c>
      <c r="AG63" s="30" t="s">
        <v>336</v>
      </c>
      <c r="AR63" s="36" t="b">
        <f>IF(OR(A63="Done",A63="In Progress"),TRUE)</f>
        <v>0</v>
      </c>
      <c r="AS63" s="37" t="str">
        <f>"title: """&amp;H63&amp;""""</f>
        <v>title: ""</v>
      </c>
      <c r="AT63" s="37" t="str">
        <f>"location: {lat: "&amp;F63&amp;", lng: "&amp;G63&amp;"}"</f>
        <v>location: {lat: , lng: }</v>
      </c>
      <c r="AU63" s="37" t="str">
        <f>"level: "&amp;J63</f>
        <v>level: global</v>
      </c>
      <c r="AV63" s="37" t="str">
        <f>"- "&amp;VLOOKUP(C63,'(Ref) Countries'!A:C,3,)</f>
        <v>- italy</v>
      </c>
      <c r="AW63" s="37" t="str">
        <f t="shared" si="0"/>
        <v/>
      </c>
      <c r="AX63" s="37" t="str">
        <f t="shared" si="1"/>
        <v>- churches</v>
      </c>
      <c r="AY63" s="37" t="str">
        <f t="shared" si="2"/>
        <v>- marian-sites</v>
      </c>
      <c r="AZ63" s="37" t="str">
        <f t="shared" si="3"/>
        <v/>
      </c>
      <c r="BA63" s="37" t="str">
        <f t="shared" si="4"/>
        <v/>
      </c>
      <c r="BB63" s="37" t="str">
        <f t="shared" si="5"/>
        <v/>
      </c>
      <c r="BC63" s="37" t="str">
        <f t="shared" si="6"/>
        <v/>
      </c>
      <c r="BD63" s="37" t="str">
        <f t="shared" si="7"/>
        <v/>
      </c>
      <c r="BE63" s="37" t="str">
        <f t="shared" si="8"/>
        <v/>
      </c>
      <c r="BF63" s="37" t="str">
        <f t="shared" si="9"/>
        <v/>
      </c>
      <c r="BG63" s="37" t="str">
        <f t="shared" si="10"/>
        <v/>
      </c>
      <c r="BH63" s="37" t="str">
        <f t="shared" si="11"/>
        <v/>
      </c>
      <c r="BI63" s="37" t="str">
        <f t="shared" si="12"/>
        <v/>
      </c>
      <c r="BJ63" s="37" t="str">
        <f t="shared" si="13"/>
        <v/>
      </c>
      <c r="BK63" s="37" t="str">
        <f t="shared" si="14"/>
        <v xml:space="preserve">tags:
- italy_x000D_
- churches_x000D_
- marian-sites_x000D_
</v>
      </c>
      <c r="BL63" s="38" t="str">
        <f t="shared" si="15"/>
        <v/>
      </c>
      <c r="BM63" s="38" t="str">
        <f t="shared" si="16"/>
        <v/>
      </c>
      <c r="BN63" s="38" t="str">
        <f t="shared" si="17"/>
        <v/>
      </c>
      <c r="BO63" s="38" t="str">
        <f t="shared" si="18"/>
        <v/>
      </c>
      <c r="BP63" s="38" t="str">
        <f t="shared" si="19"/>
        <v/>
      </c>
      <c r="BQ63" s="38" t="str">
        <f t="shared" si="20"/>
        <v>[Link](http://www.therealpresence.org/eucharst/misc/BVM/29_SAVONA_60x96.pdf)</v>
      </c>
      <c r="BR63" s="38" t="str">
        <f t="shared" si="21"/>
        <v/>
      </c>
      <c r="BS63" s="38" t="str">
        <f t="shared" si="22"/>
        <v/>
      </c>
      <c r="BT63" s="38" t="str">
        <f>IF(LEN(concat(BQ63:BS63))&gt;0,concat("| ",BQ63," | ",BR63," | ",BS63," |"),"")</f>
        <v>| [Link](http://www.therealpresence.org/eucharst/misc/BVM/29_SAVONA_60x96.pdf) |  |  |</v>
      </c>
      <c r="BU63" s="37" t="str">
        <f t="shared" si="23"/>
        <v xml:space="preserve">| The Real Presence | Miracle Hunter | MaryPages |_x000D_
| --- | --- | --- |_x000D_
| [Link](http://www.therealpresence.org/eucharst/misc/BVM/29_SAVONA_60x96.pdf) |  |  |_x000D_
</v>
      </c>
      <c r="BV63" s="37" t="str">
        <f>IF(LEN(BP63&amp;BU63)&gt;0,concatll("#### Source Material",BP63,BU63),"")</f>
        <v xml:space="preserve">#### Source Material_x000D_
_x000D_
| The Real Presence | Miracle Hunter | MaryPages |_x000D_
| --- | --- | --- |_x000D_
| [Link](http://www.therealpresence.org/eucharst/misc/BVM/29_SAVONA_60x96.pdf) |  |  |_x000D_
_x000D_
_x000D_
</v>
      </c>
      <c r="BW63" s="37" t="str">
        <f>IF(LEN(O63)&gt;1,concatll("#### Author's Note",O63),"")</f>
        <v/>
      </c>
      <c r="BX63" s="24" t="str">
        <f>IF(AR63,concatll(concatl("---",AS63:AU63,BK63,"---"),N63,BV63:BW63),"")</f>
        <v/>
      </c>
      <c r="BY63" s="24" t="str">
        <f>IF(AR63,VLOOKUP(C63,'(Ref) Countries'!A:B,2,)&amp;IF(LEN(D63)&gt;1,"-"&amp;LOWER(SUBSTITUTE(D63," ","-")),"")&amp;"-"&amp;LOWER(SUBSTITUTE(I63," ","-"))&amp;".md","")</f>
        <v/>
      </c>
      <c r="BZ63" s="37" t="str">
        <f>IF(LEN(AG63)&gt;1,VLOOKUP(AG63,'Tag List'!$A:$B,2,),"")</f>
        <v/>
      </c>
      <c r="CA63" s="37" t="str">
        <f>IF(LEN(AH63)&gt;1,VLOOKUP(AH63,'Tag List'!$A:$B,2,),"")</f>
        <v/>
      </c>
      <c r="CB63" s="37" t="str">
        <f>IF(LEN(AI63)&gt;1,VLOOKUP(AI63,'Tag List'!$A:$B,2,),"")</f>
        <v/>
      </c>
      <c r="CC63" s="38" t="str">
        <f>IF(LEN(AG63)&gt;1,GetTagPage(BZ63,AG63),"")</f>
        <v/>
      </c>
      <c r="CD63" s="38" t="str">
        <f>IF(LEN(AH63)&gt;1,GetTagPage(CA63,AH63),"")</f>
        <v/>
      </c>
      <c r="CE63" s="38" t="str">
        <f>IF(LEN(AI63)&gt;1,GetTagPage(CB63,AI63),"")</f>
        <v/>
      </c>
      <c r="CF63" s="38" t="str">
        <f>"|"&amp;IF(LEN(CC63)&gt;1," "&amp;CC63,"")&amp;IF(LEN(CD63)&gt;1,", "&amp;CD63,"")&amp;IF(LEN(CE63)&gt;1,", "&amp;CE63,"")&amp;" "</f>
        <v xml:space="preserve">| </v>
      </c>
      <c r="CG63" s="38" t="str">
        <f>"| "&amp;IF(AR63,"["&amp;B63&amp;"](/places/"&amp;SUBSTITUTE(BY63,".md","")&amp;")",B63)&amp;" "</f>
        <v xml:space="preserve">| Savona </v>
      </c>
      <c r="CH63" s="38" t="str">
        <f>"| "&amp;IF(AR63,GetTagPage(C63,VLOOKUP(C63,'(Ref) Countries'!A:C,3,)),C63)&amp; " "</f>
        <v xml:space="preserve">| Italy </v>
      </c>
      <c r="CI63" s="38" t="str">
        <f>"| "&amp;E63&amp;" "</f>
        <v xml:space="preserve">| 1536 </v>
      </c>
      <c r="CJ63" s="38" t="str">
        <f>"|"&amp;IF(AR63," [Link](/places/"&amp;SUBSTITUTE(BY63,".md","")&amp;")","")&amp;" "</f>
        <v xml:space="preserve">| </v>
      </c>
      <c r="CK63" s="37" t="str">
        <f>"
"&amp;CG63&amp;CH63&amp;CI63&amp;CJ63&amp;BL63&amp;BQ63&amp;BR63&amp;BS63&amp;CF63&amp;"|"</f>
        <v xml:space="preserve">
| Savona | Italy | 1536 | [Link](http://www.therealpresence.org/eucharst/misc/BVM/29_SAVONA_60x96.pdf)| |</v>
      </c>
    </row>
    <row r="64" spans="1:89" ht="63.75" x14ac:dyDescent="0.25">
      <c r="A64" s="25" t="s">
        <v>1324</v>
      </c>
      <c r="B64" s="28" t="s">
        <v>1238</v>
      </c>
      <c r="C64" s="29" t="s">
        <v>669</v>
      </c>
      <c r="E64" s="31">
        <v>1539</v>
      </c>
      <c r="F64" s="71">
        <v>45.998943044455899</v>
      </c>
      <c r="G64" s="67">
        <v>13.6553373449013</v>
      </c>
      <c r="H64" s="50" t="s">
        <v>1388</v>
      </c>
      <c r="I64" s="75" t="s">
        <v>1388</v>
      </c>
      <c r="J64" s="30" t="s">
        <v>1728</v>
      </c>
      <c r="K64" s="32" t="b">
        <v>1</v>
      </c>
      <c r="L64" s="30" t="b">
        <v>1</v>
      </c>
      <c r="N64" s="50" t="s">
        <v>1390</v>
      </c>
      <c r="P64" s="30" t="s">
        <v>1389</v>
      </c>
      <c r="Q64" s="30" t="s">
        <v>336</v>
      </c>
      <c r="AA64" s="71" t="s">
        <v>239</v>
      </c>
      <c r="AB64" s="30" t="s">
        <v>336</v>
      </c>
      <c r="AC64" s="30" t="s">
        <v>1391</v>
      </c>
      <c r="AD64" s="51" t="s">
        <v>1392</v>
      </c>
      <c r="AE64" s="30" t="s">
        <v>336</v>
      </c>
      <c r="AF64" s="67" t="s">
        <v>336</v>
      </c>
      <c r="AG64" s="30" t="s">
        <v>336</v>
      </c>
      <c r="AR64" s="36" t="b">
        <f>IF(OR(A64="Done",A64="In Progress"),TRUE)</f>
        <v>1</v>
      </c>
      <c r="AS64" s="37" t="str">
        <f>"title: """&amp;H64&amp;""""</f>
        <v>title: "Basilica of the Holy Mother of God"</v>
      </c>
      <c r="AT64" s="37" t="str">
        <f>"location: {lat: "&amp;F64&amp;", lng: "&amp;G64&amp;"}"</f>
        <v>location: {lat: 45.9989430444559, lng: 13.6553373449013}</v>
      </c>
      <c r="AU64" s="37" t="str">
        <f>"level: "&amp;J64</f>
        <v>level: global</v>
      </c>
      <c r="AV64" s="37" t="str">
        <f>"- "&amp;VLOOKUP(C64,'(Ref) Countries'!A:C,3,)</f>
        <v>- slovenia</v>
      </c>
      <c r="AW64" s="37" t="str">
        <f t="shared" si="0"/>
        <v/>
      </c>
      <c r="AX64" s="37" t="str">
        <f t="shared" si="1"/>
        <v>- churches</v>
      </c>
      <c r="AY64" s="37" t="str">
        <f t="shared" si="2"/>
        <v>- marian-sites</v>
      </c>
      <c r="AZ64" s="37" t="str">
        <f t="shared" si="3"/>
        <v/>
      </c>
      <c r="BA64" s="37" t="str">
        <f t="shared" si="4"/>
        <v/>
      </c>
      <c r="BB64" s="37" t="str">
        <f t="shared" si="5"/>
        <v/>
      </c>
      <c r="BC64" s="37" t="str">
        <f t="shared" si="6"/>
        <v/>
      </c>
      <c r="BD64" s="37" t="str">
        <f t="shared" si="7"/>
        <v/>
      </c>
      <c r="BE64" s="37" t="str">
        <f t="shared" si="8"/>
        <v/>
      </c>
      <c r="BF64" s="37" t="str">
        <f t="shared" si="9"/>
        <v/>
      </c>
      <c r="BG64" s="37" t="str">
        <f t="shared" si="10"/>
        <v/>
      </c>
      <c r="BH64" s="37" t="str">
        <f t="shared" si="11"/>
        <v/>
      </c>
      <c r="BI64" s="37" t="str">
        <f t="shared" si="12"/>
        <v/>
      </c>
      <c r="BJ64" s="37" t="str">
        <f t="shared" si="13"/>
        <v/>
      </c>
      <c r="BK64" s="37" t="str">
        <f t="shared" si="14"/>
        <v xml:space="preserve">tags:
- slovenia_x000D_
- churches_x000D_
- marian-sites_x000D_
</v>
      </c>
      <c r="BL64" s="38" t="str">
        <f t="shared" si="15"/>
        <v>[Official site](https://svetagora.si/)</v>
      </c>
      <c r="BM64" s="38" t="str">
        <f t="shared" si="16"/>
        <v/>
      </c>
      <c r="BN64" s="38" t="str">
        <f t="shared" si="17"/>
        <v/>
      </c>
      <c r="BO64" s="38" t="str">
        <f t="shared" si="18"/>
        <v/>
      </c>
      <c r="BP64" s="38" t="str">
        <f t="shared" si="19"/>
        <v xml:space="preserve">* [Official site](https://svetagora.si/)
</v>
      </c>
      <c r="BQ64" s="38" t="str">
        <f t="shared" si="20"/>
        <v>[Link](http://www.therealpresence.org/eucharst/misc/BVM/137_SVETA_GORA_60x96.pdf)</v>
      </c>
      <c r="BR64" s="38" t="str">
        <f t="shared" si="21"/>
        <v>[Link](https://www.miraclehunter.com/marian_apparitions/approved_apparitions/apparitions_1500-1599.html) (Search "Sveta Gora")</v>
      </c>
      <c r="BS64" s="38" t="str">
        <f t="shared" si="22"/>
        <v/>
      </c>
      <c r="BT64" s="38" t="str">
        <f>IF(LEN(concat(BQ64:BS64))&gt;0,concat("| ",BQ64," | ",BR64," | ",BS64," |"),"")</f>
        <v>| [Link](http://www.therealpresence.org/eucharst/misc/BVM/137_SVETA_GORA_60x96.pdf) | [Link](https://www.miraclehunter.com/marian_apparitions/approved_apparitions/apparitions_1500-1599.html) (Search "Sveta Gora") |  |</v>
      </c>
      <c r="BU64" s="37" t="str">
        <f t="shared" si="23"/>
        <v xml:space="preserve">| The Real Presence | Miracle Hunter | MaryPages |_x000D_
| --- | --- | --- |_x000D_
| [Link](http://www.therealpresence.org/eucharst/misc/BVM/137_SVETA_GORA_60x96.pdf) | [Link](https://www.miraclehunter.com/marian_apparitions/approved_apparitions/apparitions_1500-1599.html) (Search "Sveta Gora") |  |_x000D_
</v>
      </c>
      <c r="BV64" s="37" t="str">
        <f>IF(LEN(BP64&amp;BU64)&gt;0,concatll("#### Source Material",BP64,BU64),"")</f>
        <v xml:space="preserve">#### Source Material_x000D_
_x000D_
* [Official site](https://svetagora.si/)
_x000D_
_x000D_
| The Real Presence | Miracle Hunter | MaryPages |_x000D_
| --- | --- | --- |_x000D_
| [Link](http://www.therealpresence.org/eucharst/misc/BVM/137_SVETA_GORA_60x96.pdf) | [Link](https://www.miraclehunter.com/marian_apparitions/approved_apparitions/apparitions_1500-1599.html) (Search "Sveta Gora") |  |_x000D_
_x000D_
_x000D_
</v>
      </c>
      <c r="BW64" s="37" t="str">
        <f>IF(LEN(O64)&gt;1,concatll("#### Author's Note",O64),"")</f>
        <v/>
      </c>
      <c r="BX64" s="24" t="str">
        <f>IF(AR64,concatll(concatl("---",AS64:AU64,BK64,"---"),N64,BV64:BW64),"")</f>
        <v xml:space="preserve">---_x000D_
title: "Basilica of the Holy Mother of God"_x000D_
location: {lat: 45.9989430444559, lng: 13.6553373449013}_x000D_
level: global_x000D_
tags:
- slovenia_x000D_
- churches_x000D_
- marian-sites_x000D_
_x000D_
---_x000D_
_x000D_
_x000D_
In 1539, Our Blessed Mother appeared to a shepherdess on Mt. Skalnica, now called the Holy Mountain (Sveta Gora), and instructed her: "Tell the people, let them build me a house here and ask me for mercy." The shepherdess was imprisoned by the unbelieving secular authorities several times, but was always miraculously rescued._x000D_
_x000D_
#### Source Material_x000D_
_x000D_
* [Official site](https://svetagora.si/)
_x000D_
_x000D_
| The Real Presence | Miracle Hunter | MaryPages |_x000D_
| --- | --- | --- |_x000D_
| [Link](http://www.therealpresence.org/eucharst/misc/BVM/137_SVETA_GORA_60x96.pdf) | [Link](https://www.miraclehunter.com/marian_apparitions/approved_apparitions/apparitions_1500-1599.html) (Search "Sveta Gora") |  |_x000D_
_x000D_
_x000D_
_x000D_
_x000D_
</v>
      </c>
      <c r="BY64" s="24" t="str">
        <f>IF(AR64,VLOOKUP(C64,'(Ref) Countries'!A:B,2,)&amp;IF(LEN(D64)&gt;1,"-"&amp;LOWER(SUBSTITUTE(D64," ","-")),"")&amp;"-"&amp;LOWER(SUBSTITUTE(I64," ","-"))&amp;".md","")</f>
        <v>si-basilica-of-the-holy-mother-of-god.md</v>
      </c>
      <c r="BZ64" s="37" t="str">
        <f>IF(LEN(AG64)&gt;1,VLOOKUP(AG64,'Tag List'!$A:$B,2,),"")</f>
        <v/>
      </c>
      <c r="CA64" s="37" t="str">
        <f>IF(LEN(AH64)&gt;1,VLOOKUP(AH64,'Tag List'!$A:$B,2,),"")</f>
        <v/>
      </c>
      <c r="CB64" s="37" t="str">
        <f>IF(LEN(AI64)&gt;1,VLOOKUP(AI64,'Tag List'!$A:$B,2,),"")</f>
        <v/>
      </c>
      <c r="CC64" s="38" t="str">
        <f>IF(LEN(AG64)&gt;1,GetTagPage(BZ64,AG64),"")</f>
        <v/>
      </c>
      <c r="CD64" s="38" t="str">
        <f>IF(LEN(AH64)&gt;1,GetTagPage(CA64,AH64),"")</f>
        <v/>
      </c>
      <c r="CE64" s="38" t="str">
        <f>IF(LEN(AI64)&gt;1,GetTagPage(CB64,AI64),"")</f>
        <v/>
      </c>
      <c r="CF64" s="38" t="str">
        <f>"|"&amp;IF(LEN(CC64)&gt;1," "&amp;CC64,"")&amp;IF(LEN(CD64)&gt;1,", "&amp;CD64,"")&amp;IF(LEN(CE64)&gt;1,", "&amp;CE64,"")&amp;" "</f>
        <v xml:space="preserve">| </v>
      </c>
      <c r="CG64" s="38" t="str">
        <f>"| "&amp;IF(AR64,"["&amp;B64&amp;"](/places/"&amp;SUBSTITUTE(BY64,".md","")&amp;")",B64)&amp;" "</f>
        <v xml:space="preserve">| [Sveta Gora](/places/si-basilica-of-the-holy-mother-of-god) </v>
      </c>
      <c r="CH64" s="38" t="str">
        <f>"| "&amp;IF(AR64,GetTagPage(C64,VLOOKUP(C64,'(Ref) Countries'!A:C,3,)),C64)&amp; " "</f>
        <v xml:space="preserve">| [Slovenia](/tags/slovenia) </v>
      </c>
      <c r="CI64" s="38" t="str">
        <f>"| "&amp;E64&amp;" "</f>
        <v xml:space="preserve">| 1539 </v>
      </c>
      <c r="CJ64" s="38" t="str">
        <f>"|"&amp;IF(AR64," [Link](/places/"&amp;SUBSTITUTE(BY64,".md","")&amp;")","")&amp;" "</f>
        <v xml:space="preserve">| [Link](/places/si-basilica-of-the-holy-mother-of-god) </v>
      </c>
      <c r="CK64" s="37" t="str">
        <f>"
"&amp;CG64&amp;CH64&amp;CI64&amp;CJ64&amp;BL64&amp;BQ64&amp;BR64&amp;BS64&amp;CF64&amp;"|"</f>
        <v xml:space="preserve">
| [Sveta Gora](/places/si-basilica-of-the-holy-mother-of-god) | [Slovenia](/tags/slovenia) | 1539 | [Link](/places/si-basilica-of-the-holy-mother-of-god) [Official site](https://svetagora.si/)[Link](http://www.therealpresence.org/eucharst/misc/BVM/137_SVETA_GORA_60x96.pdf)[Link](https://www.miraclehunter.com/marian_apparitions/approved_apparitions/apparitions_1500-1599.html) (Search "Sveta Gora")| |</v>
      </c>
    </row>
    <row r="65" spans="1:89" x14ac:dyDescent="0.25">
      <c r="B65" s="28" t="s">
        <v>1239</v>
      </c>
      <c r="C65" s="29" t="s">
        <v>630</v>
      </c>
      <c r="E65" s="31">
        <v>1541</v>
      </c>
      <c r="J65" s="30" t="s">
        <v>1728</v>
      </c>
      <c r="K65" s="32" t="b">
        <v>1</v>
      </c>
      <c r="L65" s="30" t="b">
        <v>1</v>
      </c>
      <c r="P65" s="30" t="s">
        <v>336</v>
      </c>
      <c r="Q65" s="30" t="s">
        <v>336</v>
      </c>
      <c r="AA65" s="71" t="s">
        <v>240</v>
      </c>
      <c r="AB65" s="30" t="s">
        <v>336</v>
      </c>
      <c r="AC65" s="30" t="s">
        <v>336</v>
      </c>
      <c r="AD65" s="30" t="s">
        <v>336</v>
      </c>
      <c r="AE65" s="30" t="s">
        <v>336</v>
      </c>
      <c r="AF65" s="67" t="s">
        <v>336</v>
      </c>
      <c r="AG65" s="30" t="s">
        <v>336</v>
      </c>
      <c r="AR65" s="36" t="b">
        <f>IF(OR(A65="Done",A65="In Progress"),TRUE)</f>
        <v>0</v>
      </c>
      <c r="AS65" s="37" t="str">
        <f>"title: """&amp;H65&amp;""""</f>
        <v>title: ""</v>
      </c>
      <c r="AT65" s="37" t="str">
        <f>"location: {lat: "&amp;F65&amp;", lng: "&amp;G65&amp;"}"</f>
        <v>location: {lat: , lng: }</v>
      </c>
      <c r="AU65" s="37" t="str">
        <f>"level: "&amp;J65</f>
        <v>level: global</v>
      </c>
      <c r="AV65" s="37" t="str">
        <f>"- "&amp;VLOOKUP(C65,'(Ref) Countries'!A:C,3,)</f>
        <v>- mexico</v>
      </c>
      <c r="AW65" s="37" t="str">
        <f t="shared" si="0"/>
        <v/>
      </c>
      <c r="AX65" s="37" t="str">
        <f t="shared" si="1"/>
        <v>- churches</v>
      </c>
      <c r="AY65" s="37" t="str">
        <f t="shared" si="2"/>
        <v>- marian-sites</v>
      </c>
      <c r="AZ65" s="37" t="str">
        <f t="shared" si="3"/>
        <v/>
      </c>
      <c r="BA65" s="37" t="str">
        <f t="shared" si="4"/>
        <v/>
      </c>
      <c r="BB65" s="37" t="str">
        <f t="shared" si="5"/>
        <v/>
      </c>
      <c r="BC65" s="37" t="str">
        <f t="shared" si="6"/>
        <v/>
      </c>
      <c r="BD65" s="37" t="str">
        <f t="shared" si="7"/>
        <v/>
      </c>
      <c r="BE65" s="37" t="str">
        <f t="shared" si="8"/>
        <v/>
      </c>
      <c r="BF65" s="37" t="str">
        <f t="shared" si="9"/>
        <v/>
      </c>
      <c r="BG65" s="37" t="str">
        <f t="shared" si="10"/>
        <v/>
      </c>
      <c r="BH65" s="37" t="str">
        <f t="shared" si="11"/>
        <v/>
      </c>
      <c r="BI65" s="37" t="str">
        <f t="shared" si="12"/>
        <v/>
      </c>
      <c r="BJ65" s="37" t="str">
        <f t="shared" si="13"/>
        <v/>
      </c>
      <c r="BK65" s="37" t="str">
        <f t="shared" si="14"/>
        <v xml:space="preserve">tags:
- mexico_x000D_
- churches_x000D_
- marian-sites_x000D_
</v>
      </c>
      <c r="BL65" s="38" t="str">
        <f t="shared" si="15"/>
        <v/>
      </c>
      <c r="BM65" s="38" t="str">
        <f t="shared" si="16"/>
        <v/>
      </c>
      <c r="BN65" s="38" t="str">
        <f t="shared" si="17"/>
        <v/>
      </c>
      <c r="BO65" s="38" t="str">
        <f t="shared" si="18"/>
        <v/>
      </c>
      <c r="BP65" s="38" t="str">
        <f t="shared" si="19"/>
        <v/>
      </c>
      <c r="BQ65" s="38" t="str">
        <f t="shared" si="20"/>
        <v>[Link](http://www.therealpresence.org/eucharst/misc/BVM/127_OCOTLAN_96x96.pdf)</v>
      </c>
      <c r="BR65" s="38" t="str">
        <f t="shared" si="21"/>
        <v/>
      </c>
      <c r="BS65" s="38" t="str">
        <f t="shared" si="22"/>
        <v/>
      </c>
      <c r="BT65" s="38" t="str">
        <f>IF(LEN(concat(BQ65:BS65))&gt;0,concat("| ",BQ65," | ",BR65," | ",BS65," |"),"")</f>
        <v>| [Link](http://www.therealpresence.org/eucharst/misc/BVM/127_OCOTLAN_96x96.pdf) |  |  |</v>
      </c>
      <c r="BU65" s="37" t="str">
        <f t="shared" si="23"/>
        <v xml:space="preserve">| The Real Presence | Miracle Hunter | MaryPages |_x000D_
| --- | --- | --- |_x000D_
| [Link](http://www.therealpresence.org/eucharst/misc/BVM/127_OCOTLAN_96x96.pdf) |  |  |_x000D_
</v>
      </c>
      <c r="BV65" s="37" t="str">
        <f>IF(LEN(BP65&amp;BU65)&gt;0,concatll("#### Source Material",BP65,BU65),"")</f>
        <v xml:space="preserve">#### Source Material_x000D_
_x000D_
| The Real Presence | Miracle Hunter | MaryPages |_x000D_
| --- | --- | --- |_x000D_
| [Link](http://www.therealpresence.org/eucharst/misc/BVM/127_OCOTLAN_96x96.pdf) |  |  |_x000D_
_x000D_
_x000D_
</v>
      </c>
      <c r="BW65" s="37" t="str">
        <f>IF(LEN(O65)&gt;1,concatll("#### Author's Note",O65),"")</f>
        <v/>
      </c>
      <c r="BX65" s="24" t="str">
        <f>IF(AR65,concatll(concatl("---",AS65:AU65,BK65,"---"),N65,BV65:BW65),"")</f>
        <v/>
      </c>
      <c r="BY65" s="24" t="str">
        <f>IF(AR65,VLOOKUP(C65,'(Ref) Countries'!A:B,2,)&amp;IF(LEN(D65)&gt;1,"-"&amp;LOWER(SUBSTITUTE(D65," ","-")),"")&amp;"-"&amp;LOWER(SUBSTITUTE(I65," ","-"))&amp;".md","")</f>
        <v/>
      </c>
      <c r="BZ65" s="37" t="str">
        <f>IF(LEN(AG65)&gt;1,VLOOKUP(AG65,'Tag List'!$A:$B,2,),"")</f>
        <v/>
      </c>
      <c r="CA65" s="37" t="str">
        <f>IF(LEN(AH65)&gt;1,VLOOKUP(AH65,'Tag List'!$A:$B,2,),"")</f>
        <v/>
      </c>
      <c r="CB65" s="37" t="str">
        <f>IF(LEN(AI65)&gt;1,VLOOKUP(AI65,'Tag List'!$A:$B,2,),"")</f>
        <v/>
      </c>
      <c r="CC65" s="38" t="str">
        <f>IF(LEN(AG65)&gt;1,GetTagPage(BZ65,AG65),"")</f>
        <v/>
      </c>
      <c r="CD65" s="38" t="str">
        <f>IF(LEN(AH65)&gt;1,GetTagPage(CA65,AH65),"")</f>
        <v/>
      </c>
      <c r="CE65" s="38" t="str">
        <f>IF(LEN(AI65)&gt;1,GetTagPage(CB65,AI65),"")</f>
        <v/>
      </c>
      <c r="CF65" s="38" t="str">
        <f>"|"&amp;IF(LEN(CC65)&gt;1," "&amp;CC65,"")&amp;IF(LEN(CD65)&gt;1,", "&amp;CD65,"")&amp;IF(LEN(CE65)&gt;1,", "&amp;CE65,"")&amp;" "</f>
        <v xml:space="preserve">| </v>
      </c>
      <c r="CG65" s="38" t="str">
        <f>"| "&amp;IF(AR65,"["&amp;B65&amp;"](/places/"&amp;SUBSTITUTE(BY65,".md","")&amp;")",B65)&amp;" "</f>
        <v xml:space="preserve">| Ocotlán </v>
      </c>
      <c r="CH65" s="38" t="str">
        <f>"| "&amp;IF(AR65,GetTagPage(C65,VLOOKUP(C65,'(Ref) Countries'!A:C,3,)),C65)&amp; " "</f>
        <v xml:space="preserve">| Mexico </v>
      </c>
      <c r="CI65" s="38" t="str">
        <f>"| "&amp;E65&amp;" "</f>
        <v xml:space="preserve">| 1541 </v>
      </c>
      <c r="CJ65" s="38" t="str">
        <f>"|"&amp;IF(AR65," [Link](/places/"&amp;SUBSTITUTE(BY65,".md","")&amp;")","")&amp;" "</f>
        <v xml:space="preserve">| </v>
      </c>
      <c r="CK65" s="37" t="str">
        <f>"
"&amp;CG65&amp;CH65&amp;CI65&amp;CJ65&amp;BL65&amp;BQ65&amp;BR65&amp;BS65&amp;CF65&amp;"|"</f>
        <v xml:space="preserve">
| Ocotlán | Mexico | 1541 | [Link](http://www.therealpresence.org/eucharst/misc/BVM/127_OCOTLAN_96x96.pdf)| |</v>
      </c>
    </row>
    <row r="66" spans="1:89" x14ac:dyDescent="0.25">
      <c r="B66" s="28" t="s">
        <v>1240</v>
      </c>
      <c r="C66" s="29" t="s">
        <v>11</v>
      </c>
      <c r="E66" s="31">
        <v>1543</v>
      </c>
      <c r="J66" s="30" t="s">
        <v>1728</v>
      </c>
      <c r="K66" s="32" t="b">
        <v>1</v>
      </c>
      <c r="L66" s="30" t="b">
        <v>1</v>
      </c>
      <c r="P66" s="30" t="s">
        <v>336</v>
      </c>
      <c r="Q66" s="30" t="s">
        <v>336</v>
      </c>
      <c r="AA66" s="71" t="s">
        <v>241</v>
      </c>
      <c r="AB66" s="30" t="s">
        <v>336</v>
      </c>
      <c r="AC66" s="30" t="s">
        <v>336</v>
      </c>
      <c r="AD66" s="30" t="s">
        <v>336</v>
      </c>
      <c r="AE66" s="30" t="s">
        <v>336</v>
      </c>
      <c r="AF66" s="67" t="s">
        <v>336</v>
      </c>
      <c r="AG66" s="30" t="s">
        <v>336</v>
      </c>
      <c r="AR66" s="36" t="b">
        <f>IF(OR(A66="Done",A66="In Progress"),TRUE)</f>
        <v>0</v>
      </c>
      <c r="AS66" s="37" t="str">
        <f>"title: """&amp;H66&amp;""""</f>
        <v>title: ""</v>
      </c>
      <c r="AT66" s="37" t="str">
        <f>"location: {lat: "&amp;F66&amp;", lng: "&amp;G66&amp;"}"</f>
        <v>location: {lat: , lng: }</v>
      </c>
      <c r="AU66" s="37" t="str">
        <f>"level: "&amp;J66</f>
        <v>level: global</v>
      </c>
      <c r="AV66" s="37" t="str">
        <f>"- "&amp;VLOOKUP(C66,'(Ref) Countries'!A:C,3,)</f>
        <v>- italy</v>
      </c>
      <c r="AW66" s="37" t="str">
        <f t="shared" si="0"/>
        <v/>
      </c>
      <c r="AX66" s="37" t="str">
        <f t="shared" si="1"/>
        <v>- churches</v>
      </c>
      <c r="AY66" s="37" t="str">
        <f t="shared" si="2"/>
        <v>- marian-sites</v>
      </c>
      <c r="AZ66" s="37" t="str">
        <f t="shared" si="3"/>
        <v/>
      </c>
      <c r="BA66" s="37" t="str">
        <f t="shared" si="4"/>
        <v/>
      </c>
      <c r="BB66" s="37" t="str">
        <f t="shared" si="5"/>
        <v/>
      </c>
      <c r="BC66" s="37" t="str">
        <f t="shared" si="6"/>
        <v/>
      </c>
      <c r="BD66" s="37" t="str">
        <f t="shared" si="7"/>
        <v/>
      </c>
      <c r="BE66" s="37" t="str">
        <f t="shared" si="8"/>
        <v/>
      </c>
      <c r="BF66" s="37" t="str">
        <f t="shared" si="9"/>
        <v/>
      </c>
      <c r="BG66" s="37" t="str">
        <f t="shared" si="10"/>
        <v/>
      </c>
      <c r="BH66" s="37" t="str">
        <f t="shared" si="11"/>
        <v/>
      </c>
      <c r="BI66" s="37" t="str">
        <f t="shared" si="12"/>
        <v/>
      </c>
      <c r="BJ66" s="37" t="str">
        <f t="shared" si="13"/>
        <v/>
      </c>
      <c r="BK66" s="37" t="str">
        <f t="shared" si="14"/>
        <v xml:space="preserve">tags:
- italy_x000D_
- churches_x000D_
- marian-sites_x000D_
</v>
      </c>
      <c r="BL66" s="38" t="str">
        <f t="shared" si="15"/>
        <v/>
      </c>
      <c r="BM66" s="38" t="str">
        <f t="shared" si="16"/>
        <v/>
      </c>
      <c r="BN66" s="38" t="str">
        <f t="shared" si="17"/>
        <v/>
      </c>
      <c r="BO66" s="38" t="str">
        <f t="shared" si="18"/>
        <v/>
      </c>
      <c r="BP66" s="38" t="str">
        <f t="shared" si="19"/>
        <v/>
      </c>
      <c r="BQ66" s="38" t="str">
        <f t="shared" si="20"/>
        <v>[Link](http://www.therealpresence.org/eucharst/misc/BVM/116_VACCIAGO_60x96.pdf)</v>
      </c>
      <c r="BR66" s="38" t="str">
        <f t="shared" si="21"/>
        <v/>
      </c>
      <c r="BS66" s="38" t="str">
        <f t="shared" si="22"/>
        <v/>
      </c>
      <c r="BT66" s="38" t="str">
        <f>IF(LEN(concat(BQ66:BS66))&gt;0,concat("| ",BQ66," | ",BR66," | ",BS66," |"),"")</f>
        <v>| [Link](http://www.therealpresence.org/eucharst/misc/BVM/116_VACCIAGO_60x96.pdf) |  |  |</v>
      </c>
      <c r="BU66" s="37" t="str">
        <f t="shared" si="23"/>
        <v xml:space="preserve">| The Real Presence | Miracle Hunter | MaryPages |_x000D_
| --- | --- | --- |_x000D_
| [Link](http://www.therealpresence.org/eucharst/misc/BVM/116_VACCIAGO_60x96.pdf) |  |  |_x000D_
</v>
      </c>
      <c r="BV66" s="37" t="str">
        <f>IF(LEN(BP66&amp;BU66)&gt;0,concatll("#### Source Material",BP66,BU66),"")</f>
        <v xml:space="preserve">#### Source Material_x000D_
_x000D_
| The Real Presence | Miracle Hunter | MaryPages |_x000D_
| --- | --- | --- |_x000D_
| [Link](http://www.therealpresence.org/eucharst/misc/BVM/116_VACCIAGO_60x96.pdf) |  |  |_x000D_
_x000D_
_x000D_
</v>
      </c>
      <c r="BW66" s="37" t="str">
        <f>IF(LEN(O66)&gt;1,concatll("#### Author's Note",O66),"")</f>
        <v/>
      </c>
      <c r="BX66" s="24" t="str">
        <f>IF(AR66,concatll(concatl("---",AS66:AU66,BK66,"---"),N66,BV66:BW66),"")</f>
        <v/>
      </c>
      <c r="BY66" s="24" t="str">
        <f>IF(AR66,VLOOKUP(C66,'(Ref) Countries'!A:B,2,)&amp;IF(LEN(D66)&gt;1,"-"&amp;LOWER(SUBSTITUTE(D66," ","-")),"")&amp;"-"&amp;LOWER(SUBSTITUTE(I66," ","-"))&amp;".md","")</f>
        <v/>
      </c>
      <c r="BZ66" s="37" t="str">
        <f>IF(LEN(AG66)&gt;1,VLOOKUP(AG66,'Tag List'!$A:$B,2,),"")</f>
        <v/>
      </c>
      <c r="CA66" s="37" t="str">
        <f>IF(LEN(AH66)&gt;1,VLOOKUP(AH66,'Tag List'!$A:$B,2,),"")</f>
        <v/>
      </c>
      <c r="CB66" s="37" t="str">
        <f>IF(LEN(AI66)&gt;1,VLOOKUP(AI66,'Tag List'!$A:$B,2,),"")</f>
        <v/>
      </c>
      <c r="CC66" s="38" t="str">
        <f>IF(LEN(AG66)&gt;1,GetTagPage(BZ66,AG66),"")</f>
        <v/>
      </c>
      <c r="CD66" s="38" t="str">
        <f>IF(LEN(AH66)&gt;1,GetTagPage(CA66,AH66),"")</f>
        <v/>
      </c>
      <c r="CE66" s="38" t="str">
        <f>IF(LEN(AI66)&gt;1,GetTagPage(CB66,AI66),"")</f>
        <v/>
      </c>
      <c r="CF66" s="38" t="str">
        <f>"|"&amp;IF(LEN(CC66)&gt;1," "&amp;CC66,"")&amp;IF(LEN(CD66)&gt;1,", "&amp;CD66,"")&amp;IF(LEN(CE66)&gt;1,", "&amp;CE66,"")&amp;" "</f>
        <v xml:space="preserve">| </v>
      </c>
      <c r="CG66" s="38" t="str">
        <f>"| "&amp;IF(AR66,"["&amp;B66&amp;"](/places/"&amp;SUBSTITUTE(BY66,".md","")&amp;")",B66)&amp;" "</f>
        <v xml:space="preserve">| Vacciago </v>
      </c>
      <c r="CH66" s="38" t="str">
        <f>"| "&amp;IF(AR66,GetTagPage(C66,VLOOKUP(C66,'(Ref) Countries'!A:C,3,)),C66)&amp; " "</f>
        <v xml:space="preserve">| Italy </v>
      </c>
      <c r="CI66" s="38" t="str">
        <f>"| "&amp;E66&amp;" "</f>
        <v xml:space="preserve">| 1543 </v>
      </c>
      <c r="CJ66" s="38" t="str">
        <f>"|"&amp;IF(AR66," [Link](/places/"&amp;SUBSTITUTE(BY66,".md","")&amp;")","")&amp;" "</f>
        <v xml:space="preserve">| </v>
      </c>
      <c r="CK66" s="37" t="str">
        <f>"
"&amp;CG66&amp;CH66&amp;CI66&amp;CJ66&amp;BL66&amp;BQ66&amp;BR66&amp;BS66&amp;CF66&amp;"|"</f>
        <v xml:space="preserve">
| Vacciago | Italy | 1543 | [Link](http://www.therealpresence.org/eucharst/misc/BVM/116_VACCIAGO_60x96.pdf)| |</v>
      </c>
    </row>
    <row r="67" spans="1:89" x14ac:dyDescent="0.25">
      <c r="B67" s="28" t="s">
        <v>1241</v>
      </c>
      <c r="C67" s="29" t="s">
        <v>11</v>
      </c>
      <c r="E67" s="31">
        <v>1553</v>
      </c>
      <c r="J67" s="30" t="s">
        <v>1728</v>
      </c>
      <c r="K67" s="32" t="b">
        <v>1</v>
      </c>
      <c r="L67" s="30" t="b">
        <v>1</v>
      </c>
      <c r="P67" s="30" t="s">
        <v>336</v>
      </c>
      <c r="Q67" s="30" t="s">
        <v>336</v>
      </c>
      <c r="AA67" s="71" t="s">
        <v>242</v>
      </c>
      <c r="AB67" s="30" t="s">
        <v>336</v>
      </c>
      <c r="AC67" s="30" t="s">
        <v>336</v>
      </c>
      <c r="AD67" s="30" t="s">
        <v>336</v>
      </c>
      <c r="AE67" s="30" t="s">
        <v>336</v>
      </c>
      <c r="AF67" s="67" t="s">
        <v>336</v>
      </c>
      <c r="AG67" s="30" t="s">
        <v>336</v>
      </c>
      <c r="AR67" s="36" t="b">
        <f>IF(OR(A67="Done",A67="In Progress"),TRUE)</f>
        <v>0</v>
      </c>
      <c r="AS67" s="37" t="str">
        <f>"title: """&amp;H67&amp;""""</f>
        <v>title: ""</v>
      </c>
      <c r="AT67" s="37" t="str">
        <f>"location: {lat: "&amp;F67&amp;", lng: "&amp;G67&amp;"}"</f>
        <v>location: {lat: , lng: }</v>
      </c>
      <c r="AU67" s="37" t="str">
        <f>"level: "&amp;J67</f>
        <v>level: global</v>
      </c>
      <c r="AV67" s="37" t="str">
        <f>"- "&amp;VLOOKUP(C67,'(Ref) Countries'!A:C,3,)</f>
        <v>- italy</v>
      </c>
      <c r="AW67" s="37" t="str">
        <f t="shared" ref="AW67:AW130" si="24">IF(LEN(D67)&gt;1,"- "&amp;LOWER(SUBSTITUTE(D67," ","-")),"")</f>
        <v/>
      </c>
      <c r="AX67" s="37" t="str">
        <f t="shared" ref="AX67:AX130" si="25">IF(K67,"- churches","")</f>
        <v>- churches</v>
      </c>
      <c r="AY67" s="37" t="str">
        <f t="shared" ref="AY67:AY130" si="26">IF(L67,"- marian-sites","")</f>
        <v>- marian-sites</v>
      </c>
      <c r="AZ67" s="37" t="str">
        <f t="shared" ref="AZ67:AZ130" si="27">IF(M67,"- holy-persons","")</f>
        <v/>
      </c>
      <c r="BA67" s="37" t="str">
        <f t="shared" ref="BA67:BA130" si="28">IF(LEN(AG67)&gt;0,"- "&amp;AG67,"")</f>
        <v/>
      </c>
      <c r="BB67" s="37" t="str">
        <f t="shared" ref="BB67:BB130" si="29">IF(LEN(AH67)&gt;0,"- "&amp;AH67,"")</f>
        <v/>
      </c>
      <c r="BC67" s="37" t="str">
        <f t="shared" ref="BC67:BC130" si="30">IF(LEN(AI67)&gt;0,"- "&amp;AI67,"")</f>
        <v/>
      </c>
      <c r="BD67" s="37" t="str">
        <f t="shared" ref="BD67:BD130" si="31">IF(LEN(AJ67)&gt;0,"- "&amp;AJ67,"")</f>
        <v/>
      </c>
      <c r="BE67" s="37" t="str">
        <f t="shared" ref="BE67:BE130" si="32">IF(LEN(AK67)&gt;0,"- "&amp;AK67,"")</f>
        <v/>
      </c>
      <c r="BF67" s="37" t="str">
        <f t="shared" ref="BF67:BF130" si="33">IF(LEN(AL67)&gt;0,"- "&amp;AL67,"")</f>
        <v/>
      </c>
      <c r="BG67" s="37" t="str">
        <f t="shared" ref="BG67:BG130" si="34">IF(LEN(AM67)&gt;0,"- "&amp;AM67,"")</f>
        <v/>
      </c>
      <c r="BH67" s="37" t="str">
        <f t="shared" ref="BH67:BH130" si="35">IF(LEN(AN67)&gt;0,"- "&amp;AN67,"")</f>
        <v/>
      </c>
      <c r="BI67" s="37" t="str">
        <f t="shared" ref="BI67:BI130" si="36">IF(LEN(AO67)&gt;0,"- "&amp;AO67,"")</f>
        <v/>
      </c>
      <c r="BJ67" s="37" t="str">
        <f t="shared" ref="BJ67:BJ130" si="37">IF(LEN(AP67)&gt;0,"- "&amp;AP67,"")</f>
        <v/>
      </c>
      <c r="BK67" s="37" t="str">
        <f t="shared" ref="BK67:BK130" si="38">"tags:"&amp;CHAR(10)&amp;concatl(AV67:BJ67)</f>
        <v xml:space="preserve">tags:
- italy_x000D_
- churches_x000D_
- marian-sites_x000D_
</v>
      </c>
      <c r="BL67" s="38" t="str">
        <f t="shared" ref="BL67:BL130" si="39">IF(LEN(P67)&gt;0,TRIM(CONCATENATE("[Official site](",P67,") ",Q67)),"")</f>
        <v/>
      </c>
      <c r="BM67" s="38" t="str">
        <f t="shared" ref="BM67:BM130" si="40">IF(LEN(S67)&gt;0,TRIM(CONCATENATE("["&amp;R67&amp;"](",S67,") ",T67)),"")</f>
        <v/>
      </c>
      <c r="BN67" s="38" t="str">
        <f t="shared" ref="BN67:BN130" si="41">IF(LEN(V67)&gt;0,TRIM(CONCATENATE("["&amp;U67&amp;"](",V67,") ",W67)),"")</f>
        <v/>
      </c>
      <c r="BO67" s="38" t="str">
        <f t="shared" ref="BO67:BO130" si="42">IF(LEN(Y67)&gt;0,TRIM(CONCATENATE("["&amp;X67&amp;"](",Y67,") ",Z67)),"")</f>
        <v/>
      </c>
      <c r="BP67" s="38" t="str">
        <f t="shared" ref="BP67:BP130" si="43">IF(LEN(BL67)&gt;0,"* "&amp;BL67&amp;CHAR(10),"")&amp;
IF(LEN(BM67)&gt;0,"* "&amp;BM67&amp;CHAR(10),"")&amp;
IF(LEN(BN67)&gt;0,"* "&amp;BN67&amp;CHAR(10),"")&amp;
IF(LEN(BO67)&gt;0,"* "&amp;BO67&amp;CHAR(10),"")</f>
        <v/>
      </c>
      <c r="BQ67" s="38" t="str">
        <f t="shared" ref="BQ67:BQ130" si="44">IF(LEN(AA67)&gt;0,TRIM(CONCATENATE("[Link](",AA67,") ",AB67)),"")</f>
        <v>[Link](http://www.therealpresence.org/eucharst/misc/BVM/60_PIETRALBA_96x96.pdf)</v>
      </c>
      <c r="BR67" s="38" t="str">
        <f t="shared" ref="BR67:BR130" si="45">IF(LEN(AC67)&gt;0,TRIM(CONCATENATE("[Link](",AC67,") ",AD67)),"")</f>
        <v/>
      </c>
      <c r="BS67" s="38" t="str">
        <f t="shared" ref="BS67:BS130" si="46">IF(LEN(AE67)&gt;0,TRIM(CONCATENATE("[Link](",AE67,") ",AF67)),"")</f>
        <v/>
      </c>
      <c r="BT67" s="38" t="str">
        <f>IF(LEN(concat(BQ67:BS67))&gt;0,concat("| ",BQ67," | ",BR67," | ",BS67," |"),"")</f>
        <v>| [Link](http://www.therealpresence.org/eucharst/misc/BVM/60_PIETRALBA_96x96.pdf) |  |  |</v>
      </c>
      <c r="BU67" s="37" t="str">
        <f t="shared" ref="BU67:BU130" si="47">IF(L67,concatl("| The Real Presence | Miracle Hunter | MaryPages |","| --- | --- | --- |",BT67),"")</f>
        <v xml:space="preserve">| The Real Presence | Miracle Hunter | MaryPages |_x000D_
| --- | --- | --- |_x000D_
| [Link](http://www.therealpresence.org/eucharst/misc/BVM/60_PIETRALBA_96x96.pdf) |  |  |_x000D_
</v>
      </c>
      <c r="BV67" s="37" t="str">
        <f>IF(LEN(BP67&amp;BU67)&gt;0,concatll("#### Source Material",BP67,BU67),"")</f>
        <v xml:space="preserve">#### Source Material_x000D_
_x000D_
| The Real Presence | Miracle Hunter | MaryPages |_x000D_
| --- | --- | --- |_x000D_
| [Link](http://www.therealpresence.org/eucharst/misc/BVM/60_PIETRALBA_96x96.pdf) |  |  |_x000D_
_x000D_
_x000D_
</v>
      </c>
      <c r="BW67" s="37" t="str">
        <f>IF(LEN(O67)&gt;1,concatll("#### Author's Note",O67),"")</f>
        <v/>
      </c>
      <c r="BX67" s="24" t="str">
        <f>IF(AR67,concatll(concatl("---",AS67:AU67,BK67,"---"),N67,BV67:BW67),"")</f>
        <v/>
      </c>
      <c r="BY67" s="24" t="str">
        <f>IF(AR67,VLOOKUP(C67,'(Ref) Countries'!A:B,2,)&amp;IF(LEN(D67)&gt;1,"-"&amp;LOWER(SUBSTITUTE(D67," ","-")),"")&amp;"-"&amp;LOWER(SUBSTITUTE(I67," ","-"))&amp;".md","")</f>
        <v/>
      </c>
      <c r="BZ67" s="37" t="str">
        <f>IF(LEN(AG67)&gt;1,VLOOKUP(AG67,'Tag List'!$A:$B,2,),"")</f>
        <v/>
      </c>
      <c r="CA67" s="37" t="str">
        <f>IF(LEN(AH67)&gt;1,VLOOKUP(AH67,'Tag List'!$A:$B,2,),"")</f>
        <v/>
      </c>
      <c r="CB67" s="37" t="str">
        <f>IF(LEN(AI67)&gt;1,VLOOKUP(AI67,'Tag List'!$A:$B,2,),"")</f>
        <v/>
      </c>
      <c r="CC67" s="38" t="str">
        <f>IF(LEN(AG67)&gt;1,GetTagPage(BZ67,AG67),"")</f>
        <v/>
      </c>
      <c r="CD67" s="38" t="str">
        <f>IF(LEN(AH67)&gt;1,GetTagPage(CA67,AH67),"")</f>
        <v/>
      </c>
      <c r="CE67" s="38" t="str">
        <f>IF(LEN(AI67)&gt;1,GetTagPage(CB67,AI67),"")</f>
        <v/>
      </c>
      <c r="CF67" s="38" t="str">
        <f>"|"&amp;IF(LEN(CC67)&gt;1," "&amp;CC67,"")&amp;IF(LEN(CD67)&gt;1,", "&amp;CD67,"")&amp;IF(LEN(CE67)&gt;1,", "&amp;CE67,"")&amp;" "</f>
        <v xml:space="preserve">| </v>
      </c>
      <c r="CG67" s="38" t="str">
        <f>"| "&amp;IF(AR67,"["&amp;B67&amp;"](/places/"&amp;SUBSTITUTE(BY67,".md","")&amp;")",B67)&amp;" "</f>
        <v xml:space="preserve">| Pietralba </v>
      </c>
      <c r="CH67" s="38" t="str">
        <f>"| "&amp;IF(AR67,GetTagPage(C67,VLOOKUP(C67,'(Ref) Countries'!A:C,3,)),C67)&amp; " "</f>
        <v xml:space="preserve">| Italy </v>
      </c>
      <c r="CI67" s="38" t="str">
        <f>"| "&amp;E67&amp;" "</f>
        <v xml:space="preserve">| 1553 </v>
      </c>
      <c r="CJ67" s="38" t="str">
        <f>"|"&amp;IF(AR67," [Link](/places/"&amp;SUBSTITUTE(BY67,".md","")&amp;")","")&amp;" "</f>
        <v xml:space="preserve">| </v>
      </c>
      <c r="CK67" s="37" t="str">
        <f>"
"&amp;CG67&amp;CH67&amp;CI67&amp;CJ67&amp;BL67&amp;BQ67&amp;BR67&amp;BS67&amp;CF67&amp;"|"</f>
        <v xml:space="preserve">
| Pietralba | Italy | 1553 | [Link](http://www.therealpresence.org/eucharst/misc/BVM/60_PIETRALBA_96x96.pdf)| |</v>
      </c>
    </row>
    <row r="68" spans="1:89" x14ac:dyDescent="0.25">
      <c r="B68" s="28" t="s">
        <v>1242</v>
      </c>
      <c r="C68" s="29" t="s">
        <v>11</v>
      </c>
      <c r="E68" s="31">
        <v>1555</v>
      </c>
      <c r="J68" s="30" t="s">
        <v>1728</v>
      </c>
      <c r="K68" s="32" t="b">
        <v>1</v>
      </c>
      <c r="L68" s="30" t="b">
        <v>1</v>
      </c>
      <c r="P68" s="30" t="s">
        <v>336</v>
      </c>
      <c r="Q68" s="30" t="s">
        <v>336</v>
      </c>
      <c r="AA68" s="71" t="s">
        <v>243</v>
      </c>
      <c r="AB68" s="30" t="s">
        <v>336</v>
      </c>
      <c r="AC68" s="30" t="s">
        <v>336</v>
      </c>
      <c r="AD68" s="30" t="s">
        <v>336</v>
      </c>
      <c r="AE68" s="30" t="s">
        <v>336</v>
      </c>
      <c r="AF68" s="67" t="s">
        <v>336</v>
      </c>
      <c r="AG68" s="30" t="s">
        <v>336</v>
      </c>
      <c r="AR68" s="36" t="b">
        <f>IF(OR(A68="Done",A68="In Progress"),TRUE)</f>
        <v>0</v>
      </c>
      <c r="AS68" s="37" t="str">
        <f>"title: """&amp;H68&amp;""""</f>
        <v>title: ""</v>
      </c>
      <c r="AT68" s="37" t="str">
        <f>"location: {lat: "&amp;F68&amp;", lng: "&amp;G68&amp;"}"</f>
        <v>location: {lat: , lng: }</v>
      </c>
      <c r="AU68" s="37" t="str">
        <f>"level: "&amp;J68</f>
        <v>level: global</v>
      </c>
      <c r="AV68" s="37" t="str">
        <f>"- "&amp;VLOOKUP(C68,'(Ref) Countries'!A:C,3,)</f>
        <v>- italy</v>
      </c>
      <c r="AW68" s="37" t="str">
        <f t="shared" si="24"/>
        <v/>
      </c>
      <c r="AX68" s="37" t="str">
        <f t="shared" si="25"/>
        <v>- churches</v>
      </c>
      <c r="AY68" s="37" t="str">
        <f t="shared" si="26"/>
        <v>- marian-sites</v>
      </c>
      <c r="AZ68" s="37" t="str">
        <f t="shared" si="27"/>
        <v/>
      </c>
      <c r="BA68" s="37" t="str">
        <f t="shared" si="28"/>
        <v/>
      </c>
      <c r="BB68" s="37" t="str">
        <f t="shared" si="29"/>
        <v/>
      </c>
      <c r="BC68" s="37" t="str">
        <f t="shared" si="30"/>
        <v/>
      </c>
      <c r="BD68" s="37" t="str">
        <f t="shared" si="31"/>
        <v/>
      </c>
      <c r="BE68" s="37" t="str">
        <f t="shared" si="32"/>
        <v/>
      </c>
      <c r="BF68" s="37" t="str">
        <f t="shared" si="33"/>
        <v/>
      </c>
      <c r="BG68" s="37" t="str">
        <f t="shared" si="34"/>
        <v/>
      </c>
      <c r="BH68" s="37" t="str">
        <f t="shared" si="35"/>
        <v/>
      </c>
      <c r="BI68" s="37" t="str">
        <f t="shared" si="36"/>
        <v/>
      </c>
      <c r="BJ68" s="37" t="str">
        <f t="shared" si="37"/>
        <v/>
      </c>
      <c r="BK68" s="37" t="str">
        <f t="shared" si="38"/>
        <v xml:space="preserve">tags:
- italy_x000D_
- churches_x000D_
- marian-sites_x000D_
</v>
      </c>
      <c r="BL68" s="38" t="str">
        <f t="shared" si="39"/>
        <v/>
      </c>
      <c r="BM68" s="38" t="str">
        <f t="shared" si="40"/>
        <v/>
      </c>
      <c r="BN68" s="38" t="str">
        <f t="shared" si="41"/>
        <v/>
      </c>
      <c r="BO68" s="38" t="str">
        <f t="shared" si="42"/>
        <v/>
      </c>
      <c r="BP68" s="38" t="str">
        <f t="shared" si="43"/>
        <v/>
      </c>
      <c r="BQ68" s="38" t="str">
        <f t="shared" si="44"/>
        <v>[Link](http://www.therealpresence.org/eucharst/misc/BVM/10_CORBETTA_60x96.pdf)</v>
      </c>
      <c r="BR68" s="38" t="str">
        <f t="shared" si="45"/>
        <v/>
      </c>
      <c r="BS68" s="38" t="str">
        <f t="shared" si="46"/>
        <v/>
      </c>
      <c r="BT68" s="38" t="str">
        <f>IF(LEN(concat(BQ68:BS68))&gt;0,concat("| ",BQ68," | ",BR68," | ",BS68," |"),"")</f>
        <v>| [Link](http://www.therealpresence.org/eucharst/misc/BVM/10_CORBETTA_60x96.pdf) |  |  |</v>
      </c>
      <c r="BU68" s="37" t="str">
        <f t="shared" si="47"/>
        <v xml:space="preserve">| The Real Presence | Miracle Hunter | MaryPages |_x000D_
| --- | --- | --- |_x000D_
| [Link](http://www.therealpresence.org/eucharst/misc/BVM/10_CORBETTA_60x96.pdf) |  |  |_x000D_
</v>
      </c>
      <c r="BV68" s="37" t="str">
        <f>IF(LEN(BP68&amp;BU68)&gt;0,concatll("#### Source Material",BP68,BU68),"")</f>
        <v xml:space="preserve">#### Source Material_x000D_
_x000D_
| The Real Presence | Miracle Hunter | MaryPages |_x000D_
| --- | --- | --- |_x000D_
| [Link](http://www.therealpresence.org/eucharst/misc/BVM/10_CORBETTA_60x96.pdf) |  |  |_x000D_
_x000D_
_x000D_
</v>
      </c>
      <c r="BW68" s="37" t="str">
        <f>IF(LEN(O68)&gt;1,concatll("#### Author's Note",O68),"")</f>
        <v/>
      </c>
      <c r="BX68" s="24" t="str">
        <f>IF(AR68,concatll(concatl("---",AS68:AU68,BK68,"---"),N68,BV68:BW68),"")</f>
        <v/>
      </c>
      <c r="BY68" s="24" t="str">
        <f>IF(AR68,VLOOKUP(C68,'(Ref) Countries'!A:B,2,)&amp;IF(LEN(D68)&gt;1,"-"&amp;LOWER(SUBSTITUTE(D68," ","-")),"")&amp;"-"&amp;LOWER(SUBSTITUTE(I68," ","-"))&amp;".md","")</f>
        <v/>
      </c>
      <c r="BZ68" s="37" t="str">
        <f>IF(LEN(AG68)&gt;1,VLOOKUP(AG68,'Tag List'!$A:$B,2,),"")</f>
        <v/>
      </c>
      <c r="CA68" s="37" t="str">
        <f>IF(LEN(AH68)&gt;1,VLOOKUP(AH68,'Tag List'!$A:$B,2,),"")</f>
        <v/>
      </c>
      <c r="CB68" s="37" t="str">
        <f>IF(LEN(AI68)&gt;1,VLOOKUP(AI68,'Tag List'!$A:$B,2,),"")</f>
        <v/>
      </c>
      <c r="CC68" s="38" t="str">
        <f>IF(LEN(AG68)&gt;1,GetTagPage(BZ68,AG68),"")</f>
        <v/>
      </c>
      <c r="CD68" s="38" t="str">
        <f>IF(LEN(AH68)&gt;1,GetTagPage(CA68,AH68),"")</f>
        <v/>
      </c>
      <c r="CE68" s="38" t="str">
        <f>IF(LEN(AI68)&gt;1,GetTagPage(CB68,AI68),"")</f>
        <v/>
      </c>
      <c r="CF68" s="38" t="str">
        <f>"|"&amp;IF(LEN(CC68)&gt;1," "&amp;CC68,"")&amp;IF(LEN(CD68)&gt;1,", "&amp;CD68,"")&amp;IF(LEN(CE68)&gt;1,", "&amp;CE68,"")&amp;" "</f>
        <v xml:space="preserve">| </v>
      </c>
      <c r="CG68" s="38" t="str">
        <f>"| "&amp;IF(AR68,"["&amp;B68&amp;"](/places/"&amp;SUBSTITUTE(BY68,".md","")&amp;")",B68)&amp;" "</f>
        <v xml:space="preserve">| Corbetta </v>
      </c>
      <c r="CH68" s="38" t="str">
        <f>"| "&amp;IF(AR68,GetTagPage(C68,VLOOKUP(C68,'(Ref) Countries'!A:C,3,)),C68)&amp; " "</f>
        <v xml:space="preserve">| Italy </v>
      </c>
      <c r="CI68" s="38" t="str">
        <f>"| "&amp;E68&amp;" "</f>
        <v xml:space="preserve">| 1555 </v>
      </c>
      <c r="CJ68" s="38" t="str">
        <f>"|"&amp;IF(AR68," [Link](/places/"&amp;SUBSTITUTE(BY68,".md","")&amp;")","")&amp;" "</f>
        <v xml:space="preserve">| </v>
      </c>
      <c r="CK68" s="37" t="str">
        <f>"
"&amp;CG68&amp;CH68&amp;CI68&amp;CJ68&amp;BL68&amp;BQ68&amp;BR68&amp;BS68&amp;CF68&amp;"|"</f>
        <v xml:space="preserve">
| Corbetta | Italy | 1555 | [Link](http://www.therealpresence.org/eucharst/misc/BVM/10_CORBETTA_60x96.pdf)| |</v>
      </c>
    </row>
    <row r="69" spans="1:89" x14ac:dyDescent="0.25">
      <c r="B69" s="28" t="s">
        <v>1243</v>
      </c>
      <c r="C69" s="29" t="s">
        <v>11</v>
      </c>
      <c r="E69" s="31">
        <v>1556</v>
      </c>
      <c r="J69" s="30" t="s">
        <v>1728</v>
      </c>
      <c r="K69" s="32" t="b">
        <v>1</v>
      </c>
      <c r="L69" s="30" t="b">
        <v>1</v>
      </c>
      <c r="P69" s="30" t="s">
        <v>336</v>
      </c>
      <c r="Q69" s="30" t="s">
        <v>336</v>
      </c>
      <c r="AA69" s="71" t="s">
        <v>244</v>
      </c>
      <c r="AB69" s="30" t="s">
        <v>336</v>
      </c>
      <c r="AC69" s="30" t="s">
        <v>336</v>
      </c>
      <c r="AD69" s="30" t="s">
        <v>336</v>
      </c>
      <c r="AE69" s="30" t="s">
        <v>336</v>
      </c>
      <c r="AF69" s="67" t="s">
        <v>336</v>
      </c>
      <c r="AG69" s="30" t="s">
        <v>336</v>
      </c>
      <c r="AR69" s="36" t="b">
        <f>IF(OR(A69="Done",A69="In Progress"),TRUE)</f>
        <v>0</v>
      </c>
      <c r="AS69" s="37" t="str">
        <f>"title: """&amp;H69&amp;""""</f>
        <v>title: ""</v>
      </c>
      <c r="AT69" s="37" t="str">
        <f>"location: {lat: "&amp;F69&amp;", lng: "&amp;G69&amp;"}"</f>
        <v>location: {lat: , lng: }</v>
      </c>
      <c r="AU69" s="37" t="str">
        <f>"level: "&amp;J69</f>
        <v>level: global</v>
      </c>
      <c r="AV69" s="37" t="str">
        <f>"- "&amp;VLOOKUP(C69,'(Ref) Countries'!A:C,3,)</f>
        <v>- italy</v>
      </c>
      <c r="AW69" s="37" t="str">
        <f t="shared" si="24"/>
        <v/>
      </c>
      <c r="AX69" s="37" t="str">
        <f t="shared" si="25"/>
        <v>- churches</v>
      </c>
      <c r="AY69" s="37" t="str">
        <f t="shared" si="26"/>
        <v>- marian-sites</v>
      </c>
      <c r="AZ69" s="37" t="str">
        <f t="shared" si="27"/>
        <v/>
      </c>
      <c r="BA69" s="37" t="str">
        <f t="shared" si="28"/>
        <v/>
      </c>
      <c r="BB69" s="37" t="str">
        <f t="shared" si="29"/>
        <v/>
      </c>
      <c r="BC69" s="37" t="str">
        <f t="shared" si="30"/>
        <v/>
      </c>
      <c r="BD69" s="37" t="str">
        <f t="shared" si="31"/>
        <v/>
      </c>
      <c r="BE69" s="37" t="str">
        <f t="shared" si="32"/>
        <v/>
      </c>
      <c r="BF69" s="37" t="str">
        <f t="shared" si="33"/>
        <v/>
      </c>
      <c r="BG69" s="37" t="str">
        <f t="shared" si="34"/>
        <v/>
      </c>
      <c r="BH69" s="37" t="str">
        <f t="shared" si="35"/>
        <v/>
      </c>
      <c r="BI69" s="37" t="str">
        <f t="shared" si="36"/>
        <v/>
      </c>
      <c r="BJ69" s="37" t="str">
        <f t="shared" si="37"/>
        <v/>
      </c>
      <c r="BK69" s="37" t="str">
        <f t="shared" si="38"/>
        <v xml:space="preserve">tags:
- italy_x000D_
- churches_x000D_
- marian-sites_x000D_
</v>
      </c>
      <c r="BL69" s="38" t="str">
        <f t="shared" si="39"/>
        <v/>
      </c>
      <c r="BM69" s="38" t="str">
        <f t="shared" si="40"/>
        <v/>
      </c>
      <c r="BN69" s="38" t="str">
        <f t="shared" si="41"/>
        <v/>
      </c>
      <c r="BO69" s="38" t="str">
        <f t="shared" si="42"/>
        <v/>
      </c>
      <c r="BP69" s="38" t="str">
        <f t="shared" si="43"/>
        <v/>
      </c>
      <c r="BQ69" s="38" t="str">
        <f t="shared" si="44"/>
        <v>[Link](http://www.therealpresence.org/eucharst/misc/BVM/02_ARCOLA_60x96.pdf)</v>
      </c>
      <c r="BR69" s="38" t="str">
        <f t="shared" si="45"/>
        <v/>
      </c>
      <c r="BS69" s="38" t="str">
        <f t="shared" si="46"/>
        <v/>
      </c>
      <c r="BT69" s="38" t="str">
        <f>IF(LEN(concat(BQ69:BS69))&gt;0,concat("| ",BQ69," | ",BR69," | ",BS69," |"),"")</f>
        <v>| [Link](http://www.therealpresence.org/eucharst/misc/BVM/02_ARCOLA_60x96.pdf) |  |  |</v>
      </c>
      <c r="BU69" s="37" t="str">
        <f t="shared" si="47"/>
        <v xml:space="preserve">| The Real Presence | Miracle Hunter | MaryPages |_x000D_
| --- | --- | --- |_x000D_
| [Link](http://www.therealpresence.org/eucharst/misc/BVM/02_ARCOLA_60x96.pdf) |  |  |_x000D_
</v>
      </c>
      <c r="BV69" s="37" t="str">
        <f>IF(LEN(BP69&amp;BU69)&gt;0,concatll("#### Source Material",BP69,BU69),"")</f>
        <v xml:space="preserve">#### Source Material_x000D_
_x000D_
| The Real Presence | Miracle Hunter | MaryPages |_x000D_
| --- | --- | --- |_x000D_
| [Link](http://www.therealpresence.org/eucharst/misc/BVM/02_ARCOLA_60x96.pdf) |  |  |_x000D_
_x000D_
_x000D_
</v>
      </c>
      <c r="BW69" s="37" t="str">
        <f>IF(LEN(O69)&gt;1,concatll("#### Author's Note",O69),"")</f>
        <v/>
      </c>
      <c r="BX69" s="24" t="str">
        <f>IF(AR69,concatll(concatl("---",AS69:AU69,BK69,"---"),N69,BV69:BW69),"")</f>
        <v/>
      </c>
      <c r="BY69" s="24" t="str">
        <f>IF(AR69,VLOOKUP(C69,'(Ref) Countries'!A:B,2,)&amp;IF(LEN(D69)&gt;1,"-"&amp;LOWER(SUBSTITUTE(D69," ","-")),"")&amp;"-"&amp;LOWER(SUBSTITUTE(I69," ","-"))&amp;".md","")</f>
        <v/>
      </c>
      <c r="BZ69" s="37" t="str">
        <f>IF(LEN(AG69)&gt;1,VLOOKUP(AG69,'Tag List'!$A:$B,2,),"")</f>
        <v/>
      </c>
      <c r="CA69" s="37" t="str">
        <f>IF(LEN(AH69)&gt;1,VLOOKUP(AH69,'Tag List'!$A:$B,2,),"")</f>
        <v/>
      </c>
      <c r="CB69" s="37" t="str">
        <f>IF(LEN(AI69)&gt;1,VLOOKUP(AI69,'Tag List'!$A:$B,2,),"")</f>
        <v/>
      </c>
      <c r="CC69" s="38" t="str">
        <f>IF(LEN(AG69)&gt;1,GetTagPage(BZ69,AG69),"")</f>
        <v/>
      </c>
      <c r="CD69" s="38" t="str">
        <f>IF(LEN(AH69)&gt;1,GetTagPage(CA69,AH69),"")</f>
        <v/>
      </c>
      <c r="CE69" s="38" t="str">
        <f>IF(LEN(AI69)&gt;1,GetTagPage(CB69,AI69),"")</f>
        <v/>
      </c>
      <c r="CF69" s="38" t="str">
        <f>"|"&amp;IF(LEN(CC69)&gt;1," "&amp;CC69,"")&amp;IF(LEN(CD69)&gt;1,", "&amp;CD69,"")&amp;IF(LEN(CE69)&gt;1,", "&amp;CE69,"")&amp;" "</f>
        <v xml:space="preserve">| </v>
      </c>
      <c r="CG69" s="38" t="str">
        <f>"| "&amp;IF(AR69,"["&amp;B69&amp;"](/places/"&amp;SUBSTITUTE(BY69,".md","")&amp;")",B69)&amp;" "</f>
        <v xml:space="preserve">| Arcola </v>
      </c>
      <c r="CH69" s="38" t="str">
        <f>"| "&amp;IF(AR69,GetTagPage(C69,VLOOKUP(C69,'(Ref) Countries'!A:C,3,)),C69)&amp; " "</f>
        <v xml:space="preserve">| Italy </v>
      </c>
      <c r="CI69" s="38" t="str">
        <f>"| "&amp;E69&amp;" "</f>
        <v xml:space="preserve">| 1556 </v>
      </c>
      <c r="CJ69" s="38" t="str">
        <f>"|"&amp;IF(AR69," [Link](/places/"&amp;SUBSTITUTE(BY69,".md","")&amp;")","")&amp;" "</f>
        <v xml:space="preserve">| </v>
      </c>
      <c r="CK69" s="37" t="str">
        <f>"
"&amp;CG69&amp;CH69&amp;CI69&amp;CJ69&amp;BL69&amp;BQ69&amp;BR69&amp;BS69&amp;CF69&amp;"|"</f>
        <v xml:space="preserve">
| Arcola | Italy | 1556 | [Link](http://www.therealpresence.org/eucharst/misc/BVM/02_ARCOLA_60x96.pdf)| |</v>
      </c>
    </row>
    <row r="70" spans="1:89" x14ac:dyDescent="0.25">
      <c r="B70" s="28" t="s">
        <v>1244</v>
      </c>
      <c r="C70" s="29" t="s">
        <v>11</v>
      </c>
      <c r="E70" s="31">
        <v>1557</v>
      </c>
      <c r="J70" s="30" t="s">
        <v>1728</v>
      </c>
      <c r="K70" s="32" t="b">
        <v>1</v>
      </c>
      <c r="L70" s="30" t="b">
        <v>1</v>
      </c>
      <c r="P70" s="30" t="s">
        <v>336</v>
      </c>
      <c r="Q70" s="30" t="s">
        <v>336</v>
      </c>
      <c r="AA70" s="71" t="s">
        <v>245</v>
      </c>
      <c r="AB70" s="30" t="s">
        <v>336</v>
      </c>
      <c r="AC70" s="30" t="s">
        <v>336</v>
      </c>
      <c r="AD70" s="30" t="s">
        <v>336</v>
      </c>
      <c r="AE70" s="30" t="s">
        <v>336</v>
      </c>
      <c r="AF70" s="67" t="s">
        <v>336</v>
      </c>
      <c r="AG70" s="30" t="s">
        <v>336</v>
      </c>
      <c r="AR70" s="36" t="b">
        <f>IF(OR(A70="Done",A70="In Progress"),TRUE)</f>
        <v>0</v>
      </c>
      <c r="AS70" s="37" t="str">
        <f>"title: """&amp;H70&amp;""""</f>
        <v>title: ""</v>
      </c>
      <c r="AT70" s="37" t="str">
        <f>"location: {lat: "&amp;F70&amp;", lng: "&amp;G70&amp;"}"</f>
        <v>location: {lat: , lng: }</v>
      </c>
      <c r="AU70" s="37" t="str">
        <f>"level: "&amp;J70</f>
        <v>level: global</v>
      </c>
      <c r="AV70" s="37" t="str">
        <f>"- "&amp;VLOOKUP(C70,'(Ref) Countries'!A:C,3,)</f>
        <v>- italy</v>
      </c>
      <c r="AW70" s="37" t="str">
        <f t="shared" si="24"/>
        <v/>
      </c>
      <c r="AX70" s="37" t="str">
        <f t="shared" si="25"/>
        <v>- churches</v>
      </c>
      <c r="AY70" s="37" t="str">
        <f t="shared" si="26"/>
        <v>- marian-sites</v>
      </c>
      <c r="AZ70" s="37" t="str">
        <f t="shared" si="27"/>
        <v/>
      </c>
      <c r="BA70" s="37" t="str">
        <f t="shared" si="28"/>
        <v/>
      </c>
      <c r="BB70" s="37" t="str">
        <f t="shared" si="29"/>
        <v/>
      </c>
      <c r="BC70" s="37" t="str">
        <f t="shared" si="30"/>
        <v/>
      </c>
      <c r="BD70" s="37" t="str">
        <f t="shared" si="31"/>
        <v/>
      </c>
      <c r="BE70" s="37" t="str">
        <f t="shared" si="32"/>
        <v/>
      </c>
      <c r="BF70" s="37" t="str">
        <f t="shared" si="33"/>
        <v/>
      </c>
      <c r="BG70" s="37" t="str">
        <f t="shared" si="34"/>
        <v/>
      </c>
      <c r="BH70" s="37" t="str">
        <f t="shared" si="35"/>
        <v/>
      </c>
      <c r="BI70" s="37" t="str">
        <f t="shared" si="36"/>
        <v/>
      </c>
      <c r="BJ70" s="37" t="str">
        <f t="shared" si="37"/>
        <v/>
      </c>
      <c r="BK70" s="37" t="str">
        <f t="shared" si="38"/>
        <v xml:space="preserve">tags:
- italy_x000D_
- churches_x000D_
- marian-sites_x000D_
</v>
      </c>
      <c r="BL70" s="38" t="str">
        <f t="shared" si="39"/>
        <v/>
      </c>
      <c r="BM70" s="38" t="str">
        <f t="shared" si="40"/>
        <v/>
      </c>
      <c r="BN70" s="38" t="str">
        <f t="shared" si="41"/>
        <v/>
      </c>
      <c r="BO70" s="38" t="str">
        <f t="shared" si="42"/>
        <v/>
      </c>
      <c r="BP70" s="38" t="str">
        <f t="shared" si="43"/>
        <v/>
      </c>
      <c r="BQ70" s="38" t="str">
        <f t="shared" si="44"/>
        <v>[Link](http://www.therealpresence.org/eucharst/misc/BVM/56_GIULIANOVA_96x96.pdf)</v>
      </c>
      <c r="BR70" s="38" t="str">
        <f t="shared" si="45"/>
        <v/>
      </c>
      <c r="BS70" s="38" t="str">
        <f t="shared" si="46"/>
        <v/>
      </c>
      <c r="BT70" s="38" t="str">
        <f>IF(LEN(concat(BQ70:BS70))&gt;0,concat("| ",BQ70," | ",BR70," | ",BS70," |"),"")</f>
        <v>| [Link](http://www.therealpresence.org/eucharst/misc/BVM/56_GIULIANOVA_96x96.pdf) |  |  |</v>
      </c>
      <c r="BU70" s="37" t="str">
        <f t="shared" si="47"/>
        <v xml:space="preserve">| The Real Presence | Miracle Hunter | MaryPages |_x000D_
| --- | --- | --- |_x000D_
| [Link](http://www.therealpresence.org/eucharst/misc/BVM/56_GIULIANOVA_96x96.pdf) |  |  |_x000D_
</v>
      </c>
      <c r="BV70" s="37" t="str">
        <f>IF(LEN(BP70&amp;BU70)&gt;0,concatll("#### Source Material",BP70,BU70),"")</f>
        <v xml:space="preserve">#### Source Material_x000D_
_x000D_
| The Real Presence | Miracle Hunter | MaryPages |_x000D_
| --- | --- | --- |_x000D_
| [Link](http://www.therealpresence.org/eucharst/misc/BVM/56_GIULIANOVA_96x96.pdf) |  |  |_x000D_
_x000D_
_x000D_
</v>
      </c>
      <c r="BW70" s="37" t="str">
        <f>IF(LEN(O70)&gt;1,concatll("#### Author's Note",O70),"")</f>
        <v/>
      </c>
      <c r="BX70" s="24" t="str">
        <f>IF(AR70,concatll(concatl("---",AS70:AU70,BK70,"---"),N70,BV70:BW70),"")</f>
        <v/>
      </c>
      <c r="BY70" s="24" t="str">
        <f>IF(AR70,VLOOKUP(C70,'(Ref) Countries'!A:B,2,)&amp;IF(LEN(D70)&gt;1,"-"&amp;LOWER(SUBSTITUTE(D70," ","-")),"")&amp;"-"&amp;LOWER(SUBSTITUTE(I70," ","-"))&amp;".md","")</f>
        <v/>
      </c>
      <c r="BZ70" s="37" t="str">
        <f>IF(LEN(AG70)&gt;1,VLOOKUP(AG70,'Tag List'!$A:$B,2,),"")</f>
        <v/>
      </c>
      <c r="CA70" s="37" t="str">
        <f>IF(LEN(AH70)&gt;1,VLOOKUP(AH70,'Tag List'!$A:$B,2,),"")</f>
        <v/>
      </c>
      <c r="CB70" s="37" t="str">
        <f>IF(LEN(AI70)&gt;1,VLOOKUP(AI70,'Tag List'!$A:$B,2,),"")</f>
        <v/>
      </c>
      <c r="CC70" s="38" t="str">
        <f>IF(LEN(AG70)&gt;1,GetTagPage(BZ70,AG70),"")</f>
        <v/>
      </c>
      <c r="CD70" s="38" t="str">
        <f>IF(LEN(AH70)&gt;1,GetTagPage(CA70,AH70),"")</f>
        <v/>
      </c>
      <c r="CE70" s="38" t="str">
        <f>IF(LEN(AI70)&gt;1,GetTagPage(CB70,AI70),"")</f>
        <v/>
      </c>
      <c r="CF70" s="38" t="str">
        <f>"|"&amp;IF(LEN(CC70)&gt;1," "&amp;CC70,"")&amp;IF(LEN(CD70)&gt;1,", "&amp;CD70,"")&amp;IF(LEN(CE70)&gt;1,", "&amp;CE70,"")&amp;" "</f>
        <v xml:space="preserve">| </v>
      </c>
      <c r="CG70" s="38" t="str">
        <f>"| "&amp;IF(AR70,"["&amp;B70&amp;"](/places/"&amp;SUBSTITUTE(BY70,".md","")&amp;")",B70)&amp;" "</f>
        <v xml:space="preserve">| Giulianova </v>
      </c>
      <c r="CH70" s="38" t="str">
        <f>"| "&amp;IF(AR70,GetTagPage(C70,VLOOKUP(C70,'(Ref) Countries'!A:C,3,)),C70)&amp; " "</f>
        <v xml:space="preserve">| Italy </v>
      </c>
      <c r="CI70" s="38" t="str">
        <f>"| "&amp;E70&amp;" "</f>
        <v xml:space="preserve">| 1557 </v>
      </c>
      <c r="CJ70" s="38" t="str">
        <f>"|"&amp;IF(AR70," [Link](/places/"&amp;SUBSTITUTE(BY70,".md","")&amp;")","")&amp;" "</f>
        <v xml:space="preserve">| </v>
      </c>
      <c r="CK70" s="37" t="str">
        <f>"
"&amp;CG70&amp;CH70&amp;CI70&amp;CJ70&amp;BL70&amp;BQ70&amp;BR70&amp;BS70&amp;CF70&amp;"|"</f>
        <v xml:space="preserve">
| Giulianova | Italy | 1557 | [Link](http://www.therealpresence.org/eucharst/misc/BVM/56_GIULIANOVA_96x96.pdf)| |</v>
      </c>
    </row>
    <row r="71" spans="1:89" x14ac:dyDescent="0.25">
      <c r="B71" s="28" t="s">
        <v>1245</v>
      </c>
      <c r="C71" s="29" t="s">
        <v>11</v>
      </c>
      <c r="E71" s="31">
        <v>1558</v>
      </c>
      <c r="J71" s="30" t="s">
        <v>1728</v>
      </c>
      <c r="K71" s="32" t="b">
        <v>1</v>
      </c>
      <c r="L71" s="30" t="b">
        <v>1</v>
      </c>
      <c r="P71" s="30" t="s">
        <v>336</v>
      </c>
      <c r="Q71" s="30" t="s">
        <v>336</v>
      </c>
      <c r="AA71" s="71" t="s">
        <v>246</v>
      </c>
      <c r="AB71" s="30" t="s">
        <v>336</v>
      </c>
      <c r="AC71" s="30" t="s">
        <v>336</v>
      </c>
      <c r="AD71" s="30" t="s">
        <v>336</v>
      </c>
      <c r="AE71" s="30" t="s">
        <v>336</v>
      </c>
      <c r="AF71" s="67" t="s">
        <v>336</v>
      </c>
      <c r="AG71" s="30" t="s">
        <v>336</v>
      </c>
      <c r="AR71" s="36" t="b">
        <f>IF(OR(A71="Done",A71="In Progress"),TRUE)</f>
        <v>0</v>
      </c>
      <c r="AS71" s="37" t="str">
        <f>"title: """&amp;H71&amp;""""</f>
        <v>title: ""</v>
      </c>
      <c r="AT71" s="37" t="str">
        <f>"location: {lat: "&amp;F71&amp;", lng: "&amp;G71&amp;"}"</f>
        <v>location: {lat: , lng: }</v>
      </c>
      <c r="AU71" s="37" t="str">
        <f>"level: "&amp;J71</f>
        <v>level: global</v>
      </c>
      <c r="AV71" s="37" t="str">
        <f>"- "&amp;VLOOKUP(C71,'(Ref) Countries'!A:C,3,)</f>
        <v>- italy</v>
      </c>
      <c r="AW71" s="37" t="str">
        <f t="shared" si="24"/>
        <v/>
      </c>
      <c r="AX71" s="37" t="str">
        <f t="shared" si="25"/>
        <v>- churches</v>
      </c>
      <c r="AY71" s="37" t="str">
        <f t="shared" si="26"/>
        <v>- marian-sites</v>
      </c>
      <c r="AZ71" s="37" t="str">
        <f t="shared" si="27"/>
        <v/>
      </c>
      <c r="BA71" s="37" t="str">
        <f t="shared" si="28"/>
        <v/>
      </c>
      <c r="BB71" s="37" t="str">
        <f t="shared" si="29"/>
        <v/>
      </c>
      <c r="BC71" s="37" t="str">
        <f t="shared" si="30"/>
        <v/>
      </c>
      <c r="BD71" s="37" t="str">
        <f t="shared" si="31"/>
        <v/>
      </c>
      <c r="BE71" s="37" t="str">
        <f t="shared" si="32"/>
        <v/>
      </c>
      <c r="BF71" s="37" t="str">
        <f t="shared" si="33"/>
        <v/>
      </c>
      <c r="BG71" s="37" t="str">
        <f t="shared" si="34"/>
        <v/>
      </c>
      <c r="BH71" s="37" t="str">
        <f t="shared" si="35"/>
        <v/>
      </c>
      <c r="BI71" s="37" t="str">
        <f t="shared" si="36"/>
        <v/>
      </c>
      <c r="BJ71" s="37" t="str">
        <f t="shared" si="37"/>
        <v/>
      </c>
      <c r="BK71" s="37" t="str">
        <f t="shared" si="38"/>
        <v xml:space="preserve">tags:
- italy_x000D_
- churches_x000D_
- marian-sites_x000D_
</v>
      </c>
      <c r="BL71" s="38" t="str">
        <f t="shared" si="39"/>
        <v/>
      </c>
      <c r="BM71" s="38" t="str">
        <f t="shared" si="40"/>
        <v/>
      </c>
      <c r="BN71" s="38" t="str">
        <f t="shared" si="41"/>
        <v/>
      </c>
      <c r="BO71" s="38" t="str">
        <f t="shared" si="42"/>
        <v/>
      </c>
      <c r="BP71" s="38" t="str">
        <f t="shared" si="43"/>
        <v/>
      </c>
      <c r="BQ71" s="38" t="str">
        <f t="shared" si="44"/>
        <v>[Link](http://www.therealpresence.org/eucharst/misc/BVM/62_GEROSA_60x96.pdf)</v>
      </c>
      <c r="BR71" s="38" t="str">
        <f t="shared" si="45"/>
        <v/>
      </c>
      <c r="BS71" s="38" t="str">
        <f t="shared" si="46"/>
        <v/>
      </c>
      <c r="BT71" s="38" t="str">
        <f>IF(LEN(concat(BQ71:BS71))&gt;0,concat("| ",BQ71," | ",BR71," | ",BS71," |"),"")</f>
        <v>| [Link](http://www.therealpresence.org/eucharst/misc/BVM/62_GEROSA_60x96.pdf) |  |  |</v>
      </c>
      <c r="BU71" s="37" t="str">
        <f t="shared" si="47"/>
        <v xml:space="preserve">| The Real Presence | Miracle Hunter | MaryPages |_x000D_
| --- | --- | --- |_x000D_
| [Link](http://www.therealpresence.org/eucharst/misc/BVM/62_GEROSA_60x96.pdf) |  |  |_x000D_
</v>
      </c>
      <c r="BV71" s="37" t="str">
        <f>IF(LEN(BP71&amp;BU71)&gt;0,concatll("#### Source Material",BP71,BU71),"")</f>
        <v xml:space="preserve">#### Source Material_x000D_
_x000D_
| The Real Presence | Miracle Hunter | MaryPages |_x000D_
| --- | --- | --- |_x000D_
| [Link](http://www.therealpresence.org/eucharst/misc/BVM/62_GEROSA_60x96.pdf) |  |  |_x000D_
_x000D_
_x000D_
</v>
      </c>
      <c r="BW71" s="37" t="str">
        <f>IF(LEN(O71)&gt;1,concatll("#### Author's Note",O71),"")</f>
        <v/>
      </c>
      <c r="BX71" s="24" t="str">
        <f>IF(AR71,concatll(concatl("---",AS71:AU71,BK71,"---"),N71,BV71:BW71),"")</f>
        <v/>
      </c>
      <c r="BY71" s="24" t="str">
        <f>IF(AR71,VLOOKUP(C71,'(Ref) Countries'!A:B,2,)&amp;IF(LEN(D71)&gt;1,"-"&amp;LOWER(SUBSTITUTE(D71," ","-")),"")&amp;"-"&amp;LOWER(SUBSTITUTE(I71," ","-"))&amp;".md","")</f>
        <v/>
      </c>
      <c r="BZ71" s="37" t="str">
        <f>IF(LEN(AG71)&gt;1,VLOOKUP(AG71,'Tag List'!$A:$B,2,),"")</f>
        <v/>
      </c>
      <c r="CA71" s="37" t="str">
        <f>IF(LEN(AH71)&gt;1,VLOOKUP(AH71,'Tag List'!$A:$B,2,),"")</f>
        <v/>
      </c>
      <c r="CB71" s="37" t="str">
        <f>IF(LEN(AI71)&gt;1,VLOOKUP(AI71,'Tag List'!$A:$B,2,),"")</f>
        <v/>
      </c>
      <c r="CC71" s="38" t="str">
        <f>IF(LEN(AG71)&gt;1,GetTagPage(BZ71,AG71),"")</f>
        <v/>
      </c>
      <c r="CD71" s="38" t="str">
        <f>IF(LEN(AH71)&gt;1,GetTagPage(CA71,AH71),"")</f>
        <v/>
      </c>
      <c r="CE71" s="38" t="str">
        <f>IF(LEN(AI71)&gt;1,GetTagPage(CB71,AI71),"")</f>
        <v/>
      </c>
      <c r="CF71" s="38" t="str">
        <f>"|"&amp;IF(LEN(CC71)&gt;1," "&amp;CC71,"")&amp;IF(LEN(CD71)&gt;1,", "&amp;CD71,"")&amp;IF(LEN(CE71)&gt;1,", "&amp;CE71,"")&amp;" "</f>
        <v xml:space="preserve">| </v>
      </c>
      <c r="CG71" s="38" t="str">
        <f>"| "&amp;IF(AR71,"["&amp;B71&amp;"](/places/"&amp;SUBSTITUTE(BY71,".md","")&amp;")",B71)&amp;" "</f>
        <v xml:space="preserve">| Gerosa </v>
      </c>
      <c r="CH71" s="38" t="str">
        <f>"| "&amp;IF(AR71,GetTagPage(C71,VLOOKUP(C71,'(Ref) Countries'!A:C,3,)),C71)&amp; " "</f>
        <v xml:space="preserve">| Italy </v>
      </c>
      <c r="CI71" s="38" t="str">
        <f>"| "&amp;E71&amp;" "</f>
        <v xml:space="preserve">| 1558 </v>
      </c>
      <c r="CJ71" s="38" t="str">
        <f>"|"&amp;IF(AR71," [Link](/places/"&amp;SUBSTITUTE(BY71,".md","")&amp;")","")&amp;" "</f>
        <v xml:space="preserve">| </v>
      </c>
      <c r="CK71" s="37" t="str">
        <f>"
"&amp;CG71&amp;CH71&amp;CI71&amp;CJ71&amp;BL71&amp;BQ71&amp;BR71&amp;BS71&amp;CF71&amp;"|"</f>
        <v xml:space="preserve">
| Gerosa | Italy | 1558 | [Link](http://www.therealpresence.org/eucharst/misc/BVM/62_GEROSA_60x96.pdf)| |</v>
      </c>
    </row>
    <row r="72" spans="1:89" x14ac:dyDescent="0.25">
      <c r="B72" s="28" t="s">
        <v>1246</v>
      </c>
      <c r="C72" s="29" t="s">
        <v>11</v>
      </c>
      <c r="E72" s="31">
        <v>1562</v>
      </c>
      <c r="J72" s="30" t="s">
        <v>1728</v>
      </c>
      <c r="K72" s="32" t="b">
        <v>1</v>
      </c>
      <c r="L72" s="30" t="b">
        <v>1</v>
      </c>
      <c r="P72" s="30" t="s">
        <v>336</v>
      </c>
      <c r="Q72" s="30" t="s">
        <v>336</v>
      </c>
      <c r="AA72" s="71" t="s">
        <v>247</v>
      </c>
      <c r="AB72" s="30" t="s">
        <v>336</v>
      </c>
      <c r="AC72" s="30" t="s">
        <v>336</v>
      </c>
      <c r="AD72" s="30" t="s">
        <v>336</v>
      </c>
      <c r="AE72" s="30" t="s">
        <v>336</v>
      </c>
      <c r="AF72" s="67" t="s">
        <v>336</v>
      </c>
      <c r="AG72" s="30" t="s">
        <v>336</v>
      </c>
      <c r="AR72" s="36" t="b">
        <f>IF(OR(A72="Done",A72="In Progress"),TRUE)</f>
        <v>0</v>
      </c>
      <c r="AS72" s="37" t="str">
        <f>"title: """&amp;H72&amp;""""</f>
        <v>title: ""</v>
      </c>
      <c r="AT72" s="37" t="str">
        <f>"location: {lat: "&amp;F72&amp;", lng: "&amp;G72&amp;"}"</f>
        <v>location: {lat: , lng: }</v>
      </c>
      <c r="AU72" s="37" t="str">
        <f>"level: "&amp;J72</f>
        <v>level: global</v>
      </c>
      <c r="AV72" s="37" t="str">
        <f>"- "&amp;VLOOKUP(C72,'(Ref) Countries'!A:C,3,)</f>
        <v>- italy</v>
      </c>
      <c r="AW72" s="37" t="str">
        <f t="shared" si="24"/>
        <v/>
      </c>
      <c r="AX72" s="37" t="str">
        <f t="shared" si="25"/>
        <v>- churches</v>
      </c>
      <c r="AY72" s="37" t="str">
        <f t="shared" si="26"/>
        <v>- marian-sites</v>
      </c>
      <c r="AZ72" s="37" t="str">
        <f t="shared" si="27"/>
        <v/>
      </c>
      <c r="BA72" s="37" t="str">
        <f t="shared" si="28"/>
        <v/>
      </c>
      <c r="BB72" s="37" t="str">
        <f t="shared" si="29"/>
        <v/>
      </c>
      <c r="BC72" s="37" t="str">
        <f t="shared" si="30"/>
        <v/>
      </c>
      <c r="BD72" s="37" t="str">
        <f t="shared" si="31"/>
        <v/>
      </c>
      <c r="BE72" s="37" t="str">
        <f t="shared" si="32"/>
        <v/>
      </c>
      <c r="BF72" s="37" t="str">
        <f t="shared" si="33"/>
        <v/>
      </c>
      <c r="BG72" s="37" t="str">
        <f t="shared" si="34"/>
        <v/>
      </c>
      <c r="BH72" s="37" t="str">
        <f t="shared" si="35"/>
        <v/>
      </c>
      <c r="BI72" s="37" t="str">
        <f t="shared" si="36"/>
        <v/>
      </c>
      <c r="BJ72" s="37" t="str">
        <f t="shared" si="37"/>
        <v/>
      </c>
      <c r="BK72" s="37" t="str">
        <f t="shared" si="38"/>
        <v xml:space="preserve">tags:
- italy_x000D_
- churches_x000D_
- marian-sites_x000D_
</v>
      </c>
      <c r="BL72" s="38" t="str">
        <f t="shared" si="39"/>
        <v/>
      </c>
      <c r="BM72" s="38" t="str">
        <f t="shared" si="40"/>
        <v/>
      </c>
      <c r="BN72" s="38" t="str">
        <f t="shared" si="41"/>
        <v/>
      </c>
      <c r="BO72" s="38" t="str">
        <f t="shared" si="42"/>
        <v/>
      </c>
      <c r="BP72" s="38" t="str">
        <f t="shared" si="43"/>
        <v/>
      </c>
      <c r="BQ72" s="38" t="str">
        <f t="shared" si="44"/>
        <v>[Link](http://www.therealpresence.org/eucharst/misc/BVM/141_MONCRIVELLO_60x96.pdf)</v>
      </c>
      <c r="BR72" s="38" t="str">
        <f t="shared" si="45"/>
        <v/>
      </c>
      <c r="BS72" s="38" t="str">
        <f t="shared" si="46"/>
        <v/>
      </c>
      <c r="BT72" s="38" t="str">
        <f>IF(LEN(concat(BQ72:BS72))&gt;0,concat("| ",BQ72," | ",BR72," | ",BS72," |"),"")</f>
        <v>| [Link](http://www.therealpresence.org/eucharst/misc/BVM/141_MONCRIVELLO_60x96.pdf) |  |  |</v>
      </c>
      <c r="BU72" s="37" t="str">
        <f t="shared" si="47"/>
        <v xml:space="preserve">| The Real Presence | Miracle Hunter | MaryPages |_x000D_
| --- | --- | --- |_x000D_
| [Link](http://www.therealpresence.org/eucharst/misc/BVM/141_MONCRIVELLO_60x96.pdf) |  |  |_x000D_
</v>
      </c>
      <c r="BV72" s="37" t="str">
        <f>IF(LEN(BP72&amp;BU72)&gt;0,concatll("#### Source Material",BP72,BU72),"")</f>
        <v xml:space="preserve">#### Source Material_x000D_
_x000D_
| The Real Presence | Miracle Hunter | MaryPages |_x000D_
| --- | --- | --- |_x000D_
| [Link](http://www.therealpresence.org/eucharst/misc/BVM/141_MONCRIVELLO_60x96.pdf) |  |  |_x000D_
_x000D_
_x000D_
</v>
      </c>
      <c r="BW72" s="37" t="str">
        <f>IF(LEN(O72)&gt;1,concatll("#### Author's Note",O72),"")</f>
        <v/>
      </c>
      <c r="BX72" s="24" t="str">
        <f>IF(AR72,concatll(concatl("---",AS72:AU72,BK72,"---"),N72,BV72:BW72),"")</f>
        <v/>
      </c>
      <c r="BY72" s="24" t="str">
        <f>IF(AR72,VLOOKUP(C72,'(Ref) Countries'!A:B,2,)&amp;IF(LEN(D72)&gt;1,"-"&amp;LOWER(SUBSTITUTE(D72," ","-")),"")&amp;"-"&amp;LOWER(SUBSTITUTE(I72," ","-"))&amp;".md","")</f>
        <v/>
      </c>
      <c r="BZ72" s="37" t="str">
        <f>IF(LEN(AG72)&gt;1,VLOOKUP(AG72,'Tag List'!$A:$B,2,),"")</f>
        <v/>
      </c>
      <c r="CA72" s="37" t="str">
        <f>IF(LEN(AH72)&gt;1,VLOOKUP(AH72,'Tag List'!$A:$B,2,),"")</f>
        <v/>
      </c>
      <c r="CB72" s="37" t="str">
        <f>IF(LEN(AI72)&gt;1,VLOOKUP(AI72,'Tag List'!$A:$B,2,),"")</f>
        <v/>
      </c>
      <c r="CC72" s="38" t="str">
        <f>IF(LEN(AG72)&gt;1,GetTagPage(BZ72,AG72),"")</f>
        <v/>
      </c>
      <c r="CD72" s="38" t="str">
        <f>IF(LEN(AH72)&gt;1,GetTagPage(CA72,AH72),"")</f>
        <v/>
      </c>
      <c r="CE72" s="38" t="str">
        <f>IF(LEN(AI72)&gt;1,GetTagPage(CB72,AI72),"")</f>
        <v/>
      </c>
      <c r="CF72" s="38" t="str">
        <f>"|"&amp;IF(LEN(CC72)&gt;1," "&amp;CC72,"")&amp;IF(LEN(CD72)&gt;1,", "&amp;CD72,"")&amp;IF(LEN(CE72)&gt;1,", "&amp;CE72,"")&amp;" "</f>
        <v xml:space="preserve">| </v>
      </c>
      <c r="CG72" s="38" t="str">
        <f>"| "&amp;IF(AR72,"["&amp;B72&amp;"](/places/"&amp;SUBSTITUTE(BY72,".md","")&amp;")",B72)&amp;" "</f>
        <v xml:space="preserve">| Moncrivello </v>
      </c>
      <c r="CH72" s="38" t="str">
        <f>"| "&amp;IF(AR72,GetTagPage(C72,VLOOKUP(C72,'(Ref) Countries'!A:C,3,)),C72)&amp; " "</f>
        <v xml:space="preserve">| Italy </v>
      </c>
      <c r="CI72" s="38" t="str">
        <f>"| "&amp;E72&amp;" "</f>
        <v xml:space="preserve">| 1562 </v>
      </c>
      <c r="CJ72" s="38" t="str">
        <f>"|"&amp;IF(AR72," [Link](/places/"&amp;SUBSTITUTE(BY72,".md","")&amp;")","")&amp;" "</f>
        <v xml:space="preserve">| </v>
      </c>
      <c r="CK72" s="37" t="str">
        <f>"
"&amp;CG72&amp;CH72&amp;CI72&amp;CJ72&amp;BL72&amp;BQ72&amp;BR72&amp;BS72&amp;CF72&amp;"|"</f>
        <v xml:space="preserve">
| Moncrivello | Italy | 1562 | [Link](http://www.therealpresence.org/eucharst/misc/BVM/141_MONCRIVELLO_60x96.pdf)| |</v>
      </c>
    </row>
    <row r="73" spans="1:89" x14ac:dyDescent="0.25">
      <c r="A73" s="25" t="s">
        <v>1052</v>
      </c>
      <c r="B73" s="28" t="s">
        <v>1247</v>
      </c>
      <c r="C73" s="29" t="s">
        <v>626</v>
      </c>
      <c r="E73" s="31">
        <v>1575</v>
      </c>
      <c r="F73" s="71">
        <v>36.0617520264557</v>
      </c>
      <c r="G73" s="67">
        <v>14.2153318855345</v>
      </c>
      <c r="H73" s="29" t="s">
        <v>1373</v>
      </c>
      <c r="I73" s="76" t="s">
        <v>1726</v>
      </c>
      <c r="J73" s="32" t="s">
        <v>1728</v>
      </c>
      <c r="K73" s="32" t="b">
        <v>1</v>
      </c>
      <c r="L73" s="30" t="b">
        <v>1</v>
      </c>
      <c r="N73" s="29" t="s">
        <v>1337</v>
      </c>
      <c r="P73" s="30" t="s">
        <v>1370</v>
      </c>
      <c r="Q73" s="30" t="s">
        <v>336</v>
      </c>
      <c r="AA73" s="71" t="s">
        <v>248</v>
      </c>
      <c r="AB73" s="30" t="s">
        <v>336</v>
      </c>
      <c r="AC73" s="30" t="s">
        <v>1371</v>
      </c>
      <c r="AD73" s="30" t="s">
        <v>336</v>
      </c>
      <c r="AE73" s="30" t="s">
        <v>1372</v>
      </c>
      <c r="AF73" s="67" t="s">
        <v>336</v>
      </c>
      <c r="AG73" s="30" t="s">
        <v>336</v>
      </c>
      <c r="AR73" s="36" t="b">
        <f>IF(OR(A73="Done",A73="In Progress"),TRUE)</f>
        <v>1</v>
      </c>
      <c r="AS73" s="37" t="str">
        <f>"title: """&amp;H73&amp;""""</f>
        <v>title: "Basilica of the Blessed Virgin of Ta' Pinu"</v>
      </c>
      <c r="AT73" s="37" t="str">
        <f>"location: {lat: "&amp;F73&amp;", lng: "&amp;G73&amp;"}"</f>
        <v>location: {lat: 36.0617520264557, lng: 14.2153318855345}</v>
      </c>
      <c r="AU73" s="37" t="str">
        <f>"level: "&amp;J73</f>
        <v>level: global</v>
      </c>
      <c r="AV73" s="37" t="str">
        <f>"- "&amp;VLOOKUP(C73,'(Ref) Countries'!A:C,3,)</f>
        <v>- malta</v>
      </c>
      <c r="AW73" s="37" t="str">
        <f t="shared" si="24"/>
        <v/>
      </c>
      <c r="AX73" s="37" t="str">
        <f t="shared" si="25"/>
        <v>- churches</v>
      </c>
      <c r="AY73" s="37" t="str">
        <f t="shared" si="26"/>
        <v>- marian-sites</v>
      </c>
      <c r="AZ73" s="37" t="str">
        <f t="shared" si="27"/>
        <v/>
      </c>
      <c r="BA73" s="37" t="str">
        <f t="shared" si="28"/>
        <v/>
      </c>
      <c r="BB73" s="37" t="str">
        <f t="shared" si="29"/>
        <v/>
      </c>
      <c r="BC73" s="37" t="str">
        <f t="shared" si="30"/>
        <v/>
      </c>
      <c r="BD73" s="37" t="str">
        <f t="shared" si="31"/>
        <v/>
      </c>
      <c r="BE73" s="37" t="str">
        <f t="shared" si="32"/>
        <v/>
      </c>
      <c r="BF73" s="37" t="str">
        <f t="shared" si="33"/>
        <v/>
      </c>
      <c r="BG73" s="37" t="str">
        <f t="shared" si="34"/>
        <v/>
      </c>
      <c r="BH73" s="37" t="str">
        <f t="shared" si="35"/>
        <v/>
      </c>
      <c r="BI73" s="37" t="str">
        <f t="shared" si="36"/>
        <v/>
      </c>
      <c r="BJ73" s="37" t="str">
        <f t="shared" si="37"/>
        <v/>
      </c>
      <c r="BK73" s="37" t="str">
        <f t="shared" si="38"/>
        <v xml:space="preserve">tags:
- malta_x000D_
- churches_x000D_
- marian-sites_x000D_
</v>
      </c>
      <c r="BL73" s="38" t="str">
        <f t="shared" si="39"/>
        <v>[Official site](http://www.tapinu.org/)</v>
      </c>
      <c r="BM73" s="38" t="str">
        <f t="shared" si="40"/>
        <v/>
      </c>
      <c r="BN73" s="38" t="str">
        <f t="shared" si="41"/>
        <v/>
      </c>
      <c r="BO73" s="38" t="str">
        <f t="shared" si="42"/>
        <v/>
      </c>
      <c r="BP73" s="38" t="str">
        <f t="shared" si="43"/>
        <v xml:space="preserve">* [Official site](http://www.tapinu.org/)
</v>
      </c>
      <c r="BQ73" s="38" t="str">
        <f t="shared" si="44"/>
        <v>[Link](http://www.therealpresence.org/eucharst/misc/BVM/140_GOZO_60x96.pdf)</v>
      </c>
      <c r="BR73" s="38" t="str">
        <f t="shared" si="45"/>
        <v>[Link](http://www.miraclehunter.com/marian_apparitions/approved_apparitions/tapinu/)</v>
      </c>
      <c r="BS73" s="38" t="str">
        <f t="shared" si="46"/>
        <v>[Link](https://www.marypages.com/ta-pinu-malta-en.html)</v>
      </c>
      <c r="BT73" s="38" t="str">
        <f>IF(LEN(concat(BQ73:BS73))&gt;0,concat("| ",BQ73," | ",BR73," | ",BS73," |"),"")</f>
        <v>| [Link](http://www.therealpresence.org/eucharst/misc/BVM/140_GOZO_60x96.pdf) | [Link](http://www.miraclehunter.com/marian_apparitions/approved_apparitions/tapinu/) | [Link](https://www.marypages.com/ta-pinu-malta-en.html) |</v>
      </c>
      <c r="BU73" s="37" t="str">
        <f t="shared" si="47"/>
        <v xml:space="preserve">| The Real Presence | Miracle Hunter | MaryPages |_x000D_
| --- | --- | --- |_x000D_
| [Link](http://www.therealpresence.org/eucharst/misc/BVM/140_GOZO_60x96.pdf) | [Link](http://www.miraclehunter.com/marian_apparitions/approved_apparitions/tapinu/) | [Link](https://www.marypages.com/ta-pinu-malta-en.html) |_x000D_
</v>
      </c>
      <c r="BV73" s="37" t="str">
        <f>IF(LEN(BP73&amp;BU73)&gt;0,concatll("#### Source Material",BP73,BU73),"")</f>
        <v xml:space="preserve">#### Source Material_x000D_
_x000D_
* [Official site](http://www.tapinu.org/)
_x000D_
_x000D_
| The Real Presence | Miracle Hunter | MaryPages |_x000D_
| --- | --- | --- |_x000D_
| [Link](http://www.therealpresence.org/eucharst/misc/BVM/140_GOZO_60x96.pdf) | [Link](http://www.miraclehunter.com/marian_apparitions/approved_apparitions/tapinu/) | [Link](https://www.marypages.com/ta-pinu-malta-en.html) |_x000D_
_x000D_
_x000D_
</v>
      </c>
      <c r="BW73" s="37" t="str">
        <f>IF(LEN(O73)&gt;1,concatll("#### Author's Note",O73),"")</f>
        <v/>
      </c>
      <c r="BX73" s="24" t="str">
        <f>IF(AR73,concatll(concatl("---",AS73:AU73,BK73,"---"),N73,BV73:BW73),"")</f>
        <v xml:space="preserve">---_x000D_
title: "Basilica of the Blessed Virgin of Ta' Pinu"_x000D_
location: {lat: 36.0617520264557, lng: 14.2153318855345}_x000D_
level: global_x000D_
tags:
- malta_x000D_
- churches_x000D_
- marian-sites_x000D_
_x000D_
---_x000D_
_x000D_
_x000D_
_Research in progress__x000D_
_x000D_
#### Source Material_x000D_
_x000D_
* [Official site](http://www.tapinu.org/)
_x000D_
_x000D_
| The Real Presence | Miracle Hunter | MaryPages |_x000D_
| --- | --- | --- |_x000D_
| [Link](http://www.therealpresence.org/eucharst/misc/BVM/140_GOZO_60x96.pdf) | [Link](http://www.miraclehunter.com/marian_apparitions/approved_apparitions/tapinu/) | [Link](https://www.marypages.com/ta-pinu-malta-en.html) |_x000D_
_x000D_
_x000D_
_x000D_
_x000D_
</v>
      </c>
      <c r="BY73" s="24" t="str">
        <f>IF(AR73,VLOOKUP(C73,'(Ref) Countries'!A:B,2,)&amp;IF(LEN(D73)&gt;1,"-"&amp;LOWER(SUBSTITUTE(D73," ","-")),"")&amp;"-"&amp;LOWER(SUBSTITUTE(I73," ","-"))&amp;".md","")</f>
        <v>mt-basilica-of-ta-pinu.md</v>
      </c>
      <c r="BZ73" s="37" t="str">
        <f>IF(LEN(AG73)&gt;1,VLOOKUP(AG73,'Tag List'!$A:$B,2,),"")</f>
        <v/>
      </c>
      <c r="CA73" s="37" t="str">
        <f>IF(LEN(AH73)&gt;1,VLOOKUP(AH73,'Tag List'!$A:$B,2,),"")</f>
        <v/>
      </c>
      <c r="CB73" s="37" t="str">
        <f>IF(LEN(AI73)&gt;1,VLOOKUP(AI73,'Tag List'!$A:$B,2,),"")</f>
        <v/>
      </c>
      <c r="CC73" s="38" t="str">
        <f>IF(LEN(AG73)&gt;1,GetTagPage(BZ73,AG73),"")</f>
        <v/>
      </c>
      <c r="CD73" s="38" t="str">
        <f>IF(LEN(AH73)&gt;1,GetTagPage(CA73,AH73),"")</f>
        <v/>
      </c>
      <c r="CE73" s="38" t="str">
        <f>IF(LEN(AI73)&gt;1,GetTagPage(CB73,AI73),"")</f>
        <v/>
      </c>
      <c r="CF73" s="38" t="str">
        <f>"|"&amp;IF(LEN(CC73)&gt;1," "&amp;CC73,"")&amp;IF(LEN(CD73)&gt;1,", "&amp;CD73,"")&amp;IF(LEN(CE73)&gt;1,", "&amp;CE73,"")&amp;" "</f>
        <v xml:space="preserve">| </v>
      </c>
      <c r="CG73" s="38" t="str">
        <f>"| "&amp;IF(AR73,"["&amp;B73&amp;"](/places/"&amp;SUBSTITUTE(BY73,".md","")&amp;")",B73)&amp;" "</f>
        <v xml:space="preserve">| [Gozo](/places/mt-basilica-of-ta-pinu) </v>
      </c>
      <c r="CH73" s="38" t="str">
        <f>"| "&amp;IF(AR73,GetTagPage(C73,VLOOKUP(C73,'(Ref) Countries'!A:C,3,)),C73)&amp; " "</f>
        <v xml:space="preserve">| [Malta](/tags/malta) </v>
      </c>
      <c r="CI73" s="38" t="str">
        <f>"| "&amp;E73&amp;" "</f>
        <v xml:space="preserve">| 1575 </v>
      </c>
      <c r="CJ73" s="38" t="str">
        <f>"|"&amp;IF(AR73," [Link](/places/"&amp;SUBSTITUTE(BY73,".md","")&amp;")","")&amp;" "</f>
        <v xml:space="preserve">| [Link](/places/mt-basilica-of-ta-pinu) </v>
      </c>
      <c r="CK73" s="37" t="str">
        <f>"
"&amp;CG73&amp;CH73&amp;CI73&amp;CJ73&amp;BL73&amp;BQ73&amp;BR73&amp;BS73&amp;CF73&amp;"|"</f>
        <v xml:space="preserve">
| [Gozo](/places/mt-basilica-of-ta-pinu) | [Malta](/tags/malta) | 1575 | [Link](/places/mt-basilica-of-ta-pinu) [Official site](http://www.tapinu.org/)[Link](http://www.therealpresence.org/eucharst/misc/BVM/140_GOZO_60x96.pdf)[Link](http://www.miraclehunter.com/marian_apparitions/approved_apparitions/tapinu/)[Link](https://www.marypages.com/ta-pinu-malta-en.html)| |</v>
      </c>
    </row>
    <row r="74" spans="1:89" x14ac:dyDescent="0.25">
      <c r="B74" s="28" t="s">
        <v>1248</v>
      </c>
      <c r="C74" s="29" t="s">
        <v>11</v>
      </c>
      <c r="E74" s="31">
        <v>1576</v>
      </c>
      <c r="J74" s="30" t="s">
        <v>1728</v>
      </c>
      <c r="K74" s="32" t="b">
        <v>1</v>
      </c>
      <c r="L74" s="30" t="b">
        <v>1</v>
      </c>
      <c r="P74" s="30" t="s">
        <v>336</v>
      </c>
      <c r="Q74" s="30" t="s">
        <v>336</v>
      </c>
      <c r="AA74" s="71" t="s">
        <v>249</v>
      </c>
      <c r="AB74" s="30" t="s">
        <v>336</v>
      </c>
      <c r="AC74" s="30" t="s">
        <v>336</v>
      </c>
      <c r="AD74" s="30" t="s">
        <v>336</v>
      </c>
      <c r="AE74" s="30" t="s">
        <v>336</v>
      </c>
      <c r="AF74" s="67" t="s">
        <v>336</v>
      </c>
      <c r="AG74" s="30" t="s">
        <v>336</v>
      </c>
      <c r="AR74" s="36" t="b">
        <f>IF(OR(A74="Done",A74="In Progress"),TRUE)</f>
        <v>0</v>
      </c>
      <c r="AS74" s="37" t="str">
        <f>"title: """&amp;H74&amp;""""</f>
        <v>title: ""</v>
      </c>
      <c r="AT74" s="37" t="str">
        <f>"location: {lat: "&amp;F74&amp;", lng: "&amp;G74&amp;"}"</f>
        <v>location: {lat: , lng: }</v>
      </c>
      <c r="AU74" s="37" t="str">
        <f>"level: "&amp;J74</f>
        <v>level: global</v>
      </c>
      <c r="AV74" s="37" t="str">
        <f>"- "&amp;VLOOKUP(C74,'(Ref) Countries'!A:C,3,)</f>
        <v>- italy</v>
      </c>
      <c r="AW74" s="37" t="str">
        <f t="shared" si="24"/>
        <v/>
      </c>
      <c r="AX74" s="37" t="str">
        <f t="shared" si="25"/>
        <v>- churches</v>
      </c>
      <c r="AY74" s="37" t="str">
        <f t="shared" si="26"/>
        <v>- marian-sites</v>
      </c>
      <c r="AZ74" s="37" t="str">
        <f t="shared" si="27"/>
        <v/>
      </c>
      <c r="BA74" s="37" t="str">
        <f t="shared" si="28"/>
        <v/>
      </c>
      <c r="BB74" s="37" t="str">
        <f t="shared" si="29"/>
        <v/>
      </c>
      <c r="BC74" s="37" t="str">
        <f t="shared" si="30"/>
        <v/>
      </c>
      <c r="BD74" s="37" t="str">
        <f t="shared" si="31"/>
        <v/>
      </c>
      <c r="BE74" s="37" t="str">
        <f t="shared" si="32"/>
        <v/>
      </c>
      <c r="BF74" s="37" t="str">
        <f t="shared" si="33"/>
        <v/>
      </c>
      <c r="BG74" s="37" t="str">
        <f t="shared" si="34"/>
        <v/>
      </c>
      <c r="BH74" s="37" t="str">
        <f t="shared" si="35"/>
        <v/>
      </c>
      <c r="BI74" s="37" t="str">
        <f t="shared" si="36"/>
        <v/>
      </c>
      <c r="BJ74" s="37" t="str">
        <f t="shared" si="37"/>
        <v/>
      </c>
      <c r="BK74" s="37" t="str">
        <f t="shared" si="38"/>
        <v xml:space="preserve">tags:
- italy_x000D_
- churches_x000D_
- marian-sites_x000D_
</v>
      </c>
      <c r="BL74" s="38" t="str">
        <f t="shared" si="39"/>
        <v/>
      </c>
      <c r="BM74" s="38" t="str">
        <f t="shared" si="40"/>
        <v/>
      </c>
      <c r="BN74" s="38" t="str">
        <f t="shared" si="41"/>
        <v/>
      </c>
      <c r="BO74" s="38" t="str">
        <f t="shared" si="42"/>
        <v/>
      </c>
      <c r="BP74" s="38" t="str">
        <f t="shared" si="43"/>
        <v/>
      </c>
      <c r="BQ74" s="38" t="str">
        <f t="shared" si="44"/>
        <v>[Link](http://www.therealpresence.org/eucharst/misc/BVM/52_CASALBORDINO_60x96.pdf)</v>
      </c>
      <c r="BR74" s="38" t="str">
        <f t="shared" si="45"/>
        <v/>
      </c>
      <c r="BS74" s="38" t="str">
        <f t="shared" si="46"/>
        <v/>
      </c>
      <c r="BT74" s="38" t="str">
        <f>IF(LEN(concat(BQ74:BS74))&gt;0,concat("| ",BQ74," | ",BR74," | ",BS74," |"),"")</f>
        <v>| [Link](http://www.therealpresence.org/eucharst/misc/BVM/52_CASALBORDINO_60x96.pdf) |  |  |</v>
      </c>
      <c r="BU74" s="37" t="str">
        <f t="shared" si="47"/>
        <v xml:space="preserve">| The Real Presence | Miracle Hunter | MaryPages |_x000D_
| --- | --- | --- |_x000D_
| [Link](http://www.therealpresence.org/eucharst/misc/BVM/52_CASALBORDINO_60x96.pdf) |  |  |_x000D_
</v>
      </c>
      <c r="BV74" s="37" t="str">
        <f>IF(LEN(BP74&amp;BU74)&gt;0,concatll("#### Source Material",BP74,BU74),"")</f>
        <v xml:space="preserve">#### Source Material_x000D_
_x000D_
| The Real Presence | Miracle Hunter | MaryPages |_x000D_
| --- | --- | --- |_x000D_
| [Link](http://www.therealpresence.org/eucharst/misc/BVM/52_CASALBORDINO_60x96.pdf) |  |  |_x000D_
_x000D_
_x000D_
</v>
      </c>
      <c r="BW74" s="37" t="str">
        <f>IF(LEN(O74)&gt;1,concatll("#### Author's Note",O74),"")</f>
        <v/>
      </c>
      <c r="BX74" s="24" t="str">
        <f>IF(AR74,concatll(concatl("---",AS74:AU74,BK74,"---"),N74,BV74:BW74),"")</f>
        <v/>
      </c>
      <c r="BY74" s="24" t="str">
        <f>IF(AR74,VLOOKUP(C74,'(Ref) Countries'!A:B,2,)&amp;IF(LEN(D74)&gt;1,"-"&amp;LOWER(SUBSTITUTE(D74," ","-")),"")&amp;"-"&amp;LOWER(SUBSTITUTE(I74," ","-"))&amp;".md","")</f>
        <v/>
      </c>
      <c r="BZ74" s="37" t="str">
        <f>IF(LEN(AG74)&gt;1,VLOOKUP(AG74,'Tag List'!$A:$B,2,),"")</f>
        <v/>
      </c>
      <c r="CA74" s="37" t="str">
        <f>IF(LEN(AH74)&gt;1,VLOOKUP(AH74,'Tag List'!$A:$B,2,),"")</f>
        <v/>
      </c>
      <c r="CB74" s="37" t="str">
        <f>IF(LEN(AI74)&gt;1,VLOOKUP(AI74,'Tag List'!$A:$B,2,),"")</f>
        <v/>
      </c>
      <c r="CC74" s="38" t="str">
        <f>IF(LEN(AG74)&gt;1,GetTagPage(BZ74,AG74),"")</f>
        <v/>
      </c>
      <c r="CD74" s="38" t="str">
        <f>IF(LEN(AH74)&gt;1,GetTagPage(CA74,AH74),"")</f>
        <v/>
      </c>
      <c r="CE74" s="38" t="str">
        <f>IF(LEN(AI74)&gt;1,GetTagPage(CB74,AI74),"")</f>
        <v/>
      </c>
      <c r="CF74" s="38" t="str">
        <f>"|"&amp;IF(LEN(CC74)&gt;1," "&amp;CC74,"")&amp;IF(LEN(CD74)&gt;1,", "&amp;CD74,"")&amp;IF(LEN(CE74)&gt;1,", "&amp;CE74,"")&amp;" "</f>
        <v xml:space="preserve">| </v>
      </c>
      <c r="CG74" s="38" t="str">
        <f>"| "&amp;IF(AR74,"["&amp;B74&amp;"](/places/"&amp;SUBSTITUTE(BY74,".md","")&amp;")",B74)&amp;" "</f>
        <v xml:space="preserve">| Casalbordino </v>
      </c>
      <c r="CH74" s="38" t="str">
        <f>"| "&amp;IF(AR74,GetTagPage(C74,VLOOKUP(C74,'(Ref) Countries'!A:C,3,)),C74)&amp; " "</f>
        <v xml:space="preserve">| Italy </v>
      </c>
      <c r="CI74" s="38" t="str">
        <f>"| "&amp;E74&amp;" "</f>
        <v xml:space="preserve">| 1576 </v>
      </c>
      <c r="CJ74" s="38" t="str">
        <f>"|"&amp;IF(AR74," [Link](/places/"&amp;SUBSTITUTE(BY74,".md","")&amp;")","")&amp;" "</f>
        <v xml:space="preserve">| </v>
      </c>
      <c r="CK74" s="37" t="str">
        <f>"
"&amp;CG74&amp;CH74&amp;CI74&amp;CJ74&amp;BL74&amp;BQ74&amp;BR74&amp;BS74&amp;CF74&amp;"|"</f>
        <v xml:space="preserve">
| Casalbordino | Italy | 1576 | [Link](http://www.therealpresence.org/eucharst/misc/BVM/52_CASALBORDINO_60x96.pdf)| |</v>
      </c>
    </row>
    <row r="75" spans="1:89" ht="89.25" x14ac:dyDescent="0.25">
      <c r="A75" s="25" t="s">
        <v>1324</v>
      </c>
      <c r="B75" s="28" t="s">
        <v>1053</v>
      </c>
      <c r="C75" s="29" t="s">
        <v>651</v>
      </c>
      <c r="E75" s="31">
        <v>1578</v>
      </c>
      <c r="F75" s="71">
        <v>50.270467699999998</v>
      </c>
      <c r="G75" s="67">
        <v>22.408031600000001</v>
      </c>
      <c r="H75" s="52" t="s">
        <v>1054</v>
      </c>
      <c r="I75" s="105" t="s">
        <v>1055</v>
      </c>
      <c r="J75" s="53" t="s">
        <v>1728</v>
      </c>
      <c r="K75" s="32" t="b">
        <v>1</v>
      </c>
      <c r="L75" s="30" t="b">
        <v>1</v>
      </c>
      <c r="N75" s="29" t="s">
        <v>1056</v>
      </c>
      <c r="O75" s="77" t="s">
        <v>1748</v>
      </c>
      <c r="P75" s="30" t="s">
        <v>423</v>
      </c>
      <c r="Q75" s="30" t="s">
        <v>336</v>
      </c>
      <c r="AA75" s="73" t="s">
        <v>336</v>
      </c>
      <c r="AB75" s="33" t="s">
        <v>336</v>
      </c>
      <c r="AC75" s="30" t="s">
        <v>456</v>
      </c>
      <c r="AD75" s="30" t="s">
        <v>336</v>
      </c>
      <c r="AE75" s="30" t="s">
        <v>336</v>
      </c>
      <c r="AF75" s="67" t="s">
        <v>336</v>
      </c>
      <c r="AG75" s="29" t="s">
        <v>1431</v>
      </c>
      <c r="AH75" s="29" t="s">
        <v>1424</v>
      </c>
      <c r="AI75" s="29"/>
      <c r="AJ75" s="29"/>
      <c r="AK75" s="29"/>
      <c r="AL75" s="29"/>
      <c r="AM75" s="29"/>
      <c r="AN75" s="29"/>
      <c r="AO75" s="29"/>
      <c r="AP75" s="112"/>
      <c r="AR75" s="36" t="b">
        <f>IF(OR(A75="Done",A75="In Progress"),TRUE)</f>
        <v>1</v>
      </c>
      <c r="AS75" s="37" t="str">
        <f>"title: """&amp;H75&amp;""""</f>
        <v>title: "Basilica of the Annunciation of the Blessed Virgin Mary (Our Lady of Leżajsk, Lady of Consolation)"</v>
      </c>
      <c r="AT75" s="37" t="str">
        <f>"location: {lat: "&amp;F75&amp;", lng: "&amp;G75&amp;"}"</f>
        <v>location: {lat: 50.2704677, lng: 22.4080316}</v>
      </c>
      <c r="AU75" s="37" t="str">
        <f>"level: "&amp;J75</f>
        <v>level: global</v>
      </c>
      <c r="AV75" s="37" t="str">
        <f>"- "&amp;VLOOKUP(C75,'(Ref) Countries'!A:C,3,)</f>
        <v>- poland</v>
      </c>
      <c r="AW75" s="37" t="str">
        <f t="shared" si="24"/>
        <v/>
      </c>
      <c r="AX75" s="37" t="str">
        <f t="shared" si="25"/>
        <v>- churches</v>
      </c>
      <c r="AY75" s="37" t="str">
        <f t="shared" si="26"/>
        <v>- marian-sites</v>
      </c>
      <c r="AZ75" s="37" t="str">
        <f t="shared" si="27"/>
        <v/>
      </c>
      <c r="BA75" s="37" t="str">
        <f t="shared" si="28"/>
        <v>- communities</v>
      </c>
      <c r="BB75" s="37" t="str">
        <f t="shared" si="29"/>
        <v>- john-paul-ii</v>
      </c>
      <c r="BC75" s="37" t="str">
        <f t="shared" si="30"/>
        <v/>
      </c>
      <c r="BD75" s="37" t="str">
        <f t="shared" si="31"/>
        <v/>
      </c>
      <c r="BE75" s="37" t="str">
        <f t="shared" si="32"/>
        <v/>
      </c>
      <c r="BF75" s="37" t="str">
        <f t="shared" si="33"/>
        <v/>
      </c>
      <c r="BG75" s="37" t="str">
        <f t="shared" si="34"/>
        <v/>
      </c>
      <c r="BH75" s="37" t="str">
        <f t="shared" si="35"/>
        <v/>
      </c>
      <c r="BI75" s="37" t="str">
        <f t="shared" si="36"/>
        <v/>
      </c>
      <c r="BJ75" s="37" t="str">
        <f t="shared" si="37"/>
        <v/>
      </c>
      <c r="BK75" s="37" t="str">
        <f t="shared" si="38"/>
        <v xml:space="preserve">tags:
- poland_x000D_
- churches_x000D_
- marian-sites_x000D_
- communities_x000D_
- john-paul-ii_x000D_
</v>
      </c>
      <c r="BL75" s="38" t="str">
        <f t="shared" si="39"/>
        <v>[Official site](https://lezajsk.bernardyni.pl/)</v>
      </c>
      <c r="BM75" s="38" t="str">
        <f t="shared" si="40"/>
        <v/>
      </c>
      <c r="BN75" s="38" t="str">
        <f t="shared" si="41"/>
        <v/>
      </c>
      <c r="BO75" s="38" t="str">
        <f t="shared" si="42"/>
        <v/>
      </c>
      <c r="BP75" s="38" t="str">
        <f t="shared" si="43"/>
        <v xml:space="preserve">* [Official site](https://lezajsk.bernardyni.pl/)
</v>
      </c>
      <c r="BQ75" s="38" t="str">
        <f t="shared" si="44"/>
        <v/>
      </c>
      <c r="BR75" s="38" t="str">
        <f t="shared" si="45"/>
        <v>[Link](https://www.miraclehunter.com/marian_apparitions/approved_apparitions/lejask/index.html)</v>
      </c>
      <c r="BS75" s="38" t="str">
        <f t="shared" si="46"/>
        <v/>
      </c>
      <c r="BT75" s="38" t="str">
        <f>IF(LEN(concat(BQ75:BS75))&gt;0,concat("| ",BQ75," | ",BR75," | ",BS75," |"),"")</f>
        <v>|  | [Link](https://www.miraclehunter.com/marian_apparitions/approved_apparitions/lejask/index.html) |  |</v>
      </c>
      <c r="BU75" s="37" t="str">
        <f t="shared" si="47"/>
        <v xml:space="preserve">| The Real Presence | Miracle Hunter | MaryPages |_x000D_
| --- | --- | --- |_x000D_
|  | [Link](https://www.miraclehunter.com/marian_apparitions/approved_apparitions/lejask/index.html) |  |_x000D_
</v>
      </c>
      <c r="BV75" s="37" t="str">
        <f>IF(LEN(BP75&amp;BU75)&gt;0,concatll("#### Source Material",BP75,BU75),"")</f>
        <v xml:space="preserve">#### Source Material_x000D_
_x000D_
* [Official site](https://lezajsk.bernardyni.pl/)
_x000D_
_x000D_
| The Real Presence | Miracle Hunter | MaryPages |_x000D_
| --- | --- | --- |_x000D_
|  | [Link](https://www.miraclehunter.com/marian_apparitions/approved_apparitions/lejask/index.html) |  |_x000D_
_x000D_
_x000D_
</v>
      </c>
      <c r="BW75" s="37" t="str">
        <f>IF(LEN(O75)&gt;1,concatll("#### Author's Note",O75),"")</f>
        <v xml:space="preserve">#### Author's Note_x000D_
_x000D_
The monastery has published an excellent history of the shrine [here](https://lezajsk.bernardyni.pl/historia/) (in Polish).
-JMM_x000D_
_x000D_
</v>
      </c>
      <c r="BX75" s="24" t="str">
        <f>IF(AR75,concatll(concatl("---",AS75:AU75,BK75,"---"),N75,BV75:BW75),"")</f>
        <v xml:space="preserve">---_x000D_
title: "Basilica of the Annunciation of the Blessed Virgin Mary (Our Lady of Leżajsk, Lady of Consolation)"_x000D_
location: {lat: 50.2704677, lng: 22.4080316}_x000D_
level: global_x000D_
tags:
- poland_x000D_
- churches_x000D_
- marian-sites_x000D_
- communities_x000D_
- john-paul-ii_x000D_
_x000D_
---_x000D_
_x000D_
_x000D_
In 1578, a pious woodcutter named Tomasz Michałek saw a bright light in the forest.  The Virgin asked him to alert the authorities to build a church.  Thomas, scared, did nothing.  The Virgin appeared again, asking him to take action and ending his silence.  Thomas approached the authorities but was not believed.  Under a subsequent priest, a small chapel was built, then a larger shrine in 1606.  Today the shrine is part of a larger Bernardine monastery, and contains the image of Our Lady of Consolation._x000D_
_x000D_
#### Source Material_x000D_
_x000D_
* [Official site](https://lezajsk.bernardyni.pl/)
_x000D_
_x000D_
| The Real Presence | Miracle Hunter | MaryPages |_x000D_
| --- | --- | --- |_x000D_
|  | [Link](https://www.miraclehunter.com/marian_apparitions/approved_apparitions/lejask/index.html) |  |_x000D_
_x000D_
_x000D_
_x000D_
_x000D_
#### Author's Note_x000D_
_x000D_
The monastery has published an excellent history of the shrine [here](https://lezajsk.bernardyni.pl/historia/) (in Polish).
-JMM_x000D_
_x000D_
_x000D_
_x000D_
</v>
      </c>
      <c r="BY75" s="24" t="str">
        <f>IF(AR75,VLOOKUP(C75,'(Ref) Countries'!A:B,2,)&amp;IF(LEN(D75)&gt;1,"-"&amp;LOWER(SUBSTITUTE(D75," ","-")),"")&amp;"-"&amp;LOWER(SUBSTITUTE(I75," ","-"))&amp;".md","")</f>
        <v>pl-basilica-of-the-annunciation-of-the-blessed-virgin-mary.md</v>
      </c>
      <c r="BZ75" s="36" t="str">
        <f>IF(LEN(AG75)&gt;1,VLOOKUP(AG75,'Tag List'!$A:$B,2,),"")</f>
        <v>Religious Communities</v>
      </c>
      <c r="CA75" s="36" t="str">
        <f>IF(LEN(AH75)&gt;1,VLOOKUP(AH75,'Tag List'!$A:$B,2,),"")</f>
        <v>Pope St. John Paul II</v>
      </c>
      <c r="CB75" s="36" t="str">
        <f>IF(LEN(AI75)&gt;1,VLOOKUP(AI75,'Tag List'!$A:$B,2,),"")</f>
        <v/>
      </c>
      <c r="CC75" s="38" t="str">
        <f>IF(LEN(AG75)&gt;1,GetTagPage(BZ75,AG75),"")</f>
        <v>[Religious Communities](/tags/communities)</v>
      </c>
      <c r="CD75" s="38" t="str">
        <f>IF(LEN(AH75)&gt;1,GetTagPage(CA75,AH75),"")</f>
        <v>[Pope St. John Paul II](/tags/john-paul-ii)</v>
      </c>
      <c r="CE75" s="38" t="str">
        <f>IF(LEN(AI75)&gt;1,GetTagPage(CB75,AI75),"")</f>
        <v/>
      </c>
      <c r="CF75" s="38" t="str">
        <f>"|"&amp;IF(LEN(CC75)&gt;1," "&amp;CC75,"")&amp;IF(LEN(CD75)&gt;1,", "&amp;CD75,"")&amp;IF(LEN(CE75)&gt;1,", "&amp;CE75,"")&amp;" "</f>
        <v xml:space="preserve">| [Religious Communities](/tags/communities), [Pope St. John Paul II](/tags/john-paul-ii) </v>
      </c>
      <c r="CG75" s="38" t="str">
        <f>"| "&amp;IF(AR75,"["&amp;B75&amp;"](/places/"&amp;SUBSTITUTE(BY75,".md","")&amp;")",B75)&amp;" "</f>
        <v xml:space="preserve">| [Leżajsk](/places/pl-basilica-of-the-annunciation-of-the-blessed-virgin-mary) </v>
      </c>
      <c r="CH75" s="38" t="str">
        <f>"| "&amp;IF(AR75,GetTagPage(C75,VLOOKUP(C75,'(Ref) Countries'!A:C,3,)),C75)&amp; " "</f>
        <v xml:space="preserve">| [Poland](/tags/poland) </v>
      </c>
      <c r="CI75" s="38" t="str">
        <f>"| "&amp;E75&amp;" "</f>
        <v xml:space="preserve">| 1578 </v>
      </c>
      <c r="CJ75" s="38" t="str">
        <f>"|"&amp;IF(AR75," [Link](/places/"&amp;SUBSTITUTE(BY75,".md","")&amp;")","")&amp;" "</f>
        <v xml:space="preserve">| [Link](/places/pl-basilica-of-the-annunciation-of-the-blessed-virgin-mary) </v>
      </c>
      <c r="CK75" s="37" t="str">
        <f>"
"&amp;CG75&amp;CH75&amp;CI75&amp;CJ75&amp;BL75&amp;BQ75&amp;BR75&amp;BS75&amp;CF75&amp;"|"</f>
        <v xml:space="preserve">
| [Leżajsk](/places/pl-basilica-of-the-annunciation-of-the-blessed-virgin-mary) | [Poland](/tags/poland) | 1578 | [Link](/places/pl-basilica-of-the-annunciation-of-the-blessed-virgin-mary) [Official site](https://lezajsk.bernardyni.pl/)[Link](https://www.miraclehunter.com/marian_apparitions/approved_apparitions/lejask/index.html)| [Religious Communities](/tags/communities), [Pope St. John Paul II](/tags/john-paul-ii) |</v>
      </c>
    </row>
    <row r="76" spans="1:89" x14ac:dyDescent="0.25">
      <c r="B76" s="28" t="s">
        <v>1249</v>
      </c>
      <c r="C76" s="29" t="s">
        <v>11</v>
      </c>
      <c r="E76" s="31">
        <v>1583</v>
      </c>
      <c r="J76" s="30" t="s">
        <v>1728</v>
      </c>
      <c r="K76" s="32" t="b">
        <v>1</v>
      </c>
      <c r="L76" s="30" t="b">
        <v>1</v>
      </c>
      <c r="P76" s="30" t="s">
        <v>336</v>
      </c>
      <c r="Q76" s="30" t="s">
        <v>336</v>
      </c>
      <c r="AA76" s="71" t="s">
        <v>250</v>
      </c>
      <c r="AB76" s="30" t="s">
        <v>336</v>
      </c>
      <c r="AC76" s="30" t="s">
        <v>336</v>
      </c>
      <c r="AD76" s="30" t="s">
        <v>336</v>
      </c>
      <c r="AE76" s="30" t="s">
        <v>336</v>
      </c>
      <c r="AF76" s="67" t="s">
        <v>336</v>
      </c>
      <c r="AG76" s="30" t="s">
        <v>336</v>
      </c>
      <c r="AR76" s="36" t="b">
        <f>IF(OR(A76="Done",A76="In Progress"),TRUE)</f>
        <v>0</v>
      </c>
      <c r="AS76" s="37" t="str">
        <f>"title: """&amp;H76&amp;""""</f>
        <v>title: ""</v>
      </c>
      <c r="AT76" s="37" t="str">
        <f>"location: {lat: "&amp;F76&amp;", lng: "&amp;G76&amp;"}"</f>
        <v>location: {lat: , lng: }</v>
      </c>
      <c r="AU76" s="37" t="str">
        <f>"level: "&amp;J76</f>
        <v>level: global</v>
      </c>
      <c r="AV76" s="37" t="str">
        <f>"- "&amp;VLOOKUP(C76,'(Ref) Countries'!A:C,3,)</f>
        <v>- italy</v>
      </c>
      <c r="AW76" s="37" t="str">
        <f t="shared" si="24"/>
        <v/>
      </c>
      <c r="AX76" s="37" t="str">
        <f t="shared" si="25"/>
        <v>- churches</v>
      </c>
      <c r="AY76" s="37" t="str">
        <f t="shared" si="26"/>
        <v>- marian-sites</v>
      </c>
      <c r="AZ76" s="37" t="str">
        <f t="shared" si="27"/>
        <v/>
      </c>
      <c r="BA76" s="37" t="str">
        <f t="shared" si="28"/>
        <v/>
      </c>
      <c r="BB76" s="37" t="str">
        <f t="shared" si="29"/>
        <v/>
      </c>
      <c r="BC76" s="37" t="str">
        <f t="shared" si="30"/>
        <v/>
      </c>
      <c r="BD76" s="37" t="str">
        <f t="shared" si="31"/>
        <v/>
      </c>
      <c r="BE76" s="37" t="str">
        <f t="shared" si="32"/>
        <v/>
      </c>
      <c r="BF76" s="37" t="str">
        <f t="shared" si="33"/>
        <v/>
      </c>
      <c r="BG76" s="37" t="str">
        <f t="shared" si="34"/>
        <v/>
      </c>
      <c r="BH76" s="37" t="str">
        <f t="shared" si="35"/>
        <v/>
      </c>
      <c r="BI76" s="37" t="str">
        <f t="shared" si="36"/>
        <v/>
      </c>
      <c r="BJ76" s="37" t="str">
        <f t="shared" si="37"/>
        <v/>
      </c>
      <c r="BK76" s="37" t="str">
        <f t="shared" si="38"/>
        <v xml:space="preserve">tags:
- italy_x000D_
- churches_x000D_
- marian-sites_x000D_
</v>
      </c>
      <c r="BL76" s="38" t="str">
        <f t="shared" si="39"/>
        <v/>
      </c>
      <c r="BM76" s="38" t="str">
        <f t="shared" si="40"/>
        <v/>
      </c>
      <c r="BN76" s="38" t="str">
        <f t="shared" si="41"/>
        <v/>
      </c>
      <c r="BO76" s="38" t="str">
        <f t="shared" si="42"/>
        <v/>
      </c>
      <c r="BP76" s="38" t="str">
        <f t="shared" si="43"/>
        <v/>
      </c>
      <c r="BQ76" s="38" t="str">
        <f t="shared" si="44"/>
        <v>[Link](http://www.therealpresence.org/eucharst/misc/BVM/129_LUMARZO_60x96.pdf)</v>
      </c>
      <c r="BR76" s="38" t="str">
        <f t="shared" si="45"/>
        <v/>
      </c>
      <c r="BS76" s="38" t="str">
        <f t="shared" si="46"/>
        <v/>
      </c>
      <c r="BT76" s="38" t="str">
        <f>IF(LEN(concat(BQ76:BS76))&gt;0,concat("| ",BQ76," | ",BR76," | ",BS76," |"),"")</f>
        <v>| [Link](http://www.therealpresence.org/eucharst/misc/BVM/129_LUMARZO_60x96.pdf) |  |  |</v>
      </c>
      <c r="BU76" s="37" t="str">
        <f t="shared" si="47"/>
        <v xml:space="preserve">| The Real Presence | Miracle Hunter | MaryPages |_x000D_
| --- | --- | --- |_x000D_
| [Link](http://www.therealpresence.org/eucharst/misc/BVM/129_LUMARZO_60x96.pdf) |  |  |_x000D_
</v>
      </c>
      <c r="BV76" s="37" t="str">
        <f>IF(LEN(BP76&amp;BU76)&gt;0,concatll("#### Source Material",BP76,BU76),"")</f>
        <v xml:space="preserve">#### Source Material_x000D_
_x000D_
| The Real Presence | Miracle Hunter | MaryPages |_x000D_
| --- | --- | --- |_x000D_
| [Link](http://www.therealpresence.org/eucharst/misc/BVM/129_LUMARZO_60x96.pdf) |  |  |_x000D_
_x000D_
_x000D_
</v>
      </c>
      <c r="BW76" s="37" t="str">
        <f>IF(LEN(O76)&gt;1,concatll("#### Author's Note",O76),"")</f>
        <v/>
      </c>
      <c r="BX76" s="24" t="str">
        <f>IF(AR76,concatll(concatl("---",AS76:AU76,BK76,"---"),N76,BV76:BW76),"")</f>
        <v/>
      </c>
      <c r="BY76" s="24" t="str">
        <f>IF(AR76,VLOOKUP(C76,'(Ref) Countries'!A:B,2,)&amp;IF(LEN(D76)&gt;1,"-"&amp;LOWER(SUBSTITUTE(D76," ","-")),"")&amp;"-"&amp;LOWER(SUBSTITUTE(I76," ","-"))&amp;".md","")</f>
        <v/>
      </c>
      <c r="BZ76" s="37" t="str">
        <f>IF(LEN(AG76)&gt;1,VLOOKUP(AG76,'Tag List'!$A:$B,2,),"")</f>
        <v/>
      </c>
      <c r="CA76" s="37" t="str">
        <f>IF(LEN(AH76)&gt;1,VLOOKUP(AH76,'Tag List'!$A:$B,2,),"")</f>
        <v/>
      </c>
      <c r="CB76" s="37" t="str">
        <f>IF(LEN(AI76)&gt;1,VLOOKUP(AI76,'Tag List'!$A:$B,2,),"")</f>
        <v/>
      </c>
      <c r="CC76" s="38" t="str">
        <f>IF(LEN(AG76)&gt;1,GetTagPage(BZ76,AG76),"")</f>
        <v/>
      </c>
      <c r="CD76" s="38" t="str">
        <f>IF(LEN(AH76)&gt;1,GetTagPage(CA76,AH76),"")</f>
        <v/>
      </c>
      <c r="CE76" s="38" t="str">
        <f>IF(LEN(AI76)&gt;1,GetTagPage(CB76,AI76),"")</f>
        <v/>
      </c>
      <c r="CF76" s="38" t="str">
        <f>"|"&amp;IF(LEN(CC76)&gt;1," "&amp;CC76,"")&amp;IF(LEN(CD76)&gt;1,", "&amp;CD76,"")&amp;IF(LEN(CE76)&gt;1,", "&amp;CE76,"")&amp;" "</f>
        <v xml:space="preserve">| </v>
      </c>
      <c r="CG76" s="38" t="str">
        <f>"| "&amp;IF(AR76,"["&amp;B76&amp;"](/places/"&amp;SUBSTITUTE(BY76,".md","")&amp;")",B76)&amp;" "</f>
        <v xml:space="preserve">| Lumarzo </v>
      </c>
      <c r="CH76" s="38" t="str">
        <f>"| "&amp;IF(AR76,GetTagPage(C76,VLOOKUP(C76,'(Ref) Countries'!A:C,3,)),C76)&amp; " "</f>
        <v xml:space="preserve">| Italy </v>
      </c>
      <c r="CI76" s="38" t="str">
        <f>"| "&amp;E76&amp;" "</f>
        <v xml:space="preserve">| 1583 </v>
      </c>
      <c r="CJ76" s="38" t="str">
        <f>"|"&amp;IF(AR76," [Link](/places/"&amp;SUBSTITUTE(BY76,".md","")&amp;")","")&amp;" "</f>
        <v xml:space="preserve">| </v>
      </c>
      <c r="CK76" s="37" t="str">
        <f>"
"&amp;CG76&amp;CH76&amp;CI76&amp;CJ76&amp;BL76&amp;BQ76&amp;BR76&amp;BS76&amp;CF76&amp;"|"</f>
        <v xml:space="preserve">
| Lumarzo | Italy | 1583 | [Link](http://www.therealpresence.org/eucharst/misc/BVM/129_LUMARZO_60x96.pdf)| |</v>
      </c>
    </row>
    <row r="77" spans="1:89" x14ac:dyDescent="0.25">
      <c r="B77" s="28" t="s">
        <v>1250</v>
      </c>
      <c r="C77" s="29" t="s">
        <v>534</v>
      </c>
      <c r="E77" s="31">
        <v>1586</v>
      </c>
      <c r="J77" s="30" t="s">
        <v>1728</v>
      </c>
      <c r="K77" s="32" t="b">
        <v>1</v>
      </c>
      <c r="L77" s="30" t="b">
        <v>1</v>
      </c>
      <c r="P77" s="30" t="s">
        <v>336</v>
      </c>
      <c r="Q77" s="30" t="s">
        <v>336</v>
      </c>
      <c r="AA77" s="71" t="s">
        <v>251</v>
      </c>
      <c r="AB77" s="30" t="s">
        <v>336</v>
      </c>
      <c r="AC77" s="30" t="s">
        <v>336</v>
      </c>
      <c r="AD77" s="30" t="s">
        <v>336</v>
      </c>
      <c r="AE77" s="30" t="s">
        <v>336</v>
      </c>
      <c r="AF77" s="67" t="s">
        <v>336</v>
      </c>
      <c r="AG77" s="30" t="s">
        <v>336</v>
      </c>
      <c r="AR77" s="36" t="b">
        <f>IF(OR(A77="Done",A77="In Progress"),TRUE)</f>
        <v>0</v>
      </c>
      <c r="AS77" s="37" t="str">
        <f>"title: """&amp;H77&amp;""""</f>
        <v>title: ""</v>
      </c>
      <c r="AT77" s="37" t="str">
        <f>"location: {lat: "&amp;F77&amp;", lng: "&amp;G77&amp;"}"</f>
        <v>location: {lat: , lng: }</v>
      </c>
      <c r="AU77" s="37" t="str">
        <f>"level: "&amp;J77</f>
        <v>level: global</v>
      </c>
      <c r="AV77" s="37" t="str">
        <f>"- "&amp;VLOOKUP(C77,'(Ref) Countries'!A:C,3,)</f>
        <v>- colombia</v>
      </c>
      <c r="AW77" s="37" t="str">
        <f t="shared" si="24"/>
        <v/>
      </c>
      <c r="AX77" s="37" t="str">
        <f t="shared" si="25"/>
        <v>- churches</v>
      </c>
      <c r="AY77" s="37" t="str">
        <f t="shared" si="26"/>
        <v>- marian-sites</v>
      </c>
      <c r="AZ77" s="37" t="str">
        <f t="shared" si="27"/>
        <v/>
      </c>
      <c r="BA77" s="37" t="str">
        <f t="shared" si="28"/>
        <v/>
      </c>
      <c r="BB77" s="37" t="str">
        <f t="shared" si="29"/>
        <v/>
      </c>
      <c r="BC77" s="37" t="str">
        <f t="shared" si="30"/>
        <v/>
      </c>
      <c r="BD77" s="37" t="str">
        <f t="shared" si="31"/>
        <v/>
      </c>
      <c r="BE77" s="37" t="str">
        <f t="shared" si="32"/>
        <v/>
      </c>
      <c r="BF77" s="37" t="str">
        <f t="shared" si="33"/>
        <v/>
      </c>
      <c r="BG77" s="37" t="str">
        <f t="shared" si="34"/>
        <v/>
      </c>
      <c r="BH77" s="37" t="str">
        <f t="shared" si="35"/>
        <v/>
      </c>
      <c r="BI77" s="37" t="str">
        <f t="shared" si="36"/>
        <v/>
      </c>
      <c r="BJ77" s="37" t="str">
        <f t="shared" si="37"/>
        <v/>
      </c>
      <c r="BK77" s="37" t="str">
        <f t="shared" si="38"/>
        <v xml:space="preserve">tags:
- colombia_x000D_
- churches_x000D_
- marian-sites_x000D_
</v>
      </c>
      <c r="BL77" s="38" t="str">
        <f t="shared" si="39"/>
        <v/>
      </c>
      <c r="BM77" s="38" t="str">
        <f t="shared" si="40"/>
        <v/>
      </c>
      <c r="BN77" s="38" t="str">
        <f t="shared" si="41"/>
        <v/>
      </c>
      <c r="BO77" s="38" t="str">
        <f t="shared" si="42"/>
        <v/>
      </c>
      <c r="BP77" s="38" t="str">
        <f t="shared" si="43"/>
        <v/>
      </c>
      <c r="BQ77" s="38" t="str">
        <f t="shared" si="44"/>
        <v>[Link](http://www.therealpresence.org/eucharst/misc/BVM/97_CHIQUINQUIRA_96x96.pdf)</v>
      </c>
      <c r="BR77" s="38" t="str">
        <f t="shared" si="45"/>
        <v/>
      </c>
      <c r="BS77" s="38" t="str">
        <f t="shared" si="46"/>
        <v/>
      </c>
      <c r="BT77" s="38" t="str">
        <f>IF(LEN(concat(BQ77:BS77))&gt;0,concat("| ",BQ77," | ",BR77," | ",BS77," |"),"")</f>
        <v>| [Link](http://www.therealpresence.org/eucharst/misc/BVM/97_CHIQUINQUIRA_96x96.pdf) |  |  |</v>
      </c>
      <c r="BU77" s="37" t="str">
        <f t="shared" si="47"/>
        <v xml:space="preserve">| The Real Presence | Miracle Hunter | MaryPages |_x000D_
| --- | --- | --- |_x000D_
| [Link](http://www.therealpresence.org/eucharst/misc/BVM/97_CHIQUINQUIRA_96x96.pdf) |  |  |_x000D_
</v>
      </c>
      <c r="BV77" s="37" t="str">
        <f>IF(LEN(BP77&amp;BU77)&gt;0,concatll("#### Source Material",BP77,BU77),"")</f>
        <v xml:space="preserve">#### Source Material_x000D_
_x000D_
| The Real Presence | Miracle Hunter | MaryPages |_x000D_
| --- | --- | --- |_x000D_
| [Link](http://www.therealpresence.org/eucharst/misc/BVM/97_CHIQUINQUIRA_96x96.pdf) |  |  |_x000D_
_x000D_
_x000D_
</v>
      </c>
      <c r="BW77" s="37" t="str">
        <f>IF(LEN(O77)&gt;1,concatll("#### Author's Note",O77),"")</f>
        <v/>
      </c>
      <c r="BX77" s="24" t="str">
        <f>IF(AR77,concatll(concatl("---",AS77:AU77,BK77,"---"),N77,BV77:BW77),"")</f>
        <v/>
      </c>
      <c r="BY77" s="24" t="str">
        <f>IF(AR77,VLOOKUP(C77,'(Ref) Countries'!A:B,2,)&amp;IF(LEN(D77)&gt;1,"-"&amp;LOWER(SUBSTITUTE(D77," ","-")),"")&amp;"-"&amp;LOWER(SUBSTITUTE(I77," ","-"))&amp;".md","")</f>
        <v/>
      </c>
      <c r="BZ77" s="37" t="str">
        <f>IF(LEN(AG77)&gt;1,VLOOKUP(AG77,'Tag List'!$A:$B,2,),"")</f>
        <v/>
      </c>
      <c r="CA77" s="37" t="str">
        <f>IF(LEN(AH77)&gt;1,VLOOKUP(AH77,'Tag List'!$A:$B,2,),"")</f>
        <v/>
      </c>
      <c r="CB77" s="37" t="str">
        <f>IF(LEN(AI77)&gt;1,VLOOKUP(AI77,'Tag List'!$A:$B,2,),"")</f>
        <v/>
      </c>
      <c r="CC77" s="38" t="str">
        <f>IF(LEN(AG77)&gt;1,GetTagPage(BZ77,AG77),"")</f>
        <v/>
      </c>
      <c r="CD77" s="38" t="str">
        <f>IF(LEN(AH77)&gt;1,GetTagPage(CA77,AH77),"")</f>
        <v/>
      </c>
      <c r="CE77" s="38" t="str">
        <f>IF(LEN(AI77)&gt;1,GetTagPage(CB77,AI77),"")</f>
        <v/>
      </c>
      <c r="CF77" s="38" t="str">
        <f>"|"&amp;IF(LEN(CC77)&gt;1," "&amp;CC77,"")&amp;IF(LEN(CD77)&gt;1,", "&amp;CD77,"")&amp;IF(LEN(CE77)&gt;1,", "&amp;CE77,"")&amp;" "</f>
        <v xml:space="preserve">| </v>
      </c>
      <c r="CG77" s="38" t="str">
        <f>"| "&amp;IF(AR77,"["&amp;B77&amp;"](/places/"&amp;SUBSTITUTE(BY77,".md","")&amp;")",B77)&amp;" "</f>
        <v xml:space="preserve">| Chiquinquirá </v>
      </c>
      <c r="CH77" s="38" t="str">
        <f>"| "&amp;IF(AR77,GetTagPage(C77,VLOOKUP(C77,'(Ref) Countries'!A:C,3,)),C77)&amp; " "</f>
        <v xml:space="preserve">| Colombia </v>
      </c>
      <c r="CI77" s="38" t="str">
        <f>"| "&amp;E77&amp;" "</f>
        <v xml:space="preserve">| 1586 </v>
      </c>
      <c r="CJ77" s="38" t="str">
        <f>"|"&amp;IF(AR77," [Link](/places/"&amp;SUBSTITUTE(BY77,".md","")&amp;")","")&amp;" "</f>
        <v xml:space="preserve">| </v>
      </c>
      <c r="CK77" s="37" t="str">
        <f>"
"&amp;CG77&amp;CH77&amp;CI77&amp;CJ77&amp;BL77&amp;BQ77&amp;BR77&amp;BS77&amp;CF77&amp;"|"</f>
        <v xml:space="preserve">
| Chiquinquirá | Colombia | 1586 | [Link](http://www.therealpresence.org/eucharst/misc/BVM/97_CHIQUINQUIRA_96x96.pdf)| |</v>
      </c>
    </row>
    <row r="78" spans="1:89" x14ac:dyDescent="0.25">
      <c r="B78" s="28" t="s">
        <v>1251</v>
      </c>
      <c r="C78" s="29" t="s">
        <v>548</v>
      </c>
      <c r="E78" s="31">
        <v>1586</v>
      </c>
      <c r="J78" s="30" t="s">
        <v>1728</v>
      </c>
      <c r="K78" s="32" t="b">
        <v>1</v>
      </c>
      <c r="L78" s="30" t="b">
        <v>1</v>
      </c>
      <c r="P78" s="30" t="s">
        <v>336</v>
      </c>
      <c r="Q78" s="30" t="s">
        <v>336</v>
      </c>
      <c r="AA78" s="71" t="s">
        <v>252</v>
      </c>
      <c r="AB78" s="30" t="s">
        <v>336</v>
      </c>
      <c r="AC78" s="30" t="s">
        <v>336</v>
      </c>
      <c r="AD78" s="30" t="s">
        <v>336</v>
      </c>
      <c r="AE78" s="30" t="s">
        <v>336</v>
      </c>
      <c r="AF78" s="67" t="s">
        <v>336</v>
      </c>
      <c r="AG78" s="30" t="s">
        <v>336</v>
      </c>
      <c r="AR78" s="36" t="b">
        <f>IF(OR(A78="Done",A78="In Progress"),TRUE)</f>
        <v>0</v>
      </c>
      <c r="AS78" s="37" t="str">
        <f>"title: """&amp;H78&amp;""""</f>
        <v>title: ""</v>
      </c>
      <c r="AT78" s="37" t="str">
        <f>"location: {lat: "&amp;F78&amp;", lng: "&amp;G78&amp;"}"</f>
        <v>location: {lat: , lng: }</v>
      </c>
      <c r="AU78" s="37" t="str">
        <f>"level: "&amp;J78</f>
        <v>level: global</v>
      </c>
      <c r="AV78" s="37" t="str">
        <f>"- "&amp;VLOOKUP(C78,'(Ref) Countries'!A:C,3,)</f>
        <v>- ecuador</v>
      </c>
      <c r="AW78" s="37" t="str">
        <f t="shared" si="24"/>
        <v/>
      </c>
      <c r="AX78" s="37" t="str">
        <f t="shared" si="25"/>
        <v>- churches</v>
      </c>
      <c r="AY78" s="37" t="str">
        <f t="shared" si="26"/>
        <v>- marian-sites</v>
      </c>
      <c r="AZ78" s="37" t="str">
        <f t="shared" si="27"/>
        <v/>
      </c>
      <c r="BA78" s="37" t="str">
        <f t="shared" si="28"/>
        <v/>
      </c>
      <c r="BB78" s="37" t="str">
        <f t="shared" si="29"/>
        <v/>
      </c>
      <c r="BC78" s="37" t="str">
        <f t="shared" si="30"/>
        <v/>
      </c>
      <c r="BD78" s="37" t="str">
        <f t="shared" si="31"/>
        <v/>
      </c>
      <c r="BE78" s="37" t="str">
        <f t="shared" si="32"/>
        <v/>
      </c>
      <c r="BF78" s="37" t="str">
        <f t="shared" si="33"/>
        <v/>
      </c>
      <c r="BG78" s="37" t="str">
        <f t="shared" si="34"/>
        <v/>
      </c>
      <c r="BH78" s="37" t="str">
        <f t="shared" si="35"/>
        <v/>
      </c>
      <c r="BI78" s="37" t="str">
        <f t="shared" si="36"/>
        <v/>
      </c>
      <c r="BJ78" s="37" t="str">
        <f t="shared" si="37"/>
        <v/>
      </c>
      <c r="BK78" s="37" t="str">
        <f t="shared" si="38"/>
        <v xml:space="preserve">tags:
- ecuador_x000D_
- churches_x000D_
- marian-sites_x000D_
</v>
      </c>
      <c r="BL78" s="38" t="str">
        <f t="shared" si="39"/>
        <v/>
      </c>
      <c r="BM78" s="38" t="str">
        <f t="shared" si="40"/>
        <v/>
      </c>
      <c r="BN78" s="38" t="str">
        <f t="shared" si="41"/>
        <v/>
      </c>
      <c r="BO78" s="38" t="str">
        <f t="shared" si="42"/>
        <v/>
      </c>
      <c r="BP78" s="38" t="str">
        <f t="shared" si="43"/>
        <v/>
      </c>
      <c r="BQ78" s="38" t="str">
        <f t="shared" si="44"/>
        <v>[Link](http://www.therealpresence.org/eucharst/misc/BVM/131_QUINCHE_60x96.pdf)</v>
      </c>
      <c r="BR78" s="38" t="str">
        <f t="shared" si="45"/>
        <v/>
      </c>
      <c r="BS78" s="38" t="str">
        <f t="shared" si="46"/>
        <v/>
      </c>
      <c r="BT78" s="38" t="str">
        <f>IF(LEN(concat(BQ78:BS78))&gt;0,concat("| ",BQ78," | ",BR78," | ",BS78," |"),"")</f>
        <v>| [Link](http://www.therealpresence.org/eucharst/misc/BVM/131_QUINCHE_60x96.pdf) |  |  |</v>
      </c>
      <c r="BU78" s="37" t="str">
        <f t="shared" si="47"/>
        <v xml:space="preserve">| The Real Presence | Miracle Hunter | MaryPages |_x000D_
| --- | --- | --- |_x000D_
| [Link](http://www.therealpresence.org/eucharst/misc/BVM/131_QUINCHE_60x96.pdf) |  |  |_x000D_
</v>
      </c>
      <c r="BV78" s="37" t="str">
        <f>IF(LEN(BP78&amp;BU78)&gt;0,concatll("#### Source Material",BP78,BU78),"")</f>
        <v xml:space="preserve">#### Source Material_x000D_
_x000D_
| The Real Presence | Miracle Hunter | MaryPages |_x000D_
| --- | --- | --- |_x000D_
| [Link](http://www.therealpresence.org/eucharst/misc/BVM/131_QUINCHE_60x96.pdf) |  |  |_x000D_
_x000D_
_x000D_
</v>
      </c>
      <c r="BW78" s="37" t="str">
        <f>IF(LEN(O78)&gt;1,concatll("#### Author's Note",O78),"")</f>
        <v/>
      </c>
      <c r="BX78" s="24" t="str">
        <f>IF(AR78,concatll(concatl("---",AS78:AU78,BK78,"---"),N78,BV78:BW78),"")</f>
        <v/>
      </c>
      <c r="BY78" s="24" t="str">
        <f>IF(AR78,VLOOKUP(C78,'(Ref) Countries'!A:B,2,)&amp;IF(LEN(D78)&gt;1,"-"&amp;LOWER(SUBSTITUTE(D78," ","-")),"")&amp;"-"&amp;LOWER(SUBSTITUTE(I78," ","-"))&amp;".md","")</f>
        <v/>
      </c>
      <c r="BZ78" s="37" t="str">
        <f>IF(LEN(AG78)&gt;1,VLOOKUP(AG78,'Tag List'!$A:$B,2,),"")</f>
        <v/>
      </c>
      <c r="CA78" s="37" t="str">
        <f>IF(LEN(AH78)&gt;1,VLOOKUP(AH78,'Tag List'!$A:$B,2,),"")</f>
        <v/>
      </c>
      <c r="CB78" s="37" t="str">
        <f>IF(LEN(AI78)&gt;1,VLOOKUP(AI78,'Tag List'!$A:$B,2,),"")</f>
        <v/>
      </c>
      <c r="CC78" s="38" t="str">
        <f>IF(LEN(AG78)&gt;1,GetTagPage(BZ78,AG78),"")</f>
        <v/>
      </c>
      <c r="CD78" s="38" t="str">
        <f>IF(LEN(AH78)&gt;1,GetTagPage(CA78,AH78),"")</f>
        <v/>
      </c>
      <c r="CE78" s="38" t="str">
        <f>IF(LEN(AI78)&gt;1,GetTagPage(CB78,AI78),"")</f>
        <v/>
      </c>
      <c r="CF78" s="38" t="str">
        <f>"|"&amp;IF(LEN(CC78)&gt;1," "&amp;CC78,"")&amp;IF(LEN(CD78)&gt;1,", "&amp;CD78,"")&amp;IF(LEN(CE78)&gt;1,", "&amp;CE78,"")&amp;" "</f>
        <v xml:space="preserve">| </v>
      </c>
      <c r="CG78" s="38" t="str">
        <f>"| "&amp;IF(AR78,"["&amp;B78&amp;"](/places/"&amp;SUBSTITUTE(BY78,".md","")&amp;")",B78)&amp;" "</f>
        <v xml:space="preserve">| Quinche </v>
      </c>
      <c r="CH78" s="38" t="str">
        <f>"| "&amp;IF(AR78,GetTagPage(C78,VLOOKUP(C78,'(Ref) Countries'!A:C,3,)),C78)&amp; " "</f>
        <v xml:space="preserve">| Ecuador </v>
      </c>
      <c r="CI78" s="38" t="str">
        <f>"| "&amp;E78&amp;" "</f>
        <v xml:space="preserve">| 1586 </v>
      </c>
      <c r="CJ78" s="38" t="str">
        <f>"|"&amp;IF(AR78," [Link](/places/"&amp;SUBSTITUTE(BY78,".md","")&amp;")","")&amp;" "</f>
        <v xml:space="preserve">| </v>
      </c>
      <c r="CK78" s="37" t="str">
        <f>"
"&amp;CG78&amp;CH78&amp;CI78&amp;CJ78&amp;BL78&amp;BQ78&amp;BR78&amp;BS78&amp;CF78&amp;"|"</f>
        <v xml:space="preserve">
| Quinche | Ecuador | 1586 | [Link](http://www.therealpresence.org/eucharst/misc/BVM/131_QUINCHE_60x96.pdf)| |</v>
      </c>
    </row>
    <row r="79" spans="1:89" x14ac:dyDescent="0.25">
      <c r="B79" s="28" t="s">
        <v>1252</v>
      </c>
      <c r="C79" s="29" t="s">
        <v>548</v>
      </c>
      <c r="E79" s="31" t="s">
        <v>1124</v>
      </c>
      <c r="J79" s="30" t="s">
        <v>1728</v>
      </c>
      <c r="K79" s="32" t="b">
        <v>1</v>
      </c>
      <c r="L79" s="30" t="b">
        <v>1</v>
      </c>
      <c r="P79" s="30" t="s">
        <v>336</v>
      </c>
      <c r="Q79" s="30" t="s">
        <v>336</v>
      </c>
      <c r="AA79" s="71" t="s">
        <v>253</v>
      </c>
      <c r="AB79" s="30" t="s">
        <v>336</v>
      </c>
      <c r="AC79" s="30" t="s">
        <v>336</v>
      </c>
      <c r="AD79" s="30" t="s">
        <v>336</v>
      </c>
      <c r="AE79" s="30" t="s">
        <v>336</v>
      </c>
      <c r="AF79" s="67" t="s">
        <v>336</v>
      </c>
      <c r="AG79" s="30" t="s">
        <v>336</v>
      </c>
      <c r="AR79" s="36" t="b">
        <f>IF(OR(A79="Done",A79="In Progress"),TRUE)</f>
        <v>0</v>
      </c>
      <c r="AS79" s="37" t="str">
        <f>"title: """&amp;H79&amp;""""</f>
        <v>title: ""</v>
      </c>
      <c r="AT79" s="37" t="str">
        <f>"location: {lat: "&amp;F79&amp;", lng: "&amp;G79&amp;"}"</f>
        <v>location: {lat: , lng: }</v>
      </c>
      <c r="AU79" s="37" t="str">
        <f>"level: "&amp;J79</f>
        <v>level: global</v>
      </c>
      <c r="AV79" s="37" t="str">
        <f>"- "&amp;VLOOKUP(C79,'(Ref) Countries'!A:C,3,)</f>
        <v>- ecuador</v>
      </c>
      <c r="AW79" s="37" t="str">
        <f t="shared" si="24"/>
        <v/>
      </c>
      <c r="AX79" s="37" t="str">
        <f t="shared" si="25"/>
        <v>- churches</v>
      </c>
      <c r="AY79" s="37" t="str">
        <f t="shared" si="26"/>
        <v>- marian-sites</v>
      </c>
      <c r="AZ79" s="37" t="str">
        <f t="shared" si="27"/>
        <v/>
      </c>
      <c r="BA79" s="37" t="str">
        <f t="shared" si="28"/>
        <v/>
      </c>
      <c r="BB79" s="37" t="str">
        <f t="shared" si="29"/>
        <v/>
      </c>
      <c r="BC79" s="37" t="str">
        <f t="shared" si="30"/>
        <v/>
      </c>
      <c r="BD79" s="37" t="str">
        <f t="shared" si="31"/>
        <v/>
      </c>
      <c r="BE79" s="37" t="str">
        <f t="shared" si="32"/>
        <v/>
      </c>
      <c r="BF79" s="37" t="str">
        <f t="shared" si="33"/>
        <v/>
      </c>
      <c r="BG79" s="37" t="str">
        <f t="shared" si="34"/>
        <v/>
      </c>
      <c r="BH79" s="37" t="str">
        <f t="shared" si="35"/>
        <v/>
      </c>
      <c r="BI79" s="37" t="str">
        <f t="shared" si="36"/>
        <v/>
      </c>
      <c r="BJ79" s="37" t="str">
        <f t="shared" si="37"/>
        <v/>
      </c>
      <c r="BK79" s="37" t="str">
        <f t="shared" si="38"/>
        <v xml:space="preserve">tags:
- ecuador_x000D_
- churches_x000D_
- marian-sites_x000D_
</v>
      </c>
      <c r="BL79" s="38" t="str">
        <f t="shared" si="39"/>
        <v/>
      </c>
      <c r="BM79" s="38" t="str">
        <f t="shared" si="40"/>
        <v/>
      </c>
      <c r="BN79" s="38" t="str">
        <f t="shared" si="41"/>
        <v/>
      </c>
      <c r="BO79" s="38" t="str">
        <f t="shared" si="42"/>
        <v/>
      </c>
      <c r="BP79" s="38" t="str">
        <f t="shared" si="43"/>
        <v/>
      </c>
      <c r="BQ79" s="38" t="str">
        <f t="shared" si="44"/>
        <v>[Link](http://www.therealpresence.org/eucharst/misc/BVM/132_QUITO_96x96.pdf)</v>
      </c>
      <c r="BR79" s="38" t="str">
        <f t="shared" si="45"/>
        <v/>
      </c>
      <c r="BS79" s="38" t="str">
        <f t="shared" si="46"/>
        <v/>
      </c>
      <c r="BT79" s="38" t="str">
        <f>IF(LEN(concat(BQ79:BS79))&gt;0,concat("| ",BQ79," | ",BR79," | ",BS79," |"),"")</f>
        <v>| [Link](http://www.therealpresence.org/eucharst/misc/BVM/132_QUITO_96x96.pdf) |  |  |</v>
      </c>
      <c r="BU79" s="37" t="str">
        <f t="shared" si="47"/>
        <v xml:space="preserve">| The Real Presence | Miracle Hunter | MaryPages |_x000D_
| --- | --- | --- |_x000D_
| [Link](http://www.therealpresence.org/eucharst/misc/BVM/132_QUITO_96x96.pdf) |  |  |_x000D_
</v>
      </c>
      <c r="BV79" s="37" t="str">
        <f>IF(LEN(BP79&amp;BU79)&gt;0,concatll("#### Source Material",BP79,BU79),"")</f>
        <v xml:space="preserve">#### Source Material_x000D_
_x000D_
| The Real Presence | Miracle Hunter | MaryPages |_x000D_
| --- | --- | --- |_x000D_
| [Link](http://www.therealpresence.org/eucharst/misc/BVM/132_QUITO_96x96.pdf) |  |  |_x000D_
_x000D_
_x000D_
</v>
      </c>
      <c r="BW79" s="37" t="str">
        <f>IF(LEN(O79)&gt;1,concatll("#### Author's Note",O79),"")</f>
        <v/>
      </c>
      <c r="BX79" s="24" t="str">
        <f>IF(AR79,concatll(concatl("---",AS79:AU79,BK79,"---"),N79,BV79:BW79),"")</f>
        <v/>
      </c>
      <c r="BY79" s="24" t="str">
        <f>IF(AR79,VLOOKUP(C79,'(Ref) Countries'!A:B,2,)&amp;IF(LEN(D79)&gt;1,"-"&amp;LOWER(SUBSTITUTE(D79," ","-")),"")&amp;"-"&amp;LOWER(SUBSTITUTE(I79," ","-"))&amp;".md","")</f>
        <v/>
      </c>
      <c r="BZ79" s="37" t="str">
        <f>IF(LEN(AG79)&gt;1,VLOOKUP(AG79,'Tag List'!$A:$B,2,),"")</f>
        <v/>
      </c>
      <c r="CA79" s="37" t="str">
        <f>IF(LEN(AH79)&gt;1,VLOOKUP(AH79,'Tag List'!$A:$B,2,),"")</f>
        <v/>
      </c>
      <c r="CB79" s="37" t="str">
        <f>IF(LEN(AI79)&gt;1,VLOOKUP(AI79,'Tag List'!$A:$B,2,),"")</f>
        <v/>
      </c>
      <c r="CC79" s="38" t="str">
        <f>IF(LEN(AG79)&gt;1,GetTagPage(BZ79,AG79),"")</f>
        <v/>
      </c>
      <c r="CD79" s="38" t="str">
        <f>IF(LEN(AH79)&gt;1,GetTagPage(CA79,AH79),"")</f>
        <v/>
      </c>
      <c r="CE79" s="38" t="str">
        <f>IF(LEN(AI79)&gt;1,GetTagPage(CB79,AI79),"")</f>
        <v/>
      </c>
      <c r="CF79" s="38" t="str">
        <f>"|"&amp;IF(LEN(CC79)&gt;1," "&amp;CC79,"")&amp;IF(LEN(CD79)&gt;1,", "&amp;CD79,"")&amp;IF(LEN(CE79)&gt;1,", "&amp;CE79,"")&amp;" "</f>
        <v xml:space="preserve">| </v>
      </c>
      <c r="CG79" s="38" t="str">
        <f>"| "&amp;IF(AR79,"["&amp;B79&amp;"](/places/"&amp;SUBSTITUTE(BY79,".md","")&amp;")",B79)&amp;" "</f>
        <v xml:space="preserve">| Quito </v>
      </c>
      <c r="CH79" s="38" t="str">
        <f>"| "&amp;IF(AR79,GetTagPage(C79,VLOOKUP(C79,'(Ref) Countries'!A:C,3,)),C79)&amp; " "</f>
        <v xml:space="preserve">| Ecuador </v>
      </c>
      <c r="CI79" s="38" t="str">
        <f>"| "&amp;E79&amp;" "</f>
        <v xml:space="preserve">| 1594-1634 </v>
      </c>
      <c r="CJ79" s="38" t="str">
        <f>"|"&amp;IF(AR79," [Link](/places/"&amp;SUBSTITUTE(BY79,".md","")&amp;")","")&amp;" "</f>
        <v xml:space="preserve">| </v>
      </c>
      <c r="CK79" s="37" t="str">
        <f>"
"&amp;CG79&amp;CH79&amp;CI79&amp;CJ79&amp;BL79&amp;BQ79&amp;BR79&amp;BS79&amp;CF79&amp;"|"</f>
        <v xml:space="preserve">
| Quito | Ecuador | 1594-1634 | [Link](http://www.therealpresence.org/eucharst/misc/BVM/132_QUITO_96x96.pdf)| |</v>
      </c>
    </row>
    <row r="80" spans="1:89" x14ac:dyDescent="0.25">
      <c r="B80" s="28" t="s">
        <v>1253</v>
      </c>
      <c r="C80" s="29" t="s">
        <v>11</v>
      </c>
      <c r="E80" s="31">
        <v>1597</v>
      </c>
      <c r="J80" s="30" t="s">
        <v>1728</v>
      </c>
      <c r="K80" s="32" t="b">
        <v>1</v>
      </c>
      <c r="L80" s="30" t="b">
        <v>1</v>
      </c>
      <c r="P80" s="30" t="s">
        <v>336</v>
      </c>
      <c r="Q80" s="30" t="s">
        <v>336</v>
      </c>
      <c r="AA80" s="71" t="s">
        <v>254</v>
      </c>
      <c r="AB80" s="30" t="s">
        <v>336</v>
      </c>
      <c r="AC80" s="30" t="s">
        <v>336</v>
      </c>
      <c r="AD80" s="30" t="s">
        <v>336</v>
      </c>
      <c r="AE80" s="30" t="s">
        <v>336</v>
      </c>
      <c r="AF80" s="67" t="s">
        <v>336</v>
      </c>
      <c r="AG80" s="30" t="s">
        <v>336</v>
      </c>
      <c r="AR80" s="36" t="b">
        <f>IF(OR(A80="Done",A80="In Progress"),TRUE)</f>
        <v>0</v>
      </c>
      <c r="AS80" s="37" t="str">
        <f>"title: """&amp;H80&amp;""""</f>
        <v>title: ""</v>
      </c>
      <c r="AT80" s="37" t="str">
        <f>"location: {lat: "&amp;F80&amp;", lng: "&amp;G80&amp;"}"</f>
        <v>location: {lat: , lng: }</v>
      </c>
      <c r="AU80" s="37" t="str">
        <f>"level: "&amp;J80</f>
        <v>level: global</v>
      </c>
      <c r="AV80" s="37" t="str">
        <f>"- "&amp;VLOOKUP(C80,'(Ref) Countries'!A:C,3,)</f>
        <v>- italy</v>
      </c>
      <c r="AW80" s="37" t="str">
        <f t="shared" si="24"/>
        <v/>
      </c>
      <c r="AX80" s="37" t="str">
        <f t="shared" si="25"/>
        <v>- churches</v>
      </c>
      <c r="AY80" s="37" t="str">
        <f t="shared" si="26"/>
        <v>- marian-sites</v>
      </c>
      <c r="AZ80" s="37" t="str">
        <f t="shared" si="27"/>
        <v/>
      </c>
      <c r="BA80" s="37" t="str">
        <f t="shared" si="28"/>
        <v/>
      </c>
      <c r="BB80" s="37" t="str">
        <f t="shared" si="29"/>
        <v/>
      </c>
      <c r="BC80" s="37" t="str">
        <f t="shared" si="30"/>
        <v/>
      </c>
      <c r="BD80" s="37" t="str">
        <f t="shared" si="31"/>
        <v/>
      </c>
      <c r="BE80" s="37" t="str">
        <f t="shared" si="32"/>
        <v/>
      </c>
      <c r="BF80" s="37" t="str">
        <f t="shared" si="33"/>
        <v/>
      </c>
      <c r="BG80" s="37" t="str">
        <f t="shared" si="34"/>
        <v/>
      </c>
      <c r="BH80" s="37" t="str">
        <f t="shared" si="35"/>
        <v/>
      </c>
      <c r="BI80" s="37" t="str">
        <f t="shared" si="36"/>
        <v/>
      </c>
      <c r="BJ80" s="37" t="str">
        <f t="shared" si="37"/>
        <v/>
      </c>
      <c r="BK80" s="37" t="str">
        <f t="shared" si="38"/>
        <v xml:space="preserve">tags:
- italy_x000D_
- churches_x000D_
- marian-sites_x000D_
</v>
      </c>
      <c r="BL80" s="38" t="str">
        <f t="shared" si="39"/>
        <v/>
      </c>
      <c r="BM80" s="38" t="str">
        <f t="shared" si="40"/>
        <v/>
      </c>
      <c r="BN80" s="38" t="str">
        <f t="shared" si="41"/>
        <v/>
      </c>
      <c r="BO80" s="38" t="str">
        <f t="shared" si="42"/>
        <v/>
      </c>
      <c r="BP80" s="38" t="str">
        <f t="shared" si="43"/>
        <v/>
      </c>
      <c r="BQ80" s="38" t="str">
        <f t="shared" si="44"/>
        <v>[Link](http://www.therealpresence.org/eucharst/misc/BVM/120_RAPALLO_60x96.pdf)</v>
      </c>
      <c r="BR80" s="38" t="str">
        <f t="shared" si="45"/>
        <v/>
      </c>
      <c r="BS80" s="38" t="str">
        <f t="shared" si="46"/>
        <v/>
      </c>
      <c r="BT80" s="38" t="str">
        <f>IF(LEN(concat(BQ80:BS80))&gt;0,concat("| ",BQ80," | ",BR80," | ",BS80," |"),"")</f>
        <v>| [Link](http://www.therealpresence.org/eucharst/misc/BVM/120_RAPALLO_60x96.pdf) |  |  |</v>
      </c>
      <c r="BU80" s="37" t="str">
        <f t="shared" si="47"/>
        <v xml:space="preserve">| The Real Presence | Miracle Hunter | MaryPages |_x000D_
| --- | --- | --- |_x000D_
| [Link](http://www.therealpresence.org/eucharst/misc/BVM/120_RAPALLO_60x96.pdf) |  |  |_x000D_
</v>
      </c>
      <c r="BV80" s="37" t="str">
        <f>IF(LEN(BP80&amp;BU80)&gt;0,concatll("#### Source Material",BP80,BU80),"")</f>
        <v xml:space="preserve">#### Source Material_x000D_
_x000D_
| The Real Presence | Miracle Hunter | MaryPages |_x000D_
| --- | --- | --- |_x000D_
| [Link](http://www.therealpresence.org/eucharst/misc/BVM/120_RAPALLO_60x96.pdf) |  |  |_x000D_
_x000D_
_x000D_
</v>
      </c>
      <c r="BW80" s="37" t="str">
        <f>IF(LEN(O80)&gt;1,concatll("#### Author's Note",O80),"")</f>
        <v/>
      </c>
      <c r="BX80" s="24" t="str">
        <f>IF(AR80,concatll(concatl("---",AS80:AU80,BK80,"---"),N80,BV80:BW80),"")</f>
        <v/>
      </c>
      <c r="BY80" s="24" t="str">
        <f>IF(AR80,VLOOKUP(C80,'(Ref) Countries'!A:B,2,)&amp;IF(LEN(D80)&gt;1,"-"&amp;LOWER(SUBSTITUTE(D80," ","-")),"")&amp;"-"&amp;LOWER(SUBSTITUTE(I80," ","-"))&amp;".md","")</f>
        <v/>
      </c>
      <c r="BZ80" s="37" t="str">
        <f>IF(LEN(AG80)&gt;1,VLOOKUP(AG80,'Tag List'!$A:$B,2,),"")</f>
        <v/>
      </c>
      <c r="CA80" s="37" t="str">
        <f>IF(LEN(AH80)&gt;1,VLOOKUP(AH80,'Tag List'!$A:$B,2,),"")</f>
        <v/>
      </c>
      <c r="CB80" s="37" t="str">
        <f>IF(LEN(AI80)&gt;1,VLOOKUP(AI80,'Tag List'!$A:$B,2,),"")</f>
        <v/>
      </c>
      <c r="CC80" s="38" t="str">
        <f>IF(LEN(AG80)&gt;1,GetTagPage(BZ80,AG80),"")</f>
        <v/>
      </c>
      <c r="CD80" s="38" t="str">
        <f>IF(LEN(AH80)&gt;1,GetTagPage(CA80,AH80),"")</f>
        <v/>
      </c>
      <c r="CE80" s="38" t="str">
        <f>IF(LEN(AI80)&gt;1,GetTagPage(CB80,AI80),"")</f>
        <v/>
      </c>
      <c r="CF80" s="38" t="str">
        <f>"|"&amp;IF(LEN(CC80)&gt;1," "&amp;CC80,"")&amp;IF(LEN(CD80)&gt;1,", "&amp;CD80,"")&amp;IF(LEN(CE80)&gt;1,", "&amp;CE80,"")&amp;" "</f>
        <v xml:space="preserve">| </v>
      </c>
      <c r="CG80" s="38" t="str">
        <f>"| "&amp;IF(AR80,"["&amp;B80&amp;"](/places/"&amp;SUBSTITUTE(BY80,".md","")&amp;")",B80)&amp;" "</f>
        <v xml:space="preserve">| Rapallo </v>
      </c>
      <c r="CH80" s="38" t="str">
        <f>"| "&amp;IF(AR80,GetTagPage(C80,VLOOKUP(C80,'(Ref) Countries'!A:C,3,)),C80)&amp; " "</f>
        <v xml:space="preserve">| Italy </v>
      </c>
      <c r="CI80" s="38" t="str">
        <f>"| "&amp;E80&amp;" "</f>
        <v xml:space="preserve">| 1597 </v>
      </c>
      <c r="CJ80" s="38" t="str">
        <f>"|"&amp;IF(AR80," [Link](/places/"&amp;SUBSTITUTE(BY80,".md","")&amp;")","")&amp;" "</f>
        <v xml:space="preserve">| </v>
      </c>
      <c r="CK80" s="37" t="str">
        <f>"
"&amp;CG80&amp;CH80&amp;CI80&amp;CJ80&amp;BL80&amp;BQ80&amp;BR80&amp;BS80&amp;CF80&amp;"|"</f>
        <v xml:space="preserve">
| Rapallo | Italy | 1597 | [Link](http://www.therealpresence.org/eucharst/misc/BVM/120_RAPALLO_60x96.pdf)| |</v>
      </c>
    </row>
    <row r="81" spans="1:89" ht="89.25" x14ac:dyDescent="0.25">
      <c r="A81" s="25" t="s">
        <v>1324</v>
      </c>
      <c r="B81" s="28" t="s">
        <v>1255</v>
      </c>
      <c r="C81" s="29" t="s">
        <v>500</v>
      </c>
      <c r="E81" s="31" t="s">
        <v>1127</v>
      </c>
      <c r="F81" s="71">
        <v>-34.564198513371799</v>
      </c>
      <c r="G81" s="67">
        <v>-59.121408231421597</v>
      </c>
      <c r="H81" s="40" t="s">
        <v>1411</v>
      </c>
      <c r="I81" s="79" t="s">
        <v>1411</v>
      </c>
      <c r="J81" s="42" t="s">
        <v>1728</v>
      </c>
      <c r="K81" s="32" t="b">
        <v>1</v>
      </c>
      <c r="L81" s="30" t="b">
        <v>1</v>
      </c>
      <c r="N81" s="65" t="s">
        <v>1830</v>
      </c>
      <c r="P81" s="30" t="s">
        <v>1412</v>
      </c>
      <c r="Q81" s="30" t="s">
        <v>336</v>
      </c>
      <c r="AA81" s="71" t="s">
        <v>256</v>
      </c>
      <c r="AB81" s="30" t="s">
        <v>336</v>
      </c>
      <c r="AC81" s="30" t="s">
        <v>1413</v>
      </c>
      <c r="AD81" s="42" t="s">
        <v>1414</v>
      </c>
      <c r="AE81" s="30" t="s">
        <v>336</v>
      </c>
      <c r="AF81" s="67" t="s">
        <v>336</v>
      </c>
      <c r="AG81" s="30" t="s">
        <v>336</v>
      </c>
      <c r="AR81" s="36" t="b">
        <f>IF(OR(A81="Done",A81="In Progress"),TRUE)</f>
        <v>1</v>
      </c>
      <c r="AS81" s="37" t="str">
        <f>"title: """&amp;H81&amp;""""</f>
        <v>title: "Basilica of Our Lady of Lujan"</v>
      </c>
      <c r="AT81" s="37" t="str">
        <f>"location: {lat: "&amp;F81&amp;", lng: "&amp;G81&amp;"}"</f>
        <v>location: {lat: -34.5641985133718, lng: -59.1214082314216}</v>
      </c>
      <c r="AU81" s="37" t="str">
        <f>"level: "&amp;J81</f>
        <v>level: global</v>
      </c>
      <c r="AV81" s="37" t="str">
        <f>"- "&amp;VLOOKUP(C81,'(Ref) Countries'!A:C,3,)</f>
        <v>- argentina</v>
      </c>
      <c r="AW81" s="37" t="str">
        <f t="shared" si="24"/>
        <v/>
      </c>
      <c r="AX81" s="37" t="str">
        <f t="shared" si="25"/>
        <v>- churches</v>
      </c>
      <c r="AY81" s="37" t="str">
        <f t="shared" si="26"/>
        <v>- marian-sites</v>
      </c>
      <c r="AZ81" s="37" t="str">
        <f t="shared" si="27"/>
        <v/>
      </c>
      <c r="BA81" s="37" t="str">
        <f t="shared" si="28"/>
        <v/>
      </c>
      <c r="BB81" s="37" t="str">
        <f t="shared" si="29"/>
        <v/>
      </c>
      <c r="BC81" s="37" t="str">
        <f t="shared" si="30"/>
        <v/>
      </c>
      <c r="BD81" s="37" t="str">
        <f t="shared" si="31"/>
        <v/>
      </c>
      <c r="BE81" s="37" t="str">
        <f t="shared" si="32"/>
        <v/>
      </c>
      <c r="BF81" s="37" t="str">
        <f t="shared" si="33"/>
        <v/>
      </c>
      <c r="BG81" s="37" t="str">
        <f t="shared" si="34"/>
        <v/>
      </c>
      <c r="BH81" s="37" t="str">
        <f t="shared" si="35"/>
        <v/>
      </c>
      <c r="BI81" s="37" t="str">
        <f t="shared" si="36"/>
        <v/>
      </c>
      <c r="BJ81" s="37" t="str">
        <f t="shared" si="37"/>
        <v/>
      </c>
      <c r="BK81" s="37" t="str">
        <f t="shared" si="38"/>
        <v xml:space="preserve">tags:
- argentina_x000D_
- churches_x000D_
- marian-sites_x000D_
</v>
      </c>
      <c r="BL81" s="38" t="str">
        <f t="shared" si="39"/>
        <v>[Official site](https://santuariodelujan.org.ar/)</v>
      </c>
      <c r="BM81" s="38" t="str">
        <f t="shared" si="40"/>
        <v/>
      </c>
      <c r="BN81" s="38" t="str">
        <f t="shared" si="41"/>
        <v/>
      </c>
      <c r="BO81" s="38" t="str">
        <f t="shared" si="42"/>
        <v/>
      </c>
      <c r="BP81" s="38" t="str">
        <f t="shared" si="43"/>
        <v xml:space="preserve">* [Official site](https://santuariodelujan.org.ar/)
</v>
      </c>
      <c r="BQ81" s="38" t="str">
        <f t="shared" si="44"/>
        <v>[Link](http://www.therealpresence.org/eucharst/misc/BVM/112_LUJAN_96x96.pdf)</v>
      </c>
      <c r="BR81" s="38" t="str">
        <f t="shared" si="45"/>
        <v>[Link](http://www.miraclehunter.com/miraculous_images/icons_1600-1699.html) (Search "Lujan")</v>
      </c>
      <c r="BS81" s="38" t="str">
        <f t="shared" si="46"/>
        <v/>
      </c>
      <c r="BT81" s="38" t="str">
        <f>IF(LEN(concat(BQ81:BS81))&gt;0,concat("| ",BQ81," | ",BR81," | ",BS81," |"),"")</f>
        <v>| [Link](http://www.therealpresence.org/eucharst/misc/BVM/112_LUJAN_96x96.pdf) | [Link](http://www.miraclehunter.com/miraculous_images/icons_1600-1699.html) (Search "Lujan") |  |</v>
      </c>
      <c r="BU81" s="37" t="str">
        <f t="shared" si="47"/>
        <v xml:space="preserve">| The Real Presence | Miracle Hunter | MaryPages |_x000D_
| --- | --- | --- |_x000D_
| [Link](http://www.therealpresence.org/eucharst/misc/BVM/112_LUJAN_96x96.pdf) | [Link](http://www.miraclehunter.com/miraculous_images/icons_1600-1699.html) (Search "Lujan") |  |_x000D_
</v>
      </c>
      <c r="BV81" s="37" t="str">
        <f>IF(LEN(BP81&amp;BU81)&gt;0,concatll("#### Source Material",BP81,BU81),"")</f>
        <v xml:space="preserve">#### Source Material_x000D_
_x000D_
* [Official site](https://santuariodelujan.org.ar/)
_x000D_
_x000D_
| The Real Presence | Miracle Hunter | MaryPages |_x000D_
| --- | --- | --- |_x000D_
| [Link](http://www.therealpresence.org/eucharst/misc/BVM/112_LUJAN_96x96.pdf) | [Link](http://www.miraclehunter.com/miraculous_images/icons_1600-1699.html) (Search "Lujan") |  |_x000D_
_x000D_
_x000D_
</v>
      </c>
      <c r="BW81" s="37" t="str">
        <f>IF(LEN(O81)&gt;1,concatll("#### Author's Note",O81),"")</f>
        <v/>
      </c>
      <c r="BX81" s="24" t="str">
        <f>IF(AR81,concatll(concatl("---",AS81:AU81,BK81,"---"),N81,BV81:BW81),"")</f>
        <v xml:space="preserve">---_x000D_
title: "Basilica of Our Lady of Lujan"_x000D_
location: {lat: -34.5641985133718, lng: -59.1214082314216}_x000D_
level: global_x000D_
tags:
- argentina_x000D_
- churches_x000D_
- marian-sites_x000D_
_x000D_
---_x000D_
_x000D_
_x000D_
In 1630, a statue of the Immaculate Conception was being transported inland when its couriers overnighted near the Lujan River.  The following morning, the wagon become unexplainably heavy and immovable until the statue was unloaded.  Interpreting this as a sign, the patron and drivers left the statue there, where a chapel was built for pilgrims.  Over time and with many healings, Lujan has become one of the most frequented pilgrimage destinations in the world._x000D_
_x000D_
#### Source Material_x000D_
_x000D_
* [Official site](https://santuariodelujan.org.ar/)
_x000D_
_x000D_
| The Real Presence | Miracle Hunter | MaryPages |_x000D_
| --- | --- | --- |_x000D_
| [Link](http://www.therealpresence.org/eucharst/misc/BVM/112_LUJAN_96x96.pdf) | [Link](http://www.miraclehunter.com/miraculous_images/icons_1600-1699.html) (Search "Lujan") |  |_x000D_
_x000D_
_x000D_
_x000D_
_x000D_
</v>
      </c>
      <c r="BY81" s="24" t="str">
        <f>IF(AR81,VLOOKUP(C81,'(Ref) Countries'!A:B,2,)&amp;IF(LEN(D81)&gt;1,"-"&amp;LOWER(SUBSTITUTE(D81," ","-")),"")&amp;"-"&amp;LOWER(SUBSTITUTE(I81," ","-"))&amp;".md","")</f>
        <v>ar-basilica-of-our-lady-of-lujan.md</v>
      </c>
      <c r="BZ81" s="37" t="str">
        <f>IF(LEN(AG81)&gt;1,VLOOKUP(AG81,'Tag List'!$A:$B,2,),"")</f>
        <v/>
      </c>
      <c r="CA81" s="37" t="str">
        <f>IF(LEN(AH81)&gt;1,VLOOKUP(AH81,'Tag List'!$A:$B,2,),"")</f>
        <v/>
      </c>
      <c r="CB81" s="37" t="str">
        <f>IF(LEN(AI81)&gt;1,VLOOKUP(AI81,'Tag List'!$A:$B,2,),"")</f>
        <v/>
      </c>
      <c r="CC81" s="38" t="str">
        <f>IF(LEN(AG81)&gt;1,GetTagPage(BZ81,AG81),"")</f>
        <v/>
      </c>
      <c r="CD81" s="38" t="str">
        <f>IF(LEN(AH81)&gt;1,GetTagPage(CA81,AH81),"")</f>
        <v/>
      </c>
      <c r="CE81" s="38" t="str">
        <f>IF(LEN(AI81)&gt;1,GetTagPage(CB81,AI81),"")</f>
        <v/>
      </c>
      <c r="CF81" s="38" t="str">
        <f>"|"&amp;IF(LEN(CC81)&gt;1," "&amp;CC81,"")&amp;IF(LEN(CD81)&gt;1,", "&amp;CD81,"")&amp;IF(LEN(CE81)&gt;1,", "&amp;CE81,"")&amp;" "</f>
        <v xml:space="preserve">| </v>
      </c>
      <c r="CG81" s="38" t="str">
        <f>"| "&amp;IF(AR81,"["&amp;B81&amp;"](/places/"&amp;SUBSTITUTE(BY81,".md","")&amp;")",B81)&amp;" "</f>
        <v xml:space="preserve">| [Luján](/places/ar-basilica-of-our-lady-of-lujan) </v>
      </c>
      <c r="CH81" s="38" t="str">
        <f>"| "&amp;IF(AR81,GetTagPage(C81,VLOOKUP(C81,'(Ref) Countries'!A:C,3,)),C81)&amp; " "</f>
        <v xml:space="preserve">| [Argentina](/tags/argentina) </v>
      </c>
      <c r="CI81" s="38" t="str">
        <f>"| "&amp;E81&amp;" "</f>
        <v xml:space="preserve">| 17th Century </v>
      </c>
      <c r="CJ81" s="38" t="str">
        <f>"|"&amp;IF(AR81," [Link](/places/"&amp;SUBSTITUTE(BY81,".md","")&amp;")","")&amp;" "</f>
        <v xml:space="preserve">| [Link](/places/ar-basilica-of-our-lady-of-lujan) </v>
      </c>
      <c r="CK81" s="37" t="str">
        <f>"
"&amp;CG81&amp;CH81&amp;CI81&amp;CJ81&amp;BL81&amp;BQ81&amp;BR81&amp;BS81&amp;CF81&amp;"|"</f>
        <v xml:space="preserve">
| [Luján](/places/ar-basilica-of-our-lady-of-lujan) | [Argentina](/tags/argentina) | 17th Century | [Link](/places/ar-basilica-of-our-lady-of-lujan) [Official site](https://santuariodelujan.org.ar/)[Link](http://www.therealpresence.org/eucharst/misc/BVM/112_LUJAN_96x96.pdf)[Link](http://www.miraclehunter.com/miraculous_images/icons_1600-1699.html) (Search "Lujan")| |</v>
      </c>
    </row>
    <row r="82" spans="1:89" x14ac:dyDescent="0.25">
      <c r="B82" s="28" t="s">
        <v>1256</v>
      </c>
      <c r="C82" s="29" t="s">
        <v>657</v>
      </c>
      <c r="E82" s="31" t="s">
        <v>1127</v>
      </c>
      <c r="J82" s="30" t="s">
        <v>1728</v>
      </c>
      <c r="K82" s="32" t="b">
        <v>1</v>
      </c>
      <c r="L82" s="30" t="b">
        <v>1</v>
      </c>
      <c r="P82" s="30" t="s">
        <v>336</v>
      </c>
      <c r="Q82" s="30" t="s">
        <v>336</v>
      </c>
      <c r="AA82" s="71" t="s">
        <v>257</v>
      </c>
      <c r="AB82" s="30" t="s">
        <v>336</v>
      </c>
      <c r="AC82" s="30" t="s">
        <v>336</v>
      </c>
      <c r="AD82" s="30" t="s">
        <v>336</v>
      </c>
      <c r="AE82" s="30" t="s">
        <v>336</v>
      </c>
      <c r="AF82" s="67" t="s">
        <v>336</v>
      </c>
      <c r="AG82" s="30" t="s">
        <v>336</v>
      </c>
      <c r="AR82" s="36" t="b">
        <f>IF(OR(A82="Done",A82="In Progress"),TRUE)</f>
        <v>0</v>
      </c>
      <c r="AS82" s="37" t="str">
        <f>"title: """&amp;H82&amp;""""</f>
        <v>title: ""</v>
      </c>
      <c r="AT82" s="37" t="str">
        <f>"location: {lat: "&amp;F82&amp;", lng: "&amp;G82&amp;"}"</f>
        <v>location: {lat: , lng: }</v>
      </c>
      <c r="AU82" s="37" t="str">
        <f>"level: "&amp;J82</f>
        <v>level: global</v>
      </c>
      <c r="AV82" s="37" t="str">
        <f>"- "&amp;VLOOKUP(C82,'(Ref) Countries'!A:C,3,)</f>
        <v>- paraguay</v>
      </c>
      <c r="AW82" s="37" t="str">
        <f t="shared" si="24"/>
        <v/>
      </c>
      <c r="AX82" s="37" t="str">
        <f t="shared" si="25"/>
        <v>- churches</v>
      </c>
      <c r="AY82" s="37" t="str">
        <f t="shared" si="26"/>
        <v>- marian-sites</v>
      </c>
      <c r="AZ82" s="37" t="str">
        <f t="shared" si="27"/>
        <v/>
      </c>
      <c r="BA82" s="37" t="str">
        <f t="shared" si="28"/>
        <v/>
      </c>
      <c r="BB82" s="37" t="str">
        <f t="shared" si="29"/>
        <v/>
      </c>
      <c r="BC82" s="37" t="str">
        <f t="shared" si="30"/>
        <v/>
      </c>
      <c r="BD82" s="37" t="str">
        <f t="shared" si="31"/>
        <v/>
      </c>
      <c r="BE82" s="37" t="str">
        <f t="shared" si="32"/>
        <v/>
      </c>
      <c r="BF82" s="37" t="str">
        <f t="shared" si="33"/>
        <v/>
      </c>
      <c r="BG82" s="37" t="str">
        <f t="shared" si="34"/>
        <v/>
      </c>
      <c r="BH82" s="37" t="str">
        <f t="shared" si="35"/>
        <v/>
      </c>
      <c r="BI82" s="37" t="str">
        <f t="shared" si="36"/>
        <v/>
      </c>
      <c r="BJ82" s="37" t="str">
        <f t="shared" si="37"/>
        <v/>
      </c>
      <c r="BK82" s="37" t="str">
        <f t="shared" si="38"/>
        <v xml:space="preserve">tags:
- paraguay_x000D_
- churches_x000D_
- marian-sites_x000D_
</v>
      </c>
      <c r="BL82" s="38" t="str">
        <f t="shared" si="39"/>
        <v/>
      </c>
      <c r="BM82" s="38" t="str">
        <f t="shared" si="40"/>
        <v/>
      </c>
      <c r="BN82" s="38" t="str">
        <f t="shared" si="41"/>
        <v/>
      </c>
      <c r="BO82" s="38" t="str">
        <f t="shared" si="42"/>
        <v/>
      </c>
      <c r="BP82" s="38" t="str">
        <f t="shared" si="43"/>
        <v/>
      </c>
      <c r="BQ82" s="38" t="str">
        <f t="shared" si="44"/>
        <v>[Link](http://www.therealpresence.org/eucharst/misc/BVM/92_CAACUPE_96x96.pdf)</v>
      </c>
      <c r="BR82" s="38" t="str">
        <f t="shared" si="45"/>
        <v/>
      </c>
      <c r="BS82" s="38" t="str">
        <f t="shared" si="46"/>
        <v/>
      </c>
      <c r="BT82" s="38" t="str">
        <f>IF(LEN(concat(BQ82:BS82))&gt;0,concat("| ",BQ82," | ",BR82," | ",BS82," |"),"")</f>
        <v>| [Link](http://www.therealpresence.org/eucharst/misc/BVM/92_CAACUPE_96x96.pdf) |  |  |</v>
      </c>
      <c r="BU82" s="37" t="str">
        <f t="shared" si="47"/>
        <v xml:space="preserve">| The Real Presence | Miracle Hunter | MaryPages |_x000D_
| --- | --- | --- |_x000D_
| [Link](http://www.therealpresence.org/eucharst/misc/BVM/92_CAACUPE_96x96.pdf) |  |  |_x000D_
</v>
      </c>
      <c r="BV82" s="37" t="str">
        <f>IF(LEN(BP82&amp;BU82)&gt;0,concatll("#### Source Material",BP82,BU82),"")</f>
        <v xml:space="preserve">#### Source Material_x000D_
_x000D_
| The Real Presence | Miracle Hunter | MaryPages |_x000D_
| --- | --- | --- |_x000D_
| [Link](http://www.therealpresence.org/eucharst/misc/BVM/92_CAACUPE_96x96.pdf) |  |  |_x000D_
_x000D_
_x000D_
</v>
      </c>
      <c r="BW82" s="37" t="str">
        <f>IF(LEN(O82)&gt;1,concatll("#### Author's Note",O82),"")</f>
        <v/>
      </c>
      <c r="BX82" s="24" t="str">
        <f>IF(AR82,concatll(concatl("---",AS82:AU82,BK82,"---"),N82,BV82:BW82),"")</f>
        <v/>
      </c>
      <c r="BY82" s="24" t="str">
        <f>IF(AR82,VLOOKUP(C82,'(Ref) Countries'!A:B,2,)&amp;IF(LEN(D82)&gt;1,"-"&amp;LOWER(SUBSTITUTE(D82," ","-")),"")&amp;"-"&amp;LOWER(SUBSTITUTE(I82," ","-"))&amp;".md","")</f>
        <v/>
      </c>
      <c r="BZ82" s="37" t="str">
        <f>IF(LEN(AG82)&gt;1,VLOOKUP(AG82,'Tag List'!$A:$B,2,),"")</f>
        <v/>
      </c>
      <c r="CA82" s="37" t="str">
        <f>IF(LEN(AH82)&gt;1,VLOOKUP(AH82,'Tag List'!$A:$B,2,),"")</f>
        <v/>
      </c>
      <c r="CB82" s="37" t="str">
        <f>IF(LEN(AI82)&gt;1,VLOOKUP(AI82,'Tag List'!$A:$B,2,),"")</f>
        <v/>
      </c>
      <c r="CC82" s="38" t="str">
        <f>IF(LEN(AG82)&gt;1,GetTagPage(BZ82,AG82),"")</f>
        <v/>
      </c>
      <c r="CD82" s="38" t="str">
        <f>IF(LEN(AH82)&gt;1,GetTagPage(CA82,AH82),"")</f>
        <v/>
      </c>
      <c r="CE82" s="38" t="str">
        <f>IF(LEN(AI82)&gt;1,GetTagPage(CB82,AI82),"")</f>
        <v/>
      </c>
      <c r="CF82" s="38" t="str">
        <f>"|"&amp;IF(LEN(CC82)&gt;1," "&amp;CC82,"")&amp;IF(LEN(CD82)&gt;1,", "&amp;CD82,"")&amp;IF(LEN(CE82)&gt;1,", "&amp;CE82,"")&amp;" "</f>
        <v xml:space="preserve">| </v>
      </c>
      <c r="CG82" s="38" t="str">
        <f>"| "&amp;IF(AR82,"["&amp;B82&amp;"](/places/"&amp;SUBSTITUTE(BY82,".md","")&amp;")",B82)&amp;" "</f>
        <v xml:space="preserve">| Caacupé </v>
      </c>
      <c r="CH82" s="38" t="str">
        <f>"| "&amp;IF(AR82,GetTagPage(C82,VLOOKUP(C82,'(Ref) Countries'!A:C,3,)),C82)&amp; " "</f>
        <v xml:space="preserve">| Paraguay </v>
      </c>
      <c r="CI82" s="38" t="str">
        <f>"| "&amp;E82&amp;" "</f>
        <v xml:space="preserve">| 17th Century </v>
      </c>
      <c r="CJ82" s="38" t="str">
        <f>"|"&amp;IF(AR82," [Link](/places/"&amp;SUBSTITUTE(BY82,".md","")&amp;")","")&amp;" "</f>
        <v xml:space="preserve">| </v>
      </c>
      <c r="CK82" s="37" t="str">
        <f>"
"&amp;CG82&amp;CH82&amp;CI82&amp;CJ82&amp;BL82&amp;BQ82&amp;BR82&amp;BS82&amp;CF82&amp;"|"</f>
        <v xml:space="preserve">
| Caacupé | Paraguay | 17th Century | [Link](http://www.therealpresence.org/eucharst/misc/BVM/92_CAACUPE_96x96.pdf)| |</v>
      </c>
    </row>
    <row r="83" spans="1:89" x14ac:dyDescent="0.25">
      <c r="B83" s="28" t="s">
        <v>1254</v>
      </c>
      <c r="C83" s="29" t="s">
        <v>557</v>
      </c>
      <c r="E83" s="49" t="s">
        <v>1417</v>
      </c>
      <c r="J83" s="30" t="s">
        <v>1728</v>
      </c>
      <c r="K83" s="32" t="b">
        <v>1</v>
      </c>
      <c r="L83" s="30" t="b">
        <v>1</v>
      </c>
      <c r="P83" s="30" t="s">
        <v>336</v>
      </c>
      <c r="Q83" s="30" t="s">
        <v>336</v>
      </c>
      <c r="AA83" s="71" t="s">
        <v>255</v>
      </c>
      <c r="AB83" s="30" t="s">
        <v>336</v>
      </c>
      <c r="AC83" s="30" t="s">
        <v>336</v>
      </c>
      <c r="AD83" s="30" t="s">
        <v>336</v>
      </c>
      <c r="AE83" s="30" t="s">
        <v>336</v>
      </c>
      <c r="AF83" s="67" t="s">
        <v>336</v>
      </c>
      <c r="AG83" s="30" t="s">
        <v>336</v>
      </c>
      <c r="AR83" s="36" t="b">
        <f>IF(OR(A83="Done",A83="In Progress"),TRUE)</f>
        <v>0</v>
      </c>
      <c r="AS83" s="37" t="str">
        <f>"title: """&amp;H83&amp;""""</f>
        <v>title: ""</v>
      </c>
      <c r="AT83" s="37" t="str">
        <f>"location: {lat: "&amp;F83&amp;", lng: "&amp;G83&amp;"}"</f>
        <v>location: {lat: , lng: }</v>
      </c>
      <c r="AU83" s="37" t="str">
        <f>"level: "&amp;J83</f>
        <v>level: global</v>
      </c>
      <c r="AV83" s="37" t="str">
        <f>"- "&amp;VLOOKUP(C83,'(Ref) Countries'!A:C,3,)</f>
        <v>- france</v>
      </c>
      <c r="AW83" s="37" t="str">
        <f t="shared" si="24"/>
        <v/>
      </c>
      <c r="AX83" s="37" t="str">
        <f t="shared" si="25"/>
        <v>- churches</v>
      </c>
      <c r="AY83" s="37" t="str">
        <f t="shared" si="26"/>
        <v>- marian-sites</v>
      </c>
      <c r="AZ83" s="37" t="str">
        <f t="shared" si="27"/>
        <v/>
      </c>
      <c r="BA83" s="37" t="str">
        <f t="shared" si="28"/>
        <v/>
      </c>
      <c r="BB83" s="37" t="str">
        <f t="shared" si="29"/>
        <v/>
      </c>
      <c r="BC83" s="37" t="str">
        <f t="shared" si="30"/>
        <v/>
      </c>
      <c r="BD83" s="37" t="str">
        <f t="shared" si="31"/>
        <v/>
      </c>
      <c r="BE83" s="37" t="str">
        <f t="shared" si="32"/>
        <v/>
      </c>
      <c r="BF83" s="37" t="str">
        <f t="shared" si="33"/>
        <v/>
      </c>
      <c r="BG83" s="37" t="str">
        <f t="shared" si="34"/>
        <v/>
      </c>
      <c r="BH83" s="37" t="str">
        <f t="shared" si="35"/>
        <v/>
      </c>
      <c r="BI83" s="37" t="str">
        <f t="shared" si="36"/>
        <v/>
      </c>
      <c r="BJ83" s="37" t="str">
        <f t="shared" si="37"/>
        <v/>
      </c>
      <c r="BK83" s="37" t="str">
        <f t="shared" si="38"/>
        <v xml:space="preserve">tags:
- france_x000D_
- churches_x000D_
- marian-sites_x000D_
</v>
      </c>
      <c r="BL83" s="38" t="str">
        <f t="shared" si="39"/>
        <v/>
      </c>
      <c r="BM83" s="38" t="str">
        <f t="shared" si="40"/>
        <v/>
      </c>
      <c r="BN83" s="38" t="str">
        <f t="shared" si="41"/>
        <v/>
      </c>
      <c r="BO83" s="38" t="str">
        <f t="shared" si="42"/>
        <v/>
      </c>
      <c r="BP83" s="38" t="str">
        <f t="shared" si="43"/>
        <v/>
      </c>
      <c r="BQ83" s="38" t="str">
        <f t="shared" si="44"/>
        <v>[Link](http://www.therealpresence.org/eucharst/misc/BVM/61_BETHARRAM_60x96.pdf)</v>
      </c>
      <c r="BR83" s="38" t="str">
        <f t="shared" si="45"/>
        <v/>
      </c>
      <c r="BS83" s="38" t="str">
        <f t="shared" si="46"/>
        <v/>
      </c>
      <c r="BT83" s="38" t="str">
        <f>IF(LEN(concat(BQ83:BS83))&gt;0,concat("| ",BQ83," | ",BR83," | ",BS83," |"),"")</f>
        <v>| [Link](http://www.therealpresence.org/eucharst/misc/BVM/61_BETHARRAM_60x96.pdf) |  |  |</v>
      </c>
      <c r="BU83" s="37" t="str">
        <f t="shared" si="47"/>
        <v xml:space="preserve">| The Real Presence | Miracle Hunter | MaryPages |_x000D_
| --- | --- | --- |_x000D_
| [Link](http://www.therealpresence.org/eucharst/misc/BVM/61_BETHARRAM_60x96.pdf) |  |  |_x000D_
</v>
      </c>
      <c r="BV83" s="37" t="str">
        <f>IF(LEN(BP83&amp;BU83)&gt;0,concatll("#### Source Material",BP83,BU83),"")</f>
        <v xml:space="preserve">#### Source Material_x000D_
_x000D_
| The Real Presence | Miracle Hunter | MaryPages |_x000D_
| --- | --- | --- |_x000D_
| [Link](http://www.therealpresence.org/eucharst/misc/BVM/61_BETHARRAM_60x96.pdf) |  |  |_x000D_
_x000D_
_x000D_
</v>
      </c>
      <c r="BW83" s="37" t="str">
        <f>IF(LEN(O83)&gt;1,concatll("#### Author's Note",O83),"")</f>
        <v/>
      </c>
      <c r="BX83" s="24" t="str">
        <f>IF(AR83,concatll(concatl("---",AS83:AU83,BK83,"---"),N83,BV83:BW83),"")</f>
        <v/>
      </c>
      <c r="BY83" s="24" t="str">
        <f>IF(AR83,VLOOKUP(C83,'(Ref) Countries'!A:B,2,)&amp;IF(LEN(D83)&gt;1,"-"&amp;LOWER(SUBSTITUTE(D83," ","-")),"")&amp;"-"&amp;LOWER(SUBSTITUTE(I83," ","-"))&amp;".md","")</f>
        <v/>
      </c>
      <c r="BZ83" s="37" t="str">
        <f>IF(LEN(AG83)&gt;1,VLOOKUP(AG83,'Tag List'!$A:$B,2,),"")</f>
        <v/>
      </c>
      <c r="CA83" s="37" t="str">
        <f>IF(LEN(AH83)&gt;1,VLOOKUP(AH83,'Tag List'!$A:$B,2,),"")</f>
        <v/>
      </c>
      <c r="CB83" s="37" t="str">
        <f>IF(LEN(AI83)&gt;1,VLOOKUP(AI83,'Tag List'!$A:$B,2,),"")</f>
        <v/>
      </c>
      <c r="CC83" s="38" t="str">
        <f>IF(LEN(AG83)&gt;1,GetTagPage(BZ83,AG83),"")</f>
        <v/>
      </c>
      <c r="CD83" s="38" t="str">
        <f>IF(LEN(AH83)&gt;1,GetTagPage(CA83,AH83),"")</f>
        <v/>
      </c>
      <c r="CE83" s="38" t="str">
        <f>IF(LEN(AI83)&gt;1,GetTagPage(CB83,AI83),"")</f>
        <v/>
      </c>
      <c r="CF83" s="38" t="str">
        <f>"|"&amp;IF(LEN(CC83)&gt;1," "&amp;CC83,"")&amp;IF(LEN(CD83)&gt;1,", "&amp;CD83,"")&amp;IF(LEN(CE83)&gt;1,", "&amp;CE83,"")&amp;" "</f>
        <v xml:space="preserve">| </v>
      </c>
      <c r="CG83" s="38" t="str">
        <f>"| "&amp;IF(AR83,"["&amp;B83&amp;"](/places/"&amp;SUBSTITUTE(BY83,".md","")&amp;")",B83)&amp;" "</f>
        <v xml:space="preserve">| Bétharram </v>
      </c>
      <c r="CH83" s="38" t="str">
        <f>"| "&amp;IF(AR83,GetTagPage(C83,VLOOKUP(C83,'(Ref) Countries'!A:C,3,)),C83)&amp; " "</f>
        <v xml:space="preserve">| France </v>
      </c>
      <c r="CI83" s="38" t="str">
        <f>"| "&amp;E83&amp;" "</f>
        <v xml:space="preserve">| c. 17th Century </v>
      </c>
      <c r="CJ83" s="38" t="str">
        <f>"|"&amp;IF(AR83," [Link](/places/"&amp;SUBSTITUTE(BY83,".md","")&amp;")","")&amp;" "</f>
        <v xml:space="preserve">| </v>
      </c>
      <c r="CK83" s="37" t="str">
        <f>"
"&amp;CG83&amp;CH83&amp;CI83&amp;CJ83&amp;BL83&amp;BQ83&amp;BR83&amp;BS83&amp;CF83&amp;"|"</f>
        <v xml:space="preserve">
| Bétharram | France | c. 17th Century | [Link](http://www.therealpresence.org/eucharst/misc/BVM/61_BETHARRAM_60x96.pdf)| |</v>
      </c>
    </row>
    <row r="84" spans="1:89" ht="38.25" x14ac:dyDescent="0.25">
      <c r="A84" s="25" t="s">
        <v>1052</v>
      </c>
      <c r="B84" s="28" t="s">
        <v>1257</v>
      </c>
      <c r="C84" s="29" t="s">
        <v>649</v>
      </c>
      <c r="E84" s="31">
        <v>1603</v>
      </c>
      <c r="F84" s="71">
        <v>13.882181522598099</v>
      </c>
      <c r="G84" s="67">
        <v>120.92027885535801</v>
      </c>
      <c r="H84" s="29" t="s">
        <v>1379</v>
      </c>
      <c r="I84" s="75" t="s">
        <v>1380</v>
      </c>
      <c r="J84" s="30" t="s">
        <v>1728</v>
      </c>
      <c r="K84" s="32" t="b">
        <v>1</v>
      </c>
      <c r="L84" s="30" t="b">
        <v>1</v>
      </c>
      <c r="N84" s="29" t="s">
        <v>1337</v>
      </c>
      <c r="O84" s="77" t="s">
        <v>1749</v>
      </c>
      <c r="P84" s="30" t="s">
        <v>1382</v>
      </c>
      <c r="Q84" s="30" t="s">
        <v>336</v>
      </c>
      <c r="AA84" s="71" t="s">
        <v>258</v>
      </c>
      <c r="AB84" s="30" t="s">
        <v>336</v>
      </c>
      <c r="AC84" s="30" t="s">
        <v>1381</v>
      </c>
      <c r="AD84" s="30" t="s">
        <v>336</v>
      </c>
      <c r="AE84" s="30" t="s">
        <v>336</v>
      </c>
      <c r="AF84" s="67" t="s">
        <v>336</v>
      </c>
      <c r="AG84" s="30" t="s">
        <v>336</v>
      </c>
      <c r="AR84" s="36" t="b">
        <f>IF(OR(A84="Done",A84="In Progress"),TRUE)</f>
        <v>1</v>
      </c>
      <c r="AS84" s="37" t="str">
        <f>"title: """&amp;H84&amp;""""</f>
        <v>title: "Archdiocesan Shrine of Our Lady of Caysasay"</v>
      </c>
      <c r="AT84" s="37" t="str">
        <f>"location: {lat: "&amp;F84&amp;", lng: "&amp;G84&amp;"}"</f>
        <v>location: {lat: 13.8821815225981, lng: 120.920278855358}</v>
      </c>
      <c r="AU84" s="37" t="str">
        <f>"level: "&amp;J84</f>
        <v>level: global</v>
      </c>
      <c r="AV84" s="37" t="str">
        <f>"- "&amp;VLOOKUP(C84,'(Ref) Countries'!A:C,3,)</f>
        <v>- philippines</v>
      </c>
      <c r="AW84" s="37" t="str">
        <f t="shared" si="24"/>
        <v/>
      </c>
      <c r="AX84" s="37" t="str">
        <f t="shared" si="25"/>
        <v>- churches</v>
      </c>
      <c r="AY84" s="37" t="str">
        <f t="shared" si="26"/>
        <v>- marian-sites</v>
      </c>
      <c r="AZ84" s="37" t="str">
        <f t="shared" si="27"/>
        <v/>
      </c>
      <c r="BA84" s="37" t="str">
        <f t="shared" si="28"/>
        <v/>
      </c>
      <c r="BB84" s="37" t="str">
        <f t="shared" si="29"/>
        <v/>
      </c>
      <c r="BC84" s="37" t="str">
        <f t="shared" si="30"/>
        <v/>
      </c>
      <c r="BD84" s="37" t="str">
        <f t="shared" si="31"/>
        <v/>
      </c>
      <c r="BE84" s="37" t="str">
        <f t="shared" si="32"/>
        <v/>
      </c>
      <c r="BF84" s="37" t="str">
        <f t="shared" si="33"/>
        <v/>
      </c>
      <c r="BG84" s="37" t="str">
        <f t="shared" si="34"/>
        <v/>
      </c>
      <c r="BH84" s="37" t="str">
        <f t="shared" si="35"/>
        <v/>
      </c>
      <c r="BI84" s="37" t="str">
        <f t="shared" si="36"/>
        <v/>
      </c>
      <c r="BJ84" s="37" t="str">
        <f t="shared" si="37"/>
        <v/>
      </c>
      <c r="BK84" s="37" t="str">
        <f t="shared" si="38"/>
        <v xml:space="preserve">tags:
- philippines_x000D_
- churches_x000D_
- marian-sites_x000D_
</v>
      </c>
      <c r="BL84" s="38" t="str">
        <f t="shared" si="39"/>
        <v>[Official site](https://www.facebook.com/CaysasayTaal)</v>
      </c>
      <c r="BM84" s="38" t="str">
        <f t="shared" si="40"/>
        <v/>
      </c>
      <c r="BN84" s="38" t="str">
        <f t="shared" si="41"/>
        <v/>
      </c>
      <c r="BO84" s="38" t="str">
        <f t="shared" si="42"/>
        <v/>
      </c>
      <c r="BP84" s="38" t="str">
        <f t="shared" si="43"/>
        <v xml:space="preserve">* [Official site](https://www.facebook.com/CaysasayTaal)
</v>
      </c>
      <c r="BQ84" s="38" t="str">
        <f t="shared" si="44"/>
        <v>[Link](http://www.therealpresence.org/eucharst/misc/BVM/94_CAYSASAY_60x96.pdf)</v>
      </c>
      <c r="BR84" s="38" t="str">
        <f t="shared" si="45"/>
        <v>[Link](http://www.miraclehunter.com/marian_apparitions/approved_apparitions/caysasay/index.html)</v>
      </c>
      <c r="BS84" s="38" t="str">
        <f t="shared" si="46"/>
        <v/>
      </c>
      <c r="BT84" s="38" t="str">
        <f>IF(LEN(concat(BQ84:BS84))&gt;0,concat("| ",BQ84," | ",BR84," | ",BS84," |"),"")</f>
        <v>| [Link](http://www.therealpresence.org/eucharst/misc/BVM/94_CAYSASAY_60x96.pdf) | [Link](http://www.miraclehunter.com/marian_apparitions/approved_apparitions/caysasay/index.html) |  |</v>
      </c>
      <c r="BU84" s="37" t="str">
        <f t="shared" si="47"/>
        <v xml:space="preserve">| The Real Presence | Miracle Hunter | MaryPages |_x000D_
| --- | --- | --- |_x000D_
| [Link](http://www.therealpresence.org/eucharst/misc/BVM/94_CAYSASAY_60x96.pdf) | [Link](http://www.miraclehunter.com/marian_apparitions/approved_apparitions/caysasay/index.html) |  |_x000D_
</v>
      </c>
      <c r="BV84" s="37" t="str">
        <f>IF(LEN(BP84&amp;BU84)&gt;0,concatll("#### Source Material",BP84,BU84),"")</f>
        <v xml:space="preserve">#### Source Material_x000D_
_x000D_
* [Official site](https://www.facebook.com/CaysasayTaal)
_x000D_
_x000D_
| The Real Presence | Miracle Hunter | MaryPages |_x000D_
| --- | --- | --- |_x000D_
| [Link](http://www.therealpresence.org/eucharst/misc/BVM/94_CAYSASAY_60x96.pdf) | [Link](http://www.miraclehunter.com/marian_apparitions/approved_apparitions/caysasay/index.html) |  |_x000D_
_x000D_
_x000D_
</v>
      </c>
      <c r="BW84" s="37" t="str">
        <f>IF(LEN(O84)&gt;1,concatll("#### Author's Note",O84),"")</f>
        <v xml:space="preserve">#### Author's Note_x000D_
_x000D_
The Facebook page appears to be the official site.
-JMM_x000D_
_x000D_
</v>
      </c>
      <c r="BX84" s="24" t="str">
        <f>IF(AR84,concatll(concatl("---",AS84:AU84,BK84,"---"),N84,BV84:BW84),"")</f>
        <v xml:space="preserve">---_x000D_
title: "Archdiocesan Shrine of Our Lady of Caysasay"_x000D_
location: {lat: 13.8821815225981, lng: 120.920278855358}_x000D_
level: global_x000D_
tags:
- philippines_x000D_
- churches_x000D_
- marian-sites_x000D_
_x000D_
---_x000D_
_x000D_
_x000D_
_Research in progress__x000D_
_x000D_
#### Source Material_x000D_
_x000D_
* [Official site](https://www.facebook.com/CaysasayTaal)
_x000D_
_x000D_
| The Real Presence | Miracle Hunter | MaryPages |_x000D_
| --- | --- | --- |_x000D_
| [Link](http://www.therealpresence.org/eucharst/misc/BVM/94_CAYSASAY_60x96.pdf) | [Link](http://www.miraclehunter.com/marian_apparitions/approved_apparitions/caysasay/index.html) |  |_x000D_
_x000D_
_x000D_
_x000D_
_x000D_
#### Author's Note_x000D_
_x000D_
The Facebook page appears to be the official site.
-JMM_x000D_
_x000D_
_x000D_
_x000D_
</v>
      </c>
      <c r="BY84" s="24" t="str">
        <f>IF(AR84,VLOOKUP(C84,'(Ref) Countries'!A:B,2,)&amp;IF(LEN(D84)&gt;1,"-"&amp;LOWER(SUBSTITUTE(D84," ","-")),"")&amp;"-"&amp;LOWER(SUBSTITUTE(I84," ","-"))&amp;".md","")</f>
        <v>ph-shrine-of-our-lady-of-caysasay.md</v>
      </c>
      <c r="BZ84" s="37" t="str">
        <f>IF(LEN(AG84)&gt;1,VLOOKUP(AG84,'Tag List'!$A:$B,2,),"")</f>
        <v/>
      </c>
      <c r="CA84" s="37" t="str">
        <f>IF(LEN(AH84)&gt;1,VLOOKUP(AH84,'Tag List'!$A:$B,2,),"")</f>
        <v/>
      </c>
      <c r="CB84" s="37" t="str">
        <f>IF(LEN(AI84)&gt;1,VLOOKUP(AI84,'Tag List'!$A:$B,2,),"")</f>
        <v/>
      </c>
      <c r="CC84" s="38" t="str">
        <f>IF(LEN(AG84)&gt;1,GetTagPage(BZ84,AG84),"")</f>
        <v/>
      </c>
      <c r="CD84" s="38" t="str">
        <f>IF(LEN(AH84)&gt;1,GetTagPage(CA84,AH84),"")</f>
        <v/>
      </c>
      <c r="CE84" s="38" t="str">
        <f>IF(LEN(AI84)&gt;1,GetTagPage(CB84,AI84),"")</f>
        <v/>
      </c>
      <c r="CF84" s="38" t="str">
        <f>"|"&amp;IF(LEN(CC84)&gt;1," "&amp;CC84,"")&amp;IF(LEN(CD84)&gt;1,", "&amp;CD84,"")&amp;IF(LEN(CE84)&gt;1,", "&amp;CE84,"")&amp;" "</f>
        <v xml:space="preserve">| </v>
      </c>
      <c r="CG84" s="38" t="str">
        <f>"| "&amp;IF(AR84,"["&amp;B84&amp;"](/places/"&amp;SUBSTITUTE(BY84,".md","")&amp;")",B84)&amp;" "</f>
        <v xml:space="preserve">| [Caysasay](/places/ph-shrine-of-our-lady-of-caysasay) </v>
      </c>
      <c r="CH84" s="38" t="str">
        <f>"| "&amp;IF(AR84,GetTagPage(C84,VLOOKUP(C84,'(Ref) Countries'!A:C,3,)),C84)&amp; " "</f>
        <v xml:space="preserve">| [Philippines](/tags/philippines) </v>
      </c>
      <c r="CI84" s="38" t="str">
        <f>"| "&amp;E84&amp;" "</f>
        <v xml:space="preserve">| 1603 </v>
      </c>
      <c r="CJ84" s="38" t="str">
        <f>"|"&amp;IF(AR84," [Link](/places/"&amp;SUBSTITUTE(BY84,".md","")&amp;")","")&amp;" "</f>
        <v xml:space="preserve">| [Link](/places/ph-shrine-of-our-lady-of-caysasay) </v>
      </c>
      <c r="CK84" s="37" t="str">
        <f>"
"&amp;CG84&amp;CH84&amp;CI84&amp;CJ84&amp;BL84&amp;BQ84&amp;BR84&amp;BS84&amp;CF84&amp;"|"</f>
        <v xml:space="preserve">
| [Caysasay](/places/ph-shrine-of-our-lady-of-caysasay) | [Philippines](/tags/philippines) | 1603 | [Link](/places/ph-shrine-of-our-lady-of-caysasay) [Official site](https://www.facebook.com/CaysasayTaal)[Link](http://www.therealpresence.org/eucharst/misc/BVM/94_CAYSASAY_60x96.pdf)[Link](http://www.miraclehunter.com/marian_apparitions/approved_apparitions/caysasay/index.html)| |</v>
      </c>
    </row>
    <row r="85" spans="1:89" ht="89.25" x14ac:dyDescent="0.25">
      <c r="A85" s="25" t="s">
        <v>1324</v>
      </c>
      <c r="B85" s="28" t="s">
        <v>1258</v>
      </c>
      <c r="C85" s="29" t="s">
        <v>661</v>
      </c>
      <c r="E85" s="31">
        <v>1603</v>
      </c>
      <c r="F85" s="71">
        <v>45.592976471079801</v>
      </c>
      <c r="G85" s="67">
        <v>19.1905119128275</v>
      </c>
      <c r="H85" s="50" t="s">
        <v>1394</v>
      </c>
      <c r="I85" s="78" t="s">
        <v>1395</v>
      </c>
      <c r="J85" s="51" t="s">
        <v>1728</v>
      </c>
      <c r="K85" s="32" t="b">
        <v>1</v>
      </c>
      <c r="L85" s="30" t="b">
        <v>1</v>
      </c>
      <c r="N85" s="29" t="s">
        <v>1396</v>
      </c>
      <c r="O85" s="77" t="s">
        <v>1750</v>
      </c>
      <c r="P85" s="30" t="s">
        <v>1397</v>
      </c>
      <c r="Q85" s="66"/>
      <c r="R85" s="121" t="s">
        <v>1833</v>
      </c>
      <c r="S85" s="42" t="s">
        <v>1832</v>
      </c>
      <c r="T85" s="89"/>
      <c r="U85" s="84"/>
      <c r="V85" s="42"/>
      <c r="W85" s="89"/>
      <c r="X85" s="42"/>
      <c r="Y85" s="42"/>
      <c r="Z85" s="42"/>
      <c r="AA85" s="71" t="s">
        <v>259</v>
      </c>
      <c r="AB85" s="30" t="s">
        <v>336</v>
      </c>
      <c r="AC85" s="30" t="s">
        <v>1366</v>
      </c>
      <c r="AD85" s="51" t="s">
        <v>1393</v>
      </c>
      <c r="AE85" s="30" t="s">
        <v>336</v>
      </c>
      <c r="AF85" s="67" t="s">
        <v>336</v>
      </c>
      <c r="AG85" s="30" t="s">
        <v>336</v>
      </c>
      <c r="AR85" s="36" t="b">
        <f>IF(OR(A85="Done",A85="In Progress"),TRUE)</f>
        <v>1</v>
      </c>
      <c r="AS85" s="37" t="str">
        <f>"title: """&amp;H85&amp;""""</f>
        <v>title: "Diocesan Shrine of Mary, Help of Christians"</v>
      </c>
      <c r="AT85" s="37" t="str">
        <f>"location: {lat: "&amp;F85&amp;", lng: "&amp;G85&amp;"}"</f>
        <v>location: {lat: 45.5929764710798, lng: 19.1905119128275}</v>
      </c>
      <c r="AU85" s="37" t="str">
        <f>"level: "&amp;J85</f>
        <v>level: global</v>
      </c>
      <c r="AV85" s="37" t="str">
        <f>"- "&amp;VLOOKUP(C85,'(Ref) Countries'!A:C,3,)</f>
        <v>- serbia</v>
      </c>
      <c r="AW85" s="37" t="str">
        <f t="shared" si="24"/>
        <v/>
      </c>
      <c r="AX85" s="37" t="str">
        <f t="shared" si="25"/>
        <v>- churches</v>
      </c>
      <c r="AY85" s="37" t="str">
        <f t="shared" si="26"/>
        <v>- marian-sites</v>
      </c>
      <c r="AZ85" s="37" t="str">
        <f t="shared" si="27"/>
        <v/>
      </c>
      <c r="BA85" s="37" t="str">
        <f t="shared" si="28"/>
        <v/>
      </c>
      <c r="BB85" s="37" t="str">
        <f t="shared" si="29"/>
        <v/>
      </c>
      <c r="BC85" s="37" t="str">
        <f t="shared" si="30"/>
        <v/>
      </c>
      <c r="BD85" s="37" t="str">
        <f t="shared" si="31"/>
        <v/>
      </c>
      <c r="BE85" s="37" t="str">
        <f t="shared" si="32"/>
        <v/>
      </c>
      <c r="BF85" s="37" t="str">
        <f t="shared" si="33"/>
        <v/>
      </c>
      <c r="BG85" s="37" t="str">
        <f t="shared" si="34"/>
        <v/>
      </c>
      <c r="BH85" s="37" t="str">
        <f t="shared" si="35"/>
        <v/>
      </c>
      <c r="BI85" s="37" t="str">
        <f t="shared" si="36"/>
        <v/>
      </c>
      <c r="BJ85" s="37" t="str">
        <f t="shared" si="37"/>
        <v/>
      </c>
      <c r="BK85" s="37" t="str">
        <f t="shared" si="38"/>
        <v xml:space="preserve">tags:
- serbia_x000D_
- churches_x000D_
- marian-sites_x000D_
</v>
      </c>
      <c r="BL85" s="38" t="str">
        <f t="shared" si="39"/>
        <v>[Official site](https://szentkut.eu/)</v>
      </c>
      <c r="BM85" s="38" t="str">
        <f t="shared" si="40"/>
        <v>[Additional site](https://doroszlo.net/)</v>
      </c>
      <c r="BN85" s="38" t="str">
        <f t="shared" si="41"/>
        <v/>
      </c>
      <c r="BO85" s="38" t="str">
        <f t="shared" si="42"/>
        <v/>
      </c>
      <c r="BP85" s="38" t="str">
        <f t="shared" si="43"/>
        <v xml:space="preserve">* [Official site](https://szentkut.eu/)
* [Additional site](https://doroszlo.net/)
</v>
      </c>
      <c r="BQ85" s="38" t="str">
        <f t="shared" si="44"/>
        <v>[Link](http://www.therealpresence.org/eucharst/misc/BVM/104_DOROSZLO_60x96.pdf)</v>
      </c>
      <c r="BR85" s="38" t="str">
        <f t="shared" si="45"/>
        <v>[Link](https://www.miraclehunter.com/marian_apparitions/approved_apparitions/apparitions_1700-1799.html) (Search "Doroszlo")</v>
      </c>
      <c r="BS85" s="38" t="str">
        <f t="shared" si="46"/>
        <v/>
      </c>
      <c r="BT85" s="38" t="str">
        <f>IF(LEN(concat(BQ85:BS85))&gt;0,concat("| ",BQ85," | ",BR85," | ",BS85," |"),"")</f>
        <v>| [Link](http://www.therealpresence.org/eucharst/misc/BVM/104_DOROSZLO_60x96.pdf) | [Link](https://www.miraclehunter.com/marian_apparitions/approved_apparitions/apparitions_1700-1799.html) (Search "Doroszlo") |  |</v>
      </c>
      <c r="BU85" s="37" t="str">
        <f t="shared" si="47"/>
        <v xml:space="preserve">| The Real Presence | Miracle Hunter | MaryPages |_x000D_
| --- | --- | --- |_x000D_
| [Link](http://www.therealpresence.org/eucharst/misc/BVM/104_DOROSZLO_60x96.pdf) | [Link](https://www.miraclehunter.com/marian_apparitions/approved_apparitions/apparitions_1700-1799.html) (Search "Doroszlo") |  |_x000D_
</v>
      </c>
      <c r="BV85" s="37" t="str">
        <f>IF(LEN(BP85&amp;BU85)&gt;0,concatll("#### Source Material",BP85,BU85),"")</f>
        <v xml:space="preserve">#### Source Material_x000D_
_x000D_
* [Official site](https://szentkut.eu/)
* [Additional site](https://doroszlo.net/)
_x000D_
_x000D_
| The Real Presence | Miracle Hunter | MaryPages |_x000D_
| --- | --- | --- |_x000D_
| [Link](http://www.therealpresence.org/eucharst/misc/BVM/104_DOROSZLO_60x96.pdf) | [Link](https://www.miraclehunter.com/marian_apparitions/approved_apparitions/apparitions_1700-1799.html) (Search "Doroszlo") |  |_x000D_
_x000D_
_x000D_
</v>
      </c>
      <c r="BW85" s="37" t="str">
        <f>IF(LEN(O85)&gt;1,concatll("#### Author's Note",O85),"")</f>
        <v xml:space="preserve">#### Author's Note_x000D_
_x000D_
At the time of this miracle the land belonged to Hungary; a few sources still refer to the site as Hungarian.  The two potential official pages listed may not be accurate; please [contact us](/contact) if you have any better information.
-JMM_x000D_
_x000D_
</v>
      </c>
      <c r="BX85" s="24" t="str">
        <f>IF(AR85,concatll(concatl("---",AS85:AU85,BK85,"---"),N85,BV85:BW85),"")</f>
        <v xml:space="preserve">---_x000D_
title: "Diocesan Shrine of Mary, Help of Christians"_x000D_
location: {lat: 45.5929764710798, lng: 19.1905119128275}_x000D_
level: global_x000D_
tags:
- serbia_x000D_
- churches_x000D_
- marian-sites_x000D_
_x000D_
---_x000D_
_x000D_
_x000D_
In 1792, the Virgin Mary appeared to a blind man, advising him to bathe his eyes in a miraculous fountain.  Upon his healing, a chapel was built and was eventually expanded to a larger church._x000D_
_x000D_
#### Source Material_x000D_
_x000D_
* [Official site](https://szentkut.eu/)
* [Additional site](https://doroszlo.net/)
_x000D_
_x000D_
| The Real Presence | Miracle Hunter | MaryPages |_x000D_
| --- | --- | --- |_x000D_
| [Link](http://www.therealpresence.org/eucharst/misc/BVM/104_DOROSZLO_60x96.pdf) | [Link](https://www.miraclehunter.com/marian_apparitions/approved_apparitions/apparitions_1700-1799.html) (Search "Doroszlo") |  |_x000D_
_x000D_
_x000D_
_x000D_
_x000D_
#### Author's Note_x000D_
_x000D_
At the time of this miracle the land belonged to Hungary; a few sources still refer to the site as Hungarian.  The two potential official pages listed may not be accurate; please [contact us](/contact) if you have any better information.
-JMM_x000D_
_x000D_
_x000D_
_x000D_
</v>
      </c>
      <c r="BY85" s="24" t="str">
        <f>IF(AR85,VLOOKUP(C85,'(Ref) Countries'!A:B,2,)&amp;IF(LEN(D85)&gt;1,"-"&amp;LOWER(SUBSTITUTE(D85," ","-")),"")&amp;"-"&amp;LOWER(SUBSTITUTE(I85," ","-"))&amp;".md","")</f>
        <v>rs-shrine-of-mary-help-of-christians.md</v>
      </c>
      <c r="BZ85" s="37" t="str">
        <f>IF(LEN(AG85)&gt;1,VLOOKUP(AG85,'Tag List'!$A:$B,2,),"")</f>
        <v/>
      </c>
      <c r="CA85" s="37" t="str">
        <f>IF(LEN(AH85)&gt;1,VLOOKUP(AH85,'Tag List'!$A:$B,2,),"")</f>
        <v/>
      </c>
      <c r="CB85" s="37" t="str">
        <f>IF(LEN(AI85)&gt;1,VLOOKUP(AI85,'Tag List'!$A:$B,2,),"")</f>
        <v/>
      </c>
      <c r="CC85" s="38" t="str">
        <f>IF(LEN(AG85)&gt;1,GetTagPage(BZ85,AG85),"")</f>
        <v/>
      </c>
      <c r="CD85" s="38" t="str">
        <f>IF(LEN(AH85)&gt;1,GetTagPage(CA85,AH85),"")</f>
        <v/>
      </c>
      <c r="CE85" s="38" t="str">
        <f>IF(LEN(AI85)&gt;1,GetTagPage(CB85,AI85),"")</f>
        <v/>
      </c>
      <c r="CF85" s="38" t="str">
        <f>"|"&amp;IF(LEN(CC85)&gt;1," "&amp;CC85,"")&amp;IF(LEN(CD85)&gt;1,", "&amp;CD85,"")&amp;IF(LEN(CE85)&gt;1,", "&amp;CE85,"")&amp;" "</f>
        <v xml:space="preserve">| </v>
      </c>
      <c r="CG85" s="38" t="str">
        <f>"| "&amp;IF(AR85,"["&amp;B85&amp;"](/places/"&amp;SUBSTITUTE(BY85,".md","")&amp;")",B85)&amp;" "</f>
        <v xml:space="preserve">| [Doroszló](/places/rs-shrine-of-mary-help-of-christians) </v>
      </c>
      <c r="CH85" s="38" t="str">
        <f>"| "&amp;IF(AR85,GetTagPage(C85,VLOOKUP(C85,'(Ref) Countries'!A:C,3,)),C85)&amp; " "</f>
        <v xml:space="preserve">| [Serbia](/tags/serbia) </v>
      </c>
      <c r="CI85" s="38" t="str">
        <f>"| "&amp;E85&amp;" "</f>
        <v xml:space="preserve">| 1603 </v>
      </c>
      <c r="CJ85" s="38" t="str">
        <f>"|"&amp;IF(AR85," [Link](/places/"&amp;SUBSTITUTE(BY85,".md","")&amp;")","")&amp;" "</f>
        <v xml:space="preserve">| [Link](/places/rs-shrine-of-mary-help-of-christians) </v>
      </c>
      <c r="CK85" s="37" t="str">
        <f>"
"&amp;CG85&amp;CH85&amp;CI85&amp;CJ85&amp;BL85&amp;BQ85&amp;BR85&amp;BS85&amp;CF85&amp;"|"</f>
        <v xml:space="preserve">
| [Doroszló](/places/rs-shrine-of-mary-help-of-christians) | [Serbia](/tags/serbia) | 1603 | [Link](/places/rs-shrine-of-mary-help-of-christians) [Official site](https://szentkut.eu/)[Link](http://www.therealpresence.org/eucharst/misc/BVM/104_DOROSZLO_60x96.pdf)[Link](https://www.miraclehunter.com/marian_apparitions/approved_apparitions/apparitions_1700-1799.html) (Search "Doroszlo")| |</v>
      </c>
    </row>
    <row r="86" spans="1:89" x14ac:dyDescent="0.25">
      <c r="B86" s="28" t="s">
        <v>1259</v>
      </c>
      <c r="C86" s="29" t="s">
        <v>11</v>
      </c>
      <c r="E86" s="31">
        <v>1607</v>
      </c>
      <c r="J86" s="30" t="s">
        <v>1728</v>
      </c>
      <c r="K86" s="32" t="b">
        <v>1</v>
      </c>
      <c r="L86" s="30" t="b">
        <v>1</v>
      </c>
      <c r="P86" s="30" t="s">
        <v>336</v>
      </c>
      <c r="Q86" s="30" t="s">
        <v>336</v>
      </c>
      <c r="AA86" s="71" t="s">
        <v>260</v>
      </c>
      <c r="AB86" s="30" t="s">
        <v>336</v>
      </c>
      <c r="AC86" s="30" t="s">
        <v>336</v>
      </c>
      <c r="AD86" s="30" t="s">
        <v>336</v>
      </c>
      <c r="AE86" s="30" t="s">
        <v>336</v>
      </c>
      <c r="AF86" s="67" t="s">
        <v>336</v>
      </c>
      <c r="AG86" s="30" t="s">
        <v>336</v>
      </c>
      <c r="AR86" s="36" t="b">
        <f>IF(OR(A86="Done",A86="In Progress"),TRUE)</f>
        <v>0</v>
      </c>
      <c r="AS86" s="37" t="str">
        <f>"title: """&amp;H86&amp;""""</f>
        <v>title: ""</v>
      </c>
      <c r="AT86" s="37" t="str">
        <f>"location: {lat: "&amp;F86&amp;", lng: "&amp;G86&amp;"}"</f>
        <v>location: {lat: , lng: }</v>
      </c>
      <c r="AU86" s="37" t="str">
        <f>"level: "&amp;J86</f>
        <v>level: global</v>
      </c>
      <c r="AV86" s="37" t="str">
        <f>"- "&amp;VLOOKUP(C86,'(Ref) Countries'!A:C,3,)</f>
        <v>- italy</v>
      </c>
      <c r="AW86" s="37" t="str">
        <f t="shared" si="24"/>
        <v/>
      </c>
      <c r="AX86" s="37" t="str">
        <f t="shared" si="25"/>
        <v>- churches</v>
      </c>
      <c r="AY86" s="37" t="str">
        <f t="shared" si="26"/>
        <v>- marian-sites</v>
      </c>
      <c r="AZ86" s="37" t="str">
        <f t="shared" si="27"/>
        <v/>
      </c>
      <c r="BA86" s="37" t="str">
        <f t="shared" si="28"/>
        <v/>
      </c>
      <c r="BB86" s="37" t="str">
        <f t="shared" si="29"/>
        <v/>
      </c>
      <c r="BC86" s="37" t="str">
        <f t="shared" si="30"/>
        <v/>
      </c>
      <c r="BD86" s="37" t="str">
        <f t="shared" si="31"/>
        <v/>
      </c>
      <c r="BE86" s="37" t="str">
        <f t="shared" si="32"/>
        <v/>
      </c>
      <c r="BF86" s="37" t="str">
        <f t="shared" si="33"/>
        <v/>
      </c>
      <c r="BG86" s="37" t="str">
        <f t="shared" si="34"/>
        <v/>
      </c>
      <c r="BH86" s="37" t="str">
        <f t="shared" si="35"/>
        <v/>
      </c>
      <c r="BI86" s="37" t="str">
        <f t="shared" si="36"/>
        <v/>
      </c>
      <c r="BJ86" s="37" t="str">
        <f t="shared" si="37"/>
        <v/>
      </c>
      <c r="BK86" s="37" t="str">
        <f t="shared" si="38"/>
        <v xml:space="preserve">tags:
- italy_x000D_
- churches_x000D_
- marian-sites_x000D_
</v>
      </c>
      <c r="BL86" s="38" t="str">
        <f t="shared" si="39"/>
        <v/>
      </c>
      <c r="BM86" s="38" t="str">
        <f t="shared" si="40"/>
        <v/>
      </c>
      <c r="BN86" s="38" t="str">
        <f t="shared" si="41"/>
        <v/>
      </c>
      <c r="BO86" s="38" t="str">
        <f t="shared" si="42"/>
        <v/>
      </c>
      <c r="BP86" s="38" t="str">
        <f t="shared" si="43"/>
        <v/>
      </c>
      <c r="BQ86" s="38" t="str">
        <f t="shared" si="44"/>
        <v>[Link](http://www.therealpresence.org/eucharst/misc/BVM/36_ARDESIO_60x96.pdf)</v>
      </c>
      <c r="BR86" s="38" t="str">
        <f t="shared" si="45"/>
        <v/>
      </c>
      <c r="BS86" s="38" t="str">
        <f t="shared" si="46"/>
        <v/>
      </c>
      <c r="BT86" s="38" t="str">
        <f>IF(LEN(concat(BQ86:BS86))&gt;0,concat("| ",BQ86," | ",BR86," | ",BS86," |"),"")</f>
        <v>| [Link](http://www.therealpresence.org/eucharst/misc/BVM/36_ARDESIO_60x96.pdf) |  |  |</v>
      </c>
      <c r="BU86" s="37" t="str">
        <f t="shared" si="47"/>
        <v xml:space="preserve">| The Real Presence | Miracle Hunter | MaryPages |_x000D_
| --- | --- | --- |_x000D_
| [Link](http://www.therealpresence.org/eucharst/misc/BVM/36_ARDESIO_60x96.pdf) |  |  |_x000D_
</v>
      </c>
      <c r="BV86" s="37" t="str">
        <f>IF(LEN(BP86&amp;BU86)&gt;0,concatll("#### Source Material",BP86,BU86),"")</f>
        <v xml:space="preserve">#### Source Material_x000D_
_x000D_
| The Real Presence | Miracle Hunter | MaryPages |_x000D_
| --- | --- | --- |_x000D_
| [Link](http://www.therealpresence.org/eucharst/misc/BVM/36_ARDESIO_60x96.pdf) |  |  |_x000D_
_x000D_
_x000D_
</v>
      </c>
      <c r="BW86" s="37" t="str">
        <f>IF(LEN(O86)&gt;1,concatll("#### Author's Note",O86),"")</f>
        <v/>
      </c>
      <c r="BX86" s="24" t="str">
        <f>IF(AR86,concatll(concatl("---",AS86:AU86,BK86,"---"),N86,BV86:BW86),"")</f>
        <v/>
      </c>
      <c r="BY86" s="24" t="str">
        <f>IF(AR86,VLOOKUP(C86,'(Ref) Countries'!A:B,2,)&amp;IF(LEN(D86)&gt;1,"-"&amp;LOWER(SUBSTITUTE(D86," ","-")),"")&amp;"-"&amp;LOWER(SUBSTITUTE(I86," ","-"))&amp;".md","")</f>
        <v/>
      </c>
      <c r="BZ86" s="37" t="str">
        <f>IF(LEN(AG86)&gt;1,VLOOKUP(AG86,'Tag List'!$A:$B,2,),"")</f>
        <v/>
      </c>
      <c r="CA86" s="37" t="str">
        <f>IF(LEN(AH86)&gt;1,VLOOKUP(AH86,'Tag List'!$A:$B,2,),"")</f>
        <v/>
      </c>
      <c r="CB86" s="37" t="str">
        <f>IF(LEN(AI86)&gt;1,VLOOKUP(AI86,'Tag List'!$A:$B,2,),"")</f>
        <v/>
      </c>
      <c r="CC86" s="38" t="str">
        <f>IF(LEN(AG86)&gt;1,GetTagPage(BZ86,AG86),"")</f>
        <v/>
      </c>
      <c r="CD86" s="38" t="str">
        <f>IF(LEN(AH86)&gt;1,GetTagPage(CA86,AH86),"")</f>
        <v/>
      </c>
      <c r="CE86" s="38" t="str">
        <f>IF(LEN(AI86)&gt;1,GetTagPage(CB86,AI86),"")</f>
        <v/>
      </c>
      <c r="CF86" s="38" t="str">
        <f>"|"&amp;IF(LEN(CC86)&gt;1," "&amp;CC86,"")&amp;IF(LEN(CD86)&gt;1,", "&amp;CD86,"")&amp;IF(LEN(CE86)&gt;1,", "&amp;CE86,"")&amp;" "</f>
        <v xml:space="preserve">| </v>
      </c>
      <c r="CG86" s="38" t="str">
        <f>"| "&amp;IF(AR86,"["&amp;B86&amp;"](/places/"&amp;SUBSTITUTE(BY86,".md","")&amp;")",B86)&amp;" "</f>
        <v xml:space="preserve">| Ardesio </v>
      </c>
      <c r="CH86" s="38" t="str">
        <f>"| "&amp;IF(AR86,GetTagPage(C86,VLOOKUP(C86,'(Ref) Countries'!A:C,3,)),C86)&amp; " "</f>
        <v xml:space="preserve">| Italy </v>
      </c>
      <c r="CI86" s="38" t="str">
        <f>"| "&amp;E86&amp;" "</f>
        <v xml:space="preserve">| 1607 </v>
      </c>
      <c r="CJ86" s="38" t="str">
        <f>"|"&amp;IF(AR86," [Link](/places/"&amp;SUBSTITUTE(BY86,".md","")&amp;")","")&amp;" "</f>
        <v xml:space="preserve">| </v>
      </c>
      <c r="CK86" s="37" t="str">
        <f>"
"&amp;CG86&amp;CH86&amp;CI86&amp;CJ86&amp;BL86&amp;BQ86&amp;BR86&amp;BS86&amp;CF86&amp;"|"</f>
        <v xml:space="preserve">
| Ardesio | Italy | 1607 | [Link](http://www.therealpresence.org/eucharst/misc/BVM/36_ARDESIO_60x96.pdf)| |</v>
      </c>
    </row>
    <row r="87" spans="1:89" ht="63.75" x14ac:dyDescent="0.25">
      <c r="A87" s="25" t="s">
        <v>1324</v>
      </c>
      <c r="B87" s="28" t="s">
        <v>1007</v>
      </c>
      <c r="C87" s="29" t="s">
        <v>607</v>
      </c>
      <c r="E87" s="31">
        <v>1608</v>
      </c>
      <c r="F87" s="71">
        <v>55.530612599999998</v>
      </c>
      <c r="G87" s="67">
        <v>23.219925199999999</v>
      </c>
      <c r="H87" s="29" t="s">
        <v>1032</v>
      </c>
      <c r="I87" s="75" t="s">
        <v>1008</v>
      </c>
      <c r="J87" s="30" t="s">
        <v>1728</v>
      </c>
      <c r="K87" s="32" t="b">
        <v>1</v>
      </c>
      <c r="L87" s="30" t="b">
        <v>1</v>
      </c>
      <c r="N87" s="29" t="s">
        <v>462</v>
      </c>
      <c r="O87" s="77" t="s">
        <v>1751</v>
      </c>
      <c r="P87" s="30" t="s">
        <v>1009</v>
      </c>
      <c r="Q87" s="30" t="s">
        <v>336</v>
      </c>
      <c r="AA87" s="71" t="s">
        <v>261</v>
      </c>
      <c r="AB87" s="30" t="s">
        <v>336</v>
      </c>
      <c r="AC87" s="30" t="s">
        <v>464</v>
      </c>
      <c r="AD87" s="30" t="s">
        <v>336</v>
      </c>
      <c r="AE87" s="30" t="s">
        <v>463</v>
      </c>
      <c r="AF87" s="67" t="s">
        <v>336</v>
      </c>
      <c r="AG87" s="33" t="s">
        <v>336</v>
      </c>
      <c r="AH87" s="33"/>
      <c r="AI87" s="33"/>
      <c r="AJ87" s="33"/>
      <c r="AK87" s="33"/>
      <c r="AL87" s="33"/>
      <c r="AM87" s="33"/>
      <c r="AN87" s="33"/>
      <c r="AO87" s="33"/>
      <c r="AP87" s="113"/>
      <c r="AR87" s="36" t="b">
        <f>IF(OR(A87="Done",A87="In Progress"),TRUE)</f>
        <v>1</v>
      </c>
      <c r="AS87" s="37" t="str">
        <f>"title: """&amp;H87&amp;""""</f>
        <v>title: "Basilica of the Nativity of the Blessed Virgin Mary (Our Lady of Siluva)"</v>
      </c>
      <c r="AT87" s="37" t="str">
        <f>"location: {lat: "&amp;F87&amp;", lng: "&amp;G87&amp;"}"</f>
        <v>location: {lat: 55.5306126, lng: 23.2199252}</v>
      </c>
      <c r="AU87" s="37" t="str">
        <f>"level: "&amp;J87</f>
        <v>level: global</v>
      </c>
      <c r="AV87" s="37" t="str">
        <f>"- "&amp;VLOOKUP(C87,'(Ref) Countries'!A:C,3,)</f>
        <v>- lithuania</v>
      </c>
      <c r="AW87" s="37" t="str">
        <f t="shared" si="24"/>
        <v/>
      </c>
      <c r="AX87" s="37" t="str">
        <f t="shared" si="25"/>
        <v>- churches</v>
      </c>
      <c r="AY87" s="37" t="str">
        <f t="shared" si="26"/>
        <v>- marian-sites</v>
      </c>
      <c r="AZ87" s="37" t="str">
        <f t="shared" si="27"/>
        <v/>
      </c>
      <c r="BA87" s="37" t="str">
        <f t="shared" si="28"/>
        <v/>
      </c>
      <c r="BB87" s="37" t="str">
        <f t="shared" si="29"/>
        <v/>
      </c>
      <c r="BC87" s="37" t="str">
        <f t="shared" si="30"/>
        <v/>
      </c>
      <c r="BD87" s="37" t="str">
        <f t="shared" si="31"/>
        <v/>
      </c>
      <c r="BE87" s="37" t="str">
        <f t="shared" si="32"/>
        <v/>
      </c>
      <c r="BF87" s="37" t="str">
        <f t="shared" si="33"/>
        <v/>
      </c>
      <c r="BG87" s="37" t="str">
        <f t="shared" si="34"/>
        <v/>
      </c>
      <c r="BH87" s="37" t="str">
        <f t="shared" si="35"/>
        <v/>
      </c>
      <c r="BI87" s="37" t="str">
        <f t="shared" si="36"/>
        <v/>
      </c>
      <c r="BJ87" s="37" t="str">
        <f t="shared" si="37"/>
        <v/>
      </c>
      <c r="BK87" s="37" t="str">
        <f t="shared" si="38"/>
        <v xml:space="preserve">tags:
- lithuania_x000D_
- churches_x000D_
- marian-sites_x000D_
</v>
      </c>
      <c r="BL87" s="38" t="str">
        <f t="shared" si="39"/>
        <v>[Official site](https://siluva.lt/)</v>
      </c>
      <c r="BM87" s="38" t="str">
        <f t="shared" si="40"/>
        <v/>
      </c>
      <c r="BN87" s="38" t="str">
        <f t="shared" si="41"/>
        <v/>
      </c>
      <c r="BO87" s="38" t="str">
        <f t="shared" si="42"/>
        <v/>
      </c>
      <c r="BP87" s="38" t="str">
        <f t="shared" si="43"/>
        <v xml:space="preserve">* [Official site](https://siluva.lt/)
</v>
      </c>
      <c r="BQ87" s="38" t="str">
        <f t="shared" si="44"/>
        <v>[Link](http://www.therealpresence.org/eucharst/misc/BVM/57_SILUVA_96x96.pdf)</v>
      </c>
      <c r="BR87" s="38" t="str">
        <f t="shared" si="45"/>
        <v>[Link](https://www.miraclehunter.com/marian_apparitions/approved_apparitions/siluva/index.html)</v>
      </c>
      <c r="BS87" s="38" t="str">
        <f t="shared" si="46"/>
        <v>[Link](https://www.marypages.com/our-lady-of-siluva-en.html)</v>
      </c>
      <c r="BT87" s="38" t="str">
        <f>IF(LEN(concat(BQ87:BS87))&gt;0,concat("| ",BQ87," | ",BR87," | ",BS87," |"),"")</f>
        <v>| [Link](http://www.therealpresence.org/eucharst/misc/BVM/57_SILUVA_96x96.pdf) | [Link](https://www.miraclehunter.com/marian_apparitions/approved_apparitions/siluva/index.html) | [Link](https://www.marypages.com/our-lady-of-siluva-en.html) |</v>
      </c>
      <c r="BU87" s="37" t="str">
        <f t="shared" si="47"/>
        <v xml:space="preserve">| The Real Presence | Miracle Hunter | MaryPages |_x000D_
| --- | --- | --- |_x000D_
| [Link](http://www.therealpresence.org/eucharst/misc/BVM/57_SILUVA_96x96.pdf) | [Link](https://www.miraclehunter.com/marian_apparitions/approved_apparitions/siluva/index.html) | [Link](https://www.marypages.com/our-lady-of-siluva-en.html) |_x000D_
</v>
      </c>
      <c r="BV87" s="37" t="str">
        <f>IF(LEN(BP87&amp;BU87)&gt;0,concatll("#### Source Material",BP87,BU87),"")</f>
        <v xml:space="preserve">#### Source Material_x000D_
_x000D_
* [Official site](https://siluva.lt/)
_x000D_
_x000D_
| The Real Presence | Miracle Hunter | MaryPages |_x000D_
| --- | --- | --- |_x000D_
| [Link](http://www.therealpresence.org/eucharst/misc/BVM/57_SILUVA_96x96.pdf) | [Link](https://www.miraclehunter.com/marian_apparitions/approved_apparitions/siluva/index.html) | [Link](https://www.marypages.com/our-lady-of-siluva-en.html) |_x000D_
_x000D_
_x000D_
</v>
      </c>
      <c r="BW87" s="37" t="str">
        <f>IF(LEN(O87)&gt;1,concatll("#### Author's Note",O87),"")</f>
        <v xml:space="preserve">#### Author's Note_x000D_
_x000D_
Additional info and a good history [here](https://www.ourladyofsiluva.org/our_lady/).
-JMM_x000D_
_x000D_
</v>
      </c>
      <c r="BX87" s="24" t="str">
        <f>IF(AR87,concatll(concatl("---",AS87:AU87,BK87,"---"),N87,BV87:BW87),"")</f>
        <v xml:space="preserve">---_x000D_
title: "Basilica of the Nativity of the Blessed Virgin Mary (Our Lady of Siluva)"_x000D_
location: {lat: 55.5306126, lng: 23.2199252}_x000D_
level: global_x000D_
tags:
- lithuania_x000D_
- churches_x000D_
- marian-sites_x000D_
_x000D_
---_x000D_
_x000D_
_x000D_
One summer day, in 1608, a number of children were playing while tending their sheep in a field on the outskirts of the village of Siluva.  They beheld a beautiful young woman standing on the rock holding a baby in her arms and weeping bitterly.  The town which had lost its Catholic identity to the Calvinists over the course of 80 years was restored to the Faith._x000D_
_x000D_
#### Source Material_x000D_
_x000D_
* [Official site](https://siluva.lt/)
_x000D_
_x000D_
| The Real Presence | Miracle Hunter | MaryPages |_x000D_
| --- | --- | --- |_x000D_
| [Link](http://www.therealpresence.org/eucharst/misc/BVM/57_SILUVA_96x96.pdf) | [Link](https://www.miraclehunter.com/marian_apparitions/approved_apparitions/siluva/index.html) | [Link](https://www.marypages.com/our-lady-of-siluva-en.html) |_x000D_
_x000D_
_x000D_
_x000D_
_x000D_
#### Author's Note_x000D_
_x000D_
Additional info and a good history [here](https://www.ourladyofsiluva.org/our_lady/).
-JMM_x000D_
_x000D_
_x000D_
_x000D_
</v>
      </c>
      <c r="BY87" s="24" t="str">
        <f>IF(AR87,VLOOKUP(C87,'(Ref) Countries'!A:B,2,)&amp;IF(LEN(D87)&gt;1,"-"&amp;LOWER(SUBSTITUTE(D87," ","-")),"")&amp;"-"&amp;LOWER(SUBSTITUTE(I87," ","-"))&amp;".md","")</f>
        <v>lt-basilica-of-the-nativity-of-the-blessed-virgin-mary.md</v>
      </c>
      <c r="BZ87" s="38" t="str">
        <f>IF(LEN(AG87)&gt;1,VLOOKUP(AG87,'Tag List'!$A:$B,2,),"")</f>
        <v/>
      </c>
      <c r="CA87" s="38" t="str">
        <f>IF(LEN(AH87)&gt;1,VLOOKUP(AH87,'Tag List'!$A:$B,2,),"")</f>
        <v/>
      </c>
      <c r="CB87" s="38" t="str">
        <f>IF(LEN(AI87)&gt;1,VLOOKUP(AI87,'Tag List'!$A:$B,2,),"")</f>
        <v/>
      </c>
      <c r="CC87" s="38" t="str">
        <f>IF(LEN(AG87)&gt;1,GetTagPage(BZ87,AG87),"")</f>
        <v/>
      </c>
      <c r="CD87" s="38" t="str">
        <f>IF(LEN(AH87)&gt;1,GetTagPage(CA87,AH87),"")</f>
        <v/>
      </c>
      <c r="CE87" s="38" t="str">
        <f>IF(LEN(AI87)&gt;1,GetTagPage(CB87,AI87),"")</f>
        <v/>
      </c>
      <c r="CF87" s="38" t="str">
        <f>"|"&amp;IF(LEN(CC87)&gt;1," "&amp;CC87,"")&amp;IF(LEN(CD87)&gt;1,", "&amp;CD87,"")&amp;IF(LEN(CE87)&gt;1,", "&amp;CE87,"")&amp;" "</f>
        <v xml:space="preserve">| </v>
      </c>
      <c r="CG87" s="38" t="str">
        <f>"| "&amp;IF(AR87,"["&amp;B87&amp;"](/places/"&amp;SUBSTITUTE(BY87,".md","")&amp;")",B87)&amp;" "</f>
        <v xml:space="preserve">| [Šiluva](/places/lt-basilica-of-the-nativity-of-the-blessed-virgin-mary) </v>
      </c>
      <c r="CH87" s="38" t="str">
        <f>"| "&amp;IF(AR87,GetTagPage(C87,VLOOKUP(C87,'(Ref) Countries'!A:C,3,)),C87)&amp; " "</f>
        <v xml:space="preserve">| [Lithuania](/tags/lithuania) </v>
      </c>
      <c r="CI87" s="38" t="str">
        <f>"| "&amp;E87&amp;" "</f>
        <v xml:space="preserve">| 1608 </v>
      </c>
      <c r="CJ87" s="38" t="str">
        <f>"|"&amp;IF(AR87," [Link](/places/"&amp;SUBSTITUTE(BY87,".md","")&amp;")","")&amp;" "</f>
        <v xml:space="preserve">| [Link](/places/lt-basilica-of-the-nativity-of-the-blessed-virgin-mary) </v>
      </c>
      <c r="CK87" s="37" t="str">
        <f>"
"&amp;CG87&amp;CH87&amp;CI87&amp;CJ87&amp;BL87&amp;BQ87&amp;BR87&amp;BS87&amp;CF87&amp;"|"</f>
        <v xml:space="preserve">
| [Šiluva](/places/lt-basilica-of-the-nativity-of-the-blessed-virgin-mary) | [Lithuania](/tags/lithuania) | 1608 | [Link](/places/lt-basilica-of-the-nativity-of-the-blessed-virgin-mary) [Official site](https://siluva.lt/)[Link](http://www.therealpresence.org/eucharst/misc/BVM/57_SILUVA_96x96.pdf)[Link](https://www.miraclehunter.com/marian_apparitions/approved_apparitions/siluva/index.html)[Link](https://www.marypages.com/our-lady-of-siluva-en.html)| |</v>
      </c>
    </row>
    <row r="88" spans="1:89" ht="63.75" x14ac:dyDescent="0.25">
      <c r="A88" s="25" t="s">
        <v>1324</v>
      </c>
      <c r="B88" s="28" t="s">
        <v>1260</v>
      </c>
      <c r="C88" s="29" t="s">
        <v>649</v>
      </c>
      <c r="E88" s="31">
        <v>1610</v>
      </c>
      <c r="F88" s="71">
        <v>16.0440593284094</v>
      </c>
      <c r="G88" s="67">
        <v>120.488325579597</v>
      </c>
      <c r="H88" s="29" t="s">
        <v>1383</v>
      </c>
      <c r="I88" s="75" t="s">
        <v>1385</v>
      </c>
      <c r="J88" s="30" t="s">
        <v>1728</v>
      </c>
      <c r="K88" s="32" t="b">
        <v>1</v>
      </c>
      <c r="L88" s="30" t="b">
        <v>1</v>
      </c>
      <c r="N88" s="29" t="s">
        <v>1384</v>
      </c>
      <c r="P88" s="30" t="s">
        <v>1386</v>
      </c>
      <c r="Q88" s="30" t="s">
        <v>336</v>
      </c>
      <c r="AA88" s="71" t="s">
        <v>262</v>
      </c>
      <c r="AB88" s="30" t="s">
        <v>336</v>
      </c>
      <c r="AC88" s="30" t="s">
        <v>1387</v>
      </c>
      <c r="AD88" s="30" t="s">
        <v>336</v>
      </c>
      <c r="AE88" s="30" t="s">
        <v>336</v>
      </c>
      <c r="AF88" s="67" t="s">
        <v>336</v>
      </c>
      <c r="AG88" s="30" t="s">
        <v>336</v>
      </c>
      <c r="AR88" s="36" t="b">
        <f>IF(OR(A88="Done",A88="In Progress"),TRUE)</f>
        <v>1</v>
      </c>
      <c r="AS88" s="37" t="str">
        <f>"title: """&amp;H88&amp;""""</f>
        <v>title: "Minor Basilica of Our Lady of the Rosary of Manaoag"</v>
      </c>
      <c r="AT88" s="37" t="str">
        <f>"location: {lat: "&amp;F88&amp;", lng: "&amp;G88&amp;"}"</f>
        <v>location: {lat: 16.0440593284094, lng: 120.488325579597}</v>
      </c>
      <c r="AU88" s="37" t="str">
        <f>"level: "&amp;J88</f>
        <v>level: global</v>
      </c>
      <c r="AV88" s="37" t="str">
        <f>"- "&amp;VLOOKUP(C88,'(Ref) Countries'!A:C,3,)</f>
        <v>- philippines</v>
      </c>
      <c r="AW88" s="37" t="str">
        <f t="shared" si="24"/>
        <v/>
      </c>
      <c r="AX88" s="37" t="str">
        <f t="shared" si="25"/>
        <v>- churches</v>
      </c>
      <c r="AY88" s="37" t="str">
        <f t="shared" si="26"/>
        <v>- marian-sites</v>
      </c>
      <c r="AZ88" s="37" t="str">
        <f t="shared" si="27"/>
        <v/>
      </c>
      <c r="BA88" s="37" t="str">
        <f t="shared" si="28"/>
        <v/>
      </c>
      <c r="BB88" s="37" t="str">
        <f t="shared" si="29"/>
        <v/>
      </c>
      <c r="BC88" s="37" t="str">
        <f t="shared" si="30"/>
        <v/>
      </c>
      <c r="BD88" s="37" t="str">
        <f t="shared" si="31"/>
        <v/>
      </c>
      <c r="BE88" s="37" t="str">
        <f t="shared" si="32"/>
        <v/>
      </c>
      <c r="BF88" s="37" t="str">
        <f t="shared" si="33"/>
        <v/>
      </c>
      <c r="BG88" s="37" t="str">
        <f t="shared" si="34"/>
        <v/>
      </c>
      <c r="BH88" s="37" t="str">
        <f t="shared" si="35"/>
        <v/>
      </c>
      <c r="BI88" s="37" t="str">
        <f t="shared" si="36"/>
        <v/>
      </c>
      <c r="BJ88" s="37" t="str">
        <f t="shared" si="37"/>
        <v/>
      </c>
      <c r="BK88" s="37" t="str">
        <f t="shared" si="38"/>
        <v xml:space="preserve">tags:
- philippines_x000D_
- churches_x000D_
- marian-sites_x000D_
</v>
      </c>
      <c r="BL88" s="38" t="str">
        <f t="shared" si="39"/>
        <v>[Official site](https://www.manaoagminorbasilica.org/)</v>
      </c>
      <c r="BM88" s="38" t="str">
        <f t="shared" si="40"/>
        <v/>
      </c>
      <c r="BN88" s="38" t="str">
        <f t="shared" si="41"/>
        <v/>
      </c>
      <c r="BO88" s="38" t="str">
        <f t="shared" si="42"/>
        <v/>
      </c>
      <c r="BP88" s="38" t="str">
        <f t="shared" si="43"/>
        <v xml:space="preserve">* [Official site](https://www.manaoagminorbasilica.org/)
</v>
      </c>
      <c r="BQ88" s="38" t="str">
        <f t="shared" si="44"/>
        <v>[Link](http://www.therealpresence.org/eucharst/misc/BVM/88_MANAOAG_60x96.pdf)</v>
      </c>
      <c r="BR88" s="38" t="str">
        <f t="shared" si="45"/>
        <v>[Link](https://www.miraclehunter.com/marian_apparitions/approved_apparitions/manaoag/index.html)</v>
      </c>
      <c r="BS88" s="38" t="str">
        <f t="shared" si="46"/>
        <v/>
      </c>
      <c r="BT88" s="38" t="str">
        <f>IF(LEN(concat(BQ88:BS88))&gt;0,concat("| ",BQ88," | ",BR88," | ",BS88," |"),"")</f>
        <v>| [Link](http://www.therealpresence.org/eucharst/misc/BVM/88_MANAOAG_60x96.pdf) | [Link](https://www.miraclehunter.com/marian_apparitions/approved_apparitions/manaoag/index.html) |  |</v>
      </c>
      <c r="BU88" s="37" t="str">
        <f t="shared" si="47"/>
        <v xml:space="preserve">| The Real Presence | Miracle Hunter | MaryPages |_x000D_
| --- | --- | --- |_x000D_
| [Link](http://www.therealpresence.org/eucharst/misc/BVM/88_MANAOAG_60x96.pdf) | [Link](https://www.miraclehunter.com/marian_apparitions/approved_apparitions/manaoag/index.html) |  |_x000D_
</v>
      </c>
      <c r="BV88" s="37" t="str">
        <f>IF(LEN(BP88&amp;BU88)&gt;0,concatll("#### Source Material",BP88,BU88),"")</f>
        <v xml:space="preserve">#### Source Material_x000D_
_x000D_
* [Official site](https://www.manaoagminorbasilica.org/)
_x000D_
_x000D_
| The Real Presence | Miracle Hunter | MaryPages |_x000D_
| --- | --- | --- |_x000D_
| [Link](http://www.therealpresence.org/eucharst/misc/BVM/88_MANAOAG_60x96.pdf) | [Link](https://www.miraclehunter.com/marian_apparitions/approved_apparitions/manaoag/index.html) |  |_x000D_
_x000D_
_x000D_
</v>
      </c>
      <c r="BW88" s="37" t="str">
        <f>IF(LEN(O88)&gt;1,concatll("#### Author's Note",O88),"")</f>
        <v/>
      </c>
      <c r="BX88" s="24" t="str">
        <f>IF(AR88,concatll(concatl("---",AS88:AU88,BK88,"---"),N88,BV88:BW88),"")</f>
        <v xml:space="preserve">---_x000D_
title: "Minor Basilica of Our Lady of the Rosary of Manaoag"_x000D_
location: {lat: 16.0440593284094, lng: 120.488325579597}_x000D_
level: global_x000D_
tags:
- philippines_x000D_
- churches_x000D_
- marian-sites_x000D_
_x000D_
---_x000D_
_x000D_
_x000D_
Tradition dicates that the Blessed Mother showed herself to a middle-aged farmer and gave him a message on where she wanted her church to be built, appearing to him on a tree amidst a heavenly glow.  Today the center of devotion is the miraculous image of Our Lady of the Holy Rosary (Nuestra Señora de Manaoag, or Apo Baket as known to the local townspeople)._x000D_
_x000D_
#### Source Material_x000D_
_x000D_
* [Official site](https://www.manaoagminorbasilica.org/)
_x000D_
_x000D_
| The Real Presence | Miracle Hunter | MaryPages |_x000D_
| --- | --- | --- |_x000D_
| [Link](http://www.therealpresence.org/eucharst/misc/BVM/88_MANAOAG_60x96.pdf) | [Link](https://www.miraclehunter.com/marian_apparitions/approved_apparitions/manaoag/index.html) |  |_x000D_
_x000D_
_x000D_
_x000D_
_x000D_
</v>
      </c>
      <c r="BY88" s="24" t="str">
        <f>IF(AR88,VLOOKUP(C88,'(Ref) Countries'!A:B,2,)&amp;IF(LEN(D88)&gt;1,"-"&amp;LOWER(SUBSTITUTE(D88," ","-")),"")&amp;"-"&amp;LOWER(SUBSTITUTE(I88," ","-"))&amp;".md","")</f>
        <v>ph-basilica-of-our-lady-of-the-rosary-of-manaoag.md</v>
      </c>
      <c r="BZ88" s="37" t="str">
        <f>IF(LEN(AG88)&gt;1,VLOOKUP(AG88,'Tag List'!$A:$B,2,),"")</f>
        <v/>
      </c>
      <c r="CA88" s="37" t="str">
        <f>IF(LEN(AH88)&gt;1,VLOOKUP(AH88,'Tag List'!$A:$B,2,),"")</f>
        <v/>
      </c>
      <c r="CB88" s="37" t="str">
        <f>IF(LEN(AI88)&gt;1,VLOOKUP(AI88,'Tag List'!$A:$B,2,),"")</f>
        <v/>
      </c>
      <c r="CC88" s="38" t="str">
        <f>IF(LEN(AG88)&gt;1,GetTagPage(BZ88,AG88),"")</f>
        <v/>
      </c>
      <c r="CD88" s="38" t="str">
        <f>IF(LEN(AH88)&gt;1,GetTagPage(CA88,AH88),"")</f>
        <v/>
      </c>
      <c r="CE88" s="38" t="str">
        <f>IF(LEN(AI88)&gt;1,GetTagPage(CB88,AI88),"")</f>
        <v/>
      </c>
      <c r="CF88" s="38" t="str">
        <f>"|"&amp;IF(LEN(CC88)&gt;1," "&amp;CC88,"")&amp;IF(LEN(CD88)&gt;1,", "&amp;CD88,"")&amp;IF(LEN(CE88)&gt;1,", "&amp;CE88,"")&amp;" "</f>
        <v xml:space="preserve">| </v>
      </c>
      <c r="CG88" s="38" t="str">
        <f>"| "&amp;IF(AR88,"["&amp;B88&amp;"](/places/"&amp;SUBSTITUTE(BY88,".md","")&amp;")",B88)&amp;" "</f>
        <v xml:space="preserve">| [Manaoag](/places/ph-basilica-of-our-lady-of-the-rosary-of-manaoag) </v>
      </c>
      <c r="CH88" s="38" t="str">
        <f>"| "&amp;IF(AR88,GetTagPage(C88,VLOOKUP(C88,'(Ref) Countries'!A:C,3,)),C88)&amp; " "</f>
        <v xml:space="preserve">| [Philippines](/tags/philippines) </v>
      </c>
      <c r="CI88" s="38" t="str">
        <f>"| "&amp;E88&amp;" "</f>
        <v xml:space="preserve">| 1610 </v>
      </c>
      <c r="CJ88" s="38" t="str">
        <f>"|"&amp;IF(AR88," [Link](/places/"&amp;SUBSTITUTE(BY88,".md","")&amp;")","")&amp;" "</f>
        <v xml:space="preserve">| [Link](/places/ph-basilica-of-our-lady-of-the-rosary-of-manaoag) </v>
      </c>
      <c r="CK88" s="37" t="str">
        <f>"
"&amp;CG88&amp;CH88&amp;CI88&amp;CJ88&amp;BL88&amp;BQ88&amp;BR88&amp;BS88&amp;CF88&amp;"|"</f>
        <v xml:space="preserve">
| [Manaoag](/places/ph-basilica-of-our-lady-of-the-rosary-of-manaoag) | [Philippines](/tags/philippines) | 1610 | [Link](/places/ph-basilica-of-our-lady-of-the-rosary-of-manaoag) [Official site](https://www.manaoagminorbasilica.org/)[Link](http://www.therealpresence.org/eucharst/misc/BVM/88_MANAOAG_60x96.pdf)[Link](https://www.miraclehunter.com/marian_apparitions/approved_apparitions/manaoag/index.html)| |</v>
      </c>
    </row>
    <row r="89" spans="1:89" x14ac:dyDescent="0.25">
      <c r="A89" s="25" t="s">
        <v>1052</v>
      </c>
      <c r="B89" s="28" t="s">
        <v>1318</v>
      </c>
      <c r="C89" s="29" t="s">
        <v>536</v>
      </c>
      <c r="E89" s="31">
        <v>1612</v>
      </c>
      <c r="F89" s="71">
        <v>20.050796521215599</v>
      </c>
      <c r="G89" s="67">
        <v>-75.948970548482805</v>
      </c>
      <c r="H89" s="29" t="s">
        <v>1320</v>
      </c>
      <c r="I89" s="75" t="s">
        <v>1321</v>
      </c>
      <c r="J89" s="30" t="s">
        <v>1728</v>
      </c>
      <c r="K89" s="32" t="b">
        <v>1</v>
      </c>
      <c r="L89" s="30" t="b">
        <v>1</v>
      </c>
      <c r="N89" s="29" t="s">
        <v>1337</v>
      </c>
      <c r="P89" s="30" t="s">
        <v>336</v>
      </c>
      <c r="Q89" s="30" t="s">
        <v>336</v>
      </c>
      <c r="AA89" s="71" t="s">
        <v>263</v>
      </c>
      <c r="AB89" s="30" t="s">
        <v>336</v>
      </c>
      <c r="AC89" s="30" t="s">
        <v>336</v>
      </c>
      <c r="AD89" s="30" t="s">
        <v>336</v>
      </c>
      <c r="AE89" s="30" t="s">
        <v>336</v>
      </c>
      <c r="AF89" s="67" t="s">
        <v>336</v>
      </c>
      <c r="AG89" s="30" t="s">
        <v>336</v>
      </c>
      <c r="AR89" s="36" t="b">
        <f>IF(OR(A89="Done",A89="In Progress"),TRUE)</f>
        <v>1</v>
      </c>
      <c r="AS89" s="37" t="str">
        <f>"title: """&amp;H89&amp;""""</f>
        <v>title: "Basilica of Our Lady of Charity of El Cobre"</v>
      </c>
      <c r="AT89" s="37" t="str">
        <f>"location: {lat: "&amp;F89&amp;", lng: "&amp;G89&amp;"}"</f>
        <v>location: {lat: 20.0507965212156, lng: -75.9489705484828}</v>
      </c>
      <c r="AU89" s="37" t="str">
        <f>"level: "&amp;J89</f>
        <v>level: global</v>
      </c>
      <c r="AV89" s="37" t="str">
        <f>"- "&amp;VLOOKUP(C89,'(Ref) Countries'!A:C,3,)</f>
        <v>- cuba</v>
      </c>
      <c r="AW89" s="37" t="str">
        <f t="shared" si="24"/>
        <v/>
      </c>
      <c r="AX89" s="37" t="str">
        <f t="shared" si="25"/>
        <v>- churches</v>
      </c>
      <c r="AY89" s="37" t="str">
        <f t="shared" si="26"/>
        <v>- marian-sites</v>
      </c>
      <c r="AZ89" s="37" t="str">
        <f t="shared" si="27"/>
        <v/>
      </c>
      <c r="BA89" s="37" t="str">
        <f t="shared" si="28"/>
        <v/>
      </c>
      <c r="BB89" s="37" t="str">
        <f t="shared" si="29"/>
        <v/>
      </c>
      <c r="BC89" s="37" t="str">
        <f t="shared" si="30"/>
        <v/>
      </c>
      <c r="BD89" s="37" t="str">
        <f t="shared" si="31"/>
        <v/>
      </c>
      <c r="BE89" s="37" t="str">
        <f t="shared" si="32"/>
        <v/>
      </c>
      <c r="BF89" s="37" t="str">
        <f t="shared" si="33"/>
        <v/>
      </c>
      <c r="BG89" s="37" t="str">
        <f t="shared" si="34"/>
        <v/>
      </c>
      <c r="BH89" s="37" t="str">
        <f t="shared" si="35"/>
        <v/>
      </c>
      <c r="BI89" s="37" t="str">
        <f t="shared" si="36"/>
        <v/>
      </c>
      <c r="BJ89" s="37" t="str">
        <f t="shared" si="37"/>
        <v/>
      </c>
      <c r="BK89" s="37" t="str">
        <f t="shared" si="38"/>
        <v xml:space="preserve">tags:
- cuba_x000D_
- churches_x000D_
- marian-sites_x000D_
</v>
      </c>
      <c r="BL89" s="38" t="str">
        <f t="shared" si="39"/>
        <v/>
      </c>
      <c r="BM89" s="38" t="str">
        <f t="shared" si="40"/>
        <v/>
      </c>
      <c r="BN89" s="38" t="str">
        <f t="shared" si="41"/>
        <v/>
      </c>
      <c r="BO89" s="38" t="str">
        <f t="shared" si="42"/>
        <v/>
      </c>
      <c r="BP89" s="38" t="str">
        <f t="shared" si="43"/>
        <v/>
      </c>
      <c r="BQ89" s="38" t="str">
        <f t="shared" si="44"/>
        <v>[Link](http://www.therealpresence.org/eucharst/misc/BVM/102_CUBA_96x96.pdf)</v>
      </c>
      <c r="BR89" s="38" t="str">
        <f t="shared" si="45"/>
        <v/>
      </c>
      <c r="BS89" s="38" t="str">
        <f t="shared" si="46"/>
        <v/>
      </c>
      <c r="BT89" s="38" t="str">
        <f>IF(LEN(concat(BQ89:BS89))&gt;0,concat("| ",BQ89," | ",BR89," | ",BS89," |"),"")</f>
        <v>| [Link](http://www.therealpresence.org/eucharst/misc/BVM/102_CUBA_96x96.pdf) |  |  |</v>
      </c>
      <c r="BU89" s="37" t="str">
        <f t="shared" si="47"/>
        <v xml:space="preserve">| The Real Presence | Miracle Hunter | MaryPages |_x000D_
| --- | --- | --- |_x000D_
| [Link](http://www.therealpresence.org/eucharst/misc/BVM/102_CUBA_96x96.pdf) |  |  |_x000D_
</v>
      </c>
      <c r="BV89" s="37" t="str">
        <f>IF(LEN(BP89&amp;BU89)&gt;0,concatll("#### Source Material",BP89,BU89),"")</f>
        <v xml:space="preserve">#### Source Material_x000D_
_x000D_
| The Real Presence | Miracle Hunter | MaryPages |_x000D_
| --- | --- | --- |_x000D_
| [Link](http://www.therealpresence.org/eucharst/misc/BVM/102_CUBA_96x96.pdf) |  |  |_x000D_
_x000D_
_x000D_
</v>
      </c>
      <c r="BW89" s="37" t="str">
        <f>IF(LEN(O89)&gt;1,concatll("#### Author's Note",O89),"")</f>
        <v/>
      </c>
      <c r="BX89" s="24" t="str">
        <f>IF(AR89,concatll(concatl("---",AS89:AU89,BK89,"---"),N89,BV89:BW89),"")</f>
        <v xml:space="preserve">---_x000D_
title: "Basilica of Our Lady of Charity of El Cobre"_x000D_
location: {lat: 20.0507965212156, lng: -75.9489705484828}_x000D_
level: global_x000D_
tags:
- cuba_x000D_
- churches_x000D_
- marian-sites_x000D_
_x000D_
---_x000D_
_x000D_
_x000D_
_Research in progress__x000D_
_x000D_
#### Source Material_x000D_
_x000D_
| The Real Presence | Miracle Hunter | MaryPages |_x000D_
| --- | --- | --- |_x000D_
| [Link](http://www.therealpresence.org/eucharst/misc/BVM/102_CUBA_96x96.pdf) |  |  |_x000D_
_x000D_
_x000D_
_x000D_
_x000D_
</v>
      </c>
      <c r="BY89" s="24" t="str">
        <f>IF(AR89,VLOOKUP(C89,'(Ref) Countries'!A:B,2,)&amp;IF(LEN(D89)&gt;1,"-"&amp;LOWER(SUBSTITUTE(D89," ","-")),"")&amp;"-"&amp;LOWER(SUBSTITUTE(I89," ","-"))&amp;".md","")</f>
        <v>cu-basilica-of-el-cobre.md</v>
      </c>
      <c r="BZ89" s="37" t="str">
        <f>IF(LEN(AG89)&gt;1,VLOOKUP(AG89,'Tag List'!$A:$B,2,),"")</f>
        <v/>
      </c>
      <c r="CA89" s="37" t="str">
        <f>IF(LEN(AH89)&gt;1,VLOOKUP(AH89,'Tag List'!$A:$B,2,),"")</f>
        <v/>
      </c>
      <c r="CB89" s="37" t="str">
        <f>IF(LEN(AI89)&gt;1,VLOOKUP(AI89,'Tag List'!$A:$B,2,),"")</f>
        <v/>
      </c>
      <c r="CC89" s="38" t="str">
        <f>IF(LEN(AG89)&gt;1,GetTagPage(BZ89,AG89),"")</f>
        <v/>
      </c>
      <c r="CD89" s="38" t="str">
        <f>IF(LEN(AH89)&gt;1,GetTagPage(CA89,AH89),"")</f>
        <v/>
      </c>
      <c r="CE89" s="38" t="str">
        <f>IF(LEN(AI89)&gt;1,GetTagPage(CB89,AI89),"")</f>
        <v/>
      </c>
      <c r="CF89" s="38" t="str">
        <f>"|"&amp;IF(LEN(CC89)&gt;1," "&amp;CC89,"")&amp;IF(LEN(CD89)&gt;1,", "&amp;CD89,"")&amp;IF(LEN(CE89)&gt;1,", "&amp;CE89,"")&amp;" "</f>
        <v xml:space="preserve">| </v>
      </c>
      <c r="CG89" s="38" t="str">
        <f>"| "&amp;IF(AR89,"["&amp;B89&amp;"](/places/"&amp;SUBSTITUTE(BY89,".md","")&amp;")",B89)&amp;" "</f>
        <v xml:space="preserve">| [El Cobre](/places/cu-basilica-of-el-cobre) </v>
      </c>
      <c r="CH89" s="38" t="str">
        <f>"| "&amp;IF(AR89,GetTagPage(C89,VLOOKUP(C89,'(Ref) Countries'!A:C,3,)),C89)&amp; " "</f>
        <v xml:space="preserve">| [Cuba](/tags/cuba) </v>
      </c>
      <c r="CI89" s="38" t="str">
        <f>"| "&amp;E89&amp;" "</f>
        <v xml:space="preserve">| 1612 </v>
      </c>
      <c r="CJ89" s="38" t="str">
        <f>"|"&amp;IF(AR89," [Link](/places/"&amp;SUBSTITUTE(BY89,".md","")&amp;")","")&amp;" "</f>
        <v xml:space="preserve">| [Link](/places/cu-basilica-of-el-cobre) </v>
      </c>
      <c r="CK89" s="37" t="str">
        <f>"
"&amp;CG89&amp;CH89&amp;CI89&amp;CJ89&amp;BL89&amp;BQ89&amp;BR89&amp;BS89&amp;CF89&amp;"|"</f>
        <v xml:space="preserve">
| [El Cobre](/places/cu-basilica-of-el-cobre) | [Cuba](/tags/cuba) | 1612 | [Link](/places/cu-basilica-of-el-cobre) [Link](http://www.therealpresence.org/eucharst/misc/BVM/102_CUBA_96x96.pdf)| |</v>
      </c>
    </row>
    <row r="90" spans="1:89" x14ac:dyDescent="0.25">
      <c r="B90" s="28" t="s">
        <v>1261</v>
      </c>
      <c r="C90" s="29" t="s">
        <v>11</v>
      </c>
      <c r="E90" s="31">
        <v>1616</v>
      </c>
      <c r="J90" s="30" t="s">
        <v>1728</v>
      </c>
      <c r="K90" s="32" t="b">
        <v>1</v>
      </c>
      <c r="L90" s="30" t="b">
        <v>1</v>
      </c>
      <c r="P90" s="30" t="s">
        <v>336</v>
      </c>
      <c r="Q90" s="30" t="s">
        <v>336</v>
      </c>
      <c r="AA90" s="71" t="s">
        <v>264</v>
      </c>
      <c r="AB90" s="30" t="s">
        <v>336</v>
      </c>
      <c r="AC90" s="30" t="s">
        <v>336</v>
      </c>
      <c r="AD90" s="30" t="s">
        <v>336</v>
      </c>
      <c r="AE90" s="30" t="s">
        <v>336</v>
      </c>
      <c r="AF90" s="67" t="s">
        <v>336</v>
      </c>
      <c r="AG90" s="30" t="s">
        <v>336</v>
      </c>
      <c r="AR90" s="36" t="b">
        <f>IF(OR(A90="Done",A90="In Progress"),TRUE)</f>
        <v>0</v>
      </c>
      <c r="AS90" s="37" t="str">
        <f>"title: """&amp;H90&amp;""""</f>
        <v>title: ""</v>
      </c>
      <c r="AT90" s="37" t="str">
        <f>"location: {lat: "&amp;F90&amp;", lng: "&amp;G90&amp;"}"</f>
        <v>location: {lat: , lng: }</v>
      </c>
      <c r="AU90" s="37" t="str">
        <f>"level: "&amp;J90</f>
        <v>level: global</v>
      </c>
      <c r="AV90" s="37" t="str">
        <f>"- "&amp;VLOOKUP(C90,'(Ref) Countries'!A:C,3,)</f>
        <v>- italy</v>
      </c>
      <c r="AW90" s="37" t="str">
        <f t="shared" si="24"/>
        <v/>
      </c>
      <c r="AX90" s="37" t="str">
        <f t="shared" si="25"/>
        <v>- churches</v>
      </c>
      <c r="AY90" s="37" t="str">
        <f t="shared" si="26"/>
        <v>- marian-sites</v>
      </c>
      <c r="AZ90" s="37" t="str">
        <f t="shared" si="27"/>
        <v/>
      </c>
      <c r="BA90" s="37" t="str">
        <f t="shared" si="28"/>
        <v/>
      </c>
      <c r="BB90" s="37" t="str">
        <f t="shared" si="29"/>
        <v/>
      </c>
      <c r="BC90" s="37" t="str">
        <f t="shared" si="30"/>
        <v/>
      </c>
      <c r="BD90" s="37" t="str">
        <f t="shared" si="31"/>
        <v/>
      </c>
      <c r="BE90" s="37" t="str">
        <f t="shared" si="32"/>
        <v/>
      </c>
      <c r="BF90" s="37" t="str">
        <f t="shared" si="33"/>
        <v/>
      </c>
      <c r="BG90" s="37" t="str">
        <f t="shared" si="34"/>
        <v/>
      </c>
      <c r="BH90" s="37" t="str">
        <f t="shared" si="35"/>
        <v/>
      </c>
      <c r="BI90" s="37" t="str">
        <f t="shared" si="36"/>
        <v/>
      </c>
      <c r="BJ90" s="37" t="str">
        <f t="shared" si="37"/>
        <v/>
      </c>
      <c r="BK90" s="37" t="str">
        <f t="shared" si="38"/>
        <v xml:space="preserve">tags:
- italy_x000D_
- churches_x000D_
- marian-sites_x000D_
</v>
      </c>
      <c r="BL90" s="38" t="str">
        <f t="shared" si="39"/>
        <v/>
      </c>
      <c r="BM90" s="38" t="str">
        <f t="shared" si="40"/>
        <v/>
      </c>
      <c r="BN90" s="38" t="str">
        <f t="shared" si="41"/>
        <v/>
      </c>
      <c r="BO90" s="38" t="str">
        <f t="shared" si="42"/>
        <v/>
      </c>
      <c r="BP90" s="38" t="str">
        <f t="shared" si="43"/>
        <v/>
      </c>
      <c r="BQ90" s="38" t="str">
        <f t="shared" si="44"/>
        <v>[Link](http://www.therealpresence.org/eucharst/misc/BVM/22_MONFERRATO_60x96.pdf)</v>
      </c>
      <c r="BR90" s="38" t="str">
        <f t="shared" si="45"/>
        <v/>
      </c>
      <c r="BS90" s="38" t="str">
        <f t="shared" si="46"/>
        <v/>
      </c>
      <c r="BT90" s="38" t="str">
        <f>IF(LEN(concat(BQ90:BS90))&gt;0,concat("| ",BQ90," | ",BR90," | ",BS90," |"),"")</f>
        <v>| [Link](http://www.therealpresence.org/eucharst/misc/BVM/22_MONFERRATO_60x96.pdf) |  |  |</v>
      </c>
      <c r="BU90" s="37" t="str">
        <f t="shared" si="47"/>
        <v xml:space="preserve">| The Real Presence | Miracle Hunter | MaryPages |_x000D_
| --- | --- | --- |_x000D_
| [Link](http://www.therealpresence.org/eucharst/misc/BVM/22_MONFERRATO_60x96.pdf) |  |  |_x000D_
</v>
      </c>
      <c r="BV90" s="37" t="str">
        <f>IF(LEN(BP90&amp;BU90)&gt;0,concatll("#### Source Material",BP90,BU90),"")</f>
        <v xml:space="preserve">#### Source Material_x000D_
_x000D_
| The Real Presence | Miracle Hunter | MaryPages |_x000D_
| --- | --- | --- |_x000D_
| [Link](http://www.therealpresence.org/eucharst/misc/BVM/22_MONFERRATO_60x96.pdf) |  |  |_x000D_
_x000D_
_x000D_
</v>
      </c>
      <c r="BW90" s="37" t="str">
        <f>IF(LEN(O90)&gt;1,concatll("#### Author's Note",O90),"")</f>
        <v/>
      </c>
      <c r="BX90" s="24" t="str">
        <f>IF(AR90,concatll(concatl("---",AS90:AU90,BK90,"---"),N90,BV90:BW90),"")</f>
        <v/>
      </c>
      <c r="BY90" s="24" t="str">
        <f>IF(AR90,VLOOKUP(C90,'(Ref) Countries'!A:B,2,)&amp;IF(LEN(D90)&gt;1,"-"&amp;LOWER(SUBSTITUTE(D90," ","-")),"")&amp;"-"&amp;LOWER(SUBSTITUTE(I90," ","-"))&amp;".md","")</f>
        <v/>
      </c>
      <c r="BZ90" s="37" t="str">
        <f>IF(LEN(AG90)&gt;1,VLOOKUP(AG90,'Tag List'!$A:$B,2,),"")</f>
        <v/>
      </c>
      <c r="CA90" s="37" t="str">
        <f>IF(LEN(AH90)&gt;1,VLOOKUP(AH90,'Tag List'!$A:$B,2,),"")</f>
        <v/>
      </c>
      <c r="CB90" s="37" t="str">
        <f>IF(LEN(AI90)&gt;1,VLOOKUP(AI90,'Tag List'!$A:$B,2,),"")</f>
        <v/>
      </c>
      <c r="CC90" s="38" t="str">
        <f>IF(LEN(AG90)&gt;1,GetTagPage(BZ90,AG90),"")</f>
        <v/>
      </c>
      <c r="CD90" s="38" t="str">
        <f>IF(LEN(AH90)&gt;1,GetTagPage(CA90,AH90),"")</f>
        <v/>
      </c>
      <c r="CE90" s="38" t="str">
        <f>IF(LEN(AI90)&gt;1,GetTagPage(CB90,AI90),"")</f>
        <v/>
      </c>
      <c r="CF90" s="38" t="str">
        <f>"|"&amp;IF(LEN(CC90)&gt;1," "&amp;CC90,"")&amp;IF(LEN(CD90)&gt;1,", "&amp;CD90,"")&amp;IF(LEN(CE90)&gt;1,", "&amp;CE90,"")&amp;" "</f>
        <v xml:space="preserve">| </v>
      </c>
      <c r="CG90" s="38" t="str">
        <f>"| "&amp;IF(AR90,"["&amp;B90&amp;"](/places/"&amp;SUBSTITUTE(BY90,".md","")&amp;")",B90)&amp;" "</f>
        <v xml:space="preserve">| San Salvatore Monferrato </v>
      </c>
      <c r="CH90" s="38" t="str">
        <f>"| "&amp;IF(AR90,GetTagPage(C90,VLOOKUP(C90,'(Ref) Countries'!A:C,3,)),C90)&amp; " "</f>
        <v xml:space="preserve">| Italy </v>
      </c>
      <c r="CI90" s="38" t="str">
        <f>"| "&amp;E90&amp;" "</f>
        <v xml:space="preserve">| 1616 </v>
      </c>
      <c r="CJ90" s="38" t="str">
        <f>"|"&amp;IF(AR90," [Link](/places/"&amp;SUBSTITUTE(BY90,".md","")&amp;")","")&amp;" "</f>
        <v xml:space="preserve">| </v>
      </c>
      <c r="CK90" s="37" t="str">
        <f>"
"&amp;CG90&amp;CH90&amp;CI90&amp;CJ90&amp;BL90&amp;BQ90&amp;BR90&amp;BS90&amp;CF90&amp;"|"</f>
        <v xml:space="preserve">
| San Salvatore Monferrato | Italy | 1616 | [Link](http://www.therealpresence.org/eucharst/misc/BVM/22_MONFERRATO_60x96.pdf)| |</v>
      </c>
    </row>
    <row r="91" spans="1:89" x14ac:dyDescent="0.25">
      <c r="B91" s="28" t="s">
        <v>1262</v>
      </c>
      <c r="C91" s="29" t="s">
        <v>502</v>
      </c>
      <c r="E91" s="31">
        <v>1633</v>
      </c>
      <c r="J91" s="30" t="s">
        <v>1728</v>
      </c>
      <c r="K91" s="32" t="b">
        <v>1</v>
      </c>
      <c r="L91" s="30" t="b">
        <v>1</v>
      </c>
      <c r="P91" s="30" t="s">
        <v>336</v>
      </c>
      <c r="Q91" s="30" t="s">
        <v>336</v>
      </c>
      <c r="AA91" s="71" t="s">
        <v>265</v>
      </c>
      <c r="AB91" s="30" t="s">
        <v>336</v>
      </c>
      <c r="AC91" s="30" t="s">
        <v>336</v>
      </c>
      <c r="AD91" s="30" t="s">
        <v>336</v>
      </c>
      <c r="AE91" s="30" t="s">
        <v>336</v>
      </c>
      <c r="AF91" s="67" t="s">
        <v>336</v>
      </c>
      <c r="AG91" s="30" t="s">
        <v>336</v>
      </c>
      <c r="AR91" s="36" t="b">
        <f>IF(OR(A91="Done",A91="In Progress"),TRUE)</f>
        <v>0</v>
      </c>
      <c r="AS91" s="37" t="str">
        <f>"title: """&amp;H91&amp;""""</f>
        <v>title: ""</v>
      </c>
      <c r="AT91" s="37" t="str">
        <f>"location: {lat: "&amp;F91&amp;", lng: "&amp;G91&amp;"}"</f>
        <v>location: {lat: , lng: }</v>
      </c>
      <c r="AU91" s="37" t="str">
        <f>"level: "&amp;J91</f>
        <v>level: global</v>
      </c>
      <c r="AV91" s="37" t="str">
        <f>"- "&amp;VLOOKUP(C91,'(Ref) Countries'!A:C,3,)</f>
        <v>- austria</v>
      </c>
      <c r="AW91" s="37" t="str">
        <f t="shared" si="24"/>
        <v/>
      </c>
      <c r="AX91" s="37" t="str">
        <f t="shared" si="25"/>
        <v>- churches</v>
      </c>
      <c r="AY91" s="37" t="str">
        <f t="shared" si="26"/>
        <v>- marian-sites</v>
      </c>
      <c r="AZ91" s="37" t="str">
        <f t="shared" si="27"/>
        <v/>
      </c>
      <c r="BA91" s="37" t="str">
        <f t="shared" si="28"/>
        <v/>
      </c>
      <c r="BB91" s="37" t="str">
        <f t="shared" si="29"/>
        <v/>
      </c>
      <c r="BC91" s="37" t="str">
        <f t="shared" si="30"/>
        <v/>
      </c>
      <c r="BD91" s="37" t="str">
        <f t="shared" si="31"/>
        <v/>
      </c>
      <c r="BE91" s="37" t="str">
        <f t="shared" si="32"/>
        <v/>
      </c>
      <c r="BF91" s="37" t="str">
        <f t="shared" si="33"/>
        <v/>
      </c>
      <c r="BG91" s="37" t="str">
        <f t="shared" si="34"/>
        <v/>
      </c>
      <c r="BH91" s="37" t="str">
        <f t="shared" si="35"/>
        <v/>
      </c>
      <c r="BI91" s="37" t="str">
        <f t="shared" si="36"/>
        <v/>
      </c>
      <c r="BJ91" s="37" t="str">
        <f t="shared" si="37"/>
        <v/>
      </c>
      <c r="BK91" s="37" t="str">
        <f t="shared" si="38"/>
        <v xml:space="preserve">tags:
- austria_x000D_
- churches_x000D_
- marian-sites_x000D_
</v>
      </c>
      <c r="BL91" s="38" t="str">
        <f t="shared" si="39"/>
        <v/>
      </c>
      <c r="BM91" s="38" t="str">
        <f t="shared" si="40"/>
        <v/>
      </c>
      <c r="BN91" s="38" t="str">
        <f t="shared" si="41"/>
        <v/>
      </c>
      <c r="BO91" s="38" t="str">
        <f t="shared" si="42"/>
        <v/>
      </c>
      <c r="BP91" s="38" t="str">
        <f t="shared" si="43"/>
        <v/>
      </c>
      <c r="BQ91" s="38" t="str">
        <f t="shared" si="44"/>
        <v>[Link](http://www.therealpresence.org/eucharst/misc/BVM/118_MARBACH_60x96.pdf)</v>
      </c>
      <c r="BR91" s="38" t="str">
        <f t="shared" si="45"/>
        <v/>
      </c>
      <c r="BS91" s="38" t="str">
        <f t="shared" si="46"/>
        <v/>
      </c>
      <c r="BT91" s="38" t="str">
        <f>IF(LEN(concat(BQ91:BS91))&gt;0,concat("| ",BQ91," | ",BR91," | ",BS91," |"),"")</f>
        <v>| [Link](http://www.therealpresence.org/eucharst/misc/BVM/118_MARBACH_60x96.pdf) |  |  |</v>
      </c>
      <c r="BU91" s="37" t="str">
        <f t="shared" si="47"/>
        <v xml:space="preserve">| The Real Presence | Miracle Hunter | MaryPages |_x000D_
| --- | --- | --- |_x000D_
| [Link](http://www.therealpresence.org/eucharst/misc/BVM/118_MARBACH_60x96.pdf) |  |  |_x000D_
</v>
      </c>
      <c r="BV91" s="37" t="str">
        <f>IF(LEN(BP91&amp;BU91)&gt;0,concatll("#### Source Material",BP91,BU91),"")</f>
        <v xml:space="preserve">#### Source Material_x000D_
_x000D_
| The Real Presence | Miracle Hunter | MaryPages |_x000D_
| --- | --- | --- |_x000D_
| [Link](http://www.therealpresence.org/eucharst/misc/BVM/118_MARBACH_60x96.pdf) |  |  |_x000D_
_x000D_
_x000D_
</v>
      </c>
      <c r="BW91" s="37" t="str">
        <f>IF(LEN(O91)&gt;1,concatll("#### Author's Note",O91),"")</f>
        <v/>
      </c>
      <c r="BX91" s="24" t="str">
        <f>IF(AR91,concatll(concatl("---",AS91:AU91,BK91,"---"),N91,BV91:BW91),"")</f>
        <v/>
      </c>
      <c r="BY91" s="24" t="str">
        <f>IF(AR91,VLOOKUP(C91,'(Ref) Countries'!A:B,2,)&amp;IF(LEN(D91)&gt;1,"-"&amp;LOWER(SUBSTITUTE(D91," ","-")),"")&amp;"-"&amp;LOWER(SUBSTITUTE(I91," ","-"))&amp;".md","")</f>
        <v/>
      </c>
      <c r="BZ91" s="37" t="str">
        <f>IF(LEN(AG91)&gt;1,VLOOKUP(AG91,'Tag List'!$A:$B,2,),"")</f>
        <v/>
      </c>
      <c r="CA91" s="37" t="str">
        <f>IF(LEN(AH91)&gt;1,VLOOKUP(AH91,'Tag List'!$A:$B,2,),"")</f>
        <v/>
      </c>
      <c r="CB91" s="37" t="str">
        <f>IF(LEN(AI91)&gt;1,VLOOKUP(AI91,'Tag List'!$A:$B,2,),"")</f>
        <v/>
      </c>
      <c r="CC91" s="38" t="str">
        <f>IF(LEN(AG91)&gt;1,GetTagPage(BZ91,AG91),"")</f>
        <v/>
      </c>
      <c r="CD91" s="38" t="str">
        <f>IF(LEN(AH91)&gt;1,GetTagPage(CA91,AH91),"")</f>
        <v/>
      </c>
      <c r="CE91" s="38" t="str">
        <f>IF(LEN(AI91)&gt;1,GetTagPage(CB91,AI91),"")</f>
        <v/>
      </c>
      <c r="CF91" s="38" t="str">
        <f>"|"&amp;IF(LEN(CC91)&gt;1," "&amp;CC91,"")&amp;IF(LEN(CD91)&gt;1,", "&amp;CD91,"")&amp;IF(LEN(CE91)&gt;1,", "&amp;CE91,"")&amp;" "</f>
        <v xml:space="preserve">| </v>
      </c>
      <c r="CG91" s="38" t="str">
        <f>"| "&amp;IF(AR91,"["&amp;B91&amp;"](/places/"&amp;SUBSTITUTE(BY91,".md","")&amp;")",B91)&amp;" "</f>
        <v xml:space="preserve">| Marbach </v>
      </c>
      <c r="CH91" s="38" t="str">
        <f>"| "&amp;IF(AR91,GetTagPage(C91,VLOOKUP(C91,'(Ref) Countries'!A:C,3,)),C91)&amp; " "</f>
        <v xml:space="preserve">| Austria </v>
      </c>
      <c r="CI91" s="38" t="str">
        <f>"| "&amp;E91&amp;" "</f>
        <v xml:space="preserve">| 1633 </v>
      </c>
      <c r="CJ91" s="38" t="str">
        <f>"|"&amp;IF(AR91," [Link](/places/"&amp;SUBSTITUTE(BY91,".md","")&amp;")","")&amp;" "</f>
        <v xml:space="preserve">| </v>
      </c>
      <c r="CK91" s="37" t="str">
        <f>"
"&amp;CG91&amp;CH91&amp;CI91&amp;CJ91&amp;BL91&amp;BQ91&amp;BR91&amp;BS91&amp;CF91&amp;"|"</f>
        <v xml:space="preserve">
| Marbach | Austria | 1633 | [Link](http://www.therealpresence.org/eucharst/misc/BVM/118_MARBACH_60x96.pdf)| |</v>
      </c>
    </row>
    <row r="92" spans="1:89" ht="25.5" x14ac:dyDescent="0.25">
      <c r="B92" s="28" t="s">
        <v>1263</v>
      </c>
      <c r="C92" s="29" t="s">
        <v>535</v>
      </c>
      <c r="E92" s="31">
        <v>1635</v>
      </c>
      <c r="J92" s="30" t="s">
        <v>1728</v>
      </c>
      <c r="K92" s="32" t="b">
        <v>1</v>
      </c>
      <c r="L92" s="30" t="b">
        <v>1</v>
      </c>
      <c r="P92" s="30" t="s">
        <v>336</v>
      </c>
      <c r="Q92" s="30" t="s">
        <v>336</v>
      </c>
      <c r="AA92" s="71" t="s">
        <v>266</v>
      </c>
      <c r="AB92" s="30" t="s">
        <v>336</v>
      </c>
      <c r="AC92" s="30" t="s">
        <v>336</v>
      </c>
      <c r="AD92" s="30" t="s">
        <v>336</v>
      </c>
      <c r="AE92" s="30" t="s">
        <v>336</v>
      </c>
      <c r="AF92" s="67" t="s">
        <v>336</v>
      </c>
      <c r="AG92" s="30" t="s">
        <v>336</v>
      </c>
      <c r="AR92" s="36" t="b">
        <f>IF(OR(A92="Done",A92="In Progress"),TRUE)</f>
        <v>0</v>
      </c>
      <c r="AS92" s="37" t="str">
        <f>"title: """&amp;H92&amp;""""</f>
        <v>title: ""</v>
      </c>
      <c r="AT92" s="37" t="str">
        <f>"location: {lat: "&amp;F92&amp;", lng: "&amp;G92&amp;"}"</f>
        <v>location: {lat: , lng: }</v>
      </c>
      <c r="AU92" s="37" t="str">
        <f>"level: "&amp;J92</f>
        <v>level: global</v>
      </c>
      <c r="AV92" s="37" t="str">
        <f>"- "&amp;VLOOKUP(C92,'(Ref) Countries'!A:C,3,)</f>
        <v>- costa-rica</v>
      </c>
      <c r="AW92" s="37" t="str">
        <f t="shared" si="24"/>
        <v/>
      </c>
      <c r="AX92" s="37" t="str">
        <f t="shared" si="25"/>
        <v>- churches</v>
      </c>
      <c r="AY92" s="37" t="str">
        <f t="shared" si="26"/>
        <v>- marian-sites</v>
      </c>
      <c r="AZ92" s="37" t="str">
        <f t="shared" si="27"/>
        <v/>
      </c>
      <c r="BA92" s="37" t="str">
        <f t="shared" si="28"/>
        <v/>
      </c>
      <c r="BB92" s="37" t="str">
        <f t="shared" si="29"/>
        <v/>
      </c>
      <c r="BC92" s="37" t="str">
        <f t="shared" si="30"/>
        <v/>
      </c>
      <c r="BD92" s="37" t="str">
        <f t="shared" si="31"/>
        <v/>
      </c>
      <c r="BE92" s="37" t="str">
        <f t="shared" si="32"/>
        <v/>
      </c>
      <c r="BF92" s="37" t="str">
        <f t="shared" si="33"/>
        <v/>
      </c>
      <c r="BG92" s="37" t="str">
        <f t="shared" si="34"/>
        <v/>
      </c>
      <c r="BH92" s="37" t="str">
        <f t="shared" si="35"/>
        <v/>
      </c>
      <c r="BI92" s="37" t="str">
        <f t="shared" si="36"/>
        <v/>
      </c>
      <c r="BJ92" s="37" t="str">
        <f t="shared" si="37"/>
        <v/>
      </c>
      <c r="BK92" s="37" t="str">
        <f t="shared" si="38"/>
        <v xml:space="preserve">tags:
- costa-rica_x000D_
- churches_x000D_
- marian-sites_x000D_
</v>
      </c>
      <c r="BL92" s="38" t="str">
        <f t="shared" si="39"/>
        <v/>
      </c>
      <c r="BM92" s="38" t="str">
        <f t="shared" si="40"/>
        <v/>
      </c>
      <c r="BN92" s="38" t="str">
        <f t="shared" si="41"/>
        <v/>
      </c>
      <c r="BO92" s="38" t="str">
        <f t="shared" si="42"/>
        <v/>
      </c>
      <c r="BP92" s="38" t="str">
        <f t="shared" si="43"/>
        <v/>
      </c>
      <c r="BQ92" s="38" t="str">
        <f t="shared" si="44"/>
        <v>[Link](http://www.therealpresence.org/eucharst/misc/BVM/101_CARTAGO_60x96.pdf)</v>
      </c>
      <c r="BR92" s="38" t="str">
        <f t="shared" si="45"/>
        <v/>
      </c>
      <c r="BS92" s="38" t="str">
        <f t="shared" si="46"/>
        <v/>
      </c>
      <c r="BT92" s="38" t="str">
        <f>IF(LEN(concat(BQ92:BS92))&gt;0,concat("| ",BQ92," | ",BR92," | ",BS92," |"),"")</f>
        <v>| [Link](http://www.therealpresence.org/eucharst/misc/BVM/101_CARTAGO_60x96.pdf) |  |  |</v>
      </c>
      <c r="BU92" s="37" t="str">
        <f t="shared" si="47"/>
        <v xml:space="preserve">| The Real Presence | Miracle Hunter | MaryPages |_x000D_
| --- | --- | --- |_x000D_
| [Link](http://www.therealpresence.org/eucharst/misc/BVM/101_CARTAGO_60x96.pdf) |  |  |_x000D_
</v>
      </c>
      <c r="BV92" s="37" t="str">
        <f>IF(LEN(BP92&amp;BU92)&gt;0,concatll("#### Source Material",BP92,BU92),"")</f>
        <v xml:space="preserve">#### Source Material_x000D_
_x000D_
| The Real Presence | Miracle Hunter | MaryPages |_x000D_
| --- | --- | --- |_x000D_
| [Link](http://www.therealpresence.org/eucharst/misc/BVM/101_CARTAGO_60x96.pdf) |  |  |_x000D_
_x000D_
_x000D_
</v>
      </c>
      <c r="BW92" s="37" t="str">
        <f>IF(LEN(O92)&gt;1,concatll("#### Author's Note",O92),"")</f>
        <v/>
      </c>
      <c r="BX92" s="24" t="str">
        <f>IF(AR92,concatll(concatl("---",AS92:AU92,BK92,"---"),N92,BV92:BW92),"")</f>
        <v/>
      </c>
      <c r="BY92" s="24" t="str">
        <f>IF(AR92,VLOOKUP(C92,'(Ref) Countries'!A:B,2,)&amp;IF(LEN(D92)&gt;1,"-"&amp;LOWER(SUBSTITUTE(D92," ","-")),"")&amp;"-"&amp;LOWER(SUBSTITUTE(I92," ","-"))&amp;".md","")</f>
        <v/>
      </c>
      <c r="BZ92" s="37" t="str">
        <f>IF(LEN(AG92)&gt;1,VLOOKUP(AG92,'Tag List'!$A:$B,2,),"")</f>
        <v/>
      </c>
      <c r="CA92" s="37" t="str">
        <f>IF(LEN(AH92)&gt;1,VLOOKUP(AH92,'Tag List'!$A:$B,2,),"")</f>
        <v/>
      </c>
      <c r="CB92" s="37" t="str">
        <f>IF(LEN(AI92)&gt;1,VLOOKUP(AI92,'Tag List'!$A:$B,2,),"")</f>
        <v/>
      </c>
      <c r="CC92" s="38" t="str">
        <f>IF(LEN(AG92)&gt;1,GetTagPage(BZ92,AG92),"")</f>
        <v/>
      </c>
      <c r="CD92" s="38" t="str">
        <f>IF(LEN(AH92)&gt;1,GetTagPage(CA92,AH92),"")</f>
        <v/>
      </c>
      <c r="CE92" s="38" t="str">
        <f>IF(LEN(AI92)&gt;1,GetTagPage(CB92,AI92),"")</f>
        <v/>
      </c>
      <c r="CF92" s="38" t="str">
        <f>"|"&amp;IF(LEN(CC92)&gt;1," "&amp;CC92,"")&amp;IF(LEN(CD92)&gt;1,", "&amp;CD92,"")&amp;IF(LEN(CE92)&gt;1,", "&amp;CE92,"")&amp;" "</f>
        <v xml:space="preserve">| </v>
      </c>
      <c r="CG92" s="38" t="str">
        <f>"| "&amp;IF(AR92,"["&amp;B92&amp;"](/places/"&amp;SUBSTITUTE(BY92,".md","")&amp;")",B92)&amp;" "</f>
        <v xml:space="preserve">| Cartago </v>
      </c>
      <c r="CH92" s="38" t="str">
        <f>"| "&amp;IF(AR92,GetTagPage(C92,VLOOKUP(C92,'(Ref) Countries'!A:C,3,)),C92)&amp; " "</f>
        <v xml:space="preserve">| Costa Rica </v>
      </c>
      <c r="CI92" s="38" t="str">
        <f>"| "&amp;E92&amp;" "</f>
        <v xml:space="preserve">| 1635 </v>
      </c>
      <c r="CJ92" s="38" t="str">
        <f>"|"&amp;IF(AR92," [Link](/places/"&amp;SUBSTITUTE(BY92,".md","")&amp;")","")&amp;" "</f>
        <v xml:space="preserve">| </v>
      </c>
      <c r="CK92" s="37" t="str">
        <f>"
"&amp;CG92&amp;CH92&amp;CI92&amp;CJ92&amp;BL92&amp;BQ92&amp;BR92&amp;BS92&amp;CF92&amp;"|"</f>
        <v xml:space="preserve">
| Cartago | Costa Rica | 1635 | [Link](http://www.therealpresence.org/eucharst/misc/BVM/101_CARTAGO_60x96.pdf)| |</v>
      </c>
    </row>
    <row r="93" spans="1:89" x14ac:dyDescent="0.25">
      <c r="B93" s="28" t="s">
        <v>1264</v>
      </c>
      <c r="C93" s="29" t="s">
        <v>542</v>
      </c>
      <c r="E93" s="31">
        <v>1641</v>
      </c>
      <c r="J93" s="30" t="s">
        <v>1728</v>
      </c>
      <c r="K93" s="32" t="b">
        <v>1</v>
      </c>
      <c r="L93" s="30" t="b">
        <v>1</v>
      </c>
      <c r="P93" s="30" t="s">
        <v>336</v>
      </c>
      <c r="Q93" s="30" t="s">
        <v>336</v>
      </c>
      <c r="AA93" s="71" t="s">
        <v>267</v>
      </c>
      <c r="AB93" s="30" t="s">
        <v>336</v>
      </c>
      <c r="AC93" s="30" t="s">
        <v>336</v>
      </c>
      <c r="AD93" s="30" t="s">
        <v>336</v>
      </c>
      <c r="AE93" s="30" t="s">
        <v>336</v>
      </c>
      <c r="AF93" s="67" t="s">
        <v>336</v>
      </c>
      <c r="AG93" s="30" t="s">
        <v>336</v>
      </c>
      <c r="AR93" s="36" t="b">
        <f>IF(OR(A93="Done",A93="In Progress"),TRUE)</f>
        <v>0</v>
      </c>
      <c r="AS93" s="37" t="str">
        <f>"title: """&amp;H93&amp;""""</f>
        <v>title: ""</v>
      </c>
      <c r="AT93" s="37" t="str">
        <f>"location: {lat: "&amp;F93&amp;", lng: "&amp;G93&amp;"}"</f>
        <v>location: {lat: , lng: }</v>
      </c>
      <c r="AU93" s="37" t="str">
        <f>"level: "&amp;J93</f>
        <v>level: global</v>
      </c>
      <c r="AV93" s="37" t="str">
        <f>"- "&amp;VLOOKUP(C93,'(Ref) Countries'!A:C,3,)</f>
        <v>- germany</v>
      </c>
      <c r="AW93" s="37" t="str">
        <f t="shared" si="24"/>
        <v/>
      </c>
      <c r="AX93" s="37" t="str">
        <f t="shared" si="25"/>
        <v>- churches</v>
      </c>
      <c r="AY93" s="37" t="str">
        <f t="shared" si="26"/>
        <v>- marian-sites</v>
      </c>
      <c r="AZ93" s="37" t="str">
        <f t="shared" si="27"/>
        <v/>
      </c>
      <c r="BA93" s="37" t="str">
        <f t="shared" si="28"/>
        <v/>
      </c>
      <c r="BB93" s="37" t="str">
        <f t="shared" si="29"/>
        <v/>
      </c>
      <c r="BC93" s="37" t="str">
        <f t="shared" si="30"/>
        <v/>
      </c>
      <c r="BD93" s="37" t="str">
        <f t="shared" si="31"/>
        <v/>
      </c>
      <c r="BE93" s="37" t="str">
        <f t="shared" si="32"/>
        <v/>
      </c>
      <c r="BF93" s="37" t="str">
        <f t="shared" si="33"/>
        <v/>
      </c>
      <c r="BG93" s="37" t="str">
        <f t="shared" si="34"/>
        <v/>
      </c>
      <c r="BH93" s="37" t="str">
        <f t="shared" si="35"/>
        <v/>
      </c>
      <c r="BI93" s="37" t="str">
        <f t="shared" si="36"/>
        <v/>
      </c>
      <c r="BJ93" s="37" t="str">
        <f t="shared" si="37"/>
        <v/>
      </c>
      <c r="BK93" s="37" t="str">
        <f t="shared" si="38"/>
        <v xml:space="preserve">tags:
- germany_x000D_
- churches_x000D_
- marian-sites_x000D_
</v>
      </c>
      <c r="BL93" s="38" t="str">
        <f t="shared" si="39"/>
        <v/>
      </c>
      <c r="BM93" s="38" t="str">
        <f t="shared" si="40"/>
        <v/>
      </c>
      <c r="BN93" s="38" t="str">
        <f t="shared" si="41"/>
        <v/>
      </c>
      <c r="BO93" s="38" t="str">
        <f t="shared" si="42"/>
        <v/>
      </c>
      <c r="BP93" s="38" t="str">
        <f t="shared" si="43"/>
        <v/>
      </c>
      <c r="BQ93" s="38" t="str">
        <f t="shared" si="44"/>
        <v>[Link](http://www.therealpresence.org/eucharst/misc/BVM/107_KEVELAER_96x96.pdf)</v>
      </c>
      <c r="BR93" s="38" t="str">
        <f t="shared" si="45"/>
        <v/>
      </c>
      <c r="BS93" s="38" t="str">
        <f t="shared" si="46"/>
        <v/>
      </c>
      <c r="BT93" s="38" t="str">
        <f>IF(LEN(concat(BQ93:BS93))&gt;0,concat("| ",BQ93," | ",BR93," | ",BS93," |"),"")</f>
        <v>| [Link](http://www.therealpresence.org/eucharst/misc/BVM/107_KEVELAER_96x96.pdf) |  |  |</v>
      </c>
      <c r="BU93" s="37" t="str">
        <f t="shared" si="47"/>
        <v xml:space="preserve">| The Real Presence | Miracle Hunter | MaryPages |_x000D_
| --- | --- | --- |_x000D_
| [Link](http://www.therealpresence.org/eucharst/misc/BVM/107_KEVELAER_96x96.pdf) |  |  |_x000D_
</v>
      </c>
      <c r="BV93" s="37" t="str">
        <f>IF(LEN(BP93&amp;BU93)&gt;0,concatll("#### Source Material",BP93,BU93),"")</f>
        <v xml:space="preserve">#### Source Material_x000D_
_x000D_
| The Real Presence | Miracle Hunter | MaryPages |_x000D_
| --- | --- | --- |_x000D_
| [Link](http://www.therealpresence.org/eucharst/misc/BVM/107_KEVELAER_96x96.pdf) |  |  |_x000D_
_x000D_
_x000D_
</v>
      </c>
      <c r="BW93" s="37" t="str">
        <f>IF(LEN(O93)&gt;1,concatll("#### Author's Note",O93),"")</f>
        <v/>
      </c>
      <c r="BX93" s="24" t="str">
        <f>IF(AR93,concatll(concatl("---",AS93:AU93,BK93,"---"),N93,BV93:BW93),"")</f>
        <v/>
      </c>
      <c r="BY93" s="24" t="str">
        <f>IF(AR93,VLOOKUP(C93,'(Ref) Countries'!A:B,2,)&amp;IF(LEN(D93)&gt;1,"-"&amp;LOWER(SUBSTITUTE(D93," ","-")),"")&amp;"-"&amp;LOWER(SUBSTITUTE(I93," ","-"))&amp;".md","")</f>
        <v/>
      </c>
      <c r="BZ93" s="37" t="str">
        <f>IF(LEN(AG93)&gt;1,VLOOKUP(AG93,'Tag List'!$A:$B,2,),"")</f>
        <v/>
      </c>
      <c r="CA93" s="37" t="str">
        <f>IF(LEN(AH93)&gt;1,VLOOKUP(AH93,'Tag List'!$A:$B,2,),"")</f>
        <v/>
      </c>
      <c r="CB93" s="37" t="str">
        <f>IF(LEN(AI93)&gt;1,VLOOKUP(AI93,'Tag List'!$A:$B,2,),"")</f>
        <v/>
      </c>
      <c r="CC93" s="38" t="str">
        <f>IF(LEN(AG93)&gt;1,GetTagPage(BZ93,AG93),"")</f>
        <v/>
      </c>
      <c r="CD93" s="38" t="str">
        <f>IF(LEN(AH93)&gt;1,GetTagPage(CA93,AH93),"")</f>
        <v/>
      </c>
      <c r="CE93" s="38" t="str">
        <f>IF(LEN(AI93)&gt;1,GetTagPage(CB93,AI93),"")</f>
        <v/>
      </c>
      <c r="CF93" s="38" t="str">
        <f>"|"&amp;IF(LEN(CC93)&gt;1," "&amp;CC93,"")&amp;IF(LEN(CD93)&gt;1,", "&amp;CD93,"")&amp;IF(LEN(CE93)&gt;1,", "&amp;CE93,"")&amp;" "</f>
        <v xml:space="preserve">| </v>
      </c>
      <c r="CG93" s="38" t="str">
        <f>"| "&amp;IF(AR93,"["&amp;B93&amp;"](/places/"&amp;SUBSTITUTE(BY93,".md","")&amp;")",B93)&amp;" "</f>
        <v xml:space="preserve">| Kevelaer </v>
      </c>
      <c r="CH93" s="38" t="str">
        <f>"| "&amp;IF(AR93,GetTagPage(C93,VLOOKUP(C93,'(Ref) Countries'!A:C,3,)),C93)&amp; " "</f>
        <v xml:space="preserve">| Germany </v>
      </c>
      <c r="CI93" s="38" t="str">
        <f>"| "&amp;E93&amp;" "</f>
        <v xml:space="preserve">| 1641 </v>
      </c>
      <c r="CJ93" s="38" t="str">
        <f>"|"&amp;IF(AR93," [Link](/places/"&amp;SUBSTITUTE(BY93,".md","")&amp;")","")&amp;" "</f>
        <v xml:space="preserve">| </v>
      </c>
      <c r="CK93" s="37" t="str">
        <f>"
"&amp;CG93&amp;CH93&amp;CI93&amp;CJ93&amp;BL93&amp;BQ93&amp;BR93&amp;BS93&amp;CF93&amp;"|"</f>
        <v xml:space="preserve">
| Kevelaer | Germany | 1641 | [Link](http://www.therealpresence.org/eucharst/misc/BVM/107_KEVELAER_96x96.pdf)| |</v>
      </c>
    </row>
    <row r="94" spans="1:89" x14ac:dyDescent="0.25">
      <c r="B94" s="28" t="s">
        <v>1265</v>
      </c>
      <c r="C94" s="29" t="s">
        <v>557</v>
      </c>
      <c r="E94" s="31">
        <v>1649</v>
      </c>
      <c r="J94" s="30" t="s">
        <v>1728</v>
      </c>
      <c r="K94" s="32" t="b">
        <v>1</v>
      </c>
      <c r="L94" s="30" t="b">
        <v>1</v>
      </c>
      <c r="P94" s="30" t="s">
        <v>336</v>
      </c>
      <c r="Q94" s="30" t="s">
        <v>336</v>
      </c>
      <c r="AA94" s="71" t="s">
        <v>268</v>
      </c>
      <c r="AB94" s="30" t="s">
        <v>336</v>
      </c>
      <c r="AC94" s="30" t="s">
        <v>336</v>
      </c>
      <c r="AD94" s="30" t="s">
        <v>336</v>
      </c>
      <c r="AE94" s="30" t="s">
        <v>336</v>
      </c>
      <c r="AF94" s="67" t="s">
        <v>336</v>
      </c>
      <c r="AG94" s="30" t="s">
        <v>336</v>
      </c>
      <c r="AR94" s="36" t="b">
        <f>IF(OR(A94="Done",A94="In Progress"),TRUE)</f>
        <v>0</v>
      </c>
      <c r="AS94" s="37" t="str">
        <f>"title: """&amp;H94&amp;""""</f>
        <v>title: ""</v>
      </c>
      <c r="AT94" s="37" t="str">
        <f>"location: {lat: "&amp;F94&amp;", lng: "&amp;G94&amp;"}"</f>
        <v>location: {lat: , lng: }</v>
      </c>
      <c r="AU94" s="37" t="str">
        <f>"level: "&amp;J94</f>
        <v>level: global</v>
      </c>
      <c r="AV94" s="37" t="str">
        <f>"- "&amp;VLOOKUP(C94,'(Ref) Countries'!A:C,3,)</f>
        <v>- france</v>
      </c>
      <c r="AW94" s="37" t="str">
        <f t="shared" si="24"/>
        <v/>
      </c>
      <c r="AX94" s="37" t="str">
        <f t="shared" si="25"/>
        <v>- churches</v>
      </c>
      <c r="AY94" s="37" t="str">
        <f t="shared" si="26"/>
        <v>- marian-sites</v>
      </c>
      <c r="AZ94" s="37" t="str">
        <f t="shared" si="27"/>
        <v/>
      </c>
      <c r="BA94" s="37" t="str">
        <f t="shared" si="28"/>
        <v/>
      </c>
      <c r="BB94" s="37" t="str">
        <f t="shared" si="29"/>
        <v/>
      </c>
      <c r="BC94" s="37" t="str">
        <f t="shared" si="30"/>
        <v/>
      </c>
      <c r="BD94" s="37" t="str">
        <f t="shared" si="31"/>
        <v/>
      </c>
      <c r="BE94" s="37" t="str">
        <f t="shared" si="32"/>
        <v/>
      </c>
      <c r="BF94" s="37" t="str">
        <f t="shared" si="33"/>
        <v/>
      </c>
      <c r="BG94" s="37" t="str">
        <f t="shared" si="34"/>
        <v/>
      </c>
      <c r="BH94" s="37" t="str">
        <f t="shared" si="35"/>
        <v/>
      </c>
      <c r="BI94" s="37" t="str">
        <f t="shared" si="36"/>
        <v/>
      </c>
      <c r="BJ94" s="37" t="str">
        <f t="shared" si="37"/>
        <v/>
      </c>
      <c r="BK94" s="37" t="str">
        <f t="shared" si="38"/>
        <v xml:space="preserve">tags:
- france_x000D_
- churches_x000D_
- marian-sites_x000D_
</v>
      </c>
      <c r="BL94" s="38" t="str">
        <f t="shared" si="39"/>
        <v/>
      </c>
      <c r="BM94" s="38" t="str">
        <f t="shared" si="40"/>
        <v/>
      </c>
      <c r="BN94" s="38" t="str">
        <f t="shared" si="41"/>
        <v/>
      </c>
      <c r="BO94" s="38" t="str">
        <f t="shared" si="42"/>
        <v/>
      </c>
      <c r="BP94" s="38" t="str">
        <f t="shared" si="43"/>
        <v/>
      </c>
      <c r="BQ94" s="38" t="str">
        <f t="shared" si="44"/>
        <v>[Link](http://www.therealpresence.org/eucharst/misc/BVM/125_PLANTEES_60x96.pdf)</v>
      </c>
      <c r="BR94" s="38" t="str">
        <f t="shared" si="45"/>
        <v/>
      </c>
      <c r="BS94" s="38" t="str">
        <f t="shared" si="46"/>
        <v/>
      </c>
      <c r="BT94" s="38" t="str">
        <f>IF(LEN(concat(BQ94:BS94))&gt;0,concat("| ",BQ94," | ",BR94," | ",BS94," |"),"")</f>
        <v>| [Link](http://www.therealpresence.org/eucharst/misc/BVM/125_PLANTEES_60x96.pdf) |  |  |</v>
      </c>
      <c r="BU94" s="37" t="str">
        <f t="shared" si="47"/>
        <v xml:space="preserve">| The Real Presence | Miracle Hunter | MaryPages |_x000D_
| --- | --- | --- |_x000D_
| [Link](http://www.therealpresence.org/eucharst/misc/BVM/125_PLANTEES_60x96.pdf) |  |  |_x000D_
</v>
      </c>
      <c r="BV94" s="37" t="str">
        <f>IF(LEN(BP94&amp;BU94)&gt;0,concatll("#### Source Material",BP94,BU94),"")</f>
        <v xml:space="preserve">#### Source Material_x000D_
_x000D_
| The Real Presence | Miracle Hunter | MaryPages |_x000D_
| --- | --- | --- |_x000D_
| [Link](http://www.therealpresence.org/eucharst/misc/BVM/125_PLANTEES_60x96.pdf) |  |  |_x000D_
_x000D_
_x000D_
</v>
      </c>
      <c r="BW94" s="37" t="str">
        <f>IF(LEN(O94)&gt;1,concatll("#### Author's Note",O94),"")</f>
        <v/>
      </c>
      <c r="BX94" s="24" t="str">
        <f>IF(AR94,concatll(concatl("---",AS94:AU94,BK94,"---"),N94,BV94:BW94),"")</f>
        <v/>
      </c>
      <c r="BY94" s="24" t="str">
        <f>IF(AR94,VLOOKUP(C94,'(Ref) Countries'!A:B,2,)&amp;IF(LEN(D94)&gt;1,"-"&amp;LOWER(SUBSTITUTE(D94," ","-")),"")&amp;"-"&amp;LOWER(SUBSTITUTE(I94," ","-"))&amp;".md","")</f>
        <v/>
      </c>
      <c r="BZ94" s="37" t="str">
        <f>IF(LEN(AG94)&gt;1,VLOOKUP(AG94,'Tag List'!$A:$B,2,),"")</f>
        <v/>
      </c>
      <c r="CA94" s="37" t="str">
        <f>IF(LEN(AH94)&gt;1,VLOOKUP(AH94,'Tag List'!$A:$B,2,),"")</f>
        <v/>
      </c>
      <c r="CB94" s="37" t="str">
        <f>IF(LEN(AI94)&gt;1,VLOOKUP(AI94,'Tag List'!$A:$B,2,),"")</f>
        <v/>
      </c>
      <c r="CC94" s="38" t="str">
        <f>IF(LEN(AG94)&gt;1,GetTagPage(BZ94,AG94),"")</f>
        <v/>
      </c>
      <c r="CD94" s="38" t="str">
        <f>IF(LEN(AH94)&gt;1,GetTagPage(CA94,AH94),"")</f>
        <v/>
      </c>
      <c r="CE94" s="38" t="str">
        <f>IF(LEN(AI94)&gt;1,GetTagPage(CB94,AI94),"")</f>
        <v/>
      </c>
      <c r="CF94" s="38" t="str">
        <f>"|"&amp;IF(LEN(CC94)&gt;1," "&amp;CC94,"")&amp;IF(LEN(CD94)&gt;1,", "&amp;CD94,"")&amp;IF(LEN(CE94)&gt;1,", "&amp;CE94,"")&amp;" "</f>
        <v xml:space="preserve">| </v>
      </c>
      <c r="CG94" s="38" t="str">
        <f>"| "&amp;IF(AR94,"["&amp;B94&amp;"](/places/"&amp;SUBSTITUTE(BY94,".md","")&amp;")",B94)&amp;" "</f>
        <v xml:space="preserve">| Plantées </v>
      </c>
      <c r="CH94" s="38" t="str">
        <f>"| "&amp;IF(AR94,GetTagPage(C94,VLOOKUP(C94,'(Ref) Countries'!A:C,3,)),C94)&amp; " "</f>
        <v xml:space="preserve">| France </v>
      </c>
      <c r="CI94" s="38" t="str">
        <f>"| "&amp;E94&amp;" "</f>
        <v xml:space="preserve">| 1649 </v>
      </c>
      <c r="CJ94" s="38" t="str">
        <f>"|"&amp;IF(AR94," [Link](/places/"&amp;SUBSTITUTE(BY94,".md","")&amp;")","")&amp;" "</f>
        <v xml:space="preserve">| </v>
      </c>
      <c r="CK94" s="37" t="str">
        <f>"
"&amp;CG94&amp;CH94&amp;CI94&amp;CJ94&amp;BL94&amp;BQ94&amp;BR94&amp;BS94&amp;CF94&amp;"|"</f>
        <v xml:space="preserve">
| Plantées | France | 1649 | [Link](http://www.therealpresence.org/eucharst/misc/BVM/125_PLANTEES_60x96.pdf)| |</v>
      </c>
    </row>
    <row r="95" spans="1:89" x14ac:dyDescent="0.25">
      <c r="B95" s="28" t="s">
        <v>1266</v>
      </c>
      <c r="C95" s="29" t="s">
        <v>718</v>
      </c>
      <c r="E95" s="31">
        <v>1651</v>
      </c>
      <c r="J95" s="30" t="s">
        <v>1728</v>
      </c>
      <c r="K95" s="32" t="b">
        <v>1</v>
      </c>
      <c r="L95" s="30" t="b">
        <v>1</v>
      </c>
      <c r="P95" s="30" t="s">
        <v>336</v>
      </c>
      <c r="Q95" s="30" t="s">
        <v>336</v>
      </c>
      <c r="AA95" s="71" t="s">
        <v>269</v>
      </c>
      <c r="AB95" s="30" t="s">
        <v>336</v>
      </c>
      <c r="AC95" s="30" t="s">
        <v>336</v>
      </c>
      <c r="AD95" s="30" t="s">
        <v>336</v>
      </c>
      <c r="AE95" s="30" t="s">
        <v>336</v>
      </c>
      <c r="AF95" s="67" t="s">
        <v>336</v>
      </c>
      <c r="AG95" s="30" t="s">
        <v>336</v>
      </c>
      <c r="AR95" s="36" t="b">
        <f>IF(OR(A95="Done",A95="In Progress"),TRUE)</f>
        <v>0</v>
      </c>
      <c r="AS95" s="37" t="str">
        <f>"title: """&amp;H95&amp;""""</f>
        <v>title: ""</v>
      </c>
      <c r="AT95" s="37" t="str">
        <f>"location: {lat: "&amp;F95&amp;", lng: "&amp;G95&amp;"}"</f>
        <v>location: {lat: , lng: }</v>
      </c>
      <c r="AU95" s="37" t="str">
        <f>"level: "&amp;J95</f>
        <v>level: global</v>
      </c>
      <c r="AV95" s="37" t="str">
        <f>"- "&amp;VLOOKUP(C95,'(Ref) Countries'!A:C,3,)</f>
        <v>- venezuela</v>
      </c>
      <c r="AW95" s="37" t="str">
        <f t="shared" si="24"/>
        <v/>
      </c>
      <c r="AX95" s="37" t="str">
        <f t="shared" si="25"/>
        <v>- churches</v>
      </c>
      <c r="AY95" s="37" t="str">
        <f t="shared" si="26"/>
        <v>- marian-sites</v>
      </c>
      <c r="AZ95" s="37" t="str">
        <f t="shared" si="27"/>
        <v/>
      </c>
      <c r="BA95" s="37" t="str">
        <f t="shared" si="28"/>
        <v/>
      </c>
      <c r="BB95" s="37" t="str">
        <f t="shared" si="29"/>
        <v/>
      </c>
      <c r="BC95" s="37" t="str">
        <f t="shared" si="30"/>
        <v/>
      </c>
      <c r="BD95" s="37" t="str">
        <f t="shared" si="31"/>
        <v/>
      </c>
      <c r="BE95" s="37" t="str">
        <f t="shared" si="32"/>
        <v/>
      </c>
      <c r="BF95" s="37" t="str">
        <f t="shared" si="33"/>
        <v/>
      </c>
      <c r="BG95" s="37" t="str">
        <f t="shared" si="34"/>
        <v/>
      </c>
      <c r="BH95" s="37" t="str">
        <f t="shared" si="35"/>
        <v/>
      </c>
      <c r="BI95" s="37" t="str">
        <f t="shared" si="36"/>
        <v/>
      </c>
      <c r="BJ95" s="37" t="str">
        <f t="shared" si="37"/>
        <v/>
      </c>
      <c r="BK95" s="37" t="str">
        <f t="shared" si="38"/>
        <v xml:space="preserve">tags:
- venezuela_x000D_
- churches_x000D_
- marian-sites_x000D_
</v>
      </c>
      <c r="BL95" s="38" t="str">
        <f t="shared" si="39"/>
        <v/>
      </c>
      <c r="BM95" s="38" t="str">
        <f t="shared" si="40"/>
        <v/>
      </c>
      <c r="BN95" s="38" t="str">
        <f t="shared" si="41"/>
        <v/>
      </c>
      <c r="BO95" s="38" t="str">
        <f t="shared" si="42"/>
        <v/>
      </c>
      <c r="BP95" s="38" t="str">
        <f t="shared" si="43"/>
        <v/>
      </c>
      <c r="BQ95" s="38" t="str">
        <f t="shared" si="44"/>
        <v>[Link](http://www.therealpresence.org/eucharst/misc/BVM/14_GUANARE_60x96.pdf)</v>
      </c>
      <c r="BR95" s="38" t="str">
        <f t="shared" si="45"/>
        <v/>
      </c>
      <c r="BS95" s="38" t="str">
        <f t="shared" si="46"/>
        <v/>
      </c>
      <c r="BT95" s="38" t="str">
        <f>IF(LEN(concat(BQ95:BS95))&gt;0,concat("| ",BQ95," | ",BR95," | ",BS95," |"),"")</f>
        <v>| [Link](http://www.therealpresence.org/eucharst/misc/BVM/14_GUANARE_60x96.pdf) |  |  |</v>
      </c>
      <c r="BU95" s="37" t="str">
        <f t="shared" si="47"/>
        <v xml:space="preserve">| The Real Presence | Miracle Hunter | MaryPages |_x000D_
| --- | --- | --- |_x000D_
| [Link](http://www.therealpresence.org/eucharst/misc/BVM/14_GUANARE_60x96.pdf) |  |  |_x000D_
</v>
      </c>
      <c r="BV95" s="37" t="str">
        <f>IF(LEN(BP95&amp;BU95)&gt;0,concatll("#### Source Material",BP95,BU95),"")</f>
        <v xml:space="preserve">#### Source Material_x000D_
_x000D_
| The Real Presence | Miracle Hunter | MaryPages |_x000D_
| --- | --- | --- |_x000D_
| [Link](http://www.therealpresence.org/eucharst/misc/BVM/14_GUANARE_60x96.pdf) |  |  |_x000D_
_x000D_
_x000D_
</v>
      </c>
      <c r="BW95" s="37" t="str">
        <f>IF(LEN(O95)&gt;1,concatll("#### Author's Note",O95),"")</f>
        <v/>
      </c>
      <c r="BX95" s="24" t="str">
        <f>IF(AR95,concatll(concatl("---",AS95:AU95,BK95,"---"),N95,BV95:BW95),"")</f>
        <v/>
      </c>
      <c r="BY95" s="24" t="str">
        <f>IF(AR95,VLOOKUP(C95,'(Ref) Countries'!A:B,2,)&amp;IF(LEN(D95)&gt;1,"-"&amp;LOWER(SUBSTITUTE(D95," ","-")),"")&amp;"-"&amp;LOWER(SUBSTITUTE(I95," ","-"))&amp;".md","")</f>
        <v/>
      </c>
      <c r="BZ95" s="37" t="str">
        <f>IF(LEN(AG95)&gt;1,VLOOKUP(AG95,'Tag List'!$A:$B,2,),"")</f>
        <v/>
      </c>
      <c r="CA95" s="37" t="str">
        <f>IF(LEN(AH95)&gt;1,VLOOKUP(AH95,'Tag List'!$A:$B,2,),"")</f>
        <v/>
      </c>
      <c r="CB95" s="37" t="str">
        <f>IF(LEN(AI95)&gt;1,VLOOKUP(AI95,'Tag List'!$A:$B,2,),"")</f>
        <v/>
      </c>
      <c r="CC95" s="38" t="str">
        <f>IF(LEN(AG95)&gt;1,GetTagPage(BZ95,AG95),"")</f>
        <v/>
      </c>
      <c r="CD95" s="38" t="str">
        <f>IF(LEN(AH95)&gt;1,GetTagPage(CA95,AH95),"")</f>
        <v/>
      </c>
      <c r="CE95" s="38" t="str">
        <f>IF(LEN(AI95)&gt;1,GetTagPage(CB95,AI95),"")</f>
        <v/>
      </c>
      <c r="CF95" s="38" t="str">
        <f>"|"&amp;IF(LEN(CC95)&gt;1," "&amp;CC95,"")&amp;IF(LEN(CD95)&gt;1,", "&amp;CD95,"")&amp;IF(LEN(CE95)&gt;1,", "&amp;CE95,"")&amp;" "</f>
        <v xml:space="preserve">| </v>
      </c>
      <c r="CG95" s="38" t="str">
        <f>"| "&amp;IF(AR95,"["&amp;B95&amp;"](/places/"&amp;SUBSTITUTE(BY95,".md","")&amp;")",B95)&amp;" "</f>
        <v xml:space="preserve">| Guanare </v>
      </c>
      <c r="CH95" s="38" t="str">
        <f>"| "&amp;IF(AR95,GetTagPage(C95,VLOOKUP(C95,'(Ref) Countries'!A:C,3,)),C95)&amp; " "</f>
        <v xml:space="preserve">| Venezuela </v>
      </c>
      <c r="CI95" s="38" t="str">
        <f>"| "&amp;E95&amp;" "</f>
        <v xml:space="preserve">| 1651 </v>
      </c>
      <c r="CJ95" s="38" t="str">
        <f>"|"&amp;IF(AR95," [Link](/places/"&amp;SUBSTITUTE(BY95,".md","")&amp;")","")&amp;" "</f>
        <v xml:space="preserve">| </v>
      </c>
      <c r="CK95" s="37" t="str">
        <f>"
"&amp;CG95&amp;CH95&amp;CI95&amp;CJ95&amp;BL95&amp;BQ95&amp;BR95&amp;BS95&amp;CF95&amp;"|"</f>
        <v xml:space="preserve">
| Guanare | Venezuela | 1651 | [Link](http://www.therealpresence.org/eucharst/misc/BVM/14_GUANARE_60x96.pdf)| |</v>
      </c>
    </row>
    <row r="96" spans="1:89" x14ac:dyDescent="0.25">
      <c r="B96" s="28" t="s">
        <v>1267</v>
      </c>
      <c r="C96" s="29" t="s">
        <v>557</v>
      </c>
      <c r="E96" s="31">
        <v>1652</v>
      </c>
      <c r="J96" s="30" t="s">
        <v>1728</v>
      </c>
      <c r="K96" s="32" t="b">
        <v>1</v>
      </c>
      <c r="L96" s="30" t="b">
        <v>1</v>
      </c>
      <c r="P96" s="30" t="s">
        <v>336</v>
      </c>
      <c r="Q96" s="30" t="s">
        <v>336</v>
      </c>
      <c r="AA96" s="71" t="s">
        <v>270</v>
      </c>
      <c r="AB96" s="30" t="s">
        <v>336</v>
      </c>
      <c r="AC96" s="30" t="s">
        <v>336</v>
      </c>
      <c r="AD96" s="30" t="s">
        <v>336</v>
      </c>
      <c r="AE96" s="30" t="s">
        <v>336</v>
      </c>
      <c r="AF96" s="67" t="s">
        <v>336</v>
      </c>
      <c r="AG96" s="30" t="s">
        <v>336</v>
      </c>
      <c r="AR96" s="36" t="b">
        <f>IF(OR(A96="Done",A96="In Progress"),TRUE)</f>
        <v>0</v>
      </c>
      <c r="AS96" s="37" t="str">
        <f>"title: """&amp;H96&amp;""""</f>
        <v>title: ""</v>
      </c>
      <c r="AT96" s="37" t="str">
        <f>"location: {lat: "&amp;F96&amp;", lng: "&amp;G96&amp;"}"</f>
        <v>location: {lat: , lng: }</v>
      </c>
      <c r="AU96" s="37" t="str">
        <f>"level: "&amp;J96</f>
        <v>level: global</v>
      </c>
      <c r="AV96" s="37" t="str">
        <f>"- "&amp;VLOOKUP(C96,'(Ref) Countries'!A:C,3,)</f>
        <v>- france</v>
      </c>
      <c r="AW96" s="37" t="str">
        <f t="shared" si="24"/>
        <v/>
      </c>
      <c r="AX96" s="37" t="str">
        <f t="shared" si="25"/>
        <v>- churches</v>
      </c>
      <c r="AY96" s="37" t="str">
        <f t="shared" si="26"/>
        <v>- marian-sites</v>
      </c>
      <c r="AZ96" s="37" t="str">
        <f t="shared" si="27"/>
        <v/>
      </c>
      <c r="BA96" s="37" t="str">
        <f t="shared" si="28"/>
        <v/>
      </c>
      <c r="BB96" s="37" t="str">
        <f t="shared" si="29"/>
        <v/>
      </c>
      <c r="BC96" s="37" t="str">
        <f t="shared" si="30"/>
        <v/>
      </c>
      <c r="BD96" s="37" t="str">
        <f t="shared" si="31"/>
        <v/>
      </c>
      <c r="BE96" s="37" t="str">
        <f t="shared" si="32"/>
        <v/>
      </c>
      <c r="BF96" s="37" t="str">
        <f t="shared" si="33"/>
        <v/>
      </c>
      <c r="BG96" s="37" t="str">
        <f t="shared" si="34"/>
        <v/>
      </c>
      <c r="BH96" s="37" t="str">
        <f t="shared" si="35"/>
        <v/>
      </c>
      <c r="BI96" s="37" t="str">
        <f t="shared" si="36"/>
        <v/>
      </c>
      <c r="BJ96" s="37" t="str">
        <f t="shared" si="37"/>
        <v/>
      </c>
      <c r="BK96" s="37" t="str">
        <f t="shared" si="38"/>
        <v xml:space="preserve">tags:
- france_x000D_
- churches_x000D_
- marian-sites_x000D_
</v>
      </c>
      <c r="BL96" s="38" t="str">
        <f t="shared" si="39"/>
        <v/>
      </c>
      <c r="BM96" s="38" t="str">
        <f t="shared" si="40"/>
        <v/>
      </c>
      <c r="BN96" s="38" t="str">
        <f t="shared" si="41"/>
        <v/>
      </c>
      <c r="BO96" s="38" t="str">
        <f t="shared" si="42"/>
        <v/>
      </c>
      <c r="BP96" s="38" t="str">
        <f t="shared" si="43"/>
        <v/>
      </c>
      <c r="BQ96" s="38" t="str">
        <f t="shared" si="44"/>
        <v>[Link](http://www.therealpresence.org/eucharst/misc/BVM/108_LA_PRENESSAYE_60x96.pdf)</v>
      </c>
      <c r="BR96" s="38" t="str">
        <f t="shared" si="45"/>
        <v/>
      </c>
      <c r="BS96" s="38" t="str">
        <f t="shared" si="46"/>
        <v/>
      </c>
      <c r="BT96" s="38" t="str">
        <f>IF(LEN(concat(BQ96:BS96))&gt;0,concat("| ",BQ96," | ",BR96," | ",BS96," |"),"")</f>
        <v>| [Link](http://www.therealpresence.org/eucharst/misc/BVM/108_LA_PRENESSAYE_60x96.pdf) |  |  |</v>
      </c>
      <c r="BU96" s="37" t="str">
        <f t="shared" si="47"/>
        <v xml:space="preserve">| The Real Presence | Miracle Hunter | MaryPages |_x000D_
| --- | --- | --- |_x000D_
| [Link](http://www.therealpresence.org/eucharst/misc/BVM/108_LA_PRENESSAYE_60x96.pdf) |  |  |_x000D_
</v>
      </c>
      <c r="BV96" s="37" t="str">
        <f>IF(LEN(BP96&amp;BU96)&gt;0,concatll("#### Source Material",BP96,BU96),"")</f>
        <v xml:space="preserve">#### Source Material_x000D_
_x000D_
| The Real Presence | Miracle Hunter | MaryPages |_x000D_
| --- | --- | --- |_x000D_
| [Link](http://www.therealpresence.org/eucharst/misc/BVM/108_LA_PRENESSAYE_60x96.pdf) |  |  |_x000D_
_x000D_
_x000D_
</v>
      </c>
      <c r="BW96" s="37" t="str">
        <f>IF(LEN(O96)&gt;1,concatll("#### Author's Note",O96),"")</f>
        <v/>
      </c>
      <c r="BX96" s="24" t="str">
        <f>IF(AR96,concatll(concatl("---",AS96:AU96,BK96,"---"),N96,BV96:BW96),"")</f>
        <v/>
      </c>
      <c r="BY96" s="24" t="str">
        <f>IF(AR96,VLOOKUP(C96,'(Ref) Countries'!A:B,2,)&amp;IF(LEN(D96)&gt;1,"-"&amp;LOWER(SUBSTITUTE(D96," ","-")),"")&amp;"-"&amp;LOWER(SUBSTITUTE(I96," ","-"))&amp;".md","")</f>
        <v/>
      </c>
      <c r="BZ96" s="37" t="str">
        <f>IF(LEN(AG96)&gt;1,VLOOKUP(AG96,'Tag List'!$A:$B,2,),"")</f>
        <v/>
      </c>
      <c r="CA96" s="37" t="str">
        <f>IF(LEN(AH96)&gt;1,VLOOKUP(AH96,'Tag List'!$A:$B,2,),"")</f>
        <v/>
      </c>
      <c r="CB96" s="37" t="str">
        <f>IF(LEN(AI96)&gt;1,VLOOKUP(AI96,'Tag List'!$A:$B,2,),"")</f>
        <v/>
      </c>
      <c r="CC96" s="38" t="str">
        <f>IF(LEN(AG96)&gt;1,GetTagPage(BZ96,AG96),"")</f>
        <v/>
      </c>
      <c r="CD96" s="38" t="str">
        <f>IF(LEN(AH96)&gt;1,GetTagPage(CA96,AH96),"")</f>
        <v/>
      </c>
      <c r="CE96" s="38" t="str">
        <f>IF(LEN(AI96)&gt;1,GetTagPage(CB96,AI96),"")</f>
        <v/>
      </c>
      <c r="CF96" s="38" t="str">
        <f>"|"&amp;IF(LEN(CC96)&gt;1," "&amp;CC96,"")&amp;IF(LEN(CD96)&gt;1,", "&amp;CD96,"")&amp;IF(LEN(CE96)&gt;1,", "&amp;CE96,"")&amp;" "</f>
        <v xml:space="preserve">| </v>
      </c>
      <c r="CG96" s="38" t="str">
        <f>"| "&amp;IF(AR96,"["&amp;B96&amp;"](/places/"&amp;SUBSTITUTE(BY96,".md","")&amp;")",B96)&amp;" "</f>
        <v xml:space="preserve">| La Prenessaye </v>
      </c>
      <c r="CH96" s="38" t="str">
        <f>"| "&amp;IF(AR96,GetTagPage(C96,VLOOKUP(C96,'(Ref) Countries'!A:C,3,)),C96)&amp; " "</f>
        <v xml:space="preserve">| France </v>
      </c>
      <c r="CI96" s="38" t="str">
        <f>"| "&amp;E96&amp;" "</f>
        <v xml:space="preserve">| 1652 </v>
      </c>
      <c r="CJ96" s="38" t="str">
        <f>"|"&amp;IF(AR96," [Link](/places/"&amp;SUBSTITUTE(BY96,".md","")&amp;")","")&amp;" "</f>
        <v xml:space="preserve">| </v>
      </c>
      <c r="CK96" s="37" t="str">
        <f>"
"&amp;CG96&amp;CH96&amp;CI96&amp;CJ96&amp;BL96&amp;BQ96&amp;BR96&amp;BS96&amp;CF96&amp;"|"</f>
        <v xml:space="preserve">
| La Prenessaye | France | 1652 | [Link](http://www.therealpresence.org/eucharst/misc/BVM/108_LA_PRENESSAYE_60x96.pdf)| |</v>
      </c>
    </row>
    <row r="97" spans="1:89" x14ac:dyDescent="0.25">
      <c r="B97" s="28" t="s">
        <v>1268</v>
      </c>
      <c r="C97" s="29" t="s">
        <v>11</v>
      </c>
      <c r="E97" s="31">
        <v>1655</v>
      </c>
      <c r="J97" s="30" t="s">
        <v>1728</v>
      </c>
      <c r="K97" s="32" t="b">
        <v>1</v>
      </c>
      <c r="L97" s="30" t="b">
        <v>1</v>
      </c>
      <c r="P97" s="30" t="s">
        <v>336</v>
      </c>
      <c r="Q97" s="30" t="s">
        <v>336</v>
      </c>
      <c r="AA97" s="71" t="s">
        <v>271</v>
      </c>
      <c r="AB97" s="30" t="s">
        <v>336</v>
      </c>
      <c r="AC97" s="30" t="s">
        <v>336</v>
      </c>
      <c r="AD97" s="30" t="s">
        <v>336</v>
      </c>
      <c r="AE97" s="30" t="s">
        <v>336</v>
      </c>
      <c r="AF97" s="67" t="s">
        <v>336</v>
      </c>
      <c r="AG97" s="30" t="s">
        <v>336</v>
      </c>
      <c r="AR97" s="36" t="b">
        <f>IF(OR(A97="Done",A97="In Progress"),TRUE)</f>
        <v>0</v>
      </c>
      <c r="AS97" s="37" t="str">
        <f>"title: """&amp;H97&amp;""""</f>
        <v>title: ""</v>
      </c>
      <c r="AT97" s="37" t="str">
        <f>"location: {lat: "&amp;F97&amp;", lng: "&amp;G97&amp;"}"</f>
        <v>location: {lat: , lng: }</v>
      </c>
      <c r="AU97" s="37" t="str">
        <f>"level: "&amp;J97</f>
        <v>level: global</v>
      </c>
      <c r="AV97" s="37" t="str">
        <f>"- "&amp;VLOOKUP(C97,'(Ref) Countries'!A:C,3,)</f>
        <v>- italy</v>
      </c>
      <c r="AW97" s="37" t="str">
        <f t="shared" si="24"/>
        <v/>
      </c>
      <c r="AX97" s="37" t="str">
        <f t="shared" si="25"/>
        <v>- churches</v>
      </c>
      <c r="AY97" s="37" t="str">
        <f t="shared" si="26"/>
        <v>- marian-sites</v>
      </c>
      <c r="AZ97" s="37" t="str">
        <f t="shared" si="27"/>
        <v/>
      </c>
      <c r="BA97" s="37" t="str">
        <f t="shared" si="28"/>
        <v/>
      </c>
      <c r="BB97" s="37" t="str">
        <f t="shared" si="29"/>
        <v/>
      </c>
      <c r="BC97" s="37" t="str">
        <f t="shared" si="30"/>
        <v/>
      </c>
      <c r="BD97" s="37" t="str">
        <f t="shared" si="31"/>
        <v/>
      </c>
      <c r="BE97" s="37" t="str">
        <f t="shared" si="32"/>
        <v/>
      </c>
      <c r="BF97" s="37" t="str">
        <f t="shared" si="33"/>
        <v/>
      </c>
      <c r="BG97" s="37" t="str">
        <f t="shared" si="34"/>
        <v/>
      </c>
      <c r="BH97" s="37" t="str">
        <f t="shared" si="35"/>
        <v/>
      </c>
      <c r="BI97" s="37" t="str">
        <f t="shared" si="36"/>
        <v/>
      </c>
      <c r="BJ97" s="37" t="str">
        <f t="shared" si="37"/>
        <v/>
      </c>
      <c r="BK97" s="37" t="str">
        <f t="shared" si="38"/>
        <v xml:space="preserve">tags:
- italy_x000D_
- churches_x000D_
- marian-sites_x000D_
</v>
      </c>
      <c r="BL97" s="38" t="str">
        <f t="shared" si="39"/>
        <v/>
      </c>
      <c r="BM97" s="38" t="str">
        <f t="shared" si="40"/>
        <v/>
      </c>
      <c r="BN97" s="38" t="str">
        <f t="shared" si="41"/>
        <v/>
      </c>
      <c r="BO97" s="38" t="str">
        <f t="shared" si="42"/>
        <v/>
      </c>
      <c r="BP97" s="38" t="str">
        <f t="shared" si="43"/>
        <v/>
      </c>
      <c r="BQ97" s="38" t="str">
        <f t="shared" si="44"/>
        <v>[Link](http://www.therealpresence.org/eucharst/misc/BVM/08_PIEVE_DI_TAGLIAM_60x96.pdf)</v>
      </c>
      <c r="BR97" s="38" t="str">
        <f t="shared" si="45"/>
        <v/>
      </c>
      <c r="BS97" s="38" t="str">
        <f t="shared" si="46"/>
        <v/>
      </c>
      <c r="BT97" s="38" t="str">
        <f>IF(LEN(concat(BQ97:BS97))&gt;0,concat("| ",BQ97," | ",BR97," | ",BS97," |"),"")</f>
        <v>| [Link](http://www.therealpresence.org/eucharst/misc/BVM/08_PIEVE_DI_TAGLIAM_60x96.pdf) |  |  |</v>
      </c>
      <c r="BU97" s="37" t="str">
        <f t="shared" si="47"/>
        <v xml:space="preserve">| The Real Presence | Miracle Hunter | MaryPages |_x000D_
| --- | --- | --- |_x000D_
| [Link](http://www.therealpresence.org/eucharst/misc/BVM/08_PIEVE_DI_TAGLIAM_60x96.pdf) |  |  |_x000D_
</v>
      </c>
      <c r="BV97" s="37" t="str">
        <f>IF(LEN(BP97&amp;BU97)&gt;0,concatll("#### Source Material",BP97,BU97),"")</f>
        <v xml:space="preserve">#### Source Material_x000D_
_x000D_
| The Real Presence | Miracle Hunter | MaryPages |_x000D_
| --- | --- | --- |_x000D_
| [Link](http://www.therealpresence.org/eucharst/misc/BVM/08_PIEVE_DI_TAGLIAM_60x96.pdf) |  |  |_x000D_
_x000D_
_x000D_
</v>
      </c>
      <c r="BW97" s="37" t="str">
        <f>IF(LEN(O97)&gt;1,concatll("#### Author's Note",O97),"")</f>
        <v/>
      </c>
      <c r="BX97" s="24" t="str">
        <f>IF(AR97,concatll(concatl("---",AS97:AU97,BK97,"---"),N97,BV97:BW97),"")</f>
        <v/>
      </c>
      <c r="BY97" s="24" t="str">
        <f>IF(AR97,VLOOKUP(C97,'(Ref) Countries'!A:B,2,)&amp;IF(LEN(D97)&gt;1,"-"&amp;LOWER(SUBSTITUTE(D97," ","-")),"")&amp;"-"&amp;LOWER(SUBSTITUTE(I97," ","-"))&amp;".md","")</f>
        <v/>
      </c>
      <c r="BZ97" s="37" t="str">
        <f>IF(LEN(AG97)&gt;1,VLOOKUP(AG97,'Tag List'!$A:$B,2,),"")</f>
        <v/>
      </c>
      <c r="CA97" s="37" t="str">
        <f>IF(LEN(AH97)&gt;1,VLOOKUP(AH97,'Tag List'!$A:$B,2,),"")</f>
        <v/>
      </c>
      <c r="CB97" s="37" t="str">
        <f>IF(LEN(AI97)&gt;1,VLOOKUP(AI97,'Tag List'!$A:$B,2,),"")</f>
        <v/>
      </c>
      <c r="CC97" s="38" t="str">
        <f>IF(LEN(AG97)&gt;1,GetTagPage(BZ97,AG97),"")</f>
        <v/>
      </c>
      <c r="CD97" s="38" t="str">
        <f>IF(LEN(AH97)&gt;1,GetTagPage(CA97,AH97),"")</f>
        <v/>
      </c>
      <c r="CE97" s="38" t="str">
        <f>IF(LEN(AI97)&gt;1,GetTagPage(CB97,AI97),"")</f>
        <v/>
      </c>
      <c r="CF97" s="38" t="str">
        <f>"|"&amp;IF(LEN(CC97)&gt;1," "&amp;CC97,"")&amp;IF(LEN(CD97)&gt;1,", "&amp;CD97,"")&amp;IF(LEN(CE97)&gt;1,", "&amp;CE97,"")&amp;" "</f>
        <v xml:space="preserve">| </v>
      </c>
      <c r="CG97" s="38" t="str">
        <f>"| "&amp;IF(AR97,"["&amp;B97&amp;"](/places/"&amp;SUBSTITUTE(BY97,".md","")&amp;")",B97)&amp;" "</f>
        <v xml:space="preserve">| Pieve Di Tagliamento </v>
      </c>
      <c r="CH97" s="38" t="str">
        <f>"| "&amp;IF(AR97,GetTagPage(C97,VLOOKUP(C97,'(Ref) Countries'!A:C,3,)),C97)&amp; " "</f>
        <v xml:space="preserve">| Italy </v>
      </c>
      <c r="CI97" s="38" t="str">
        <f>"| "&amp;E97&amp;" "</f>
        <v xml:space="preserve">| 1655 </v>
      </c>
      <c r="CJ97" s="38" t="str">
        <f>"|"&amp;IF(AR97," [Link](/places/"&amp;SUBSTITUTE(BY97,".md","")&amp;")","")&amp;" "</f>
        <v xml:space="preserve">| </v>
      </c>
      <c r="CK97" s="37" t="str">
        <f>"
"&amp;CG97&amp;CH97&amp;CI97&amp;CJ97&amp;BL97&amp;BQ97&amp;BR97&amp;BS97&amp;CF97&amp;"|"</f>
        <v xml:space="preserve">
| Pieve Di Tagliamento | Italy | 1655 | [Link](http://www.therealpresence.org/eucharst/misc/BVM/08_PIEVE_DI_TAGLIAM_60x96.pdf)| |</v>
      </c>
    </row>
    <row r="98" spans="1:89" ht="76.5" x14ac:dyDescent="0.25">
      <c r="A98" s="25" t="s">
        <v>1324</v>
      </c>
      <c r="B98" s="28" t="s">
        <v>1010</v>
      </c>
      <c r="C98" s="29" t="s">
        <v>557</v>
      </c>
      <c r="E98" s="31" t="s">
        <v>1013</v>
      </c>
      <c r="F98" s="71">
        <v>44.521201599999998</v>
      </c>
      <c r="G98" s="67">
        <v>6.1521160000000004</v>
      </c>
      <c r="H98" s="29" t="s">
        <v>1011</v>
      </c>
      <c r="I98" s="75" t="s">
        <v>1011</v>
      </c>
      <c r="J98" s="30" t="s">
        <v>1728</v>
      </c>
      <c r="K98" s="32" t="b">
        <v>1</v>
      </c>
      <c r="L98" s="30" t="b">
        <v>1</v>
      </c>
      <c r="N98" s="29" t="s">
        <v>468</v>
      </c>
      <c r="O98" s="77" t="s">
        <v>1752</v>
      </c>
      <c r="P98" s="30" t="s">
        <v>419</v>
      </c>
      <c r="Q98" s="30" t="s">
        <v>336</v>
      </c>
      <c r="AA98" s="71" t="s">
        <v>272</v>
      </c>
      <c r="AB98" s="30" t="s">
        <v>336</v>
      </c>
      <c r="AC98" s="30" t="s">
        <v>469</v>
      </c>
      <c r="AD98" s="30" t="s">
        <v>336</v>
      </c>
      <c r="AE98" s="30" t="s">
        <v>470</v>
      </c>
      <c r="AF98" s="67" t="s">
        <v>336</v>
      </c>
      <c r="AG98" s="44" t="s">
        <v>487</v>
      </c>
      <c r="AH98" s="44"/>
      <c r="AI98" s="44"/>
      <c r="AJ98" s="44"/>
      <c r="AK98" s="44"/>
      <c r="AL98" s="44"/>
      <c r="AM98" s="44"/>
      <c r="AN98" s="44"/>
      <c r="AO98" s="44"/>
      <c r="AP98" s="110"/>
      <c r="AR98" s="36" t="b">
        <f>IF(OR(A98="Done",A98="In Progress"),TRUE)</f>
        <v>1</v>
      </c>
      <c r="AS98" s="37" t="str">
        <f>"title: """&amp;H98&amp;""""</f>
        <v>title: "Sanctuary of Our Lady of Laus"</v>
      </c>
      <c r="AT98" s="37" t="str">
        <f>"location: {lat: "&amp;F98&amp;", lng: "&amp;G98&amp;"}"</f>
        <v>location: {lat: 44.5212016, lng: 6.152116}</v>
      </c>
      <c r="AU98" s="37" t="str">
        <f>"level: "&amp;J98</f>
        <v>level: global</v>
      </c>
      <c r="AV98" s="37" t="str">
        <f>"- "&amp;VLOOKUP(C98,'(Ref) Countries'!A:C,3,)</f>
        <v>- france</v>
      </c>
      <c r="AW98" s="37" t="str">
        <f t="shared" si="24"/>
        <v/>
      </c>
      <c r="AX98" s="37" t="str">
        <f t="shared" si="25"/>
        <v>- churches</v>
      </c>
      <c r="AY98" s="37" t="str">
        <f t="shared" si="26"/>
        <v>- marian-sites</v>
      </c>
      <c r="AZ98" s="37" t="str">
        <f t="shared" si="27"/>
        <v/>
      </c>
      <c r="BA98" s="37" t="str">
        <f t="shared" si="28"/>
        <v>- benoite-rencurel</v>
      </c>
      <c r="BB98" s="37" t="str">
        <f t="shared" si="29"/>
        <v/>
      </c>
      <c r="BC98" s="37" t="str">
        <f t="shared" si="30"/>
        <v/>
      </c>
      <c r="BD98" s="37" t="str">
        <f t="shared" si="31"/>
        <v/>
      </c>
      <c r="BE98" s="37" t="str">
        <f t="shared" si="32"/>
        <v/>
      </c>
      <c r="BF98" s="37" t="str">
        <f t="shared" si="33"/>
        <v/>
      </c>
      <c r="BG98" s="37" t="str">
        <f t="shared" si="34"/>
        <v/>
      </c>
      <c r="BH98" s="37" t="str">
        <f t="shared" si="35"/>
        <v/>
      </c>
      <c r="BI98" s="37" t="str">
        <f t="shared" si="36"/>
        <v/>
      </c>
      <c r="BJ98" s="37" t="str">
        <f t="shared" si="37"/>
        <v/>
      </c>
      <c r="BK98" s="37" t="str">
        <f t="shared" si="38"/>
        <v xml:space="preserve">tags:
- france_x000D_
- churches_x000D_
- marian-sites_x000D_
- benoite-rencurel_x000D_
</v>
      </c>
      <c r="BL98" s="38" t="str">
        <f t="shared" si="39"/>
        <v>[Official site](https://www.sanctuaire-notredamedulaus.com/)</v>
      </c>
      <c r="BM98" s="38" t="str">
        <f t="shared" si="40"/>
        <v/>
      </c>
      <c r="BN98" s="38" t="str">
        <f t="shared" si="41"/>
        <v/>
      </c>
      <c r="BO98" s="38" t="str">
        <f t="shared" si="42"/>
        <v/>
      </c>
      <c r="BP98" s="38" t="str">
        <f t="shared" si="43"/>
        <v xml:space="preserve">* [Official site](https://www.sanctuaire-notredamedulaus.com/)
</v>
      </c>
      <c r="BQ98" s="38" t="str">
        <f t="shared" si="44"/>
        <v>[Link](http://www.therealpresence.org/eucharst/misc/BVM/69_LAUS_140x96.pdf)</v>
      </c>
      <c r="BR98" s="38" t="str">
        <f t="shared" si="45"/>
        <v>[Link](https://www.miraclehunter.com/marian_apparitions/approved_apparitions/laus/index.html)</v>
      </c>
      <c r="BS98" s="38" t="str">
        <f t="shared" si="46"/>
        <v>[Link](https://www.marypages.com/laus-(france)-en.html)</v>
      </c>
      <c r="BT98" s="38" t="str">
        <f>IF(LEN(concat(BQ98:BS98))&gt;0,concat("| ",BQ98," | ",BR98," | ",BS98," |"),"")</f>
        <v>| [Link](http://www.therealpresence.org/eucharst/misc/BVM/69_LAUS_140x96.pdf) | [Link](https://www.miraclehunter.com/marian_apparitions/approved_apparitions/laus/index.html) | [Link](https://www.marypages.com/laus-(france)-en.html) |</v>
      </c>
      <c r="BU98" s="37" t="str">
        <f t="shared" si="47"/>
        <v xml:space="preserve">| The Real Presence | Miracle Hunter | MaryPages |_x000D_
| --- | --- | --- |_x000D_
| [Link](http://www.therealpresence.org/eucharst/misc/BVM/69_LAUS_140x96.pdf) | [Link](https://www.miraclehunter.com/marian_apparitions/approved_apparitions/laus/index.html) | [Link](https://www.marypages.com/laus-(france)-en.html) |_x000D_
</v>
      </c>
      <c r="BV98" s="37" t="str">
        <f>IF(LEN(BP98&amp;BU98)&gt;0,concatll("#### Source Material",BP98,BU98),"")</f>
        <v xml:space="preserve">#### Source Material_x000D_
_x000D_
* [Official site](https://www.sanctuaire-notredamedulaus.com/)
_x000D_
_x000D_
| The Real Presence | Miracle Hunter | MaryPages |_x000D_
| --- | --- | --- |_x000D_
| [Link](http://www.therealpresence.org/eucharst/misc/BVM/69_LAUS_140x96.pdf) | [Link](https://www.miraclehunter.com/marian_apparitions/approved_apparitions/laus/index.html) | [Link](https://www.marypages.com/laus-(france)-en.html) |_x000D_
_x000D_
_x000D_
</v>
      </c>
      <c r="BW98" s="37" t="str">
        <f>IF(LEN(O98)&gt;1,concatll("#### Author's Note",O98),"")</f>
        <v xml:space="preserve">#### Author's Note_x000D_
_x000D_
One of the most picturesque apparition sites to visit!  The road between Laus and nearby [La Salette](/places/fr-sanctuary-of-our-lady-of-la-salette) winds through the French Alpine countryside.
-JMM_x000D_
_x000D_
</v>
      </c>
      <c r="BX98" s="24" t="str">
        <f>IF(AR98,concatll(concatl("---",AS98:AU98,BK98,"---"),N98,BV98:BW98),"")</f>
        <v xml:space="preserve">---_x000D_
title: "Sanctuary of Our Lady of Laus"_x000D_
location: {lat: 44.5212016, lng: 6.152116}_x000D_
level: global_x000D_
tags:
- france_x000D_
- churches_x000D_
- marian-sites_x000D_
- benoite-rencurel_x000D_
_x000D_
---_x000D_
_x000D_
_x000D_
Benoite Rencurel, a poor shepherdess, received apparitions from the Virgin Mary from 1664 until her death in 1718.  During the apparitions, the Blessed Mother asked for a church and a house for priests to be built, with the intent of drawing people to greater conversion, especially through the sacrament of penance.  The holy site now draws 120,000 pilgrims annually, and is associated with numerous physical healings._x000D_
_x000D_
#### Source Material_x000D_
_x000D_
* [Official site](https://www.sanctuaire-notredamedulaus.com/)
_x000D_
_x000D_
| The Real Presence | Miracle Hunter | MaryPages |_x000D_
| --- | --- | --- |_x000D_
| [Link](http://www.therealpresence.org/eucharst/misc/BVM/69_LAUS_140x96.pdf) | [Link](https://www.miraclehunter.com/marian_apparitions/approved_apparitions/laus/index.html) | [Link](https://www.marypages.com/laus-(france)-en.html) |_x000D_
_x000D_
_x000D_
_x000D_
_x000D_
#### Author's Note_x000D_
_x000D_
One of the most picturesque apparition sites to visit!  The road between Laus and nearby [La Salette](/places/fr-sanctuary-of-our-lady-of-la-salette) winds through the French Alpine countryside.
-JMM_x000D_
_x000D_
_x000D_
_x000D_
</v>
      </c>
      <c r="BY98" s="24" t="str">
        <f>IF(AR98,VLOOKUP(C98,'(Ref) Countries'!A:B,2,)&amp;IF(LEN(D98)&gt;1,"-"&amp;LOWER(SUBSTITUTE(D98," ","-")),"")&amp;"-"&amp;LOWER(SUBSTITUTE(I98," ","-"))&amp;".md","")</f>
        <v>fr-sanctuary-of-our-lady-of-laus.md</v>
      </c>
      <c r="BZ98" s="46" t="str">
        <f>IF(LEN(AG98)&gt;1,VLOOKUP(AG98,'Tag List'!$A:$B,2,),"")</f>
        <v>? Benoite Rencurel</v>
      </c>
      <c r="CA98" s="46" t="str">
        <f>IF(LEN(AH98)&gt;1,VLOOKUP(AH98,'Tag List'!$A:$B,2,),"")</f>
        <v/>
      </c>
      <c r="CB98" s="46" t="str">
        <f>IF(LEN(AI98)&gt;1,VLOOKUP(AI98,'Tag List'!$A:$B,2,),"")</f>
        <v/>
      </c>
      <c r="CC98" s="38" t="str">
        <f>IF(LEN(AG98)&gt;1,GetTagPage(BZ98,AG98),"")</f>
        <v>[? Benoite Rencurel](/tags/benoite-rencurel)</v>
      </c>
      <c r="CD98" s="38" t="str">
        <f>IF(LEN(AH98)&gt;1,GetTagPage(CA98,AH98),"")</f>
        <v/>
      </c>
      <c r="CE98" s="38" t="str">
        <f>IF(LEN(AI98)&gt;1,GetTagPage(CB98,AI98),"")</f>
        <v/>
      </c>
      <c r="CF98" s="38" t="str">
        <f>"|"&amp;IF(LEN(CC98)&gt;1," "&amp;CC98,"")&amp;IF(LEN(CD98)&gt;1,", "&amp;CD98,"")&amp;IF(LEN(CE98)&gt;1,", "&amp;CE98,"")&amp;" "</f>
        <v xml:space="preserve">| [? Benoite Rencurel](/tags/benoite-rencurel) </v>
      </c>
      <c r="CG98" s="38" t="str">
        <f>"| "&amp;IF(AR98,"["&amp;B98&amp;"](/places/"&amp;SUBSTITUTE(BY98,".md","")&amp;")",B98)&amp;" "</f>
        <v xml:space="preserve">| [Laus](/places/fr-sanctuary-of-our-lady-of-laus) </v>
      </c>
      <c r="CH98" s="38" t="str">
        <f>"| "&amp;IF(AR98,GetTagPage(C98,VLOOKUP(C98,'(Ref) Countries'!A:C,3,)),C98)&amp; " "</f>
        <v xml:space="preserve">| [France](/tags/france) </v>
      </c>
      <c r="CI98" s="38" t="str">
        <f>"| "&amp;E98&amp;" "</f>
        <v xml:space="preserve">| 1664-1718 </v>
      </c>
      <c r="CJ98" s="38" t="str">
        <f>"|"&amp;IF(AR98," [Link](/places/"&amp;SUBSTITUTE(BY98,".md","")&amp;")","")&amp;" "</f>
        <v xml:space="preserve">| [Link](/places/fr-sanctuary-of-our-lady-of-laus) </v>
      </c>
      <c r="CK98" s="37" t="str">
        <f>"
"&amp;CG98&amp;CH98&amp;CI98&amp;CJ98&amp;BL98&amp;BQ98&amp;BR98&amp;BS98&amp;CF98&amp;"|"</f>
        <v xml:space="preserve">
| [Laus](/places/fr-sanctuary-of-our-lady-of-laus) | [France](/tags/france) | 1664-1718 | [Link](/places/fr-sanctuary-of-our-lady-of-laus) [Official site](https://www.sanctuaire-notredamedulaus.com/)[Link](http://www.therealpresence.org/eucharst/misc/BVM/69_LAUS_140x96.pdf)[Link](https://www.miraclehunter.com/marian_apparitions/approved_apparitions/laus/index.html)[Link](https://www.marypages.com/laus-(france)-en.html)| [? Benoite Rencurel](/tags/benoite-rencurel) |</v>
      </c>
    </row>
    <row r="99" spans="1:89" x14ac:dyDescent="0.25">
      <c r="B99" s="28" t="s">
        <v>1269</v>
      </c>
      <c r="C99" s="29" t="s">
        <v>11</v>
      </c>
      <c r="E99" s="31">
        <v>1671</v>
      </c>
      <c r="J99" s="30" t="s">
        <v>1728</v>
      </c>
      <c r="K99" s="32" t="b">
        <v>1</v>
      </c>
      <c r="L99" s="30" t="b">
        <v>1</v>
      </c>
      <c r="P99" s="30" t="s">
        <v>336</v>
      </c>
      <c r="Q99" s="30" t="s">
        <v>336</v>
      </c>
      <c r="AA99" s="71" t="s">
        <v>273</v>
      </c>
      <c r="AB99" s="30" t="s">
        <v>336</v>
      </c>
      <c r="AC99" s="30" t="s">
        <v>336</v>
      </c>
      <c r="AD99" s="30" t="s">
        <v>336</v>
      </c>
      <c r="AE99" s="30" t="s">
        <v>336</v>
      </c>
      <c r="AF99" s="67" t="s">
        <v>336</v>
      </c>
      <c r="AG99" s="30" t="s">
        <v>336</v>
      </c>
      <c r="AR99" s="36" t="b">
        <f>IF(OR(A99="Done",A99="In Progress"),TRUE)</f>
        <v>0</v>
      </c>
      <c r="AS99" s="37" t="str">
        <f>"title: """&amp;H99&amp;""""</f>
        <v>title: ""</v>
      </c>
      <c r="AT99" s="37" t="str">
        <f>"location: {lat: "&amp;F99&amp;", lng: "&amp;G99&amp;"}"</f>
        <v>location: {lat: , lng: }</v>
      </c>
      <c r="AU99" s="37" t="str">
        <f>"level: "&amp;J99</f>
        <v>level: global</v>
      </c>
      <c r="AV99" s="37" t="str">
        <f>"- "&amp;VLOOKUP(C99,'(Ref) Countries'!A:C,3,)</f>
        <v>- italy</v>
      </c>
      <c r="AW99" s="37" t="str">
        <f t="shared" si="24"/>
        <v/>
      </c>
      <c r="AX99" s="37" t="str">
        <f t="shared" si="25"/>
        <v>- churches</v>
      </c>
      <c r="AY99" s="37" t="str">
        <f t="shared" si="26"/>
        <v>- marian-sites</v>
      </c>
      <c r="AZ99" s="37" t="str">
        <f t="shared" si="27"/>
        <v/>
      </c>
      <c r="BA99" s="37" t="str">
        <f t="shared" si="28"/>
        <v/>
      </c>
      <c r="BB99" s="37" t="str">
        <f t="shared" si="29"/>
        <v/>
      </c>
      <c r="BC99" s="37" t="str">
        <f t="shared" si="30"/>
        <v/>
      </c>
      <c r="BD99" s="37" t="str">
        <f t="shared" si="31"/>
        <v/>
      </c>
      <c r="BE99" s="37" t="str">
        <f t="shared" si="32"/>
        <v/>
      </c>
      <c r="BF99" s="37" t="str">
        <f t="shared" si="33"/>
        <v/>
      </c>
      <c r="BG99" s="37" t="str">
        <f t="shared" si="34"/>
        <v/>
      </c>
      <c r="BH99" s="37" t="str">
        <f t="shared" si="35"/>
        <v/>
      </c>
      <c r="BI99" s="37" t="str">
        <f t="shared" si="36"/>
        <v/>
      </c>
      <c r="BJ99" s="37" t="str">
        <f t="shared" si="37"/>
        <v/>
      </c>
      <c r="BK99" s="37" t="str">
        <f t="shared" si="38"/>
        <v xml:space="preserve">tags:
- italy_x000D_
- churches_x000D_
- marian-sites_x000D_
</v>
      </c>
      <c r="BL99" s="38" t="str">
        <f t="shared" si="39"/>
        <v/>
      </c>
      <c r="BM99" s="38" t="str">
        <f t="shared" si="40"/>
        <v/>
      </c>
      <c r="BN99" s="38" t="str">
        <f t="shared" si="41"/>
        <v/>
      </c>
      <c r="BO99" s="38" t="str">
        <f t="shared" si="42"/>
        <v/>
      </c>
      <c r="BP99" s="38" t="str">
        <f t="shared" si="43"/>
        <v/>
      </c>
      <c r="BQ99" s="38" t="str">
        <f t="shared" si="44"/>
        <v>[Link](http://www.therealpresence.org/eucharst/misc/BVM/54_SAN_BARTOLOMEO_60x96.pdf)</v>
      </c>
      <c r="BR99" s="38" t="str">
        <f t="shared" si="45"/>
        <v/>
      </c>
      <c r="BS99" s="38" t="str">
        <f t="shared" si="46"/>
        <v/>
      </c>
      <c r="BT99" s="38" t="str">
        <f>IF(LEN(concat(BQ99:BS99))&gt;0,concat("| ",BQ99," | ",BR99," | ",BS99," |"),"")</f>
        <v>| [Link](http://www.therealpresence.org/eucharst/misc/BVM/54_SAN_BARTOLOMEO_60x96.pdf) |  |  |</v>
      </c>
      <c r="BU99" s="37" t="str">
        <f t="shared" si="47"/>
        <v xml:space="preserve">| The Real Presence | Miracle Hunter | MaryPages |_x000D_
| --- | --- | --- |_x000D_
| [Link](http://www.therealpresence.org/eucharst/misc/BVM/54_SAN_BARTOLOMEO_60x96.pdf) |  |  |_x000D_
</v>
      </c>
      <c r="BV99" s="37" t="str">
        <f>IF(LEN(BP99&amp;BU99)&gt;0,concatll("#### Source Material",BP99,BU99),"")</f>
        <v xml:space="preserve">#### Source Material_x000D_
_x000D_
| The Real Presence | Miracle Hunter | MaryPages |_x000D_
| --- | --- | --- |_x000D_
| [Link](http://www.therealpresence.org/eucharst/misc/BVM/54_SAN_BARTOLOMEO_60x96.pdf) |  |  |_x000D_
_x000D_
_x000D_
</v>
      </c>
      <c r="BW99" s="37" t="str">
        <f>IF(LEN(O99)&gt;1,concatll("#### Author's Note",O99),"")</f>
        <v/>
      </c>
      <c r="BX99" s="24" t="str">
        <f>IF(AR99,concatll(concatl("---",AS99:AU99,BK99,"---"),N99,BV99:BW99),"")</f>
        <v/>
      </c>
      <c r="BY99" s="24" t="str">
        <f>IF(AR99,VLOOKUP(C99,'(Ref) Countries'!A:B,2,)&amp;IF(LEN(D99)&gt;1,"-"&amp;LOWER(SUBSTITUTE(D99," ","-")),"")&amp;"-"&amp;LOWER(SUBSTITUTE(I99," ","-"))&amp;".md","")</f>
        <v/>
      </c>
      <c r="BZ99" s="37" t="str">
        <f>IF(LEN(AG99)&gt;1,VLOOKUP(AG99,'Tag List'!$A:$B,2,),"")</f>
        <v/>
      </c>
      <c r="CA99" s="37" t="str">
        <f>IF(LEN(AH99)&gt;1,VLOOKUP(AH99,'Tag List'!$A:$B,2,),"")</f>
        <v/>
      </c>
      <c r="CB99" s="37" t="str">
        <f>IF(LEN(AI99)&gt;1,VLOOKUP(AI99,'Tag List'!$A:$B,2,),"")</f>
        <v/>
      </c>
      <c r="CC99" s="38" t="str">
        <f>IF(LEN(AG99)&gt;1,GetTagPage(BZ99,AG99),"")</f>
        <v/>
      </c>
      <c r="CD99" s="38" t="str">
        <f>IF(LEN(AH99)&gt;1,GetTagPage(CA99,AH99),"")</f>
        <v/>
      </c>
      <c r="CE99" s="38" t="str">
        <f>IF(LEN(AI99)&gt;1,GetTagPage(CB99,AI99),"")</f>
        <v/>
      </c>
      <c r="CF99" s="38" t="str">
        <f>"|"&amp;IF(LEN(CC99)&gt;1," "&amp;CC99,"")&amp;IF(LEN(CD99)&gt;1,", "&amp;CD99,"")&amp;IF(LEN(CE99)&gt;1,", "&amp;CE99,"")&amp;" "</f>
        <v xml:space="preserve">| </v>
      </c>
      <c r="CG99" s="38" t="str">
        <f>"| "&amp;IF(AR99,"["&amp;B99&amp;"](/places/"&amp;SUBSTITUTE(BY99,".md","")&amp;")",B99)&amp;" "</f>
        <v xml:space="preserve">| San Bartolomeo Al Mare </v>
      </c>
      <c r="CH99" s="38" t="str">
        <f>"| "&amp;IF(AR99,GetTagPage(C99,VLOOKUP(C99,'(Ref) Countries'!A:C,3,)),C99)&amp; " "</f>
        <v xml:space="preserve">| Italy </v>
      </c>
      <c r="CI99" s="38" t="str">
        <f>"| "&amp;E99&amp;" "</f>
        <v xml:space="preserve">| 1671 </v>
      </c>
      <c r="CJ99" s="38" t="str">
        <f>"|"&amp;IF(AR99," [Link](/places/"&amp;SUBSTITUTE(BY99,".md","")&amp;")","")&amp;" "</f>
        <v xml:space="preserve">| </v>
      </c>
      <c r="CK99" s="37" t="str">
        <f>"
"&amp;CG99&amp;CH99&amp;CI99&amp;CJ99&amp;BL99&amp;BQ99&amp;BR99&amp;BS99&amp;CF99&amp;"|"</f>
        <v xml:space="preserve">
| San Bartolomeo Al Mare | Italy | 1671 | [Link](http://www.therealpresence.org/eucharst/misc/BVM/54_SAN_BARTOLOMEO_60x96.pdf)| |</v>
      </c>
    </row>
    <row r="100" spans="1:89" x14ac:dyDescent="0.25">
      <c r="B100" s="28" t="s">
        <v>1270</v>
      </c>
      <c r="C100" s="29" t="s">
        <v>581</v>
      </c>
      <c r="E100" s="31" t="s">
        <v>1141</v>
      </c>
      <c r="J100" s="30" t="s">
        <v>1728</v>
      </c>
      <c r="K100" s="32" t="b">
        <v>1</v>
      </c>
      <c r="L100" s="30" t="b">
        <v>1</v>
      </c>
      <c r="P100" s="30" t="s">
        <v>336</v>
      </c>
      <c r="Q100" s="30" t="s">
        <v>336</v>
      </c>
      <c r="AA100" s="71" t="s">
        <v>274</v>
      </c>
      <c r="AB100" s="30" t="s">
        <v>336</v>
      </c>
      <c r="AC100" s="30" t="s">
        <v>336</v>
      </c>
      <c r="AD100" s="30" t="s">
        <v>336</v>
      </c>
      <c r="AE100" s="30" t="s">
        <v>336</v>
      </c>
      <c r="AF100" s="67" t="s">
        <v>336</v>
      </c>
      <c r="AG100" s="30" t="s">
        <v>336</v>
      </c>
      <c r="AR100" s="36" t="b">
        <f>IF(OR(A100="Done",A100="In Progress"),TRUE)</f>
        <v>0</v>
      </c>
      <c r="AS100" s="37" t="str">
        <f>"title: """&amp;H100&amp;""""</f>
        <v>title: ""</v>
      </c>
      <c r="AT100" s="37" t="str">
        <f>"location: {lat: "&amp;F100&amp;", lng: "&amp;G100&amp;"}"</f>
        <v>location: {lat: , lng: }</v>
      </c>
      <c r="AU100" s="37" t="str">
        <f>"level: "&amp;J100</f>
        <v>level: global</v>
      </c>
      <c r="AV100" s="37" t="str">
        <f>"- "&amp;VLOOKUP(C100,'(Ref) Countries'!A:C,3,)</f>
        <v>- hungary</v>
      </c>
      <c r="AW100" s="37" t="str">
        <f t="shared" si="24"/>
        <v/>
      </c>
      <c r="AX100" s="37" t="str">
        <f t="shared" si="25"/>
        <v>- churches</v>
      </c>
      <c r="AY100" s="37" t="str">
        <f t="shared" si="26"/>
        <v>- marian-sites</v>
      </c>
      <c r="AZ100" s="37" t="str">
        <f t="shared" si="27"/>
        <v/>
      </c>
      <c r="BA100" s="37" t="str">
        <f t="shared" si="28"/>
        <v/>
      </c>
      <c r="BB100" s="37" t="str">
        <f t="shared" si="29"/>
        <v/>
      </c>
      <c r="BC100" s="37" t="str">
        <f t="shared" si="30"/>
        <v/>
      </c>
      <c r="BD100" s="37" t="str">
        <f t="shared" si="31"/>
        <v/>
      </c>
      <c r="BE100" s="37" t="str">
        <f t="shared" si="32"/>
        <v/>
      </c>
      <c r="BF100" s="37" t="str">
        <f t="shared" si="33"/>
        <v/>
      </c>
      <c r="BG100" s="37" t="str">
        <f t="shared" si="34"/>
        <v/>
      </c>
      <c r="BH100" s="37" t="str">
        <f t="shared" si="35"/>
        <v/>
      </c>
      <c r="BI100" s="37" t="str">
        <f t="shared" si="36"/>
        <v/>
      </c>
      <c r="BJ100" s="37" t="str">
        <f t="shared" si="37"/>
        <v/>
      </c>
      <c r="BK100" s="37" t="str">
        <f t="shared" si="38"/>
        <v xml:space="preserve">tags:
- hungary_x000D_
- churches_x000D_
- marian-sites_x000D_
</v>
      </c>
      <c r="BL100" s="38" t="str">
        <f t="shared" si="39"/>
        <v/>
      </c>
      <c r="BM100" s="38" t="str">
        <f t="shared" si="40"/>
        <v/>
      </c>
      <c r="BN100" s="38" t="str">
        <f t="shared" si="41"/>
        <v/>
      </c>
      <c r="BO100" s="38" t="str">
        <f t="shared" si="42"/>
        <v/>
      </c>
      <c r="BP100" s="38" t="str">
        <f t="shared" si="43"/>
        <v/>
      </c>
      <c r="BQ100" s="38" t="str">
        <f t="shared" si="44"/>
        <v>[Link](http://www.therealpresence.org/eucharst/misc/BVM/145_GYOR_96x96.pdf)</v>
      </c>
      <c r="BR100" s="38" t="str">
        <f t="shared" si="45"/>
        <v/>
      </c>
      <c r="BS100" s="38" t="str">
        <f t="shared" si="46"/>
        <v/>
      </c>
      <c r="BT100" s="38" t="str">
        <f>IF(LEN(concat(BQ100:BS100))&gt;0,concat("| ",BQ100," | ",BR100," | ",BS100," |"),"")</f>
        <v>| [Link](http://www.therealpresence.org/eucharst/misc/BVM/145_GYOR_96x96.pdf) |  |  |</v>
      </c>
      <c r="BU100" s="37" t="str">
        <f t="shared" si="47"/>
        <v xml:space="preserve">| The Real Presence | Miracle Hunter | MaryPages |_x000D_
| --- | --- | --- |_x000D_
| [Link](http://www.therealpresence.org/eucharst/misc/BVM/145_GYOR_96x96.pdf) |  |  |_x000D_
</v>
      </c>
      <c r="BV100" s="37" t="str">
        <f>IF(LEN(BP100&amp;BU100)&gt;0,concatll("#### Source Material",BP100,BU100),"")</f>
        <v xml:space="preserve">#### Source Material_x000D_
_x000D_
| The Real Presence | Miracle Hunter | MaryPages |_x000D_
| --- | --- | --- |_x000D_
| [Link](http://www.therealpresence.org/eucharst/misc/BVM/145_GYOR_96x96.pdf) |  |  |_x000D_
_x000D_
_x000D_
</v>
      </c>
      <c r="BW100" s="37" t="str">
        <f>IF(LEN(O100)&gt;1,concatll("#### Author's Note",O100),"")</f>
        <v/>
      </c>
      <c r="BX100" s="24" t="str">
        <f>IF(AR100,concatll(concatl("---",AS100:AU100,BK100,"---"),N100,BV100:BW100),"")</f>
        <v/>
      </c>
      <c r="BY100" s="24" t="str">
        <f>IF(AR100,VLOOKUP(C100,'(Ref) Countries'!A:B,2,)&amp;IF(LEN(D100)&gt;1,"-"&amp;LOWER(SUBSTITUTE(D100," ","-")),"")&amp;"-"&amp;LOWER(SUBSTITUTE(I100," ","-"))&amp;".md","")</f>
        <v/>
      </c>
      <c r="BZ100" s="37" t="str">
        <f>IF(LEN(AG100)&gt;1,VLOOKUP(AG100,'Tag List'!$A:$B,2,),"")</f>
        <v/>
      </c>
      <c r="CA100" s="37" t="str">
        <f>IF(LEN(AH100)&gt;1,VLOOKUP(AH100,'Tag List'!$A:$B,2,),"")</f>
        <v/>
      </c>
      <c r="CB100" s="37" t="str">
        <f>IF(LEN(AI100)&gt;1,VLOOKUP(AI100,'Tag List'!$A:$B,2,),"")</f>
        <v/>
      </c>
      <c r="CC100" s="38" t="str">
        <f>IF(LEN(AG100)&gt;1,GetTagPage(BZ100,AG100),"")</f>
        <v/>
      </c>
      <c r="CD100" s="38" t="str">
        <f>IF(LEN(AH100)&gt;1,GetTagPage(CA100,AH100),"")</f>
        <v/>
      </c>
      <c r="CE100" s="38" t="str">
        <f>IF(LEN(AI100)&gt;1,GetTagPage(CB100,AI100),"")</f>
        <v/>
      </c>
      <c r="CF100" s="38" t="str">
        <f>"|"&amp;IF(LEN(CC100)&gt;1," "&amp;CC100,"")&amp;IF(LEN(CD100)&gt;1,", "&amp;CD100,"")&amp;IF(LEN(CE100)&gt;1,", "&amp;CE100,"")&amp;" "</f>
        <v xml:space="preserve">| </v>
      </c>
      <c r="CG100" s="38" t="str">
        <f>"| "&amp;IF(AR100,"["&amp;B100&amp;"](/places/"&amp;SUBSTITUTE(BY100,".md","")&amp;")",B100)&amp;" "</f>
        <v xml:space="preserve">| Máriapócs and Gyõr </v>
      </c>
      <c r="CH100" s="38" t="str">
        <f>"| "&amp;IF(AR100,GetTagPage(C100,VLOOKUP(C100,'(Ref) Countries'!A:C,3,)),C100)&amp; " "</f>
        <v xml:space="preserve">| Hungary </v>
      </c>
      <c r="CI100" s="38" t="str">
        <f>"| "&amp;E100&amp;" "</f>
        <v xml:space="preserve">| 1696-1697 </v>
      </c>
      <c r="CJ100" s="38" t="str">
        <f>"|"&amp;IF(AR100," [Link](/places/"&amp;SUBSTITUTE(BY100,".md","")&amp;")","")&amp;" "</f>
        <v xml:space="preserve">| </v>
      </c>
      <c r="CK100" s="37" t="str">
        <f>"
"&amp;CG100&amp;CH100&amp;CI100&amp;CJ100&amp;BL100&amp;BQ100&amp;BR100&amp;BS100&amp;CF100&amp;"|"</f>
        <v xml:space="preserve">
| Máriapócs and Gyõr | Hungary | 1696-1697 | [Link](http://www.therealpresence.org/eucharst/misc/BVM/145_GYOR_96x96.pdf)| |</v>
      </c>
    </row>
    <row r="101" spans="1:89" x14ac:dyDescent="0.25">
      <c r="B101" s="28" t="s">
        <v>1271</v>
      </c>
      <c r="C101" s="29" t="s">
        <v>710</v>
      </c>
      <c r="E101" s="31" t="s">
        <v>1142</v>
      </c>
      <c r="J101" s="30" t="s">
        <v>1728</v>
      </c>
      <c r="K101" s="32" t="b">
        <v>1</v>
      </c>
      <c r="L101" s="30" t="b">
        <v>1</v>
      </c>
      <c r="P101" s="30" t="s">
        <v>336</v>
      </c>
      <c r="Q101" s="30" t="s">
        <v>336</v>
      </c>
      <c r="AA101" s="71" t="s">
        <v>275</v>
      </c>
      <c r="AB101" s="30" t="s">
        <v>336</v>
      </c>
      <c r="AC101" s="30" t="s">
        <v>336</v>
      </c>
      <c r="AD101" s="30" t="s">
        <v>336</v>
      </c>
      <c r="AE101" s="30" t="s">
        <v>336</v>
      </c>
      <c r="AF101" s="67" t="s">
        <v>336</v>
      </c>
      <c r="AG101" s="30" t="s">
        <v>336</v>
      </c>
      <c r="AR101" s="36" t="b">
        <f>IF(OR(A101="Done",A101="In Progress"),TRUE)</f>
        <v>0</v>
      </c>
      <c r="AS101" s="37" t="str">
        <f>"title: """&amp;H101&amp;""""</f>
        <v>title: ""</v>
      </c>
      <c r="AT101" s="37" t="str">
        <f>"location: {lat: "&amp;F101&amp;", lng: "&amp;G101&amp;"}"</f>
        <v>location: {lat: , lng: }</v>
      </c>
      <c r="AU101" s="37" t="str">
        <f>"level: "&amp;J101</f>
        <v>level: global</v>
      </c>
      <c r="AV101" s="37" t="str">
        <f>"- "&amp;VLOOKUP(C101,'(Ref) Countries'!A:C,3,)</f>
        <v>- bolivia</v>
      </c>
      <c r="AW101" s="37" t="str">
        <f t="shared" si="24"/>
        <v/>
      </c>
      <c r="AX101" s="37" t="str">
        <f t="shared" si="25"/>
        <v>- churches</v>
      </c>
      <c r="AY101" s="37" t="str">
        <f t="shared" si="26"/>
        <v>- marian-sites</v>
      </c>
      <c r="AZ101" s="37" t="str">
        <f t="shared" si="27"/>
        <v/>
      </c>
      <c r="BA101" s="37" t="str">
        <f t="shared" si="28"/>
        <v/>
      </c>
      <c r="BB101" s="37" t="str">
        <f t="shared" si="29"/>
        <v/>
      </c>
      <c r="BC101" s="37" t="str">
        <f t="shared" si="30"/>
        <v/>
      </c>
      <c r="BD101" s="37" t="str">
        <f t="shared" si="31"/>
        <v/>
      </c>
      <c r="BE101" s="37" t="str">
        <f t="shared" si="32"/>
        <v/>
      </c>
      <c r="BF101" s="37" t="str">
        <f t="shared" si="33"/>
        <v/>
      </c>
      <c r="BG101" s="37" t="str">
        <f t="shared" si="34"/>
        <v/>
      </c>
      <c r="BH101" s="37" t="str">
        <f t="shared" si="35"/>
        <v/>
      </c>
      <c r="BI101" s="37" t="str">
        <f t="shared" si="36"/>
        <v/>
      </c>
      <c r="BJ101" s="37" t="str">
        <f t="shared" si="37"/>
        <v/>
      </c>
      <c r="BK101" s="37" t="str">
        <f t="shared" si="38"/>
        <v xml:space="preserve">tags:
- bolivia_x000D_
- churches_x000D_
- marian-sites_x000D_
</v>
      </c>
      <c r="BL101" s="38" t="str">
        <f t="shared" si="39"/>
        <v/>
      </c>
      <c r="BM101" s="38" t="str">
        <f t="shared" si="40"/>
        <v/>
      </c>
      <c r="BN101" s="38" t="str">
        <f t="shared" si="41"/>
        <v/>
      </c>
      <c r="BO101" s="38" t="str">
        <f t="shared" si="42"/>
        <v/>
      </c>
      <c r="BP101" s="38" t="str">
        <f t="shared" si="43"/>
        <v/>
      </c>
      <c r="BQ101" s="38" t="str">
        <f t="shared" si="44"/>
        <v>[Link](http://www.therealpresence.org/eucharst/misc/BVM/73_COTOCA_60x96.pdf)</v>
      </c>
      <c r="BR101" s="38" t="str">
        <f t="shared" si="45"/>
        <v/>
      </c>
      <c r="BS101" s="38" t="str">
        <f t="shared" si="46"/>
        <v/>
      </c>
      <c r="BT101" s="38" t="str">
        <f>IF(LEN(concat(BQ101:BS101))&gt;0,concat("| ",BQ101," | ",BR101," | ",BS101," |"),"")</f>
        <v>| [Link](http://www.therealpresence.org/eucharst/misc/BVM/73_COTOCA_60x96.pdf) |  |  |</v>
      </c>
      <c r="BU101" s="37" t="str">
        <f t="shared" si="47"/>
        <v xml:space="preserve">| The Real Presence | Miracle Hunter | MaryPages |_x000D_
| --- | --- | --- |_x000D_
| [Link](http://www.therealpresence.org/eucharst/misc/BVM/73_COTOCA_60x96.pdf) |  |  |_x000D_
</v>
      </c>
      <c r="BV101" s="37" t="str">
        <f>IF(LEN(BP101&amp;BU101)&gt;0,concatll("#### Source Material",BP101,BU101),"")</f>
        <v xml:space="preserve">#### Source Material_x000D_
_x000D_
| The Real Presence | Miracle Hunter | MaryPages |_x000D_
| --- | --- | --- |_x000D_
| [Link](http://www.therealpresence.org/eucharst/misc/BVM/73_COTOCA_60x96.pdf) |  |  |_x000D_
_x000D_
_x000D_
</v>
      </c>
      <c r="BW101" s="37" t="str">
        <f>IF(LEN(O101)&gt;1,concatll("#### Author's Note",O101),"")</f>
        <v/>
      </c>
      <c r="BX101" s="24" t="str">
        <f>IF(AR101,concatll(concatl("---",AS101:AU101,BK101,"---"),N101,BV101:BW101),"")</f>
        <v/>
      </c>
      <c r="BY101" s="24" t="str">
        <f>IF(AR101,VLOOKUP(C101,'(Ref) Countries'!A:B,2,)&amp;IF(LEN(D101)&gt;1,"-"&amp;LOWER(SUBSTITUTE(D101," ","-")),"")&amp;"-"&amp;LOWER(SUBSTITUTE(I101," ","-"))&amp;".md","")</f>
        <v/>
      </c>
      <c r="BZ101" s="37" t="str">
        <f>IF(LEN(AG101)&gt;1,VLOOKUP(AG101,'Tag List'!$A:$B,2,),"")</f>
        <v/>
      </c>
      <c r="CA101" s="37" t="str">
        <f>IF(LEN(AH101)&gt;1,VLOOKUP(AH101,'Tag List'!$A:$B,2,),"")</f>
        <v/>
      </c>
      <c r="CB101" s="37" t="str">
        <f>IF(LEN(AI101)&gt;1,VLOOKUP(AI101,'Tag List'!$A:$B,2,),"")</f>
        <v/>
      </c>
      <c r="CC101" s="38" t="str">
        <f>IF(LEN(AG101)&gt;1,GetTagPage(BZ101,AG101),"")</f>
        <v/>
      </c>
      <c r="CD101" s="38" t="str">
        <f>IF(LEN(AH101)&gt;1,GetTagPage(CA101,AH101),"")</f>
        <v/>
      </c>
      <c r="CE101" s="38" t="str">
        <f>IF(LEN(AI101)&gt;1,GetTagPage(CB101,AI101),"")</f>
        <v/>
      </c>
      <c r="CF101" s="38" t="str">
        <f>"|"&amp;IF(LEN(CC101)&gt;1," "&amp;CC101,"")&amp;IF(LEN(CD101)&gt;1,", "&amp;CD101,"")&amp;IF(LEN(CE101)&gt;1,", "&amp;CE101,"")&amp;" "</f>
        <v xml:space="preserve">| </v>
      </c>
      <c r="CG101" s="38" t="str">
        <f>"| "&amp;IF(AR101,"["&amp;B101&amp;"](/places/"&amp;SUBSTITUTE(BY101,".md","")&amp;")",B101)&amp;" "</f>
        <v xml:space="preserve">| Cotoca </v>
      </c>
      <c r="CH101" s="38" t="str">
        <f>"| "&amp;IF(AR101,GetTagPage(C101,VLOOKUP(C101,'(Ref) Countries'!A:C,3,)),C101)&amp; " "</f>
        <v xml:space="preserve">| Bolivia </v>
      </c>
      <c r="CI101" s="38" t="str">
        <f>"| "&amp;E101&amp;" "</f>
        <v xml:space="preserve">| Late 18th Century </v>
      </c>
      <c r="CJ101" s="38" t="str">
        <f>"|"&amp;IF(AR101," [Link](/places/"&amp;SUBSTITUTE(BY101,".md","")&amp;")","")&amp;" "</f>
        <v xml:space="preserve">| </v>
      </c>
      <c r="CK101" s="37" t="str">
        <f>"
"&amp;CG101&amp;CH101&amp;CI101&amp;CJ101&amp;BL101&amp;BQ101&amp;BR101&amp;BS101&amp;CF101&amp;"|"</f>
        <v xml:space="preserve">
| Cotoca | Bolivia | Late 18th Century | [Link](http://www.therealpresence.org/eucharst/misc/BVM/73_COTOCA_60x96.pdf)| |</v>
      </c>
    </row>
    <row r="102" spans="1:89" x14ac:dyDescent="0.25">
      <c r="B102" s="28" t="s">
        <v>1272</v>
      </c>
      <c r="C102" s="29" t="s">
        <v>710</v>
      </c>
      <c r="E102" s="49" t="s">
        <v>1416</v>
      </c>
      <c r="J102" s="30" t="s">
        <v>1728</v>
      </c>
      <c r="K102" s="32" t="b">
        <v>1</v>
      </c>
      <c r="L102" s="30" t="b">
        <v>1</v>
      </c>
      <c r="P102" s="30" t="s">
        <v>336</v>
      </c>
      <c r="Q102" s="30" t="s">
        <v>336</v>
      </c>
      <c r="AA102" s="71" t="s">
        <v>276</v>
      </c>
      <c r="AB102" s="30" t="s">
        <v>336</v>
      </c>
      <c r="AC102" s="30" t="s">
        <v>336</v>
      </c>
      <c r="AD102" s="30" t="s">
        <v>336</v>
      </c>
      <c r="AE102" s="30" t="s">
        <v>336</v>
      </c>
      <c r="AF102" s="67" t="s">
        <v>336</v>
      </c>
      <c r="AG102" s="30" t="s">
        <v>336</v>
      </c>
      <c r="AR102" s="36" t="b">
        <f>IF(OR(A102="Done",A102="In Progress"),TRUE)</f>
        <v>0</v>
      </c>
      <c r="AS102" s="37" t="str">
        <f>"title: """&amp;H102&amp;""""</f>
        <v>title: ""</v>
      </c>
      <c r="AT102" s="37" t="str">
        <f>"location: {lat: "&amp;F102&amp;", lng: "&amp;G102&amp;"}"</f>
        <v>location: {lat: , lng: }</v>
      </c>
      <c r="AU102" s="37" t="str">
        <f>"level: "&amp;J102</f>
        <v>level: global</v>
      </c>
      <c r="AV102" s="37" t="str">
        <f>"- "&amp;VLOOKUP(C102,'(Ref) Countries'!A:C,3,)</f>
        <v>- bolivia</v>
      </c>
      <c r="AW102" s="37" t="str">
        <f t="shared" si="24"/>
        <v/>
      </c>
      <c r="AX102" s="37" t="str">
        <f t="shared" si="25"/>
        <v>- churches</v>
      </c>
      <c r="AY102" s="37" t="str">
        <f t="shared" si="26"/>
        <v>- marian-sites</v>
      </c>
      <c r="AZ102" s="37" t="str">
        <f t="shared" si="27"/>
        <v/>
      </c>
      <c r="BA102" s="37" t="str">
        <f t="shared" si="28"/>
        <v/>
      </c>
      <c r="BB102" s="37" t="str">
        <f t="shared" si="29"/>
        <v/>
      </c>
      <c r="BC102" s="37" t="str">
        <f t="shared" si="30"/>
        <v/>
      </c>
      <c r="BD102" s="37" t="str">
        <f t="shared" si="31"/>
        <v/>
      </c>
      <c r="BE102" s="37" t="str">
        <f t="shared" si="32"/>
        <v/>
      </c>
      <c r="BF102" s="37" t="str">
        <f t="shared" si="33"/>
        <v/>
      </c>
      <c r="BG102" s="37" t="str">
        <f t="shared" si="34"/>
        <v/>
      </c>
      <c r="BH102" s="37" t="str">
        <f t="shared" si="35"/>
        <v/>
      </c>
      <c r="BI102" s="37" t="str">
        <f t="shared" si="36"/>
        <v/>
      </c>
      <c r="BJ102" s="37" t="str">
        <f t="shared" si="37"/>
        <v/>
      </c>
      <c r="BK102" s="37" t="str">
        <f t="shared" si="38"/>
        <v xml:space="preserve">tags:
- bolivia_x000D_
- churches_x000D_
- marian-sites_x000D_
</v>
      </c>
      <c r="BL102" s="38" t="str">
        <f t="shared" si="39"/>
        <v/>
      </c>
      <c r="BM102" s="38" t="str">
        <f t="shared" si="40"/>
        <v/>
      </c>
      <c r="BN102" s="38" t="str">
        <f t="shared" si="41"/>
        <v/>
      </c>
      <c r="BO102" s="38" t="str">
        <f t="shared" si="42"/>
        <v/>
      </c>
      <c r="BP102" s="38" t="str">
        <f t="shared" si="43"/>
        <v/>
      </c>
      <c r="BQ102" s="38" t="str">
        <f t="shared" si="44"/>
        <v>[Link](http://www.therealpresence.org/eucharst/misc/BVM/142_QUILLACOLLO_60x96.pdf)</v>
      </c>
      <c r="BR102" s="38" t="str">
        <f t="shared" si="45"/>
        <v/>
      </c>
      <c r="BS102" s="38" t="str">
        <f t="shared" si="46"/>
        <v/>
      </c>
      <c r="BT102" s="38" t="str">
        <f>IF(LEN(concat(BQ102:BS102))&gt;0,concat("| ",BQ102," | ",BR102," | ",BS102," |"),"")</f>
        <v>| [Link](http://www.therealpresence.org/eucharst/misc/BVM/142_QUILLACOLLO_60x96.pdf) |  |  |</v>
      </c>
      <c r="BU102" s="37" t="str">
        <f t="shared" si="47"/>
        <v xml:space="preserve">| The Real Presence | Miracle Hunter | MaryPages |_x000D_
| --- | --- | --- |_x000D_
| [Link](http://www.therealpresence.org/eucharst/misc/BVM/142_QUILLACOLLO_60x96.pdf) |  |  |_x000D_
</v>
      </c>
      <c r="BV102" s="37" t="str">
        <f>IF(LEN(BP102&amp;BU102)&gt;0,concatll("#### Source Material",BP102,BU102),"")</f>
        <v xml:space="preserve">#### Source Material_x000D_
_x000D_
| The Real Presence | Miracle Hunter | MaryPages |_x000D_
| --- | --- | --- |_x000D_
| [Link](http://www.therealpresence.org/eucharst/misc/BVM/142_QUILLACOLLO_60x96.pdf) |  |  |_x000D_
_x000D_
_x000D_
</v>
      </c>
      <c r="BW102" s="37" t="str">
        <f>IF(LEN(O102)&gt;1,concatll("#### Author's Note",O102),"")</f>
        <v/>
      </c>
      <c r="BX102" s="24" t="str">
        <f>IF(AR102,concatll(concatl("---",AS102:AU102,BK102,"---"),N102,BV102:BW102),"")</f>
        <v/>
      </c>
      <c r="BY102" s="24" t="str">
        <f>IF(AR102,VLOOKUP(C102,'(Ref) Countries'!A:B,2,)&amp;IF(LEN(D102)&gt;1,"-"&amp;LOWER(SUBSTITUTE(D102," ","-")),"")&amp;"-"&amp;LOWER(SUBSTITUTE(I102," ","-"))&amp;".md","")</f>
        <v/>
      </c>
      <c r="BZ102" s="37" t="str">
        <f>IF(LEN(AG102)&gt;1,VLOOKUP(AG102,'Tag List'!$A:$B,2,),"")</f>
        <v/>
      </c>
      <c r="CA102" s="37" t="str">
        <f>IF(LEN(AH102)&gt;1,VLOOKUP(AH102,'Tag List'!$A:$B,2,),"")</f>
        <v/>
      </c>
      <c r="CB102" s="37" t="str">
        <f>IF(LEN(AI102)&gt;1,VLOOKUP(AI102,'Tag List'!$A:$B,2,),"")</f>
        <v/>
      </c>
      <c r="CC102" s="38" t="str">
        <f>IF(LEN(AG102)&gt;1,GetTagPage(BZ102,AG102),"")</f>
        <v/>
      </c>
      <c r="CD102" s="38" t="str">
        <f>IF(LEN(AH102)&gt;1,GetTagPage(CA102,AH102),"")</f>
        <v/>
      </c>
      <c r="CE102" s="38" t="str">
        <f>IF(LEN(AI102)&gt;1,GetTagPage(CB102,AI102),"")</f>
        <v/>
      </c>
      <c r="CF102" s="38" t="str">
        <f>"|"&amp;IF(LEN(CC102)&gt;1," "&amp;CC102,"")&amp;IF(LEN(CD102)&gt;1,", "&amp;CD102,"")&amp;IF(LEN(CE102)&gt;1,", "&amp;CE102,"")&amp;" "</f>
        <v xml:space="preserve">| </v>
      </c>
      <c r="CG102" s="38" t="str">
        <f>"| "&amp;IF(AR102,"["&amp;B102&amp;"](/places/"&amp;SUBSTITUTE(BY102,".md","")&amp;")",B102)&amp;" "</f>
        <v xml:space="preserve">| Quillacollo </v>
      </c>
      <c r="CH102" s="38" t="str">
        <f>"| "&amp;IF(AR102,GetTagPage(C102,VLOOKUP(C102,'(Ref) Countries'!A:C,3,)),C102)&amp; " "</f>
        <v xml:space="preserve">| Bolivia </v>
      </c>
      <c r="CI102" s="38" t="str">
        <f>"| "&amp;E102&amp;" "</f>
        <v xml:space="preserve">| c. 1700 </v>
      </c>
      <c r="CJ102" s="38" t="str">
        <f>"|"&amp;IF(AR102," [Link](/places/"&amp;SUBSTITUTE(BY102,".md","")&amp;")","")&amp;" "</f>
        <v xml:space="preserve">| </v>
      </c>
      <c r="CK102" s="37" t="str">
        <f>"
"&amp;CG102&amp;CH102&amp;CI102&amp;CJ102&amp;BL102&amp;BQ102&amp;BR102&amp;BS102&amp;CF102&amp;"|"</f>
        <v xml:space="preserve">
| Quillacollo | Bolivia | c. 1700 | [Link](http://www.therealpresence.org/eucharst/misc/BVM/142_QUILLACOLLO_60x96.pdf)| |</v>
      </c>
    </row>
    <row r="103" spans="1:89" x14ac:dyDescent="0.25">
      <c r="B103" s="28" t="s">
        <v>1273</v>
      </c>
      <c r="C103" s="29" t="s">
        <v>11</v>
      </c>
      <c r="E103" s="31">
        <v>1716</v>
      </c>
      <c r="J103" s="30" t="s">
        <v>1728</v>
      </c>
      <c r="K103" s="32" t="b">
        <v>1</v>
      </c>
      <c r="L103" s="30" t="b">
        <v>1</v>
      </c>
      <c r="P103" s="30" t="s">
        <v>336</v>
      </c>
      <c r="Q103" s="30" t="s">
        <v>336</v>
      </c>
      <c r="AA103" s="71" t="s">
        <v>277</v>
      </c>
      <c r="AB103" s="30" t="s">
        <v>336</v>
      </c>
      <c r="AC103" s="30" t="s">
        <v>336</v>
      </c>
      <c r="AD103" s="30" t="s">
        <v>336</v>
      </c>
      <c r="AE103" s="30" t="s">
        <v>336</v>
      </c>
      <c r="AF103" s="67" t="s">
        <v>336</v>
      </c>
      <c r="AG103" s="30" t="s">
        <v>336</v>
      </c>
      <c r="AR103" s="36" t="b">
        <f>IF(OR(A103="Done",A103="In Progress"),TRUE)</f>
        <v>0</v>
      </c>
      <c r="AS103" s="37" t="str">
        <f>"title: """&amp;H103&amp;""""</f>
        <v>title: ""</v>
      </c>
      <c r="AT103" s="37" t="str">
        <f>"location: {lat: "&amp;F103&amp;", lng: "&amp;G103&amp;"}"</f>
        <v>location: {lat: , lng: }</v>
      </c>
      <c r="AU103" s="37" t="str">
        <f>"level: "&amp;J103</f>
        <v>level: global</v>
      </c>
      <c r="AV103" s="37" t="str">
        <f>"- "&amp;VLOOKUP(C103,'(Ref) Countries'!A:C,3,)</f>
        <v>- italy</v>
      </c>
      <c r="AW103" s="37" t="str">
        <f t="shared" si="24"/>
        <v/>
      </c>
      <c r="AX103" s="37" t="str">
        <f t="shared" si="25"/>
        <v>- churches</v>
      </c>
      <c r="AY103" s="37" t="str">
        <f t="shared" si="26"/>
        <v>- marian-sites</v>
      </c>
      <c r="AZ103" s="37" t="str">
        <f t="shared" si="27"/>
        <v/>
      </c>
      <c r="BA103" s="37" t="str">
        <f t="shared" si="28"/>
        <v/>
      </c>
      <c r="BB103" s="37" t="str">
        <f t="shared" si="29"/>
        <v/>
      </c>
      <c r="BC103" s="37" t="str">
        <f t="shared" si="30"/>
        <v/>
      </c>
      <c r="BD103" s="37" t="str">
        <f t="shared" si="31"/>
        <v/>
      </c>
      <c r="BE103" s="37" t="str">
        <f t="shared" si="32"/>
        <v/>
      </c>
      <c r="BF103" s="37" t="str">
        <f t="shared" si="33"/>
        <v/>
      </c>
      <c r="BG103" s="37" t="str">
        <f t="shared" si="34"/>
        <v/>
      </c>
      <c r="BH103" s="37" t="str">
        <f t="shared" si="35"/>
        <v/>
      </c>
      <c r="BI103" s="37" t="str">
        <f t="shared" si="36"/>
        <v/>
      </c>
      <c r="BJ103" s="37" t="str">
        <f t="shared" si="37"/>
        <v/>
      </c>
      <c r="BK103" s="37" t="str">
        <f t="shared" si="38"/>
        <v xml:space="preserve">tags:
- italy_x000D_
- churches_x000D_
- marian-sites_x000D_
</v>
      </c>
      <c r="BL103" s="38" t="str">
        <f t="shared" si="39"/>
        <v/>
      </c>
      <c r="BM103" s="38" t="str">
        <f t="shared" si="40"/>
        <v/>
      </c>
      <c r="BN103" s="38" t="str">
        <f t="shared" si="41"/>
        <v/>
      </c>
      <c r="BO103" s="38" t="str">
        <f t="shared" si="42"/>
        <v/>
      </c>
      <c r="BP103" s="38" t="str">
        <f t="shared" si="43"/>
        <v/>
      </c>
      <c r="BQ103" s="38" t="str">
        <f t="shared" si="44"/>
        <v>[Link](http://www.therealpresence.org/eucharst/misc/BVM/130_PELLESTRINA_96x96.pdf)</v>
      </c>
      <c r="BR103" s="38" t="str">
        <f t="shared" si="45"/>
        <v/>
      </c>
      <c r="BS103" s="38" t="str">
        <f t="shared" si="46"/>
        <v/>
      </c>
      <c r="BT103" s="38" t="str">
        <f>IF(LEN(concat(BQ103:BS103))&gt;0,concat("| ",BQ103," | ",BR103," | ",BS103," |"),"")</f>
        <v>| [Link](http://www.therealpresence.org/eucharst/misc/BVM/130_PELLESTRINA_96x96.pdf) |  |  |</v>
      </c>
      <c r="BU103" s="37" t="str">
        <f t="shared" si="47"/>
        <v xml:space="preserve">| The Real Presence | Miracle Hunter | MaryPages |_x000D_
| --- | --- | --- |_x000D_
| [Link](http://www.therealpresence.org/eucharst/misc/BVM/130_PELLESTRINA_96x96.pdf) |  |  |_x000D_
</v>
      </c>
      <c r="BV103" s="37" t="str">
        <f>IF(LEN(BP103&amp;BU103)&gt;0,concatll("#### Source Material",BP103,BU103),"")</f>
        <v xml:space="preserve">#### Source Material_x000D_
_x000D_
| The Real Presence | Miracle Hunter | MaryPages |_x000D_
| --- | --- | --- |_x000D_
| [Link](http://www.therealpresence.org/eucharst/misc/BVM/130_PELLESTRINA_96x96.pdf) |  |  |_x000D_
_x000D_
_x000D_
</v>
      </c>
      <c r="BW103" s="37" t="str">
        <f>IF(LEN(O103)&gt;1,concatll("#### Author's Note",O103),"")</f>
        <v/>
      </c>
      <c r="BX103" s="24" t="str">
        <f>IF(AR103,concatll(concatl("---",AS103:AU103,BK103,"---"),N103,BV103:BW103),"")</f>
        <v/>
      </c>
      <c r="BY103" s="24" t="str">
        <f>IF(AR103,VLOOKUP(C103,'(Ref) Countries'!A:B,2,)&amp;IF(LEN(D103)&gt;1,"-"&amp;LOWER(SUBSTITUTE(D103," ","-")),"")&amp;"-"&amp;LOWER(SUBSTITUTE(I103," ","-"))&amp;".md","")</f>
        <v/>
      </c>
      <c r="BZ103" s="37" t="str">
        <f>IF(LEN(AG103)&gt;1,VLOOKUP(AG103,'Tag List'!$A:$B,2,),"")</f>
        <v/>
      </c>
      <c r="CA103" s="37" t="str">
        <f>IF(LEN(AH103)&gt;1,VLOOKUP(AH103,'Tag List'!$A:$B,2,),"")</f>
        <v/>
      </c>
      <c r="CB103" s="37" t="str">
        <f>IF(LEN(AI103)&gt;1,VLOOKUP(AI103,'Tag List'!$A:$B,2,),"")</f>
        <v/>
      </c>
      <c r="CC103" s="38" t="str">
        <f>IF(LEN(AG103)&gt;1,GetTagPage(BZ103,AG103),"")</f>
        <v/>
      </c>
      <c r="CD103" s="38" t="str">
        <f>IF(LEN(AH103)&gt;1,GetTagPage(CA103,AH103),"")</f>
        <v/>
      </c>
      <c r="CE103" s="38" t="str">
        <f>IF(LEN(AI103)&gt;1,GetTagPage(CB103,AI103),"")</f>
        <v/>
      </c>
      <c r="CF103" s="38" t="str">
        <f>"|"&amp;IF(LEN(CC103)&gt;1," "&amp;CC103,"")&amp;IF(LEN(CD103)&gt;1,", "&amp;CD103,"")&amp;IF(LEN(CE103)&gt;1,", "&amp;CE103,"")&amp;" "</f>
        <v xml:space="preserve">| </v>
      </c>
      <c r="CG103" s="38" t="str">
        <f>"| "&amp;IF(AR103,"["&amp;B103&amp;"](/places/"&amp;SUBSTITUTE(BY103,".md","")&amp;")",B103)&amp;" "</f>
        <v xml:space="preserve">| Pellestrina </v>
      </c>
      <c r="CH103" s="38" t="str">
        <f>"| "&amp;IF(AR103,GetTagPage(C103,VLOOKUP(C103,'(Ref) Countries'!A:C,3,)),C103)&amp; " "</f>
        <v xml:space="preserve">| Italy </v>
      </c>
      <c r="CI103" s="38" t="str">
        <f>"| "&amp;E103&amp;" "</f>
        <v xml:space="preserve">| 1716 </v>
      </c>
      <c r="CJ103" s="38" t="str">
        <f>"|"&amp;IF(AR103," [Link](/places/"&amp;SUBSTITUTE(BY103,".md","")&amp;")","")&amp;" "</f>
        <v xml:space="preserve">| </v>
      </c>
      <c r="CK103" s="37" t="str">
        <f>"
"&amp;CG103&amp;CH103&amp;CI103&amp;CJ103&amp;BL103&amp;BQ103&amp;BR103&amp;BS103&amp;CF103&amp;"|"</f>
        <v xml:space="preserve">
| Pellestrina | Italy | 1716 | [Link](http://www.therealpresence.org/eucharst/misc/BVM/130_PELLESTRINA_96x96.pdf)| |</v>
      </c>
    </row>
    <row r="104" spans="1:89" x14ac:dyDescent="0.25">
      <c r="B104" s="28" t="s">
        <v>1274</v>
      </c>
      <c r="C104" s="29" t="s">
        <v>518</v>
      </c>
      <c r="E104" s="31">
        <v>1717</v>
      </c>
      <c r="J104" s="30" t="s">
        <v>1728</v>
      </c>
      <c r="K104" s="32" t="b">
        <v>1</v>
      </c>
      <c r="L104" s="30" t="b">
        <v>1</v>
      </c>
      <c r="P104" s="30" t="s">
        <v>336</v>
      </c>
      <c r="Q104" s="30" t="s">
        <v>336</v>
      </c>
      <c r="AA104" s="71" t="s">
        <v>278</v>
      </c>
      <c r="AB104" s="30" t="s">
        <v>336</v>
      </c>
      <c r="AC104" s="30" t="s">
        <v>336</v>
      </c>
      <c r="AD104" s="30" t="s">
        <v>336</v>
      </c>
      <c r="AE104" s="30" t="s">
        <v>336</v>
      </c>
      <c r="AF104" s="67" t="s">
        <v>336</v>
      </c>
      <c r="AG104" s="30" t="s">
        <v>336</v>
      </c>
      <c r="AR104" s="36" t="b">
        <f>IF(OR(A104="Done",A104="In Progress"),TRUE)</f>
        <v>0</v>
      </c>
      <c r="AS104" s="37" t="str">
        <f>"title: """&amp;H104&amp;""""</f>
        <v>title: ""</v>
      </c>
      <c r="AT104" s="37" t="str">
        <f>"location: {lat: "&amp;F104&amp;", lng: "&amp;G104&amp;"}"</f>
        <v>location: {lat: , lng: }</v>
      </c>
      <c r="AU104" s="37" t="str">
        <f>"level: "&amp;J104</f>
        <v>level: global</v>
      </c>
      <c r="AV104" s="37" t="str">
        <f>"- "&amp;VLOOKUP(C104,'(Ref) Countries'!A:C,3,)</f>
        <v>- brazil</v>
      </c>
      <c r="AW104" s="37" t="str">
        <f t="shared" si="24"/>
        <v/>
      </c>
      <c r="AX104" s="37" t="str">
        <f t="shared" si="25"/>
        <v>- churches</v>
      </c>
      <c r="AY104" s="37" t="str">
        <f t="shared" si="26"/>
        <v>- marian-sites</v>
      </c>
      <c r="AZ104" s="37" t="str">
        <f t="shared" si="27"/>
        <v/>
      </c>
      <c r="BA104" s="37" t="str">
        <f t="shared" si="28"/>
        <v/>
      </c>
      <c r="BB104" s="37" t="str">
        <f t="shared" si="29"/>
        <v/>
      </c>
      <c r="BC104" s="37" t="str">
        <f t="shared" si="30"/>
        <v/>
      </c>
      <c r="BD104" s="37" t="str">
        <f t="shared" si="31"/>
        <v/>
      </c>
      <c r="BE104" s="37" t="str">
        <f t="shared" si="32"/>
        <v/>
      </c>
      <c r="BF104" s="37" t="str">
        <f t="shared" si="33"/>
        <v/>
      </c>
      <c r="BG104" s="37" t="str">
        <f t="shared" si="34"/>
        <v/>
      </c>
      <c r="BH104" s="37" t="str">
        <f t="shared" si="35"/>
        <v/>
      </c>
      <c r="BI104" s="37" t="str">
        <f t="shared" si="36"/>
        <v/>
      </c>
      <c r="BJ104" s="37" t="str">
        <f t="shared" si="37"/>
        <v/>
      </c>
      <c r="BK104" s="37" t="str">
        <f t="shared" si="38"/>
        <v xml:space="preserve">tags:
- brazil_x000D_
- churches_x000D_
- marian-sites_x000D_
</v>
      </c>
      <c r="BL104" s="38" t="str">
        <f t="shared" si="39"/>
        <v/>
      </c>
      <c r="BM104" s="38" t="str">
        <f t="shared" si="40"/>
        <v/>
      </c>
      <c r="BN104" s="38" t="str">
        <f t="shared" si="41"/>
        <v/>
      </c>
      <c r="BO104" s="38" t="str">
        <f t="shared" si="42"/>
        <v/>
      </c>
      <c r="BP104" s="38" t="str">
        <f t="shared" si="43"/>
        <v/>
      </c>
      <c r="BQ104" s="38" t="str">
        <f t="shared" si="44"/>
        <v>[Link](http://www.therealpresence.org/eucharst/misc/BVM/77_VALE_DO_PARAIBA_60x96.pdf)</v>
      </c>
      <c r="BR104" s="38" t="str">
        <f t="shared" si="45"/>
        <v/>
      </c>
      <c r="BS104" s="38" t="str">
        <f t="shared" si="46"/>
        <v/>
      </c>
      <c r="BT104" s="38" t="str">
        <f>IF(LEN(concat(BQ104:BS104))&gt;0,concat("| ",BQ104," | ",BR104," | ",BS104," |"),"")</f>
        <v>| [Link](http://www.therealpresence.org/eucharst/misc/BVM/77_VALE_DO_PARAIBA_60x96.pdf) |  |  |</v>
      </c>
      <c r="BU104" s="37" t="str">
        <f t="shared" si="47"/>
        <v xml:space="preserve">| The Real Presence | Miracle Hunter | MaryPages |_x000D_
| --- | --- | --- |_x000D_
| [Link](http://www.therealpresence.org/eucharst/misc/BVM/77_VALE_DO_PARAIBA_60x96.pdf) |  |  |_x000D_
</v>
      </c>
      <c r="BV104" s="37" t="str">
        <f>IF(LEN(BP104&amp;BU104)&gt;0,concatll("#### Source Material",BP104,BU104),"")</f>
        <v xml:space="preserve">#### Source Material_x000D_
_x000D_
| The Real Presence | Miracle Hunter | MaryPages |_x000D_
| --- | --- | --- |_x000D_
| [Link](http://www.therealpresence.org/eucharst/misc/BVM/77_VALE_DO_PARAIBA_60x96.pdf) |  |  |_x000D_
_x000D_
_x000D_
</v>
      </c>
      <c r="BW104" s="37" t="str">
        <f>IF(LEN(O104)&gt;1,concatll("#### Author's Note",O104),"")</f>
        <v/>
      </c>
      <c r="BX104" s="24" t="str">
        <f>IF(AR104,concatll(concatl("---",AS104:AU104,BK104,"---"),N104,BV104:BW104),"")</f>
        <v/>
      </c>
      <c r="BY104" s="24" t="str">
        <f>IF(AR104,VLOOKUP(C104,'(Ref) Countries'!A:B,2,)&amp;IF(LEN(D104)&gt;1,"-"&amp;LOWER(SUBSTITUTE(D104," ","-")),"")&amp;"-"&amp;LOWER(SUBSTITUTE(I104," ","-"))&amp;".md","")</f>
        <v/>
      </c>
      <c r="BZ104" s="37" t="str">
        <f>IF(LEN(AG104)&gt;1,VLOOKUP(AG104,'Tag List'!$A:$B,2,),"")</f>
        <v/>
      </c>
      <c r="CA104" s="37" t="str">
        <f>IF(LEN(AH104)&gt;1,VLOOKUP(AH104,'Tag List'!$A:$B,2,),"")</f>
        <v/>
      </c>
      <c r="CB104" s="37" t="str">
        <f>IF(LEN(AI104)&gt;1,VLOOKUP(AI104,'Tag List'!$A:$B,2,),"")</f>
        <v/>
      </c>
      <c r="CC104" s="38" t="str">
        <f>IF(LEN(AG104)&gt;1,GetTagPage(BZ104,AG104),"")</f>
        <v/>
      </c>
      <c r="CD104" s="38" t="str">
        <f>IF(LEN(AH104)&gt;1,GetTagPage(CA104,AH104),"")</f>
        <v/>
      </c>
      <c r="CE104" s="38" t="str">
        <f>IF(LEN(AI104)&gt;1,GetTagPage(CB104,AI104),"")</f>
        <v/>
      </c>
      <c r="CF104" s="38" t="str">
        <f>"|"&amp;IF(LEN(CC104)&gt;1," "&amp;CC104,"")&amp;IF(LEN(CD104)&gt;1,", "&amp;CD104,"")&amp;IF(LEN(CE104)&gt;1,", "&amp;CE104,"")&amp;" "</f>
        <v xml:space="preserve">| </v>
      </c>
      <c r="CG104" s="38" t="str">
        <f>"| "&amp;IF(AR104,"["&amp;B104&amp;"](/places/"&amp;SUBSTITUTE(BY104,".md","")&amp;")",B104)&amp;" "</f>
        <v xml:space="preserve">| Vale Do Paraíba </v>
      </c>
      <c r="CH104" s="38" t="str">
        <f>"| "&amp;IF(AR104,GetTagPage(C104,VLOOKUP(C104,'(Ref) Countries'!A:C,3,)),C104)&amp; " "</f>
        <v xml:space="preserve">| Brazil </v>
      </c>
      <c r="CI104" s="38" t="str">
        <f>"| "&amp;E104&amp;" "</f>
        <v xml:space="preserve">| 1717 </v>
      </c>
      <c r="CJ104" s="38" t="str">
        <f>"|"&amp;IF(AR104," [Link](/places/"&amp;SUBSTITUTE(BY104,".md","")&amp;")","")&amp;" "</f>
        <v xml:space="preserve">| </v>
      </c>
      <c r="CK104" s="37" t="str">
        <f>"
"&amp;CG104&amp;CH104&amp;CI104&amp;CJ104&amp;BL104&amp;BQ104&amp;BR104&amp;BS104&amp;CF104&amp;"|"</f>
        <v xml:space="preserve">
| Vale Do Paraíba | Brazil | 1717 | [Link](http://www.therealpresence.org/eucharst/misc/BVM/77_VALE_DO_PARAIBA_60x96.pdf)| |</v>
      </c>
    </row>
    <row r="105" spans="1:89" x14ac:dyDescent="0.25">
      <c r="B105" s="28" t="s">
        <v>1275</v>
      </c>
      <c r="C105" s="29" t="s">
        <v>11</v>
      </c>
      <c r="E105" s="31" t="s">
        <v>1146</v>
      </c>
      <c r="J105" s="30" t="s">
        <v>1728</v>
      </c>
      <c r="K105" s="32" t="b">
        <v>1</v>
      </c>
      <c r="L105" s="30" t="b">
        <v>1</v>
      </c>
      <c r="P105" s="30" t="s">
        <v>336</v>
      </c>
      <c r="Q105" s="30" t="s">
        <v>336</v>
      </c>
      <c r="AA105" s="71" t="s">
        <v>279</v>
      </c>
      <c r="AB105" s="30" t="s">
        <v>336</v>
      </c>
      <c r="AC105" s="30" t="s">
        <v>336</v>
      </c>
      <c r="AD105" s="30" t="s">
        <v>336</v>
      </c>
      <c r="AE105" s="30" t="s">
        <v>336</v>
      </c>
      <c r="AF105" s="67" t="s">
        <v>336</v>
      </c>
      <c r="AG105" s="30" t="s">
        <v>336</v>
      </c>
      <c r="AR105" s="36" t="b">
        <f>IF(OR(A105="Done",A105="In Progress"),TRUE)</f>
        <v>0</v>
      </c>
      <c r="AS105" s="37" t="str">
        <f>"title: """&amp;H105&amp;""""</f>
        <v>title: ""</v>
      </c>
      <c r="AT105" s="37" t="str">
        <f>"location: {lat: "&amp;F105&amp;", lng: "&amp;G105&amp;"}"</f>
        <v>location: {lat: , lng: }</v>
      </c>
      <c r="AU105" s="37" t="str">
        <f>"level: "&amp;J105</f>
        <v>level: global</v>
      </c>
      <c r="AV105" s="37" t="str">
        <f>"- "&amp;VLOOKUP(C105,'(Ref) Countries'!A:C,3,)</f>
        <v>- italy</v>
      </c>
      <c r="AW105" s="37" t="str">
        <f t="shared" si="24"/>
        <v/>
      </c>
      <c r="AX105" s="37" t="str">
        <f t="shared" si="25"/>
        <v>- churches</v>
      </c>
      <c r="AY105" s="37" t="str">
        <f t="shared" si="26"/>
        <v>- marian-sites</v>
      </c>
      <c r="AZ105" s="37" t="str">
        <f t="shared" si="27"/>
        <v/>
      </c>
      <c r="BA105" s="37" t="str">
        <f t="shared" si="28"/>
        <v/>
      </c>
      <c r="BB105" s="37" t="str">
        <f t="shared" si="29"/>
        <v/>
      </c>
      <c r="BC105" s="37" t="str">
        <f t="shared" si="30"/>
        <v/>
      </c>
      <c r="BD105" s="37" t="str">
        <f t="shared" si="31"/>
        <v/>
      </c>
      <c r="BE105" s="37" t="str">
        <f t="shared" si="32"/>
        <v/>
      </c>
      <c r="BF105" s="37" t="str">
        <f t="shared" si="33"/>
        <v/>
      </c>
      <c r="BG105" s="37" t="str">
        <f t="shared" si="34"/>
        <v/>
      </c>
      <c r="BH105" s="37" t="str">
        <f t="shared" si="35"/>
        <v/>
      </c>
      <c r="BI105" s="37" t="str">
        <f t="shared" si="36"/>
        <v/>
      </c>
      <c r="BJ105" s="37" t="str">
        <f t="shared" si="37"/>
        <v/>
      </c>
      <c r="BK105" s="37" t="str">
        <f t="shared" si="38"/>
        <v xml:space="preserve">tags:
- italy_x000D_
- churches_x000D_
- marian-sites_x000D_
</v>
      </c>
      <c r="BL105" s="38" t="str">
        <f t="shared" si="39"/>
        <v/>
      </c>
      <c r="BM105" s="38" t="str">
        <f t="shared" si="40"/>
        <v/>
      </c>
      <c r="BN105" s="38" t="str">
        <f t="shared" si="41"/>
        <v/>
      </c>
      <c r="BO105" s="38" t="str">
        <f t="shared" si="42"/>
        <v/>
      </c>
      <c r="BP105" s="38" t="str">
        <f t="shared" si="43"/>
        <v/>
      </c>
      <c r="BQ105" s="38" t="str">
        <f t="shared" si="44"/>
        <v>[Link](http://www.therealpresence.org/eucharst/misc/BVM/59_MONTAGNAGA_96x96.pdf)</v>
      </c>
      <c r="BR105" s="38" t="str">
        <f t="shared" si="45"/>
        <v/>
      </c>
      <c r="BS105" s="38" t="str">
        <f t="shared" si="46"/>
        <v/>
      </c>
      <c r="BT105" s="38" t="str">
        <f>IF(LEN(concat(BQ105:BS105))&gt;0,concat("| ",BQ105," | ",BR105," | ",BS105," |"),"")</f>
        <v>| [Link](http://www.therealpresence.org/eucharst/misc/BVM/59_MONTAGNAGA_96x96.pdf) |  |  |</v>
      </c>
      <c r="BU105" s="37" t="str">
        <f t="shared" si="47"/>
        <v xml:space="preserve">| The Real Presence | Miracle Hunter | MaryPages |_x000D_
| --- | --- | --- |_x000D_
| [Link](http://www.therealpresence.org/eucharst/misc/BVM/59_MONTAGNAGA_96x96.pdf) |  |  |_x000D_
</v>
      </c>
      <c r="BV105" s="37" t="str">
        <f>IF(LEN(BP105&amp;BU105)&gt;0,concatll("#### Source Material",BP105,BU105),"")</f>
        <v xml:space="preserve">#### Source Material_x000D_
_x000D_
| The Real Presence | Miracle Hunter | MaryPages |_x000D_
| --- | --- | --- |_x000D_
| [Link](http://www.therealpresence.org/eucharst/misc/BVM/59_MONTAGNAGA_96x96.pdf) |  |  |_x000D_
_x000D_
_x000D_
</v>
      </c>
      <c r="BW105" s="37" t="str">
        <f>IF(LEN(O105)&gt;1,concatll("#### Author's Note",O105),"")</f>
        <v/>
      </c>
      <c r="BX105" s="24" t="str">
        <f>IF(AR105,concatll(concatl("---",AS105:AU105,BK105,"---"),N105,BV105:BW105),"")</f>
        <v/>
      </c>
      <c r="BY105" s="24" t="str">
        <f>IF(AR105,VLOOKUP(C105,'(Ref) Countries'!A:B,2,)&amp;IF(LEN(D105)&gt;1,"-"&amp;LOWER(SUBSTITUTE(D105," ","-")),"")&amp;"-"&amp;LOWER(SUBSTITUTE(I105," ","-"))&amp;".md","")</f>
        <v/>
      </c>
      <c r="BZ105" s="37" t="str">
        <f>IF(LEN(AG105)&gt;1,VLOOKUP(AG105,'Tag List'!$A:$B,2,),"")</f>
        <v/>
      </c>
      <c r="CA105" s="37" t="str">
        <f>IF(LEN(AH105)&gt;1,VLOOKUP(AH105,'Tag List'!$A:$B,2,),"")</f>
        <v/>
      </c>
      <c r="CB105" s="37" t="str">
        <f>IF(LEN(AI105)&gt;1,VLOOKUP(AI105,'Tag List'!$A:$B,2,),"")</f>
        <v/>
      </c>
      <c r="CC105" s="38" t="str">
        <f>IF(LEN(AG105)&gt;1,GetTagPage(BZ105,AG105),"")</f>
        <v/>
      </c>
      <c r="CD105" s="38" t="str">
        <f>IF(LEN(AH105)&gt;1,GetTagPage(CA105,AH105),"")</f>
        <v/>
      </c>
      <c r="CE105" s="38" t="str">
        <f>IF(LEN(AI105)&gt;1,GetTagPage(CB105,AI105),"")</f>
        <v/>
      </c>
      <c r="CF105" s="38" t="str">
        <f>"|"&amp;IF(LEN(CC105)&gt;1," "&amp;CC105,"")&amp;IF(LEN(CD105)&gt;1,", "&amp;CD105,"")&amp;IF(LEN(CE105)&gt;1,", "&amp;CE105,"")&amp;" "</f>
        <v xml:space="preserve">| </v>
      </c>
      <c r="CG105" s="38" t="str">
        <f>"| "&amp;IF(AR105,"["&amp;B105&amp;"](/places/"&amp;SUBSTITUTE(BY105,".md","")&amp;")",B105)&amp;" "</f>
        <v xml:space="preserve">| Montagnaga Di Pine’ </v>
      </c>
      <c r="CH105" s="38" t="str">
        <f>"| "&amp;IF(AR105,GetTagPage(C105,VLOOKUP(C105,'(Ref) Countries'!A:C,3,)),C105)&amp; " "</f>
        <v xml:space="preserve">| Italy </v>
      </c>
      <c r="CI105" s="38" t="str">
        <f>"| "&amp;E105&amp;" "</f>
        <v xml:space="preserve">| 1729-1730 </v>
      </c>
      <c r="CJ105" s="38" t="str">
        <f>"|"&amp;IF(AR105," [Link](/places/"&amp;SUBSTITUTE(BY105,".md","")&amp;")","")&amp;" "</f>
        <v xml:space="preserve">| </v>
      </c>
      <c r="CK105" s="37" t="str">
        <f>"
"&amp;CG105&amp;CH105&amp;CI105&amp;CJ105&amp;BL105&amp;BQ105&amp;BR105&amp;BS105&amp;CF105&amp;"|"</f>
        <v xml:space="preserve">
| Montagnaga Di Pine’ | Italy | 1729-1730 | [Link](http://www.therealpresence.org/eucharst/misc/BVM/59_MONTAGNAGA_96x96.pdf)| |</v>
      </c>
    </row>
    <row r="106" spans="1:89" x14ac:dyDescent="0.25">
      <c r="B106" s="28" t="s">
        <v>1314</v>
      </c>
      <c r="C106" s="29" t="s">
        <v>11</v>
      </c>
      <c r="D106" s="43" t="s">
        <v>1005</v>
      </c>
      <c r="E106" s="31">
        <v>1740</v>
      </c>
      <c r="J106" s="30" t="s">
        <v>1728</v>
      </c>
      <c r="K106" s="32" t="b">
        <v>1</v>
      </c>
      <c r="L106" s="30" t="b">
        <v>1</v>
      </c>
      <c r="P106" s="30" t="s">
        <v>336</v>
      </c>
      <c r="Q106" s="30" t="s">
        <v>336</v>
      </c>
      <c r="AA106" s="71" t="s">
        <v>280</v>
      </c>
      <c r="AB106" s="30" t="s">
        <v>336</v>
      </c>
      <c r="AC106" s="30" t="s">
        <v>336</v>
      </c>
      <c r="AD106" s="30" t="s">
        <v>336</v>
      </c>
      <c r="AE106" s="30" t="s">
        <v>336</v>
      </c>
      <c r="AF106" s="67" t="s">
        <v>336</v>
      </c>
      <c r="AG106" s="47"/>
      <c r="AR106" s="36" t="b">
        <f>IF(OR(A106="Done",A106="In Progress"),TRUE)</f>
        <v>0</v>
      </c>
      <c r="AS106" s="37" t="str">
        <f>"title: """&amp;H106&amp;""""</f>
        <v>title: ""</v>
      </c>
      <c r="AT106" s="37" t="str">
        <f>"location: {lat: "&amp;F106&amp;", lng: "&amp;G106&amp;"}"</f>
        <v>location: {lat: , lng: }</v>
      </c>
      <c r="AU106" s="37" t="str">
        <f>"level: "&amp;J106</f>
        <v>level: global</v>
      </c>
      <c r="AV106" s="37" t="str">
        <f>"- "&amp;VLOOKUP(C106,'(Ref) Countries'!A:C,3,)</f>
        <v>- italy</v>
      </c>
      <c r="AW106" s="37" t="str">
        <f t="shared" si="24"/>
        <v>- rome</v>
      </c>
      <c r="AX106" s="37" t="str">
        <f t="shared" si="25"/>
        <v>- churches</v>
      </c>
      <c r="AY106" s="37" t="str">
        <f t="shared" si="26"/>
        <v>- marian-sites</v>
      </c>
      <c r="AZ106" s="37" t="str">
        <f t="shared" si="27"/>
        <v/>
      </c>
      <c r="BA106" s="37" t="str">
        <f t="shared" si="28"/>
        <v/>
      </c>
      <c r="BB106" s="37" t="str">
        <f t="shared" si="29"/>
        <v/>
      </c>
      <c r="BC106" s="37" t="str">
        <f t="shared" si="30"/>
        <v/>
      </c>
      <c r="BD106" s="37" t="str">
        <f t="shared" si="31"/>
        <v/>
      </c>
      <c r="BE106" s="37" t="str">
        <f t="shared" si="32"/>
        <v/>
      </c>
      <c r="BF106" s="37" t="str">
        <f t="shared" si="33"/>
        <v/>
      </c>
      <c r="BG106" s="37" t="str">
        <f t="shared" si="34"/>
        <v/>
      </c>
      <c r="BH106" s="37" t="str">
        <f t="shared" si="35"/>
        <v/>
      </c>
      <c r="BI106" s="37" t="str">
        <f t="shared" si="36"/>
        <v/>
      </c>
      <c r="BJ106" s="37" t="str">
        <f t="shared" si="37"/>
        <v/>
      </c>
      <c r="BK106" s="37" t="str">
        <f t="shared" si="38"/>
        <v xml:space="preserve">tags:
- italy_x000D_
- rome_x000D_
- churches_x000D_
- marian-sites_x000D_
</v>
      </c>
      <c r="BL106" s="38" t="str">
        <f t="shared" si="39"/>
        <v/>
      </c>
      <c r="BM106" s="38" t="str">
        <f t="shared" si="40"/>
        <v/>
      </c>
      <c r="BN106" s="38" t="str">
        <f t="shared" si="41"/>
        <v/>
      </c>
      <c r="BO106" s="38" t="str">
        <f t="shared" si="42"/>
        <v/>
      </c>
      <c r="BP106" s="38" t="str">
        <f t="shared" si="43"/>
        <v/>
      </c>
      <c r="BQ106" s="38" t="str">
        <f t="shared" si="44"/>
        <v>[Link](http://www.therealpresence.org/eucharst/misc/BVM/17_DIVINO_AMORE_60x96.pdf)</v>
      </c>
      <c r="BR106" s="38" t="str">
        <f t="shared" si="45"/>
        <v/>
      </c>
      <c r="BS106" s="38" t="str">
        <f t="shared" si="46"/>
        <v/>
      </c>
      <c r="BT106" s="38" t="str">
        <f>IF(LEN(concat(BQ106:BS106))&gt;0,concat("| ",BQ106," | ",BR106," | ",BS106," |"),"")</f>
        <v>| [Link](http://www.therealpresence.org/eucharst/misc/BVM/17_DIVINO_AMORE_60x96.pdf) |  |  |</v>
      </c>
      <c r="BU106" s="37" t="str">
        <f t="shared" si="47"/>
        <v xml:space="preserve">| The Real Presence | Miracle Hunter | MaryPages |_x000D_
| --- | --- | --- |_x000D_
| [Link](http://www.therealpresence.org/eucharst/misc/BVM/17_DIVINO_AMORE_60x96.pdf) |  |  |_x000D_
</v>
      </c>
      <c r="BV106" s="37" t="str">
        <f>IF(LEN(BP106&amp;BU106)&gt;0,concatll("#### Source Material",BP106,BU106),"")</f>
        <v xml:space="preserve">#### Source Material_x000D_
_x000D_
| The Real Presence | Miracle Hunter | MaryPages |_x000D_
| --- | --- | --- |_x000D_
| [Link](http://www.therealpresence.org/eucharst/misc/BVM/17_DIVINO_AMORE_60x96.pdf) |  |  |_x000D_
_x000D_
_x000D_
</v>
      </c>
      <c r="BW106" s="37" t="str">
        <f>IF(LEN(O106)&gt;1,concatll("#### Author's Note",O106),"")</f>
        <v/>
      </c>
      <c r="BX106" s="24" t="str">
        <f>IF(AR106,concatll(concatl("---",AS106:AU106,BK106,"---"),N106,BV106:BW106),"")</f>
        <v/>
      </c>
      <c r="BY106" s="24" t="str">
        <f>IF(AR106,VLOOKUP(C106,'(Ref) Countries'!A:B,2,)&amp;IF(LEN(D106)&gt;1,"-"&amp;LOWER(SUBSTITUTE(D106," ","-")),"")&amp;"-"&amp;LOWER(SUBSTITUTE(I106," ","-"))&amp;".md","")</f>
        <v/>
      </c>
      <c r="BZ106" s="37" t="str">
        <f>IF(LEN(AG106)&gt;1,VLOOKUP(AG106,'Tag List'!$A:$B,2,),"")</f>
        <v/>
      </c>
      <c r="CA106" s="37" t="str">
        <f>IF(LEN(AH106)&gt;1,VLOOKUP(AH106,'Tag List'!$A:$B,2,),"")</f>
        <v/>
      </c>
      <c r="CB106" s="37" t="str">
        <f>IF(LEN(AI106)&gt;1,VLOOKUP(AI106,'Tag List'!$A:$B,2,),"")</f>
        <v/>
      </c>
      <c r="CC106" s="38" t="str">
        <f>IF(LEN(AG106)&gt;1,GetTagPage(BZ106,AG106),"")</f>
        <v/>
      </c>
      <c r="CD106" s="38" t="str">
        <f>IF(LEN(AH106)&gt;1,GetTagPage(CA106,AH106),"")</f>
        <v/>
      </c>
      <c r="CE106" s="38" t="str">
        <f>IF(LEN(AI106)&gt;1,GetTagPage(CB106,AI106),"")</f>
        <v/>
      </c>
      <c r="CF106" s="38" t="str">
        <f>"|"&amp;IF(LEN(CC106)&gt;1," "&amp;CC106,"")&amp;IF(LEN(CD106)&gt;1,", "&amp;CD106,"")&amp;IF(LEN(CE106)&gt;1,", "&amp;CE106,"")&amp;" "</f>
        <v xml:space="preserve">| </v>
      </c>
      <c r="CG106" s="38" t="str">
        <f>"| "&amp;IF(AR106,"["&amp;B106&amp;"](/places/"&amp;SUBSTITUTE(BY106,".md","")&amp;")",B106)&amp;" "</f>
        <v xml:space="preserve">| Rome (Our Lady of Divine Love) </v>
      </c>
      <c r="CH106" s="38" t="str">
        <f>"| "&amp;IF(AR106,GetTagPage(C106,VLOOKUP(C106,'(Ref) Countries'!A:C,3,)),C106)&amp; " "</f>
        <v xml:space="preserve">| Italy </v>
      </c>
      <c r="CI106" s="38" t="str">
        <f>"| "&amp;E106&amp;" "</f>
        <v xml:space="preserve">| 1740 </v>
      </c>
      <c r="CJ106" s="38" t="str">
        <f>"|"&amp;IF(AR106," [Link](/places/"&amp;SUBSTITUTE(BY106,".md","")&amp;")","")&amp;" "</f>
        <v xml:space="preserve">| </v>
      </c>
      <c r="CK106" s="37" t="str">
        <f>"
"&amp;CG106&amp;CH106&amp;CI106&amp;CJ106&amp;BL106&amp;BQ106&amp;BR106&amp;BS106&amp;CF106&amp;"|"</f>
        <v xml:space="preserve">
| Rome (Our Lady of Divine Love) | Italy | 1740 | [Link](http://www.therealpresence.org/eucharst/misc/BVM/17_DIVINO_AMORE_60x96.pdf)| |</v>
      </c>
    </row>
    <row r="107" spans="1:89" x14ac:dyDescent="0.25">
      <c r="B107" s="28" t="s">
        <v>1276</v>
      </c>
      <c r="C107" s="29" t="s">
        <v>710</v>
      </c>
      <c r="E107" s="31">
        <v>1750</v>
      </c>
      <c r="J107" s="30" t="s">
        <v>1728</v>
      </c>
      <c r="K107" s="32" t="b">
        <v>1</v>
      </c>
      <c r="L107" s="30" t="b">
        <v>1</v>
      </c>
      <c r="P107" s="30" t="s">
        <v>336</v>
      </c>
      <c r="Q107" s="30" t="s">
        <v>336</v>
      </c>
      <c r="AA107" s="71" t="s">
        <v>281</v>
      </c>
      <c r="AB107" s="30" t="s">
        <v>336</v>
      </c>
      <c r="AC107" s="30" t="s">
        <v>336</v>
      </c>
      <c r="AD107" s="30" t="s">
        <v>336</v>
      </c>
      <c r="AE107" s="30" t="s">
        <v>336</v>
      </c>
      <c r="AF107" s="67" t="s">
        <v>336</v>
      </c>
      <c r="AG107" s="30" t="s">
        <v>336</v>
      </c>
      <c r="AR107" s="36" t="b">
        <f>IF(OR(A107="Done",A107="In Progress"),TRUE)</f>
        <v>0</v>
      </c>
      <c r="AS107" s="37" t="str">
        <f>"title: """&amp;H107&amp;""""</f>
        <v>title: ""</v>
      </c>
      <c r="AT107" s="37" t="str">
        <f>"location: {lat: "&amp;F107&amp;", lng: "&amp;G107&amp;"}"</f>
        <v>location: {lat: , lng: }</v>
      </c>
      <c r="AU107" s="37" t="str">
        <f>"level: "&amp;J107</f>
        <v>level: global</v>
      </c>
      <c r="AV107" s="37" t="str">
        <f>"- "&amp;VLOOKUP(C107,'(Ref) Countries'!A:C,3,)</f>
        <v>- bolivia</v>
      </c>
      <c r="AW107" s="37" t="str">
        <f t="shared" si="24"/>
        <v/>
      </c>
      <c r="AX107" s="37" t="str">
        <f t="shared" si="25"/>
        <v>- churches</v>
      </c>
      <c r="AY107" s="37" t="str">
        <f t="shared" si="26"/>
        <v>- marian-sites</v>
      </c>
      <c r="AZ107" s="37" t="str">
        <f t="shared" si="27"/>
        <v/>
      </c>
      <c r="BA107" s="37" t="str">
        <f t="shared" si="28"/>
        <v/>
      </c>
      <c r="BB107" s="37" t="str">
        <f t="shared" si="29"/>
        <v/>
      </c>
      <c r="BC107" s="37" t="str">
        <f t="shared" si="30"/>
        <v/>
      </c>
      <c r="BD107" s="37" t="str">
        <f t="shared" si="31"/>
        <v/>
      </c>
      <c r="BE107" s="37" t="str">
        <f t="shared" si="32"/>
        <v/>
      </c>
      <c r="BF107" s="37" t="str">
        <f t="shared" si="33"/>
        <v/>
      </c>
      <c r="BG107" s="37" t="str">
        <f t="shared" si="34"/>
        <v/>
      </c>
      <c r="BH107" s="37" t="str">
        <f t="shared" si="35"/>
        <v/>
      </c>
      <c r="BI107" s="37" t="str">
        <f t="shared" si="36"/>
        <v/>
      </c>
      <c r="BJ107" s="37" t="str">
        <f t="shared" si="37"/>
        <v/>
      </c>
      <c r="BK107" s="37" t="str">
        <f t="shared" si="38"/>
        <v xml:space="preserve">tags:
- bolivia_x000D_
- churches_x000D_
- marian-sites_x000D_
</v>
      </c>
      <c r="BL107" s="38" t="str">
        <f t="shared" si="39"/>
        <v/>
      </c>
      <c r="BM107" s="38" t="str">
        <f t="shared" si="40"/>
        <v/>
      </c>
      <c r="BN107" s="38" t="str">
        <f t="shared" si="41"/>
        <v/>
      </c>
      <c r="BO107" s="38" t="str">
        <f t="shared" si="42"/>
        <v/>
      </c>
      <c r="BP107" s="38" t="str">
        <f t="shared" si="43"/>
        <v/>
      </c>
      <c r="BQ107" s="38" t="str">
        <f t="shared" si="44"/>
        <v>[Link](http://www.therealpresence.org/eucharst/misc/BVM/95_CHAGUAYA_60x96.pdf)</v>
      </c>
      <c r="BR107" s="38" t="str">
        <f t="shared" si="45"/>
        <v/>
      </c>
      <c r="BS107" s="38" t="str">
        <f t="shared" si="46"/>
        <v/>
      </c>
      <c r="BT107" s="38" t="str">
        <f>IF(LEN(concat(BQ107:BS107))&gt;0,concat("| ",BQ107," | ",BR107," | ",BS107," |"),"")</f>
        <v>| [Link](http://www.therealpresence.org/eucharst/misc/BVM/95_CHAGUAYA_60x96.pdf) |  |  |</v>
      </c>
      <c r="BU107" s="37" t="str">
        <f t="shared" si="47"/>
        <v xml:space="preserve">| The Real Presence | Miracle Hunter | MaryPages |_x000D_
| --- | --- | --- |_x000D_
| [Link](http://www.therealpresence.org/eucharst/misc/BVM/95_CHAGUAYA_60x96.pdf) |  |  |_x000D_
</v>
      </c>
      <c r="BV107" s="37" t="str">
        <f>IF(LEN(BP107&amp;BU107)&gt;0,concatll("#### Source Material",BP107,BU107),"")</f>
        <v xml:space="preserve">#### Source Material_x000D_
_x000D_
| The Real Presence | Miracle Hunter | MaryPages |_x000D_
| --- | --- | --- |_x000D_
| [Link](http://www.therealpresence.org/eucharst/misc/BVM/95_CHAGUAYA_60x96.pdf) |  |  |_x000D_
_x000D_
_x000D_
</v>
      </c>
      <c r="BW107" s="37" t="str">
        <f>IF(LEN(O107)&gt;1,concatll("#### Author's Note",O107),"")</f>
        <v/>
      </c>
      <c r="BX107" s="24" t="str">
        <f>IF(AR107,concatll(concatl("---",AS107:AU107,BK107,"---"),N107,BV107:BW107),"")</f>
        <v/>
      </c>
      <c r="BY107" s="24" t="str">
        <f>IF(AR107,VLOOKUP(C107,'(Ref) Countries'!A:B,2,)&amp;IF(LEN(D107)&gt;1,"-"&amp;LOWER(SUBSTITUTE(D107," ","-")),"")&amp;"-"&amp;LOWER(SUBSTITUTE(I107," ","-"))&amp;".md","")</f>
        <v/>
      </c>
      <c r="BZ107" s="37" t="str">
        <f>IF(LEN(AG107)&gt;1,VLOOKUP(AG107,'Tag List'!$A:$B,2,),"")</f>
        <v/>
      </c>
      <c r="CA107" s="37" t="str">
        <f>IF(LEN(AH107)&gt;1,VLOOKUP(AH107,'Tag List'!$A:$B,2,),"")</f>
        <v/>
      </c>
      <c r="CB107" s="37" t="str">
        <f>IF(LEN(AI107)&gt;1,VLOOKUP(AI107,'Tag List'!$A:$B,2,),"")</f>
        <v/>
      </c>
      <c r="CC107" s="38" t="str">
        <f>IF(LEN(AG107)&gt;1,GetTagPage(BZ107,AG107),"")</f>
        <v/>
      </c>
      <c r="CD107" s="38" t="str">
        <f>IF(LEN(AH107)&gt;1,GetTagPage(CA107,AH107),"")</f>
        <v/>
      </c>
      <c r="CE107" s="38" t="str">
        <f>IF(LEN(AI107)&gt;1,GetTagPage(CB107,AI107),"")</f>
        <v/>
      </c>
      <c r="CF107" s="38" t="str">
        <f>"|"&amp;IF(LEN(CC107)&gt;1," "&amp;CC107,"")&amp;IF(LEN(CD107)&gt;1,", "&amp;CD107,"")&amp;IF(LEN(CE107)&gt;1,", "&amp;CE107,"")&amp;" "</f>
        <v xml:space="preserve">| </v>
      </c>
      <c r="CG107" s="38" t="str">
        <f>"| "&amp;IF(AR107,"["&amp;B107&amp;"](/places/"&amp;SUBSTITUTE(BY107,".md","")&amp;")",B107)&amp;" "</f>
        <v xml:space="preserve">| Chaguaya </v>
      </c>
      <c r="CH107" s="38" t="str">
        <f>"| "&amp;IF(AR107,GetTagPage(C107,VLOOKUP(C107,'(Ref) Countries'!A:C,3,)),C107)&amp; " "</f>
        <v xml:space="preserve">| Bolivia </v>
      </c>
      <c r="CI107" s="38" t="str">
        <f>"| "&amp;E107&amp;" "</f>
        <v xml:space="preserve">| 1750 </v>
      </c>
      <c r="CJ107" s="38" t="str">
        <f>"|"&amp;IF(AR107," [Link](/places/"&amp;SUBSTITUTE(BY107,".md","")&amp;")","")&amp;" "</f>
        <v xml:space="preserve">| </v>
      </c>
      <c r="CK107" s="37" t="str">
        <f>"
"&amp;CG107&amp;CH107&amp;CI107&amp;CJ107&amp;BL107&amp;BQ107&amp;BR107&amp;BS107&amp;CF107&amp;"|"</f>
        <v xml:space="preserve">
| Chaguaya | Bolivia | 1750 | [Link](http://www.therealpresence.org/eucharst/misc/BVM/95_CHAGUAYA_60x96.pdf)| |</v>
      </c>
    </row>
    <row r="108" spans="1:89" ht="216.75" x14ac:dyDescent="0.25">
      <c r="A108" s="25" t="s">
        <v>1324</v>
      </c>
      <c r="B108" s="28" t="s">
        <v>1277</v>
      </c>
      <c r="C108" s="29" t="s">
        <v>534</v>
      </c>
      <c r="E108" s="31">
        <v>1754</v>
      </c>
      <c r="F108" s="71">
        <v>0.80532486588234498</v>
      </c>
      <c r="G108" s="67">
        <v>-77.585922676282493</v>
      </c>
      <c r="H108" s="29" t="s">
        <v>1334</v>
      </c>
      <c r="I108" s="75" t="s">
        <v>1335</v>
      </c>
      <c r="J108" s="30" t="s">
        <v>1728</v>
      </c>
      <c r="K108" s="32" t="b">
        <v>1</v>
      </c>
      <c r="L108" s="30" t="b">
        <v>1</v>
      </c>
      <c r="N108" s="29" t="s">
        <v>1348</v>
      </c>
      <c r="O108" s="80" t="s">
        <v>1761</v>
      </c>
      <c r="P108" s="30" t="s">
        <v>1336</v>
      </c>
      <c r="Q108" s="30" t="s">
        <v>336</v>
      </c>
      <c r="AA108" s="71" t="s">
        <v>282</v>
      </c>
      <c r="AB108" s="30" t="s">
        <v>336</v>
      </c>
      <c r="AC108" s="30" t="s">
        <v>1333</v>
      </c>
      <c r="AD108" s="30" t="s">
        <v>336</v>
      </c>
      <c r="AE108" s="30" t="s">
        <v>336</v>
      </c>
      <c r="AF108" s="67" t="s">
        <v>336</v>
      </c>
      <c r="AG108" s="30" t="s">
        <v>336</v>
      </c>
      <c r="AR108" s="36" t="b">
        <f>IF(OR(A108="Done",A108="In Progress"),TRUE)</f>
        <v>1</v>
      </c>
      <c r="AS108" s="37" t="str">
        <f>"title: """&amp;H108&amp;""""</f>
        <v>title: "National Shrine Basilica of Our Lady of Las Lajas"</v>
      </c>
      <c r="AT108" s="37" t="str">
        <f>"location: {lat: "&amp;F108&amp;", lng: "&amp;G108&amp;"}"</f>
        <v>location: {lat: 0.805324865882345, lng: -77.5859226762825}</v>
      </c>
      <c r="AU108" s="37" t="str">
        <f>"level: "&amp;J108</f>
        <v>level: global</v>
      </c>
      <c r="AV108" s="37" t="str">
        <f>"- "&amp;VLOOKUP(C108,'(Ref) Countries'!A:C,3,)</f>
        <v>- colombia</v>
      </c>
      <c r="AW108" s="37" t="str">
        <f t="shared" si="24"/>
        <v/>
      </c>
      <c r="AX108" s="37" t="str">
        <f t="shared" si="25"/>
        <v>- churches</v>
      </c>
      <c r="AY108" s="37" t="str">
        <f t="shared" si="26"/>
        <v>- marian-sites</v>
      </c>
      <c r="AZ108" s="37" t="str">
        <f t="shared" si="27"/>
        <v/>
      </c>
      <c r="BA108" s="37" t="str">
        <f t="shared" si="28"/>
        <v/>
      </c>
      <c r="BB108" s="37" t="str">
        <f t="shared" si="29"/>
        <v/>
      </c>
      <c r="BC108" s="37" t="str">
        <f t="shared" si="30"/>
        <v/>
      </c>
      <c r="BD108" s="37" t="str">
        <f t="shared" si="31"/>
        <v/>
      </c>
      <c r="BE108" s="37" t="str">
        <f t="shared" si="32"/>
        <v/>
      </c>
      <c r="BF108" s="37" t="str">
        <f t="shared" si="33"/>
        <v/>
      </c>
      <c r="BG108" s="37" t="str">
        <f t="shared" si="34"/>
        <v/>
      </c>
      <c r="BH108" s="37" t="str">
        <f t="shared" si="35"/>
        <v/>
      </c>
      <c r="BI108" s="37" t="str">
        <f t="shared" si="36"/>
        <v/>
      </c>
      <c r="BJ108" s="37" t="str">
        <f t="shared" si="37"/>
        <v/>
      </c>
      <c r="BK108" s="37" t="str">
        <f t="shared" si="38"/>
        <v xml:space="preserve">tags:
- colombia_x000D_
- churches_x000D_
- marian-sites_x000D_
</v>
      </c>
      <c r="BL108" s="38" t="str">
        <f t="shared" si="39"/>
        <v>[Official site](https://www.laslajas.org/)</v>
      </c>
      <c r="BM108" s="38" t="str">
        <f t="shared" si="40"/>
        <v/>
      </c>
      <c r="BN108" s="38" t="str">
        <f t="shared" si="41"/>
        <v/>
      </c>
      <c r="BO108" s="38" t="str">
        <f t="shared" si="42"/>
        <v/>
      </c>
      <c r="BP108" s="38" t="str">
        <f t="shared" si="43"/>
        <v xml:space="preserve">* [Official site](https://www.laslajas.org/)
</v>
      </c>
      <c r="BQ108" s="38" t="str">
        <f t="shared" si="44"/>
        <v>[Link](http://www.therealpresence.org/eucharst/misc/BVM/109_LAJAS_96x96.pdf)</v>
      </c>
      <c r="BR108" s="38" t="str">
        <f t="shared" si="45"/>
        <v>[Link](http://www.miraclehunter.com/marian_apparitions/approved_apparitions/guaitara/index.html)</v>
      </c>
      <c r="BS108" s="38" t="str">
        <f t="shared" si="46"/>
        <v/>
      </c>
      <c r="BT108" s="38" t="str">
        <f>IF(LEN(concat(BQ108:BS108))&gt;0,concat("| ",BQ108," | ",BR108," | ",BS108," |"),"")</f>
        <v>| [Link](http://www.therealpresence.org/eucharst/misc/BVM/109_LAJAS_96x96.pdf) | [Link](http://www.miraclehunter.com/marian_apparitions/approved_apparitions/guaitara/index.html) |  |</v>
      </c>
      <c r="BU108" s="37" t="str">
        <f t="shared" si="47"/>
        <v xml:space="preserve">| The Real Presence | Miracle Hunter | MaryPages |_x000D_
| --- | --- | --- |_x000D_
| [Link](http://www.therealpresence.org/eucharst/misc/BVM/109_LAJAS_96x96.pdf) | [Link](http://www.miraclehunter.com/marian_apparitions/approved_apparitions/guaitara/index.html) |  |_x000D_
</v>
      </c>
      <c r="BV108" s="37" t="str">
        <f>IF(LEN(BP108&amp;BU108)&gt;0,concatll("#### Source Material",BP108,BU108),"")</f>
        <v xml:space="preserve">#### Source Material_x000D_
_x000D_
* [Official site](https://www.laslajas.org/)
_x000D_
_x000D_
| The Real Presence | Miracle Hunter | MaryPages |_x000D_
| --- | --- | --- |_x000D_
| [Link](http://www.therealpresence.org/eucharst/misc/BVM/109_LAJAS_96x96.pdf) | [Link](http://www.miraclehunter.com/marian_apparitions/approved_apparitions/guaitara/index.html) |  |_x000D_
_x000D_
_x000D_
</v>
      </c>
      <c r="BW108" s="37" t="str">
        <f>IF(LEN(O108)&gt;1,concatll("#### Author's Note",O108),"")</f>
        <v xml:space="preserve">#### Author's Note_x000D_
_x000D_
Mass intentions requested at the gift shop will be prayed for at the very next mass.  Similar to the custom at [Our Lady of the Miraculous Medal](/places/fr-paris-chapel-of-our-lady-of-the-miraculous-medal), grateful pilgrims have given thanks for answered prayers in the form of plaques lining the stairway down to the shrine.
-JMM_x000D_
_x000D_
</v>
      </c>
      <c r="BX108" s="24" t="str">
        <f>IF(AR108,concatll(concatl("---",AS108:AU108,BK108,"---"),N108,BV108:BW108),"")</f>
        <v xml:space="preserve">---_x000D_
title: "National Shrine Basilica of Our Lady of Las Lajas"_x000D_
location: {lat: 0.805324865882345, lng: -77.5859226762825}_x000D_
level: global_x000D_
tags:
- colombia_x000D_
- churches_x000D_
- marian-sites_x000D_
_x000D_
---_x000D_
_x000D_
_x000D_
In 1754, an Indian mother and her deaf-mute daughter Rosa were caught in a strong storm and sought refuge in a canyon between the lajas.  Rosa exclaimed with her first words "the mestiza is calling me," describing the figures of a woman and child.  When returning later, the mother saw an apparition of Our Lady and Child.
Some months later, Rosa died but returned to life when her mother prayed again at the cave. When the townspeople came to see, a miraculous image was burned into the rocks.
In the image, the Madonna presents a rosary to St. Dominic, keeling at her right.  Jesus gives a cord to St. Francis, kneeling to his left.
Testing has shown the image to be of indeterminate origin. Geologists from Germany bored core samples from several spots in the image.  There is no paint, no dye, nor any other pigment on the surface of the rock.  The colors are the colors of the rock itself and run uniformly to a depth of several feet._x000D_
_x000D_
#### Source Material_x000D_
_x000D_
* [Official site](https://www.laslajas.org/)
_x000D_
_x000D_
| The Real Presence | Miracle Hunter | MaryPages |_x000D_
| --- | --- | --- |_x000D_
| [Link](http://www.therealpresence.org/eucharst/misc/BVM/109_LAJAS_96x96.pdf) | [Link](http://www.miraclehunter.com/marian_apparitions/approved_apparitions/guaitara/index.html) |  |_x000D_
_x000D_
_x000D_
_x000D_
_x000D_
#### Author's Note_x000D_
_x000D_
Mass intentions requested at the gift shop will be prayed for at the very next mass.  Similar to the custom at [Our Lady of the Miraculous Medal](/places/fr-paris-chapel-of-our-lady-of-the-miraculous-medal), grateful pilgrims have given thanks for answered prayers in the form of plaques lining the stairway down to the shrine.
-JMM_x000D_
_x000D_
_x000D_
_x000D_
</v>
      </c>
      <c r="BY108" s="24" t="str">
        <f>IF(AR108,VLOOKUP(C108,'(Ref) Countries'!A:B,2,)&amp;IF(LEN(D108)&gt;1,"-"&amp;LOWER(SUBSTITUTE(D108," ","-")),"")&amp;"-"&amp;LOWER(SUBSTITUTE(I108," ","-"))&amp;".md","")</f>
        <v>co-basilica-of-our-lady-of-las-lajas.md</v>
      </c>
      <c r="BZ108" s="37" t="str">
        <f>IF(LEN(AG108)&gt;1,VLOOKUP(AG108,'Tag List'!$A:$B,2,),"")</f>
        <v/>
      </c>
      <c r="CA108" s="37" t="str">
        <f>IF(LEN(AH108)&gt;1,VLOOKUP(AH108,'Tag List'!$A:$B,2,),"")</f>
        <v/>
      </c>
      <c r="CB108" s="37" t="str">
        <f>IF(LEN(AI108)&gt;1,VLOOKUP(AI108,'Tag List'!$A:$B,2,),"")</f>
        <v/>
      </c>
      <c r="CC108" s="38" t="str">
        <f>IF(LEN(AG108)&gt;1,GetTagPage(BZ108,AG108),"")</f>
        <v/>
      </c>
      <c r="CD108" s="38" t="str">
        <f>IF(LEN(AH108)&gt;1,GetTagPage(CA108,AH108),"")</f>
        <v/>
      </c>
      <c r="CE108" s="38" t="str">
        <f>IF(LEN(AI108)&gt;1,GetTagPage(CB108,AI108),"")</f>
        <v/>
      </c>
      <c r="CF108" s="38" t="str">
        <f>"|"&amp;IF(LEN(CC108)&gt;1," "&amp;CC108,"")&amp;IF(LEN(CD108)&gt;1,", "&amp;CD108,"")&amp;IF(LEN(CE108)&gt;1,", "&amp;CE108,"")&amp;" "</f>
        <v xml:space="preserve">| </v>
      </c>
      <c r="CG108" s="38" t="str">
        <f>"| "&amp;IF(AR108,"["&amp;B108&amp;"](/places/"&amp;SUBSTITUTE(BY108,".md","")&amp;")",B108)&amp;" "</f>
        <v xml:space="preserve">| [Las Lajas](/places/co-basilica-of-our-lady-of-las-lajas) </v>
      </c>
      <c r="CH108" s="38" t="str">
        <f>"| "&amp;IF(AR108,GetTagPage(C108,VLOOKUP(C108,'(Ref) Countries'!A:C,3,)),C108)&amp; " "</f>
        <v xml:space="preserve">| [Colombia](/tags/colombia) </v>
      </c>
      <c r="CI108" s="38" t="str">
        <f>"| "&amp;E108&amp;" "</f>
        <v xml:space="preserve">| 1754 </v>
      </c>
      <c r="CJ108" s="38" t="str">
        <f>"|"&amp;IF(AR108," [Link](/places/"&amp;SUBSTITUTE(BY108,".md","")&amp;")","")&amp;" "</f>
        <v xml:space="preserve">| [Link](/places/co-basilica-of-our-lady-of-las-lajas) </v>
      </c>
      <c r="CK108" s="37" t="str">
        <f>"
"&amp;CG108&amp;CH108&amp;CI108&amp;CJ108&amp;BL108&amp;BQ108&amp;BR108&amp;BS108&amp;CF108&amp;"|"</f>
        <v xml:space="preserve">
| [Las Lajas](/places/co-basilica-of-our-lady-of-las-lajas) | [Colombia](/tags/colombia) | 1754 | [Link](/places/co-basilica-of-our-lady-of-las-lajas) [Official site](https://www.laslajas.org/)[Link](http://www.therealpresence.org/eucharst/misc/BVM/109_LAJAS_96x96.pdf)[Link](http://www.miraclehunter.com/marian_apparitions/approved_apparitions/guaitara/index.html)| |</v>
      </c>
    </row>
    <row r="109" spans="1:89" x14ac:dyDescent="0.25">
      <c r="B109" s="28" t="s">
        <v>1278</v>
      </c>
      <c r="C109" s="29" t="s">
        <v>502</v>
      </c>
      <c r="E109" s="31">
        <v>1797</v>
      </c>
      <c r="J109" s="30" t="s">
        <v>1728</v>
      </c>
      <c r="K109" s="32" t="b">
        <v>1</v>
      </c>
      <c r="L109" s="30" t="b">
        <v>1</v>
      </c>
      <c r="P109" s="30" t="s">
        <v>336</v>
      </c>
      <c r="Q109" s="30" t="s">
        <v>336</v>
      </c>
      <c r="AA109" s="71" t="s">
        <v>283</v>
      </c>
      <c r="AB109" s="30" t="s">
        <v>336</v>
      </c>
      <c r="AC109" s="30" t="s">
        <v>336</v>
      </c>
      <c r="AD109" s="30" t="s">
        <v>336</v>
      </c>
      <c r="AE109" s="30" t="s">
        <v>336</v>
      </c>
      <c r="AF109" s="67" t="s">
        <v>336</v>
      </c>
      <c r="AG109" s="30" t="s">
        <v>336</v>
      </c>
      <c r="AR109" s="36" t="b">
        <f>IF(OR(A109="Done",A109="In Progress"),TRUE)</f>
        <v>0</v>
      </c>
      <c r="AS109" s="37" t="str">
        <f>"title: """&amp;H109&amp;""""</f>
        <v>title: ""</v>
      </c>
      <c r="AT109" s="37" t="str">
        <f>"location: {lat: "&amp;F109&amp;", lng: "&amp;G109&amp;"}"</f>
        <v>location: {lat: , lng: }</v>
      </c>
      <c r="AU109" s="37" t="str">
        <f>"level: "&amp;J109</f>
        <v>level: global</v>
      </c>
      <c r="AV109" s="37" t="str">
        <f>"- "&amp;VLOOKUP(C109,'(Ref) Countries'!A:C,3,)</f>
        <v>- austria</v>
      </c>
      <c r="AW109" s="37" t="str">
        <f t="shared" si="24"/>
        <v/>
      </c>
      <c r="AX109" s="37" t="str">
        <f t="shared" si="25"/>
        <v>- churches</v>
      </c>
      <c r="AY109" s="37" t="str">
        <f t="shared" si="26"/>
        <v>- marian-sites</v>
      </c>
      <c r="AZ109" s="37" t="str">
        <f t="shared" si="27"/>
        <v/>
      </c>
      <c r="BA109" s="37" t="str">
        <f t="shared" si="28"/>
        <v/>
      </c>
      <c r="BB109" s="37" t="str">
        <f t="shared" si="29"/>
        <v/>
      </c>
      <c r="BC109" s="37" t="str">
        <f t="shared" si="30"/>
        <v/>
      </c>
      <c r="BD109" s="37" t="str">
        <f t="shared" si="31"/>
        <v/>
      </c>
      <c r="BE109" s="37" t="str">
        <f t="shared" si="32"/>
        <v/>
      </c>
      <c r="BF109" s="37" t="str">
        <f t="shared" si="33"/>
        <v/>
      </c>
      <c r="BG109" s="37" t="str">
        <f t="shared" si="34"/>
        <v/>
      </c>
      <c r="BH109" s="37" t="str">
        <f t="shared" si="35"/>
        <v/>
      </c>
      <c r="BI109" s="37" t="str">
        <f t="shared" si="36"/>
        <v/>
      </c>
      <c r="BJ109" s="37" t="str">
        <f t="shared" si="37"/>
        <v/>
      </c>
      <c r="BK109" s="37" t="str">
        <f t="shared" si="38"/>
        <v xml:space="preserve">tags:
- austria_x000D_
- churches_x000D_
- marian-sites_x000D_
</v>
      </c>
      <c r="BL109" s="38" t="str">
        <f t="shared" si="39"/>
        <v/>
      </c>
      <c r="BM109" s="38" t="str">
        <f t="shared" si="40"/>
        <v/>
      </c>
      <c r="BN109" s="38" t="str">
        <f t="shared" si="41"/>
        <v/>
      </c>
      <c r="BO109" s="38" t="str">
        <f t="shared" si="42"/>
        <v/>
      </c>
      <c r="BP109" s="38" t="str">
        <f t="shared" si="43"/>
        <v/>
      </c>
      <c r="BQ109" s="38" t="str">
        <f t="shared" si="44"/>
        <v>[Link](http://www.therealpresence.org/eucharst/misc/BVM/33_ABSAM_60x96.pdf)</v>
      </c>
      <c r="BR109" s="38" t="str">
        <f t="shared" si="45"/>
        <v/>
      </c>
      <c r="BS109" s="38" t="str">
        <f t="shared" si="46"/>
        <v/>
      </c>
      <c r="BT109" s="38" t="str">
        <f>IF(LEN(concat(BQ109:BS109))&gt;0,concat("| ",BQ109," | ",BR109," | ",BS109," |"),"")</f>
        <v>| [Link](http://www.therealpresence.org/eucharst/misc/BVM/33_ABSAM_60x96.pdf) |  |  |</v>
      </c>
      <c r="BU109" s="37" t="str">
        <f t="shared" si="47"/>
        <v xml:space="preserve">| The Real Presence | Miracle Hunter | MaryPages |_x000D_
| --- | --- | --- |_x000D_
| [Link](http://www.therealpresence.org/eucharst/misc/BVM/33_ABSAM_60x96.pdf) |  |  |_x000D_
</v>
      </c>
      <c r="BV109" s="37" t="str">
        <f>IF(LEN(BP109&amp;BU109)&gt;0,concatll("#### Source Material",BP109,BU109),"")</f>
        <v xml:space="preserve">#### Source Material_x000D_
_x000D_
| The Real Presence | Miracle Hunter | MaryPages |_x000D_
| --- | --- | --- |_x000D_
| [Link](http://www.therealpresence.org/eucharst/misc/BVM/33_ABSAM_60x96.pdf) |  |  |_x000D_
_x000D_
_x000D_
</v>
      </c>
      <c r="BW109" s="37" t="str">
        <f>IF(LEN(O109)&gt;1,concatll("#### Author's Note",O109),"")</f>
        <v/>
      </c>
      <c r="BX109" s="24" t="str">
        <f>IF(AR109,concatll(concatl("---",AS109:AU109,BK109,"---"),N109,BV109:BW109),"")</f>
        <v/>
      </c>
      <c r="BY109" s="24" t="str">
        <f>IF(AR109,VLOOKUP(C109,'(Ref) Countries'!A:B,2,)&amp;IF(LEN(D109)&gt;1,"-"&amp;LOWER(SUBSTITUTE(D109," ","-")),"")&amp;"-"&amp;LOWER(SUBSTITUTE(I109," ","-"))&amp;".md","")</f>
        <v/>
      </c>
      <c r="BZ109" s="37" t="str">
        <f>IF(LEN(AG109)&gt;1,VLOOKUP(AG109,'Tag List'!$A:$B,2,),"")</f>
        <v/>
      </c>
      <c r="CA109" s="37" t="str">
        <f>IF(LEN(AH109)&gt;1,VLOOKUP(AH109,'Tag List'!$A:$B,2,),"")</f>
        <v/>
      </c>
      <c r="CB109" s="37" t="str">
        <f>IF(LEN(AI109)&gt;1,VLOOKUP(AI109,'Tag List'!$A:$B,2,),"")</f>
        <v/>
      </c>
      <c r="CC109" s="38" t="str">
        <f>IF(LEN(AG109)&gt;1,GetTagPage(BZ109,AG109),"")</f>
        <v/>
      </c>
      <c r="CD109" s="38" t="str">
        <f>IF(LEN(AH109)&gt;1,GetTagPage(CA109,AH109),"")</f>
        <v/>
      </c>
      <c r="CE109" s="38" t="str">
        <f>IF(LEN(AI109)&gt;1,GetTagPage(CB109,AI109),"")</f>
        <v/>
      </c>
      <c r="CF109" s="38" t="str">
        <f>"|"&amp;IF(LEN(CC109)&gt;1," "&amp;CC109,"")&amp;IF(LEN(CD109)&gt;1,", "&amp;CD109,"")&amp;IF(LEN(CE109)&gt;1,", "&amp;CE109,"")&amp;" "</f>
        <v xml:space="preserve">| </v>
      </c>
      <c r="CG109" s="38" t="str">
        <f>"| "&amp;IF(AR109,"["&amp;B109&amp;"](/places/"&amp;SUBSTITUTE(BY109,".md","")&amp;")",B109)&amp;" "</f>
        <v xml:space="preserve">| Absam </v>
      </c>
      <c r="CH109" s="38" t="str">
        <f>"| "&amp;IF(AR109,GetTagPage(C109,VLOOKUP(C109,'(Ref) Countries'!A:C,3,)),C109)&amp; " "</f>
        <v xml:space="preserve">| Austria </v>
      </c>
      <c r="CI109" s="38" t="str">
        <f>"| "&amp;E109&amp;" "</f>
        <v xml:space="preserve">| 1797 </v>
      </c>
      <c r="CJ109" s="38" t="str">
        <f>"|"&amp;IF(AR109," [Link](/places/"&amp;SUBSTITUTE(BY109,".md","")&amp;")","")&amp;" "</f>
        <v xml:space="preserve">| </v>
      </c>
      <c r="CK109" s="37" t="str">
        <f>"
"&amp;CG109&amp;CH109&amp;CI109&amp;CJ109&amp;BL109&amp;BQ109&amp;BR109&amp;BS109&amp;CF109&amp;"|"</f>
        <v xml:space="preserve">
| Absam | Austria | 1797 | [Link](http://www.therealpresence.org/eucharst/misc/BVM/33_ABSAM_60x96.pdf)| |</v>
      </c>
    </row>
    <row r="110" spans="1:89" ht="102" x14ac:dyDescent="0.25">
      <c r="A110" s="25" t="s">
        <v>1324</v>
      </c>
      <c r="B110" s="28" t="s">
        <v>1279</v>
      </c>
      <c r="C110" s="29" t="s">
        <v>743</v>
      </c>
      <c r="E110" s="31">
        <v>1798</v>
      </c>
      <c r="F110" s="71">
        <v>16.705491099922099</v>
      </c>
      <c r="G110" s="67">
        <v>107.19601082359701</v>
      </c>
      <c r="H110" s="29" t="s">
        <v>1376</v>
      </c>
      <c r="I110" s="75" t="s">
        <v>1376</v>
      </c>
      <c r="J110" s="30" t="s">
        <v>1728</v>
      </c>
      <c r="K110" s="32" t="b">
        <v>1</v>
      </c>
      <c r="L110" s="30" t="b">
        <v>1</v>
      </c>
      <c r="N110" s="29" t="s">
        <v>1375</v>
      </c>
      <c r="O110" s="77" t="s">
        <v>1753</v>
      </c>
      <c r="P110" s="30" t="s">
        <v>336</v>
      </c>
      <c r="Q110" s="30" t="s">
        <v>336</v>
      </c>
      <c r="AA110" s="71" t="s">
        <v>284</v>
      </c>
      <c r="AB110" s="30" t="s">
        <v>336</v>
      </c>
      <c r="AC110" s="30" t="s">
        <v>1374</v>
      </c>
      <c r="AD110" s="30" t="s">
        <v>336</v>
      </c>
      <c r="AE110" s="30" t="s">
        <v>1377</v>
      </c>
      <c r="AF110" s="67" t="s">
        <v>336</v>
      </c>
      <c r="AG110" s="30" t="s">
        <v>336</v>
      </c>
      <c r="AR110" s="36" t="b">
        <f>IF(OR(A110="Done",A110="In Progress"),TRUE)</f>
        <v>1</v>
      </c>
      <c r="AS110" s="37" t="str">
        <f>"title: """&amp;H110&amp;""""</f>
        <v>title: "Basilica of Our Lady of La Vang"</v>
      </c>
      <c r="AT110" s="37" t="str">
        <f>"location: {lat: "&amp;F110&amp;", lng: "&amp;G110&amp;"}"</f>
        <v>location: {lat: 16.7054910999221, lng: 107.196010823597}</v>
      </c>
      <c r="AU110" s="37" t="str">
        <f>"level: "&amp;J110</f>
        <v>level: global</v>
      </c>
      <c r="AV110" s="37" t="str">
        <f>"- "&amp;VLOOKUP(C110,'(Ref) Countries'!A:C,3,)</f>
        <v>- vietnam</v>
      </c>
      <c r="AW110" s="37" t="str">
        <f t="shared" si="24"/>
        <v/>
      </c>
      <c r="AX110" s="37" t="str">
        <f t="shared" si="25"/>
        <v>- churches</v>
      </c>
      <c r="AY110" s="37" t="str">
        <f t="shared" si="26"/>
        <v>- marian-sites</v>
      </c>
      <c r="AZ110" s="37" t="str">
        <f t="shared" si="27"/>
        <v/>
      </c>
      <c r="BA110" s="37" t="str">
        <f t="shared" si="28"/>
        <v/>
      </c>
      <c r="BB110" s="37" t="str">
        <f t="shared" si="29"/>
        <v/>
      </c>
      <c r="BC110" s="37" t="str">
        <f t="shared" si="30"/>
        <v/>
      </c>
      <c r="BD110" s="37" t="str">
        <f t="shared" si="31"/>
        <v/>
      </c>
      <c r="BE110" s="37" t="str">
        <f t="shared" si="32"/>
        <v/>
      </c>
      <c r="BF110" s="37" t="str">
        <f t="shared" si="33"/>
        <v/>
      </c>
      <c r="BG110" s="37" t="str">
        <f t="shared" si="34"/>
        <v/>
      </c>
      <c r="BH110" s="37" t="str">
        <f t="shared" si="35"/>
        <v/>
      </c>
      <c r="BI110" s="37" t="str">
        <f t="shared" si="36"/>
        <v/>
      </c>
      <c r="BJ110" s="37" t="str">
        <f t="shared" si="37"/>
        <v/>
      </c>
      <c r="BK110" s="37" t="str">
        <f t="shared" si="38"/>
        <v xml:space="preserve">tags:
- vietnam_x000D_
- churches_x000D_
- marian-sites_x000D_
</v>
      </c>
      <c r="BL110" s="38" t="str">
        <f t="shared" si="39"/>
        <v/>
      </c>
      <c r="BM110" s="38" t="str">
        <f t="shared" si="40"/>
        <v/>
      </c>
      <c r="BN110" s="38" t="str">
        <f t="shared" si="41"/>
        <v/>
      </c>
      <c r="BO110" s="38" t="str">
        <f t="shared" si="42"/>
        <v/>
      </c>
      <c r="BP110" s="38" t="str">
        <f t="shared" si="43"/>
        <v/>
      </c>
      <c r="BQ110" s="38" t="str">
        <f t="shared" si="44"/>
        <v>[Link](http://www.therealpresence.org/eucharst/misc/BVM/21_LAVANG_60x96.pdf)</v>
      </c>
      <c r="BR110" s="38" t="str">
        <f t="shared" si="45"/>
        <v>[Link](http://www.miraclehunter.com/marian_apparitions/approved_apparitions/lavang/index.html)</v>
      </c>
      <c r="BS110" s="38" t="str">
        <f t="shared" si="46"/>
        <v>[Link](https://www.marypages.com/la-vang-vietnam-en.html)</v>
      </c>
      <c r="BT110" s="38" t="str">
        <f>IF(LEN(concat(BQ110:BS110))&gt;0,concat("| ",BQ110," | ",BR110," | ",BS110," |"),"")</f>
        <v>| [Link](http://www.therealpresence.org/eucharst/misc/BVM/21_LAVANG_60x96.pdf) | [Link](http://www.miraclehunter.com/marian_apparitions/approved_apparitions/lavang/index.html) | [Link](https://www.marypages.com/la-vang-vietnam-en.html) |</v>
      </c>
      <c r="BU110" s="37" t="str">
        <f t="shared" si="47"/>
        <v xml:space="preserve">| The Real Presence | Miracle Hunter | MaryPages |_x000D_
| --- | --- | --- |_x000D_
| [Link](http://www.therealpresence.org/eucharst/misc/BVM/21_LAVANG_60x96.pdf) | [Link](http://www.miraclehunter.com/marian_apparitions/approved_apparitions/lavang/index.html) | [Link](https://www.marypages.com/la-vang-vietnam-en.html) |_x000D_
</v>
      </c>
      <c r="BV110" s="37" t="str">
        <f>IF(LEN(BP110&amp;BU110)&gt;0,concatll("#### Source Material",BP110,BU110),"")</f>
        <v xml:space="preserve">#### Source Material_x000D_
_x000D_
| The Real Presence | Miracle Hunter | MaryPages |_x000D_
| --- | --- | --- |_x000D_
| [Link](http://www.therealpresence.org/eucharst/misc/BVM/21_LAVANG_60x96.pdf) | [Link](http://www.miraclehunter.com/marian_apparitions/approved_apparitions/lavang/index.html) | [Link](https://www.marypages.com/la-vang-vietnam-en.html) |_x000D_
_x000D_
_x000D_
</v>
      </c>
      <c r="BW110" s="37" t="str">
        <f>IF(LEN(O110)&gt;1,concatll("#### Author's Note",O110),"")</f>
        <v xml:space="preserve">#### Author's Note_x000D_
_x000D_
We can't find an official website or other social media page for the basilica.  If you know of one, please [contact us](/contact).
-JMM_x000D_
_x000D_
</v>
      </c>
      <c r="BX110" s="24" t="str">
        <f>IF(AR110,concatll(concatl("---",AS110:AU110,BK110,"---"),N110,BV110:BW110),"")</f>
        <v xml:space="preserve">---_x000D_
title: "Basilica of Our Lady of La Vang"_x000D_
location: {lat: 16.7054910999221, lng: 107.196010823597}_x000D_
level: global_x000D_
tags:
- vietnam_x000D_
- churches_x000D_
- marian-sites_x000D_
_x000D_
---_x000D_
_x000D_
_x000D_
In 1798, many Christians took refuge in the Vietnamese jungle and prepared themselves for martyrdom.  At night, they often gathered in small groups to pray the rosary.  Unexpectedly, one night they were visited by an apparition of Our Blessed Mother in a long cape, holding a child in her arms, with two angels at her sides.  She comforted them and told them to boil the leaves from the surrounding trees to use as medicine.  She also told them that from that day on, all those who came to this place to pray, would have their prayers heard and answered.  All those who were present witnessed this miracle._x000D_
_x000D_
#### Source Material_x000D_
_x000D_
| The Real Presence | Miracle Hunter | MaryPages |_x000D_
| --- | --- | --- |_x000D_
| [Link](http://www.therealpresence.org/eucharst/misc/BVM/21_LAVANG_60x96.pdf) | [Link](http://www.miraclehunter.com/marian_apparitions/approved_apparitions/lavang/index.html) | [Link](https://www.marypages.com/la-vang-vietnam-en.html) |_x000D_
_x000D_
_x000D_
_x000D_
_x000D_
#### Author's Note_x000D_
_x000D_
We can't find an official website or other social media page for the basilica.  If you know of one, please [contact us](/contact).
-JMM_x000D_
_x000D_
_x000D_
_x000D_
</v>
      </c>
      <c r="BY110" s="24" t="str">
        <f>IF(AR110,VLOOKUP(C110,'(Ref) Countries'!A:B,2,)&amp;IF(LEN(D110)&gt;1,"-"&amp;LOWER(SUBSTITUTE(D110," ","-")),"")&amp;"-"&amp;LOWER(SUBSTITUTE(I110," ","-"))&amp;".md","")</f>
        <v>vn-basilica-of-our-lady-of-la-vang.md</v>
      </c>
      <c r="BZ110" s="37" t="str">
        <f>IF(LEN(AG110)&gt;1,VLOOKUP(AG110,'Tag List'!$A:$B,2,),"")</f>
        <v/>
      </c>
      <c r="CA110" s="37" t="str">
        <f>IF(LEN(AH110)&gt;1,VLOOKUP(AH110,'Tag List'!$A:$B,2,),"")</f>
        <v/>
      </c>
      <c r="CB110" s="37" t="str">
        <f>IF(LEN(AI110)&gt;1,VLOOKUP(AI110,'Tag List'!$A:$B,2,),"")</f>
        <v/>
      </c>
      <c r="CC110" s="38" t="str">
        <f>IF(LEN(AG110)&gt;1,GetTagPage(BZ110,AG110),"")</f>
        <v/>
      </c>
      <c r="CD110" s="38" t="str">
        <f>IF(LEN(AH110)&gt;1,GetTagPage(CA110,AH110),"")</f>
        <v/>
      </c>
      <c r="CE110" s="38" t="str">
        <f>IF(LEN(AI110)&gt;1,GetTagPage(CB110,AI110),"")</f>
        <v/>
      </c>
      <c r="CF110" s="38" t="str">
        <f>"|"&amp;IF(LEN(CC110)&gt;1," "&amp;CC110,"")&amp;IF(LEN(CD110)&gt;1,", "&amp;CD110,"")&amp;IF(LEN(CE110)&gt;1,", "&amp;CE110,"")&amp;" "</f>
        <v xml:space="preserve">| </v>
      </c>
      <c r="CG110" s="38" t="str">
        <f>"| "&amp;IF(AR110,"["&amp;B110&amp;"](/places/"&amp;SUBSTITUTE(BY110,".md","")&amp;")",B110)&amp;" "</f>
        <v xml:space="preserve">| [La Vang](/places/vn-basilica-of-our-lady-of-la-vang) </v>
      </c>
      <c r="CH110" s="38" t="str">
        <f>"| "&amp;IF(AR110,GetTagPage(C110,VLOOKUP(C110,'(Ref) Countries'!A:C,3,)),C110)&amp; " "</f>
        <v xml:space="preserve">| [Vietnam](/tags/vietnam) </v>
      </c>
      <c r="CI110" s="38" t="str">
        <f>"| "&amp;E110&amp;" "</f>
        <v xml:space="preserve">| 1798 </v>
      </c>
      <c r="CJ110" s="38" t="str">
        <f>"|"&amp;IF(AR110," [Link](/places/"&amp;SUBSTITUTE(BY110,".md","")&amp;")","")&amp;" "</f>
        <v xml:space="preserve">| [Link](/places/vn-basilica-of-our-lady-of-la-vang) </v>
      </c>
      <c r="CK110" s="37" t="str">
        <f>"
"&amp;CG110&amp;CH110&amp;CI110&amp;CJ110&amp;BL110&amp;BQ110&amp;BR110&amp;BS110&amp;CF110&amp;"|"</f>
        <v xml:space="preserve">
| [La Vang](/places/vn-basilica-of-our-lady-of-la-vang) | [Vietnam](/tags/vietnam) | 1798 | [Link](/places/vn-basilica-of-our-lady-of-la-vang) [Link](http://www.therealpresence.org/eucharst/misc/BVM/21_LAVANG_60x96.pdf)[Link](http://www.miraclehunter.com/marian_apparitions/approved_apparitions/lavang/index.html)[Link](https://www.marypages.com/la-vang-vietnam-en.html)| |</v>
      </c>
    </row>
    <row r="111" spans="1:89" x14ac:dyDescent="0.25">
      <c r="B111" s="28" t="s">
        <v>1280</v>
      </c>
      <c r="C111" s="29" t="s">
        <v>557</v>
      </c>
      <c r="E111" s="31">
        <v>1803</v>
      </c>
      <c r="J111" s="30" t="s">
        <v>1728</v>
      </c>
      <c r="K111" s="32" t="b">
        <v>1</v>
      </c>
      <c r="L111" s="30" t="b">
        <v>1</v>
      </c>
      <c r="P111" s="30" t="s">
        <v>336</v>
      </c>
      <c r="Q111" s="30" t="s">
        <v>336</v>
      </c>
      <c r="AA111" s="71" t="s">
        <v>285</v>
      </c>
      <c r="AB111" s="30" t="s">
        <v>336</v>
      </c>
      <c r="AC111" s="30" t="s">
        <v>336</v>
      </c>
      <c r="AD111" s="30" t="s">
        <v>336</v>
      </c>
      <c r="AE111" s="30" t="s">
        <v>336</v>
      </c>
      <c r="AF111" s="67" t="s">
        <v>336</v>
      </c>
      <c r="AG111" s="30" t="s">
        <v>336</v>
      </c>
      <c r="AR111" s="36" t="b">
        <f>IF(OR(A111="Done",A111="In Progress"),TRUE)</f>
        <v>0</v>
      </c>
      <c r="AS111" s="37" t="str">
        <f>"title: """&amp;H111&amp;""""</f>
        <v>title: ""</v>
      </c>
      <c r="AT111" s="37" t="str">
        <f>"location: {lat: "&amp;F111&amp;", lng: "&amp;G111&amp;"}"</f>
        <v>location: {lat: , lng: }</v>
      </c>
      <c r="AU111" s="37" t="str">
        <f>"level: "&amp;J111</f>
        <v>level: global</v>
      </c>
      <c r="AV111" s="37" t="str">
        <f>"- "&amp;VLOOKUP(C111,'(Ref) Countries'!A:C,3,)</f>
        <v>- france</v>
      </c>
      <c r="AW111" s="37" t="str">
        <f t="shared" si="24"/>
        <v/>
      </c>
      <c r="AX111" s="37" t="str">
        <f t="shared" si="25"/>
        <v>- churches</v>
      </c>
      <c r="AY111" s="37" t="str">
        <f t="shared" si="26"/>
        <v>- marian-sites</v>
      </c>
      <c r="AZ111" s="37" t="str">
        <f t="shared" si="27"/>
        <v/>
      </c>
      <c r="BA111" s="37" t="str">
        <f t="shared" si="28"/>
        <v/>
      </c>
      <c r="BB111" s="37" t="str">
        <f t="shared" si="29"/>
        <v/>
      </c>
      <c r="BC111" s="37" t="str">
        <f t="shared" si="30"/>
        <v/>
      </c>
      <c r="BD111" s="37" t="str">
        <f t="shared" si="31"/>
        <v/>
      </c>
      <c r="BE111" s="37" t="str">
        <f t="shared" si="32"/>
        <v/>
      </c>
      <c r="BF111" s="37" t="str">
        <f t="shared" si="33"/>
        <v/>
      </c>
      <c r="BG111" s="37" t="str">
        <f t="shared" si="34"/>
        <v/>
      </c>
      <c r="BH111" s="37" t="str">
        <f t="shared" si="35"/>
        <v/>
      </c>
      <c r="BI111" s="37" t="str">
        <f t="shared" si="36"/>
        <v/>
      </c>
      <c r="BJ111" s="37" t="str">
        <f t="shared" si="37"/>
        <v/>
      </c>
      <c r="BK111" s="37" t="str">
        <f t="shared" si="38"/>
        <v xml:space="preserve">tags:
- france_x000D_
- churches_x000D_
- marian-sites_x000D_
</v>
      </c>
      <c r="BL111" s="38" t="str">
        <f t="shared" si="39"/>
        <v/>
      </c>
      <c r="BM111" s="38" t="str">
        <f t="shared" si="40"/>
        <v/>
      </c>
      <c r="BN111" s="38" t="str">
        <f t="shared" si="41"/>
        <v/>
      </c>
      <c r="BO111" s="38" t="str">
        <f t="shared" si="42"/>
        <v/>
      </c>
      <c r="BP111" s="38" t="str">
        <f t="shared" si="43"/>
        <v/>
      </c>
      <c r="BQ111" s="38" t="str">
        <f t="shared" si="44"/>
        <v>[Link](http://www.therealpresence.org/eucharst/misc/BVM/126_ORNANS_60x96.pdf)</v>
      </c>
      <c r="BR111" s="38" t="str">
        <f t="shared" si="45"/>
        <v/>
      </c>
      <c r="BS111" s="38" t="str">
        <f t="shared" si="46"/>
        <v/>
      </c>
      <c r="BT111" s="38" t="str">
        <f>IF(LEN(concat(BQ111:BS111))&gt;0,concat("| ",BQ111," | ",BR111," | ",BS111," |"),"")</f>
        <v>| [Link](http://www.therealpresence.org/eucharst/misc/BVM/126_ORNANS_60x96.pdf) |  |  |</v>
      </c>
      <c r="BU111" s="37" t="str">
        <f t="shared" si="47"/>
        <v xml:space="preserve">| The Real Presence | Miracle Hunter | MaryPages |_x000D_
| --- | --- | --- |_x000D_
| [Link](http://www.therealpresence.org/eucharst/misc/BVM/126_ORNANS_60x96.pdf) |  |  |_x000D_
</v>
      </c>
      <c r="BV111" s="37" t="str">
        <f>IF(LEN(BP111&amp;BU111)&gt;0,concatll("#### Source Material",BP111,BU111),"")</f>
        <v xml:space="preserve">#### Source Material_x000D_
_x000D_
| The Real Presence | Miracle Hunter | MaryPages |_x000D_
| --- | --- | --- |_x000D_
| [Link](http://www.therealpresence.org/eucharst/misc/BVM/126_ORNANS_60x96.pdf) |  |  |_x000D_
_x000D_
_x000D_
</v>
      </c>
      <c r="BW111" s="37" t="str">
        <f>IF(LEN(O111)&gt;1,concatll("#### Author's Note",O111),"")</f>
        <v/>
      </c>
      <c r="BX111" s="24" t="str">
        <f>IF(AR111,concatll(concatl("---",AS111:AU111,BK111,"---"),N111,BV111:BW111),"")</f>
        <v/>
      </c>
      <c r="BY111" s="24" t="str">
        <f>IF(AR111,VLOOKUP(C111,'(Ref) Countries'!A:B,2,)&amp;IF(LEN(D111)&gt;1,"-"&amp;LOWER(SUBSTITUTE(D111," ","-")),"")&amp;"-"&amp;LOWER(SUBSTITUTE(I111," ","-"))&amp;".md","")</f>
        <v/>
      </c>
      <c r="BZ111" s="37" t="str">
        <f>IF(LEN(AG111)&gt;1,VLOOKUP(AG111,'Tag List'!$A:$B,2,),"")</f>
        <v/>
      </c>
      <c r="CA111" s="37" t="str">
        <f>IF(LEN(AH111)&gt;1,VLOOKUP(AH111,'Tag List'!$A:$B,2,),"")</f>
        <v/>
      </c>
      <c r="CB111" s="37" t="str">
        <f>IF(LEN(AI111)&gt;1,VLOOKUP(AI111,'Tag List'!$A:$B,2,),"")</f>
        <v/>
      </c>
      <c r="CC111" s="38" t="str">
        <f>IF(LEN(AG111)&gt;1,GetTagPage(BZ111,AG111),"")</f>
        <v/>
      </c>
      <c r="CD111" s="38" t="str">
        <f>IF(LEN(AH111)&gt;1,GetTagPage(CA111,AH111),"")</f>
        <v/>
      </c>
      <c r="CE111" s="38" t="str">
        <f>IF(LEN(AI111)&gt;1,GetTagPage(CB111,AI111),"")</f>
        <v/>
      </c>
      <c r="CF111" s="38" t="str">
        <f>"|"&amp;IF(LEN(CC111)&gt;1," "&amp;CC111,"")&amp;IF(LEN(CD111)&gt;1,", "&amp;CD111,"")&amp;IF(LEN(CE111)&gt;1,", "&amp;CE111,"")&amp;" "</f>
        <v xml:space="preserve">| </v>
      </c>
      <c r="CG111" s="38" t="str">
        <f>"| "&amp;IF(AR111,"["&amp;B111&amp;"](/places/"&amp;SUBSTITUTE(BY111,".md","")&amp;")",B111)&amp;" "</f>
        <v xml:space="preserve">| Ornans </v>
      </c>
      <c r="CH111" s="38" t="str">
        <f>"| "&amp;IF(AR111,GetTagPage(C111,VLOOKUP(C111,'(Ref) Countries'!A:C,3,)),C111)&amp; " "</f>
        <v xml:space="preserve">| France </v>
      </c>
      <c r="CI111" s="38" t="str">
        <f>"| "&amp;E111&amp;" "</f>
        <v xml:space="preserve">| 1803 </v>
      </c>
      <c r="CJ111" s="38" t="str">
        <f>"|"&amp;IF(AR111," [Link](/places/"&amp;SUBSTITUTE(BY111,".md","")&amp;")","")&amp;" "</f>
        <v xml:space="preserve">| </v>
      </c>
      <c r="CK111" s="37" t="str">
        <f>"
"&amp;CG111&amp;CH111&amp;CI111&amp;CJ111&amp;BL111&amp;BQ111&amp;BR111&amp;BS111&amp;CF111&amp;"|"</f>
        <v xml:space="preserve">
| Ornans | France | 1803 | [Link](http://www.therealpresence.org/eucharst/misc/BVM/126_ORNANS_60x96.pdf)| |</v>
      </c>
    </row>
    <row r="112" spans="1:89" ht="63.75" x14ac:dyDescent="0.25">
      <c r="A112" s="25" t="s">
        <v>1324</v>
      </c>
      <c r="B112" s="28" t="s">
        <v>1022</v>
      </c>
      <c r="C112" s="29" t="s">
        <v>651</v>
      </c>
      <c r="E112" s="31" t="s">
        <v>1023</v>
      </c>
      <c r="F112" s="71">
        <v>52.323705849375003</v>
      </c>
      <c r="G112" s="67">
        <v>18.358432557028099</v>
      </c>
      <c r="H112" s="29" t="s">
        <v>1024</v>
      </c>
      <c r="I112" s="75" t="s">
        <v>1025</v>
      </c>
      <c r="J112" s="30" t="s">
        <v>1728</v>
      </c>
      <c r="K112" s="32" t="b">
        <v>1</v>
      </c>
      <c r="L112" s="30" t="b">
        <v>1</v>
      </c>
      <c r="N112" s="29" t="s">
        <v>479</v>
      </c>
      <c r="P112" s="30" t="s">
        <v>377</v>
      </c>
      <c r="Q112" s="30" t="s">
        <v>336</v>
      </c>
      <c r="AA112" s="71" t="s">
        <v>286</v>
      </c>
      <c r="AB112" s="30" t="s">
        <v>336</v>
      </c>
      <c r="AC112" s="30" t="s">
        <v>356</v>
      </c>
      <c r="AD112" s="30" t="s">
        <v>336</v>
      </c>
      <c r="AE112" s="30" t="s">
        <v>480</v>
      </c>
      <c r="AF112" s="67" t="s">
        <v>336</v>
      </c>
      <c r="AG112" s="33" t="s">
        <v>336</v>
      </c>
      <c r="AH112" s="33"/>
      <c r="AI112" s="33"/>
      <c r="AJ112" s="33"/>
      <c r="AK112" s="33"/>
      <c r="AL112" s="33"/>
      <c r="AM112" s="33"/>
      <c r="AN112" s="33"/>
      <c r="AO112" s="33"/>
      <c r="AP112" s="113"/>
      <c r="AR112" s="36" t="b">
        <f>IF(OR(A112="Done",A112="In Progress"),TRUE)</f>
        <v>1</v>
      </c>
      <c r="AS112" s="37" t="str">
        <f>"title: """&amp;H112&amp;""""</f>
        <v>title: "Basilica of Our Lady of Licheń (Holy Mother of Sorrows, Queen of Poland)"</v>
      </c>
      <c r="AT112" s="37" t="str">
        <f>"location: {lat: "&amp;F112&amp;", lng: "&amp;G112&amp;"}"</f>
        <v>location: {lat: 52.323705849375, lng: 18.3584325570281}</v>
      </c>
      <c r="AU112" s="37" t="str">
        <f>"level: "&amp;J112</f>
        <v>level: global</v>
      </c>
      <c r="AV112" s="37" t="str">
        <f>"- "&amp;VLOOKUP(C112,'(Ref) Countries'!A:C,3,)</f>
        <v>- poland</v>
      </c>
      <c r="AW112" s="37" t="str">
        <f t="shared" si="24"/>
        <v/>
      </c>
      <c r="AX112" s="37" t="str">
        <f t="shared" si="25"/>
        <v>- churches</v>
      </c>
      <c r="AY112" s="37" t="str">
        <f t="shared" si="26"/>
        <v>- marian-sites</v>
      </c>
      <c r="AZ112" s="37" t="str">
        <f t="shared" si="27"/>
        <v/>
      </c>
      <c r="BA112" s="37" t="str">
        <f t="shared" si="28"/>
        <v/>
      </c>
      <c r="BB112" s="37" t="str">
        <f t="shared" si="29"/>
        <v/>
      </c>
      <c r="BC112" s="37" t="str">
        <f t="shared" si="30"/>
        <v/>
      </c>
      <c r="BD112" s="37" t="str">
        <f t="shared" si="31"/>
        <v/>
      </c>
      <c r="BE112" s="37" t="str">
        <f t="shared" si="32"/>
        <v/>
      </c>
      <c r="BF112" s="37" t="str">
        <f t="shared" si="33"/>
        <v/>
      </c>
      <c r="BG112" s="37" t="str">
        <f t="shared" si="34"/>
        <v/>
      </c>
      <c r="BH112" s="37" t="str">
        <f t="shared" si="35"/>
        <v/>
      </c>
      <c r="BI112" s="37" t="str">
        <f t="shared" si="36"/>
        <v/>
      </c>
      <c r="BJ112" s="37" t="str">
        <f t="shared" si="37"/>
        <v/>
      </c>
      <c r="BK112" s="37" t="str">
        <f t="shared" si="38"/>
        <v xml:space="preserve">tags:
- poland_x000D_
- churches_x000D_
- marian-sites_x000D_
</v>
      </c>
      <c r="BL112" s="38" t="str">
        <f t="shared" si="39"/>
        <v>[Official site](https://www.lichen.pl/)</v>
      </c>
      <c r="BM112" s="38" t="str">
        <f t="shared" si="40"/>
        <v/>
      </c>
      <c r="BN112" s="38" t="str">
        <f t="shared" si="41"/>
        <v/>
      </c>
      <c r="BO112" s="38" t="str">
        <f t="shared" si="42"/>
        <v/>
      </c>
      <c r="BP112" s="38" t="str">
        <f t="shared" si="43"/>
        <v xml:space="preserve">* [Official site](https://www.lichen.pl/)
</v>
      </c>
      <c r="BQ112" s="38" t="str">
        <f t="shared" si="44"/>
        <v>[Link](http://www.therealpresence.org/eucharst/misc/BVM/110_LICHEN_96x96.pdf)</v>
      </c>
      <c r="BR112" s="38" t="str">
        <f t="shared" si="45"/>
        <v>[Link](http://www.miraclehunter.com/marian_apparitions/approved_apparitions/gietrzwald/index.html)</v>
      </c>
      <c r="BS112" s="38" t="str">
        <f t="shared" si="46"/>
        <v>[Link](https://www.marypages.com/lichen-(poland)-holy-mother-of-sorrow-en.html)</v>
      </c>
      <c r="BT112" s="38" t="str">
        <f>IF(LEN(concat(BQ112:BS112))&gt;0,concat("| ",BQ112," | ",BR112," | ",BS112," |"),"")</f>
        <v>| [Link](http://www.therealpresence.org/eucharst/misc/BVM/110_LICHEN_96x96.pdf) | [Link](http://www.miraclehunter.com/marian_apparitions/approved_apparitions/gietrzwald/index.html) | [Link](https://www.marypages.com/lichen-(poland)-holy-mother-of-sorrow-en.html) |</v>
      </c>
      <c r="BU112" s="37" t="str">
        <f t="shared" si="47"/>
        <v xml:space="preserve">| The Real Presence | Miracle Hunter | MaryPages |_x000D_
| --- | --- | --- |_x000D_
| [Link](http://www.therealpresence.org/eucharst/misc/BVM/110_LICHEN_96x96.pdf) | [Link](http://www.miraclehunter.com/marian_apparitions/approved_apparitions/gietrzwald/index.html) | [Link](https://www.marypages.com/lichen-(poland)-holy-mother-of-sorrow-en.html) |_x000D_
</v>
      </c>
      <c r="BV112" s="37" t="str">
        <f>IF(LEN(BP112&amp;BU112)&gt;0,concatll("#### Source Material",BP112,BU112),"")</f>
        <v xml:space="preserve">#### Source Material_x000D_
_x000D_
* [Official site](https://www.lichen.pl/)
_x000D_
_x000D_
| The Real Presence | Miracle Hunter | MaryPages |_x000D_
| --- | --- | --- |_x000D_
| [Link](http://www.therealpresence.org/eucharst/misc/BVM/110_LICHEN_96x96.pdf) | [Link](http://www.miraclehunter.com/marian_apparitions/approved_apparitions/gietrzwald/index.html) | [Link](https://www.marypages.com/lichen-(poland)-holy-mother-of-sorrow-en.html) |_x000D_
_x000D_
_x000D_
</v>
      </c>
      <c r="BW112" s="37" t="str">
        <f>IF(LEN(O112)&gt;1,concatll("#### Author's Note",O112),"")</f>
        <v/>
      </c>
      <c r="BX112" s="24" t="str">
        <f>IF(AR112,concatll(concatl("---",AS112:AU112,BK112,"---"),N112,BV112:BW112),"")</f>
        <v xml:space="preserve">---_x000D_
title: "Basilica of Our Lady of Licheń (Holy Mother of Sorrows, Queen of Poland)"_x000D_
location: {lat: 52.323705849375, lng: 18.3584325570281}_x000D_
level: global_x000D_
tags:
- poland_x000D_
- churches_x000D_
- marian-sites_x000D_
_x000D_
---_x000D_
_x000D_
_x000D_
According to legend, the Virgin Mary appeared in Licheń, Poland to Tomasz Klossowski, a wounded soldier, in 1813 who was healed and discovered a miraculous portrait of Our Lady.  She then appeared to a poor shepherd, Mikolaj Sikatka, in 1850 who promoted her devotion.  She foretold of a cholera epidemic and interceded for the healing of many who sought her help._x000D_
_x000D_
#### Source Material_x000D_
_x000D_
* [Official site](https://www.lichen.pl/)
_x000D_
_x000D_
| The Real Presence | Miracle Hunter | MaryPages |_x000D_
| --- | --- | --- |_x000D_
| [Link](http://www.therealpresence.org/eucharst/misc/BVM/110_LICHEN_96x96.pdf) | [Link](http://www.miraclehunter.com/marian_apparitions/approved_apparitions/gietrzwald/index.html) | [Link](https://www.marypages.com/lichen-(poland)-holy-mother-of-sorrow-en.html) |_x000D_
_x000D_
_x000D_
_x000D_
_x000D_
</v>
      </c>
      <c r="BY112" s="24" t="str">
        <f>IF(AR112,VLOOKUP(C112,'(Ref) Countries'!A:B,2,)&amp;IF(LEN(D112)&gt;1,"-"&amp;LOWER(SUBSTITUTE(D112," ","-")),"")&amp;"-"&amp;LOWER(SUBSTITUTE(I112," ","-"))&amp;".md","")</f>
        <v>pl-basilica-of-our-lady-of-lichen.md</v>
      </c>
      <c r="BZ112" s="38" t="str">
        <f>IF(LEN(AG112)&gt;1,VLOOKUP(AG112,'Tag List'!$A:$B,2,),"")</f>
        <v/>
      </c>
      <c r="CA112" s="38" t="str">
        <f>IF(LEN(AH112)&gt;1,VLOOKUP(AH112,'Tag List'!$A:$B,2,),"")</f>
        <v/>
      </c>
      <c r="CB112" s="38" t="str">
        <f>IF(LEN(AI112)&gt;1,VLOOKUP(AI112,'Tag List'!$A:$B,2,),"")</f>
        <v/>
      </c>
      <c r="CC112" s="38" t="str">
        <f>IF(LEN(AG112)&gt;1,GetTagPage(BZ112,AG112),"")</f>
        <v/>
      </c>
      <c r="CD112" s="38" t="str">
        <f>IF(LEN(AH112)&gt;1,GetTagPage(CA112,AH112),"")</f>
        <v/>
      </c>
      <c r="CE112" s="38" t="str">
        <f>IF(LEN(AI112)&gt;1,GetTagPage(CB112,AI112),"")</f>
        <v/>
      </c>
      <c r="CF112" s="38" t="str">
        <f>"|"&amp;IF(LEN(CC112)&gt;1," "&amp;CC112,"")&amp;IF(LEN(CD112)&gt;1,", "&amp;CD112,"")&amp;IF(LEN(CE112)&gt;1,", "&amp;CE112,"")&amp;" "</f>
        <v xml:space="preserve">| </v>
      </c>
      <c r="CG112" s="38" t="str">
        <f>"| "&amp;IF(AR112,"["&amp;B112&amp;"](/places/"&amp;SUBSTITUTE(BY112,".md","")&amp;")",B112)&amp;" "</f>
        <v xml:space="preserve">| [Licheń](/places/pl-basilica-of-our-lady-of-lichen) </v>
      </c>
      <c r="CH112" s="38" t="str">
        <f>"| "&amp;IF(AR112,GetTagPage(C112,VLOOKUP(C112,'(Ref) Countries'!A:C,3,)),C112)&amp; " "</f>
        <v xml:space="preserve">| [Poland](/tags/poland) </v>
      </c>
      <c r="CI112" s="38" t="str">
        <f>"| "&amp;E112&amp;" "</f>
        <v xml:space="preserve">| 1813-1850 </v>
      </c>
      <c r="CJ112" s="38" t="str">
        <f>"|"&amp;IF(AR112," [Link](/places/"&amp;SUBSTITUTE(BY112,".md","")&amp;")","")&amp;" "</f>
        <v xml:space="preserve">| [Link](/places/pl-basilica-of-our-lady-of-lichen) </v>
      </c>
      <c r="CK112" s="37" t="str">
        <f>"
"&amp;CG112&amp;CH112&amp;CI112&amp;CJ112&amp;BL112&amp;BQ112&amp;BR112&amp;BS112&amp;CF112&amp;"|"</f>
        <v xml:space="preserve">
| [Licheń](/places/pl-basilica-of-our-lady-of-lichen) | [Poland](/tags/poland) | 1813-1850 | [Link](/places/pl-basilica-of-our-lady-of-lichen) [Official site](https://www.lichen.pl/)[Link](http://www.therealpresence.org/eucharst/misc/BVM/110_LICHEN_96x96.pdf)[Link](http://www.miraclehunter.com/marian_apparitions/approved_apparitions/gietrzwald/index.html)[Link](https://www.marypages.com/lichen-(poland)-holy-mother-of-sorrow-en.html)| |</v>
      </c>
    </row>
    <row r="113" spans="1:89" ht="229.5" x14ac:dyDescent="0.25">
      <c r="A113" s="25" t="s">
        <v>1324</v>
      </c>
      <c r="B113" s="28" t="s">
        <v>1026</v>
      </c>
      <c r="C113" s="35" t="s">
        <v>557</v>
      </c>
      <c r="D113" s="43" t="s">
        <v>1026</v>
      </c>
      <c r="E113" s="31">
        <v>1830</v>
      </c>
      <c r="F113" s="71">
        <v>48.850785899999998</v>
      </c>
      <c r="G113" s="67">
        <v>2.3229912000000001</v>
      </c>
      <c r="H113" s="29" t="s">
        <v>459</v>
      </c>
      <c r="I113" s="75" t="s">
        <v>459</v>
      </c>
      <c r="J113" s="30" t="s">
        <v>1728</v>
      </c>
      <c r="K113" s="32" t="b">
        <v>1</v>
      </c>
      <c r="L113" s="30" t="b">
        <v>1</v>
      </c>
      <c r="M113" s="30" t="b">
        <v>1</v>
      </c>
      <c r="N113" s="54" t="s">
        <v>1732</v>
      </c>
      <c r="O113" s="80" t="s">
        <v>1762</v>
      </c>
      <c r="P113" s="30" t="s">
        <v>416</v>
      </c>
      <c r="Q113" s="30" t="s">
        <v>336</v>
      </c>
      <c r="AA113" s="71" t="s">
        <v>287</v>
      </c>
      <c r="AB113" s="30" t="s">
        <v>336</v>
      </c>
      <c r="AC113" s="30" t="s">
        <v>461</v>
      </c>
      <c r="AD113" s="30" t="s">
        <v>336</v>
      </c>
      <c r="AE113" s="30" t="s">
        <v>460</v>
      </c>
      <c r="AF113" s="67" t="s">
        <v>336</v>
      </c>
      <c r="AG113" s="44" t="s">
        <v>488</v>
      </c>
      <c r="AH113" s="45" t="s">
        <v>1715</v>
      </c>
      <c r="AI113" s="55" t="s">
        <v>1733</v>
      </c>
      <c r="AJ113" s="55"/>
      <c r="AK113" s="55"/>
      <c r="AL113" s="55"/>
      <c r="AM113" s="55"/>
      <c r="AN113" s="55"/>
      <c r="AO113" s="55"/>
      <c r="AP113" s="114"/>
      <c r="AR113" s="36" t="b">
        <f>IF(OR(A113="Done",A113="In Progress"),TRUE)</f>
        <v>1</v>
      </c>
      <c r="AS113" s="37" t="str">
        <f>"title: """&amp;H113&amp;""""</f>
        <v>title: "Chapel of Our Lady of the Miraculous Medal"</v>
      </c>
      <c r="AT113" s="37" t="str">
        <f>"location: {lat: "&amp;F113&amp;", lng: "&amp;G113&amp;"}"</f>
        <v>location: {lat: 48.8507859, lng: 2.3229912}</v>
      </c>
      <c r="AU113" s="37" t="str">
        <f>"level: "&amp;J113</f>
        <v>level: global</v>
      </c>
      <c r="AV113" s="37" t="str">
        <f>"- "&amp;VLOOKUP(C113,'(Ref) Countries'!A:C,3,)</f>
        <v>- france</v>
      </c>
      <c r="AW113" s="37" t="str">
        <f t="shared" si="24"/>
        <v>- paris</v>
      </c>
      <c r="AX113" s="37" t="str">
        <f t="shared" si="25"/>
        <v>- churches</v>
      </c>
      <c r="AY113" s="37" t="str">
        <f t="shared" si="26"/>
        <v>- marian-sites</v>
      </c>
      <c r="AZ113" s="37" t="str">
        <f t="shared" si="27"/>
        <v>- holy-persons</v>
      </c>
      <c r="BA113" s="37" t="str">
        <f t="shared" si="28"/>
        <v>- catherine-laboure</v>
      </c>
      <c r="BB113" s="37" t="str">
        <f t="shared" si="29"/>
        <v>- vincent-de-paul</v>
      </c>
      <c r="BC113" s="37" t="str">
        <f t="shared" si="30"/>
        <v>- louise-de-marillac</v>
      </c>
      <c r="BD113" s="37" t="str">
        <f t="shared" si="31"/>
        <v/>
      </c>
      <c r="BE113" s="37" t="str">
        <f t="shared" si="32"/>
        <v/>
      </c>
      <c r="BF113" s="37" t="str">
        <f t="shared" si="33"/>
        <v/>
      </c>
      <c r="BG113" s="37" t="str">
        <f t="shared" si="34"/>
        <v/>
      </c>
      <c r="BH113" s="37" t="str">
        <f t="shared" si="35"/>
        <v/>
      </c>
      <c r="BI113" s="37" t="str">
        <f t="shared" si="36"/>
        <v/>
      </c>
      <c r="BJ113" s="37" t="str">
        <f t="shared" si="37"/>
        <v/>
      </c>
      <c r="BK113" s="37" t="str">
        <f t="shared" si="38"/>
        <v xml:space="preserve">tags:
- france_x000D_
- paris_x000D_
- churches_x000D_
- marian-sites_x000D_
- holy-persons_x000D_
- catherine-laboure_x000D_
- vincent-de-paul_x000D_
- louise-de-marillac_x000D_
</v>
      </c>
      <c r="BL113" s="38" t="str">
        <f t="shared" si="39"/>
        <v>[Official site](https://www.chapellenotredamedelamedaillemiraculeuse.com/)</v>
      </c>
      <c r="BM113" s="38" t="str">
        <f t="shared" si="40"/>
        <v/>
      </c>
      <c r="BN113" s="38" t="str">
        <f t="shared" si="41"/>
        <v/>
      </c>
      <c r="BO113" s="38" t="str">
        <f t="shared" si="42"/>
        <v/>
      </c>
      <c r="BP113" s="38" t="str">
        <f t="shared" si="43"/>
        <v xml:space="preserve">* [Official site](https://www.chapellenotredamedelamedaillemiraculeuse.com/)
</v>
      </c>
      <c r="BQ113" s="38" t="str">
        <f t="shared" si="44"/>
        <v>[Link](http://www.therealpresence.org/eucharst/misc/BVM/06_PARIGI_60x96.pdf)</v>
      </c>
      <c r="BR113" s="38" t="str">
        <f t="shared" si="45"/>
        <v>[Link](https://www.miraclehunter.com/marian_apparitions/approved_apparitions/ruedubac/index.html)</v>
      </c>
      <c r="BS113" s="38" t="str">
        <f t="shared" si="46"/>
        <v>[Link](https://www.marypages.com/paris-(france)-en.html)</v>
      </c>
      <c r="BT113" s="38" t="str">
        <f>IF(LEN(concat(BQ113:BS113))&gt;0,concat("| ",BQ113," | ",BR113," | ",BS113," |"),"")</f>
        <v>| [Link](http://www.therealpresence.org/eucharst/misc/BVM/06_PARIGI_60x96.pdf) | [Link](https://www.miraclehunter.com/marian_apparitions/approved_apparitions/ruedubac/index.html) | [Link](https://www.marypages.com/paris-(france)-en.html) |</v>
      </c>
      <c r="BU113" s="37" t="str">
        <f t="shared" si="47"/>
        <v xml:space="preserve">| The Real Presence | Miracle Hunter | MaryPages |_x000D_
| --- | --- | --- |_x000D_
| [Link](http://www.therealpresence.org/eucharst/misc/BVM/06_PARIGI_60x96.pdf) | [Link](https://www.miraclehunter.com/marian_apparitions/approved_apparitions/ruedubac/index.html) | [Link](https://www.marypages.com/paris-(france)-en.html) |_x000D_
</v>
      </c>
      <c r="BV113" s="37" t="str">
        <f>IF(LEN(BP113&amp;BU113)&gt;0,concatll("#### Source Material",BP113,BU113),"")</f>
        <v xml:space="preserve">#### Source Material_x000D_
_x000D_
* [Official site](https://www.chapellenotredamedelamedaillemiraculeuse.com/)
_x000D_
_x000D_
| The Real Presence | Miracle Hunter | MaryPages |_x000D_
| --- | --- | --- |_x000D_
| [Link](http://www.therealpresence.org/eucharst/misc/BVM/06_PARIGI_60x96.pdf) | [Link](https://www.miraclehunter.com/marian_apparitions/approved_apparitions/ruedubac/index.html) | [Link](https://www.marypages.com/paris-(france)-en.html) |_x000D_
_x000D_
_x000D_
</v>
      </c>
      <c r="BW113" s="37" t="str">
        <f>IF(LEN(O113)&gt;1,concatll("#### Author's Note",O113),"")</f>
        <v xml:space="preserve">#### Author's Note_x000D_
_x000D_
Located in central Paris, OLMM is one of the more easily accessible Marian apparition sites, and often draws large crowds of pilgrims.  The nearby [St. Vincent de Paul Chapel](fr-paris-st-vincent-de-paul-chapel) is a short walk away and is often more peaceful.
OLMM is also a rare apparition site where the exact location of Our Blessed Mother is documented in precise detail.  The giftshop sells postcards detailing where in the chapel Mary appeared in each apparition to St. Catherine Laboure.
See also the related apparition of [Our Lady of Zion](/places/it-rome-sant-andrea-delle-fratte) in Rome.
-JMM_x000D_
_x000D_
</v>
      </c>
      <c r="BX113" s="24" t="str">
        <f>IF(AR113,concatll(concatl("---",AS113:AU113,BK113,"---"),N113,BV113:BW113),"")</f>
        <v xml:space="preserve">---_x000D_
title: "Chapel of Our Lady of the Miraculous Medal"_x000D_
location: {lat: 48.8507859, lng: 2.3229912}_x000D_
level: global_x000D_
tags:
- france_x000D_
- paris_x000D_
- churches_x000D_
- marian-sites_x000D_
- holy-persons_x000D_
- catherine-laboure_x000D_
- vincent-de-paul_x000D_
- louise-de-marillac_x000D_
_x000D_
---_x000D_
_x000D_
_x000D_
Catherine Laboure, a novitiate in the order of the Sisters of Charity, received various visions of St. Vincent de Paul and of Jesus present in the Eucharist, before also experiencing two apparitions of the Blessed Virgin Mary.  In the first vision, 1830, Catherine was told of the impending travails of France and of an unspecified future mission.  Several months later she received a message detailing the designs for a medal, later known as the Miraculous Medal, now reproduced over a billion times and distributed around the world.  The apparition was investigated in 1836 and later approved.  St. Catherine worked for 46 more years in hospices of her Order tending to the aged and infirmed, and is now known as the patroness of seniors.  Her body currently lies incorrupt at the site of the apparition in Paris (immediate right side of the altar), alongside St. Louise de Marillac (left of the altar) and the heart of St. Vincent de Paul (furthest right)._x000D_
_x000D_
#### Source Material_x000D_
_x000D_
* [Official site](https://www.chapellenotredamedelamedaillemiraculeuse.com/)
_x000D_
_x000D_
| The Real Presence | Miracle Hunter | MaryPages |_x000D_
| --- | --- | --- |_x000D_
| [Link](http://www.therealpresence.org/eucharst/misc/BVM/06_PARIGI_60x96.pdf) | [Link](https://www.miraclehunter.com/marian_apparitions/approved_apparitions/ruedubac/index.html) | [Link](https://www.marypages.com/paris-(france)-en.html) |_x000D_
_x000D_
_x000D_
_x000D_
_x000D_
#### Author's Note_x000D_
_x000D_
Located in central Paris, OLMM is one of the more easily accessible Marian apparition sites, and often draws large crowds of pilgrims.  The nearby [St. Vincent de Paul Chapel](fr-paris-st-vincent-de-paul-chapel) is a short walk away and is often more peaceful.
OLMM is also a rare apparition site where the exact location of Our Blessed Mother is documented in precise detail.  The giftshop sells postcards detailing where in the chapel Mary appeared in each apparition to St. Catherine Laboure.
See also the related apparition of [Our Lady of Zion](/places/it-rome-sant-andrea-delle-fratte) in Rome.
-JMM_x000D_
_x000D_
_x000D_
_x000D_
</v>
      </c>
      <c r="BY113" s="24" t="str">
        <f>IF(AR113,VLOOKUP(C113,'(Ref) Countries'!A:B,2,)&amp;IF(LEN(D113)&gt;1,"-"&amp;LOWER(SUBSTITUTE(D113," ","-")),"")&amp;"-"&amp;LOWER(SUBSTITUTE(I113," ","-"))&amp;".md","")</f>
        <v>fr-paris-chapel-of-our-lady-of-the-miraculous-medal.md</v>
      </c>
      <c r="BZ113" s="46" t="str">
        <f>IF(LEN(AG113)&gt;1,VLOOKUP(AG113,'Tag List'!$A:$B,2,),"")</f>
        <v>St. Catherine Laboure</v>
      </c>
      <c r="CA113" s="46" t="str">
        <f>IF(LEN(AH113)&gt;1,VLOOKUP(AH113,'Tag List'!$A:$B,2,),"")</f>
        <v>St. Vincent de Paul</v>
      </c>
      <c r="CB113" s="46" t="str">
        <f>IF(LEN(AI113)&gt;1,VLOOKUP(AI113,'Tag List'!$A:$B,2,),"")</f>
        <v>St. Louise de Marillac</v>
      </c>
      <c r="CC113" s="38" t="str">
        <f>IF(LEN(AG113)&gt;1,GetTagPage(BZ113,AG113),"")</f>
        <v>[St. Catherine Laboure](/tags/catherine-laboure)</v>
      </c>
      <c r="CD113" s="38" t="str">
        <f>IF(LEN(AH113)&gt;1,GetTagPage(CA113,AH113),"")</f>
        <v>[St. Vincent de Paul](/tags/vincent-de-paul)</v>
      </c>
      <c r="CE113" s="38" t="str">
        <f>IF(LEN(AI113)&gt;1,GetTagPage(CB113,AI113),"")</f>
        <v>[St. Louise de Marillac](/tags/louise-de-marillac)</v>
      </c>
      <c r="CF113" s="38" t="str">
        <f>"|"&amp;IF(LEN(CC113)&gt;1," "&amp;CC113,"")&amp;IF(LEN(CD113)&gt;1,", "&amp;CD113,"")&amp;IF(LEN(CE113)&gt;1,", "&amp;CE113,"")&amp;" "</f>
        <v xml:space="preserve">| [St. Catherine Laboure](/tags/catherine-laboure), [St. Vincent de Paul](/tags/vincent-de-paul), [St. Louise de Marillac](/tags/louise-de-marillac) </v>
      </c>
      <c r="CG113" s="38" t="str">
        <f>"| "&amp;IF(AR113,"["&amp;B113&amp;"](/places/"&amp;SUBSTITUTE(BY113,".md","")&amp;")",B113)&amp;" "</f>
        <v xml:space="preserve">| [Paris](/places/fr-paris-chapel-of-our-lady-of-the-miraculous-medal) </v>
      </c>
      <c r="CH113" s="38" t="str">
        <f>"| "&amp;IF(AR113,GetTagPage(C113,VLOOKUP(C113,'(Ref) Countries'!A:C,3,)),C113)&amp; " "</f>
        <v xml:space="preserve">| [France](/tags/france) </v>
      </c>
      <c r="CI113" s="38" t="str">
        <f>"| "&amp;E113&amp;" "</f>
        <v xml:space="preserve">| 1830 </v>
      </c>
      <c r="CJ113" s="38" t="str">
        <f>"|"&amp;IF(AR113," [Link](/places/"&amp;SUBSTITUTE(BY113,".md","")&amp;")","")&amp;" "</f>
        <v xml:space="preserve">| [Link](/places/fr-paris-chapel-of-our-lady-of-the-miraculous-medal) </v>
      </c>
      <c r="CK113" s="37" t="str">
        <f>"
"&amp;CG113&amp;CH113&amp;CI113&amp;CJ113&amp;BL113&amp;BQ113&amp;BR113&amp;BS113&amp;CF113&amp;"|"</f>
        <v xml:space="preserve">
| [Paris](/places/fr-paris-chapel-of-our-lady-of-the-miraculous-medal) | [France](/tags/france) | 1830 | [Link](/places/fr-paris-chapel-of-our-lady-of-the-miraculous-medal) [Official site](https://www.chapellenotredamedelamedaillemiraculeuse.com/)[Link](http://www.therealpresence.org/eucharst/misc/BVM/06_PARIGI_60x96.pdf)[Link](https://www.miraclehunter.com/marian_apparitions/approved_apparitions/ruedubac/index.html)[Link](https://www.marypages.com/paris-(france)-en.html)| [St. Catherine Laboure](/tags/catherine-laboure), [St. Vincent de Paul](/tags/vincent-de-paul), [St. Louise de Marillac](/tags/louise-de-marillac) |</v>
      </c>
    </row>
    <row r="114" spans="1:89" ht="76.5" x14ac:dyDescent="0.25">
      <c r="A114" s="25" t="s">
        <v>1324</v>
      </c>
      <c r="B114" s="28" t="s">
        <v>1005</v>
      </c>
      <c r="C114" s="29" t="s">
        <v>11</v>
      </c>
      <c r="D114" s="43" t="s">
        <v>1005</v>
      </c>
      <c r="E114" s="31">
        <v>1842</v>
      </c>
      <c r="F114" s="71">
        <v>41.903563699999999</v>
      </c>
      <c r="G114" s="67">
        <v>12.483673899999999</v>
      </c>
      <c r="H114" s="29" t="s">
        <v>1029</v>
      </c>
      <c r="I114" s="75" t="s">
        <v>1030</v>
      </c>
      <c r="J114" s="30" t="s">
        <v>1728</v>
      </c>
      <c r="K114" s="32" t="b">
        <v>1</v>
      </c>
      <c r="L114" s="30" t="b">
        <v>1</v>
      </c>
      <c r="N114" s="54" t="s">
        <v>1763</v>
      </c>
      <c r="P114" s="30" t="s">
        <v>414</v>
      </c>
      <c r="Q114" s="30" t="s">
        <v>336</v>
      </c>
      <c r="AA114" s="71" t="s">
        <v>288</v>
      </c>
      <c r="AB114" s="30" t="s">
        <v>336</v>
      </c>
      <c r="AC114" s="30" t="s">
        <v>457</v>
      </c>
      <c r="AD114" s="30" t="s">
        <v>336</v>
      </c>
      <c r="AE114" s="30" t="s">
        <v>458</v>
      </c>
      <c r="AF114" s="67" t="s">
        <v>336</v>
      </c>
      <c r="AG114" s="44" t="s">
        <v>489</v>
      </c>
      <c r="AH114" s="45"/>
      <c r="AI114" s="44"/>
      <c r="AJ114" s="44"/>
      <c r="AK114" s="44"/>
      <c r="AL114" s="44"/>
      <c r="AM114" s="44"/>
      <c r="AN114" s="44"/>
      <c r="AO114" s="44"/>
      <c r="AP114" s="110"/>
      <c r="AR114" s="36" t="b">
        <f>IF(OR(A114="Done",A114="In Progress"),TRUE)</f>
        <v>1</v>
      </c>
      <c r="AS114" s="37" t="str">
        <f>"title: """&amp;H114&amp;""""</f>
        <v>title: "Sant'Andrea delle Fratte (Shrine of Our Lady of the Miracle, Our Lady of Zion)"</v>
      </c>
      <c r="AT114" s="37" t="str">
        <f>"location: {lat: "&amp;F114&amp;", lng: "&amp;G114&amp;"}"</f>
        <v>location: {lat: 41.9035637, lng: 12.4836739}</v>
      </c>
      <c r="AU114" s="37" t="str">
        <f>"level: "&amp;J114</f>
        <v>level: global</v>
      </c>
      <c r="AV114" s="37" t="str">
        <f>"- "&amp;VLOOKUP(C114,'(Ref) Countries'!A:C,3,)</f>
        <v>- italy</v>
      </c>
      <c r="AW114" s="37" t="str">
        <f t="shared" si="24"/>
        <v>- rome</v>
      </c>
      <c r="AX114" s="37" t="str">
        <f t="shared" si="25"/>
        <v>- churches</v>
      </c>
      <c r="AY114" s="37" t="str">
        <f t="shared" si="26"/>
        <v>- marian-sites</v>
      </c>
      <c r="AZ114" s="37" t="str">
        <f t="shared" si="27"/>
        <v/>
      </c>
      <c r="BA114" s="37" t="str">
        <f t="shared" si="28"/>
        <v>- marie-alphonse-ratisbonne</v>
      </c>
      <c r="BB114" s="37" t="str">
        <f t="shared" si="29"/>
        <v/>
      </c>
      <c r="BC114" s="37" t="str">
        <f t="shared" si="30"/>
        <v/>
      </c>
      <c r="BD114" s="37" t="str">
        <f t="shared" si="31"/>
        <v/>
      </c>
      <c r="BE114" s="37" t="str">
        <f t="shared" si="32"/>
        <v/>
      </c>
      <c r="BF114" s="37" t="str">
        <f t="shared" si="33"/>
        <v/>
      </c>
      <c r="BG114" s="37" t="str">
        <f t="shared" si="34"/>
        <v/>
      </c>
      <c r="BH114" s="37" t="str">
        <f t="shared" si="35"/>
        <v/>
      </c>
      <c r="BI114" s="37" t="str">
        <f t="shared" si="36"/>
        <v/>
      </c>
      <c r="BJ114" s="37" t="str">
        <f t="shared" si="37"/>
        <v/>
      </c>
      <c r="BK114" s="37" t="str">
        <f t="shared" si="38"/>
        <v xml:space="preserve">tags:
- italy_x000D_
- rome_x000D_
- churches_x000D_
- marian-sites_x000D_
- marie-alphonse-ratisbonne_x000D_
</v>
      </c>
      <c r="BL114" s="38" t="str">
        <f t="shared" si="39"/>
        <v>[Official site](https://www.madonnadelmiracolo.it/)</v>
      </c>
      <c r="BM114" s="38" t="str">
        <f t="shared" si="40"/>
        <v/>
      </c>
      <c r="BN114" s="38" t="str">
        <f t="shared" si="41"/>
        <v/>
      </c>
      <c r="BO114" s="38" t="str">
        <f t="shared" si="42"/>
        <v/>
      </c>
      <c r="BP114" s="38" t="str">
        <f t="shared" si="43"/>
        <v xml:space="preserve">* [Official site](https://www.madonnadelmiracolo.it/)
</v>
      </c>
      <c r="BQ114" s="38" t="str">
        <f t="shared" si="44"/>
        <v>[Link](http://www.therealpresence.org/eucharst/misc/BVM/23_ROMA_60x96.pdf)</v>
      </c>
      <c r="BR114" s="38" t="str">
        <f t="shared" si="45"/>
        <v>[Link](https://www.miraclehunter.com/marian_apparitions/approved_apparitions/rome1842/index.html)</v>
      </c>
      <c r="BS114" s="38" t="str">
        <f t="shared" si="46"/>
        <v>[Link](https://www.marypages.com/rome-(itali%C3%AB).html)</v>
      </c>
      <c r="BT114" s="38" t="str">
        <f>IF(LEN(concat(BQ114:BS114))&gt;0,concat("| ",BQ114," | ",BR114," | ",BS114," |"),"")</f>
        <v>| [Link](http://www.therealpresence.org/eucharst/misc/BVM/23_ROMA_60x96.pdf) | [Link](https://www.miraclehunter.com/marian_apparitions/approved_apparitions/rome1842/index.html) | [Link](https://www.marypages.com/rome-(itali%C3%AB).html) |</v>
      </c>
      <c r="BU114" s="37" t="str">
        <f t="shared" si="47"/>
        <v xml:space="preserve">| The Real Presence | Miracle Hunter | MaryPages |_x000D_
| --- | --- | --- |_x000D_
| [Link](http://www.therealpresence.org/eucharst/misc/BVM/23_ROMA_60x96.pdf) | [Link](https://www.miraclehunter.com/marian_apparitions/approved_apparitions/rome1842/index.html) | [Link](https://www.marypages.com/rome-(itali%C3%AB).html) |_x000D_
</v>
      </c>
      <c r="BV114" s="37" t="str">
        <f>IF(LEN(BP114&amp;BU114)&gt;0,concatll("#### Source Material",BP114,BU114),"")</f>
        <v xml:space="preserve">#### Source Material_x000D_
_x000D_
* [Official site](https://www.madonnadelmiracolo.it/)
_x000D_
_x000D_
| The Real Presence | Miracle Hunter | MaryPages |_x000D_
| --- | --- | --- |_x000D_
| [Link](http://www.therealpresence.org/eucharst/misc/BVM/23_ROMA_60x96.pdf) | [Link](https://www.miraclehunter.com/marian_apparitions/approved_apparitions/rome1842/index.html) | [Link](https://www.marypages.com/rome-(itali%C3%AB).html) |_x000D_
_x000D_
_x000D_
</v>
      </c>
      <c r="BW114" s="37" t="str">
        <f>IF(LEN(O114)&gt;1,concatll("#### Author's Note",O114),"")</f>
        <v/>
      </c>
      <c r="BX114" s="24" t="str">
        <f>IF(AR114,concatll(concatl("---",AS114:AU114,BK114,"---"),N114,BV114:BW114),"")</f>
        <v xml:space="preserve">---_x000D_
title: "Sant'Andrea delle Fratte (Shrine of Our Lady of the Miracle, Our Lady of Zion)"_x000D_
location: {lat: 41.9035637, lng: 12.4836739}_x000D_
level: global_x000D_
tags:
- italy_x000D_
- rome_x000D_
- churches_x000D_
- marian-sites_x000D_
- marie-alphonse-ratisbonne_x000D_
_x000D_
---_x000D_
_x000D_
_x000D_
Marie Alphonse Ratisbonne, an anti-Catholic Jew, befriended a baron in Rome and began wearing the [Miraculous Medal](/places/fr-paris-chapel-of-our-lady-of-the-miraculous-medal) as a simple test.  On January 20, 1842, after entering the church of Sant'Andrea delle Fratte, Ratisbonne experienced a vision of the Blessed Virgin Mary.  He converted to Catholicism, joined the priesthood, and began a ministry for the conversion of Jews._x000D_
_x000D_
#### Source Material_x000D_
_x000D_
* [Official site](https://www.madonnadelmiracolo.it/)
_x000D_
_x000D_
| The Real Presence | Miracle Hunter | MaryPages |_x000D_
| --- | --- | --- |_x000D_
| [Link](http://www.therealpresence.org/eucharst/misc/BVM/23_ROMA_60x96.pdf) | [Link](https://www.miraclehunter.com/marian_apparitions/approved_apparitions/rome1842/index.html) | [Link](https://www.marypages.com/rome-(itali%C3%AB).html) |_x000D_
_x000D_
_x000D_
_x000D_
_x000D_
</v>
      </c>
      <c r="BY114" s="24" t="str">
        <f>IF(AR114,VLOOKUP(C114,'(Ref) Countries'!A:B,2,)&amp;IF(LEN(D114)&gt;1,"-"&amp;LOWER(SUBSTITUTE(D114," ","-")),"")&amp;"-"&amp;LOWER(SUBSTITUTE(I114," ","-"))&amp;".md","")</f>
        <v>it-rome-sant-andrea-delle-fratte.md</v>
      </c>
      <c r="BZ114" s="46" t="str">
        <f>IF(LEN(AG114)&gt;1,VLOOKUP(AG114,'Tag List'!$A:$B,2,),"")</f>
        <v>Fr. Marie-Alphonse Ratisbonne</v>
      </c>
      <c r="CA114" s="46" t="str">
        <f>IF(LEN(AH114)&gt;1,VLOOKUP(AH114,'Tag List'!$A:$B,2,),"")</f>
        <v/>
      </c>
      <c r="CB114" s="46" t="str">
        <f>IF(LEN(AI114)&gt;1,VLOOKUP(AI114,'Tag List'!$A:$B,2,),"")</f>
        <v/>
      </c>
      <c r="CC114" s="38" t="str">
        <f>IF(LEN(AG114)&gt;1,GetTagPage(BZ114,AG114),"")</f>
        <v>[Fr. Marie-Alphonse Ratisbonne](/tags/marie-alphonse-ratisbonne)</v>
      </c>
      <c r="CD114" s="38" t="str">
        <f>IF(LEN(AH114)&gt;1,GetTagPage(CA114,AH114),"")</f>
        <v/>
      </c>
      <c r="CE114" s="38" t="str">
        <f>IF(LEN(AI114)&gt;1,GetTagPage(CB114,AI114),"")</f>
        <v/>
      </c>
      <c r="CF114" s="38" t="str">
        <f>"|"&amp;IF(LEN(CC114)&gt;1," "&amp;CC114,"")&amp;IF(LEN(CD114)&gt;1,", "&amp;CD114,"")&amp;IF(LEN(CE114)&gt;1,", "&amp;CE114,"")&amp;" "</f>
        <v xml:space="preserve">| [Fr. Marie-Alphonse Ratisbonne](/tags/marie-alphonse-ratisbonne) </v>
      </c>
      <c r="CG114" s="38" t="str">
        <f>"| "&amp;IF(AR114,"["&amp;B114&amp;"](/places/"&amp;SUBSTITUTE(BY114,".md","")&amp;")",B114)&amp;" "</f>
        <v xml:space="preserve">| [Rome](/places/it-rome-sant-andrea-delle-fratte) </v>
      </c>
      <c r="CH114" s="38" t="str">
        <f>"| "&amp;IF(AR114,GetTagPage(C114,VLOOKUP(C114,'(Ref) Countries'!A:C,3,)),C114)&amp; " "</f>
        <v xml:space="preserve">| [Italy](/tags/italy) </v>
      </c>
      <c r="CI114" s="38" t="str">
        <f>"| "&amp;E114&amp;" "</f>
        <v xml:space="preserve">| 1842 </v>
      </c>
      <c r="CJ114" s="38" t="str">
        <f>"|"&amp;IF(AR114," [Link](/places/"&amp;SUBSTITUTE(BY114,".md","")&amp;")","")&amp;" "</f>
        <v xml:space="preserve">| [Link](/places/it-rome-sant-andrea-delle-fratte) </v>
      </c>
      <c r="CK114" s="37" t="str">
        <f>"
"&amp;CG114&amp;CH114&amp;CI114&amp;CJ114&amp;BL114&amp;BQ114&amp;BR114&amp;BS114&amp;CF114&amp;"|"</f>
        <v xml:space="preserve">
| [Rome](/places/it-rome-sant-andrea-delle-fratte) | [Italy](/tags/italy) | 1842 | [Link](/places/it-rome-sant-andrea-delle-fratte) [Official site](https://www.madonnadelmiracolo.it/)[Link](http://www.therealpresence.org/eucharst/misc/BVM/23_ROMA_60x96.pdf)[Link](https://www.miraclehunter.com/marian_apparitions/approved_apparitions/rome1842/index.html)[Link](https://www.marypages.com/rome-(itali%C3%AB).html)| [Fr. Marie-Alphonse Ratisbonne](/tags/marie-alphonse-ratisbonne) |</v>
      </c>
    </row>
    <row r="115" spans="1:89" ht="51" x14ac:dyDescent="0.25">
      <c r="A115" s="25" t="s">
        <v>1324</v>
      </c>
      <c r="B115" s="28" t="s">
        <v>1027</v>
      </c>
      <c r="C115" s="29" t="s">
        <v>557</v>
      </c>
      <c r="E115" s="31">
        <v>1846</v>
      </c>
      <c r="F115" s="71">
        <v>44.8586296</v>
      </c>
      <c r="G115" s="67">
        <v>5.9788043999999996</v>
      </c>
      <c r="H115" s="29" t="s">
        <v>1028</v>
      </c>
      <c r="I115" s="75" t="s">
        <v>1028</v>
      </c>
      <c r="J115" s="30" t="s">
        <v>1728</v>
      </c>
      <c r="K115" s="32" t="b">
        <v>1</v>
      </c>
      <c r="L115" s="30" t="b">
        <v>1</v>
      </c>
      <c r="N115" s="29" t="s">
        <v>475</v>
      </c>
      <c r="P115" s="30" t="s">
        <v>412</v>
      </c>
      <c r="Q115" s="30" t="s">
        <v>336</v>
      </c>
      <c r="AA115" s="71" t="s">
        <v>289</v>
      </c>
      <c r="AB115" s="30" t="s">
        <v>336</v>
      </c>
      <c r="AC115" s="30" t="s">
        <v>476</v>
      </c>
      <c r="AD115" s="30" t="s">
        <v>336</v>
      </c>
      <c r="AE115" s="30" t="s">
        <v>477</v>
      </c>
      <c r="AF115" s="67" t="s">
        <v>336</v>
      </c>
      <c r="AG115" s="33" t="s">
        <v>336</v>
      </c>
      <c r="AH115" s="33"/>
      <c r="AI115" s="33"/>
      <c r="AJ115" s="33"/>
      <c r="AK115" s="33"/>
      <c r="AL115" s="33"/>
      <c r="AM115" s="33"/>
      <c r="AN115" s="33"/>
      <c r="AO115" s="33"/>
      <c r="AP115" s="113"/>
      <c r="AR115" s="36" t="b">
        <f>IF(OR(A115="Done",A115="In Progress"),TRUE)</f>
        <v>1</v>
      </c>
      <c r="AS115" s="37" t="str">
        <f>"title: """&amp;H115&amp;""""</f>
        <v>title: "Sanctuary of Our Lady of La Salette"</v>
      </c>
      <c r="AT115" s="37" t="str">
        <f>"location: {lat: "&amp;F115&amp;", lng: "&amp;G115&amp;"}"</f>
        <v>location: {lat: 44.8586296, lng: 5.9788044}</v>
      </c>
      <c r="AU115" s="37" t="str">
        <f>"level: "&amp;J115</f>
        <v>level: global</v>
      </c>
      <c r="AV115" s="37" t="str">
        <f>"- "&amp;VLOOKUP(C115,'(Ref) Countries'!A:C,3,)</f>
        <v>- france</v>
      </c>
      <c r="AW115" s="37" t="str">
        <f t="shared" si="24"/>
        <v/>
      </c>
      <c r="AX115" s="37" t="str">
        <f t="shared" si="25"/>
        <v>- churches</v>
      </c>
      <c r="AY115" s="37" t="str">
        <f t="shared" si="26"/>
        <v>- marian-sites</v>
      </c>
      <c r="AZ115" s="37" t="str">
        <f t="shared" si="27"/>
        <v/>
      </c>
      <c r="BA115" s="37" t="str">
        <f t="shared" si="28"/>
        <v/>
      </c>
      <c r="BB115" s="37" t="str">
        <f t="shared" si="29"/>
        <v/>
      </c>
      <c r="BC115" s="37" t="str">
        <f t="shared" si="30"/>
        <v/>
      </c>
      <c r="BD115" s="37" t="str">
        <f t="shared" si="31"/>
        <v/>
      </c>
      <c r="BE115" s="37" t="str">
        <f t="shared" si="32"/>
        <v/>
      </c>
      <c r="BF115" s="37" t="str">
        <f t="shared" si="33"/>
        <v/>
      </c>
      <c r="BG115" s="37" t="str">
        <f t="shared" si="34"/>
        <v/>
      </c>
      <c r="BH115" s="37" t="str">
        <f t="shared" si="35"/>
        <v/>
      </c>
      <c r="BI115" s="37" t="str">
        <f t="shared" si="36"/>
        <v/>
      </c>
      <c r="BJ115" s="37" t="str">
        <f t="shared" si="37"/>
        <v/>
      </c>
      <c r="BK115" s="37" t="str">
        <f t="shared" si="38"/>
        <v xml:space="preserve">tags:
- france_x000D_
- churches_x000D_
- marian-sites_x000D_
</v>
      </c>
      <c r="BL115" s="38" t="str">
        <f t="shared" si="39"/>
        <v>[Official site](https://lasalette.cef.fr/)</v>
      </c>
      <c r="BM115" s="38" t="str">
        <f t="shared" si="40"/>
        <v/>
      </c>
      <c r="BN115" s="38" t="str">
        <f t="shared" si="41"/>
        <v/>
      </c>
      <c r="BO115" s="38" t="str">
        <f t="shared" si="42"/>
        <v/>
      </c>
      <c r="BP115" s="38" t="str">
        <f t="shared" si="43"/>
        <v xml:space="preserve">* [Official site](https://lasalette.cef.fr/)
</v>
      </c>
      <c r="BQ115" s="38" t="str">
        <f t="shared" si="44"/>
        <v>[Link](http://www.therealpresence.org/eucharst/misc/BVM/30_LA_SALETTE_96x96.pdf)</v>
      </c>
      <c r="BR115" s="38" t="str">
        <f t="shared" si="45"/>
        <v>[Link](https://www.miraclehunter.com/marian_apparitions/approved_apparitions/lasalette/index.html)</v>
      </c>
      <c r="BS115" s="38" t="str">
        <f t="shared" si="46"/>
        <v>[Link](https://www.marypages.com/la-salette-(france)-en.html)</v>
      </c>
      <c r="BT115" s="38" t="str">
        <f>IF(LEN(concat(BQ115:BS115))&gt;0,concat("| ",BQ115," | ",BR115," | ",BS115," |"),"")</f>
        <v>| [Link](http://www.therealpresence.org/eucharst/misc/BVM/30_LA_SALETTE_96x96.pdf) | [Link](https://www.miraclehunter.com/marian_apparitions/approved_apparitions/lasalette/index.html) | [Link](https://www.marypages.com/la-salette-(france)-en.html) |</v>
      </c>
      <c r="BU115" s="37" t="str">
        <f t="shared" si="47"/>
        <v xml:space="preserve">| The Real Presence | Miracle Hunter | MaryPages |_x000D_
| --- | --- | --- |_x000D_
| [Link](http://www.therealpresence.org/eucharst/misc/BVM/30_LA_SALETTE_96x96.pdf) | [Link](https://www.miraclehunter.com/marian_apparitions/approved_apparitions/lasalette/index.html) | [Link](https://www.marypages.com/la-salette-(france)-en.html) |_x000D_
</v>
      </c>
      <c r="BV115" s="37" t="str">
        <f>IF(LEN(BP115&amp;BU115)&gt;0,concatll("#### Source Material",BP115,BU115),"")</f>
        <v xml:space="preserve">#### Source Material_x000D_
_x000D_
* [Official site](https://lasalette.cef.fr/)
_x000D_
_x000D_
| The Real Presence | Miracle Hunter | MaryPages |_x000D_
| --- | --- | --- |_x000D_
| [Link](http://www.therealpresence.org/eucharst/misc/BVM/30_LA_SALETTE_96x96.pdf) | [Link](https://www.miraclehunter.com/marian_apparitions/approved_apparitions/lasalette/index.html) | [Link](https://www.marypages.com/la-salette-(france)-en.html) |_x000D_
_x000D_
_x000D_
</v>
      </c>
      <c r="BW115" s="37" t="str">
        <f>IF(LEN(O115)&gt;1,concatll("#### Author's Note",O115),"")</f>
        <v/>
      </c>
      <c r="BX115" s="24" t="str">
        <f>IF(AR115,concatll(concatl("---",AS115:AU115,BK115,"---"),N115,BV115:BW115),"")</f>
        <v xml:space="preserve">---_x000D_
title: "Sanctuary of Our Lady of La Salette"_x000D_
location: {lat: 44.8586296, lng: 5.9788044}_x000D_
level: global_x000D_
tags:
- france_x000D_
- churches_x000D_
- marian-sites_x000D_
_x000D_
---_x000D_
_x000D_
_x000D_
In 1846, the Blessed Virgin Mary appeared to 11-year-old Maximin Giraud and 14-year-old Melanie Calvat-Mathieu while they tended sheep in a small French Alpine village.  Her appearance in sorrow and tears called for conversion and repentance._x000D_
_x000D_
#### Source Material_x000D_
_x000D_
* [Official site](https://lasalette.cef.fr/)
_x000D_
_x000D_
| The Real Presence | Miracle Hunter | MaryPages |_x000D_
| --- | --- | --- |_x000D_
| [Link](http://www.therealpresence.org/eucharst/misc/BVM/30_LA_SALETTE_96x96.pdf) | [Link](https://www.miraclehunter.com/marian_apparitions/approved_apparitions/lasalette/index.html) | [Link](https://www.marypages.com/la-salette-(france)-en.html) |_x000D_
_x000D_
_x000D_
_x000D_
_x000D_
</v>
      </c>
      <c r="BY115" s="24" t="str">
        <f>IF(AR115,VLOOKUP(C115,'(Ref) Countries'!A:B,2,)&amp;IF(LEN(D115)&gt;1,"-"&amp;LOWER(SUBSTITUTE(D115," ","-")),"")&amp;"-"&amp;LOWER(SUBSTITUTE(I115," ","-"))&amp;".md","")</f>
        <v>fr-sanctuary-of-our-lady-of-la-salette.md</v>
      </c>
      <c r="BZ115" s="38" t="str">
        <f>IF(LEN(AG115)&gt;1,VLOOKUP(AG115,'Tag List'!$A:$B,2,),"")</f>
        <v/>
      </c>
      <c r="CA115" s="38" t="str">
        <f>IF(LEN(AH115)&gt;1,VLOOKUP(AH115,'Tag List'!$A:$B,2,),"")</f>
        <v/>
      </c>
      <c r="CB115" s="38" t="str">
        <f>IF(LEN(AI115)&gt;1,VLOOKUP(AI115,'Tag List'!$A:$B,2,),"")</f>
        <v/>
      </c>
      <c r="CC115" s="38" t="str">
        <f>IF(LEN(AG115)&gt;1,GetTagPage(BZ115,AG115),"")</f>
        <v/>
      </c>
      <c r="CD115" s="38" t="str">
        <f>IF(LEN(AH115)&gt;1,GetTagPage(CA115,AH115),"")</f>
        <v/>
      </c>
      <c r="CE115" s="38" t="str">
        <f>IF(LEN(AI115)&gt;1,GetTagPage(CB115,AI115),"")</f>
        <v/>
      </c>
      <c r="CF115" s="38" t="str">
        <f>"|"&amp;IF(LEN(CC115)&gt;1," "&amp;CC115,"")&amp;IF(LEN(CD115)&gt;1,", "&amp;CD115,"")&amp;IF(LEN(CE115)&gt;1,", "&amp;CE115,"")&amp;" "</f>
        <v xml:space="preserve">| </v>
      </c>
      <c r="CG115" s="38" t="str">
        <f>"| "&amp;IF(AR115,"["&amp;B115&amp;"](/places/"&amp;SUBSTITUTE(BY115,".md","")&amp;")",B115)&amp;" "</f>
        <v xml:space="preserve">| [La Salette](/places/fr-sanctuary-of-our-lady-of-la-salette) </v>
      </c>
      <c r="CH115" s="38" t="str">
        <f>"| "&amp;IF(AR115,GetTagPage(C115,VLOOKUP(C115,'(Ref) Countries'!A:C,3,)),C115)&amp; " "</f>
        <v xml:space="preserve">| [France](/tags/france) </v>
      </c>
      <c r="CI115" s="38" t="str">
        <f>"| "&amp;E115&amp;" "</f>
        <v xml:space="preserve">| 1846 </v>
      </c>
      <c r="CJ115" s="38" t="str">
        <f>"|"&amp;IF(AR115," [Link](/places/"&amp;SUBSTITUTE(BY115,".md","")&amp;")","")&amp;" "</f>
        <v xml:space="preserve">| [Link](/places/fr-sanctuary-of-our-lady-of-la-salette) </v>
      </c>
      <c r="CK115" s="37" t="str">
        <f>"
"&amp;CG115&amp;CH115&amp;CI115&amp;CJ115&amp;BL115&amp;BQ115&amp;BR115&amp;BS115&amp;CF115&amp;"|"</f>
        <v xml:space="preserve">
| [La Salette](/places/fr-sanctuary-of-our-lady-of-la-salette) | [France](/tags/france) | 1846 | [Link](/places/fr-sanctuary-of-our-lady-of-la-salette) [Official site](https://lasalette.cef.fr/)[Link](http://www.therealpresence.org/eucharst/misc/BVM/30_LA_SALETTE_96x96.pdf)[Link](https://www.miraclehunter.com/marian_apparitions/approved_apparitions/lasalette/index.html)[Link](https://www.marypages.com/la-salette-(france)-en.html)| |</v>
      </c>
    </row>
    <row r="116" spans="1:89" x14ac:dyDescent="0.25">
      <c r="B116" s="28" t="s">
        <v>1281</v>
      </c>
      <c r="C116" s="29" t="s">
        <v>11</v>
      </c>
      <c r="E116" s="31">
        <v>1853</v>
      </c>
      <c r="J116" s="30" t="s">
        <v>1728</v>
      </c>
      <c r="K116" s="32" t="b">
        <v>1</v>
      </c>
      <c r="L116" s="30" t="b">
        <v>1</v>
      </c>
      <c r="P116" s="30" t="s">
        <v>336</v>
      </c>
      <c r="Q116" s="30" t="s">
        <v>336</v>
      </c>
      <c r="AA116" s="71" t="s">
        <v>290</v>
      </c>
      <c r="AB116" s="30" t="s">
        <v>336</v>
      </c>
      <c r="AC116" s="30" t="s">
        <v>336</v>
      </c>
      <c r="AD116" s="30" t="s">
        <v>336</v>
      </c>
      <c r="AE116" s="30" t="s">
        <v>336</v>
      </c>
      <c r="AF116" s="67" t="s">
        <v>336</v>
      </c>
      <c r="AG116" s="30" t="s">
        <v>336</v>
      </c>
      <c r="AR116" s="36" t="b">
        <f>IF(OR(A116="Done",A116="In Progress"),TRUE)</f>
        <v>0</v>
      </c>
      <c r="AS116" s="37" t="str">
        <f>"title: """&amp;H116&amp;""""</f>
        <v>title: ""</v>
      </c>
      <c r="AT116" s="37" t="str">
        <f>"location: {lat: "&amp;F116&amp;", lng: "&amp;G116&amp;"}"</f>
        <v>location: {lat: , lng: }</v>
      </c>
      <c r="AU116" s="37" t="str">
        <f>"level: "&amp;J116</f>
        <v>level: global</v>
      </c>
      <c r="AV116" s="37" t="str">
        <f>"- "&amp;VLOOKUP(C116,'(Ref) Countries'!A:C,3,)</f>
        <v>- italy</v>
      </c>
      <c r="AW116" s="37" t="str">
        <f t="shared" si="24"/>
        <v/>
      </c>
      <c r="AX116" s="37" t="str">
        <f t="shared" si="25"/>
        <v>- churches</v>
      </c>
      <c r="AY116" s="37" t="str">
        <f t="shared" si="26"/>
        <v>- marian-sites</v>
      </c>
      <c r="AZ116" s="37" t="str">
        <f t="shared" si="27"/>
        <v/>
      </c>
      <c r="BA116" s="37" t="str">
        <f t="shared" si="28"/>
        <v/>
      </c>
      <c r="BB116" s="37" t="str">
        <f t="shared" si="29"/>
        <v/>
      </c>
      <c r="BC116" s="37" t="str">
        <f t="shared" si="30"/>
        <v/>
      </c>
      <c r="BD116" s="37" t="str">
        <f t="shared" si="31"/>
        <v/>
      </c>
      <c r="BE116" s="37" t="str">
        <f t="shared" si="32"/>
        <v/>
      </c>
      <c r="BF116" s="37" t="str">
        <f t="shared" si="33"/>
        <v/>
      </c>
      <c r="BG116" s="37" t="str">
        <f t="shared" si="34"/>
        <v/>
      </c>
      <c r="BH116" s="37" t="str">
        <f t="shared" si="35"/>
        <v/>
      </c>
      <c r="BI116" s="37" t="str">
        <f t="shared" si="36"/>
        <v/>
      </c>
      <c r="BJ116" s="37" t="str">
        <f t="shared" si="37"/>
        <v/>
      </c>
      <c r="BK116" s="37" t="str">
        <f t="shared" si="38"/>
        <v xml:space="preserve">tags:
- italy_x000D_
- churches_x000D_
- marian-sites_x000D_
</v>
      </c>
      <c r="BL116" s="38" t="str">
        <f t="shared" si="39"/>
        <v/>
      </c>
      <c r="BM116" s="38" t="str">
        <f t="shared" si="40"/>
        <v/>
      </c>
      <c r="BN116" s="38" t="str">
        <f t="shared" si="41"/>
        <v/>
      </c>
      <c r="BO116" s="38" t="str">
        <f t="shared" si="42"/>
        <v/>
      </c>
      <c r="BP116" s="38" t="str">
        <f t="shared" si="43"/>
        <v/>
      </c>
      <c r="BQ116" s="38" t="str">
        <f t="shared" si="44"/>
        <v>[Link](http://www.therealpresence.org/eucharst/misc/BVM/03_BORGO_CERRETO_60x96.pdf)</v>
      </c>
      <c r="BR116" s="38" t="str">
        <f t="shared" si="45"/>
        <v/>
      </c>
      <c r="BS116" s="38" t="str">
        <f t="shared" si="46"/>
        <v/>
      </c>
      <c r="BT116" s="38" t="str">
        <f>IF(LEN(concat(BQ116:BS116))&gt;0,concat("| ",BQ116," | ",BR116," | ",BS116," |"),"")</f>
        <v>| [Link](http://www.therealpresence.org/eucharst/misc/BVM/03_BORGO_CERRETO_60x96.pdf) |  |  |</v>
      </c>
      <c r="BU116" s="37" t="str">
        <f t="shared" si="47"/>
        <v xml:space="preserve">| The Real Presence | Miracle Hunter | MaryPages |_x000D_
| --- | --- | --- |_x000D_
| [Link](http://www.therealpresence.org/eucharst/misc/BVM/03_BORGO_CERRETO_60x96.pdf) |  |  |_x000D_
</v>
      </c>
      <c r="BV116" s="37" t="str">
        <f>IF(LEN(BP116&amp;BU116)&gt;0,concatll("#### Source Material",BP116,BU116),"")</f>
        <v xml:space="preserve">#### Source Material_x000D_
_x000D_
| The Real Presence | Miracle Hunter | MaryPages |_x000D_
| --- | --- | --- |_x000D_
| [Link](http://www.therealpresence.org/eucharst/misc/BVM/03_BORGO_CERRETO_60x96.pdf) |  |  |_x000D_
_x000D_
_x000D_
</v>
      </c>
      <c r="BW116" s="37" t="str">
        <f>IF(LEN(O116)&gt;1,concatll("#### Author's Note",O116),"")</f>
        <v/>
      </c>
      <c r="BX116" s="24" t="str">
        <f>IF(AR116,concatll(concatl("---",AS116:AU116,BK116,"---"),N116,BV116:BW116),"")</f>
        <v/>
      </c>
      <c r="BY116" s="24" t="str">
        <f>IF(AR116,VLOOKUP(C116,'(Ref) Countries'!A:B,2,)&amp;IF(LEN(D116)&gt;1,"-"&amp;LOWER(SUBSTITUTE(D116," ","-")),"")&amp;"-"&amp;LOWER(SUBSTITUTE(I116," ","-"))&amp;".md","")</f>
        <v/>
      </c>
      <c r="BZ116" s="37" t="str">
        <f>IF(LEN(AG116)&gt;1,VLOOKUP(AG116,'Tag List'!$A:$B,2,),"")</f>
        <v/>
      </c>
      <c r="CA116" s="37" t="str">
        <f>IF(LEN(AH116)&gt;1,VLOOKUP(AH116,'Tag List'!$A:$B,2,),"")</f>
        <v/>
      </c>
      <c r="CB116" s="37" t="str">
        <f>IF(LEN(AI116)&gt;1,VLOOKUP(AI116,'Tag List'!$A:$B,2,),"")</f>
        <v/>
      </c>
      <c r="CC116" s="38" t="str">
        <f>IF(LEN(AG116)&gt;1,GetTagPage(BZ116,AG116),"")</f>
        <v/>
      </c>
      <c r="CD116" s="38" t="str">
        <f>IF(LEN(AH116)&gt;1,GetTagPage(CA116,AH116),"")</f>
        <v/>
      </c>
      <c r="CE116" s="38" t="str">
        <f>IF(LEN(AI116)&gt;1,GetTagPage(CB116,AI116),"")</f>
        <v/>
      </c>
      <c r="CF116" s="38" t="str">
        <f>"|"&amp;IF(LEN(CC116)&gt;1," "&amp;CC116,"")&amp;IF(LEN(CD116)&gt;1,", "&amp;CD116,"")&amp;IF(LEN(CE116)&gt;1,", "&amp;CE116,"")&amp;" "</f>
        <v xml:space="preserve">| </v>
      </c>
      <c r="CG116" s="38" t="str">
        <f>"| "&amp;IF(AR116,"["&amp;B116&amp;"](/places/"&amp;SUBSTITUTE(BY116,".md","")&amp;")",B116)&amp;" "</f>
        <v xml:space="preserve">| Cerreto Di Sorano </v>
      </c>
      <c r="CH116" s="38" t="str">
        <f>"| "&amp;IF(AR116,GetTagPage(C116,VLOOKUP(C116,'(Ref) Countries'!A:C,3,)),C116)&amp; " "</f>
        <v xml:space="preserve">| Italy </v>
      </c>
      <c r="CI116" s="38" t="str">
        <f>"| "&amp;E116&amp;" "</f>
        <v xml:space="preserve">| 1853 </v>
      </c>
      <c r="CJ116" s="38" t="str">
        <f>"|"&amp;IF(AR116," [Link](/places/"&amp;SUBSTITUTE(BY116,".md","")&amp;")","")&amp;" "</f>
        <v xml:space="preserve">| </v>
      </c>
      <c r="CK116" s="37" t="str">
        <f>"
"&amp;CG116&amp;CH116&amp;CI116&amp;CJ116&amp;BL116&amp;BQ116&amp;BR116&amp;BS116&amp;CF116&amp;"|"</f>
        <v xml:space="preserve">
| Cerreto Di Sorano | Italy | 1853 | [Link](http://www.therealpresence.org/eucharst/misc/BVM/03_BORGO_CERRETO_60x96.pdf)| |</v>
      </c>
    </row>
    <row r="117" spans="1:89" x14ac:dyDescent="0.25">
      <c r="B117" s="28" t="s">
        <v>1282</v>
      </c>
      <c r="C117" s="29" t="s">
        <v>11</v>
      </c>
      <c r="E117" s="31" t="s">
        <v>1154</v>
      </c>
      <c r="J117" s="30" t="s">
        <v>1728</v>
      </c>
      <c r="K117" s="32" t="b">
        <v>1</v>
      </c>
      <c r="L117" s="30" t="b">
        <v>1</v>
      </c>
      <c r="P117" s="30" t="s">
        <v>336</v>
      </c>
      <c r="Q117" s="30" t="s">
        <v>336</v>
      </c>
      <c r="AA117" s="71" t="s">
        <v>291</v>
      </c>
      <c r="AB117" s="30" t="s">
        <v>336</v>
      </c>
      <c r="AC117" s="30" t="s">
        <v>336</v>
      </c>
      <c r="AD117" s="30" t="s">
        <v>336</v>
      </c>
      <c r="AE117" s="30" t="s">
        <v>336</v>
      </c>
      <c r="AF117" s="67" t="s">
        <v>336</v>
      </c>
      <c r="AG117" s="30" t="s">
        <v>336</v>
      </c>
      <c r="AR117" s="36" t="b">
        <f>IF(OR(A117="Done",A117="In Progress"),TRUE)</f>
        <v>0</v>
      </c>
      <c r="AS117" s="37" t="str">
        <f>"title: """&amp;H117&amp;""""</f>
        <v>title: ""</v>
      </c>
      <c r="AT117" s="37" t="str">
        <f>"location: {lat: "&amp;F117&amp;", lng: "&amp;G117&amp;"}"</f>
        <v>location: {lat: , lng: }</v>
      </c>
      <c r="AU117" s="37" t="str">
        <f>"level: "&amp;J117</f>
        <v>level: global</v>
      </c>
      <c r="AV117" s="37" t="str">
        <f>"- "&amp;VLOOKUP(C117,'(Ref) Countries'!A:C,3,)</f>
        <v>- italy</v>
      </c>
      <c r="AW117" s="37" t="str">
        <f t="shared" si="24"/>
        <v/>
      </c>
      <c r="AX117" s="37" t="str">
        <f t="shared" si="25"/>
        <v>- churches</v>
      </c>
      <c r="AY117" s="37" t="str">
        <f t="shared" si="26"/>
        <v>- marian-sites</v>
      </c>
      <c r="AZ117" s="37" t="str">
        <f t="shared" si="27"/>
        <v/>
      </c>
      <c r="BA117" s="37" t="str">
        <f t="shared" si="28"/>
        <v/>
      </c>
      <c r="BB117" s="37" t="str">
        <f t="shared" si="29"/>
        <v/>
      </c>
      <c r="BC117" s="37" t="str">
        <f t="shared" si="30"/>
        <v/>
      </c>
      <c r="BD117" s="37" t="str">
        <f t="shared" si="31"/>
        <v/>
      </c>
      <c r="BE117" s="37" t="str">
        <f t="shared" si="32"/>
        <v/>
      </c>
      <c r="BF117" s="37" t="str">
        <f t="shared" si="33"/>
        <v/>
      </c>
      <c r="BG117" s="37" t="str">
        <f t="shared" si="34"/>
        <v/>
      </c>
      <c r="BH117" s="37" t="str">
        <f t="shared" si="35"/>
        <v/>
      </c>
      <c r="BI117" s="37" t="str">
        <f t="shared" si="36"/>
        <v/>
      </c>
      <c r="BJ117" s="37" t="str">
        <f t="shared" si="37"/>
        <v/>
      </c>
      <c r="BK117" s="37" t="str">
        <f t="shared" si="38"/>
        <v xml:space="preserve">tags:
- italy_x000D_
- churches_x000D_
- marian-sites_x000D_
</v>
      </c>
      <c r="BL117" s="38" t="str">
        <f t="shared" si="39"/>
        <v/>
      </c>
      <c r="BM117" s="38" t="str">
        <f t="shared" si="40"/>
        <v/>
      </c>
      <c r="BN117" s="38" t="str">
        <f t="shared" si="41"/>
        <v/>
      </c>
      <c r="BO117" s="38" t="str">
        <f t="shared" si="42"/>
        <v/>
      </c>
      <c r="BP117" s="38" t="str">
        <f t="shared" si="43"/>
        <v/>
      </c>
      <c r="BQ117" s="38" t="str">
        <f t="shared" si="44"/>
        <v>[Link](http://www.therealpresence.org/eucharst/misc/BVM/27_PORZUS_60x96.pdf)</v>
      </c>
      <c r="BR117" s="38" t="str">
        <f t="shared" si="45"/>
        <v/>
      </c>
      <c r="BS117" s="38" t="str">
        <f t="shared" si="46"/>
        <v/>
      </c>
      <c r="BT117" s="38" t="str">
        <f>IF(LEN(concat(BQ117:BS117))&gt;0,concat("| ",BQ117," | ",BR117," | ",BS117," |"),"")</f>
        <v>| [Link](http://www.therealpresence.org/eucharst/misc/BVM/27_PORZUS_60x96.pdf) |  |  |</v>
      </c>
      <c r="BU117" s="37" t="str">
        <f t="shared" si="47"/>
        <v xml:space="preserve">| The Real Presence | Miracle Hunter | MaryPages |_x000D_
| --- | --- | --- |_x000D_
| [Link](http://www.therealpresence.org/eucharst/misc/BVM/27_PORZUS_60x96.pdf) |  |  |_x000D_
</v>
      </c>
      <c r="BV117" s="37" t="str">
        <f>IF(LEN(BP117&amp;BU117)&gt;0,concatll("#### Source Material",BP117,BU117),"")</f>
        <v xml:space="preserve">#### Source Material_x000D_
_x000D_
| The Real Presence | Miracle Hunter | MaryPages |_x000D_
| --- | --- | --- |_x000D_
| [Link](http://www.therealpresence.org/eucharst/misc/BVM/27_PORZUS_60x96.pdf) |  |  |_x000D_
_x000D_
_x000D_
</v>
      </c>
      <c r="BW117" s="37" t="str">
        <f>IF(LEN(O117)&gt;1,concatll("#### Author's Note",O117),"")</f>
        <v/>
      </c>
      <c r="BX117" s="24" t="str">
        <f>IF(AR117,concatll(concatl("---",AS117:AU117,BK117,"---"),N117,BV117:BW117),"")</f>
        <v/>
      </c>
      <c r="BY117" s="24" t="str">
        <f>IF(AR117,VLOOKUP(C117,'(Ref) Countries'!A:B,2,)&amp;IF(LEN(D117)&gt;1,"-"&amp;LOWER(SUBSTITUTE(D117," ","-")),"")&amp;"-"&amp;LOWER(SUBSTITUTE(I117," ","-"))&amp;".md","")</f>
        <v/>
      </c>
      <c r="BZ117" s="37" t="str">
        <f>IF(LEN(AG117)&gt;1,VLOOKUP(AG117,'Tag List'!$A:$B,2,),"")</f>
        <v/>
      </c>
      <c r="CA117" s="37" t="str">
        <f>IF(LEN(AH117)&gt;1,VLOOKUP(AH117,'Tag List'!$A:$B,2,),"")</f>
        <v/>
      </c>
      <c r="CB117" s="37" t="str">
        <f>IF(LEN(AI117)&gt;1,VLOOKUP(AI117,'Tag List'!$A:$B,2,),"")</f>
        <v/>
      </c>
      <c r="CC117" s="38" t="str">
        <f>IF(LEN(AG117)&gt;1,GetTagPage(BZ117,AG117),"")</f>
        <v/>
      </c>
      <c r="CD117" s="38" t="str">
        <f>IF(LEN(AH117)&gt;1,GetTagPage(CA117,AH117),"")</f>
        <v/>
      </c>
      <c r="CE117" s="38" t="str">
        <f>IF(LEN(AI117)&gt;1,GetTagPage(CB117,AI117),"")</f>
        <v/>
      </c>
      <c r="CF117" s="38" t="str">
        <f>"|"&amp;IF(LEN(CC117)&gt;1," "&amp;CC117,"")&amp;IF(LEN(CD117)&gt;1,", "&amp;CD117,"")&amp;IF(LEN(CE117)&gt;1,", "&amp;CE117,"")&amp;" "</f>
        <v xml:space="preserve">| </v>
      </c>
      <c r="CG117" s="38" t="str">
        <f>"| "&amp;IF(AR117,"["&amp;B117&amp;"](/places/"&amp;SUBSTITUTE(BY117,".md","")&amp;")",B117)&amp;" "</f>
        <v xml:space="preserve">| Porzus Degli Slavi </v>
      </c>
      <c r="CH117" s="38" t="str">
        <f>"| "&amp;IF(AR117,GetTagPage(C117,VLOOKUP(C117,'(Ref) Countries'!A:C,3,)),C117)&amp; " "</f>
        <v xml:space="preserve">| Italy </v>
      </c>
      <c r="CI117" s="38" t="str">
        <f>"| "&amp;E117&amp;" "</f>
        <v xml:space="preserve">| 1855-1856 </v>
      </c>
      <c r="CJ117" s="38" t="str">
        <f>"|"&amp;IF(AR117," [Link](/places/"&amp;SUBSTITUTE(BY117,".md","")&amp;")","")&amp;" "</f>
        <v xml:space="preserve">| </v>
      </c>
      <c r="CK117" s="37" t="str">
        <f>"
"&amp;CG117&amp;CH117&amp;CI117&amp;CJ117&amp;BL117&amp;BQ117&amp;BR117&amp;BS117&amp;CF117&amp;"|"</f>
        <v xml:space="preserve">
| Porzus Degli Slavi | Italy | 1855-1856 | [Link](http://www.therealpresence.org/eucharst/misc/BVM/27_PORZUS_60x96.pdf)| |</v>
      </c>
    </row>
    <row r="118" spans="1:89" s="59" customFormat="1" ht="51" x14ac:dyDescent="0.25">
      <c r="A118" s="56" t="s">
        <v>1324</v>
      </c>
      <c r="B118" s="57" t="s">
        <v>1000</v>
      </c>
      <c r="C118" s="58" t="s">
        <v>557</v>
      </c>
      <c r="E118" s="60">
        <v>1858</v>
      </c>
      <c r="F118" s="74">
        <v>43.0974206</v>
      </c>
      <c r="G118" s="70">
        <v>-5.8261100000000003E-2</v>
      </c>
      <c r="H118" s="58" t="s">
        <v>1012</v>
      </c>
      <c r="I118" s="81" t="s">
        <v>1012</v>
      </c>
      <c r="J118" s="59" t="s">
        <v>1728</v>
      </c>
      <c r="K118" s="32" t="b">
        <v>1</v>
      </c>
      <c r="L118" s="59" t="b">
        <v>1</v>
      </c>
      <c r="N118" s="58" t="s">
        <v>465</v>
      </c>
      <c r="O118" s="81"/>
      <c r="P118" s="59" t="s">
        <v>428</v>
      </c>
      <c r="Q118" s="59" t="s">
        <v>336</v>
      </c>
      <c r="R118" s="85"/>
      <c r="T118" s="90"/>
      <c r="U118" s="85"/>
      <c r="W118" s="90"/>
      <c r="AA118" s="74" t="s">
        <v>292</v>
      </c>
      <c r="AB118" s="59" t="s">
        <v>336</v>
      </c>
      <c r="AC118" s="59" t="s">
        <v>466</v>
      </c>
      <c r="AD118" s="59" t="s">
        <v>336</v>
      </c>
      <c r="AE118" s="59" t="s">
        <v>467</v>
      </c>
      <c r="AF118" s="70" t="s">
        <v>336</v>
      </c>
      <c r="AG118" s="61" t="s">
        <v>490</v>
      </c>
      <c r="AH118" s="61"/>
      <c r="AI118" s="61"/>
      <c r="AJ118" s="61"/>
      <c r="AK118" s="61"/>
      <c r="AL118" s="61"/>
      <c r="AM118" s="61"/>
      <c r="AN118" s="61"/>
      <c r="AO118" s="61"/>
      <c r="AP118" s="115"/>
      <c r="AR118" s="36" t="b">
        <f>IF(OR(A118="Done",A118="In Progress"),TRUE)</f>
        <v>1</v>
      </c>
      <c r="AS118" s="62" t="str">
        <f>"title: """&amp;H118&amp;""""</f>
        <v>title: "Sanctuary of Our Lady of Lourdes"</v>
      </c>
      <c r="AT118" s="62" t="str">
        <f>"location: {lat: "&amp;F118&amp;", lng: "&amp;G118&amp;"}"</f>
        <v>location: {lat: 43.0974206, lng: -0.0582611}</v>
      </c>
      <c r="AU118" s="62" t="str">
        <f>"level: "&amp;J118</f>
        <v>level: global</v>
      </c>
      <c r="AV118" s="37" t="str">
        <f>"- "&amp;VLOOKUP(C118,'(Ref) Countries'!A:C,3,)</f>
        <v>- france</v>
      </c>
      <c r="AW118" s="37" t="str">
        <f t="shared" si="24"/>
        <v/>
      </c>
      <c r="AX118" s="37" t="str">
        <f t="shared" si="25"/>
        <v>- churches</v>
      </c>
      <c r="AY118" s="37" t="str">
        <f t="shared" si="26"/>
        <v>- marian-sites</v>
      </c>
      <c r="AZ118" s="37" t="str">
        <f t="shared" si="27"/>
        <v/>
      </c>
      <c r="BA118" s="37" t="str">
        <f t="shared" si="28"/>
        <v>- bernadette-soubirous</v>
      </c>
      <c r="BB118" s="37" t="str">
        <f t="shared" si="29"/>
        <v/>
      </c>
      <c r="BC118" s="37" t="str">
        <f t="shared" si="30"/>
        <v/>
      </c>
      <c r="BD118" s="37" t="str">
        <f t="shared" si="31"/>
        <v/>
      </c>
      <c r="BE118" s="37" t="str">
        <f t="shared" si="32"/>
        <v/>
      </c>
      <c r="BF118" s="37" t="str">
        <f t="shared" si="33"/>
        <v/>
      </c>
      <c r="BG118" s="37" t="str">
        <f t="shared" si="34"/>
        <v/>
      </c>
      <c r="BH118" s="37" t="str">
        <f t="shared" si="35"/>
        <v/>
      </c>
      <c r="BI118" s="37" t="str">
        <f t="shared" si="36"/>
        <v/>
      </c>
      <c r="BJ118" s="37" t="str">
        <f t="shared" si="37"/>
        <v/>
      </c>
      <c r="BK118" s="37" t="str">
        <f t="shared" si="38"/>
        <v xml:space="preserve">tags:
- france_x000D_
- churches_x000D_
- marian-sites_x000D_
- bernadette-soubirous_x000D_
</v>
      </c>
      <c r="BL118" s="38" t="str">
        <f t="shared" si="39"/>
        <v>[Official site](https://www.lourdes-france.org/)</v>
      </c>
      <c r="BM118" s="38" t="str">
        <f t="shared" si="40"/>
        <v/>
      </c>
      <c r="BN118" s="38" t="str">
        <f t="shared" si="41"/>
        <v/>
      </c>
      <c r="BO118" s="38" t="str">
        <f t="shared" si="42"/>
        <v/>
      </c>
      <c r="BP118" s="38" t="str">
        <f t="shared" si="43"/>
        <v xml:space="preserve">* [Official site](https://www.lourdes-france.org/)
</v>
      </c>
      <c r="BQ118" s="38" t="str">
        <f t="shared" si="44"/>
        <v>[Link](http://www.therealpresence.org/eucharst/misc/BVM/40_LOURDES_140x96.pdf)</v>
      </c>
      <c r="BR118" s="38" t="str">
        <f t="shared" si="45"/>
        <v>[Link](https://www.miraclehunter.com/marian_apparitions/approved_apparitions/lourdes/index.html)</v>
      </c>
      <c r="BS118" s="38" t="str">
        <f t="shared" si="46"/>
        <v>[Link](https://www.marypages.com/lourdes-(frankrijk)-1858/)</v>
      </c>
      <c r="BT118" s="38" t="str">
        <f>IF(LEN(concat(BQ118:BS118))&gt;0,concat("| ",BQ118," | ",BR118," | ",BS118," |"),"")</f>
        <v>| [Link](http://www.therealpresence.org/eucharst/misc/BVM/40_LOURDES_140x96.pdf) | [Link](https://www.miraclehunter.com/marian_apparitions/approved_apparitions/lourdes/index.html) | [Link](https://www.marypages.com/lourdes-(frankrijk)-1858/) |</v>
      </c>
      <c r="BU118" s="37" t="str">
        <f t="shared" si="47"/>
        <v xml:space="preserve">| The Real Presence | Miracle Hunter | MaryPages |_x000D_
| --- | --- | --- |_x000D_
| [Link](http://www.therealpresence.org/eucharst/misc/BVM/40_LOURDES_140x96.pdf) | [Link](https://www.miraclehunter.com/marian_apparitions/approved_apparitions/lourdes/index.html) | [Link](https://www.marypages.com/lourdes-(frankrijk)-1858/) |_x000D_
</v>
      </c>
      <c r="BV118" s="37" t="str">
        <f>IF(LEN(BP118&amp;BU118)&gt;0,concatll("#### Source Material",BP118,BU118),"")</f>
        <v xml:space="preserve">#### Source Material_x000D_
_x000D_
* [Official site](https://www.lourdes-france.org/)
_x000D_
_x000D_
| The Real Presence | Miracle Hunter | MaryPages |_x000D_
| --- | --- | --- |_x000D_
| [Link](http://www.therealpresence.org/eucharst/misc/BVM/40_LOURDES_140x96.pdf) | [Link](https://www.miraclehunter.com/marian_apparitions/approved_apparitions/lourdes/index.html) | [Link](https://www.marypages.com/lourdes-(frankrijk)-1858/) |_x000D_
_x000D_
_x000D_
</v>
      </c>
      <c r="BW118" s="37" t="str">
        <f>IF(LEN(O118)&gt;1,concatll("#### Author's Note",O118),"")</f>
        <v/>
      </c>
      <c r="BX118" s="24" t="str">
        <f>IF(AR118,concatll(concatl("---",AS118:AU118,BK118,"---"),N118,BV118:BW118),"")</f>
        <v xml:space="preserve">---_x000D_
title: "Sanctuary of Our Lady of Lourdes"_x000D_
location: {lat: 43.0974206, lng: -0.0582611}_x000D_
level: global_x000D_
tags:
- france_x000D_
- churches_x000D_
- marian-sites_x000D_
- bernadette-soubirous_x000D_
_x000D_
---_x000D_
_x000D_
_x000D_
In a series of apparitions in 1858, the Virgin Mary appeared to St. Bernadette Soubirous.  The stream of holy water which St. Bernadette uncovered has become a well-known source of healing, and Lourdes is now a major pilgrimage destination._x000D_
_x000D_
#### Source Material_x000D_
_x000D_
* [Official site](https://www.lourdes-france.org/)
_x000D_
_x000D_
| The Real Presence | Miracle Hunter | MaryPages |_x000D_
| --- | --- | --- |_x000D_
| [Link](http://www.therealpresence.org/eucharst/misc/BVM/40_LOURDES_140x96.pdf) | [Link](https://www.miraclehunter.com/marian_apparitions/approved_apparitions/lourdes/index.html) | [Link](https://www.marypages.com/lourdes-(frankrijk)-1858/) |_x000D_
_x000D_
_x000D_
_x000D_
_x000D_
</v>
      </c>
      <c r="BY118" s="24" t="str">
        <f>IF(AR118,VLOOKUP(C118,'(Ref) Countries'!A:B,2,)&amp;IF(LEN(D118)&gt;1,"-"&amp;LOWER(SUBSTITUTE(D118," ","-")),"")&amp;"-"&amp;LOWER(SUBSTITUTE(I118," ","-"))&amp;".md","")</f>
        <v>fr-sanctuary-of-our-lady-of-lourdes.md</v>
      </c>
      <c r="BZ118" s="63" t="str">
        <f>IF(LEN(AG118)&gt;1,VLOOKUP(AG118,'Tag List'!$A:$B,2,),"")</f>
        <v>St. Bernadette of Lourdes</v>
      </c>
      <c r="CA118" s="63" t="str">
        <f>IF(LEN(AH118)&gt;1,VLOOKUP(AH118,'Tag List'!$A:$B,2,),"")</f>
        <v/>
      </c>
      <c r="CB118" s="63" t="str">
        <f>IF(LEN(AI118)&gt;1,VLOOKUP(AI118,'Tag List'!$A:$B,2,),"")</f>
        <v/>
      </c>
      <c r="CC118" s="38" t="str">
        <f>IF(LEN(AG118)&gt;1,GetTagPage(BZ118,AG118),"")</f>
        <v>[St. Bernadette of Lourdes](/tags/bernadette-soubirous)</v>
      </c>
      <c r="CD118" s="38" t="str">
        <f>IF(LEN(AH118)&gt;1,GetTagPage(CA118,AH118),"")</f>
        <v/>
      </c>
      <c r="CE118" s="38" t="str">
        <f>IF(LEN(AI118)&gt;1,GetTagPage(CB118,AI118),"")</f>
        <v/>
      </c>
      <c r="CF118" s="38" t="str">
        <f>"|"&amp;IF(LEN(CC118)&gt;1," "&amp;CC118,"")&amp;IF(LEN(CD118)&gt;1,", "&amp;CD118,"")&amp;IF(LEN(CE118)&gt;1,", "&amp;CE118,"")&amp;" "</f>
        <v xml:space="preserve">| [St. Bernadette of Lourdes](/tags/bernadette-soubirous) </v>
      </c>
      <c r="CG118" s="38" t="str">
        <f>"| "&amp;IF(AR118,"["&amp;B118&amp;"](/places/"&amp;SUBSTITUTE(BY118,".md","")&amp;")",B118)&amp;" "</f>
        <v xml:space="preserve">| [Lourdes](/places/fr-sanctuary-of-our-lady-of-lourdes) </v>
      </c>
      <c r="CH118" s="38" t="str">
        <f>"| "&amp;IF(AR118,GetTagPage(C118,VLOOKUP(C118,'(Ref) Countries'!A:C,3,)),C118)&amp; " "</f>
        <v xml:space="preserve">| [France](/tags/france) </v>
      </c>
      <c r="CI118" s="38" t="str">
        <f>"| "&amp;E118&amp;" "</f>
        <v xml:space="preserve">| 1858 </v>
      </c>
      <c r="CJ118" s="38" t="str">
        <f>"|"&amp;IF(AR118," [Link](/places/"&amp;SUBSTITUTE(BY118,".md","")&amp;")","")&amp;" "</f>
        <v xml:space="preserve">| [Link](/places/fr-sanctuary-of-our-lady-of-lourdes) </v>
      </c>
      <c r="CK118" s="37" t="str">
        <f>"
"&amp;CG118&amp;CH118&amp;CI118&amp;CJ118&amp;BL118&amp;BQ118&amp;BR118&amp;BS118&amp;CF118&amp;"|"</f>
        <v xml:space="preserve">
| [Lourdes](/places/fr-sanctuary-of-our-lady-of-lourdes) | [France](/tags/france) | 1858 | [Link](/places/fr-sanctuary-of-our-lady-of-lourdes) [Official site](https://www.lourdes-france.org/)[Link](http://www.therealpresence.org/eucharst/misc/BVM/40_LOURDES_140x96.pdf)[Link](https://www.miraclehunter.com/marian_apparitions/approved_apparitions/lourdes/index.html)[Link](https://www.marypages.com/lourdes-(frankrijk)-1858/)| [St. Bernadette of Lourdes](/tags/bernadette-soubirous) |</v>
      </c>
    </row>
    <row r="119" spans="1:89" ht="38.25" x14ac:dyDescent="0.25">
      <c r="B119" s="28" t="s">
        <v>1283</v>
      </c>
      <c r="C119" s="29" t="s">
        <v>697</v>
      </c>
      <c r="E119" s="31">
        <v>1859</v>
      </c>
      <c r="J119" s="30" t="s">
        <v>1728</v>
      </c>
      <c r="K119" s="32" t="b">
        <v>1</v>
      </c>
      <c r="L119" s="30" t="b">
        <v>1</v>
      </c>
      <c r="P119" s="30" t="s">
        <v>336</v>
      </c>
      <c r="Q119" s="30" t="s">
        <v>336</v>
      </c>
      <c r="AA119" s="71" t="s">
        <v>293</v>
      </c>
      <c r="AB119" s="30" t="s">
        <v>336</v>
      </c>
      <c r="AC119" s="30" t="s">
        <v>336</v>
      </c>
      <c r="AD119" s="30" t="s">
        <v>336</v>
      </c>
      <c r="AE119" s="30" t="s">
        <v>336</v>
      </c>
      <c r="AF119" s="67" t="s">
        <v>336</v>
      </c>
      <c r="AG119" s="30" t="s">
        <v>336</v>
      </c>
      <c r="AR119" s="36" t="b">
        <f>IF(OR(A119="Done",A119="In Progress"),TRUE)</f>
        <v>0</v>
      </c>
      <c r="AS119" s="37" t="str">
        <f>"title: """&amp;H119&amp;""""</f>
        <v>title: ""</v>
      </c>
      <c r="AT119" s="37" t="str">
        <f>"location: {lat: "&amp;F119&amp;", lng: "&amp;G119&amp;"}"</f>
        <v>location: {lat: , lng: }</v>
      </c>
      <c r="AU119" s="37" t="str">
        <f>"level: "&amp;J119</f>
        <v>level: global</v>
      </c>
      <c r="AV119" s="37" t="str">
        <f>"- "&amp;VLOOKUP(C119,'(Ref) Countries'!A:C,3,)</f>
        <v>- usa</v>
      </c>
      <c r="AW119" s="37" t="str">
        <f t="shared" si="24"/>
        <v/>
      </c>
      <c r="AX119" s="37" t="str">
        <f t="shared" si="25"/>
        <v>- churches</v>
      </c>
      <c r="AY119" s="37" t="str">
        <f t="shared" si="26"/>
        <v>- marian-sites</v>
      </c>
      <c r="AZ119" s="37" t="str">
        <f t="shared" si="27"/>
        <v/>
      </c>
      <c r="BA119" s="37" t="str">
        <f t="shared" si="28"/>
        <v/>
      </c>
      <c r="BB119" s="37" t="str">
        <f t="shared" si="29"/>
        <v/>
      </c>
      <c r="BC119" s="37" t="str">
        <f t="shared" si="30"/>
        <v/>
      </c>
      <c r="BD119" s="37" t="str">
        <f t="shared" si="31"/>
        <v/>
      </c>
      <c r="BE119" s="37" t="str">
        <f t="shared" si="32"/>
        <v/>
      </c>
      <c r="BF119" s="37" t="str">
        <f t="shared" si="33"/>
        <v/>
      </c>
      <c r="BG119" s="37" t="str">
        <f t="shared" si="34"/>
        <v/>
      </c>
      <c r="BH119" s="37" t="str">
        <f t="shared" si="35"/>
        <v/>
      </c>
      <c r="BI119" s="37" t="str">
        <f t="shared" si="36"/>
        <v/>
      </c>
      <c r="BJ119" s="37" t="str">
        <f t="shared" si="37"/>
        <v/>
      </c>
      <c r="BK119" s="37" t="str">
        <f t="shared" si="38"/>
        <v xml:space="preserve">tags:
- usa_x000D_
- churches_x000D_
- marian-sites_x000D_
</v>
      </c>
      <c r="BL119" s="38" t="str">
        <f t="shared" si="39"/>
        <v/>
      </c>
      <c r="BM119" s="38" t="str">
        <f t="shared" si="40"/>
        <v/>
      </c>
      <c r="BN119" s="38" t="str">
        <f t="shared" si="41"/>
        <v/>
      </c>
      <c r="BO119" s="38" t="str">
        <f t="shared" si="42"/>
        <v/>
      </c>
      <c r="BP119" s="38" t="str">
        <f t="shared" si="43"/>
        <v/>
      </c>
      <c r="BQ119" s="38" t="str">
        <f t="shared" si="44"/>
        <v>[Link](http://www.therealpresence.org/eucharst/misc/BVM/96_CHAMPION_140x96.pdf)</v>
      </c>
      <c r="BR119" s="38" t="str">
        <f t="shared" si="45"/>
        <v/>
      </c>
      <c r="BS119" s="38" t="str">
        <f t="shared" si="46"/>
        <v/>
      </c>
      <c r="BT119" s="38" t="str">
        <f>IF(LEN(concat(BQ119:BS119))&gt;0,concat("| ",BQ119," | ",BR119," | ",BS119," |"),"")</f>
        <v>| [Link](http://www.therealpresence.org/eucharst/misc/BVM/96_CHAMPION_140x96.pdf) |  |  |</v>
      </c>
      <c r="BU119" s="37" t="str">
        <f t="shared" si="47"/>
        <v xml:space="preserve">| The Real Presence | Miracle Hunter | MaryPages |_x000D_
| --- | --- | --- |_x000D_
| [Link](http://www.therealpresence.org/eucharst/misc/BVM/96_CHAMPION_140x96.pdf) |  |  |_x000D_
</v>
      </c>
      <c r="BV119" s="37" t="str">
        <f>IF(LEN(BP119&amp;BU119)&gt;0,concatll("#### Source Material",BP119,BU119),"")</f>
        <v xml:space="preserve">#### Source Material_x000D_
_x000D_
| The Real Presence | Miracle Hunter | MaryPages |_x000D_
| --- | --- | --- |_x000D_
| [Link](http://www.therealpresence.org/eucharst/misc/BVM/96_CHAMPION_140x96.pdf) |  |  |_x000D_
_x000D_
_x000D_
</v>
      </c>
      <c r="BW119" s="37" t="str">
        <f>IF(LEN(O119)&gt;1,concatll("#### Author's Note",O119),"")</f>
        <v/>
      </c>
      <c r="BX119" s="24" t="str">
        <f>IF(AR119,concatll(concatl("---",AS119:AU119,BK119,"---"),N119,BV119:BW119),"")</f>
        <v/>
      </c>
      <c r="BY119" s="24" t="str">
        <f>IF(AR119,VLOOKUP(C119,'(Ref) Countries'!A:B,2,)&amp;IF(LEN(D119)&gt;1,"-"&amp;LOWER(SUBSTITUTE(D119," ","-")),"")&amp;"-"&amp;LOWER(SUBSTITUTE(I119," ","-"))&amp;".md","")</f>
        <v/>
      </c>
      <c r="BZ119" s="37" t="str">
        <f>IF(LEN(AG119)&gt;1,VLOOKUP(AG119,'Tag List'!$A:$B,2,),"")</f>
        <v/>
      </c>
      <c r="CA119" s="37" t="str">
        <f>IF(LEN(AH119)&gt;1,VLOOKUP(AH119,'Tag List'!$A:$B,2,),"")</f>
        <v/>
      </c>
      <c r="CB119" s="37" t="str">
        <f>IF(LEN(AI119)&gt;1,VLOOKUP(AI119,'Tag List'!$A:$B,2,),"")</f>
        <v/>
      </c>
      <c r="CC119" s="38" t="str">
        <f>IF(LEN(AG119)&gt;1,GetTagPage(BZ119,AG119),"")</f>
        <v/>
      </c>
      <c r="CD119" s="38" t="str">
        <f>IF(LEN(AH119)&gt;1,GetTagPage(CA119,AH119),"")</f>
        <v/>
      </c>
      <c r="CE119" s="38" t="str">
        <f>IF(LEN(AI119)&gt;1,GetTagPage(CB119,AI119),"")</f>
        <v/>
      </c>
      <c r="CF119" s="38" t="str">
        <f>"|"&amp;IF(LEN(CC119)&gt;1," "&amp;CC119,"")&amp;IF(LEN(CD119)&gt;1,", "&amp;CD119,"")&amp;IF(LEN(CE119)&gt;1,", "&amp;CE119,"")&amp;" "</f>
        <v xml:space="preserve">| </v>
      </c>
      <c r="CG119" s="38" t="str">
        <f>"| "&amp;IF(AR119,"["&amp;B119&amp;"](/places/"&amp;SUBSTITUTE(BY119,".md","")&amp;")",B119)&amp;" "</f>
        <v xml:space="preserve">| Champion </v>
      </c>
      <c r="CH119" s="38" t="str">
        <f>"| "&amp;IF(AR119,GetTagPage(C119,VLOOKUP(C119,'(Ref) Countries'!A:C,3,)),C119)&amp; " "</f>
        <v xml:space="preserve">| United States of America </v>
      </c>
      <c r="CI119" s="38" t="str">
        <f>"| "&amp;E119&amp;" "</f>
        <v xml:space="preserve">| 1859 </v>
      </c>
      <c r="CJ119" s="38" t="str">
        <f>"|"&amp;IF(AR119," [Link](/places/"&amp;SUBSTITUTE(BY119,".md","")&amp;")","")&amp;" "</f>
        <v xml:space="preserve">| </v>
      </c>
      <c r="CK119" s="37" t="str">
        <f>"
"&amp;CG119&amp;CH119&amp;CI119&amp;CJ119&amp;BL119&amp;BQ119&amp;BR119&amp;BS119&amp;CF119&amp;"|"</f>
        <v xml:space="preserve">
| Champion | United States of America | 1859 | [Link](http://www.therealpresence.org/eucharst/misc/BVM/96_CHAMPION_140x96.pdf)| |</v>
      </c>
    </row>
    <row r="120" spans="1:89" x14ac:dyDescent="0.25">
      <c r="B120" s="28" t="s">
        <v>1284</v>
      </c>
      <c r="C120" s="29" t="s">
        <v>11</v>
      </c>
      <c r="E120" s="31">
        <v>1861</v>
      </c>
      <c r="J120" s="30" t="s">
        <v>1728</v>
      </c>
      <c r="K120" s="32" t="b">
        <v>1</v>
      </c>
      <c r="L120" s="30" t="b">
        <v>1</v>
      </c>
      <c r="P120" s="30" t="s">
        <v>336</v>
      </c>
      <c r="Q120" s="30" t="s">
        <v>336</v>
      </c>
      <c r="AA120" s="71" t="s">
        <v>294</v>
      </c>
      <c r="AB120" s="30" t="s">
        <v>336</v>
      </c>
      <c r="AC120" s="30" t="s">
        <v>336</v>
      </c>
      <c r="AD120" s="30" t="s">
        <v>336</v>
      </c>
      <c r="AE120" s="30" t="s">
        <v>336</v>
      </c>
      <c r="AF120" s="67" t="s">
        <v>336</v>
      </c>
      <c r="AG120" s="30" t="s">
        <v>336</v>
      </c>
      <c r="AR120" s="36" t="b">
        <f>IF(OR(A120="Done",A120="In Progress"),TRUE)</f>
        <v>0</v>
      </c>
      <c r="AS120" s="37" t="str">
        <f>"title: """&amp;H120&amp;""""</f>
        <v>title: ""</v>
      </c>
      <c r="AT120" s="37" t="str">
        <f>"location: {lat: "&amp;F120&amp;", lng: "&amp;G120&amp;"}"</f>
        <v>location: {lat: , lng: }</v>
      </c>
      <c r="AU120" s="37" t="str">
        <f>"level: "&amp;J120</f>
        <v>level: global</v>
      </c>
      <c r="AV120" s="37" t="str">
        <f>"- "&amp;VLOOKUP(C120,'(Ref) Countries'!A:C,3,)</f>
        <v>- italy</v>
      </c>
      <c r="AW120" s="37" t="str">
        <f t="shared" si="24"/>
        <v/>
      </c>
      <c r="AX120" s="37" t="str">
        <f t="shared" si="25"/>
        <v>- churches</v>
      </c>
      <c r="AY120" s="37" t="str">
        <f t="shared" si="26"/>
        <v>- marian-sites</v>
      </c>
      <c r="AZ120" s="37" t="str">
        <f t="shared" si="27"/>
        <v/>
      </c>
      <c r="BA120" s="37" t="str">
        <f t="shared" si="28"/>
        <v/>
      </c>
      <c r="BB120" s="37" t="str">
        <f t="shared" si="29"/>
        <v/>
      </c>
      <c r="BC120" s="37" t="str">
        <f t="shared" si="30"/>
        <v/>
      </c>
      <c r="BD120" s="37" t="str">
        <f t="shared" si="31"/>
        <v/>
      </c>
      <c r="BE120" s="37" t="str">
        <f t="shared" si="32"/>
        <v/>
      </c>
      <c r="BF120" s="37" t="str">
        <f t="shared" si="33"/>
        <v/>
      </c>
      <c r="BG120" s="37" t="str">
        <f t="shared" si="34"/>
        <v/>
      </c>
      <c r="BH120" s="37" t="str">
        <f t="shared" si="35"/>
        <v/>
      </c>
      <c r="BI120" s="37" t="str">
        <f t="shared" si="36"/>
        <v/>
      </c>
      <c r="BJ120" s="37" t="str">
        <f t="shared" si="37"/>
        <v/>
      </c>
      <c r="BK120" s="37" t="str">
        <f t="shared" si="38"/>
        <v xml:space="preserve">tags:
- italy_x000D_
- churches_x000D_
- marian-sites_x000D_
</v>
      </c>
      <c r="BL120" s="38" t="str">
        <f t="shared" si="39"/>
        <v/>
      </c>
      <c r="BM120" s="38" t="str">
        <f t="shared" si="40"/>
        <v/>
      </c>
      <c r="BN120" s="38" t="str">
        <f t="shared" si="41"/>
        <v/>
      </c>
      <c r="BO120" s="38" t="str">
        <f t="shared" si="42"/>
        <v/>
      </c>
      <c r="BP120" s="38" t="str">
        <f t="shared" si="43"/>
        <v/>
      </c>
      <c r="BQ120" s="38" t="str">
        <f t="shared" si="44"/>
        <v>[Link](http://www.therealpresence.org/eucharst/misc/BVM/12_MONTEFALCO_60x96.pdf)</v>
      </c>
      <c r="BR120" s="38" t="str">
        <f t="shared" si="45"/>
        <v/>
      </c>
      <c r="BS120" s="38" t="str">
        <f t="shared" si="46"/>
        <v/>
      </c>
      <c r="BT120" s="38" t="str">
        <f>IF(LEN(concat(BQ120:BS120))&gt;0,concat("| ",BQ120," | ",BR120," | ",BS120," |"),"")</f>
        <v>| [Link](http://www.therealpresence.org/eucharst/misc/BVM/12_MONTEFALCO_60x96.pdf) |  |  |</v>
      </c>
      <c r="BU120" s="37" t="str">
        <f t="shared" si="47"/>
        <v xml:space="preserve">| The Real Presence | Miracle Hunter | MaryPages |_x000D_
| --- | --- | --- |_x000D_
| [Link](http://www.therealpresence.org/eucharst/misc/BVM/12_MONTEFALCO_60x96.pdf) |  |  |_x000D_
</v>
      </c>
      <c r="BV120" s="37" t="str">
        <f>IF(LEN(BP120&amp;BU120)&gt;0,concatll("#### Source Material",BP120,BU120),"")</f>
        <v xml:space="preserve">#### Source Material_x000D_
_x000D_
| The Real Presence | Miracle Hunter | MaryPages |_x000D_
| --- | --- | --- |_x000D_
| [Link](http://www.therealpresence.org/eucharst/misc/BVM/12_MONTEFALCO_60x96.pdf) |  |  |_x000D_
_x000D_
_x000D_
</v>
      </c>
      <c r="BW120" s="37" t="str">
        <f>IF(LEN(O120)&gt;1,concatll("#### Author's Note",O120),"")</f>
        <v/>
      </c>
      <c r="BX120" s="24" t="str">
        <f>IF(AR120,concatll(concatl("---",AS120:AU120,BK120,"---"),N120,BV120:BW120),"")</f>
        <v/>
      </c>
      <c r="BY120" s="24" t="str">
        <f>IF(AR120,VLOOKUP(C120,'(Ref) Countries'!A:B,2,)&amp;IF(LEN(D120)&gt;1,"-"&amp;LOWER(SUBSTITUTE(D120," ","-")),"")&amp;"-"&amp;LOWER(SUBSTITUTE(I120," ","-"))&amp;".md","")</f>
        <v/>
      </c>
      <c r="BZ120" s="37" t="str">
        <f>IF(LEN(AG120)&gt;1,VLOOKUP(AG120,'Tag List'!$A:$B,2,),"")</f>
        <v/>
      </c>
      <c r="CA120" s="37" t="str">
        <f>IF(LEN(AH120)&gt;1,VLOOKUP(AH120,'Tag List'!$A:$B,2,),"")</f>
        <v/>
      </c>
      <c r="CB120" s="37" t="str">
        <f>IF(LEN(AI120)&gt;1,VLOOKUP(AI120,'Tag List'!$A:$B,2,),"")</f>
        <v/>
      </c>
      <c r="CC120" s="38" t="str">
        <f>IF(LEN(AG120)&gt;1,GetTagPage(BZ120,AG120),"")</f>
        <v/>
      </c>
      <c r="CD120" s="38" t="str">
        <f>IF(LEN(AH120)&gt;1,GetTagPage(CA120,AH120),"")</f>
        <v/>
      </c>
      <c r="CE120" s="38" t="str">
        <f>IF(LEN(AI120)&gt;1,GetTagPage(CB120,AI120),"")</f>
        <v/>
      </c>
      <c r="CF120" s="38" t="str">
        <f>"|"&amp;IF(LEN(CC120)&gt;1," "&amp;CC120,"")&amp;IF(LEN(CD120)&gt;1,", "&amp;CD120,"")&amp;IF(LEN(CE120)&gt;1,", "&amp;CE120,"")&amp;" "</f>
        <v xml:space="preserve">| </v>
      </c>
      <c r="CG120" s="38" t="str">
        <f>"| "&amp;IF(AR120,"["&amp;B120&amp;"](/places/"&amp;SUBSTITUTE(BY120,".md","")&amp;")",B120)&amp;" "</f>
        <v xml:space="preserve">| Montefalco </v>
      </c>
      <c r="CH120" s="38" t="str">
        <f>"| "&amp;IF(AR120,GetTagPage(C120,VLOOKUP(C120,'(Ref) Countries'!A:C,3,)),C120)&amp; " "</f>
        <v xml:space="preserve">| Italy </v>
      </c>
      <c r="CI120" s="38" t="str">
        <f>"| "&amp;E120&amp;" "</f>
        <v xml:space="preserve">| 1861 </v>
      </c>
      <c r="CJ120" s="38" t="str">
        <f>"|"&amp;IF(AR120," [Link](/places/"&amp;SUBSTITUTE(BY120,".md","")&amp;")","")&amp;" "</f>
        <v xml:space="preserve">| </v>
      </c>
      <c r="CK120" s="37" t="str">
        <f>"
"&amp;CG120&amp;CH120&amp;CI120&amp;CJ120&amp;BL120&amp;BQ120&amp;BR120&amp;BS120&amp;CF120&amp;"|"</f>
        <v xml:space="preserve">
| Montefalco | Italy | 1861 | [Link](http://www.therealpresence.org/eucharst/misc/BVM/12_MONTEFALCO_60x96.pdf)| |</v>
      </c>
    </row>
    <row r="121" spans="1:89" ht="102" x14ac:dyDescent="0.25">
      <c r="A121" s="25" t="s">
        <v>1324</v>
      </c>
      <c r="B121" s="28" t="s">
        <v>998</v>
      </c>
      <c r="C121" s="29" t="s">
        <v>541</v>
      </c>
      <c r="E121" s="31">
        <v>1866</v>
      </c>
      <c r="F121" s="71">
        <v>50.980685700000002</v>
      </c>
      <c r="G121" s="67">
        <v>14.597349899999999</v>
      </c>
      <c r="H121" s="29" t="s">
        <v>368</v>
      </c>
      <c r="I121" s="75" t="s">
        <v>368</v>
      </c>
      <c r="J121" s="30" t="s">
        <v>1728</v>
      </c>
      <c r="K121" s="32" t="b">
        <v>1</v>
      </c>
      <c r="L121" s="30" t="b">
        <v>1</v>
      </c>
      <c r="N121" s="29" t="s">
        <v>365</v>
      </c>
      <c r="O121" s="77" t="s">
        <v>1754</v>
      </c>
      <c r="P121" s="30" t="s">
        <v>367</v>
      </c>
      <c r="Q121" s="66"/>
      <c r="R121" s="121" t="s">
        <v>1838</v>
      </c>
      <c r="S121" s="30" t="s">
        <v>1834</v>
      </c>
      <c r="AA121" s="71" t="s">
        <v>295</v>
      </c>
      <c r="AB121" s="30" t="s">
        <v>336</v>
      </c>
      <c r="AC121" s="30" t="s">
        <v>366</v>
      </c>
      <c r="AD121" s="30" t="s">
        <v>336</v>
      </c>
      <c r="AE121" s="30" t="s">
        <v>336</v>
      </c>
      <c r="AF121" s="67" t="s">
        <v>336</v>
      </c>
      <c r="AG121" s="33" t="s">
        <v>336</v>
      </c>
      <c r="AH121" s="33"/>
      <c r="AI121" s="33"/>
      <c r="AJ121" s="33"/>
      <c r="AK121" s="33"/>
      <c r="AL121" s="33"/>
      <c r="AM121" s="33"/>
      <c r="AN121" s="33"/>
      <c r="AO121" s="33"/>
      <c r="AP121" s="113"/>
      <c r="AR121" s="36" t="b">
        <f>IF(OR(A121="Done",A121="In Progress"),TRUE)</f>
        <v>1</v>
      </c>
      <c r="AS121" s="37" t="str">
        <f>"title: """&amp;H121&amp;""""</f>
        <v>title: "Basilica of Our Lady Help of Christians"</v>
      </c>
      <c r="AT121" s="37" t="str">
        <f>"location: {lat: "&amp;F121&amp;", lng: "&amp;G121&amp;"}"</f>
        <v>location: {lat: 50.9806857, lng: 14.5973499}</v>
      </c>
      <c r="AU121" s="37" t="str">
        <f>"level: "&amp;J121</f>
        <v>level: global</v>
      </c>
      <c r="AV121" s="37" t="str">
        <f>"- "&amp;VLOOKUP(C121,'(Ref) Countries'!A:C,3,)</f>
        <v>- czechia</v>
      </c>
      <c r="AW121" s="37" t="str">
        <f t="shared" si="24"/>
        <v/>
      </c>
      <c r="AX121" s="37" t="str">
        <f t="shared" si="25"/>
        <v>- churches</v>
      </c>
      <c r="AY121" s="37" t="str">
        <f t="shared" si="26"/>
        <v>- marian-sites</v>
      </c>
      <c r="AZ121" s="37" t="str">
        <f t="shared" si="27"/>
        <v/>
      </c>
      <c r="BA121" s="37" t="str">
        <f t="shared" si="28"/>
        <v/>
      </c>
      <c r="BB121" s="37" t="str">
        <f t="shared" si="29"/>
        <v/>
      </c>
      <c r="BC121" s="37" t="str">
        <f t="shared" si="30"/>
        <v/>
      </c>
      <c r="BD121" s="37" t="str">
        <f t="shared" si="31"/>
        <v/>
      </c>
      <c r="BE121" s="37" t="str">
        <f t="shared" si="32"/>
        <v/>
      </c>
      <c r="BF121" s="37" t="str">
        <f t="shared" si="33"/>
        <v/>
      </c>
      <c r="BG121" s="37" t="str">
        <f t="shared" si="34"/>
        <v/>
      </c>
      <c r="BH121" s="37" t="str">
        <f t="shared" si="35"/>
        <v/>
      </c>
      <c r="BI121" s="37" t="str">
        <f t="shared" si="36"/>
        <v/>
      </c>
      <c r="BJ121" s="37" t="str">
        <f t="shared" si="37"/>
        <v/>
      </c>
      <c r="BK121" s="37" t="str">
        <f t="shared" si="38"/>
        <v xml:space="preserve">tags:
- czechia_x000D_
- churches_x000D_
- marian-sites_x000D_
</v>
      </c>
      <c r="BL121" s="38" t="str">
        <f t="shared" si="39"/>
        <v>[Official site](http://cz.poutni-mista-sluknovsko.cz/bazilika-minor-panny-marie-pomocnice-krestanu-filipov.html)</v>
      </c>
      <c r="BM121" s="38" t="str">
        <f t="shared" si="40"/>
        <v>[Official Facebook page](https://www.facebook.com/poutnimistofilipov)</v>
      </c>
      <c r="BN121" s="38" t="str">
        <f t="shared" si="41"/>
        <v/>
      </c>
      <c r="BO121" s="38" t="str">
        <f t="shared" si="42"/>
        <v/>
      </c>
      <c r="BP121" s="38" t="str">
        <f t="shared" si="43"/>
        <v xml:space="preserve">* [Official site](http://cz.poutni-mista-sluknovsko.cz/bazilika-minor-panny-marie-pomocnice-krestanu-filipov.html)
* [Official Facebook page](https://www.facebook.com/poutnimistofilipov)
</v>
      </c>
      <c r="BQ121" s="38" t="str">
        <f t="shared" si="44"/>
        <v>[Link](http://www.therealpresence.org/eucharst/misc/BVM/89_FILIPOV_96x96.pdf)</v>
      </c>
      <c r="BR121" s="38" t="str">
        <f t="shared" si="45"/>
        <v>[Link](https://www.miraclehunter.com/marian_apparitions/approved_apparitions/filippsdorf/index.html)</v>
      </c>
      <c r="BS121" s="38" t="str">
        <f t="shared" si="46"/>
        <v/>
      </c>
      <c r="BT121" s="38" t="str">
        <f>IF(LEN(concat(BQ121:BS121))&gt;0,concat("| ",BQ121," | ",BR121," | ",BS121," |"),"")</f>
        <v>| [Link](http://www.therealpresence.org/eucharst/misc/BVM/89_FILIPOV_96x96.pdf) | [Link](https://www.miraclehunter.com/marian_apparitions/approved_apparitions/filippsdorf/index.html) |  |</v>
      </c>
      <c r="BU121" s="37" t="str">
        <f t="shared" si="47"/>
        <v xml:space="preserve">| The Real Presence | Miracle Hunter | MaryPages |_x000D_
| --- | --- | --- |_x000D_
| [Link](http://www.therealpresence.org/eucharst/misc/BVM/89_FILIPOV_96x96.pdf) | [Link](https://www.miraclehunter.com/marian_apparitions/approved_apparitions/filippsdorf/index.html) |  |_x000D_
</v>
      </c>
      <c r="BV121" s="37" t="str">
        <f>IF(LEN(BP121&amp;BU121)&gt;0,concatll("#### Source Material",BP121,BU121),"")</f>
        <v xml:space="preserve">#### Source Material_x000D_
_x000D_
* [Official site](http://cz.poutni-mista-sluknovsko.cz/bazilika-minor-panny-marie-pomocnice-krestanu-filipov.html)
* [Official Facebook page](https://www.facebook.com/poutnimistofilipov)
_x000D_
_x000D_
| The Real Presence | Miracle Hunter | MaryPages |_x000D_
| --- | --- | --- |_x000D_
| [Link](http://www.therealpresence.org/eucharst/misc/BVM/89_FILIPOV_96x96.pdf) | [Link](https://www.miraclehunter.com/marian_apparitions/approved_apparitions/filippsdorf/index.html) |  |_x000D_
_x000D_
_x000D_
</v>
      </c>
      <c r="BW121" s="37" t="str">
        <f>IF(LEN(O121)&gt;1,concatll("#### Author's Note",O121),"")</f>
        <v xml:space="preserve">#### Author's Note_x000D_
_x000D_
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
-JMM_x000D_
_x000D_
</v>
      </c>
      <c r="BX121" s="24" t="str">
        <f>IF(AR121,concatll(concatl("---",AS121:AU121,BK121,"---"),N121,BV121:BW121),"")</f>
        <v xml:space="preserve">---_x000D_
title: "Basilica of Our Lady Help of Christians"_x000D_
location: {lat: 50.9806857, lng: 14.5973499}_x000D_
level: global_x000D_
tags:
- czechia_x000D_
- churches_x000D_
- marian-sites_x000D_
_x000D_
---_x000D_
_x000D_
_x000D_
In 1866, Magdalene Kade, an orphaned 31 year woman bedridden due to many illnesses, received a vision of the Blessed Virgin Mary, who immediately cured her.  A bishop's commission examined the miraculous event and recognized the healing and supernatural character.  A church was built by 1885 and elevated to a minor basilica by Pope Leo XIII, who officially consecrated it and dedicated to Mary, "Help of Christians."_x000D_
_x000D_
#### Source Material_x000D_
_x000D_
* [Official site](http://cz.poutni-mista-sluknovsko.cz/bazilika-minor-panny-marie-pomocnice-krestanu-filipov.html)
* [Official Facebook page](https://www.facebook.com/poutnimistofilipov)
_x000D_
_x000D_
| The Real Presence | Miracle Hunter | MaryPages |_x000D_
| --- | --- | --- |_x000D_
| [Link](http://www.therealpresence.org/eucharst/misc/BVM/89_FILIPOV_96x96.pdf) | [Link](https://www.miraclehunter.com/marian_apparitions/approved_apparitions/filippsdorf/index.html) |  |_x000D_
_x000D_
_x000D_
_x000D_
_x000D_
#### Author's Note_x000D_
_x000D_
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
-JMM_x000D_
_x000D_
_x000D_
_x000D_
</v>
      </c>
      <c r="BY121" s="24" t="str">
        <f>IF(AR121,VLOOKUP(C121,'(Ref) Countries'!A:B,2,)&amp;IF(LEN(D121)&gt;1,"-"&amp;LOWER(SUBSTITUTE(D121," ","-")),"")&amp;"-"&amp;LOWER(SUBSTITUTE(I121," ","-"))&amp;".md","")</f>
        <v>cz-basilica-of-our-lady-help-of-christians.md</v>
      </c>
      <c r="BZ121" s="38" t="str">
        <f>IF(LEN(AG121)&gt;1,VLOOKUP(AG121,'Tag List'!$A:$B,2,),"")</f>
        <v/>
      </c>
      <c r="CA121" s="38" t="str">
        <f>IF(LEN(AH121)&gt;1,VLOOKUP(AH121,'Tag List'!$A:$B,2,),"")</f>
        <v/>
      </c>
      <c r="CB121" s="38" t="str">
        <f>IF(LEN(AI121)&gt;1,VLOOKUP(AI121,'Tag List'!$A:$B,2,),"")</f>
        <v/>
      </c>
      <c r="CC121" s="38" t="str">
        <f>IF(LEN(AG121)&gt;1,GetTagPage(BZ121,AG121),"")</f>
        <v/>
      </c>
      <c r="CD121" s="38" t="str">
        <f>IF(LEN(AH121)&gt;1,GetTagPage(CA121,AH121),"")</f>
        <v/>
      </c>
      <c r="CE121" s="38" t="str">
        <f>IF(LEN(AI121)&gt;1,GetTagPage(CB121,AI121),"")</f>
        <v/>
      </c>
      <c r="CF121" s="38" t="str">
        <f>"|"&amp;IF(LEN(CC121)&gt;1," "&amp;CC121,"")&amp;IF(LEN(CD121)&gt;1,", "&amp;CD121,"")&amp;IF(LEN(CE121)&gt;1,", "&amp;CE121,"")&amp;" "</f>
        <v xml:space="preserve">| </v>
      </c>
      <c r="CG121" s="38" t="str">
        <f>"| "&amp;IF(AR121,"["&amp;B121&amp;"](/places/"&amp;SUBSTITUTE(BY121,".md","")&amp;")",B121)&amp;" "</f>
        <v xml:space="preserve">| [Filipov](/places/cz-basilica-of-our-lady-help-of-christians) </v>
      </c>
      <c r="CH121" s="38" t="str">
        <f>"| "&amp;IF(AR121,GetTagPage(C121,VLOOKUP(C121,'(Ref) Countries'!A:C,3,)),C121)&amp; " "</f>
        <v xml:space="preserve">| [Czechia](/tags/czechia) </v>
      </c>
      <c r="CI121" s="38" t="str">
        <f>"| "&amp;E121&amp;" "</f>
        <v xml:space="preserve">| 1866 </v>
      </c>
      <c r="CJ121" s="38" t="str">
        <f>"|"&amp;IF(AR121," [Link](/places/"&amp;SUBSTITUTE(BY121,".md","")&amp;")","")&amp;" "</f>
        <v xml:space="preserve">| [Link](/places/cz-basilica-of-our-lady-help-of-christians) </v>
      </c>
      <c r="CK121" s="37" t="str">
        <f>"
"&amp;CG121&amp;CH121&amp;CI121&amp;CJ121&amp;BL121&amp;BQ121&amp;BR121&amp;BS121&amp;CF121&amp;"|"</f>
        <v xml:space="preserve">
| [Filipov](/places/cz-basilica-of-our-lady-help-of-christians) | [Czechia](/tags/czechia) | 1866 | [Link](/places/cz-basilica-of-our-lady-help-of-christians) [Official site](http://cz.poutni-mista-sluknovsko.cz/bazilika-minor-panny-marie-pomocnice-krestanu-filipov.html)[Link](http://www.therealpresence.org/eucharst/misc/BVM/89_FILIPOV_96x96.pdf)[Link](https://www.miraclehunter.com/marian_apparitions/approved_apparitions/filippsdorf/index.html)| |</v>
      </c>
    </row>
    <row r="122" spans="1:89" ht="51" x14ac:dyDescent="0.25">
      <c r="A122" s="25" t="s">
        <v>1324</v>
      </c>
      <c r="B122" s="28" t="s">
        <v>999</v>
      </c>
      <c r="C122" s="29" t="s">
        <v>557</v>
      </c>
      <c r="E122" s="31">
        <v>1871</v>
      </c>
      <c r="F122" s="71">
        <v>48.439602100000002</v>
      </c>
      <c r="G122" s="67">
        <v>-1.0592325</v>
      </c>
      <c r="H122" s="29" t="s">
        <v>478</v>
      </c>
      <c r="I122" s="75" t="s">
        <v>993</v>
      </c>
      <c r="J122" s="30" t="s">
        <v>1728</v>
      </c>
      <c r="K122" s="32" t="b">
        <v>1</v>
      </c>
      <c r="L122" s="30" t="b">
        <v>1</v>
      </c>
      <c r="N122" s="29" t="s">
        <v>361</v>
      </c>
      <c r="P122" s="30" t="s">
        <v>364</v>
      </c>
      <c r="Q122" s="30" t="s">
        <v>336</v>
      </c>
      <c r="AA122" s="71" t="s">
        <v>296</v>
      </c>
      <c r="AB122" s="30" t="s">
        <v>336</v>
      </c>
      <c r="AC122" s="30" t="s">
        <v>362</v>
      </c>
      <c r="AD122" s="30" t="s">
        <v>336</v>
      </c>
      <c r="AE122" s="30" t="s">
        <v>363</v>
      </c>
      <c r="AF122" s="67" t="s">
        <v>336</v>
      </c>
      <c r="AG122" s="33" t="s">
        <v>336</v>
      </c>
      <c r="AH122" s="33"/>
      <c r="AI122" s="33"/>
      <c r="AJ122" s="33"/>
      <c r="AK122" s="33"/>
      <c r="AL122" s="33"/>
      <c r="AM122" s="33"/>
      <c r="AN122" s="33"/>
      <c r="AO122" s="33"/>
      <c r="AP122" s="113"/>
      <c r="AR122" s="36" t="b">
        <f>IF(OR(A122="Done",A122="In Progress"),TRUE)</f>
        <v>1</v>
      </c>
      <c r="AS122" s="37" t="str">
        <f>"title: """&amp;H122&amp;""""</f>
        <v>title: "Sanctuary of Pontmain (Mother of Hope)"</v>
      </c>
      <c r="AT122" s="37" t="str">
        <f>"location: {lat: "&amp;F122&amp;", lng: "&amp;G122&amp;"}"</f>
        <v>location: {lat: 48.4396021, lng: -1.0592325}</v>
      </c>
      <c r="AU122" s="37" t="str">
        <f>"level: "&amp;J122</f>
        <v>level: global</v>
      </c>
      <c r="AV122" s="37" t="str">
        <f>"- "&amp;VLOOKUP(C122,'(Ref) Countries'!A:C,3,)</f>
        <v>- france</v>
      </c>
      <c r="AW122" s="37" t="str">
        <f t="shared" si="24"/>
        <v/>
      </c>
      <c r="AX122" s="37" t="str">
        <f t="shared" si="25"/>
        <v>- churches</v>
      </c>
      <c r="AY122" s="37" t="str">
        <f t="shared" si="26"/>
        <v>- marian-sites</v>
      </c>
      <c r="AZ122" s="37" t="str">
        <f t="shared" si="27"/>
        <v/>
      </c>
      <c r="BA122" s="37" t="str">
        <f t="shared" si="28"/>
        <v/>
      </c>
      <c r="BB122" s="37" t="str">
        <f t="shared" si="29"/>
        <v/>
      </c>
      <c r="BC122" s="37" t="str">
        <f t="shared" si="30"/>
        <v/>
      </c>
      <c r="BD122" s="37" t="str">
        <f t="shared" si="31"/>
        <v/>
      </c>
      <c r="BE122" s="37" t="str">
        <f t="shared" si="32"/>
        <v/>
      </c>
      <c r="BF122" s="37" t="str">
        <f t="shared" si="33"/>
        <v/>
      </c>
      <c r="BG122" s="37" t="str">
        <f t="shared" si="34"/>
        <v/>
      </c>
      <c r="BH122" s="37" t="str">
        <f t="shared" si="35"/>
        <v/>
      </c>
      <c r="BI122" s="37" t="str">
        <f t="shared" si="36"/>
        <v/>
      </c>
      <c r="BJ122" s="37" t="str">
        <f t="shared" si="37"/>
        <v/>
      </c>
      <c r="BK122" s="37" t="str">
        <f t="shared" si="38"/>
        <v xml:space="preserve">tags:
- france_x000D_
- churches_x000D_
- marian-sites_x000D_
</v>
      </c>
      <c r="BL122" s="38" t="str">
        <f t="shared" si="39"/>
        <v>[Official site](https://sanctuaire-pontmain.com/)</v>
      </c>
      <c r="BM122" s="38" t="str">
        <f t="shared" si="40"/>
        <v/>
      </c>
      <c r="BN122" s="38" t="str">
        <f t="shared" si="41"/>
        <v/>
      </c>
      <c r="BO122" s="38" t="str">
        <f t="shared" si="42"/>
        <v/>
      </c>
      <c r="BP122" s="38" t="str">
        <f t="shared" si="43"/>
        <v xml:space="preserve">* [Official site](https://sanctuaire-pontmain.com/)
</v>
      </c>
      <c r="BQ122" s="38" t="str">
        <f t="shared" si="44"/>
        <v>[Link](http://www.therealpresence.org/eucharst/misc/BVM/26_PONTMAIN_60x96.pdf)</v>
      </c>
      <c r="BR122" s="38" t="str">
        <f t="shared" si="45"/>
        <v>[Link](https://www.miraclehunter.com/marian_apparitions/approved_apparitions/pontmain/index.html))</v>
      </c>
      <c r="BS122" s="38" t="str">
        <f t="shared" si="46"/>
        <v>[Link](https://www.marypages.com/pontmain-(france)-en.html)</v>
      </c>
      <c r="BT122" s="38" t="str">
        <f>IF(LEN(concat(BQ122:BS122))&gt;0,concat("| ",BQ122," | ",BR122," | ",BS122," |"),"")</f>
        <v>| [Link](http://www.therealpresence.org/eucharst/misc/BVM/26_PONTMAIN_60x96.pdf) | [Link](https://www.miraclehunter.com/marian_apparitions/approved_apparitions/pontmain/index.html)) | [Link](https://www.marypages.com/pontmain-(france)-en.html) |</v>
      </c>
      <c r="BU122" s="37" t="str">
        <f t="shared" si="47"/>
        <v xml:space="preserve">| The Real Presence | Miracle Hunter | MaryPages |_x000D_
| --- | --- | --- |_x000D_
| [Link](http://www.therealpresence.org/eucharst/misc/BVM/26_PONTMAIN_60x96.pdf) | [Link](https://www.miraclehunter.com/marian_apparitions/approved_apparitions/pontmain/index.html)) | [Link](https://www.marypages.com/pontmain-(france)-en.html) |_x000D_
</v>
      </c>
      <c r="BV122" s="37" t="str">
        <f>IF(LEN(BP122&amp;BU122)&gt;0,concatll("#### Source Material",BP122,BU122),"")</f>
        <v xml:space="preserve">#### Source Material_x000D_
_x000D_
* [Official site](https://sanctuaire-pontmain.com/)
_x000D_
_x000D_
| The Real Presence | Miracle Hunter | MaryPages |_x000D_
| --- | --- | --- |_x000D_
| [Link](http://www.therealpresence.org/eucharst/misc/BVM/26_PONTMAIN_60x96.pdf) | [Link](https://www.miraclehunter.com/marian_apparitions/approved_apparitions/pontmain/index.html)) | [Link](https://www.marypages.com/pontmain-(france)-en.html) |_x000D_
_x000D_
_x000D_
</v>
      </c>
      <c r="BW122" s="37" t="str">
        <f>IF(LEN(O122)&gt;1,concatll("#### Author's Note",O122),"")</f>
        <v/>
      </c>
      <c r="BX122" s="24" t="str">
        <f>IF(AR122,concatll(concatl("---",AS122:AU122,BK122,"---"),N122,BV122:BW122),"")</f>
        <v xml:space="preserve">---_x000D_
title: "Sanctuary of Pontmain (Mother of Hope)"_x000D_
location: {lat: 48.4396021, lng: -1.0592325}_x000D_
level: global_x000D_
tags:
- france_x000D_
- churches_x000D_
- marian-sites_x000D_
_x000D_
---_x000D_
_x000D_
_x000D_
In 1871, during the Franco-Prussian War, Mary appeared on a farm to students at the nearby convent school.  Her message was written on a banner that unfurled from her feet: "But pray my children. God will hear you in a short time. My Son allows Himself to be moved by compassion."_x000D_
_x000D_
#### Source Material_x000D_
_x000D_
* [Official site](https://sanctuaire-pontmain.com/)
_x000D_
_x000D_
| The Real Presence | Miracle Hunter | MaryPages |_x000D_
| --- | --- | --- |_x000D_
| [Link](http://www.therealpresence.org/eucharst/misc/BVM/26_PONTMAIN_60x96.pdf) | [Link](https://www.miraclehunter.com/marian_apparitions/approved_apparitions/pontmain/index.html)) | [Link](https://www.marypages.com/pontmain-(france)-en.html) |_x000D_
_x000D_
_x000D_
_x000D_
_x000D_
</v>
      </c>
      <c r="BY122" s="24" t="str">
        <f>IF(AR122,VLOOKUP(C122,'(Ref) Countries'!A:B,2,)&amp;IF(LEN(D122)&gt;1,"-"&amp;LOWER(SUBSTITUTE(D122," ","-")),"")&amp;"-"&amp;LOWER(SUBSTITUTE(I122," ","-"))&amp;".md","")</f>
        <v>fr-sanctuary-of-pontmain.md</v>
      </c>
      <c r="BZ122" s="38" t="str">
        <f>IF(LEN(AG122)&gt;1,VLOOKUP(AG122,'Tag List'!$A:$B,2,),"")</f>
        <v/>
      </c>
      <c r="CA122" s="38" t="str">
        <f>IF(LEN(AH122)&gt;1,VLOOKUP(AH122,'Tag List'!$A:$B,2,),"")</f>
        <v/>
      </c>
      <c r="CB122" s="38" t="str">
        <f>IF(LEN(AI122)&gt;1,VLOOKUP(AI122,'Tag List'!$A:$B,2,),"")</f>
        <v/>
      </c>
      <c r="CC122" s="38" t="str">
        <f>IF(LEN(AG122)&gt;1,GetTagPage(BZ122,AG122),"")</f>
        <v/>
      </c>
      <c r="CD122" s="38" t="str">
        <f>IF(LEN(AH122)&gt;1,GetTagPage(CA122,AH122),"")</f>
        <v/>
      </c>
      <c r="CE122" s="38" t="str">
        <f>IF(LEN(AI122)&gt;1,GetTagPage(CB122,AI122),"")</f>
        <v/>
      </c>
      <c r="CF122" s="38" t="str">
        <f>"|"&amp;IF(LEN(CC122)&gt;1," "&amp;CC122,"")&amp;IF(LEN(CD122)&gt;1,", "&amp;CD122,"")&amp;IF(LEN(CE122)&gt;1,", "&amp;CE122,"")&amp;" "</f>
        <v xml:space="preserve">| </v>
      </c>
      <c r="CG122" s="38" t="str">
        <f>"| "&amp;IF(AR122,"["&amp;B122&amp;"](/places/"&amp;SUBSTITUTE(BY122,".md","")&amp;")",B122)&amp;" "</f>
        <v xml:space="preserve">| [Pontmain](/places/fr-sanctuary-of-pontmain) </v>
      </c>
      <c r="CH122" s="38" t="str">
        <f>"| "&amp;IF(AR122,GetTagPage(C122,VLOOKUP(C122,'(Ref) Countries'!A:C,3,)),C122)&amp; " "</f>
        <v xml:space="preserve">| [France](/tags/france) </v>
      </c>
      <c r="CI122" s="38" t="str">
        <f>"| "&amp;E122&amp;" "</f>
        <v xml:space="preserve">| 1871 </v>
      </c>
      <c r="CJ122" s="38" t="str">
        <f>"|"&amp;IF(AR122," [Link](/places/"&amp;SUBSTITUTE(BY122,".md","")&amp;")","")&amp;" "</f>
        <v xml:space="preserve">| [Link](/places/fr-sanctuary-of-pontmain) </v>
      </c>
      <c r="CK122" s="37" t="str">
        <f>"
"&amp;CG122&amp;CH122&amp;CI122&amp;CJ122&amp;BL122&amp;BQ122&amp;BR122&amp;BS122&amp;CF122&amp;"|"</f>
        <v xml:space="preserve">
| [Pontmain](/places/fr-sanctuary-of-pontmain) | [France](/tags/france) | 1871 | [Link](/places/fr-sanctuary-of-pontmain) [Official site](https://sanctuaire-pontmain.com/)[Link](http://www.therealpresence.org/eucharst/misc/BVM/26_PONTMAIN_60x96.pdf)[Link](https://www.miraclehunter.com/marian_apparitions/approved_apparitions/pontmain/index.html))[Link](https://www.marypages.com/pontmain-(france)-en.html)| |</v>
      </c>
    </row>
    <row r="123" spans="1:89" x14ac:dyDescent="0.25">
      <c r="B123" s="28" t="s">
        <v>1285</v>
      </c>
      <c r="C123" s="29" t="s">
        <v>557</v>
      </c>
      <c r="E123" s="31">
        <v>1873</v>
      </c>
      <c r="J123" s="30" t="s">
        <v>1728</v>
      </c>
      <c r="K123" s="32" t="b">
        <v>1</v>
      </c>
      <c r="L123" s="30" t="b">
        <v>1</v>
      </c>
      <c r="P123" s="30" t="s">
        <v>336</v>
      </c>
      <c r="Q123" s="30" t="s">
        <v>336</v>
      </c>
      <c r="AA123" s="71" t="s">
        <v>297</v>
      </c>
      <c r="AB123" s="30" t="s">
        <v>336</v>
      </c>
      <c r="AC123" s="30" t="s">
        <v>336</v>
      </c>
      <c r="AD123" s="30" t="s">
        <v>336</v>
      </c>
      <c r="AE123" s="30" t="s">
        <v>336</v>
      </c>
      <c r="AF123" s="67" t="s">
        <v>336</v>
      </c>
      <c r="AG123" s="30" t="s">
        <v>336</v>
      </c>
      <c r="AR123" s="36" t="b">
        <f>IF(OR(A123="Done",A123="In Progress"),TRUE)</f>
        <v>0</v>
      </c>
      <c r="AS123" s="37" t="str">
        <f>"title: """&amp;H123&amp;""""</f>
        <v>title: ""</v>
      </c>
      <c r="AT123" s="37" t="str">
        <f>"location: {lat: "&amp;F123&amp;", lng: "&amp;G123&amp;"}"</f>
        <v>location: {lat: , lng: }</v>
      </c>
      <c r="AU123" s="37" t="str">
        <f>"level: "&amp;J123</f>
        <v>level: global</v>
      </c>
      <c r="AV123" s="37" t="str">
        <f>"- "&amp;VLOOKUP(C123,'(Ref) Countries'!A:C,3,)</f>
        <v>- france</v>
      </c>
      <c r="AW123" s="37" t="str">
        <f t="shared" si="24"/>
        <v/>
      </c>
      <c r="AX123" s="37" t="str">
        <f t="shared" si="25"/>
        <v>- churches</v>
      </c>
      <c r="AY123" s="37" t="str">
        <f t="shared" si="26"/>
        <v>- marian-sites</v>
      </c>
      <c r="AZ123" s="37" t="str">
        <f t="shared" si="27"/>
        <v/>
      </c>
      <c r="BA123" s="37" t="str">
        <f t="shared" si="28"/>
        <v/>
      </c>
      <c r="BB123" s="37" t="str">
        <f t="shared" si="29"/>
        <v/>
      </c>
      <c r="BC123" s="37" t="str">
        <f t="shared" si="30"/>
        <v/>
      </c>
      <c r="BD123" s="37" t="str">
        <f t="shared" si="31"/>
        <v/>
      </c>
      <c r="BE123" s="37" t="str">
        <f t="shared" si="32"/>
        <v/>
      </c>
      <c r="BF123" s="37" t="str">
        <f t="shared" si="33"/>
        <v/>
      </c>
      <c r="BG123" s="37" t="str">
        <f t="shared" si="34"/>
        <v/>
      </c>
      <c r="BH123" s="37" t="str">
        <f t="shared" si="35"/>
        <v/>
      </c>
      <c r="BI123" s="37" t="str">
        <f t="shared" si="36"/>
        <v/>
      </c>
      <c r="BJ123" s="37" t="str">
        <f t="shared" si="37"/>
        <v/>
      </c>
      <c r="BK123" s="37" t="str">
        <f t="shared" si="38"/>
        <v xml:space="preserve">tags:
- france_x000D_
- churches_x000D_
- marian-sites_x000D_
</v>
      </c>
      <c r="BL123" s="38" t="str">
        <f t="shared" si="39"/>
        <v/>
      </c>
      <c r="BM123" s="38" t="str">
        <f t="shared" si="40"/>
        <v/>
      </c>
      <c r="BN123" s="38" t="str">
        <f t="shared" si="41"/>
        <v/>
      </c>
      <c r="BO123" s="38" t="str">
        <f t="shared" si="42"/>
        <v/>
      </c>
      <c r="BP123" s="38" t="str">
        <f t="shared" si="43"/>
        <v/>
      </c>
      <c r="BQ123" s="38" t="str">
        <f t="shared" si="44"/>
        <v>[Link](http://www.therealpresence.org/eucharst/misc/BVM/135_S_BAUZILLE_96x96.pdf)</v>
      </c>
      <c r="BR123" s="38" t="str">
        <f t="shared" si="45"/>
        <v/>
      </c>
      <c r="BS123" s="38" t="str">
        <f t="shared" si="46"/>
        <v/>
      </c>
      <c r="BT123" s="38" t="str">
        <f>IF(LEN(concat(BQ123:BS123))&gt;0,concat("| ",BQ123," | ",BR123," | ",BS123," |"),"")</f>
        <v>| [Link](http://www.therealpresence.org/eucharst/misc/BVM/135_S_BAUZILLE_96x96.pdf) |  |  |</v>
      </c>
      <c r="BU123" s="37" t="str">
        <f t="shared" si="47"/>
        <v xml:space="preserve">| The Real Presence | Miracle Hunter | MaryPages |_x000D_
| --- | --- | --- |_x000D_
| [Link](http://www.therealpresence.org/eucharst/misc/BVM/135_S_BAUZILLE_96x96.pdf) |  |  |_x000D_
</v>
      </c>
      <c r="BV123" s="37" t="str">
        <f>IF(LEN(BP123&amp;BU123)&gt;0,concatll("#### Source Material",BP123,BU123),"")</f>
        <v xml:space="preserve">#### Source Material_x000D_
_x000D_
| The Real Presence | Miracle Hunter | MaryPages |_x000D_
| --- | --- | --- |_x000D_
| [Link](http://www.therealpresence.org/eucharst/misc/BVM/135_S_BAUZILLE_96x96.pdf) |  |  |_x000D_
_x000D_
_x000D_
</v>
      </c>
      <c r="BW123" s="37" t="str">
        <f>IF(LEN(O123)&gt;1,concatll("#### Author's Note",O123),"")</f>
        <v/>
      </c>
      <c r="BX123" s="24" t="str">
        <f>IF(AR123,concatll(concatl("---",AS123:AU123,BK123,"---"),N123,BV123:BW123),"")</f>
        <v/>
      </c>
      <c r="BY123" s="24" t="str">
        <f>IF(AR123,VLOOKUP(C123,'(Ref) Countries'!A:B,2,)&amp;IF(LEN(D123)&gt;1,"-"&amp;LOWER(SUBSTITUTE(D123," ","-")),"")&amp;"-"&amp;LOWER(SUBSTITUTE(I123," ","-"))&amp;".md","")</f>
        <v/>
      </c>
      <c r="BZ123" s="37" t="str">
        <f>IF(LEN(AG123)&gt;1,VLOOKUP(AG123,'Tag List'!$A:$B,2,),"")</f>
        <v/>
      </c>
      <c r="CA123" s="37" t="str">
        <f>IF(LEN(AH123)&gt;1,VLOOKUP(AH123,'Tag List'!$A:$B,2,),"")</f>
        <v/>
      </c>
      <c r="CB123" s="37" t="str">
        <f>IF(LEN(AI123)&gt;1,VLOOKUP(AI123,'Tag List'!$A:$B,2,),"")</f>
        <v/>
      </c>
      <c r="CC123" s="38" t="str">
        <f>IF(LEN(AG123)&gt;1,GetTagPage(BZ123,AG123),"")</f>
        <v/>
      </c>
      <c r="CD123" s="38" t="str">
        <f>IF(LEN(AH123)&gt;1,GetTagPage(CA123,AH123),"")</f>
        <v/>
      </c>
      <c r="CE123" s="38" t="str">
        <f>IF(LEN(AI123)&gt;1,GetTagPage(CB123,AI123),"")</f>
        <v/>
      </c>
      <c r="CF123" s="38" t="str">
        <f>"|"&amp;IF(LEN(CC123)&gt;1," "&amp;CC123,"")&amp;IF(LEN(CD123)&gt;1,", "&amp;CD123,"")&amp;IF(LEN(CE123)&gt;1,", "&amp;CE123,"")&amp;" "</f>
        <v xml:space="preserve">| </v>
      </c>
      <c r="CG123" s="38" t="str">
        <f>"| "&amp;IF(AR123,"["&amp;B123&amp;"](/places/"&amp;SUBSTITUTE(BY123,".md","")&amp;")",B123)&amp;" "</f>
        <v xml:space="preserve">| Saint Bauzille de la Sylve </v>
      </c>
      <c r="CH123" s="38" t="str">
        <f>"| "&amp;IF(AR123,GetTagPage(C123,VLOOKUP(C123,'(Ref) Countries'!A:C,3,)),C123)&amp; " "</f>
        <v xml:space="preserve">| France </v>
      </c>
      <c r="CI123" s="38" t="str">
        <f>"| "&amp;E123&amp;" "</f>
        <v xml:space="preserve">| 1873 </v>
      </c>
      <c r="CJ123" s="38" t="str">
        <f>"|"&amp;IF(AR123," [Link](/places/"&amp;SUBSTITUTE(BY123,".md","")&amp;")","")&amp;" "</f>
        <v xml:space="preserve">| </v>
      </c>
      <c r="CK123" s="37" t="str">
        <f>"
"&amp;CG123&amp;CH123&amp;CI123&amp;CJ123&amp;BL123&amp;BQ123&amp;BR123&amp;BS123&amp;CF123&amp;"|"</f>
        <v xml:space="preserve">
| Saint Bauzille de la Sylve | France | 1873 | [Link](http://www.therealpresence.org/eucharst/misc/BVM/135_S_BAUZILLE_96x96.pdf)| |</v>
      </c>
    </row>
    <row r="124" spans="1:89" x14ac:dyDescent="0.25">
      <c r="B124" s="28" t="s">
        <v>1286</v>
      </c>
      <c r="C124" s="29" t="s">
        <v>11</v>
      </c>
      <c r="E124" s="31">
        <v>1875</v>
      </c>
      <c r="J124" s="30" t="s">
        <v>1728</v>
      </c>
      <c r="K124" s="32" t="b">
        <v>1</v>
      </c>
      <c r="L124" s="30" t="b">
        <v>1</v>
      </c>
      <c r="P124" s="30" t="s">
        <v>336</v>
      </c>
      <c r="Q124" s="30" t="s">
        <v>336</v>
      </c>
      <c r="AA124" s="71" t="s">
        <v>298</v>
      </c>
      <c r="AB124" s="30" t="s">
        <v>336</v>
      </c>
      <c r="AC124" s="30" t="s">
        <v>336</v>
      </c>
      <c r="AD124" s="30" t="s">
        <v>336</v>
      </c>
      <c r="AE124" s="30" t="s">
        <v>336</v>
      </c>
      <c r="AF124" s="67" t="s">
        <v>336</v>
      </c>
      <c r="AG124" s="30" t="s">
        <v>336</v>
      </c>
      <c r="AR124" s="36" t="b">
        <f>IF(OR(A124="Done",A124="In Progress"),TRUE)</f>
        <v>0</v>
      </c>
      <c r="AS124" s="37" t="str">
        <f>"title: """&amp;H124&amp;""""</f>
        <v>title: ""</v>
      </c>
      <c r="AT124" s="37" t="str">
        <f>"location: {lat: "&amp;F124&amp;", lng: "&amp;G124&amp;"}"</f>
        <v>location: {lat: , lng: }</v>
      </c>
      <c r="AU124" s="37" t="str">
        <f>"level: "&amp;J124</f>
        <v>level: global</v>
      </c>
      <c r="AV124" s="37" t="str">
        <f>"- "&amp;VLOOKUP(C124,'(Ref) Countries'!A:C,3,)</f>
        <v>- italy</v>
      </c>
      <c r="AW124" s="37" t="str">
        <f t="shared" si="24"/>
        <v/>
      </c>
      <c r="AX124" s="37" t="str">
        <f t="shared" si="25"/>
        <v>- churches</v>
      </c>
      <c r="AY124" s="37" t="str">
        <f t="shared" si="26"/>
        <v>- marian-sites</v>
      </c>
      <c r="AZ124" s="37" t="str">
        <f t="shared" si="27"/>
        <v/>
      </c>
      <c r="BA124" s="37" t="str">
        <f t="shared" si="28"/>
        <v/>
      </c>
      <c r="BB124" s="37" t="str">
        <f t="shared" si="29"/>
        <v/>
      </c>
      <c r="BC124" s="37" t="str">
        <f t="shared" si="30"/>
        <v/>
      </c>
      <c r="BD124" s="37" t="str">
        <f t="shared" si="31"/>
        <v/>
      </c>
      <c r="BE124" s="37" t="str">
        <f t="shared" si="32"/>
        <v/>
      </c>
      <c r="BF124" s="37" t="str">
        <f t="shared" si="33"/>
        <v/>
      </c>
      <c r="BG124" s="37" t="str">
        <f t="shared" si="34"/>
        <v/>
      </c>
      <c r="BH124" s="37" t="str">
        <f t="shared" si="35"/>
        <v/>
      </c>
      <c r="BI124" s="37" t="str">
        <f t="shared" si="36"/>
        <v/>
      </c>
      <c r="BJ124" s="37" t="str">
        <f t="shared" si="37"/>
        <v/>
      </c>
      <c r="BK124" s="37" t="str">
        <f t="shared" si="38"/>
        <v xml:space="preserve">tags:
- italy_x000D_
- churches_x000D_
- marian-sites_x000D_
</v>
      </c>
      <c r="BL124" s="38" t="str">
        <f t="shared" si="39"/>
        <v/>
      </c>
      <c r="BM124" s="38" t="str">
        <f t="shared" si="40"/>
        <v/>
      </c>
      <c r="BN124" s="38" t="str">
        <f t="shared" si="41"/>
        <v/>
      </c>
      <c r="BO124" s="38" t="str">
        <f t="shared" si="42"/>
        <v/>
      </c>
      <c r="BP124" s="38" t="str">
        <f t="shared" si="43"/>
        <v/>
      </c>
      <c r="BQ124" s="38" t="str">
        <f t="shared" si="44"/>
        <v>[Link](http://www.therealpresence.org/eucharst/misc/BVM/25_POMPEI_96x96.pdf)</v>
      </c>
      <c r="BR124" s="38" t="str">
        <f t="shared" si="45"/>
        <v/>
      </c>
      <c r="BS124" s="38" t="str">
        <f t="shared" si="46"/>
        <v/>
      </c>
      <c r="BT124" s="38" t="str">
        <f>IF(LEN(concat(BQ124:BS124))&gt;0,concat("| ",BQ124," | ",BR124," | ",BS124," |"),"")</f>
        <v>| [Link](http://www.therealpresence.org/eucharst/misc/BVM/25_POMPEI_96x96.pdf) |  |  |</v>
      </c>
      <c r="BU124" s="37" t="str">
        <f t="shared" si="47"/>
        <v xml:space="preserve">| The Real Presence | Miracle Hunter | MaryPages |_x000D_
| --- | --- | --- |_x000D_
| [Link](http://www.therealpresence.org/eucharst/misc/BVM/25_POMPEI_96x96.pdf) |  |  |_x000D_
</v>
      </c>
      <c r="BV124" s="37" t="str">
        <f>IF(LEN(BP124&amp;BU124)&gt;0,concatll("#### Source Material",BP124,BU124),"")</f>
        <v xml:space="preserve">#### Source Material_x000D_
_x000D_
| The Real Presence | Miracle Hunter | MaryPages |_x000D_
| --- | --- | --- |_x000D_
| [Link](http://www.therealpresence.org/eucharst/misc/BVM/25_POMPEI_96x96.pdf) |  |  |_x000D_
_x000D_
_x000D_
</v>
      </c>
      <c r="BW124" s="37" t="str">
        <f>IF(LEN(O124)&gt;1,concatll("#### Author's Note",O124),"")</f>
        <v/>
      </c>
      <c r="BX124" s="24" t="str">
        <f>IF(AR124,concatll(concatl("---",AS124:AU124,BK124,"---"),N124,BV124:BW124),"")</f>
        <v/>
      </c>
      <c r="BY124" s="24" t="str">
        <f>IF(AR124,VLOOKUP(C124,'(Ref) Countries'!A:B,2,)&amp;IF(LEN(D124)&gt;1,"-"&amp;LOWER(SUBSTITUTE(D124," ","-")),"")&amp;"-"&amp;LOWER(SUBSTITUTE(I124," ","-"))&amp;".md","")</f>
        <v/>
      </c>
      <c r="BZ124" s="37" t="str">
        <f>IF(LEN(AG124)&gt;1,VLOOKUP(AG124,'Tag List'!$A:$B,2,),"")</f>
        <v/>
      </c>
      <c r="CA124" s="37" t="str">
        <f>IF(LEN(AH124)&gt;1,VLOOKUP(AH124,'Tag List'!$A:$B,2,),"")</f>
        <v/>
      </c>
      <c r="CB124" s="37" t="str">
        <f>IF(LEN(AI124)&gt;1,VLOOKUP(AI124,'Tag List'!$A:$B,2,),"")</f>
        <v/>
      </c>
      <c r="CC124" s="38" t="str">
        <f>IF(LEN(AG124)&gt;1,GetTagPage(BZ124,AG124),"")</f>
        <v/>
      </c>
      <c r="CD124" s="38" t="str">
        <f>IF(LEN(AH124)&gt;1,GetTagPage(CA124,AH124),"")</f>
        <v/>
      </c>
      <c r="CE124" s="38" t="str">
        <f>IF(LEN(AI124)&gt;1,GetTagPage(CB124,AI124),"")</f>
        <v/>
      </c>
      <c r="CF124" s="38" t="str">
        <f>"|"&amp;IF(LEN(CC124)&gt;1," "&amp;CC124,"")&amp;IF(LEN(CD124)&gt;1,", "&amp;CD124,"")&amp;IF(LEN(CE124)&gt;1,", "&amp;CE124,"")&amp;" "</f>
        <v xml:space="preserve">| </v>
      </c>
      <c r="CG124" s="38" t="str">
        <f>"| "&amp;IF(AR124,"["&amp;B124&amp;"](/places/"&amp;SUBSTITUTE(BY124,".md","")&amp;")",B124)&amp;" "</f>
        <v xml:space="preserve">| Pompei </v>
      </c>
      <c r="CH124" s="38" t="str">
        <f>"| "&amp;IF(AR124,GetTagPage(C124,VLOOKUP(C124,'(Ref) Countries'!A:C,3,)),C124)&amp; " "</f>
        <v xml:space="preserve">| Italy </v>
      </c>
      <c r="CI124" s="38" t="str">
        <f>"| "&amp;E124&amp;" "</f>
        <v xml:space="preserve">| 1875 </v>
      </c>
      <c r="CJ124" s="38" t="str">
        <f>"|"&amp;IF(AR124," [Link](/places/"&amp;SUBSTITUTE(BY124,".md","")&amp;")","")&amp;" "</f>
        <v xml:space="preserve">| </v>
      </c>
      <c r="CK124" s="37" t="str">
        <f>"
"&amp;CG124&amp;CH124&amp;CI124&amp;CJ124&amp;BL124&amp;BQ124&amp;BR124&amp;BS124&amp;CF124&amp;"|"</f>
        <v xml:space="preserve">
| Pompei | Italy | 1875 | [Link](http://www.therealpresence.org/eucharst/misc/BVM/25_POMPEI_96x96.pdf)| |</v>
      </c>
    </row>
    <row r="125" spans="1:89" x14ac:dyDescent="0.25">
      <c r="A125" s="25" t="s">
        <v>1052</v>
      </c>
      <c r="B125" s="28" t="s">
        <v>1287</v>
      </c>
      <c r="C125" s="29" t="s">
        <v>557</v>
      </c>
      <c r="E125" s="31">
        <v>1876</v>
      </c>
      <c r="F125" s="71">
        <v>46.982858987663199</v>
      </c>
      <c r="G125" s="67">
        <v>1.4171181142389</v>
      </c>
      <c r="H125" s="35" t="s">
        <v>1711</v>
      </c>
      <c r="I125" s="75" t="s">
        <v>1711</v>
      </c>
      <c r="J125" s="30" t="s">
        <v>1728</v>
      </c>
      <c r="K125" s="32" t="b">
        <v>1</v>
      </c>
      <c r="L125" s="30" t="b">
        <v>1</v>
      </c>
      <c r="N125" s="35" t="s">
        <v>1337</v>
      </c>
      <c r="P125" s="30" t="s">
        <v>1712</v>
      </c>
      <c r="Q125" s="30" t="s">
        <v>336</v>
      </c>
      <c r="AA125" s="71" t="s">
        <v>299</v>
      </c>
      <c r="AB125" s="30" t="s">
        <v>336</v>
      </c>
      <c r="AC125" s="30" t="s">
        <v>1713</v>
      </c>
      <c r="AD125" s="30" t="s">
        <v>336</v>
      </c>
      <c r="AE125" s="30" t="s">
        <v>1714</v>
      </c>
      <c r="AF125" s="67" t="s">
        <v>336</v>
      </c>
      <c r="AG125" s="30" t="s">
        <v>336</v>
      </c>
      <c r="AR125" s="36" t="b">
        <f>IF(OR(A125="Done",A125="In Progress"),TRUE)</f>
        <v>1</v>
      </c>
      <c r="AS125" s="37" t="str">
        <f>"title: """&amp;H125&amp;""""</f>
        <v>title: "Sanctuary of Pellevoisin"</v>
      </c>
      <c r="AT125" s="37" t="str">
        <f>"location: {lat: "&amp;F125&amp;", lng: "&amp;G125&amp;"}"</f>
        <v>location: {lat: 46.9828589876632, lng: 1.4171181142389}</v>
      </c>
      <c r="AU125" s="37" t="str">
        <f>"level: "&amp;J125</f>
        <v>level: global</v>
      </c>
      <c r="AV125" s="37" t="str">
        <f>"- "&amp;VLOOKUP(C125,'(Ref) Countries'!A:C,3,)</f>
        <v>- france</v>
      </c>
      <c r="AW125" s="37" t="str">
        <f t="shared" si="24"/>
        <v/>
      </c>
      <c r="AX125" s="37" t="str">
        <f t="shared" si="25"/>
        <v>- churches</v>
      </c>
      <c r="AY125" s="37" t="str">
        <f t="shared" si="26"/>
        <v>- marian-sites</v>
      </c>
      <c r="AZ125" s="37" t="str">
        <f t="shared" si="27"/>
        <v/>
      </c>
      <c r="BA125" s="37" t="str">
        <f t="shared" si="28"/>
        <v/>
      </c>
      <c r="BB125" s="37" t="str">
        <f t="shared" si="29"/>
        <v/>
      </c>
      <c r="BC125" s="37" t="str">
        <f t="shared" si="30"/>
        <v/>
      </c>
      <c r="BD125" s="37" t="str">
        <f t="shared" si="31"/>
        <v/>
      </c>
      <c r="BE125" s="37" t="str">
        <f t="shared" si="32"/>
        <v/>
      </c>
      <c r="BF125" s="37" t="str">
        <f t="shared" si="33"/>
        <v/>
      </c>
      <c r="BG125" s="37" t="str">
        <f t="shared" si="34"/>
        <v/>
      </c>
      <c r="BH125" s="37" t="str">
        <f t="shared" si="35"/>
        <v/>
      </c>
      <c r="BI125" s="37" t="str">
        <f t="shared" si="36"/>
        <v/>
      </c>
      <c r="BJ125" s="37" t="str">
        <f t="shared" si="37"/>
        <v/>
      </c>
      <c r="BK125" s="37" t="str">
        <f t="shared" si="38"/>
        <v xml:space="preserve">tags:
- france_x000D_
- churches_x000D_
- marian-sites_x000D_
</v>
      </c>
      <c r="BL125" s="38" t="str">
        <f t="shared" si="39"/>
        <v>[Official site](https://www.pellevoisin.net/)</v>
      </c>
      <c r="BM125" s="38" t="str">
        <f t="shared" si="40"/>
        <v/>
      </c>
      <c r="BN125" s="38" t="str">
        <f t="shared" si="41"/>
        <v/>
      </c>
      <c r="BO125" s="38" t="str">
        <f t="shared" si="42"/>
        <v/>
      </c>
      <c r="BP125" s="38" t="str">
        <f t="shared" si="43"/>
        <v xml:space="preserve">* [Official site](https://www.pellevoisin.net/)
</v>
      </c>
      <c r="BQ125" s="38" t="str">
        <f t="shared" si="44"/>
        <v>[Link](http://www.therealpresence.org/eucharst/misc/BVM/07_PELLEVOISIN_60x96.pdf)</v>
      </c>
      <c r="BR125" s="38" t="str">
        <f t="shared" si="45"/>
        <v>[Link](https://www.miraclehunter.com/marian_apparitions/approved_apparitions/pellevoisin/index.html)</v>
      </c>
      <c r="BS125" s="38" t="str">
        <f t="shared" si="46"/>
        <v>[Link](https://www.marypages.com/pellevoisin-france-en.html)</v>
      </c>
      <c r="BT125" s="38" t="str">
        <f>IF(LEN(concat(BQ125:BS125))&gt;0,concat("| ",BQ125," | ",BR125," | ",BS125," |"),"")</f>
        <v>| [Link](http://www.therealpresence.org/eucharst/misc/BVM/07_PELLEVOISIN_60x96.pdf) | [Link](https://www.miraclehunter.com/marian_apparitions/approved_apparitions/pellevoisin/index.html) | [Link](https://www.marypages.com/pellevoisin-france-en.html) |</v>
      </c>
      <c r="BU125" s="37" t="str">
        <f t="shared" si="47"/>
        <v xml:space="preserve">| The Real Presence | Miracle Hunter | MaryPages |_x000D_
| --- | --- | --- |_x000D_
| [Link](http://www.therealpresence.org/eucharst/misc/BVM/07_PELLEVOISIN_60x96.pdf) | [Link](https://www.miraclehunter.com/marian_apparitions/approved_apparitions/pellevoisin/index.html) | [Link](https://www.marypages.com/pellevoisin-france-en.html) |_x000D_
</v>
      </c>
      <c r="BV125" s="37" t="str">
        <f>IF(LEN(BP125&amp;BU125)&gt;0,concatll("#### Source Material",BP125,BU125),"")</f>
        <v xml:space="preserve">#### Source Material_x000D_
_x000D_
* [Official site](https://www.pellevoisin.net/)
_x000D_
_x000D_
| The Real Presence | Miracle Hunter | MaryPages |_x000D_
| --- | --- | --- |_x000D_
| [Link](http://www.therealpresence.org/eucharst/misc/BVM/07_PELLEVOISIN_60x96.pdf) | [Link](https://www.miraclehunter.com/marian_apparitions/approved_apparitions/pellevoisin/index.html) | [Link](https://www.marypages.com/pellevoisin-france-en.html) |_x000D_
_x000D_
_x000D_
</v>
      </c>
      <c r="BW125" s="37" t="str">
        <f>IF(LEN(O125)&gt;1,concatll("#### Author's Note",O125),"")</f>
        <v/>
      </c>
      <c r="BX125" s="24" t="str">
        <f>IF(AR125,concatll(concatl("---",AS125:AU125,BK125,"---"),N125,BV125:BW125),"")</f>
        <v xml:space="preserve">---_x000D_
title: "Sanctuary of Pellevoisin"_x000D_
location: {lat: 46.9828589876632, lng: 1.4171181142389}_x000D_
level: global_x000D_
tags:
- france_x000D_
- churches_x000D_
- marian-sites_x000D_
_x000D_
---_x000D_
_x000D_
_x000D_
_Research in progress__x000D_
_x000D_
#### Source Material_x000D_
_x000D_
* [Official site](https://www.pellevoisin.net/)
_x000D_
_x000D_
| The Real Presence | Miracle Hunter | MaryPages |_x000D_
| --- | --- | --- |_x000D_
| [Link](http://www.therealpresence.org/eucharst/misc/BVM/07_PELLEVOISIN_60x96.pdf) | [Link](https://www.miraclehunter.com/marian_apparitions/approved_apparitions/pellevoisin/index.html) | [Link](https://www.marypages.com/pellevoisin-france-en.html) |_x000D_
_x000D_
_x000D_
_x000D_
_x000D_
</v>
      </c>
      <c r="BY125" s="24" t="str">
        <f>IF(AR125,VLOOKUP(C125,'(Ref) Countries'!A:B,2,)&amp;IF(LEN(D125)&gt;1,"-"&amp;LOWER(SUBSTITUTE(D125," ","-")),"")&amp;"-"&amp;LOWER(SUBSTITUTE(I125," ","-"))&amp;".md","")</f>
        <v>fr-sanctuary-of-pellevoisin.md</v>
      </c>
      <c r="BZ125" s="37" t="str">
        <f>IF(LEN(AG125)&gt;1,VLOOKUP(AG125,'Tag List'!$A:$B,2,),"")</f>
        <v/>
      </c>
      <c r="CA125" s="37" t="str">
        <f>IF(LEN(AH125)&gt;1,VLOOKUP(AH125,'Tag List'!$A:$B,2,),"")</f>
        <v/>
      </c>
      <c r="CB125" s="37" t="str">
        <f>IF(LEN(AI125)&gt;1,VLOOKUP(AI125,'Tag List'!$A:$B,2,),"")</f>
        <v/>
      </c>
      <c r="CC125" s="38" t="str">
        <f>IF(LEN(AG125)&gt;1,GetTagPage(BZ125,AG125),"")</f>
        <v/>
      </c>
      <c r="CD125" s="38" t="str">
        <f>IF(LEN(AH125)&gt;1,GetTagPage(CA125,AH125),"")</f>
        <v/>
      </c>
      <c r="CE125" s="38" t="str">
        <f>IF(LEN(AI125)&gt;1,GetTagPage(CB125,AI125),"")</f>
        <v/>
      </c>
      <c r="CF125" s="38" t="str">
        <f>"|"&amp;IF(LEN(CC125)&gt;1," "&amp;CC125,"")&amp;IF(LEN(CD125)&gt;1,", "&amp;CD125,"")&amp;IF(LEN(CE125)&gt;1,", "&amp;CE125,"")&amp;" "</f>
        <v xml:space="preserve">| </v>
      </c>
      <c r="CG125" s="38" t="str">
        <f>"| "&amp;IF(AR125,"["&amp;B125&amp;"](/places/"&amp;SUBSTITUTE(BY125,".md","")&amp;")",B125)&amp;" "</f>
        <v xml:space="preserve">| [Pellovoisin](/places/fr-sanctuary-of-pellevoisin) </v>
      </c>
      <c r="CH125" s="38" t="str">
        <f>"| "&amp;IF(AR125,GetTagPage(C125,VLOOKUP(C125,'(Ref) Countries'!A:C,3,)),C125)&amp; " "</f>
        <v xml:space="preserve">| [France](/tags/france) </v>
      </c>
      <c r="CI125" s="38" t="str">
        <f>"| "&amp;E125&amp;" "</f>
        <v xml:space="preserve">| 1876 </v>
      </c>
      <c r="CJ125" s="38" t="str">
        <f>"|"&amp;IF(AR125," [Link](/places/"&amp;SUBSTITUTE(BY125,".md","")&amp;")","")&amp;" "</f>
        <v xml:space="preserve">| [Link](/places/fr-sanctuary-of-pellevoisin) </v>
      </c>
      <c r="CK125" s="37" t="str">
        <f>"
"&amp;CG125&amp;CH125&amp;CI125&amp;CJ125&amp;BL125&amp;BQ125&amp;BR125&amp;BS125&amp;CF125&amp;"|"</f>
        <v xml:space="preserve">
| [Pellovoisin](/places/fr-sanctuary-of-pellevoisin) | [France](/tags/france) | 1876 | [Link](/places/fr-sanctuary-of-pellevoisin) [Official site](https://www.pellevoisin.net/)[Link](http://www.therealpresence.org/eucharst/misc/BVM/07_PELLEVOISIN_60x96.pdf)[Link](https://www.miraclehunter.com/marian_apparitions/approved_apparitions/pellevoisin/index.html)[Link](https://www.marypages.com/pellevoisin-france-en.html)| |</v>
      </c>
    </row>
    <row r="126" spans="1:89" ht="51" x14ac:dyDescent="0.25">
      <c r="A126" s="25" t="s">
        <v>1324</v>
      </c>
      <c r="B126" s="28" t="s">
        <v>997</v>
      </c>
      <c r="C126" s="29" t="s">
        <v>651</v>
      </c>
      <c r="E126" s="31">
        <v>1877</v>
      </c>
      <c r="F126" s="71">
        <v>53.7480853</v>
      </c>
      <c r="G126" s="67">
        <v>20.235602400000001</v>
      </c>
      <c r="H126" s="29" t="s">
        <v>474</v>
      </c>
      <c r="I126" s="75" t="s">
        <v>474</v>
      </c>
      <c r="J126" s="30" t="s">
        <v>1728</v>
      </c>
      <c r="K126" s="32" t="b">
        <v>1</v>
      </c>
      <c r="L126" s="30" t="b">
        <v>1</v>
      </c>
      <c r="N126" s="29" t="s">
        <v>354</v>
      </c>
      <c r="P126" s="30" t="s">
        <v>357</v>
      </c>
      <c r="Q126" s="30" t="s">
        <v>336</v>
      </c>
      <c r="AA126" s="71" t="s">
        <v>300</v>
      </c>
      <c r="AB126" s="30" t="s">
        <v>336</v>
      </c>
      <c r="AC126" s="30" t="s">
        <v>356</v>
      </c>
      <c r="AD126" s="30" t="s">
        <v>336</v>
      </c>
      <c r="AE126" s="30" t="s">
        <v>355</v>
      </c>
      <c r="AF126" s="67" t="s">
        <v>336</v>
      </c>
      <c r="AG126" s="44" t="s">
        <v>336</v>
      </c>
      <c r="AH126" s="44"/>
      <c r="AI126" s="44"/>
      <c r="AJ126" s="44"/>
      <c r="AK126" s="44"/>
      <c r="AL126" s="44"/>
      <c r="AM126" s="44"/>
      <c r="AN126" s="44"/>
      <c r="AO126" s="44"/>
      <c r="AP126" s="110"/>
      <c r="AR126" s="36" t="b">
        <f>IF(OR(A126="Done",A126="In Progress"),TRUE)</f>
        <v>1</v>
      </c>
      <c r="AS126" s="37" t="str">
        <f>"title: """&amp;H126&amp;""""</f>
        <v>title: "Sanctuary of Our Lady of Gietrzwałd"</v>
      </c>
      <c r="AT126" s="37" t="str">
        <f>"location: {lat: "&amp;F126&amp;", lng: "&amp;G126&amp;"}"</f>
        <v>location: {lat: 53.7480853, lng: 20.2356024}</v>
      </c>
      <c r="AU126" s="37" t="str">
        <f>"level: "&amp;J126</f>
        <v>level: global</v>
      </c>
      <c r="AV126" s="37" t="str">
        <f>"- "&amp;VLOOKUP(C126,'(Ref) Countries'!A:C,3,)</f>
        <v>- poland</v>
      </c>
      <c r="AW126" s="37" t="str">
        <f t="shared" si="24"/>
        <v/>
      </c>
      <c r="AX126" s="37" t="str">
        <f t="shared" si="25"/>
        <v>- churches</v>
      </c>
      <c r="AY126" s="37" t="str">
        <f t="shared" si="26"/>
        <v>- marian-sites</v>
      </c>
      <c r="AZ126" s="37" t="str">
        <f t="shared" si="27"/>
        <v/>
      </c>
      <c r="BA126" s="37" t="str">
        <f t="shared" si="28"/>
        <v/>
      </c>
      <c r="BB126" s="37" t="str">
        <f t="shared" si="29"/>
        <v/>
      </c>
      <c r="BC126" s="37" t="str">
        <f t="shared" si="30"/>
        <v/>
      </c>
      <c r="BD126" s="37" t="str">
        <f t="shared" si="31"/>
        <v/>
      </c>
      <c r="BE126" s="37" t="str">
        <f t="shared" si="32"/>
        <v/>
      </c>
      <c r="BF126" s="37" t="str">
        <f t="shared" si="33"/>
        <v/>
      </c>
      <c r="BG126" s="37" t="str">
        <f t="shared" si="34"/>
        <v/>
      </c>
      <c r="BH126" s="37" t="str">
        <f t="shared" si="35"/>
        <v/>
      </c>
      <c r="BI126" s="37" t="str">
        <f t="shared" si="36"/>
        <v/>
      </c>
      <c r="BJ126" s="37" t="str">
        <f t="shared" si="37"/>
        <v/>
      </c>
      <c r="BK126" s="37" t="str">
        <f t="shared" si="38"/>
        <v xml:space="preserve">tags:
- poland_x000D_
- churches_x000D_
- marian-sites_x000D_
</v>
      </c>
      <c r="BL126" s="38" t="str">
        <f t="shared" si="39"/>
        <v>[Official site](https://sanktuariummaryjne.pl/)</v>
      </c>
      <c r="BM126" s="38" t="str">
        <f t="shared" si="40"/>
        <v/>
      </c>
      <c r="BN126" s="38" t="str">
        <f t="shared" si="41"/>
        <v/>
      </c>
      <c r="BO126" s="38" t="str">
        <f t="shared" si="42"/>
        <v/>
      </c>
      <c r="BP126" s="38" t="str">
        <f t="shared" si="43"/>
        <v xml:space="preserve">* [Official site](https://sanktuariummaryjne.pl/)
</v>
      </c>
      <c r="BQ126" s="38" t="str">
        <f t="shared" si="44"/>
        <v>[Link](http://www.therealpresence.org/eucharst/misc/BVM/85_GIETRZALD_96x96.pdf)</v>
      </c>
      <c r="BR126" s="38" t="str">
        <f t="shared" si="45"/>
        <v>[Link](http://www.miraclehunter.com/marian_apparitions/approved_apparitions/gietrzwald/index.html)</v>
      </c>
      <c r="BS126" s="38" t="str">
        <f t="shared" si="46"/>
        <v>[Link](https://www.marypages.com/giertzwald-(poland)-en.html)</v>
      </c>
      <c r="BT126" s="38" t="str">
        <f>IF(LEN(concat(BQ126:BS126))&gt;0,concat("| ",BQ126," | ",BR126," | ",BS126," |"),"")</f>
        <v>| [Link](http://www.therealpresence.org/eucharst/misc/BVM/85_GIETRZALD_96x96.pdf) | [Link](http://www.miraclehunter.com/marian_apparitions/approved_apparitions/gietrzwald/index.html) | [Link](https://www.marypages.com/giertzwald-(poland)-en.html) |</v>
      </c>
      <c r="BU126" s="37" t="str">
        <f t="shared" si="47"/>
        <v xml:space="preserve">| The Real Presence | Miracle Hunter | MaryPages |_x000D_
| --- | --- | --- |_x000D_
| [Link](http://www.therealpresence.org/eucharst/misc/BVM/85_GIETRZALD_96x96.pdf) | [Link](http://www.miraclehunter.com/marian_apparitions/approved_apparitions/gietrzwald/index.html) | [Link](https://www.marypages.com/giertzwald-(poland)-en.html) |_x000D_
</v>
      </c>
      <c r="BV126" s="37" t="str">
        <f>IF(LEN(BP126&amp;BU126)&gt;0,concatll("#### Source Material",BP126,BU126),"")</f>
        <v xml:space="preserve">#### Source Material_x000D_
_x000D_
* [Official site](https://sanktuariummaryjne.pl/)
_x000D_
_x000D_
| The Real Presence | Miracle Hunter | MaryPages |_x000D_
| --- | --- | --- |_x000D_
| [Link](http://www.therealpresence.org/eucharst/misc/BVM/85_GIETRZALD_96x96.pdf) | [Link](http://www.miraclehunter.com/marian_apparitions/approved_apparitions/gietrzwald/index.html) | [Link](https://www.marypages.com/giertzwald-(poland)-en.html) |_x000D_
_x000D_
_x000D_
</v>
      </c>
      <c r="BW126" s="37" t="str">
        <f>IF(LEN(O126)&gt;1,concatll("#### Author's Note",O126),"")</f>
        <v/>
      </c>
      <c r="BX126" s="24" t="str">
        <f>IF(AR126,concatll(concatl("---",AS126:AU126,BK126,"---"),N126,BV126:BW126),"")</f>
        <v xml:space="preserve">---_x000D_
title: "Sanctuary of Our Lady of Gietrzwałd"_x000D_
location: {lat: 53.7480853, lng: 20.2356024}_x000D_
level: global_x000D_
tags:
- poland_x000D_
- churches_x000D_
- marian-sites_x000D_
_x000D_
---_x000D_
_x000D_
_x000D_
In 1877, Our Lady appeared to Justyna Szafrynska (13) just before receiving her First Holy Communion.  The next day, Barbara Samulowska (12) also saw the "Bright Lady" sitting on the throne with Infant Christ among angels.  The Blessed Mother's ask of the girls was for them to pray the rosary daily._x000D_
_x000D_
#### Source Material_x000D_
_x000D_
* [Official site](https://sanktuariummaryjne.pl/)
_x000D_
_x000D_
| The Real Presence | Miracle Hunter | MaryPages |_x000D_
| --- | --- | --- |_x000D_
| [Link](http://www.therealpresence.org/eucharst/misc/BVM/85_GIETRZALD_96x96.pdf) | [Link](http://www.miraclehunter.com/marian_apparitions/approved_apparitions/gietrzwald/index.html) | [Link](https://www.marypages.com/giertzwald-(poland)-en.html) |_x000D_
_x000D_
_x000D_
_x000D_
_x000D_
</v>
      </c>
      <c r="BY126" s="24" t="str">
        <f>IF(AR126,VLOOKUP(C126,'(Ref) Countries'!A:B,2,)&amp;IF(LEN(D126)&gt;1,"-"&amp;LOWER(SUBSTITUTE(D126," ","-")),"")&amp;"-"&amp;LOWER(SUBSTITUTE(I126," ","-"))&amp;".md","")</f>
        <v>pl-sanctuary-of-our-lady-of-gietrzwałd.md</v>
      </c>
      <c r="BZ126" s="46" t="str">
        <f>IF(LEN(AG126)&gt;1,VLOOKUP(AG126,'Tag List'!$A:$B,2,),"")</f>
        <v/>
      </c>
      <c r="CA126" s="46" t="str">
        <f>IF(LEN(AH126)&gt;1,VLOOKUP(AH126,'Tag List'!$A:$B,2,),"")</f>
        <v/>
      </c>
      <c r="CB126" s="46" t="str">
        <f>IF(LEN(AI126)&gt;1,VLOOKUP(AI126,'Tag List'!$A:$B,2,),"")</f>
        <v/>
      </c>
      <c r="CC126" s="38" t="str">
        <f>IF(LEN(AG126)&gt;1,GetTagPage(BZ126,AG126),"")</f>
        <v/>
      </c>
      <c r="CD126" s="38" t="str">
        <f>IF(LEN(AH126)&gt;1,GetTagPage(CA126,AH126),"")</f>
        <v/>
      </c>
      <c r="CE126" s="38" t="str">
        <f>IF(LEN(AI126)&gt;1,GetTagPage(CB126,AI126),"")</f>
        <v/>
      </c>
      <c r="CF126" s="38" t="str">
        <f>"|"&amp;IF(LEN(CC126)&gt;1," "&amp;CC126,"")&amp;IF(LEN(CD126)&gt;1,", "&amp;CD126,"")&amp;IF(LEN(CE126)&gt;1,", "&amp;CE126,"")&amp;" "</f>
        <v xml:space="preserve">| </v>
      </c>
      <c r="CG126" s="38" t="str">
        <f>"| "&amp;IF(AR126,"["&amp;B126&amp;"](/places/"&amp;SUBSTITUTE(BY126,".md","")&amp;")",B126)&amp;" "</f>
        <v xml:space="preserve">| [Gietrzwald](/places/pl-sanctuary-of-our-lady-of-gietrzwałd) </v>
      </c>
      <c r="CH126" s="38" t="str">
        <f>"| "&amp;IF(AR126,GetTagPage(C126,VLOOKUP(C126,'(Ref) Countries'!A:C,3,)),C126)&amp; " "</f>
        <v xml:space="preserve">| [Poland](/tags/poland) </v>
      </c>
      <c r="CI126" s="38" t="str">
        <f>"| "&amp;E126&amp;" "</f>
        <v xml:space="preserve">| 1877 </v>
      </c>
      <c r="CJ126" s="38" t="str">
        <f>"|"&amp;IF(AR126," [Link](/places/"&amp;SUBSTITUTE(BY126,".md","")&amp;")","")&amp;" "</f>
        <v xml:space="preserve">| [Link](/places/pl-sanctuary-of-our-lady-of-gietrzwałd) </v>
      </c>
      <c r="CK126" s="37" t="str">
        <f>"
"&amp;CG126&amp;CH126&amp;CI126&amp;CJ126&amp;BL126&amp;BQ126&amp;BR126&amp;BS126&amp;CF126&amp;"|"</f>
        <v xml:space="preserve">
| [Gietrzwald](/places/pl-sanctuary-of-our-lady-of-gietrzwałd) | [Poland](/tags/poland) | 1877 | [Link](/places/pl-sanctuary-of-our-lady-of-gietrzwałd) [Official site](https://sanktuariummaryjne.pl/)[Link](http://www.therealpresence.org/eucharst/misc/BVM/85_GIETRZALD_96x96.pdf)[Link](http://www.miraclehunter.com/marian_apparitions/approved_apparitions/gietrzwald/index.html)[Link](https://www.marypages.com/giertzwald-(poland)-en.html)| |</v>
      </c>
    </row>
    <row r="127" spans="1:89" ht="102" x14ac:dyDescent="0.25">
      <c r="A127" s="25" t="s">
        <v>1324</v>
      </c>
      <c r="B127" s="28" t="s">
        <v>996</v>
      </c>
      <c r="C127" s="29" t="s">
        <v>583</v>
      </c>
      <c r="E127" s="31">
        <v>1879</v>
      </c>
      <c r="F127" s="71">
        <v>53.792756199999999</v>
      </c>
      <c r="G127" s="67">
        <v>-8.9189810000000005</v>
      </c>
      <c r="H127" s="29" t="s">
        <v>348</v>
      </c>
      <c r="I127" s="75" t="s">
        <v>404</v>
      </c>
      <c r="J127" s="30" t="s">
        <v>1728</v>
      </c>
      <c r="K127" s="32" t="b">
        <v>1</v>
      </c>
      <c r="L127" s="30" t="b">
        <v>1</v>
      </c>
      <c r="N127" s="29" t="s">
        <v>1003</v>
      </c>
      <c r="O127" s="77" t="s">
        <v>1755</v>
      </c>
      <c r="P127" s="30" t="s">
        <v>349</v>
      </c>
      <c r="Q127" s="30" t="s">
        <v>336</v>
      </c>
      <c r="AA127" s="71" t="s">
        <v>301</v>
      </c>
      <c r="AB127" s="30" t="s">
        <v>336</v>
      </c>
      <c r="AC127" s="30" t="s">
        <v>351</v>
      </c>
      <c r="AD127" s="30" t="s">
        <v>336</v>
      </c>
      <c r="AE127" s="30" t="s">
        <v>352</v>
      </c>
      <c r="AF127" s="67" t="s">
        <v>336</v>
      </c>
      <c r="AG127" s="44" t="s">
        <v>336</v>
      </c>
      <c r="AH127" s="44"/>
      <c r="AI127" s="44"/>
      <c r="AJ127" s="44"/>
      <c r="AK127" s="44"/>
      <c r="AL127" s="44"/>
      <c r="AM127" s="44"/>
      <c r="AN127" s="44"/>
      <c r="AO127" s="44"/>
      <c r="AP127" s="110"/>
      <c r="AR127" s="36" t="b">
        <f>IF(OR(A127="Done",A127="In Progress"),TRUE)</f>
        <v>1</v>
      </c>
      <c r="AS127" s="37" t="str">
        <f>"title: """&amp;H127&amp;""""</f>
        <v>title: "Knock Shrine (Our Lady of Knock)"</v>
      </c>
      <c r="AT127" s="37" t="str">
        <f>"location: {lat: "&amp;F127&amp;", lng: "&amp;G127&amp;"}"</f>
        <v>location: {lat: 53.7927562, lng: -8.918981}</v>
      </c>
      <c r="AU127" s="37" t="str">
        <f>"level: "&amp;J127</f>
        <v>level: global</v>
      </c>
      <c r="AV127" s="37" t="str">
        <f>"- "&amp;VLOOKUP(C127,'(Ref) Countries'!A:C,3,)</f>
        <v>- ireland</v>
      </c>
      <c r="AW127" s="37" t="str">
        <f t="shared" si="24"/>
        <v/>
      </c>
      <c r="AX127" s="37" t="str">
        <f t="shared" si="25"/>
        <v>- churches</v>
      </c>
      <c r="AY127" s="37" t="str">
        <f t="shared" si="26"/>
        <v>- marian-sites</v>
      </c>
      <c r="AZ127" s="37" t="str">
        <f t="shared" si="27"/>
        <v/>
      </c>
      <c r="BA127" s="37" t="str">
        <f t="shared" si="28"/>
        <v/>
      </c>
      <c r="BB127" s="37" t="str">
        <f t="shared" si="29"/>
        <v/>
      </c>
      <c r="BC127" s="37" t="str">
        <f t="shared" si="30"/>
        <v/>
      </c>
      <c r="BD127" s="37" t="str">
        <f t="shared" si="31"/>
        <v/>
      </c>
      <c r="BE127" s="37" t="str">
        <f t="shared" si="32"/>
        <v/>
      </c>
      <c r="BF127" s="37" t="str">
        <f t="shared" si="33"/>
        <v/>
      </c>
      <c r="BG127" s="37" t="str">
        <f t="shared" si="34"/>
        <v/>
      </c>
      <c r="BH127" s="37" t="str">
        <f t="shared" si="35"/>
        <v/>
      </c>
      <c r="BI127" s="37" t="str">
        <f t="shared" si="36"/>
        <v/>
      </c>
      <c r="BJ127" s="37" t="str">
        <f t="shared" si="37"/>
        <v/>
      </c>
      <c r="BK127" s="37" t="str">
        <f t="shared" si="38"/>
        <v xml:space="preserve">tags:
- ireland_x000D_
- churches_x000D_
- marian-sites_x000D_
</v>
      </c>
      <c r="BL127" s="38" t="str">
        <f t="shared" si="39"/>
        <v>[Official site](https://www.knockshrine.ie/)</v>
      </c>
      <c r="BM127" s="38" t="str">
        <f t="shared" si="40"/>
        <v/>
      </c>
      <c r="BN127" s="38" t="str">
        <f t="shared" si="41"/>
        <v/>
      </c>
      <c r="BO127" s="38" t="str">
        <f t="shared" si="42"/>
        <v/>
      </c>
      <c r="BP127" s="38" t="str">
        <f t="shared" si="43"/>
        <v xml:space="preserve">* [Official site](https://www.knockshrine.ie/)
</v>
      </c>
      <c r="BQ127" s="38" t="str">
        <f t="shared" si="44"/>
        <v>[Link](http://www.therealpresence.org/eucharst/misc/BVM/63_KNOCK_60x96.pdf)</v>
      </c>
      <c r="BR127" s="38" t="str">
        <f t="shared" si="45"/>
        <v>[Link](http://www.miraclehunter.com/marian_apparitions/approved_apparitions/knock/index.html)</v>
      </c>
      <c r="BS127" s="38" t="str">
        <f t="shared" si="46"/>
        <v>[Link](https://www.marypages.com/knock-(ireland)-en.html)</v>
      </c>
      <c r="BT127" s="38" t="str">
        <f>IF(LEN(concat(BQ127:BS127))&gt;0,concat("| ",BQ127," | ",BR127," | ",BS127," |"),"")</f>
        <v>| [Link](http://www.therealpresence.org/eucharst/misc/BVM/63_KNOCK_60x96.pdf) | [Link](http://www.miraclehunter.com/marian_apparitions/approved_apparitions/knock/index.html) | [Link](https://www.marypages.com/knock-(ireland)-en.html) |</v>
      </c>
      <c r="BU127" s="37" t="str">
        <f t="shared" si="47"/>
        <v xml:space="preserve">| The Real Presence | Miracle Hunter | MaryPages |_x000D_
| --- | --- | --- |_x000D_
| [Link](http://www.therealpresence.org/eucharst/misc/BVM/63_KNOCK_60x96.pdf) | [Link](http://www.miraclehunter.com/marian_apparitions/approved_apparitions/knock/index.html) | [Link](https://www.marypages.com/knock-(ireland)-en.html) |_x000D_
</v>
      </c>
      <c r="BV127" s="37" t="str">
        <f>IF(LEN(BP127&amp;BU127)&gt;0,concatll("#### Source Material",BP127,BU127),"")</f>
        <v xml:space="preserve">#### Source Material_x000D_
_x000D_
* [Official site](https://www.knockshrine.ie/)
_x000D_
_x000D_
| The Real Presence | Miracle Hunter | MaryPages |_x000D_
| --- | --- | --- |_x000D_
| [Link](http://www.therealpresence.org/eucharst/misc/BVM/63_KNOCK_60x96.pdf) | [Link](http://www.miraclehunter.com/marian_apparitions/approved_apparitions/knock/index.html) | [Link](https://www.marypages.com/knock-(ireland)-en.html) |_x000D_
_x000D_
_x000D_
</v>
      </c>
      <c r="BW127" s="37" t="str">
        <f>IF(LEN(O127)&gt;1,concatll("#### Author's Note",O127),"")</f>
        <v xml:space="preserve">#### Author's Note_x000D_
_x000D_
Thanks to the testimonies of the visionaries, pilgrims today can experience a very accurate representation of the original apparition.  The statues have been placed in the same place as the apparition, in front of the church wall and slightly above ground level.
-JMM_x000D_
_x000D_
</v>
      </c>
      <c r="BX127" s="24" t="str">
        <f>IF(AR127,concatll(concatl("---",AS127:AU127,BK127,"---"),N127,BV127:BW127),"")</f>
        <v xml:space="preserve">---_x000D_
title: "Knock Shrine (Our Lady of Knock)"_x000D_
location: {lat: 53.7927562, lng: -8.918981}_x000D_
level: global_x000D_
tags:
- ireland_x000D_
- churches_x000D_
- marian-sites_x000D_
_x000D_
---_x000D_
_x000D_
_x000D_
In 1879, 15 individuals witnessed the figures of Mary, Joseph, John the Evangelist, and a lamb and cross atop an altar, all enveloped in a bright light outside the local church.  The imagery is unique to Knock and holds eschatological significance for Catholics._x000D_
_x000D_
#### Source Material_x000D_
_x000D_
* [Official site](https://www.knockshrine.ie/)
_x000D_
_x000D_
| The Real Presence | Miracle Hunter | MaryPages |_x000D_
| --- | --- | --- |_x000D_
| [Link](http://www.therealpresence.org/eucharst/misc/BVM/63_KNOCK_60x96.pdf) | [Link](http://www.miraclehunter.com/marian_apparitions/approved_apparitions/knock/index.html) | [Link](https://www.marypages.com/knock-(ireland)-en.html) |_x000D_
_x000D_
_x000D_
_x000D_
_x000D_
#### Author's Note_x000D_
_x000D_
Thanks to the testimonies of the visionaries, pilgrims today can experience a very accurate representation of the original apparition.  The statues have been placed in the same place as the apparition, in front of the church wall and slightly above ground level.
-JMM_x000D_
_x000D_
_x000D_
_x000D_
</v>
      </c>
      <c r="BY127" s="24" t="str">
        <f>IF(AR127,VLOOKUP(C127,'(Ref) Countries'!A:B,2,)&amp;IF(LEN(D127)&gt;1,"-"&amp;LOWER(SUBSTITUTE(D127," ","-")),"")&amp;"-"&amp;LOWER(SUBSTITUTE(I127," ","-"))&amp;".md","")</f>
        <v>ie-knock-shrine.md</v>
      </c>
      <c r="BZ127" s="46" t="str">
        <f>IF(LEN(AG127)&gt;1,VLOOKUP(AG127,'Tag List'!$A:$B,2,),"")</f>
        <v/>
      </c>
      <c r="CA127" s="46" t="str">
        <f>IF(LEN(AH127)&gt;1,VLOOKUP(AH127,'Tag List'!$A:$B,2,),"")</f>
        <v/>
      </c>
      <c r="CB127" s="46" t="str">
        <f>IF(LEN(AI127)&gt;1,VLOOKUP(AI127,'Tag List'!$A:$B,2,),"")</f>
        <v/>
      </c>
      <c r="CC127" s="38" t="str">
        <f>IF(LEN(AG127)&gt;1,GetTagPage(BZ127,AG127),"")</f>
        <v/>
      </c>
      <c r="CD127" s="38" t="str">
        <f>IF(LEN(AH127)&gt;1,GetTagPage(CA127,AH127),"")</f>
        <v/>
      </c>
      <c r="CE127" s="38" t="str">
        <f>IF(LEN(AI127)&gt;1,GetTagPage(CB127,AI127),"")</f>
        <v/>
      </c>
      <c r="CF127" s="38" t="str">
        <f>"|"&amp;IF(LEN(CC127)&gt;1," "&amp;CC127,"")&amp;IF(LEN(CD127)&gt;1,", "&amp;CD127,"")&amp;IF(LEN(CE127)&gt;1,", "&amp;CE127,"")&amp;" "</f>
        <v xml:space="preserve">| </v>
      </c>
      <c r="CG127" s="38" t="str">
        <f>"| "&amp;IF(AR127,"["&amp;B127&amp;"](/places/"&amp;SUBSTITUTE(BY127,".md","")&amp;")",B127)&amp;" "</f>
        <v xml:space="preserve">| [Knock](/places/ie-knock-shrine) </v>
      </c>
      <c r="CH127" s="38" t="str">
        <f>"| "&amp;IF(AR127,GetTagPage(C127,VLOOKUP(C127,'(Ref) Countries'!A:C,3,)),C127)&amp; " "</f>
        <v xml:space="preserve">| [Ireland](/tags/ireland) </v>
      </c>
      <c r="CI127" s="38" t="str">
        <f>"| "&amp;E127&amp;" "</f>
        <v xml:space="preserve">| 1879 </v>
      </c>
      <c r="CJ127" s="38" t="str">
        <f>"|"&amp;IF(AR127," [Link](/places/"&amp;SUBSTITUTE(BY127,".md","")&amp;")","")&amp;" "</f>
        <v xml:space="preserve">| [Link](/places/ie-knock-shrine) </v>
      </c>
      <c r="CK127" s="37" t="str">
        <f>"
"&amp;CG127&amp;CH127&amp;CI127&amp;CJ127&amp;BL127&amp;BQ127&amp;BR127&amp;BS127&amp;CF127&amp;"|"</f>
        <v xml:space="preserve">
| [Knock](/places/ie-knock-shrine) | [Ireland](/tags/ireland) | 1879 | [Link](/places/ie-knock-shrine) [Official site](https://www.knockshrine.ie/)[Link](http://www.therealpresence.org/eucharst/misc/BVM/63_KNOCK_60x96.pdf)[Link](http://www.miraclehunter.com/marian_apparitions/approved_apparitions/knock/index.html)[Link](https://www.marypages.com/knock-(ireland)-en.html)| |</v>
      </c>
    </row>
    <row r="128" spans="1:89" x14ac:dyDescent="0.25">
      <c r="B128" s="28" t="s">
        <v>1288</v>
      </c>
      <c r="C128" s="29" t="s">
        <v>11</v>
      </c>
      <c r="E128" s="31">
        <v>1888</v>
      </c>
      <c r="J128" s="30" t="s">
        <v>1728</v>
      </c>
      <c r="K128" s="32" t="b">
        <v>1</v>
      </c>
      <c r="L128" s="30" t="b">
        <v>1</v>
      </c>
      <c r="P128" s="30" t="s">
        <v>336</v>
      </c>
      <c r="Q128" s="30" t="s">
        <v>336</v>
      </c>
      <c r="AA128" s="71" t="s">
        <v>302</v>
      </c>
      <c r="AB128" s="30" t="s">
        <v>336</v>
      </c>
      <c r="AC128" s="30" t="s">
        <v>336</v>
      </c>
      <c r="AD128" s="30" t="s">
        <v>336</v>
      </c>
      <c r="AE128" s="30" t="s">
        <v>336</v>
      </c>
      <c r="AF128" s="67" t="s">
        <v>336</v>
      </c>
      <c r="AG128" s="30" t="s">
        <v>336</v>
      </c>
      <c r="AR128" s="36" t="b">
        <f>IF(OR(A128="Done",A128="In Progress"),TRUE)</f>
        <v>0</v>
      </c>
      <c r="AS128" s="37" t="str">
        <f>"title: """&amp;H128&amp;""""</f>
        <v>title: ""</v>
      </c>
      <c r="AT128" s="37" t="str">
        <f>"location: {lat: "&amp;F128&amp;", lng: "&amp;G128&amp;"}"</f>
        <v>location: {lat: , lng: }</v>
      </c>
      <c r="AU128" s="37" t="str">
        <f>"level: "&amp;J128</f>
        <v>level: global</v>
      </c>
      <c r="AV128" s="37" t="str">
        <f>"- "&amp;VLOOKUP(C128,'(Ref) Countries'!A:C,3,)</f>
        <v>- italy</v>
      </c>
      <c r="AW128" s="37" t="str">
        <f t="shared" si="24"/>
        <v/>
      </c>
      <c r="AX128" s="37" t="str">
        <f t="shared" si="25"/>
        <v>- churches</v>
      </c>
      <c r="AY128" s="37" t="str">
        <f t="shared" si="26"/>
        <v>- marian-sites</v>
      </c>
      <c r="AZ128" s="37" t="str">
        <f t="shared" si="27"/>
        <v/>
      </c>
      <c r="BA128" s="37" t="str">
        <f t="shared" si="28"/>
        <v/>
      </c>
      <c r="BB128" s="37" t="str">
        <f t="shared" si="29"/>
        <v/>
      </c>
      <c r="BC128" s="37" t="str">
        <f t="shared" si="30"/>
        <v/>
      </c>
      <c r="BD128" s="37" t="str">
        <f t="shared" si="31"/>
        <v/>
      </c>
      <c r="BE128" s="37" t="str">
        <f t="shared" si="32"/>
        <v/>
      </c>
      <c r="BF128" s="37" t="str">
        <f t="shared" si="33"/>
        <v/>
      </c>
      <c r="BG128" s="37" t="str">
        <f t="shared" si="34"/>
        <v/>
      </c>
      <c r="BH128" s="37" t="str">
        <f t="shared" si="35"/>
        <v/>
      </c>
      <c r="BI128" s="37" t="str">
        <f t="shared" si="36"/>
        <v/>
      </c>
      <c r="BJ128" s="37" t="str">
        <f t="shared" si="37"/>
        <v/>
      </c>
      <c r="BK128" s="37" t="str">
        <f t="shared" si="38"/>
        <v xml:space="preserve">tags:
- italy_x000D_
- churches_x000D_
- marian-sites_x000D_
</v>
      </c>
      <c r="BL128" s="38" t="str">
        <f t="shared" si="39"/>
        <v/>
      </c>
      <c r="BM128" s="38" t="str">
        <f t="shared" si="40"/>
        <v/>
      </c>
      <c r="BN128" s="38" t="str">
        <f t="shared" si="41"/>
        <v/>
      </c>
      <c r="BO128" s="38" t="str">
        <f t="shared" si="42"/>
        <v/>
      </c>
      <c r="BP128" s="38" t="str">
        <f t="shared" si="43"/>
        <v/>
      </c>
      <c r="BQ128" s="38" t="str">
        <f t="shared" si="44"/>
        <v>[Link](http://www.therealpresence.org/eucharst/misc/BVM/82_CASTELPETROSO_60x96.pdf)</v>
      </c>
      <c r="BR128" s="38" t="str">
        <f t="shared" si="45"/>
        <v/>
      </c>
      <c r="BS128" s="38" t="str">
        <f t="shared" si="46"/>
        <v/>
      </c>
      <c r="BT128" s="38" t="str">
        <f>IF(LEN(concat(BQ128:BS128))&gt;0,concat("| ",BQ128," | ",BR128," | ",BS128," |"),"")</f>
        <v>| [Link](http://www.therealpresence.org/eucharst/misc/BVM/82_CASTELPETROSO_60x96.pdf) |  |  |</v>
      </c>
      <c r="BU128" s="37" t="str">
        <f t="shared" si="47"/>
        <v xml:space="preserve">| The Real Presence | Miracle Hunter | MaryPages |_x000D_
| --- | --- | --- |_x000D_
| [Link](http://www.therealpresence.org/eucharst/misc/BVM/82_CASTELPETROSO_60x96.pdf) |  |  |_x000D_
</v>
      </c>
      <c r="BV128" s="37" t="str">
        <f>IF(LEN(BP128&amp;BU128)&gt;0,concatll("#### Source Material",BP128,BU128),"")</f>
        <v xml:space="preserve">#### Source Material_x000D_
_x000D_
| The Real Presence | Miracle Hunter | MaryPages |_x000D_
| --- | --- | --- |_x000D_
| [Link](http://www.therealpresence.org/eucharst/misc/BVM/82_CASTELPETROSO_60x96.pdf) |  |  |_x000D_
_x000D_
_x000D_
</v>
      </c>
      <c r="BW128" s="37" t="str">
        <f>IF(LEN(O128)&gt;1,concatll("#### Author's Note",O128),"")</f>
        <v/>
      </c>
      <c r="BX128" s="24" t="str">
        <f>IF(AR128,concatll(concatl("---",AS128:AU128,BK128,"---"),N128,BV128:BW128),"")</f>
        <v/>
      </c>
      <c r="BY128" s="24" t="str">
        <f>IF(AR128,VLOOKUP(C128,'(Ref) Countries'!A:B,2,)&amp;IF(LEN(D128)&gt;1,"-"&amp;LOWER(SUBSTITUTE(D128," ","-")),"")&amp;"-"&amp;LOWER(SUBSTITUTE(I128," ","-"))&amp;".md","")</f>
        <v/>
      </c>
      <c r="BZ128" s="37" t="str">
        <f>IF(LEN(AG128)&gt;1,VLOOKUP(AG128,'Tag List'!$A:$B,2,),"")</f>
        <v/>
      </c>
      <c r="CA128" s="37" t="str">
        <f>IF(LEN(AH128)&gt;1,VLOOKUP(AH128,'Tag List'!$A:$B,2,),"")</f>
        <v/>
      </c>
      <c r="CB128" s="37" t="str">
        <f>IF(LEN(AI128)&gt;1,VLOOKUP(AI128,'Tag List'!$A:$B,2,),"")</f>
        <v/>
      </c>
      <c r="CC128" s="38" t="str">
        <f>IF(LEN(AG128)&gt;1,GetTagPage(BZ128,AG128),"")</f>
        <v/>
      </c>
      <c r="CD128" s="38" t="str">
        <f>IF(LEN(AH128)&gt;1,GetTagPage(CA128,AH128),"")</f>
        <v/>
      </c>
      <c r="CE128" s="38" t="str">
        <f>IF(LEN(AI128)&gt;1,GetTagPage(CB128,AI128),"")</f>
        <v/>
      </c>
      <c r="CF128" s="38" t="str">
        <f>"|"&amp;IF(LEN(CC128)&gt;1," "&amp;CC128,"")&amp;IF(LEN(CD128)&gt;1,", "&amp;CD128,"")&amp;IF(LEN(CE128)&gt;1,", "&amp;CE128,"")&amp;" "</f>
        <v xml:space="preserve">| </v>
      </c>
      <c r="CG128" s="38" t="str">
        <f>"| "&amp;IF(AR128,"["&amp;B128&amp;"](/places/"&amp;SUBSTITUTE(BY128,".md","")&amp;")",B128)&amp;" "</f>
        <v xml:space="preserve">| Castelpetroso </v>
      </c>
      <c r="CH128" s="38" t="str">
        <f>"| "&amp;IF(AR128,GetTagPage(C128,VLOOKUP(C128,'(Ref) Countries'!A:C,3,)),C128)&amp; " "</f>
        <v xml:space="preserve">| Italy </v>
      </c>
      <c r="CI128" s="38" t="str">
        <f>"| "&amp;E128&amp;" "</f>
        <v xml:space="preserve">| 1888 </v>
      </c>
      <c r="CJ128" s="38" t="str">
        <f>"|"&amp;IF(AR128," [Link](/places/"&amp;SUBSTITUTE(BY128,".md","")&amp;")","")&amp;" "</f>
        <v xml:space="preserve">| </v>
      </c>
      <c r="CK128" s="37" t="str">
        <f>"
"&amp;CG128&amp;CH128&amp;CI128&amp;CJ128&amp;BL128&amp;BQ128&amp;BR128&amp;BS128&amp;CF128&amp;"|"</f>
        <v xml:space="preserve">
| Castelpetroso | Italy | 1888 | [Link](http://www.therealpresence.org/eucharst/misc/BVM/82_CASTELPETROSO_60x96.pdf)| |</v>
      </c>
    </row>
    <row r="129" spans="1:89" x14ac:dyDescent="0.25">
      <c r="B129" s="28" t="s">
        <v>1289</v>
      </c>
      <c r="C129" s="29" t="s">
        <v>651</v>
      </c>
      <c r="E129" s="31">
        <v>1894</v>
      </c>
      <c r="J129" s="30" t="s">
        <v>1728</v>
      </c>
      <c r="K129" s="32" t="b">
        <v>1</v>
      </c>
      <c r="L129" s="30" t="b">
        <v>1</v>
      </c>
      <c r="P129" s="30" t="s">
        <v>336</v>
      </c>
      <c r="Q129" s="30" t="s">
        <v>336</v>
      </c>
      <c r="AA129" s="71" t="s">
        <v>303</v>
      </c>
      <c r="AB129" s="30" t="s">
        <v>336</v>
      </c>
      <c r="AC129" s="30" t="s">
        <v>336</v>
      </c>
      <c r="AD129" s="30" t="s">
        <v>336</v>
      </c>
      <c r="AE129" s="30" t="s">
        <v>336</v>
      </c>
      <c r="AF129" s="67" t="s">
        <v>336</v>
      </c>
      <c r="AG129" s="30" t="s">
        <v>336</v>
      </c>
      <c r="AR129" s="36" t="b">
        <f>IF(OR(A129="Done",A129="In Progress"),TRUE)</f>
        <v>0</v>
      </c>
      <c r="AS129" s="37" t="str">
        <f>"title: """&amp;H129&amp;""""</f>
        <v>title: ""</v>
      </c>
      <c r="AT129" s="37" t="str">
        <f>"location: {lat: "&amp;F129&amp;", lng: "&amp;G129&amp;"}"</f>
        <v>location: {lat: , lng: }</v>
      </c>
      <c r="AU129" s="37" t="str">
        <f>"level: "&amp;J129</f>
        <v>level: global</v>
      </c>
      <c r="AV129" s="37" t="str">
        <f>"- "&amp;VLOOKUP(C129,'(Ref) Countries'!A:C,3,)</f>
        <v>- poland</v>
      </c>
      <c r="AW129" s="37" t="str">
        <f t="shared" si="24"/>
        <v/>
      </c>
      <c r="AX129" s="37" t="str">
        <f t="shared" si="25"/>
        <v>- churches</v>
      </c>
      <c r="AY129" s="37" t="str">
        <f t="shared" si="26"/>
        <v>- marian-sites</v>
      </c>
      <c r="AZ129" s="37" t="str">
        <f t="shared" si="27"/>
        <v/>
      </c>
      <c r="BA129" s="37" t="str">
        <f t="shared" si="28"/>
        <v/>
      </c>
      <c r="BB129" s="37" t="str">
        <f t="shared" si="29"/>
        <v/>
      </c>
      <c r="BC129" s="37" t="str">
        <f t="shared" si="30"/>
        <v/>
      </c>
      <c r="BD129" s="37" t="str">
        <f t="shared" si="31"/>
        <v/>
      </c>
      <c r="BE129" s="37" t="str">
        <f t="shared" si="32"/>
        <v/>
      </c>
      <c r="BF129" s="37" t="str">
        <f t="shared" si="33"/>
        <v/>
      </c>
      <c r="BG129" s="37" t="str">
        <f t="shared" si="34"/>
        <v/>
      </c>
      <c r="BH129" s="37" t="str">
        <f t="shared" si="35"/>
        <v/>
      </c>
      <c r="BI129" s="37" t="str">
        <f t="shared" si="36"/>
        <v/>
      </c>
      <c r="BJ129" s="37" t="str">
        <f t="shared" si="37"/>
        <v/>
      </c>
      <c r="BK129" s="37" t="str">
        <f t="shared" si="38"/>
        <v xml:space="preserve">tags:
- poland_x000D_
- churches_x000D_
- marian-sites_x000D_
</v>
      </c>
      <c r="BL129" s="38" t="str">
        <f t="shared" si="39"/>
        <v/>
      </c>
      <c r="BM129" s="38" t="str">
        <f t="shared" si="40"/>
        <v/>
      </c>
      <c r="BN129" s="38" t="str">
        <f t="shared" si="41"/>
        <v/>
      </c>
      <c r="BO129" s="38" t="str">
        <f t="shared" si="42"/>
        <v/>
      </c>
      <c r="BP129" s="38" t="str">
        <f t="shared" si="43"/>
        <v/>
      </c>
      <c r="BQ129" s="38" t="str">
        <f t="shared" si="44"/>
        <v>[Link](http://www.therealpresence.org/eucharst/misc/BVM/139_SZCZYRK_60x96.pdf)</v>
      </c>
      <c r="BR129" s="38" t="str">
        <f t="shared" si="45"/>
        <v/>
      </c>
      <c r="BS129" s="38" t="str">
        <f t="shared" si="46"/>
        <v/>
      </c>
      <c r="BT129" s="38" t="str">
        <f>IF(LEN(concat(BQ129:BS129))&gt;0,concat("| ",BQ129," | ",BR129," | ",BS129," |"),"")</f>
        <v>| [Link](http://www.therealpresence.org/eucharst/misc/BVM/139_SZCZYRK_60x96.pdf) |  |  |</v>
      </c>
      <c r="BU129" s="37" t="str">
        <f t="shared" si="47"/>
        <v xml:space="preserve">| The Real Presence | Miracle Hunter | MaryPages |_x000D_
| --- | --- | --- |_x000D_
| [Link](http://www.therealpresence.org/eucharst/misc/BVM/139_SZCZYRK_60x96.pdf) |  |  |_x000D_
</v>
      </c>
      <c r="BV129" s="37" t="str">
        <f>IF(LEN(BP129&amp;BU129)&gt;0,concatll("#### Source Material",BP129,BU129),"")</f>
        <v xml:space="preserve">#### Source Material_x000D_
_x000D_
| The Real Presence | Miracle Hunter | MaryPages |_x000D_
| --- | --- | --- |_x000D_
| [Link](http://www.therealpresence.org/eucharst/misc/BVM/139_SZCZYRK_60x96.pdf) |  |  |_x000D_
_x000D_
_x000D_
</v>
      </c>
      <c r="BW129" s="37" t="str">
        <f>IF(LEN(O129)&gt;1,concatll("#### Author's Note",O129),"")</f>
        <v/>
      </c>
      <c r="BX129" s="24" t="str">
        <f>IF(AR129,concatll(concatl("---",AS129:AU129,BK129,"---"),N129,BV129:BW129),"")</f>
        <v/>
      </c>
      <c r="BY129" s="24" t="str">
        <f>IF(AR129,VLOOKUP(C129,'(Ref) Countries'!A:B,2,)&amp;IF(LEN(D129)&gt;1,"-"&amp;LOWER(SUBSTITUTE(D129," ","-")),"")&amp;"-"&amp;LOWER(SUBSTITUTE(I129," ","-"))&amp;".md","")</f>
        <v/>
      </c>
      <c r="BZ129" s="37" t="str">
        <f>IF(LEN(AG129)&gt;1,VLOOKUP(AG129,'Tag List'!$A:$B,2,),"")</f>
        <v/>
      </c>
      <c r="CA129" s="37" t="str">
        <f>IF(LEN(AH129)&gt;1,VLOOKUP(AH129,'Tag List'!$A:$B,2,),"")</f>
        <v/>
      </c>
      <c r="CB129" s="37" t="str">
        <f>IF(LEN(AI129)&gt;1,VLOOKUP(AI129,'Tag List'!$A:$B,2,),"")</f>
        <v/>
      </c>
      <c r="CC129" s="38" t="str">
        <f>IF(LEN(AG129)&gt;1,GetTagPage(BZ129,AG129),"")</f>
        <v/>
      </c>
      <c r="CD129" s="38" t="str">
        <f>IF(LEN(AH129)&gt;1,GetTagPage(CA129,AH129),"")</f>
        <v/>
      </c>
      <c r="CE129" s="38" t="str">
        <f>IF(LEN(AI129)&gt;1,GetTagPage(CB129,AI129),"")</f>
        <v/>
      </c>
      <c r="CF129" s="38" t="str">
        <f>"|"&amp;IF(LEN(CC129)&gt;1," "&amp;CC129,"")&amp;IF(LEN(CD129)&gt;1,", "&amp;CD129,"")&amp;IF(LEN(CE129)&gt;1,", "&amp;CE129,"")&amp;" "</f>
        <v xml:space="preserve">| </v>
      </c>
      <c r="CG129" s="38" t="str">
        <f>"| "&amp;IF(AR129,"["&amp;B129&amp;"](/places/"&amp;SUBSTITUTE(BY129,".md","")&amp;")",B129)&amp;" "</f>
        <v xml:space="preserve">| Szczyrk </v>
      </c>
      <c r="CH129" s="38" t="str">
        <f>"| "&amp;IF(AR129,GetTagPage(C129,VLOOKUP(C129,'(Ref) Countries'!A:C,3,)),C129)&amp; " "</f>
        <v xml:space="preserve">| Poland </v>
      </c>
      <c r="CI129" s="38" t="str">
        <f>"| "&amp;E129&amp;" "</f>
        <v xml:space="preserve">| 1894 </v>
      </c>
      <c r="CJ129" s="38" t="str">
        <f>"|"&amp;IF(AR129," [Link](/places/"&amp;SUBSTITUTE(BY129,".md","")&amp;")","")&amp;" "</f>
        <v xml:space="preserve">| </v>
      </c>
      <c r="CK129" s="37" t="str">
        <f>"
"&amp;CG129&amp;CH129&amp;CI129&amp;CJ129&amp;BL129&amp;BQ129&amp;BR129&amp;BS129&amp;CF129&amp;"|"</f>
        <v xml:space="preserve">
| Szczyrk | Poland | 1894 | [Link](http://www.therealpresence.org/eucharst/misc/BVM/139_SZCZYRK_60x96.pdf)| |</v>
      </c>
    </row>
    <row r="130" spans="1:89" x14ac:dyDescent="0.25">
      <c r="B130" s="28" t="s">
        <v>1290</v>
      </c>
      <c r="C130" s="29" t="s">
        <v>718</v>
      </c>
      <c r="E130" s="49" t="s">
        <v>1418</v>
      </c>
      <c r="J130" s="30" t="s">
        <v>1728</v>
      </c>
      <c r="K130" s="32" t="b">
        <v>1</v>
      </c>
      <c r="L130" s="30" t="b">
        <v>1</v>
      </c>
      <c r="P130" s="30" t="s">
        <v>336</v>
      </c>
      <c r="Q130" s="30" t="s">
        <v>336</v>
      </c>
      <c r="AA130" s="71" t="s">
        <v>304</v>
      </c>
      <c r="AB130" s="30" t="s">
        <v>336</v>
      </c>
      <c r="AC130" s="30" t="s">
        <v>336</v>
      </c>
      <c r="AD130" s="30" t="s">
        <v>336</v>
      </c>
      <c r="AE130" s="30" t="s">
        <v>336</v>
      </c>
      <c r="AF130" s="67" t="s">
        <v>336</v>
      </c>
      <c r="AG130" s="30" t="s">
        <v>336</v>
      </c>
      <c r="AR130" s="36" t="b">
        <f>IF(OR(A130="Done",A130="In Progress"),TRUE)</f>
        <v>0</v>
      </c>
      <c r="AS130" s="37" t="str">
        <f>"title: """&amp;H130&amp;""""</f>
        <v>title: ""</v>
      </c>
      <c r="AT130" s="37" t="str">
        <f>"location: {lat: "&amp;F130&amp;", lng: "&amp;G130&amp;"}"</f>
        <v>location: {lat: , lng: }</v>
      </c>
      <c r="AU130" s="37" t="str">
        <f>"level: "&amp;J130</f>
        <v>level: global</v>
      </c>
      <c r="AV130" s="37" t="str">
        <f>"- "&amp;VLOOKUP(C130,'(Ref) Countries'!A:C,3,)</f>
        <v>- venezuela</v>
      </c>
      <c r="AW130" s="37" t="str">
        <f t="shared" si="24"/>
        <v/>
      </c>
      <c r="AX130" s="37" t="str">
        <f t="shared" si="25"/>
        <v>- churches</v>
      </c>
      <c r="AY130" s="37" t="str">
        <f t="shared" si="26"/>
        <v>- marian-sites</v>
      </c>
      <c r="AZ130" s="37" t="str">
        <f t="shared" si="27"/>
        <v/>
      </c>
      <c r="BA130" s="37" t="str">
        <f t="shared" si="28"/>
        <v/>
      </c>
      <c r="BB130" s="37" t="str">
        <f t="shared" si="29"/>
        <v/>
      </c>
      <c r="BC130" s="37" t="str">
        <f t="shared" si="30"/>
        <v/>
      </c>
      <c r="BD130" s="37" t="str">
        <f t="shared" si="31"/>
        <v/>
      </c>
      <c r="BE130" s="37" t="str">
        <f t="shared" si="32"/>
        <v/>
      </c>
      <c r="BF130" s="37" t="str">
        <f t="shared" si="33"/>
        <v/>
      </c>
      <c r="BG130" s="37" t="str">
        <f t="shared" si="34"/>
        <v/>
      </c>
      <c r="BH130" s="37" t="str">
        <f t="shared" si="35"/>
        <v/>
      </c>
      <c r="BI130" s="37" t="str">
        <f t="shared" si="36"/>
        <v/>
      </c>
      <c r="BJ130" s="37" t="str">
        <f t="shared" si="37"/>
        <v/>
      </c>
      <c r="BK130" s="37" t="str">
        <f t="shared" si="38"/>
        <v xml:space="preserve">tags:
- venezuela_x000D_
- churches_x000D_
- marian-sites_x000D_
</v>
      </c>
      <c r="BL130" s="38" t="str">
        <f t="shared" si="39"/>
        <v/>
      </c>
      <c r="BM130" s="38" t="str">
        <f t="shared" si="40"/>
        <v/>
      </c>
      <c r="BN130" s="38" t="str">
        <f t="shared" si="41"/>
        <v/>
      </c>
      <c r="BO130" s="38" t="str">
        <f t="shared" si="42"/>
        <v/>
      </c>
      <c r="BP130" s="38" t="str">
        <f t="shared" si="43"/>
        <v/>
      </c>
      <c r="BQ130" s="38" t="str">
        <f t="shared" si="44"/>
        <v>[Link](http://www.therealpresence.org/eucharst/misc/BVM/91_BETANIA_96x96.pdf)</v>
      </c>
      <c r="BR130" s="38" t="str">
        <f t="shared" si="45"/>
        <v/>
      </c>
      <c r="BS130" s="38" t="str">
        <f t="shared" si="46"/>
        <v/>
      </c>
      <c r="BT130" s="38" t="str">
        <f>IF(LEN(concat(BQ130:BS130))&gt;0,concat("| ",BQ130," | ",BR130," | ",BS130," |"),"")</f>
        <v>| [Link](http://www.therealpresence.org/eucharst/misc/BVM/91_BETANIA_96x96.pdf) |  |  |</v>
      </c>
      <c r="BU130" s="37" t="str">
        <f t="shared" si="47"/>
        <v xml:space="preserve">| The Real Presence | Miracle Hunter | MaryPages |_x000D_
| --- | --- | --- |_x000D_
| [Link](http://www.therealpresence.org/eucharst/misc/BVM/91_BETANIA_96x96.pdf) |  |  |_x000D_
</v>
      </c>
      <c r="BV130" s="37" t="str">
        <f>IF(LEN(BP130&amp;BU130)&gt;0,concatll("#### Source Material",BP130,BU130),"")</f>
        <v xml:space="preserve">#### Source Material_x000D_
_x000D_
| The Real Presence | Miracle Hunter | MaryPages |_x000D_
| --- | --- | --- |_x000D_
| [Link](http://www.therealpresence.org/eucharst/misc/BVM/91_BETANIA_96x96.pdf) |  |  |_x000D_
_x000D_
_x000D_
</v>
      </c>
      <c r="BW130" s="37" t="str">
        <f>IF(LEN(O130)&gt;1,concatll("#### Author's Note",O130),"")</f>
        <v/>
      </c>
      <c r="BX130" s="24" t="str">
        <f>IF(AR130,concatll(concatl("---",AS130:AU130,BK130,"---"),N130,BV130:BW130),"")</f>
        <v/>
      </c>
      <c r="BY130" s="24" t="str">
        <f>IF(AR130,VLOOKUP(C130,'(Ref) Countries'!A:B,2,)&amp;IF(LEN(D130)&gt;1,"-"&amp;LOWER(SUBSTITUTE(D130," ","-")),"")&amp;"-"&amp;LOWER(SUBSTITUTE(I130," ","-"))&amp;".md","")</f>
        <v/>
      </c>
      <c r="BZ130" s="37" t="str">
        <f>IF(LEN(AG130)&gt;1,VLOOKUP(AG130,'Tag List'!$A:$B,2,),"")</f>
        <v/>
      </c>
      <c r="CA130" s="37" t="str">
        <f>IF(LEN(AH130)&gt;1,VLOOKUP(AH130,'Tag List'!$A:$B,2,),"")</f>
        <v/>
      </c>
      <c r="CB130" s="37" t="str">
        <f>IF(LEN(AI130)&gt;1,VLOOKUP(AI130,'Tag List'!$A:$B,2,),"")</f>
        <v/>
      </c>
      <c r="CC130" s="38" t="str">
        <f>IF(LEN(AG130)&gt;1,GetTagPage(BZ130,AG130),"")</f>
        <v/>
      </c>
      <c r="CD130" s="38" t="str">
        <f>IF(LEN(AH130)&gt;1,GetTagPage(CA130,AH130),"")</f>
        <v/>
      </c>
      <c r="CE130" s="38" t="str">
        <f>IF(LEN(AI130)&gt;1,GetTagPage(CB130,AI130),"")</f>
        <v/>
      </c>
      <c r="CF130" s="38" t="str">
        <f>"|"&amp;IF(LEN(CC130)&gt;1," "&amp;CC130,"")&amp;IF(LEN(CD130)&gt;1,", "&amp;CD130,"")&amp;IF(LEN(CE130)&gt;1,", "&amp;CE130,"")&amp;" "</f>
        <v xml:space="preserve">| </v>
      </c>
      <c r="CG130" s="38" t="str">
        <f>"| "&amp;IF(AR130,"["&amp;B130&amp;"](/places/"&amp;SUBSTITUTE(BY130,".md","")&amp;")",B130)&amp;" "</f>
        <v xml:space="preserve">| Betania </v>
      </c>
      <c r="CH130" s="38" t="str">
        <f>"| "&amp;IF(AR130,GetTagPage(C130,VLOOKUP(C130,'(Ref) Countries'!A:C,3,)),C130)&amp; " "</f>
        <v xml:space="preserve">| Venezuela </v>
      </c>
      <c r="CI130" s="38" t="str">
        <f>"| "&amp;E130&amp;" "</f>
        <v xml:space="preserve">| 20th-21st Centuries </v>
      </c>
      <c r="CJ130" s="38" t="str">
        <f>"|"&amp;IF(AR130," [Link](/places/"&amp;SUBSTITUTE(BY130,".md","")&amp;")","")&amp;" "</f>
        <v xml:space="preserve">| </v>
      </c>
      <c r="CK130" s="37" t="str">
        <f>"
"&amp;CG130&amp;CH130&amp;CI130&amp;CJ130&amp;BL130&amp;BQ130&amp;BR130&amp;BS130&amp;CF130&amp;"|"</f>
        <v xml:space="preserve">
| Betania | Venezuela | 20th-21st Centuries | [Link](http://www.therealpresence.org/eucharst/misc/BVM/91_BETANIA_96x96.pdf)| |</v>
      </c>
    </row>
    <row r="131" spans="1:89" x14ac:dyDescent="0.25">
      <c r="B131" s="28" t="s">
        <v>1291</v>
      </c>
      <c r="C131" s="29" t="s">
        <v>533</v>
      </c>
      <c r="E131" s="31" t="s">
        <v>1163</v>
      </c>
      <c r="J131" s="30" t="s">
        <v>1728</v>
      </c>
      <c r="K131" s="32" t="b">
        <v>1</v>
      </c>
      <c r="L131" s="30" t="b">
        <v>1</v>
      </c>
      <c r="P131" s="30" t="s">
        <v>336</v>
      </c>
      <c r="Q131" s="30" t="s">
        <v>336</v>
      </c>
      <c r="AA131" s="71" t="s">
        <v>305</v>
      </c>
      <c r="AB131" s="30" t="s">
        <v>336</v>
      </c>
      <c r="AC131" s="30" t="s">
        <v>336</v>
      </c>
      <c r="AD131" s="30" t="s">
        <v>336</v>
      </c>
      <c r="AE131" s="30" t="s">
        <v>336</v>
      </c>
      <c r="AF131" s="67" t="s">
        <v>336</v>
      </c>
      <c r="AG131" s="30" t="s">
        <v>336</v>
      </c>
      <c r="AR131" s="36" t="b">
        <f>IF(OR(A131="Done",A131="In Progress"),TRUE)</f>
        <v>0</v>
      </c>
      <c r="AS131" s="37" t="str">
        <f>"title: """&amp;H131&amp;""""</f>
        <v>title: ""</v>
      </c>
      <c r="AT131" s="37" t="str">
        <f>"location: {lat: "&amp;F131&amp;", lng: "&amp;G131&amp;"}"</f>
        <v>location: {lat: , lng: }</v>
      </c>
      <c r="AU131" s="37" t="str">
        <f>"level: "&amp;J131</f>
        <v>level: global</v>
      </c>
      <c r="AV131" s="37" t="str">
        <f>"- "&amp;VLOOKUP(C131,'(Ref) Countries'!A:C,3,)</f>
        <v>- china</v>
      </c>
      <c r="AW131" s="37" t="str">
        <f t="shared" ref="AW131:AW168" si="48">IF(LEN(D131)&gt;1,"- "&amp;LOWER(SUBSTITUTE(D131," ","-")),"")</f>
        <v/>
      </c>
      <c r="AX131" s="37" t="str">
        <f t="shared" ref="AX131:AX168" si="49">IF(K131,"- churches","")</f>
        <v>- churches</v>
      </c>
      <c r="AY131" s="37" t="str">
        <f t="shared" ref="AY131:AY168" si="50">IF(L131,"- marian-sites","")</f>
        <v>- marian-sites</v>
      </c>
      <c r="AZ131" s="37" t="str">
        <f t="shared" ref="AZ131:AZ168" si="51">IF(M131,"- holy-persons","")</f>
        <v/>
      </c>
      <c r="BA131" s="37" t="str">
        <f t="shared" ref="BA131:BA168" si="52">IF(LEN(AG131)&gt;0,"- "&amp;AG131,"")</f>
        <v/>
      </c>
      <c r="BB131" s="37" t="str">
        <f t="shared" ref="BB131:BB168" si="53">IF(LEN(AH131)&gt;0,"- "&amp;AH131,"")</f>
        <v/>
      </c>
      <c r="BC131" s="37" t="str">
        <f t="shared" ref="BC131:BC168" si="54">IF(LEN(AI131)&gt;0,"- "&amp;AI131,"")</f>
        <v/>
      </c>
      <c r="BD131" s="37" t="str">
        <f t="shared" ref="BD131:BD168" si="55">IF(LEN(AJ131)&gt;0,"- "&amp;AJ131,"")</f>
        <v/>
      </c>
      <c r="BE131" s="37" t="str">
        <f t="shared" ref="BE131:BE168" si="56">IF(LEN(AK131)&gt;0,"- "&amp;AK131,"")</f>
        <v/>
      </c>
      <c r="BF131" s="37" t="str">
        <f t="shared" ref="BF131:BF168" si="57">IF(LEN(AL131)&gt;0,"- "&amp;AL131,"")</f>
        <v/>
      </c>
      <c r="BG131" s="37" t="str">
        <f t="shared" ref="BG131:BG168" si="58">IF(LEN(AM131)&gt;0,"- "&amp;AM131,"")</f>
        <v/>
      </c>
      <c r="BH131" s="37" t="str">
        <f t="shared" ref="BH131:BH168" si="59">IF(LEN(AN131)&gt;0,"- "&amp;AN131,"")</f>
        <v/>
      </c>
      <c r="BI131" s="37" t="str">
        <f t="shared" ref="BI131:BI168" si="60">IF(LEN(AO131)&gt;0,"- "&amp;AO131,"")</f>
        <v/>
      </c>
      <c r="BJ131" s="37" t="str">
        <f t="shared" ref="BJ131:BJ168" si="61">IF(LEN(AP131)&gt;0,"- "&amp;AP131,"")</f>
        <v/>
      </c>
      <c r="BK131" s="37" t="str">
        <f t="shared" ref="BK131:BK168" si="62">"tags:"&amp;CHAR(10)&amp;concatl(AV131:BJ131)</f>
        <v xml:space="preserve">tags:
- china_x000D_
- churches_x000D_
- marian-sites_x000D_
</v>
      </c>
      <c r="BL131" s="38" t="str">
        <f t="shared" ref="BL131:BL168" si="63">IF(LEN(P131)&gt;0,TRIM(CONCATENATE("[Official site](",P131,") ",Q131)),"")</f>
        <v/>
      </c>
      <c r="BM131" s="38" t="str">
        <f t="shared" ref="BM131:BM168" si="64">IF(LEN(S131)&gt;0,TRIM(CONCATENATE("["&amp;R131&amp;"](",S131,") ",T131)),"")</f>
        <v/>
      </c>
      <c r="BN131" s="38" t="str">
        <f t="shared" ref="BN131:BN168" si="65">IF(LEN(V131)&gt;0,TRIM(CONCATENATE("["&amp;U131&amp;"](",V131,") ",W131)),"")</f>
        <v/>
      </c>
      <c r="BO131" s="38" t="str">
        <f t="shared" ref="BO131:BO168" si="66">IF(LEN(Y131)&gt;0,TRIM(CONCATENATE("["&amp;X131&amp;"](",Y131,") ",Z131)),"")</f>
        <v/>
      </c>
      <c r="BP131" s="38" t="str">
        <f t="shared" ref="BP131:BP168" si="67">IF(LEN(BL131)&gt;0,"* "&amp;BL131&amp;CHAR(10),"")&amp;
IF(LEN(BM131)&gt;0,"* "&amp;BM131&amp;CHAR(10),"")&amp;
IF(LEN(BN131)&gt;0,"* "&amp;BN131&amp;CHAR(10),"")&amp;
IF(LEN(BO131)&gt;0,"* "&amp;BO131&amp;CHAR(10),"")</f>
        <v/>
      </c>
      <c r="BQ131" s="38" t="str">
        <f t="shared" ref="BQ131:BQ168" si="68">IF(LEN(AA131)&gt;0,TRIM(CONCATENATE("[Link](",AA131,") ",AB131)),"")</f>
        <v>[Link](http://www.therealpresence.org/eucharst/misc/BVM/103_DONG_LU_96x96.pdf)</v>
      </c>
      <c r="BR131" s="38" t="str">
        <f t="shared" ref="BR131:BR168" si="69">IF(LEN(AC131)&gt;0,TRIM(CONCATENATE("[Link](",AC131,") ",AD131)),"")</f>
        <v/>
      </c>
      <c r="BS131" s="38" t="str">
        <f t="shared" ref="BS131:BS168" si="70">IF(LEN(AE131)&gt;0,TRIM(CONCATENATE("[Link](",AE131,") ",AF131)),"")</f>
        <v/>
      </c>
      <c r="BT131" s="38" t="str">
        <f>IF(LEN(concat(BQ131:BS131))&gt;0,concat("| ",BQ131," | ",BR131," | ",BS131," |"),"")</f>
        <v>| [Link](http://www.therealpresence.org/eucharst/misc/BVM/103_DONG_LU_96x96.pdf) |  |  |</v>
      </c>
      <c r="BU131" s="37" t="str">
        <f t="shared" ref="BU131:BU168" si="71">IF(L131,concatl("| The Real Presence | Miracle Hunter | MaryPages |","| --- | --- | --- |",BT131),"")</f>
        <v xml:space="preserve">| The Real Presence | Miracle Hunter | MaryPages |_x000D_
| --- | --- | --- |_x000D_
| [Link](http://www.therealpresence.org/eucharst/misc/BVM/103_DONG_LU_96x96.pdf) |  |  |_x000D_
</v>
      </c>
      <c r="BV131" s="37" t="str">
        <f>IF(LEN(BP131&amp;BU131)&gt;0,concatll("#### Source Material",BP131,BU131),"")</f>
        <v xml:space="preserve">#### Source Material_x000D_
_x000D_
| The Real Presence | Miracle Hunter | MaryPages |_x000D_
| --- | --- | --- |_x000D_
| [Link](http://www.therealpresence.org/eucharst/misc/BVM/103_DONG_LU_96x96.pdf) |  |  |_x000D_
_x000D_
_x000D_
</v>
      </c>
      <c r="BW131" s="37" t="str">
        <f>IF(LEN(O131)&gt;1,concatll("#### Author's Note",O131),"")</f>
        <v/>
      </c>
      <c r="BX131" s="24" t="str">
        <f>IF(AR131,concatll(concatl("---",AS131:AU131,BK131,"---"),N131,BV131:BW131),"")</f>
        <v/>
      </c>
      <c r="BY131" s="24" t="str">
        <f>IF(AR131,VLOOKUP(C131,'(Ref) Countries'!A:B,2,)&amp;IF(LEN(D131)&gt;1,"-"&amp;LOWER(SUBSTITUTE(D131," ","-")),"")&amp;"-"&amp;LOWER(SUBSTITUTE(I131," ","-"))&amp;".md","")</f>
        <v/>
      </c>
      <c r="BZ131" s="37" t="str">
        <f>IF(LEN(AG131)&gt;1,VLOOKUP(AG131,'Tag List'!$A:$B,2,),"")</f>
        <v/>
      </c>
      <c r="CA131" s="37" t="str">
        <f>IF(LEN(AH131)&gt;1,VLOOKUP(AH131,'Tag List'!$A:$B,2,),"")</f>
        <v/>
      </c>
      <c r="CB131" s="37" t="str">
        <f>IF(LEN(AI131)&gt;1,VLOOKUP(AI131,'Tag List'!$A:$B,2,),"")</f>
        <v/>
      </c>
      <c r="CC131" s="38" t="str">
        <f>IF(LEN(AG131)&gt;1,GetTagPage(BZ131,AG131),"")</f>
        <v/>
      </c>
      <c r="CD131" s="38" t="str">
        <f>IF(LEN(AH131)&gt;1,GetTagPage(CA131,AH131),"")</f>
        <v/>
      </c>
      <c r="CE131" s="38" t="str">
        <f>IF(LEN(AI131)&gt;1,GetTagPage(CB131,AI131),"")</f>
        <v/>
      </c>
      <c r="CF131" s="38" t="str">
        <f>"|"&amp;IF(LEN(CC131)&gt;1," "&amp;CC131,"")&amp;IF(LEN(CD131)&gt;1,", "&amp;CD131,"")&amp;IF(LEN(CE131)&gt;1,", "&amp;CE131,"")&amp;" "</f>
        <v xml:space="preserve">| </v>
      </c>
      <c r="CG131" s="38" t="str">
        <f>"| "&amp;IF(AR131,"["&amp;B131&amp;"](/places/"&amp;SUBSTITUTE(BY131,".md","")&amp;")",B131)&amp;" "</f>
        <v xml:space="preserve">| Dong Lu </v>
      </c>
      <c r="CH131" s="38" t="str">
        <f>"| "&amp;IF(AR131,GetTagPage(C131,VLOOKUP(C131,'(Ref) Countries'!A:C,3,)),C131)&amp; " "</f>
        <v xml:space="preserve">| China </v>
      </c>
      <c r="CI131" s="38" t="str">
        <f>"| "&amp;E131&amp;" "</f>
        <v xml:space="preserve">| 1900 and 1995 </v>
      </c>
      <c r="CJ131" s="38" t="str">
        <f>"|"&amp;IF(AR131," [Link](/places/"&amp;SUBSTITUTE(BY131,".md","")&amp;")","")&amp;" "</f>
        <v xml:space="preserve">| </v>
      </c>
      <c r="CK131" s="37" t="str">
        <f>"
"&amp;CG131&amp;CH131&amp;CI131&amp;CJ131&amp;BL131&amp;BQ131&amp;BR131&amp;BS131&amp;CF131&amp;"|"</f>
        <v xml:space="preserve">
| Dong Lu | China | 1900 and 1995 | [Link](http://www.therealpresence.org/eucharst/misc/BVM/103_DONG_LU_96x96.pdf)| |</v>
      </c>
    </row>
    <row r="132" spans="1:89" ht="63.75" x14ac:dyDescent="0.25">
      <c r="A132" s="27" t="s">
        <v>1324</v>
      </c>
      <c r="B132" s="28" t="s">
        <v>727</v>
      </c>
      <c r="C132" s="29" t="s">
        <v>655</v>
      </c>
      <c r="E132" s="31">
        <v>1916</v>
      </c>
      <c r="F132" s="71">
        <v>39.631263799999999</v>
      </c>
      <c r="G132" s="67">
        <v>-8.6731570999999992</v>
      </c>
      <c r="H132" s="29" t="s">
        <v>1033</v>
      </c>
      <c r="I132" s="75" t="s">
        <v>728</v>
      </c>
      <c r="J132" s="30" t="s">
        <v>1728</v>
      </c>
      <c r="K132" s="32" t="b">
        <v>1</v>
      </c>
      <c r="L132" s="30" t="b">
        <v>1</v>
      </c>
      <c r="N132" s="29" t="s">
        <v>471</v>
      </c>
      <c r="P132" s="30" t="s">
        <v>426</v>
      </c>
      <c r="Q132" s="30" t="s">
        <v>336</v>
      </c>
      <c r="AA132" s="71" t="s">
        <v>306</v>
      </c>
      <c r="AB132" s="30" t="s">
        <v>1332</v>
      </c>
      <c r="AC132" s="30" t="s">
        <v>472</v>
      </c>
      <c r="AD132" s="30" t="s">
        <v>336</v>
      </c>
      <c r="AE132" s="30" t="s">
        <v>473</v>
      </c>
      <c r="AF132" s="67" t="s">
        <v>336</v>
      </c>
      <c r="AG132" s="44" t="s">
        <v>1432</v>
      </c>
      <c r="AH132" s="44" t="s">
        <v>1433</v>
      </c>
      <c r="AI132" s="44"/>
      <c r="AJ132" s="44"/>
      <c r="AK132" s="44"/>
      <c r="AL132" s="44"/>
      <c r="AM132" s="44"/>
      <c r="AN132" s="44"/>
      <c r="AO132" s="44"/>
      <c r="AP132" s="110"/>
      <c r="AR132" s="36" t="b">
        <f>IF(OR(A132="Done",A132="In Progress"),TRUE)</f>
        <v>1</v>
      </c>
      <c r="AS132" s="37" t="str">
        <f>"title: """&amp;H132&amp;""""</f>
        <v>title: "Sanctuary of Our Lady of the Rosary of Fatima"</v>
      </c>
      <c r="AT132" s="37" t="str">
        <f>"location: {lat: "&amp;F132&amp;", lng: "&amp;G132&amp;"}"</f>
        <v>location: {lat: 39.6312638, lng: -8.6731571}</v>
      </c>
      <c r="AU132" s="37" t="str">
        <f>"level: "&amp;J132</f>
        <v>level: global</v>
      </c>
      <c r="AV132" s="37" t="str">
        <f>"- "&amp;VLOOKUP(C132,'(Ref) Countries'!A:C,3,)</f>
        <v>- portugal</v>
      </c>
      <c r="AW132" s="37" t="str">
        <f t="shared" si="48"/>
        <v/>
      </c>
      <c r="AX132" s="37" t="str">
        <f t="shared" si="49"/>
        <v>- churches</v>
      </c>
      <c r="AY132" s="37" t="str">
        <f t="shared" si="50"/>
        <v>- marian-sites</v>
      </c>
      <c r="AZ132" s="37" t="str">
        <f t="shared" si="51"/>
        <v/>
      </c>
      <c r="BA132" s="37" t="str">
        <f t="shared" si="52"/>
        <v>- lucia-dos-santos</v>
      </c>
      <c r="BB132" s="37" t="str">
        <f t="shared" si="53"/>
        <v>- francisco-and-jacinta-marto</v>
      </c>
      <c r="BC132" s="37" t="str">
        <f t="shared" si="54"/>
        <v/>
      </c>
      <c r="BD132" s="37" t="str">
        <f t="shared" si="55"/>
        <v/>
      </c>
      <c r="BE132" s="37" t="str">
        <f t="shared" si="56"/>
        <v/>
      </c>
      <c r="BF132" s="37" t="str">
        <f t="shared" si="57"/>
        <v/>
      </c>
      <c r="BG132" s="37" t="str">
        <f t="shared" si="58"/>
        <v/>
      </c>
      <c r="BH132" s="37" t="str">
        <f t="shared" si="59"/>
        <v/>
      </c>
      <c r="BI132" s="37" t="str">
        <f t="shared" si="60"/>
        <v/>
      </c>
      <c r="BJ132" s="37" t="str">
        <f t="shared" si="61"/>
        <v/>
      </c>
      <c r="BK132" s="37" t="str">
        <f t="shared" si="62"/>
        <v xml:space="preserve">tags:
- portugal_x000D_
- churches_x000D_
- marian-sites_x000D_
- lucia-dos-santos_x000D_
- francisco-and-jacinta-marto_x000D_
</v>
      </c>
      <c r="BL132" s="38" t="str">
        <f t="shared" si="63"/>
        <v>[Official site](https://www.fatima.pt/)</v>
      </c>
      <c r="BM132" s="38" t="str">
        <f t="shared" si="64"/>
        <v/>
      </c>
      <c r="BN132" s="38" t="str">
        <f t="shared" si="65"/>
        <v/>
      </c>
      <c r="BO132" s="38" t="str">
        <f t="shared" si="66"/>
        <v/>
      </c>
      <c r="BP132" s="38" t="str">
        <f t="shared" si="67"/>
        <v xml:space="preserve">* [Official site](https://www.fatima.pt/)
</v>
      </c>
      <c r="BQ132" s="38" t="str">
        <f t="shared" si="68"/>
        <v>[Link](http://www.therealpresence.org/eucharst/misc/BVM/154_FATIMA_96x96_1.pdf) , [Link](http://www.therealpresence.org/eucharst/misc/BVM/154_FATIMA_140x96_2.pdf), [Link](http://www.therealpresence.org/eucharst/misc/BVM/154_FATIMA_96x96_3.pdf)</v>
      </c>
      <c r="BR132" s="38" t="str">
        <f t="shared" si="69"/>
        <v>[Link](https://www.miraclehunter.com/marian_apparitions/approved_apparitions/fatima/index.html)</v>
      </c>
      <c r="BS132" s="38" t="str">
        <f t="shared" si="70"/>
        <v>[Link](https://www.marypages.com/fatima-(portugal)-1917.html)</v>
      </c>
      <c r="BT132" s="38" t="str">
        <f>IF(LEN(concat(BQ132:BS132))&gt;0,concat("| ",BQ132," | ",BR132," | ",BS132," |"),"")</f>
        <v>|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v>
      </c>
      <c r="BU132" s="37" t="str">
        <f t="shared" si="71"/>
        <v xml:space="preserve">| The Real Presence | Miracle Hunter | MaryPages |_x000D_
| --- | --- | --- |_x000D_
|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|_x000D_
</v>
      </c>
      <c r="BV132" s="37" t="str">
        <f>IF(LEN(BP132&amp;BU132)&gt;0,concatll("#### Source Material",BP132,BU132),"")</f>
        <v xml:space="preserve">#### Source Material_x000D_
_x000D_
* [Official site](https://www.fatima.pt/)
_x000D_
_x000D_
| The Real Presence | Miracle Hunter | MaryPages |_x000D_
| --- | --- | --- |_x000D_
|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|_x000D_
_x000D_
_x000D_
</v>
      </c>
      <c r="BW132" s="37" t="str">
        <f>IF(LEN(O132)&gt;1,concatll("#### Author's Note",O132),"")</f>
        <v/>
      </c>
      <c r="BX132" s="24" t="str">
        <f>IF(AR132,concatll(concatl("---",AS132:AU132,BK132,"---"),N132,BV132:BW132),"")</f>
        <v xml:space="preserve">---_x000D_
title: "Sanctuary of Our Lady of the Rosary of Fatima"_x000D_
location: {lat: 39.6312638, lng: -8.6731571}_x000D_
level: global_x000D_
tags:
- portugal_x000D_
- churches_x000D_
- marian-sites_x000D_
- lucia-dos-santos_x000D_
- francisco-and-jacinta-marto_x000D_
_x000D_
---_x000D_
_x000D_
_x000D_
While tending sheep in a field called the Cova de Iria, Lucia de Santos (aged 10) and her two cousins, Francisco and Jacinta Marto, reported six apparitions of Mary, who identified herself as "Our Lady of the Rosary."  Mary urged prayer of the rosary, penance for the conversion of sinners and consecration of Russia to her Immaculate Heart._x000D_
_x000D_
#### Source Material_x000D_
_x000D_
* [Official site](https://www.fatima.pt/)
_x000D_
_x000D_
| The Real Presence | Miracle Hunter | MaryPages |_x000D_
| --- | --- | --- |_x000D_
|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|_x000D_
_x000D_
_x000D_
_x000D_
_x000D_
</v>
      </c>
      <c r="BY132" s="24" t="str">
        <f>IF(AR132,VLOOKUP(C132,'(Ref) Countries'!A:B,2,)&amp;IF(LEN(D132)&gt;1,"-"&amp;LOWER(SUBSTITUTE(D132," ","-")),"")&amp;"-"&amp;LOWER(SUBSTITUTE(I132," ","-"))&amp;".md","")</f>
        <v>pt-shrine-of-fatima.md</v>
      </c>
      <c r="BZ132" s="46" t="str">
        <f>IF(LEN(AG132)&gt;1,VLOOKUP(AG132,'Tag List'!$A:$B,2,),"")</f>
        <v>Bl. Lucia dos Santos</v>
      </c>
      <c r="CA132" s="46" t="str">
        <f>IF(LEN(AH132)&gt;1,VLOOKUP(AH132,'Tag List'!$A:$B,2,),"")</f>
        <v>Sts. Francisco and Jacinta Marto</v>
      </c>
      <c r="CB132" s="46" t="str">
        <f>IF(LEN(AI132)&gt;1,VLOOKUP(AI132,'Tag List'!$A:$B,2,),"")</f>
        <v/>
      </c>
      <c r="CC132" s="38" t="str">
        <f>IF(LEN(AG132)&gt;1,GetTagPage(BZ132,AG132),"")</f>
        <v>[Bl. Lucia dos Santos](/tags/lucia-dos-santos)</v>
      </c>
      <c r="CD132" s="38" t="str">
        <f>IF(LEN(AH132)&gt;1,GetTagPage(CA132,AH132),"")</f>
        <v>[Sts. Francisco and Jacinta Marto](/tags/francisco-and-jacinta-marto)</v>
      </c>
      <c r="CE132" s="38" t="str">
        <f>IF(LEN(AI132)&gt;1,GetTagPage(CB132,AI132),"")</f>
        <v/>
      </c>
      <c r="CF132" s="38" t="str">
        <f>"|"&amp;IF(LEN(CC132)&gt;1," "&amp;CC132,"")&amp;IF(LEN(CD132)&gt;1,", "&amp;CD132,"")&amp;IF(LEN(CE132)&gt;1,", "&amp;CE132,"")&amp;" "</f>
        <v xml:space="preserve">| [Bl. Lucia dos Santos](/tags/lucia-dos-santos), [Sts. Francisco and Jacinta Marto](/tags/francisco-and-jacinta-marto) </v>
      </c>
      <c r="CG132" s="38" t="str">
        <f>"| "&amp;IF(AR132,"["&amp;B132&amp;"](/places/"&amp;SUBSTITUTE(BY132,".md","")&amp;")",B132)&amp;" "</f>
        <v xml:space="preserve">| [Fatima](/places/pt-shrine-of-fatima) </v>
      </c>
      <c r="CH132" s="38" t="str">
        <f>"| "&amp;IF(AR132,GetTagPage(C132,VLOOKUP(C132,'(Ref) Countries'!A:C,3,)),C132)&amp; " "</f>
        <v xml:space="preserve">| [Portugal](/tags/portugal) </v>
      </c>
      <c r="CI132" s="38" t="str">
        <f>"| "&amp;E132&amp;" "</f>
        <v xml:space="preserve">| 1916 </v>
      </c>
      <c r="CJ132" s="38" t="str">
        <f>"|"&amp;IF(AR132," [Link](/places/"&amp;SUBSTITUTE(BY132,".md","")&amp;")","")&amp;" "</f>
        <v xml:space="preserve">| [Link](/places/pt-shrine-of-fatima) </v>
      </c>
      <c r="CK132" s="37" t="str">
        <f>"
"&amp;CG132&amp;CH132&amp;CI132&amp;CJ132&amp;BL132&amp;BQ132&amp;BR132&amp;BS132&amp;CF132&amp;"|"</f>
        <v xml:space="preserve">
| [Fatima](/places/pt-shrine-of-fatima) | [Portugal](/tags/portugal) | 1916 | [Link](/places/pt-shrine-of-fatima) [Official site](https://www.fatima.pt/)[Link](http://www.therealpresence.org/eucharst/misc/BVM/154_FATIMA_96x96_1.pdf) , [Link](http://www.therealpresence.org/eucharst/misc/BVM/154_FATIMA_140x96_2.pdf), [Link](http://www.therealpresence.org/eucharst/misc/BVM/154_FATIMA_96x96_3.pdf)[Link](https://www.miraclehunter.com/marian_apparitions/approved_apparitions/fatima/index.html)[Link](https://www.marypages.com/fatima-(portugal)-1917.html)| [Bl. Lucia dos Santos](/tags/lucia-dos-santos), [Sts. Francisco and Jacinta Marto](/tags/francisco-and-jacinta-marto) |</v>
      </c>
    </row>
    <row r="133" spans="1:89" x14ac:dyDescent="0.25">
      <c r="B133" s="28" t="s">
        <v>1292</v>
      </c>
      <c r="C133" s="29" t="s">
        <v>11</v>
      </c>
      <c r="E133" s="31">
        <v>1918</v>
      </c>
      <c r="J133" s="30" t="s">
        <v>1728</v>
      </c>
      <c r="K133" s="32" t="b">
        <v>1</v>
      </c>
      <c r="L133" s="30" t="b">
        <v>1</v>
      </c>
      <c r="P133" s="30" t="s">
        <v>336</v>
      </c>
      <c r="Q133" s="30" t="s">
        <v>336</v>
      </c>
      <c r="AA133" s="71" t="s">
        <v>307</v>
      </c>
      <c r="AB133" s="30" t="s">
        <v>336</v>
      </c>
      <c r="AC133" s="30" t="s">
        <v>336</v>
      </c>
      <c r="AD133" s="30" t="s">
        <v>336</v>
      </c>
      <c r="AE133" s="30" t="s">
        <v>336</v>
      </c>
      <c r="AF133" s="67" t="s">
        <v>336</v>
      </c>
      <c r="AG133" s="30" t="s">
        <v>336</v>
      </c>
      <c r="AR133" s="36" t="b">
        <f>IF(OR(A133="Done",A133="In Progress"),TRUE)</f>
        <v>0</v>
      </c>
      <c r="AS133" s="37" t="str">
        <f>"title: """&amp;H133&amp;""""</f>
        <v>title: ""</v>
      </c>
      <c r="AT133" s="37" t="str">
        <f>"location: {lat: "&amp;F133&amp;", lng: "&amp;G133&amp;"}"</f>
        <v>location: {lat: , lng: }</v>
      </c>
      <c r="AU133" s="37" t="str">
        <f>"level: "&amp;J133</f>
        <v>level: global</v>
      </c>
      <c r="AV133" s="37" t="str">
        <f>"- "&amp;VLOOKUP(C133,'(Ref) Countries'!A:C,3,)</f>
        <v>- italy</v>
      </c>
      <c r="AW133" s="37" t="str">
        <f t="shared" si="48"/>
        <v/>
      </c>
      <c r="AX133" s="37" t="str">
        <f t="shared" si="49"/>
        <v>- churches</v>
      </c>
      <c r="AY133" s="37" t="str">
        <f t="shared" si="50"/>
        <v>- marian-sites</v>
      </c>
      <c r="AZ133" s="37" t="str">
        <f t="shared" si="51"/>
        <v/>
      </c>
      <c r="BA133" s="37" t="str">
        <f t="shared" si="52"/>
        <v/>
      </c>
      <c r="BB133" s="37" t="str">
        <f t="shared" si="53"/>
        <v/>
      </c>
      <c r="BC133" s="37" t="str">
        <f t="shared" si="54"/>
        <v/>
      </c>
      <c r="BD133" s="37" t="str">
        <f t="shared" si="55"/>
        <v/>
      </c>
      <c r="BE133" s="37" t="str">
        <f t="shared" si="56"/>
        <v/>
      </c>
      <c r="BF133" s="37" t="str">
        <f t="shared" si="57"/>
        <v/>
      </c>
      <c r="BG133" s="37" t="str">
        <f t="shared" si="58"/>
        <v/>
      </c>
      <c r="BH133" s="37" t="str">
        <f t="shared" si="59"/>
        <v/>
      </c>
      <c r="BI133" s="37" t="str">
        <f t="shared" si="60"/>
        <v/>
      </c>
      <c r="BJ133" s="37" t="str">
        <f t="shared" si="61"/>
        <v/>
      </c>
      <c r="BK133" s="37" t="str">
        <f t="shared" si="62"/>
        <v xml:space="preserve">tags:
- italy_x000D_
- churches_x000D_
- marian-sites_x000D_
</v>
      </c>
      <c r="BL133" s="38" t="str">
        <f t="shared" si="63"/>
        <v/>
      </c>
      <c r="BM133" s="38" t="str">
        <f t="shared" si="64"/>
        <v/>
      </c>
      <c r="BN133" s="38" t="str">
        <f t="shared" si="65"/>
        <v/>
      </c>
      <c r="BO133" s="38" t="str">
        <f t="shared" si="66"/>
        <v/>
      </c>
      <c r="BP133" s="38" t="str">
        <f t="shared" si="67"/>
        <v/>
      </c>
      <c r="BQ133" s="38" t="str">
        <f t="shared" si="68"/>
        <v>[Link](http://www.therealpresence.org/eucharst/misc/BVM/46_TORINO_60x96.pdf)</v>
      </c>
      <c r="BR133" s="38" t="str">
        <f t="shared" si="69"/>
        <v/>
      </c>
      <c r="BS133" s="38" t="str">
        <f t="shared" si="70"/>
        <v/>
      </c>
      <c r="BT133" s="38" t="str">
        <f>IF(LEN(concat(BQ133:BS133))&gt;0,concat("| ",BQ133," | ",BR133," | ",BS133," |"),"")</f>
        <v>| [Link](http://www.therealpresence.org/eucharst/misc/BVM/46_TORINO_60x96.pdf) |  |  |</v>
      </c>
      <c r="BU133" s="37" t="str">
        <f t="shared" si="71"/>
        <v xml:space="preserve">| The Real Presence | Miracle Hunter | MaryPages |_x000D_
| --- | --- | --- |_x000D_
| [Link](http://www.therealpresence.org/eucharst/misc/BVM/46_TORINO_60x96.pdf) |  |  |_x000D_
</v>
      </c>
      <c r="BV133" s="37" t="str">
        <f>IF(LEN(BP133&amp;BU133)&gt;0,concatll("#### Source Material",BP133,BU133),"")</f>
        <v xml:space="preserve">#### Source Material_x000D_
_x000D_
| The Real Presence | Miracle Hunter | MaryPages |_x000D_
| --- | --- | --- |_x000D_
| [Link](http://www.therealpresence.org/eucharst/misc/BVM/46_TORINO_60x96.pdf) |  |  |_x000D_
_x000D_
_x000D_
</v>
      </c>
      <c r="BW133" s="37" t="str">
        <f>IF(LEN(O133)&gt;1,concatll("#### Author's Note",O133),"")</f>
        <v/>
      </c>
      <c r="BX133" s="24" t="str">
        <f>IF(AR133,concatll(concatl("---",AS133:AU133,BK133,"---"),N133,BV133:BW133),"")</f>
        <v/>
      </c>
      <c r="BY133" s="24" t="str">
        <f>IF(AR133,VLOOKUP(C133,'(Ref) Countries'!A:B,2,)&amp;IF(LEN(D133)&gt;1,"-"&amp;LOWER(SUBSTITUTE(D133," ","-")),"")&amp;"-"&amp;LOWER(SUBSTITUTE(I133," ","-"))&amp;".md","")</f>
        <v/>
      </c>
      <c r="BZ133" s="37" t="str">
        <f>IF(LEN(AG133)&gt;1,VLOOKUP(AG133,'Tag List'!$A:$B,2,),"")</f>
        <v/>
      </c>
      <c r="CA133" s="37" t="str">
        <f>IF(LEN(AH133)&gt;1,VLOOKUP(AH133,'Tag List'!$A:$B,2,),"")</f>
        <v/>
      </c>
      <c r="CB133" s="37" t="str">
        <f>IF(LEN(AI133)&gt;1,VLOOKUP(AI133,'Tag List'!$A:$B,2,),"")</f>
        <v/>
      </c>
      <c r="CC133" s="38" t="str">
        <f>IF(LEN(AG133)&gt;1,GetTagPage(BZ133,AG133),"")</f>
        <v/>
      </c>
      <c r="CD133" s="38" t="str">
        <f>IF(LEN(AH133)&gt;1,GetTagPage(CA133,AH133),"")</f>
        <v/>
      </c>
      <c r="CE133" s="38" t="str">
        <f>IF(LEN(AI133)&gt;1,GetTagPage(CB133,AI133),"")</f>
        <v/>
      </c>
      <c r="CF133" s="38" t="str">
        <f>"|"&amp;IF(LEN(CC133)&gt;1," "&amp;CC133,"")&amp;IF(LEN(CD133)&gt;1,", "&amp;CD133,"")&amp;IF(LEN(CE133)&gt;1,", "&amp;CE133,"")&amp;" "</f>
        <v xml:space="preserve">| </v>
      </c>
      <c r="CG133" s="38" t="str">
        <f>"| "&amp;IF(AR133,"["&amp;B133&amp;"](/places/"&amp;SUBSTITUTE(BY133,".md","")&amp;")",B133)&amp;" "</f>
        <v xml:space="preserve">| Turin </v>
      </c>
      <c r="CH133" s="38" t="str">
        <f>"| "&amp;IF(AR133,GetTagPage(C133,VLOOKUP(C133,'(Ref) Countries'!A:C,3,)),C133)&amp; " "</f>
        <v xml:space="preserve">| Italy </v>
      </c>
      <c r="CI133" s="38" t="str">
        <f>"| "&amp;E133&amp;" "</f>
        <v xml:space="preserve">| 1918 </v>
      </c>
      <c r="CJ133" s="38" t="str">
        <f>"|"&amp;IF(AR133," [Link](/places/"&amp;SUBSTITUTE(BY133,".md","")&amp;")","")&amp;" "</f>
        <v xml:space="preserve">| </v>
      </c>
      <c r="CK133" s="37" t="str">
        <f>"
"&amp;CG133&amp;CH133&amp;CI133&amp;CJ133&amp;BL133&amp;BQ133&amp;BR133&amp;BS133&amp;CF133&amp;"|"</f>
        <v xml:space="preserve">
| Turin | Italy | 1918 | [Link](http://www.therealpresence.org/eucharst/misc/BVM/46_TORINO_60x96.pdf)| |</v>
      </c>
    </row>
    <row r="134" spans="1:89" x14ac:dyDescent="0.25">
      <c r="B134" s="28" t="s">
        <v>1293</v>
      </c>
      <c r="C134" s="29" t="s">
        <v>11</v>
      </c>
      <c r="E134" s="31">
        <v>1924</v>
      </c>
      <c r="J134" s="30" t="s">
        <v>1728</v>
      </c>
      <c r="K134" s="32" t="b">
        <v>1</v>
      </c>
      <c r="L134" s="30" t="b">
        <v>1</v>
      </c>
      <c r="P134" s="30" t="s">
        <v>336</v>
      </c>
      <c r="Q134" s="30" t="s">
        <v>336</v>
      </c>
      <c r="AA134" s="71" t="s">
        <v>308</v>
      </c>
      <c r="AB134" s="30" t="s">
        <v>336</v>
      </c>
      <c r="AC134" s="30" t="s">
        <v>336</v>
      </c>
      <c r="AD134" s="30" t="s">
        <v>336</v>
      </c>
      <c r="AE134" s="30" t="s">
        <v>336</v>
      </c>
      <c r="AF134" s="67" t="s">
        <v>336</v>
      </c>
      <c r="AG134" s="30" t="s">
        <v>336</v>
      </c>
      <c r="AR134" s="36" t="b">
        <f>IF(OR(A134="Done",A134="In Progress"),TRUE)</f>
        <v>0</v>
      </c>
      <c r="AS134" s="37" t="str">
        <f>"title: """&amp;H134&amp;""""</f>
        <v>title: ""</v>
      </c>
      <c r="AT134" s="37" t="str">
        <f>"location: {lat: "&amp;F134&amp;", lng: "&amp;G134&amp;"}"</f>
        <v>location: {lat: , lng: }</v>
      </c>
      <c r="AU134" s="37" t="str">
        <f>"level: "&amp;J134</f>
        <v>level: global</v>
      </c>
      <c r="AV134" s="37" t="str">
        <f>"- "&amp;VLOOKUP(C134,'(Ref) Countries'!A:C,3,)</f>
        <v>- italy</v>
      </c>
      <c r="AW134" s="37" t="str">
        <f t="shared" si="48"/>
        <v/>
      </c>
      <c r="AX134" s="37" t="str">
        <f t="shared" si="49"/>
        <v>- churches</v>
      </c>
      <c r="AY134" s="37" t="str">
        <f t="shared" si="50"/>
        <v>- marian-sites</v>
      </c>
      <c r="AZ134" s="37" t="str">
        <f t="shared" si="51"/>
        <v/>
      </c>
      <c r="BA134" s="37" t="str">
        <f t="shared" si="52"/>
        <v/>
      </c>
      <c r="BB134" s="37" t="str">
        <f t="shared" si="53"/>
        <v/>
      </c>
      <c r="BC134" s="37" t="str">
        <f t="shared" si="54"/>
        <v/>
      </c>
      <c r="BD134" s="37" t="str">
        <f t="shared" si="55"/>
        <v/>
      </c>
      <c r="BE134" s="37" t="str">
        <f t="shared" si="56"/>
        <v/>
      </c>
      <c r="BF134" s="37" t="str">
        <f t="shared" si="57"/>
        <v/>
      </c>
      <c r="BG134" s="37" t="str">
        <f t="shared" si="58"/>
        <v/>
      </c>
      <c r="BH134" s="37" t="str">
        <f t="shared" si="59"/>
        <v/>
      </c>
      <c r="BI134" s="37" t="str">
        <f t="shared" si="60"/>
        <v/>
      </c>
      <c r="BJ134" s="37" t="str">
        <f t="shared" si="61"/>
        <v/>
      </c>
      <c r="BK134" s="37" t="str">
        <f t="shared" si="62"/>
        <v xml:space="preserve">tags:
- italy_x000D_
- churches_x000D_
- marian-sites_x000D_
</v>
      </c>
      <c r="BL134" s="38" t="str">
        <f t="shared" si="63"/>
        <v/>
      </c>
      <c r="BM134" s="38" t="str">
        <f t="shared" si="64"/>
        <v/>
      </c>
      <c r="BN134" s="38" t="str">
        <f t="shared" si="65"/>
        <v/>
      </c>
      <c r="BO134" s="38" t="str">
        <f t="shared" si="66"/>
        <v/>
      </c>
      <c r="BP134" s="38" t="str">
        <f t="shared" si="67"/>
        <v/>
      </c>
      <c r="BQ134" s="38" t="str">
        <f t="shared" si="68"/>
        <v>[Link](http://www.therealpresence.org/eucharst/misc/BVM/04_CERNUSCO_60x96.pdf)</v>
      </c>
      <c r="BR134" s="38" t="str">
        <f t="shared" si="69"/>
        <v/>
      </c>
      <c r="BS134" s="38" t="str">
        <f t="shared" si="70"/>
        <v/>
      </c>
      <c r="BT134" s="38" t="str">
        <f>IF(LEN(concat(BQ134:BS134))&gt;0,concat("| ",BQ134," | ",BR134," | ",BS134," |"),"")</f>
        <v>| [Link](http://www.therealpresence.org/eucharst/misc/BVM/04_CERNUSCO_60x96.pdf) |  |  |</v>
      </c>
      <c r="BU134" s="37" t="str">
        <f t="shared" si="71"/>
        <v xml:space="preserve">| The Real Presence | Miracle Hunter | MaryPages |_x000D_
| --- | --- | --- |_x000D_
| [Link](http://www.therealpresence.org/eucharst/misc/BVM/04_CERNUSCO_60x96.pdf) |  |  |_x000D_
</v>
      </c>
      <c r="BV134" s="37" t="str">
        <f>IF(LEN(BP134&amp;BU134)&gt;0,concatll("#### Source Material",BP134,BU134),"")</f>
        <v xml:space="preserve">#### Source Material_x000D_
_x000D_
| The Real Presence | Miracle Hunter | MaryPages |_x000D_
| --- | --- | --- |_x000D_
| [Link](http://www.therealpresence.org/eucharst/misc/BVM/04_CERNUSCO_60x96.pdf) |  |  |_x000D_
_x000D_
_x000D_
</v>
      </c>
      <c r="BW134" s="37" t="str">
        <f>IF(LEN(O134)&gt;1,concatll("#### Author's Note",O134),"")</f>
        <v/>
      </c>
      <c r="BX134" s="24" t="str">
        <f>IF(AR134,concatll(concatl("---",AS134:AU134,BK134,"---"),N134,BV134:BW134),"")</f>
        <v/>
      </c>
      <c r="BY134" s="24" t="str">
        <f>IF(AR134,VLOOKUP(C134,'(Ref) Countries'!A:B,2,)&amp;IF(LEN(D134)&gt;1,"-"&amp;LOWER(SUBSTITUTE(D134," ","-")),"")&amp;"-"&amp;LOWER(SUBSTITUTE(I134," ","-"))&amp;".md","")</f>
        <v/>
      </c>
      <c r="BZ134" s="37" t="str">
        <f>IF(LEN(AG134)&gt;1,VLOOKUP(AG134,'Tag List'!$A:$B,2,),"")</f>
        <v/>
      </c>
      <c r="CA134" s="37" t="str">
        <f>IF(LEN(AH134)&gt;1,VLOOKUP(AH134,'Tag List'!$A:$B,2,),"")</f>
        <v/>
      </c>
      <c r="CB134" s="37" t="str">
        <f>IF(LEN(AI134)&gt;1,VLOOKUP(AI134,'Tag List'!$A:$B,2,),"")</f>
        <v/>
      </c>
      <c r="CC134" s="38" t="str">
        <f>IF(LEN(AG134)&gt;1,GetTagPage(BZ134,AG134),"")</f>
        <v/>
      </c>
      <c r="CD134" s="38" t="str">
        <f>IF(LEN(AH134)&gt;1,GetTagPage(CA134,AH134),"")</f>
        <v/>
      </c>
      <c r="CE134" s="38" t="str">
        <f>IF(LEN(AI134)&gt;1,GetTagPage(CB134,AI134),"")</f>
        <v/>
      </c>
      <c r="CF134" s="38" t="str">
        <f>"|"&amp;IF(LEN(CC134)&gt;1," "&amp;CC134,"")&amp;IF(LEN(CD134)&gt;1,", "&amp;CD134,"")&amp;IF(LEN(CE134)&gt;1,", "&amp;CE134,"")&amp;" "</f>
        <v xml:space="preserve">| </v>
      </c>
      <c r="CG134" s="38" t="str">
        <f>"| "&amp;IF(AR134,"["&amp;B134&amp;"](/places/"&amp;SUBSTITUTE(BY134,".md","")&amp;")",B134)&amp;" "</f>
        <v xml:space="preserve">| Cernusco Sul Naviglio </v>
      </c>
      <c r="CH134" s="38" t="str">
        <f>"| "&amp;IF(AR134,GetTagPage(C134,VLOOKUP(C134,'(Ref) Countries'!A:C,3,)),C134)&amp; " "</f>
        <v xml:space="preserve">| Italy </v>
      </c>
      <c r="CI134" s="38" t="str">
        <f>"| "&amp;E134&amp;" "</f>
        <v xml:space="preserve">| 1924 </v>
      </c>
      <c r="CJ134" s="38" t="str">
        <f>"|"&amp;IF(AR134," [Link](/places/"&amp;SUBSTITUTE(BY134,".md","")&amp;")","")&amp;" "</f>
        <v xml:space="preserve">| </v>
      </c>
      <c r="CK134" s="37" t="str">
        <f>"
"&amp;CG134&amp;CH134&amp;CI134&amp;CJ134&amp;BL134&amp;BQ134&amp;BR134&amp;BS134&amp;CF134&amp;"|"</f>
        <v xml:space="preserve">
| Cernusco Sul Naviglio | Italy | 1924 | [Link](http://www.therealpresence.org/eucharst/misc/BVM/04_CERNUSCO_60x96.pdf)| |</v>
      </c>
    </row>
    <row r="135" spans="1:89" x14ac:dyDescent="0.25">
      <c r="B135" s="28" t="s">
        <v>1294</v>
      </c>
      <c r="C135" s="29" t="s">
        <v>552</v>
      </c>
      <c r="E135" s="49" t="s">
        <v>1166</v>
      </c>
      <c r="J135" s="30" t="s">
        <v>1728</v>
      </c>
      <c r="K135" s="32" t="b">
        <v>1</v>
      </c>
      <c r="L135" s="30" t="b">
        <v>1</v>
      </c>
      <c r="P135" s="30" t="s">
        <v>336</v>
      </c>
      <c r="Q135" s="30" t="s">
        <v>336</v>
      </c>
      <c r="AA135" s="71" t="s">
        <v>309</v>
      </c>
      <c r="AB135" s="30" t="s">
        <v>336</v>
      </c>
      <c r="AC135" s="30" t="s">
        <v>336</v>
      </c>
      <c r="AD135" s="30" t="s">
        <v>336</v>
      </c>
      <c r="AE135" s="30" t="s">
        <v>336</v>
      </c>
      <c r="AF135" s="67" t="s">
        <v>336</v>
      </c>
      <c r="AG135" s="30" t="s">
        <v>336</v>
      </c>
      <c r="AR135" s="36" t="b">
        <f>IF(OR(A135="Done",A135="In Progress"),TRUE)</f>
        <v>0</v>
      </c>
      <c r="AS135" s="37" t="str">
        <f>"title: """&amp;H135&amp;""""</f>
        <v>title: ""</v>
      </c>
      <c r="AT135" s="37" t="str">
        <f>"location: {lat: "&amp;F135&amp;", lng: "&amp;G135&amp;"}"</f>
        <v>location: {lat: , lng: }</v>
      </c>
      <c r="AU135" s="37" t="str">
        <f>"level: "&amp;J135</f>
        <v>level: global</v>
      </c>
      <c r="AV135" s="37" t="str">
        <f>"- "&amp;VLOOKUP(C135,'(Ref) Countries'!A:C,3,)</f>
        <v>- spain</v>
      </c>
      <c r="AW135" s="37" t="str">
        <f t="shared" si="48"/>
        <v/>
      </c>
      <c r="AX135" s="37" t="str">
        <f t="shared" si="49"/>
        <v>- churches</v>
      </c>
      <c r="AY135" s="37" t="str">
        <f t="shared" si="50"/>
        <v>- marian-sites</v>
      </c>
      <c r="AZ135" s="37" t="str">
        <f t="shared" si="51"/>
        <v/>
      </c>
      <c r="BA135" s="37" t="str">
        <f t="shared" si="52"/>
        <v/>
      </c>
      <c r="BB135" s="37" t="str">
        <f t="shared" si="53"/>
        <v/>
      </c>
      <c r="BC135" s="37" t="str">
        <f t="shared" si="54"/>
        <v/>
      </c>
      <c r="BD135" s="37" t="str">
        <f t="shared" si="55"/>
        <v/>
      </c>
      <c r="BE135" s="37" t="str">
        <f t="shared" si="56"/>
        <v/>
      </c>
      <c r="BF135" s="37" t="str">
        <f t="shared" si="57"/>
        <v/>
      </c>
      <c r="BG135" s="37" t="str">
        <f t="shared" si="58"/>
        <v/>
      </c>
      <c r="BH135" s="37" t="str">
        <f t="shared" si="59"/>
        <v/>
      </c>
      <c r="BI135" s="37" t="str">
        <f t="shared" si="60"/>
        <v/>
      </c>
      <c r="BJ135" s="37" t="str">
        <f t="shared" si="61"/>
        <v/>
      </c>
      <c r="BK135" s="37" t="str">
        <f t="shared" si="62"/>
        <v xml:space="preserve">tags:
- spain_x000D_
- churches_x000D_
- marian-sites_x000D_
</v>
      </c>
      <c r="BL135" s="38" t="str">
        <f t="shared" si="63"/>
        <v/>
      </c>
      <c r="BM135" s="38" t="str">
        <f t="shared" si="64"/>
        <v/>
      </c>
      <c r="BN135" s="38" t="str">
        <f t="shared" si="65"/>
        <v/>
      </c>
      <c r="BO135" s="38" t="str">
        <f t="shared" si="66"/>
        <v/>
      </c>
      <c r="BP135" s="38" t="str">
        <f t="shared" si="67"/>
        <v/>
      </c>
      <c r="BQ135" s="38" t="str">
        <f t="shared" si="68"/>
        <v>[Link](http://www.therealpresence.org/eucharst/misc/BVM/31_PONTEVEDRA_96x96.pdf)</v>
      </c>
      <c r="BR135" s="38" t="str">
        <f t="shared" si="69"/>
        <v/>
      </c>
      <c r="BS135" s="38" t="str">
        <f t="shared" si="70"/>
        <v/>
      </c>
      <c r="BT135" s="38" t="str">
        <f>IF(LEN(concat(BQ135:BS135))&gt;0,concat("| ",BQ135," | ",BR135," | ",BS135," |"),"")</f>
        <v>| [Link](http://www.therealpresence.org/eucharst/misc/BVM/31_PONTEVEDRA_96x96.pdf) |  |  |</v>
      </c>
      <c r="BU135" s="37" t="str">
        <f t="shared" si="71"/>
        <v xml:space="preserve">| The Real Presence | Miracle Hunter | MaryPages |_x000D_
| --- | --- | --- |_x000D_
| [Link](http://www.therealpresence.org/eucharst/misc/BVM/31_PONTEVEDRA_96x96.pdf) |  |  |_x000D_
</v>
      </c>
      <c r="BV135" s="37" t="str">
        <f>IF(LEN(BP135&amp;BU135)&gt;0,concatll("#### Source Material",BP135,BU135),"")</f>
        <v xml:space="preserve">#### Source Material_x000D_
_x000D_
| The Real Presence | Miracle Hunter | MaryPages |_x000D_
| --- | --- | --- |_x000D_
| [Link](http://www.therealpresence.org/eucharst/misc/BVM/31_PONTEVEDRA_96x96.pdf) |  |  |_x000D_
_x000D_
_x000D_
</v>
      </c>
      <c r="BW135" s="37" t="str">
        <f>IF(LEN(O135)&gt;1,concatll("#### Author's Note",O135),"")</f>
        <v/>
      </c>
      <c r="BX135" s="24" t="str">
        <f>IF(AR135,concatll(concatl("---",AS135:AU135,BK135,"---"),N135,BV135:BW135),"")</f>
        <v/>
      </c>
      <c r="BY135" s="24" t="str">
        <f>IF(AR135,VLOOKUP(C135,'(Ref) Countries'!A:B,2,)&amp;IF(LEN(D135)&gt;1,"-"&amp;LOWER(SUBSTITUTE(D135," ","-")),"")&amp;"-"&amp;LOWER(SUBSTITUTE(I135," ","-"))&amp;".md","")</f>
        <v/>
      </c>
      <c r="BZ135" s="37" t="str">
        <f>IF(LEN(AG135)&gt;1,VLOOKUP(AG135,'Tag List'!$A:$B,2,),"")</f>
        <v/>
      </c>
      <c r="CA135" s="37" t="str">
        <f>IF(LEN(AH135)&gt;1,VLOOKUP(AH135,'Tag List'!$A:$B,2,),"")</f>
        <v/>
      </c>
      <c r="CB135" s="37" t="str">
        <f>IF(LEN(AI135)&gt;1,VLOOKUP(AI135,'Tag List'!$A:$B,2,),"")</f>
        <v/>
      </c>
      <c r="CC135" s="38" t="str">
        <f>IF(LEN(AG135)&gt;1,GetTagPage(BZ135,AG135),"")</f>
        <v/>
      </c>
      <c r="CD135" s="38" t="str">
        <f>IF(LEN(AH135)&gt;1,GetTagPage(CA135,AH135),"")</f>
        <v/>
      </c>
      <c r="CE135" s="38" t="str">
        <f>IF(LEN(AI135)&gt;1,GetTagPage(CB135,AI135),"")</f>
        <v/>
      </c>
      <c r="CF135" s="38" t="str">
        <f>"|"&amp;IF(LEN(CC135)&gt;1," "&amp;CC135,"")&amp;IF(LEN(CD135)&gt;1,", "&amp;CD135,"")&amp;IF(LEN(CE135)&gt;1,", "&amp;CE135,"")&amp;" "</f>
        <v xml:space="preserve">| </v>
      </c>
      <c r="CG135" s="38" t="str">
        <f>"| "&amp;IF(AR135,"["&amp;B135&amp;"](/places/"&amp;SUBSTITUTE(BY135,".md","")&amp;")",B135)&amp;" "</f>
        <v xml:space="preserve">| Pontevedra and Tuy </v>
      </c>
      <c r="CH135" s="38" t="str">
        <f>"| "&amp;IF(AR135,GetTagPage(C135,VLOOKUP(C135,'(Ref) Countries'!A:C,3,)),C135)&amp; " "</f>
        <v xml:space="preserve">| Spain </v>
      </c>
      <c r="CI135" s="38" t="str">
        <f>"| "&amp;E135&amp;" "</f>
        <v xml:space="preserve">| 1925-1926-1929 </v>
      </c>
      <c r="CJ135" s="38" t="str">
        <f>"|"&amp;IF(AR135," [Link](/places/"&amp;SUBSTITUTE(BY135,".md","")&amp;")","")&amp;" "</f>
        <v xml:space="preserve">| </v>
      </c>
      <c r="CK135" s="37" t="str">
        <f>"
"&amp;CG135&amp;CH135&amp;CI135&amp;CJ135&amp;BL135&amp;BQ135&amp;BR135&amp;BS135&amp;CF135&amp;"|"</f>
        <v xml:space="preserve">
| Pontevedra and Tuy | Spain | 1925-1926-1929 | [Link](http://www.therealpresence.org/eucharst/misc/BVM/31_PONTEVEDRA_96x96.pdf)| |</v>
      </c>
    </row>
    <row r="136" spans="1:89" x14ac:dyDescent="0.25">
      <c r="B136" s="28" t="s">
        <v>1295</v>
      </c>
      <c r="C136" s="29" t="s">
        <v>518</v>
      </c>
      <c r="E136" s="31">
        <v>1929</v>
      </c>
      <c r="J136" s="30" t="s">
        <v>1728</v>
      </c>
      <c r="K136" s="32" t="b">
        <v>1</v>
      </c>
      <c r="L136" s="30" t="b">
        <v>1</v>
      </c>
      <c r="P136" s="30" t="s">
        <v>336</v>
      </c>
      <c r="Q136" s="30" t="s">
        <v>336</v>
      </c>
      <c r="AA136" s="71" t="s">
        <v>310</v>
      </c>
      <c r="AB136" s="30" t="s">
        <v>336</v>
      </c>
      <c r="AC136" s="30" t="s">
        <v>336</v>
      </c>
      <c r="AD136" s="30" t="s">
        <v>336</v>
      </c>
      <c r="AE136" s="30" t="s">
        <v>336</v>
      </c>
      <c r="AF136" s="67" t="s">
        <v>336</v>
      </c>
      <c r="AG136" s="30" t="s">
        <v>336</v>
      </c>
      <c r="AR136" s="36" t="b">
        <f>IF(OR(A136="Done",A136="In Progress"),TRUE)</f>
        <v>0</v>
      </c>
      <c r="AS136" s="37" t="str">
        <f>"title: """&amp;H136&amp;""""</f>
        <v>title: ""</v>
      </c>
      <c r="AT136" s="37" t="str">
        <f>"location: {lat: "&amp;F136&amp;", lng: "&amp;G136&amp;"}"</f>
        <v>location: {lat: , lng: }</v>
      </c>
      <c r="AU136" s="37" t="str">
        <f>"level: "&amp;J136</f>
        <v>level: global</v>
      </c>
      <c r="AV136" s="37" t="str">
        <f>"- "&amp;VLOOKUP(C136,'(Ref) Countries'!A:C,3,)</f>
        <v>- brazil</v>
      </c>
      <c r="AW136" s="37" t="str">
        <f t="shared" si="48"/>
        <v/>
      </c>
      <c r="AX136" s="37" t="str">
        <f t="shared" si="49"/>
        <v>- churches</v>
      </c>
      <c r="AY136" s="37" t="str">
        <f t="shared" si="50"/>
        <v>- marian-sites</v>
      </c>
      <c r="AZ136" s="37" t="str">
        <f t="shared" si="51"/>
        <v/>
      </c>
      <c r="BA136" s="37" t="str">
        <f t="shared" si="52"/>
        <v/>
      </c>
      <c r="BB136" s="37" t="str">
        <f t="shared" si="53"/>
        <v/>
      </c>
      <c r="BC136" s="37" t="str">
        <f t="shared" si="54"/>
        <v/>
      </c>
      <c r="BD136" s="37" t="str">
        <f t="shared" si="55"/>
        <v/>
      </c>
      <c r="BE136" s="37" t="str">
        <f t="shared" si="56"/>
        <v/>
      </c>
      <c r="BF136" s="37" t="str">
        <f t="shared" si="57"/>
        <v/>
      </c>
      <c r="BG136" s="37" t="str">
        <f t="shared" si="58"/>
        <v/>
      </c>
      <c r="BH136" s="37" t="str">
        <f t="shared" si="59"/>
        <v/>
      </c>
      <c r="BI136" s="37" t="str">
        <f t="shared" si="60"/>
        <v/>
      </c>
      <c r="BJ136" s="37" t="str">
        <f t="shared" si="61"/>
        <v/>
      </c>
      <c r="BK136" s="37" t="str">
        <f t="shared" si="62"/>
        <v xml:space="preserve">tags:
- brazil_x000D_
- churches_x000D_
- marian-sites_x000D_
</v>
      </c>
      <c r="BL136" s="38" t="str">
        <f t="shared" si="63"/>
        <v/>
      </c>
      <c r="BM136" s="38" t="str">
        <f t="shared" si="64"/>
        <v/>
      </c>
      <c r="BN136" s="38" t="str">
        <f t="shared" si="65"/>
        <v/>
      </c>
      <c r="BO136" s="38" t="str">
        <f t="shared" si="66"/>
        <v/>
      </c>
      <c r="BP136" s="38" t="str">
        <f t="shared" si="67"/>
        <v/>
      </c>
      <c r="BQ136" s="38" t="str">
        <f t="shared" si="68"/>
        <v>[Link](http://www.therealpresence.org/eucharst/misc/BVM/93_CAMPINAS_140x96.pdf)</v>
      </c>
      <c r="BR136" s="38" t="str">
        <f t="shared" si="69"/>
        <v/>
      </c>
      <c r="BS136" s="38" t="str">
        <f t="shared" si="70"/>
        <v/>
      </c>
      <c r="BT136" s="38" t="str">
        <f>IF(LEN(concat(BQ136:BS136))&gt;0,concat("| ",BQ136," | ",BR136," | ",BS136," |"),"")</f>
        <v>| [Link](http://www.therealpresence.org/eucharst/misc/BVM/93_CAMPINAS_140x96.pdf) |  |  |</v>
      </c>
      <c r="BU136" s="37" t="str">
        <f t="shared" si="71"/>
        <v xml:space="preserve">| The Real Presence | Miracle Hunter | MaryPages |_x000D_
| --- | --- | --- |_x000D_
| [Link](http://www.therealpresence.org/eucharst/misc/BVM/93_CAMPINAS_140x96.pdf) |  |  |_x000D_
</v>
      </c>
      <c r="BV136" s="37" t="str">
        <f>IF(LEN(BP136&amp;BU136)&gt;0,concatll("#### Source Material",BP136,BU136),"")</f>
        <v xml:space="preserve">#### Source Material_x000D_
_x000D_
| The Real Presence | Miracle Hunter | MaryPages |_x000D_
| --- | --- | --- |_x000D_
| [Link](http://www.therealpresence.org/eucharst/misc/BVM/93_CAMPINAS_140x96.pdf) |  |  |_x000D_
_x000D_
_x000D_
</v>
      </c>
      <c r="BW136" s="37" t="str">
        <f>IF(LEN(O136)&gt;1,concatll("#### Author's Note",O136),"")</f>
        <v/>
      </c>
      <c r="BX136" s="24" t="str">
        <f>IF(AR136,concatll(concatl("---",AS136:AU136,BK136,"---"),N136,BV136:BW136),"")</f>
        <v/>
      </c>
      <c r="BY136" s="24" t="str">
        <f>IF(AR136,VLOOKUP(C136,'(Ref) Countries'!A:B,2,)&amp;IF(LEN(D136)&gt;1,"-"&amp;LOWER(SUBSTITUTE(D136," ","-")),"")&amp;"-"&amp;LOWER(SUBSTITUTE(I136," ","-"))&amp;".md","")</f>
        <v/>
      </c>
      <c r="BZ136" s="37" t="str">
        <f>IF(LEN(AG136)&gt;1,VLOOKUP(AG136,'Tag List'!$A:$B,2,),"")</f>
        <v/>
      </c>
      <c r="CA136" s="37" t="str">
        <f>IF(LEN(AH136)&gt;1,VLOOKUP(AH136,'Tag List'!$A:$B,2,),"")</f>
        <v/>
      </c>
      <c r="CB136" s="37" t="str">
        <f>IF(LEN(AI136)&gt;1,VLOOKUP(AI136,'Tag List'!$A:$B,2,),"")</f>
        <v/>
      </c>
      <c r="CC136" s="38" t="str">
        <f>IF(LEN(AG136)&gt;1,GetTagPage(BZ136,AG136),"")</f>
        <v/>
      </c>
      <c r="CD136" s="38" t="str">
        <f>IF(LEN(AH136)&gt;1,GetTagPage(CA136,AH136),"")</f>
        <v/>
      </c>
      <c r="CE136" s="38" t="str">
        <f>IF(LEN(AI136)&gt;1,GetTagPage(CB136,AI136),"")</f>
        <v/>
      </c>
      <c r="CF136" s="38" t="str">
        <f>"|"&amp;IF(LEN(CC136)&gt;1," "&amp;CC136,"")&amp;IF(LEN(CD136)&gt;1,", "&amp;CD136,"")&amp;IF(LEN(CE136)&gt;1,", "&amp;CE136,"")&amp;" "</f>
        <v xml:space="preserve">| </v>
      </c>
      <c r="CG136" s="38" t="str">
        <f>"| "&amp;IF(AR136,"["&amp;B136&amp;"](/places/"&amp;SUBSTITUTE(BY136,".md","")&amp;")",B136)&amp;" "</f>
        <v xml:space="preserve">| Campiñas </v>
      </c>
      <c r="CH136" s="38" t="str">
        <f>"| "&amp;IF(AR136,GetTagPage(C136,VLOOKUP(C136,'(Ref) Countries'!A:C,3,)),C136)&amp; " "</f>
        <v xml:space="preserve">| Brazil </v>
      </c>
      <c r="CI136" s="38" t="str">
        <f>"| "&amp;E136&amp;" "</f>
        <v xml:space="preserve">| 1929 </v>
      </c>
      <c r="CJ136" s="38" t="str">
        <f>"|"&amp;IF(AR136," [Link](/places/"&amp;SUBSTITUTE(BY136,".md","")&amp;")","")&amp;" "</f>
        <v xml:space="preserve">| </v>
      </c>
      <c r="CK136" s="37" t="str">
        <f>"
"&amp;CG136&amp;CH136&amp;CI136&amp;CJ136&amp;BL136&amp;BQ136&amp;BR136&amp;BS136&amp;CF136&amp;"|"</f>
        <v xml:space="preserve">
| Campiñas | Brazil | 1929 | [Link](http://www.therealpresence.org/eucharst/misc/BVM/93_CAMPINAS_140x96.pdf)| |</v>
      </c>
    </row>
    <row r="137" spans="1:89" x14ac:dyDescent="0.25">
      <c r="B137" s="28" t="s">
        <v>995</v>
      </c>
      <c r="C137" s="29" t="s">
        <v>509</v>
      </c>
      <c r="E137" s="31">
        <v>1932</v>
      </c>
      <c r="F137" s="71">
        <v>50.108666599999999</v>
      </c>
      <c r="G137" s="67">
        <v>4.9609611999999998</v>
      </c>
      <c r="H137" s="52" t="s">
        <v>346</v>
      </c>
      <c r="I137" s="105"/>
      <c r="J137" s="53" t="s">
        <v>1728</v>
      </c>
      <c r="K137" s="32" t="b">
        <v>1</v>
      </c>
      <c r="L137" s="30" t="b">
        <v>1</v>
      </c>
      <c r="P137" s="30" t="s">
        <v>347</v>
      </c>
      <c r="Q137" s="30" t="s">
        <v>336</v>
      </c>
      <c r="AA137" s="71" t="s">
        <v>311</v>
      </c>
      <c r="AB137" s="30" t="s">
        <v>336</v>
      </c>
      <c r="AC137" s="30" t="s">
        <v>336</v>
      </c>
      <c r="AD137" s="30" t="s">
        <v>336</v>
      </c>
      <c r="AE137" s="30" t="s">
        <v>336</v>
      </c>
      <c r="AF137" s="67" t="s">
        <v>336</v>
      </c>
      <c r="AG137" s="33" t="s">
        <v>336</v>
      </c>
      <c r="AH137" s="33"/>
      <c r="AI137" s="33"/>
      <c r="AJ137" s="33"/>
      <c r="AK137" s="33"/>
      <c r="AL137" s="33"/>
      <c r="AM137" s="33"/>
      <c r="AN137" s="33"/>
      <c r="AO137" s="33"/>
      <c r="AP137" s="113"/>
      <c r="AR137" s="36" t="b">
        <f>IF(OR(A137="Done",A137="In Progress"),TRUE)</f>
        <v>0</v>
      </c>
      <c r="AS137" s="37" t="str">
        <f>"title: """&amp;H137&amp;""""</f>
        <v>title: "The Virgin with the Golden Heart"</v>
      </c>
      <c r="AT137" s="37" t="str">
        <f>"location: {lat: "&amp;F137&amp;", lng: "&amp;G137&amp;"}"</f>
        <v>location: {lat: 50.1086666, lng: 4.9609612}</v>
      </c>
      <c r="AU137" s="37" t="str">
        <f>"level: "&amp;J137</f>
        <v>level: global</v>
      </c>
      <c r="AV137" s="37" t="str">
        <f>"- "&amp;VLOOKUP(C137,'(Ref) Countries'!A:C,3,)</f>
        <v>- belgium</v>
      </c>
      <c r="AW137" s="37" t="str">
        <f t="shared" si="48"/>
        <v/>
      </c>
      <c r="AX137" s="37" t="str">
        <f t="shared" si="49"/>
        <v>- churches</v>
      </c>
      <c r="AY137" s="37" t="str">
        <f t="shared" si="50"/>
        <v>- marian-sites</v>
      </c>
      <c r="AZ137" s="37" t="str">
        <f t="shared" si="51"/>
        <v/>
      </c>
      <c r="BA137" s="37" t="str">
        <f t="shared" si="52"/>
        <v/>
      </c>
      <c r="BB137" s="37" t="str">
        <f t="shared" si="53"/>
        <v/>
      </c>
      <c r="BC137" s="37" t="str">
        <f t="shared" si="54"/>
        <v/>
      </c>
      <c r="BD137" s="37" t="str">
        <f t="shared" si="55"/>
        <v/>
      </c>
      <c r="BE137" s="37" t="str">
        <f t="shared" si="56"/>
        <v/>
      </c>
      <c r="BF137" s="37" t="str">
        <f t="shared" si="57"/>
        <v/>
      </c>
      <c r="BG137" s="37" t="str">
        <f t="shared" si="58"/>
        <v/>
      </c>
      <c r="BH137" s="37" t="str">
        <f t="shared" si="59"/>
        <v/>
      </c>
      <c r="BI137" s="37" t="str">
        <f t="shared" si="60"/>
        <v/>
      </c>
      <c r="BJ137" s="37" t="str">
        <f t="shared" si="61"/>
        <v/>
      </c>
      <c r="BK137" s="37" t="str">
        <f t="shared" si="62"/>
        <v xml:space="preserve">tags:
- belgium_x000D_
- churches_x000D_
- marian-sites_x000D_
</v>
      </c>
      <c r="BL137" s="38" t="str">
        <f t="shared" si="63"/>
        <v>[Official site](https://sanctuairedebeauraing.be/)</v>
      </c>
      <c r="BM137" s="38" t="str">
        <f t="shared" si="64"/>
        <v/>
      </c>
      <c r="BN137" s="38" t="str">
        <f t="shared" si="65"/>
        <v/>
      </c>
      <c r="BO137" s="38" t="str">
        <f t="shared" si="66"/>
        <v/>
      </c>
      <c r="BP137" s="38" t="str">
        <f t="shared" si="67"/>
        <v xml:space="preserve">* [Official site](https://sanctuairedebeauraing.be/)
</v>
      </c>
      <c r="BQ137" s="38" t="str">
        <f t="shared" si="68"/>
        <v>[Link](http://www.therealpresence.org/eucharst/misc/BVM/11_BEAURAING_60x96.pdf)</v>
      </c>
      <c r="BR137" s="38" t="str">
        <f t="shared" si="69"/>
        <v/>
      </c>
      <c r="BS137" s="38" t="str">
        <f t="shared" si="70"/>
        <v/>
      </c>
      <c r="BT137" s="38" t="str">
        <f>IF(LEN(concat(BQ137:BS137))&gt;0,concat("| ",BQ137," | ",BR137," | ",BS137," |"),"")</f>
        <v>| [Link](http://www.therealpresence.org/eucharst/misc/BVM/11_BEAURAING_60x96.pdf) |  |  |</v>
      </c>
      <c r="BU137" s="37" t="str">
        <f t="shared" si="71"/>
        <v xml:space="preserve">| The Real Presence | Miracle Hunter | MaryPages |_x000D_
| --- | --- | --- |_x000D_
| [Link](http://www.therealpresence.org/eucharst/misc/BVM/11_BEAURAING_60x96.pdf) |  |  |_x000D_
</v>
      </c>
      <c r="BV137" s="37" t="str">
        <f>IF(LEN(BP137&amp;BU137)&gt;0,concatll("#### Source Material",BP137,BU137),"")</f>
        <v xml:space="preserve">#### Source Material_x000D_
_x000D_
* [Official site](https://sanctuairedebeauraing.be/)
_x000D_
_x000D_
| The Real Presence | Miracle Hunter | MaryPages |_x000D_
| --- | --- | --- |_x000D_
| [Link](http://www.therealpresence.org/eucharst/misc/BVM/11_BEAURAING_60x96.pdf) |  |  |_x000D_
_x000D_
_x000D_
</v>
      </c>
      <c r="BW137" s="37" t="str">
        <f>IF(LEN(O137)&gt;1,concatll("#### Author's Note",O137),"")</f>
        <v/>
      </c>
      <c r="BX137" s="24" t="str">
        <f>IF(AR137,concatll(concatl("---",AS137:AU137,BK137,"---"),N137,BV137:BW137),"")</f>
        <v/>
      </c>
      <c r="BY137" s="24" t="str">
        <f>IF(AR137,VLOOKUP(C137,'(Ref) Countries'!A:B,2,)&amp;IF(LEN(D137)&gt;1,"-"&amp;LOWER(SUBSTITUTE(D137," ","-")),"")&amp;"-"&amp;LOWER(SUBSTITUTE(I137," ","-"))&amp;".md","")</f>
        <v/>
      </c>
      <c r="BZ137" s="38" t="str">
        <f>IF(LEN(AG137)&gt;1,VLOOKUP(AG137,'Tag List'!$A:$B,2,),"")</f>
        <v/>
      </c>
      <c r="CA137" s="38" t="str">
        <f>IF(LEN(AH137)&gt;1,VLOOKUP(AH137,'Tag List'!$A:$B,2,),"")</f>
        <v/>
      </c>
      <c r="CB137" s="38" t="str">
        <f>IF(LEN(AI137)&gt;1,VLOOKUP(AI137,'Tag List'!$A:$B,2,),"")</f>
        <v/>
      </c>
      <c r="CC137" s="38" t="str">
        <f>IF(LEN(AG137)&gt;1,GetTagPage(BZ137,AG137),"")</f>
        <v/>
      </c>
      <c r="CD137" s="38" t="str">
        <f>IF(LEN(AH137)&gt;1,GetTagPage(CA137,AH137),"")</f>
        <v/>
      </c>
      <c r="CE137" s="38" t="str">
        <f>IF(LEN(AI137)&gt;1,GetTagPage(CB137,AI137),"")</f>
        <v/>
      </c>
      <c r="CF137" s="38" t="str">
        <f>"|"&amp;IF(LEN(CC137)&gt;1," "&amp;CC137,"")&amp;IF(LEN(CD137)&gt;1,", "&amp;CD137,"")&amp;IF(LEN(CE137)&gt;1,", "&amp;CE137,"")&amp;" "</f>
        <v xml:space="preserve">| </v>
      </c>
      <c r="CG137" s="38" t="str">
        <f>"| "&amp;IF(AR137,"["&amp;B137&amp;"](/places/"&amp;SUBSTITUTE(BY137,".md","")&amp;")",B137)&amp;" "</f>
        <v xml:space="preserve">| Beauraing </v>
      </c>
      <c r="CH137" s="38" t="str">
        <f>"| "&amp;IF(AR137,GetTagPage(C137,VLOOKUP(C137,'(Ref) Countries'!A:C,3,)),C137)&amp; " "</f>
        <v xml:space="preserve">| Belgium </v>
      </c>
      <c r="CI137" s="38" t="str">
        <f>"| "&amp;E137&amp;" "</f>
        <v xml:space="preserve">| 1932 </v>
      </c>
      <c r="CJ137" s="38" t="str">
        <f>"|"&amp;IF(AR137," [Link](/places/"&amp;SUBSTITUTE(BY137,".md","")&amp;")","")&amp;" "</f>
        <v xml:space="preserve">| </v>
      </c>
      <c r="CK137" s="37" t="str">
        <f>"
"&amp;CG137&amp;CH137&amp;CI137&amp;CJ137&amp;BL137&amp;BQ137&amp;BR137&amp;BS137&amp;CF137&amp;"|"</f>
        <v xml:space="preserve">
| Beauraing | Belgium | 1932 | [Official site](https://sanctuairedebeauraing.be/)[Link](http://www.therealpresence.org/eucharst/misc/BVM/11_BEAURAING_60x96.pdf)| |</v>
      </c>
    </row>
    <row r="138" spans="1:89" x14ac:dyDescent="0.25">
      <c r="B138" s="28" t="s">
        <v>994</v>
      </c>
      <c r="C138" s="29" t="s">
        <v>509</v>
      </c>
      <c r="E138" s="31">
        <v>1933</v>
      </c>
      <c r="F138" s="71">
        <v>50.538244800000001</v>
      </c>
      <c r="G138" s="67">
        <v>5.7507225999999996</v>
      </c>
      <c r="H138" s="52" t="s">
        <v>343</v>
      </c>
      <c r="I138" s="105"/>
      <c r="J138" s="53" t="s">
        <v>1728</v>
      </c>
      <c r="K138" s="32" t="b">
        <v>1</v>
      </c>
      <c r="L138" s="30" t="b">
        <v>1</v>
      </c>
      <c r="P138" s="30" t="s">
        <v>344</v>
      </c>
      <c r="Q138" s="30" t="s">
        <v>336</v>
      </c>
      <c r="AA138" s="71" t="s">
        <v>312</v>
      </c>
      <c r="AB138" s="30" t="s">
        <v>336</v>
      </c>
      <c r="AC138" s="30" t="s">
        <v>336</v>
      </c>
      <c r="AD138" s="30" t="s">
        <v>336</v>
      </c>
      <c r="AE138" s="30" t="s">
        <v>336</v>
      </c>
      <c r="AF138" s="67" t="s">
        <v>336</v>
      </c>
      <c r="AG138" s="33" t="s">
        <v>336</v>
      </c>
      <c r="AH138" s="33"/>
      <c r="AI138" s="33"/>
      <c r="AJ138" s="33"/>
      <c r="AK138" s="33"/>
      <c r="AL138" s="33"/>
      <c r="AM138" s="33"/>
      <c r="AN138" s="33"/>
      <c r="AO138" s="33"/>
      <c r="AP138" s="113"/>
      <c r="AR138" s="36" t="b">
        <f>IF(OR(A138="Done",A138="In Progress"),TRUE)</f>
        <v>0</v>
      </c>
      <c r="AS138" s="37" t="str">
        <f>"title: """&amp;H138&amp;""""</f>
        <v>title: "Our Lady of Banneux, Virgin of the Poor"</v>
      </c>
      <c r="AT138" s="37" t="str">
        <f>"location: {lat: "&amp;F138&amp;", lng: "&amp;G138&amp;"}"</f>
        <v>location: {lat: 50.5382448, lng: 5.7507226}</v>
      </c>
      <c r="AU138" s="37" t="str">
        <f>"level: "&amp;J138</f>
        <v>level: global</v>
      </c>
      <c r="AV138" s="37" t="str">
        <f>"- "&amp;VLOOKUP(C138,'(Ref) Countries'!A:C,3,)</f>
        <v>- belgium</v>
      </c>
      <c r="AW138" s="37" t="str">
        <f t="shared" si="48"/>
        <v/>
      </c>
      <c r="AX138" s="37" t="str">
        <f t="shared" si="49"/>
        <v>- churches</v>
      </c>
      <c r="AY138" s="37" t="str">
        <f t="shared" si="50"/>
        <v>- marian-sites</v>
      </c>
      <c r="AZ138" s="37" t="str">
        <f t="shared" si="51"/>
        <v/>
      </c>
      <c r="BA138" s="37" t="str">
        <f t="shared" si="52"/>
        <v/>
      </c>
      <c r="BB138" s="37" t="str">
        <f t="shared" si="53"/>
        <v/>
      </c>
      <c r="BC138" s="37" t="str">
        <f t="shared" si="54"/>
        <v/>
      </c>
      <c r="BD138" s="37" t="str">
        <f t="shared" si="55"/>
        <v/>
      </c>
      <c r="BE138" s="37" t="str">
        <f t="shared" si="56"/>
        <v/>
      </c>
      <c r="BF138" s="37" t="str">
        <f t="shared" si="57"/>
        <v/>
      </c>
      <c r="BG138" s="37" t="str">
        <f t="shared" si="58"/>
        <v/>
      </c>
      <c r="BH138" s="37" t="str">
        <f t="shared" si="59"/>
        <v/>
      </c>
      <c r="BI138" s="37" t="str">
        <f t="shared" si="60"/>
        <v/>
      </c>
      <c r="BJ138" s="37" t="str">
        <f t="shared" si="61"/>
        <v/>
      </c>
      <c r="BK138" s="37" t="str">
        <f t="shared" si="62"/>
        <v xml:space="preserve">tags:
- belgium_x000D_
- churches_x000D_
- marian-sites_x000D_
</v>
      </c>
      <c r="BL138" s="38" t="str">
        <f t="shared" si="63"/>
        <v>[Official site](https://banneux-nd.be/)</v>
      </c>
      <c r="BM138" s="38" t="str">
        <f t="shared" si="64"/>
        <v/>
      </c>
      <c r="BN138" s="38" t="str">
        <f t="shared" si="65"/>
        <v/>
      </c>
      <c r="BO138" s="38" t="str">
        <f t="shared" si="66"/>
        <v/>
      </c>
      <c r="BP138" s="38" t="str">
        <f t="shared" si="67"/>
        <v xml:space="preserve">* [Official site](https://banneux-nd.be/)
</v>
      </c>
      <c r="BQ138" s="38" t="str">
        <f t="shared" si="68"/>
        <v>[Link](http://www.therealpresence.org/eucharst/misc/BVM/39_BANNEAUX_96x96.pdf)</v>
      </c>
      <c r="BR138" s="38" t="str">
        <f t="shared" si="69"/>
        <v/>
      </c>
      <c r="BS138" s="38" t="str">
        <f t="shared" si="70"/>
        <v/>
      </c>
      <c r="BT138" s="38" t="str">
        <f>IF(LEN(concat(BQ138:BS138))&gt;0,concat("| ",BQ138," | ",BR138," | ",BS138," |"),"")</f>
        <v>| [Link](http://www.therealpresence.org/eucharst/misc/BVM/39_BANNEAUX_96x96.pdf) |  |  |</v>
      </c>
      <c r="BU138" s="37" t="str">
        <f t="shared" si="71"/>
        <v xml:space="preserve">| The Real Presence | Miracle Hunter | MaryPages |_x000D_
| --- | --- | --- |_x000D_
| [Link](http://www.therealpresence.org/eucharst/misc/BVM/39_BANNEAUX_96x96.pdf) |  |  |_x000D_
</v>
      </c>
      <c r="BV138" s="37" t="str">
        <f>IF(LEN(BP138&amp;BU138)&gt;0,concatll("#### Source Material",BP138,BU138),"")</f>
        <v xml:space="preserve">#### Source Material_x000D_
_x000D_
* [Official site](https://banneux-nd.be/)
_x000D_
_x000D_
| The Real Presence | Miracle Hunter | MaryPages |_x000D_
| --- | --- | --- |_x000D_
| [Link](http://www.therealpresence.org/eucharst/misc/BVM/39_BANNEAUX_96x96.pdf) |  |  |_x000D_
_x000D_
_x000D_
</v>
      </c>
      <c r="BW138" s="37" t="str">
        <f>IF(LEN(O138)&gt;1,concatll("#### Author's Note",O138),"")</f>
        <v/>
      </c>
      <c r="BX138" s="24" t="str">
        <f>IF(AR138,concatll(concatl("---",AS138:AU138,BK138,"---"),N138,BV138:BW138),"")</f>
        <v/>
      </c>
      <c r="BY138" s="24" t="str">
        <f>IF(AR138,VLOOKUP(C138,'(Ref) Countries'!A:B,2,)&amp;IF(LEN(D138)&gt;1,"-"&amp;LOWER(SUBSTITUTE(D138," ","-")),"")&amp;"-"&amp;LOWER(SUBSTITUTE(I138," ","-"))&amp;".md","")</f>
        <v/>
      </c>
      <c r="BZ138" s="38" t="str">
        <f>IF(LEN(AG138)&gt;1,VLOOKUP(AG138,'Tag List'!$A:$B,2,),"")</f>
        <v/>
      </c>
      <c r="CA138" s="38" t="str">
        <f>IF(LEN(AH138)&gt;1,VLOOKUP(AH138,'Tag List'!$A:$B,2,),"")</f>
        <v/>
      </c>
      <c r="CB138" s="38" t="str">
        <f>IF(LEN(AI138)&gt;1,VLOOKUP(AI138,'Tag List'!$A:$B,2,),"")</f>
        <v/>
      </c>
      <c r="CC138" s="38" t="str">
        <f>IF(LEN(AG138)&gt;1,GetTagPage(BZ138,AG138),"")</f>
        <v/>
      </c>
      <c r="CD138" s="38" t="str">
        <f>IF(LEN(AH138)&gt;1,GetTagPage(CA138,AH138),"")</f>
        <v/>
      </c>
      <c r="CE138" s="38" t="str">
        <f>IF(LEN(AI138)&gt;1,GetTagPage(CB138,AI138),"")</f>
        <v/>
      </c>
      <c r="CF138" s="38" t="str">
        <f>"|"&amp;IF(LEN(CC138)&gt;1," "&amp;CC138,"")&amp;IF(LEN(CD138)&gt;1,", "&amp;CD138,"")&amp;IF(LEN(CE138)&gt;1,", "&amp;CE138,"")&amp;" "</f>
        <v xml:space="preserve">| </v>
      </c>
      <c r="CG138" s="38" t="str">
        <f>"| "&amp;IF(AR138,"["&amp;B138&amp;"](/places/"&amp;SUBSTITUTE(BY138,".md","")&amp;")",B138)&amp;" "</f>
        <v xml:space="preserve">| Banneux </v>
      </c>
      <c r="CH138" s="38" t="str">
        <f>"| "&amp;IF(AR138,GetTagPage(C138,VLOOKUP(C138,'(Ref) Countries'!A:C,3,)),C138)&amp; " "</f>
        <v xml:space="preserve">| Belgium </v>
      </c>
      <c r="CI138" s="38" t="str">
        <f>"| "&amp;E138&amp;" "</f>
        <v xml:space="preserve">| 1933 </v>
      </c>
      <c r="CJ138" s="38" t="str">
        <f>"|"&amp;IF(AR138," [Link](/places/"&amp;SUBSTITUTE(BY138,".md","")&amp;")","")&amp;" "</f>
        <v xml:space="preserve">| </v>
      </c>
      <c r="CK138" s="37" t="str">
        <f>"
"&amp;CG138&amp;CH138&amp;CI138&amp;CJ138&amp;BL138&amp;BQ138&amp;BR138&amp;BS138&amp;CF138&amp;"|"</f>
        <v xml:space="preserve">
| Banneux | Belgium | 1933 | [Official site](https://banneux-nd.be/)[Link](http://www.therealpresence.org/eucharst/misc/BVM/39_BANNEAUX_96x96.pdf)| |</v>
      </c>
    </row>
    <row r="139" spans="1:89" x14ac:dyDescent="0.25">
      <c r="B139" s="28" t="s">
        <v>1296</v>
      </c>
      <c r="C139" s="29" t="s">
        <v>518</v>
      </c>
      <c r="E139" s="31">
        <v>1936</v>
      </c>
      <c r="J139" s="30" t="s">
        <v>1728</v>
      </c>
      <c r="K139" s="32" t="b">
        <v>1</v>
      </c>
      <c r="L139" s="30" t="b">
        <v>1</v>
      </c>
      <c r="P139" s="30" t="s">
        <v>336</v>
      </c>
      <c r="Q139" s="30" t="s">
        <v>336</v>
      </c>
      <c r="AA139" s="71" t="s">
        <v>313</v>
      </c>
      <c r="AB139" s="30" t="s">
        <v>336</v>
      </c>
      <c r="AC139" s="30" t="s">
        <v>336</v>
      </c>
      <c r="AD139" s="30" t="s">
        <v>336</v>
      </c>
      <c r="AE139" s="30" t="s">
        <v>336</v>
      </c>
      <c r="AF139" s="67" t="s">
        <v>336</v>
      </c>
      <c r="AG139" s="30" t="s">
        <v>336</v>
      </c>
      <c r="AR139" s="36" t="b">
        <f>IF(OR(A139="Done",A139="In Progress"),TRUE)</f>
        <v>0</v>
      </c>
      <c r="AS139" s="37" t="str">
        <f>"title: """&amp;H139&amp;""""</f>
        <v>title: ""</v>
      </c>
      <c r="AT139" s="37" t="str">
        <f>"location: {lat: "&amp;F139&amp;", lng: "&amp;G139&amp;"}"</f>
        <v>location: {lat: , lng: }</v>
      </c>
      <c r="AU139" s="37" t="str">
        <f>"level: "&amp;J139</f>
        <v>level: global</v>
      </c>
      <c r="AV139" s="37" t="str">
        <f>"- "&amp;VLOOKUP(C139,'(Ref) Countries'!A:C,3,)</f>
        <v>- brazil</v>
      </c>
      <c r="AW139" s="37" t="str">
        <f t="shared" si="48"/>
        <v/>
      </c>
      <c r="AX139" s="37" t="str">
        <f t="shared" si="49"/>
        <v>- churches</v>
      </c>
      <c r="AY139" s="37" t="str">
        <f t="shared" si="50"/>
        <v>- marian-sites</v>
      </c>
      <c r="AZ139" s="37" t="str">
        <f t="shared" si="51"/>
        <v/>
      </c>
      <c r="BA139" s="37" t="str">
        <f t="shared" si="52"/>
        <v/>
      </c>
      <c r="BB139" s="37" t="str">
        <f t="shared" si="53"/>
        <v/>
      </c>
      <c r="BC139" s="37" t="str">
        <f t="shared" si="54"/>
        <v/>
      </c>
      <c r="BD139" s="37" t="str">
        <f t="shared" si="55"/>
        <v/>
      </c>
      <c r="BE139" s="37" t="str">
        <f t="shared" si="56"/>
        <v/>
      </c>
      <c r="BF139" s="37" t="str">
        <f t="shared" si="57"/>
        <v/>
      </c>
      <c r="BG139" s="37" t="str">
        <f t="shared" si="58"/>
        <v/>
      </c>
      <c r="BH139" s="37" t="str">
        <f t="shared" si="59"/>
        <v/>
      </c>
      <c r="BI139" s="37" t="str">
        <f t="shared" si="60"/>
        <v/>
      </c>
      <c r="BJ139" s="37" t="str">
        <f t="shared" si="61"/>
        <v/>
      </c>
      <c r="BK139" s="37" t="str">
        <f t="shared" si="62"/>
        <v xml:space="preserve">tags:
- brazil_x000D_
- churches_x000D_
- marian-sites_x000D_
</v>
      </c>
      <c r="BL139" s="38" t="str">
        <f t="shared" si="63"/>
        <v/>
      </c>
      <c r="BM139" s="38" t="str">
        <f t="shared" si="64"/>
        <v/>
      </c>
      <c r="BN139" s="38" t="str">
        <f t="shared" si="65"/>
        <v/>
      </c>
      <c r="BO139" s="38" t="str">
        <f t="shared" si="66"/>
        <v/>
      </c>
      <c r="BP139" s="38" t="str">
        <f t="shared" si="67"/>
        <v/>
      </c>
      <c r="BQ139" s="38" t="str">
        <f t="shared" si="68"/>
        <v>[Link](http://www.therealpresence.org/eucharst/misc/BVM/151_PESQUEIRA_140x96.pdf)</v>
      </c>
      <c r="BR139" s="38" t="str">
        <f t="shared" si="69"/>
        <v/>
      </c>
      <c r="BS139" s="38" t="str">
        <f t="shared" si="70"/>
        <v/>
      </c>
      <c r="BT139" s="38" t="str">
        <f>IF(LEN(concat(BQ139:BS139))&gt;0,concat("| ",BQ139," | ",BR139," | ",BS139," |"),"")</f>
        <v>| [Link](http://www.therealpresence.org/eucharst/misc/BVM/151_PESQUEIRA_140x96.pdf) |  |  |</v>
      </c>
      <c r="BU139" s="37" t="str">
        <f t="shared" si="71"/>
        <v xml:space="preserve">| The Real Presence | Miracle Hunter | MaryPages |_x000D_
| --- | --- | --- |_x000D_
| [Link](http://www.therealpresence.org/eucharst/misc/BVM/151_PESQUEIRA_140x96.pdf) |  |  |_x000D_
</v>
      </c>
      <c r="BV139" s="37" t="str">
        <f>IF(LEN(BP139&amp;BU139)&gt;0,concatll("#### Source Material",BP139,BU139),"")</f>
        <v xml:space="preserve">#### Source Material_x000D_
_x000D_
| The Real Presence | Miracle Hunter | MaryPages |_x000D_
| --- | --- | --- |_x000D_
| [Link](http://www.therealpresence.org/eucharst/misc/BVM/151_PESQUEIRA_140x96.pdf) |  |  |_x000D_
_x000D_
_x000D_
</v>
      </c>
      <c r="BW139" s="37" t="str">
        <f>IF(LEN(O139)&gt;1,concatll("#### Author's Note",O139),"")</f>
        <v/>
      </c>
      <c r="BX139" s="24" t="str">
        <f>IF(AR139,concatll(concatl("---",AS139:AU139,BK139,"---"),N139,BV139:BW139),"")</f>
        <v/>
      </c>
      <c r="BY139" s="24" t="str">
        <f>IF(AR139,VLOOKUP(C139,'(Ref) Countries'!A:B,2,)&amp;IF(LEN(D139)&gt;1,"-"&amp;LOWER(SUBSTITUTE(D139," ","-")),"")&amp;"-"&amp;LOWER(SUBSTITUTE(I139," ","-"))&amp;".md","")</f>
        <v/>
      </c>
      <c r="BZ139" s="37" t="str">
        <f>IF(LEN(AG139)&gt;1,VLOOKUP(AG139,'Tag List'!$A:$B,2,),"")</f>
        <v/>
      </c>
      <c r="CA139" s="37" t="str">
        <f>IF(LEN(AH139)&gt;1,VLOOKUP(AH139,'Tag List'!$A:$B,2,),"")</f>
        <v/>
      </c>
      <c r="CB139" s="37" t="str">
        <f>IF(LEN(AI139)&gt;1,VLOOKUP(AI139,'Tag List'!$A:$B,2,),"")</f>
        <v/>
      </c>
      <c r="CC139" s="38" t="str">
        <f>IF(LEN(AG139)&gt;1,GetTagPage(BZ139,AG139),"")</f>
        <v/>
      </c>
      <c r="CD139" s="38" t="str">
        <f>IF(LEN(AH139)&gt;1,GetTagPage(CA139,AH139),"")</f>
        <v/>
      </c>
      <c r="CE139" s="38" t="str">
        <f>IF(LEN(AI139)&gt;1,GetTagPage(CB139,AI139),"")</f>
        <v/>
      </c>
      <c r="CF139" s="38" t="str">
        <f>"|"&amp;IF(LEN(CC139)&gt;1," "&amp;CC139,"")&amp;IF(LEN(CD139)&gt;1,", "&amp;CD139,"")&amp;IF(LEN(CE139)&gt;1,", "&amp;CE139,"")&amp;" "</f>
        <v xml:space="preserve">| </v>
      </c>
      <c r="CG139" s="38" t="str">
        <f>"| "&amp;IF(AR139,"["&amp;B139&amp;"](/places/"&amp;SUBSTITUTE(BY139,".md","")&amp;")",B139)&amp;" "</f>
        <v xml:space="preserve">| Pesqueira </v>
      </c>
      <c r="CH139" s="38" t="str">
        <f>"| "&amp;IF(AR139,GetTagPage(C139,VLOOKUP(C139,'(Ref) Countries'!A:C,3,)),C139)&amp; " "</f>
        <v xml:space="preserve">| Brazil </v>
      </c>
      <c r="CI139" s="38" t="str">
        <f>"| "&amp;E139&amp;" "</f>
        <v xml:space="preserve">| 1936 </v>
      </c>
      <c r="CJ139" s="38" t="str">
        <f>"|"&amp;IF(AR139," [Link](/places/"&amp;SUBSTITUTE(BY139,".md","")&amp;")","")&amp;" "</f>
        <v xml:space="preserve">| </v>
      </c>
      <c r="CK139" s="37" t="str">
        <f>"
"&amp;CG139&amp;CH139&amp;CI139&amp;CJ139&amp;BL139&amp;BQ139&amp;BR139&amp;BS139&amp;CF139&amp;"|"</f>
        <v xml:space="preserve">
| Pesqueira | Brazil | 1936 | [Link](http://www.therealpresence.org/eucharst/misc/BVM/151_PESQUEIRA_140x96.pdf)| |</v>
      </c>
    </row>
    <row r="140" spans="1:89" x14ac:dyDescent="0.25">
      <c r="B140" s="28" t="s">
        <v>1297</v>
      </c>
      <c r="C140" s="29" t="s">
        <v>542</v>
      </c>
      <c r="E140" s="49" t="s">
        <v>1169</v>
      </c>
      <c r="J140" s="30" t="s">
        <v>1728</v>
      </c>
      <c r="K140" s="32" t="b">
        <v>1</v>
      </c>
      <c r="L140" s="30" t="b">
        <v>1</v>
      </c>
      <c r="P140" s="30" t="s">
        <v>336</v>
      </c>
      <c r="Q140" s="30" t="s">
        <v>336</v>
      </c>
      <c r="AA140" s="71" t="s">
        <v>314</v>
      </c>
      <c r="AB140" s="30" t="s">
        <v>336</v>
      </c>
      <c r="AC140" s="30" t="s">
        <v>336</v>
      </c>
      <c r="AD140" s="30" t="s">
        <v>336</v>
      </c>
      <c r="AE140" s="30" t="s">
        <v>336</v>
      </c>
      <c r="AF140" s="67" t="s">
        <v>336</v>
      </c>
      <c r="AG140" s="30" t="s">
        <v>336</v>
      </c>
      <c r="AR140" s="36" t="b">
        <f>IF(OR(A140="Done",A140="In Progress"),TRUE)</f>
        <v>0</v>
      </c>
      <c r="AS140" s="37" t="str">
        <f>"title: """&amp;H140&amp;""""</f>
        <v>title: ""</v>
      </c>
      <c r="AT140" s="37" t="str">
        <f>"location: {lat: "&amp;F140&amp;", lng: "&amp;G140&amp;"}"</f>
        <v>location: {lat: , lng: }</v>
      </c>
      <c r="AU140" s="37" t="str">
        <f>"level: "&amp;J140</f>
        <v>level: global</v>
      </c>
      <c r="AV140" s="37" t="str">
        <f>"- "&amp;VLOOKUP(C140,'(Ref) Countries'!A:C,3,)</f>
        <v>- germany</v>
      </c>
      <c r="AW140" s="37" t="str">
        <f t="shared" si="48"/>
        <v/>
      </c>
      <c r="AX140" s="37" t="str">
        <f t="shared" si="49"/>
        <v>- churches</v>
      </c>
      <c r="AY140" s="37" t="str">
        <f t="shared" si="50"/>
        <v>- marian-sites</v>
      </c>
      <c r="AZ140" s="37" t="str">
        <f t="shared" si="51"/>
        <v/>
      </c>
      <c r="BA140" s="37" t="str">
        <f t="shared" si="52"/>
        <v/>
      </c>
      <c r="BB140" s="37" t="str">
        <f t="shared" si="53"/>
        <v/>
      </c>
      <c r="BC140" s="37" t="str">
        <f t="shared" si="54"/>
        <v/>
      </c>
      <c r="BD140" s="37" t="str">
        <f t="shared" si="55"/>
        <v/>
      </c>
      <c r="BE140" s="37" t="str">
        <f t="shared" si="56"/>
        <v/>
      </c>
      <c r="BF140" s="37" t="str">
        <f t="shared" si="57"/>
        <v/>
      </c>
      <c r="BG140" s="37" t="str">
        <f t="shared" si="58"/>
        <v/>
      </c>
      <c r="BH140" s="37" t="str">
        <f t="shared" si="59"/>
        <v/>
      </c>
      <c r="BI140" s="37" t="str">
        <f t="shared" si="60"/>
        <v/>
      </c>
      <c r="BJ140" s="37" t="str">
        <f t="shared" si="61"/>
        <v/>
      </c>
      <c r="BK140" s="37" t="str">
        <f t="shared" si="62"/>
        <v xml:space="preserve">tags:
- germany_x000D_
- churches_x000D_
- marian-sites_x000D_
</v>
      </c>
      <c r="BL140" s="38" t="str">
        <f t="shared" si="63"/>
        <v/>
      </c>
      <c r="BM140" s="38" t="str">
        <f t="shared" si="64"/>
        <v/>
      </c>
      <c r="BN140" s="38" t="str">
        <f t="shared" si="65"/>
        <v/>
      </c>
      <c r="BO140" s="38" t="str">
        <f t="shared" si="66"/>
        <v/>
      </c>
      <c r="BP140" s="38" t="str">
        <f t="shared" si="67"/>
        <v/>
      </c>
      <c r="BQ140" s="38" t="str">
        <f t="shared" si="68"/>
        <v>[Link](http://www.therealpresence.org/eucharst/misc/BVM/146_HEEDE_140x96.pdf)</v>
      </c>
      <c r="BR140" s="38" t="str">
        <f t="shared" si="69"/>
        <v/>
      </c>
      <c r="BS140" s="38" t="str">
        <f t="shared" si="70"/>
        <v/>
      </c>
      <c r="BT140" s="38" t="str">
        <f>IF(LEN(concat(BQ140:BS140))&gt;0,concat("| ",BQ140," | ",BR140," | ",BS140," |"),"")</f>
        <v>| [Link](http://www.therealpresence.org/eucharst/misc/BVM/146_HEEDE_140x96.pdf) |  |  |</v>
      </c>
      <c r="BU140" s="37" t="str">
        <f t="shared" si="71"/>
        <v xml:space="preserve">| The Real Presence | Miracle Hunter | MaryPages |_x000D_
| --- | --- | --- |_x000D_
| [Link](http://www.therealpresence.org/eucharst/misc/BVM/146_HEEDE_140x96.pdf) |  |  |_x000D_
</v>
      </c>
      <c r="BV140" s="37" t="str">
        <f>IF(LEN(BP140&amp;BU140)&gt;0,concatll("#### Source Material",BP140,BU140),"")</f>
        <v xml:space="preserve">#### Source Material_x000D_
_x000D_
| The Real Presence | Miracle Hunter | MaryPages |_x000D_
| --- | --- | --- |_x000D_
| [Link](http://www.therealpresence.org/eucharst/misc/BVM/146_HEEDE_140x96.pdf) |  |  |_x000D_
_x000D_
_x000D_
</v>
      </c>
      <c r="BW140" s="37" t="str">
        <f>IF(LEN(O140)&gt;1,concatll("#### Author's Note",O140),"")</f>
        <v/>
      </c>
      <c r="BX140" s="24" t="str">
        <f>IF(AR140,concatll(concatl("---",AS140:AU140,BK140,"---"),N140,BV140:BW140),"")</f>
        <v/>
      </c>
      <c r="BY140" s="24" t="str">
        <f>IF(AR140,VLOOKUP(C140,'(Ref) Countries'!A:B,2,)&amp;IF(LEN(D140)&gt;1,"-"&amp;LOWER(SUBSTITUTE(D140," ","-")),"")&amp;"-"&amp;LOWER(SUBSTITUTE(I140," ","-"))&amp;".md","")</f>
        <v/>
      </c>
      <c r="BZ140" s="37" t="str">
        <f>IF(LEN(AG140)&gt;1,VLOOKUP(AG140,'Tag List'!$A:$B,2,),"")</f>
        <v/>
      </c>
      <c r="CA140" s="37" t="str">
        <f>IF(LEN(AH140)&gt;1,VLOOKUP(AH140,'Tag List'!$A:$B,2,),"")</f>
        <v/>
      </c>
      <c r="CB140" s="37" t="str">
        <f>IF(LEN(AI140)&gt;1,VLOOKUP(AI140,'Tag List'!$A:$B,2,),"")</f>
        <v/>
      </c>
      <c r="CC140" s="38" t="str">
        <f>IF(LEN(AG140)&gt;1,GetTagPage(BZ140,AG140),"")</f>
        <v/>
      </c>
      <c r="CD140" s="38" t="str">
        <f>IF(LEN(AH140)&gt;1,GetTagPage(CA140,AH140),"")</f>
        <v/>
      </c>
      <c r="CE140" s="38" t="str">
        <f>IF(LEN(AI140)&gt;1,GetTagPage(CB140,AI140),"")</f>
        <v/>
      </c>
      <c r="CF140" s="38" t="str">
        <f>"|"&amp;IF(LEN(CC140)&gt;1," "&amp;CC140,"")&amp;IF(LEN(CD140)&gt;1,", "&amp;CD140,"")&amp;IF(LEN(CE140)&gt;1,", "&amp;CE140,"")&amp;" "</f>
        <v xml:space="preserve">| </v>
      </c>
      <c r="CG140" s="38" t="str">
        <f>"| "&amp;IF(AR140,"["&amp;B140&amp;"](/places/"&amp;SUBSTITUTE(BY140,".md","")&amp;")",B140)&amp;" "</f>
        <v xml:space="preserve">| Heede </v>
      </c>
      <c r="CH140" s="38" t="str">
        <f>"| "&amp;IF(AR140,GetTagPage(C140,VLOOKUP(C140,'(Ref) Countries'!A:C,3,)),C140)&amp; " "</f>
        <v xml:space="preserve">| Germany </v>
      </c>
      <c r="CI140" s="38" t="str">
        <f>"| "&amp;E140&amp;" "</f>
        <v xml:space="preserve">| 1937-1940 </v>
      </c>
      <c r="CJ140" s="38" t="str">
        <f>"|"&amp;IF(AR140," [Link](/places/"&amp;SUBSTITUTE(BY140,".md","")&amp;")","")&amp;" "</f>
        <v xml:space="preserve">| </v>
      </c>
      <c r="CK140" s="37" t="str">
        <f>"
"&amp;CG140&amp;CH140&amp;CI140&amp;CJ140&amp;BL140&amp;BQ140&amp;BR140&amp;BS140&amp;CF140&amp;"|"</f>
        <v xml:space="preserve">
| Heede | Germany | 1937-1940 | [Link](http://www.therealpresence.org/eucharst/misc/BVM/146_HEEDE_140x96.pdf)| |</v>
      </c>
    </row>
    <row r="141" spans="1:89" x14ac:dyDescent="0.25">
      <c r="B141" s="28" t="s">
        <v>1298</v>
      </c>
      <c r="C141" s="29" t="s">
        <v>11</v>
      </c>
      <c r="E141" s="49" t="s">
        <v>1170</v>
      </c>
      <c r="J141" s="30" t="s">
        <v>1728</v>
      </c>
      <c r="K141" s="32" t="b">
        <v>1</v>
      </c>
      <c r="L141" s="30" t="b">
        <v>1</v>
      </c>
      <c r="P141" s="30" t="s">
        <v>336</v>
      </c>
      <c r="Q141" s="30" t="s">
        <v>336</v>
      </c>
      <c r="AA141" s="71" t="s">
        <v>315</v>
      </c>
      <c r="AB141" s="30" t="s">
        <v>336</v>
      </c>
      <c r="AC141" s="30" t="s">
        <v>336</v>
      </c>
      <c r="AD141" s="30" t="s">
        <v>336</v>
      </c>
      <c r="AE141" s="30" t="s">
        <v>336</v>
      </c>
      <c r="AF141" s="67" t="s">
        <v>336</v>
      </c>
      <c r="AG141" s="30" t="s">
        <v>336</v>
      </c>
      <c r="AR141" s="36" t="b">
        <f>IF(OR(A141="Done",A141="In Progress"),TRUE)</f>
        <v>0</v>
      </c>
      <c r="AS141" s="37" t="str">
        <f>"title: """&amp;H141&amp;""""</f>
        <v>title: ""</v>
      </c>
      <c r="AT141" s="37" t="str">
        <f>"location: {lat: "&amp;F141&amp;", lng: "&amp;G141&amp;"}"</f>
        <v>location: {lat: , lng: }</v>
      </c>
      <c r="AU141" s="37" t="str">
        <f>"level: "&amp;J141</f>
        <v>level: global</v>
      </c>
      <c r="AV141" s="37" t="str">
        <f>"- "&amp;VLOOKUP(C141,'(Ref) Countries'!A:C,3,)</f>
        <v>- italy</v>
      </c>
      <c r="AW141" s="37" t="str">
        <f t="shared" si="48"/>
        <v/>
      </c>
      <c r="AX141" s="37" t="str">
        <f t="shared" si="49"/>
        <v>- churches</v>
      </c>
      <c r="AY141" s="37" t="str">
        <f t="shared" si="50"/>
        <v>- marian-sites</v>
      </c>
      <c r="AZ141" s="37" t="str">
        <f t="shared" si="51"/>
        <v/>
      </c>
      <c r="BA141" s="37" t="str">
        <f t="shared" si="52"/>
        <v/>
      </c>
      <c r="BB141" s="37" t="str">
        <f t="shared" si="53"/>
        <v/>
      </c>
      <c r="BC141" s="37" t="str">
        <f t="shared" si="54"/>
        <v/>
      </c>
      <c r="BD141" s="37" t="str">
        <f t="shared" si="55"/>
        <v/>
      </c>
      <c r="BE141" s="37" t="str">
        <f t="shared" si="56"/>
        <v/>
      </c>
      <c r="BF141" s="37" t="str">
        <f t="shared" si="57"/>
        <v/>
      </c>
      <c r="BG141" s="37" t="str">
        <f t="shared" si="58"/>
        <v/>
      </c>
      <c r="BH141" s="37" t="str">
        <f t="shared" si="59"/>
        <v/>
      </c>
      <c r="BI141" s="37" t="str">
        <f t="shared" si="60"/>
        <v/>
      </c>
      <c r="BJ141" s="37" t="str">
        <f t="shared" si="61"/>
        <v/>
      </c>
      <c r="BK141" s="37" t="str">
        <f t="shared" si="62"/>
        <v xml:space="preserve">tags:
- italy_x000D_
- churches_x000D_
- marian-sites_x000D_
</v>
      </c>
      <c r="BL141" s="38" t="str">
        <f t="shared" si="63"/>
        <v/>
      </c>
      <c r="BM141" s="38" t="str">
        <f t="shared" si="64"/>
        <v/>
      </c>
      <c r="BN141" s="38" t="str">
        <f t="shared" si="65"/>
        <v/>
      </c>
      <c r="BO141" s="38" t="str">
        <f t="shared" si="66"/>
        <v/>
      </c>
      <c r="BP141" s="38" t="str">
        <f t="shared" si="67"/>
        <v/>
      </c>
      <c r="BQ141" s="38" t="str">
        <f t="shared" si="68"/>
        <v>[Link](http://www.therealpresence.org/eucharst/misc/BVM/119_MILANO_96x96.pdf)</v>
      </c>
      <c r="BR141" s="38" t="str">
        <f t="shared" si="69"/>
        <v/>
      </c>
      <c r="BS141" s="38" t="str">
        <f t="shared" si="70"/>
        <v/>
      </c>
      <c r="BT141" s="38" t="str">
        <f>IF(LEN(concat(BQ141:BS141))&gt;0,concat("| ",BQ141," | ",BR141," | ",BS141," |"),"")</f>
        <v>| [Link](http://www.therealpresence.org/eucharst/misc/BVM/119_MILANO_96x96.pdf) |  |  |</v>
      </c>
      <c r="BU141" s="37" t="str">
        <f t="shared" si="71"/>
        <v xml:space="preserve">| The Real Presence | Miracle Hunter | MaryPages |_x000D_
| --- | --- | --- |_x000D_
| [Link](http://www.therealpresence.org/eucharst/misc/BVM/119_MILANO_96x96.pdf) |  |  |_x000D_
</v>
      </c>
      <c r="BV141" s="37" t="str">
        <f>IF(LEN(BP141&amp;BU141)&gt;0,concatll("#### Source Material",BP141,BU141),"")</f>
        <v xml:space="preserve">#### Source Material_x000D_
_x000D_
| The Real Presence | Miracle Hunter | MaryPages |_x000D_
| --- | --- | --- |_x000D_
| [Link](http://www.therealpresence.org/eucharst/misc/BVM/119_MILANO_96x96.pdf) |  |  |_x000D_
_x000D_
_x000D_
</v>
      </c>
      <c r="BW141" s="37" t="str">
        <f>IF(LEN(O141)&gt;1,concatll("#### Author's Note",O141),"")</f>
        <v/>
      </c>
      <c r="BX141" s="24" t="str">
        <f>IF(AR141,concatll(concatl("---",AS141:AU141,BK141,"---"),N141,BV141:BW141),"")</f>
        <v/>
      </c>
      <c r="BY141" s="24" t="str">
        <f>IF(AR141,VLOOKUP(C141,'(Ref) Countries'!A:B,2,)&amp;IF(LEN(D141)&gt;1,"-"&amp;LOWER(SUBSTITUTE(D141," ","-")),"")&amp;"-"&amp;LOWER(SUBSTITUTE(I141," ","-"))&amp;".md","")</f>
        <v/>
      </c>
      <c r="BZ141" s="37" t="str">
        <f>IF(LEN(AG141)&gt;1,VLOOKUP(AG141,'Tag List'!$A:$B,2,),"")</f>
        <v/>
      </c>
      <c r="CA141" s="37" t="str">
        <f>IF(LEN(AH141)&gt;1,VLOOKUP(AH141,'Tag List'!$A:$B,2,),"")</f>
        <v/>
      </c>
      <c r="CB141" s="37" t="str">
        <f>IF(LEN(AI141)&gt;1,VLOOKUP(AI141,'Tag List'!$A:$B,2,),"")</f>
        <v/>
      </c>
      <c r="CC141" s="38" t="str">
        <f>IF(LEN(AG141)&gt;1,GetTagPage(BZ141,AG141),"")</f>
        <v/>
      </c>
      <c r="CD141" s="38" t="str">
        <f>IF(LEN(AH141)&gt;1,GetTagPage(CA141,AH141),"")</f>
        <v/>
      </c>
      <c r="CE141" s="38" t="str">
        <f>IF(LEN(AI141)&gt;1,GetTagPage(CB141,AI141),"")</f>
        <v/>
      </c>
      <c r="CF141" s="38" t="str">
        <f>"|"&amp;IF(LEN(CC141)&gt;1," "&amp;CC141,"")&amp;IF(LEN(CD141)&gt;1,", "&amp;CD141,"")&amp;IF(LEN(CE141)&gt;1,", "&amp;CE141,"")&amp;" "</f>
        <v xml:space="preserve">| </v>
      </c>
      <c r="CG141" s="38" t="str">
        <f>"| "&amp;IF(AR141,"["&amp;B141&amp;"](/places/"&amp;SUBSTITUTE(BY141,".md","")&amp;")",B141)&amp;" "</f>
        <v xml:space="preserve">| Milan </v>
      </c>
      <c r="CH141" s="38" t="str">
        <f>"| "&amp;IF(AR141,GetTagPage(C141,VLOOKUP(C141,'(Ref) Countries'!A:C,3,)),C141)&amp; " "</f>
        <v xml:space="preserve">| Italy </v>
      </c>
      <c r="CI141" s="38" t="str">
        <f>"| "&amp;E141&amp;" "</f>
        <v xml:space="preserve">| 1938-1945 </v>
      </c>
      <c r="CJ141" s="38" t="str">
        <f>"|"&amp;IF(AR141," [Link](/places/"&amp;SUBSTITUTE(BY141,".md","")&amp;")","")&amp;" "</f>
        <v xml:space="preserve">| </v>
      </c>
      <c r="CK141" s="37" t="str">
        <f>"
"&amp;CG141&amp;CH141&amp;CI141&amp;CJ141&amp;BL141&amp;BQ141&amp;BR141&amp;BS141&amp;CF141&amp;"|"</f>
        <v xml:space="preserve">
| Milan | Italy | 1938-1945 | [Link](http://www.therealpresence.org/eucharst/misc/BVM/119_MILANO_96x96.pdf)| |</v>
      </c>
    </row>
    <row r="142" spans="1:89" ht="25.5" x14ac:dyDescent="0.25">
      <c r="A142" s="25" t="s">
        <v>1052</v>
      </c>
      <c r="B142" s="28" t="s">
        <v>1299</v>
      </c>
      <c r="C142" s="29" t="s">
        <v>2</v>
      </c>
      <c r="E142" s="31">
        <v>1939</v>
      </c>
      <c r="F142" s="71">
        <v>8.352427276057</v>
      </c>
      <c r="G142" s="67">
        <v>77.663576934286198</v>
      </c>
      <c r="H142" s="48" t="s">
        <v>1731</v>
      </c>
      <c r="I142" s="76" t="s">
        <v>1729</v>
      </c>
      <c r="J142" s="30" t="s">
        <v>1728</v>
      </c>
      <c r="K142" s="32" t="b">
        <v>1</v>
      </c>
      <c r="L142" s="30" t="b">
        <v>1</v>
      </c>
      <c r="N142" s="48" t="s">
        <v>1337</v>
      </c>
      <c r="P142" s="30" t="s">
        <v>1730</v>
      </c>
      <c r="Q142" s="30" t="s">
        <v>336</v>
      </c>
      <c r="AA142" s="71" t="s">
        <v>316</v>
      </c>
      <c r="AB142" s="30" t="s">
        <v>336</v>
      </c>
      <c r="AC142" s="30" t="s">
        <v>336</v>
      </c>
      <c r="AD142" s="30" t="s">
        <v>336</v>
      </c>
      <c r="AE142" s="30" t="s">
        <v>336</v>
      </c>
      <c r="AF142" s="67" t="s">
        <v>336</v>
      </c>
      <c r="AG142" s="30" t="s">
        <v>336</v>
      </c>
      <c r="AR142" s="36" t="b">
        <f>IF(OR(A142="Done",A142="In Progress"),TRUE)</f>
        <v>1</v>
      </c>
      <c r="AS142" s="37" t="str">
        <f>"title: """&amp;H142&amp;""""</f>
        <v>title: "Athisaya Panimatha (Our Lady of Snows) Shrine, Kallikulam"</v>
      </c>
      <c r="AT142" s="37" t="str">
        <f>"location: {lat: "&amp;F142&amp;", lng: "&amp;G142&amp;"}"</f>
        <v>location: {lat: 8.352427276057, lng: 77.6635769342862}</v>
      </c>
      <c r="AU142" s="37" t="str">
        <f>"level: "&amp;J142</f>
        <v>level: global</v>
      </c>
      <c r="AV142" s="37" t="str">
        <f>"- "&amp;VLOOKUP(C142,'(Ref) Countries'!A:C,3,)</f>
        <v>- india</v>
      </c>
      <c r="AW142" s="37" t="str">
        <f t="shared" si="48"/>
        <v/>
      </c>
      <c r="AX142" s="37" t="str">
        <f t="shared" si="49"/>
        <v>- churches</v>
      </c>
      <c r="AY142" s="37" t="str">
        <f t="shared" si="50"/>
        <v>- marian-sites</v>
      </c>
      <c r="AZ142" s="37" t="str">
        <f t="shared" si="51"/>
        <v/>
      </c>
      <c r="BA142" s="37" t="str">
        <f t="shared" si="52"/>
        <v/>
      </c>
      <c r="BB142" s="37" t="str">
        <f t="shared" si="53"/>
        <v/>
      </c>
      <c r="BC142" s="37" t="str">
        <f t="shared" si="54"/>
        <v/>
      </c>
      <c r="BD142" s="37" t="str">
        <f t="shared" si="55"/>
        <v/>
      </c>
      <c r="BE142" s="37" t="str">
        <f t="shared" si="56"/>
        <v/>
      </c>
      <c r="BF142" s="37" t="str">
        <f t="shared" si="57"/>
        <v/>
      </c>
      <c r="BG142" s="37" t="str">
        <f t="shared" si="58"/>
        <v/>
      </c>
      <c r="BH142" s="37" t="str">
        <f t="shared" si="59"/>
        <v/>
      </c>
      <c r="BI142" s="37" t="str">
        <f t="shared" si="60"/>
        <v/>
      </c>
      <c r="BJ142" s="37" t="str">
        <f t="shared" si="61"/>
        <v/>
      </c>
      <c r="BK142" s="37" t="str">
        <f t="shared" si="62"/>
        <v xml:space="preserve">tags:
- india_x000D_
- churches_x000D_
- marian-sites_x000D_
</v>
      </c>
      <c r="BL142" s="38" t="str">
        <f t="shared" si="63"/>
        <v>[Official site](https://www.athisayapanimatha.com/)</v>
      </c>
      <c r="BM142" s="38" t="str">
        <f t="shared" si="64"/>
        <v/>
      </c>
      <c r="BN142" s="38" t="str">
        <f t="shared" si="65"/>
        <v/>
      </c>
      <c r="BO142" s="38" t="str">
        <f t="shared" si="66"/>
        <v/>
      </c>
      <c r="BP142" s="38" t="str">
        <f t="shared" si="67"/>
        <v xml:space="preserve">* [Official site](https://www.athisayapanimatha.com/)
</v>
      </c>
      <c r="BQ142" s="38" t="str">
        <f t="shared" si="68"/>
        <v>[Link](http://www.therealpresence.org/eucharst/misc/BVM/128_KALLIKULAM_60x96.pdf)</v>
      </c>
      <c r="BR142" s="38" t="str">
        <f t="shared" si="69"/>
        <v/>
      </c>
      <c r="BS142" s="38" t="str">
        <f t="shared" si="70"/>
        <v/>
      </c>
      <c r="BT142" s="38" t="str">
        <f>IF(LEN(concat(BQ142:BS142))&gt;0,concat("| ",BQ142," | ",BR142," | ",BS142," |"),"")</f>
        <v>| [Link](http://www.therealpresence.org/eucharst/misc/BVM/128_KALLIKULAM_60x96.pdf) |  |  |</v>
      </c>
      <c r="BU142" s="37" t="str">
        <f t="shared" si="71"/>
        <v xml:space="preserve">| The Real Presence | Miracle Hunter | MaryPages |_x000D_
| --- | --- | --- |_x000D_
| [Link](http://www.therealpresence.org/eucharst/misc/BVM/128_KALLIKULAM_60x96.pdf) |  |  |_x000D_
</v>
      </c>
      <c r="BV142" s="37" t="str">
        <f>IF(LEN(BP142&amp;BU142)&gt;0,concatll("#### Source Material",BP142,BU142),"")</f>
        <v xml:space="preserve">#### Source Material_x000D_
_x000D_
* [Official site](https://www.athisayapanimatha.com/)
_x000D_
_x000D_
| The Real Presence | Miracle Hunter | MaryPages |_x000D_
| --- | --- | --- |_x000D_
| [Link](http://www.therealpresence.org/eucharst/misc/BVM/128_KALLIKULAM_60x96.pdf) |  |  |_x000D_
_x000D_
_x000D_
</v>
      </c>
      <c r="BW142" s="37" t="str">
        <f>IF(LEN(O142)&gt;1,concatll("#### Author's Note",O142),"")</f>
        <v/>
      </c>
      <c r="BX142" s="24" t="str">
        <f>IF(AR142,concatll(concatl("---",AS142:AU142,BK142,"---"),N142,BV142:BW142),"")</f>
        <v xml:space="preserve">---_x000D_
title: "Athisaya Panimatha (Our Lady of Snows) Shrine, Kallikulam"_x000D_
location: {lat: 8.352427276057, lng: 77.6635769342862}_x000D_
level: global_x000D_
tags:
- india_x000D_
- churches_x000D_
- marian-sites_x000D_
_x000D_
---_x000D_
_x000D_
_x000D_
_Research in progress__x000D_
_x000D_
#### Source Material_x000D_
_x000D_
* [Official site](https://www.athisayapanimatha.com/)
_x000D_
_x000D_
| The Real Presence | Miracle Hunter | MaryPages |_x000D_
| --- | --- | --- |_x000D_
| [Link](http://www.therealpresence.org/eucharst/misc/BVM/128_KALLIKULAM_60x96.pdf) |  |  |_x000D_
_x000D_
_x000D_
_x000D_
_x000D_
</v>
      </c>
      <c r="BY142" s="24" t="str">
        <f>IF(AR142,VLOOKUP(C142,'(Ref) Countries'!A:B,2,)&amp;IF(LEN(D142)&gt;1,"-"&amp;LOWER(SUBSTITUTE(D142," ","-")),"")&amp;"-"&amp;LOWER(SUBSTITUTE(I142," ","-"))&amp;".md","")</f>
        <v>in-athisaya-panimatha-shrine.md</v>
      </c>
      <c r="BZ142" s="37" t="str">
        <f>IF(LEN(AG142)&gt;1,VLOOKUP(AG142,'Tag List'!$A:$B,2,),"")</f>
        <v/>
      </c>
      <c r="CA142" s="37" t="str">
        <f>IF(LEN(AH142)&gt;1,VLOOKUP(AH142,'Tag List'!$A:$B,2,),"")</f>
        <v/>
      </c>
      <c r="CB142" s="37" t="str">
        <f>IF(LEN(AI142)&gt;1,VLOOKUP(AI142,'Tag List'!$A:$B,2,),"")</f>
        <v/>
      </c>
      <c r="CC142" s="38" t="str">
        <f>IF(LEN(AG142)&gt;1,GetTagPage(BZ142,AG142),"")</f>
        <v/>
      </c>
      <c r="CD142" s="38" t="str">
        <f>IF(LEN(AH142)&gt;1,GetTagPage(CA142,AH142),"")</f>
        <v/>
      </c>
      <c r="CE142" s="38" t="str">
        <f>IF(LEN(AI142)&gt;1,GetTagPage(CB142,AI142),"")</f>
        <v/>
      </c>
      <c r="CF142" s="38" t="str">
        <f>"|"&amp;IF(LEN(CC142)&gt;1," "&amp;CC142,"")&amp;IF(LEN(CD142)&gt;1,", "&amp;CD142,"")&amp;IF(LEN(CE142)&gt;1,", "&amp;CE142,"")&amp;" "</f>
        <v xml:space="preserve">| </v>
      </c>
      <c r="CG142" s="38" t="str">
        <f>"| "&amp;IF(AR142,"["&amp;B142&amp;"](/places/"&amp;SUBSTITUTE(BY142,".md","")&amp;")",B142)&amp;" "</f>
        <v xml:space="preserve">| [Kallikulam](/places/in-athisaya-panimatha-shrine) </v>
      </c>
      <c r="CH142" s="38" t="str">
        <f>"| "&amp;IF(AR142,GetTagPage(C142,VLOOKUP(C142,'(Ref) Countries'!A:C,3,)),C142)&amp; " "</f>
        <v xml:space="preserve">| [India](/tags/india) </v>
      </c>
      <c r="CI142" s="38" t="str">
        <f>"| "&amp;E142&amp;" "</f>
        <v xml:space="preserve">| 1939 </v>
      </c>
      <c r="CJ142" s="38" t="str">
        <f>"|"&amp;IF(AR142," [Link](/places/"&amp;SUBSTITUTE(BY142,".md","")&amp;")","")&amp;" "</f>
        <v xml:space="preserve">| [Link](/places/in-athisaya-panimatha-shrine) </v>
      </c>
      <c r="CK142" s="37" t="str">
        <f>"
"&amp;CG142&amp;CH142&amp;CI142&amp;CJ142&amp;BL142&amp;BQ142&amp;BR142&amp;BS142&amp;CF142&amp;"|"</f>
        <v xml:space="preserve">
| [Kallikulam](/places/in-athisaya-panimatha-shrine) | [India](/tags/india) | 1939 | [Link](/places/in-athisaya-panimatha-shrine) [Official site](https://www.athisayapanimatha.com/)[Link](http://www.therealpresence.org/eucharst/misc/BVM/128_KALLIKULAM_60x96.pdf)| |</v>
      </c>
    </row>
    <row r="143" spans="1:89" x14ac:dyDescent="0.25">
      <c r="B143" s="28" t="s">
        <v>1300</v>
      </c>
      <c r="C143" s="29" t="s">
        <v>542</v>
      </c>
      <c r="E143" s="49" t="s">
        <v>1172</v>
      </c>
      <c r="J143" s="30" t="s">
        <v>1728</v>
      </c>
      <c r="K143" s="32" t="b">
        <v>1</v>
      </c>
      <c r="L143" s="30" t="b">
        <v>1</v>
      </c>
      <c r="P143" s="30" t="s">
        <v>336</v>
      </c>
      <c r="Q143" s="30" t="s">
        <v>336</v>
      </c>
      <c r="AA143" s="71" t="s">
        <v>317</v>
      </c>
      <c r="AB143" s="30" t="s">
        <v>336</v>
      </c>
      <c r="AC143" s="30" t="s">
        <v>336</v>
      </c>
      <c r="AD143" s="30" t="s">
        <v>336</v>
      </c>
      <c r="AE143" s="30" t="s">
        <v>336</v>
      </c>
      <c r="AF143" s="67" t="s">
        <v>336</v>
      </c>
      <c r="AG143" s="30" t="s">
        <v>336</v>
      </c>
      <c r="AR143" s="36" t="b">
        <f>IF(OR(A143="Done",A143="In Progress"),TRUE)</f>
        <v>0</v>
      </c>
      <c r="AS143" s="37" t="str">
        <f>"title: """&amp;H143&amp;""""</f>
        <v>title: ""</v>
      </c>
      <c r="AT143" s="37" t="str">
        <f>"location: {lat: "&amp;F143&amp;", lng: "&amp;G143&amp;"}"</f>
        <v>location: {lat: , lng: }</v>
      </c>
      <c r="AU143" s="37" t="str">
        <f>"level: "&amp;J143</f>
        <v>level: global</v>
      </c>
      <c r="AV143" s="37" t="str">
        <f>"- "&amp;VLOOKUP(C143,'(Ref) Countries'!A:C,3,)</f>
        <v>- germany</v>
      </c>
      <c r="AW143" s="37" t="str">
        <f t="shared" si="48"/>
        <v/>
      </c>
      <c r="AX143" s="37" t="str">
        <f t="shared" si="49"/>
        <v>- churches</v>
      </c>
      <c r="AY143" s="37" t="str">
        <f t="shared" si="50"/>
        <v>- marian-sites</v>
      </c>
      <c r="AZ143" s="37" t="str">
        <f t="shared" si="51"/>
        <v/>
      </c>
      <c r="BA143" s="37" t="str">
        <f t="shared" si="52"/>
        <v/>
      </c>
      <c r="BB143" s="37" t="str">
        <f t="shared" si="53"/>
        <v/>
      </c>
      <c r="BC143" s="37" t="str">
        <f t="shared" si="54"/>
        <v/>
      </c>
      <c r="BD143" s="37" t="str">
        <f t="shared" si="55"/>
        <v/>
      </c>
      <c r="BE143" s="37" t="str">
        <f t="shared" si="56"/>
        <v/>
      </c>
      <c r="BF143" s="37" t="str">
        <f t="shared" si="57"/>
        <v/>
      </c>
      <c r="BG143" s="37" t="str">
        <f t="shared" si="58"/>
        <v/>
      </c>
      <c r="BH143" s="37" t="str">
        <f t="shared" si="59"/>
        <v/>
      </c>
      <c r="BI143" s="37" t="str">
        <f t="shared" si="60"/>
        <v/>
      </c>
      <c r="BJ143" s="37" t="str">
        <f t="shared" si="61"/>
        <v/>
      </c>
      <c r="BK143" s="37" t="str">
        <f t="shared" si="62"/>
        <v xml:space="preserve">tags:
- germany_x000D_
- churches_x000D_
- marian-sites_x000D_
</v>
      </c>
      <c r="BL143" s="38" t="str">
        <f t="shared" si="63"/>
        <v/>
      </c>
      <c r="BM143" s="38" t="str">
        <f t="shared" si="64"/>
        <v/>
      </c>
      <c r="BN143" s="38" t="str">
        <f t="shared" si="65"/>
        <v/>
      </c>
      <c r="BO143" s="38" t="str">
        <f t="shared" si="66"/>
        <v/>
      </c>
      <c r="BP143" s="38" t="str">
        <f t="shared" si="67"/>
        <v/>
      </c>
      <c r="BQ143" s="38" t="str">
        <f t="shared" si="68"/>
        <v>[Link](http://www.therealpresence.org/eucharst/misc/BVM/149_MARIENFRIED_140x96.pdf)</v>
      </c>
      <c r="BR143" s="38" t="str">
        <f t="shared" si="69"/>
        <v/>
      </c>
      <c r="BS143" s="38" t="str">
        <f t="shared" si="70"/>
        <v/>
      </c>
      <c r="BT143" s="38" t="str">
        <f>IF(LEN(concat(BQ143:BS143))&gt;0,concat("| ",BQ143," | ",BR143," | ",BS143," |"),"")</f>
        <v>| [Link](http://www.therealpresence.org/eucharst/misc/BVM/149_MARIENFRIED_140x96.pdf) |  |  |</v>
      </c>
      <c r="BU143" s="37" t="str">
        <f t="shared" si="71"/>
        <v xml:space="preserve">| The Real Presence | Miracle Hunter | MaryPages |_x000D_
| --- | --- | --- |_x000D_
| [Link](http://www.therealpresence.org/eucharst/misc/BVM/149_MARIENFRIED_140x96.pdf) |  |  |_x000D_
</v>
      </c>
      <c r="BV143" s="37" t="str">
        <f>IF(LEN(BP143&amp;BU143)&gt;0,concatll("#### Source Material",BP143,BU143),"")</f>
        <v xml:space="preserve">#### Source Material_x000D_
_x000D_
| The Real Presence | Miracle Hunter | MaryPages |_x000D_
| --- | --- | --- |_x000D_
| [Link](http://www.therealpresence.org/eucharst/misc/BVM/149_MARIENFRIED_140x96.pdf) |  |  |_x000D_
_x000D_
_x000D_
</v>
      </c>
      <c r="BW143" s="37" t="str">
        <f>IF(LEN(O143)&gt;1,concatll("#### Author's Note",O143),"")</f>
        <v/>
      </c>
      <c r="BX143" s="24" t="str">
        <f>IF(AR143,concatll(concatl("---",AS143:AU143,BK143,"---"),N143,BV143:BW143),"")</f>
        <v/>
      </c>
      <c r="BY143" s="24" t="str">
        <f>IF(AR143,VLOOKUP(C143,'(Ref) Countries'!A:B,2,)&amp;IF(LEN(D143)&gt;1,"-"&amp;LOWER(SUBSTITUTE(D143," ","-")),"")&amp;"-"&amp;LOWER(SUBSTITUTE(I143," ","-"))&amp;".md","")</f>
        <v/>
      </c>
      <c r="BZ143" s="37" t="str">
        <f>IF(LEN(AG143)&gt;1,VLOOKUP(AG143,'Tag List'!$A:$B,2,),"")</f>
        <v/>
      </c>
      <c r="CA143" s="37" t="str">
        <f>IF(LEN(AH143)&gt;1,VLOOKUP(AH143,'Tag List'!$A:$B,2,),"")</f>
        <v/>
      </c>
      <c r="CB143" s="37" t="str">
        <f>IF(LEN(AI143)&gt;1,VLOOKUP(AI143,'Tag List'!$A:$B,2,),"")</f>
        <v/>
      </c>
      <c r="CC143" s="38" t="str">
        <f>IF(LEN(AG143)&gt;1,GetTagPage(BZ143,AG143),"")</f>
        <v/>
      </c>
      <c r="CD143" s="38" t="str">
        <f>IF(LEN(AH143)&gt;1,GetTagPage(CA143,AH143),"")</f>
        <v/>
      </c>
      <c r="CE143" s="38" t="str">
        <f>IF(LEN(AI143)&gt;1,GetTagPage(CB143,AI143),"")</f>
        <v/>
      </c>
      <c r="CF143" s="38" t="str">
        <f>"|"&amp;IF(LEN(CC143)&gt;1," "&amp;CC143,"")&amp;IF(LEN(CD143)&gt;1,", "&amp;CD143,"")&amp;IF(LEN(CE143)&gt;1,", "&amp;CE143,"")&amp;" "</f>
        <v xml:space="preserve">| </v>
      </c>
      <c r="CG143" s="38" t="str">
        <f>"| "&amp;IF(AR143,"["&amp;B143&amp;"](/places/"&amp;SUBSTITUTE(BY143,".md","")&amp;")",B143)&amp;" "</f>
        <v xml:space="preserve">| Pfaffenhofen Marienfried </v>
      </c>
      <c r="CH143" s="38" t="str">
        <f>"| "&amp;IF(AR143,GetTagPage(C143,VLOOKUP(C143,'(Ref) Countries'!A:C,3,)),C143)&amp; " "</f>
        <v xml:space="preserve">| Germany </v>
      </c>
      <c r="CI143" s="38" t="str">
        <f>"| "&amp;E143&amp;" "</f>
        <v xml:space="preserve">| 1940-1946 </v>
      </c>
      <c r="CJ143" s="38" t="str">
        <f>"|"&amp;IF(AR143," [Link](/places/"&amp;SUBSTITUTE(BY143,".md","")&amp;")","")&amp;" "</f>
        <v xml:space="preserve">| </v>
      </c>
      <c r="CK143" s="37" t="str">
        <f>"
"&amp;CG143&amp;CH143&amp;CI143&amp;CJ143&amp;BL143&amp;BQ143&amp;BR143&amp;BS143&amp;CF143&amp;"|"</f>
        <v xml:space="preserve">
| Pfaffenhofen Marienfried | Germany | 1940-1946 | [Link](http://www.therealpresence.org/eucharst/misc/BVM/149_MARIENFRIED_140x96.pdf)| |</v>
      </c>
    </row>
    <row r="144" spans="1:89" x14ac:dyDescent="0.25">
      <c r="B144" s="28" t="s">
        <v>1301</v>
      </c>
      <c r="C144" s="29" t="s">
        <v>651</v>
      </c>
      <c r="E144" s="31">
        <v>1943</v>
      </c>
      <c r="J144" s="30" t="s">
        <v>1728</v>
      </c>
      <c r="K144" s="32" t="b">
        <v>1</v>
      </c>
      <c r="L144" s="30" t="b">
        <v>1</v>
      </c>
      <c r="P144" s="30" t="s">
        <v>336</v>
      </c>
      <c r="Q144" s="30" t="s">
        <v>336</v>
      </c>
      <c r="AA144" s="71" t="s">
        <v>318</v>
      </c>
      <c r="AB144" s="30" t="s">
        <v>336</v>
      </c>
      <c r="AC144" s="30" t="s">
        <v>336</v>
      </c>
      <c r="AD144" s="30" t="s">
        <v>336</v>
      </c>
      <c r="AE144" s="30" t="s">
        <v>336</v>
      </c>
      <c r="AF144" s="67" t="s">
        <v>336</v>
      </c>
      <c r="AG144" s="30" t="s">
        <v>336</v>
      </c>
      <c r="AR144" s="36" t="b">
        <f>IF(OR(A144="Done",A144="In Progress"),TRUE)</f>
        <v>0</v>
      </c>
      <c r="AS144" s="37" t="str">
        <f>"title: """&amp;H144&amp;""""</f>
        <v>title: ""</v>
      </c>
      <c r="AT144" s="37" t="str">
        <f>"location: {lat: "&amp;F144&amp;", lng: "&amp;G144&amp;"}"</f>
        <v>location: {lat: , lng: }</v>
      </c>
      <c r="AU144" s="37" t="str">
        <f>"level: "&amp;J144</f>
        <v>level: global</v>
      </c>
      <c r="AV144" s="37" t="str">
        <f>"- "&amp;VLOOKUP(C144,'(Ref) Countries'!A:C,3,)</f>
        <v>- poland</v>
      </c>
      <c r="AW144" s="37" t="str">
        <f t="shared" si="48"/>
        <v/>
      </c>
      <c r="AX144" s="37" t="str">
        <f t="shared" si="49"/>
        <v>- churches</v>
      </c>
      <c r="AY144" s="37" t="str">
        <f t="shared" si="50"/>
        <v>- marian-sites</v>
      </c>
      <c r="AZ144" s="37" t="str">
        <f t="shared" si="51"/>
        <v/>
      </c>
      <c r="BA144" s="37" t="str">
        <f t="shared" si="52"/>
        <v/>
      </c>
      <c r="BB144" s="37" t="str">
        <f t="shared" si="53"/>
        <v/>
      </c>
      <c r="BC144" s="37" t="str">
        <f t="shared" si="54"/>
        <v/>
      </c>
      <c r="BD144" s="37" t="str">
        <f t="shared" si="55"/>
        <v/>
      </c>
      <c r="BE144" s="37" t="str">
        <f t="shared" si="56"/>
        <v/>
      </c>
      <c r="BF144" s="37" t="str">
        <f t="shared" si="57"/>
        <v/>
      </c>
      <c r="BG144" s="37" t="str">
        <f t="shared" si="58"/>
        <v/>
      </c>
      <c r="BH144" s="37" t="str">
        <f t="shared" si="59"/>
        <v/>
      </c>
      <c r="BI144" s="37" t="str">
        <f t="shared" si="60"/>
        <v/>
      </c>
      <c r="BJ144" s="37" t="str">
        <f t="shared" si="61"/>
        <v/>
      </c>
      <c r="BK144" s="37" t="str">
        <f t="shared" si="62"/>
        <v xml:space="preserve">tags:
- poland_x000D_
- churches_x000D_
- marian-sites_x000D_
</v>
      </c>
      <c r="BL144" s="38" t="str">
        <f t="shared" si="63"/>
        <v/>
      </c>
      <c r="BM144" s="38" t="str">
        <f t="shared" si="64"/>
        <v/>
      </c>
      <c r="BN144" s="38" t="str">
        <f t="shared" si="65"/>
        <v/>
      </c>
      <c r="BO144" s="38" t="str">
        <f t="shared" si="66"/>
        <v/>
      </c>
      <c r="BP144" s="38" t="str">
        <f t="shared" si="67"/>
        <v/>
      </c>
      <c r="BQ144" s="38" t="str">
        <f t="shared" si="68"/>
        <v>[Link](http://www.therealpresence.org/eucharst/misc/BVM/152_SIEKIERKI_96x96.pdf)</v>
      </c>
      <c r="BR144" s="38" t="str">
        <f t="shared" si="69"/>
        <v/>
      </c>
      <c r="BS144" s="38" t="str">
        <f t="shared" si="70"/>
        <v/>
      </c>
      <c r="BT144" s="38" t="str">
        <f>IF(LEN(concat(BQ144:BS144))&gt;0,concat("| ",BQ144," | ",BR144," | ",BS144," |"),"")</f>
        <v>| [Link](http://www.therealpresence.org/eucharst/misc/BVM/152_SIEKIERKI_96x96.pdf) |  |  |</v>
      </c>
      <c r="BU144" s="37" t="str">
        <f t="shared" si="71"/>
        <v xml:space="preserve">| The Real Presence | Miracle Hunter | MaryPages |_x000D_
| --- | --- | --- |_x000D_
| [Link](http://www.therealpresence.org/eucharst/misc/BVM/152_SIEKIERKI_96x96.pdf) |  |  |_x000D_
</v>
      </c>
      <c r="BV144" s="37" t="str">
        <f>IF(LEN(BP144&amp;BU144)&gt;0,concatll("#### Source Material",BP144,BU144),"")</f>
        <v xml:space="preserve">#### Source Material_x000D_
_x000D_
| The Real Presence | Miracle Hunter | MaryPages |_x000D_
| --- | --- | --- |_x000D_
| [Link](http://www.therealpresence.org/eucharst/misc/BVM/152_SIEKIERKI_96x96.pdf) |  |  |_x000D_
_x000D_
_x000D_
</v>
      </c>
      <c r="BW144" s="37" t="str">
        <f>IF(LEN(O144)&gt;1,concatll("#### Author's Note",O144),"")</f>
        <v/>
      </c>
      <c r="BX144" s="24" t="str">
        <f>IF(AR144,concatll(concatl("---",AS144:AU144,BK144,"---"),N144,BV144:BW144),"")</f>
        <v/>
      </c>
      <c r="BY144" s="24" t="str">
        <f>IF(AR144,VLOOKUP(C144,'(Ref) Countries'!A:B,2,)&amp;IF(LEN(D144)&gt;1,"-"&amp;LOWER(SUBSTITUTE(D144," ","-")),"")&amp;"-"&amp;LOWER(SUBSTITUTE(I144," ","-"))&amp;".md","")</f>
        <v/>
      </c>
      <c r="BZ144" s="37" t="str">
        <f>IF(LEN(AG144)&gt;1,VLOOKUP(AG144,'Tag List'!$A:$B,2,),"")</f>
        <v/>
      </c>
      <c r="CA144" s="37" t="str">
        <f>IF(LEN(AH144)&gt;1,VLOOKUP(AH144,'Tag List'!$A:$B,2,),"")</f>
        <v/>
      </c>
      <c r="CB144" s="37" t="str">
        <f>IF(LEN(AI144)&gt;1,VLOOKUP(AI144,'Tag List'!$A:$B,2,),"")</f>
        <v/>
      </c>
      <c r="CC144" s="38" t="str">
        <f>IF(LEN(AG144)&gt;1,GetTagPage(BZ144,AG144),"")</f>
        <v/>
      </c>
      <c r="CD144" s="38" t="str">
        <f>IF(LEN(AH144)&gt;1,GetTagPage(CA144,AH144),"")</f>
        <v/>
      </c>
      <c r="CE144" s="38" t="str">
        <f>IF(LEN(AI144)&gt;1,GetTagPage(CB144,AI144),"")</f>
        <v/>
      </c>
      <c r="CF144" s="38" t="str">
        <f>"|"&amp;IF(LEN(CC144)&gt;1," "&amp;CC144,"")&amp;IF(LEN(CD144)&gt;1,", "&amp;CD144,"")&amp;IF(LEN(CE144)&gt;1,", "&amp;CE144,"")&amp;" "</f>
        <v xml:space="preserve">| </v>
      </c>
      <c r="CG144" s="38" t="str">
        <f>"| "&amp;IF(AR144,"["&amp;B144&amp;"](/places/"&amp;SUBSTITUTE(BY144,".md","")&amp;")",B144)&amp;" "</f>
        <v xml:space="preserve">| Siekierki </v>
      </c>
      <c r="CH144" s="38" t="str">
        <f>"| "&amp;IF(AR144,GetTagPage(C144,VLOOKUP(C144,'(Ref) Countries'!A:C,3,)),C144)&amp; " "</f>
        <v xml:space="preserve">| Poland </v>
      </c>
      <c r="CI144" s="38" t="str">
        <f>"| "&amp;E144&amp;" "</f>
        <v xml:space="preserve">| 1943 </v>
      </c>
      <c r="CJ144" s="38" t="str">
        <f>"|"&amp;IF(AR144," [Link](/places/"&amp;SUBSTITUTE(BY144,".md","")&amp;")","")&amp;" "</f>
        <v xml:space="preserve">| </v>
      </c>
      <c r="CK144" s="37" t="str">
        <f>"
"&amp;CG144&amp;CH144&amp;CI144&amp;CJ144&amp;BL144&amp;BQ144&amp;BR144&amp;BS144&amp;CF144&amp;"|"</f>
        <v xml:space="preserve">
| Siekierki | Poland | 1943 | [Link](http://www.therealpresence.org/eucharst/misc/BVM/152_SIEKIERKI_96x96.pdf)| |</v>
      </c>
    </row>
    <row r="145" spans="1:89" x14ac:dyDescent="0.25">
      <c r="B145" s="28" t="s">
        <v>1302</v>
      </c>
      <c r="C145" s="29" t="s">
        <v>552</v>
      </c>
      <c r="E145" s="31">
        <v>1945</v>
      </c>
      <c r="J145" s="30" t="s">
        <v>1728</v>
      </c>
      <c r="K145" s="32" t="b">
        <v>1</v>
      </c>
      <c r="L145" s="30" t="b">
        <v>1</v>
      </c>
      <c r="P145" s="30" t="s">
        <v>336</v>
      </c>
      <c r="Q145" s="30" t="s">
        <v>336</v>
      </c>
      <c r="AA145" s="71" t="s">
        <v>319</v>
      </c>
      <c r="AB145" s="30" t="s">
        <v>336</v>
      </c>
      <c r="AC145" s="30" t="s">
        <v>336</v>
      </c>
      <c r="AD145" s="30" t="s">
        <v>336</v>
      </c>
      <c r="AE145" s="30" t="s">
        <v>336</v>
      </c>
      <c r="AF145" s="67" t="s">
        <v>336</v>
      </c>
      <c r="AG145" s="30" t="s">
        <v>336</v>
      </c>
      <c r="AR145" s="36" t="b">
        <f>IF(OR(A145="Done",A145="In Progress"),TRUE)</f>
        <v>0</v>
      </c>
      <c r="AS145" s="37" t="str">
        <f>"title: """&amp;H145&amp;""""</f>
        <v>title: ""</v>
      </c>
      <c r="AT145" s="37" t="str">
        <f>"location: {lat: "&amp;F145&amp;", lng: "&amp;G145&amp;"}"</f>
        <v>location: {lat: , lng: }</v>
      </c>
      <c r="AU145" s="37" t="str">
        <f>"level: "&amp;J145</f>
        <v>level: global</v>
      </c>
      <c r="AV145" s="37" t="str">
        <f>"- "&amp;VLOOKUP(C145,'(Ref) Countries'!A:C,3,)</f>
        <v>- spain</v>
      </c>
      <c r="AW145" s="37" t="str">
        <f t="shared" si="48"/>
        <v/>
      </c>
      <c r="AX145" s="37" t="str">
        <f t="shared" si="49"/>
        <v>- churches</v>
      </c>
      <c r="AY145" s="37" t="str">
        <f t="shared" si="50"/>
        <v>- marian-sites</v>
      </c>
      <c r="AZ145" s="37" t="str">
        <f t="shared" si="51"/>
        <v/>
      </c>
      <c r="BA145" s="37" t="str">
        <f t="shared" si="52"/>
        <v/>
      </c>
      <c r="BB145" s="37" t="str">
        <f t="shared" si="53"/>
        <v/>
      </c>
      <c r="BC145" s="37" t="str">
        <f t="shared" si="54"/>
        <v/>
      </c>
      <c r="BD145" s="37" t="str">
        <f t="shared" si="55"/>
        <v/>
      </c>
      <c r="BE145" s="37" t="str">
        <f t="shared" si="56"/>
        <v/>
      </c>
      <c r="BF145" s="37" t="str">
        <f t="shared" si="57"/>
        <v/>
      </c>
      <c r="BG145" s="37" t="str">
        <f t="shared" si="58"/>
        <v/>
      </c>
      <c r="BH145" s="37" t="str">
        <f t="shared" si="59"/>
        <v/>
      </c>
      <c r="BI145" s="37" t="str">
        <f t="shared" si="60"/>
        <v/>
      </c>
      <c r="BJ145" s="37" t="str">
        <f t="shared" si="61"/>
        <v/>
      </c>
      <c r="BK145" s="37" t="str">
        <f t="shared" si="62"/>
        <v xml:space="preserve">tags:
- spain_x000D_
- churches_x000D_
- marian-sites_x000D_
</v>
      </c>
      <c r="BL145" s="38" t="str">
        <f t="shared" si="63"/>
        <v/>
      </c>
      <c r="BM145" s="38" t="str">
        <f t="shared" si="64"/>
        <v/>
      </c>
      <c r="BN145" s="38" t="str">
        <f t="shared" si="65"/>
        <v/>
      </c>
      <c r="BO145" s="38" t="str">
        <f t="shared" si="66"/>
        <v/>
      </c>
      <c r="BP145" s="38" t="str">
        <f t="shared" si="67"/>
        <v/>
      </c>
      <c r="BQ145" s="38" t="str">
        <f t="shared" si="68"/>
        <v>[Link](http://www.therealpresence.org/eucharst/misc/BVM/99_CODOSERA_140x96.pdf)</v>
      </c>
      <c r="BR145" s="38" t="str">
        <f t="shared" si="69"/>
        <v/>
      </c>
      <c r="BS145" s="38" t="str">
        <f t="shared" si="70"/>
        <v/>
      </c>
      <c r="BT145" s="38" t="str">
        <f>IF(LEN(concat(BQ145:BS145))&gt;0,concat("| ",BQ145," | ",BR145," | ",BS145," |"),"")</f>
        <v>| [Link](http://www.therealpresence.org/eucharst/misc/BVM/99_CODOSERA_140x96.pdf) |  |  |</v>
      </c>
      <c r="BU145" s="37" t="str">
        <f t="shared" si="71"/>
        <v xml:space="preserve">| The Real Presence | Miracle Hunter | MaryPages |_x000D_
| --- | --- | --- |_x000D_
| [Link](http://www.therealpresence.org/eucharst/misc/BVM/99_CODOSERA_140x96.pdf) |  |  |_x000D_
</v>
      </c>
      <c r="BV145" s="37" t="str">
        <f>IF(LEN(BP145&amp;BU145)&gt;0,concatll("#### Source Material",BP145,BU145),"")</f>
        <v xml:space="preserve">#### Source Material_x000D_
_x000D_
| The Real Presence | Miracle Hunter | MaryPages |_x000D_
| --- | --- | --- |_x000D_
| [Link](http://www.therealpresence.org/eucharst/misc/BVM/99_CODOSERA_140x96.pdf) |  |  |_x000D_
_x000D_
_x000D_
</v>
      </c>
      <c r="BW145" s="37" t="str">
        <f>IF(LEN(O145)&gt;1,concatll("#### Author's Note",O145),"")</f>
        <v/>
      </c>
      <c r="BX145" s="24" t="str">
        <f>IF(AR145,concatll(concatl("---",AS145:AU145,BK145,"---"),N145,BV145:BW145),"")</f>
        <v/>
      </c>
      <c r="BY145" s="24" t="str">
        <f>IF(AR145,VLOOKUP(C145,'(Ref) Countries'!A:B,2,)&amp;IF(LEN(D145)&gt;1,"-"&amp;LOWER(SUBSTITUTE(D145," ","-")),"")&amp;"-"&amp;LOWER(SUBSTITUTE(I145," ","-"))&amp;".md","")</f>
        <v/>
      </c>
      <c r="BZ145" s="37" t="str">
        <f>IF(LEN(AG145)&gt;1,VLOOKUP(AG145,'Tag List'!$A:$B,2,),"")</f>
        <v/>
      </c>
      <c r="CA145" s="37" t="str">
        <f>IF(LEN(AH145)&gt;1,VLOOKUP(AH145,'Tag List'!$A:$B,2,),"")</f>
        <v/>
      </c>
      <c r="CB145" s="37" t="str">
        <f>IF(LEN(AI145)&gt;1,VLOOKUP(AI145,'Tag List'!$A:$B,2,),"")</f>
        <v/>
      </c>
      <c r="CC145" s="38" t="str">
        <f>IF(LEN(AG145)&gt;1,GetTagPage(BZ145,AG145),"")</f>
        <v/>
      </c>
      <c r="CD145" s="38" t="str">
        <f>IF(LEN(AH145)&gt;1,GetTagPage(CA145,AH145),"")</f>
        <v/>
      </c>
      <c r="CE145" s="38" t="str">
        <f>IF(LEN(AI145)&gt;1,GetTagPage(CB145,AI145),"")</f>
        <v/>
      </c>
      <c r="CF145" s="38" t="str">
        <f>"|"&amp;IF(LEN(CC145)&gt;1," "&amp;CC145,"")&amp;IF(LEN(CD145)&gt;1,", "&amp;CD145,"")&amp;IF(LEN(CE145)&gt;1,", "&amp;CE145,"")&amp;" "</f>
        <v xml:space="preserve">| </v>
      </c>
      <c r="CG145" s="38" t="str">
        <f>"| "&amp;IF(AR145,"["&amp;B145&amp;"](/places/"&amp;SUBSTITUTE(BY145,".md","")&amp;")",B145)&amp;" "</f>
        <v xml:space="preserve">| La Codosera </v>
      </c>
      <c r="CH145" s="38" t="str">
        <f>"| "&amp;IF(AR145,GetTagPage(C145,VLOOKUP(C145,'(Ref) Countries'!A:C,3,)),C145)&amp; " "</f>
        <v xml:space="preserve">| Spain </v>
      </c>
      <c r="CI145" s="38" t="str">
        <f>"| "&amp;E145&amp;" "</f>
        <v xml:space="preserve">| 1945 </v>
      </c>
      <c r="CJ145" s="38" t="str">
        <f>"|"&amp;IF(AR145," [Link](/places/"&amp;SUBSTITUTE(BY145,".md","")&amp;")","")&amp;" "</f>
        <v xml:space="preserve">| </v>
      </c>
      <c r="CK145" s="37" t="str">
        <f>"
"&amp;CG145&amp;CH145&amp;CI145&amp;CJ145&amp;BL145&amp;BQ145&amp;BR145&amp;BS145&amp;CF145&amp;"|"</f>
        <v xml:space="preserve">
| La Codosera | Spain | 1945 | [Link](http://www.therealpresence.org/eucharst/misc/BVM/99_CODOSERA_140x96.pdf)| |</v>
      </c>
    </row>
    <row r="146" spans="1:89" x14ac:dyDescent="0.25">
      <c r="B146" s="28" t="s">
        <v>1303</v>
      </c>
      <c r="C146" s="29" t="s">
        <v>557</v>
      </c>
      <c r="E146" s="31">
        <v>1947</v>
      </c>
      <c r="J146" s="30" t="s">
        <v>1728</v>
      </c>
      <c r="K146" s="32" t="b">
        <v>1</v>
      </c>
      <c r="L146" s="30" t="b">
        <v>1</v>
      </c>
      <c r="P146" s="30" t="s">
        <v>336</v>
      </c>
      <c r="Q146" s="30" t="s">
        <v>336</v>
      </c>
      <c r="AA146" s="71" t="s">
        <v>320</v>
      </c>
      <c r="AB146" s="30" t="s">
        <v>336</v>
      </c>
      <c r="AC146" s="30" t="s">
        <v>336</v>
      </c>
      <c r="AD146" s="30" t="s">
        <v>336</v>
      </c>
      <c r="AE146" s="30" t="s">
        <v>336</v>
      </c>
      <c r="AF146" s="67" t="s">
        <v>336</v>
      </c>
      <c r="AG146" s="30" t="s">
        <v>336</v>
      </c>
      <c r="AR146" s="36" t="b">
        <f>IF(OR(A146="Done",A146="In Progress"),TRUE)</f>
        <v>0</v>
      </c>
      <c r="AS146" s="37" t="str">
        <f>"title: """&amp;H146&amp;""""</f>
        <v>title: ""</v>
      </c>
      <c r="AT146" s="37" t="str">
        <f>"location: {lat: "&amp;F146&amp;", lng: "&amp;G146&amp;"}"</f>
        <v>location: {lat: , lng: }</v>
      </c>
      <c r="AU146" s="37" t="str">
        <f>"level: "&amp;J146</f>
        <v>level: global</v>
      </c>
      <c r="AV146" s="37" t="str">
        <f>"- "&amp;VLOOKUP(C146,'(Ref) Countries'!A:C,3,)</f>
        <v>- france</v>
      </c>
      <c r="AW146" s="37" t="str">
        <f t="shared" si="48"/>
        <v/>
      </c>
      <c r="AX146" s="37" t="str">
        <f t="shared" si="49"/>
        <v>- churches</v>
      </c>
      <c r="AY146" s="37" t="str">
        <f t="shared" si="50"/>
        <v>- marian-sites</v>
      </c>
      <c r="AZ146" s="37" t="str">
        <f t="shared" si="51"/>
        <v/>
      </c>
      <c r="BA146" s="37" t="str">
        <f t="shared" si="52"/>
        <v/>
      </c>
      <c r="BB146" s="37" t="str">
        <f t="shared" si="53"/>
        <v/>
      </c>
      <c r="BC146" s="37" t="str">
        <f t="shared" si="54"/>
        <v/>
      </c>
      <c r="BD146" s="37" t="str">
        <f t="shared" si="55"/>
        <v/>
      </c>
      <c r="BE146" s="37" t="str">
        <f t="shared" si="56"/>
        <v/>
      </c>
      <c r="BF146" s="37" t="str">
        <f t="shared" si="57"/>
        <v/>
      </c>
      <c r="BG146" s="37" t="str">
        <f t="shared" si="58"/>
        <v/>
      </c>
      <c r="BH146" s="37" t="str">
        <f t="shared" si="59"/>
        <v/>
      </c>
      <c r="BI146" s="37" t="str">
        <f t="shared" si="60"/>
        <v/>
      </c>
      <c r="BJ146" s="37" t="str">
        <f t="shared" si="61"/>
        <v/>
      </c>
      <c r="BK146" s="37" t="str">
        <f t="shared" si="62"/>
        <v xml:space="preserve">tags:
- france_x000D_
- churches_x000D_
- marian-sites_x000D_
</v>
      </c>
      <c r="BL146" s="38" t="str">
        <f t="shared" si="63"/>
        <v/>
      </c>
      <c r="BM146" s="38" t="str">
        <f t="shared" si="64"/>
        <v/>
      </c>
      <c r="BN146" s="38" t="str">
        <f t="shared" si="65"/>
        <v/>
      </c>
      <c r="BO146" s="38" t="str">
        <f t="shared" si="66"/>
        <v/>
      </c>
      <c r="BP146" s="38" t="str">
        <f t="shared" si="67"/>
        <v/>
      </c>
      <c r="BQ146" s="38" t="str">
        <f t="shared" si="68"/>
        <v>[Link](http://www.therealpresence.org/eucharst/misc/BVM/19_ILE_BOUCHARD_96x96.pdf)</v>
      </c>
      <c r="BR146" s="38" t="str">
        <f t="shared" si="69"/>
        <v/>
      </c>
      <c r="BS146" s="38" t="str">
        <f t="shared" si="70"/>
        <v/>
      </c>
      <c r="BT146" s="38" t="str">
        <f>IF(LEN(concat(BQ146:BS146))&gt;0,concat("| ",BQ146," | ",BR146," | ",BS146," |"),"")</f>
        <v>| [Link](http://www.therealpresence.org/eucharst/misc/BVM/19_ILE_BOUCHARD_96x96.pdf) |  |  |</v>
      </c>
      <c r="BU146" s="37" t="str">
        <f t="shared" si="71"/>
        <v xml:space="preserve">| The Real Presence | Miracle Hunter | MaryPages |_x000D_
| --- | --- | --- |_x000D_
| [Link](http://www.therealpresence.org/eucharst/misc/BVM/19_ILE_BOUCHARD_96x96.pdf) |  |  |_x000D_
</v>
      </c>
      <c r="BV146" s="37" t="str">
        <f>IF(LEN(BP146&amp;BU146)&gt;0,concatll("#### Source Material",BP146,BU146),"")</f>
        <v xml:space="preserve">#### Source Material_x000D_
_x000D_
| The Real Presence | Miracle Hunter | MaryPages |_x000D_
| --- | --- | --- |_x000D_
| [Link](http://www.therealpresence.org/eucharst/misc/BVM/19_ILE_BOUCHARD_96x96.pdf) |  |  |_x000D_
_x000D_
_x000D_
</v>
      </c>
      <c r="BW146" s="37" t="str">
        <f>IF(LEN(O146)&gt;1,concatll("#### Author's Note",O146),"")</f>
        <v/>
      </c>
      <c r="BX146" s="24" t="str">
        <f>IF(AR146,concatll(concatl("---",AS146:AU146,BK146,"---"),N146,BV146:BW146),"")</f>
        <v/>
      </c>
      <c r="BY146" s="24" t="str">
        <f>IF(AR146,VLOOKUP(C146,'(Ref) Countries'!A:B,2,)&amp;IF(LEN(D146)&gt;1,"-"&amp;LOWER(SUBSTITUTE(D146," ","-")),"")&amp;"-"&amp;LOWER(SUBSTITUTE(I146," ","-"))&amp;".md","")</f>
        <v/>
      </c>
      <c r="BZ146" s="37" t="str">
        <f>IF(LEN(AG146)&gt;1,VLOOKUP(AG146,'Tag List'!$A:$B,2,),"")</f>
        <v/>
      </c>
      <c r="CA146" s="37" t="str">
        <f>IF(LEN(AH146)&gt;1,VLOOKUP(AH146,'Tag List'!$A:$B,2,),"")</f>
        <v/>
      </c>
      <c r="CB146" s="37" t="str">
        <f>IF(LEN(AI146)&gt;1,VLOOKUP(AI146,'Tag List'!$A:$B,2,),"")</f>
        <v/>
      </c>
      <c r="CC146" s="38" t="str">
        <f>IF(LEN(AG146)&gt;1,GetTagPage(BZ146,AG146),"")</f>
        <v/>
      </c>
      <c r="CD146" s="38" t="str">
        <f>IF(LEN(AH146)&gt;1,GetTagPage(CA146,AH146),"")</f>
        <v/>
      </c>
      <c r="CE146" s="38" t="str">
        <f>IF(LEN(AI146)&gt;1,GetTagPage(CB146,AI146),"")</f>
        <v/>
      </c>
      <c r="CF146" s="38" t="str">
        <f>"|"&amp;IF(LEN(CC146)&gt;1," "&amp;CC146,"")&amp;IF(LEN(CD146)&gt;1,", "&amp;CD146,"")&amp;IF(LEN(CE146)&gt;1,", "&amp;CE146,"")&amp;" "</f>
        <v xml:space="preserve">| </v>
      </c>
      <c r="CG146" s="38" t="str">
        <f>"| "&amp;IF(AR146,"["&amp;B146&amp;"](/places/"&amp;SUBSTITUTE(BY146,".md","")&amp;")",B146)&amp;" "</f>
        <v xml:space="preserve">| Île-Bouchard </v>
      </c>
      <c r="CH146" s="38" t="str">
        <f>"| "&amp;IF(AR146,GetTagPage(C146,VLOOKUP(C146,'(Ref) Countries'!A:C,3,)),C146)&amp; " "</f>
        <v xml:space="preserve">| France </v>
      </c>
      <c r="CI146" s="38" t="str">
        <f>"| "&amp;E146&amp;" "</f>
        <v xml:space="preserve">| 1947 </v>
      </c>
      <c r="CJ146" s="38" t="str">
        <f>"|"&amp;IF(AR146," [Link](/places/"&amp;SUBSTITUTE(BY146,".md","")&amp;")","")&amp;" "</f>
        <v xml:space="preserve">| </v>
      </c>
      <c r="CK146" s="37" t="str">
        <f>"
"&amp;CG146&amp;CH146&amp;CI146&amp;CJ146&amp;BL146&amp;BQ146&amp;BR146&amp;BS146&amp;CF146&amp;"|"</f>
        <v xml:space="preserve">
| Île-Bouchard | France | 1947 | [Link](http://www.therealpresence.org/eucharst/misc/BVM/19_ILE_BOUCHARD_96x96.pdf)| |</v>
      </c>
    </row>
    <row r="147" spans="1:89" x14ac:dyDescent="0.25">
      <c r="B147" s="28" t="s">
        <v>1304</v>
      </c>
      <c r="C147" s="29" t="s">
        <v>542</v>
      </c>
      <c r="E147" s="49" t="s">
        <v>1176</v>
      </c>
      <c r="J147" s="30" t="s">
        <v>1728</v>
      </c>
      <c r="K147" s="32" t="b">
        <v>1</v>
      </c>
      <c r="L147" s="30" t="b">
        <v>1</v>
      </c>
      <c r="P147" s="30" t="s">
        <v>336</v>
      </c>
      <c r="Q147" s="30" t="s">
        <v>336</v>
      </c>
      <c r="AA147" s="71" t="s">
        <v>321</v>
      </c>
      <c r="AB147" s="30" t="s">
        <v>336</v>
      </c>
      <c r="AC147" s="30" t="s">
        <v>336</v>
      </c>
      <c r="AD147" s="30" t="s">
        <v>336</v>
      </c>
      <c r="AE147" s="30" t="s">
        <v>336</v>
      </c>
      <c r="AF147" s="67" t="s">
        <v>336</v>
      </c>
      <c r="AG147" s="30" t="s">
        <v>336</v>
      </c>
      <c r="AR147" s="36" t="b">
        <f>IF(OR(A147="Done",A147="In Progress"),TRUE)</f>
        <v>0</v>
      </c>
      <c r="AS147" s="37" t="str">
        <f>"title: """&amp;H147&amp;""""</f>
        <v>title: ""</v>
      </c>
      <c r="AT147" s="37" t="str">
        <f>"location: {lat: "&amp;F147&amp;", lng: "&amp;G147&amp;"}"</f>
        <v>location: {lat: , lng: }</v>
      </c>
      <c r="AU147" s="37" t="str">
        <f>"level: "&amp;J147</f>
        <v>level: global</v>
      </c>
      <c r="AV147" s="37" t="str">
        <f>"- "&amp;VLOOKUP(C147,'(Ref) Countries'!A:C,3,)</f>
        <v>- germany</v>
      </c>
      <c r="AW147" s="37" t="str">
        <f t="shared" si="48"/>
        <v/>
      </c>
      <c r="AX147" s="37" t="str">
        <f t="shared" si="49"/>
        <v>- churches</v>
      </c>
      <c r="AY147" s="37" t="str">
        <f t="shared" si="50"/>
        <v>- marian-sites</v>
      </c>
      <c r="AZ147" s="37" t="str">
        <f t="shared" si="51"/>
        <v/>
      </c>
      <c r="BA147" s="37" t="str">
        <f t="shared" si="52"/>
        <v/>
      </c>
      <c r="BB147" s="37" t="str">
        <f t="shared" si="53"/>
        <v/>
      </c>
      <c r="BC147" s="37" t="str">
        <f t="shared" si="54"/>
        <v/>
      </c>
      <c r="BD147" s="37" t="str">
        <f t="shared" si="55"/>
        <v/>
      </c>
      <c r="BE147" s="37" t="str">
        <f t="shared" si="56"/>
        <v/>
      </c>
      <c r="BF147" s="37" t="str">
        <f t="shared" si="57"/>
        <v/>
      </c>
      <c r="BG147" s="37" t="str">
        <f t="shared" si="58"/>
        <v/>
      </c>
      <c r="BH147" s="37" t="str">
        <f t="shared" si="59"/>
        <v/>
      </c>
      <c r="BI147" s="37" t="str">
        <f t="shared" si="60"/>
        <v/>
      </c>
      <c r="BJ147" s="37" t="str">
        <f t="shared" si="61"/>
        <v/>
      </c>
      <c r="BK147" s="37" t="str">
        <f t="shared" si="62"/>
        <v xml:space="preserve">tags:
- germany_x000D_
- churches_x000D_
- marian-sites_x000D_
</v>
      </c>
      <c r="BL147" s="38" t="str">
        <f t="shared" si="63"/>
        <v/>
      </c>
      <c r="BM147" s="38" t="str">
        <f t="shared" si="64"/>
        <v/>
      </c>
      <c r="BN147" s="38" t="str">
        <f t="shared" si="65"/>
        <v/>
      </c>
      <c r="BO147" s="38" t="str">
        <f t="shared" si="66"/>
        <v/>
      </c>
      <c r="BP147" s="38" t="str">
        <f t="shared" si="67"/>
        <v/>
      </c>
      <c r="BQ147" s="38" t="str">
        <f t="shared" si="68"/>
        <v>[Link](http://www.therealpresence.org/eucharst/misc/BVM/147_HEROLDSBACH_140x96.pdf)</v>
      </c>
      <c r="BR147" s="38" t="str">
        <f t="shared" si="69"/>
        <v/>
      </c>
      <c r="BS147" s="38" t="str">
        <f t="shared" si="70"/>
        <v/>
      </c>
      <c r="BT147" s="38" t="str">
        <f>IF(LEN(concat(BQ147:BS147))&gt;0,concat("| ",BQ147," | ",BR147," | ",BS147," |"),"")</f>
        <v>| [Link](http://www.therealpresence.org/eucharst/misc/BVM/147_HEROLDSBACH_140x96.pdf) |  |  |</v>
      </c>
      <c r="BU147" s="37" t="str">
        <f t="shared" si="71"/>
        <v xml:space="preserve">| The Real Presence | Miracle Hunter | MaryPages |_x000D_
| --- | --- | --- |_x000D_
| [Link](http://www.therealpresence.org/eucharst/misc/BVM/147_HEROLDSBACH_140x96.pdf) |  |  |_x000D_
</v>
      </c>
      <c r="BV147" s="37" t="str">
        <f>IF(LEN(BP147&amp;BU147)&gt;0,concatll("#### Source Material",BP147,BU147),"")</f>
        <v xml:space="preserve">#### Source Material_x000D_
_x000D_
| The Real Presence | Miracle Hunter | MaryPages |_x000D_
| --- | --- | --- |_x000D_
| [Link](http://www.therealpresence.org/eucharst/misc/BVM/147_HEROLDSBACH_140x96.pdf) |  |  |_x000D_
_x000D_
_x000D_
</v>
      </c>
      <c r="BW147" s="37" t="str">
        <f>IF(LEN(O147)&gt;1,concatll("#### Author's Note",O147),"")</f>
        <v/>
      </c>
      <c r="BX147" s="24" t="str">
        <f>IF(AR147,concatll(concatl("---",AS147:AU147,BK147,"---"),N147,BV147:BW147),"")</f>
        <v/>
      </c>
      <c r="BY147" s="24" t="str">
        <f>IF(AR147,VLOOKUP(C147,'(Ref) Countries'!A:B,2,)&amp;IF(LEN(D147)&gt;1,"-"&amp;LOWER(SUBSTITUTE(D147," ","-")),"")&amp;"-"&amp;LOWER(SUBSTITUTE(I147," ","-"))&amp;".md","")</f>
        <v/>
      </c>
      <c r="BZ147" s="37" t="str">
        <f>IF(LEN(AG147)&gt;1,VLOOKUP(AG147,'Tag List'!$A:$B,2,),"")</f>
        <v/>
      </c>
      <c r="CA147" s="37" t="str">
        <f>IF(LEN(AH147)&gt;1,VLOOKUP(AH147,'Tag List'!$A:$B,2,),"")</f>
        <v/>
      </c>
      <c r="CB147" s="37" t="str">
        <f>IF(LEN(AI147)&gt;1,VLOOKUP(AI147,'Tag List'!$A:$B,2,),"")</f>
        <v/>
      </c>
      <c r="CC147" s="38" t="str">
        <f>IF(LEN(AG147)&gt;1,GetTagPage(BZ147,AG147),"")</f>
        <v/>
      </c>
      <c r="CD147" s="38" t="str">
        <f>IF(LEN(AH147)&gt;1,GetTagPage(CA147,AH147),"")</f>
        <v/>
      </c>
      <c r="CE147" s="38" t="str">
        <f>IF(LEN(AI147)&gt;1,GetTagPage(CB147,AI147),"")</f>
        <v/>
      </c>
      <c r="CF147" s="38" t="str">
        <f>"|"&amp;IF(LEN(CC147)&gt;1," "&amp;CC147,"")&amp;IF(LEN(CD147)&gt;1,", "&amp;CD147,"")&amp;IF(LEN(CE147)&gt;1,", "&amp;CE147,"")&amp;" "</f>
        <v xml:space="preserve">| </v>
      </c>
      <c r="CG147" s="38" t="str">
        <f>"| "&amp;IF(AR147,"["&amp;B147&amp;"](/places/"&amp;SUBSTITUTE(BY147,".md","")&amp;")",B147)&amp;" "</f>
        <v xml:space="preserve">| Heroldsbach </v>
      </c>
      <c r="CH147" s="38" t="str">
        <f>"| "&amp;IF(AR147,GetTagPage(C147,VLOOKUP(C147,'(Ref) Countries'!A:C,3,)),C147)&amp; " "</f>
        <v xml:space="preserve">| Germany </v>
      </c>
      <c r="CI147" s="38" t="str">
        <f>"| "&amp;E147&amp;" "</f>
        <v xml:space="preserve">| 1949-1952 </v>
      </c>
      <c r="CJ147" s="38" t="str">
        <f>"|"&amp;IF(AR147," [Link](/places/"&amp;SUBSTITUTE(BY147,".md","")&amp;")","")&amp;" "</f>
        <v xml:space="preserve">| </v>
      </c>
      <c r="CK147" s="37" t="str">
        <f>"
"&amp;CG147&amp;CH147&amp;CI147&amp;CJ147&amp;BL147&amp;BQ147&amp;BR147&amp;BS147&amp;CF147&amp;"|"</f>
        <v xml:space="preserve">
| Heroldsbach | Germany | 1949-1952 | [Link](http://www.therealpresence.org/eucharst/misc/BVM/147_HEROLDSBACH_140x96.pdf)| |</v>
      </c>
    </row>
    <row r="148" spans="1:89" x14ac:dyDescent="0.25">
      <c r="B148" s="28" t="s">
        <v>1305</v>
      </c>
      <c r="C148" s="29" t="s">
        <v>11</v>
      </c>
      <c r="E148" s="31">
        <v>1951</v>
      </c>
      <c r="J148" s="30" t="s">
        <v>1728</v>
      </c>
      <c r="K148" s="32" t="b">
        <v>1</v>
      </c>
      <c r="L148" s="30" t="b">
        <v>1</v>
      </c>
      <c r="P148" s="30" t="s">
        <v>336</v>
      </c>
      <c r="Q148" s="30" t="s">
        <v>336</v>
      </c>
      <c r="AA148" s="71" t="s">
        <v>322</v>
      </c>
      <c r="AB148" s="30" t="s">
        <v>336</v>
      </c>
      <c r="AC148" s="30" t="s">
        <v>336</v>
      </c>
      <c r="AD148" s="30" t="s">
        <v>336</v>
      </c>
      <c r="AE148" s="30" t="s">
        <v>336</v>
      </c>
      <c r="AF148" s="67" t="s">
        <v>336</v>
      </c>
      <c r="AG148" s="30" t="s">
        <v>336</v>
      </c>
      <c r="AR148" s="36" t="b">
        <f>IF(OR(A148="Done",A148="In Progress"),TRUE)</f>
        <v>0</v>
      </c>
      <c r="AS148" s="37" t="str">
        <f>"title: """&amp;H148&amp;""""</f>
        <v>title: ""</v>
      </c>
      <c r="AT148" s="37" t="str">
        <f>"location: {lat: "&amp;F148&amp;", lng: "&amp;G148&amp;"}"</f>
        <v>location: {lat: , lng: }</v>
      </c>
      <c r="AU148" s="37" t="str">
        <f>"level: "&amp;J148</f>
        <v>level: global</v>
      </c>
      <c r="AV148" s="37" t="str">
        <f>"- "&amp;VLOOKUP(C148,'(Ref) Countries'!A:C,3,)</f>
        <v>- italy</v>
      </c>
      <c r="AW148" s="37" t="str">
        <f t="shared" si="48"/>
        <v/>
      </c>
      <c r="AX148" s="37" t="str">
        <f t="shared" si="49"/>
        <v>- churches</v>
      </c>
      <c r="AY148" s="37" t="str">
        <f t="shared" si="50"/>
        <v>- marian-sites</v>
      </c>
      <c r="AZ148" s="37" t="str">
        <f t="shared" si="51"/>
        <v/>
      </c>
      <c r="BA148" s="37" t="str">
        <f t="shared" si="52"/>
        <v/>
      </c>
      <c r="BB148" s="37" t="str">
        <f t="shared" si="53"/>
        <v/>
      </c>
      <c r="BC148" s="37" t="str">
        <f t="shared" si="54"/>
        <v/>
      </c>
      <c r="BD148" s="37" t="str">
        <f t="shared" si="55"/>
        <v/>
      </c>
      <c r="BE148" s="37" t="str">
        <f t="shared" si="56"/>
        <v/>
      </c>
      <c r="BF148" s="37" t="str">
        <f t="shared" si="57"/>
        <v/>
      </c>
      <c r="BG148" s="37" t="str">
        <f t="shared" si="58"/>
        <v/>
      </c>
      <c r="BH148" s="37" t="str">
        <f t="shared" si="59"/>
        <v/>
      </c>
      <c r="BI148" s="37" t="str">
        <f t="shared" si="60"/>
        <v/>
      </c>
      <c r="BJ148" s="37" t="str">
        <f t="shared" si="61"/>
        <v/>
      </c>
      <c r="BK148" s="37" t="str">
        <f t="shared" si="62"/>
        <v xml:space="preserve">tags:
- italy_x000D_
- churches_x000D_
- marian-sites_x000D_
</v>
      </c>
      <c r="BL148" s="38" t="str">
        <f t="shared" si="63"/>
        <v/>
      </c>
      <c r="BM148" s="38" t="str">
        <f t="shared" si="64"/>
        <v/>
      </c>
      <c r="BN148" s="38" t="str">
        <f t="shared" si="65"/>
        <v/>
      </c>
      <c r="BO148" s="38" t="str">
        <f t="shared" si="66"/>
        <v/>
      </c>
      <c r="BP148" s="38" t="str">
        <f t="shared" si="67"/>
        <v/>
      </c>
      <c r="BQ148" s="38" t="str">
        <f t="shared" si="68"/>
        <v>[Link](http://www.therealpresence.org/eucharst/misc/BVM/113_ROGOROTTO_60x96.pdf)</v>
      </c>
      <c r="BR148" s="38" t="str">
        <f t="shared" si="69"/>
        <v/>
      </c>
      <c r="BS148" s="38" t="str">
        <f t="shared" si="70"/>
        <v/>
      </c>
      <c r="BT148" s="38" t="str">
        <f>IF(LEN(concat(BQ148:BS148))&gt;0,concat("| ",BQ148," | ",BR148," | ",BS148," |"),"")</f>
        <v>| [Link](http://www.therealpresence.org/eucharst/misc/BVM/113_ROGOROTTO_60x96.pdf) |  |  |</v>
      </c>
      <c r="BU148" s="37" t="str">
        <f t="shared" si="71"/>
        <v xml:space="preserve">| The Real Presence | Miracle Hunter | MaryPages |_x000D_
| --- | --- | --- |_x000D_
| [Link](http://www.therealpresence.org/eucharst/misc/BVM/113_ROGOROTTO_60x96.pdf) |  |  |_x000D_
</v>
      </c>
      <c r="BV148" s="37" t="str">
        <f>IF(LEN(BP148&amp;BU148)&gt;0,concatll("#### Source Material",BP148,BU148),"")</f>
        <v xml:space="preserve">#### Source Material_x000D_
_x000D_
| The Real Presence | Miracle Hunter | MaryPages |_x000D_
| --- | --- | --- |_x000D_
| [Link](http://www.therealpresence.org/eucharst/misc/BVM/113_ROGOROTTO_60x96.pdf) |  |  |_x000D_
_x000D_
_x000D_
</v>
      </c>
      <c r="BW148" s="37" t="str">
        <f>IF(LEN(O148)&gt;1,concatll("#### Author's Note",O148),"")</f>
        <v/>
      </c>
      <c r="BX148" s="24" t="str">
        <f>IF(AR148,concatll(concatl("---",AS148:AU148,BK148,"---"),N148,BV148:BW148),"")</f>
        <v/>
      </c>
      <c r="BY148" s="24" t="str">
        <f>IF(AR148,VLOOKUP(C148,'(Ref) Countries'!A:B,2,)&amp;IF(LEN(D148)&gt;1,"-"&amp;LOWER(SUBSTITUTE(D148," ","-")),"")&amp;"-"&amp;LOWER(SUBSTITUTE(I148," ","-"))&amp;".md","")</f>
        <v/>
      </c>
      <c r="BZ148" s="37" t="str">
        <f>IF(LEN(AG148)&gt;1,VLOOKUP(AG148,'Tag List'!$A:$B,2,),"")</f>
        <v/>
      </c>
      <c r="CA148" s="37" t="str">
        <f>IF(LEN(AH148)&gt;1,VLOOKUP(AH148,'Tag List'!$A:$B,2,),"")</f>
        <v/>
      </c>
      <c r="CB148" s="37" t="str">
        <f>IF(LEN(AI148)&gt;1,VLOOKUP(AI148,'Tag List'!$A:$B,2,),"")</f>
        <v/>
      </c>
      <c r="CC148" s="38" t="str">
        <f>IF(LEN(AG148)&gt;1,GetTagPage(BZ148,AG148),"")</f>
        <v/>
      </c>
      <c r="CD148" s="38" t="str">
        <f>IF(LEN(AH148)&gt;1,GetTagPage(CA148,AH148),"")</f>
        <v/>
      </c>
      <c r="CE148" s="38" t="str">
        <f>IF(LEN(AI148)&gt;1,GetTagPage(CB148,AI148),"")</f>
        <v/>
      </c>
      <c r="CF148" s="38" t="str">
        <f>"|"&amp;IF(LEN(CC148)&gt;1," "&amp;CC148,"")&amp;IF(LEN(CD148)&gt;1,", "&amp;CD148,"")&amp;IF(LEN(CE148)&gt;1,", "&amp;CE148,"")&amp;" "</f>
        <v xml:space="preserve">| </v>
      </c>
      <c r="CG148" s="38" t="str">
        <f>"| "&amp;IF(AR148,"["&amp;B148&amp;"](/places/"&amp;SUBSTITUTE(BY148,".md","")&amp;")",B148)&amp;" "</f>
        <v xml:space="preserve">| Rogorotto </v>
      </c>
      <c r="CH148" s="38" t="str">
        <f>"| "&amp;IF(AR148,GetTagPage(C148,VLOOKUP(C148,'(Ref) Countries'!A:C,3,)),C148)&amp; " "</f>
        <v xml:space="preserve">| Italy </v>
      </c>
      <c r="CI148" s="38" t="str">
        <f>"| "&amp;E148&amp;" "</f>
        <v xml:space="preserve">| 1951 </v>
      </c>
      <c r="CJ148" s="38" t="str">
        <f>"|"&amp;IF(AR148," [Link](/places/"&amp;SUBSTITUTE(BY148,".md","")&amp;")","")&amp;" "</f>
        <v xml:space="preserve">| </v>
      </c>
      <c r="CK148" s="37" t="str">
        <f>"
"&amp;CG148&amp;CH148&amp;CI148&amp;CJ148&amp;BL148&amp;BQ148&amp;BR148&amp;BS148&amp;CF148&amp;"|"</f>
        <v xml:space="preserve">
| Rogorotto | Italy | 1951 | [Link](http://www.therealpresence.org/eucharst/misc/BVM/113_ROGOROTTO_60x96.pdf)| |</v>
      </c>
    </row>
    <row r="149" spans="1:89" x14ac:dyDescent="0.25">
      <c r="B149" s="28" t="s">
        <v>1306</v>
      </c>
      <c r="C149" s="29" t="s">
        <v>11</v>
      </c>
      <c r="E149" s="31">
        <v>1953</v>
      </c>
      <c r="J149" s="30" t="s">
        <v>1728</v>
      </c>
      <c r="K149" s="32" t="b">
        <v>1</v>
      </c>
      <c r="L149" s="30" t="b">
        <v>1</v>
      </c>
      <c r="P149" s="30" t="s">
        <v>336</v>
      </c>
      <c r="Q149" s="30" t="s">
        <v>336</v>
      </c>
      <c r="AA149" s="71" t="s">
        <v>323</v>
      </c>
      <c r="AB149" s="30" t="s">
        <v>336</v>
      </c>
      <c r="AC149" s="30" t="s">
        <v>336</v>
      </c>
      <c r="AD149" s="30" t="s">
        <v>336</v>
      </c>
      <c r="AE149" s="30" t="s">
        <v>336</v>
      </c>
      <c r="AF149" s="67" t="s">
        <v>336</v>
      </c>
      <c r="AG149" s="30" t="s">
        <v>336</v>
      </c>
      <c r="AR149" s="36" t="b">
        <f>IF(OR(A149="Done",A149="In Progress"),TRUE)</f>
        <v>0</v>
      </c>
      <c r="AS149" s="37" t="str">
        <f>"title: """&amp;H149&amp;""""</f>
        <v>title: ""</v>
      </c>
      <c r="AT149" s="37" t="str">
        <f>"location: {lat: "&amp;F149&amp;", lng: "&amp;G149&amp;"}"</f>
        <v>location: {lat: , lng: }</v>
      </c>
      <c r="AU149" s="37" t="str">
        <f>"level: "&amp;J149</f>
        <v>level: global</v>
      </c>
      <c r="AV149" s="37" t="str">
        <f>"- "&amp;VLOOKUP(C149,'(Ref) Countries'!A:C,3,)</f>
        <v>- italy</v>
      </c>
      <c r="AW149" s="37" t="str">
        <f t="shared" si="48"/>
        <v/>
      </c>
      <c r="AX149" s="37" t="str">
        <f t="shared" si="49"/>
        <v>- churches</v>
      </c>
      <c r="AY149" s="37" t="str">
        <f t="shared" si="50"/>
        <v>- marian-sites</v>
      </c>
      <c r="AZ149" s="37" t="str">
        <f t="shared" si="51"/>
        <v/>
      </c>
      <c r="BA149" s="37" t="str">
        <f t="shared" si="52"/>
        <v/>
      </c>
      <c r="BB149" s="37" t="str">
        <f t="shared" si="53"/>
        <v/>
      </c>
      <c r="BC149" s="37" t="str">
        <f t="shared" si="54"/>
        <v/>
      </c>
      <c r="BD149" s="37" t="str">
        <f t="shared" si="55"/>
        <v/>
      </c>
      <c r="BE149" s="37" t="str">
        <f t="shared" si="56"/>
        <v/>
      </c>
      <c r="BF149" s="37" t="str">
        <f t="shared" si="57"/>
        <v/>
      </c>
      <c r="BG149" s="37" t="str">
        <f t="shared" si="58"/>
        <v/>
      </c>
      <c r="BH149" s="37" t="str">
        <f t="shared" si="59"/>
        <v/>
      </c>
      <c r="BI149" s="37" t="str">
        <f t="shared" si="60"/>
        <v/>
      </c>
      <c r="BJ149" s="37" t="str">
        <f t="shared" si="61"/>
        <v/>
      </c>
      <c r="BK149" s="37" t="str">
        <f t="shared" si="62"/>
        <v xml:space="preserve">tags:
- italy_x000D_
- churches_x000D_
- marian-sites_x000D_
</v>
      </c>
      <c r="BL149" s="38" t="str">
        <f t="shared" si="63"/>
        <v/>
      </c>
      <c r="BM149" s="38" t="str">
        <f t="shared" si="64"/>
        <v/>
      </c>
      <c r="BN149" s="38" t="str">
        <f t="shared" si="65"/>
        <v/>
      </c>
      <c r="BO149" s="38" t="str">
        <f t="shared" si="66"/>
        <v/>
      </c>
      <c r="BP149" s="38" t="str">
        <f t="shared" si="67"/>
        <v/>
      </c>
      <c r="BQ149" s="38" t="str">
        <f t="shared" si="68"/>
        <v>[Link](http://www.therealpresence.org/eucharst/misc/BVM/28_SIRACUSA_60x96.pdf)</v>
      </c>
      <c r="BR149" s="38" t="str">
        <f t="shared" si="69"/>
        <v/>
      </c>
      <c r="BS149" s="38" t="str">
        <f t="shared" si="70"/>
        <v/>
      </c>
      <c r="BT149" s="38" t="str">
        <f>IF(LEN(concat(BQ149:BS149))&gt;0,concat("| ",BQ149," | ",BR149," | ",BS149," |"),"")</f>
        <v>| [Link](http://www.therealpresence.org/eucharst/misc/BVM/28_SIRACUSA_60x96.pdf) |  |  |</v>
      </c>
      <c r="BU149" s="37" t="str">
        <f t="shared" si="71"/>
        <v xml:space="preserve">| The Real Presence | Miracle Hunter | MaryPages |_x000D_
| --- | --- | --- |_x000D_
| [Link](http://www.therealpresence.org/eucharst/misc/BVM/28_SIRACUSA_60x96.pdf) |  |  |_x000D_
</v>
      </c>
      <c r="BV149" s="37" t="str">
        <f>IF(LEN(BP149&amp;BU149)&gt;0,concatll("#### Source Material",BP149,BU149),"")</f>
        <v xml:space="preserve">#### Source Material_x000D_
_x000D_
| The Real Presence | Miracle Hunter | MaryPages |_x000D_
| --- | --- | --- |_x000D_
| [Link](http://www.therealpresence.org/eucharst/misc/BVM/28_SIRACUSA_60x96.pdf) |  |  |_x000D_
_x000D_
_x000D_
</v>
      </c>
      <c r="BW149" s="37" t="str">
        <f>IF(LEN(O149)&gt;1,concatll("#### Author's Note",O149),"")</f>
        <v/>
      </c>
      <c r="BX149" s="24" t="str">
        <f>IF(AR149,concatll(concatl("---",AS149:AU149,BK149,"---"),N149,BV149:BW149),"")</f>
        <v/>
      </c>
      <c r="BY149" s="24" t="str">
        <f>IF(AR149,VLOOKUP(C149,'(Ref) Countries'!A:B,2,)&amp;IF(LEN(D149)&gt;1,"-"&amp;LOWER(SUBSTITUTE(D149," ","-")),"")&amp;"-"&amp;LOWER(SUBSTITUTE(I149," ","-"))&amp;".md","")</f>
        <v/>
      </c>
      <c r="BZ149" s="37" t="str">
        <f>IF(LEN(AG149)&gt;1,VLOOKUP(AG149,'Tag List'!$A:$B,2,),"")</f>
        <v/>
      </c>
      <c r="CA149" s="37" t="str">
        <f>IF(LEN(AH149)&gt;1,VLOOKUP(AH149,'Tag List'!$A:$B,2,),"")</f>
        <v/>
      </c>
      <c r="CB149" s="37" t="str">
        <f>IF(LEN(AI149)&gt;1,VLOOKUP(AI149,'Tag List'!$A:$B,2,),"")</f>
        <v/>
      </c>
      <c r="CC149" s="38" t="str">
        <f>IF(LEN(AG149)&gt;1,GetTagPage(BZ149,AG149),"")</f>
        <v/>
      </c>
      <c r="CD149" s="38" t="str">
        <f>IF(LEN(AH149)&gt;1,GetTagPage(CA149,AH149),"")</f>
        <v/>
      </c>
      <c r="CE149" s="38" t="str">
        <f>IF(LEN(AI149)&gt;1,GetTagPage(CB149,AI149),"")</f>
        <v/>
      </c>
      <c r="CF149" s="38" t="str">
        <f>"|"&amp;IF(LEN(CC149)&gt;1," "&amp;CC149,"")&amp;IF(LEN(CD149)&gt;1,", "&amp;CD149,"")&amp;IF(LEN(CE149)&gt;1,", "&amp;CE149,"")&amp;" "</f>
        <v xml:space="preserve">| </v>
      </c>
      <c r="CG149" s="38" t="str">
        <f>"| "&amp;IF(AR149,"["&amp;B149&amp;"](/places/"&amp;SUBSTITUTE(BY149,".md","")&amp;")",B149)&amp;" "</f>
        <v xml:space="preserve">| Syracuse </v>
      </c>
      <c r="CH149" s="38" t="str">
        <f>"| "&amp;IF(AR149,GetTagPage(C149,VLOOKUP(C149,'(Ref) Countries'!A:C,3,)),C149)&amp; " "</f>
        <v xml:space="preserve">| Italy </v>
      </c>
      <c r="CI149" s="38" t="str">
        <f>"| "&amp;E149&amp;" "</f>
        <v xml:space="preserve">| 1953 </v>
      </c>
      <c r="CJ149" s="38" t="str">
        <f>"|"&amp;IF(AR149," [Link](/places/"&amp;SUBSTITUTE(BY149,".md","")&amp;")","")&amp;" "</f>
        <v xml:space="preserve">| </v>
      </c>
      <c r="CK149" s="37" t="str">
        <f>"
"&amp;CG149&amp;CH149&amp;CI149&amp;CJ149&amp;BL149&amp;BQ149&amp;BR149&amp;BS149&amp;CF149&amp;"|"</f>
        <v xml:space="preserve">
| Syracuse | Italy | 1953 | [Link](http://www.therealpresence.org/eucharst/misc/BVM/28_SIRACUSA_60x96.pdf)| |</v>
      </c>
    </row>
    <row r="150" spans="1:89" ht="25.5" x14ac:dyDescent="0.25">
      <c r="A150" s="25" t="s">
        <v>1052</v>
      </c>
      <c r="B150" s="28" t="s">
        <v>1307</v>
      </c>
      <c r="C150" s="29" t="s">
        <v>706</v>
      </c>
      <c r="E150" s="31" t="s">
        <v>1179</v>
      </c>
      <c r="F150" s="71">
        <v>-27.855349035650701</v>
      </c>
      <c r="G150" s="67">
        <v>31.453787971164701</v>
      </c>
      <c r="H150" s="29" t="s">
        <v>1322</v>
      </c>
      <c r="I150" s="75" t="s">
        <v>1322</v>
      </c>
      <c r="J150" s="30" t="s">
        <v>1728</v>
      </c>
      <c r="K150" s="32" t="b">
        <v>1</v>
      </c>
      <c r="L150" s="30" t="b">
        <v>1</v>
      </c>
      <c r="N150" s="29" t="s">
        <v>1337</v>
      </c>
      <c r="O150" s="77"/>
      <c r="P150" s="30" t="s">
        <v>1338</v>
      </c>
      <c r="Q150" s="66" t="s">
        <v>1837</v>
      </c>
      <c r="R150" s="83" t="s">
        <v>1838</v>
      </c>
      <c r="S150" s="30" t="s">
        <v>1835</v>
      </c>
      <c r="AA150" s="71" t="s">
        <v>324</v>
      </c>
      <c r="AB150" s="30" t="s">
        <v>336</v>
      </c>
      <c r="AC150" s="30" t="s">
        <v>336</v>
      </c>
      <c r="AD150" s="30" t="s">
        <v>336</v>
      </c>
      <c r="AE150" s="30" t="s">
        <v>336</v>
      </c>
      <c r="AF150" s="67" t="s">
        <v>336</v>
      </c>
      <c r="AG150" s="30" t="s">
        <v>1323</v>
      </c>
      <c r="AR150" s="36" t="b">
        <f>IF(OR(A150="Done",A150="In Progress"),TRUE)</f>
        <v>1</v>
      </c>
      <c r="AS150" s="37" t="str">
        <f>"title: """&amp;H150&amp;""""</f>
        <v>title: "Ngome Marian Shrine"</v>
      </c>
      <c r="AT150" s="37" t="str">
        <f>"location: {lat: "&amp;F150&amp;", lng: "&amp;G150&amp;"}"</f>
        <v>location: {lat: -27.8553490356507, lng: 31.4537879711647}</v>
      </c>
      <c r="AU150" s="37" t="str">
        <f>"level: "&amp;J150</f>
        <v>level: global</v>
      </c>
      <c r="AV150" s="37" t="str">
        <f>"- "&amp;VLOOKUP(C150,'(Ref) Countries'!A:C,3,)</f>
        <v>- south-africa</v>
      </c>
      <c r="AW150" s="37" t="str">
        <f t="shared" si="48"/>
        <v/>
      </c>
      <c r="AX150" s="37" t="str">
        <f t="shared" si="49"/>
        <v>- churches</v>
      </c>
      <c r="AY150" s="37" t="str">
        <f t="shared" si="50"/>
        <v>- marian-sites</v>
      </c>
      <c r="AZ150" s="37" t="str">
        <f t="shared" si="51"/>
        <v/>
      </c>
      <c r="BA150" s="37" t="str">
        <f t="shared" si="52"/>
        <v>- reinolda-may</v>
      </c>
      <c r="BB150" s="37" t="str">
        <f t="shared" si="53"/>
        <v/>
      </c>
      <c r="BC150" s="37" t="str">
        <f t="shared" si="54"/>
        <v/>
      </c>
      <c r="BD150" s="37" t="str">
        <f t="shared" si="55"/>
        <v/>
      </c>
      <c r="BE150" s="37" t="str">
        <f t="shared" si="56"/>
        <v/>
      </c>
      <c r="BF150" s="37" t="str">
        <f t="shared" si="57"/>
        <v/>
      </c>
      <c r="BG150" s="37" t="str">
        <f t="shared" si="58"/>
        <v/>
      </c>
      <c r="BH150" s="37" t="str">
        <f t="shared" si="59"/>
        <v/>
      </c>
      <c r="BI150" s="37" t="str">
        <f t="shared" si="60"/>
        <v/>
      </c>
      <c r="BJ150" s="37" t="str">
        <f t="shared" si="61"/>
        <v/>
      </c>
      <c r="BK150" s="37" t="str">
        <f t="shared" si="62"/>
        <v xml:space="preserve">tags:
- south-africa_x000D_
- churches_x000D_
- marian-sites_x000D_
- reinolda-may_x000D_
</v>
      </c>
      <c r="BL150" s="38" t="str">
        <f t="shared" si="63"/>
        <v>[Official site](http://www.ngome.co.za/) (note: website not active at time of writing)</v>
      </c>
      <c r="BM150" s="38" t="str">
        <f t="shared" si="64"/>
        <v>[Official Facebook page](https://www.facebook.com/ngomemarianshrine/)</v>
      </c>
      <c r="BN150" s="38" t="str">
        <f t="shared" si="65"/>
        <v/>
      </c>
      <c r="BO150" s="38" t="str">
        <f t="shared" si="66"/>
        <v/>
      </c>
      <c r="BP150" s="38" t="str">
        <f t="shared" si="67"/>
        <v xml:space="preserve">* [Official site](http://www.ngome.co.za/) (note: website not active at time of writing)
* [Official Facebook page](https://www.facebook.com/ngomemarianshrine/)
</v>
      </c>
      <c r="BQ150" s="38" t="str">
        <f t="shared" si="68"/>
        <v>[Link](http://www.therealpresence.org/eucharst/misc/BVM/124_NGOME_140x96.pdf)</v>
      </c>
      <c r="BR150" s="38" t="str">
        <f t="shared" si="69"/>
        <v/>
      </c>
      <c r="BS150" s="38" t="str">
        <f t="shared" si="70"/>
        <v/>
      </c>
      <c r="BT150" s="38" t="str">
        <f>IF(LEN(concat(BQ150:BS150))&gt;0,concat("| ",BQ150," | ",BR150," | ",BS150," |"),"")</f>
        <v>| [Link](http://www.therealpresence.org/eucharst/misc/BVM/124_NGOME_140x96.pdf) |  |  |</v>
      </c>
      <c r="BU150" s="37" t="str">
        <f t="shared" si="71"/>
        <v xml:space="preserve">| The Real Presence | Miracle Hunter | MaryPages |_x000D_
| --- | --- | --- |_x000D_
| [Link](http://www.therealpresence.org/eucharst/misc/BVM/124_NGOME_140x96.pdf) |  |  |_x000D_
</v>
      </c>
      <c r="BV150" s="37" t="str">
        <f>IF(LEN(BP150&amp;BU150)&gt;0,concatll("#### Source Material",BP150,BU150),"")</f>
        <v xml:space="preserve">#### Source Material_x000D_
_x000D_
* [Official site](http://www.ngome.co.za/) (note: website not active at time of writing)
* [Official Facebook page](https://www.facebook.com/ngomemarianshrine/)
_x000D_
_x000D_
| The Real Presence | Miracle Hunter | MaryPages |_x000D_
| --- | --- | --- |_x000D_
| [Link](http://www.therealpresence.org/eucharst/misc/BVM/124_NGOME_140x96.pdf) |  |  |_x000D_
_x000D_
_x000D_
</v>
      </c>
      <c r="BW150" s="37" t="str">
        <f>IF(LEN(O150)&gt;1,concatll("#### Author's Note",O150),"")</f>
        <v/>
      </c>
      <c r="BX150" s="24" t="str">
        <f>IF(AR150,concatll(concatl("---",AS150:AU150,BK150,"---"),N150,BV150:BW150),"")</f>
        <v xml:space="preserve">---_x000D_
title: "Ngome Marian Shrine"_x000D_
location: {lat: -27.8553490356507, lng: 31.4537879711647}_x000D_
level: global_x000D_
tags:
- south-africa_x000D_
- churches_x000D_
- marian-sites_x000D_
- reinolda-may_x000D_
_x000D_
---_x000D_
_x000D_
_x000D_
_Research in progress__x000D_
_x000D_
#### Source Material_x000D_
_x000D_
* [Official site](http://www.ngome.co.za/) (note: website not active at time of writing)
* [Official Facebook page](https://www.facebook.com/ngomemarianshrine/)
_x000D_
_x000D_
| The Real Presence | Miracle Hunter | MaryPages |_x000D_
| --- | --- | --- |_x000D_
| [Link](http://www.therealpresence.org/eucharst/misc/BVM/124_NGOME_140x96.pdf) |  |  |_x000D_
_x000D_
_x000D_
_x000D_
_x000D_
</v>
      </c>
      <c r="BY150" s="24" t="str">
        <f>IF(AR150,VLOOKUP(C150,'(Ref) Countries'!A:B,2,)&amp;IF(LEN(D150)&gt;1,"-"&amp;LOWER(SUBSTITUTE(D150," ","-")),"")&amp;"-"&amp;LOWER(SUBSTITUTE(I150," ","-"))&amp;".md","")</f>
        <v>za-ngome-marian-shrine.md</v>
      </c>
      <c r="BZ150" s="37" t="str">
        <f>IF(LEN(AG150)&gt;1,VLOOKUP(AG150,'Tag List'!$A:$B,2,),"")</f>
        <v>? Reinolda May</v>
      </c>
      <c r="CA150" s="37" t="str">
        <f>IF(LEN(AH150)&gt;1,VLOOKUP(AH150,'Tag List'!$A:$B,2,),"")</f>
        <v/>
      </c>
      <c r="CB150" s="37" t="str">
        <f>IF(LEN(AI150)&gt;1,VLOOKUP(AI150,'Tag List'!$A:$B,2,),"")</f>
        <v/>
      </c>
      <c r="CC150" s="38" t="str">
        <f>IF(LEN(AG150)&gt;1,GetTagPage(BZ150,AG150),"")</f>
        <v>[? Reinolda May](/tags/reinolda-may)</v>
      </c>
      <c r="CD150" s="38" t="str">
        <f>IF(LEN(AH150)&gt;1,GetTagPage(CA150,AH150),"")</f>
        <v/>
      </c>
      <c r="CE150" s="38" t="str">
        <f>IF(LEN(AI150)&gt;1,GetTagPage(CB150,AI150),"")</f>
        <v/>
      </c>
      <c r="CF150" s="38" t="str">
        <f>"|"&amp;IF(LEN(CC150)&gt;1," "&amp;CC150,"")&amp;IF(LEN(CD150)&gt;1,", "&amp;CD150,"")&amp;IF(LEN(CE150)&gt;1,", "&amp;CE150,"")&amp;" "</f>
        <v xml:space="preserve">| [? Reinolda May](/tags/reinolda-may) </v>
      </c>
      <c r="CG150" s="38" t="str">
        <f>"| "&amp;IF(AR150,"["&amp;B150&amp;"](/places/"&amp;SUBSTITUTE(BY150,".md","")&amp;")",B150)&amp;" "</f>
        <v xml:space="preserve">| [Ngome](/places/za-ngome-marian-shrine) </v>
      </c>
      <c r="CH150" s="38" t="str">
        <f>"| "&amp;IF(AR150,GetTagPage(C150,VLOOKUP(C150,'(Ref) Countries'!A:C,3,)),C150)&amp; " "</f>
        <v xml:space="preserve">| [South Africa](/tags/south-africa) </v>
      </c>
      <c r="CI150" s="38" t="str">
        <f>"| "&amp;E150&amp;" "</f>
        <v xml:space="preserve">| 1955-1971 </v>
      </c>
      <c r="CJ150" s="38" t="str">
        <f>"|"&amp;IF(AR150," [Link](/places/"&amp;SUBSTITUTE(BY150,".md","")&amp;")","")&amp;" "</f>
        <v xml:space="preserve">| [Link](/places/za-ngome-marian-shrine) </v>
      </c>
      <c r="CK150" s="37" t="str">
        <f>"
"&amp;CG150&amp;CH150&amp;CI150&amp;CJ150&amp;BL150&amp;BQ150&amp;BR150&amp;BS150&amp;CF150&amp;"|"</f>
        <v xml:space="preserve">
| [Ngome](/places/za-ngome-marian-shrine) | [South Africa](/tags/south-africa) | 1955-1971 | [Link](/places/za-ngome-marian-shrine) [Official site](http://www.ngome.co.za/) (note: website not active at time of writing)[Link](http://www.therealpresence.org/eucharst/misc/BVM/124_NGOME_140x96.pdf)| [? Reinolda May](/tags/reinolda-may) |</v>
      </c>
    </row>
    <row r="151" spans="1:89" ht="38.25" x14ac:dyDescent="0.25">
      <c r="B151" s="28" t="s">
        <v>1308</v>
      </c>
      <c r="C151" s="29" t="s">
        <v>697</v>
      </c>
      <c r="E151" s="31" t="s">
        <v>1180</v>
      </c>
      <c r="J151" s="30" t="s">
        <v>1728</v>
      </c>
      <c r="K151" s="32" t="b">
        <v>1</v>
      </c>
      <c r="L151" s="30" t="b">
        <v>1</v>
      </c>
      <c r="P151" s="30" t="s">
        <v>336</v>
      </c>
      <c r="Q151" s="30" t="s">
        <v>336</v>
      </c>
      <c r="AA151" s="71" t="s">
        <v>325</v>
      </c>
      <c r="AB151" s="30" t="s">
        <v>336</v>
      </c>
      <c r="AC151" s="30" t="s">
        <v>336</v>
      </c>
      <c r="AD151" s="30" t="s">
        <v>336</v>
      </c>
      <c r="AE151" s="30" t="s">
        <v>336</v>
      </c>
      <c r="AF151" s="67" t="s">
        <v>336</v>
      </c>
      <c r="AG151" s="30" t="s">
        <v>336</v>
      </c>
      <c r="AR151" s="36" t="b">
        <f>IF(OR(A151="Done",A151="In Progress"),TRUE)</f>
        <v>0</v>
      </c>
      <c r="AS151" s="37" t="str">
        <f>"title: """&amp;H151&amp;""""</f>
        <v>title: ""</v>
      </c>
      <c r="AT151" s="37" t="str">
        <f>"location: {lat: "&amp;F151&amp;", lng: "&amp;G151&amp;"}"</f>
        <v>location: {lat: , lng: }</v>
      </c>
      <c r="AU151" s="37" t="str">
        <f>"level: "&amp;J151</f>
        <v>level: global</v>
      </c>
      <c r="AV151" s="37" t="str">
        <f>"- "&amp;VLOOKUP(C151,'(Ref) Countries'!A:C,3,)</f>
        <v>- usa</v>
      </c>
      <c r="AW151" s="37" t="str">
        <f t="shared" si="48"/>
        <v/>
      </c>
      <c r="AX151" s="37" t="str">
        <f t="shared" si="49"/>
        <v>- churches</v>
      </c>
      <c r="AY151" s="37" t="str">
        <f t="shared" si="50"/>
        <v>- marian-sites</v>
      </c>
      <c r="AZ151" s="37" t="str">
        <f t="shared" si="51"/>
        <v/>
      </c>
      <c r="BA151" s="37" t="str">
        <f t="shared" si="52"/>
        <v/>
      </c>
      <c r="BB151" s="37" t="str">
        <f t="shared" si="53"/>
        <v/>
      </c>
      <c r="BC151" s="37" t="str">
        <f t="shared" si="54"/>
        <v/>
      </c>
      <c r="BD151" s="37" t="str">
        <f t="shared" si="55"/>
        <v/>
      </c>
      <c r="BE151" s="37" t="str">
        <f t="shared" si="56"/>
        <v/>
      </c>
      <c r="BF151" s="37" t="str">
        <f t="shared" si="57"/>
        <v/>
      </c>
      <c r="BG151" s="37" t="str">
        <f t="shared" si="58"/>
        <v/>
      </c>
      <c r="BH151" s="37" t="str">
        <f t="shared" si="59"/>
        <v/>
      </c>
      <c r="BI151" s="37" t="str">
        <f t="shared" si="60"/>
        <v/>
      </c>
      <c r="BJ151" s="37" t="str">
        <f t="shared" si="61"/>
        <v/>
      </c>
      <c r="BK151" s="37" t="str">
        <f t="shared" si="62"/>
        <v xml:space="preserve">tags:
- usa_x000D_
- churches_x000D_
- marian-sites_x000D_
</v>
      </c>
      <c r="BL151" s="38" t="str">
        <f t="shared" si="63"/>
        <v/>
      </c>
      <c r="BM151" s="38" t="str">
        <f t="shared" si="64"/>
        <v/>
      </c>
      <c r="BN151" s="38" t="str">
        <f t="shared" si="65"/>
        <v/>
      </c>
      <c r="BO151" s="38" t="str">
        <f t="shared" si="66"/>
        <v/>
      </c>
      <c r="BP151" s="38" t="str">
        <f t="shared" si="67"/>
        <v/>
      </c>
      <c r="BQ151" s="38" t="str">
        <f t="shared" si="68"/>
        <v>[Link](http://www.therealpresence.org/eucharst/misc/BVM/150_FOSTORIA_140x96.pdf)</v>
      </c>
      <c r="BR151" s="38" t="str">
        <f t="shared" si="69"/>
        <v/>
      </c>
      <c r="BS151" s="38" t="str">
        <f t="shared" si="70"/>
        <v/>
      </c>
      <c r="BT151" s="38" t="str">
        <f>IF(LEN(concat(BQ151:BS151))&gt;0,concat("| ",BQ151," | ",BR151," | ",BS151," |"),"")</f>
        <v>| [Link](http://www.therealpresence.org/eucharst/misc/BVM/150_FOSTORIA_140x96.pdf) |  |  |</v>
      </c>
      <c r="BU151" s="37" t="str">
        <f t="shared" si="71"/>
        <v xml:space="preserve">| The Real Presence | Miracle Hunter | MaryPages |_x000D_
| --- | --- | --- |_x000D_
| [Link](http://www.therealpresence.org/eucharst/misc/BVM/150_FOSTORIA_140x96.pdf) |  |  |_x000D_
</v>
      </c>
      <c r="BV151" s="37" t="str">
        <f>IF(LEN(BP151&amp;BU151)&gt;0,concatll("#### Source Material",BP151,BU151),"")</f>
        <v xml:space="preserve">#### Source Material_x000D_
_x000D_
| The Real Presence | Miracle Hunter | MaryPages |_x000D_
| --- | --- | --- |_x000D_
| [Link](http://www.therealpresence.org/eucharst/misc/BVM/150_FOSTORIA_140x96.pdf) |  |  |_x000D_
_x000D_
_x000D_
</v>
      </c>
      <c r="BW151" s="37" t="str">
        <f>IF(LEN(O151)&gt;1,concatll("#### Author's Note",O151),"")</f>
        <v/>
      </c>
      <c r="BX151" s="24" t="str">
        <f>IF(AR151,concatll(concatl("---",AS151:AU151,BK151,"---"),N151,BV151:BW151),"")</f>
        <v/>
      </c>
      <c r="BY151" s="24" t="str">
        <f>IF(AR151,VLOOKUP(C151,'(Ref) Countries'!A:B,2,)&amp;IF(LEN(D151)&gt;1,"-"&amp;LOWER(SUBSTITUTE(D151," ","-")),"")&amp;"-"&amp;LOWER(SUBSTITUTE(I151," ","-"))&amp;".md","")</f>
        <v/>
      </c>
      <c r="BZ151" s="37" t="str">
        <f>IF(LEN(AG151)&gt;1,VLOOKUP(AG151,'Tag List'!$A:$B,2,),"")</f>
        <v/>
      </c>
      <c r="CA151" s="37" t="str">
        <f>IF(LEN(AH151)&gt;1,VLOOKUP(AH151,'Tag List'!$A:$B,2,),"")</f>
        <v/>
      </c>
      <c r="CB151" s="37" t="str">
        <f>IF(LEN(AI151)&gt;1,VLOOKUP(AI151,'Tag List'!$A:$B,2,),"")</f>
        <v/>
      </c>
      <c r="CC151" s="38" t="str">
        <f>IF(LEN(AG151)&gt;1,GetTagPage(BZ151,AG151),"")</f>
        <v/>
      </c>
      <c r="CD151" s="38" t="str">
        <f>IF(LEN(AH151)&gt;1,GetTagPage(CA151,AH151),"")</f>
        <v/>
      </c>
      <c r="CE151" s="38" t="str">
        <f>IF(LEN(AI151)&gt;1,GetTagPage(CB151,AI151),"")</f>
        <v/>
      </c>
      <c r="CF151" s="38" t="str">
        <f>"|"&amp;IF(LEN(CC151)&gt;1," "&amp;CC151,"")&amp;IF(LEN(CD151)&gt;1,", "&amp;CD151,"")&amp;IF(LEN(CE151)&gt;1,", "&amp;CE151,"")&amp;" "</f>
        <v xml:space="preserve">| </v>
      </c>
      <c r="CG151" s="38" t="str">
        <f>"| "&amp;IF(AR151,"["&amp;B151&amp;"](/places/"&amp;SUBSTITUTE(BY151,".md","")&amp;")",B151)&amp;" "</f>
        <v xml:space="preserve">| Fostoria </v>
      </c>
      <c r="CH151" s="38" t="str">
        <f>"| "&amp;IF(AR151,GetTagPage(C151,VLOOKUP(C151,'(Ref) Countries'!A:C,3,)),C151)&amp; " "</f>
        <v xml:space="preserve">| United States of America </v>
      </c>
      <c r="CI151" s="38" t="str">
        <f>"| "&amp;E151&amp;" "</f>
        <v xml:space="preserve">| 1956-1959 </v>
      </c>
      <c r="CJ151" s="38" t="str">
        <f>"|"&amp;IF(AR151," [Link](/places/"&amp;SUBSTITUTE(BY151,".md","")&amp;")","")&amp;" "</f>
        <v xml:space="preserve">| </v>
      </c>
      <c r="CK151" s="37" t="str">
        <f>"
"&amp;CG151&amp;CH151&amp;CI151&amp;CJ151&amp;BL151&amp;BQ151&amp;BR151&amp;BS151&amp;CF151&amp;"|"</f>
        <v xml:space="preserve">
| Fostoria | United States of America | 1956-1959 | [Link](http://www.therealpresence.org/eucharst/misc/BVM/150_FOSTORIA_140x96.pdf)| |</v>
      </c>
    </row>
    <row r="152" spans="1:89" ht="127.5" x14ac:dyDescent="0.25">
      <c r="A152" s="25" t="s">
        <v>1324</v>
      </c>
      <c r="B152" s="28" t="s">
        <v>1031</v>
      </c>
      <c r="C152" s="29" t="s">
        <v>21</v>
      </c>
      <c r="E152" s="31" t="s">
        <v>1014</v>
      </c>
      <c r="F152" s="71">
        <v>30.104622926940898</v>
      </c>
      <c r="G152" s="67">
        <v>31.315544743810101</v>
      </c>
      <c r="H152" s="29" t="s">
        <v>1016</v>
      </c>
      <c r="I152" s="75" t="s">
        <v>1015</v>
      </c>
      <c r="J152" s="30" t="s">
        <v>1728</v>
      </c>
      <c r="K152" s="32" t="b">
        <v>1</v>
      </c>
      <c r="L152" s="30" t="b">
        <v>1</v>
      </c>
      <c r="N152" s="29" t="s">
        <v>1017</v>
      </c>
      <c r="O152" s="77" t="s">
        <v>1756</v>
      </c>
      <c r="P152" s="30" t="s">
        <v>1020</v>
      </c>
      <c r="Q152" s="30" t="s">
        <v>336</v>
      </c>
      <c r="AA152" s="71" t="s">
        <v>326</v>
      </c>
      <c r="AB152" s="30" t="s">
        <v>336</v>
      </c>
      <c r="AC152" s="30" t="s">
        <v>1018</v>
      </c>
      <c r="AD152" s="30" t="s">
        <v>336</v>
      </c>
      <c r="AE152" s="30" t="s">
        <v>1019</v>
      </c>
      <c r="AF152" s="67" t="s">
        <v>336</v>
      </c>
      <c r="AG152" s="30" t="s">
        <v>1021</v>
      </c>
      <c r="AR152" s="36" t="b">
        <f>IF(OR(A152="Done",A152="In Progress"),TRUE)</f>
        <v>1</v>
      </c>
      <c r="AS152" s="37" t="str">
        <f>"title: """&amp;H152&amp;""""</f>
        <v>title: "Virgin Mary Church in Zeitoun (Our Lady of Zeitoun, Our Lady of Light)"</v>
      </c>
      <c r="AT152" s="37" t="str">
        <f>"location: {lat: "&amp;F152&amp;", lng: "&amp;G152&amp;"}"</f>
        <v>location: {lat: 30.1046229269409, lng: 31.3155447438101}</v>
      </c>
      <c r="AU152" s="37" t="str">
        <f>"level: "&amp;J152</f>
        <v>level: global</v>
      </c>
      <c r="AV152" s="37" t="str">
        <f>"- "&amp;VLOOKUP(C152,'(Ref) Countries'!A:C,3,)</f>
        <v>- egypt</v>
      </c>
      <c r="AW152" s="37" t="str">
        <f t="shared" si="48"/>
        <v/>
      </c>
      <c r="AX152" s="37" t="str">
        <f t="shared" si="49"/>
        <v>- churches</v>
      </c>
      <c r="AY152" s="37" t="str">
        <f t="shared" si="50"/>
        <v>- marian-sites</v>
      </c>
      <c r="AZ152" s="37" t="str">
        <f t="shared" si="51"/>
        <v/>
      </c>
      <c r="BA152" s="37" t="str">
        <f t="shared" si="52"/>
        <v>- coptic</v>
      </c>
      <c r="BB152" s="37" t="str">
        <f t="shared" si="53"/>
        <v/>
      </c>
      <c r="BC152" s="37" t="str">
        <f t="shared" si="54"/>
        <v/>
      </c>
      <c r="BD152" s="37" t="str">
        <f t="shared" si="55"/>
        <v/>
      </c>
      <c r="BE152" s="37" t="str">
        <f t="shared" si="56"/>
        <v/>
      </c>
      <c r="BF152" s="37" t="str">
        <f t="shared" si="57"/>
        <v/>
      </c>
      <c r="BG152" s="37" t="str">
        <f t="shared" si="58"/>
        <v/>
      </c>
      <c r="BH152" s="37" t="str">
        <f t="shared" si="59"/>
        <v/>
      </c>
      <c r="BI152" s="37" t="str">
        <f t="shared" si="60"/>
        <v/>
      </c>
      <c r="BJ152" s="37" t="str">
        <f t="shared" si="61"/>
        <v/>
      </c>
      <c r="BK152" s="37" t="str">
        <f t="shared" si="62"/>
        <v xml:space="preserve">tags:
- egypt_x000D_
- churches_x000D_
- marian-sites_x000D_
- coptic_x000D_
</v>
      </c>
      <c r="BL152" s="38" t="str">
        <f t="shared" si="63"/>
        <v>[Official site](https://www.stmaryztn.org/saintmary/en/)</v>
      </c>
      <c r="BM152" s="38" t="str">
        <f t="shared" si="64"/>
        <v/>
      </c>
      <c r="BN152" s="38" t="str">
        <f t="shared" si="65"/>
        <v/>
      </c>
      <c r="BO152" s="38" t="str">
        <f t="shared" si="66"/>
        <v/>
      </c>
      <c r="BP152" s="38" t="str">
        <f t="shared" si="67"/>
        <v xml:space="preserve">* [Official site](https://www.stmaryztn.org/saintmary/en/)
</v>
      </c>
      <c r="BQ152" s="38" t="str">
        <f t="shared" si="68"/>
        <v>[Link](http://www.therealpresence.org/eucharst/misc/BVM/144_ZEITUN_96x96.pdf)</v>
      </c>
      <c r="BR152" s="38" t="str">
        <f t="shared" si="69"/>
        <v>[Link](https://www.miraclehunter.com/marian_apparitions/approved_apparitions/zeitun/index.html)</v>
      </c>
      <c r="BS152" s="38" t="str">
        <f t="shared" si="70"/>
        <v>[Link](https://www.marypages.com/zeitoen-ca%C3%AFro-(egypt)-en.html)</v>
      </c>
      <c r="BT152" s="38" t="str">
        <f>IF(LEN(concat(BQ152:BS152))&gt;0,concat("| ",BQ152," | ",BR152," | ",BS152," |"),"")</f>
        <v>| [Link](http://www.therealpresence.org/eucharst/misc/BVM/144_ZEITUN_96x96.pdf) | [Link](https://www.miraclehunter.com/marian_apparitions/approved_apparitions/zeitun/index.html) | [Link](https://www.marypages.com/zeitoen-ca%C3%AFro-(egypt)-en.html) |</v>
      </c>
      <c r="BU152" s="37" t="str">
        <f t="shared" si="71"/>
        <v xml:space="preserve">| The Real Presence | Miracle Hunter | MaryPages |_x000D_
| --- | --- | --- |_x000D_
| [Link](http://www.therealpresence.org/eucharst/misc/BVM/144_ZEITUN_96x96.pdf) | [Link](https://www.miraclehunter.com/marian_apparitions/approved_apparitions/zeitun/index.html) | [Link](https://www.marypages.com/zeitoen-ca%C3%AFro-(egypt)-en.html) |_x000D_
</v>
      </c>
      <c r="BV152" s="37" t="str">
        <f>IF(LEN(BP152&amp;BU152)&gt;0,concatll("#### Source Material",BP152,BU152),"")</f>
        <v xml:space="preserve">#### Source Material_x000D_
_x000D_
* [Official site](https://www.stmaryztn.org/saintmary/en/)
_x000D_
_x000D_
| The Real Presence | Miracle Hunter | MaryPages |_x000D_
| --- | --- | --- |_x000D_
| [Link](http://www.therealpresence.org/eucharst/misc/BVM/144_ZEITUN_96x96.pdf) | [Link](https://www.miraclehunter.com/marian_apparitions/approved_apparitions/zeitun/index.html) | [Link](https://www.marypages.com/zeitoen-ca%C3%AFro-(egypt)-en.html) |_x000D_
_x000D_
_x000D_
</v>
      </c>
      <c r="BW152" s="37" t="str">
        <f>IF(LEN(O152)&gt;1,concatll("#### Author's Note",O152),"")</f>
        <v xml:space="preserve">#### Author's Note_x000D_
_x000D_
You can read the statement issued by the Papal Residence in Cairo [here](https://www.stmaryztn.org/saintmary/en/apparition-story/papal-statment).
-JMM_x000D_
_x000D_
</v>
      </c>
      <c r="BX152" s="24" t="str">
        <f>IF(AR152,concatll(concatl("---",AS152:AU152,BK152,"---"),N152,BV152:BW152),"")</f>
        <v xml:space="preserve">---_x000D_
title: "Virgin Mary Church in Zeitoun (Our Lady of Zeitoun, Our Lady of Light)"_x000D_
location: {lat: 30.1046229269409, lng: 31.3155447438101}_x000D_
level: global_x000D_
tags:
- egypt_x000D_
- churches_x000D_
- marian-sites_x000D_
- coptic_x000D_
_x000D_
---_x000D_
_x000D_
_x000D_
In 1968 Our Lady began appearing over St. Mary's Coptic Orthodox church in Zeitoun, Egypt.  The church lies on the Matariya Road through which the Holy Family is traditionally known to have passed during their stay in Egypt.
For three years Our Lady appeared on many occasions, taking many forms and sometimes accompanied by doves and other phenomena. It is estimated that 40 million people across a variety of faiths witnessed these events.
The apparitions have been verified by both the Coptic Orthodox Church and the Roman Catholic Church through the Papal Residence in Cairo._x000D_
_x000D_
#### Source Material_x000D_
_x000D_
* [Official site](https://www.stmaryztn.org/saintmary/en/)
_x000D_
_x000D_
| The Real Presence | Miracle Hunter | MaryPages |_x000D_
| --- | --- | --- |_x000D_
| [Link](http://www.therealpresence.org/eucharst/misc/BVM/144_ZEITUN_96x96.pdf) | [Link](https://www.miraclehunter.com/marian_apparitions/approved_apparitions/zeitun/index.html) | [Link](https://www.marypages.com/zeitoen-ca%C3%AFro-(egypt)-en.html) |_x000D_
_x000D_
_x000D_
_x000D_
_x000D_
#### Author's Note_x000D_
_x000D_
You can read the statement issued by the Papal Residence in Cairo [here](https://www.stmaryztn.org/saintmary/en/apparition-story/papal-statment).
-JMM_x000D_
_x000D_
_x000D_
_x000D_
</v>
      </c>
      <c r="BY152" s="24" t="str">
        <f>IF(AR152,VLOOKUP(C152,'(Ref) Countries'!A:B,2,)&amp;IF(LEN(D152)&gt;1,"-"&amp;LOWER(SUBSTITUTE(D152," ","-")),"")&amp;"-"&amp;LOWER(SUBSTITUTE(I152," ","-"))&amp;".md","")</f>
        <v>eg-virgin-mary-church-in-zeitoun.md</v>
      </c>
      <c r="BZ152" s="37" t="str">
        <f>IF(LEN(AG152)&gt;1,VLOOKUP(AG152,'Tag List'!$A:$B,2,),"")</f>
        <v>Coptic Church</v>
      </c>
      <c r="CA152" s="37" t="str">
        <f>IF(LEN(AH152)&gt;1,VLOOKUP(AH152,'Tag List'!$A:$B,2,),"")</f>
        <v/>
      </c>
      <c r="CB152" s="37" t="str">
        <f>IF(LEN(AI152)&gt;1,VLOOKUP(AI152,'Tag List'!$A:$B,2,),"")</f>
        <v/>
      </c>
      <c r="CC152" s="38" t="str">
        <f>IF(LEN(AG152)&gt;1,GetTagPage(BZ152,AG152),"")</f>
        <v>[Coptic Church](/tags/coptic)</v>
      </c>
      <c r="CD152" s="38" t="str">
        <f>IF(LEN(AH152)&gt;1,GetTagPage(CA152,AH152),"")</f>
        <v/>
      </c>
      <c r="CE152" s="38" t="str">
        <f>IF(LEN(AI152)&gt;1,GetTagPage(CB152,AI152),"")</f>
        <v/>
      </c>
      <c r="CF152" s="38" t="str">
        <f>"|"&amp;IF(LEN(CC152)&gt;1," "&amp;CC152,"")&amp;IF(LEN(CD152)&gt;1,", "&amp;CD152,"")&amp;IF(LEN(CE152)&gt;1,", "&amp;CE152,"")&amp;" "</f>
        <v xml:space="preserve">| [Coptic Church](/tags/coptic) </v>
      </c>
      <c r="CG152" s="38" t="str">
        <f>"| "&amp;IF(AR152,"["&amp;B152&amp;"](/places/"&amp;SUBSTITUTE(BY152,".md","")&amp;")",B152)&amp;" "</f>
        <v xml:space="preserve">| [Zeitoun](/places/eg-virgin-mary-church-in-zeitoun) </v>
      </c>
      <c r="CH152" s="38" t="str">
        <f>"| "&amp;IF(AR152,GetTagPage(C152,VLOOKUP(C152,'(Ref) Countries'!A:C,3,)),C152)&amp; " "</f>
        <v xml:space="preserve">| [Egypt](/tags/egypt) </v>
      </c>
      <c r="CI152" s="38" t="str">
        <f>"| "&amp;E152&amp;" "</f>
        <v xml:space="preserve">| 1968-1970 </v>
      </c>
      <c r="CJ152" s="38" t="str">
        <f>"|"&amp;IF(AR152," [Link](/places/"&amp;SUBSTITUTE(BY152,".md","")&amp;")","")&amp;" "</f>
        <v xml:space="preserve">| [Link](/places/eg-virgin-mary-church-in-zeitoun) </v>
      </c>
      <c r="CK152" s="37" t="str">
        <f>"
"&amp;CG152&amp;CH152&amp;CI152&amp;CJ152&amp;BL152&amp;BQ152&amp;BR152&amp;BS152&amp;CF152&amp;"|"</f>
        <v xml:space="preserve">
| [Zeitoun](/places/eg-virgin-mary-church-in-zeitoun) | [Egypt](/tags/egypt) | 1968-1970 | [Link](/places/eg-virgin-mary-church-in-zeitoun) [Official site](https://www.stmaryztn.org/saintmary/en/)[Link](http://www.therealpresence.org/eucharst/misc/BVM/144_ZEITUN_96x96.pdf)[Link](https://www.miraclehunter.com/marian_apparitions/approved_apparitions/zeitun/index.html)[Link](https://www.marypages.com/zeitoen-ca%C3%AFro-(egypt)-en.html)| [Coptic Church](/tags/coptic) |</v>
      </c>
    </row>
    <row r="153" spans="1:89" ht="51" x14ac:dyDescent="0.25">
      <c r="A153" s="25" t="s">
        <v>1324</v>
      </c>
      <c r="B153" s="28" t="s">
        <v>1309</v>
      </c>
      <c r="C153" s="29" t="s">
        <v>592</v>
      </c>
      <c r="E153" s="31">
        <v>1973</v>
      </c>
      <c r="F153" s="71">
        <v>39.759224404162097</v>
      </c>
      <c r="G153" s="67">
        <v>140.14975314135</v>
      </c>
      <c r="H153" s="29" t="s">
        <v>1361</v>
      </c>
      <c r="I153" s="75" t="s">
        <v>1362</v>
      </c>
      <c r="J153" s="30" t="s">
        <v>1728</v>
      </c>
      <c r="K153" s="32" t="b">
        <v>1</v>
      </c>
      <c r="L153" s="30" t="b">
        <v>1</v>
      </c>
      <c r="N153" s="29" t="s">
        <v>1378</v>
      </c>
      <c r="P153" s="30" t="s">
        <v>1363</v>
      </c>
      <c r="Q153" s="30" t="s">
        <v>336</v>
      </c>
      <c r="AA153" s="71" t="s">
        <v>327</v>
      </c>
      <c r="AB153" s="30" t="s">
        <v>336</v>
      </c>
      <c r="AC153" s="30" t="s">
        <v>1355</v>
      </c>
      <c r="AD153" s="30" t="s">
        <v>336</v>
      </c>
      <c r="AE153" s="30" t="s">
        <v>1354</v>
      </c>
      <c r="AF153" s="67" t="s">
        <v>336</v>
      </c>
      <c r="AG153" s="30" t="s">
        <v>336</v>
      </c>
      <c r="AR153" s="36" t="b">
        <f>IF(OR(A153="Done",A153="In Progress"),TRUE)</f>
        <v>1</v>
      </c>
      <c r="AS153" s="37" t="str">
        <f>"title: """&amp;H153&amp;""""</f>
        <v>title: "Seitai Hoshikai (Our Lady of Akita)"</v>
      </c>
      <c r="AT153" s="37" t="str">
        <f>"location: {lat: "&amp;F153&amp;", lng: "&amp;G153&amp;"}"</f>
        <v>location: {lat: 39.7592244041621, lng: 140.14975314135}</v>
      </c>
      <c r="AU153" s="37" t="str">
        <f>"level: "&amp;J153</f>
        <v>level: global</v>
      </c>
      <c r="AV153" s="37" t="str">
        <f>"- "&amp;VLOOKUP(C153,'(Ref) Countries'!A:C,3,)</f>
        <v>- japan</v>
      </c>
      <c r="AW153" s="37" t="str">
        <f t="shared" si="48"/>
        <v/>
      </c>
      <c r="AX153" s="37" t="str">
        <f t="shared" si="49"/>
        <v>- churches</v>
      </c>
      <c r="AY153" s="37" t="str">
        <f t="shared" si="50"/>
        <v>- marian-sites</v>
      </c>
      <c r="AZ153" s="37" t="str">
        <f t="shared" si="51"/>
        <v/>
      </c>
      <c r="BA153" s="37" t="str">
        <f t="shared" si="52"/>
        <v/>
      </c>
      <c r="BB153" s="37" t="str">
        <f t="shared" si="53"/>
        <v/>
      </c>
      <c r="BC153" s="37" t="str">
        <f t="shared" si="54"/>
        <v/>
      </c>
      <c r="BD153" s="37" t="str">
        <f t="shared" si="55"/>
        <v/>
      </c>
      <c r="BE153" s="37" t="str">
        <f t="shared" si="56"/>
        <v/>
      </c>
      <c r="BF153" s="37" t="str">
        <f t="shared" si="57"/>
        <v/>
      </c>
      <c r="BG153" s="37" t="str">
        <f t="shared" si="58"/>
        <v/>
      </c>
      <c r="BH153" s="37" t="str">
        <f t="shared" si="59"/>
        <v/>
      </c>
      <c r="BI153" s="37" t="str">
        <f t="shared" si="60"/>
        <v/>
      </c>
      <c r="BJ153" s="37" t="str">
        <f t="shared" si="61"/>
        <v/>
      </c>
      <c r="BK153" s="37" t="str">
        <f t="shared" si="62"/>
        <v xml:space="preserve">tags:
- japan_x000D_
- churches_x000D_
- marian-sites_x000D_
</v>
      </c>
      <c r="BL153" s="38" t="str">
        <f t="shared" si="63"/>
        <v>[Official site](https://www.seitaihoshikai.com/)</v>
      </c>
      <c r="BM153" s="38" t="str">
        <f t="shared" si="64"/>
        <v/>
      </c>
      <c r="BN153" s="38" t="str">
        <f t="shared" si="65"/>
        <v/>
      </c>
      <c r="BO153" s="38" t="str">
        <f t="shared" si="66"/>
        <v/>
      </c>
      <c r="BP153" s="38" t="str">
        <f t="shared" si="67"/>
        <v xml:space="preserve">* [Official site](https://www.seitaihoshikai.com/)
</v>
      </c>
      <c r="BQ153" s="38" t="str">
        <f t="shared" si="68"/>
        <v>[Link](http://www.therealpresence.org/eucharst/misc/BVM/01_AKITA_60x96.pdf)</v>
      </c>
      <c r="BR153" s="38" t="str">
        <f t="shared" si="69"/>
        <v>[Link](https://www.miraclehunter.com/marian_apparitions/approved_apparitions/akita/index.html)</v>
      </c>
      <c r="BS153" s="38" t="str">
        <f t="shared" si="70"/>
        <v>[Link](https://www.marypages.com/akita-(japan)-en.html)</v>
      </c>
      <c r="BT153" s="38" t="str">
        <f>IF(LEN(concat(BQ153:BS153))&gt;0,concat("| ",BQ153," | ",BR153," | ",BS153," |"),"")</f>
        <v>| [Link](http://www.therealpresence.org/eucharst/misc/BVM/01_AKITA_60x96.pdf) | [Link](https://www.miraclehunter.com/marian_apparitions/approved_apparitions/akita/index.html) | [Link](https://www.marypages.com/akita-(japan)-en.html) |</v>
      </c>
      <c r="BU153" s="37" t="str">
        <f t="shared" si="71"/>
        <v xml:space="preserve">| The Real Presence | Miracle Hunter | MaryPages |_x000D_
| --- | --- | --- |_x000D_
| [Link](http://www.therealpresence.org/eucharst/misc/BVM/01_AKITA_60x96.pdf) | [Link](https://www.miraclehunter.com/marian_apparitions/approved_apparitions/akita/index.html) | [Link](https://www.marypages.com/akita-(japan)-en.html) |_x000D_
</v>
      </c>
      <c r="BV153" s="37" t="str">
        <f>IF(LEN(BP153&amp;BU153)&gt;0,concatll("#### Source Material",BP153,BU153),"")</f>
        <v xml:space="preserve">#### Source Material_x000D_
_x000D_
* [Official site](https://www.seitaihoshikai.com/)
_x000D_
_x000D_
| The Real Presence | Miracle Hunter | MaryPages |_x000D_
| --- | --- | --- |_x000D_
| [Link](http://www.therealpresence.org/eucharst/misc/BVM/01_AKITA_60x96.pdf) | [Link](https://www.miraclehunter.com/marian_apparitions/approved_apparitions/akita/index.html) | [Link](https://www.marypages.com/akita-(japan)-en.html) |_x000D_
_x000D_
_x000D_
</v>
      </c>
      <c r="BW153" s="37" t="str">
        <f>IF(LEN(O153)&gt;1,concatll("#### Author's Note",O153),"")</f>
        <v/>
      </c>
      <c r="BX153" s="24" t="str">
        <f>IF(AR153,concatll(concatl("---",AS153:AU153,BK153,"---"),N153,BV153:BW153),"")</f>
        <v xml:space="preserve">---_x000D_
title: "Seitai Hoshikai (Our Lady of Akita)"_x000D_
location: {lat: 39.7592244041621, lng: 140.14975314135}_x000D_
level: global_x000D_
tags:
- japan_x000D_
- churches_x000D_
- marian-sites_x000D_
_x000D_
---_x000D_
_x000D_
_x000D_
Sister Agnes Sasagawa received visions of an angel and messages emanating from a wooden statue of Our Lady which wept 101 times, including one instance which was broadcast on Japanese national television in December 1973._x000D_
_x000D_
#### Source Material_x000D_
_x000D_
* [Official site](https://www.seitaihoshikai.com/)
_x000D_
_x000D_
| The Real Presence | Miracle Hunter | MaryPages |_x000D_
| --- | --- | --- |_x000D_
| [Link](http://www.therealpresence.org/eucharst/misc/BVM/01_AKITA_60x96.pdf) | [Link](https://www.miraclehunter.com/marian_apparitions/approved_apparitions/akita/index.html) | [Link](https://www.marypages.com/akita-(japan)-en.html) |_x000D_
_x000D_
_x000D_
_x000D_
_x000D_
</v>
      </c>
      <c r="BY153" s="24" t="str">
        <f>IF(AR153,VLOOKUP(C153,'(Ref) Countries'!A:B,2,)&amp;IF(LEN(D153)&gt;1,"-"&amp;LOWER(SUBSTITUTE(D153," ","-")),"")&amp;"-"&amp;LOWER(SUBSTITUTE(I153," ","-"))&amp;".md","")</f>
        <v>jp-seitai-hoshikai.md</v>
      </c>
      <c r="BZ153" s="37" t="str">
        <f>IF(LEN(AG153)&gt;1,VLOOKUP(AG153,'Tag List'!$A:$B,2,),"")</f>
        <v/>
      </c>
      <c r="CA153" s="37" t="str">
        <f>IF(LEN(AH153)&gt;1,VLOOKUP(AH153,'Tag List'!$A:$B,2,),"")</f>
        <v/>
      </c>
      <c r="CB153" s="37" t="str">
        <f>IF(LEN(AI153)&gt;1,VLOOKUP(AI153,'Tag List'!$A:$B,2,),"")</f>
        <v/>
      </c>
      <c r="CC153" s="38" t="str">
        <f>IF(LEN(AG153)&gt;1,GetTagPage(BZ153,AG153),"")</f>
        <v/>
      </c>
      <c r="CD153" s="38" t="str">
        <f>IF(LEN(AH153)&gt;1,GetTagPage(CA153,AH153),"")</f>
        <v/>
      </c>
      <c r="CE153" s="38" t="str">
        <f>IF(LEN(AI153)&gt;1,GetTagPage(CB153,AI153),"")</f>
        <v/>
      </c>
      <c r="CF153" s="38" t="str">
        <f>"|"&amp;IF(LEN(CC153)&gt;1," "&amp;CC153,"")&amp;IF(LEN(CD153)&gt;1,", "&amp;CD153,"")&amp;IF(LEN(CE153)&gt;1,", "&amp;CE153,"")&amp;" "</f>
        <v xml:space="preserve">| </v>
      </c>
      <c r="CG153" s="38" t="str">
        <f>"| "&amp;IF(AR153,"["&amp;B153&amp;"](/places/"&amp;SUBSTITUTE(BY153,".md","")&amp;")",B153)&amp;" "</f>
        <v xml:space="preserve">| [Akita](/places/jp-seitai-hoshikai) </v>
      </c>
      <c r="CH153" s="38" t="str">
        <f>"| "&amp;IF(AR153,GetTagPage(C153,VLOOKUP(C153,'(Ref) Countries'!A:C,3,)),C153)&amp; " "</f>
        <v xml:space="preserve">| [Japan](/tags/japan) </v>
      </c>
      <c r="CI153" s="38" t="str">
        <f>"| "&amp;E153&amp;" "</f>
        <v xml:space="preserve">| 1973 </v>
      </c>
      <c r="CJ153" s="38" t="str">
        <f>"|"&amp;IF(AR153," [Link](/places/"&amp;SUBSTITUTE(BY153,".md","")&amp;")","")&amp;" "</f>
        <v xml:space="preserve">| [Link](/places/jp-seitai-hoshikai) </v>
      </c>
      <c r="CK153" s="37" t="str">
        <f>"
"&amp;CG153&amp;CH153&amp;CI153&amp;CJ153&amp;BL153&amp;BQ153&amp;BR153&amp;BS153&amp;CF153&amp;"|"</f>
        <v xml:space="preserve">
| [Akita](/places/jp-seitai-hoshikai) | [Japan](/tags/japan) | 1973 | [Link](/places/jp-seitai-hoshikai) [Official site](https://www.seitaihoshikai.com/)[Link](http://www.therealpresence.org/eucharst/misc/BVM/01_AKITA_60x96.pdf)[Link](https://www.miraclehunter.com/marian_apparitions/approved_apparitions/akita/index.html)[Link](https://www.marypages.com/akita-(japan)-en.html)| |</v>
      </c>
    </row>
    <row r="154" spans="1:89" ht="51" x14ac:dyDescent="0.25">
      <c r="A154" s="25" t="s">
        <v>1052</v>
      </c>
      <c r="B154" s="28" t="s">
        <v>1310</v>
      </c>
      <c r="C154" s="29" t="s">
        <v>638</v>
      </c>
      <c r="E154" s="31">
        <v>1980</v>
      </c>
      <c r="F154" s="71">
        <v>12.250924807686999</v>
      </c>
      <c r="G154" s="67">
        <v>-85.378274608161107</v>
      </c>
      <c r="H154" s="29" t="s">
        <v>1352</v>
      </c>
      <c r="I154" s="75" t="s">
        <v>1351</v>
      </c>
      <c r="J154" s="30" t="s">
        <v>1728</v>
      </c>
      <c r="K154" s="32" t="b">
        <v>1</v>
      </c>
      <c r="L154" s="30" t="b">
        <v>1</v>
      </c>
      <c r="N154" s="29" t="s">
        <v>1337</v>
      </c>
      <c r="O154" s="77" t="s">
        <v>1757</v>
      </c>
      <c r="P154" s="30" t="s">
        <v>1353</v>
      </c>
      <c r="Q154" s="30" t="s">
        <v>336</v>
      </c>
      <c r="AA154" s="71" t="s">
        <v>328</v>
      </c>
      <c r="AB154" s="30" t="s">
        <v>336</v>
      </c>
      <c r="AC154" s="30" t="s">
        <v>1350</v>
      </c>
      <c r="AD154" s="30" t="s">
        <v>336</v>
      </c>
      <c r="AE154" s="30" t="s">
        <v>1349</v>
      </c>
      <c r="AF154" s="67" t="s">
        <v>336</v>
      </c>
      <c r="AG154" s="30" t="s">
        <v>336</v>
      </c>
      <c r="AR154" s="36" t="b">
        <f>IF(OR(A154="Done",A154="In Progress"),TRUE)</f>
        <v>1</v>
      </c>
      <c r="AS154" s="37" t="str">
        <f>"title: """&amp;H154&amp;""""</f>
        <v>title: "National Sanctuary of Our Lady of Cuapa"</v>
      </c>
      <c r="AT154" s="37" t="str">
        <f>"location: {lat: "&amp;F154&amp;", lng: "&amp;G154&amp;"}"</f>
        <v>location: {lat: 12.250924807687, lng: -85.3782746081611}</v>
      </c>
      <c r="AU154" s="37" t="str">
        <f>"level: "&amp;J154</f>
        <v>level: global</v>
      </c>
      <c r="AV154" s="37" t="str">
        <f>"- "&amp;VLOOKUP(C154,'(Ref) Countries'!A:C,3,)</f>
        <v>- nicaragua</v>
      </c>
      <c r="AW154" s="37" t="str">
        <f t="shared" si="48"/>
        <v/>
      </c>
      <c r="AX154" s="37" t="str">
        <f t="shared" si="49"/>
        <v>- churches</v>
      </c>
      <c r="AY154" s="37" t="str">
        <f t="shared" si="50"/>
        <v>- marian-sites</v>
      </c>
      <c r="AZ154" s="37" t="str">
        <f t="shared" si="51"/>
        <v/>
      </c>
      <c r="BA154" s="37" t="str">
        <f t="shared" si="52"/>
        <v/>
      </c>
      <c r="BB154" s="37" t="str">
        <f t="shared" si="53"/>
        <v/>
      </c>
      <c r="BC154" s="37" t="str">
        <f t="shared" si="54"/>
        <v/>
      </c>
      <c r="BD154" s="37" t="str">
        <f t="shared" si="55"/>
        <v/>
      </c>
      <c r="BE154" s="37" t="str">
        <f t="shared" si="56"/>
        <v/>
      </c>
      <c r="BF154" s="37" t="str">
        <f t="shared" si="57"/>
        <v/>
      </c>
      <c r="BG154" s="37" t="str">
        <f t="shared" si="58"/>
        <v/>
      </c>
      <c r="BH154" s="37" t="str">
        <f t="shared" si="59"/>
        <v/>
      </c>
      <c r="BI154" s="37" t="str">
        <f t="shared" si="60"/>
        <v/>
      </c>
      <c r="BJ154" s="37" t="str">
        <f t="shared" si="61"/>
        <v/>
      </c>
      <c r="BK154" s="37" t="str">
        <f t="shared" si="62"/>
        <v xml:space="preserve">tags:
- nicaragua_x000D_
- churches_x000D_
- marian-sites_x000D_
</v>
      </c>
      <c r="BL154" s="38" t="str">
        <f t="shared" si="63"/>
        <v>[Official site](https://www.facebook.com/SDVirgendeCuapa)</v>
      </c>
      <c r="BM154" s="38" t="str">
        <f t="shared" si="64"/>
        <v/>
      </c>
      <c r="BN154" s="38" t="str">
        <f t="shared" si="65"/>
        <v/>
      </c>
      <c r="BO154" s="38" t="str">
        <f t="shared" si="66"/>
        <v/>
      </c>
      <c r="BP154" s="38" t="str">
        <f t="shared" si="67"/>
        <v xml:space="preserve">* [Official site](https://www.facebook.com/SDVirgendeCuapa)
</v>
      </c>
      <c r="BQ154" s="38" t="str">
        <f t="shared" si="68"/>
        <v>[Link](http://www.therealpresence.org/eucharst/misc/BVM/16_CUAPA_60x96.pdf)</v>
      </c>
      <c r="BR154" s="38" t="str">
        <f t="shared" si="69"/>
        <v>[Link](http://www.miraclehunter.com/marian_apparitions/approved_apparitions/cuapa/index.html)</v>
      </c>
      <c r="BS154" s="38" t="str">
        <f t="shared" si="70"/>
        <v>[Link](https://www.marypages.com/our-lady-of-cuapa-also-known-as-our-lady-of-nicaragua-en.html)</v>
      </c>
      <c r="BT154" s="38" t="str">
        <f>IF(LEN(concat(BQ154:BS154))&gt;0,concat("| ",BQ154," | ",BR154," | ",BS154," |"),"")</f>
        <v>| [Link](http://www.therealpresence.org/eucharst/misc/BVM/16_CUAPA_60x96.pdf) | [Link](http://www.miraclehunter.com/marian_apparitions/approved_apparitions/cuapa/index.html) | [Link](https://www.marypages.com/our-lady-of-cuapa-also-known-as-our-lady-of-nicaragua-en.html) |</v>
      </c>
      <c r="BU154" s="37" t="str">
        <f t="shared" si="71"/>
        <v xml:space="preserve">| The Real Presence | Miracle Hunter | MaryPages |_x000D_
| --- | --- | --- |_x000D_
| [Link](http://www.therealpresence.org/eucharst/misc/BVM/16_CUAPA_60x96.pdf) | [Link](http://www.miraclehunter.com/marian_apparitions/approved_apparitions/cuapa/index.html) | [Link](https://www.marypages.com/our-lady-of-cuapa-also-known-as-our-lady-of-nicaragua-en.html) |_x000D_
</v>
      </c>
      <c r="BV154" s="37" t="str">
        <f>IF(LEN(BP154&amp;BU154)&gt;0,concatll("#### Source Material",BP154,BU154),"")</f>
        <v xml:space="preserve">#### Source Material_x000D_
_x000D_
* [Official site](https://www.facebook.com/SDVirgendeCuapa)
_x000D_
_x000D_
| The Real Presence | Miracle Hunter | MaryPages |_x000D_
| --- | --- | --- |_x000D_
| [Link](http://www.therealpresence.org/eucharst/misc/BVM/16_CUAPA_60x96.pdf) | [Link](http://www.miraclehunter.com/marian_apparitions/approved_apparitions/cuapa/index.html) | [Link](https://www.marypages.com/our-lady-of-cuapa-also-known-as-our-lady-of-nicaragua-en.html) |_x000D_
_x000D_
_x000D_
</v>
      </c>
      <c r="BW154" s="37" t="str">
        <f>IF(LEN(O154)&gt;1,concatll("#### Author's Note",O154),"")</f>
        <v xml:space="preserve">#### Author's Note_x000D_
_x000D_
We can't find an official website for the parish; their Facebook page has been listed for now.
-JMM_x000D_
_x000D_
</v>
      </c>
      <c r="BX154" s="24" t="str">
        <f>IF(AR154,concatll(concatl("---",AS154:AU154,BK154,"---"),N154,BV154:BW154),"")</f>
        <v xml:space="preserve">---_x000D_
title: "National Sanctuary of Our Lady of Cuapa"_x000D_
location: {lat: 12.250924807687, lng: -85.3782746081611}_x000D_
level: global_x000D_
tags:
- nicaragua_x000D_
- churches_x000D_
- marian-sites_x000D_
_x000D_
---_x000D_
_x000D_
_x000D_
_Research in progress__x000D_
_x000D_
#### Source Material_x000D_
_x000D_
* [Official site](https://www.facebook.com/SDVirgendeCuapa)
_x000D_
_x000D_
| The Real Presence | Miracle Hunter | MaryPages |_x000D_
| --- | --- | --- |_x000D_
| [Link](http://www.therealpresence.org/eucharst/misc/BVM/16_CUAPA_60x96.pdf) | [Link](http://www.miraclehunter.com/marian_apparitions/approved_apparitions/cuapa/index.html) | [Link](https://www.marypages.com/our-lady-of-cuapa-also-known-as-our-lady-of-nicaragua-en.html) |_x000D_
_x000D_
_x000D_
_x000D_
_x000D_
#### Author's Note_x000D_
_x000D_
We can't find an official website for the parish; their Facebook page has been listed for now.
-JMM_x000D_
_x000D_
_x000D_
_x000D_
</v>
      </c>
      <c r="BY154" s="24" t="str">
        <f>IF(AR154,VLOOKUP(C154,'(Ref) Countries'!A:B,2,)&amp;IF(LEN(D154)&gt;1,"-"&amp;LOWER(SUBSTITUTE(D154," ","-")),"")&amp;"-"&amp;LOWER(SUBSTITUTE(I154," ","-"))&amp;".md","")</f>
        <v>ni-sanctuary-of-our-lady-of-cuapa.md</v>
      </c>
      <c r="BZ154" s="37" t="str">
        <f>IF(LEN(AG154)&gt;1,VLOOKUP(AG154,'Tag List'!$A:$B,2,),"")</f>
        <v/>
      </c>
      <c r="CA154" s="37" t="str">
        <f>IF(LEN(AH154)&gt;1,VLOOKUP(AH154,'Tag List'!$A:$B,2,),"")</f>
        <v/>
      </c>
      <c r="CB154" s="37" t="str">
        <f>IF(LEN(AI154)&gt;1,VLOOKUP(AI154,'Tag List'!$A:$B,2,),"")</f>
        <v/>
      </c>
      <c r="CC154" s="38" t="str">
        <f>IF(LEN(AG154)&gt;1,GetTagPage(BZ154,AG154),"")</f>
        <v/>
      </c>
      <c r="CD154" s="38" t="str">
        <f>IF(LEN(AH154)&gt;1,GetTagPage(CA154,AH154),"")</f>
        <v/>
      </c>
      <c r="CE154" s="38" t="str">
        <f>IF(LEN(AI154)&gt;1,GetTagPage(CB154,AI154),"")</f>
        <v/>
      </c>
      <c r="CF154" s="38" t="str">
        <f>"|"&amp;IF(LEN(CC154)&gt;1," "&amp;CC154,"")&amp;IF(LEN(CD154)&gt;1,", "&amp;CD154,"")&amp;IF(LEN(CE154)&gt;1,", "&amp;CE154,"")&amp;" "</f>
        <v xml:space="preserve">| </v>
      </c>
      <c r="CG154" s="38" t="str">
        <f>"| "&amp;IF(AR154,"["&amp;B154&amp;"](/places/"&amp;SUBSTITUTE(BY154,".md","")&amp;")",B154)&amp;" "</f>
        <v xml:space="preserve">| [Cuapa](/places/ni-sanctuary-of-our-lady-of-cuapa) </v>
      </c>
      <c r="CH154" s="38" t="str">
        <f>"| "&amp;IF(AR154,GetTagPage(C154,VLOOKUP(C154,'(Ref) Countries'!A:C,3,)),C154)&amp; " "</f>
        <v xml:space="preserve">| [Nicaragua](/tags/nicaragua) </v>
      </c>
      <c r="CI154" s="38" t="str">
        <f>"| "&amp;E154&amp;" "</f>
        <v xml:space="preserve">| 1980 </v>
      </c>
      <c r="CJ154" s="38" t="str">
        <f>"|"&amp;IF(AR154," [Link](/places/"&amp;SUBSTITUTE(BY154,".md","")&amp;")","")&amp;" "</f>
        <v xml:space="preserve">| [Link](/places/ni-sanctuary-of-our-lady-of-cuapa) </v>
      </c>
      <c r="CK154" s="37" t="str">
        <f>"
"&amp;CG154&amp;CH154&amp;CI154&amp;CJ154&amp;BL154&amp;BQ154&amp;BR154&amp;BS154&amp;CF154&amp;"|"</f>
        <v xml:space="preserve">
| [Cuapa](/places/ni-sanctuary-of-our-lady-of-cuapa) | [Nicaragua](/tags/nicaragua) | 1980 | [Link](/places/ni-sanctuary-of-our-lady-of-cuapa) [Official site](https://www.facebook.com/SDVirgendeCuapa)[Link](http://www.therealpresence.org/eucharst/misc/BVM/16_CUAPA_60x96.pdf)[Link](http://www.miraclehunter.com/marian_apparitions/approved_apparitions/cuapa/index.html)[Link](https://www.marypages.com/our-lady-of-cuapa-also-known-as-our-lady-of-nicaragua-en.html)| |</v>
      </c>
    </row>
    <row r="155" spans="1:89" ht="76.5" x14ac:dyDescent="0.25">
      <c r="A155" s="25" t="s">
        <v>1324</v>
      </c>
      <c r="B155" s="28" t="s">
        <v>484</v>
      </c>
      <c r="C155" s="29" t="s">
        <v>482</v>
      </c>
      <c r="E155" s="31">
        <v>1981</v>
      </c>
      <c r="F155" s="71">
        <v>-2.6496097000000001</v>
      </c>
      <c r="G155" s="67">
        <v>29.553281200000001</v>
      </c>
      <c r="H155" s="29" t="s">
        <v>481</v>
      </c>
      <c r="I155" s="75" t="s">
        <v>400</v>
      </c>
      <c r="J155" s="30" t="s">
        <v>1728</v>
      </c>
      <c r="K155" s="32" t="b">
        <v>1</v>
      </c>
      <c r="L155" s="30" t="b">
        <v>1</v>
      </c>
      <c r="N155" s="29" t="s">
        <v>358</v>
      </c>
      <c r="P155" s="30" t="s">
        <v>340</v>
      </c>
      <c r="Q155" s="30" t="s">
        <v>336</v>
      </c>
      <c r="AA155" s="71" t="s">
        <v>329</v>
      </c>
      <c r="AB155" s="30" t="s">
        <v>336</v>
      </c>
      <c r="AC155" s="30" t="s">
        <v>359</v>
      </c>
      <c r="AD155" s="30" t="s">
        <v>336</v>
      </c>
      <c r="AE155" s="30" t="s">
        <v>360</v>
      </c>
      <c r="AF155" s="67" t="s">
        <v>336</v>
      </c>
      <c r="AG155" s="44" t="s">
        <v>336</v>
      </c>
      <c r="AH155" s="44"/>
      <c r="AI155" s="44"/>
      <c r="AJ155" s="44"/>
      <c r="AK155" s="44"/>
      <c r="AL155" s="44"/>
      <c r="AM155" s="44"/>
      <c r="AN155" s="44"/>
      <c r="AO155" s="44"/>
      <c r="AP155" s="110"/>
      <c r="AR155" s="36" t="b">
        <f>IF(OR(A155="Done",A155="In Progress"),TRUE)</f>
        <v>1</v>
      </c>
      <c r="AS155" s="37" t="str">
        <f>"title: """&amp;H155&amp;""""</f>
        <v>title: "Shrine of Our Lady of Kibeho (Mother of the Word)"</v>
      </c>
      <c r="AT155" s="37" t="str">
        <f>"location: {lat: "&amp;F155&amp;", lng: "&amp;G155&amp;"}"</f>
        <v>location: {lat: -2.6496097, lng: 29.5532812}</v>
      </c>
      <c r="AU155" s="37" t="str">
        <f>"level: "&amp;J155</f>
        <v>level: global</v>
      </c>
      <c r="AV155" s="37" t="str">
        <f>"- "&amp;VLOOKUP(C155,'(Ref) Countries'!A:C,3,)</f>
        <v>- rwanda</v>
      </c>
      <c r="AW155" s="37" t="str">
        <f t="shared" si="48"/>
        <v/>
      </c>
      <c r="AX155" s="37" t="str">
        <f t="shared" si="49"/>
        <v>- churches</v>
      </c>
      <c r="AY155" s="37" t="str">
        <f t="shared" si="50"/>
        <v>- marian-sites</v>
      </c>
      <c r="AZ155" s="37" t="str">
        <f t="shared" si="51"/>
        <v/>
      </c>
      <c r="BA155" s="37" t="str">
        <f t="shared" si="52"/>
        <v/>
      </c>
      <c r="BB155" s="37" t="str">
        <f t="shared" si="53"/>
        <v/>
      </c>
      <c r="BC155" s="37" t="str">
        <f t="shared" si="54"/>
        <v/>
      </c>
      <c r="BD155" s="37" t="str">
        <f t="shared" si="55"/>
        <v/>
      </c>
      <c r="BE155" s="37" t="str">
        <f t="shared" si="56"/>
        <v/>
      </c>
      <c r="BF155" s="37" t="str">
        <f t="shared" si="57"/>
        <v/>
      </c>
      <c r="BG155" s="37" t="str">
        <f t="shared" si="58"/>
        <v/>
      </c>
      <c r="BH155" s="37" t="str">
        <f t="shared" si="59"/>
        <v/>
      </c>
      <c r="BI155" s="37" t="str">
        <f t="shared" si="60"/>
        <v/>
      </c>
      <c r="BJ155" s="37" t="str">
        <f t="shared" si="61"/>
        <v/>
      </c>
      <c r="BK155" s="37" t="str">
        <f t="shared" si="62"/>
        <v xml:space="preserve">tags:
- rwanda_x000D_
- churches_x000D_
- marian-sites_x000D_
</v>
      </c>
      <c r="BL155" s="38" t="str">
        <f t="shared" si="63"/>
        <v>[Official site](https://kibeho-sanctuary.com/)</v>
      </c>
      <c r="BM155" s="38" t="str">
        <f t="shared" si="64"/>
        <v/>
      </c>
      <c r="BN155" s="38" t="str">
        <f t="shared" si="65"/>
        <v/>
      </c>
      <c r="BO155" s="38" t="str">
        <f t="shared" si="66"/>
        <v/>
      </c>
      <c r="BP155" s="38" t="str">
        <f t="shared" si="67"/>
        <v xml:space="preserve">* [Official site](https://kibeho-sanctuary.com/)
</v>
      </c>
      <c r="BQ155" s="38" t="str">
        <f t="shared" si="68"/>
        <v>[Link](http://www.therealpresence.org/eucharst/misc/BVM/20_KIBEHO_96x96.pdf)</v>
      </c>
      <c r="BR155" s="38" t="str">
        <f t="shared" si="69"/>
        <v>[Link](https://www.miraclehunter.com/marian_apparitions/approved_apparitions/kibeho_rwanda/index.html)</v>
      </c>
      <c r="BS155" s="38" t="str">
        <f t="shared" si="70"/>
        <v>[Link](https://www.marypages.com/kibeho-(rwanda)-en.html)</v>
      </c>
      <c r="BT155" s="38" t="str">
        <f>IF(LEN(concat(BQ155:BS155))&gt;0,concat("| ",BQ155," | ",BR155," | ",BS155," |"),"")</f>
        <v>| [Link](http://www.therealpresence.org/eucharst/misc/BVM/20_KIBEHO_96x96.pdf) | [Link](https://www.miraclehunter.com/marian_apparitions/approved_apparitions/kibeho_rwanda/index.html) | [Link](https://www.marypages.com/kibeho-(rwanda)-en.html) |</v>
      </c>
      <c r="BU155" s="37" t="str">
        <f t="shared" si="71"/>
        <v xml:space="preserve">| The Real Presence | Miracle Hunter | MaryPages |_x000D_
| --- | --- | --- |_x000D_
| [Link](http://www.therealpresence.org/eucharst/misc/BVM/20_KIBEHO_96x96.pdf) | [Link](https://www.miraclehunter.com/marian_apparitions/approved_apparitions/kibeho_rwanda/index.html) | [Link](https://www.marypages.com/kibeho-(rwanda)-en.html) |_x000D_
</v>
      </c>
      <c r="BV155" s="37" t="str">
        <f>IF(LEN(BP155&amp;BU155)&gt;0,concatll("#### Source Material",BP155,BU155),"")</f>
        <v xml:space="preserve">#### Source Material_x000D_
_x000D_
* [Official site](https://kibeho-sanctuary.com/)
_x000D_
_x000D_
| The Real Presence | Miracle Hunter | MaryPages |_x000D_
| --- | --- | --- |_x000D_
| [Link](http://www.therealpresence.org/eucharst/misc/BVM/20_KIBEHO_96x96.pdf) | [Link](https://www.miraclehunter.com/marian_apparitions/approved_apparitions/kibeho_rwanda/index.html) | [Link](https://www.marypages.com/kibeho-(rwanda)-en.html) |_x000D_
_x000D_
_x000D_
</v>
      </c>
      <c r="BW155" s="37" t="str">
        <f>IF(LEN(O155)&gt;1,concatll("#### Author's Note",O155),"")</f>
        <v/>
      </c>
      <c r="BX155" s="24" t="str">
        <f>IF(AR155,concatll(concatl("---",AS155:AU155,BK155,"---"),N155,BV155:BW155),"")</f>
        <v xml:space="preserve">---_x000D_
title: "Shrine of Our Lady of Kibeho (Mother of the Word)"_x000D_
location: {lat: -2.6496097, lng: 29.5532812}_x000D_
level: global_x000D_
tags:
- rwanda_x000D_
- churches_x000D_
- marian-sites_x000D_
_x000D_
---_x000D_
_x000D_
_x000D_
Between 1981 and 1989, the Virgin Mary appeared to several girls in Rwanda.  She appeared to them with the name "Nyina wa Jambo" ("Mother of the Word"), synonymous with "Umubyeyl W'iamna" ("Mother of God").  Mary emphasized the call to pray the rosary and asked for penance and fasting.  The three girls reported a vision foreshadowing the Rwandan Genocide which would occur just 13 years later, which would claim one of their lives._x000D_
_x000D_
#### Source Material_x000D_
_x000D_
* [Official site](https://kibeho-sanctuary.com/)
_x000D_
_x000D_
| The Real Presence | Miracle Hunter | MaryPages |_x000D_
| --- | --- | --- |_x000D_
| [Link](http://www.therealpresence.org/eucharst/misc/BVM/20_KIBEHO_96x96.pdf) | [Link](https://www.miraclehunter.com/marian_apparitions/approved_apparitions/kibeho_rwanda/index.html) | [Link](https://www.marypages.com/kibeho-(rwanda)-en.html) |_x000D_
_x000D_
_x000D_
_x000D_
_x000D_
</v>
      </c>
      <c r="BY155" s="24" t="str">
        <f>IF(AR155,VLOOKUP(C155,'(Ref) Countries'!A:B,2,)&amp;IF(LEN(D155)&gt;1,"-"&amp;LOWER(SUBSTITUTE(D155," ","-")),"")&amp;"-"&amp;LOWER(SUBSTITUTE(I155," ","-"))&amp;".md","")</f>
        <v>rw-shrine-of-our-lady-of-kibeho.md</v>
      </c>
      <c r="BZ155" s="46" t="str">
        <f>IF(LEN(AG155)&gt;1,VLOOKUP(AG155,'Tag List'!$A:$B,2,),"")</f>
        <v/>
      </c>
      <c r="CA155" s="46" t="str">
        <f>IF(LEN(AH155)&gt;1,VLOOKUP(AH155,'Tag List'!$A:$B,2,),"")</f>
        <v/>
      </c>
      <c r="CB155" s="46" t="str">
        <f>IF(LEN(AI155)&gt;1,VLOOKUP(AI155,'Tag List'!$A:$B,2,),"")</f>
        <v/>
      </c>
      <c r="CC155" s="38" t="str">
        <f>IF(LEN(AG155)&gt;1,GetTagPage(BZ155,AG155),"")</f>
        <v/>
      </c>
      <c r="CD155" s="38" t="str">
        <f>IF(LEN(AH155)&gt;1,GetTagPage(CA155,AH155),"")</f>
        <v/>
      </c>
      <c r="CE155" s="38" t="str">
        <f>IF(LEN(AI155)&gt;1,GetTagPage(CB155,AI155),"")</f>
        <v/>
      </c>
      <c r="CF155" s="38" t="str">
        <f>"|"&amp;IF(LEN(CC155)&gt;1," "&amp;CC155,"")&amp;IF(LEN(CD155)&gt;1,", "&amp;CD155,"")&amp;IF(LEN(CE155)&gt;1,", "&amp;CE155,"")&amp;" "</f>
        <v xml:space="preserve">| </v>
      </c>
      <c r="CG155" s="38" t="str">
        <f>"| "&amp;IF(AR155,"["&amp;B155&amp;"](/places/"&amp;SUBSTITUTE(BY155,".md","")&amp;")",B155)&amp;" "</f>
        <v xml:space="preserve">| [Kibeho](/places/rw-shrine-of-our-lady-of-kibeho) </v>
      </c>
      <c r="CH155" s="38" t="str">
        <f>"| "&amp;IF(AR155,GetTagPage(C155,VLOOKUP(C155,'(Ref) Countries'!A:C,3,)),C155)&amp; " "</f>
        <v xml:space="preserve">| [Rwanda](/tags/rwanda) </v>
      </c>
      <c r="CI155" s="38" t="str">
        <f>"| "&amp;E155&amp;" "</f>
        <v xml:space="preserve">| 1981 </v>
      </c>
      <c r="CJ155" s="38" t="str">
        <f>"|"&amp;IF(AR155," [Link](/places/"&amp;SUBSTITUTE(BY155,".md","")&amp;")","")&amp;" "</f>
        <v xml:space="preserve">| [Link](/places/rw-shrine-of-our-lady-of-kibeho) </v>
      </c>
      <c r="CK155" s="37" t="str">
        <f>"
"&amp;CG155&amp;CH155&amp;CI155&amp;CJ155&amp;BL155&amp;BQ155&amp;BR155&amp;BS155&amp;CF155&amp;"|"</f>
        <v xml:space="preserve">
| [Kibeho](/places/rw-shrine-of-our-lady-of-kibeho) | [Rwanda](/tags/rwanda) | 1981 | [Link](/places/rw-shrine-of-our-lady-of-kibeho) [Official site](https://kibeho-sanctuary.com/)[Link](http://www.therealpresence.org/eucharst/misc/BVM/20_KIBEHO_96x96.pdf)[Link](https://www.miraclehunter.com/marian_apparitions/approved_apparitions/kibeho_rwanda/index.html)[Link](https://www.marypages.com/kibeho-(rwanda)-en.html)| |</v>
      </c>
    </row>
    <row r="156" spans="1:89" ht="102" x14ac:dyDescent="0.25">
      <c r="A156" s="25" t="s">
        <v>1326</v>
      </c>
      <c r="B156" s="28" t="s">
        <v>1311</v>
      </c>
      <c r="C156" s="29" t="s">
        <v>721</v>
      </c>
      <c r="E156" s="31">
        <v>1984</v>
      </c>
      <c r="F156" s="71">
        <v>37.204861473063303</v>
      </c>
      <c r="G156" s="67">
        <v>126.81640992516</v>
      </c>
      <c r="H156" s="50" t="s">
        <v>1401</v>
      </c>
      <c r="I156" s="75" t="s">
        <v>1401</v>
      </c>
      <c r="J156" s="30" t="s">
        <v>1728</v>
      </c>
      <c r="K156" s="32" t="b">
        <v>1</v>
      </c>
      <c r="L156" s="30" t="b">
        <v>1</v>
      </c>
      <c r="N156" s="50" t="s">
        <v>1337</v>
      </c>
      <c r="O156" s="77" t="s">
        <v>1758</v>
      </c>
      <c r="P156" s="30" t="s">
        <v>336</v>
      </c>
      <c r="Q156" s="30" t="s">
        <v>336</v>
      </c>
      <c r="AA156" s="71" t="s">
        <v>330</v>
      </c>
      <c r="AB156" s="30" t="s">
        <v>336</v>
      </c>
      <c r="AC156" s="30" t="s">
        <v>336</v>
      </c>
      <c r="AD156" s="30" t="s">
        <v>336</v>
      </c>
      <c r="AE156" s="30" t="s">
        <v>336</v>
      </c>
      <c r="AF156" s="67" t="s">
        <v>336</v>
      </c>
      <c r="AG156" s="30" t="s">
        <v>336</v>
      </c>
      <c r="AR156" s="36" t="b">
        <f>IF(OR(A156="Done",A156="In Progress"),TRUE)</f>
        <v>0</v>
      </c>
      <c r="AS156" s="37" t="str">
        <f>"title: """&amp;H156&amp;""""</f>
        <v>title: "Shrine of Our Lady of the Rosary of Namyang"</v>
      </c>
      <c r="AT156" s="37" t="str">
        <f>"location: {lat: "&amp;F156&amp;", lng: "&amp;G156&amp;"}"</f>
        <v>location: {lat: 37.2048614730633, lng: 126.81640992516}</v>
      </c>
      <c r="AU156" s="37" t="str">
        <f>"level: "&amp;J156</f>
        <v>level: global</v>
      </c>
      <c r="AV156" s="37" t="str">
        <f>"- "&amp;VLOOKUP(C156,'(Ref) Countries'!A:C,3,)</f>
        <v>- south-korea</v>
      </c>
      <c r="AW156" s="37" t="str">
        <f t="shared" si="48"/>
        <v/>
      </c>
      <c r="AX156" s="37" t="str">
        <f t="shared" si="49"/>
        <v>- churches</v>
      </c>
      <c r="AY156" s="37" t="str">
        <f t="shared" si="50"/>
        <v>- marian-sites</v>
      </c>
      <c r="AZ156" s="37" t="str">
        <f t="shared" si="51"/>
        <v/>
      </c>
      <c r="BA156" s="37" t="str">
        <f t="shared" si="52"/>
        <v/>
      </c>
      <c r="BB156" s="37" t="str">
        <f t="shared" si="53"/>
        <v/>
      </c>
      <c r="BC156" s="37" t="str">
        <f t="shared" si="54"/>
        <v/>
      </c>
      <c r="BD156" s="37" t="str">
        <f t="shared" si="55"/>
        <v/>
      </c>
      <c r="BE156" s="37" t="str">
        <f t="shared" si="56"/>
        <v/>
      </c>
      <c r="BF156" s="37" t="str">
        <f t="shared" si="57"/>
        <v/>
      </c>
      <c r="BG156" s="37" t="str">
        <f t="shared" si="58"/>
        <v/>
      </c>
      <c r="BH156" s="37" t="str">
        <f t="shared" si="59"/>
        <v/>
      </c>
      <c r="BI156" s="37" t="str">
        <f t="shared" si="60"/>
        <v/>
      </c>
      <c r="BJ156" s="37" t="str">
        <f t="shared" si="61"/>
        <v/>
      </c>
      <c r="BK156" s="37" t="str">
        <f t="shared" si="62"/>
        <v xml:space="preserve">tags:
- south-korea_x000D_
- churches_x000D_
- marian-sites_x000D_
</v>
      </c>
      <c r="BL156" s="38" t="str">
        <f t="shared" si="63"/>
        <v/>
      </c>
      <c r="BM156" s="38" t="str">
        <f t="shared" si="64"/>
        <v/>
      </c>
      <c r="BN156" s="38" t="str">
        <f t="shared" si="65"/>
        <v/>
      </c>
      <c r="BO156" s="38" t="str">
        <f t="shared" si="66"/>
        <v/>
      </c>
      <c r="BP156" s="38" t="str">
        <f t="shared" si="67"/>
        <v/>
      </c>
      <c r="BQ156" s="38" t="str">
        <f t="shared" si="68"/>
        <v>[Link](http://www.therealpresence.org/eucharst/misc/BVM/143_NAMYANG_96x96.pdf)</v>
      </c>
      <c r="BR156" s="38" t="str">
        <f t="shared" si="69"/>
        <v/>
      </c>
      <c r="BS156" s="38" t="str">
        <f t="shared" si="70"/>
        <v/>
      </c>
      <c r="BT156" s="38" t="str">
        <f>IF(LEN(concat(BQ156:BS156))&gt;0,concat("| ",BQ156," | ",BR156," | ",BS156," |"),"")</f>
        <v>| [Link](http://www.therealpresence.org/eucharst/misc/BVM/143_NAMYANG_96x96.pdf) |  |  |</v>
      </c>
      <c r="BU156" s="37" t="str">
        <f t="shared" si="71"/>
        <v xml:space="preserve">| The Real Presence | Miracle Hunter | MaryPages |_x000D_
| --- | --- | --- |_x000D_
| [Link](http://www.therealpresence.org/eucharst/misc/BVM/143_NAMYANG_96x96.pdf) |  |  |_x000D_
</v>
      </c>
      <c r="BV156" s="37" t="str">
        <f>IF(LEN(BP156&amp;BU156)&gt;0,concatll("#### Source Material",BP156,BU156),"")</f>
        <v xml:space="preserve">#### Source Material_x000D_
_x000D_
| The Real Presence | Miracle Hunter | MaryPages |_x000D_
| --- | --- | --- |_x000D_
| [Link](http://www.therealpresence.org/eucharst/misc/BVM/143_NAMYANG_96x96.pdf) |  |  |_x000D_
_x000D_
_x000D_
</v>
      </c>
      <c r="BW156" s="37" t="str">
        <f>IF(LEN(O156)&gt;1,concatll("#### Author's Note",O156),"")</f>
        <v xml:space="preserve">#### Author's Note_x000D_
_x000D_
We were unable to find an official page which is still live; there is an unofficial Facebook page [here](https://www.facebook.com/pages/The-Shrine-of-Our-Lady-of-the-Rosary-of-Namyang/243668322481803).  Please [contact us](/contact) if you know the correct link!
-JMM_x000D_
_x000D_
</v>
      </c>
      <c r="BX156" s="24" t="str">
        <f>IF(AR156,concatll(concatl("---",AS156:AU156,BK156,"---"),N156,BV156:BW156),"")</f>
        <v/>
      </c>
      <c r="BY156" s="24" t="str">
        <f>IF(AR156,VLOOKUP(C156,'(Ref) Countries'!A:B,2,)&amp;IF(LEN(D156)&gt;1,"-"&amp;LOWER(SUBSTITUTE(D156," ","-")),"")&amp;"-"&amp;LOWER(SUBSTITUTE(I156," ","-"))&amp;".md","")</f>
        <v/>
      </c>
      <c r="BZ156" s="37" t="str">
        <f>IF(LEN(AG156)&gt;1,VLOOKUP(AG156,'Tag List'!$A:$B,2,),"")</f>
        <v/>
      </c>
      <c r="CA156" s="37" t="str">
        <f>IF(LEN(AH156)&gt;1,VLOOKUP(AH156,'Tag List'!$A:$B,2,),"")</f>
        <v/>
      </c>
      <c r="CB156" s="37" t="str">
        <f>IF(LEN(AI156)&gt;1,VLOOKUP(AI156,'Tag List'!$A:$B,2,),"")</f>
        <v/>
      </c>
      <c r="CC156" s="38" t="str">
        <f>IF(LEN(AG156)&gt;1,GetTagPage(BZ156,AG156),"")</f>
        <v/>
      </c>
      <c r="CD156" s="38" t="str">
        <f>IF(LEN(AH156)&gt;1,GetTagPage(CA156,AH156),"")</f>
        <v/>
      </c>
      <c r="CE156" s="38" t="str">
        <f>IF(LEN(AI156)&gt;1,GetTagPage(CB156,AI156),"")</f>
        <v/>
      </c>
      <c r="CF156" s="38" t="str">
        <f>"|"&amp;IF(LEN(CC156)&gt;1," "&amp;CC156,"")&amp;IF(LEN(CD156)&gt;1,", "&amp;CD156,"")&amp;IF(LEN(CE156)&gt;1,", "&amp;CE156,"")&amp;" "</f>
        <v xml:space="preserve">| </v>
      </c>
      <c r="CG156" s="38" t="str">
        <f>"| "&amp;IF(AR156,"["&amp;B156&amp;"](/places/"&amp;SUBSTITUTE(BY156,".md","")&amp;")",B156)&amp;" "</f>
        <v xml:space="preserve">| Namyang </v>
      </c>
      <c r="CH156" s="38" t="str">
        <f>"| "&amp;IF(AR156,GetTagPage(C156,VLOOKUP(C156,'(Ref) Countries'!A:C,3,)),C156)&amp; " "</f>
        <v xml:space="preserve">| South Korea </v>
      </c>
      <c r="CI156" s="38" t="str">
        <f>"| "&amp;E156&amp;" "</f>
        <v xml:space="preserve">| 1984 </v>
      </c>
      <c r="CJ156" s="38" t="str">
        <f>"|"&amp;IF(AR156," [Link](/places/"&amp;SUBSTITUTE(BY156,".md","")&amp;")","")&amp;" "</f>
        <v xml:space="preserve">| </v>
      </c>
      <c r="CK156" s="37" t="str">
        <f>"
"&amp;CG156&amp;CH156&amp;CI156&amp;CJ156&amp;BL156&amp;BQ156&amp;BR156&amp;BS156&amp;CF156&amp;"|"</f>
        <v xml:space="preserve">
| Namyang | South Korea | 1984 | [Link](http://www.therealpresence.org/eucharst/misc/BVM/143_NAMYANG_96x96.pdf)| |</v>
      </c>
    </row>
    <row r="157" spans="1:89" ht="51" x14ac:dyDescent="0.25">
      <c r="A157" s="25" t="s">
        <v>1326</v>
      </c>
      <c r="B157" s="28" t="s">
        <v>1050</v>
      </c>
      <c r="C157" s="29" t="s">
        <v>637</v>
      </c>
      <c r="E157" s="31" t="s">
        <v>1049</v>
      </c>
      <c r="F157" s="71">
        <v>7.2085798653578497</v>
      </c>
      <c r="G157" s="67">
        <v>7.8115900693840503</v>
      </c>
      <c r="H157" s="29" t="s">
        <v>1045</v>
      </c>
      <c r="I157" s="75" t="s">
        <v>1046</v>
      </c>
      <c r="J157" s="30" t="s">
        <v>1728</v>
      </c>
      <c r="K157" s="32" t="b">
        <v>1</v>
      </c>
      <c r="L157" s="30" t="b">
        <v>1</v>
      </c>
      <c r="N157" s="29" t="s">
        <v>1048</v>
      </c>
      <c r="P157" s="30" t="s">
        <v>1044</v>
      </c>
      <c r="Q157" s="30" t="s">
        <v>336</v>
      </c>
      <c r="AA157" s="71" t="s">
        <v>331</v>
      </c>
      <c r="AB157" s="30" t="s">
        <v>336</v>
      </c>
      <c r="AC157" s="30" t="s">
        <v>1047</v>
      </c>
      <c r="AD157" s="30" t="s">
        <v>336</v>
      </c>
      <c r="AE157" s="30" t="s">
        <v>336</v>
      </c>
      <c r="AF157" s="67" t="s">
        <v>336</v>
      </c>
      <c r="AG157" s="30" t="s">
        <v>336</v>
      </c>
      <c r="AR157" s="36" t="b">
        <f>IF(OR(A157="Done",A157="In Progress"),TRUE)</f>
        <v>0</v>
      </c>
      <c r="AS157" s="37" t="str">
        <f>"title: """&amp;H157&amp;""""</f>
        <v>title: "Shrine of Our Lady of Aokpe (Mediatrix of all Graces)"</v>
      </c>
      <c r="AT157" s="37" t="str">
        <f>"location: {lat: "&amp;F157&amp;", lng: "&amp;G157&amp;"}"</f>
        <v>location: {lat: 7.20857986535785, lng: 7.81159006938405}</v>
      </c>
      <c r="AU157" s="37" t="str">
        <f>"level: "&amp;J157</f>
        <v>level: global</v>
      </c>
      <c r="AV157" s="37" t="str">
        <f>"- "&amp;VLOOKUP(C157,'(Ref) Countries'!A:C,3,)</f>
        <v>- nigeria</v>
      </c>
      <c r="AW157" s="37" t="str">
        <f t="shared" si="48"/>
        <v/>
      </c>
      <c r="AX157" s="37" t="str">
        <f t="shared" si="49"/>
        <v>- churches</v>
      </c>
      <c r="AY157" s="37" t="str">
        <f t="shared" si="50"/>
        <v>- marian-sites</v>
      </c>
      <c r="AZ157" s="37" t="str">
        <f t="shared" si="51"/>
        <v/>
      </c>
      <c r="BA157" s="37" t="str">
        <f t="shared" si="52"/>
        <v/>
      </c>
      <c r="BB157" s="37" t="str">
        <f t="shared" si="53"/>
        <v/>
      </c>
      <c r="BC157" s="37" t="str">
        <f t="shared" si="54"/>
        <v/>
      </c>
      <c r="BD157" s="37" t="str">
        <f t="shared" si="55"/>
        <v/>
      </c>
      <c r="BE157" s="37" t="str">
        <f t="shared" si="56"/>
        <v/>
      </c>
      <c r="BF157" s="37" t="str">
        <f t="shared" si="57"/>
        <v/>
      </c>
      <c r="BG157" s="37" t="str">
        <f t="shared" si="58"/>
        <v/>
      </c>
      <c r="BH157" s="37" t="str">
        <f t="shared" si="59"/>
        <v/>
      </c>
      <c r="BI157" s="37" t="str">
        <f t="shared" si="60"/>
        <v/>
      </c>
      <c r="BJ157" s="37" t="str">
        <f t="shared" si="61"/>
        <v/>
      </c>
      <c r="BK157" s="37" t="str">
        <f t="shared" si="62"/>
        <v xml:space="preserve">tags:
- nigeria_x000D_
- churches_x000D_
- marian-sites_x000D_
</v>
      </c>
      <c r="BL157" s="38" t="str">
        <f t="shared" si="63"/>
        <v>[Official site](https://www.ourladyofaokpe.com/)</v>
      </c>
      <c r="BM157" s="38" t="str">
        <f t="shared" si="64"/>
        <v/>
      </c>
      <c r="BN157" s="38" t="str">
        <f t="shared" si="65"/>
        <v/>
      </c>
      <c r="BO157" s="38" t="str">
        <f t="shared" si="66"/>
        <v/>
      </c>
      <c r="BP157" s="38" t="str">
        <f t="shared" si="67"/>
        <v xml:space="preserve">* [Official site](https://www.ourladyofaokpe.com/)
</v>
      </c>
      <c r="BQ157" s="38" t="str">
        <f t="shared" si="68"/>
        <v>[Link](http://www.therealpresence.org/eucharst/misc/BVM/76_AOKPE_140x96.pdf)</v>
      </c>
      <c r="BR157" s="38" t="str">
        <f t="shared" si="69"/>
        <v>[Link](http://www.miraclehunter.com/marian_apparitions/approved_apparitions/aokpe/index.html)</v>
      </c>
      <c r="BS157" s="38" t="str">
        <f t="shared" si="70"/>
        <v/>
      </c>
      <c r="BT157" s="38" t="str">
        <f>IF(LEN(concat(BQ157:BS157))&gt;0,concat("| ",BQ157," | ",BR157," | ",BS157," |"),"")</f>
        <v>| [Link](http://www.therealpresence.org/eucharst/misc/BVM/76_AOKPE_140x96.pdf) | [Link](http://www.miraclehunter.com/marian_apparitions/approved_apparitions/aokpe/index.html) |  |</v>
      </c>
      <c r="BU157" s="37" t="str">
        <f t="shared" si="71"/>
        <v xml:space="preserve">| The Real Presence | Miracle Hunter | MaryPages |_x000D_
| --- | --- | --- |_x000D_
| [Link](http://www.therealpresence.org/eucharst/misc/BVM/76_AOKPE_140x96.pdf) | [Link](http://www.miraclehunter.com/marian_apparitions/approved_apparitions/aokpe/index.html) |  |_x000D_
</v>
      </c>
      <c r="BV157" s="37" t="str">
        <f>IF(LEN(BP157&amp;BU157)&gt;0,concatll("#### Source Material",BP157,BU157),"")</f>
        <v xml:space="preserve">#### Source Material_x000D_
_x000D_
* [Official site](https://www.ourladyofaokpe.com/)
_x000D_
_x000D_
| The Real Presence | Miracle Hunter | MaryPages |_x000D_
| --- | --- | --- |_x000D_
| [Link](http://www.therealpresence.org/eucharst/misc/BVM/76_AOKPE_140x96.pdf) | [Link](http://www.miraclehunter.com/marian_apparitions/approved_apparitions/aokpe/index.html) |  |_x000D_
_x000D_
_x000D_
</v>
      </c>
      <c r="BW157" s="37" t="str">
        <f>IF(LEN(O157)&gt;1,concatll("#### Author's Note",O157),"")</f>
        <v/>
      </c>
      <c r="BX157" s="24" t="str">
        <f>IF(AR157,concatll(concatl("---",AS157:AU157,BK157,"---"),N157,BV157:BW157),"")</f>
        <v/>
      </c>
      <c r="BY157" s="24" t="str">
        <f>IF(AR157,VLOOKUP(C157,'(Ref) Countries'!A:B,2,)&amp;IF(LEN(D157)&gt;1,"-"&amp;LOWER(SUBSTITUTE(D157," ","-")),"")&amp;"-"&amp;LOWER(SUBSTITUTE(I157," ","-"))&amp;".md","")</f>
        <v/>
      </c>
      <c r="BZ157" s="37" t="str">
        <f>IF(LEN(AG157)&gt;1,VLOOKUP(AG157,'Tag List'!$A:$B,2,),"")</f>
        <v/>
      </c>
      <c r="CA157" s="37" t="str">
        <f>IF(LEN(AH157)&gt;1,VLOOKUP(AH157,'Tag List'!$A:$B,2,),"")</f>
        <v/>
      </c>
      <c r="CB157" s="37" t="str">
        <f>IF(LEN(AI157)&gt;1,VLOOKUP(AI157,'Tag List'!$A:$B,2,),"")</f>
        <v/>
      </c>
      <c r="CC157" s="38" t="str">
        <f>IF(LEN(AG157)&gt;1,GetTagPage(BZ157,AG157),"")</f>
        <v/>
      </c>
      <c r="CD157" s="38" t="str">
        <f>IF(LEN(AH157)&gt;1,GetTagPage(CA157,AH157),"")</f>
        <v/>
      </c>
      <c r="CE157" s="38" t="str">
        <f>IF(LEN(AI157)&gt;1,GetTagPage(CB157,AI157),"")</f>
        <v/>
      </c>
      <c r="CF157" s="38" t="str">
        <f>"|"&amp;IF(LEN(CC157)&gt;1," "&amp;CC157,"")&amp;IF(LEN(CD157)&gt;1,", "&amp;CD157,"")&amp;IF(LEN(CE157)&gt;1,", "&amp;CE157,"")&amp;" "</f>
        <v xml:space="preserve">| </v>
      </c>
      <c r="CG157" s="38" t="str">
        <f>"| "&amp;IF(AR157,"["&amp;B157&amp;"](/places/"&amp;SUBSTITUTE(BY157,".md","")&amp;")",B157)&amp;" "</f>
        <v xml:space="preserve">| Aokpe </v>
      </c>
      <c r="CH157" s="38" t="str">
        <f>"| "&amp;IF(AR157,GetTagPage(C157,VLOOKUP(C157,'(Ref) Countries'!A:C,3,)),C157)&amp; " "</f>
        <v xml:space="preserve">| Nigeria </v>
      </c>
      <c r="CI157" s="38" t="str">
        <f>"| "&amp;E157&amp;" "</f>
        <v xml:space="preserve">| 1992-2004 </v>
      </c>
      <c r="CJ157" s="38" t="str">
        <f>"|"&amp;IF(AR157," [Link](/places/"&amp;SUBSTITUTE(BY157,".md","")&amp;")","")&amp;" "</f>
        <v xml:space="preserve">| </v>
      </c>
      <c r="CK157" s="37" t="str">
        <f>"
"&amp;CG157&amp;CH157&amp;CI157&amp;CJ157&amp;BL157&amp;BQ157&amp;BR157&amp;BS157&amp;CF157&amp;"|"</f>
        <v xml:space="preserve">
| Aokpe | Nigeria | 1992-2004 | [Official site](https://www.ourladyofaokpe.com/)[Link](http://www.therealpresence.org/eucharst/misc/BVM/76_AOKPE_140x96.pdf)[Link](http://www.miraclehunter.com/marian_apparitions/approved_apparitions/aokpe/index.html)| |</v>
      </c>
    </row>
    <row r="158" spans="1:89" x14ac:dyDescent="0.25">
      <c r="A158" s="25" t="s">
        <v>1326</v>
      </c>
      <c r="B158" s="28" t="s">
        <v>1051</v>
      </c>
      <c r="C158" s="29" t="s">
        <v>483</v>
      </c>
      <c r="E158" s="31">
        <v>2004</v>
      </c>
      <c r="F158" s="71">
        <v>34.149450392589202</v>
      </c>
      <c r="G158" s="67">
        <v>36.1356779618907</v>
      </c>
      <c r="H158" s="29" t="s">
        <v>1043</v>
      </c>
      <c r="I158" s="75" t="s">
        <v>1043</v>
      </c>
      <c r="J158" s="30" t="s">
        <v>1728</v>
      </c>
      <c r="K158" s="32" t="b">
        <v>1</v>
      </c>
      <c r="L158" s="30" t="b">
        <v>1</v>
      </c>
      <c r="P158" s="30" t="s">
        <v>336</v>
      </c>
      <c r="Q158" s="30" t="s">
        <v>336</v>
      </c>
      <c r="AA158" s="71" t="s">
        <v>332</v>
      </c>
      <c r="AB158" s="30" t="s">
        <v>336</v>
      </c>
      <c r="AC158" s="30" t="s">
        <v>336</v>
      </c>
      <c r="AD158" s="30" t="s">
        <v>336</v>
      </c>
      <c r="AE158" s="30" t="s">
        <v>336</v>
      </c>
      <c r="AF158" s="67" t="s">
        <v>336</v>
      </c>
      <c r="AG158" s="30" t="s">
        <v>336</v>
      </c>
      <c r="AR158" s="36" t="b">
        <f>IF(OR(A158="Done",A158="In Progress"),TRUE)</f>
        <v>0</v>
      </c>
      <c r="AS158" s="37" t="str">
        <f>"title: """&amp;H158&amp;""""</f>
        <v>title: "Sanctuary of Our Lady of Bechouat"</v>
      </c>
      <c r="AT158" s="37" t="str">
        <f>"location: {lat: "&amp;F158&amp;", lng: "&amp;G158&amp;"}"</f>
        <v>location: {lat: 34.1494503925892, lng: 36.1356779618907}</v>
      </c>
      <c r="AU158" s="37" t="str">
        <f>"level: "&amp;J158</f>
        <v>level: global</v>
      </c>
      <c r="AV158" s="37" t="str">
        <f>"- "&amp;VLOOKUP(C158,'(Ref) Countries'!A:C,3,)</f>
        <v>- lebanon</v>
      </c>
      <c r="AW158" s="37" t="str">
        <f t="shared" si="48"/>
        <v/>
      </c>
      <c r="AX158" s="37" t="str">
        <f t="shared" si="49"/>
        <v>- churches</v>
      </c>
      <c r="AY158" s="37" t="str">
        <f t="shared" si="50"/>
        <v>- marian-sites</v>
      </c>
      <c r="AZ158" s="37" t="str">
        <f t="shared" si="51"/>
        <v/>
      </c>
      <c r="BA158" s="37" t="str">
        <f t="shared" si="52"/>
        <v/>
      </c>
      <c r="BB158" s="37" t="str">
        <f t="shared" si="53"/>
        <v/>
      </c>
      <c r="BC158" s="37" t="str">
        <f t="shared" si="54"/>
        <v/>
      </c>
      <c r="BD158" s="37" t="str">
        <f t="shared" si="55"/>
        <v/>
      </c>
      <c r="BE158" s="37" t="str">
        <f t="shared" si="56"/>
        <v/>
      </c>
      <c r="BF158" s="37" t="str">
        <f t="shared" si="57"/>
        <v/>
      </c>
      <c r="BG158" s="37" t="str">
        <f t="shared" si="58"/>
        <v/>
      </c>
      <c r="BH158" s="37" t="str">
        <f t="shared" si="59"/>
        <v/>
      </c>
      <c r="BI158" s="37" t="str">
        <f t="shared" si="60"/>
        <v/>
      </c>
      <c r="BJ158" s="37" t="str">
        <f t="shared" si="61"/>
        <v/>
      </c>
      <c r="BK158" s="37" t="str">
        <f t="shared" si="62"/>
        <v xml:space="preserve">tags:
- lebanon_x000D_
- churches_x000D_
- marian-sites_x000D_
</v>
      </c>
      <c r="BL158" s="38" t="str">
        <f t="shared" si="63"/>
        <v/>
      </c>
      <c r="BM158" s="38" t="str">
        <f t="shared" si="64"/>
        <v/>
      </c>
      <c r="BN158" s="38" t="str">
        <f t="shared" si="65"/>
        <v/>
      </c>
      <c r="BO158" s="38" t="str">
        <f t="shared" si="66"/>
        <v/>
      </c>
      <c r="BP158" s="38" t="str">
        <f t="shared" si="67"/>
        <v/>
      </c>
      <c r="BQ158" s="38" t="str">
        <f t="shared" si="68"/>
        <v>[Link](http://www.therealpresence.org/eucharst/misc/BVM/78_BECHWAT_60x96.pdf)</v>
      </c>
      <c r="BR158" s="38" t="str">
        <f t="shared" si="69"/>
        <v/>
      </c>
      <c r="BS158" s="38" t="str">
        <f t="shared" si="70"/>
        <v/>
      </c>
      <c r="BT158" s="38" t="str">
        <f>IF(LEN(concat(BQ158:BS158))&gt;0,concat("| ",BQ158," | ",BR158," | ",BS158," |"),"")</f>
        <v>| [Link](http://www.therealpresence.org/eucharst/misc/BVM/78_BECHWAT_60x96.pdf) |  |  |</v>
      </c>
      <c r="BU158" s="37" t="str">
        <f t="shared" si="71"/>
        <v xml:space="preserve">| The Real Presence | Miracle Hunter | MaryPages |_x000D_
| --- | --- | --- |_x000D_
| [Link](http://www.therealpresence.org/eucharst/misc/BVM/78_BECHWAT_60x96.pdf) |  |  |_x000D_
</v>
      </c>
      <c r="BV158" s="37" t="str">
        <f>IF(LEN(BP158&amp;BU158)&gt;0,concatll("#### Source Material",BP158,BU158),"")</f>
        <v xml:space="preserve">#### Source Material_x000D_
_x000D_
| The Real Presence | Miracle Hunter | MaryPages |_x000D_
| --- | --- | --- |_x000D_
| [Link](http://www.therealpresence.org/eucharst/misc/BVM/78_BECHWAT_60x96.pdf) |  |  |_x000D_
_x000D_
_x000D_
</v>
      </c>
      <c r="BW158" s="37" t="str">
        <f>IF(LEN(O158)&gt;1,concatll("#### Author's Note",O158),"")</f>
        <v/>
      </c>
      <c r="BX158" s="24" t="str">
        <f>IF(AR158,concatll(concatl("---",AS158:AU158,BK158,"---"),N158,BV158:BW158),"")</f>
        <v/>
      </c>
      <c r="BY158" s="24" t="str">
        <f>IF(AR158,VLOOKUP(C158,'(Ref) Countries'!A:B,2,)&amp;IF(LEN(D158)&gt;1,"-"&amp;LOWER(SUBSTITUTE(D158," ","-")),"")&amp;"-"&amp;LOWER(SUBSTITUTE(I158," ","-"))&amp;".md","")</f>
        <v/>
      </c>
      <c r="BZ158" s="37" t="str">
        <f>IF(LEN(AG158)&gt;1,VLOOKUP(AG158,'Tag List'!$A:$B,2,),"")</f>
        <v/>
      </c>
      <c r="CA158" s="37" t="str">
        <f>IF(LEN(AH158)&gt;1,VLOOKUP(AH158,'Tag List'!$A:$B,2,),"")</f>
        <v/>
      </c>
      <c r="CB158" s="37" t="str">
        <f>IF(LEN(AI158)&gt;1,VLOOKUP(AI158,'Tag List'!$A:$B,2,),"")</f>
        <v/>
      </c>
      <c r="CC158" s="38" t="str">
        <f>IF(LEN(AG158)&gt;1,GetTagPage(BZ158,AG158),"")</f>
        <v/>
      </c>
      <c r="CD158" s="38" t="str">
        <f>IF(LEN(AH158)&gt;1,GetTagPage(CA158,AH158),"")</f>
        <v/>
      </c>
      <c r="CE158" s="38" t="str">
        <f>IF(LEN(AI158)&gt;1,GetTagPage(CB158,AI158),"")</f>
        <v/>
      </c>
      <c r="CF158" s="38" t="str">
        <f>"|"&amp;IF(LEN(CC158)&gt;1," "&amp;CC158,"")&amp;IF(LEN(CD158)&gt;1,", "&amp;CD158,"")&amp;IF(LEN(CE158)&gt;1,", "&amp;CE158,"")&amp;" "</f>
        <v xml:space="preserve">| </v>
      </c>
      <c r="CG158" s="38" t="str">
        <f>"| "&amp;IF(AR158,"["&amp;B158&amp;"](/places/"&amp;SUBSTITUTE(BY158,".md","")&amp;")",B158)&amp;" "</f>
        <v xml:space="preserve">| Bechouat </v>
      </c>
      <c r="CH158" s="38" t="str">
        <f>"| "&amp;IF(AR158,GetTagPage(C158,VLOOKUP(C158,'(Ref) Countries'!A:C,3,)),C158)&amp; " "</f>
        <v xml:space="preserve">| Lebanon </v>
      </c>
      <c r="CI158" s="38" t="str">
        <f>"| "&amp;E158&amp;" "</f>
        <v xml:space="preserve">| 2004 </v>
      </c>
      <c r="CJ158" s="38" t="str">
        <f>"|"&amp;IF(AR158," [Link](/places/"&amp;SUBSTITUTE(BY158,".md","")&amp;")","")&amp;" "</f>
        <v xml:space="preserve">| </v>
      </c>
      <c r="CK158" s="37" t="str">
        <f>"
"&amp;CG158&amp;CH158&amp;CI158&amp;CJ158&amp;BL158&amp;BQ158&amp;BR158&amp;BS158&amp;CF158&amp;"|"</f>
        <v xml:space="preserve">
| Bechouat | Lebanon | 2004 | [Link](http://www.therealpresence.org/eucharst/misc/BVM/78_BECHWAT_60x96.pdf)| |</v>
      </c>
    </row>
    <row r="159" spans="1:89" ht="51" x14ac:dyDescent="0.25">
      <c r="A159" s="25" t="s">
        <v>1324</v>
      </c>
      <c r="B159" s="28" t="s">
        <v>1057</v>
      </c>
      <c r="C159" s="29" t="s">
        <v>651</v>
      </c>
      <c r="E159" s="31" t="s">
        <v>1058</v>
      </c>
      <c r="F159" s="71">
        <v>50.812751619291099</v>
      </c>
      <c r="G159" s="67">
        <v>19.096651748272901</v>
      </c>
      <c r="H159" s="35" t="s">
        <v>1059</v>
      </c>
      <c r="I159" s="75" t="s">
        <v>1060</v>
      </c>
      <c r="J159" s="30" t="s">
        <v>1728</v>
      </c>
      <c r="K159" s="32" t="b">
        <v>1</v>
      </c>
      <c r="L159" s="30" t="b">
        <v>1</v>
      </c>
      <c r="N159" s="35" t="s">
        <v>1064</v>
      </c>
      <c r="P159" s="30" t="s">
        <v>1061</v>
      </c>
      <c r="Q159" s="30" t="s">
        <v>336</v>
      </c>
      <c r="AA159" s="71" t="s">
        <v>336</v>
      </c>
      <c r="AB159" s="30" t="s">
        <v>336</v>
      </c>
      <c r="AC159" s="30" t="s">
        <v>1062</v>
      </c>
      <c r="AD159" s="30" t="s">
        <v>336</v>
      </c>
      <c r="AE159" s="30" t="s">
        <v>1063</v>
      </c>
      <c r="AF159" s="67" t="s">
        <v>336</v>
      </c>
      <c r="AG159" s="29" t="s">
        <v>1431</v>
      </c>
      <c r="AH159" s="29" t="s">
        <v>1424</v>
      </c>
      <c r="AI159" s="29"/>
      <c r="AJ159" s="29"/>
      <c r="AK159" s="29"/>
      <c r="AL159" s="29"/>
      <c r="AM159" s="29"/>
      <c r="AN159" s="29"/>
      <c r="AO159" s="29"/>
      <c r="AP159" s="112"/>
      <c r="AR159" s="36" t="b">
        <f>IF(OR(A159="Done",A159="In Progress"),TRUE)</f>
        <v>1</v>
      </c>
      <c r="AS159" s="37" t="str">
        <f>"title: """&amp;H159&amp;""""</f>
        <v>title: "Jasna Gora Monastery (Our Lady of Czestochowa)"</v>
      </c>
      <c r="AT159" s="37" t="str">
        <f>"location: {lat: "&amp;F159&amp;", lng: "&amp;G159&amp;"}"</f>
        <v>location: {lat: 50.8127516192911, lng: 19.0966517482729}</v>
      </c>
      <c r="AU159" s="37" t="str">
        <f>"level: "&amp;J159</f>
        <v>level: global</v>
      </c>
      <c r="AV159" s="37" t="str">
        <f>"- "&amp;VLOOKUP(C159,'(Ref) Countries'!A:C,3,)</f>
        <v>- poland</v>
      </c>
      <c r="AW159" s="37" t="str">
        <f t="shared" si="48"/>
        <v/>
      </c>
      <c r="AX159" s="37" t="str">
        <f t="shared" si="49"/>
        <v>- churches</v>
      </c>
      <c r="AY159" s="37" t="str">
        <f t="shared" si="50"/>
        <v>- marian-sites</v>
      </c>
      <c r="AZ159" s="37" t="str">
        <f t="shared" si="51"/>
        <v/>
      </c>
      <c r="BA159" s="37" t="str">
        <f t="shared" si="52"/>
        <v>- communities</v>
      </c>
      <c r="BB159" s="37" t="str">
        <f t="shared" si="53"/>
        <v>- john-paul-ii</v>
      </c>
      <c r="BC159" s="37" t="str">
        <f t="shared" si="54"/>
        <v/>
      </c>
      <c r="BD159" s="37" t="str">
        <f t="shared" si="55"/>
        <v/>
      </c>
      <c r="BE159" s="37" t="str">
        <f t="shared" si="56"/>
        <v/>
      </c>
      <c r="BF159" s="37" t="str">
        <f t="shared" si="57"/>
        <v/>
      </c>
      <c r="BG159" s="37" t="str">
        <f t="shared" si="58"/>
        <v/>
      </c>
      <c r="BH159" s="37" t="str">
        <f t="shared" si="59"/>
        <v/>
      </c>
      <c r="BI159" s="37" t="str">
        <f t="shared" si="60"/>
        <v/>
      </c>
      <c r="BJ159" s="37" t="str">
        <f t="shared" si="61"/>
        <v/>
      </c>
      <c r="BK159" s="37" t="str">
        <f t="shared" si="62"/>
        <v xml:space="preserve">tags:
- poland_x000D_
- churches_x000D_
- marian-sites_x000D_
- communities_x000D_
- john-paul-ii_x000D_
</v>
      </c>
      <c r="BL159" s="38" t="str">
        <f t="shared" si="63"/>
        <v>[Official site](https://jasnagora.pl/)</v>
      </c>
      <c r="BM159" s="38" t="str">
        <f t="shared" si="64"/>
        <v/>
      </c>
      <c r="BN159" s="38" t="str">
        <f t="shared" si="65"/>
        <v/>
      </c>
      <c r="BO159" s="38" t="str">
        <f t="shared" si="66"/>
        <v/>
      </c>
      <c r="BP159" s="38" t="str">
        <f t="shared" si="67"/>
        <v xml:space="preserve">* [Official site](https://jasnagora.pl/)
</v>
      </c>
      <c r="BQ159" s="38" t="str">
        <f t="shared" si="68"/>
        <v/>
      </c>
      <c r="BR159" s="38" t="str">
        <f t="shared" si="69"/>
        <v>[Link](https://www.miraclehunter.com/marian_apparitions/approved_apparitions/czestochowa/)</v>
      </c>
      <c r="BS159" s="38" t="str">
        <f t="shared" si="70"/>
        <v>[Link](https://www.marypages.com/czestochowa-(poland)-en.html)</v>
      </c>
      <c r="BT159" s="38" t="str">
        <f>IF(LEN(concat(BQ159:BS159))&gt;0,concat("| ",BQ159," | ",BR159," | ",BS159," |"),"")</f>
        <v>|  | [Link](https://www.miraclehunter.com/marian_apparitions/approved_apparitions/czestochowa/) | [Link](https://www.marypages.com/czestochowa-(poland)-en.html) |</v>
      </c>
      <c r="BU159" s="37" t="str">
        <f t="shared" si="71"/>
        <v xml:space="preserve">| The Real Presence | Miracle Hunter | MaryPages |_x000D_
| --- | --- | --- |_x000D_
|  | [Link](https://www.miraclehunter.com/marian_apparitions/approved_apparitions/czestochowa/) | [Link](https://www.marypages.com/czestochowa-(poland)-en.html) |_x000D_
</v>
      </c>
      <c r="BV159" s="37" t="str">
        <f>IF(LEN(BP159&amp;BU159)&gt;0,concatll("#### Source Material",BP159,BU159),"")</f>
        <v xml:space="preserve">#### Source Material_x000D_
_x000D_
* [Official site](https://jasnagora.pl/)
_x000D_
_x000D_
| The Real Presence | Miracle Hunter | MaryPages |_x000D_
| --- | --- | --- |_x000D_
|  | [Link](https://www.miraclehunter.com/marian_apparitions/approved_apparitions/czestochowa/) | [Link](https://www.marypages.com/czestochowa-(poland)-en.html) |_x000D_
_x000D_
_x000D_
</v>
      </c>
      <c r="BW159" s="37" t="str">
        <f>IF(LEN(O159)&gt;1,concatll("#### Author's Note",O159),"")</f>
        <v/>
      </c>
      <c r="BX159" s="24" t="str">
        <f>IF(AR159,concatll(concatl("---",AS159:AU159,BK159,"---"),N159,BV159:BW159),"")</f>
        <v xml:space="preserve">---_x000D_
title: "Jasna Gora Monastery (Our Lady of Czestochowa)"_x000D_
location: {lat: 50.8127516192911, lng: 19.0966517482729}_x000D_
level: global_x000D_
tags:
- poland_x000D_
- churches_x000D_
- marian-sites_x000D_
- communities_x000D_
- john-paul-ii_x000D_
_x000D_
---_x000D_
_x000D_
_x000D_
The Monastery of Jasna Gora in Częstochowa, Poland, is the third-largest Catholic pilgrimage site in the world.  Home to the beloved miraculous icon of Our Lady of Częstochowa, the monastery is also the national shrine of Poland and a pillar of Polish Catholicism._x000D_
_x000D_
#### Source Material_x000D_
_x000D_
* [Official site](https://jasnagora.pl/)
_x000D_
_x000D_
| The Real Presence | Miracle Hunter | MaryPages |_x000D_
| --- | --- | --- |_x000D_
|  | [Link](https://www.miraclehunter.com/marian_apparitions/approved_apparitions/czestochowa/) | [Link](https://www.marypages.com/czestochowa-(poland)-en.html) |_x000D_
_x000D_
_x000D_
_x000D_
_x000D_
</v>
      </c>
      <c r="BY159" s="24" t="str">
        <f>IF(AR159,VLOOKUP(C159,'(Ref) Countries'!A:B,2,)&amp;IF(LEN(D159)&gt;1,"-"&amp;LOWER(SUBSTITUTE(D159," ","-")),"")&amp;"-"&amp;LOWER(SUBSTITUTE(I159," ","-"))&amp;".md","")</f>
        <v>pl-jasna-gora-monastery.md</v>
      </c>
      <c r="BZ159" s="36" t="str">
        <f>IF(LEN(AG159)&gt;1,VLOOKUP(AG159,'Tag List'!$A:$B,2,),"")</f>
        <v>Religious Communities</v>
      </c>
      <c r="CA159" s="36" t="str">
        <f>IF(LEN(AH159)&gt;1,VLOOKUP(AH159,'Tag List'!$A:$B,2,),"")</f>
        <v>Pope St. John Paul II</v>
      </c>
      <c r="CB159" s="36" t="str">
        <f>IF(LEN(AI159)&gt;1,VLOOKUP(AI159,'Tag List'!$A:$B,2,),"")</f>
        <v/>
      </c>
      <c r="CC159" s="38" t="str">
        <f>IF(LEN(AG159)&gt;1,GetTagPage(BZ159,AG159),"")</f>
        <v>[Religious Communities](/tags/communities)</v>
      </c>
      <c r="CD159" s="38" t="str">
        <f>IF(LEN(AH159)&gt;1,GetTagPage(CA159,AH159),"")</f>
        <v>[Pope St. John Paul II](/tags/john-paul-ii)</v>
      </c>
      <c r="CE159" s="38" t="str">
        <f>IF(LEN(AI159)&gt;1,GetTagPage(CB159,AI159),"")</f>
        <v/>
      </c>
      <c r="CF159" s="38" t="str">
        <f>"|"&amp;IF(LEN(CC159)&gt;1," "&amp;CC159,"")&amp;IF(LEN(CD159)&gt;1,", "&amp;CD159,"")&amp;IF(LEN(CE159)&gt;1,", "&amp;CE159,"")&amp;" "</f>
        <v xml:space="preserve">| [Religious Communities](/tags/communities), [Pope St. John Paul II](/tags/john-paul-ii) </v>
      </c>
      <c r="CG159" s="38" t="str">
        <f>"| "&amp;IF(AR159,"["&amp;B159&amp;"](/places/"&amp;SUBSTITUTE(BY159,".md","")&amp;")",B159)&amp;" "</f>
        <v xml:space="preserve">| [Czestochowa](/places/pl-jasna-gora-monastery) </v>
      </c>
      <c r="CH159" s="38" t="str">
        <f>"| "&amp;IF(AR159,GetTagPage(C159,VLOOKUP(C159,'(Ref) Countries'!A:C,3,)),C159)&amp; " "</f>
        <v xml:space="preserve">| [Poland](/tags/poland) </v>
      </c>
      <c r="CI159" s="38" t="str">
        <f>"| "&amp;E159&amp;" "</f>
        <v xml:space="preserve">| Unknown </v>
      </c>
      <c r="CJ159" s="38" t="str">
        <f>"|"&amp;IF(AR159," [Link](/places/"&amp;SUBSTITUTE(BY159,".md","")&amp;")","")&amp;" "</f>
        <v xml:space="preserve">| [Link](/places/pl-jasna-gora-monastery) </v>
      </c>
      <c r="CK159" s="37" t="str">
        <f>"
"&amp;CG159&amp;CH159&amp;CI159&amp;CJ159&amp;BL159&amp;BQ159&amp;BR159&amp;BS159&amp;CF159&amp;"|"</f>
        <v xml:space="preserve">
| [Czestochowa](/places/pl-jasna-gora-monastery) | [Poland](/tags/poland) | Unknown | [Link](/places/pl-jasna-gora-monastery) [Official site](https://jasnagora.pl/)[Link](https://www.miraclehunter.com/marian_apparitions/approved_apparitions/czestochowa/)[Link](https://www.marypages.com/czestochowa-(poland)-en.html)| [Religious Communities](/tags/communities), [Pope St. John Paul II](/tags/john-paul-ii) |</v>
      </c>
    </row>
    <row r="160" spans="1:89" ht="51" x14ac:dyDescent="0.25">
      <c r="A160" s="25" t="s">
        <v>1052</v>
      </c>
      <c r="B160" s="28" t="s">
        <v>1738</v>
      </c>
      <c r="C160" s="54" t="s">
        <v>542</v>
      </c>
      <c r="D160" s="43" t="s">
        <v>1738</v>
      </c>
      <c r="E160" s="64" t="s">
        <v>1416</v>
      </c>
      <c r="F160" s="71">
        <v>48.369192631907303</v>
      </c>
      <c r="G160" s="67">
        <v>10.8982826487021</v>
      </c>
      <c r="H160" s="54" t="s">
        <v>1739</v>
      </c>
      <c r="I160" s="80" t="s">
        <v>1740</v>
      </c>
      <c r="J160" s="30" t="s">
        <v>1728</v>
      </c>
      <c r="K160" s="32" t="b">
        <v>1</v>
      </c>
      <c r="L160" s="30" t="b">
        <v>1</v>
      </c>
      <c r="N160" s="54" t="s">
        <v>1744</v>
      </c>
      <c r="O160" s="80" t="s">
        <v>1759</v>
      </c>
      <c r="P160" s="30" t="s">
        <v>1743</v>
      </c>
      <c r="Q160" s="30" t="s">
        <v>336</v>
      </c>
      <c r="AA160" s="71" t="s">
        <v>336</v>
      </c>
      <c r="AB160" s="30" t="s">
        <v>336</v>
      </c>
      <c r="AC160" s="30" t="s">
        <v>1742</v>
      </c>
      <c r="AD160" s="30" t="s">
        <v>336</v>
      </c>
      <c r="AE160" s="30" t="s">
        <v>1741</v>
      </c>
      <c r="AF160" s="67" t="s">
        <v>336</v>
      </c>
      <c r="AG160" s="29"/>
      <c r="AH160" s="29"/>
      <c r="AI160" s="29"/>
      <c r="AJ160" s="29"/>
      <c r="AK160" s="29"/>
      <c r="AL160" s="29"/>
      <c r="AM160" s="29"/>
      <c r="AN160" s="29"/>
      <c r="AO160" s="29"/>
      <c r="AP160" s="112"/>
      <c r="AR160" s="36" t="b">
        <f>IF(OR(A160="Done",A160="In Progress"),TRUE)</f>
        <v>1</v>
      </c>
      <c r="AS160" s="37" t="str">
        <f>"title: """&amp;H160&amp;""""</f>
        <v>title: "St. Peter am Perlach (Mary Undoer of Knots)"</v>
      </c>
      <c r="AT160" s="37" t="str">
        <f>"location: {lat: "&amp;F160&amp;", lng: "&amp;G160&amp;"}"</f>
        <v>location: {lat: 48.3691926319073, lng: 10.8982826487021}</v>
      </c>
      <c r="AU160" s="37" t="str">
        <f>"level: "&amp;J160</f>
        <v>level: global</v>
      </c>
      <c r="AV160" s="37" t="str">
        <f>"- "&amp;VLOOKUP(C160,'(Ref) Countries'!A:C,3,)</f>
        <v>- germany</v>
      </c>
      <c r="AW160" s="37" t="str">
        <f t="shared" si="48"/>
        <v>- augsberg</v>
      </c>
      <c r="AX160" s="37" t="str">
        <f t="shared" si="49"/>
        <v>- churches</v>
      </c>
      <c r="AY160" s="37" t="str">
        <f t="shared" si="50"/>
        <v>- marian-sites</v>
      </c>
      <c r="AZ160" s="37" t="str">
        <f t="shared" si="51"/>
        <v/>
      </c>
      <c r="BA160" s="37" t="str">
        <f t="shared" si="52"/>
        <v/>
      </c>
      <c r="BB160" s="37" t="str">
        <f t="shared" si="53"/>
        <v/>
      </c>
      <c r="BC160" s="37" t="str">
        <f t="shared" si="54"/>
        <v/>
      </c>
      <c r="BD160" s="37" t="str">
        <f t="shared" si="55"/>
        <v/>
      </c>
      <c r="BE160" s="37" t="str">
        <f t="shared" si="56"/>
        <v/>
      </c>
      <c r="BF160" s="37" t="str">
        <f t="shared" si="57"/>
        <v/>
      </c>
      <c r="BG160" s="37" t="str">
        <f t="shared" si="58"/>
        <v/>
      </c>
      <c r="BH160" s="37" t="str">
        <f t="shared" si="59"/>
        <v/>
      </c>
      <c r="BI160" s="37" t="str">
        <f t="shared" si="60"/>
        <v/>
      </c>
      <c r="BJ160" s="37" t="str">
        <f t="shared" si="61"/>
        <v/>
      </c>
      <c r="BK160" s="37" t="str">
        <f t="shared" si="62"/>
        <v xml:space="preserve">tags:
- germany_x000D_
- augsberg_x000D_
- churches_x000D_
- marian-sites_x000D_
</v>
      </c>
      <c r="BL160" s="38" t="str">
        <f t="shared" si="63"/>
        <v>[Official site](https://sankt-peter-am-perlach.de)</v>
      </c>
      <c r="BM160" s="38" t="str">
        <f t="shared" si="64"/>
        <v/>
      </c>
      <c r="BN160" s="38" t="str">
        <f t="shared" si="65"/>
        <v/>
      </c>
      <c r="BO160" s="38" t="str">
        <f t="shared" si="66"/>
        <v/>
      </c>
      <c r="BP160" s="38" t="str">
        <f t="shared" si="67"/>
        <v xml:space="preserve">* [Official site](https://sankt-peter-am-perlach.de)
</v>
      </c>
      <c r="BQ160" s="38" t="str">
        <f t="shared" si="68"/>
        <v/>
      </c>
      <c r="BR160" s="38" t="str">
        <f t="shared" si="69"/>
        <v>[Link](https://www.miraclehunter.com/news/francis/francis-marian-devotion.html)</v>
      </c>
      <c r="BS160" s="38" t="str">
        <f t="shared" si="70"/>
        <v>[Link](https://www.marypages.com/mary-undoer-of-knots.html)</v>
      </c>
      <c r="BT160" s="38" t="str">
        <f>IF(LEN(concat(BQ160:BS160))&gt;0,concat("| ",BQ160," | ",BR160," | ",BS160," |"),"")</f>
        <v>|  | [Link](https://www.miraclehunter.com/news/francis/francis-marian-devotion.html) | [Link](https://www.marypages.com/mary-undoer-of-knots.html) |</v>
      </c>
      <c r="BU160" s="37" t="str">
        <f t="shared" si="71"/>
        <v xml:space="preserve">| The Real Presence | Miracle Hunter | MaryPages |_x000D_
| --- | --- | --- |_x000D_
|  | [Link](https://www.miraclehunter.com/news/francis/francis-marian-devotion.html) | [Link](https://www.marypages.com/mary-undoer-of-knots.html) |_x000D_
</v>
      </c>
      <c r="BV160" s="37" t="str">
        <f>IF(LEN(BP160&amp;BU160)&gt;0,concatll("#### Source Material",BP160,BU160),"")</f>
        <v xml:space="preserve">#### Source Material_x000D_
_x000D_
* [Official site](https://sankt-peter-am-perlach.de)
_x000D_
_x000D_
| The Real Presence | Miracle Hunter | MaryPages |_x000D_
| --- | --- | --- |_x000D_
|  | [Link](https://www.miraclehunter.com/news/francis/francis-marian-devotion.html) | [Link](https://www.marypages.com/mary-undoer-of-knots.html) |_x000D_
_x000D_
_x000D_
</v>
      </c>
      <c r="BW160" s="37" t="str">
        <f>IF(LEN(O160)&gt;1,concatll("#### Author's Note",O160),"")</f>
        <v xml:space="preserve">#### Author's Note_x000D_
_x000D_
Pope Francis has a special devotion to this image, explained in the Miracle Hunter link.
-JPY_x000D_
_x000D_
</v>
      </c>
      <c r="BX160" s="24" t="str">
        <f>IF(AR160,concatll(concatl("---",AS160:AU160,BK160,"---"),N160,BV160:BW160),"")</f>
        <v xml:space="preserve">---_x000D_
title: "St. Peter am Perlach (Mary Undoer of Knots)"_x000D_
location: {lat: 48.3691926319073, lng: 10.8982826487021}_x000D_
level: global_x000D_
tags:
- germany_x000D_
- augsberg_x000D_
- churches_x000D_
- marian-sites_x000D_
_x000D_
---_x000D_
_x000D_
_x000D_
Home of the image Our Lady Undoer of Knots._x000D_
_x000D_
#### Source Material_x000D_
_x000D_
* [Official site](https://sankt-peter-am-perlach.de)
_x000D_
_x000D_
| The Real Presence | Miracle Hunter | MaryPages |_x000D_
| --- | --- | --- |_x000D_
|  | [Link](https://www.miraclehunter.com/news/francis/francis-marian-devotion.html) | [Link](https://www.marypages.com/mary-undoer-of-knots.html) |_x000D_
_x000D_
_x000D_
_x000D_
_x000D_
#### Author's Note_x000D_
_x000D_
Pope Francis has a special devotion to this image, explained in the Miracle Hunter link.
-JPY_x000D_
_x000D_
_x000D_
_x000D_
</v>
      </c>
      <c r="BY160" s="24" t="str">
        <f>IF(AR160,VLOOKUP(C160,'(Ref) Countries'!A:B,2,)&amp;IF(LEN(D160)&gt;1,"-"&amp;LOWER(SUBSTITUTE(D160," ","-")),"")&amp;"-"&amp;LOWER(SUBSTITUTE(I160," ","-"))&amp;".md","")</f>
        <v>de-augsberg-st-peter-am-perlach.md</v>
      </c>
      <c r="BZ160" s="36" t="str">
        <f>IF(LEN(AG160)&gt;1,VLOOKUP(AG160,'Tag List'!$A:$B,2,),"")</f>
        <v/>
      </c>
      <c r="CA160" s="36" t="str">
        <f>IF(LEN(AH160)&gt;1,VLOOKUP(AH160,'Tag List'!$A:$B,2,),"")</f>
        <v/>
      </c>
      <c r="CB160" s="36" t="str">
        <f>IF(LEN(AI160)&gt;1,VLOOKUP(AI160,'Tag List'!$A:$B,2,),"")</f>
        <v/>
      </c>
      <c r="CC160" s="38" t="str">
        <f>IF(LEN(AG160)&gt;1,GetTagPage(BZ160,AG160),"")</f>
        <v/>
      </c>
      <c r="CD160" s="38" t="str">
        <f>IF(LEN(AH160)&gt;1,GetTagPage(CA160,AH160),"")</f>
        <v/>
      </c>
      <c r="CE160" s="38" t="str">
        <f>IF(LEN(AI160)&gt;1,GetTagPage(CB160,AI160),"")</f>
        <v/>
      </c>
      <c r="CF160" s="38" t="str">
        <f>"|"&amp;IF(LEN(CC160)&gt;1," "&amp;CC160,"")&amp;IF(LEN(CD160)&gt;1,", "&amp;CD160,"")&amp;IF(LEN(CE160)&gt;1,", "&amp;CE160,"")&amp;" "</f>
        <v xml:space="preserve">| </v>
      </c>
      <c r="CG160" s="38" t="str">
        <f>"| "&amp;IF(AR160,"["&amp;B160&amp;"](/places/"&amp;SUBSTITUTE(BY160,".md","")&amp;")",B160)&amp;" "</f>
        <v xml:space="preserve">| [Augsberg](/places/de-augsberg-st-peter-am-perlach) </v>
      </c>
      <c r="CH160" s="38" t="str">
        <f>"| "&amp;IF(AR160,GetTagPage(C160,VLOOKUP(C160,'(Ref) Countries'!A:C,3,)),C160)&amp; " "</f>
        <v xml:space="preserve">| [Germany](/tags/germany) </v>
      </c>
      <c r="CI160" s="38" t="str">
        <f>"| "&amp;E160&amp;" "</f>
        <v xml:space="preserve">| c. 1700 </v>
      </c>
      <c r="CJ160" s="38" t="str">
        <f>"|"&amp;IF(AR160," [Link](/places/"&amp;SUBSTITUTE(BY160,".md","")&amp;")","")&amp;" "</f>
        <v xml:space="preserve">| [Link](/places/de-augsberg-st-peter-am-perlach) </v>
      </c>
      <c r="CK160" s="37" t="str">
        <f>"
"&amp;CG160&amp;CH160&amp;CI160&amp;CJ160&amp;BL160&amp;BQ160&amp;BR160&amp;BS160&amp;CF160&amp;"|"</f>
        <v xml:space="preserve">
| [Augsberg](/places/de-augsberg-st-peter-am-perlach) | [Germany](/tags/germany) | c. 1700 | [Link](/places/de-augsberg-st-peter-am-perlach) [Official site](https://sankt-peter-am-perlach.de)[Link](https://www.miraclehunter.com/news/francis/francis-marian-devotion.html)[Link](https://www.marypages.com/mary-undoer-of-knots.html)| |</v>
      </c>
    </row>
    <row r="161" spans="1:89" x14ac:dyDescent="0.25">
      <c r="B161" s="26" t="s">
        <v>1040</v>
      </c>
      <c r="K161" s="32" t="b">
        <v>1</v>
      </c>
      <c r="L161" s="30" t="b">
        <v>1</v>
      </c>
      <c r="Q161" s="30" t="s">
        <v>336</v>
      </c>
      <c r="AA161" s="71" t="s">
        <v>336</v>
      </c>
      <c r="AB161" s="30" t="s">
        <v>336</v>
      </c>
      <c r="AC161" s="30" t="s">
        <v>336</v>
      </c>
      <c r="AD161" s="30" t="s">
        <v>336</v>
      </c>
      <c r="AE161" s="30" t="s">
        <v>336</v>
      </c>
      <c r="AF161" s="67" t="s">
        <v>336</v>
      </c>
      <c r="AR161" s="36" t="b">
        <f>IF(OR(A161="Done",A161="In Progress"),TRUE)</f>
        <v>0</v>
      </c>
      <c r="AS161" s="37" t="str">
        <f>"title: """&amp;H161&amp;""""</f>
        <v>title: ""</v>
      </c>
      <c r="AT161" s="37" t="str">
        <f>"location: {lat: "&amp;F161&amp;", lng: "&amp;G161&amp;"}"</f>
        <v>location: {lat: , lng: }</v>
      </c>
      <c r="AU161" s="37" t="str">
        <f>"level: "&amp;J161</f>
        <v xml:space="preserve">level: </v>
      </c>
      <c r="AV161" s="37" t="e">
        <f>"- "&amp;VLOOKUP(C161,'(Ref) Countries'!A:C,3,)</f>
        <v>#N/A</v>
      </c>
      <c r="AW161" s="37" t="str">
        <f t="shared" si="48"/>
        <v/>
      </c>
      <c r="AX161" s="37" t="str">
        <f t="shared" si="49"/>
        <v>- churches</v>
      </c>
      <c r="AY161" s="37" t="str">
        <f t="shared" si="50"/>
        <v>- marian-sites</v>
      </c>
      <c r="AZ161" s="37" t="str">
        <f t="shared" si="51"/>
        <v/>
      </c>
      <c r="BA161" s="37" t="str">
        <f t="shared" si="52"/>
        <v/>
      </c>
      <c r="BB161" s="37" t="str">
        <f t="shared" si="53"/>
        <v/>
      </c>
      <c r="BC161" s="37" t="str">
        <f t="shared" si="54"/>
        <v/>
      </c>
      <c r="BD161" s="37" t="str">
        <f t="shared" si="55"/>
        <v/>
      </c>
      <c r="BE161" s="37" t="str">
        <f t="shared" si="56"/>
        <v/>
      </c>
      <c r="BF161" s="37" t="str">
        <f t="shared" si="57"/>
        <v/>
      </c>
      <c r="BG161" s="37" t="str">
        <f t="shared" si="58"/>
        <v/>
      </c>
      <c r="BH161" s="37" t="str">
        <f t="shared" si="59"/>
        <v/>
      </c>
      <c r="BI161" s="37" t="str">
        <f t="shared" si="60"/>
        <v/>
      </c>
      <c r="BJ161" s="37" t="str">
        <f t="shared" si="61"/>
        <v/>
      </c>
      <c r="BK161" s="37" t="e">
        <f t="shared" si="62"/>
        <v>#VALUE!</v>
      </c>
      <c r="BL161" s="38" t="str">
        <f t="shared" si="63"/>
        <v/>
      </c>
      <c r="BM161" s="38" t="str">
        <f t="shared" si="64"/>
        <v/>
      </c>
      <c r="BN161" s="38" t="str">
        <f t="shared" si="65"/>
        <v/>
      </c>
      <c r="BO161" s="38" t="str">
        <f t="shared" si="66"/>
        <v/>
      </c>
      <c r="BP161" s="38" t="str">
        <f t="shared" si="67"/>
        <v/>
      </c>
      <c r="BQ161" s="38" t="str">
        <f t="shared" si="68"/>
        <v/>
      </c>
      <c r="BR161" s="38" t="str">
        <f t="shared" si="69"/>
        <v/>
      </c>
      <c r="BS161" s="38" t="str">
        <f t="shared" si="70"/>
        <v/>
      </c>
      <c r="BT161" s="38" t="str">
        <f>IF(LEN(concat(BQ161:BS161))&gt;0,concat("| ",BQ161," | ",BR161," | ",BS161," |"),"")</f>
        <v/>
      </c>
      <c r="BU161" s="37" t="str">
        <f t="shared" si="71"/>
        <v xml:space="preserve">| The Real Presence | Miracle Hunter | MaryPages |_x000D_
| --- | --- | --- |_x000D_
</v>
      </c>
      <c r="BV161" s="37" t="str">
        <f>IF(LEN(BP161&amp;BU161)&gt;0,concatll("#### Source Material",BP161,BU161),"")</f>
        <v xml:space="preserve">#### Source Material_x000D_
_x000D_
| The Real Presence | Miracle Hunter | MaryPages |_x000D_
| --- | --- | --- |_x000D_
_x000D_
_x000D_
</v>
      </c>
      <c r="BW161" s="37" t="str">
        <f>IF(LEN(O161)&gt;1,concatll("#### Author's Note",O161),"")</f>
        <v/>
      </c>
      <c r="BX161" s="24" t="str">
        <f>IF(AR161,concatll(concatl("---",AS161:AU161,BK161,"---"),N161,BV161:BW161),"")</f>
        <v/>
      </c>
      <c r="BY161" s="24" t="str">
        <f>IF(AR161,VLOOKUP(C161,'(Ref) Countries'!A:B,2,)&amp;IF(LEN(D161)&gt;1,"-"&amp;LOWER(SUBSTITUTE(D161," ","-")),"")&amp;"-"&amp;LOWER(SUBSTITUTE(I161," ","-"))&amp;".md","")</f>
        <v/>
      </c>
      <c r="BZ161" s="37" t="str">
        <f>IF(LEN(AG161)&gt;1,VLOOKUP(AG161,'Tag List'!$A:$B,2,),"")</f>
        <v/>
      </c>
      <c r="CA161" s="37" t="str">
        <f>IF(LEN(AH161)&gt;1,VLOOKUP(AH161,'Tag List'!$A:$B,2,),"")</f>
        <v/>
      </c>
      <c r="CB161" s="37" t="str">
        <f>IF(LEN(AI161)&gt;1,VLOOKUP(AI161,'Tag List'!$A:$B,2,),"")</f>
        <v/>
      </c>
      <c r="CC161" s="38" t="str">
        <f>IF(LEN(AG161)&gt;1,GetTagPage(BZ161,AG161),"")</f>
        <v/>
      </c>
      <c r="CD161" s="38" t="str">
        <f>IF(LEN(AH161)&gt;1,GetTagPage(CA161,AH161),"")</f>
        <v/>
      </c>
      <c r="CE161" s="38" t="str">
        <f>IF(LEN(AI161)&gt;1,GetTagPage(CB161,AI161),"")</f>
        <v/>
      </c>
      <c r="CF161" s="38" t="str">
        <f>"|"&amp;IF(LEN(CC161)&gt;1," "&amp;CC161,"")&amp;IF(LEN(CD161)&gt;1,", "&amp;CD161,"")&amp;IF(LEN(CE161)&gt;1,", "&amp;CE161,"")&amp;" "</f>
        <v xml:space="preserve">| </v>
      </c>
      <c r="CG161" s="38" t="str">
        <f>"| "&amp;IF(AR161,"["&amp;B161&amp;"](/places/"&amp;SUBSTITUTE(BY161,".md","")&amp;")",B161)&amp;" "</f>
        <v xml:space="preserve">| Our Lady of Vladimir </v>
      </c>
      <c r="CH161" s="38" t="str">
        <f>"| "&amp;IF(AR161,GetTagPage(C161,VLOOKUP(C161,'(Ref) Countries'!A:C,3,)),C161)&amp; " "</f>
        <v xml:space="preserve">|  </v>
      </c>
      <c r="CI161" s="38" t="str">
        <f>"| "&amp;E161&amp;" "</f>
        <v xml:space="preserve">|  </v>
      </c>
      <c r="CJ161" s="38" t="str">
        <f>"|"&amp;IF(AR161," [Link](/places/"&amp;SUBSTITUTE(BY161,".md","")&amp;")","")&amp;" "</f>
        <v xml:space="preserve">| </v>
      </c>
      <c r="CK161" s="37" t="str">
        <f>"
"&amp;CG161&amp;CH161&amp;CI161&amp;CJ161&amp;BL161&amp;BQ161&amp;BR161&amp;BS161&amp;CF161&amp;"|"</f>
        <v xml:space="preserve">
| Our Lady of Vladimir |  |  | | |</v>
      </c>
    </row>
    <row r="162" spans="1:89" x14ac:dyDescent="0.25">
      <c r="B162" s="26" t="s">
        <v>1041</v>
      </c>
      <c r="K162" s="32" t="b">
        <v>1</v>
      </c>
      <c r="L162" s="30" t="b">
        <v>1</v>
      </c>
      <c r="Q162" s="30" t="s">
        <v>336</v>
      </c>
      <c r="AA162" s="71" t="s">
        <v>336</v>
      </c>
      <c r="AB162" s="30" t="s">
        <v>336</v>
      </c>
      <c r="AC162" s="30" t="s">
        <v>336</v>
      </c>
      <c r="AD162" s="30" t="s">
        <v>336</v>
      </c>
      <c r="AE162" s="30" t="s">
        <v>336</v>
      </c>
      <c r="AF162" s="67" t="s">
        <v>336</v>
      </c>
      <c r="AR162" s="36" t="b">
        <f>IF(OR(A162="Done",A162="In Progress"),TRUE)</f>
        <v>0</v>
      </c>
      <c r="AS162" s="37" t="str">
        <f>"title: """&amp;H162&amp;""""</f>
        <v>title: ""</v>
      </c>
      <c r="AT162" s="37" t="str">
        <f>"location: {lat: "&amp;F162&amp;", lng: "&amp;G162&amp;"}"</f>
        <v>location: {lat: , lng: }</v>
      </c>
      <c r="AU162" s="37" t="str">
        <f>"level: "&amp;J162</f>
        <v xml:space="preserve">level: </v>
      </c>
      <c r="AV162" s="37" t="e">
        <f>"- "&amp;VLOOKUP(C162,'(Ref) Countries'!A:C,3,)</f>
        <v>#N/A</v>
      </c>
      <c r="AW162" s="37" t="str">
        <f t="shared" si="48"/>
        <v/>
      </c>
      <c r="AX162" s="37" t="str">
        <f t="shared" si="49"/>
        <v>- churches</v>
      </c>
      <c r="AY162" s="37" t="str">
        <f t="shared" si="50"/>
        <v>- marian-sites</v>
      </c>
      <c r="AZ162" s="37" t="str">
        <f t="shared" si="51"/>
        <v/>
      </c>
      <c r="BA162" s="37" t="str">
        <f t="shared" si="52"/>
        <v/>
      </c>
      <c r="BB162" s="37" t="str">
        <f t="shared" si="53"/>
        <v/>
      </c>
      <c r="BC162" s="37" t="str">
        <f t="shared" si="54"/>
        <v/>
      </c>
      <c r="BD162" s="37" t="str">
        <f t="shared" si="55"/>
        <v/>
      </c>
      <c r="BE162" s="37" t="str">
        <f t="shared" si="56"/>
        <v/>
      </c>
      <c r="BF162" s="37" t="str">
        <f t="shared" si="57"/>
        <v/>
      </c>
      <c r="BG162" s="37" t="str">
        <f t="shared" si="58"/>
        <v/>
      </c>
      <c r="BH162" s="37" t="str">
        <f t="shared" si="59"/>
        <v/>
      </c>
      <c r="BI162" s="37" t="str">
        <f t="shared" si="60"/>
        <v/>
      </c>
      <c r="BJ162" s="37" t="str">
        <f t="shared" si="61"/>
        <v/>
      </c>
      <c r="BK162" s="37" t="e">
        <f t="shared" si="62"/>
        <v>#VALUE!</v>
      </c>
      <c r="BL162" s="38" t="str">
        <f t="shared" si="63"/>
        <v/>
      </c>
      <c r="BM162" s="38" t="str">
        <f t="shared" si="64"/>
        <v/>
      </c>
      <c r="BN162" s="38" t="str">
        <f t="shared" si="65"/>
        <v/>
      </c>
      <c r="BO162" s="38" t="str">
        <f t="shared" si="66"/>
        <v/>
      </c>
      <c r="BP162" s="38" t="str">
        <f t="shared" si="67"/>
        <v/>
      </c>
      <c r="BQ162" s="38" t="str">
        <f t="shared" si="68"/>
        <v/>
      </c>
      <c r="BR162" s="38" t="str">
        <f t="shared" si="69"/>
        <v/>
      </c>
      <c r="BS162" s="38" t="str">
        <f t="shared" si="70"/>
        <v/>
      </c>
      <c r="BT162" s="38" t="str">
        <f>IF(LEN(concat(BQ162:BS162))&gt;0,concat("| ",BQ162," | ",BR162," | ",BS162," |"),"")</f>
        <v/>
      </c>
      <c r="BU162" s="37" t="str">
        <f t="shared" si="71"/>
        <v xml:space="preserve">| The Real Presence | Miracle Hunter | MaryPages |_x000D_
| --- | --- | --- |_x000D_
</v>
      </c>
      <c r="BV162" s="37" t="str">
        <f>IF(LEN(BP162&amp;BU162)&gt;0,concatll("#### Source Material",BP162,BU162),"")</f>
        <v xml:space="preserve">#### Source Material_x000D_
_x000D_
| The Real Presence | Miracle Hunter | MaryPages |_x000D_
| --- | --- | --- |_x000D_
_x000D_
_x000D_
</v>
      </c>
      <c r="BW162" s="37" t="str">
        <f>IF(LEN(O162)&gt;1,concatll("#### Author's Note",O162),"")</f>
        <v/>
      </c>
      <c r="BX162" s="24" t="str">
        <f>IF(AR162,concatll(concatl("---",AS162:AU162,BK162,"---"),N162,BV162:BW162),"")</f>
        <v/>
      </c>
      <c r="BY162" s="24" t="str">
        <f>IF(AR162,VLOOKUP(C162,'(Ref) Countries'!A:B,2,)&amp;IF(LEN(D162)&gt;1,"-"&amp;LOWER(SUBSTITUTE(D162," ","-")),"")&amp;"-"&amp;LOWER(SUBSTITUTE(I162," ","-"))&amp;".md","")</f>
        <v/>
      </c>
      <c r="BZ162" s="37" t="str">
        <f>IF(LEN(AG162)&gt;1,VLOOKUP(AG162,'Tag List'!$A:$B,2,),"")</f>
        <v/>
      </c>
      <c r="CA162" s="37" t="str">
        <f>IF(LEN(AH162)&gt;1,VLOOKUP(AH162,'Tag List'!$A:$B,2,),"")</f>
        <v/>
      </c>
      <c r="CB162" s="37" t="str">
        <f>IF(LEN(AI162)&gt;1,VLOOKUP(AI162,'Tag List'!$A:$B,2,),"")</f>
        <v/>
      </c>
      <c r="CC162" s="38" t="str">
        <f>IF(LEN(AG162)&gt;1,GetTagPage(BZ162,AG162),"")</f>
        <v/>
      </c>
      <c r="CD162" s="38" t="str">
        <f>IF(LEN(AH162)&gt;1,GetTagPage(CA162,AH162),"")</f>
        <v/>
      </c>
      <c r="CE162" s="38" t="str">
        <f>IF(LEN(AI162)&gt;1,GetTagPage(CB162,AI162),"")</f>
        <v/>
      </c>
      <c r="CF162" s="38" t="str">
        <f>"|"&amp;IF(LEN(CC162)&gt;1," "&amp;CC162,"")&amp;IF(LEN(CD162)&gt;1,", "&amp;CD162,"")&amp;IF(LEN(CE162)&gt;1,", "&amp;CE162,"")&amp;" "</f>
        <v xml:space="preserve">| </v>
      </c>
      <c r="CG162" s="38" t="str">
        <f>"| "&amp;IF(AR162,"["&amp;B162&amp;"](/places/"&amp;SUBSTITUTE(BY162,".md","")&amp;")",B162)&amp;" "</f>
        <v xml:space="preserve">| Our Lady of Altötting </v>
      </c>
      <c r="CH162" s="38" t="str">
        <f>"| "&amp;IF(AR162,GetTagPage(C162,VLOOKUP(C162,'(Ref) Countries'!A:C,3,)),C162)&amp; " "</f>
        <v xml:space="preserve">|  </v>
      </c>
      <c r="CI162" s="38" t="str">
        <f>"| "&amp;E162&amp;" "</f>
        <v xml:space="preserve">|  </v>
      </c>
      <c r="CJ162" s="38" t="str">
        <f>"|"&amp;IF(AR162," [Link](/places/"&amp;SUBSTITUTE(BY162,".md","")&amp;")","")&amp;" "</f>
        <v xml:space="preserve">| </v>
      </c>
      <c r="CK162" s="37" t="str">
        <f>"
"&amp;CG162&amp;CH162&amp;CI162&amp;CJ162&amp;BL162&amp;BQ162&amp;BR162&amp;BS162&amp;CF162&amp;"|"</f>
        <v xml:space="preserve">
| Our Lady of Altötting |  |  | | |</v>
      </c>
    </row>
    <row r="163" spans="1:89" x14ac:dyDescent="0.25">
      <c r="B163" s="26" t="s">
        <v>1042</v>
      </c>
      <c r="K163" s="32" t="b">
        <v>1</v>
      </c>
      <c r="L163" s="30" t="b">
        <v>1</v>
      </c>
      <c r="Q163" s="30" t="s">
        <v>336</v>
      </c>
      <c r="AA163" s="71" t="s">
        <v>336</v>
      </c>
      <c r="AB163" s="30" t="s">
        <v>336</v>
      </c>
      <c r="AC163" s="30" t="s">
        <v>336</v>
      </c>
      <c r="AD163" s="30" t="s">
        <v>336</v>
      </c>
      <c r="AE163" s="30" t="s">
        <v>336</v>
      </c>
      <c r="AF163" s="67" t="s">
        <v>336</v>
      </c>
      <c r="AR163" s="36" t="b">
        <f>IF(OR(A163="Done",A163="In Progress"),TRUE)</f>
        <v>0</v>
      </c>
      <c r="AS163" s="37" t="str">
        <f>"title: """&amp;H163&amp;""""</f>
        <v>title: ""</v>
      </c>
      <c r="AT163" s="37" t="str">
        <f>"location: {lat: "&amp;F163&amp;", lng: "&amp;G163&amp;"}"</f>
        <v>location: {lat: , lng: }</v>
      </c>
      <c r="AU163" s="37" t="str">
        <f>"level: "&amp;J163</f>
        <v xml:space="preserve">level: </v>
      </c>
      <c r="AV163" s="37" t="e">
        <f>"- "&amp;VLOOKUP(C163,'(Ref) Countries'!A:C,3,)</f>
        <v>#N/A</v>
      </c>
      <c r="AW163" s="37" t="str">
        <f t="shared" si="48"/>
        <v/>
      </c>
      <c r="AX163" s="37" t="str">
        <f t="shared" si="49"/>
        <v>- churches</v>
      </c>
      <c r="AY163" s="37" t="str">
        <f t="shared" si="50"/>
        <v>- marian-sites</v>
      </c>
      <c r="AZ163" s="37" t="str">
        <f t="shared" si="51"/>
        <v/>
      </c>
      <c r="BA163" s="37" t="str">
        <f t="shared" si="52"/>
        <v/>
      </c>
      <c r="BB163" s="37" t="str">
        <f t="shared" si="53"/>
        <v/>
      </c>
      <c r="BC163" s="37" t="str">
        <f t="shared" si="54"/>
        <v/>
      </c>
      <c r="BD163" s="37" t="str">
        <f t="shared" si="55"/>
        <v/>
      </c>
      <c r="BE163" s="37" t="str">
        <f t="shared" si="56"/>
        <v/>
      </c>
      <c r="BF163" s="37" t="str">
        <f t="shared" si="57"/>
        <v/>
      </c>
      <c r="BG163" s="37" t="str">
        <f t="shared" si="58"/>
        <v/>
      </c>
      <c r="BH163" s="37" t="str">
        <f t="shared" si="59"/>
        <v/>
      </c>
      <c r="BI163" s="37" t="str">
        <f t="shared" si="60"/>
        <v/>
      </c>
      <c r="BJ163" s="37" t="str">
        <f t="shared" si="61"/>
        <v/>
      </c>
      <c r="BK163" s="37" t="e">
        <f t="shared" si="62"/>
        <v>#VALUE!</v>
      </c>
      <c r="BL163" s="38" t="str">
        <f t="shared" si="63"/>
        <v/>
      </c>
      <c r="BM163" s="38" t="str">
        <f t="shared" si="64"/>
        <v/>
      </c>
      <c r="BN163" s="38" t="str">
        <f t="shared" si="65"/>
        <v/>
      </c>
      <c r="BO163" s="38" t="str">
        <f t="shared" si="66"/>
        <v/>
      </c>
      <c r="BP163" s="38" t="str">
        <f t="shared" si="67"/>
        <v/>
      </c>
      <c r="BQ163" s="38" t="str">
        <f t="shared" si="68"/>
        <v/>
      </c>
      <c r="BR163" s="38" t="str">
        <f t="shared" si="69"/>
        <v/>
      </c>
      <c r="BS163" s="38" t="str">
        <f t="shared" si="70"/>
        <v/>
      </c>
      <c r="BT163" s="38" t="str">
        <f>IF(LEN(concat(BQ163:BS163))&gt;0,concat("| ",BQ163," | ",BR163," | ",BS163," |"),"")</f>
        <v/>
      </c>
      <c r="BU163" s="37" t="str">
        <f t="shared" si="71"/>
        <v xml:space="preserve">| The Real Presence | Miracle Hunter | MaryPages |_x000D_
| --- | --- | --- |_x000D_
</v>
      </c>
      <c r="BV163" s="37" t="str">
        <f>IF(LEN(BP163&amp;BU163)&gt;0,concatll("#### Source Material",BP163,BU163),"")</f>
        <v xml:space="preserve">#### Source Material_x000D_
_x000D_
| The Real Presence | Miracle Hunter | MaryPages |_x000D_
| --- | --- | --- |_x000D_
_x000D_
_x000D_
</v>
      </c>
      <c r="BW163" s="37" t="str">
        <f>IF(LEN(O163)&gt;1,concatll("#### Author's Note",O163),"")</f>
        <v/>
      </c>
      <c r="BX163" s="24" t="str">
        <f>IF(AR163,concatll(concatl("---",AS163:AU163,BK163,"---"),N163,BV163:BW163),"")</f>
        <v/>
      </c>
      <c r="BY163" s="24" t="str">
        <f>IF(AR163,VLOOKUP(C163,'(Ref) Countries'!A:B,2,)&amp;IF(LEN(D163)&gt;1,"-"&amp;LOWER(SUBSTITUTE(D163," ","-")),"")&amp;"-"&amp;LOWER(SUBSTITUTE(I163," ","-"))&amp;".md","")</f>
        <v/>
      </c>
      <c r="BZ163" s="37" t="str">
        <f>IF(LEN(AG163)&gt;1,VLOOKUP(AG163,'Tag List'!$A:$B,2,),"")</f>
        <v/>
      </c>
      <c r="CA163" s="37" t="str">
        <f>IF(LEN(AH163)&gt;1,VLOOKUP(AH163,'Tag List'!$A:$B,2,),"")</f>
        <v/>
      </c>
      <c r="CB163" s="37" t="str">
        <f>IF(LEN(AI163)&gt;1,VLOOKUP(AI163,'Tag List'!$A:$B,2,),"")</f>
        <v/>
      </c>
      <c r="CC163" s="38" t="str">
        <f>IF(LEN(AG163)&gt;1,GetTagPage(BZ163,AG163),"")</f>
        <v/>
      </c>
      <c r="CD163" s="38" t="str">
        <f>IF(LEN(AH163)&gt;1,GetTagPage(CA163,AH163),"")</f>
        <v/>
      </c>
      <c r="CE163" s="38" t="str">
        <f>IF(LEN(AI163)&gt;1,GetTagPage(CB163,AI163),"")</f>
        <v/>
      </c>
      <c r="CF163" s="38" t="str">
        <f>"|"&amp;IF(LEN(CC163)&gt;1," "&amp;CC163,"")&amp;IF(LEN(CD163)&gt;1,", "&amp;CD163,"")&amp;IF(LEN(CE163)&gt;1,", "&amp;CE163,"")&amp;" "</f>
        <v xml:space="preserve">| </v>
      </c>
      <c r="CG163" s="38" t="str">
        <f>"| "&amp;IF(AR163,"["&amp;B163&amp;"](/places/"&amp;SUBSTITUTE(BY163,".md","")&amp;")",B163)&amp;" "</f>
        <v xml:space="preserve">| Our Lady of Noorieh Monastery </v>
      </c>
      <c r="CH163" s="38" t="str">
        <f>"| "&amp;IF(AR163,GetTagPage(C163,VLOOKUP(C163,'(Ref) Countries'!A:C,3,)),C163)&amp; " "</f>
        <v xml:space="preserve">|  </v>
      </c>
      <c r="CI163" s="38" t="str">
        <f>"| "&amp;E163&amp;" "</f>
        <v xml:space="preserve">|  </v>
      </c>
      <c r="CJ163" s="38" t="str">
        <f>"|"&amp;IF(AR163," [Link](/places/"&amp;SUBSTITUTE(BY163,".md","")&amp;")","")&amp;" "</f>
        <v xml:space="preserve">| </v>
      </c>
      <c r="CK163" s="37" t="str">
        <f>"
"&amp;CG163&amp;CH163&amp;CI163&amp;CJ163&amp;BL163&amp;BQ163&amp;BR163&amp;BS163&amp;CF163&amp;"|"</f>
        <v xml:space="preserve">
| Our Lady of Noorieh Monastery |  |  | | |</v>
      </c>
    </row>
    <row r="164" spans="1:89" ht="25.5" x14ac:dyDescent="0.25">
      <c r="A164" s="25" t="s">
        <v>1326</v>
      </c>
      <c r="C164" s="29" t="s">
        <v>669</v>
      </c>
      <c r="F164" s="71">
        <v>46.329000000000001</v>
      </c>
      <c r="G164" s="67">
        <v>14.2324</v>
      </c>
      <c r="H164" s="29" t="s">
        <v>1399</v>
      </c>
      <c r="I164" s="75" t="s">
        <v>1395</v>
      </c>
      <c r="K164" s="32" t="b">
        <v>1</v>
      </c>
      <c r="L164" s="30" t="b">
        <v>1</v>
      </c>
      <c r="N164" s="29" t="s">
        <v>1400</v>
      </c>
      <c r="P164" s="30" t="s">
        <v>1398</v>
      </c>
      <c r="Q164" s="30" t="s">
        <v>336</v>
      </c>
      <c r="AA164" s="71" t="s">
        <v>336</v>
      </c>
      <c r="AB164" s="30" t="s">
        <v>336</v>
      </c>
      <c r="AC164" s="30" t="s">
        <v>336</v>
      </c>
      <c r="AD164" s="30" t="s">
        <v>336</v>
      </c>
      <c r="AE164" s="30" t="s">
        <v>336</v>
      </c>
      <c r="AR164" s="36" t="b">
        <f>IF(OR(A164="Done",A164="In Progress"),TRUE)</f>
        <v>0</v>
      </c>
      <c r="AS164" s="37" t="str">
        <f>"title: """&amp;H164&amp;""""</f>
        <v>title: "National Shrine of Mary Help of Christians at Brezje"</v>
      </c>
      <c r="AT164" s="37" t="str">
        <f>"location: {lat: "&amp;F164&amp;", lng: "&amp;G164&amp;"}"</f>
        <v>location: {lat: 46.329, lng: 14.2324}</v>
      </c>
      <c r="AU164" s="37" t="str">
        <f>"level: "&amp;J164</f>
        <v xml:space="preserve">level: </v>
      </c>
      <c r="AV164" s="37" t="str">
        <f>"- "&amp;VLOOKUP(C164,'(Ref) Countries'!A:C,3,)</f>
        <v>- slovenia</v>
      </c>
      <c r="AW164" s="37" t="str">
        <f t="shared" si="48"/>
        <v/>
      </c>
      <c r="AX164" s="37" t="str">
        <f t="shared" si="49"/>
        <v>- churches</v>
      </c>
      <c r="AY164" s="37" t="str">
        <f t="shared" si="50"/>
        <v>- marian-sites</v>
      </c>
      <c r="AZ164" s="37" t="str">
        <f t="shared" si="51"/>
        <v/>
      </c>
      <c r="BA164" s="37" t="str">
        <f t="shared" si="52"/>
        <v/>
      </c>
      <c r="BB164" s="37" t="str">
        <f t="shared" si="53"/>
        <v/>
      </c>
      <c r="BC164" s="37" t="str">
        <f t="shared" si="54"/>
        <v/>
      </c>
      <c r="BD164" s="37" t="str">
        <f t="shared" si="55"/>
        <v/>
      </c>
      <c r="BE164" s="37" t="str">
        <f t="shared" si="56"/>
        <v/>
      </c>
      <c r="BF164" s="37" t="str">
        <f t="shared" si="57"/>
        <v/>
      </c>
      <c r="BG164" s="37" t="str">
        <f t="shared" si="58"/>
        <v/>
      </c>
      <c r="BH164" s="37" t="str">
        <f t="shared" si="59"/>
        <v/>
      </c>
      <c r="BI164" s="37" t="str">
        <f t="shared" si="60"/>
        <v/>
      </c>
      <c r="BJ164" s="37" t="str">
        <f t="shared" si="61"/>
        <v/>
      </c>
      <c r="BK164" s="37" t="str">
        <f t="shared" si="62"/>
        <v xml:space="preserve">tags:
- slovenia_x000D_
- churches_x000D_
- marian-sites_x000D_
</v>
      </c>
      <c r="BL164" s="38" t="str">
        <f t="shared" si="63"/>
        <v>[Official site](https://marija.si/)</v>
      </c>
      <c r="BM164" s="38" t="str">
        <f t="shared" si="64"/>
        <v/>
      </c>
      <c r="BN164" s="38" t="str">
        <f t="shared" si="65"/>
        <v/>
      </c>
      <c r="BO164" s="38" t="str">
        <f t="shared" si="66"/>
        <v/>
      </c>
      <c r="BP164" s="38" t="str">
        <f t="shared" si="67"/>
        <v xml:space="preserve">* [Official site](https://marija.si/)
</v>
      </c>
      <c r="BQ164" s="38" t="str">
        <f t="shared" si="68"/>
        <v/>
      </c>
      <c r="BR164" s="38" t="str">
        <f t="shared" si="69"/>
        <v/>
      </c>
      <c r="BS164" s="38" t="str">
        <f t="shared" si="70"/>
        <v/>
      </c>
      <c r="BT164" s="38" t="str">
        <f>IF(LEN(concat(BQ164:BS164))&gt;0,concat("| ",BQ164," | ",BR164," | ",BS164," |"),"")</f>
        <v/>
      </c>
      <c r="BU164" s="37" t="str">
        <f t="shared" si="71"/>
        <v xml:space="preserve">| The Real Presence | Miracle Hunter | MaryPages |_x000D_
| --- | --- | --- |_x000D_
</v>
      </c>
      <c r="BV164" s="37" t="str">
        <f>IF(LEN(BP164&amp;BU164)&gt;0,concatll("#### Source Material",BP164,BU164),"")</f>
        <v xml:space="preserve">#### Source Material_x000D_
_x000D_
* [Official site](https://marija.si/)
_x000D_
_x000D_
| The Real Presence | Miracle Hunter | MaryPages |_x000D_
| --- | --- | --- |_x000D_
_x000D_
_x000D_
</v>
      </c>
      <c r="BW164" s="37" t="str">
        <f>IF(LEN(O164)&gt;1,concatll("#### Author's Note",O164),"")</f>
        <v/>
      </c>
      <c r="BX164" s="24" t="str">
        <f>IF(AR164,concatll(concatl("---",AS164:AU164,BK164,"---"),N164,BV164:BW164),"")</f>
        <v/>
      </c>
      <c r="BY164" s="24" t="str">
        <f>IF(AR164,VLOOKUP(C164,'(Ref) Countries'!A:B,2,)&amp;IF(LEN(D164)&gt;1,"-"&amp;LOWER(SUBSTITUTE(D164," ","-")),"")&amp;"-"&amp;LOWER(SUBSTITUTE(I164," ","-"))&amp;".md","")</f>
        <v/>
      </c>
      <c r="BZ164" s="37" t="str">
        <f>IF(LEN(AG164)&gt;1,VLOOKUP(AG164,'Tag List'!$A:$B,2,),"")</f>
        <v/>
      </c>
      <c r="CA164" s="37" t="str">
        <f>IF(LEN(AH164)&gt;1,VLOOKUP(AH164,'Tag List'!$A:$B,2,),"")</f>
        <v/>
      </c>
      <c r="CB164" s="37" t="str">
        <f>IF(LEN(AI164)&gt;1,VLOOKUP(AI164,'Tag List'!$A:$B,2,),"")</f>
        <v/>
      </c>
      <c r="CC164" s="38" t="str">
        <f>IF(LEN(AG164)&gt;1,GetTagPage(BZ164,AG164),"")</f>
        <v/>
      </c>
      <c r="CD164" s="38" t="str">
        <f>IF(LEN(AH164)&gt;1,GetTagPage(CA164,AH164),"")</f>
        <v/>
      </c>
      <c r="CE164" s="38" t="str">
        <f>IF(LEN(AI164)&gt;1,GetTagPage(CB164,AI164),"")</f>
        <v/>
      </c>
      <c r="CF164" s="38" t="str">
        <f>"|"&amp;IF(LEN(CC164)&gt;1," "&amp;CC164,"")&amp;IF(LEN(CD164)&gt;1,", "&amp;CD164,"")&amp;IF(LEN(CE164)&gt;1,", "&amp;CE164,"")&amp;" "</f>
        <v xml:space="preserve">| </v>
      </c>
      <c r="CG164" s="38" t="str">
        <f>"| "&amp;IF(AR164,"["&amp;B164&amp;"](/places/"&amp;SUBSTITUTE(BY164,".md","")&amp;")",B164)&amp;" "</f>
        <v xml:space="preserve">|  </v>
      </c>
      <c r="CH164" s="38" t="str">
        <f>"| "&amp;IF(AR164,GetTagPage(C164,VLOOKUP(C164,'(Ref) Countries'!A:C,3,)),C164)&amp; " "</f>
        <v xml:space="preserve">| Slovenia </v>
      </c>
      <c r="CI164" s="38" t="str">
        <f>"| "&amp;E164&amp;" "</f>
        <v xml:space="preserve">|  </v>
      </c>
      <c r="CJ164" s="38" t="str">
        <f>"|"&amp;IF(AR164," [Link](/places/"&amp;SUBSTITUTE(BY164,".md","")&amp;")","")&amp;" "</f>
        <v xml:space="preserve">| </v>
      </c>
      <c r="CK164" s="37" t="str">
        <f>"
"&amp;CG164&amp;CH164&amp;CI164&amp;CJ164&amp;BL164&amp;BQ164&amp;BR164&amp;BS164&amp;CF164&amp;"|"</f>
        <v xml:space="preserve">
|  | Slovenia |  | [Official site](https://marija.si/)| |</v>
      </c>
    </row>
    <row r="165" spans="1:89" x14ac:dyDescent="0.25">
      <c r="C165" s="29" t="s">
        <v>11</v>
      </c>
      <c r="D165" s="43" t="s">
        <v>1005</v>
      </c>
      <c r="H165" s="29" t="s">
        <v>1403</v>
      </c>
      <c r="K165" s="32" t="b">
        <v>1</v>
      </c>
      <c r="L165" s="30" t="b">
        <v>1</v>
      </c>
      <c r="N165" s="29" t="s">
        <v>1402</v>
      </c>
      <c r="Q165" s="30" t="s">
        <v>336</v>
      </c>
      <c r="AA165" s="71" t="s">
        <v>336</v>
      </c>
      <c r="AB165" s="30" t="s">
        <v>336</v>
      </c>
      <c r="AC165" s="30" t="s">
        <v>336</v>
      </c>
      <c r="AD165" s="30" t="s">
        <v>336</v>
      </c>
      <c r="AE165" s="30" t="s">
        <v>336</v>
      </c>
      <c r="AR165" s="36" t="b">
        <f>IF(OR(A165="Done",A165="In Progress"),TRUE)</f>
        <v>0</v>
      </c>
      <c r="AS165" s="37" t="str">
        <f>"title: """&amp;H165&amp;""""</f>
        <v>title: "Santa Maria della Pace"</v>
      </c>
      <c r="AT165" s="37" t="str">
        <f>"location: {lat: "&amp;F165&amp;", lng: "&amp;G165&amp;"}"</f>
        <v>location: {lat: , lng: }</v>
      </c>
      <c r="AU165" s="37" t="str">
        <f>"level: "&amp;J165</f>
        <v xml:space="preserve">level: </v>
      </c>
      <c r="AV165" s="37" t="str">
        <f>"- "&amp;VLOOKUP(C165,'(Ref) Countries'!A:C,3,)</f>
        <v>- italy</v>
      </c>
      <c r="AW165" s="37" t="str">
        <f t="shared" si="48"/>
        <v>- rome</v>
      </c>
      <c r="AX165" s="37" t="str">
        <f t="shared" si="49"/>
        <v>- churches</v>
      </c>
      <c r="AY165" s="37" t="str">
        <f t="shared" si="50"/>
        <v>- marian-sites</v>
      </c>
      <c r="AZ165" s="37" t="str">
        <f t="shared" si="51"/>
        <v/>
      </c>
      <c r="BA165" s="37" t="str">
        <f t="shared" si="52"/>
        <v/>
      </c>
      <c r="BB165" s="37" t="str">
        <f t="shared" si="53"/>
        <v/>
      </c>
      <c r="BC165" s="37" t="str">
        <f t="shared" si="54"/>
        <v/>
      </c>
      <c r="BD165" s="37" t="str">
        <f t="shared" si="55"/>
        <v/>
      </c>
      <c r="BE165" s="37" t="str">
        <f t="shared" si="56"/>
        <v/>
      </c>
      <c r="BF165" s="37" t="str">
        <f t="shared" si="57"/>
        <v/>
      </c>
      <c r="BG165" s="37" t="str">
        <f t="shared" si="58"/>
        <v/>
      </c>
      <c r="BH165" s="37" t="str">
        <f t="shared" si="59"/>
        <v/>
      </c>
      <c r="BI165" s="37" t="str">
        <f t="shared" si="60"/>
        <v/>
      </c>
      <c r="BJ165" s="37" t="str">
        <f t="shared" si="61"/>
        <v/>
      </c>
      <c r="BK165" s="37" t="str">
        <f t="shared" si="62"/>
        <v xml:space="preserve">tags:
- italy_x000D_
- rome_x000D_
- churches_x000D_
- marian-sites_x000D_
</v>
      </c>
      <c r="BL165" s="38" t="str">
        <f t="shared" si="63"/>
        <v/>
      </c>
      <c r="BM165" s="38" t="str">
        <f t="shared" si="64"/>
        <v/>
      </c>
      <c r="BN165" s="38" t="str">
        <f t="shared" si="65"/>
        <v/>
      </c>
      <c r="BO165" s="38" t="str">
        <f t="shared" si="66"/>
        <v/>
      </c>
      <c r="BP165" s="38" t="str">
        <f t="shared" si="67"/>
        <v/>
      </c>
      <c r="BQ165" s="38" t="str">
        <f t="shared" si="68"/>
        <v/>
      </c>
      <c r="BR165" s="38" t="str">
        <f t="shared" si="69"/>
        <v/>
      </c>
      <c r="BS165" s="38" t="str">
        <f t="shared" si="70"/>
        <v/>
      </c>
      <c r="BT165" s="38" t="str">
        <f>IF(LEN(concat(BQ165:BS165))&gt;0,concat("| ",BQ165," | ",BR165," | ",BS165," |"),"")</f>
        <v/>
      </c>
      <c r="BU165" s="37" t="str">
        <f t="shared" si="71"/>
        <v xml:space="preserve">| The Real Presence | Miracle Hunter | MaryPages |_x000D_
| --- | --- | --- |_x000D_
</v>
      </c>
      <c r="BV165" s="37" t="str">
        <f>IF(LEN(BP165&amp;BU165)&gt;0,concatll("#### Source Material",BP165,BU165),"")</f>
        <v xml:space="preserve">#### Source Material_x000D_
_x000D_
| The Real Presence | Miracle Hunter | MaryPages |_x000D_
| --- | --- | --- |_x000D_
_x000D_
_x000D_
</v>
      </c>
      <c r="BW165" s="37" t="str">
        <f>IF(LEN(O165)&gt;1,concatll("#### Author's Note",O165),"")</f>
        <v/>
      </c>
      <c r="BX165" s="24" t="str">
        <f>IF(AR165,concatll(concatl("---",AS165:AU165,BK165,"---"),N165,BV165:BW165),"")</f>
        <v/>
      </c>
      <c r="BY165" s="24" t="str">
        <f>IF(AR165,VLOOKUP(C165,'(Ref) Countries'!A:B,2,)&amp;IF(LEN(D165)&gt;1,"-"&amp;LOWER(SUBSTITUTE(D165," ","-")),"")&amp;"-"&amp;LOWER(SUBSTITUTE(I165," ","-"))&amp;".md","")</f>
        <v/>
      </c>
      <c r="BZ165" s="37" t="str">
        <f>IF(LEN(AG165)&gt;1,VLOOKUP(AG165,'Tag List'!$A:$B,2,),"")</f>
        <v/>
      </c>
      <c r="CA165" s="37" t="str">
        <f>IF(LEN(AH165)&gt;1,VLOOKUP(AH165,'Tag List'!$A:$B,2,),"")</f>
        <v/>
      </c>
      <c r="CB165" s="37" t="str">
        <f>IF(LEN(AI165)&gt;1,VLOOKUP(AI165,'Tag List'!$A:$B,2,),"")</f>
        <v/>
      </c>
      <c r="CC165" s="38" t="str">
        <f>IF(LEN(AG165)&gt;1,GetTagPage(BZ165,AG165),"")</f>
        <v/>
      </c>
      <c r="CD165" s="38" t="str">
        <f>IF(LEN(AH165)&gt;1,GetTagPage(CA165,AH165),"")</f>
        <v/>
      </c>
      <c r="CE165" s="38" t="str">
        <f>IF(LEN(AI165)&gt;1,GetTagPage(CB165,AI165),"")</f>
        <v/>
      </c>
      <c r="CF165" s="38" t="str">
        <f>"|"&amp;IF(LEN(CC165)&gt;1," "&amp;CC165,"")&amp;IF(LEN(CD165)&gt;1,", "&amp;CD165,"")&amp;IF(LEN(CE165)&gt;1,", "&amp;CE165,"")&amp;" "</f>
        <v xml:space="preserve">| </v>
      </c>
      <c r="CG165" s="38" t="str">
        <f>"| "&amp;IF(AR165,"["&amp;B165&amp;"](/places/"&amp;SUBSTITUTE(BY165,".md","")&amp;")",B165)&amp;" "</f>
        <v xml:space="preserve">|  </v>
      </c>
      <c r="CH165" s="38" t="str">
        <f>"| "&amp;IF(AR165,GetTagPage(C165,VLOOKUP(C165,'(Ref) Countries'!A:C,3,)),C165)&amp; " "</f>
        <v xml:space="preserve">| Italy </v>
      </c>
      <c r="CI165" s="38" t="str">
        <f>"| "&amp;E165&amp;" "</f>
        <v xml:space="preserve">|  </v>
      </c>
      <c r="CJ165" s="38" t="str">
        <f>"|"&amp;IF(AR165," [Link](/places/"&amp;SUBSTITUTE(BY165,".md","")&amp;")","")&amp;" "</f>
        <v xml:space="preserve">| </v>
      </c>
      <c r="CK165" s="37" t="str">
        <f>"
"&amp;CG165&amp;CH165&amp;CI165&amp;CJ165&amp;BL165&amp;BQ165&amp;BR165&amp;BS165&amp;CF165&amp;"|"</f>
        <v xml:space="preserve">
|  | Italy |  | | |</v>
      </c>
    </row>
    <row r="166" spans="1:89" ht="178.5" x14ac:dyDescent="0.25">
      <c r="A166" s="25" t="s">
        <v>1324</v>
      </c>
      <c r="B166" s="26" t="s">
        <v>1415</v>
      </c>
      <c r="C166" s="29" t="s">
        <v>11</v>
      </c>
      <c r="F166" s="71">
        <v>41.457154000000003</v>
      </c>
      <c r="G166" s="67">
        <v>12.668148</v>
      </c>
      <c r="H166" s="29" t="s">
        <v>1764</v>
      </c>
      <c r="I166" s="80" t="s">
        <v>1765</v>
      </c>
      <c r="J166" s="43" t="s">
        <v>1777</v>
      </c>
      <c r="K166" s="32" t="b">
        <v>1</v>
      </c>
      <c r="L166" s="30" t="b">
        <v>1</v>
      </c>
      <c r="M166" s="30" t="b">
        <v>1</v>
      </c>
      <c r="N166" s="54" t="s">
        <v>1766</v>
      </c>
      <c r="O166" s="80" t="s">
        <v>1769</v>
      </c>
      <c r="P166" s="43" t="s">
        <v>1768</v>
      </c>
      <c r="Q166" s="66" t="s">
        <v>1837</v>
      </c>
      <c r="R166" s="121" t="s">
        <v>1838</v>
      </c>
      <c r="S166" s="43" t="s">
        <v>1836</v>
      </c>
      <c r="T166" s="91"/>
      <c r="U166" s="86"/>
      <c r="V166" s="43"/>
      <c r="W166" s="91"/>
      <c r="X166" s="43"/>
      <c r="Y166" s="43"/>
      <c r="Z166" s="43"/>
      <c r="AA166" s="71" t="s">
        <v>336</v>
      </c>
      <c r="AB166" s="30" t="s">
        <v>336</v>
      </c>
      <c r="AC166" s="30" t="s">
        <v>1391</v>
      </c>
      <c r="AD166" s="43" t="s">
        <v>1767</v>
      </c>
      <c r="AE166" s="30" t="s">
        <v>336</v>
      </c>
      <c r="AG166" s="43" t="s">
        <v>1770</v>
      </c>
      <c r="AH166" s="43" t="s">
        <v>1774</v>
      </c>
      <c r="AI166" s="43" t="s">
        <v>1773</v>
      </c>
      <c r="AJ166" s="43"/>
      <c r="AK166" s="43"/>
      <c r="AL166" s="43"/>
      <c r="AM166" s="43"/>
      <c r="AN166" s="43"/>
      <c r="AO166" s="43"/>
      <c r="AP166" s="116"/>
      <c r="AR166" s="36" t="b">
        <f>IF(OR(A166="Done",A166="In Progress"),TRUE)</f>
        <v>1</v>
      </c>
      <c r="AS166" s="37" t="str">
        <f>"title: """&amp;H166&amp;""""</f>
        <v>title: "Basilica of Our Lady of Grace and St. Maria Goretti"</v>
      </c>
      <c r="AT166" s="37" t="str">
        <f>"location: {lat: "&amp;F166&amp;", lng: "&amp;G166&amp;"}"</f>
        <v>location: {lat: 41.457154, lng: 12.668148}</v>
      </c>
      <c r="AU166" s="37" t="str">
        <f>"level: "&amp;J166</f>
        <v>level: regional</v>
      </c>
      <c r="AV166" s="37" t="str">
        <f>"- "&amp;VLOOKUP(C166,'(Ref) Countries'!A:C,3,)</f>
        <v>- italy</v>
      </c>
      <c r="AW166" s="37" t="str">
        <f t="shared" si="48"/>
        <v/>
      </c>
      <c r="AX166" s="37" t="str">
        <f t="shared" si="49"/>
        <v>- churches</v>
      </c>
      <c r="AY166" s="37" t="str">
        <f t="shared" si="50"/>
        <v>- marian-sites</v>
      </c>
      <c r="AZ166" s="37" t="str">
        <f t="shared" si="51"/>
        <v>- holy-persons</v>
      </c>
      <c r="BA166" s="37" t="str">
        <f t="shared" si="52"/>
        <v>- maria-goretti</v>
      </c>
      <c r="BB166" s="37" t="str">
        <f t="shared" si="53"/>
        <v>- our-lady-of-grace</v>
      </c>
      <c r="BC166" s="37" t="str">
        <f t="shared" si="54"/>
        <v>- our-lady-of-ipswich</v>
      </c>
      <c r="BD166" s="37" t="str">
        <f t="shared" si="55"/>
        <v/>
      </c>
      <c r="BE166" s="37" t="str">
        <f t="shared" si="56"/>
        <v/>
      </c>
      <c r="BF166" s="37" t="str">
        <f t="shared" si="57"/>
        <v/>
      </c>
      <c r="BG166" s="37" t="str">
        <f t="shared" si="58"/>
        <v/>
      </c>
      <c r="BH166" s="37" t="str">
        <f t="shared" si="59"/>
        <v/>
      </c>
      <c r="BI166" s="37" t="str">
        <f t="shared" si="60"/>
        <v/>
      </c>
      <c r="BJ166" s="37" t="str">
        <f t="shared" si="61"/>
        <v/>
      </c>
      <c r="BK166" s="37" t="str">
        <f t="shared" si="62"/>
        <v xml:space="preserve">tags:
- italy_x000D_
- churches_x000D_
- marian-sites_x000D_
- holy-persons_x000D_
- maria-goretti_x000D_
- our-lady-of-grace_x000D_
- our-lady-of-ipswich_x000D_
</v>
      </c>
      <c r="BL166" s="38" t="str">
        <f t="shared" si="63"/>
        <v>[Official site](http://www.santuarionettuno.it/) (note: website not active at time of writing)</v>
      </c>
      <c r="BM166" s="38" t="str">
        <f t="shared" si="64"/>
        <v>[Official Facebook page](https://www.facebook.com/profile.php?id=100069705631532)</v>
      </c>
      <c r="BN166" s="38" t="str">
        <f t="shared" si="65"/>
        <v/>
      </c>
      <c r="BO166" s="38" t="str">
        <f t="shared" si="66"/>
        <v/>
      </c>
      <c r="BP166" s="38" t="str">
        <f t="shared" si="67"/>
        <v xml:space="preserve">* [Official site](http://www.santuarionettuno.it/) (note: website not active at time of writing)
* [Official Facebook page](https://www.facebook.com/profile.php?id=100069705631532)
</v>
      </c>
      <c r="BQ166" s="38" t="str">
        <f t="shared" si="68"/>
        <v/>
      </c>
      <c r="BR166" s="38" t="str">
        <f t="shared" si="69"/>
        <v>[Link](https://www.miraclehunter.com/marian_apparitions/approved_apparitions/apparitions_1500-1599.html) (Search "Ipswich")</v>
      </c>
      <c r="BS166" s="38" t="str">
        <f t="shared" si="70"/>
        <v/>
      </c>
      <c r="BT166" s="38" t="str">
        <f>IF(LEN(concat(BQ166:BS166))&gt;0,concat("| ",BQ166," | ",BR166," | ",BS166," |"),"")</f>
        <v>|  | [Link](https://www.miraclehunter.com/marian_apparitions/approved_apparitions/apparitions_1500-1599.html) (Search "Ipswich") |  |</v>
      </c>
      <c r="BU166" s="37" t="str">
        <f t="shared" si="71"/>
        <v xml:space="preserve">| The Real Presence | Miracle Hunter | MaryPages |_x000D_
| --- | --- | --- |_x000D_
|  | [Link](https://www.miraclehunter.com/marian_apparitions/approved_apparitions/apparitions_1500-1599.html) (Search "Ipswich") |  |_x000D_
</v>
      </c>
      <c r="BV166" s="37" t="str">
        <f>IF(LEN(BP166&amp;BU166)&gt;0,concatll("#### Source Material",BP166,BU166),"")</f>
        <v xml:space="preserve">#### Source Material_x000D_
_x000D_
* [Official site](http://www.santuarionettuno.it/) (note: website not active at time of writing)
* [Official Facebook page](https://www.facebook.com/profile.php?id=100069705631532)
_x000D_
_x000D_
| The Real Presence | Miracle Hunter | MaryPages |_x000D_
| --- | --- | --- |_x000D_
|  | [Link](https://www.miraclehunter.com/marian_apparitions/approved_apparitions/apparitions_1500-1599.html) (Search "Ipswich") |  |_x000D_
_x000D_
_x000D_
</v>
      </c>
      <c r="BW166" s="37" t="str">
        <f>IF(LEN(O166)&gt;1,concatll("#### Author's Note",O166),"")</f>
        <v xml:space="preserve">#### Author's Note_x000D_
_x000D_
On the basilica grounds, to the left of the main nave is a gift shop.  The people there can help you get to St. Maria Goretti's home in La Ferriere.
-JPY
The statue is credited with at least one historic miracle by St. Thomas More, but details are lacking; Miracle Hunter's page references the associated [Wikipedia article](https://en.wikipedia.org/wiki/Our_Lady_of_Ipswich).
-JMM_x000D_
_x000D_
</v>
      </c>
      <c r="BX166" s="24" t="str">
        <f>IF(AR166,concatll(concatl("---",AS166:AU166,BK166,"---"),N166,BV166:BW166),"")</f>
        <v xml:space="preserve">---_x000D_
title: "Basilica of Our Lady of Grace and St. Maria Goretti"_x000D_
location: {lat: 41.457154, lng: 12.668148}_x000D_
level: regional_x000D_
tags:
- italy_x000D_
- churches_x000D_
- marian-sites_x000D_
- holy-persons_x000D_
- maria-goretti_x000D_
- our-lady-of-grace_x000D_
- our-lady-of-ipswich_x000D_
_x000D_
---_x000D_
_x000D_
_x000D_
In Italian, Santuario di Nostra Signora delle Grazie e Santa Maria Goretti.  The church houses the remains of St. Maria Goretti, and what is believed to be the statue of Our Lady of Grace.
The remains of St. Maria Goretti lie in the crypt beneath the basilica.  The bones are encased in a wax statue; she is not incorrupt.
The church contains a statue called Our Lady of Grace, which may be the original statue from Ipswich.  Our Lady of Ipswich, along with Our Lady of Walsingham, was one of the largest pilgrimage sites in England up until the Reformation.  During this period, Our Lady of Grace may have been smuggled to Italy.  In modern times, the faithful hold a procession with the statue on the first Saturday each May._x000D_
_x000D_
#### Source Material_x000D_
_x000D_
* [Official site](http://www.santuarionettuno.it/) (note: website not active at time of writing)
* [Official Facebook page](https://www.facebook.com/profile.php?id=100069705631532)
_x000D_
_x000D_
| The Real Presence | Miracle Hunter | MaryPages |_x000D_
| --- | --- | --- |_x000D_
|  | [Link](https://www.miraclehunter.com/marian_apparitions/approved_apparitions/apparitions_1500-1599.html) (Search "Ipswich") |  |_x000D_
_x000D_
_x000D_
_x000D_
_x000D_
#### Author's Note_x000D_
_x000D_
On the basilica grounds, to the left of the main nave is a gift shop.  The people there can help you get to St. Maria Goretti's home in La Ferriere.
-JPY
The statue is credited with at least one historic miracle by St. Thomas More, but details are lacking; Miracle Hunter's page references the associated [Wikipedia article](https://en.wikipedia.org/wiki/Our_Lady_of_Ipswich).
-JMM_x000D_
_x000D_
_x000D_
_x000D_
</v>
      </c>
      <c r="BY166" s="24" t="str">
        <f>IF(AR166,VLOOKUP(C166,'(Ref) Countries'!A:B,2,)&amp;IF(LEN(D166)&gt;1,"-"&amp;LOWER(SUBSTITUTE(D166," ","-")),"")&amp;"-"&amp;LOWER(SUBSTITUTE(I166," ","-"))&amp;".md","")</f>
        <v>it-basilica-of-our-lady-of-grace.md</v>
      </c>
      <c r="BZ166" s="37" t="str">
        <f>IF(LEN(AG166)&gt;1,VLOOKUP(AG166,'Tag List'!$A:$B,2,),"")</f>
        <v>St. Maria Goretti</v>
      </c>
      <c r="CA166" s="37" t="str">
        <f>IF(LEN(AH166)&gt;1,VLOOKUP(AH166,'Tag List'!$A:$B,2,),"")</f>
        <v>Our Lady of Grace</v>
      </c>
      <c r="CB166" s="37" t="str">
        <f>IF(LEN(AI166)&gt;1,VLOOKUP(AI166,'Tag List'!$A:$B,2,),"")</f>
        <v>Our Lady of Ipswich</v>
      </c>
      <c r="CC166" s="38" t="str">
        <f>IF(LEN(AG166)&gt;1,GetTagPage(BZ166,AG166),"")</f>
        <v>[St. Maria Goretti](/tags/maria-goretti)</v>
      </c>
      <c r="CD166" s="38" t="str">
        <f>IF(LEN(AH166)&gt;1,GetTagPage(CA166,AH166),"")</f>
        <v>[Our Lady of Grace](/tags/our-lady-of-grace)</v>
      </c>
      <c r="CE166" s="38" t="str">
        <f>IF(LEN(AI166)&gt;1,GetTagPage(CB166,AI166),"")</f>
        <v>[Our Lady of Ipswich](/tags/our-lady-of-ipswich)</v>
      </c>
      <c r="CF166" s="38" t="str">
        <f>"|"&amp;IF(LEN(CC166)&gt;1," "&amp;CC166,"")&amp;IF(LEN(CD166)&gt;1,", "&amp;CD166,"")&amp;IF(LEN(CE166)&gt;1,", "&amp;CE166,"")&amp;" "</f>
        <v xml:space="preserve">| [St. Maria Goretti](/tags/maria-goretti), [Our Lady of Grace](/tags/our-lady-of-grace), [Our Lady of Ipswich](/tags/our-lady-of-ipswich) </v>
      </c>
      <c r="CG166" s="38" t="str">
        <f>"| "&amp;IF(AR166,"["&amp;B166&amp;"](/places/"&amp;SUBSTITUTE(BY166,".md","")&amp;")",B166)&amp;" "</f>
        <v xml:space="preserve">| [Our Lady of Grace and St. Maria Goretti](/places/it-basilica-of-our-lady-of-grace) </v>
      </c>
      <c r="CH166" s="38" t="str">
        <f>"| "&amp;IF(AR166,GetTagPage(C166,VLOOKUP(C166,'(Ref) Countries'!A:C,3,)),C166)&amp; " "</f>
        <v xml:space="preserve">| [Italy](/tags/italy) </v>
      </c>
      <c r="CI166" s="38" t="str">
        <f>"| "&amp;E166&amp;" "</f>
        <v xml:space="preserve">|  </v>
      </c>
      <c r="CJ166" s="38" t="str">
        <f>"|"&amp;IF(AR166," [Link](/places/"&amp;SUBSTITUTE(BY166,".md","")&amp;")","")&amp;" "</f>
        <v xml:space="preserve">| [Link](/places/it-basilica-of-our-lady-of-grace) </v>
      </c>
      <c r="CK166" s="37" t="str">
        <f>"
"&amp;CG166&amp;CH166&amp;CI166&amp;CJ166&amp;BL166&amp;BQ166&amp;BR166&amp;BS166&amp;CF166&amp;"|"</f>
        <v xml:space="preserve">
| [Our Lady of Grace and St. Maria Goretti](/places/it-basilica-of-our-lady-of-grace) | [Italy](/tags/italy) |  | [Link](/places/it-basilica-of-our-lady-of-grace) [Official site](http://www.santuarionettuno.it/) (note: website not active at time of writing)[Link](https://www.miraclehunter.com/marian_apparitions/approved_apparitions/apparitions_1500-1599.html) (Search "Ipswich")| [St. Maria Goretti](/tags/maria-goretti), [Our Lady of Grace](/tags/our-lady-of-grace), [Our Lady of Ipswich](/tags/our-lady-of-ipswich) |</v>
      </c>
    </row>
    <row r="167" spans="1:89" x14ac:dyDescent="0.25">
      <c r="A167" s="25" t="s">
        <v>1326</v>
      </c>
      <c r="B167" s="26" t="s">
        <v>1718</v>
      </c>
      <c r="K167" s="32" t="b">
        <v>1</v>
      </c>
      <c r="L167" s="30" t="b">
        <v>1</v>
      </c>
      <c r="Q167" s="30" t="s">
        <v>1720</v>
      </c>
      <c r="AA167" s="71" t="s">
        <v>336</v>
      </c>
      <c r="AB167" s="30" t="s">
        <v>336</v>
      </c>
      <c r="AC167" s="30" t="s">
        <v>336</v>
      </c>
      <c r="AD167" s="30" t="s">
        <v>336</v>
      </c>
      <c r="AE167" s="30" t="s">
        <v>336</v>
      </c>
      <c r="AR167" s="36" t="b">
        <f>IF(OR(A167="Done",A167="In Progress"),TRUE)</f>
        <v>0</v>
      </c>
      <c r="AS167" s="37" t="str">
        <f>"title: """&amp;H167&amp;""""</f>
        <v>title: ""</v>
      </c>
      <c r="AT167" s="37" t="str">
        <f>"location: {lat: "&amp;F167&amp;", lng: "&amp;G167&amp;"}"</f>
        <v>location: {lat: , lng: }</v>
      </c>
      <c r="AU167" s="37" t="str">
        <f>"level: "&amp;J167</f>
        <v xml:space="preserve">level: </v>
      </c>
      <c r="AV167" s="37" t="e">
        <f>"- "&amp;VLOOKUP(C167,'(Ref) Countries'!A:C,3,)</f>
        <v>#N/A</v>
      </c>
      <c r="AW167" s="37" t="str">
        <f t="shared" si="48"/>
        <v/>
      </c>
      <c r="AX167" s="37" t="str">
        <f t="shared" si="49"/>
        <v>- churches</v>
      </c>
      <c r="AY167" s="37" t="str">
        <f t="shared" si="50"/>
        <v>- marian-sites</v>
      </c>
      <c r="AZ167" s="37" t="str">
        <f t="shared" si="51"/>
        <v/>
      </c>
      <c r="BA167" s="37" t="str">
        <f t="shared" si="52"/>
        <v/>
      </c>
      <c r="BB167" s="37" t="str">
        <f t="shared" si="53"/>
        <v/>
      </c>
      <c r="BC167" s="37" t="str">
        <f t="shared" si="54"/>
        <v/>
      </c>
      <c r="BD167" s="37" t="str">
        <f t="shared" si="55"/>
        <v/>
      </c>
      <c r="BE167" s="37" t="str">
        <f t="shared" si="56"/>
        <v/>
      </c>
      <c r="BF167" s="37" t="str">
        <f t="shared" si="57"/>
        <v/>
      </c>
      <c r="BG167" s="37" t="str">
        <f t="shared" si="58"/>
        <v/>
      </c>
      <c r="BH167" s="37" t="str">
        <f t="shared" si="59"/>
        <v/>
      </c>
      <c r="BI167" s="37" t="str">
        <f t="shared" si="60"/>
        <v/>
      </c>
      <c r="BJ167" s="37" t="str">
        <f t="shared" si="61"/>
        <v/>
      </c>
      <c r="BK167" s="37" t="e">
        <f t="shared" si="62"/>
        <v>#VALUE!</v>
      </c>
      <c r="BL167" s="38" t="str">
        <f t="shared" si="63"/>
        <v/>
      </c>
      <c r="BM167" s="38" t="str">
        <f t="shared" si="64"/>
        <v/>
      </c>
      <c r="BN167" s="38" t="str">
        <f t="shared" si="65"/>
        <v/>
      </c>
      <c r="BO167" s="38" t="str">
        <f t="shared" si="66"/>
        <v/>
      </c>
      <c r="BP167" s="38" t="str">
        <f t="shared" si="67"/>
        <v/>
      </c>
      <c r="BQ167" s="38" t="str">
        <f t="shared" si="68"/>
        <v/>
      </c>
      <c r="BR167" s="38" t="str">
        <f t="shared" si="69"/>
        <v/>
      </c>
      <c r="BS167" s="38" t="str">
        <f t="shared" si="70"/>
        <v/>
      </c>
      <c r="BT167" s="38" t="str">
        <f>IF(LEN(concat(BQ167:BS167))&gt;0,concat("| ",BQ167," | ",BR167," | ",BS167," |"),"")</f>
        <v/>
      </c>
      <c r="BU167" s="37" t="str">
        <f t="shared" si="71"/>
        <v xml:space="preserve">| The Real Presence | Miracle Hunter | MaryPages |_x000D_
| --- | --- | --- |_x000D_
</v>
      </c>
      <c r="BV167" s="37" t="str">
        <f>IF(LEN(BP167&amp;BU167)&gt;0,concatll("#### Source Material",BP167,BU167),"")</f>
        <v xml:space="preserve">#### Source Material_x000D_
_x000D_
| The Real Presence | Miracle Hunter | MaryPages |_x000D_
| --- | --- | --- |_x000D_
_x000D_
_x000D_
</v>
      </c>
      <c r="BW167" s="37" t="str">
        <f>IF(LEN(O167)&gt;1,concatll("#### Author's Note",O167),"")</f>
        <v/>
      </c>
      <c r="BX167" s="24" t="str">
        <f>IF(AR167,concatll(concatl("---",AS167:AU167,BK167,"---"),N167,BV167:BW167),"")</f>
        <v/>
      </c>
      <c r="BY167" s="24" t="str">
        <f>IF(AR167,VLOOKUP(C167,'(Ref) Countries'!A:B,2,)&amp;IF(LEN(D167)&gt;1,"-"&amp;LOWER(SUBSTITUTE(D167," ","-")),"")&amp;"-"&amp;LOWER(SUBSTITUTE(I167," ","-"))&amp;".md","")</f>
        <v/>
      </c>
      <c r="BZ167" s="37" t="str">
        <f>IF(LEN(AG167)&gt;1,VLOOKUP(AG167,'Tag List'!$A:$B,2,),"")</f>
        <v/>
      </c>
      <c r="CA167" s="37" t="str">
        <f>IF(LEN(AH167)&gt;1,VLOOKUP(AH167,'Tag List'!$A:$B,2,),"")</f>
        <v/>
      </c>
      <c r="CB167" s="37" t="str">
        <f>IF(LEN(AI167)&gt;1,VLOOKUP(AI167,'Tag List'!$A:$B,2,),"")</f>
        <v/>
      </c>
      <c r="CC167" s="38" t="str">
        <f>IF(LEN(AG167)&gt;1,GetTagPage(BZ167,AG167),"")</f>
        <v/>
      </c>
      <c r="CD167" s="38" t="str">
        <f>IF(LEN(AH167)&gt;1,GetTagPage(CA167,AH167),"")</f>
        <v/>
      </c>
      <c r="CE167" s="38" t="str">
        <f>IF(LEN(AI167)&gt;1,GetTagPage(CB167,AI167),"")</f>
        <v/>
      </c>
      <c r="CF167" s="38" t="str">
        <f>"|"&amp;IF(LEN(CC167)&gt;1," "&amp;CC167,"")&amp;IF(LEN(CD167)&gt;1,", "&amp;CD167,"")&amp;IF(LEN(CE167)&gt;1,", "&amp;CE167,"")&amp;" "</f>
        <v xml:space="preserve">| </v>
      </c>
      <c r="CG167" s="38" t="str">
        <f>"| "&amp;IF(AR167,"["&amp;B167&amp;"](/places/"&amp;SUBSTITUTE(BY167,".md","")&amp;")",B167)&amp;" "</f>
        <v xml:space="preserve">| Our Lady of the Good Event </v>
      </c>
      <c r="CH167" s="38" t="str">
        <f>"| "&amp;IF(AR167,GetTagPage(C167,VLOOKUP(C167,'(Ref) Countries'!A:C,3,)),C167)&amp; " "</f>
        <v xml:space="preserve">|  </v>
      </c>
      <c r="CI167" s="38" t="str">
        <f>"| "&amp;E167&amp;" "</f>
        <v xml:space="preserve">|  </v>
      </c>
      <c r="CJ167" s="38" t="str">
        <f>"|"&amp;IF(AR167," [Link](/places/"&amp;SUBSTITUTE(BY167,".md","")&amp;")","")&amp;" "</f>
        <v xml:space="preserve">| </v>
      </c>
      <c r="CK167" s="37" t="str">
        <f>"
"&amp;CG167&amp;CH167&amp;CI167&amp;CJ167&amp;BL167&amp;BQ167&amp;BR167&amp;BS167&amp;CF167&amp;"|"</f>
        <v xml:space="preserve">
| Our Lady of the Good Event |  |  | | |</v>
      </c>
    </row>
    <row r="168" spans="1:89" ht="102" x14ac:dyDescent="0.25">
      <c r="A168" s="25" t="s">
        <v>1324</v>
      </c>
      <c r="B168" s="26" t="s">
        <v>1779</v>
      </c>
      <c r="C168" s="54" t="s">
        <v>11</v>
      </c>
      <c r="F168" s="71">
        <v>45.6258893442062</v>
      </c>
      <c r="G168" s="67">
        <v>7.9823763846553701</v>
      </c>
      <c r="H168" s="54" t="s">
        <v>1780</v>
      </c>
      <c r="I168" s="80" t="s">
        <v>1779</v>
      </c>
      <c r="J168" s="43" t="s">
        <v>1777</v>
      </c>
      <c r="K168" s="32" t="b">
        <v>1</v>
      </c>
      <c r="L168" s="30" t="b">
        <v>1</v>
      </c>
      <c r="N168" s="54" t="s">
        <v>1784</v>
      </c>
      <c r="P168" s="30" t="s">
        <v>1781</v>
      </c>
      <c r="Q168" s="30" t="s">
        <v>336</v>
      </c>
      <c r="AA168" s="71" t="s">
        <v>336</v>
      </c>
      <c r="AB168" s="30" t="s">
        <v>336</v>
      </c>
      <c r="AC168" s="30" t="s">
        <v>336</v>
      </c>
      <c r="AD168" s="30" t="s">
        <v>336</v>
      </c>
      <c r="AE168" s="30" t="s">
        <v>336</v>
      </c>
      <c r="AG168" s="30" t="s">
        <v>1782</v>
      </c>
      <c r="AR168" s="36" t="b">
        <f>IF(OR(A168="Done",A168="In Progress"),TRUE)</f>
        <v>1</v>
      </c>
      <c r="AS168" s="37" t="str">
        <f>"title: """&amp;H168&amp;""""</f>
        <v>title: "Sanctuary of Oropa (Black Madonna of Oropa)"</v>
      </c>
      <c r="AT168" s="37" t="str">
        <f>"location: {lat: "&amp;F168&amp;", lng: "&amp;G168&amp;"}"</f>
        <v>location: {lat: 45.6258893442062, lng: 7.98237638465537}</v>
      </c>
      <c r="AU168" s="37" t="str">
        <f>"level: "&amp;J168</f>
        <v>level: regional</v>
      </c>
      <c r="AV168" s="37" t="str">
        <f>"- "&amp;VLOOKUP(C168,'(Ref) Countries'!A:C,3,)</f>
        <v>- italy</v>
      </c>
      <c r="AW168" s="37" t="str">
        <f t="shared" si="48"/>
        <v/>
      </c>
      <c r="AX168" s="37" t="str">
        <f t="shared" si="49"/>
        <v>- churches</v>
      </c>
      <c r="AY168" s="37" t="str">
        <f t="shared" si="50"/>
        <v>- marian-sites</v>
      </c>
      <c r="AZ168" s="37" t="str">
        <f t="shared" si="51"/>
        <v/>
      </c>
      <c r="BA168" s="37" t="str">
        <f t="shared" si="52"/>
        <v>- pier-giorgio-frassati</v>
      </c>
      <c r="BB168" s="37" t="str">
        <f t="shared" si="53"/>
        <v/>
      </c>
      <c r="BC168" s="37" t="str">
        <f t="shared" si="54"/>
        <v/>
      </c>
      <c r="BD168" s="37" t="str">
        <f t="shared" si="55"/>
        <v/>
      </c>
      <c r="BE168" s="37" t="str">
        <f t="shared" si="56"/>
        <v/>
      </c>
      <c r="BF168" s="37" t="str">
        <f t="shared" si="57"/>
        <v/>
      </c>
      <c r="BG168" s="37" t="str">
        <f t="shared" si="58"/>
        <v/>
      </c>
      <c r="BH168" s="37" t="str">
        <f t="shared" si="59"/>
        <v/>
      </c>
      <c r="BI168" s="37" t="str">
        <f t="shared" si="60"/>
        <v/>
      </c>
      <c r="BJ168" s="37" t="str">
        <f t="shared" si="61"/>
        <v/>
      </c>
      <c r="BK168" s="37" t="str">
        <f t="shared" si="62"/>
        <v xml:space="preserve">tags:
- italy_x000D_
- churches_x000D_
- marian-sites_x000D_
- pier-giorgio-frassati_x000D_
</v>
      </c>
      <c r="BL168" s="38" t="str">
        <f t="shared" si="63"/>
        <v>[Official site](https://www.santuariodioropa.it/en/)</v>
      </c>
      <c r="BM168" s="38" t="str">
        <f t="shared" si="64"/>
        <v/>
      </c>
      <c r="BN168" s="38" t="str">
        <f t="shared" si="65"/>
        <v/>
      </c>
      <c r="BO168" s="38" t="str">
        <f t="shared" si="66"/>
        <v/>
      </c>
      <c r="BP168" s="38" t="str">
        <f t="shared" si="67"/>
        <v xml:space="preserve">* [Official site](https://www.santuariodioropa.it/en/)
</v>
      </c>
      <c r="BQ168" s="38" t="str">
        <f t="shared" si="68"/>
        <v/>
      </c>
      <c r="BR168" s="38" t="str">
        <f t="shared" si="69"/>
        <v/>
      </c>
      <c r="BS168" s="38" t="str">
        <f t="shared" si="70"/>
        <v/>
      </c>
      <c r="BT168" s="38" t="str">
        <f>IF(LEN(concat(BQ168:BS168))&gt;0,concat("| ",BQ168," | ",BR168," | ",BS168," |"),"")</f>
        <v/>
      </c>
      <c r="BU168" s="37" t="str">
        <f t="shared" si="71"/>
        <v xml:space="preserve">| The Real Presence | Miracle Hunter | MaryPages |_x000D_
| --- | --- | --- |_x000D_
</v>
      </c>
      <c r="BV168" s="37" t="str">
        <f>IF(LEN(BP168&amp;BU168)&gt;0,concatll("#### Source Material",BP168,BU168),"")</f>
        <v xml:space="preserve">#### Source Material_x000D_
_x000D_
* [Official site](https://www.santuariodioropa.it/en/)
_x000D_
_x000D_
| The Real Presence | Miracle Hunter | MaryPages |_x000D_
| --- | --- | --- |_x000D_
_x000D_
_x000D_
</v>
      </c>
      <c r="BW168" s="37" t="str">
        <f>IF(LEN(O168)&gt;1,concatll("#### Author's Note",O168),"")</f>
        <v/>
      </c>
      <c r="BX168" s="24" t="str">
        <f>IF(AR168,concatll(concatl("---",AS168:AU168,BK168,"---"),N168,BV168:BW168),"")</f>
        <v xml:space="preserve">---_x000D_
title: "Sanctuary of Oropa (Black Madonna of Oropa)"_x000D_
location: {lat: 45.6258893442062, lng: 7.98237638465537}_x000D_
level: regional_x000D_
tags:
- italy_x000D_
- churches_x000D_
- marian-sites_x000D_
- pier-giorgio-frassati_x000D_
_x000D_
---_x000D_
_x000D_
_x000D_
According to tradition, this statue was brought to Italy from the Holy Land by Bishop Eusebius of Vercelli in the fourth century A.D.
Bl. Pier Giorgio Frassati would also hike in this area.  His family villa was nearby, and he would visit the shrine regularly.
![Santuario di Oropa](https://www.santuariodioropa.it/wp-content/uploads/2022/05/panoramica-oropa-foto-Tracanna-1024x576.jpg)_x000D_
_x000D_
#### Source Material_x000D_
_x000D_
* [Official site](https://www.santuariodioropa.it/en/)
_x000D_
_x000D_
| The Real Presence | Miracle Hunter | MaryPages |_x000D_
| --- | --- | --- |_x000D_
_x000D_
_x000D_
_x000D_
_x000D_
</v>
      </c>
      <c r="BY168" s="24" t="str">
        <f>IF(AR168,VLOOKUP(C168,'(Ref) Countries'!A:B,2,)&amp;IF(LEN(D168)&gt;1,"-"&amp;LOWER(SUBSTITUTE(D168," ","-")),"")&amp;"-"&amp;LOWER(SUBSTITUTE(I168," ","-"))&amp;".md","")</f>
        <v>it-sanctuary-of-oropa.md</v>
      </c>
      <c r="BZ168" s="37" t="str">
        <f>IF(LEN(AG168)&gt;1,VLOOKUP(AG168,'Tag List'!$A:$B,2,),"")</f>
        <v>Bl. Pier Giorgio Frassati</v>
      </c>
      <c r="CA168" s="37" t="str">
        <f>IF(LEN(AH168)&gt;1,VLOOKUP(AH168,'Tag List'!$A:$B,2,),"")</f>
        <v/>
      </c>
      <c r="CB168" s="37" t="str">
        <f>IF(LEN(AI168)&gt;1,VLOOKUP(AI168,'Tag List'!$A:$B,2,),"")</f>
        <v/>
      </c>
      <c r="CC168" s="38" t="str">
        <f>IF(LEN(AG168)&gt;1,GetTagPage(BZ168,AG168),"")</f>
        <v>[Bl. Pier Giorgio Frassati](/tags/pier-giorgio-frassati)</v>
      </c>
      <c r="CD168" s="38" t="str">
        <f>IF(LEN(AH168)&gt;1,GetTagPage(CA168,AH168),"")</f>
        <v/>
      </c>
      <c r="CE168" s="38" t="str">
        <f>IF(LEN(AI168)&gt;1,GetTagPage(CB168,AI168),"")</f>
        <v/>
      </c>
      <c r="CF168" s="38" t="str">
        <f>"|"&amp;IF(LEN(CC168)&gt;1," "&amp;CC168,"")&amp;IF(LEN(CD168)&gt;1,", "&amp;CD168,"")&amp;IF(LEN(CE168)&gt;1,", "&amp;CE168,"")&amp;" "</f>
        <v xml:space="preserve">| [Bl. Pier Giorgio Frassati](/tags/pier-giorgio-frassati) </v>
      </c>
      <c r="CG168" s="38" t="str">
        <f>"| "&amp;IF(AR168,"["&amp;B168&amp;"](/places/"&amp;SUBSTITUTE(BY168,".md","")&amp;")",B168)&amp;" "</f>
        <v xml:space="preserve">| [Sanctuary of Oropa](/places/it-sanctuary-of-oropa) </v>
      </c>
      <c r="CH168" s="38" t="str">
        <f>"| "&amp;IF(AR168,GetTagPage(C168,VLOOKUP(C168,'(Ref) Countries'!A:C,3,)),C168)&amp; " "</f>
        <v xml:space="preserve">| [Italy](/tags/italy) </v>
      </c>
      <c r="CI168" s="38" t="str">
        <f>"| "&amp;E168&amp;" "</f>
        <v xml:space="preserve">|  </v>
      </c>
      <c r="CJ168" s="38" t="str">
        <f>"|"&amp;IF(AR168," [Link](/places/"&amp;SUBSTITUTE(BY168,".md","")&amp;")","")&amp;" "</f>
        <v xml:space="preserve">| [Link](/places/it-sanctuary-of-oropa) </v>
      </c>
      <c r="CK168" s="37" t="str">
        <f>"
"&amp;CG168&amp;CH168&amp;CI168&amp;CJ168&amp;BL168&amp;BQ168&amp;BR168&amp;BS168&amp;CF168&amp;"|"</f>
        <v xml:space="preserve">
| [Sanctuary of Oropa](/places/it-sanctuary-of-oropa) | [Italy](/tags/italy) |  | [Link](/places/it-sanctuary-of-oropa) [Official site](https://www.santuariodioropa.it/en/)| [Bl. Pier Giorgio Frassati](/tags/pier-giorgio-frassati) |</v>
      </c>
    </row>
  </sheetData>
  <autoFilter ref="A1:CQ168" xr:uid="{A598B8B3-DE60-41C5-96BA-7CC5FA9AD3BE}"/>
  <phoneticPr fontId="18" type="noConversion"/>
  <conditionalFormatting sqref="A1:AP1048576 AR1:CK1048576">
    <cfRule type="expression" dxfId="21" priority="8">
      <formula>IF($A1="Blocked",TRUE,FALSE)</formula>
    </cfRule>
    <cfRule type="expression" dxfId="20" priority="9">
      <formula>IF($A1="In Progress",TRUE,FALSE)</formula>
    </cfRule>
    <cfRule type="expression" dxfId="19" priority="30">
      <formula>IF($A1="Done",TRUE,FALSE)</formula>
    </cfRule>
  </conditionalFormatting>
  <conditionalFormatting sqref="AM1:AM1048576">
    <cfRule type="expression" dxfId="18" priority="47">
      <formula>IF(ISNA(#REF!),TRUE,FALSE)</formula>
    </cfRule>
  </conditionalFormatting>
  <conditionalFormatting sqref="BJ1:BJ1048576">
    <cfRule type="expression" dxfId="17" priority="49">
      <formula>IF(ISNA(CL1),TRUE,FALSE)</formula>
    </cfRule>
  </conditionalFormatting>
  <conditionalFormatting sqref="BA1:BA1048576">
    <cfRule type="expression" dxfId="16" priority="60">
      <formula>IF(ISNA(CJ1),TRUE,FALSE)</formula>
    </cfRule>
  </conditionalFormatting>
  <conditionalFormatting sqref="AZ1:AZ1048576">
    <cfRule type="expression" dxfId="15" priority="61">
      <formula>IF(ISNA(CJ1),TRUE,FALSE)</formula>
    </cfRule>
  </conditionalFormatting>
  <conditionalFormatting sqref="AY1:AY1048576">
    <cfRule type="expression" dxfId="14" priority="62">
      <formula>IF(ISNA(CJ1),TRUE,FALSE)</formula>
    </cfRule>
  </conditionalFormatting>
  <conditionalFormatting sqref="AX1:AX1048576">
    <cfRule type="expression" dxfId="13" priority="63">
      <formula>IF(ISNA(CJ1),TRUE,FALSE)</formula>
    </cfRule>
  </conditionalFormatting>
  <conditionalFormatting sqref="AG1:AL1048576">
    <cfRule type="expression" dxfId="12" priority="64">
      <formula>IF(ISNA(BZ1),TRUE,FALSE)</formula>
    </cfRule>
  </conditionalFormatting>
  <conditionalFormatting sqref="AV1:AW1048576">
    <cfRule type="expression" dxfId="11" priority="65">
      <formula>IF(ISNA(CI1),TRUE,FALSE)</formula>
    </cfRule>
  </conditionalFormatting>
  <conditionalFormatting sqref="AN1:AP1048576 AR1:AR1048576">
    <cfRule type="expression" dxfId="10" priority="66">
      <formula>IF(ISNA(CF1),TRUE,FALSE)</formula>
    </cfRule>
  </conditionalFormatting>
  <conditionalFormatting sqref="BK1:BK1048576">
    <cfRule type="expression" dxfId="9" priority="69">
      <formula>IF(ISNA(CJ1),TRUE,FALSE)</formula>
    </cfRule>
  </conditionalFormatting>
  <conditionalFormatting sqref="BB1:BB1048576">
    <cfRule type="expression" dxfId="8" priority="78">
      <formula>IF(ISNA(BL1),TRUE,FALSE)</formula>
    </cfRule>
  </conditionalFormatting>
  <conditionalFormatting sqref="AS1:AS1048576">
    <cfRule type="expression" dxfId="7" priority="80">
      <formula>IF(ISNA(BL1),TRUE,FALSE)</formula>
    </cfRule>
  </conditionalFormatting>
  <conditionalFormatting sqref="BW1:BX1048576">
    <cfRule type="expression" dxfId="6" priority="81">
      <formula>IF(ISNA(BL1),TRUE,FALSE)</formula>
    </cfRule>
  </conditionalFormatting>
  <conditionalFormatting sqref="BU1:BV1048576">
    <cfRule type="expression" dxfId="5" priority="82">
      <formula>IF(ISNA(BL1),TRUE,FALSE)</formula>
    </cfRule>
  </conditionalFormatting>
  <conditionalFormatting sqref="BG1:BG1048576">
    <cfRule type="expression" dxfId="4" priority="83">
      <formula>IF(ISNA(CK1),TRUE,FALSE)</formula>
    </cfRule>
  </conditionalFormatting>
  <conditionalFormatting sqref="BC1:BF1048576">
    <cfRule type="expression" dxfId="3" priority="86">
      <formula>IF(ISNA(BQ1),TRUE,FALSE)</formula>
    </cfRule>
  </conditionalFormatting>
  <conditionalFormatting sqref="AT1:AW1048576">
    <cfRule type="expression" dxfId="2" priority="88">
      <formula>IF(ISNA(BQ1),TRUE,FALSE)</formula>
    </cfRule>
  </conditionalFormatting>
  <conditionalFormatting sqref="BY1:BY1048576">
    <cfRule type="expression" dxfId="1" priority="90">
      <formula>IF(ISNA(BL1),TRUE,FALSE)</formula>
    </cfRule>
  </conditionalFormatting>
  <conditionalFormatting sqref="BH1:BI1048576">
    <cfRule type="expression" dxfId="0" priority="91">
      <formula>IF(ISNA(#REF!),TRUE,FALSE)</formula>
    </cfRule>
  </conditionalFormatting>
  <hyperlinks>
    <hyperlink ref="B2" r:id="rId1" display="http://www.therealpresence.org/eucharst/misc/BVM/09_ZARAGOZA_60x96.pdf" xr:uid="{AB7B61B7-42AC-4A08-9D71-067C190F4F4A}"/>
    <hyperlink ref="B3" r:id="rId2" display="http://www.therealpresence.org/eucharst/misc/BVM/68_LE_PUY_60x96.pdf" xr:uid="{87B20D60-7DD8-46EE-A9D8-92E7F9F9E7AA}"/>
    <hyperlink ref="B5" r:id="rId3" display="http://www.therealpresence.org/eucharst/misc/BVM/117_ROMA_60x96.pdf" xr:uid="{8ACD79FB-DF35-442C-AC45-3D9CE81FC752}"/>
    <hyperlink ref="B6" r:id="rId4" display="http://www.therealpresence.org/eucharst/misc/BVM/90_TINDARI_60x96.pdf" xr:uid="{7AE8DF62-210E-41AB-AD9D-3FD33B253E0F}"/>
    <hyperlink ref="B7" r:id="rId5" display="http://www.therealpresence.org/eucharst/misc/BVM/121_MONTSERRAT_60x96.pdf" xr:uid="{658E6E9B-A674-43A9-856E-0FD22B9E7C1C}"/>
    <hyperlink ref="B8" r:id="rId6" display="http://www.therealpresence.org/eucharst/misc/BVM/153_WALSINGHAM_60x96.pdf" xr:uid="{1140AD76-FBD3-4C0D-BB8B-6EF522B70058}"/>
    <hyperlink ref="B9" r:id="rId7" display="http://www.therealpresence.org/eucharst/misc/BVM/80_MONTEFORTINO_60x96.pdf" xr:uid="{36A2CD01-016A-49DA-B178-47912F7C1C64}"/>
    <hyperlink ref="B10" r:id="rId8" display="http://www.therealpresence.org/eucharst/misc/BVM/86_FOGGIA_60x96.pdf" xr:uid="{48179079-2376-47F5-8744-DD73EE09F2D5}"/>
    <hyperlink ref="B11" r:id="rId9" display="http://www.therealpresence.org/eucharst/misc/BVM/37_ARRAS_60x96.pdf" xr:uid="{1E61FC3E-3B23-43A3-942D-53934E3112B3}"/>
    <hyperlink ref="B12" r:id="rId10" display="http://www.therealpresence.org/eucharst/misc/BVM/123_NAZARE_96x96.pdf" xr:uid="{E15897B5-901D-47B8-AD5E-F2B13A66EDA7}"/>
    <hyperlink ref="B13" r:id="rId11" display="http://www.therealpresence.org/eucharst/misc/BVM/138_SWIETA_LIPKA_60x96.pdf" xr:uid="{77EED22E-7936-444F-86D7-FA2A7EBCC11B}"/>
    <hyperlink ref="B14" r:id="rId12" display="http://www.therealpresence.org/eucharst/misc/BVM/38_ASSISI_60x96.pdf" xr:uid="{5726E936-FC46-4A5C-8C28-68CC84714782}"/>
    <hyperlink ref="B15" r:id="rId13" display="http://www.therealpresence.org/eucharst/misc/BVM/136_ARCOS_60x96.pdf" xr:uid="{0E2BE527-EB5C-4435-9D95-B2DB27EF60F5}"/>
    <hyperlink ref="B16" r:id="rId14" display="http://www.therealpresence.org/eucharst/misc/BVM/35_CORTES_60x96.pdf" xr:uid="{42A568B9-C0D2-4696-A02E-B496E9DE17D0}"/>
    <hyperlink ref="B17" r:id="rId15" display="http://www.therealpresence.org/eucharst/misc/BVM/18_FIRENZE_60x96.pdf" xr:uid="{2DDBDFF6-77B2-4F97-9CD3-3648ED364359}"/>
    <hyperlink ref="B18" r:id="rId16" display="http://www.therealpresence.org/eucharst/misc/BVM/05_AYLESFORD_60x96.pdf" xr:uid="{13B71A39-C730-4715-BA19-BA311AF077F1}"/>
    <hyperlink ref="B19" r:id="rId17" display="http://www.therealpresence.org/eucharst/misc/BVM/133_ROMA_POZZO_60x96.pdf" xr:uid="{156758DA-2CDB-497B-81EA-E97CF7B3C093}"/>
    <hyperlink ref="B20" r:id="rId18" display="http://www.therealpresence.org/eucharst/misc/BVM/148_LORETO_140x96.pdf" xr:uid="{FA202AAD-0270-4673-906F-29BFCEFDE41E}"/>
    <hyperlink ref="B21" r:id="rId19" display="http://www.therealpresence.org/eucharst/misc/BVM/44_BRA_60x96.pdf" xr:uid="{EB93A5A8-7B4F-4ACE-8AF8-3700A0B7F0F0}"/>
    <hyperlink ref="B22" r:id="rId20" display="http://www.therealpresence.org/eucharst/misc/BVM/74_ROVERANO_60x96.pdf" xr:uid="{E1F811F0-46F8-48B6-B383-BFEC77E0E209}"/>
    <hyperlink ref="B23" r:id="rId21" display="http://www.therealpresence.org/eucharst/misc/BVM/13_VALVERDE_60x96.pdf" xr:uid="{D1B0BFFC-E9C1-4EA7-92B1-E2A6F63CE20E}"/>
    <hyperlink ref="B25" r:id="rId22" display="http://www.therealpresence.org/eucharst/misc/BVM/43_CASTEL_GODEGO_60x96.pdf" xr:uid="{DD5E87B0-EADA-44FE-A963-E111A0241358}"/>
    <hyperlink ref="B26" r:id="rId23" display="http://www.therealpresence.org/eucharst/misc/BVM/100_CORDOBA_60x96.pdf" xr:uid="{0A45FB25-0F12-4D96-A86E-93B9BE1616E8}"/>
    <hyperlink ref="B27" r:id="rId24" display="http://www.therealpresence.org/eucharst/misc/BVM/58_MONTE_BERICO_60x96.pdf" xr:uid="{C7B0CA35-23A2-4D18-A448-456F2716259C}"/>
    <hyperlink ref="B28" r:id="rId25" display="http://www.therealpresence.org/eucharst/misc/BVM/15_CARAVAGGIO_60x96.pdf" xr:uid="{2FD14D81-EEF7-45A1-9EA8-7F38714203B2}"/>
    <hyperlink ref="B29" r:id="rId26" display="http://www.therealpresence.org/eucharst/misc/BVM/50_DESENZANO_DI_ALBINO_60x96.pd.pdf" xr:uid="{8DCE04EE-B3ED-4A82-945F-06B600F8F507}"/>
    <hyperlink ref="B30" r:id="rId27" display="http://www.therealpresence.org/eucharst/misc/BVM/105_FUERTEVENTURA_60x96.pdf" xr:uid="{51DD2E9F-A9A5-4709-B162-AFBB59BF146D}"/>
    <hyperlink ref="B31" r:id="rId28" display="http://www.therealpresence.org/eucharst/misc/BVM/115_S_ANASTASIA_96x96.pdf" xr:uid="{C48F931D-3F37-434F-8944-6820E24EB787}"/>
    <hyperlink ref="B32" r:id="rId29" display="http://www.therealpresence.org/eucharst/misc/BVM/45_GHISALBA_60x96.pdf" xr:uid="{157E0100-A401-4662-A4A9-79002FC171BC}"/>
    <hyperlink ref="B33" r:id="rId30" display="http://www.therealpresence.org/eucharst/misc/BVM/72_GARLASCO_60x96.pdf" xr:uid="{87B3628E-2EAC-438B-9A4A-5663B3F530DC}"/>
    <hyperlink ref="B34" r:id="rId31" display="http://www.therealpresence.org/eucharst/misc/BVM/71_GENAZZANO_60x96.pdf" xr:uid="{07F0F5EC-4DC7-40B5-BCE0-4A78A4CC07B1}"/>
    <hyperlink ref="B35" r:id="rId32" display="http://www.therealpresence.org/eucharst/misc/BVM/75_BADIA_DI_CAVA_60x96.pdf" xr:uid="{D18FCF9D-7AFF-4CBB-9317-CE8CE7D71798}"/>
    <hyperlink ref="B36" r:id="rId33" display="http://www.therealpresence.org/eucharst/misc/BVM/42_BOCCADIRIO_60x96.pdf" xr:uid="{AD97BE69-C666-4F94-90EB-4EBEB216B37B}"/>
    <hyperlink ref="B37" r:id="rId34" display="http://www.therealpresence.org/eucharst/misc/BVM/106_TEROR_60x96.pdf" xr:uid="{2F89AE55-31FC-4B7C-8610-26D7B1F5D284}"/>
    <hyperlink ref="B38" r:id="rId35" display="http://www.therealpresence.org/eucharst/misc/BVM/49_IMOLA_60x96.pdf" xr:uid="{1B73B395-7BD4-4BFD-BCD1-E59A6204D253}"/>
    <hyperlink ref="B39" r:id="rId36" display="http://www.therealpresence.org/eucharst/misc/BVM/67_AGRES_60x96.pdf" xr:uid="{6863FB2D-822D-4494-8A6E-2DE8EB2FB6DB}"/>
    <hyperlink ref="B40" r:id="rId37" display="http://www.therealpresence.org/eucharst/misc/BVM/55_MADONNA_DEL_SASSO_60x96.pdf" xr:uid="{F4DE8BF9-7563-4FBF-9DBA-0A19527F73B4}"/>
    <hyperlink ref="B41" r:id="rId38" display="http://www.therealpresence.org/eucharst/misc/BVM/64_GENOVA_60x96.pdf" xr:uid="{85836A41-D29E-4C50-B688-A501C7D24025}"/>
    <hyperlink ref="B42" r:id="rId39" display="http://www.therealpresence.org/eucharst/misc/BVM/24_TROIS_EPIS_60x96.pdf" xr:uid="{33CFC5C9-F857-4635-B1B8-DAD3A9BBB42B}"/>
    <hyperlink ref="B43" r:id="rId40" display="http://www.therealpresence.org/eucharst/misc/BVM/51_GALLIVAGGIO_60x96.pdf" xr:uid="{8D37C3E2-0C3E-4C44-AB01-0C79B4F29ECF}"/>
    <hyperlink ref="B44" r:id="rId41" display="http://www.therealpresence.org/eucharst/misc/BVM/87_RE_60x96.pdf" xr:uid="{F770EBFE-550F-47A7-81F9-07ADB2609C57}"/>
    <hyperlink ref="B45" r:id="rId42" display="http://www.therealpresence.org/eucharst/misc/BVM/47_BETTOLA_60x96.pdf" xr:uid="{81B329D8-37EC-40E1-9B48-9950C2EA7171}"/>
    <hyperlink ref="B46" r:id="rId43" display="http://www.therealpresence.org/eucharst/misc/BVM/65_MOLARE_60x96.pdf" xr:uid="{0F617741-444E-4CA6-8D0E-29AE663EBB43}"/>
    <hyperlink ref="B47" r:id="rId44" display="http://www.therealpresence.org/eucharst/misc/BVM/32_VAILANKANNI_60x96.pdf" xr:uid="{94399EA1-EFE3-4172-A440-1F570330CB60}"/>
    <hyperlink ref="B48" r:id="rId45" display="http://www.therealpresence.org/eucharst/misc/BVM/98_ANDACOLLO_CILE_60x96.pdf" xr:uid="{60DB5ACB-64B7-47DE-A160-8CC02E93F301}"/>
    <hyperlink ref="B49" r:id="rId46" display="http://www.therealpresence.org/eucharst/misc/BVM/111_LUGGAU_60x96.pdf" xr:uid="{92BE830A-EA3F-49CC-94D3-4325C270BD4F}"/>
    <hyperlink ref="B50" r:id="rId47" display="http://www.therealpresence.org/eucharst/misc/BVM/79_TIRANO_96x96.pdf" xr:uid="{B7685827-D50E-42E9-A817-13ABF385F280}"/>
    <hyperlink ref="B51" r:id="rId48" display="http://www.therealpresence.org/eucharst/misc/BVM/122_MOTTA_DI_LIV_96x96.pdf" xr:uid="{6180EFD9-C993-4C32-9F30-F3E8FF5F7ED4}"/>
    <hyperlink ref="B52" r:id="rId49" display="http://www.therealpresence.org/eucharst/misc/BVM/66_PESCHIERA_S-GARDA_60x96.pdf" xr:uid="{61000713-E5CF-4D85-83B0-1C1ACDB21E28}"/>
    <hyperlink ref="B53" r:id="rId50" display="http://www.therealpresence.org/eucharst/misc/BVM/41_BERGAMO_60x96.pdf" xr:uid="{42BD3F37-12F2-4217-9717-512CA3DDF697}"/>
    <hyperlink ref="B54" r:id="rId51" display="http://www.therealpresence.org/eucharst/misc/BVM/134_RZESZOW_96x96.pdf" xr:uid="{5C7CC109-5BCF-4547-9F64-E0CCFE3861C6}"/>
    <hyperlink ref="B55" r:id="rId52" display="http://www.therealpresence.org/eucharst/misc/BVM/84_GARAISON_60x96.pdf" xr:uid="{CFA36045-F0E1-4EFF-83EF-78FC2166F51B}"/>
    <hyperlink ref="B56" r:id="rId53" display="http://www.therealpresence.org/eucharst/misc/BVM/34_ADRO_60x96.pdf" xr:uid="{3E6ED1F2-8D29-4D07-A363-F70125EDC398}"/>
    <hyperlink ref="B57" r:id="rId54" display="http://www.therealpresence.org/eucharst/misc/BVM/83_COTIGNAC_60x96.pdf" xr:uid="{9935782A-99CF-4468-B553-384E7871E642}"/>
    <hyperlink ref="B58" r:id="rId55" display="http://www.therealpresence.org/eucharst/misc/BVM/114_CORI_60x96.pdf" xr:uid="{B1CA8A89-FD41-43D4-9FBA-9B10C767A55E}"/>
    <hyperlink ref="B59" r:id="rId56" display="http://www.therealpresence.org/eucharst/misc/BVM/48_CUSSANIO_60x96.pdf" xr:uid="{AA54506B-CD7E-4830-9490-F08C6005F1BA}"/>
    <hyperlink ref="B60" r:id="rId57" display="http://www.therealpresence.org/eucharst/misc/BVM/53_CRESCENTINO_60x96.pdf" xr:uid="{153A73E3-6180-43DE-82C2-255ACEB3AFD2}"/>
    <hyperlink ref="B61" r:id="rId58" display="http://www.therealpresence.org/eucharst/misc/BVM/81_ORNAVASSO_60x96.pdf" xr:uid="{E1DAA1D0-2B11-4D8D-9CD3-5356C2F9D287}"/>
    <hyperlink ref="B62" r:id="rId59" display="http://www.therealpresence.org/eucharst/misc/BVM/70_GUADALUPE_96x96.pdf" xr:uid="{92EDC812-61B9-4808-AE5D-14D1CD0767D6}"/>
    <hyperlink ref="B63" r:id="rId60" display="http://www.therealpresence.org/eucharst/misc/BVM/29_SAVONA_60x96.pdf" xr:uid="{FB635B0C-D72D-4B60-A8E4-D3DFCCAD8260}"/>
    <hyperlink ref="B64" r:id="rId61" display="http://www.therealpresence.org/eucharst/misc/BVM/137_SVETA_GORA_60x96.pdf" xr:uid="{2F396AC2-438E-4E35-929A-6EF8E321BD2B}"/>
    <hyperlink ref="B65" r:id="rId62" display="http://www.therealpresence.org/eucharst/misc/BVM/127_OCOTLAN_96x96.pdf" xr:uid="{325EE6B5-4467-4CF0-83EA-8FA3AD7CC536}"/>
    <hyperlink ref="B66" r:id="rId63" display="http://www.therealpresence.org/eucharst/misc/BVM/116_VACCIAGO_60x96.pdf" xr:uid="{44FD30A3-C33D-47B3-9C34-AD34EBD00D27}"/>
    <hyperlink ref="B67" r:id="rId64" display="http://www.therealpresence.org/eucharst/misc/BVM/60_PIETRALBA_96x96.pdf" xr:uid="{5503B245-E9C6-4988-9829-CA03AFEBA3C9}"/>
    <hyperlink ref="B68" r:id="rId65" display="http://www.therealpresence.org/eucharst/misc/BVM/10_CORBETTA_60x96.pdf" xr:uid="{2FABD729-44EA-4566-B1C8-3062EA71A601}"/>
    <hyperlink ref="B69" r:id="rId66" display="http://www.therealpresence.org/eucharst/misc/BVM/02_ARCOLA_60x96.pdf" xr:uid="{50C58042-92C7-41A9-B4C1-452A8ACABDF0}"/>
    <hyperlink ref="B70" r:id="rId67" display="http://www.therealpresence.org/eucharst/misc/BVM/56_GIULIANOVA_96x96.pdf" xr:uid="{11F90242-10B7-4B74-93FB-111FD422B7FF}"/>
    <hyperlink ref="B71" r:id="rId68" display="http://www.therealpresence.org/eucharst/misc/BVM/62_GEROSA_60x96.pdf" xr:uid="{7F1CA3BF-FF1A-4C18-89E2-B0DCE4FF6F8F}"/>
    <hyperlink ref="B72" r:id="rId69" display="http://www.therealpresence.org/eucharst/misc/BVM/141_MONCRIVELLO_60x96.pdf" xr:uid="{423C4352-5EFA-4FFA-853E-2F3B6D864D68}"/>
    <hyperlink ref="B73" r:id="rId70" display="http://www.therealpresence.org/eucharst/misc/BVM/140_GOZO_60x96.pdf" xr:uid="{17065D3D-285F-4530-AFF3-C2DA298FBF92}"/>
    <hyperlink ref="B74" r:id="rId71" display="http://www.therealpresence.org/eucharst/misc/BVM/52_CASALBORDINO_60x96.pdf" xr:uid="{EA754CC6-1573-4520-8B78-4272013C5F1B}"/>
    <hyperlink ref="B76" r:id="rId72" display="http://www.therealpresence.org/eucharst/misc/BVM/129_LUMARZO_60x96.pdf" xr:uid="{4D2E8507-75F5-41AC-95C2-9CA5E6CF5D96}"/>
    <hyperlink ref="B77" r:id="rId73" display="http://www.therealpresence.org/eucharst/misc/BVM/97_CHIQUINQUIRA_96x96.pdf" xr:uid="{6BDAC134-A626-4E8C-A47D-C8A4CA25D576}"/>
    <hyperlink ref="B78" r:id="rId74" display="http://www.therealpresence.org/eucharst/misc/BVM/131_QUINCHE_60x96.pdf" xr:uid="{B0CB984F-EA72-4B4D-91CB-64C411D5122B}"/>
    <hyperlink ref="B79" r:id="rId75" display="http://www.therealpresence.org/eucharst/misc/BVM/132_QUITO_96x96.pdf" xr:uid="{EA433108-048C-44E1-BF9E-FE443A50501F}"/>
    <hyperlink ref="B80" r:id="rId76" display="http://www.therealpresence.org/eucharst/misc/BVM/120_RAPALLO_60x96.pdf" xr:uid="{2835A9F5-BBFF-4B51-8641-41722DBF8266}"/>
    <hyperlink ref="B83" r:id="rId77" display="http://www.therealpresence.org/eucharst/misc/BVM/61_BETHARRAM_60x96.pdf" xr:uid="{ED0FF0A2-B5FB-416F-935C-8F1E3A56E919}"/>
    <hyperlink ref="B81" r:id="rId78" display="http://www.therealpresence.org/eucharst/misc/BVM/112_LUJAN_96x96.pdf" xr:uid="{D7924296-3FD6-4F70-AD87-D42F75DF9F56}"/>
    <hyperlink ref="B82" r:id="rId79" display="http://www.therealpresence.org/eucharst/misc/BVM/92_CAACUPE_96x96.pdf" xr:uid="{2C6F0ED3-0F25-4A42-9AC3-8586122F624F}"/>
    <hyperlink ref="B84" r:id="rId80" display="http://www.therealpresence.org/eucharst/misc/BVM/94_CAYSASAY_60x96.pdf" xr:uid="{D09BEC33-BB11-443B-9544-D6945E056CF9}"/>
    <hyperlink ref="B85" r:id="rId81" display="http://www.therealpresence.org/eucharst/misc/BVM/104_DOROSZLO_60x96.pdf" xr:uid="{8DF47004-2D30-43F7-BB03-B887FB9D1509}"/>
    <hyperlink ref="B86" r:id="rId82" display="http://www.therealpresence.org/eucharst/misc/BVM/36_ARDESIO_60x96.pdf" xr:uid="{95AA4A67-B484-4AB0-9B24-FB3CFED15185}"/>
    <hyperlink ref="B87" r:id="rId83" display="http://www.therealpresence.org/eucharst/misc/BVM/57_SILUVA_96x96.pdf" xr:uid="{FB94FF86-48D4-4F9E-ABAE-FAAB487940C5}"/>
    <hyperlink ref="B88" r:id="rId84" display="http://www.therealpresence.org/eucharst/misc/BVM/88_MANAOAG_60x96.pdf" xr:uid="{B0E5C4F4-E009-401E-A8B8-EE388CCEA9A3}"/>
    <hyperlink ref="B89" r:id="rId85" display="http://www.therealpresence.org/eucharst/misc/BVM/102_CUBA_96x96.pdf" xr:uid="{DC185BFB-5513-461D-9AF8-61A5FC9272B4}"/>
    <hyperlink ref="B90" r:id="rId86" display="http://www.therealpresence.org/eucharst/misc/BVM/22_MONFERRATO_60x96.pdf" xr:uid="{77140C4C-B10E-4EED-BD16-EEB483169235}"/>
    <hyperlink ref="B91" r:id="rId87" display="http://www.therealpresence.org/eucharst/misc/BVM/118_MARBACH_60x96.pdf" xr:uid="{49AEECFE-7026-4ADE-837D-2C045323EEE8}"/>
    <hyperlink ref="B92" r:id="rId88" display="http://www.therealpresence.org/eucharst/misc/BVM/101_CARTAGO_60x96.pdf" xr:uid="{B32B2671-B1BC-4839-BEDF-829003AB9195}"/>
    <hyperlink ref="B93" r:id="rId89" display="http://www.therealpresence.org/eucharst/misc/BVM/107_KEVELAER_96x96.pdf" xr:uid="{5E962AFC-DFF1-4526-8697-E5901E0EF29F}"/>
    <hyperlink ref="B94" r:id="rId90" display="http://www.therealpresence.org/eucharst/misc/BVM/125_PLANTEES_60x96.pdf" xr:uid="{AC2E78FF-05DF-4C33-9B3B-FBE4366FE71E}"/>
    <hyperlink ref="B95" r:id="rId91" display="http://www.therealpresence.org/eucharst/misc/BVM/14_GUANARE_60x96.pdf" xr:uid="{99D173D7-9767-4AE2-A309-0B187552C3C3}"/>
    <hyperlink ref="B96" r:id="rId92" display="http://www.therealpresence.org/eucharst/misc/BVM/108_LA_PRENESSAYE_60x96.pdf" xr:uid="{AF3119AD-13D5-4162-930A-5FBA9FD56734}"/>
    <hyperlink ref="B97" r:id="rId93" display="http://www.therealpresence.org/eucharst/misc/BVM/08_PIEVE_DI_TAGLIAM_60x96.pdf" xr:uid="{455D0193-CDE9-4EE1-BF45-711FAECC323E}"/>
    <hyperlink ref="B98" r:id="rId94" display="http://www.therealpresence.org/eucharst/misc/BVM/69_LAUS_140x96.pdf" xr:uid="{3F9AE51B-F2B8-4612-9DD2-F1ADE1B54CC1}"/>
    <hyperlink ref="B99" r:id="rId95" display="http://www.therealpresence.org/eucharst/misc/BVM/54_SAN_BARTOLOMEO_60x96.pdf" xr:uid="{93CA0389-9EEA-4B54-81E0-06DD805D7DC2}"/>
    <hyperlink ref="B100" r:id="rId96" display="http://www.therealpresence.org/eucharst/misc/BVM/145_GYOR_96x96.pdf" xr:uid="{CFAABB82-E9FE-438C-8EFB-6E6CCBC86B12}"/>
    <hyperlink ref="B101" r:id="rId97" display="http://www.therealpresence.org/eucharst/misc/BVM/73_COTOCA_60x96.pdf" xr:uid="{AB18FD7E-93BC-44E5-B692-BD548A58EB64}"/>
    <hyperlink ref="B102" r:id="rId98" display="http://www.therealpresence.org/eucharst/misc/BVM/142_QUILLACOLLO_60x96.pdf" xr:uid="{5B95BB6E-AB2F-4F91-84AB-2CEAF7A2AF2E}"/>
    <hyperlink ref="B103" r:id="rId99" display="http://www.therealpresence.org/eucharst/misc/BVM/130_PELLESTRINA_96x96.pdf" xr:uid="{7C650E65-0C8F-4BBE-B7AC-E316951911B6}"/>
    <hyperlink ref="B104" r:id="rId100" display="http://www.therealpresence.org/eucharst/misc/BVM/77_VALE_DO_PARAIBA_60x96.pdf" xr:uid="{36F54A94-A819-4E3A-BF73-8BB5F67D261B}"/>
    <hyperlink ref="B105" r:id="rId101" display="http://www.therealpresence.org/eucharst/misc/BVM/59_MONTAGNAGA_96x96.pdf" xr:uid="{A57AC6E6-E3F3-450F-AC76-6C7ACFD807EA}"/>
    <hyperlink ref="B106" r:id="rId102" display="http://www.therealpresence.org/eucharst/misc/BVM/17_DIVINO_AMORE_60x96.pdf" xr:uid="{E9488973-4DDA-43BC-8753-B947895F234D}"/>
    <hyperlink ref="B107" r:id="rId103" display="http://www.therealpresence.org/eucharst/misc/BVM/95_CHAGUAYA_60x96.pdf" xr:uid="{F1436C3E-E077-4D5D-8DCD-487F99872005}"/>
    <hyperlink ref="B108" r:id="rId104" display="http://www.therealpresence.org/eucharst/misc/BVM/109_LAJAS_96x96.pdf" xr:uid="{01B9C267-4B15-401C-94D7-0B61E376A776}"/>
    <hyperlink ref="B109" r:id="rId105" display="http://www.therealpresence.org/eucharst/misc/BVM/33_ABSAM_60x96.pdf" xr:uid="{7A28C84E-1A47-4E6C-A875-FE5E481E37C2}"/>
    <hyperlink ref="B110" r:id="rId106" display="http://www.therealpresence.org/eucharst/misc/BVM/21_LAVANG_60x96.pdf" xr:uid="{C4311687-4753-4EE4-A0DF-ACD2CA149695}"/>
    <hyperlink ref="B111" r:id="rId107" display="http://www.therealpresence.org/eucharst/misc/BVM/126_ORNANS_60x96.pdf" xr:uid="{143C3561-04AA-4E6D-B492-1116C35BC8F6}"/>
    <hyperlink ref="B112" r:id="rId108" display="http://www.therealpresence.org/eucharst/misc/BVM/110_LICHEN_96x96.pdf" xr:uid="{AC9A9D9D-2063-42CA-B3C6-585EB0CBBCF4}"/>
    <hyperlink ref="B113" r:id="rId109" display="http://www.therealpresence.org/eucharst/misc/BVM/06_PARIGI_60x96.pdf" xr:uid="{DC737C70-17A8-4A71-9C5B-3FEA3822B43F}"/>
    <hyperlink ref="B114" r:id="rId110" display="http://www.therealpresence.org/eucharst/misc/BVM/23_ROMA_60x96.pdf" xr:uid="{F7796F7A-76FC-45FB-9EE2-5F53BE8F7BB3}"/>
    <hyperlink ref="B115" r:id="rId111" display="http://www.therealpresence.org/eucharst/misc/BVM/30_LA_SALETTE_96x96.pdf" xr:uid="{F694E494-0E1D-4CDC-BD0A-130977F3E594}"/>
    <hyperlink ref="B116" r:id="rId112" display="http://www.therealpresence.org/eucharst/misc/BVM/03_BORGO_CERRETO_60x96.pdf" xr:uid="{4926A5BA-39D3-4AAB-AE40-84962745F74F}"/>
    <hyperlink ref="B117" r:id="rId113" display="http://www.therealpresence.org/eucharst/misc/BVM/27_PORZUS_60x96.pdf" xr:uid="{AE448702-0AE6-4824-8292-FC690F65F292}"/>
    <hyperlink ref="B118" r:id="rId114" display="http://www.therealpresence.org/eucharst/misc/BVM/40_LOURDES_140x96.pdf" xr:uid="{CA53D479-72E8-4960-8F80-0996BB61C66D}"/>
    <hyperlink ref="B119" r:id="rId115" display="http://www.therealpresence.org/eucharst/misc/BVM/96_CHAMPION_140x96.pdf" xr:uid="{44028370-F8B6-43A4-A825-962E70ACD4F7}"/>
    <hyperlink ref="B120" r:id="rId116" display="http://www.therealpresence.org/eucharst/misc/BVM/12_MONTEFALCO_60x96.pdf" xr:uid="{B16C0D43-ED60-4623-A9F2-1E207A251936}"/>
    <hyperlink ref="B121" r:id="rId117" display="http://www.therealpresence.org/eucharst/misc/BVM/89_FILIPOV_96x96.pdf" xr:uid="{2B1F68DC-BBCB-4BFD-93AF-312771EED9E8}"/>
    <hyperlink ref="B122" r:id="rId118" display="http://www.therealpresence.org/eucharst/misc/BVM/26_PONTMAIN_60x96.pdf" xr:uid="{29E13BA3-F657-451E-ABBE-B3D47A98950B}"/>
    <hyperlink ref="B123" r:id="rId119" display="http://www.therealpresence.org/eucharst/misc/BVM/135_S_BAUZILLE_96x96.pdf" xr:uid="{094B2CDB-AAC6-426B-B694-52394C5C7CDE}"/>
    <hyperlink ref="B124" r:id="rId120" display="http://www.therealpresence.org/eucharst/misc/BVM/25_POMPEI_96x96.pdf" xr:uid="{7855DA74-4DC7-4DFC-A86D-C4634173906A}"/>
    <hyperlink ref="B125" r:id="rId121" display="http://www.therealpresence.org/eucharst/misc/BVM/07_PELLEVOISIN_60x96.pdf" xr:uid="{970FDEC7-2F83-444E-A4C4-531923F485F1}"/>
    <hyperlink ref="B126" r:id="rId122" display="http://www.therealpresence.org/eucharst/misc/BVM/85_GIETRZALD_96x96.pdf" xr:uid="{2EA8535E-19BB-44E9-A55E-45C029314D30}"/>
    <hyperlink ref="B127" r:id="rId123" display="http://www.therealpresence.org/eucharst/misc/BVM/63_KNOCK_60x96.pdf" xr:uid="{9DFDC529-9451-4320-AE44-7EE3DCA6516F}"/>
    <hyperlink ref="B128" r:id="rId124" display="http://www.therealpresence.org/eucharst/misc/BVM/82_CASTELPETROSO_60x96.pdf" xr:uid="{FBE95745-1B76-4C80-883C-A6020A15B608}"/>
    <hyperlink ref="B129" r:id="rId125" display="http://www.therealpresence.org/eucharst/misc/BVM/139_SZCZYRK_60x96.pdf" xr:uid="{121E7A4D-4303-4DAA-9897-1183BCA5910B}"/>
    <hyperlink ref="B130" r:id="rId126" display="http://www.therealpresence.org/eucharst/misc/BVM/91_BETANIA_96x96.pdf" xr:uid="{3BCB6EBD-DCB8-4074-9D4D-1173E3A9EABD}"/>
    <hyperlink ref="B131" r:id="rId127" display="http://www.therealpresence.org/eucharst/misc/BVM/103_DONG_LU_96x96.pdf" xr:uid="{D7F2F771-C91C-4D3D-A5FC-CA3544461DEE}"/>
    <hyperlink ref="B132" r:id="rId128" display="http://www.therealpresence.org/eucharst/misc/BVM/154_FATIMA_96x96_1.pdf" xr:uid="{CFA69F04-9B79-46A6-92FF-D928618A8B3A}"/>
    <hyperlink ref="B133" r:id="rId129" display="http://www.therealpresence.org/eucharst/misc/BVM/46_TORINO_60x96.pdf" xr:uid="{A174A645-F78D-41C4-93D9-E221F4743567}"/>
    <hyperlink ref="B134" r:id="rId130" display="http://www.therealpresence.org/eucharst/misc/BVM/04_CERNUSCO_60x96.pdf" xr:uid="{E75F4D6C-7F2D-42B7-AD95-AEA5CC77B8FA}"/>
    <hyperlink ref="B135" r:id="rId131" display="http://www.therealpresence.org/eucharst/misc/BVM/31_PONTEVEDRA_96x96.pdf" xr:uid="{6C5F5E1F-8B5D-4F82-A5EC-268028A3EED6}"/>
    <hyperlink ref="B136" r:id="rId132" display="http://www.therealpresence.org/eucharst/misc/BVM/93_CAMPINAS_140x96.pdf" xr:uid="{D6AB0E35-C295-429B-ACFF-748EF46301A1}"/>
    <hyperlink ref="B137" r:id="rId133" display="http://www.therealpresence.org/eucharst/misc/BVM/11_BEAURAING_60x96.pdf" xr:uid="{37CEF409-57CF-4D13-913D-F64B7E896A99}"/>
    <hyperlink ref="B138" r:id="rId134" display="http://www.therealpresence.org/eucharst/misc/BVM/39_BANNEAUX_96x96.pdf" xr:uid="{748AB8C2-22F4-4367-ADE3-D07A53A37B2A}"/>
    <hyperlink ref="B139" r:id="rId135" display="http://www.therealpresence.org/eucharst/misc/BVM/151_PESQUEIRA_140x96.pdf" xr:uid="{DF2684F1-F924-422C-8B92-EEFB862919A3}"/>
    <hyperlink ref="B140" r:id="rId136" display="http://www.therealpresence.org/eucharst/misc/BVM/146_HEEDE_140x96.pdf" xr:uid="{283ABDD9-4A18-41D3-9848-B942E3DA66C9}"/>
    <hyperlink ref="B141" r:id="rId137" display="http://www.therealpresence.org/eucharst/misc/BVM/119_MILANO_96x96.pdf" xr:uid="{0B286280-543C-4FE4-8976-937CDA0EA8A3}"/>
    <hyperlink ref="B142" r:id="rId138" display="http://www.therealpresence.org/eucharst/misc/BVM/128_KALLIKULAM_60x96.pdf" xr:uid="{A5D1A8B5-B2E4-4D8F-9791-86248B12A535}"/>
    <hyperlink ref="B143" r:id="rId139" display="http://www.therealpresence.org/eucharst/misc/BVM/149_MARIENFRIED_140x96.pdf" xr:uid="{A2098EFD-FA68-4C40-8A09-435034E8AE42}"/>
    <hyperlink ref="B144" r:id="rId140" display="http://www.therealpresence.org/eucharst/misc/BVM/152_SIEKIERKI_96x96.pdf" xr:uid="{6D525FF3-4BEF-4DF2-8105-41DD53AF646E}"/>
    <hyperlink ref="B145" r:id="rId141" display="http://www.therealpresence.org/eucharst/misc/BVM/99_CODOSERA_140x96.pdf" xr:uid="{D20B9B74-3D05-482F-89D3-7A01CF38BB0D}"/>
    <hyperlink ref="B146" r:id="rId142" display="http://www.therealpresence.org/eucharst/misc/BVM/19_ILE_BOUCHARD_96x96.pdf" xr:uid="{2D46B144-73F0-442E-8D39-1C183D12A98E}"/>
    <hyperlink ref="B147" r:id="rId143" display="http://www.therealpresence.org/eucharst/misc/BVM/147_HEROLDSBACH_140x96.pdf" xr:uid="{5D3A2EE4-7DFB-42DC-BB77-A5626BEFCF4C}"/>
    <hyperlink ref="B148" r:id="rId144" display="http://www.therealpresence.org/eucharst/misc/BVM/113_ROGOROTTO_60x96.pdf" xr:uid="{537D0338-2304-4311-9079-AD8E4BA5FCEA}"/>
    <hyperlink ref="B149" r:id="rId145" display="http://www.therealpresence.org/eucharst/misc/BVM/28_SIRACUSA_60x96.pdf" xr:uid="{BF63BB12-D370-451B-9471-DF48A49742CE}"/>
    <hyperlink ref="B150" r:id="rId146" display="http://www.therealpresence.org/eucharst/misc/BVM/124_NGOME_140x96.pdf" xr:uid="{B00269C0-FAF0-41D7-927E-08549508DA76}"/>
    <hyperlink ref="B151" r:id="rId147" display="http://www.therealpresence.org/eucharst/misc/BVM/150_FOSTORIA_140x96.pdf" xr:uid="{2CFD9A99-1D1B-4BC0-8A3E-BB77A5CC9464}"/>
    <hyperlink ref="B152" r:id="rId148" display="http://www.therealpresence.org/eucharst/misc/BVM/144_ZEITUN_96x96.pdf" xr:uid="{3B7128E4-F3CF-4862-85EB-BAEA95CA228D}"/>
    <hyperlink ref="B153" r:id="rId149" display="http://www.therealpresence.org/eucharst/misc/BVM/01_AKITA_60x96.pdf" xr:uid="{DA91CAF6-439F-4274-BD7B-E25EF5CD9528}"/>
    <hyperlink ref="B154" r:id="rId150" display="http://www.therealpresence.org/eucharst/misc/BVM/16_CUAPA_60x96.pdf" xr:uid="{102DCA40-09EC-4133-95ED-03297CCE4E37}"/>
    <hyperlink ref="B155" r:id="rId151" display="http://www.therealpresence.org/eucharst/misc/BVM/20_KIBEHO_96x96.pdf" xr:uid="{945D2248-A30F-4F03-A4D3-CC9AA30E356D}"/>
    <hyperlink ref="B156" r:id="rId152" display="http://www.therealpresence.org/eucharst/misc/BVM/143_NAMYANG_96x96.pdf" xr:uid="{68B3F2D2-FBAF-4933-B5BA-1876F5425328}"/>
    <hyperlink ref="B157" r:id="rId153" display="http://www.therealpresence.org/eucharst/misc/BVM/76_AOKPE_140x96.pdf" xr:uid="{7312975A-9717-402C-AD13-23C5A77984AB}"/>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26362-28F5-49C7-A8E7-A6E16D86518E}">
  <sheetPr codeName="Sheet6"/>
  <dimension ref="A1:B25"/>
  <sheetViews>
    <sheetView workbookViewId="0">
      <selection activeCell="A26" sqref="A26"/>
    </sheetView>
  </sheetViews>
  <sheetFormatPr defaultRowHeight="12.75" x14ac:dyDescent="0.2"/>
  <cols>
    <col min="1" max="1" width="23.7109375" style="21" bestFit="1" customWidth="1"/>
    <col min="2" max="2" width="29" style="21" bestFit="1" customWidth="1"/>
    <col min="3" max="16384" width="9.140625" style="21"/>
  </cols>
  <sheetData>
    <row r="1" spans="1:2" s="20" customFormat="1" x14ac:dyDescent="0.2">
      <c r="A1" s="20" t="s">
        <v>1434</v>
      </c>
      <c r="B1" s="20" t="s">
        <v>1435</v>
      </c>
    </row>
    <row r="2" spans="1:2" x14ac:dyDescent="0.2">
      <c r="A2" s="21" t="s">
        <v>1038</v>
      </c>
      <c r="B2" s="21" t="s">
        <v>1436</v>
      </c>
    </row>
    <row r="3" spans="1:2" x14ac:dyDescent="0.2">
      <c r="A3" s="21" t="s">
        <v>1346</v>
      </c>
      <c r="B3" s="21" t="s">
        <v>1437</v>
      </c>
    </row>
    <row r="4" spans="1:2" x14ac:dyDescent="0.2">
      <c r="A4" s="21" t="s">
        <v>1410</v>
      </c>
      <c r="B4" s="21" t="s">
        <v>1438</v>
      </c>
    </row>
    <row r="5" spans="1:2" x14ac:dyDescent="0.2">
      <c r="A5" s="21" t="s">
        <v>1001</v>
      </c>
      <c r="B5" s="21" t="s">
        <v>1439</v>
      </c>
    </row>
    <row r="6" spans="1:2" x14ac:dyDescent="0.2">
      <c r="A6" s="21" t="s">
        <v>1343</v>
      </c>
      <c r="B6" s="21" t="s">
        <v>1440</v>
      </c>
    </row>
    <row r="7" spans="1:2" x14ac:dyDescent="0.2">
      <c r="A7" s="21" t="s">
        <v>1424</v>
      </c>
      <c r="B7" s="21" t="s">
        <v>1441</v>
      </c>
    </row>
    <row r="8" spans="1:2" x14ac:dyDescent="0.2">
      <c r="A8" s="21" t="s">
        <v>486</v>
      </c>
      <c r="B8" s="21" t="s">
        <v>1442</v>
      </c>
    </row>
    <row r="9" spans="1:2" x14ac:dyDescent="0.2">
      <c r="A9" s="21" t="s">
        <v>1431</v>
      </c>
      <c r="B9" s="21" t="s">
        <v>1444</v>
      </c>
    </row>
    <row r="10" spans="1:2" x14ac:dyDescent="0.2">
      <c r="A10" s="21" t="s">
        <v>487</v>
      </c>
      <c r="B10" s="22" t="s">
        <v>1445</v>
      </c>
    </row>
    <row r="11" spans="1:2" x14ac:dyDescent="0.2">
      <c r="A11" s="21" t="s">
        <v>488</v>
      </c>
      <c r="B11" s="21" t="s">
        <v>1443</v>
      </c>
    </row>
    <row r="12" spans="1:2" x14ac:dyDescent="0.2">
      <c r="A12" s="21" t="s">
        <v>489</v>
      </c>
      <c r="B12" s="21" t="s">
        <v>1446</v>
      </c>
    </row>
    <row r="13" spans="1:2" x14ac:dyDescent="0.2">
      <c r="A13" s="21" t="s">
        <v>490</v>
      </c>
      <c r="B13" s="21" t="s">
        <v>1447</v>
      </c>
    </row>
    <row r="14" spans="1:2" x14ac:dyDescent="0.2">
      <c r="A14" s="21" t="s">
        <v>1432</v>
      </c>
      <c r="B14" s="21" t="s">
        <v>1448</v>
      </c>
    </row>
    <row r="15" spans="1:2" x14ac:dyDescent="0.2">
      <c r="A15" s="21" t="s">
        <v>1323</v>
      </c>
      <c r="B15" s="22" t="s">
        <v>1450</v>
      </c>
    </row>
    <row r="16" spans="1:2" x14ac:dyDescent="0.2">
      <c r="A16" s="21" t="s">
        <v>1021</v>
      </c>
      <c r="B16" s="21" t="s">
        <v>1451</v>
      </c>
    </row>
    <row r="17" spans="1:2" x14ac:dyDescent="0.2">
      <c r="A17" s="21" t="s">
        <v>1433</v>
      </c>
      <c r="B17" s="21" t="s">
        <v>1449</v>
      </c>
    </row>
    <row r="18" spans="1:2" x14ac:dyDescent="0.2">
      <c r="A18" s="21" t="s">
        <v>1467</v>
      </c>
      <c r="B18" s="21" t="s">
        <v>1005</v>
      </c>
    </row>
    <row r="19" spans="1:2" x14ac:dyDescent="0.2">
      <c r="A19" s="21" t="s">
        <v>1715</v>
      </c>
      <c r="B19" s="21" t="s">
        <v>1716</v>
      </c>
    </row>
    <row r="20" spans="1:2" x14ac:dyDescent="0.2">
      <c r="A20" s="21" t="s">
        <v>1733</v>
      </c>
      <c r="B20" s="23" t="s">
        <v>1734</v>
      </c>
    </row>
    <row r="21" spans="1:2" x14ac:dyDescent="0.2">
      <c r="A21" s="21" t="s">
        <v>1736</v>
      </c>
      <c r="B21" s="23" t="s">
        <v>1735</v>
      </c>
    </row>
    <row r="22" spans="1:2" x14ac:dyDescent="0.2">
      <c r="A22" s="21" t="s">
        <v>1770</v>
      </c>
      <c r="B22" s="23" t="s">
        <v>1771</v>
      </c>
    </row>
    <row r="23" spans="1:2" x14ac:dyDescent="0.2">
      <c r="A23" s="21" t="s">
        <v>1774</v>
      </c>
      <c r="B23" s="23" t="s">
        <v>1775</v>
      </c>
    </row>
    <row r="24" spans="1:2" x14ac:dyDescent="0.2">
      <c r="A24" s="23" t="s">
        <v>1773</v>
      </c>
      <c r="B24" s="23" t="s">
        <v>1776</v>
      </c>
    </row>
    <row r="25" spans="1:2" x14ac:dyDescent="0.2">
      <c r="A25" s="21" t="s">
        <v>1782</v>
      </c>
      <c r="B25" s="23" t="s">
        <v>1783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B53212-52F5-4A7D-9FB7-1079DAE6F64C}">
  <sheetPr codeName="Sheet5"/>
  <dimension ref="A1:C250"/>
  <sheetViews>
    <sheetView topLeftCell="A200" workbookViewId="0">
      <selection sqref="A1:C250"/>
    </sheetView>
  </sheetViews>
  <sheetFormatPr defaultRowHeight="12.75" x14ac:dyDescent="0.25"/>
  <cols>
    <col min="1" max="1" width="45.42578125" style="15" bestFit="1" customWidth="1"/>
    <col min="2" max="2" width="16.28515625" style="15" bestFit="1" customWidth="1"/>
    <col min="3" max="3" width="40.85546875" style="15" bestFit="1" customWidth="1"/>
    <col min="4" max="16384" width="9.140625" style="15"/>
  </cols>
  <sheetData>
    <row r="1" spans="1:3" s="14" customFormat="1" x14ac:dyDescent="0.25">
      <c r="A1" s="14" t="s">
        <v>485</v>
      </c>
      <c r="B1" s="14" t="s">
        <v>709</v>
      </c>
      <c r="C1" s="14" t="s">
        <v>339</v>
      </c>
    </row>
    <row r="2" spans="1:3" x14ac:dyDescent="0.25">
      <c r="A2" s="15" t="s">
        <v>491</v>
      </c>
      <c r="B2" s="15" t="s">
        <v>744</v>
      </c>
      <c r="C2" s="15" t="s">
        <v>1468</v>
      </c>
    </row>
    <row r="3" spans="1:3" x14ac:dyDescent="0.25">
      <c r="A3" s="15" t="s">
        <v>492</v>
      </c>
      <c r="B3" s="15" t="s">
        <v>745</v>
      </c>
      <c r="C3" s="16" t="s">
        <v>1469</v>
      </c>
    </row>
    <row r="4" spans="1:3" x14ac:dyDescent="0.25">
      <c r="A4" s="15" t="s">
        <v>493</v>
      </c>
      <c r="B4" s="15" t="s">
        <v>746</v>
      </c>
      <c r="C4" s="15" t="s">
        <v>1470</v>
      </c>
    </row>
    <row r="5" spans="1:3" x14ac:dyDescent="0.25">
      <c r="A5" s="15" t="s">
        <v>494</v>
      </c>
      <c r="B5" s="15" t="s">
        <v>747</v>
      </c>
      <c r="C5" s="16" t="s">
        <v>1471</v>
      </c>
    </row>
    <row r="6" spans="1:3" x14ac:dyDescent="0.25">
      <c r="A6" s="15" t="s">
        <v>495</v>
      </c>
      <c r="B6" s="15" t="s">
        <v>748</v>
      </c>
      <c r="C6" s="15" t="s">
        <v>1472</v>
      </c>
    </row>
    <row r="7" spans="1:3" x14ac:dyDescent="0.25">
      <c r="A7" s="15" t="s">
        <v>496</v>
      </c>
      <c r="B7" s="15" t="s">
        <v>749</v>
      </c>
      <c r="C7" s="15" t="s">
        <v>1473</v>
      </c>
    </row>
    <row r="8" spans="1:3" x14ac:dyDescent="0.25">
      <c r="A8" s="15" t="s">
        <v>497</v>
      </c>
      <c r="B8" s="15" t="s">
        <v>750</v>
      </c>
      <c r="C8" s="15" t="s">
        <v>1474</v>
      </c>
    </row>
    <row r="9" spans="1:3" x14ac:dyDescent="0.25">
      <c r="A9" s="15" t="s">
        <v>498</v>
      </c>
      <c r="B9" s="15" t="s">
        <v>751</v>
      </c>
      <c r="C9" s="15" t="s">
        <v>1475</v>
      </c>
    </row>
    <row r="10" spans="1:3" x14ac:dyDescent="0.25">
      <c r="A10" s="15" t="s">
        <v>499</v>
      </c>
      <c r="B10" s="15" t="s">
        <v>752</v>
      </c>
      <c r="C10" s="15" t="s">
        <v>1476</v>
      </c>
    </row>
    <row r="11" spans="1:3" x14ac:dyDescent="0.25">
      <c r="A11" s="15" t="s">
        <v>500</v>
      </c>
      <c r="B11" s="15" t="s">
        <v>753</v>
      </c>
      <c r="C11" s="15" t="s">
        <v>1477</v>
      </c>
    </row>
    <row r="12" spans="1:3" x14ac:dyDescent="0.25">
      <c r="A12" s="15" t="s">
        <v>501</v>
      </c>
      <c r="B12" s="15" t="s">
        <v>754</v>
      </c>
      <c r="C12" s="16" t="s">
        <v>1478</v>
      </c>
    </row>
    <row r="13" spans="1:3" x14ac:dyDescent="0.25">
      <c r="A13" s="15" t="s">
        <v>502</v>
      </c>
      <c r="B13" s="15" t="s">
        <v>755</v>
      </c>
      <c r="C13" s="15" t="s">
        <v>1479</v>
      </c>
    </row>
    <row r="14" spans="1:3" x14ac:dyDescent="0.25">
      <c r="A14" s="15" t="s">
        <v>503</v>
      </c>
      <c r="B14" s="15" t="s">
        <v>756</v>
      </c>
      <c r="C14" s="15" t="s">
        <v>1480</v>
      </c>
    </row>
    <row r="15" spans="1:3" x14ac:dyDescent="0.25">
      <c r="A15" s="15" t="s">
        <v>504</v>
      </c>
      <c r="B15" s="15" t="s">
        <v>757</v>
      </c>
      <c r="C15" s="15" t="s">
        <v>1481</v>
      </c>
    </row>
    <row r="16" spans="1:3" x14ac:dyDescent="0.25">
      <c r="A16" s="15" t="s">
        <v>736</v>
      </c>
      <c r="B16" s="15" t="s">
        <v>758</v>
      </c>
      <c r="C16" s="16" t="s">
        <v>1482</v>
      </c>
    </row>
    <row r="17" spans="1:3" x14ac:dyDescent="0.25">
      <c r="A17" s="15" t="s">
        <v>505</v>
      </c>
      <c r="B17" s="15" t="s">
        <v>759</v>
      </c>
      <c r="C17" s="15" t="s">
        <v>1483</v>
      </c>
    </row>
    <row r="18" spans="1:3" x14ac:dyDescent="0.25">
      <c r="A18" s="15" t="s">
        <v>506</v>
      </c>
      <c r="B18" s="15" t="s">
        <v>760</v>
      </c>
      <c r="C18" s="16" t="s">
        <v>1484</v>
      </c>
    </row>
    <row r="19" spans="1:3" x14ac:dyDescent="0.25">
      <c r="A19" s="15" t="s">
        <v>507</v>
      </c>
      <c r="B19" s="15" t="s">
        <v>761</v>
      </c>
      <c r="C19" s="15" t="s">
        <v>1485</v>
      </c>
    </row>
    <row r="20" spans="1:3" x14ac:dyDescent="0.25">
      <c r="A20" s="15" t="s">
        <v>508</v>
      </c>
      <c r="B20" s="15" t="s">
        <v>762</v>
      </c>
      <c r="C20" s="15" t="s">
        <v>1486</v>
      </c>
    </row>
    <row r="21" spans="1:3" x14ac:dyDescent="0.25">
      <c r="A21" s="15" t="s">
        <v>509</v>
      </c>
      <c r="B21" s="15" t="s">
        <v>763</v>
      </c>
      <c r="C21" s="15" t="s">
        <v>1487</v>
      </c>
    </row>
    <row r="22" spans="1:3" x14ac:dyDescent="0.25">
      <c r="A22" s="15" t="s">
        <v>510</v>
      </c>
      <c r="B22" s="15" t="s">
        <v>764</v>
      </c>
      <c r="C22" s="16" t="s">
        <v>1488</v>
      </c>
    </row>
    <row r="23" spans="1:3" x14ac:dyDescent="0.25">
      <c r="A23" s="15" t="s">
        <v>511</v>
      </c>
      <c r="B23" s="15" t="s">
        <v>765</v>
      </c>
      <c r="C23" s="15" t="s">
        <v>1489</v>
      </c>
    </row>
    <row r="24" spans="1:3" x14ac:dyDescent="0.25">
      <c r="A24" s="15" t="s">
        <v>512</v>
      </c>
      <c r="B24" s="15" t="s">
        <v>766</v>
      </c>
      <c r="C24" s="15" t="s">
        <v>1490</v>
      </c>
    </row>
    <row r="25" spans="1:3" x14ac:dyDescent="0.25">
      <c r="A25" s="15" t="s">
        <v>513</v>
      </c>
      <c r="B25" s="15" t="s">
        <v>767</v>
      </c>
      <c r="C25" s="15" t="s">
        <v>1491</v>
      </c>
    </row>
    <row r="26" spans="1:3" x14ac:dyDescent="0.25">
      <c r="A26" s="15" t="s">
        <v>514</v>
      </c>
      <c r="B26" s="15" t="s">
        <v>768</v>
      </c>
      <c r="C26" s="15" t="s">
        <v>1492</v>
      </c>
    </row>
    <row r="27" spans="1:3" x14ac:dyDescent="0.25">
      <c r="A27" s="15" t="s">
        <v>735</v>
      </c>
      <c r="B27" s="15" t="s">
        <v>769</v>
      </c>
      <c r="C27" s="16" t="s">
        <v>1493</v>
      </c>
    </row>
    <row r="28" spans="1:3" x14ac:dyDescent="0.25">
      <c r="A28" s="15" t="s">
        <v>515</v>
      </c>
      <c r="B28" s="15" t="s">
        <v>770</v>
      </c>
      <c r="C28" s="15" t="s">
        <v>1494</v>
      </c>
    </row>
    <row r="29" spans="1:3" x14ac:dyDescent="0.25">
      <c r="A29" s="15" t="s">
        <v>516</v>
      </c>
      <c r="B29" s="15" t="s">
        <v>771</v>
      </c>
      <c r="C29" s="16" t="s">
        <v>1495</v>
      </c>
    </row>
    <row r="30" spans="1:3" x14ac:dyDescent="0.25">
      <c r="A30" s="15" t="s">
        <v>710</v>
      </c>
      <c r="B30" s="15" t="s">
        <v>772</v>
      </c>
      <c r="C30" s="15" t="s">
        <v>1496</v>
      </c>
    </row>
    <row r="31" spans="1:3" x14ac:dyDescent="0.25">
      <c r="A31" s="15" t="s">
        <v>517</v>
      </c>
      <c r="B31" s="15" t="s">
        <v>773</v>
      </c>
      <c r="C31" s="16" t="s">
        <v>1497</v>
      </c>
    </row>
    <row r="32" spans="1:3" x14ac:dyDescent="0.25">
      <c r="A32" s="15" t="s">
        <v>518</v>
      </c>
      <c r="B32" s="15" t="s">
        <v>774</v>
      </c>
      <c r="C32" s="15" t="s">
        <v>1498</v>
      </c>
    </row>
    <row r="33" spans="1:3" x14ac:dyDescent="0.25">
      <c r="A33" s="15" t="s">
        <v>519</v>
      </c>
      <c r="B33" s="15" t="s">
        <v>775</v>
      </c>
      <c r="C33" s="15" t="s">
        <v>1499</v>
      </c>
    </row>
    <row r="34" spans="1:3" x14ac:dyDescent="0.25">
      <c r="A34" s="15" t="s">
        <v>520</v>
      </c>
      <c r="B34" s="15" t="s">
        <v>776</v>
      </c>
      <c r="C34" s="15" t="s">
        <v>1500</v>
      </c>
    </row>
    <row r="35" spans="1:3" x14ac:dyDescent="0.25">
      <c r="A35" s="15" t="s">
        <v>521</v>
      </c>
      <c r="B35" s="15" t="s">
        <v>777</v>
      </c>
      <c r="C35" s="16" t="s">
        <v>1501</v>
      </c>
    </row>
    <row r="36" spans="1:3" x14ac:dyDescent="0.25">
      <c r="A36" s="15" t="s">
        <v>522</v>
      </c>
      <c r="B36" s="15" t="s">
        <v>778</v>
      </c>
      <c r="C36" s="15" t="s">
        <v>1502</v>
      </c>
    </row>
    <row r="37" spans="1:3" x14ac:dyDescent="0.25">
      <c r="A37" s="15" t="s">
        <v>523</v>
      </c>
      <c r="B37" s="15" t="s">
        <v>779</v>
      </c>
      <c r="C37" s="15" t="s">
        <v>1503</v>
      </c>
    </row>
    <row r="38" spans="1:3" x14ac:dyDescent="0.25">
      <c r="A38" s="15" t="s">
        <v>524</v>
      </c>
      <c r="B38" s="15" t="s">
        <v>780</v>
      </c>
      <c r="C38" s="15" t="s">
        <v>1504</v>
      </c>
    </row>
    <row r="39" spans="1:3" x14ac:dyDescent="0.25">
      <c r="A39" s="15" t="s">
        <v>525</v>
      </c>
      <c r="B39" s="15" t="s">
        <v>781</v>
      </c>
      <c r="C39" s="15" t="s">
        <v>1505</v>
      </c>
    </row>
    <row r="40" spans="1:3" x14ac:dyDescent="0.25">
      <c r="A40" s="15" t="s">
        <v>526</v>
      </c>
      <c r="B40" s="15" t="s">
        <v>782</v>
      </c>
      <c r="C40" s="16" t="s">
        <v>1506</v>
      </c>
    </row>
    <row r="41" spans="1:3" x14ac:dyDescent="0.25">
      <c r="A41" s="15" t="s">
        <v>711</v>
      </c>
      <c r="B41" s="15" t="s">
        <v>783</v>
      </c>
      <c r="C41" s="16" t="s">
        <v>1507</v>
      </c>
    </row>
    <row r="42" spans="1:3" x14ac:dyDescent="0.25">
      <c r="A42" s="15" t="s">
        <v>527</v>
      </c>
      <c r="B42" s="15" t="s">
        <v>784</v>
      </c>
      <c r="C42" s="16" t="s">
        <v>1508</v>
      </c>
    </row>
    <row r="43" spans="1:3" x14ac:dyDescent="0.25">
      <c r="A43" s="15" t="s">
        <v>528</v>
      </c>
      <c r="B43" s="15" t="s">
        <v>785</v>
      </c>
      <c r="C43" s="15" t="s">
        <v>1509</v>
      </c>
    </row>
    <row r="44" spans="1:3" x14ac:dyDescent="0.25">
      <c r="A44" s="15" t="s">
        <v>529</v>
      </c>
      <c r="B44" s="15" t="s">
        <v>786</v>
      </c>
      <c r="C44" s="15" t="s">
        <v>1510</v>
      </c>
    </row>
    <row r="45" spans="1:3" x14ac:dyDescent="0.25">
      <c r="A45" s="15" t="s">
        <v>734</v>
      </c>
      <c r="B45" s="15" t="s">
        <v>787</v>
      </c>
      <c r="C45" s="16" t="s">
        <v>1511</v>
      </c>
    </row>
    <row r="46" spans="1:3" x14ac:dyDescent="0.25">
      <c r="A46" s="15" t="s">
        <v>530</v>
      </c>
      <c r="B46" s="15" t="s">
        <v>788</v>
      </c>
      <c r="C46" s="16" t="s">
        <v>1512</v>
      </c>
    </row>
    <row r="47" spans="1:3" x14ac:dyDescent="0.25">
      <c r="A47" s="15" t="s">
        <v>531</v>
      </c>
      <c r="B47" s="15" t="s">
        <v>789</v>
      </c>
      <c r="C47" s="15" t="s">
        <v>1513</v>
      </c>
    </row>
    <row r="48" spans="1:3" x14ac:dyDescent="0.25">
      <c r="A48" s="15" t="s">
        <v>532</v>
      </c>
      <c r="B48" s="15" t="s">
        <v>790</v>
      </c>
      <c r="C48" s="15" t="s">
        <v>1514</v>
      </c>
    </row>
    <row r="49" spans="1:3" x14ac:dyDescent="0.25">
      <c r="A49" s="15" t="s">
        <v>533</v>
      </c>
      <c r="B49" s="15" t="s">
        <v>791</v>
      </c>
      <c r="C49" s="15" t="s">
        <v>1515</v>
      </c>
    </row>
    <row r="50" spans="1:3" x14ac:dyDescent="0.25">
      <c r="A50" s="15" t="s">
        <v>534</v>
      </c>
      <c r="B50" s="15" t="s">
        <v>792</v>
      </c>
      <c r="C50" s="15" t="s">
        <v>1516</v>
      </c>
    </row>
    <row r="51" spans="1:3" x14ac:dyDescent="0.25">
      <c r="A51" s="15" t="s">
        <v>535</v>
      </c>
      <c r="B51" s="15" t="s">
        <v>793</v>
      </c>
      <c r="C51" s="16" t="s">
        <v>1517</v>
      </c>
    </row>
    <row r="52" spans="1:3" x14ac:dyDescent="0.25">
      <c r="A52" s="15" t="s">
        <v>536</v>
      </c>
      <c r="B52" s="15" t="s">
        <v>794</v>
      </c>
      <c r="C52" s="15" t="s">
        <v>1518</v>
      </c>
    </row>
    <row r="53" spans="1:3" x14ac:dyDescent="0.25">
      <c r="A53" s="15" t="s">
        <v>537</v>
      </c>
      <c r="B53" s="15" t="s">
        <v>795</v>
      </c>
      <c r="C53" s="16" t="s">
        <v>1519</v>
      </c>
    </row>
    <row r="54" spans="1:3" x14ac:dyDescent="0.25">
      <c r="A54" s="15" t="s">
        <v>538</v>
      </c>
      <c r="B54" s="15" t="s">
        <v>796</v>
      </c>
      <c r="C54" s="15" t="s">
        <v>1520</v>
      </c>
    </row>
    <row r="55" spans="1:3" x14ac:dyDescent="0.25">
      <c r="A55" s="15" t="s">
        <v>539</v>
      </c>
      <c r="B55" s="15" t="s">
        <v>797</v>
      </c>
      <c r="C55" s="16" t="s">
        <v>1521</v>
      </c>
    </row>
    <row r="56" spans="1:3" x14ac:dyDescent="0.25">
      <c r="A56" s="15" t="s">
        <v>540</v>
      </c>
      <c r="B56" s="15" t="s">
        <v>798</v>
      </c>
      <c r="C56" s="15" t="s">
        <v>1522</v>
      </c>
    </row>
    <row r="57" spans="1:3" x14ac:dyDescent="0.25">
      <c r="A57" s="15" t="s">
        <v>541</v>
      </c>
      <c r="B57" s="15" t="s">
        <v>799</v>
      </c>
      <c r="C57" s="15" t="s">
        <v>1523</v>
      </c>
    </row>
    <row r="58" spans="1:3" x14ac:dyDescent="0.25">
      <c r="A58" s="15" t="s">
        <v>542</v>
      </c>
      <c r="B58" s="15" t="s">
        <v>800</v>
      </c>
      <c r="C58" s="15" t="s">
        <v>1524</v>
      </c>
    </row>
    <row r="59" spans="1:3" x14ac:dyDescent="0.25">
      <c r="A59" s="15" t="s">
        <v>543</v>
      </c>
      <c r="B59" s="15" t="s">
        <v>801</v>
      </c>
      <c r="C59" s="15" t="s">
        <v>1525</v>
      </c>
    </row>
    <row r="60" spans="1:3" x14ac:dyDescent="0.25">
      <c r="A60" s="15" t="s">
        <v>544</v>
      </c>
      <c r="B60" s="15" t="s">
        <v>802</v>
      </c>
      <c r="C60" s="15" t="s">
        <v>1526</v>
      </c>
    </row>
    <row r="61" spans="1:3" x14ac:dyDescent="0.25">
      <c r="A61" s="15" t="s">
        <v>545</v>
      </c>
      <c r="B61" s="15" t="s">
        <v>803</v>
      </c>
      <c r="C61" s="15" t="s">
        <v>1527</v>
      </c>
    </row>
    <row r="62" spans="1:3" x14ac:dyDescent="0.25">
      <c r="A62" s="15" t="s">
        <v>546</v>
      </c>
      <c r="B62" s="15" t="s">
        <v>804</v>
      </c>
      <c r="C62" s="16" t="s">
        <v>1528</v>
      </c>
    </row>
    <row r="63" spans="1:3" x14ac:dyDescent="0.25">
      <c r="A63" s="15" t="s">
        <v>547</v>
      </c>
      <c r="B63" s="15" t="s">
        <v>805</v>
      </c>
      <c r="C63" s="15" t="s">
        <v>1529</v>
      </c>
    </row>
    <row r="64" spans="1:3" x14ac:dyDescent="0.25">
      <c r="A64" s="15" t="s">
        <v>548</v>
      </c>
      <c r="B64" s="15" t="s">
        <v>806</v>
      </c>
      <c r="C64" s="15" t="s">
        <v>1530</v>
      </c>
    </row>
    <row r="65" spans="1:3" x14ac:dyDescent="0.25">
      <c r="A65" s="15" t="s">
        <v>549</v>
      </c>
      <c r="B65" s="15" t="s">
        <v>807</v>
      </c>
      <c r="C65" s="15" t="s">
        <v>1531</v>
      </c>
    </row>
    <row r="66" spans="1:3" x14ac:dyDescent="0.25">
      <c r="A66" s="15" t="s">
        <v>21</v>
      </c>
      <c r="B66" s="15" t="s">
        <v>808</v>
      </c>
      <c r="C66" s="15" t="s">
        <v>1532</v>
      </c>
    </row>
    <row r="67" spans="1:3" x14ac:dyDescent="0.25">
      <c r="A67" s="15" t="s">
        <v>550</v>
      </c>
      <c r="B67" s="15" t="s">
        <v>809</v>
      </c>
      <c r="C67" s="16" t="s">
        <v>1533</v>
      </c>
    </row>
    <row r="68" spans="1:3" x14ac:dyDescent="0.25">
      <c r="A68" s="15" t="s">
        <v>551</v>
      </c>
      <c r="B68" s="15" t="s">
        <v>810</v>
      </c>
      <c r="C68" s="15" t="s">
        <v>1534</v>
      </c>
    </row>
    <row r="69" spans="1:3" x14ac:dyDescent="0.25">
      <c r="A69" s="15" t="s">
        <v>552</v>
      </c>
      <c r="B69" s="15" t="s">
        <v>811</v>
      </c>
      <c r="C69" s="15" t="s">
        <v>1535</v>
      </c>
    </row>
    <row r="70" spans="1:3" x14ac:dyDescent="0.25">
      <c r="A70" s="15" t="s">
        <v>553</v>
      </c>
      <c r="B70" s="15" t="s">
        <v>812</v>
      </c>
      <c r="C70" s="15" t="s">
        <v>1536</v>
      </c>
    </row>
    <row r="71" spans="1:3" x14ac:dyDescent="0.25">
      <c r="A71" s="15" t="s">
        <v>554</v>
      </c>
      <c r="B71" s="15" t="s">
        <v>813</v>
      </c>
      <c r="C71" s="15" t="s">
        <v>1537</v>
      </c>
    </row>
    <row r="72" spans="1:3" x14ac:dyDescent="0.25">
      <c r="A72" s="15" t="s">
        <v>555</v>
      </c>
      <c r="B72" s="15" t="s">
        <v>814</v>
      </c>
      <c r="C72" s="15" t="s">
        <v>1538</v>
      </c>
    </row>
    <row r="73" spans="1:3" x14ac:dyDescent="0.25">
      <c r="A73" s="15" t="s">
        <v>712</v>
      </c>
      <c r="B73" s="15" t="s">
        <v>815</v>
      </c>
      <c r="C73" s="16" t="s">
        <v>1539</v>
      </c>
    </row>
    <row r="74" spans="1:3" x14ac:dyDescent="0.25">
      <c r="A74" s="15" t="s">
        <v>713</v>
      </c>
      <c r="B74" s="15" t="s">
        <v>816</v>
      </c>
      <c r="C74" s="15" t="s">
        <v>1540</v>
      </c>
    </row>
    <row r="75" spans="1:3" x14ac:dyDescent="0.25">
      <c r="A75" s="15" t="s">
        <v>556</v>
      </c>
      <c r="B75" s="15" t="s">
        <v>817</v>
      </c>
      <c r="C75" s="16" t="s">
        <v>1541</v>
      </c>
    </row>
    <row r="76" spans="1:3" x14ac:dyDescent="0.25">
      <c r="A76" s="15" t="s">
        <v>557</v>
      </c>
      <c r="B76" s="15" t="s">
        <v>818</v>
      </c>
      <c r="C76" s="15" t="s">
        <v>1454</v>
      </c>
    </row>
    <row r="77" spans="1:3" x14ac:dyDescent="0.25">
      <c r="A77" s="15" t="s">
        <v>558</v>
      </c>
      <c r="B77" s="15" t="s">
        <v>819</v>
      </c>
      <c r="C77" s="15" t="s">
        <v>1542</v>
      </c>
    </row>
    <row r="78" spans="1:3" x14ac:dyDescent="0.25">
      <c r="A78" s="15" t="s">
        <v>737</v>
      </c>
      <c r="B78" s="15" t="s">
        <v>820</v>
      </c>
      <c r="C78" s="16" t="s">
        <v>1452</v>
      </c>
    </row>
    <row r="79" spans="1:3" x14ac:dyDescent="0.25">
      <c r="A79" s="15" t="s">
        <v>559</v>
      </c>
      <c r="B79" s="15" t="s">
        <v>821</v>
      </c>
      <c r="C79" s="15" t="s">
        <v>1543</v>
      </c>
    </row>
    <row r="80" spans="1:3" x14ac:dyDescent="0.25">
      <c r="A80" s="15" t="s">
        <v>560</v>
      </c>
      <c r="B80" s="15" t="s">
        <v>822</v>
      </c>
      <c r="C80" s="15" t="s">
        <v>1544</v>
      </c>
    </row>
    <row r="81" spans="1:3" x14ac:dyDescent="0.25">
      <c r="A81" s="15" t="s">
        <v>561</v>
      </c>
      <c r="B81" s="15" t="s">
        <v>823</v>
      </c>
      <c r="C81" s="16" t="s">
        <v>1545</v>
      </c>
    </row>
    <row r="82" spans="1:3" x14ac:dyDescent="0.25">
      <c r="A82" s="15" t="s">
        <v>562</v>
      </c>
      <c r="B82" s="15" t="s">
        <v>824</v>
      </c>
      <c r="C82" s="15" t="s">
        <v>1546</v>
      </c>
    </row>
    <row r="83" spans="1:3" x14ac:dyDescent="0.25">
      <c r="A83" s="15" t="s">
        <v>563</v>
      </c>
      <c r="B83" s="15" t="s">
        <v>825</v>
      </c>
      <c r="C83" s="15" t="s">
        <v>1547</v>
      </c>
    </row>
    <row r="84" spans="1:3" x14ac:dyDescent="0.25">
      <c r="A84" s="15" t="s">
        <v>564</v>
      </c>
      <c r="B84" s="15" t="s">
        <v>826</v>
      </c>
      <c r="C84" s="15" t="s">
        <v>1548</v>
      </c>
    </row>
    <row r="85" spans="1:3" x14ac:dyDescent="0.25">
      <c r="A85" s="15" t="s">
        <v>565</v>
      </c>
      <c r="B85" s="15" t="s">
        <v>827</v>
      </c>
      <c r="C85" s="15" t="s">
        <v>1549</v>
      </c>
    </row>
    <row r="86" spans="1:3" x14ac:dyDescent="0.25">
      <c r="A86" s="15" t="s">
        <v>566</v>
      </c>
      <c r="B86" s="15" t="s">
        <v>828</v>
      </c>
      <c r="C86" s="15" t="s">
        <v>1550</v>
      </c>
    </row>
    <row r="87" spans="1:3" x14ac:dyDescent="0.25">
      <c r="A87" s="15" t="s">
        <v>567</v>
      </c>
      <c r="B87" s="15" t="s">
        <v>829</v>
      </c>
      <c r="C87" s="15" t="s">
        <v>1551</v>
      </c>
    </row>
    <row r="88" spans="1:3" x14ac:dyDescent="0.25">
      <c r="A88" s="15" t="s">
        <v>568</v>
      </c>
      <c r="B88" s="15" t="s">
        <v>830</v>
      </c>
      <c r="C88" s="15" t="s">
        <v>1552</v>
      </c>
    </row>
    <row r="89" spans="1:3" x14ac:dyDescent="0.25">
      <c r="A89" s="15" t="s">
        <v>569</v>
      </c>
      <c r="B89" s="15" t="s">
        <v>831</v>
      </c>
      <c r="C89" s="16" t="s">
        <v>1553</v>
      </c>
    </row>
    <row r="90" spans="1:3" x14ac:dyDescent="0.25">
      <c r="A90" s="15" t="s">
        <v>570</v>
      </c>
      <c r="B90" s="15" t="s">
        <v>832</v>
      </c>
      <c r="C90" s="15" t="s">
        <v>1554</v>
      </c>
    </row>
    <row r="91" spans="1:3" x14ac:dyDescent="0.25">
      <c r="A91" s="15" t="s">
        <v>571</v>
      </c>
      <c r="B91" s="15" t="s">
        <v>833</v>
      </c>
      <c r="C91" s="16" t="s">
        <v>1555</v>
      </c>
    </row>
    <row r="92" spans="1:3" x14ac:dyDescent="0.25">
      <c r="A92" s="15" t="s">
        <v>572</v>
      </c>
      <c r="B92" s="15" t="s">
        <v>834</v>
      </c>
      <c r="C92" s="15" t="s">
        <v>1556</v>
      </c>
    </row>
    <row r="93" spans="1:3" x14ac:dyDescent="0.25">
      <c r="A93" s="15" t="s">
        <v>573</v>
      </c>
      <c r="B93" s="15" t="s">
        <v>835</v>
      </c>
      <c r="C93" s="15" t="s">
        <v>1557</v>
      </c>
    </row>
    <row r="94" spans="1:3" x14ac:dyDescent="0.25">
      <c r="A94" s="15" t="s">
        <v>574</v>
      </c>
      <c r="B94" s="15" t="s">
        <v>836</v>
      </c>
      <c r="C94" s="15" t="s">
        <v>1558</v>
      </c>
    </row>
    <row r="95" spans="1:3" x14ac:dyDescent="0.25">
      <c r="A95" s="15" t="s">
        <v>575</v>
      </c>
      <c r="B95" s="15" t="s">
        <v>837</v>
      </c>
      <c r="C95" s="15" t="s">
        <v>1559</v>
      </c>
    </row>
    <row r="96" spans="1:3" x14ac:dyDescent="0.25">
      <c r="A96" s="15" t="s">
        <v>576</v>
      </c>
      <c r="B96" s="15" t="s">
        <v>838</v>
      </c>
      <c r="C96" s="16" t="s">
        <v>1560</v>
      </c>
    </row>
    <row r="97" spans="1:3" x14ac:dyDescent="0.25">
      <c r="A97" s="15" t="s">
        <v>577</v>
      </c>
      <c r="B97" s="15" t="s">
        <v>839</v>
      </c>
      <c r="C97" s="16" t="s">
        <v>1561</v>
      </c>
    </row>
    <row r="98" spans="1:3" x14ac:dyDescent="0.25">
      <c r="A98" s="15" t="s">
        <v>578</v>
      </c>
      <c r="B98" s="15" t="s">
        <v>840</v>
      </c>
      <c r="C98" s="15" t="s">
        <v>1562</v>
      </c>
    </row>
    <row r="99" spans="1:3" x14ac:dyDescent="0.25">
      <c r="A99" s="15" t="s">
        <v>579</v>
      </c>
      <c r="B99" s="15" t="s">
        <v>841</v>
      </c>
      <c r="C99" s="15" t="s">
        <v>1563</v>
      </c>
    </row>
    <row r="100" spans="1:3" x14ac:dyDescent="0.25">
      <c r="A100" s="15" t="s">
        <v>580</v>
      </c>
      <c r="B100" s="15" t="s">
        <v>842</v>
      </c>
      <c r="C100" s="15" t="s">
        <v>1564</v>
      </c>
    </row>
    <row r="101" spans="1:3" x14ac:dyDescent="0.25">
      <c r="A101" s="15" t="s">
        <v>581</v>
      </c>
      <c r="B101" s="15" t="s">
        <v>843</v>
      </c>
      <c r="C101" s="15" t="s">
        <v>1565</v>
      </c>
    </row>
    <row r="102" spans="1:3" x14ac:dyDescent="0.25">
      <c r="A102" s="15" t="s">
        <v>582</v>
      </c>
      <c r="B102" s="15" t="s">
        <v>452</v>
      </c>
      <c r="C102" s="15" t="s">
        <v>1566</v>
      </c>
    </row>
    <row r="103" spans="1:3" x14ac:dyDescent="0.25">
      <c r="A103" s="15" t="s">
        <v>583</v>
      </c>
      <c r="B103" s="15" t="s">
        <v>844</v>
      </c>
      <c r="C103" s="15" t="s">
        <v>1567</v>
      </c>
    </row>
    <row r="104" spans="1:3" x14ac:dyDescent="0.25">
      <c r="A104" s="15" t="s">
        <v>584</v>
      </c>
      <c r="B104" s="15" t="s">
        <v>845</v>
      </c>
      <c r="C104" s="15" t="s">
        <v>1568</v>
      </c>
    </row>
    <row r="105" spans="1:3" x14ac:dyDescent="0.25">
      <c r="A105" s="15" t="s">
        <v>585</v>
      </c>
      <c r="B105" s="15" t="s">
        <v>846</v>
      </c>
      <c r="C105" s="16" t="s">
        <v>1569</v>
      </c>
    </row>
    <row r="106" spans="1:3" x14ac:dyDescent="0.25">
      <c r="A106" s="15" t="s">
        <v>2</v>
      </c>
      <c r="B106" s="15" t="s">
        <v>847</v>
      </c>
      <c r="C106" s="15" t="s">
        <v>1570</v>
      </c>
    </row>
    <row r="107" spans="1:3" x14ac:dyDescent="0.25">
      <c r="A107" s="15" t="s">
        <v>586</v>
      </c>
      <c r="B107" s="15" t="s">
        <v>848</v>
      </c>
      <c r="C107" s="16" t="s">
        <v>1571</v>
      </c>
    </row>
    <row r="108" spans="1:3" x14ac:dyDescent="0.25">
      <c r="A108" s="15" t="s">
        <v>587</v>
      </c>
      <c r="B108" s="15" t="s">
        <v>849</v>
      </c>
      <c r="C108" s="15" t="s">
        <v>1572</v>
      </c>
    </row>
    <row r="109" spans="1:3" x14ac:dyDescent="0.25">
      <c r="A109" s="15" t="s">
        <v>714</v>
      </c>
      <c r="B109" s="15" t="s">
        <v>850</v>
      </c>
      <c r="C109" s="15" t="s">
        <v>1573</v>
      </c>
    </row>
    <row r="110" spans="1:3" x14ac:dyDescent="0.25">
      <c r="A110" s="15" t="s">
        <v>588</v>
      </c>
      <c r="B110" s="15" t="s">
        <v>851</v>
      </c>
      <c r="C110" s="15" t="s">
        <v>1574</v>
      </c>
    </row>
    <row r="111" spans="1:3" x14ac:dyDescent="0.25">
      <c r="A111" s="15" t="s">
        <v>11</v>
      </c>
      <c r="B111" s="15" t="s">
        <v>852</v>
      </c>
      <c r="C111" s="15" t="s">
        <v>1453</v>
      </c>
    </row>
    <row r="112" spans="1:3" x14ac:dyDescent="0.25">
      <c r="A112" s="15" t="s">
        <v>589</v>
      </c>
      <c r="B112" s="15" t="s">
        <v>853</v>
      </c>
      <c r="C112" s="15" t="s">
        <v>1575</v>
      </c>
    </row>
    <row r="113" spans="1:3" x14ac:dyDescent="0.25">
      <c r="A113" s="15" t="s">
        <v>590</v>
      </c>
      <c r="B113" s="15" t="s">
        <v>854</v>
      </c>
      <c r="C113" s="15" t="s">
        <v>1576</v>
      </c>
    </row>
    <row r="114" spans="1:3" x14ac:dyDescent="0.25">
      <c r="A114" s="15" t="s">
        <v>591</v>
      </c>
      <c r="B114" s="15" t="s">
        <v>855</v>
      </c>
      <c r="C114" s="15" t="s">
        <v>1577</v>
      </c>
    </row>
    <row r="115" spans="1:3" x14ac:dyDescent="0.25">
      <c r="A115" s="15" t="s">
        <v>592</v>
      </c>
      <c r="B115" s="15" t="s">
        <v>856</v>
      </c>
      <c r="C115" s="15" t="s">
        <v>1578</v>
      </c>
    </row>
    <row r="116" spans="1:3" x14ac:dyDescent="0.25">
      <c r="A116" s="15" t="s">
        <v>593</v>
      </c>
      <c r="B116" s="15" t="s">
        <v>857</v>
      </c>
      <c r="C116" s="15" t="s">
        <v>1579</v>
      </c>
    </row>
    <row r="117" spans="1:3" x14ac:dyDescent="0.25">
      <c r="A117" s="15" t="s">
        <v>594</v>
      </c>
      <c r="B117" s="15" t="s">
        <v>858</v>
      </c>
      <c r="C117" s="15" t="s">
        <v>1580</v>
      </c>
    </row>
    <row r="118" spans="1:3" x14ac:dyDescent="0.25">
      <c r="A118" s="15" t="s">
        <v>595</v>
      </c>
      <c r="B118" s="15" t="s">
        <v>859</v>
      </c>
      <c r="C118" s="15" t="s">
        <v>1581</v>
      </c>
    </row>
    <row r="119" spans="1:3" x14ac:dyDescent="0.25">
      <c r="A119" s="15" t="s">
        <v>596</v>
      </c>
      <c r="B119" s="15" t="s">
        <v>860</v>
      </c>
      <c r="C119" s="15" t="s">
        <v>1582</v>
      </c>
    </row>
    <row r="120" spans="1:3" x14ac:dyDescent="0.25">
      <c r="A120" s="15" t="s">
        <v>597</v>
      </c>
      <c r="B120" s="15" t="s">
        <v>861</v>
      </c>
      <c r="C120" s="15" t="s">
        <v>1583</v>
      </c>
    </row>
    <row r="121" spans="1:3" x14ac:dyDescent="0.25">
      <c r="A121" s="15" t="s">
        <v>598</v>
      </c>
      <c r="B121" s="15" t="s">
        <v>862</v>
      </c>
      <c r="C121" s="16" t="s">
        <v>1584</v>
      </c>
    </row>
    <row r="122" spans="1:3" x14ac:dyDescent="0.25">
      <c r="A122" s="15" t="s">
        <v>715</v>
      </c>
      <c r="B122" s="15" t="s">
        <v>863</v>
      </c>
      <c r="C122" s="16" t="s">
        <v>1585</v>
      </c>
    </row>
    <row r="123" spans="1:3" x14ac:dyDescent="0.25">
      <c r="A123" s="15" t="s">
        <v>721</v>
      </c>
      <c r="B123" s="15" t="s">
        <v>864</v>
      </c>
      <c r="C123" s="16" t="s">
        <v>1586</v>
      </c>
    </row>
    <row r="124" spans="1:3" x14ac:dyDescent="0.25">
      <c r="A124" s="15" t="s">
        <v>599</v>
      </c>
      <c r="B124" s="15" t="s">
        <v>865</v>
      </c>
      <c r="C124" s="15" t="s">
        <v>1587</v>
      </c>
    </row>
    <row r="125" spans="1:3" x14ac:dyDescent="0.25">
      <c r="A125" s="15" t="s">
        <v>600</v>
      </c>
      <c r="B125" s="15" t="s">
        <v>866</v>
      </c>
      <c r="C125" s="16" t="s">
        <v>1588</v>
      </c>
    </row>
    <row r="126" spans="1:3" x14ac:dyDescent="0.25">
      <c r="A126" s="15" t="s">
        <v>601</v>
      </c>
      <c r="B126" s="15" t="s">
        <v>867</v>
      </c>
      <c r="C126" s="15" t="s">
        <v>1589</v>
      </c>
    </row>
    <row r="127" spans="1:3" x14ac:dyDescent="0.25">
      <c r="A127" s="15" t="s">
        <v>738</v>
      </c>
      <c r="B127" s="15" t="s">
        <v>868</v>
      </c>
      <c r="C127" s="15" t="s">
        <v>1590</v>
      </c>
    </row>
    <row r="128" spans="1:3" x14ac:dyDescent="0.25">
      <c r="A128" s="15" t="s">
        <v>483</v>
      </c>
      <c r="B128" s="15" t="s">
        <v>869</v>
      </c>
      <c r="C128" s="15" t="s">
        <v>1591</v>
      </c>
    </row>
    <row r="129" spans="1:3" x14ac:dyDescent="0.25">
      <c r="A129" s="15" t="s">
        <v>602</v>
      </c>
      <c r="B129" s="15" t="s">
        <v>870</v>
      </c>
      <c r="C129" s="16" t="s">
        <v>1592</v>
      </c>
    </row>
    <row r="130" spans="1:3" x14ac:dyDescent="0.25">
      <c r="A130" s="15" t="s">
        <v>603</v>
      </c>
      <c r="B130" s="15" t="s">
        <v>871</v>
      </c>
      <c r="C130" s="15" t="s">
        <v>1593</v>
      </c>
    </row>
    <row r="131" spans="1:3" x14ac:dyDescent="0.25">
      <c r="A131" s="15" t="s">
        <v>604</v>
      </c>
      <c r="B131" s="15" t="s">
        <v>872</v>
      </c>
      <c r="C131" s="16" t="s">
        <v>1594</v>
      </c>
    </row>
    <row r="132" spans="1:3" x14ac:dyDescent="0.25">
      <c r="A132" s="15" t="s">
        <v>605</v>
      </c>
      <c r="B132" s="15" t="s">
        <v>873</v>
      </c>
      <c r="C132" s="15" t="s">
        <v>1595</v>
      </c>
    </row>
    <row r="133" spans="1:3" x14ac:dyDescent="0.25">
      <c r="A133" s="15" t="s">
        <v>606</v>
      </c>
      <c r="B133" s="15" t="s">
        <v>874</v>
      </c>
      <c r="C133" s="15" t="s">
        <v>1596</v>
      </c>
    </row>
    <row r="134" spans="1:3" x14ac:dyDescent="0.25">
      <c r="A134" s="15" t="s">
        <v>607</v>
      </c>
      <c r="B134" s="15" t="s">
        <v>875</v>
      </c>
      <c r="C134" s="15" t="s">
        <v>1597</v>
      </c>
    </row>
    <row r="135" spans="1:3" x14ac:dyDescent="0.25">
      <c r="A135" s="15" t="s">
        <v>608</v>
      </c>
      <c r="B135" s="15" t="s">
        <v>876</v>
      </c>
      <c r="C135" s="15" t="s">
        <v>1598</v>
      </c>
    </row>
    <row r="136" spans="1:3" x14ac:dyDescent="0.25">
      <c r="A136" s="15" t="s">
        <v>609</v>
      </c>
      <c r="B136" s="15" t="s">
        <v>877</v>
      </c>
      <c r="C136" s="15" t="s">
        <v>1599</v>
      </c>
    </row>
    <row r="137" spans="1:3" x14ac:dyDescent="0.25">
      <c r="A137" s="15" t="s">
        <v>610</v>
      </c>
      <c r="B137" s="15" t="s">
        <v>878</v>
      </c>
      <c r="C137" s="15" t="s">
        <v>1600</v>
      </c>
    </row>
    <row r="138" spans="1:3" x14ac:dyDescent="0.25">
      <c r="A138" s="15" t="s">
        <v>611</v>
      </c>
      <c r="B138" s="15" t="s">
        <v>879</v>
      </c>
      <c r="C138" s="15" t="s">
        <v>1601</v>
      </c>
    </row>
    <row r="139" spans="1:3" x14ac:dyDescent="0.25">
      <c r="A139" s="15" t="s">
        <v>612</v>
      </c>
      <c r="B139" s="15" t="s">
        <v>880</v>
      </c>
      <c r="C139" s="15" t="s">
        <v>1602</v>
      </c>
    </row>
    <row r="140" spans="1:3" x14ac:dyDescent="0.25">
      <c r="A140" s="15" t="s">
        <v>722</v>
      </c>
      <c r="B140" s="15" t="s">
        <v>881</v>
      </c>
      <c r="C140" s="15" t="s">
        <v>1603</v>
      </c>
    </row>
    <row r="141" spans="1:3" x14ac:dyDescent="0.25">
      <c r="A141" s="15" t="s">
        <v>613</v>
      </c>
      <c r="B141" s="15" t="s">
        <v>882</v>
      </c>
      <c r="C141" s="15" t="s">
        <v>1604</v>
      </c>
    </row>
    <row r="142" spans="1:3" x14ac:dyDescent="0.25">
      <c r="A142" s="15" t="s">
        <v>716</v>
      </c>
      <c r="B142" s="15" t="s">
        <v>883</v>
      </c>
      <c r="C142" s="16" t="s">
        <v>1605</v>
      </c>
    </row>
    <row r="143" spans="1:3" x14ac:dyDescent="0.25">
      <c r="A143" s="15" t="s">
        <v>614</v>
      </c>
      <c r="B143" s="15" t="s">
        <v>884</v>
      </c>
      <c r="C143" s="15" t="s">
        <v>1606</v>
      </c>
    </row>
    <row r="144" spans="1:3" x14ac:dyDescent="0.25">
      <c r="A144" s="15" t="s">
        <v>615</v>
      </c>
      <c r="B144" s="15" t="s">
        <v>885</v>
      </c>
      <c r="C144" s="16" t="s">
        <v>1607</v>
      </c>
    </row>
    <row r="145" spans="1:3" x14ac:dyDescent="0.25">
      <c r="A145" s="15" t="s">
        <v>616</v>
      </c>
      <c r="B145" s="15" t="s">
        <v>886</v>
      </c>
      <c r="C145" s="16" t="s">
        <v>1608</v>
      </c>
    </row>
    <row r="146" spans="1:3" x14ac:dyDescent="0.25">
      <c r="A146" s="15" t="s">
        <v>617</v>
      </c>
      <c r="B146" s="15" t="s">
        <v>887</v>
      </c>
      <c r="C146" s="15" t="s">
        <v>1609</v>
      </c>
    </row>
    <row r="147" spans="1:3" x14ac:dyDescent="0.25">
      <c r="A147" s="15" t="s">
        <v>618</v>
      </c>
      <c r="B147" s="15" t="s">
        <v>888</v>
      </c>
      <c r="C147" s="15" t="s">
        <v>1610</v>
      </c>
    </row>
    <row r="148" spans="1:3" x14ac:dyDescent="0.25">
      <c r="A148" s="15" t="s">
        <v>619</v>
      </c>
      <c r="B148" s="15" t="s">
        <v>889</v>
      </c>
      <c r="C148" s="15" t="s">
        <v>1611</v>
      </c>
    </row>
    <row r="149" spans="1:3" x14ac:dyDescent="0.25">
      <c r="A149" s="15" t="s">
        <v>620</v>
      </c>
      <c r="B149" s="15" t="s">
        <v>890</v>
      </c>
      <c r="C149" s="15" t="s">
        <v>1612</v>
      </c>
    </row>
    <row r="150" spans="1:3" x14ac:dyDescent="0.25">
      <c r="A150" s="15" t="s">
        <v>622</v>
      </c>
      <c r="B150" s="15" t="s">
        <v>891</v>
      </c>
      <c r="C150" s="16" t="s">
        <v>1613</v>
      </c>
    </row>
    <row r="151" spans="1:3" x14ac:dyDescent="0.25">
      <c r="A151" s="15" t="s">
        <v>623</v>
      </c>
      <c r="B151" s="15" t="s">
        <v>892</v>
      </c>
      <c r="C151" s="15" t="s">
        <v>1614</v>
      </c>
    </row>
    <row r="152" spans="1:3" x14ac:dyDescent="0.25">
      <c r="A152" s="15" t="s">
        <v>624</v>
      </c>
      <c r="B152" s="15" t="s">
        <v>893</v>
      </c>
      <c r="C152" s="15" t="s">
        <v>1615</v>
      </c>
    </row>
    <row r="153" spans="1:3" x14ac:dyDescent="0.25">
      <c r="A153" s="15" t="s">
        <v>625</v>
      </c>
      <c r="B153" s="15" t="s">
        <v>894</v>
      </c>
      <c r="C153" s="15" t="s">
        <v>1616</v>
      </c>
    </row>
    <row r="154" spans="1:3" x14ac:dyDescent="0.25">
      <c r="A154" s="15" t="s">
        <v>626</v>
      </c>
      <c r="B154" s="15" t="s">
        <v>895</v>
      </c>
      <c r="C154" s="15" t="s">
        <v>1617</v>
      </c>
    </row>
    <row r="155" spans="1:3" x14ac:dyDescent="0.25">
      <c r="A155" s="15" t="s">
        <v>627</v>
      </c>
      <c r="B155" s="15" t="s">
        <v>896</v>
      </c>
      <c r="C155" s="15" t="s">
        <v>1618</v>
      </c>
    </row>
    <row r="156" spans="1:3" x14ac:dyDescent="0.25">
      <c r="A156" s="15" t="s">
        <v>628</v>
      </c>
      <c r="B156" s="15" t="s">
        <v>897</v>
      </c>
      <c r="C156" s="15" t="s">
        <v>1619</v>
      </c>
    </row>
    <row r="157" spans="1:3" x14ac:dyDescent="0.25">
      <c r="A157" s="15" t="s">
        <v>629</v>
      </c>
      <c r="B157" s="15" t="s">
        <v>898</v>
      </c>
      <c r="C157" s="15" t="s">
        <v>1620</v>
      </c>
    </row>
    <row r="158" spans="1:3" x14ac:dyDescent="0.25">
      <c r="A158" s="15" t="s">
        <v>630</v>
      </c>
      <c r="B158" s="15" t="s">
        <v>899</v>
      </c>
      <c r="C158" s="15" t="s">
        <v>1621</v>
      </c>
    </row>
    <row r="159" spans="1:3" x14ac:dyDescent="0.25">
      <c r="A159" s="15" t="s">
        <v>631</v>
      </c>
      <c r="B159" s="15" t="s">
        <v>900</v>
      </c>
      <c r="C159" s="15" t="s">
        <v>1622</v>
      </c>
    </row>
    <row r="160" spans="1:3" x14ac:dyDescent="0.25">
      <c r="A160" s="15" t="s">
        <v>632</v>
      </c>
      <c r="B160" s="15" t="s">
        <v>901</v>
      </c>
      <c r="C160" s="15" t="s">
        <v>1623</v>
      </c>
    </row>
    <row r="161" spans="1:3" x14ac:dyDescent="0.25">
      <c r="A161" s="15" t="s">
        <v>633</v>
      </c>
      <c r="B161" s="15" t="s">
        <v>902</v>
      </c>
      <c r="C161" s="15" t="s">
        <v>1624</v>
      </c>
    </row>
    <row r="162" spans="1:3" x14ac:dyDescent="0.25">
      <c r="A162" s="15" t="s">
        <v>634</v>
      </c>
      <c r="B162" s="15" t="s">
        <v>903</v>
      </c>
      <c r="C162" s="16" t="s">
        <v>1625</v>
      </c>
    </row>
    <row r="163" spans="1:3" x14ac:dyDescent="0.25">
      <c r="A163" s="15" t="s">
        <v>635</v>
      </c>
      <c r="B163" s="15" t="s">
        <v>904</v>
      </c>
      <c r="C163" s="15" t="s">
        <v>1626</v>
      </c>
    </row>
    <row r="164" spans="1:3" x14ac:dyDescent="0.25">
      <c r="A164" s="15" t="s">
        <v>636</v>
      </c>
      <c r="B164" s="15" t="s">
        <v>905</v>
      </c>
      <c r="C164" s="16" t="s">
        <v>1627</v>
      </c>
    </row>
    <row r="165" spans="1:3" x14ac:dyDescent="0.25">
      <c r="A165" s="15" t="s">
        <v>637</v>
      </c>
      <c r="B165" s="15" t="s">
        <v>906</v>
      </c>
      <c r="C165" s="15" t="s">
        <v>1628</v>
      </c>
    </row>
    <row r="166" spans="1:3" x14ac:dyDescent="0.25">
      <c r="A166" s="15" t="s">
        <v>638</v>
      </c>
      <c r="B166" s="15" t="s">
        <v>907</v>
      </c>
      <c r="C166" s="15" t="s">
        <v>1629</v>
      </c>
    </row>
    <row r="167" spans="1:3" x14ac:dyDescent="0.25">
      <c r="A167" s="15" t="s">
        <v>723</v>
      </c>
      <c r="B167" s="15" t="s">
        <v>908</v>
      </c>
      <c r="C167" s="15" t="s">
        <v>1630</v>
      </c>
    </row>
    <row r="168" spans="1:3" x14ac:dyDescent="0.25">
      <c r="A168" s="15" t="s">
        <v>639</v>
      </c>
      <c r="B168" s="15" t="s">
        <v>909</v>
      </c>
      <c r="C168" s="15" t="s">
        <v>1631</v>
      </c>
    </row>
    <row r="169" spans="1:3" x14ac:dyDescent="0.25">
      <c r="A169" s="15" t="s">
        <v>640</v>
      </c>
      <c r="B169" s="15" t="s">
        <v>910</v>
      </c>
      <c r="C169" s="15" t="s">
        <v>1632</v>
      </c>
    </row>
    <row r="170" spans="1:3" x14ac:dyDescent="0.25">
      <c r="A170" s="15" t="s">
        <v>641</v>
      </c>
      <c r="B170" s="15" t="s">
        <v>911</v>
      </c>
      <c r="C170" s="15" t="s">
        <v>1633</v>
      </c>
    </row>
    <row r="171" spans="1:3" x14ac:dyDescent="0.25">
      <c r="A171" s="15" t="s">
        <v>642</v>
      </c>
      <c r="B171" s="15" t="s">
        <v>912</v>
      </c>
      <c r="C171" s="15" t="s">
        <v>1634</v>
      </c>
    </row>
    <row r="172" spans="1:3" x14ac:dyDescent="0.25">
      <c r="A172" s="15" t="s">
        <v>643</v>
      </c>
      <c r="B172" s="15" t="s">
        <v>913</v>
      </c>
      <c r="C172" s="16" t="s">
        <v>1635</v>
      </c>
    </row>
    <row r="173" spans="1:3" x14ac:dyDescent="0.25">
      <c r="A173" s="15" t="s">
        <v>644</v>
      </c>
      <c r="B173" s="15" t="s">
        <v>914</v>
      </c>
      <c r="C173" s="15" t="s">
        <v>1636</v>
      </c>
    </row>
    <row r="174" spans="1:3" x14ac:dyDescent="0.25">
      <c r="A174" s="15" t="s">
        <v>645</v>
      </c>
      <c r="B174" s="15" t="s">
        <v>915</v>
      </c>
      <c r="C174" s="15" t="s">
        <v>1637</v>
      </c>
    </row>
    <row r="175" spans="1:3" x14ac:dyDescent="0.25">
      <c r="A175" s="15" t="s">
        <v>646</v>
      </c>
      <c r="B175" s="15" t="s">
        <v>916</v>
      </c>
      <c r="C175" s="15" t="s">
        <v>1638</v>
      </c>
    </row>
    <row r="176" spans="1:3" x14ac:dyDescent="0.25">
      <c r="A176" s="15" t="s">
        <v>647</v>
      </c>
      <c r="B176" s="15" t="s">
        <v>917</v>
      </c>
      <c r="C176" s="16" t="s">
        <v>1639</v>
      </c>
    </row>
    <row r="177" spans="1:3" x14ac:dyDescent="0.25">
      <c r="A177" s="15" t="s">
        <v>648</v>
      </c>
      <c r="B177" s="15" t="s">
        <v>918</v>
      </c>
      <c r="C177" s="16" t="s">
        <v>1640</v>
      </c>
    </row>
    <row r="178" spans="1:3" x14ac:dyDescent="0.25">
      <c r="A178" s="15" t="s">
        <v>649</v>
      </c>
      <c r="B178" s="15" t="s">
        <v>919</v>
      </c>
      <c r="C178" s="15" t="s">
        <v>1641</v>
      </c>
    </row>
    <row r="179" spans="1:3" x14ac:dyDescent="0.25">
      <c r="A179" s="15" t="s">
        <v>650</v>
      </c>
      <c r="B179" s="15" t="s">
        <v>920</v>
      </c>
      <c r="C179" s="15" t="s">
        <v>1642</v>
      </c>
    </row>
    <row r="180" spans="1:3" x14ac:dyDescent="0.25">
      <c r="A180" s="15" t="s">
        <v>651</v>
      </c>
      <c r="B180" s="15" t="s">
        <v>921</v>
      </c>
      <c r="C180" s="15" t="s">
        <v>1456</v>
      </c>
    </row>
    <row r="181" spans="1:3" x14ac:dyDescent="0.25">
      <c r="A181" s="15" t="s">
        <v>652</v>
      </c>
      <c r="B181" s="15" t="s">
        <v>922</v>
      </c>
      <c r="C181" s="16" t="s">
        <v>1643</v>
      </c>
    </row>
    <row r="182" spans="1:3" x14ac:dyDescent="0.25">
      <c r="A182" s="15" t="s">
        <v>653</v>
      </c>
      <c r="B182" s="15" t="s">
        <v>923</v>
      </c>
      <c r="C182" s="15" t="s">
        <v>1644</v>
      </c>
    </row>
    <row r="183" spans="1:3" x14ac:dyDescent="0.25">
      <c r="A183" s="15" t="s">
        <v>654</v>
      </c>
      <c r="B183" s="15" t="s">
        <v>924</v>
      </c>
      <c r="C183" s="16" t="s">
        <v>1645</v>
      </c>
    </row>
    <row r="184" spans="1:3" x14ac:dyDescent="0.25">
      <c r="A184" s="15" t="s">
        <v>724</v>
      </c>
      <c r="B184" s="15" t="s">
        <v>925</v>
      </c>
      <c r="C184" s="15" t="s">
        <v>1646</v>
      </c>
    </row>
    <row r="185" spans="1:3" x14ac:dyDescent="0.25">
      <c r="A185" s="15" t="s">
        <v>655</v>
      </c>
      <c r="B185" s="15" t="s">
        <v>926</v>
      </c>
      <c r="C185" s="15" t="s">
        <v>1455</v>
      </c>
    </row>
    <row r="186" spans="1:3" x14ac:dyDescent="0.25">
      <c r="A186" s="15" t="s">
        <v>656</v>
      </c>
      <c r="B186" s="15" t="s">
        <v>927</v>
      </c>
      <c r="C186" s="15" t="s">
        <v>1647</v>
      </c>
    </row>
    <row r="187" spans="1:3" x14ac:dyDescent="0.25">
      <c r="A187" s="15" t="s">
        <v>657</v>
      </c>
      <c r="B187" s="15" t="s">
        <v>928</v>
      </c>
      <c r="C187" s="15" t="s">
        <v>1648</v>
      </c>
    </row>
    <row r="188" spans="1:3" x14ac:dyDescent="0.25">
      <c r="A188" s="15" t="s">
        <v>658</v>
      </c>
      <c r="B188" s="15" t="s">
        <v>929</v>
      </c>
      <c r="C188" s="15" t="s">
        <v>1649</v>
      </c>
    </row>
    <row r="189" spans="1:3" x14ac:dyDescent="0.25">
      <c r="A189" s="15" t="s">
        <v>659</v>
      </c>
      <c r="B189" s="15" t="s">
        <v>930</v>
      </c>
      <c r="C189" s="15" t="s">
        <v>1650</v>
      </c>
    </row>
    <row r="190" spans="1:3" x14ac:dyDescent="0.25">
      <c r="A190" s="15" t="s">
        <v>660</v>
      </c>
      <c r="B190" s="15" t="s">
        <v>931</v>
      </c>
      <c r="C190" s="15" t="s">
        <v>1651</v>
      </c>
    </row>
    <row r="191" spans="1:3" x14ac:dyDescent="0.25">
      <c r="A191" s="15" t="s">
        <v>661</v>
      </c>
      <c r="B191" s="15" t="s">
        <v>932</v>
      </c>
      <c r="C191" s="15" t="s">
        <v>1652</v>
      </c>
    </row>
    <row r="192" spans="1:3" x14ac:dyDescent="0.25">
      <c r="A192" s="15" t="s">
        <v>739</v>
      </c>
      <c r="B192" s="15" t="s">
        <v>933</v>
      </c>
      <c r="C192" s="15" t="s">
        <v>1653</v>
      </c>
    </row>
    <row r="193" spans="1:3" x14ac:dyDescent="0.25">
      <c r="A193" s="15" t="s">
        <v>482</v>
      </c>
      <c r="B193" s="15" t="s">
        <v>934</v>
      </c>
      <c r="C193" s="15" t="s">
        <v>1654</v>
      </c>
    </row>
    <row r="194" spans="1:3" x14ac:dyDescent="0.25">
      <c r="A194" s="15" t="s">
        <v>662</v>
      </c>
      <c r="B194" s="15" t="s">
        <v>935</v>
      </c>
      <c r="C194" s="16" t="s">
        <v>1655</v>
      </c>
    </row>
    <row r="195" spans="1:3" x14ac:dyDescent="0.25">
      <c r="A195" s="15" t="s">
        <v>663</v>
      </c>
      <c r="B195" s="15" t="s">
        <v>936</v>
      </c>
      <c r="C195" s="16" t="s">
        <v>1656</v>
      </c>
    </row>
    <row r="196" spans="1:3" x14ac:dyDescent="0.25">
      <c r="A196" s="15" t="s">
        <v>664</v>
      </c>
      <c r="B196" s="15" t="s">
        <v>937</v>
      </c>
      <c r="C196" s="15" t="s">
        <v>1657</v>
      </c>
    </row>
    <row r="197" spans="1:3" x14ac:dyDescent="0.25">
      <c r="A197" s="15" t="s">
        <v>665</v>
      </c>
      <c r="B197" s="15" t="s">
        <v>938</v>
      </c>
      <c r="C197" s="15" t="s">
        <v>1658</v>
      </c>
    </row>
    <row r="198" spans="1:3" x14ac:dyDescent="0.25">
      <c r="A198" s="15" t="s">
        <v>666</v>
      </c>
      <c r="B198" s="15" t="s">
        <v>939</v>
      </c>
      <c r="C198" s="15" t="s">
        <v>1659</v>
      </c>
    </row>
    <row r="199" spans="1:3" x14ac:dyDescent="0.25">
      <c r="A199" s="15" t="s">
        <v>667</v>
      </c>
      <c r="B199" s="15" t="s">
        <v>940</v>
      </c>
      <c r="C199" s="15" t="s">
        <v>1660</v>
      </c>
    </row>
    <row r="200" spans="1:3" x14ac:dyDescent="0.25">
      <c r="A200" s="15" t="s">
        <v>668</v>
      </c>
      <c r="B200" s="15" t="s">
        <v>941</v>
      </c>
      <c r="C200" s="16" t="s">
        <v>1661</v>
      </c>
    </row>
    <row r="201" spans="1:3" x14ac:dyDescent="0.25">
      <c r="A201" s="15" t="s">
        <v>669</v>
      </c>
      <c r="B201" s="15" t="s">
        <v>942</v>
      </c>
      <c r="C201" s="15" t="s">
        <v>1662</v>
      </c>
    </row>
    <row r="202" spans="1:3" x14ac:dyDescent="0.25">
      <c r="A202" s="15" t="s">
        <v>670</v>
      </c>
      <c r="B202" s="15" t="s">
        <v>943</v>
      </c>
      <c r="C202" s="16" t="s">
        <v>1663</v>
      </c>
    </row>
    <row r="203" spans="1:3" x14ac:dyDescent="0.25">
      <c r="A203" s="15" t="s">
        <v>671</v>
      </c>
      <c r="B203" s="15" t="s">
        <v>944</v>
      </c>
      <c r="C203" s="15" t="s">
        <v>1664</v>
      </c>
    </row>
    <row r="204" spans="1:3" x14ac:dyDescent="0.25">
      <c r="A204" s="15" t="s">
        <v>672</v>
      </c>
      <c r="B204" s="15" t="s">
        <v>945</v>
      </c>
      <c r="C204" s="16" t="s">
        <v>1665</v>
      </c>
    </row>
    <row r="205" spans="1:3" x14ac:dyDescent="0.25">
      <c r="A205" s="15" t="s">
        <v>673</v>
      </c>
      <c r="B205" s="15" t="s">
        <v>946</v>
      </c>
      <c r="C205" s="16" t="s">
        <v>1666</v>
      </c>
    </row>
    <row r="206" spans="1:3" x14ac:dyDescent="0.25">
      <c r="A206" s="15" t="s">
        <v>674</v>
      </c>
      <c r="B206" s="15" t="s">
        <v>947</v>
      </c>
      <c r="C206" s="15" t="s">
        <v>1667</v>
      </c>
    </row>
    <row r="207" spans="1:3" x14ac:dyDescent="0.25">
      <c r="A207" s="15" t="s">
        <v>675</v>
      </c>
      <c r="B207" s="15" t="s">
        <v>948</v>
      </c>
      <c r="C207" s="15" t="s">
        <v>1668</v>
      </c>
    </row>
    <row r="208" spans="1:3" x14ac:dyDescent="0.25">
      <c r="A208" s="15" t="s">
        <v>676</v>
      </c>
      <c r="B208" s="15" t="s">
        <v>949</v>
      </c>
      <c r="C208" s="15" t="s">
        <v>1669</v>
      </c>
    </row>
    <row r="209" spans="1:3" x14ac:dyDescent="0.25">
      <c r="A209" s="15" t="s">
        <v>677</v>
      </c>
      <c r="B209" s="15" t="s">
        <v>950</v>
      </c>
      <c r="C209" s="16" t="s">
        <v>1670</v>
      </c>
    </row>
    <row r="210" spans="1:3" x14ac:dyDescent="0.25">
      <c r="A210" s="15" t="s">
        <v>678</v>
      </c>
      <c r="B210" s="15" t="s">
        <v>951</v>
      </c>
      <c r="C210" s="16" t="s">
        <v>1671</v>
      </c>
    </row>
    <row r="211" spans="1:3" x14ac:dyDescent="0.25">
      <c r="A211" s="15" t="s">
        <v>679</v>
      </c>
      <c r="B211" s="15" t="s">
        <v>952</v>
      </c>
      <c r="C211" s="16" t="s">
        <v>1672</v>
      </c>
    </row>
    <row r="212" spans="1:3" x14ac:dyDescent="0.25">
      <c r="A212" s="15" t="s">
        <v>717</v>
      </c>
      <c r="B212" s="15" t="s">
        <v>953</v>
      </c>
      <c r="C212" s="16" t="s">
        <v>1673</v>
      </c>
    </row>
    <row r="213" spans="1:3" x14ac:dyDescent="0.25">
      <c r="A213" s="15" t="s">
        <v>740</v>
      </c>
      <c r="B213" s="15" t="s">
        <v>954</v>
      </c>
      <c r="C213" s="15" t="s">
        <v>1674</v>
      </c>
    </row>
    <row r="214" spans="1:3" x14ac:dyDescent="0.25">
      <c r="A214" s="15" t="s">
        <v>680</v>
      </c>
      <c r="B214" s="15" t="s">
        <v>955</v>
      </c>
      <c r="C214" s="15" t="s">
        <v>1675</v>
      </c>
    </row>
    <row r="215" spans="1:3" x14ac:dyDescent="0.25">
      <c r="A215" s="15" t="s">
        <v>741</v>
      </c>
      <c r="B215" s="15" t="s">
        <v>956</v>
      </c>
      <c r="C215" s="16" t="s">
        <v>1676</v>
      </c>
    </row>
    <row r="216" spans="1:3" x14ac:dyDescent="0.25">
      <c r="A216" s="15" t="s">
        <v>681</v>
      </c>
      <c r="B216" s="15" t="s">
        <v>957</v>
      </c>
      <c r="C216" s="15" t="s">
        <v>1677</v>
      </c>
    </row>
    <row r="217" spans="1:3" x14ac:dyDescent="0.25">
      <c r="A217" s="15" t="s">
        <v>682</v>
      </c>
      <c r="B217" s="15" t="s">
        <v>958</v>
      </c>
      <c r="C217" s="16" t="s">
        <v>1678</v>
      </c>
    </row>
    <row r="218" spans="1:3" x14ac:dyDescent="0.25">
      <c r="A218" s="15" t="s">
        <v>683</v>
      </c>
      <c r="B218" s="15" t="s">
        <v>959</v>
      </c>
      <c r="C218" s="15" t="s">
        <v>1679</v>
      </c>
    </row>
    <row r="219" spans="1:3" x14ac:dyDescent="0.25">
      <c r="A219" s="15" t="s">
        <v>684</v>
      </c>
      <c r="B219" s="15" t="s">
        <v>960</v>
      </c>
      <c r="C219" s="15" t="s">
        <v>1680</v>
      </c>
    </row>
    <row r="220" spans="1:3" x14ac:dyDescent="0.25">
      <c r="A220" s="15" t="s">
        <v>685</v>
      </c>
      <c r="B220" s="15" t="s">
        <v>961</v>
      </c>
      <c r="C220" s="15" t="s">
        <v>1681</v>
      </c>
    </row>
    <row r="221" spans="1:3" x14ac:dyDescent="0.25">
      <c r="A221" s="15" t="s">
        <v>686</v>
      </c>
      <c r="B221" s="15" t="s">
        <v>962</v>
      </c>
      <c r="C221" s="15" t="s">
        <v>1682</v>
      </c>
    </row>
    <row r="222" spans="1:3" x14ac:dyDescent="0.25">
      <c r="A222" s="15" t="s">
        <v>687</v>
      </c>
      <c r="B222" s="15" t="s">
        <v>963</v>
      </c>
      <c r="C222" s="15" t="s">
        <v>1683</v>
      </c>
    </row>
    <row r="223" spans="1:3" x14ac:dyDescent="0.25">
      <c r="A223" s="15" t="s">
        <v>688</v>
      </c>
      <c r="B223" s="15" t="s">
        <v>964</v>
      </c>
      <c r="C223" s="15" t="s">
        <v>1684</v>
      </c>
    </row>
    <row r="224" spans="1:3" x14ac:dyDescent="0.25">
      <c r="A224" s="15" t="s">
        <v>689</v>
      </c>
      <c r="B224" s="15" t="s">
        <v>965</v>
      </c>
      <c r="C224" s="15" t="s">
        <v>1685</v>
      </c>
    </row>
    <row r="225" spans="1:3" x14ac:dyDescent="0.25">
      <c r="A225" s="15" t="s">
        <v>690</v>
      </c>
      <c r="B225" s="15" t="s">
        <v>966</v>
      </c>
      <c r="C225" s="15" t="s">
        <v>1686</v>
      </c>
    </row>
    <row r="226" spans="1:3" x14ac:dyDescent="0.25">
      <c r="A226" s="15" t="s">
        <v>691</v>
      </c>
      <c r="B226" s="15" t="s">
        <v>967</v>
      </c>
      <c r="C226" s="15" t="s">
        <v>1687</v>
      </c>
    </row>
    <row r="227" spans="1:3" x14ac:dyDescent="0.25">
      <c r="A227" s="15" t="s">
        <v>692</v>
      </c>
      <c r="B227" s="15" t="s">
        <v>968</v>
      </c>
      <c r="C227" s="16" t="s">
        <v>1688</v>
      </c>
    </row>
    <row r="228" spans="1:3" x14ac:dyDescent="0.25">
      <c r="A228" s="15" t="s">
        <v>693</v>
      </c>
      <c r="B228" s="15" t="s">
        <v>969</v>
      </c>
      <c r="C228" s="15" t="s">
        <v>1689</v>
      </c>
    </row>
    <row r="229" spans="1:3" x14ac:dyDescent="0.25">
      <c r="A229" s="15" t="s">
        <v>725</v>
      </c>
      <c r="B229" s="15" t="s">
        <v>970</v>
      </c>
      <c r="C229" s="15" t="s">
        <v>1690</v>
      </c>
    </row>
    <row r="230" spans="1:3" x14ac:dyDescent="0.25">
      <c r="A230" s="15" t="s">
        <v>726</v>
      </c>
      <c r="B230" s="15" t="s">
        <v>971</v>
      </c>
      <c r="C230" s="15" t="s">
        <v>1691</v>
      </c>
    </row>
    <row r="231" spans="1:3" x14ac:dyDescent="0.25">
      <c r="A231" s="15" t="s">
        <v>694</v>
      </c>
      <c r="B231" s="15" t="s">
        <v>972</v>
      </c>
      <c r="C231" s="15" t="s">
        <v>1692</v>
      </c>
    </row>
    <row r="232" spans="1:3" x14ac:dyDescent="0.25">
      <c r="A232" s="15" t="s">
        <v>695</v>
      </c>
      <c r="B232" s="15" t="s">
        <v>973</v>
      </c>
      <c r="C232" s="15" t="s">
        <v>1693</v>
      </c>
    </row>
    <row r="233" spans="1:3" x14ac:dyDescent="0.25">
      <c r="A233" s="15" t="s">
        <v>696</v>
      </c>
      <c r="B233" s="15" t="s">
        <v>974</v>
      </c>
      <c r="C233" s="16" t="s">
        <v>1694</v>
      </c>
    </row>
    <row r="234" spans="1:3" x14ac:dyDescent="0.25">
      <c r="A234" s="15" t="s">
        <v>697</v>
      </c>
      <c r="B234" s="15" t="s">
        <v>975</v>
      </c>
      <c r="C234" s="16" t="s">
        <v>1695</v>
      </c>
    </row>
    <row r="235" spans="1:3" x14ac:dyDescent="0.25">
      <c r="A235" s="15" t="s">
        <v>698</v>
      </c>
      <c r="B235" s="15" t="s">
        <v>976</v>
      </c>
      <c r="C235" s="15" t="s">
        <v>1696</v>
      </c>
    </row>
    <row r="236" spans="1:3" x14ac:dyDescent="0.25">
      <c r="A236" s="15" t="s">
        <v>699</v>
      </c>
      <c r="B236" s="15" t="s">
        <v>977</v>
      </c>
      <c r="C236" s="15" t="s">
        <v>1697</v>
      </c>
    </row>
    <row r="237" spans="1:3" x14ac:dyDescent="0.25">
      <c r="A237" s="15" t="s">
        <v>742</v>
      </c>
      <c r="B237" s="15" t="s">
        <v>978</v>
      </c>
      <c r="C237" s="16" t="s">
        <v>978</v>
      </c>
    </row>
    <row r="238" spans="1:3" x14ac:dyDescent="0.25">
      <c r="A238" s="15" t="s">
        <v>700</v>
      </c>
      <c r="B238" s="15" t="s">
        <v>979</v>
      </c>
      <c r="C238" s="16" t="s">
        <v>1698</v>
      </c>
    </row>
    <row r="239" spans="1:3" x14ac:dyDescent="0.25">
      <c r="A239" s="15" t="s">
        <v>718</v>
      </c>
      <c r="B239" s="15" t="s">
        <v>980</v>
      </c>
      <c r="C239" s="15" t="s">
        <v>1699</v>
      </c>
    </row>
    <row r="240" spans="1:3" x14ac:dyDescent="0.25">
      <c r="A240" s="15" t="s">
        <v>719</v>
      </c>
      <c r="B240" s="15" t="s">
        <v>981</v>
      </c>
      <c r="C240" s="16" t="s">
        <v>1700</v>
      </c>
    </row>
    <row r="241" spans="1:3" x14ac:dyDescent="0.25">
      <c r="A241" s="15" t="s">
        <v>720</v>
      </c>
      <c r="B241" s="15" t="s">
        <v>982</v>
      </c>
      <c r="C241" s="16" t="s">
        <v>1701</v>
      </c>
    </row>
    <row r="242" spans="1:3" x14ac:dyDescent="0.25">
      <c r="A242" s="15" t="s">
        <v>743</v>
      </c>
      <c r="B242" s="15" t="s">
        <v>983</v>
      </c>
      <c r="C242" s="15" t="s">
        <v>1702</v>
      </c>
    </row>
    <row r="243" spans="1:3" x14ac:dyDescent="0.25">
      <c r="A243" s="15" t="s">
        <v>701</v>
      </c>
      <c r="B243" s="15" t="s">
        <v>984</v>
      </c>
      <c r="C243" s="15" t="s">
        <v>1703</v>
      </c>
    </row>
    <row r="244" spans="1:3" x14ac:dyDescent="0.25">
      <c r="A244" s="15" t="s">
        <v>702</v>
      </c>
      <c r="B244" s="15" t="s">
        <v>985</v>
      </c>
      <c r="C244" s="16" t="s">
        <v>1704</v>
      </c>
    </row>
    <row r="245" spans="1:3" x14ac:dyDescent="0.25">
      <c r="A245" s="15" t="s">
        <v>703</v>
      </c>
      <c r="B245" s="15" t="s">
        <v>986</v>
      </c>
      <c r="C245" s="15" t="s">
        <v>1705</v>
      </c>
    </row>
    <row r="246" spans="1:3" x14ac:dyDescent="0.25">
      <c r="A246" s="15" t="s">
        <v>704</v>
      </c>
      <c r="B246" s="15" t="s">
        <v>987</v>
      </c>
      <c r="C246" s="15" t="s">
        <v>1706</v>
      </c>
    </row>
    <row r="247" spans="1:3" x14ac:dyDescent="0.25">
      <c r="A247" s="15" t="s">
        <v>705</v>
      </c>
      <c r="B247" s="15" t="s">
        <v>988</v>
      </c>
      <c r="C247" s="15" t="s">
        <v>1707</v>
      </c>
    </row>
    <row r="248" spans="1:3" x14ac:dyDescent="0.25">
      <c r="A248" s="15" t="s">
        <v>706</v>
      </c>
      <c r="B248" s="15" t="s">
        <v>989</v>
      </c>
      <c r="C248" s="16" t="s">
        <v>1708</v>
      </c>
    </row>
    <row r="249" spans="1:3" x14ac:dyDescent="0.25">
      <c r="A249" s="15" t="s">
        <v>707</v>
      </c>
      <c r="B249" s="15" t="s">
        <v>990</v>
      </c>
      <c r="C249" s="15" t="s">
        <v>1709</v>
      </c>
    </row>
    <row r="250" spans="1:3" x14ac:dyDescent="0.25">
      <c r="A250" s="15" t="s">
        <v>708</v>
      </c>
      <c r="B250" s="15" t="s">
        <v>991</v>
      </c>
      <c r="C250" s="15" t="s">
        <v>1710</v>
      </c>
    </row>
  </sheetData>
  <autoFilter ref="A1:C250" xr:uid="{64B53212-52F5-4A7D-9FB7-1079DAE6F64C}"/>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8D5823-F486-49BF-A605-B1946548406F}">
  <sheetPr codeName="Sheet1"/>
  <dimension ref="A1:I66"/>
  <sheetViews>
    <sheetView topLeftCell="A5" zoomScaleNormal="100" workbookViewId="0">
      <selection activeCell="A11" sqref="A11"/>
    </sheetView>
  </sheetViews>
  <sheetFormatPr defaultRowHeight="12.75" x14ac:dyDescent="0.25"/>
  <cols>
    <col min="1" max="1" width="7" style="5" bestFit="1" customWidth="1"/>
    <col min="2" max="2" width="16.42578125" style="12" bestFit="1" customWidth="1"/>
    <col min="3" max="3" width="40.28515625" style="5" bestFit="1" customWidth="1"/>
    <col min="4" max="4" width="77.140625" style="13" customWidth="1"/>
    <col min="5" max="5" width="19.85546875" style="13" bestFit="1" customWidth="1"/>
    <col min="6" max="6" width="19.85546875" style="13" customWidth="1"/>
    <col min="7" max="8" width="11" style="5" customWidth="1"/>
    <col min="9" max="16384" width="9.140625" style="5"/>
  </cols>
  <sheetData>
    <row r="1" spans="1:9" s="2" customFormat="1" x14ac:dyDescent="0.25">
      <c r="A1" s="2" t="s">
        <v>174</v>
      </c>
      <c r="B1" s="3" t="s">
        <v>163</v>
      </c>
      <c r="C1" s="2" t="s">
        <v>164</v>
      </c>
      <c r="D1" s="4" t="s">
        <v>166</v>
      </c>
      <c r="E1" s="4" t="s">
        <v>173</v>
      </c>
      <c r="F1" s="4"/>
      <c r="G1" s="2" t="s">
        <v>158</v>
      </c>
      <c r="I1" s="2" t="s">
        <v>159</v>
      </c>
    </row>
    <row r="2" spans="1:9" ht="63.75" x14ac:dyDescent="0.25">
      <c r="A2" s="5" t="s">
        <v>167</v>
      </c>
      <c r="B2" s="6" t="s">
        <v>0</v>
      </c>
      <c r="C2" s="9" t="s">
        <v>1</v>
      </c>
      <c r="D2" s="8" t="s">
        <v>90</v>
      </c>
      <c r="E2" s="8"/>
      <c r="F2" s="8"/>
    </row>
    <row r="3" spans="1:9" ht="38.25" x14ac:dyDescent="0.25">
      <c r="A3" s="5" t="s">
        <v>168</v>
      </c>
      <c r="B3" s="10"/>
      <c r="C3" s="9" t="s">
        <v>2</v>
      </c>
      <c r="D3" s="8" t="s">
        <v>92</v>
      </c>
      <c r="E3" s="8"/>
      <c r="F3" s="8"/>
    </row>
    <row r="4" spans="1:9" ht="51" x14ac:dyDescent="0.25">
      <c r="B4" s="6">
        <v>81</v>
      </c>
      <c r="C4" s="9" t="s">
        <v>3</v>
      </c>
      <c r="D4" s="8" t="s">
        <v>93</v>
      </c>
      <c r="E4" s="8"/>
      <c r="F4" s="8"/>
    </row>
    <row r="5" spans="1:9" ht="63.75" x14ac:dyDescent="0.25">
      <c r="B5" s="6">
        <v>231</v>
      </c>
      <c r="C5" s="7" t="s">
        <v>5</v>
      </c>
      <c r="D5" s="8" t="s">
        <v>169</v>
      </c>
      <c r="E5" s="8"/>
      <c r="F5" s="8"/>
      <c r="G5" s="5" t="s">
        <v>94</v>
      </c>
    </row>
    <row r="6" spans="1:9" ht="63.75" x14ac:dyDescent="0.25">
      <c r="B6" s="6" t="s">
        <v>6</v>
      </c>
      <c r="C6" s="7" t="s">
        <v>7</v>
      </c>
      <c r="D6" s="8" t="s">
        <v>96</v>
      </c>
      <c r="E6" s="8"/>
      <c r="F6" s="8"/>
      <c r="G6" s="5" t="s">
        <v>97</v>
      </c>
    </row>
    <row r="7" spans="1:9" ht="76.5" x14ac:dyDescent="0.25">
      <c r="B7" s="6" t="s">
        <v>9</v>
      </c>
      <c r="C7" s="9" t="s">
        <v>10</v>
      </c>
      <c r="D7" s="8" t="s">
        <v>170</v>
      </c>
      <c r="E7" s="8"/>
      <c r="F7" s="8"/>
    </row>
    <row r="8" spans="1:9" ht="102" x14ac:dyDescent="0.25">
      <c r="A8" s="5" t="s">
        <v>167</v>
      </c>
      <c r="B8" s="6" t="s">
        <v>9</v>
      </c>
      <c r="C8" s="9" t="s">
        <v>11</v>
      </c>
      <c r="D8" s="8" t="s">
        <v>171</v>
      </c>
      <c r="E8" s="8"/>
      <c r="F8" s="8"/>
    </row>
    <row r="9" spans="1:9" ht="89.25" x14ac:dyDescent="0.25">
      <c r="B9" s="6">
        <v>305</v>
      </c>
      <c r="C9" s="9" t="s">
        <v>12</v>
      </c>
      <c r="D9" s="8" t="s">
        <v>172</v>
      </c>
      <c r="E9" s="8"/>
      <c r="F9" s="8"/>
      <c r="G9" s="5" t="s">
        <v>98</v>
      </c>
    </row>
    <row r="10" spans="1:9" ht="89.25" x14ac:dyDescent="0.25">
      <c r="B10" s="6">
        <v>325</v>
      </c>
      <c r="C10" s="7" t="s">
        <v>13</v>
      </c>
      <c r="D10" s="8" t="s">
        <v>99</v>
      </c>
      <c r="E10" s="8"/>
      <c r="F10" s="8"/>
      <c r="G10" s="5" t="s">
        <v>100</v>
      </c>
    </row>
    <row r="11" spans="1:9" ht="51" x14ac:dyDescent="0.25">
      <c r="B11" s="6">
        <v>335</v>
      </c>
      <c r="C11" s="9" t="s">
        <v>4</v>
      </c>
      <c r="D11" s="8" t="s">
        <v>1404</v>
      </c>
      <c r="E11" s="8"/>
      <c r="F11" s="8"/>
      <c r="G11" s="5" t="s">
        <v>101</v>
      </c>
    </row>
    <row r="12" spans="1:9" ht="114.75" x14ac:dyDescent="0.25">
      <c r="B12" s="6" t="s">
        <v>14</v>
      </c>
      <c r="C12" s="11" t="s">
        <v>15</v>
      </c>
      <c r="D12" s="8" t="s">
        <v>102</v>
      </c>
      <c r="E12" s="8"/>
      <c r="F12" s="8"/>
    </row>
    <row r="13" spans="1:9" ht="102" x14ac:dyDescent="0.25">
      <c r="B13" s="6">
        <v>363</v>
      </c>
      <c r="C13" s="7" t="s">
        <v>16</v>
      </c>
      <c r="D13" s="8" t="s">
        <v>104</v>
      </c>
      <c r="E13" s="8"/>
      <c r="F13" s="8"/>
      <c r="G13" s="5" t="s">
        <v>105</v>
      </c>
    </row>
    <row r="14" spans="1:9" ht="76.5" x14ac:dyDescent="0.25">
      <c r="B14" s="6">
        <v>371</v>
      </c>
      <c r="C14" s="7" t="s">
        <v>17</v>
      </c>
      <c r="D14" s="8" t="s">
        <v>106</v>
      </c>
      <c r="E14" s="8"/>
      <c r="F14" s="8"/>
      <c r="G14" s="5" t="s">
        <v>107</v>
      </c>
    </row>
    <row r="15" spans="1:9" ht="38.25" x14ac:dyDescent="0.25">
      <c r="B15" s="6">
        <v>380</v>
      </c>
      <c r="C15" s="7" t="s">
        <v>18</v>
      </c>
      <c r="D15" s="8" t="s">
        <v>108</v>
      </c>
      <c r="E15" s="8"/>
      <c r="F15" s="8"/>
      <c r="G15" s="5" t="s">
        <v>109</v>
      </c>
    </row>
    <row r="16" spans="1:9" ht="114.75" x14ac:dyDescent="0.25">
      <c r="B16" s="6" t="s">
        <v>19</v>
      </c>
      <c r="C16" s="11" t="s">
        <v>20</v>
      </c>
      <c r="D16" s="8" t="s">
        <v>110</v>
      </c>
      <c r="E16" s="8"/>
      <c r="F16" s="8"/>
    </row>
    <row r="17" spans="2:7" ht="178.5" x14ac:dyDescent="0.25">
      <c r="B17" s="6">
        <v>420</v>
      </c>
      <c r="C17" s="9" t="s">
        <v>21</v>
      </c>
      <c r="D17" s="8" t="s">
        <v>111</v>
      </c>
      <c r="E17" s="8"/>
      <c r="F17" s="8"/>
    </row>
    <row r="18" spans="2:7" ht="89.25" x14ac:dyDescent="0.25">
      <c r="B18" s="6">
        <v>431</v>
      </c>
      <c r="C18" s="9" t="s">
        <v>22</v>
      </c>
      <c r="D18" s="8" t="s">
        <v>112</v>
      </c>
      <c r="E18" s="8"/>
      <c r="F18" s="8"/>
      <c r="G18" s="5" t="s">
        <v>113</v>
      </c>
    </row>
    <row r="19" spans="2:7" ht="102" x14ac:dyDescent="0.25">
      <c r="B19" s="6" t="s">
        <v>23</v>
      </c>
      <c r="C19" s="11" t="s">
        <v>24</v>
      </c>
      <c r="D19" s="8" t="s">
        <v>114</v>
      </c>
      <c r="E19" s="8"/>
      <c r="F19" s="8"/>
      <c r="G19" s="5" t="s">
        <v>115</v>
      </c>
    </row>
    <row r="20" spans="2:7" ht="191.25" x14ac:dyDescent="0.25">
      <c r="B20" s="6">
        <v>455</v>
      </c>
      <c r="C20" s="9" t="s">
        <v>20</v>
      </c>
      <c r="D20" s="8" t="s">
        <v>116</v>
      </c>
      <c r="E20" s="8"/>
      <c r="F20" s="8"/>
      <c r="G20" s="5" t="s">
        <v>86</v>
      </c>
    </row>
    <row r="21" spans="2:7" x14ac:dyDescent="0.25">
      <c r="B21" s="6" t="s">
        <v>25</v>
      </c>
      <c r="C21" s="8" t="s">
        <v>74</v>
      </c>
      <c r="D21" s="8" t="s">
        <v>74</v>
      </c>
      <c r="E21" s="8"/>
      <c r="F21" s="8"/>
    </row>
    <row r="22" spans="2:7" x14ac:dyDescent="0.25">
      <c r="B22" s="6">
        <v>492</v>
      </c>
      <c r="C22" s="9" t="s">
        <v>26</v>
      </c>
      <c r="D22" s="8" t="s">
        <v>75</v>
      </c>
      <c r="E22" s="8"/>
      <c r="F22" s="8"/>
    </row>
    <row r="23" spans="2:7" ht="76.5" x14ac:dyDescent="0.25">
      <c r="B23" s="6" t="s">
        <v>27</v>
      </c>
      <c r="C23" s="9" t="s">
        <v>28</v>
      </c>
      <c r="D23" s="8" t="s">
        <v>117</v>
      </c>
      <c r="E23" s="8"/>
      <c r="F23" s="8"/>
    </row>
    <row r="24" spans="2:7" x14ac:dyDescent="0.25">
      <c r="B24" s="6">
        <v>526</v>
      </c>
      <c r="C24" s="9" t="s">
        <v>8</v>
      </c>
      <c r="D24" s="8" t="s">
        <v>76</v>
      </c>
      <c r="E24" s="8"/>
      <c r="F24" s="8"/>
    </row>
    <row r="25" spans="2:7" x14ac:dyDescent="0.25">
      <c r="B25" s="6">
        <v>530</v>
      </c>
      <c r="C25" s="8" t="s">
        <v>77</v>
      </c>
      <c r="D25" s="8" t="s">
        <v>77</v>
      </c>
      <c r="E25" s="8"/>
      <c r="F25" s="8"/>
    </row>
    <row r="26" spans="2:7" x14ac:dyDescent="0.25">
      <c r="B26" s="6">
        <v>535</v>
      </c>
      <c r="C26" s="8" t="s">
        <v>78</v>
      </c>
      <c r="D26" s="8" t="s">
        <v>78</v>
      </c>
      <c r="E26" s="8"/>
      <c r="F26" s="8"/>
    </row>
    <row r="27" spans="2:7" ht="165.75" x14ac:dyDescent="0.25">
      <c r="B27" s="6">
        <v>538</v>
      </c>
      <c r="C27" s="9" t="s">
        <v>29</v>
      </c>
      <c r="D27" s="8" t="s">
        <v>118</v>
      </c>
      <c r="E27" s="8"/>
      <c r="F27" s="8"/>
    </row>
    <row r="28" spans="2:7" x14ac:dyDescent="0.25">
      <c r="B28" s="6" t="s">
        <v>30</v>
      </c>
      <c r="C28" s="8" t="s">
        <v>79</v>
      </c>
      <c r="D28" s="8" t="s">
        <v>79</v>
      </c>
      <c r="E28" s="8"/>
      <c r="F28" s="8"/>
    </row>
    <row r="29" spans="2:7" ht="25.5" x14ac:dyDescent="0.25">
      <c r="B29" s="6" t="s">
        <v>30</v>
      </c>
      <c r="C29" s="8" t="s">
        <v>80</v>
      </c>
      <c r="D29" s="8" t="s">
        <v>80</v>
      </c>
      <c r="E29" s="8"/>
      <c r="F29" s="8"/>
    </row>
    <row r="30" spans="2:7" ht="216" customHeight="1" x14ac:dyDescent="0.25">
      <c r="B30" s="6" t="s">
        <v>30</v>
      </c>
      <c r="C30" s="9" t="s">
        <v>31</v>
      </c>
      <c r="D30" s="8" t="s">
        <v>119</v>
      </c>
      <c r="E30" s="8"/>
      <c r="F30" s="8"/>
      <c r="G30" s="5" t="s">
        <v>120</v>
      </c>
    </row>
    <row r="31" spans="2:7" ht="38.25" x14ac:dyDescent="0.25">
      <c r="B31" s="6">
        <v>552</v>
      </c>
      <c r="C31" s="9" t="s">
        <v>20</v>
      </c>
      <c r="D31" s="8" t="s">
        <v>32</v>
      </c>
      <c r="E31" s="8"/>
      <c r="F31" s="8"/>
      <c r="G31" s="5" t="s">
        <v>86</v>
      </c>
    </row>
    <row r="32" spans="2:7" x14ac:dyDescent="0.25">
      <c r="B32" s="6">
        <v>552</v>
      </c>
      <c r="C32" s="9" t="s">
        <v>33</v>
      </c>
      <c r="D32" s="8" t="s">
        <v>81</v>
      </c>
      <c r="E32" s="8"/>
      <c r="F32" s="8"/>
    </row>
    <row r="33" spans="2:7" ht="76.5" x14ac:dyDescent="0.25">
      <c r="B33" s="6">
        <v>560</v>
      </c>
      <c r="C33" s="7" t="s">
        <v>34</v>
      </c>
      <c r="D33" s="8" t="s">
        <v>121</v>
      </c>
      <c r="E33" s="8"/>
      <c r="F33" s="8"/>
      <c r="G33" s="5" t="s">
        <v>122</v>
      </c>
    </row>
    <row r="34" spans="2:7" ht="89.25" x14ac:dyDescent="0.25">
      <c r="B34" s="6" t="s">
        <v>35</v>
      </c>
      <c r="C34" s="9" t="s">
        <v>36</v>
      </c>
      <c r="D34" s="8" t="s">
        <v>37</v>
      </c>
      <c r="E34" s="8"/>
      <c r="F34" s="8"/>
      <c r="G34" s="5" t="s">
        <v>87</v>
      </c>
    </row>
    <row r="35" spans="2:7" ht="76.5" x14ac:dyDescent="0.25">
      <c r="B35" s="6" t="s">
        <v>38</v>
      </c>
      <c r="C35" s="9" t="s">
        <v>39</v>
      </c>
      <c r="D35" s="8" t="s">
        <v>40</v>
      </c>
      <c r="E35" s="8"/>
      <c r="F35" s="8"/>
      <c r="G35" s="5" t="s">
        <v>123</v>
      </c>
    </row>
    <row r="36" spans="2:7" ht="409.5" x14ac:dyDescent="0.25">
      <c r="B36" s="6" t="s">
        <v>38</v>
      </c>
      <c r="C36" s="9" t="s">
        <v>20</v>
      </c>
      <c r="D36" s="8" t="s">
        <v>124</v>
      </c>
      <c r="E36" s="8"/>
      <c r="F36" s="8"/>
    </row>
    <row r="37" spans="2:7" x14ac:dyDescent="0.25">
      <c r="B37" s="6">
        <v>626</v>
      </c>
      <c r="C37" s="9" t="s">
        <v>41</v>
      </c>
      <c r="D37" s="8" t="s">
        <v>82</v>
      </c>
      <c r="E37" s="8"/>
      <c r="F37" s="8"/>
    </row>
    <row r="38" spans="2:7" ht="153" x14ac:dyDescent="0.25">
      <c r="B38" s="6">
        <v>636</v>
      </c>
      <c r="C38" s="9" t="s">
        <v>42</v>
      </c>
      <c r="D38" s="8" t="s">
        <v>126</v>
      </c>
      <c r="E38" s="8"/>
      <c r="F38" s="8"/>
      <c r="G38" s="5" t="s">
        <v>125</v>
      </c>
    </row>
    <row r="39" spans="2:7" x14ac:dyDescent="0.25">
      <c r="B39" s="6">
        <v>658</v>
      </c>
      <c r="C39" s="8" t="s">
        <v>83</v>
      </c>
      <c r="D39" s="8" t="s">
        <v>83</v>
      </c>
      <c r="E39" s="8"/>
      <c r="F39" s="8"/>
    </row>
    <row r="40" spans="2:7" ht="102" x14ac:dyDescent="0.25">
      <c r="B40" s="6">
        <v>660</v>
      </c>
      <c r="C40" s="11" t="s">
        <v>43</v>
      </c>
      <c r="D40" s="8" t="s">
        <v>127</v>
      </c>
      <c r="E40" s="8"/>
      <c r="F40" s="8"/>
    </row>
    <row r="41" spans="2:7" ht="102" x14ac:dyDescent="0.25">
      <c r="B41" s="6" t="s">
        <v>44</v>
      </c>
      <c r="C41" s="7" t="s">
        <v>45</v>
      </c>
      <c r="D41" s="8" t="s">
        <v>129</v>
      </c>
      <c r="E41" s="8"/>
      <c r="F41" s="8"/>
      <c r="G41" s="5" t="s">
        <v>128</v>
      </c>
    </row>
    <row r="42" spans="2:7" ht="51" x14ac:dyDescent="0.25">
      <c r="B42" s="6">
        <v>663</v>
      </c>
      <c r="C42" s="7" t="s">
        <v>46</v>
      </c>
      <c r="D42" s="8" t="s">
        <v>130</v>
      </c>
      <c r="E42" s="8"/>
      <c r="F42" s="8"/>
      <c r="G42" s="5" t="s">
        <v>131</v>
      </c>
    </row>
    <row r="43" spans="2:7" ht="357" x14ac:dyDescent="0.25">
      <c r="B43" s="6" t="s">
        <v>160</v>
      </c>
      <c r="C43" s="9" t="s">
        <v>47</v>
      </c>
      <c r="D43" s="8" t="s">
        <v>132</v>
      </c>
      <c r="E43" s="8"/>
      <c r="F43" s="8"/>
    </row>
    <row r="44" spans="2:7" ht="89.25" x14ac:dyDescent="0.25">
      <c r="B44" s="6" t="s">
        <v>48</v>
      </c>
      <c r="C44" s="9" t="s">
        <v>49</v>
      </c>
      <c r="D44" s="8" t="s">
        <v>134</v>
      </c>
      <c r="E44" s="8"/>
      <c r="F44" s="8"/>
      <c r="G44" s="5" t="s">
        <v>133</v>
      </c>
    </row>
    <row r="45" spans="2:7" ht="140.25" x14ac:dyDescent="0.25">
      <c r="B45" s="6" t="s">
        <v>161</v>
      </c>
      <c r="C45" s="9" t="s">
        <v>50</v>
      </c>
      <c r="D45" s="8" t="s">
        <v>135</v>
      </c>
      <c r="E45" s="8"/>
      <c r="F45" s="8"/>
    </row>
    <row r="46" spans="2:7" ht="127.5" x14ac:dyDescent="0.25">
      <c r="B46" s="6">
        <v>714</v>
      </c>
      <c r="C46" s="9" t="s">
        <v>20</v>
      </c>
      <c r="D46" s="8" t="s">
        <v>136</v>
      </c>
      <c r="E46" s="8"/>
      <c r="F46" s="8"/>
      <c r="G46" s="5" t="s">
        <v>86</v>
      </c>
    </row>
    <row r="47" spans="2:7" ht="114.75" x14ac:dyDescent="0.25">
      <c r="B47" s="6">
        <v>715</v>
      </c>
      <c r="C47" s="9" t="s">
        <v>51</v>
      </c>
      <c r="D47" s="8" t="s">
        <v>137</v>
      </c>
      <c r="E47" s="8"/>
      <c r="F47" s="8"/>
      <c r="G47" s="5" t="s">
        <v>88</v>
      </c>
    </row>
    <row r="48" spans="2:7" ht="63.75" x14ac:dyDescent="0.25">
      <c r="B48" s="6">
        <v>720</v>
      </c>
      <c r="C48" s="9" t="s">
        <v>52</v>
      </c>
      <c r="D48" s="8" t="s">
        <v>138</v>
      </c>
      <c r="E48" s="8"/>
      <c r="F48" s="8"/>
    </row>
    <row r="49" spans="2:8" ht="127.5" x14ac:dyDescent="0.25">
      <c r="B49" s="6">
        <v>727</v>
      </c>
      <c r="C49" s="11" t="s">
        <v>53</v>
      </c>
      <c r="D49" s="8" t="s">
        <v>139</v>
      </c>
      <c r="E49" s="8"/>
      <c r="F49" s="8"/>
    </row>
    <row r="50" spans="2:8" ht="63.75" x14ac:dyDescent="0.25">
      <c r="B50" s="6">
        <v>731</v>
      </c>
      <c r="C50" s="9" t="s">
        <v>54</v>
      </c>
      <c r="D50" s="8" t="s">
        <v>140</v>
      </c>
      <c r="E50" s="8"/>
      <c r="F50" s="8"/>
    </row>
    <row r="51" spans="2:8" ht="102" x14ac:dyDescent="0.25">
      <c r="B51" s="6">
        <v>754</v>
      </c>
      <c r="C51" s="9" t="s">
        <v>55</v>
      </c>
      <c r="D51" s="8" t="s">
        <v>141</v>
      </c>
      <c r="E51" s="8"/>
      <c r="F51" s="8"/>
    </row>
    <row r="52" spans="2:8" ht="191.25" x14ac:dyDescent="0.25">
      <c r="B52" s="6">
        <v>766</v>
      </c>
      <c r="C52" s="9" t="s">
        <v>56</v>
      </c>
      <c r="D52" s="8" t="s">
        <v>142</v>
      </c>
      <c r="E52" s="8"/>
      <c r="F52" s="8"/>
    </row>
    <row r="53" spans="2:8" ht="165.75" x14ac:dyDescent="0.25">
      <c r="B53" s="6" t="s">
        <v>57</v>
      </c>
      <c r="C53" s="9" t="s">
        <v>58</v>
      </c>
      <c r="D53" s="8" t="s">
        <v>143</v>
      </c>
      <c r="E53" s="8"/>
      <c r="F53" s="8"/>
    </row>
    <row r="54" spans="2:8" ht="153" x14ac:dyDescent="0.25">
      <c r="B54" s="6" t="s">
        <v>59</v>
      </c>
      <c r="C54" s="9" t="s">
        <v>60</v>
      </c>
      <c r="D54" s="8" t="s">
        <v>144</v>
      </c>
      <c r="E54" s="8"/>
      <c r="F54" s="8"/>
    </row>
    <row r="55" spans="2:8" ht="76.5" x14ac:dyDescent="0.25">
      <c r="B55" s="6">
        <v>836</v>
      </c>
      <c r="C55" s="9" t="s">
        <v>61</v>
      </c>
      <c r="D55" s="8" t="s">
        <v>145</v>
      </c>
      <c r="E55" s="8"/>
      <c r="F55" s="8"/>
    </row>
    <row r="56" spans="2:8" x14ac:dyDescent="0.25">
      <c r="B56" s="6">
        <v>840</v>
      </c>
      <c r="C56" s="9" t="s">
        <v>17</v>
      </c>
      <c r="D56" s="8" t="s">
        <v>84</v>
      </c>
      <c r="E56" s="8"/>
      <c r="F56" s="8"/>
    </row>
    <row r="57" spans="2:8" ht="114.75" x14ac:dyDescent="0.25">
      <c r="B57" s="6" t="s">
        <v>62</v>
      </c>
      <c r="C57" s="9" t="s">
        <v>63</v>
      </c>
      <c r="D57" s="8" t="s">
        <v>147</v>
      </c>
      <c r="E57" s="8"/>
      <c r="F57" s="8"/>
      <c r="G57" s="5" t="s">
        <v>146</v>
      </c>
    </row>
    <row r="58" spans="2:8" x14ac:dyDescent="0.25">
      <c r="B58" s="6">
        <v>930</v>
      </c>
      <c r="C58" s="9" t="s">
        <v>64</v>
      </c>
      <c r="D58" s="8" t="s">
        <v>85</v>
      </c>
      <c r="E58" s="8"/>
      <c r="F58" s="8"/>
    </row>
    <row r="59" spans="2:8" ht="409.5" x14ac:dyDescent="0.25">
      <c r="B59" s="6" t="s">
        <v>65</v>
      </c>
      <c r="C59" s="9" t="s">
        <v>66</v>
      </c>
      <c r="D59" s="8" t="s">
        <v>148</v>
      </c>
      <c r="E59" s="8"/>
      <c r="F59" s="8"/>
      <c r="G59" s="7" t="s">
        <v>89</v>
      </c>
      <c r="H59" s="7"/>
    </row>
    <row r="60" spans="2:8" ht="242.25" x14ac:dyDescent="0.25">
      <c r="B60" s="6" t="s">
        <v>67</v>
      </c>
      <c r="C60" s="9" t="s">
        <v>162</v>
      </c>
      <c r="D60" s="8" t="s">
        <v>149</v>
      </c>
      <c r="E60" s="8"/>
      <c r="F60" s="8"/>
    </row>
    <row r="61" spans="2:8" ht="140.25" x14ac:dyDescent="0.25">
      <c r="B61" s="6">
        <v>959</v>
      </c>
      <c r="C61" s="9" t="s">
        <v>68</v>
      </c>
      <c r="D61" s="8" t="s">
        <v>151</v>
      </c>
      <c r="E61" s="8"/>
      <c r="F61" s="8"/>
      <c r="G61" s="5" t="s">
        <v>150</v>
      </c>
    </row>
    <row r="62" spans="2:8" ht="229.5" x14ac:dyDescent="0.25">
      <c r="B62" s="6">
        <v>963</v>
      </c>
      <c r="C62" s="9" t="s">
        <v>69</v>
      </c>
      <c r="D62" s="8" t="s">
        <v>152</v>
      </c>
      <c r="E62" s="8"/>
      <c r="F62" s="8"/>
    </row>
    <row r="63" spans="2:8" ht="51" x14ac:dyDescent="0.25">
      <c r="B63" s="6">
        <v>965</v>
      </c>
      <c r="C63" s="9" t="s">
        <v>70</v>
      </c>
      <c r="D63" s="8" t="s">
        <v>153</v>
      </c>
      <c r="E63" s="8"/>
      <c r="F63" s="8"/>
    </row>
    <row r="64" spans="2:8" ht="63.75" x14ac:dyDescent="0.25">
      <c r="B64" s="6">
        <v>970</v>
      </c>
      <c r="C64" s="9" t="s">
        <v>71</v>
      </c>
      <c r="D64" s="8" t="s">
        <v>155</v>
      </c>
      <c r="E64" s="8"/>
      <c r="F64" s="8"/>
      <c r="G64" s="5" t="s">
        <v>154</v>
      </c>
    </row>
    <row r="65" spans="2:6" ht="76.5" x14ac:dyDescent="0.25">
      <c r="B65" s="6">
        <v>980</v>
      </c>
      <c r="C65" s="9" t="s">
        <v>72</v>
      </c>
      <c r="D65" s="8" t="s">
        <v>156</v>
      </c>
      <c r="E65" s="8"/>
      <c r="F65" s="8"/>
    </row>
    <row r="66" spans="2:6" ht="76.5" x14ac:dyDescent="0.25">
      <c r="B66" s="10"/>
      <c r="C66" s="9" t="s">
        <v>73</v>
      </c>
      <c r="D66" s="8" t="s">
        <v>157</v>
      </c>
      <c r="E66" s="8"/>
      <c r="F66" s="8"/>
    </row>
  </sheetData>
  <autoFilter ref="B1:G66" xr:uid="{BF8D5823-F486-49BF-A605-B1946548406F}"/>
  <hyperlinks>
    <hyperlink ref="C5" r:id="rId1" display="https://www.miraclehunter.com/marian_apparitions/approved_apparitions/neocaesarea/index.html" xr:uid="{E631A424-6B0B-41C0-A70C-AF182AF9166E}"/>
    <hyperlink ref="C6" r:id="rId2" display="https://www.miraclehunter.com/marian_apparitions/approved_apparitions/lenola/index.html" xr:uid="{8FFAE014-978A-4C4D-892C-1C26A56844A0}"/>
    <hyperlink ref="C10" r:id="rId3" display="https://www.miraclehunter.com/marian_apparitions/approved_apparitions/myra/index.html" xr:uid="{DBCC7C48-5C61-4C02-95A6-B8E751D8668F}"/>
    <hyperlink ref="C13" r:id="rId4" display="https://www.miraclehunter.com/marian_apparitions/approved_apparitions/caesarea/index.html" xr:uid="{4900009C-F6E8-4619-8026-47AE07F8A54E}"/>
    <hyperlink ref="C14" r:id="rId5" display="https://www.miraclehunter.com/marian_apparitions/approved_apparitions/tours/index.html" xr:uid="{D9697B1B-3D3F-4BB2-B8AB-505C5804AD1F}"/>
    <hyperlink ref="C15" r:id="rId6" display="https://www.miraclehunter.com/marian_apparitions/approved_apparitions/tagaste/index.html" xr:uid="{F751076E-614E-4EB1-84FF-7BDD0E163487}"/>
    <hyperlink ref="C33" r:id="rId7" display="https://www.miraclehunter.com/marian_apparitions/approved_apparitions/genoa/index.html" xr:uid="{A5B46782-A0AE-4FCC-B9A6-1C55A75AEFDF}"/>
    <hyperlink ref="C41" r:id="rId8" display="https://www.miraclehunter.com/marian_apparitions/approved_apparitions/toledo/index.html" xr:uid="{15971DC5-D02E-4346-8F04-B829B3CF9CC7}"/>
    <hyperlink ref="C42" r:id="rId9" display="https://www.miraclehunter.com/marian_apparitions/approved_apparitions/benevento/index.html" xr:uid="{8E814CAE-2F33-4C03-B053-0339AEAB74F0}"/>
    <hyperlink ref="G59" r:id="rId10" xr:uid="{95547131-84D7-4392-A921-5C8142C00772}"/>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38A5E8-E436-4289-AF0B-1BD0BA68A638}">
  <sheetPr codeName="Sheet7"/>
  <dimension ref="A1:F154"/>
  <sheetViews>
    <sheetView workbookViewId="0">
      <selection activeCell="B18" sqref="B18"/>
    </sheetView>
  </sheetViews>
  <sheetFormatPr defaultRowHeight="12.75" x14ac:dyDescent="0.2"/>
  <cols>
    <col min="1" max="1" width="62.85546875" style="1" bestFit="1" customWidth="1"/>
    <col min="2" max="2" width="11.85546875" style="1" bestFit="1" customWidth="1"/>
    <col min="3" max="3" width="9.7109375" style="1" bestFit="1" customWidth="1"/>
    <col min="4" max="4" width="46.42578125" style="1" bestFit="1" customWidth="1"/>
    <col min="5" max="5" width="33.28515625" style="1" bestFit="1" customWidth="1"/>
    <col min="6" max="16384" width="9.140625" style="1"/>
  </cols>
  <sheetData>
    <row r="1" spans="1:6" s="20" customFormat="1" x14ac:dyDescent="0.2">
      <c r="A1" s="20" t="s">
        <v>178</v>
      </c>
      <c r="B1" s="20" t="s">
        <v>485</v>
      </c>
      <c r="C1" s="20" t="s">
        <v>163</v>
      </c>
    </row>
    <row r="2" spans="1:6" x14ac:dyDescent="0.2">
      <c r="A2" s="1" t="s">
        <v>1039</v>
      </c>
      <c r="B2" s="1" t="s">
        <v>552</v>
      </c>
      <c r="C2" s="1">
        <v>40</v>
      </c>
      <c r="D2" s="1" t="e">
        <f>MID(A2,FIND(". ",A2)+2,LEN(A2))</f>
        <v>#VALUE!</v>
      </c>
      <c r="E2" s="1" t="e">
        <v>#VALUE!</v>
      </c>
    </row>
    <row r="3" spans="1:6" x14ac:dyDescent="0.2">
      <c r="A3" s="1" t="str">
        <f>E3</f>
        <v>Le Puy En Velay</v>
      </c>
      <c r="B3" s="1" t="str">
        <f>F3</f>
        <v>France</v>
      </c>
      <c r="C3" s="1">
        <v>47</v>
      </c>
      <c r="D3" s="1" t="e">
        <f t="shared" ref="D3:D66" si="0">MID(A3,FIND(". ",A3)+2,LEN(A3))</f>
        <v>#VALUE!</v>
      </c>
      <c r="E3" s="1" t="s">
        <v>1184</v>
      </c>
      <c r="F3" s="1" t="s">
        <v>557</v>
      </c>
    </row>
    <row r="4" spans="1:6" x14ac:dyDescent="0.2">
      <c r="A4" s="1" t="s">
        <v>1313</v>
      </c>
      <c r="B4" s="1" t="s">
        <v>732</v>
      </c>
      <c r="C4" s="1">
        <v>352</v>
      </c>
      <c r="D4" s="1" t="e">
        <f t="shared" si="0"/>
        <v>#VALUE!</v>
      </c>
      <c r="E4" s="1" t="e">
        <v>#VALUE!</v>
      </c>
    </row>
    <row r="5" spans="1:6" x14ac:dyDescent="0.2">
      <c r="A5" s="1" t="str">
        <f t="shared" ref="A5:A59" si="1">E5</f>
        <v>Tindari</v>
      </c>
      <c r="B5" s="1" t="str">
        <f t="shared" ref="B5:B17" si="2">F5</f>
        <v>Italy</v>
      </c>
      <c r="C5" s="1" t="s">
        <v>1065</v>
      </c>
      <c r="D5" s="1" t="e">
        <f t="shared" si="0"/>
        <v>#VALUE!</v>
      </c>
      <c r="E5" s="1" t="s">
        <v>1185</v>
      </c>
      <c r="F5" s="1" t="s">
        <v>11</v>
      </c>
    </row>
    <row r="6" spans="1:6" x14ac:dyDescent="0.2">
      <c r="A6" s="1" t="str">
        <f t="shared" si="1"/>
        <v>Montserrat</v>
      </c>
      <c r="B6" s="1" t="str">
        <f t="shared" si="2"/>
        <v>Spain</v>
      </c>
      <c r="C6" s="1" t="s">
        <v>1066</v>
      </c>
      <c r="D6" s="1" t="e">
        <f t="shared" si="0"/>
        <v>#VALUE!</v>
      </c>
      <c r="E6" s="1" t="s">
        <v>625</v>
      </c>
      <c r="F6" s="1" t="s">
        <v>552</v>
      </c>
    </row>
    <row r="7" spans="1:6" x14ac:dyDescent="0.2">
      <c r="A7" s="1" t="str">
        <f t="shared" si="1"/>
        <v>Walsingham</v>
      </c>
      <c r="B7" s="1" t="str">
        <f t="shared" si="2"/>
        <v>United Kingdom</v>
      </c>
      <c r="C7" s="1" t="s">
        <v>1067</v>
      </c>
      <c r="D7" s="1" t="e">
        <f t="shared" si="0"/>
        <v>#VALUE!</v>
      </c>
      <c r="E7" s="1" t="s">
        <v>1186</v>
      </c>
      <c r="F7" s="1" t="s">
        <v>737</v>
      </c>
    </row>
    <row r="8" spans="1:6" x14ac:dyDescent="0.2">
      <c r="A8" s="1" t="str">
        <f t="shared" si="1"/>
        <v>Montefortino</v>
      </c>
      <c r="B8" s="1" t="str">
        <f t="shared" si="2"/>
        <v>Italy</v>
      </c>
      <c r="C8" s="1" t="s">
        <v>1068</v>
      </c>
      <c r="D8" s="1" t="e">
        <f t="shared" si="0"/>
        <v>#VALUE!</v>
      </c>
      <c r="E8" s="1" t="s">
        <v>1187</v>
      </c>
      <c r="F8" s="1" t="s">
        <v>11</v>
      </c>
    </row>
    <row r="9" spans="1:6" x14ac:dyDescent="0.2">
      <c r="A9" s="1" t="str">
        <f t="shared" si="1"/>
        <v>Foggia</v>
      </c>
      <c r="B9" s="1" t="str">
        <f t="shared" si="2"/>
        <v>Italy</v>
      </c>
      <c r="C9" s="1" t="s">
        <v>1069</v>
      </c>
      <c r="D9" s="1" t="e">
        <f t="shared" si="0"/>
        <v>#VALUE!</v>
      </c>
      <c r="E9" s="1" t="s">
        <v>1188</v>
      </c>
      <c r="F9" s="1" t="s">
        <v>11</v>
      </c>
    </row>
    <row r="10" spans="1:6" x14ac:dyDescent="0.2">
      <c r="A10" s="1" t="str">
        <f t="shared" si="1"/>
        <v>Arras</v>
      </c>
      <c r="B10" s="1" t="str">
        <f t="shared" si="2"/>
        <v>France</v>
      </c>
      <c r="C10" s="1" t="s">
        <v>1070</v>
      </c>
      <c r="D10" s="1" t="e">
        <f t="shared" si="0"/>
        <v>#VALUE!</v>
      </c>
      <c r="E10" s="1" t="s">
        <v>1189</v>
      </c>
      <c r="F10" s="1" t="s">
        <v>557</v>
      </c>
    </row>
    <row r="11" spans="1:6" x14ac:dyDescent="0.2">
      <c r="A11" s="1" t="str">
        <f t="shared" si="1"/>
        <v>Nazaré</v>
      </c>
      <c r="B11" s="1" t="str">
        <f t="shared" si="2"/>
        <v>Portugal</v>
      </c>
      <c r="C11" s="1" t="s">
        <v>1071</v>
      </c>
      <c r="D11" s="1" t="e">
        <f t="shared" si="0"/>
        <v>#VALUE!</v>
      </c>
      <c r="E11" s="1" t="s">
        <v>1190</v>
      </c>
      <c r="F11" s="1" t="s">
        <v>655</v>
      </c>
    </row>
    <row r="12" spans="1:6" x14ac:dyDescent="0.2">
      <c r="A12" s="1" t="str">
        <f t="shared" si="1"/>
        <v>Swieta Lipka</v>
      </c>
      <c r="B12" s="1" t="str">
        <f t="shared" si="2"/>
        <v>Poland</v>
      </c>
      <c r="C12" s="1" t="s">
        <v>1072</v>
      </c>
      <c r="D12" s="1" t="e">
        <f t="shared" si="0"/>
        <v>#VALUE!</v>
      </c>
      <c r="E12" s="1" t="s">
        <v>1191</v>
      </c>
      <c r="F12" s="1" t="s">
        <v>651</v>
      </c>
    </row>
    <row r="13" spans="1:6" x14ac:dyDescent="0.2">
      <c r="A13" s="1" t="str">
        <f t="shared" si="1"/>
        <v>Assisi</v>
      </c>
      <c r="B13" s="1" t="str">
        <f t="shared" si="2"/>
        <v>Italy</v>
      </c>
      <c r="C13" s="1" t="s">
        <v>1073</v>
      </c>
      <c r="D13" s="1" t="e">
        <f t="shared" si="0"/>
        <v>#VALUE!</v>
      </c>
      <c r="E13" s="1" t="s">
        <v>1192</v>
      </c>
      <c r="F13" s="1" t="s">
        <v>11</v>
      </c>
    </row>
    <row r="14" spans="1:6" x14ac:dyDescent="0.2">
      <c r="A14" s="1" t="str">
        <f t="shared" si="1"/>
        <v>Arcos de Valdevez</v>
      </c>
      <c r="B14" s="1" t="str">
        <f t="shared" si="2"/>
        <v>Portugal</v>
      </c>
      <c r="C14" s="1" t="s">
        <v>1074</v>
      </c>
      <c r="D14" s="1" t="e">
        <f t="shared" si="0"/>
        <v>#VALUE!</v>
      </c>
      <c r="E14" s="1" t="s">
        <v>1193</v>
      </c>
      <c r="F14" s="1" t="s">
        <v>655</v>
      </c>
    </row>
    <row r="15" spans="1:6" x14ac:dyDescent="0.2">
      <c r="A15" s="1" t="str">
        <f t="shared" si="1"/>
        <v>Cortes</v>
      </c>
      <c r="B15" s="1" t="str">
        <f t="shared" si="2"/>
        <v>Spain</v>
      </c>
      <c r="C15" s="1" t="s">
        <v>1075</v>
      </c>
      <c r="D15" s="1" t="e">
        <f t="shared" si="0"/>
        <v>#VALUE!</v>
      </c>
      <c r="E15" s="1" t="s">
        <v>1194</v>
      </c>
      <c r="F15" s="1" t="s">
        <v>552</v>
      </c>
    </row>
    <row r="16" spans="1:6" x14ac:dyDescent="0.2">
      <c r="A16" s="1" t="str">
        <f t="shared" si="1"/>
        <v>Florence</v>
      </c>
      <c r="B16" s="1" t="str">
        <f t="shared" si="2"/>
        <v>Italy</v>
      </c>
      <c r="C16" s="1" t="s">
        <v>1076</v>
      </c>
      <c r="D16" s="1" t="e">
        <f t="shared" si="0"/>
        <v>#VALUE!</v>
      </c>
      <c r="E16" s="1" t="s">
        <v>1195</v>
      </c>
      <c r="F16" s="1" t="s">
        <v>11</v>
      </c>
    </row>
    <row r="17" spans="1:6" x14ac:dyDescent="0.2">
      <c r="A17" s="1" t="str">
        <f t="shared" si="1"/>
        <v>Aylesford</v>
      </c>
      <c r="B17" s="1" t="str">
        <f t="shared" si="2"/>
        <v>United Kingdom</v>
      </c>
      <c r="C17" s="1" t="s">
        <v>1077</v>
      </c>
      <c r="D17" s="1" t="e">
        <f t="shared" si="0"/>
        <v>#VALUE!</v>
      </c>
      <c r="E17" s="1" t="s">
        <v>1196</v>
      </c>
      <c r="F17" s="1" t="s">
        <v>737</v>
      </c>
    </row>
    <row r="18" spans="1:6" x14ac:dyDescent="0.2">
      <c r="A18" s="1" t="str">
        <f t="shared" si="1"/>
        <v>Rome (Santa Maria in Via)</v>
      </c>
      <c r="B18" s="1" t="s">
        <v>732</v>
      </c>
      <c r="C18" s="1" t="s">
        <v>1078</v>
      </c>
      <c r="D18" s="1" t="e">
        <f t="shared" si="0"/>
        <v>#VALUE!</v>
      </c>
      <c r="E18" s="1" t="s">
        <v>1312</v>
      </c>
      <c r="F18" s="1" t="s">
        <v>11</v>
      </c>
    </row>
    <row r="19" spans="1:6" x14ac:dyDescent="0.2">
      <c r="A19" s="1" t="str">
        <f t="shared" si="1"/>
        <v>The Holy House of Nazareth at Loreto </v>
      </c>
      <c r="B19" s="1" t="str">
        <f t="shared" ref="B19:B59" si="3">F19</f>
        <v>Italy</v>
      </c>
      <c r="C19" s="1" t="s">
        <v>1079</v>
      </c>
      <c r="D19" s="1" t="e">
        <f t="shared" si="0"/>
        <v>#VALUE!</v>
      </c>
      <c r="E19" s="1" t="s">
        <v>1197</v>
      </c>
      <c r="F19" s="1" t="s">
        <v>11</v>
      </c>
    </row>
    <row r="20" spans="1:6" x14ac:dyDescent="0.2">
      <c r="A20" s="1" t="str">
        <f t="shared" si="1"/>
        <v>Bra</v>
      </c>
      <c r="B20" s="1" t="str">
        <f t="shared" si="3"/>
        <v>Italy</v>
      </c>
      <c r="C20" s="1" t="s">
        <v>1080</v>
      </c>
      <c r="D20" s="1" t="e">
        <f t="shared" si="0"/>
        <v>#VALUE!</v>
      </c>
      <c r="E20" s="1" t="s">
        <v>1198</v>
      </c>
      <c r="F20" s="1" t="s">
        <v>11</v>
      </c>
    </row>
    <row r="21" spans="1:6" x14ac:dyDescent="0.2">
      <c r="A21" s="1" t="str">
        <f t="shared" si="1"/>
        <v>Roverano</v>
      </c>
      <c r="B21" s="1" t="str">
        <f t="shared" si="3"/>
        <v>Italy</v>
      </c>
      <c r="C21" s="1" t="s">
        <v>1081</v>
      </c>
      <c r="D21" s="1" t="e">
        <f t="shared" si="0"/>
        <v>#VALUE!</v>
      </c>
      <c r="E21" s="1" t="s">
        <v>1199</v>
      </c>
      <c r="F21" s="1" t="s">
        <v>11</v>
      </c>
    </row>
    <row r="22" spans="1:6" x14ac:dyDescent="0.2">
      <c r="A22" s="1" t="str">
        <f t="shared" si="1"/>
        <v>Valverdo Di Rezzato</v>
      </c>
      <c r="B22" s="1" t="str">
        <f t="shared" si="3"/>
        <v>Italy</v>
      </c>
      <c r="C22" s="1" t="s">
        <v>1315</v>
      </c>
      <c r="D22" s="1" t="e">
        <f t="shared" si="0"/>
        <v>#VALUE!</v>
      </c>
      <c r="E22" s="1" t="s">
        <v>1200</v>
      </c>
      <c r="F22" s="1" t="s">
        <v>11</v>
      </c>
    </row>
    <row r="23" spans="1:6" x14ac:dyDescent="0.2">
      <c r="A23" s="1" t="str">
        <f t="shared" si="1"/>
        <v>Castel Godego</v>
      </c>
      <c r="B23" s="1" t="str">
        <f t="shared" si="3"/>
        <v>Italy</v>
      </c>
      <c r="C23" s="1" t="s">
        <v>1082</v>
      </c>
      <c r="D23" s="1" t="e">
        <f t="shared" si="0"/>
        <v>#VALUE!</v>
      </c>
      <c r="E23" s="1" t="s">
        <v>1201</v>
      </c>
      <c r="F23" s="1" t="s">
        <v>11</v>
      </c>
    </row>
    <row r="24" spans="1:6" x14ac:dyDescent="0.2">
      <c r="A24" s="1" t="str">
        <f t="shared" si="1"/>
        <v>Cordoba</v>
      </c>
      <c r="B24" s="1" t="str">
        <f t="shared" si="3"/>
        <v>Spain</v>
      </c>
      <c r="C24" s="1" t="s">
        <v>1082</v>
      </c>
      <c r="D24" s="1" t="e">
        <f t="shared" si="0"/>
        <v>#VALUE!</v>
      </c>
      <c r="E24" s="1" t="s">
        <v>1202</v>
      </c>
      <c r="F24" s="1" t="s">
        <v>552</v>
      </c>
    </row>
    <row r="25" spans="1:6" x14ac:dyDescent="0.2">
      <c r="A25" s="1" t="str">
        <f t="shared" si="1"/>
        <v>Monte Berico</v>
      </c>
      <c r="B25" s="1" t="str">
        <f t="shared" si="3"/>
        <v>Italy</v>
      </c>
      <c r="C25" s="1" t="s">
        <v>1083</v>
      </c>
      <c r="D25" s="1" t="e">
        <f t="shared" si="0"/>
        <v>#VALUE!</v>
      </c>
      <c r="E25" s="1" t="s">
        <v>1203</v>
      </c>
      <c r="F25" s="1" t="s">
        <v>11</v>
      </c>
    </row>
    <row r="26" spans="1:6" x14ac:dyDescent="0.2">
      <c r="A26" s="1" t="str">
        <f t="shared" si="1"/>
        <v>Caravaggio</v>
      </c>
      <c r="B26" s="1" t="str">
        <f t="shared" si="3"/>
        <v>Italy</v>
      </c>
      <c r="C26" s="1" t="s">
        <v>1084</v>
      </c>
      <c r="D26" s="1" t="e">
        <f t="shared" si="0"/>
        <v>#VALUE!</v>
      </c>
      <c r="E26" s="1" t="s">
        <v>1204</v>
      </c>
      <c r="F26" s="1" t="s">
        <v>11</v>
      </c>
    </row>
    <row r="27" spans="1:6" x14ac:dyDescent="0.2">
      <c r="A27" s="1" t="str">
        <f t="shared" si="1"/>
        <v>Desenzano Di Albino</v>
      </c>
      <c r="B27" s="1" t="str">
        <f t="shared" si="3"/>
        <v>Italy</v>
      </c>
      <c r="C27" s="1" t="s">
        <v>1085</v>
      </c>
      <c r="D27" s="1" t="e">
        <f t="shared" si="0"/>
        <v>#VALUE!</v>
      </c>
      <c r="E27" s="1" t="s">
        <v>1205</v>
      </c>
      <c r="F27" s="1" t="s">
        <v>11</v>
      </c>
    </row>
    <row r="28" spans="1:6" x14ac:dyDescent="0.2">
      <c r="A28" s="1" t="str">
        <f t="shared" si="1"/>
        <v>Fuerteventura</v>
      </c>
      <c r="B28" s="1" t="str">
        <f t="shared" si="3"/>
        <v>Spain</v>
      </c>
      <c r="C28" s="1" t="s">
        <v>1086</v>
      </c>
      <c r="D28" s="1" t="e">
        <f t="shared" si="0"/>
        <v>#VALUE!</v>
      </c>
      <c r="E28" s="1" t="s">
        <v>1206</v>
      </c>
      <c r="F28" s="1" t="s">
        <v>552</v>
      </c>
    </row>
    <row r="29" spans="1:6" x14ac:dyDescent="0.2">
      <c r="A29" s="1" t="str">
        <f t="shared" si="1"/>
        <v>Sant'Anastasia</v>
      </c>
      <c r="B29" s="1" t="str">
        <f t="shared" si="3"/>
        <v>Italy</v>
      </c>
      <c r="C29" s="1" t="s">
        <v>1316</v>
      </c>
      <c r="D29" s="1" t="e">
        <f t="shared" si="0"/>
        <v>#VALUE!</v>
      </c>
      <c r="E29" s="1" t="s">
        <v>1317</v>
      </c>
      <c r="F29" s="1" t="s">
        <v>11</v>
      </c>
    </row>
    <row r="30" spans="1:6" x14ac:dyDescent="0.2">
      <c r="A30" s="1" t="str">
        <f t="shared" si="1"/>
        <v>Ghisalba</v>
      </c>
      <c r="B30" s="1" t="str">
        <f t="shared" si="3"/>
        <v>Italy</v>
      </c>
      <c r="C30" s="1" t="s">
        <v>1087</v>
      </c>
      <c r="D30" s="1" t="e">
        <f t="shared" si="0"/>
        <v>#VALUE!</v>
      </c>
      <c r="E30" s="1" t="s">
        <v>1207</v>
      </c>
      <c r="F30" s="1" t="s">
        <v>11</v>
      </c>
    </row>
    <row r="31" spans="1:6" x14ac:dyDescent="0.2">
      <c r="A31" s="1" t="str">
        <f t="shared" si="1"/>
        <v>Garlasco</v>
      </c>
      <c r="B31" s="1" t="str">
        <f t="shared" si="3"/>
        <v>Italy</v>
      </c>
      <c r="C31" s="1" t="s">
        <v>1088</v>
      </c>
      <c r="D31" s="1" t="e">
        <f t="shared" si="0"/>
        <v>#VALUE!</v>
      </c>
      <c r="E31" s="1" t="s">
        <v>1208</v>
      </c>
      <c r="F31" s="1" t="s">
        <v>11</v>
      </c>
    </row>
    <row r="32" spans="1:6" x14ac:dyDescent="0.2">
      <c r="A32" s="1" t="str">
        <f t="shared" si="1"/>
        <v>Genazzano</v>
      </c>
      <c r="B32" s="1" t="str">
        <f t="shared" si="3"/>
        <v>Italy</v>
      </c>
      <c r="C32" s="1" t="s">
        <v>1089</v>
      </c>
      <c r="D32" s="1" t="e">
        <f t="shared" si="0"/>
        <v>#VALUE!</v>
      </c>
      <c r="E32" s="1" t="s">
        <v>1209</v>
      </c>
      <c r="F32" s="1" t="s">
        <v>11</v>
      </c>
    </row>
    <row r="33" spans="1:6" x14ac:dyDescent="0.2">
      <c r="A33" s="1" t="str">
        <f t="shared" si="1"/>
        <v>Badia Di Cava</v>
      </c>
      <c r="B33" s="1" t="str">
        <f t="shared" si="3"/>
        <v>Italy</v>
      </c>
      <c r="C33" s="1" t="s">
        <v>1090</v>
      </c>
      <c r="D33" s="1" t="e">
        <f t="shared" si="0"/>
        <v>#VALUE!</v>
      </c>
      <c r="E33" s="1" t="s">
        <v>1210</v>
      </c>
      <c r="F33" s="1" t="s">
        <v>11</v>
      </c>
    </row>
    <row r="34" spans="1:6" x14ac:dyDescent="0.2">
      <c r="A34" s="1" t="str">
        <f t="shared" si="1"/>
        <v>Boccadirio</v>
      </c>
      <c r="B34" s="1" t="str">
        <f t="shared" si="3"/>
        <v>Italy</v>
      </c>
      <c r="C34" s="1" t="s">
        <v>1091</v>
      </c>
      <c r="D34" s="1" t="e">
        <f t="shared" si="0"/>
        <v>#VALUE!</v>
      </c>
      <c r="E34" s="1" t="s">
        <v>1211</v>
      </c>
      <c r="F34" s="1" t="s">
        <v>11</v>
      </c>
    </row>
    <row r="35" spans="1:6" x14ac:dyDescent="0.2">
      <c r="A35" s="1" t="str">
        <f t="shared" si="1"/>
        <v>Teror</v>
      </c>
      <c r="B35" s="1" t="str">
        <f t="shared" si="3"/>
        <v>Spain</v>
      </c>
      <c r="C35" s="1" t="s">
        <v>1092</v>
      </c>
      <c r="D35" s="1" t="e">
        <f t="shared" si="0"/>
        <v>#VALUE!</v>
      </c>
      <c r="E35" s="1" t="s">
        <v>1212</v>
      </c>
      <c r="F35" s="1" t="s">
        <v>552</v>
      </c>
    </row>
    <row r="36" spans="1:6" x14ac:dyDescent="0.2">
      <c r="A36" s="1" t="str">
        <f t="shared" si="1"/>
        <v>Imola</v>
      </c>
      <c r="B36" s="1" t="str">
        <f t="shared" si="3"/>
        <v>Italy</v>
      </c>
      <c r="C36" s="1" t="s">
        <v>1093</v>
      </c>
      <c r="D36" s="1" t="e">
        <f t="shared" si="0"/>
        <v>#VALUE!</v>
      </c>
      <c r="E36" s="1" t="s">
        <v>1213</v>
      </c>
      <c r="F36" s="1" t="s">
        <v>11</v>
      </c>
    </row>
    <row r="37" spans="1:6" x14ac:dyDescent="0.2">
      <c r="A37" s="1" t="str">
        <f t="shared" si="1"/>
        <v>Agres</v>
      </c>
      <c r="B37" s="1" t="str">
        <f t="shared" si="3"/>
        <v>Spain</v>
      </c>
      <c r="C37" s="1" t="s">
        <v>1094</v>
      </c>
      <c r="D37" s="1" t="e">
        <f t="shared" si="0"/>
        <v>#VALUE!</v>
      </c>
      <c r="E37" s="1" t="s">
        <v>1214</v>
      </c>
      <c r="F37" s="1" t="s">
        <v>552</v>
      </c>
    </row>
    <row r="38" spans="1:6" x14ac:dyDescent="0.2">
      <c r="A38" s="1" t="str">
        <f t="shared" si="1"/>
        <v>Pontassieve</v>
      </c>
      <c r="B38" s="1" t="str">
        <f t="shared" si="3"/>
        <v>Italy</v>
      </c>
      <c r="C38" s="1" t="s">
        <v>1094</v>
      </c>
      <c r="D38" s="1" t="e">
        <f t="shared" si="0"/>
        <v>#VALUE!</v>
      </c>
      <c r="E38" s="1" t="s">
        <v>1215</v>
      </c>
      <c r="F38" s="1" t="s">
        <v>11</v>
      </c>
    </row>
    <row r="39" spans="1:6" x14ac:dyDescent="0.2">
      <c r="A39" s="1" t="str">
        <f t="shared" si="1"/>
        <v>Genoa</v>
      </c>
      <c r="B39" s="1" t="str">
        <f t="shared" si="3"/>
        <v>Italy</v>
      </c>
      <c r="C39" s="1" t="s">
        <v>1095</v>
      </c>
      <c r="D39" s="1" t="e">
        <f t="shared" si="0"/>
        <v>#VALUE!</v>
      </c>
      <c r="E39" s="1" t="s">
        <v>1216</v>
      </c>
      <c r="F39" s="1" t="s">
        <v>11</v>
      </c>
    </row>
    <row r="40" spans="1:6" x14ac:dyDescent="0.2">
      <c r="A40" s="1" t="str">
        <f t="shared" si="1"/>
        <v>Trois-Epis</v>
      </c>
      <c r="B40" s="1" t="str">
        <f t="shared" si="3"/>
        <v>France</v>
      </c>
      <c r="C40" s="1" t="s">
        <v>1096</v>
      </c>
      <c r="D40" s="1" t="e">
        <f t="shared" si="0"/>
        <v>#VALUE!</v>
      </c>
      <c r="E40" s="1" t="s">
        <v>1217</v>
      </c>
      <c r="F40" s="1" t="s">
        <v>557</v>
      </c>
    </row>
    <row r="41" spans="1:6" x14ac:dyDescent="0.2">
      <c r="A41" s="1" t="str">
        <f t="shared" si="1"/>
        <v>Gallivaggio</v>
      </c>
      <c r="B41" s="1" t="str">
        <f t="shared" si="3"/>
        <v>Italy</v>
      </c>
      <c r="C41" s="1" t="s">
        <v>1097</v>
      </c>
      <c r="D41" s="1" t="e">
        <f t="shared" si="0"/>
        <v>#VALUE!</v>
      </c>
      <c r="E41" s="1" t="s">
        <v>1218</v>
      </c>
      <c r="F41" s="1" t="s">
        <v>11</v>
      </c>
    </row>
    <row r="42" spans="1:6" x14ac:dyDescent="0.2">
      <c r="A42" s="1" t="str">
        <f t="shared" si="1"/>
        <v>Re</v>
      </c>
      <c r="B42" s="1" t="str">
        <f t="shared" si="3"/>
        <v>Italy</v>
      </c>
      <c r="C42" s="1" t="s">
        <v>1098</v>
      </c>
      <c r="D42" s="1" t="e">
        <f t="shared" si="0"/>
        <v>#VALUE!</v>
      </c>
      <c r="E42" s="1" t="s">
        <v>1219</v>
      </c>
      <c r="F42" s="1" t="s">
        <v>11</v>
      </c>
    </row>
    <row r="43" spans="1:6" x14ac:dyDescent="0.2">
      <c r="A43" s="1" t="str">
        <f t="shared" si="1"/>
        <v>Bettola</v>
      </c>
      <c r="B43" s="1" t="str">
        <f t="shared" si="3"/>
        <v>Italy</v>
      </c>
      <c r="C43" s="1" t="s">
        <v>1099</v>
      </c>
      <c r="D43" s="1" t="e">
        <f t="shared" si="0"/>
        <v>#VALUE!</v>
      </c>
      <c r="E43" s="1" t="s">
        <v>1220</v>
      </c>
      <c r="F43" s="1" t="s">
        <v>11</v>
      </c>
    </row>
    <row r="44" spans="1:6" x14ac:dyDescent="0.2">
      <c r="A44" s="1" t="str">
        <f t="shared" si="1"/>
        <v>Molare</v>
      </c>
      <c r="B44" s="1" t="str">
        <f t="shared" si="3"/>
        <v>Italy</v>
      </c>
      <c r="C44" s="1" t="s">
        <v>1100</v>
      </c>
      <c r="D44" s="1" t="e">
        <f t="shared" si="0"/>
        <v>#VALUE!</v>
      </c>
      <c r="E44" s="1" t="s">
        <v>1221</v>
      </c>
      <c r="F44" s="1" t="s">
        <v>11</v>
      </c>
    </row>
    <row r="45" spans="1:6" x14ac:dyDescent="0.2">
      <c r="A45" s="1" t="str">
        <f t="shared" si="1"/>
        <v>Vailankanni</v>
      </c>
      <c r="B45" s="1" t="str">
        <f t="shared" si="3"/>
        <v>India</v>
      </c>
      <c r="C45" s="1" t="s">
        <v>1100</v>
      </c>
      <c r="D45" s="1" t="e">
        <f t="shared" si="0"/>
        <v>#VALUE!</v>
      </c>
      <c r="E45" s="1" t="s">
        <v>1222</v>
      </c>
      <c r="F45" s="1" t="s">
        <v>2</v>
      </c>
    </row>
    <row r="46" spans="1:6" x14ac:dyDescent="0.2">
      <c r="A46" s="1" t="str">
        <f t="shared" si="1"/>
        <v>Andacollo</v>
      </c>
      <c r="B46" s="1" t="str">
        <f t="shared" si="3"/>
        <v>Chile</v>
      </c>
      <c r="C46" s="1" t="s">
        <v>1100</v>
      </c>
      <c r="D46" s="1" t="e">
        <f t="shared" si="0"/>
        <v>#VALUE!</v>
      </c>
      <c r="E46" s="1" t="s">
        <v>1223</v>
      </c>
      <c r="F46" s="1" t="s">
        <v>531</v>
      </c>
    </row>
    <row r="47" spans="1:6" x14ac:dyDescent="0.2">
      <c r="A47" s="1" t="str">
        <f t="shared" si="1"/>
        <v>Luggau</v>
      </c>
      <c r="B47" s="1" t="str">
        <f t="shared" si="3"/>
        <v>Austria</v>
      </c>
      <c r="C47" s="1" t="s">
        <v>1100</v>
      </c>
      <c r="D47" s="1" t="e">
        <f t="shared" si="0"/>
        <v>#VALUE!</v>
      </c>
      <c r="E47" s="1" t="s">
        <v>1224</v>
      </c>
      <c r="F47" s="1" t="s">
        <v>502</v>
      </c>
    </row>
    <row r="48" spans="1:6" x14ac:dyDescent="0.2">
      <c r="A48" s="1" t="str">
        <f t="shared" si="1"/>
        <v>Tirano</v>
      </c>
      <c r="B48" s="1" t="str">
        <f t="shared" si="3"/>
        <v>Italy</v>
      </c>
      <c r="C48" s="1" t="s">
        <v>1101</v>
      </c>
      <c r="D48" s="1" t="e">
        <f t="shared" si="0"/>
        <v>#VALUE!</v>
      </c>
      <c r="E48" s="1" t="s">
        <v>1225</v>
      </c>
      <c r="F48" s="1" t="s">
        <v>11</v>
      </c>
    </row>
    <row r="49" spans="1:6" x14ac:dyDescent="0.2">
      <c r="A49" s="1" t="str">
        <f t="shared" si="1"/>
        <v>Motta Di Livenza</v>
      </c>
      <c r="B49" s="1" t="str">
        <f t="shared" si="3"/>
        <v>Italy</v>
      </c>
      <c r="C49" s="1" t="s">
        <v>1102</v>
      </c>
      <c r="D49" s="1" t="e">
        <f t="shared" si="0"/>
        <v>#VALUE!</v>
      </c>
      <c r="E49" s="1" t="s">
        <v>1226</v>
      </c>
      <c r="F49" s="1" t="s">
        <v>11</v>
      </c>
    </row>
    <row r="50" spans="1:6" x14ac:dyDescent="0.2">
      <c r="A50" s="1" t="str">
        <f t="shared" si="1"/>
        <v>Peschiera Sul Garda</v>
      </c>
      <c r="B50" s="1" t="str">
        <f t="shared" si="3"/>
        <v>Italy</v>
      </c>
      <c r="C50" s="1" t="s">
        <v>1102</v>
      </c>
      <c r="D50" s="1" t="e">
        <f t="shared" si="0"/>
        <v>#VALUE!</v>
      </c>
      <c r="E50" s="1" t="s">
        <v>1227</v>
      </c>
      <c r="F50" s="1" t="s">
        <v>11</v>
      </c>
    </row>
    <row r="51" spans="1:6" x14ac:dyDescent="0.2">
      <c r="A51" s="1" t="str">
        <f t="shared" si="1"/>
        <v>Bergamo</v>
      </c>
      <c r="B51" s="1" t="str">
        <f t="shared" si="3"/>
        <v>Italy</v>
      </c>
      <c r="C51" s="1" t="s">
        <v>1102</v>
      </c>
      <c r="D51" s="1" t="e">
        <f t="shared" si="0"/>
        <v>#VALUE!</v>
      </c>
      <c r="E51" s="1" t="s">
        <v>1228</v>
      </c>
      <c r="F51" s="1" t="s">
        <v>11</v>
      </c>
    </row>
    <row r="52" spans="1:6" x14ac:dyDescent="0.2">
      <c r="A52" s="1" t="str">
        <f t="shared" si="1"/>
        <v>Rzeszów</v>
      </c>
      <c r="B52" s="1" t="str">
        <f t="shared" si="3"/>
        <v>Poland</v>
      </c>
      <c r="C52" s="1" t="s">
        <v>1103</v>
      </c>
      <c r="D52" s="1" t="e">
        <f t="shared" si="0"/>
        <v>#VALUE!</v>
      </c>
      <c r="E52" s="1" t="s">
        <v>1229</v>
      </c>
      <c r="F52" s="1" t="s">
        <v>651</v>
      </c>
    </row>
    <row r="53" spans="1:6" x14ac:dyDescent="0.2">
      <c r="A53" s="1" t="str">
        <f t="shared" si="1"/>
        <v>Garaison</v>
      </c>
      <c r="B53" s="1" t="str">
        <f t="shared" si="3"/>
        <v>France</v>
      </c>
      <c r="C53" s="1" t="s">
        <v>1104</v>
      </c>
      <c r="D53" s="1" t="e">
        <f t="shared" si="0"/>
        <v>#VALUE!</v>
      </c>
      <c r="E53" s="1" t="s">
        <v>1230</v>
      </c>
      <c r="F53" s="1" t="s">
        <v>557</v>
      </c>
    </row>
    <row r="54" spans="1:6" x14ac:dyDescent="0.2">
      <c r="A54" s="1" t="str">
        <f t="shared" si="1"/>
        <v>Adro</v>
      </c>
      <c r="B54" s="1" t="str">
        <f t="shared" si="3"/>
        <v>Italy</v>
      </c>
      <c r="C54" s="1" t="s">
        <v>1105</v>
      </c>
      <c r="D54" s="1" t="e">
        <f t="shared" si="0"/>
        <v>#VALUE!</v>
      </c>
      <c r="E54" s="1" t="s">
        <v>1231</v>
      </c>
      <c r="F54" s="1" t="s">
        <v>11</v>
      </c>
    </row>
    <row r="55" spans="1:6" x14ac:dyDescent="0.2">
      <c r="A55" s="1" t="str">
        <f t="shared" si="1"/>
        <v>Cotignac</v>
      </c>
      <c r="B55" s="1" t="str">
        <f t="shared" si="3"/>
        <v>France</v>
      </c>
      <c r="C55" s="1" t="s">
        <v>1106</v>
      </c>
      <c r="D55" s="1" t="e">
        <f t="shared" si="0"/>
        <v>#VALUE!</v>
      </c>
      <c r="E55" s="1" t="s">
        <v>1232</v>
      </c>
      <c r="F55" s="1" t="s">
        <v>557</v>
      </c>
    </row>
    <row r="56" spans="1:6" x14ac:dyDescent="0.2">
      <c r="A56" s="1" t="str">
        <f t="shared" si="1"/>
        <v>Cori</v>
      </c>
      <c r="B56" s="1" t="str">
        <f t="shared" si="3"/>
        <v>Italy</v>
      </c>
      <c r="C56" s="1" t="s">
        <v>1107</v>
      </c>
      <c r="D56" s="1" t="e">
        <f t="shared" si="0"/>
        <v>#VALUE!</v>
      </c>
      <c r="E56" s="1" t="s">
        <v>1233</v>
      </c>
      <c r="F56" s="1" t="s">
        <v>11</v>
      </c>
    </row>
    <row r="57" spans="1:6" x14ac:dyDescent="0.2">
      <c r="A57" s="1" t="str">
        <f t="shared" si="1"/>
        <v>Cussanio</v>
      </c>
      <c r="B57" s="1" t="str">
        <f t="shared" si="3"/>
        <v>Italy</v>
      </c>
      <c r="C57" s="1" t="s">
        <v>1107</v>
      </c>
      <c r="D57" s="1" t="e">
        <f t="shared" si="0"/>
        <v>#VALUE!</v>
      </c>
      <c r="E57" s="1" t="s">
        <v>1234</v>
      </c>
      <c r="F57" s="1" t="s">
        <v>11</v>
      </c>
    </row>
    <row r="58" spans="1:6" x14ac:dyDescent="0.2">
      <c r="A58" s="1" t="str">
        <f t="shared" si="1"/>
        <v>Crescentino</v>
      </c>
      <c r="B58" s="1" t="str">
        <f t="shared" si="3"/>
        <v>Italy</v>
      </c>
      <c r="C58" s="1" t="s">
        <v>1108</v>
      </c>
      <c r="D58" s="1" t="e">
        <f t="shared" si="0"/>
        <v>#VALUE!</v>
      </c>
      <c r="E58" s="1" t="s">
        <v>1235</v>
      </c>
      <c r="F58" s="1" t="s">
        <v>11</v>
      </c>
    </row>
    <row r="59" spans="1:6" x14ac:dyDescent="0.2">
      <c r="A59" s="1" t="str">
        <f t="shared" si="1"/>
        <v>Ornavasso</v>
      </c>
      <c r="B59" s="1" t="str">
        <f t="shared" si="3"/>
        <v>Italy</v>
      </c>
      <c r="C59" s="1" t="s">
        <v>1109</v>
      </c>
      <c r="D59" s="1" t="e">
        <f t="shared" si="0"/>
        <v>#VALUE!</v>
      </c>
      <c r="E59" s="1" t="s">
        <v>1236</v>
      </c>
      <c r="F59" s="1" t="s">
        <v>11</v>
      </c>
    </row>
    <row r="60" spans="1:6" x14ac:dyDescent="0.2">
      <c r="A60" s="1" t="s">
        <v>1006</v>
      </c>
      <c r="B60" s="1" t="s">
        <v>630</v>
      </c>
      <c r="C60" s="1">
        <v>1531</v>
      </c>
      <c r="D60" s="1" t="e">
        <f t="shared" si="0"/>
        <v>#VALUE!</v>
      </c>
      <c r="E60" s="1" t="e">
        <v>#VALUE!</v>
      </c>
    </row>
    <row r="61" spans="1:6" x14ac:dyDescent="0.2">
      <c r="A61" s="1" t="str">
        <f t="shared" ref="A61:A72" si="4">E61</f>
        <v>Savona</v>
      </c>
      <c r="B61" s="1" t="str">
        <f t="shared" ref="B61:B72" si="5">F61</f>
        <v>Italy</v>
      </c>
      <c r="C61" s="1" t="s">
        <v>1110</v>
      </c>
      <c r="D61" s="1" t="e">
        <f t="shared" si="0"/>
        <v>#VALUE!</v>
      </c>
      <c r="E61" s="1" t="s">
        <v>1237</v>
      </c>
      <c r="F61" s="1" t="s">
        <v>11</v>
      </c>
    </row>
    <row r="62" spans="1:6" x14ac:dyDescent="0.2">
      <c r="A62" s="1" t="str">
        <f t="shared" si="4"/>
        <v>Sveta Gora</v>
      </c>
      <c r="B62" s="1" t="str">
        <f t="shared" si="5"/>
        <v>Slovenia</v>
      </c>
      <c r="C62" s="1" t="s">
        <v>1111</v>
      </c>
      <c r="D62" s="1" t="e">
        <f t="shared" si="0"/>
        <v>#VALUE!</v>
      </c>
      <c r="E62" s="1" t="s">
        <v>1238</v>
      </c>
      <c r="F62" s="1" t="s">
        <v>669</v>
      </c>
    </row>
    <row r="63" spans="1:6" x14ac:dyDescent="0.2">
      <c r="A63" s="1" t="str">
        <f t="shared" si="4"/>
        <v>Ocotlán</v>
      </c>
      <c r="B63" s="1" t="str">
        <f t="shared" si="5"/>
        <v>Mexico</v>
      </c>
      <c r="C63" s="1" t="s">
        <v>1112</v>
      </c>
      <c r="D63" s="1" t="e">
        <f t="shared" si="0"/>
        <v>#VALUE!</v>
      </c>
      <c r="E63" s="1" t="s">
        <v>1239</v>
      </c>
      <c r="F63" s="1" t="s">
        <v>630</v>
      </c>
    </row>
    <row r="64" spans="1:6" x14ac:dyDescent="0.2">
      <c r="A64" s="1" t="str">
        <f t="shared" si="4"/>
        <v>Vacciago</v>
      </c>
      <c r="B64" s="1" t="str">
        <f t="shared" si="5"/>
        <v>Italy</v>
      </c>
      <c r="C64" s="1" t="s">
        <v>1113</v>
      </c>
      <c r="D64" s="1" t="e">
        <f t="shared" si="0"/>
        <v>#VALUE!</v>
      </c>
      <c r="E64" s="1" t="s">
        <v>1240</v>
      </c>
      <c r="F64" s="1" t="s">
        <v>11</v>
      </c>
    </row>
    <row r="65" spans="1:6" x14ac:dyDescent="0.2">
      <c r="A65" s="1" t="str">
        <f t="shared" si="4"/>
        <v>Pietralba</v>
      </c>
      <c r="B65" s="1" t="str">
        <f t="shared" si="5"/>
        <v>Italy</v>
      </c>
      <c r="C65" s="1" t="s">
        <v>1114</v>
      </c>
      <c r="D65" s="1" t="e">
        <f t="shared" si="0"/>
        <v>#VALUE!</v>
      </c>
      <c r="E65" s="1" t="s">
        <v>1241</v>
      </c>
      <c r="F65" s="1" t="s">
        <v>11</v>
      </c>
    </row>
    <row r="66" spans="1:6" x14ac:dyDescent="0.2">
      <c r="A66" s="1" t="str">
        <f t="shared" si="4"/>
        <v>Corbetta</v>
      </c>
      <c r="B66" s="1" t="str">
        <f t="shared" si="5"/>
        <v>Italy</v>
      </c>
      <c r="C66" s="1" t="s">
        <v>1115</v>
      </c>
      <c r="D66" s="1" t="e">
        <f t="shared" si="0"/>
        <v>#VALUE!</v>
      </c>
      <c r="E66" s="1" t="s">
        <v>1242</v>
      </c>
      <c r="F66" s="1" t="s">
        <v>11</v>
      </c>
    </row>
    <row r="67" spans="1:6" x14ac:dyDescent="0.2">
      <c r="A67" s="1" t="str">
        <f t="shared" si="4"/>
        <v>Arcola</v>
      </c>
      <c r="B67" s="1" t="str">
        <f t="shared" si="5"/>
        <v>Italy</v>
      </c>
      <c r="C67" s="1" t="s">
        <v>1116</v>
      </c>
      <c r="D67" s="1" t="e">
        <f t="shared" ref="D67:D130" si="6">MID(A67,FIND(". ",A67)+2,LEN(A67))</f>
        <v>#VALUE!</v>
      </c>
      <c r="E67" s="1" t="s">
        <v>1243</v>
      </c>
      <c r="F67" s="1" t="s">
        <v>11</v>
      </c>
    </row>
    <row r="68" spans="1:6" x14ac:dyDescent="0.2">
      <c r="A68" s="1" t="str">
        <f t="shared" si="4"/>
        <v>Giulianova</v>
      </c>
      <c r="B68" s="1" t="str">
        <f t="shared" si="5"/>
        <v>Italy</v>
      </c>
      <c r="C68" s="1" t="s">
        <v>1117</v>
      </c>
      <c r="D68" s="1" t="e">
        <f t="shared" si="6"/>
        <v>#VALUE!</v>
      </c>
      <c r="E68" s="1" t="s">
        <v>1244</v>
      </c>
      <c r="F68" s="1" t="s">
        <v>11</v>
      </c>
    </row>
    <row r="69" spans="1:6" x14ac:dyDescent="0.2">
      <c r="A69" s="1" t="str">
        <f t="shared" si="4"/>
        <v>Gerosa</v>
      </c>
      <c r="B69" s="1" t="str">
        <f t="shared" si="5"/>
        <v>Italy</v>
      </c>
      <c r="C69" s="1" t="s">
        <v>1118</v>
      </c>
      <c r="D69" s="1" t="e">
        <f t="shared" si="6"/>
        <v>#VALUE!</v>
      </c>
      <c r="E69" s="1" t="s">
        <v>1245</v>
      </c>
      <c r="F69" s="1" t="s">
        <v>11</v>
      </c>
    </row>
    <row r="70" spans="1:6" x14ac:dyDescent="0.2">
      <c r="A70" s="1" t="str">
        <f t="shared" si="4"/>
        <v>Moncrivello</v>
      </c>
      <c r="B70" s="1" t="str">
        <f t="shared" si="5"/>
        <v>Italy</v>
      </c>
      <c r="C70" s="1" t="s">
        <v>1119</v>
      </c>
      <c r="D70" s="1" t="e">
        <f t="shared" si="6"/>
        <v>#VALUE!</v>
      </c>
      <c r="E70" s="1" t="s">
        <v>1246</v>
      </c>
      <c r="F70" s="1" t="s">
        <v>11</v>
      </c>
    </row>
    <row r="71" spans="1:6" x14ac:dyDescent="0.2">
      <c r="A71" s="1" t="str">
        <f t="shared" si="4"/>
        <v>Gozo</v>
      </c>
      <c r="B71" s="1" t="str">
        <f t="shared" si="5"/>
        <v>Malta</v>
      </c>
      <c r="C71" s="1" t="s">
        <v>1120</v>
      </c>
      <c r="D71" s="1" t="e">
        <f t="shared" si="6"/>
        <v>#VALUE!</v>
      </c>
      <c r="E71" s="1" t="s">
        <v>1247</v>
      </c>
      <c r="F71" s="1" t="s">
        <v>626</v>
      </c>
    </row>
    <row r="72" spans="1:6" x14ac:dyDescent="0.2">
      <c r="A72" s="1" t="str">
        <f t="shared" si="4"/>
        <v>Casalbordino</v>
      </c>
      <c r="B72" s="1" t="str">
        <f t="shared" si="5"/>
        <v>Italy</v>
      </c>
      <c r="C72" s="1" t="s">
        <v>1121</v>
      </c>
      <c r="D72" s="1" t="e">
        <f t="shared" si="6"/>
        <v>#VALUE!</v>
      </c>
      <c r="E72" s="1" t="s">
        <v>1248</v>
      </c>
      <c r="F72" s="1" t="s">
        <v>11</v>
      </c>
    </row>
    <row r="73" spans="1:6" x14ac:dyDescent="0.2">
      <c r="A73" s="1" t="s">
        <v>1053</v>
      </c>
      <c r="B73" s="1" t="s">
        <v>651</v>
      </c>
      <c r="C73" s="1">
        <v>1578</v>
      </c>
      <c r="D73" s="1" t="e">
        <f t="shared" si="6"/>
        <v>#VALUE!</v>
      </c>
      <c r="E73" s="1" t="e">
        <v>#VALUE!</v>
      </c>
    </row>
    <row r="74" spans="1:6" x14ac:dyDescent="0.2">
      <c r="A74" s="1" t="str">
        <f t="shared" ref="A74:A84" si="7">E74</f>
        <v>Lumarzo</v>
      </c>
      <c r="B74" s="1" t="str">
        <f t="shared" ref="B74:B84" si="8">F74</f>
        <v>Italy</v>
      </c>
      <c r="C74" s="1" t="s">
        <v>1122</v>
      </c>
      <c r="D74" s="1" t="e">
        <f t="shared" si="6"/>
        <v>#VALUE!</v>
      </c>
      <c r="E74" s="1" t="s">
        <v>1249</v>
      </c>
      <c r="F74" s="1" t="s">
        <v>11</v>
      </c>
    </row>
    <row r="75" spans="1:6" x14ac:dyDescent="0.2">
      <c r="A75" s="1" t="str">
        <f t="shared" si="7"/>
        <v>Chiquinquirá</v>
      </c>
      <c r="B75" s="1" t="str">
        <f t="shared" si="8"/>
        <v>Colombia</v>
      </c>
      <c r="C75" s="1" t="s">
        <v>1123</v>
      </c>
      <c r="D75" s="1" t="e">
        <f t="shared" si="6"/>
        <v>#VALUE!</v>
      </c>
      <c r="E75" s="1" t="s">
        <v>1250</v>
      </c>
      <c r="F75" s="1" t="s">
        <v>534</v>
      </c>
    </row>
    <row r="76" spans="1:6" x14ac:dyDescent="0.2">
      <c r="A76" s="1" t="str">
        <f t="shared" si="7"/>
        <v>Quinche</v>
      </c>
      <c r="B76" s="1" t="str">
        <f t="shared" si="8"/>
        <v>Ecuador</v>
      </c>
      <c r="C76" s="1" t="s">
        <v>1123</v>
      </c>
      <c r="D76" s="1" t="e">
        <f t="shared" si="6"/>
        <v>#VALUE!</v>
      </c>
      <c r="E76" s="1" t="s">
        <v>1251</v>
      </c>
      <c r="F76" s="1" t="s">
        <v>548</v>
      </c>
    </row>
    <row r="77" spans="1:6" x14ac:dyDescent="0.2">
      <c r="A77" s="1" t="str">
        <f t="shared" si="7"/>
        <v>Quito</v>
      </c>
      <c r="B77" s="1" t="str">
        <f t="shared" si="8"/>
        <v>Ecuador</v>
      </c>
      <c r="C77" s="1" t="s">
        <v>1124</v>
      </c>
      <c r="D77" s="1" t="e">
        <f t="shared" si="6"/>
        <v>#VALUE!</v>
      </c>
      <c r="E77" s="1" t="s">
        <v>1252</v>
      </c>
      <c r="F77" s="1" t="s">
        <v>548</v>
      </c>
    </row>
    <row r="78" spans="1:6" x14ac:dyDescent="0.2">
      <c r="A78" s="1" t="str">
        <f t="shared" si="7"/>
        <v>Rapallo</v>
      </c>
      <c r="B78" s="1" t="str">
        <f t="shared" si="8"/>
        <v>Italy</v>
      </c>
      <c r="C78" s="1" t="s">
        <v>1125</v>
      </c>
      <c r="D78" s="1" t="e">
        <f t="shared" si="6"/>
        <v>#VALUE!</v>
      </c>
      <c r="E78" s="1" t="s">
        <v>1253</v>
      </c>
      <c r="F78" s="1" t="s">
        <v>11</v>
      </c>
    </row>
    <row r="79" spans="1:6" x14ac:dyDescent="0.2">
      <c r="A79" s="1" t="str">
        <f t="shared" si="7"/>
        <v>Bétharram</v>
      </c>
      <c r="B79" s="1" t="str">
        <f t="shared" si="8"/>
        <v>France</v>
      </c>
      <c r="C79" s="1" t="s">
        <v>1126</v>
      </c>
      <c r="D79" s="1" t="e">
        <f t="shared" si="6"/>
        <v>#VALUE!</v>
      </c>
      <c r="E79" s="1" t="s">
        <v>1254</v>
      </c>
      <c r="F79" s="1" t="s">
        <v>557</v>
      </c>
    </row>
    <row r="80" spans="1:6" x14ac:dyDescent="0.2">
      <c r="A80" s="1" t="str">
        <f t="shared" si="7"/>
        <v>Luján</v>
      </c>
      <c r="B80" s="1" t="str">
        <f t="shared" si="8"/>
        <v>Argentina</v>
      </c>
      <c r="C80" s="1" t="s">
        <v>1127</v>
      </c>
      <c r="D80" s="1" t="e">
        <f t="shared" si="6"/>
        <v>#VALUE!</v>
      </c>
      <c r="E80" s="1" t="s">
        <v>1255</v>
      </c>
      <c r="F80" s="1" t="s">
        <v>500</v>
      </c>
    </row>
    <row r="81" spans="1:6" x14ac:dyDescent="0.2">
      <c r="A81" s="1" t="str">
        <f t="shared" si="7"/>
        <v>Caacupé</v>
      </c>
      <c r="B81" s="1" t="str">
        <f t="shared" si="8"/>
        <v>Paraguay</v>
      </c>
      <c r="C81" s="1" t="s">
        <v>1127</v>
      </c>
      <c r="D81" s="1" t="e">
        <f t="shared" si="6"/>
        <v>#VALUE!</v>
      </c>
      <c r="E81" s="1" t="s">
        <v>1256</v>
      </c>
      <c r="F81" s="1" t="s">
        <v>657</v>
      </c>
    </row>
    <row r="82" spans="1:6" x14ac:dyDescent="0.2">
      <c r="A82" s="1" t="str">
        <f t="shared" si="7"/>
        <v>Caysasay</v>
      </c>
      <c r="B82" s="1" t="str">
        <f t="shared" si="8"/>
        <v>Philippines</v>
      </c>
      <c r="C82" s="1" t="s">
        <v>1128</v>
      </c>
      <c r="D82" s="1" t="e">
        <f t="shared" si="6"/>
        <v>#VALUE!</v>
      </c>
      <c r="E82" s="1" t="s">
        <v>1257</v>
      </c>
      <c r="F82" s="1" t="s">
        <v>649</v>
      </c>
    </row>
    <row r="83" spans="1:6" x14ac:dyDescent="0.2">
      <c r="A83" s="1" t="str">
        <f t="shared" si="7"/>
        <v>Doroszló</v>
      </c>
      <c r="B83" s="1" t="str">
        <f t="shared" si="8"/>
        <v>Serbia</v>
      </c>
      <c r="C83" s="1" t="s">
        <v>1128</v>
      </c>
      <c r="D83" s="1" t="e">
        <f t="shared" si="6"/>
        <v>#VALUE!</v>
      </c>
      <c r="E83" s="1" t="s">
        <v>1258</v>
      </c>
      <c r="F83" s="1" t="s">
        <v>661</v>
      </c>
    </row>
    <row r="84" spans="1:6" x14ac:dyDescent="0.2">
      <c r="A84" s="1" t="str">
        <f t="shared" si="7"/>
        <v>Ardesio</v>
      </c>
      <c r="B84" s="1" t="str">
        <f t="shared" si="8"/>
        <v>Italy</v>
      </c>
      <c r="C84" s="1" t="s">
        <v>1129</v>
      </c>
      <c r="D84" s="1" t="e">
        <f t="shared" si="6"/>
        <v>#VALUE!</v>
      </c>
      <c r="E84" s="1" t="s">
        <v>1259</v>
      </c>
      <c r="F84" s="1" t="s">
        <v>11</v>
      </c>
    </row>
    <row r="85" spans="1:6" x14ac:dyDescent="0.2">
      <c r="A85" s="1" t="s">
        <v>1007</v>
      </c>
      <c r="B85" s="1" t="s">
        <v>607</v>
      </c>
      <c r="C85" s="1">
        <v>1608</v>
      </c>
      <c r="D85" s="1" t="e">
        <f t="shared" si="6"/>
        <v>#VALUE!</v>
      </c>
      <c r="E85" s="1" t="e">
        <v>#VALUE!</v>
      </c>
    </row>
    <row r="86" spans="1:6" x14ac:dyDescent="0.2">
      <c r="A86" s="1" t="str">
        <f t="shared" ref="A86:A95" si="9">E86</f>
        <v>Manaoag</v>
      </c>
      <c r="B86" s="1" t="str">
        <f t="shared" ref="B86:B95" si="10">F86</f>
        <v>Philippines</v>
      </c>
      <c r="C86" s="1" t="s">
        <v>1130</v>
      </c>
      <c r="D86" s="1" t="e">
        <f t="shared" si="6"/>
        <v>#VALUE!</v>
      </c>
      <c r="E86" s="1" t="s">
        <v>1260</v>
      </c>
      <c r="F86" s="1" t="s">
        <v>649</v>
      </c>
    </row>
    <row r="87" spans="1:6" x14ac:dyDescent="0.2">
      <c r="A87" s="1" t="str">
        <f t="shared" si="9"/>
        <v>El Cobre</v>
      </c>
      <c r="B87" s="1" t="str">
        <f t="shared" si="10"/>
        <v>Cuba</v>
      </c>
      <c r="C87" s="1" t="s">
        <v>1131</v>
      </c>
      <c r="D87" s="1" t="e">
        <f t="shared" si="6"/>
        <v>#VALUE!</v>
      </c>
      <c r="E87" s="1" t="s">
        <v>1318</v>
      </c>
      <c r="F87" s="1" t="s">
        <v>536</v>
      </c>
    </row>
    <row r="88" spans="1:6" x14ac:dyDescent="0.2">
      <c r="A88" s="1" t="str">
        <f t="shared" si="9"/>
        <v>San Salvatore Monferrato</v>
      </c>
      <c r="B88" s="1" t="str">
        <f t="shared" si="10"/>
        <v>Italy</v>
      </c>
      <c r="C88" s="1" t="s">
        <v>1132</v>
      </c>
      <c r="D88" s="1" t="e">
        <f t="shared" si="6"/>
        <v>#VALUE!</v>
      </c>
      <c r="E88" s="1" t="s">
        <v>1261</v>
      </c>
      <c r="F88" s="1" t="s">
        <v>11</v>
      </c>
    </row>
    <row r="89" spans="1:6" x14ac:dyDescent="0.2">
      <c r="A89" s="1" t="str">
        <f t="shared" si="9"/>
        <v>Marbach</v>
      </c>
      <c r="B89" s="1" t="str">
        <f t="shared" si="10"/>
        <v>Austria</v>
      </c>
      <c r="C89" s="1" t="s">
        <v>1133</v>
      </c>
      <c r="D89" s="1" t="e">
        <f t="shared" si="6"/>
        <v>#VALUE!</v>
      </c>
      <c r="E89" s="1" t="s">
        <v>1262</v>
      </c>
      <c r="F89" s="1" t="s">
        <v>502</v>
      </c>
    </row>
    <row r="90" spans="1:6" x14ac:dyDescent="0.2">
      <c r="A90" s="1" t="str">
        <f t="shared" si="9"/>
        <v>Cartago</v>
      </c>
      <c r="B90" s="1" t="str">
        <f t="shared" si="10"/>
        <v>Costa Rica</v>
      </c>
      <c r="C90" s="1" t="s">
        <v>1134</v>
      </c>
      <c r="D90" s="1" t="e">
        <f t="shared" si="6"/>
        <v>#VALUE!</v>
      </c>
      <c r="E90" s="1" t="s">
        <v>1263</v>
      </c>
      <c r="F90" s="1" t="s">
        <v>535</v>
      </c>
    </row>
    <row r="91" spans="1:6" x14ac:dyDescent="0.2">
      <c r="A91" s="1" t="str">
        <f t="shared" si="9"/>
        <v>Kevelaer</v>
      </c>
      <c r="B91" s="1" t="str">
        <f t="shared" si="10"/>
        <v>Germany</v>
      </c>
      <c r="C91" s="1" t="s">
        <v>1135</v>
      </c>
      <c r="D91" s="1" t="e">
        <f t="shared" si="6"/>
        <v>#VALUE!</v>
      </c>
      <c r="E91" s="1" t="s">
        <v>1264</v>
      </c>
      <c r="F91" s="1" t="s">
        <v>542</v>
      </c>
    </row>
    <row r="92" spans="1:6" x14ac:dyDescent="0.2">
      <c r="A92" s="1" t="str">
        <f t="shared" si="9"/>
        <v>Plantées</v>
      </c>
      <c r="B92" s="1" t="str">
        <f t="shared" si="10"/>
        <v>France</v>
      </c>
      <c r="C92" s="1" t="s">
        <v>1136</v>
      </c>
      <c r="D92" s="1" t="e">
        <f t="shared" si="6"/>
        <v>#VALUE!</v>
      </c>
      <c r="E92" s="1" t="s">
        <v>1265</v>
      </c>
      <c r="F92" s="1" t="s">
        <v>557</v>
      </c>
    </row>
    <row r="93" spans="1:6" x14ac:dyDescent="0.2">
      <c r="A93" s="1" t="str">
        <f t="shared" si="9"/>
        <v>Guanare</v>
      </c>
      <c r="B93" s="1" t="str">
        <f t="shared" si="10"/>
        <v>Venezuela</v>
      </c>
      <c r="C93" s="1" t="s">
        <v>1137</v>
      </c>
      <c r="D93" s="1" t="e">
        <f t="shared" si="6"/>
        <v>#VALUE!</v>
      </c>
      <c r="E93" s="1" t="s">
        <v>1266</v>
      </c>
      <c r="F93" s="1" t="s">
        <v>718</v>
      </c>
    </row>
    <row r="94" spans="1:6" x14ac:dyDescent="0.2">
      <c r="A94" s="1" t="str">
        <f t="shared" si="9"/>
        <v>La Prenessaye</v>
      </c>
      <c r="B94" s="1" t="str">
        <f t="shared" si="10"/>
        <v>France</v>
      </c>
      <c r="C94" s="1" t="s">
        <v>1138</v>
      </c>
      <c r="D94" s="1" t="e">
        <f t="shared" si="6"/>
        <v>#VALUE!</v>
      </c>
      <c r="E94" s="1" t="s">
        <v>1267</v>
      </c>
      <c r="F94" s="1" t="s">
        <v>557</v>
      </c>
    </row>
    <row r="95" spans="1:6" x14ac:dyDescent="0.2">
      <c r="A95" s="1" t="str">
        <f t="shared" si="9"/>
        <v>Pieve Di Tagliamento</v>
      </c>
      <c r="B95" s="1" t="str">
        <f t="shared" si="10"/>
        <v>Italy</v>
      </c>
      <c r="C95" s="1" t="s">
        <v>1139</v>
      </c>
      <c r="D95" s="1" t="e">
        <f t="shared" si="6"/>
        <v>#VALUE!</v>
      </c>
      <c r="E95" s="1" t="s">
        <v>1268</v>
      </c>
      <c r="F95" s="1" t="s">
        <v>11</v>
      </c>
    </row>
    <row r="96" spans="1:6" x14ac:dyDescent="0.2">
      <c r="A96" s="1" t="s">
        <v>1010</v>
      </c>
      <c r="B96" s="1" t="s">
        <v>557</v>
      </c>
      <c r="C96" s="1" t="s">
        <v>1013</v>
      </c>
      <c r="D96" s="1" t="e">
        <f t="shared" si="6"/>
        <v>#VALUE!</v>
      </c>
      <c r="E96" s="1" t="e">
        <v>#VALUE!</v>
      </c>
    </row>
    <row r="97" spans="1:6" x14ac:dyDescent="0.2">
      <c r="A97" s="1" t="str">
        <f t="shared" ref="A97:A109" si="11">E97</f>
        <v>San Bartolomeo Al Mare</v>
      </c>
      <c r="B97" s="1" t="str">
        <f t="shared" ref="B97:B103" si="12">F97</f>
        <v>Italy</v>
      </c>
      <c r="C97" s="1" t="s">
        <v>1140</v>
      </c>
      <c r="D97" s="1" t="e">
        <f t="shared" si="6"/>
        <v>#VALUE!</v>
      </c>
      <c r="E97" s="1" t="s">
        <v>1269</v>
      </c>
      <c r="F97" s="1" t="s">
        <v>11</v>
      </c>
    </row>
    <row r="98" spans="1:6" x14ac:dyDescent="0.2">
      <c r="A98" s="1" t="str">
        <f t="shared" si="11"/>
        <v>Máriapócs and Gyõr</v>
      </c>
      <c r="B98" s="1" t="str">
        <f t="shared" si="12"/>
        <v>Hungary</v>
      </c>
      <c r="C98" s="1" t="s">
        <v>1141</v>
      </c>
      <c r="D98" s="1" t="e">
        <f t="shared" si="6"/>
        <v>#VALUE!</v>
      </c>
      <c r="E98" s="1" t="s">
        <v>1270</v>
      </c>
      <c r="F98" s="1" t="s">
        <v>581</v>
      </c>
    </row>
    <row r="99" spans="1:6" x14ac:dyDescent="0.2">
      <c r="A99" s="1" t="str">
        <f t="shared" si="11"/>
        <v>Cotoca</v>
      </c>
      <c r="B99" s="1" t="str">
        <f t="shared" si="12"/>
        <v>Bolivia</v>
      </c>
      <c r="C99" s="1" t="s">
        <v>1142</v>
      </c>
      <c r="D99" s="1" t="e">
        <f t="shared" si="6"/>
        <v>#VALUE!</v>
      </c>
      <c r="E99" s="1" t="s">
        <v>1271</v>
      </c>
      <c r="F99" s="1" t="s">
        <v>710</v>
      </c>
    </row>
    <row r="100" spans="1:6" x14ac:dyDescent="0.2">
      <c r="A100" s="1" t="str">
        <f t="shared" si="11"/>
        <v>Quillacollo</v>
      </c>
      <c r="B100" s="1" t="str">
        <f t="shared" si="12"/>
        <v>Bolivia</v>
      </c>
      <c r="C100" s="1" t="s">
        <v>1143</v>
      </c>
      <c r="D100" s="1" t="e">
        <f t="shared" si="6"/>
        <v>#VALUE!</v>
      </c>
      <c r="E100" s="1" t="s">
        <v>1272</v>
      </c>
      <c r="F100" s="1" t="s">
        <v>710</v>
      </c>
    </row>
    <row r="101" spans="1:6" x14ac:dyDescent="0.2">
      <c r="A101" s="1" t="str">
        <f t="shared" si="11"/>
        <v>Pellestrina</v>
      </c>
      <c r="B101" s="1" t="str">
        <f t="shared" si="12"/>
        <v>Italy</v>
      </c>
      <c r="C101" s="1" t="s">
        <v>1144</v>
      </c>
      <c r="D101" s="1" t="e">
        <f t="shared" si="6"/>
        <v>#VALUE!</v>
      </c>
      <c r="E101" s="1" t="s">
        <v>1273</v>
      </c>
      <c r="F101" s="1" t="s">
        <v>11</v>
      </c>
    </row>
    <row r="102" spans="1:6" x14ac:dyDescent="0.2">
      <c r="A102" s="1" t="str">
        <f t="shared" si="11"/>
        <v>Vale Do Paraíba</v>
      </c>
      <c r="B102" s="1" t="str">
        <f t="shared" si="12"/>
        <v>Brazil</v>
      </c>
      <c r="C102" s="1" t="s">
        <v>1145</v>
      </c>
      <c r="D102" s="1" t="e">
        <f t="shared" si="6"/>
        <v>#VALUE!</v>
      </c>
      <c r="E102" s="1" t="s">
        <v>1274</v>
      </c>
      <c r="F102" s="1" t="s">
        <v>518</v>
      </c>
    </row>
    <row r="103" spans="1:6" x14ac:dyDescent="0.2">
      <c r="A103" s="1" t="str">
        <f t="shared" si="11"/>
        <v>Montagnaga Di Pine’</v>
      </c>
      <c r="B103" s="1" t="str">
        <f t="shared" si="12"/>
        <v>Italy</v>
      </c>
      <c r="C103" s="1" t="s">
        <v>1146</v>
      </c>
      <c r="D103" s="1" t="e">
        <f t="shared" si="6"/>
        <v>#VALUE!</v>
      </c>
      <c r="E103" s="1" t="s">
        <v>1275</v>
      </c>
      <c r="F103" s="1" t="s">
        <v>11</v>
      </c>
    </row>
    <row r="104" spans="1:6" x14ac:dyDescent="0.2">
      <c r="A104" s="1" t="str">
        <f t="shared" si="11"/>
        <v>Rome (Our Lady of Divine Love)</v>
      </c>
      <c r="B104" s="1" t="s">
        <v>732</v>
      </c>
      <c r="C104" s="1" t="s">
        <v>1147</v>
      </c>
      <c r="D104" s="1" t="e">
        <f t="shared" si="6"/>
        <v>#VALUE!</v>
      </c>
      <c r="E104" s="1" t="s">
        <v>1314</v>
      </c>
      <c r="F104" s="1" t="s">
        <v>11</v>
      </c>
    </row>
    <row r="105" spans="1:6" x14ac:dyDescent="0.2">
      <c r="A105" s="1" t="str">
        <f t="shared" si="11"/>
        <v>Chaguaya</v>
      </c>
      <c r="B105" s="1" t="str">
        <f>F105</f>
        <v>Bolivia</v>
      </c>
      <c r="C105" s="1" t="s">
        <v>1148</v>
      </c>
      <c r="D105" s="1" t="e">
        <f t="shared" si="6"/>
        <v>#VALUE!</v>
      </c>
      <c r="E105" s="1" t="s">
        <v>1276</v>
      </c>
      <c r="F105" s="1" t="s">
        <v>710</v>
      </c>
    </row>
    <row r="106" spans="1:6" x14ac:dyDescent="0.2">
      <c r="A106" s="1" t="str">
        <f t="shared" si="11"/>
        <v>Las Lajas</v>
      </c>
      <c r="B106" s="1" t="str">
        <f>F106</f>
        <v>Colombia</v>
      </c>
      <c r="C106" s="1" t="s">
        <v>1149</v>
      </c>
      <c r="D106" s="1" t="e">
        <f t="shared" si="6"/>
        <v>#VALUE!</v>
      </c>
      <c r="E106" s="1" t="s">
        <v>1277</v>
      </c>
      <c r="F106" s="1" t="s">
        <v>534</v>
      </c>
    </row>
    <row r="107" spans="1:6" x14ac:dyDescent="0.2">
      <c r="A107" s="1" t="str">
        <f t="shared" si="11"/>
        <v>Absam</v>
      </c>
      <c r="B107" s="1" t="str">
        <f>F107</f>
        <v>Austria</v>
      </c>
      <c r="C107" s="1" t="s">
        <v>1150</v>
      </c>
      <c r="D107" s="1" t="e">
        <f t="shared" si="6"/>
        <v>#VALUE!</v>
      </c>
      <c r="E107" s="1" t="s">
        <v>1278</v>
      </c>
      <c r="F107" s="1" t="s">
        <v>502</v>
      </c>
    </row>
    <row r="108" spans="1:6" x14ac:dyDescent="0.2">
      <c r="A108" s="1" t="str">
        <f t="shared" si="11"/>
        <v>La Vang</v>
      </c>
      <c r="B108" s="1" t="str">
        <f>F108</f>
        <v>Vietnam</v>
      </c>
      <c r="C108" s="1" t="s">
        <v>1151</v>
      </c>
      <c r="D108" s="1" t="e">
        <f t="shared" si="6"/>
        <v>#VALUE!</v>
      </c>
      <c r="E108" s="1" t="s">
        <v>1279</v>
      </c>
      <c r="F108" s="1" t="s">
        <v>743</v>
      </c>
    </row>
    <row r="109" spans="1:6" x14ac:dyDescent="0.2">
      <c r="A109" s="1" t="str">
        <f t="shared" si="11"/>
        <v>Ornans</v>
      </c>
      <c r="B109" s="1" t="str">
        <f>F109</f>
        <v>France</v>
      </c>
      <c r="C109" s="1" t="s">
        <v>1152</v>
      </c>
      <c r="D109" s="1" t="e">
        <f t="shared" si="6"/>
        <v>#VALUE!</v>
      </c>
      <c r="E109" s="1" t="s">
        <v>1280</v>
      </c>
      <c r="F109" s="1" t="s">
        <v>557</v>
      </c>
    </row>
    <row r="110" spans="1:6" x14ac:dyDescent="0.2">
      <c r="A110" s="1" t="s">
        <v>1022</v>
      </c>
      <c r="B110" s="1" t="s">
        <v>651</v>
      </c>
      <c r="C110" s="1" t="s">
        <v>1023</v>
      </c>
      <c r="D110" s="1" t="e">
        <f t="shared" si="6"/>
        <v>#VALUE!</v>
      </c>
      <c r="E110" s="1" t="e">
        <v>#VALUE!</v>
      </c>
    </row>
    <row r="111" spans="1:6" x14ac:dyDescent="0.2">
      <c r="A111" s="1" t="s">
        <v>1026</v>
      </c>
      <c r="B111" s="1" t="s">
        <v>733</v>
      </c>
      <c r="C111" s="1">
        <v>1830</v>
      </c>
      <c r="D111" s="1" t="e">
        <f t="shared" si="6"/>
        <v>#VALUE!</v>
      </c>
      <c r="E111" s="1" t="e">
        <v>#VALUE!</v>
      </c>
    </row>
    <row r="112" spans="1:6" x14ac:dyDescent="0.2">
      <c r="A112" s="1" t="s">
        <v>1005</v>
      </c>
      <c r="B112" s="1" t="s">
        <v>732</v>
      </c>
      <c r="C112" s="1">
        <v>1842</v>
      </c>
      <c r="D112" s="1" t="e">
        <f t="shared" si="6"/>
        <v>#VALUE!</v>
      </c>
      <c r="E112" s="1" t="e">
        <v>#VALUE!</v>
      </c>
    </row>
    <row r="113" spans="1:6" x14ac:dyDescent="0.2">
      <c r="A113" s="1" t="s">
        <v>1027</v>
      </c>
      <c r="B113" s="1" t="s">
        <v>557</v>
      </c>
      <c r="C113" s="1">
        <v>1846</v>
      </c>
      <c r="D113" s="1" t="e">
        <f t="shared" si="6"/>
        <v>#VALUE!</v>
      </c>
      <c r="E113" s="1" t="e">
        <v>#VALUE!</v>
      </c>
    </row>
    <row r="114" spans="1:6" x14ac:dyDescent="0.2">
      <c r="A114" s="1" t="str">
        <f>E114</f>
        <v>Cerreto Di Sorano</v>
      </c>
      <c r="B114" s="1" t="str">
        <f>F114</f>
        <v>Italy</v>
      </c>
      <c r="C114" s="1" t="s">
        <v>1153</v>
      </c>
      <c r="D114" s="1" t="e">
        <f t="shared" si="6"/>
        <v>#VALUE!</v>
      </c>
      <c r="E114" s="1" t="s">
        <v>1281</v>
      </c>
      <c r="F114" s="1" t="s">
        <v>11</v>
      </c>
    </row>
    <row r="115" spans="1:6" x14ac:dyDescent="0.2">
      <c r="A115" s="1" t="str">
        <f>E115</f>
        <v>Porzus Degli Slavi</v>
      </c>
      <c r="B115" s="1" t="str">
        <f>F115</f>
        <v>Italy</v>
      </c>
      <c r="C115" s="1" t="s">
        <v>1154</v>
      </c>
      <c r="D115" s="1" t="e">
        <f t="shared" si="6"/>
        <v>#VALUE!</v>
      </c>
      <c r="E115" s="1" t="s">
        <v>1282</v>
      </c>
      <c r="F115" s="1" t="s">
        <v>11</v>
      </c>
    </row>
    <row r="116" spans="1:6" x14ac:dyDescent="0.2">
      <c r="A116" s="1" t="s">
        <v>1000</v>
      </c>
      <c r="B116" s="1" t="s">
        <v>557</v>
      </c>
      <c r="C116" s="1">
        <v>1858</v>
      </c>
      <c r="D116" s="1" t="e">
        <f t="shared" si="6"/>
        <v>#VALUE!</v>
      </c>
      <c r="E116" s="1" t="e">
        <v>#VALUE!</v>
      </c>
    </row>
    <row r="117" spans="1:6" x14ac:dyDescent="0.2">
      <c r="A117" s="1" t="str">
        <f>E117</f>
        <v>Champion</v>
      </c>
      <c r="B117" s="1" t="str">
        <f>F117</f>
        <v>United States of America</v>
      </c>
      <c r="C117" s="1" t="s">
        <v>1155</v>
      </c>
      <c r="D117" s="1" t="e">
        <f t="shared" si="6"/>
        <v>#VALUE!</v>
      </c>
      <c r="E117" s="1" t="s">
        <v>1283</v>
      </c>
      <c r="F117" s="1" t="s">
        <v>697</v>
      </c>
    </row>
    <row r="118" spans="1:6" x14ac:dyDescent="0.2">
      <c r="A118" s="1" t="str">
        <f>E118</f>
        <v>Montefalco</v>
      </c>
      <c r="B118" s="1" t="str">
        <f>F118</f>
        <v>Italy</v>
      </c>
      <c r="C118" s="1" t="s">
        <v>1156</v>
      </c>
      <c r="D118" s="1" t="e">
        <f t="shared" si="6"/>
        <v>#VALUE!</v>
      </c>
      <c r="E118" s="1" t="s">
        <v>1284</v>
      </c>
      <c r="F118" s="1" t="s">
        <v>11</v>
      </c>
    </row>
    <row r="119" spans="1:6" x14ac:dyDescent="0.2">
      <c r="A119" s="1" t="s">
        <v>998</v>
      </c>
      <c r="B119" s="1" t="s">
        <v>541</v>
      </c>
      <c r="C119" s="1">
        <v>1866</v>
      </c>
      <c r="D119" s="1" t="e">
        <f t="shared" si="6"/>
        <v>#VALUE!</v>
      </c>
      <c r="E119" s="1" t="e">
        <v>#VALUE!</v>
      </c>
    </row>
    <row r="120" spans="1:6" x14ac:dyDescent="0.2">
      <c r="A120" s="1" t="s">
        <v>999</v>
      </c>
      <c r="B120" s="1" t="s">
        <v>557</v>
      </c>
      <c r="C120" s="1">
        <v>1871</v>
      </c>
      <c r="D120" s="1" t="e">
        <f t="shared" si="6"/>
        <v>#VALUE!</v>
      </c>
      <c r="E120" s="1" t="e">
        <v>#VALUE!</v>
      </c>
    </row>
    <row r="121" spans="1:6" x14ac:dyDescent="0.2">
      <c r="A121" s="1" t="str">
        <f t="shared" ref="A121:B123" si="13">E121</f>
        <v>Saint Bauzille de la Sylve</v>
      </c>
      <c r="B121" s="1" t="str">
        <f t="shared" si="13"/>
        <v>France</v>
      </c>
      <c r="C121" s="1" t="s">
        <v>1157</v>
      </c>
      <c r="D121" s="1" t="e">
        <f t="shared" si="6"/>
        <v>#VALUE!</v>
      </c>
      <c r="E121" s="1" t="s">
        <v>1285</v>
      </c>
      <c r="F121" s="1" t="s">
        <v>557</v>
      </c>
    </row>
    <row r="122" spans="1:6" x14ac:dyDescent="0.2">
      <c r="A122" s="1" t="str">
        <f t="shared" si="13"/>
        <v>Pompei</v>
      </c>
      <c r="B122" s="1" t="str">
        <f t="shared" si="13"/>
        <v>Italy</v>
      </c>
      <c r="C122" s="1" t="s">
        <v>1158</v>
      </c>
      <c r="D122" s="1" t="e">
        <f t="shared" si="6"/>
        <v>#VALUE!</v>
      </c>
      <c r="E122" s="1" t="s">
        <v>1286</v>
      </c>
      <c r="F122" s="1" t="s">
        <v>11</v>
      </c>
    </row>
    <row r="123" spans="1:6" x14ac:dyDescent="0.2">
      <c r="A123" s="1" t="str">
        <f t="shared" si="13"/>
        <v>Pellovoisin</v>
      </c>
      <c r="B123" s="1" t="str">
        <f t="shared" si="13"/>
        <v>France</v>
      </c>
      <c r="C123" s="1" t="s">
        <v>1159</v>
      </c>
      <c r="D123" s="1" t="e">
        <f t="shared" si="6"/>
        <v>#VALUE!</v>
      </c>
      <c r="E123" s="1" t="s">
        <v>1287</v>
      </c>
      <c r="F123" s="1" t="s">
        <v>557</v>
      </c>
    </row>
    <row r="124" spans="1:6" x14ac:dyDescent="0.2">
      <c r="A124" s="1" t="s">
        <v>997</v>
      </c>
      <c r="B124" s="1" t="s">
        <v>651</v>
      </c>
      <c r="C124" s="1">
        <v>1877</v>
      </c>
      <c r="D124" s="1" t="e">
        <f t="shared" si="6"/>
        <v>#VALUE!</v>
      </c>
      <c r="E124" s="1" t="e">
        <v>#VALUE!</v>
      </c>
    </row>
    <row r="125" spans="1:6" x14ac:dyDescent="0.2">
      <c r="A125" s="1" t="s">
        <v>996</v>
      </c>
      <c r="B125" s="1" t="s">
        <v>583</v>
      </c>
      <c r="C125" s="1">
        <v>1879</v>
      </c>
      <c r="D125" s="1" t="e">
        <f t="shared" si="6"/>
        <v>#VALUE!</v>
      </c>
      <c r="E125" s="1" t="e">
        <v>#VALUE!</v>
      </c>
    </row>
    <row r="126" spans="1:6" x14ac:dyDescent="0.2">
      <c r="A126" s="1" t="str">
        <f t="shared" ref="A126:B129" si="14">E126</f>
        <v>Castelpetroso</v>
      </c>
      <c r="B126" s="1" t="str">
        <f t="shared" si="14"/>
        <v>Italy</v>
      </c>
      <c r="C126" s="1" t="s">
        <v>1160</v>
      </c>
      <c r="D126" s="1" t="e">
        <f t="shared" si="6"/>
        <v>#VALUE!</v>
      </c>
      <c r="E126" s="1" t="s">
        <v>1288</v>
      </c>
      <c r="F126" s="1" t="s">
        <v>11</v>
      </c>
    </row>
    <row r="127" spans="1:6" x14ac:dyDescent="0.2">
      <c r="A127" s="1" t="str">
        <f t="shared" si="14"/>
        <v>Szczyrk</v>
      </c>
      <c r="B127" s="1" t="str">
        <f t="shared" si="14"/>
        <v>Poland</v>
      </c>
      <c r="C127" s="1" t="s">
        <v>1161</v>
      </c>
      <c r="D127" s="1" t="e">
        <f t="shared" si="6"/>
        <v>#VALUE!</v>
      </c>
      <c r="E127" s="1" t="s">
        <v>1289</v>
      </c>
      <c r="F127" s="1" t="s">
        <v>651</v>
      </c>
    </row>
    <row r="128" spans="1:6" x14ac:dyDescent="0.2">
      <c r="A128" s="1" t="str">
        <f t="shared" si="14"/>
        <v>Betania</v>
      </c>
      <c r="B128" s="1" t="str">
        <f t="shared" si="14"/>
        <v>Venezuela</v>
      </c>
      <c r="C128" s="1" t="s">
        <v>1162</v>
      </c>
      <c r="D128" s="1" t="e">
        <f t="shared" si="6"/>
        <v>#VALUE!</v>
      </c>
      <c r="E128" s="1" t="s">
        <v>1290</v>
      </c>
      <c r="F128" s="1" t="s">
        <v>718</v>
      </c>
    </row>
    <row r="129" spans="1:6" x14ac:dyDescent="0.2">
      <c r="A129" s="1" t="str">
        <f t="shared" si="14"/>
        <v>Dong Lu</v>
      </c>
      <c r="B129" s="1" t="str">
        <f t="shared" si="14"/>
        <v>China</v>
      </c>
      <c r="C129" s="1" t="s">
        <v>1163</v>
      </c>
      <c r="D129" s="1" t="e">
        <f t="shared" si="6"/>
        <v>#VALUE!</v>
      </c>
      <c r="E129" s="1" t="s">
        <v>1291</v>
      </c>
      <c r="F129" s="1" t="s">
        <v>533</v>
      </c>
    </row>
    <row r="130" spans="1:6" x14ac:dyDescent="0.2">
      <c r="A130" s="1" t="s">
        <v>727</v>
      </c>
      <c r="B130" s="1" t="s">
        <v>655</v>
      </c>
      <c r="C130" s="1">
        <v>1916</v>
      </c>
      <c r="D130" s="1" t="e">
        <f t="shared" si="6"/>
        <v>#VALUE!</v>
      </c>
      <c r="E130" s="1" t="e">
        <v>#VALUE!</v>
      </c>
    </row>
    <row r="131" spans="1:6" x14ac:dyDescent="0.2">
      <c r="A131" s="1" t="str">
        <f t="shared" ref="A131:B134" si="15">E131</f>
        <v>Turin</v>
      </c>
      <c r="B131" s="1" t="str">
        <f t="shared" si="15"/>
        <v>Italy</v>
      </c>
      <c r="C131" s="1" t="s">
        <v>1164</v>
      </c>
      <c r="D131" s="1" t="e">
        <f t="shared" ref="D131:D154" si="16">MID(A131,FIND(". ",A131)+2,LEN(A131))</f>
        <v>#VALUE!</v>
      </c>
      <c r="E131" s="1" t="s">
        <v>1292</v>
      </c>
      <c r="F131" s="1" t="s">
        <v>11</v>
      </c>
    </row>
    <row r="132" spans="1:6" x14ac:dyDescent="0.2">
      <c r="A132" s="1" t="str">
        <f t="shared" si="15"/>
        <v>Cernusco Sul Naviglio</v>
      </c>
      <c r="B132" s="1" t="str">
        <f t="shared" si="15"/>
        <v>Italy</v>
      </c>
      <c r="C132" s="1" t="s">
        <v>1165</v>
      </c>
      <c r="D132" s="1" t="e">
        <f t="shared" si="16"/>
        <v>#VALUE!</v>
      </c>
      <c r="E132" s="1" t="s">
        <v>1293</v>
      </c>
      <c r="F132" s="1" t="s">
        <v>11</v>
      </c>
    </row>
    <row r="133" spans="1:6" x14ac:dyDescent="0.2">
      <c r="A133" s="1" t="str">
        <f t="shared" si="15"/>
        <v>Pontevedra and Tuy</v>
      </c>
      <c r="B133" s="1" t="str">
        <f t="shared" si="15"/>
        <v>Spain</v>
      </c>
      <c r="C133" s="1" t="s">
        <v>1166</v>
      </c>
      <c r="D133" s="1" t="e">
        <f t="shared" si="16"/>
        <v>#VALUE!</v>
      </c>
      <c r="E133" s="1" t="s">
        <v>1294</v>
      </c>
      <c r="F133" s="1" t="s">
        <v>552</v>
      </c>
    </row>
    <row r="134" spans="1:6" x14ac:dyDescent="0.2">
      <c r="A134" s="1" t="str">
        <f t="shared" si="15"/>
        <v>Campiñas</v>
      </c>
      <c r="B134" s="1" t="str">
        <f t="shared" si="15"/>
        <v>Brazil</v>
      </c>
      <c r="C134" s="1" t="s">
        <v>1167</v>
      </c>
      <c r="D134" s="1" t="e">
        <f t="shared" si="16"/>
        <v>#VALUE!</v>
      </c>
      <c r="E134" s="1" t="s">
        <v>1295</v>
      </c>
      <c r="F134" s="1" t="s">
        <v>518</v>
      </c>
    </row>
    <row r="135" spans="1:6" x14ac:dyDescent="0.2">
      <c r="A135" s="1" t="s">
        <v>995</v>
      </c>
      <c r="B135" s="1" t="s">
        <v>509</v>
      </c>
      <c r="C135" s="1">
        <v>1932</v>
      </c>
      <c r="D135" s="1" t="e">
        <f t="shared" si="16"/>
        <v>#VALUE!</v>
      </c>
      <c r="E135" s="1" t="e">
        <v>#VALUE!</v>
      </c>
    </row>
    <row r="136" spans="1:6" x14ac:dyDescent="0.2">
      <c r="A136" s="1" t="s">
        <v>994</v>
      </c>
      <c r="B136" s="1" t="s">
        <v>509</v>
      </c>
      <c r="C136" s="1">
        <v>1933</v>
      </c>
      <c r="D136" s="1" t="e">
        <f t="shared" si="16"/>
        <v>#VALUE!</v>
      </c>
      <c r="E136" s="1" t="e">
        <v>#VALUE!</v>
      </c>
    </row>
    <row r="137" spans="1:6" x14ac:dyDescent="0.2">
      <c r="A137" s="1" t="str">
        <f t="shared" ref="A137:A149" si="17">E137</f>
        <v>Pesqueira</v>
      </c>
      <c r="B137" s="1" t="str">
        <f t="shared" ref="B137:B149" si="18">F137</f>
        <v>Brazil</v>
      </c>
      <c r="C137" s="1" t="s">
        <v>1168</v>
      </c>
      <c r="D137" s="1" t="e">
        <f t="shared" si="16"/>
        <v>#VALUE!</v>
      </c>
      <c r="E137" s="1" t="s">
        <v>1296</v>
      </c>
      <c r="F137" s="1" t="s">
        <v>518</v>
      </c>
    </row>
    <row r="138" spans="1:6" x14ac:dyDescent="0.2">
      <c r="A138" s="1" t="str">
        <f t="shared" si="17"/>
        <v>Heede</v>
      </c>
      <c r="B138" s="1" t="str">
        <f t="shared" si="18"/>
        <v>Germany</v>
      </c>
      <c r="C138" s="1" t="s">
        <v>1169</v>
      </c>
      <c r="D138" s="1" t="e">
        <f t="shared" si="16"/>
        <v>#VALUE!</v>
      </c>
      <c r="E138" s="1" t="s">
        <v>1297</v>
      </c>
      <c r="F138" s="1" t="s">
        <v>542</v>
      </c>
    </row>
    <row r="139" spans="1:6" x14ac:dyDescent="0.2">
      <c r="A139" s="1" t="str">
        <f t="shared" si="17"/>
        <v>Milan</v>
      </c>
      <c r="B139" s="1" t="str">
        <f t="shared" si="18"/>
        <v>Italy</v>
      </c>
      <c r="C139" s="1" t="s">
        <v>1170</v>
      </c>
      <c r="D139" s="1" t="e">
        <f t="shared" si="16"/>
        <v>#VALUE!</v>
      </c>
      <c r="E139" s="1" t="s">
        <v>1298</v>
      </c>
      <c r="F139" s="1" t="s">
        <v>11</v>
      </c>
    </row>
    <row r="140" spans="1:6" x14ac:dyDescent="0.2">
      <c r="A140" s="1" t="str">
        <f t="shared" si="17"/>
        <v>Kallikulam</v>
      </c>
      <c r="B140" s="1" t="str">
        <f t="shared" si="18"/>
        <v>India</v>
      </c>
      <c r="C140" s="1" t="s">
        <v>1171</v>
      </c>
      <c r="D140" s="1" t="e">
        <f t="shared" si="16"/>
        <v>#VALUE!</v>
      </c>
      <c r="E140" s="1" t="s">
        <v>1299</v>
      </c>
      <c r="F140" s="1" t="s">
        <v>2</v>
      </c>
    </row>
    <row r="141" spans="1:6" x14ac:dyDescent="0.2">
      <c r="A141" s="1" t="str">
        <f t="shared" si="17"/>
        <v>Pfaffenhofen Marienfried</v>
      </c>
      <c r="B141" s="1" t="str">
        <f t="shared" si="18"/>
        <v>Germany</v>
      </c>
      <c r="C141" s="1" t="s">
        <v>1172</v>
      </c>
      <c r="D141" s="1" t="e">
        <f t="shared" si="16"/>
        <v>#VALUE!</v>
      </c>
      <c r="E141" s="1" t="s">
        <v>1300</v>
      </c>
      <c r="F141" s="1" t="s">
        <v>542</v>
      </c>
    </row>
    <row r="142" spans="1:6" x14ac:dyDescent="0.2">
      <c r="A142" s="1" t="str">
        <f t="shared" si="17"/>
        <v>Siekierki</v>
      </c>
      <c r="B142" s="1" t="str">
        <f t="shared" si="18"/>
        <v>Poland</v>
      </c>
      <c r="C142" s="1" t="s">
        <v>1173</v>
      </c>
      <c r="D142" s="1" t="e">
        <f t="shared" si="16"/>
        <v>#VALUE!</v>
      </c>
      <c r="E142" s="1" t="s">
        <v>1301</v>
      </c>
      <c r="F142" s="1" t="s">
        <v>651</v>
      </c>
    </row>
    <row r="143" spans="1:6" x14ac:dyDescent="0.2">
      <c r="A143" s="1" t="str">
        <f t="shared" si="17"/>
        <v>La Codosera</v>
      </c>
      <c r="B143" s="1" t="str">
        <f t="shared" si="18"/>
        <v>Spain</v>
      </c>
      <c r="C143" s="1" t="s">
        <v>1174</v>
      </c>
      <c r="D143" s="1" t="e">
        <f t="shared" si="16"/>
        <v>#VALUE!</v>
      </c>
      <c r="E143" s="1" t="s">
        <v>1302</v>
      </c>
      <c r="F143" s="1" t="s">
        <v>552</v>
      </c>
    </row>
    <row r="144" spans="1:6" x14ac:dyDescent="0.2">
      <c r="A144" s="1" t="str">
        <f t="shared" si="17"/>
        <v>Île-Bouchard</v>
      </c>
      <c r="B144" s="1" t="str">
        <f t="shared" si="18"/>
        <v>France</v>
      </c>
      <c r="C144" s="1" t="s">
        <v>1175</v>
      </c>
      <c r="D144" s="1" t="e">
        <f t="shared" si="16"/>
        <v>#VALUE!</v>
      </c>
      <c r="E144" s="1" t="s">
        <v>1303</v>
      </c>
      <c r="F144" s="1" t="s">
        <v>557</v>
      </c>
    </row>
    <row r="145" spans="1:6" x14ac:dyDescent="0.2">
      <c r="A145" s="1" t="str">
        <f t="shared" si="17"/>
        <v>Heroldsbach</v>
      </c>
      <c r="B145" s="1" t="str">
        <f t="shared" si="18"/>
        <v>Germany</v>
      </c>
      <c r="C145" s="1" t="s">
        <v>1176</v>
      </c>
      <c r="D145" s="1" t="e">
        <f t="shared" si="16"/>
        <v>#VALUE!</v>
      </c>
      <c r="E145" s="1" t="s">
        <v>1304</v>
      </c>
      <c r="F145" s="1" t="s">
        <v>542</v>
      </c>
    </row>
    <row r="146" spans="1:6" x14ac:dyDescent="0.2">
      <c r="A146" s="1" t="str">
        <f t="shared" si="17"/>
        <v>Rogorotto</v>
      </c>
      <c r="B146" s="1" t="str">
        <f t="shared" si="18"/>
        <v>Italy</v>
      </c>
      <c r="C146" s="1" t="s">
        <v>1177</v>
      </c>
      <c r="D146" s="1" t="e">
        <f t="shared" si="16"/>
        <v>#VALUE!</v>
      </c>
      <c r="E146" s="1" t="s">
        <v>1305</v>
      </c>
      <c r="F146" s="1" t="s">
        <v>11</v>
      </c>
    </row>
    <row r="147" spans="1:6" x14ac:dyDescent="0.2">
      <c r="A147" s="1" t="str">
        <f t="shared" si="17"/>
        <v>Syracuse</v>
      </c>
      <c r="B147" s="1" t="str">
        <f t="shared" si="18"/>
        <v>Italy</v>
      </c>
      <c r="C147" s="1" t="s">
        <v>1178</v>
      </c>
      <c r="D147" s="1" t="e">
        <f t="shared" si="16"/>
        <v>#VALUE!</v>
      </c>
      <c r="E147" s="1" t="s">
        <v>1306</v>
      </c>
      <c r="F147" s="1" t="s">
        <v>11</v>
      </c>
    </row>
    <row r="148" spans="1:6" x14ac:dyDescent="0.2">
      <c r="A148" s="1" t="str">
        <f t="shared" si="17"/>
        <v>Ngome</v>
      </c>
      <c r="B148" s="1" t="str">
        <f t="shared" si="18"/>
        <v>South Africa</v>
      </c>
      <c r="C148" s="1" t="s">
        <v>1179</v>
      </c>
      <c r="D148" s="1" t="e">
        <f t="shared" si="16"/>
        <v>#VALUE!</v>
      </c>
      <c r="E148" s="1" t="s">
        <v>1307</v>
      </c>
      <c r="F148" s="1" t="s">
        <v>706</v>
      </c>
    </row>
    <row r="149" spans="1:6" x14ac:dyDescent="0.2">
      <c r="A149" s="1" t="str">
        <f t="shared" si="17"/>
        <v>Fostoria</v>
      </c>
      <c r="B149" s="1" t="str">
        <f t="shared" si="18"/>
        <v>United States of America</v>
      </c>
      <c r="C149" s="1" t="s">
        <v>1180</v>
      </c>
      <c r="D149" s="1" t="e">
        <f t="shared" si="16"/>
        <v>#VALUE!</v>
      </c>
      <c r="E149" s="1" t="s">
        <v>1308</v>
      </c>
      <c r="F149" s="1" t="s">
        <v>697</v>
      </c>
    </row>
    <row r="150" spans="1:6" x14ac:dyDescent="0.2">
      <c r="A150" s="1" t="s">
        <v>1031</v>
      </c>
      <c r="B150" s="1" t="s">
        <v>21</v>
      </c>
      <c r="C150" s="1" t="s">
        <v>1014</v>
      </c>
      <c r="D150" s="1" t="e">
        <f t="shared" si="16"/>
        <v>#VALUE!</v>
      </c>
      <c r="E150" s="1" t="e">
        <v>#VALUE!</v>
      </c>
    </row>
    <row r="151" spans="1:6" x14ac:dyDescent="0.2">
      <c r="A151" s="1" t="str">
        <f>E151</f>
        <v>Akita</v>
      </c>
      <c r="B151" s="1" t="str">
        <f>F151</f>
        <v>Japan</v>
      </c>
      <c r="C151" s="1" t="s">
        <v>1181</v>
      </c>
      <c r="D151" s="1" t="e">
        <f t="shared" si="16"/>
        <v>#VALUE!</v>
      </c>
      <c r="E151" s="1" t="s">
        <v>1309</v>
      </c>
      <c r="F151" s="1" t="s">
        <v>592</v>
      </c>
    </row>
    <row r="152" spans="1:6" x14ac:dyDescent="0.2">
      <c r="A152" s="1" t="str">
        <f>E152</f>
        <v>Cuapa</v>
      </c>
      <c r="B152" s="1" t="str">
        <f>F152</f>
        <v>Nicaragua</v>
      </c>
      <c r="C152" s="1" t="s">
        <v>1182</v>
      </c>
      <c r="D152" s="1" t="e">
        <f t="shared" si="16"/>
        <v>#VALUE!</v>
      </c>
      <c r="E152" s="1" t="s">
        <v>1310</v>
      </c>
      <c r="F152" s="1" t="s">
        <v>638</v>
      </c>
    </row>
    <row r="153" spans="1:6" x14ac:dyDescent="0.2">
      <c r="A153" s="1" t="s">
        <v>484</v>
      </c>
      <c r="B153" s="1" t="s">
        <v>482</v>
      </c>
      <c r="C153" s="1">
        <v>1981</v>
      </c>
      <c r="D153" s="1" t="e">
        <f t="shared" si="16"/>
        <v>#VALUE!</v>
      </c>
      <c r="E153" s="1" t="e">
        <v>#VALUE!</v>
      </c>
    </row>
    <row r="154" spans="1:6" x14ac:dyDescent="0.2">
      <c r="A154" s="1" t="str">
        <f>E154</f>
        <v>Namyang</v>
      </c>
      <c r="B154" s="1" t="str">
        <f>F154</f>
        <v>South Korea</v>
      </c>
      <c r="C154" s="1" t="s">
        <v>1183</v>
      </c>
      <c r="D154" s="1" t="e">
        <f t="shared" si="16"/>
        <v>#VALUE!</v>
      </c>
      <c r="E154" s="1" t="s">
        <v>1311</v>
      </c>
      <c r="F154" s="1" t="s">
        <v>721</v>
      </c>
    </row>
  </sheetData>
  <autoFilter ref="A1:F154" xr:uid="{CF38A5E8-E436-4289-AF0B-1BD0BA68A638}"/>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49</vt:i4>
      </vt:variant>
    </vt:vector>
  </HeadingPairs>
  <TitlesOfParts>
    <vt:vector size="55" baseType="lpstr">
      <vt:lpstr>WP Site</vt:lpstr>
      <vt:lpstr>Site List</vt:lpstr>
      <vt:lpstr>Tag List</vt:lpstr>
      <vt:lpstr>(Ref) Countries</vt:lpstr>
      <vt:lpstr>Sheet1</vt:lpstr>
      <vt:lpstr>Sheet7</vt:lpstr>
      <vt:lpstr>Sheet1!adana</vt:lpstr>
      <vt:lpstr>Sheet1!alexandria</vt:lpstr>
      <vt:lpstr>Sheet1!athos</vt:lpstr>
      <vt:lpstr>Sheet1!behuard</vt:lpstr>
      <vt:lpstr>Sheet1!benevento</vt:lpstr>
      <vt:lpstr>Sheet1!bolougne</vt:lpstr>
      <vt:lpstr>Sheet1!caesarea</vt:lpstr>
      <vt:lpstr>Sheet1!canterbury980</vt:lpstr>
      <vt:lpstr>Sheet1!castelnuovo</vt:lpstr>
      <vt:lpstr>Sheet1!clermont</vt:lpstr>
      <vt:lpstr>Sheet1!cologne</vt:lpstr>
      <vt:lpstr>Sheet1!constantinople</vt:lpstr>
      <vt:lpstr>Sheet1!constantinople714</vt:lpstr>
      <vt:lpstr>Sheet1!corbie</vt:lpstr>
      <vt:lpstr>Sheet1!corentin</vt:lpstr>
      <vt:lpstr>Sheet1!egypt</vt:lpstr>
      <vt:lpstr>Sheet1!ensiedeln</vt:lpstr>
      <vt:lpstr>Sheet1!ephesus</vt:lpstr>
      <vt:lpstr>Sheet1!evesham</vt:lpstr>
      <vt:lpstr>Sheet1!farfa</vt:lpstr>
      <vt:lpstr>Sheet1!galla</vt:lpstr>
      <vt:lpstr>Sheet1!gargano</vt:lpstr>
      <vt:lpstr>Sheet1!genoa</vt:lpstr>
      <vt:lpstr>Sheet1!giudicaele</vt:lpstr>
      <vt:lpstr>Sheet1!gregoryoftours</vt:lpstr>
      <vt:lpstr>Sheet1!gualdotadino</vt:lpstr>
      <vt:lpstr>Sheet1!hainault</vt:lpstr>
      <vt:lpstr>Sheet1!herford</vt:lpstr>
      <vt:lpstr>Sheet1!india</vt:lpstr>
      <vt:lpstr>Sheet1!italy300</vt:lpstr>
      <vt:lpstr>Sheet1!kuravilangad</vt:lpstr>
      <vt:lpstr>Sheet1!maastricht</vt:lpstr>
      <vt:lpstr>Sheet1!mainz</vt:lpstr>
      <vt:lpstr>Sheet1!montreuil</vt:lpstr>
      <vt:lpstr>Sheet1!myra</vt:lpstr>
      <vt:lpstr>Sheet1!neocaesarea</vt:lpstr>
      <vt:lpstr>Sheet1!Patmos</vt:lpstr>
      <vt:lpstr>Sheet1!picciano</vt:lpstr>
      <vt:lpstr>Sheet1!propezzano</vt:lpstr>
      <vt:lpstr>Sheet1!reims</vt:lpstr>
      <vt:lpstr>Sheet1!rome526</vt:lpstr>
      <vt:lpstr>Sheet1!rosenthal</vt:lpstr>
      <vt:lpstr>Sheet1!savoy</vt:lpstr>
      <vt:lpstr>Sheet1!sicea</vt:lpstr>
      <vt:lpstr>Sheet1!spoleto</vt:lpstr>
      <vt:lpstr>Sheet1!tagaste</vt:lpstr>
      <vt:lpstr>Sheet1!toledo</vt:lpstr>
      <vt:lpstr>Sheet1!tolouse</vt:lpstr>
      <vt:lpstr>Sheet1!tours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Mueller</dc:creator>
  <cp:lastModifiedBy>John Mueller</cp:lastModifiedBy>
  <dcterms:created xsi:type="dcterms:W3CDTF">2023-08-22T22:13:24Z</dcterms:created>
  <dcterms:modified xsi:type="dcterms:W3CDTF">2024-02-26T04:42:33Z</dcterms:modified>
</cp:coreProperties>
</file>